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13.xml" ContentType="application/vnd.ms-office.chartstyle+xml"/>
  <Override PartName="/xl/charts/colors13.xml" ContentType="application/vnd.ms-office.chartcolorstyle+xml"/>
  <Override PartName="/xl/charts/chart19.xml" ContentType="application/vnd.openxmlformats-officedocument.drawingml.chart+xml"/>
  <Override PartName="/xl/charts/style14.xml" ContentType="application/vnd.ms-office.chartstyle+xml"/>
  <Override PartName="/xl/charts/colors14.xml" ContentType="application/vnd.ms-office.chartcolorstyle+xml"/>
  <Override PartName="/xl/charts/chart20.xml" ContentType="application/vnd.openxmlformats-officedocument.drawingml.chart+xml"/>
  <Override PartName="/xl/charts/style15.xml" ContentType="application/vnd.ms-office.chartstyle+xml"/>
  <Override PartName="/xl/charts/colors15.xml" ContentType="application/vnd.ms-office.chartcolorstyle+xml"/>
  <Override PartName="/xl/charts/chart21.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b0fa1a7c3e3b545e/Documents/"/>
    </mc:Choice>
  </mc:AlternateContent>
  <xr:revisionPtr revIDLastSave="0" documentId="8_{EF654CF5-973A-4B81-84B0-A23588906260}" xr6:coauthVersionLast="47" xr6:coauthVersionMax="47" xr10:uidLastSave="{00000000-0000-0000-0000-000000000000}"/>
  <bookViews>
    <workbookView xWindow="-110" yWindow="-110" windowWidth="19420" windowHeight="10300" firstSheet="2" activeTab="2" xr2:uid="{55E05DE7-CF39-411D-A031-89B69B63358B}"/>
  </bookViews>
  <sheets>
    <sheet name="Dashboard" sheetId="3" state="hidden" r:id="rId1"/>
    <sheet name="Sheet1" sheetId="4" state="hidden" r:id="rId2"/>
    <sheet name="New" sheetId="5" r:id="rId3"/>
    <sheet name="Sheet3" sheetId="7" state="hidden" r:id="rId4"/>
    <sheet name="Sheet2" sheetId="6" state="hidden" r:id="rId5"/>
    <sheet name="Amazon Sale Report" sheetId="1" r:id="rId6"/>
  </sheets>
  <definedNames>
    <definedName name="_xlnm._FilterDatabase" localSheetId="5" hidden="1">'Amazon Sale Report'!$A$1:$R$1000</definedName>
    <definedName name="_xlchart.v5.0" hidden="1">Sheet1!$L$41</definedName>
    <definedName name="_xlchart.v5.1" hidden="1">Sheet1!$L$42:$L$73</definedName>
    <definedName name="_xlchart.v5.2" hidden="1">Sheet1!$O$41</definedName>
    <definedName name="_xlchart.v5.3" hidden="1">Sheet1!$O$42:$O$73</definedName>
    <definedName name="_xlchart.v5.4" hidden="1">Sheet1!$F$43</definedName>
    <definedName name="_xlchart.v5.5" hidden="1">Sheet1!$F$44:$F$75</definedName>
    <definedName name="_xlchart.v5.6" hidden="1">Sheet1!$G$43</definedName>
    <definedName name="_xlchart.v5.7" hidden="1">Sheet1!$G$44:$G$75</definedName>
    <definedName name="Slicer_Gender">#N/A</definedName>
    <definedName name="Slicer_Month">#N/A</definedName>
    <definedName name="Slicer_Sales_Channel">#N/A</definedName>
    <definedName name="Slicer_Sales_Channel1">#N/A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1" i="4" l="1"/>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42" i="4"/>
  <c r="G469" i="1"/>
  <c r="C3" i="1"/>
  <c r="D3" i="1" s="1"/>
  <c r="C4" i="1"/>
  <c r="D4" i="1" s="1"/>
  <c r="C5" i="1"/>
  <c r="D5" i="1" s="1"/>
  <c r="C6" i="1"/>
  <c r="D6" i="1" s="1"/>
  <c r="C7" i="1"/>
  <c r="D7" i="1" s="1"/>
  <c r="C8" i="1"/>
  <c r="D8" i="1" s="1"/>
  <c r="C9" i="1"/>
  <c r="D9" i="1" s="1"/>
  <c r="C10" i="1"/>
  <c r="D10" i="1" s="1"/>
  <c r="C11" i="1"/>
  <c r="D11" i="1" s="1"/>
  <c r="C12" i="1"/>
  <c r="D12" i="1" s="1"/>
  <c r="C13" i="1"/>
  <c r="D13" i="1" s="1"/>
  <c r="C14" i="1"/>
  <c r="D14" i="1" s="1"/>
  <c r="C15" i="1"/>
  <c r="D15" i="1" s="1"/>
  <c r="C16" i="1"/>
  <c r="D16" i="1" s="1"/>
  <c r="C17" i="1"/>
  <c r="D17" i="1" s="1"/>
  <c r="C18" i="1"/>
  <c r="D18" i="1" s="1"/>
  <c r="C19" i="1"/>
  <c r="D19" i="1" s="1"/>
  <c r="C20" i="1"/>
  <c r="D20" i="1" s="1"/>
  <c r="C21" i="1"/>
  <c r="D21" i="1" s="1"/>
  <c r="C22" i="1"/>
  <c r="D22" i="1" s="1"/>
  <c r="C23" i="1"/>
  <c r="D23" i="1" s="1"/>
  <c r="C24" i="1"/>
  <c r="D24" i="1" s="1"/>
  <c r="C25" i="1"/>
  <c r="D25" i="1" s="1"/>
  <c r="C26" i="1"/>
  <c r="D26" i="1" s="1"/>
  <c r="C27" i="1"/>
  <c r="D27" i="1" s="1"/>
  <c r="C28" i="1"/>
  <c r="D28" i="1" s="1"/>
  <c r="C29" i="1"/>
  <c r="D29" i="1" s="1"/>
  <c r="C30" i="1"/>
  <c r="D30" i="1" s="1"/>
  <c r="C31" i="1"/>
  <c r="D31" i="1" s="1"/>
  <c r="C32" i="1"/>
  <c r="D32" i="1" s="1"/>
  <c r="C33" i="1"/>
  <c r="D33" i="1" s="1"/>
  <c r="C34" i="1"/>
  <c r="D34" i="1" s="1"/>
  <c r="C35" i="1"/>
  <c r="D35" i="1" s="1"/>
  <c r="C36" i="1"/>
  <c r="D36" i="1" s="1"/>
  <c r="C37" i="1"/>
  <c r="D37" i="1" s="1"/>
  <c r="C38" i="1"/>
  <c r="D38" i="1" s="1"/>
  <c r="C39" i="1"/>
  <c r="D39" i="1" s="1"/>
  <c r="C40" i="1"/>
  <c r="D40" i="1" s="1"/>
  <c r="C41" i="1"/>
  <c r="D41" i="1" s="1"/>
  <c r="C42" i="1"/>
  <c r="D42" i="1" s="1"/>
  <c r="C43" i="1"/>
  <c r="D43" i="1" s="1"/>
  <c r="C44" i="1"/>
  <c r="D44" i="1" s="1"/>
  <c r="C45" i="1"/>
  <c r="D45" i="1" s="1"/>
  <c r="C46" i="1"/>
  <c r="D46" i="1" s="1"/>
  <c r="C47" i="1"/>
  <c r="D47" i="1" s="1"/>
  <c r="C48" i="1"/>
  <c r="D48" i="1" s="1"/>
  <c r="C49" i="1"/>
  <c r="D49" i="1" s="1"/>
  <c r="C50" i="1"/>
  <c r="D50" i="1" s="1"/>
  <c r="C51" i="1"/>
  <c r="D51" i="1" s="1"/>
  <c r="C52" i="1"/>
  <c r="D52" i="1" s="1"/>
  <c r="C53" i="1"/>
  <c r="D53" i="1" s="1"/>
  <c r="C54" i="1"/>
  <c r="D54" i="1" s="1"/>
  <c r="C55" i="1"/>
  <c r="D55" i="1" s="1"/>
  <c r="C56" i="1"/>
  <c r="D56" i="1" s="1"/>
  <c r="C57" i="1"/>
  <c r="D57" i="1" s="1"/>
  <c r="C58" i="1"/>
  <c r="D58" i="1" s="1"/>
  <c r="C59" i="1"/>
  <c r="D59" i="1" s="1"/>
  <c r="C60" i="1"/>
  <c r="D60" i="1" s="1"/>
  <c r="C61" i="1"/>
  <c r="D61" i="1" s="1"/>
  <c r="C62" i="1"/>
  <c r="D62" i="1" s="1"/>
  <c r="C63" i="1"/>
  <c r="D63" i="1" s="1"/>
  <c r="C64" i="1"/>
  <c r="D64" i="1" s="1"/>
  <c r="C65" i="1"/>
  <c r="D65" i="1" s="1"/>
  <c r="C66" i="1"/>
  <c r="D66" i="1" s="1"/>
  <c r="C67" i="1"/>
  <c r="D67" i="1" s="1"/>
  <c r="C68" i="1"/>
  <c r="D68" i="1" s="1"/>
  <c r="C69" i="1"/>
  <c r="D69" i="1" s="1"/>
  <c r="C70" i="1"/>
  <c r="D70" i="1" s="1"/>
  <c r="C71" i="1"/>
  <c r="D71" i="1" s="1"/>
  <c r="C72" i="1"/>
  <c r="D72" i="1" s="1"/>
  <c r="C73" i="1"/>
  <c r="D73" i="1" s="1"/>
  <c r="C74" i="1"/>
  <c r="D74" i="1" s="1"/>
  <c r="C75" i="1"/>
  <c r="D75" i="1" s="1"/>
  <c r="C76" i="1"/>
  <c r="D76" i="1" s="1"/>
  <c r="C77" i="1"/>
  <c r="D77" i="1" s="1"/>
  <c r="C78" i="1"/>
  <c r="D78" i="1" s="1"/>
  <c r="C79" i="1"/>
  <c r="D79" i="1" s="1"/>
  <c r="C80" i="1"/>
  <c r="D80" i="1" s="1"/>
  <c r="C81" i="1"/>
  <c r="D81" i="1" s="1"/>
  <c r="C82" i="1"/>
  <c r="D82" i="1" s="1"/>
  <c r="C83" i="1"/>
  <c r="D83" i="1" s="1"/>
  <c r="C84" i="1"/>
  <c r="D84" i="1" s="1"/>
  <c r="C85" i="1"/>
  <c r="D85" i="1" s="1"/>
  <c r="C86" i="1"/>
  <c r="D86" i="1" s="1"/>
  <c r="C87" i="1"/>
  <c r="D87" i="1" s="1"/>
  <c r="C88" i="1"/>
  <c r="D88" i="1" s="1"/>
  <c r="C89" i="1"/>
  <c r="D89" i="1" s="1"/>
  <c r="C90" i="1"/>
  <c r="D90" i="1" s="1"/>
  <c r="C91" i="1"/>
  <c r="D91" i="1" s="1"/>
  <c r="C92" i="1"/>
  <c r="D92" i="1" s="1"/>
  <c r="C93" i="1"/>
  <c r="D93" i="1" s="1"/>
  <c r="C94" i="1"/>
  <c r="D94" i="1" s="1"/>
  <c r="C95" i="1"/>
  <c r="D95" i="1" s="1"/>
  <c r="C96" i="1"/>
  <c r="D96" i="1" s="1"/>
  <c r="C97" i="1"/>
  <c r="D97" i="1" s="1"/>
  <c r="C98" i="1"/>
  <c r="D98" i="1" s="1"/>
  <c r="C99" i="1"/>
  <c r="D99" i="1" s="1"/>
  <c r="C100" i="1"/>
  <c r="D100" i="1" s="1"/>
  <c r="C101" i="1"/>
  <c r="D101" i="1" s="1"/>
  <c r="C102" i="1"/>
  <c r="D102" i="1" s="1"/>
  <c r="C103" i="1"/>
  <c r="D103" i="1" s="1"/>
  <c r="C104" i="1"/>
  <c r="D104" i="1" s="1"/>
  <c r="C105" i="1"/>
  <c r="D105" i="1" s="1"/>
  <c r="C106" i="1"/>
  <c r="D106" i="1" s="1"/>
  <c r="C107" i="1"/>
  <c r="D107" i="1" s="1"/>
  <c r="C108" i="1"/>
  <c r="D108" i="1" s="1"/>
  <c r="C109" i="1"/>
  <c r="D109" i="1" s="1"/>
  <c r="C110" i="1"/>
  <c r="D110" i="1" s="1"/>
  <c r="C111" i="1"/>
  <c r="D111" i="1" s="1"/>
  <c r="C112" i="1"/>
  <c r="D112" i="1" s="1"/>
  <c r="C113" i="1"/>
  <c r="D113" i="1" s="1"/>
  <c r="C114" i="1"/>
  <c r="D114" i="1" s="1"/>
  <c r="C115" i="1"/>
  <c r="D115" i="1" s="1"/>
  <c r="C116" i="1"/>
  <c r="D116" i="1" s="1"/>
  <c r="C117" i="1"/>
  <c r="D117" i="1" s="1"/>
  <c r="C118" i="1"/>
  <c r="D118" i="1" s="1"/>
  <c r="C119" i="1"/>
  <c r="D119" i="1" s="1"/>
  <c r="C120" i="1"/>
  <c r="D120" i="1" s="1"/>
  <c r="C121" i="1"/>
  <c r="D121" i="1" s="1"/>
  <c r="C122" i="1"/>
  <c r="D122" i="1" s="1"/>
  <c r="C123" i="1"/>
  <c r="D123" i="1" s="1"/>
  <c r="C124" i="1"/>
  <c r="D124" i="1" s="1"/>
  <c r="C125" i="1"/>
  <c r="D125" i="1" s="1"/>
  <c r="C126" i="1"/>
  <c r="D126" i="1" s="1"/>
  <c r="C127" i="1"/>
  <c r="D127" i="1" s="1"/>
  <c r="C128" i="1"/>
  <c r="D128" i="1" s="1"/>
  <c r="C129" i="1"/>
  <c r="D129" i="1" s="1"/>
  <c r="C130" i="1"/>
  <c r="D130" i="1" s="1"/>
  <c r="C131" i="1"/>
  <c r="D131" i="1" s="1"/>
  <c r="C132" i="1"/>
  <c r="D132" i="1" s="1"/>
  <c r="C133" i="1"/>
  <c r="D133" i="1" s="1"/>
  <c r="C134" i="1"/>
  <c r="D134" i="1" s="1"/>
  <c r="C135" i="1"/>
  <c r="D135" i="1" s="1"/>
  <c r="C136" i="1"/>
  <c r="D136" i="1" s="1"/>
  <c r="C137" i="1"/>
  <c r="D137" i="1" s="1"/>
  <c r="C138" i="1"/>
  <c r="D138" i="1" s="1"/>
  <c r="C139" i="1"/>
  <c r="D139" i="1" s="1"/>
  <c r="C140" i="1"/>
  <c r="D140" i="1" s="1"/>
  <c r="C141" i="1"/>
  <c r="D141" i="1" s="1"/>
  <c r="C142" i="1"/>
  <c r="D142" i="1" s="1"/>
  <c r="C143" i="1"/>
  <c r="D143" i="1" s="1"/>
  <c r="C144" i="1"/>
  <c r="D144" i="1" s="1"/>
  <c r="C145" i="1"/>
  <c r="D145" i="1" s="1"/>
  <c r="C146" i="1"/>
  <c r="D146" i="1" s="1"/>
  <c r="C147" i="1"/>
  <c r="D147" i="1" s="1"/>
  <c r="C148" i="1"/>
  <c r="D148" i="1" s="1"/>
  <c r="C149" i="1"/>
  <c r="D149" i="1" s="1"/>
  <c r="C150" i="1"/>
  <c r="D150" i="1" s="1"/>
  <c r="C151" i="1"/>
  <c r="D151" i="1" s="1"/>
  <c r="C152" i="1"/>
  <c r="D152" i="1" s="1"/>
  <c r="C153" i="1"/>
  <c r="D153" i="1" s="1"/>
  <c r="C154" i="1"/>
  <c r="D154" i="1" s="1"/>
  <c r="C155" i="1"/>
  <c r="D155" i="1" s="1"/>
  <c r="C156" i="1"/>
  <c r="D156" i="1" s="1"/>
  <c r="C157" i="1"/>
  <c r="D157" i="1" s="1"/>
  <c r="C158" i="1"/>
  <c r="D158" i="1" s="1"/>
  <c r="C159" i="1"/>
  <c r="D159" i="1" s="1"/>
  <c r="C160" i="1"/>
  <c r="D160" i="1" s="1"/>
  <c r="C161" i="1"/>
  <c r="D161" i="1" s="1"/>
  <c r="C162" i="1"/>
  <c r="D162" i="1" s="1"/>
  <c r="C163" i="1"/>
  <c r="D163" i="1" s="1"/>
  <c r="C164" i="1"/>
  <c r="D164" i="1" s="1"/>
  <c r="C165" i="1"/>
  <c r="D165" i="1" s="1"/>
  <c r="C166" i="1"/>
  <c r="D166" i="1" s="1"/>
  <c r="C167" i="1"/>
  <c r="D167" i="1" s="1"/>
  <c r="C168" i="1"/>
  <c r="D168" i="1" s="1"/>
  <c r="C169" i="1"/>
  <c r="D169" i="1" s="1"/>
  <c r="C170" i="1"/>
  <c r="D170" i="1" s="1"/>
  <c r="C171" i="1"/>
  <c r="D171" i="1" s="1"/>
  <c r="C172" i="1"/>
  <c r="D172" i="1" s="1"/>
  <c r="C173" i="1"/>
  <c r="D173" i="1" s="1"/>
  <c r="C174" i="1"/>
  <c r="D174" i="1" s="1"/>
  <c r="C175" i="1"/>
  <c r="D175" i="1" s="1"/>
  <c r="C176" i="1"/>
  <c r="D176" i="1" s="1"/>
  <c r="C177" i="1"/>
  <c r="D177" i="1" s="1"/>
  <c r="C178" i="1"/>
  <c r="D178" i="1" s="1"/>
  <c r="C179" i="1"/>
  <c r="D179" i="1" s="1"/>
  <c r="C180" i="1"/>
  <c r="D180" i="1" s="1"/>
  <c r="C181" i="1"/>
  <c r="D181" i="1" s="1"/>
  <c r="C182" i="1"/>
  <c r="D182" i="1" s="1"/>
  <c r="C183" i="1"/>
  <c r="D183" i="1" s="1"/>
  <c r="C184" i="1"/>
  <c r="D184" i="1" s="1"/>
  <c r="C185" i="1"/>
  <c r="D185" i="1" s="1"/>
  <c r="C186" i="1"/>
  <c r="D186" i="1" s="1"/>
  <c r="C187" i="1"/>
  <c r="D187" i="1" s="1"/>
  <c r="C188" i="1"/>
  <c r="D188" i="1" s="1"/>
  <c r="C189" i="1"/>
  <c r="D189" i="1" s="1"/>
  <c r="C190" i="1"/>
  <c r="D190" i="1" s="1"/>
  <c r="C191" i="1"/>
  <c r="D191" i="1" s="1"/>
  <c r="C192" i="1"/>
  <c r="D192" i="1" s="1"/>
  <c r="C193" i="1"/>
  <c r="D193" i="1" s="1"/>
  <c r="C194" i="1"/>
  <c r="D194" i="1" s="1"/>
  <c r="C195" i="1"/>
  <c r="D195" i="1" s="1"/>
  <c r="C196" i="1"/>
  <c r="D196" i="1" s="1"/>
  <c r="C197" i="1"/>
  <c r="D197" i="1" s="1"/>
  <c r="C198" i="1"/>
  <c r="D198" i="1" s="1"/>
  <c r="C199" i="1"/>
  <c r="D199" i="1" s="1"/>
  <c r="C200" i="1"/>
  <c r="D200" i="1" s="1"/>
  <c r="C201" i="1"/>
  <c r="D201" i="1" s="1"/>
  <c r="C202" i="1"/>
  <c r="D202" i="1" s="1"/>
  <c r="C203" i="1"/>
  <c r="D203" i="1" s="1"/>
  <c r="C204" i="1"/>
  <c r="D204" i="1" s="1"/>
  <c r="C205" i="1"/>
  <c r="D205" i="1" s="1"/>
  <c r="C206" i="1"/>
  <c r="D206" i="1" s="1"/>
  <c r="C207" i="1"/>
  <c r="D207" i="1" s="1"/>
  <c r="C208" i="1"/>
  <c r="D208" i="1" s="1"/>
  <c r="C209" i="1"/>
  <c r="D209" i="1" s="1"/>
  <c r="C210" i="1"/>
  <c r="D210" i="1" s="1"/>
  <c r="C211" i="1"/>
  <c r="D211" i="1" s="1"/>
  <c r="C212" i="1"/>
  <c r="D212" i="1" s="1"/>
  <c r="C213" i="1"/>
  <c r="D213" i="1" s="1"/>
  <c r="C214" i="1"/>
  <c r="D214" i="1" s="1"/>
  <c r="C215" i="1"/>
  <c r="D215" i="1" s="1"/>
  <c r="C216" i="1"/>
  <c r="D216" i="1" s="1"/>
  <c r="C217" i="1"/>
  <c r="D217" i="1" s="1"/>
  <c r="C218" i="1"/>
  <c r="D218" i="1" s="1"/>
  <c r="C219" i="1"/>
  <c r="D219" i="1" s="1"/>
  <c r="C220" i="1"/>
  <c r="D220" i="1" s="1"/>
  <c r="C221" i="1"/>
  <c r="D221" i="1" s="1"/>
  <c r="C222" i="1"/>
  <c r="D222" i="1" s="1"/>
  <c r="C223" i="1"/>
  <c r="D223" i="1" s="1"/>
  <c r="C224" i="1"/>
  <c r="D224" i="1" s="1"/>
  <c r="C225" i="1"/>
  <c r="D225" i="1" s="1"/>
  <c r="C226" i="1"/>
  <c r="D226" i="1" s="1"/>
  <c r="C227" i="1"/>
  <c r="D227" i="1" s="1"/>
  <c r="C228" i="1"/>
  <c r="D228" i="1" s="1"/>
  <c r="C229" i="1"/>
  <c r="D229" i="1" s="1"/>
  <c r="C230" i="1"/>
  <c r="D230" i="1" s="1"/>
  <c r="C231" i="1"/>
  <c r="D231" i="1" s="1"/>
  <c r="C232" i="1"/>
  <c r="D232" i="1" s="1"/>
  <c r="C233" i="1"/>
  <c r="D233" i="1" s="1"/>
  <c r="C234" i="1"/>
  <c r="D234" i="1" s="1"/>
  <c r="C235" i="1"/>
  <c r="D235" i="1" s="1"/>
  <c r="C236" i="1"/>
  <c r="D236" i="1" s="1"/>
  <c r="C237" i="1"/>
  <c r="D237" i="1" s="1"/>
  <c r="C238" i="1"/>
  <c r="D238" i="1" s="1"/>
  <c r="C239" i="1"/>
  <c r="D239" i="1" s="1"/>
  <c r="C240" i="1"/>
  <c r="D240" i="1" s="1"/>
  <c r="C241" i="1"/>
  <c r="D241" i="1" s="1"/>
  <c r="C242" i="1"/>
  <c r="D242" i="1" s="1"/>
  <c r="C243" i="1"/>
  <c r="D243" i="1" s="1"/>
  <c r="C244" i="1"/>
  <c r="D244" i="1" s="1"/>
  <c r="C245" i="1"/>
  <c r="D245" i="1" s="1"/>
  <c r="C246" i="1"/>
  <c r="D246" i="1" s="1"/>
  <c r="C247" i="1"/>
  <c r="D247" i="1" s="1"/>
  <c r="C248" i="1"/>
  <c r="D248" i="1" s="1"/>
  <c r="C249" i="1"/>
  <c r="D249" i="1" s="1"/>
  <c r="C250" i="1"/>
  <c r="D250" i="1" s="1"/>
  <c r="C251" i="1"/>
  <c r="D251" i="1" s="1"/>
  <c r="C252" i="1"/>
  <c r="D252" i="1" s="1"/>
  <c r="C253" i="1"/>
  <c r="D253" i="1" s="1"/>
  <c r="C254" i="1"/>
  <c r="D254" i="1" s="1"/>
  <c r="C255" i="1"/>
  <c r="D255" i="1" s="1"/>
  <c r="C256" i="1"/>
  <c r="D256" i="1" s="1"/>
  <c r="C257" i="1"/>
  <c r="D257" i="1" s="1"/>
  <c r="C258" i="1"/>
  <c r="D258" i="1" s="1"/>
  <c r="C259" i="1"/>
  <c r="D259" i="1" s="1"/>
  <c r="C260" i="1"/>
  <c r="D260" i="1" s="1"/>
  <c r="C261" i="1"/>
  <c r="D261" i="1" s="1"/>
  <c r="C262" i="1"/>
  <c r="D262" i="1" s="1"/>
  <c r="C263" i="1"/>
  <c r="D263" i="1" s="1"/>
  <c r="C264" i="1"/>
  <c r="D264" i="1" s="1"/>
  <c r="C265" i="1"/>
  <c r="D265" i="1" s="1"/>
  <c r="C266" i="1"/>
  <c r="D266" i="1" s="1"/>
  <c r="C267" i="1"/>
  <c r="D267" i="1" s="1"/>
  <c r="C268" i="1"/>
  <c r="D268" i="1" s="1"/>
  <c r="C269" i="1"/>
  <c r="D269" i="1" s="1"/>
  <c r="C270" i="1"/>
  <c r="D270" i="1" s="1"/>
  <c r="C271" i="1"/>
  <c r="D271" i="1" s="1"/>
  <c r="C272" i="1"/>
  <c r="D272" i="1" s="1"/>
  <c r="C273" i="1"/>
  <c r="D273" i="1" s="1"/>
  <c r="C274" i="1"/>
  <c r="D274" i="1" s="1"/>
  <c r="C275" i="1"/>
  <c r="D275" i="1" s="1"/>
  <c r="C276" i="1"/>
  <c r="D276" i="1" s="1"/>
  <c r="C277" i="1"/>
  <c r="D277" i="1" s="1"/>
  <c r="C278" i="1"/>
  <c r="D278" i="1" s="1"/>
  <c r="C279" i="1"/>
  <c r="D279" i="1" s="1"/>
  <c r="C280" i="1"/>
  <c r="D280" i="1" s="1"/>
  <c r="C281" i="1"/>
  <c r="D281" i="1" s="1"/>
  <c r="C282" i="1"/>
  <c r="D282" i="1" s="1"/>
  <c r="C283" i="1"/>
  <c r="D283" i="1" s="1"/>
  <c r="C284" i="1"/>
  <c r="D284" i="1" s="1"/>
  <c r="C285" i="1"/>
  <c r="D285" i="1" s="1"/>
  <c r="C286" i="1"/>
  <c r="D286" i="1" s="1"/>
  <c r="C287" i="1"/>
  <c r="D287" i="1" s="1"/>
  <c r="C288" i="1"/>
  <c r="D288" i="1" s="1"/>
  <c r="C289" i="1"/>
  <c r="D289" i="1" s="1"/>
  <c r="C290" i="1"/>
  <c r="D290" i="1" s="1"/>
  <c r="C291" i="1"/>
  <c r="D291" i="1" s="1"/>
  <c r="C292" i="1"/>
  <c r="D292" i="1" s="1"/>
  <c r="C293" i="1"/>
  <c r="D293" i="1" s="1"/>
  <c r="C294" i="1"/>
  <c r="D294" i="1" s="1"/>
  <c r="C295" i="1"/>
  <c r="D295" i="1" s="1"/>
  <c r="C296" i="1"/>
  <c r="D296" i="1" s="1"/>
  <c r="C297" i="1"/>
  <c r="D297" i="1" s="1"/>
  <c r="C298" i="1"/>
  <c r="D298" i="1" s="1"/>
  <c r="C299" i="1"/>
  <c r="D299" i="1" s="1"/>
  <c r="C300" i="1"/>
  <c r="D300" i="1" s="1"/>
  <c r="C301" i="1"/>
  <c r="D301" i="1" s="1"/>
  <c r="C302" i="1"/>
  <c r="D302" i="1" s="1"/>
  <c r="C303" i="1"/>
  <c r="D303" i="1" s="1"/>
  <c r="C304" i="1"/>
  <c r="D304" i="1" s="1"/>
  <c r="C305" i="1"/>
  <c r="D305" i="1" s="1"/>
  <c r="C306" i="1"/>
  <c r="D306" i="1" s="1"/>
  <c r="C307" i="1"/>
  <c r="D307" i="1" s="1"/>
  <c r="C308" i="1"/>
  <c r="D308" i="1" s="1"/>
  <c r="C309" i="1"/>
  <c r="D309" i="1" s="1"/>
  <c r="C310" i="1"/>
  <c r="D310" i="1" s="1"/>
  <c r="C311" i="1"/>
  <c r="D311" i="1" s="1"/>
  <c r="C312" i="1"/>
  <c r="D312" i="1" s="1"/>
  <c r="C313" i="1"/>
  <c r="D313" i="1" s="1"/>
  <c r="C314" i="1"/>
  <c r="D314" i="1" s="1"/>
  <c r="C315" i="1"/>
  <c r="D315" i="1" s="1"/>
  <c r="C316" i="1"/>
  <c r="D316" i="1" s="1"/>
  <c r="C317" i="1"/>
  <c r="D317" i="1" s="1"/>
  <c r="C318" i="1"/>
  <c r="D318" i="1" s="1"/>
  <c r="C319" i="1"/>
  <c r="D319" i="1" s="1"/>
  <c r="C320" i="1"/>
  <c r="D320" i="1" s="1"/>
  <c r="C321" i="1"/>
  <c r="D321" i="1" s="1"/>
  <c r="C322" i="1"/>
  <c r="D322" i="1" s="1"/>
  <c r="C323" i="1"/>
  <c r="D323" i="1" s="1"/>
  <c r="C324" i="1"/>
  <c r="D324" i="1" s="1"/>
  <c r="C325" i="1"/>
  <c r="D325" i="1" s="1"/>
  <c r="C326" i="1"/>
  <c r="D326" i="1" s="1"/>
  <c r="C327" i="1"/>
  <c r="D327" i="1" s="1"/>
  <c r="C328" i="1"/>
  <c r="D328" i="1" s="1"/>
  <c r="C329" i="1"/>
  <c r="D329" i="1" s="1"/>
  <c r="C330" i="1"/>
  <c r="D330" i="1" s="1"/>
  <c r="C331" i="1"/>
  <c r="D331" i="1" s="1"/>
  <c r="C332" i="1"/>
  <c r="D332" i="1" s="1"/>
  <c r="C333" i="1"/>
  <c r="D333" i="1" s="1"/>
  <c r="C334" i="1"/>
  <c r="D334" i="1" s="1"/>
  <c r="C335" i="1"/>
  <c r="D335" i="1" s="1"/>
  <c r="C336" i="1"/>
  <c r="D336" i="1" s="1"/>
  <c r="C337" i="1"/>
  <c r="D337" i="1" s="1"/>
  <c r="C338" i="1"/>
  <c r="D338" i="1" s="1"/>
  <c r="C339" i="1"/>
  <c r="D339" i="1" s="1"/>
  <c r="C340" i="1"/>
  <c r="D340" i="1" s="1"/>
  <c r="C341" i="1"/>
  <c r="D341" i="1" s="1"/>
  <c r="C342" i="1"/>
  <c r="D342" i="1" s="1"/>
  <c r="C343" i="1"/>
  <c r="D343" i="1" s="1"/>
  <c r="C344" i="1"/>
  <c r="D344" i="1" s="1"/>
  <c r="C345" i="1"/>
  <c r="D345" i="1" s="1"/>
  <c r="C346" i="1"/>
  <c r="D346" i="1" s="1"/>
  <c r="C347" i="1"/>
  <c r="D347" i="1" s="1"/>
  <c r="C348" i="1"/>
  <c r="D348" i="1" s="1"/>
  <c r="C349" i="1"/>
  <c r="D349" i="1" s="1"/>
  <c r="C350" i="1"/>
  <c r="D350" i="1" s="1"/>
  <c r="C351" i="1"/>
  <c r="D351" i="1" s="1"/>
  <c r="C352" i="1"/>
  <c r="D352" i="1" s="1"/>
  <c r="C353" i="1"/>
  <c r="D353" i="1" s="1"/>
  <c r="C354" i="1"/>
  <c r="D354" i="1" s="1"/>
  <c r="C355" i="1"/>
  <c r="D355" i="1" s="1"/>
  <c r="C356" i="1"/>
  <c r="D356" i="1" s="1"/>
  <c r="C357" i="1"/>
  <c r="D357" i="1" s="1"/>
  <c r="C358" i="1"/>
  <c r="D358" i="1" s="1"/>
  <c r="C359" i="1"/>
  <c r="D359" i="1" s="1"/>
  <c r="C360" i="1"/>
  <c r="D360" i="1" s="1"/>
  <c r="C361" i="1"/>
  <c r="D361" i="1" s="1"/>
  <c r="C362" i="1"/>
  <c r="D362" i="1" s="1"/>
  <c r="C363" i="1"/>
  <c r="D363" i="1" s="1"/>
  <c r="C364" i="1"/>
  <c r="D364" i="1" s="1"/>
  <c r="C365" i="1"/>
  <c r="D365" i="1" s="1"/>
  <c r="C366" i="1"/>
  <c r="D366" i="1" s="1"/>
  <c r="C367" i="1"/>
  <c r="D367" i="1" s="1"/>
  <c r="C368" i="1"/>
  <c r="D368" i="1" s="1"/>
  <c r="C369" i="1"/>
  <c r="D369" i="1" s="1"/>
  <c r="C370" i="1"/>
  <c r="D370" i="1" s="1"/>
  <c r="C371" i="1"/>
  <c r="D371" i="1" s="1"/>
  <c r="C372" i="1"/>
  <c r="D372" i="1" s="1"/>
  <c r="C373" i="1"/>
  <c r="D373" i="1" s="1"/>
  <c r="C374" i="1"/>
  <c r="D374" i="1" s="1"/>
  <c r="C375" i="1"/>
  <c r="D375" i="1" s="1"/>
  <c r="C376" i="1"/>
  <c r="D376" i="1" s="1"/>
  <c r="C377" i="1"/>
  <c r="D377" i="1" s="1"/>
  <c r="C378" i="1"/>
  <c r="D378" i="1" s="1"/>
  <c r="C379" i="1"/>
  <c r="D379" i="1" s="1"/>
  <c r="C380" i="1"/>
  <c r="D380" i="1" s="1"/>
  <c r="C381" i="1"/>
  <c r="D381" i="1" s="1"/>
  <c r="C382" i="1"/>
  <c r="D382" i="1" s="1"/>
  <c r="C383" i="1"/>
  <c r="D383" i="1" s="1"/>
  <c r="C384" i="1"/>
  <c r="D384" i="1" s="1"/>
  <c r="C385" i="1"/>
  <c r="D385" i="1" s="1"/>
  <c r="C386" i="1"/>
  <c r="D386" i="1" s="1"/>
  <c r="C387" i="1"/>
  <c r="D387" i="1" s="1"/>
  <c r="C388" i="1"/>
  <c r="D388" i="1" s="1"/>
  <c r="C389" i="1"/>
  <c r="D389" i="1" s="1"/>
  <c r="C390" i="1"/>
  <c r="D390" i="1" s="1"/>
  <c r="C391" i="1"/>
  <c r="D391" i="1" s="1"/>
  <c r="C392" i="1"/>
  <c r="D392" i="1" s="1"/>
  <c r="C393" i="1"/>
  <c r="D393" i="1" s="1"/>
  <c r="C394" i="1"/>
  <c r="D394" i="1" s="1"/>
  <c r="C395" i="1"/>
  <c r="D395" i="1" s="1"/>
  <c r="C396" i="1"/>
  <c r="D396" i="1" s="1"/>
  <c r="C397" i="1"/>
  <c r="D397" i="1" s="1"/>
  <c r="C398" i="1"/>
  <c r="D398" i="1" s="1"/>
  <c r="C399" i="1"/>
  <c r="D399" i="1" s="1"/>
  <c r="C400" i="1"/>
  <c r="D400" i="1" s="1"/>
  <c r="C401" i="1"/>
  <c r="D401" i="1" s="1"/>
  <c r="C402" i="1"/>
  <c r="D402" i="1" s="1"/>
  <c r="C403" i="1"/>
  <c r="D403" i="1" s="1"/>
  <c r="C404" i="1"/>
  <c r="D404" i="1" s="1"/>
  <c r="C405" i="1"/>
  <c r="D405" i="1" s="1"/>
  <c r="C406" i="1"/>
  <c r="D406" i="1" s="1"/>
  <c r="C407" i="1"/>
  <c r="D407" i="1" s="1"/>
  <c r="C408" i="1"/>
  <c r="D408" i="1" s="1"/>
  <c r="C409" i="1"/>
  <c r="D409" i="1" s="1"/>
  <c r="C410" i="1"/>
  <c r="D410" i="1" s="1"/>
  <c r="C411" i="1"/>
  <c r="D411" i="1" s="1"/>
  <c r="C412" i="1"/>
  <c r="D412" i="1" s="1"/>
  <c r="C413" i="1"/>
  <c r="D413" i="1" s="1"/>
  <c r="C414" i="1"/>
  <c r="D414" i="1" s="1"/>
  <c r="C415" i="1"/>
  <c r="D415" i="1" s="1"/>
  <c r="C416" i="1"/>
  <c r="D416" i="1" s="1"/>
  <c r="C417" i="1"/>
  <c r="D417" i="1" s="1"/>
  <c r="C418" i="1"/>
  <c r="D418" i="1" s="1"/>
  <c r="C419" i="1"/>
  <c r="D419" i="1" s="1"/>
  <c r="C420" i="1"/>
  <c r="D420" i="1" s="1"/>
  <c r="C421" i="1"/>
  <c r="D421" i="1" s="1"/>
  <c r="C422" i="1"/>
  <c r="D422" i="1" s="1"/>
  <c r="C423" i="1"/>
  <c r="D423" i="1" s="1"/>
  <c r="C424" i="1"/>
  <c r="D424" i="1" s="1"/>
  <c r="C425" i="1"/>
  <c r="D425" i="1" s="1"/>
  <c r="C426" i="1"/>
  <c r="D426" i="1" s="1"/>
  <c r="C427" i="1"/>
  <c r="D427" i="1" s="1"/>
  <c r="C428" i="1"/>
  <c r="D428" i="1" s="1"/>
  <c r="C429" i="1"/>
  <c r="D429" i="1" s="1"/>
  <c r="C430" i="1"/>
  <c r="D430" i="1" s="1"/>
  <c r="C431" i="1"/>
  <c r="D431" i="1" s="1"/>
  <c r="C432" i="1"/>
  <c r="D432" i="1" s="1"/>
  <c r="C433" i="1"/>
  <c r="D433" i="1" s="1"/>
  <c r="C434" i="1"/>
  <c r="D434" i="1" s="1"/>
  <c r="C435" i="1"/>
  <c r="D435" i="1" s="1"/>
  <c r="C436" i="1"/>
  <c r="D436" i="1" s="1"/>
  <c r="C437" i="1"/>
  <c r="D437" i="1" s="1"/>
  <c r="C438" i="1"/>
  <c r="D438" i="1" s="1"/>
  <c r="C439" i="1"/>
  <c r="D439" i="1" s="1"/>
  <c r="C440" i="1"/>
  <c r="D440" i="1" s="1"/>
  <c r="C441" i="1"/>
  <c r="D441" i="1" s="1"/>
  <c r="C442" i="1"/>
  <c r="D442" i="1" s="1"/>
  <c r="C443" i="1"/>
  <c r="D443" i="1" s="1"/>
  <c r="C444" i="1"/>
  <c r="D444" i="1" s="1"/>
  <c r="C445" i="1"/>
  <c r="D445" i="1" s="1"/>
  <c r="C446" i="1"/>
  <c r="D446" i="1" s="1"/>
  <c r="C447" i="1"/>
  <c r="D447" i="1" s="1"/>
  <c r="C448" i="1"/>
  <c r="D448" i="1" s="1"/>
  <c r="C449" i="1"/>
  <c r="D449" i="1" s="1"/>
  <c r="C450" i="1"/>
  <c r="D450" i="1" s="1"/>
  <c r="C451" i="1"/>
  <c r="D451" i="1" s="1"/>
  <c r="C452" i="1"/>
  <c r="D452" i="1" s="1"/>
  <c r="C453" i="1"/>
  <c r="D453" i="1" s="1"/>
  <c r="C454" i="1"/>
  <c r="D454" i="1" s="1"/>
  <c r="C455" i="1"/>
  <c r="D455" i="1" s="1"/>
  <c r="C456" i="1"/>
  <c r="D456" i="1" s="1"/>
  <c r="C457" i="1"/>
  <c r="D457" i="1" s="1"/>
  <c r="C458" i="1"/>
  <c r="D458" i="1" s="1"/>
  <c r="C459" i="1"/>
  <c r="D459" i="1" s="1"/>
  <c r="C460" i="1"/>
  <c r="D460" i="1" s="1"/>
  <c r="C461" i="1"/>
  <c r="D461" i="1" s="1"/>
  <c r="C462" i="1"/>
  <c r="D462" i="1" s="1"/>
  <c r="C463" i="1"/>
  <c r="D463" i="1" s="1"/>
  <c r="C464" i="1"/>
  <c r="D464" i="1" s="1"/>
  <c r="C465" i="1"/>
  <c r="D465" i="1" s="1"/>
  <c r="C466" i="1"/>
  <c r="D466" i="1" s="1"/>
  <c r="C467" i="1"/>
  <c r="D467" i="1" s="1"/>
  <c r="C468" i="1"/>
  <c r="D468" i="1" s="1"/>
  <c r="C469" i="1"/>
  <c r="D469" i="1" s="1"/>
  <c r="C470" i="1"/>
  <c r="D470" i="1" s="1"/>
  <c r="C471" i="1"/>
  <c r="D471" i="1" s="1"/>
  <c r="C472" i="1"/>
  <c r="D472" i="1" s="1"/>
  <c r="C473" i="1"/>
  <c r="D473" i="1" s="1"/>
  <c r="C474" i="1"/>
  <c r="D474" i="1" s="1"/>
  <c r="C475" i="1"/>
  <c r="D475" i="1" s="1"/>
  <c r="C476" i="1"/>
  <c r="D476" i="1" s="1"/>
  <c r="C477" i="1"/>
  <c r="D477" i="1" s="1"/>
  <c r="C478" i="1"/>
  <c r="D478" i="1" s="1"/>
  <c r="C479" i="1"/>
  <c r="D479" i="1" s="1"/>
  <c r="C480" i="1"/>
  <c r="D480" i="1" s="1"/>
  <c r="C481" i="1"/>
  <c r="D481" i="1" s="1"/>
  <c r="C482" i="1"/>
  <c r="D482" i="1" s="1"/>
  <c r="C483" i="1"/>
  <c r="D483" i="1" s="1"/>
  <c r="C484" i="1"/>
  <c r="D484" i="1" s="1"/>
  <c r="C485" i="1"/>
  <c r="D485" i="1" s="1"/>
  <c r="C486" i="1"/>
  <c r="D486" i="1" s="1"/>
  <c r="C487" i="1"/>
  <c r="D487" i="1" s="1"/>
  <c r="C488" i="1"/>
  <c r="D488" i="1" s="1"/>
  <c r="C489" i="1"/>
  <c r="D489" i="1" s="1"/>
  <c r="C490" i="1"/>
  <c r="D490" i="1" s="1"/>
  <c r="C491" i="1"/>
  <c r="D491" i="1" s="1"/>
  <c r="C492" i="1"/>
  <c r="D492" i="1" s="1"/>
  <c r="C493" i="1"/>
  <c r="D493" i="1" s="1"/>
  <c r="C494" i="1"/>
  <c r="D494" i="1" s="1"/>
  <c r="C495" i="1"/>
  <c r="D495" i="1" s="1"/>
  <c r="C496" i="1"/>
  <c r="D496" i="1" s="1"/>
  <c r="C497" i="1"/>
  <c r="D497" i="1" s="1"/>
  <c r="C498" i="1"/>
  <c r="D498" i="1" s="1"/>
  <c r="C499" i="1"/>
  <c r="D499" i="1" s="1"/>
  <c r="C500" i="1"/>
  <c r="D500" i="1" s="1"/>
  <c r="C501" i="1"/>
  <c r="D501" i="1" s="1"/>
  <c r="C502" i="1"/>
  <c r="D502" i="1" s="1"/>
  <c r="C503" i="1"/>
  <c r="D503" i="1" s="1"/>
  <c r="C504" i="1"/>
  <c r="D504" i="1" s="1"/>
  <c r="C505" i="1"/>
  <c r="D505" i="1" s="1"/>
  <c r="C506" i="1"/>
  <c r="D506" i="1" s="1"/>
  <c r="C507" i="1"/>
  <c r="D507" i="1" s="1"/>
  <c r="C508" i="1"/>
  <c r="D508" i="1" s="1"/>
  <c r="C509" i="1"/>
  <c r="D509" i="1" s="1"/>
  <c r="C510" i="1"/>
  <c r="D510" i="1" s="1"/>
  <c r="C511" i="1"/>
  <c r="D511" i="1" s="1"/>
  <c r="C512" i="1"/>
  <c r="D512" i="1" s="1"/>
  <c r="C513" i="1"/>
  <c r="D513" i="1" s="1"/>
  <c r="C514" i="1"/>
  <c r="D514" i="1" s="1"/>
  <c r="C515" i="1"/>
  <c r="D515" i="1" s="1"/>
  <c r="C516" i="1"/>
  <c r="D516" i="1" s="1"/>
  <c r="C517" i="1"/>
  <c r="D517" i="1" s="1"/>
  <c r="C518" i="1"/>
  <c r="D518" i="1" s="1"/>
  <c r="C519" i="1"/>
  <c r="D519" i="1" s="1"/>
  <c r="C520" i="1"/>
  <c r="D520" i="1" s="1"/>
  <c r="C521" i="1"/>
  <c r="D521" i="1" s="1"/>
  <c r="C522" i="1"/>
  <c r="D522" i="1" s="1"/>
  <c r="C523" i="1"/>
  <c r="D523" i="1" s="1"/>
  <c r="C524" i="1"/>
  <c r="D524" i="1" s="1"/>
  <c r="C525" i="1"/>
  <c r="D525" i="1" s="1"/>
  <c r="C526" i="1"/>
  <c r="D526" i="1" s="1"/>
  <c r="C527" i="1"/>
  <c r="D527" i="1" s="1"/>
  <c r="C528" i="1"/>
  <c r="D528" i="1" s="1"/>
  <c r="C529" i="1"/>
  <c r="D529" i="1" s="1"/>
  <c r="C530" i="1"/>
  <c r="D530" i="1" s="1"/>
  <c r="C531" i="1"/>
  <c r="D531" i="1" s="1"/>
  <c r="C532" i="1"/>
  <c r="D532" i="1" s="1"/>
  <c r="C533" i="1"/>
  <c r="D533" i="1" s="1"/>
  <c r="C534" i="1"/>
  <c r="D534" i="1" s="1"/>
  <c r="C535" i="1"/>
  <c r="D535" i="1" s="1"/>
  <c r="C536" i="1"/>
  <c r="D536" i="1" s="1"/>
  <c r="C537" i="1"/>
  <c r="D537" i="1" s="1"/>
  <c r="C538" i="1"/>
  <c r="D538" i="1" s="1"/>
  <c r="C539" i="1"/>
  <c r="D539" i="1" s="1"/>
  <c r="C540" i="1"/>
  <c r="D540" i="1" s="1"/>
  <c r="C541" i="1"/>
  <c r="D541" i="1" s="1"/>
  <c r="C542" i="1"/>
  <c r="D542" i="1" s="1"/>
  <c r="C543" i="1"/>
  <c r="D543" i="1" s="1"/>
  <c r="C544" i="1"/>
  <c r="D544" i="1" s="1"/>
  <c r="C545" i="1"/>
  <c r="D545" i="1" s="1"/>
  <c r="C546" i="1"/>
  <c r="D546" i="1" s="1"/>
  <c r="C547" i="1"/>
  <c r="D547" i="1" s="1"/>
  <c r="C548" i="1"/>
  <c r="D548" i="1" s="1"/>
  <c r="C549" i="1"/>
  <c r="D549" i="1" s="1"/>
  <c r="C550" i="1"/>
  <c r="D550" i="1" s="1"/>
  <c r="C551" i="1"/>
  <c r="D551" i="1" s="1"/>
  <c r="C552" i="1"/>
  <c r="D552" i="1" s="1"/>
  <c r="C553" i="1"/>
  <c r="D553" i="1" s="1"/>
  <c r="C554" i="1"/>
  <c r="D554" i="1" s="1"/>
  <c r="C555" i="1"/>
  <c r="D555" i="1" s="1"/>
  <c r="C556" i="1"/>
  <c r="D556" i="1" s="1"/>
  <c r="C557" i="1"/>
  <c r="D557" i="1" s="1"/>
  <c r="C558" i="1"/>
  <c r="D558" i="1" s="1"/>
  <c r="C559" i="1"/>
  <c r="D559" i="1" s="1"/>
  <c r="C560" i="1"/>
  <c r="D560" i="1" s="1"/>
  <c r="C561" i="1"/>
  <c r="D561" i="1" s="1"/>
  <c r="C562" i="1"/>
  <c r="D562" i="1" s="1"/>
  <c r="C563" i="1"/>
  <c r="D563" i="1" s="1"/>
  <c r="C564" i="1"/>
  <c r="D564" i="1" s="1"/>
  <c r="C565" i="1"/>
  <c r="D565" i="1" s="1"/>
  <c r="C566" i="1"/>
  <c r="D566" i="1" s="1"/>
  <c r="C567" i="1"/>
  <c r="D567" i="1" s="1"/>
  <c r="C568" i="1"/>
  <c r="D568" i="1" s="1"/>
  <c r="C569" i="1"/>
  <c r="D569" i="1" s="1"/>
  <c r="C570" i="1"/>
  <c r="D570" i="1" s="1"/>
  <c r="C571" i="1"/>
  <c r="D571" i="1" s="1"/>
  <c r="C572" i="1"/>
  <c r="D572" i="1" s="1"/>
  <c r="C573" i="1"/>
  <c r="D573" i="1" s="1"/>
  <c r="C574" i="1"/>
  <c r="D574" i="1" s="1"/>
  <c r="C575" i="1"/>
  <c r="D575" i="1" s="1"/>
  <c r="C576" i="1"/>
  <c r="D576" i="1" s="1"/>
  <c r="C577" i="1"/>
  <c r="D577" i="1" s="1"/>
  <c r="C578" i="1"/>
  <c r="D578" i="1" s="1"/>
  <c r="C579" i="1"/>
  <c r="D579" i="1" s="1"/>
  <c r="C580" i="1"/>
  <c r="D580" i="1" s="1"/>
  <c r="C581" i="1"/>
  <c r="D581" i="1" s="1"/>
  <c r="C582" i="1"/>
  <c r="D582" i="1" s="1"/>
  <c r="C583" i="1"/>
  <c r="D583" i="1" s="1"/>
  <c r="C584" i="1"/>
  <c r="D584" i="1" s="1"/>
  <c r="C585" i="1"/>
  <c r="D585" i="1" s="1"/>
  <c r="C586" i="1"/>
  <c r="D586" i="1" s="1"/>
  <c r="C587" i="1"/>
  <c r="D587" i="1" s="1"/>
  <c r="C588" i="1"/>
  <c r="D588" i="1" s="1"/>
  <c r="C589" i="1"/>
  <c r="D589" i="1" s="1"/>
  <c r="C590" i="1"/>
  <c r="D590" i="1" s="1"/>
  <c r="C591" i="1"/>
  <c r="D591" i="1" s="1"/>
  <c r="C592" i="1"/>
  <c r="D592" i="1" s="1"/>
  <c r="C593" i="1"/>
  <c r="D593" i="1" s="1"/>
  <c r="C594" i="1"/>
  <c r="D594" i="1" s="1"/>
  <c r="C595" i="1"/>
  <c r="D595" i="1" s="1"/>
  <c r="C596" i="1"/>
  <c r="D596" i="1" s="1"/>
  <c r="C597" i="1"/>
  <c r="D597" i="1" s="1"/>
  <c r="C598" i="1"/>
  <c r="D598" i="1" s="1"/>
  <c r="C599" i="1"/>
  <c r="D599" i="1" s="1"/>
  <c r="C600" i="1"/>
  <c r="D600" i="1" s="1"/>
  <c r="C601" i="1"/>
  <c r="D601" i="1" s="1"/>
  <c r="C602" i="1"/>
  <c r="D602" i="1" s="1"/>
  <c r="C603" i="1"/>
  <c r="D603" i="1" s="1"/>
  <c r="C604" i="1"/>
  <c r="D604" i="1" s="1"/>
  <c r="C605" i="1"/>
  <c r="D605" i="1" s="1"/>
  <c r="C606" i="1"/>
  <c r="D606" i="1" s="1"/>
  <c r="C607" i="1"/>
  <c r="D607" i="1" s="1"/>
  <c r="C608" i="1"/>
  <c r="D608" i="1" s="1"/>
  <c r="C609" i="1"/>
  <c r="D609" i="1" s="1"/>
  <c r="C610" i="1"/>
  <c r="D610" i="1" s="1"/>
  <c r="C611" i="1"/>
  <c r="D611" i="1" s="1"/>
  <c r="C612" i="1"/>
  <c r="D612" i="1" s="1"/>
  <c r="C613" i="1"/>
  <c r="D613" i="1" s="1"/>
  <c r="C614" i="1"/>
  <c r="D614" i="1" s="1"/>
  <c r="C615" i="1"/>
  <c r="D615" i="1" s="1"/>
  <c r="C616" i="1"/>
  <c r="D616" i="1" s="1"/>
  <c r="C617" i="1"/>
  <c r="D617" i="1" s="1"/>
  <c r="C618" i="1"/>
  <c r="D618" i="1" s="1"/>
  <c r="C619" i="1"/>
  <c r="D619" i="1" s="1"/>
  <c r="C620" i="1"/>
  <c r="D620" i="1" s="1"/>
  <c r="C621" i="1"/>
  <c r="D621" i="1" s="1"/>
  <c r="C622" i="1"/>
  <c r="D622" i="1" s="1"/>
  <c r="C623" i="1"/>
  <c r="D623" i="1" s="1"/>
  <c r="C624" i="1"/>
  <c r="D624" i="1" s="1"/>
  <c r="C625" i="1"/>
  <c r="D625" i="1" s="1"/>
  <c r="C626" i="1"/>
  <c r="D626" i="1" s="1"/>
  <c r="C627" i="1"/>
  <c r="D627" i="1" s="1"/>
  <c r="C628" i="1"/>
  <c r="D628" i="1" s="1"/>
  <c r="C629" i="1"/>
  <c r="D629" i="1" s="1"/>
  <c r="C630" i="1"/>
  <c r="D630" i="1" s="1"/>
  <c r="C631" i="1"/>
  <c r="D631" i="1" s="1"/>
  <c r="C632" i="1"/>
  <c r="D632" i="1" s="1"/>
  <c r="C633" i="1"/>
  <c r="D633" i="1" s="1"/>
  <c r="C634" i="1"/>
  <c r="D634" i="1" s="1"/>
  <c r="C635" i="1"/>
  <c r="D635" i="1" s="1"/>
  <c r="C636" i="1"/>
  <c r="D636" i="1" s="1"/>
  <c r="C637" i="1"/>
  <c r="D637" i="1" s="1"/>
  <c r="C638" i="1"/>
  <c r="D638" i="1" s="1"/>
  <c r="C639" i="1"/>
  <c r="D639" i="1" s="1"/>
  <c r="C640" i="1"/>
  <c r="D640" i="1" s="1"/>
  <c r="C641" i="1"/>
  <c r="D641" i="1" s="1"/>
  <c r="C642" i="1"/>
  <c r="D642" i="1" s="1"/>
  <c r="C643" i="1"/>
  <c r="D643" i="1" s="1"/>
  <c r="C644" i="1"/>
  <c r="D644" i="1" s="1"/>
  <c r="C645" i="1"/>
  <c r="D645" i="1" s="1"/>
  <c r="C646" i="1"/>
  <c r="D646" i="1" s="1"/>
  <c r="C647" i="1"/>
  <c r="D647" i="1" s="1"/>
  <c r="C648" i="1"/>
  <c r="D648" i="1" s="1"/>
  <c r="C649" i="1"/>
  <c r="D649" i="1" s="1"/>
  <c r="C650" i="1"/>
  <c r="D650" i="1" s="1"/>
  <c r="C651" i="1"/>
  <c r="D651" i="1" s="1"/>
  <c r="C652" i="1"/>
  <c r="D652" i="1" s="1"/>
  <c r="C653" i="1"/>
  <c r="D653" i="1" s="1"/>
  <c r="C654" i="1"/>
  <c r="D654" i="1" s="1"/>
  <c r="C655" i="1"/>
  <c r="D655" i="1" s="1"/>
  <c r="C656" i="1"/>
  <c r="D656" i="1" s="1"/>
  <c r="C657" i="1"/>
  <c r="D657" i="1" s="1"/>
  <c r="C658" i="1"/>
  <c r="D658" i="1" s="1"/>
  <c r="C659" i="1"/>
  <c r="D659" i="1" s="1"/>
  <c r="C660" i="1"/>
  <c r="D660" i="1" s="1"/>
  <c r="C661" i="1"/>
  <c r="D661" i="1" s="1"/>
  <c r="C662" i="1"/>
  <c r="D662" i="1" s="1"/>
  <c r="C663" i="1"/>
  <c r="D663" i="1" s="1"/>
  <c r="C664" i="1"/>
  <c r="D664" i="1" s="1"/>
  <c r="C665" i="1"/>
  <c r="D665" i="1" s="1"/>
  <c r="C666" i="1"/>
  <c r="D666" i="1" s="1"/>
  <c r="C667" i="1"/>
  <c r="D667" i="1" s="1"/>
  <c r="C668" i="1"/>
  <c r="D668" i="1" s="1"/>
  <c r="C669" i="1"/>
  <c r="D669" i="1" s="1"/>
  <c r="C670" i="1"/>
  <c r="D670" i="1" s="1"/>
  <c r="C671" i="1"/>
  <c r="D671" i="1" s="1"/>
  <c r="C672" i="1"/>
  <c r="D672" i="1" s="1"/>
  <c r="C673" i="1"/>
  <c r="D673" i="1" s="1"/>
  <c r="C674" i="1"/>
  <c r="D674" i="1" s="1"/>
  <c r="C675" i="1"/>
  <c r="D675" i="1" s="1"/>
  <c r="C676" i="1"/>
  <c r="D676" i="1" s="1"/>
  <c r="C677" i="1"/>
  <c r="D677" i="1" s="1"/>
  <c r="C678" i="1"/>
  <c r="D678" i="1" s="1"/>
  <c r="C679" i="1"/>
  <c r="D679" i="1" s="1"/>
  <c r="C680" i="1"/>
  <c r="D680" i="1" s="1"/>
  <c r="C681" i="1"/>
  <c r="D681" i="1" s="1"/>
  <c r="C682" i="1"/>
  <c r="D682" i="1" s="1"/>
  <c r="C683" i="1"/>
  <c r="D683" i="1" s="1"/>
  <c r="C684" i="1"/>
  <c r="D684" i="1" s="1"/>
  <c r="C685" i="1"/>
  <c r="D685" i="1" s="1"/>
  <c r="C686" i="1"/>
  <c r="D686" i="1" s="1"/>
  <c r="C687" i="1"/>
  <c r="D687" i="1" s="1"/>
  <c r="C688" i="1"/>
  <c r="D688" i="1" s="1"/>
  <c r="C689" i="1"/>
  <c r="D689" i="1" s="1"/>
  <c r="C690" i="1"/>
  <c r="D690" i="1" s="1"/>
  <c r="C691" i="1"/>
  <c r="D691" i="1" s="1"/>
  <c r="C692" i="1"/>
  <c r="D692" i="1" s="1"/>
  <c r="C693" i="1"/>
  <c r="D693" i="1" s="1"/>
  <c r="C694" i="1"/>
  <c r="D694" i="1" s="1"/>
  <c r="C695" i="1"/>
  <c r="D695" i="1" s="1"/>
  <c r="C696" i="1"/>
  <c r="D696" i="1" s="1"/>
  <c r="C697" i="1"/>
  <c r="D697" i="1" s="1"/>
  <c r="C698" i="1"/>
  <c r="D698" i="1" s="1"/>
  <c r="C699" i="1"/>
  <c r="D699" i="1" s="1"/>
  <c r="C700" i="1"/>
  <c r="D700" i="1" s="1"/>
  <c r="C701" i="1"/>
  <c r="D701" i="1" s="1"/>
  <c r="C702" i="1"/>
  <c r="D702" i="1" s="1"/>
  <c r="C703" i="1"/>
  <c r="D703" i="1" s="1"/>
  <c r="C704" i="1"/>
  <c r="D704" i="1" s="1"/>
  <c r="C705" i="1"/>
  <c r="D705" i="1" s="1"/>
  <c r="C706" i="1"/>
  <c r="D706" i="1" s="1"/>
  <c r="C707" i="1"/>
  <c r="D707" i="1" s="1"/>
  <c r="C708" i="1"/>
  <c r="D708" i="1" s="1"/>
  <c r="C709" i="1"/>
  <c r="D709" i="1" s="1"/>
  <c r="C710" i="1"/>
  <c r="D710" i="1" s="1"/>
  <c r="C711" i="1"/>
  <c r="D711" i="1" s="1"/>
  <c r="C712" i="1"/>
  <c r="D712" i="1" s="1"/>
  <c r="C713" i="1"/>
  <c r="D713" i="1" s="1"/>
  <c r="C714" i="1"/>
  <c r="D714" i="1" s="1"/>
  <c r="C715" i="1"/>
  <c r="D715" i="1" s="1"/>
  <c r="C716" i="1"/>
  <c r="D716" i="1" s="1"/>
  <c r="C717" i="1"/>
  <c r="D717" i="1" s="1"/>
  <c r="C718" i="1"/>
  <c r="D718" i="1" s="1"/>
  <c r="C719" i="1"/>
  <c r="D719" i="1" s="1"/>
  <c r="C720" i="1"/>
  <c r="D720" i="1" s="1"/>
  <c r="C721" i="1"/>
  <c r="D721" i="1" s="1"/>
  <c r="C722" i="1"/>
  <c r="D722" i="1" s="1"/>
  <c r="C723" i="1"/>
  <c r="D723" i="1" s="1"/>
  <c r="C724" i="1"/>
  <c r="D724" i="1" s="1"/>
  <c r="C725" i="1"/>
  <c r="D725" i="1" s="1"/>
  <c r="C726" i="1"/>
  <c r="D726" i="1" s="1"/>
  <c r="C727" i="1"/>
  <c r="D727" i="1" s="1"/>
  <c r="C728" i="1"/>
  <c r="D728" i="1" s="1"/>
  <c r="C729" i="1"/>
  <c r="D729" i="1" s="1"/>
  <c r="C730" i="1"/>
  <c r="D730" i="1" s="1"/>
  <c r="C731" i="1"/>
  <c r="D731" i="1" s="1"/>
  <c r="C732" i="1"/>
  <c r="D732" i="1" s="1"/>
  <c r="C733" i="1"/>
  <c r="D733" i="1" s="1"/>
  <c r="C734" i="1"/>
  <c r="D734" i="1" s="1"/>
  <c r="C735" i="1"/>
  <c r="D735" i="1" s="1"/>
  <c r="C736" i="1"/>
  <c r="D736" i="1" s="1"/>
  <c r="C737" i="1"/>
  <c r="D737" i="1" s="1"/>
  <c r="C738" i="1"/>
  <c r="D738" i="1" s="1"/>
  <c r="C739" i="1"/>
  <c r="D739" i="1" s="1"/>
  <c r="C740" i="1"/>
  <c r="D740" i="1" s="1"/>
  <c r="C741" i="1"/>
  <c r="D741" i="1" s="1"/>
  <c r="C742" i="1"/>
  <c r="D742" i="1" s="1"/>
  <c r="C743" i="1"/>
  <c r="D743" i="1" s="1"/>
  <c r="C744" i="1"/>
  <c r="D744" i="1" s="1"/>
  <c r="C745" i="1"/>
  <c r="D745" i="1" s="1"/>
  <c r="C746" i="1"/>
  <c r="D746" i="1" s="1"/>
  <c r="C747" i="1"/>
  <c r="D747" i="1" s="1"/>
  <c r="C748" i="1"/>
  <c r="D748" i="1" s="1"/>
  <c r="C749" i="1"/>
  <c r="D749" i="1" s="1"/>
  <c r="C750" i="1"/>
  <c r="D750" i="1" s="1"/>
  <c r="C751" i="1"/>
  <c r="D751" i="1" s="1"/>
  <c r="C752" i="1"/>
  <c r="D752" i="1" s="1"/>
  <c r="C753" i="1"/>
  <c r="D753" i="1" s="1"/>
  <c r="C754" i="1"/>
  <c r="D754" i="1" s="1"/>
  <c r="C755" i="1"/>
  <c r="D755" i="1" s="1"/>
  <c r="C756" i="1"/>
  <c r="D756" i="1" s="1"/>
  <c r="C757" i="1"/>
  <c r="D757" i="1" s="1"/>
  <c r="C758" i="1"/>
  <c r="D758" i="1" s="1"/>
  <c r="C759" i="1"/>
  <c r="D759" i="1" s="1"/>
  <c r="C760" i="1"/>
  <c r="D760" i="1" s="1"/>
  <c r="C761" i="1"/>
  <c r="D761" i="1" s="1"/>
  <c r="C762" i="1"/>
  <c r="D762" i="1" s="1"/>
  <c r="C763" i="1"/>
  <c r="D763" i="1" s="1"/>
  <c r="C764" i="1"/>
  <c r="D764" i="1" s="1"/>
  <c r="C765" i="1"/>
  <c r="D765" i="1" s="1"/>
  <c r="C766" i="1"/>
  <c r="D766" i="1" s="1"/>
  <c r="C767" i="1"/>
  <c r="D767" i="1" s="1"/>
  <c r="C768" i="1"/>
  <c r="D768" i="1" s="1"/>
  <c r="C769" i="1"/>
  <c r="D769" i="1" s="1"/>
  <c r="C770" i="1"/>
  <c r="D770" i="1" s="1"/>
  <c r="C771" i="1"/>
  <c r="D771" i="1" s="1"/>
  <c r="C772" i="1"/>
  <c r="D772" i="1" s="1"/>
  <c r="C773" i="1"/>
  <c r="D773" i="1" s="1"/>
  <c r="C774" i="1"/>
  <c r="D774" i="1" s="1"/>
  <c r="C775" i="1"/>
  <c r="D775" i="1" s="1"/>
  <c r="C776" i="1"/>
  <c r="D776" i="1" s="1"/>
  <c r="C777" i="1"/>
  <c r="D777" i="1" s="1"/>
  <c r="C778" i="1"/>
  <c r="D778" i="1" s="1"/>
  <c r="C779" i="1"/>
  <c r="D779" i="1" s="1"/>
  <c r="C780" i="1"/>
  <c r="D780" i="1" s="1"/>
  <c r="C781" i="1"/>
  <c r="D781" i="1" s="1"/>
  <c r="C782" i="1"/>
  <c r="D782" i="1" s="1"/>
  <c r="C783" i="1"/>
  <c r="D783" i="1" s="1"/>
  <c r="C784" i="1"/>
  <c r="D784" i="1" s="1"/>
  <c r="C785" i="1"/>
  <c r="D785" i="1" s="1"/>
  <c r="C786" i="1"/>
  <c r="D786" i="1" s="1"/>
  <c r="C787" i="1"/>
  <c r="D787" i="1" s="1"/>
  <c r="C788" i="1"/>
  <c r="D788" i="1" s="1"/>
  <c r="C789" i="1"/>
  <c r="D789" i="1" s="1"/>
  <c r="C790" i="1"/>
  <c r="D790" i="1" s="1"/>
  <c r="C791" i="1"/>
  <c r="D791" i="1" s="1"/>
  <c r="C792" i="1"/>
  <c r="D792" i="1" s="1"/>
  <c r="C793" i="1"/>
  <c r="D793" i="1" s="1"/>
  <c r="C794" i="1"/>
  <c r="D794" i="1" s="1"/>
  <c r="C795" i="1"/>
  <c r="D795" i="1" s="1"/>
  <c r="C796" i="1"/>
  <c r="D796" i="1" s="1"/>
  <c r="C797" i="1"/>
  <c r="D797" i="1" s="1"/>
  <c r="C798" i="1"/>
  <c r="D798" i="1" s="1"/>
  <c r="C799" i="1"/>
  <c r="D799" i="1" s="1"/>
  <c r="C800" i="1"/>
  <c r="D800" i="1" s="1"/>
  <c r="C801" i="1"/>
  <c r="D801" i="1" s="1"/>
  <c r="C802" i="1"/>
  <c r="D802" i="1" s="1"/>
  <c r="C803" i="1"/>
  <c r="D803" i="1" s="1"/>
  <c r="C804" i="1"/>
  <c r="D804" i="1" s="1"/>
  <c r="C805" i="1"/>
  <c r="D805" i="1" s="1"/>
  <c r="C806" i="1"/>
  <c r="D806" i="1" s="1"/>
  <c r="C807" i="1"/>
  <c r="D807" i="1" s="1"/>
  <c r="C808" i="1"/>
  <c r="D808" i="1" s="1"/>
  <c r="C809" i="1"/>
  <c r="D809" i="1" s="1"/>
  <c r="C810" i="1"/>
  <c r="D810" i="1" s="1"/>
  <c r="C811" i="1"/>
  <c r="D811" i="1" s="1"/>
  <c r="C812" i="1"/>
  <c r="D812" i="1" s="1"/>
  <c r="C813" i="1"/>
  <c r="D813" i="1" s="1"/>
  <c r="C814" i="1"/>
  <c r="D814" i="1" s="1"/>
  <c r="C815" i="1"/>
  <c r="D815" i="1" s="1"/>
  <c r="C816" i="1"/>
  <c r="D816" i="1" s="1"/>
  <c r="C817" i="1"/>
  <c r="D817" i="1" s="1"/>
  <c r="C818" i="1"/>
  <c r="D818" i="1" s="1"/>
  <c r="C819" i="1"/>
  <c r="D819" i="1" s="1"/>
  <c r="C820" i="1"/>
  <c r="D820" i="1" s="1"/>
  <c r="C821" i="1"/>
  <c r="D821" i="1" s="1"/>
  <c r="C822" i="1"/>
  <c r="D822" i="1" s="1"/>
  <c r="C823" i="1"/>
  <c r="D823" i="1" s="1"/>
  <c r="C824" i="1"/>
  <c r="D824" i="1" s="1"/>
  <c r="C825" i="1"/>
  <c r="D825" i="1" s="1"/>
  <c r="C826" i="1"/>
  <c r="D826" i="1" s="1"/>
  <c r="C827" i="1"/>
  <c r="D827" i="1" s="1"/>
  <c r="C828" i="1"/>
  <c r="D828" i="1" s="1"/>
  <c r="C829" i="1"/>
  <c r="D829" i="1" s="1"/>
  <c r="C830" i="1"/>
  <c r="D830" i="1" s="1"/>
  <c r="C831" i="1"/>
  <c r="D831" i="1" s="1"/>
  <c r="C832" i="1"/>
  <c r="D832" i="1" s="1"/>
  <c r="C833" i="1"/>
  <c r="D833" i="1" s="1"/>
  <c r="C834" i="1"/>
  <c r="D834" i="1" s="1"/>
  <c r="C835" i="1"/>
  <c r="D835" i="1" s="1"/>
  <c r="C836" i="1"/>
  <c r="D836" i="1" s="1"/>
  <c r="C837" i="1"/>
  <c r="D837" i="1" s="1"/>
  <c r="C838" i="1"/>
  <c r="D838" i="1" s="1"/>
  <c r="C839" i="1"/>
  <c r="D839" i="1" s="1"/>
  <c r="C840" i="1"/>
  <c r="D840" i="1" s="1"/>
  <c r="C841" i="1"/>
  <c r="D841" i="1" s="1"/>
  <c r="C842" i="1"/>
  <c r="D842" i="1" s="1"/>
  <c r="C843" i="1"/>
  <c r="D843" i="1" s="1"/>
  <c r="C844" i="1"/>
  <c r="D844" i="1" s="1"/>
  <c r="C845" i="1"/>
  <c r="D845" i="1" s="1"/>
  <c r="C846" i="1"/>
  <c r="D846" i="1" s="1"/>
  <c r="C847" i="1"/>
  <c r="D847" i="1" s="1"/>
  <c r="C848" i="1"/>
  <c r="D848" i="1" s="1"/>
  <c r="C849" i="1"/>
  <c r="D849" i="1" s="1"/>
  <c r="C850" i="1"/>
  <c r="D850" i="1" s="1"/>
  <c r="C851" i="1"/>
  <c r="D851" i="1" s="1"/>
  <c r="C852" i="1"/>
  <c r="D852" i="1" s="1"/>
  <c r="C853" i="1"/>
  <c r="D853" i="1" s="1"/>
  <c r="C854" i="1"/>
  <c r="D854" i="1" s="1"/>
  <c r="C855" i="1"/>
  <c r="D855" i="1" s="1"/>
  <c r="C856" i="1"/>
  <c r="D856" i="1" s="1"/>
  <c r="C857" i="1"/>
  <c r="D857" i="1" s="1"/>
  <c r="C858" i="1"/>
  <c r="D858" i="1" s="1"/>
  <c r="C859" i="1"/>
  <c r="D859" i="1" s="1"/>
  <c r="C860" i="1"/>
  <c r="D860" i="1" s="1"/>
  <c r="C861" i="1"/>
  <c r="D861" i="1" s="1"/>
  <c r="C862" i="1"/>
  <c r="D862" i="1" s="1"/>
  <c r="C863" i="1"/>
  <c r="D863" i="1" s="1"/>
  <c r="C864" i="1"/>
  <c r="D864" i="1" s="1"/>
  <c r="C865" i="1"/>
  <c r="D865" i="1" s="1"/>
  <c r="C866" i="1"/>
  <c r="D866" i="1" s="1"/>
  <c r="C867" i="1"/>
  <c r="D867" i="1" s="1"/>
  <c r="C868" i="1"/>
  <c r="D868" i="1" s="1"/>
  <c r="C869" i="1"/>
  <c r="D869" i="1" s="1"/>
  <c r="C870" i="1"/>
  <c r="D870" i="1" s="1"/>
  <c r="C871" i="1"/>
  <c r="D871" i="1" s="1"/>
  <c r="C872" i="1"/>
  <c r="D872" i="1" s="1"/>
  <c r="C873" i="1"/>
  <c r="D873" i="1" s="1"/>
  <c r="C874" i="1"/>
  <c r="D874" i="1" s="1"/>
  <c r="C875" i="1"/>
  <c r="D875" i="1" s="1"/>
  <c r="C876" i="1"/>
  <c r="D876" i="1" s="1"/>
  <c r="C877" i="1"/>
  <c r="D877" i="1" s="1"/>
  <c r="C878" i="1"/>
  <c r="D878" i="1" s="1"/>
  <c r="C879" i="1"/>
  <c r="D879" i="1" s="1"/>
  <c r="C880" i="1"/>
  <c r="D880" i="1" s="1"/>
  <c r="C881" i="1"/>
  <c r="D881" i="1" s="1"/>
  <c r="C882" i="1"/>
  <c r="D882" i="1" s="1"/>
  <c r="C883" i="1"/>
  <c r="D883" i="1" s="1"/>
  <c r="C884" i="1"/>
  <c r="D884" i="1" s="1"/>
  <c r="C885" i="1"/>
  <c r="D885" i="1" s="1"/>
  <c r="C886" i="1"/>
  <c r="D886" i="1" s="1"/>
  <c r="C887" i="1"/>
  <c r="D887" i="1" s="1"/>
  <c r="C888" i="1"/>
  <c r="D888" i="1" s="1"/>
  <c r="C889" i="1"/>
  <c r="D889" i="1" s="1"/>
  <c r="C890" i="1"/>
  <c r="D890" i="1" s="1"/>
  <c r="C891" i="1"/>
  <c r="D891" i="1" s="1"/>
  <c r="C892" i="1"/>
  <c r="D892" i="1" s="1"/>
  <c r="C893" i="1"/>
  <c r="D893" i="1" s="1"/>
  <c r="C894" i="1"/>
  <c r="D894" i="1" s="1"/>
  <c r="C895" i="1"/>
  <c r="D895" i="1" s="1"/>
  <c r="C896" i="1"/>
  <c r="D896" i="1" s="1"/>
  <c r="C897" i="1"/>
  <c r="D897" i="1" s="1"/>
  <c r="C898" i="1"/>
  <c r="D898" i="1" s="1"/>
  <c r="C899" i="1"/>
  <c r="D899" i="1" s="1"/>
  <c r="C900" i="1"/>
  <c r="D900" i="1" s="1"/>
  <c r="C901" i="1"/>
  <c r="D901" i="1" s="1"/>
  <c r="C902" i="1"/>
  <c r="D902" i="1" s="1"/>
  <c r="C903" i="1"/>
  <c r="D903" i="1" s="1"/>
  <c r="C904" i="1"/>
  <c r="D904" i="1" s="1"/>
  <c r="C905" i="1"/>
  <c r="D905" i="1" s="1"/>
  <c r="C906" i="1"/>
  <c r="D906" i="1" s="1"/>
  <c r="C907" i="1"/>
  <c r="D907" i="1" s="1"/>
  <c r="C908" i="1"/>
  <c r="D908" i="1" s="1"/>
  <c r="C909" i="1"/>
  <c r="D909" i="1" s="1"/>
  <c r="C910" i="1"/>
  <c r="D910" i="1" s="1"/>
  <c r="C911" i="1"/>
  <c r="D911" i="1" s="1"/>
  <c r="C912" i="1"/>
  <c r="D912" i="1" s="1"/>
  <c r="C913" i="1"/>
  <c r="D913" i="1" s="1"/>
  <c r="C914" i="1"/>
  <c r="D914" i="1" s="1"/>
  <c r="C915" i="1"/>
  <c r="D915" i="1" s="1"/>
  <c r="C916" i="1"/>
  <c r="D916" i="1" s="1"/>
  <c r="C917" i="1"/>
  <c r="D917" i="1" s="1"/>
  <c r="C918" i="1"/>
  <c r="D918" i="1" s="1"/>
  <c r="C919" i="1"/>
  <c r="D919" i="1" s="1"/>
  <c r="C920" i="1"/>
  <c r="D920" i="1" s="1"/>
  <c r="C921" i="1"/>
  <c r="D921" i="1" s="1"/>
  <c r="C922" i="1"/>
  <c r="D922" i="1" s="1"/>
  <c r="C923" i="1"/>
  <c r="D923" i="1" s="1"/>
  <c r="C924" i="1"/>
  <c r="D924" i="1" s="1"/>
  <c r="C925" i="1"/>
  <c r="D925" i="1" s="1"/>
  <c r="C926" i="1"/>
  <c r="D926" i="1" s="1"/>
  <c r="C927" i="1"/>
  <c r="D927" i="1" s="1"/>
  <c r="C928" i="1"/>
  <c r="D928" i="1" s="1"/>
  <c r="C929" i="1"/>
  <c r="D929" i="1" s="1"/>
  <c r="C930" i="1"/>
  <c r="D930" i="1" s="1"/>
  <c r="C931" i="1"/>
  <c r="D931" i="1" s="1"/>
  <c r="C932" i="1"/>
  <c r="D932" i="1" s="1"/>
  <c r="C933" i="1"/>
  <c r="D933" i="1" s="1"/>
  <c r="C934" i="1"/>
  <c r="D934" i="1" s="1"/>
  <c r="C935" i="1"/>
  <c r="D935" i="1" s="1"/>
  <c r="C936" i="1"/>
  <c r="D936" i="1" s="1"/>
  <c r="C937" i="1"/>
  <c r="D937" i="1" s="1"/>
  <c r="C938" i="1"/>
  <c r="D938" i="1" s="1"/>
  <c r="C939" i="1"/>
  <c r="D939" i="1" s="1"/>
  <c r="C940" i="1"/>
  <c r="D940" i="1" s="1"/>
  <c r="C941" i="1"/>
  <c r="D941" i="1" s="1"/>
  <c r="C942" i="1"/>
  <c r="D942" i="1" s="1"/>
  <c r="C943" i="1"/>
  <c r="D943" i="1" s="1"/>
  <c r="C944" i="1"/>
  <c r="D944" i="1" s="1"/>
  <c r="C945" i="1"/>
  <c r="D945" i="1" s="1"/>
  <c r="C946" i="1"/>
  <c r="D946" i="1" s="1"/>
  <c r="C947" i="1"/>
  <c r="D947" i="1" s="1"/>
  <c r="C948" i="1"/>
  <c r="D948" i="1" s="1"/>
  <c r="C949" i="1"/>
  <c r="D949" i="1" s="1"/>
  <c r="C950" i="1"/>
  <c r="D950" i="1" s="1"/>
  <c r="C951" i="1"/>
  <c r="D951" i="1" s="1"/>
  <c r="C952" i="1"/>
  <c r="D952" i="1" s="1"/>
  <c r="C953" i="1"/>
  <c r="D953" i="1" s="1"/>
  <c r="C954" i="1"/>
  <c r="D954" i="1" s="1"/>
  <c r="C955" i="1"/>
  <c r="D955" i="1" s="1"/>
  <c r="C956" i="1"/>
  <c r="D956" i="1" s="1"/>
  <c r="C957" i="1"/>
  <c r="D957" i="1" s="1"/>
  <c r="C958" i="1"/>
  <c r="D958" i="1" s="1"/>
  <c r="C959" i="1"/>
  <c r="D959" i="1" s="1"/>
  <c r="C960" i="1"/>
  <c r="D960" i="1" s="1"/>
  <c r="C961" i="1"/>
  <c r="D961" i="1" s="1"/>
  <c r="C962" i="1"/>
  <c r="D962" i="1" s="1"/>
  <c r="C963" i="1"/>
  <c r="D963" i="1" s="1"/>
  <c r="C964" i="1"/>
  <c r="D964" i="1" s="1"/>
  <c r="C965" i="1"/>
  <c r="D965" i="1" s="1"/>
  <c r="C966" i="1"/>
  <c r="D966" i="1" s="1"/>
  <c r="C967" i="1"/>
  <c r="D967" i="1" s="1"/>
  <c r="C968" i="1"/>
  <c r="D968" i="1" s="1"/>
  <c r="C969" i="1"/>
  <c r="D969" i="1" s="1"/>
  <c r="C970" i="1"/>
  <c r="D970" i="1" s="1"/>
  <c r="C971" i="1"/>
  <c r="D971" i="1" s="1"/>
  <c r="C972" i="1"/>
  <c r="D972" i="1" s="1"/>
  <c r="C973" i="1"/>
  <c r="D973" i="1" s="1"/>
  <c r="C974" i="1"/>
  <c r="D974" i="1" s="1"/>
  <c r="C975" i="1"/>
  <c r="D975" i="1" s="1"/>
  <c r="C976" i="1"/>
  <c r="D976" i="1" s="1"/>
  <c r="C977" i="1"/>
  <c r="D977" i="1" s="1"/>
  <c r="C978" i="1"/>
  <c r="D978" i="1" s="1"/>
  <c r="C979" i="1"/>
  <c r="D979" i="1" s="1"/>
  <c r="C980" i="1"/>
  <c r="D980" i="1" s="1"/>
  <c r="C981" i="1"/>
  <c r="D981" i="1" s="1"/>
  <c r="C982" i="1"/>
  <c r="D982" i="1" s="1"/>
  <c r="C983" i="1"/>
  <c r="D983" i="1" s="1"/>
  <c r="C984" i="1"/>
  <c r="D984" i="1" s="1"/>
  <c r="C985" i="1"/>
  <c r="D985" i="1" s="1"/>
  <c r="C986" i="1"/>
  <c r="D986" i="1" s="1"/>
  <c r="C987" i="1"/>
  <c r="D987" i="1" s="1"/>
  <c r="C988" i="1"/>
  <c r="D988" i="1" s="1"/>
  <c r="C989" i="1"/>
  <c r="D989" i="1" s="1"/>
  <c r="C990" i="1"/>
  <c r="D990" i="1" s="1"/>
  <c r="C991" i="1"/>
  <c r="D991" i="1" s="1"/>
  <c r="C992" i="1"/>
  <c r="D992" i="1" s="1"/>
  <c r="C993" i="1"/>
  <c r="D993" i="1" s="1"/>
  <c r="C994" i="1"/>
  <c r="D994" i="1" s="1"/>
  <c r="C995" i="1"/>
  <c r="D995" i="1" s="1"/>
  <c r="C996" i="1"/>
  <c r="D996" i="1" s="1"/>
  <c r="C997" i="1"/>
  <c r="D997" i="1" s="1"/>
  <c r="C998" i="1"/>
  <c r="D998" i="1" s="1"/>
  <c r="C999" i="1"/>
  <c r="D999" i="1" s="1"/>
  <c r="C1000" i="1"/>
  <c r="D1000" i="1" s="1"/>
  <c r="C2" i="1"/>
  <c r="D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6" i="1"/>
  <c r="G727" i="1"/>
  <c r="G728" i="1"/>
  <c r="G729" i="1"/>
  <c r="G730"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2" i="1"/>
  <c r="O42" i="4"/>
  <c r="O47" i="4"/>
  <c r="O62" i="4"/>
  <c r="O58" i="4"/>
  <c r="O53" i="4"/>
  <c r="O72" i="4"/>
  <c r="O67" i="4"/>
  <c r="O49" i="4"/>
  <c r="O63" i="4"/>
  <c r="O51" i="4"/>
  <c r="O44" i="4"/>
  <c r="O46" i="4"/>
  <c r="O64" i="4"/>
  <c r="O56" i="4"/>
  <c r="O71" i="4"/>
  <c r="O45" i="4"/>
  <c r="O50" i="4"/>
  <c r="O54" i="4"/>
  <c r="O65" i="4"/>
  <c r="O52" i="4"/>
  <c r="O57" i="4"/>
  <c r="O70" i="4"/>
  <c r="O48" i="4"/>
  <c r="O60" i="4"/>
  <c r="O59" i="4"/>
  <c r="O73" i="4"/>
  <c r="O43" i="4"/>
  <c r="O61" i="4"/>
  <c r="O55" i="4"/>
  <c r="O66" i="4"/>
  <c r="O68" i="4"/>
  <c r="O69" i="4"/>
</calcChain>
</file>

<file path=xl/sharedStrings.xml><?xml version="1.0" encoding="utf-8"?>
<sst xmlns="http://schemas.openxmlformats.org/spreadsheetml/2006/main" count="10093" uniqueCount="2075">
  <si>
    <t>index</t>
  </si>
  <si>
    <t>Order ID</t>
  </si>
  <si>
    <t>Date</t>
  </si>
  <si>
    <t>Status</t>
  </si>
  <si>
    <t>Fulfilment</t>
  </si>
  <si>
    <t>SKU</t>
  </si>
  <si>
    <t>Category</t>
  </si>
  <si>
    <t>Size</t>
  </si>
  <si>
    <t>Qty</t>
  </si>
  <si>
    <t>currency</t>
  </si>
  <si>
    <t>Amount</t>
  </si>
  <si>
    <t>ship-city</t>
  </si>
  <si>
    <t>ship-state</t>
  </si>
  <si>
    <t>ship-country</t>
  </si>
  <si>
    <t>405-8078784-5731545</t>
  </si>
  <si>
    <t>Cancelled</t>
  </si>
  <si>
    <t>Merchant</t>
  </si>
  <si>
    <t>SET389-KR-NP-S</t>
  </si>
  <si>
    <t>Set</t>
  </si>
  <si>
    <t>S</t>
  </si>
  <si>
    <t>INR</t>
  </si>
  <si>
    <t>MUMBAI</t>
  </si>
  <si>
    <t>MAHARASHTRA</t>
  </si>
  <si>
    <t>IN</t>
  </si>
  <si>
    <t>171-9198151-1101146</t>
  </si>
  <si>
    <t>Shipped - Delivered to Buyer</t>
  </si>
  <si>
    <t>JNE3781-KR-XXXL</t>
  </si>
  <si>
    <t>kurta</t>
  </si>
  <si>
    <t>3XL</t>
  </si>
  <si>
    <t>Shipped</t>
  </si>
  <si>
    <t>BENGALURU</t>
  </si>
  <si>
    <t>KARNATAKA</t>
  </si>
  <si>
    <t>404-0687676-7273146</t>
  </si>
  <si>
    <t>Amazon</t>
  </si>
  <si>
    <t>JNE3371-KR-XL</t>
  </si>
  <si>
    <t>XL</t>
  </si>
  <si>
    <t>NAVI MUMBAI</t>
  </si>
  <si>
    <t>403-9615377-8133951</t>
  </si>
  <si>
    <t>J0341-DR-L</t>
  </si>
  <si>
    <t>Western Dress</t>
  </si>
  <si>
    <t>L</t>
  </si>
  <si>
    <t>PUDUCHERRY</t>
  </si>
  <si>
    <t>407-1069790-7240320</t>
  </si>
  <si>
    <t>JNE3671-TU-XXXL</t>
  </si>
  <si>
    <t>Top</t>
  </si>
  <si>
    <t>CHENNAI</t>
  </si>
  <si>
    <t>TAMIL NADU</t>
  </si>
  <si>
    <t>404-1490984-4578765</t>
  </si>
  <si>
    <t>SET264-KR-NP-XL</t>
  </si>
  <si>
    <t>GHAZIABAD</t>
  </si>
  <si>
    <t>UTTAR PRADESH</t>
  </si>
  <si>
    <t>408-5748499-6859555</t>
  </si>
  <si>
    <t>J0095-SET-L</t>
  </si>
  <si>
    <t>CHANDIGARH</t>
  </si>
  <si>
    <t>406-7807733-3785945</t>
  </si>
  <si>
    <t>JNE3405-KR-S</t>
  </si>
  <si>
    <t>HYDERABAD</t>
  </si>
  <si>
    <t>TELANGANA</t>
  </si>
  <si>
    <t>407-5443024-5233168</t>
  </si>
  <si>
    <t>SET200-KR-NP-A-XXXL</t>
  </si>
  <si>
    <t>402-4393761-0311520</t>
  </si>
  <si>
    <t>JNE3461-KR-XXL</t>
  </si>
  <si>
    <t>XXL</t>
  </si>
  <si>
    <t>Chennai</t>
  </si>
  <si>
    <t>407-5633625-6970741</t>
  </si>
  <si>
    <t>JNE3160-KR-G-S</t>
  </si>
  <si>
    <t>171-4638481-6326716</t>
  </si>
  <si>
    <t>JNE3500-KR-XS</t>
  </si>
  <si>
    <t>XS</t>
  </si>
  <si>
    <t>NOIDA</t>
  </si>
  <si>
    <t>405-5513694-8146768</t>
  </si>
  <si>
    <t>JNE3405-KR-XS</t>
  </si>
  <si>
    <t>Amravati.</t>
  </si>
  <si>
    <t>408-7955685-3083534</t>
  </si>
  <si>
    <t>SET182-KR-DH-XS</t>
  </si>
  <si>
    <t>408-1298370-1920302</t>
  </si>
  <si>
    <t>J0351-SET-L</t>
  </si>
  <si>
    <t>403-4965581-9520319</t>
  </si>
  <si>
    <t>PJNE3368-KR-6XL</t>
  </si>
  <si>
    <t>6XL</t>
  </si>
  <si>
    <t>GUNTAKAL</t>
  </si>
  <si>
    <t>ANDHRA PRADESH</t>
  </si>
  <si>
    <t>406-9379318-6555504</t>
  </si>
  <si>
    <t>JNE3721-KR-XXL</t>
  </si>
  <si>
    <t>JAIPUR</t>
  </si>
  <si>
    <t>RAJASTHAN</t>
  </si>
  <si>
    <t>405-9013803-8009918</t>
  </si>
  <si>
    <t>JNE3405-KR-XL</t>
  </si>
  <si>
    <t>NEW DELHI</t>
  </si>
  <si>
    <t>DELHI</t>
  </si>
  <si>
    <t>402-4030358-5835511</t>
  </si>
  <si>
    <t>JNE3697-KR-XXL</t>
  </si>
  <si>
    <t>Gurgaon</t>
  </si>
  <si>
    <t>HARYANA</t>
  </si>
  <si>
    <t>405-5957858-1051546</t>
  </si>
  <si>
    <t>SET254-KR-NP-XS</t>
  </si>
  <si>
    <t>405-0607769-0716360</t>
  </si>
  <si>
    <t>JNE3795-KR-XXXL</t>
  </si>
  <si>
    <t>TIRUCHIRAPPALLI</t>
  </si>
  <si>
    <t>404-8494550-5860325</t>
  </si>
  <si>
    <t>SET345-KR-NP-M</t>
  </si>
  <si>
    <t>M</t>
  </si>
  <si>
    <t>171-1305077-2813934</t>
  </si>
  <si>
    <t>JNE3373-KR-L</t>
  </si>
  <si>
    <t>404-6019946-2909948</t>
  </si>
  <si>
    <t>SET291-KR-PP-M</t>
  </si>
  <si>
    <t>pune</t>
  </si>
  <si>
    <t>402-3384087-4005164</t>
  </si>
  <si>
    <t>MEN5002-KR-L</t>
  </si>
  <si>
    <t>TEZPUR</t>
  </si>
  <si>
    <t>ASSAM</t>
  </si>
  <si>
    <t>405-8191138-5176316</t>
  </si>
  <si>
    <t>NW030-TP-PJ-XS</t>
  </si>
  <si>
    <t>RANCHI</t>
  </si>
  <si>
    <t>JHARKHAND</t>
  </si>
  <si>
    <t>403-9230474-9657916</t>
  </si>
  <si>
    <t>JNE3415-KR-XXXL</t>
  </si>
  <si>
    <t>BILASPUR</t>
  </si>
  <si>
    <t>CHHATTISGARH</t>
  </si>
  <si>
    <t>408-3484251-6901959</t>
  </si>
  <si>
    <t>PJNE2199-KR-N-4XL</t>
  </si>
  <si>
    <t>4XL</t>
  </si>
  <si>
    <t>PUNE</t>
  </si>
  <si>
    <t>405-7755803-4729935</t>
  </si>
  <si>
    <t>JNE3567-KR-M</t>
  </si>
  <si>
    <t>404-5933402-8801952</t>
  </si>
  <si>
    <t>JNE2132-KR-398-XXXL</t>
  </si>
  <si>
    <t>GUWAHATI</t>
  </si>
  <si>
    <t>171-9040274-9291563</t>
  </si>
  <si>
    <t>J0341-DR-S</t>
  </si>
  <si>
    <t>THIRUVARUR</t>
  </si>
  <si>
    <t>403-7056319-0979561</t>
  </si>
  <si>
    <t>MEN5009-KR-XL</t>
  </si>
  <si>
    <t>LUCKNOW</t>
  </si>
  <si>
    <t>404-9632124-1107550</t>
  </si>
  <si>
    <t>J0011-LCD-M</t>
  </si>
  <si>
    <t>VISAKHAPATNAM</t>
  </si>
  <si>
    <t>402-1465437-0579556</t>
  </si>
  <si>
    <t>JNE3766-KR-M</t>
  </si>
  <si>
    <t>JEYPUR</t>
  </si>
  <si>
    <t>ODISHA</t>
  </si>
  <si>
    <t>404-7774085-3780319</t>
  </si>
  <si>
    <t>JNE3373-KR-XL</t>
  </si>
  <si>
    <t>402-2764952-1492318</t>
  </si>
  <si>
    <t>MEN5001-KR-XL</t>
  </si>
  <si>
    <t>406-0272200-7784379</t>
  </si>
  <si>
    <t>SET345-KR-NP-L</t>
  </si>
  <si>
    <t>403-4367956-2849158</t>
  </si>
  <si>
    <t>JNE3787-KR-S</t>
  </si>
  <si>
    <t>JNE3543-KR-S</t>
  </si>
  <si>
    <t>403-4242957-8599555</t>
  </si>
  <si>
    <t>JNE3405-KR-L</t>
  </si>
  <si>
    <t>THIRUVANANTHAPURAM</t>
  </si>
  <si>
    <t>KERALA</t>
  </si>
  <si>
    <t>408-7165704-5643524</t>
  </si>
  <si>
    <t>J0211-DR-XXL</t>
  </si>
  <si>
    <t>Ethnic Dress</t>
  </si>
  <si>
    <t>GREATER NOIDA</t>
  </si>
  <si>
    <t>402-8210765-3935569</t>
  </si>
  <si>
    <t>J0401-DR-XXXL</t>
  </si>
  <si>
    <t>JABALPUR</t>
  </si>
  <si>
    <t>MADHYA PRADESH</t>
  </si>
  <si>
    <t>406-7398201-3869914</t>
  </si>
  <si>
    <t>JNE2153-KR-278-A-M</t>
  </si>
  <si>
    <t>408-3478480-0881162</t>
  </si>
  <si>
    <t>SET360-KR-NP-M</t>
  </si>
  <si>
    <t>402-7595162-9129931</t>
  </si>
  <si>
    <t>SET268-KR-NP-L</t>
  </si>
  <si>
    <t>171-6876154-6233146</t>
  </si>
  <si>
    <t>SET183-KR-DH-S</t>
  </si>
  <si>
    <t>KOLKATA</t>
  </si>
  <si>
    <t>WEST BENGAL</t>
  </si>
  <si>
    <t>408-3917043-5314763</t>
  </si>
  <si>
    <t>J0230-SKD-L</t>
  </si>
  <si>
    <t>ONGOLE</t>
  </si>
  <si>
    <t>408-9281152-6213100</t>
  </si>
  <si>
    <t>JNE3744-TU-S</t>
  </si>
  <si>
    <t>SECUNDERABAD</t>
  </si>
  <si>
    <t>403-3496411-3082707</t>
  </si>
  <si>
    <t>JNE3510-KR-S</t>
  </si>
  <si>
    <t>171-9208368-0157156</t>
  </si>
  <si>
    <t>JNE3405-KR-M</t>
  </si>
  <si>
    <t>KEWALPUR</t>
  </si>
  <si>
    <t>408-2137113-0982751</t>
  </si>
  <si>
    <t>J0186-SET-S</t>
  </si>
  <si>
    <t>CUTTACK</t>
  </si>
  <si>
    <t>402-3628566-9688333</t>
  </si>
  <si>
    <t>J0003-SET-M</t>
  </si>
  <si>
    <t>BADLAPUR</t>
  </si>
  <si>
    <t>408-7138000-9728362</t>
  </si>
  <si>
    <t>SET282-KR-PP-M</t>
  </si>
  <si>
    <t>dimapur</t>
  </si>
  <si>
    <t>NAGALAND</t>
  </si>
  <si>
    <t>402-1752649-2274748</t>
  </si>
  <si>
    <t>JNE1407-BLACK-KR-UDF18-XL</t>
  </si>
  <si>
    <t>402-7944191-1869101</t>
  </si>
  <si>
    <t>J0301-TP-L</t>
  </si>
  <si>
    <t>407-4063876-9566742</t>
  </si>
  <si>
    <t>JNE3869-DR-S</t>
  </si>
  <si>
    <t>WARANGAL</t>
  </si>
  <si>
    <t>403-0752752-4656334</t>
  </si>
  <si>
    <t>SET324-KR-NP-XS</t>
  </si>
  <si>
    <t>DHAULPUR</t>
  </si>
  <si>
    <t>406-8879861-2081117</t>
  </si>
  <si>
    <t>406-8089333-7941903</t>
  </si>
  <si>
    <t>SET279-LC-S</t>
  </si>
  <si>
    <t>Bengaluru</t>
  </si>
  <si>
    <t>171-3072652-6805159</t>
  </si>
  <si>
    <t>JNE2014-KR-178-XXL</t>
  </si>
  <si>
    <t>171-2592464-6846743</t>
  </si>
  <si>
    <t>NW005-ST-PJ-XL</t>
  </si>
  <si>
    <t>404-2262140-4696366</t>
  </si>
  <si>
    <t>JNE2270-KR-487-A-M</t>
  </si>
  <si>
    <t>NAGPUR</t>
  </si>
  <si>
    <t>JNE3579-KR-M</t>
  </si>
  <si>
    <t>405-3594372-1614709</t>
  </si>
  <si>
    <t>SET347-KR-NP-XS</t>
  </si>
  <si>
    <t>407-2974257-4781134</t>
  </si>
  <si>
    <t>SET264-KR-NP-M</t>
  </si>
  <si>
    <t>THANE</t>
  </si>
  <si>
    <t>171-4137548-0481151</t>
  </si>
  <si>
    <t>JNE3373-KR-XXL</t>
  </si>
  <si>
    <t>Dahod</t>
  </si>
  <si>
    <t>Gujarat</t>
  </si>
  <si>
    <t>405-4461562-9113959</t>
  </si>
  <si>
    <t>SET333-KR-DPT-XXL</t>
  </si>
  <si>
    <t>404-4535078-5241919</t>
  </si>
  <si>
    <t>JNE3645-TP-N-L</t>
  </si>
  <si>
    <t>405-8387725-2971512</t>
  </si>
  <si>
    <t>SET233-KR-PP-L</t>
  </si>
  <si>
    <t>405-6480932-8759528</t>
  </si>
  <si>
    <t>J0381-SKD-XXXL</t>
  </si>
  <si>
    <t>VIJAPURA</t>
  </si>
  <si>
    <t>405-9966506-3155561</t>
  </si>
  <si>
    <t>JNE3068-KR-A-XL</t>
  </si>
  <si>
    <t>408-7029737-8028367</t>
  </si>
  <si>
    <t>JNE3718-KR-M</t>
  </si>
  <si>
    <t>407-2189901-7515567</t>
  </si>
  <si>
    <t>SET386-KR-NP-S</t>
  </si>
  <si>
    <t>bangalore</t>
  </si>
  <si>
    <t>402-2105657-2899562</t>
  </si>
  <si>
    <t>JNE3745-KR-XXL</t>
  </si>
  <si>
    <t>406-1326801-8886709</t>
  </si>
  <si>
    <t>JNE3467-KR-XL</t>
  </si>
  <si>
    <t>BERHAMPUR</t>
  </si>
  <si>
    <t>408-7760667-5809130</t>
  </si>
  <si>
    <t>JNE3721-KR-L</t>
  </si>
  <si>
    <t>405-8457623-9269955</t>
  </si>
  <si>
    <t>JNE3405-KR-XXL</t>
  </si>
  <si>
    <t>408-6820155-3521913</t>
  </si>
  <si>
    <t>SET295-KR-NP-XXXL</t>
  </si>
  <si>
    <t>403-6190683-2687538</t>
  </si>
  <si>
    <t>JNE3861-DR-XL</t>
  </si>
  <si>
    <t>HIMMATNAGAR</t>
  </si>
  <si>
    <t>408-4069830-3819562</t>
  </si>
  <si>
    <t>SET288-KR-NP-XXXL</t>
  </si>
  <si>
    <t>Kolkata</t>
  </si>
  <si>
    <t>SET394-KR-NP-XXXL</t>
  </si>
  <si>
    <t>SET397-KR-NP-XXXL</t>
  </si>
  <si>
    <t>171-7367545-7081126</t>
  </si>
  <si>
    <t>MEN5002-KR-XXL</t>
  </si>
  <si>
    <t>404-6522553-9345930</t>
  </si>
  <si>
    <t>SET377-KR-NP-M</t>
  </si>
  <si>
    <t>DEHRADUN</t>
  </si>
  <si>
    <t>UTTARAKHAND</t>
  </si>
  <si>
    <t>403-9950518-0349133</t>
  </si>
  <si>
    <t>JNE3510-KR-M</t>
  </si>
  <si>
    <t>407-6599093-6553153</t>
  </si>
  <si>
    <t>BTM038-PP-XXXL</t>
  </si>
  <si>
    <t>Bottom</t>
  </si>
  <si>
    <t>403-3763475-2237125</t>
  </si>
  <si>
    <t>J0343-DR-M</t>
  </si>
  <si>
    <t>DHARMAPURI</t>
  </si>
  <si>
    <t>405-1492294-0323520</t>
  </si>
  <si>
    <t>J0341-DR-XL</t>
  </si>
  <si>
    <t>403-1162895-2484367</t>
  </si>
  <si>
    <t>J0295-DR-XXL</t>
  </si>
  <si>
    <t>171-6833843-5473114</t>
  </si>
  <si>
    <t>JNE3560-KR-M</t>
  </si>
  <si>
    <t>VADODARA</t>
  </si>
  <si>
    <t>403-1477057-8253913</t>
  </si>
  <si>
    <t>J0333-DR-XXXL</t>
  </si>
  <si>
    <t>CHAVAKKAD</t>
  </si>
  <si>
    <t>408-2114413-6089906</t>
  </si>
  <si>
    <t>SET389-KR-NP-M</t>
  </si>
  <si>
    <t>PATNA</t>
  </si>
  <si>
    <t>BIHAR</t>
  </si>
  <si>
    <t>405-1879750-2639521</t>
  </si>
  <si>
    <t>JNE3801-KR-XXXL</t>
  </si>
  <si>
    <t>406-5727754-5302723</t>
  </si>
  <si>
    <t>SET098-KR-PP-M</t>
  </si>
  <si>
    <t>405-0901744-8270705</t>
  </si>
  <si>
    <t>MEN5013-KR-L</t>
  </si>
  <si>
    <t>405-9112089-3379536</t>
  </si>
  <si>
    <t>408-6357132-2310703</t>
  </si>
  <si>
    <t>J0003-SET-L</t>
  </si>
  <si>
    <t>Jammu</t>
  </si>
  <si>
    <t>JAMMU &amp; KASHMIR</t>
  </si>
  <si>
    <t>406-5334922-9670748</t>
  </si>
  <si>
    <t>JNE3718-KR-XXXL</t>
  </si>
  <si>
    <t>402-8519791-3706738</t>
  </si>
  <si>
    <t>SET347-KR-NP-S</t>
  </si>
  <si>
    <t>408-1830318-0357940</t>
  </si>
  <si>
    <t>NARNAUND</t>
  </si>
  <si>
    <t>406-5103760-7326749</t>
  </si>
  <si>
    <t>JNE3391-KR-XXL</t>
  </si>
  <si>
    <t>Ahmedabad</t>
  </si>
  <si>
    <t>402-7841951-1872363</t>
  </si>
  <si>
    <t>408-7698765-2294756</t>
  </si>
  <si>
    <t>SET277-KR-NP-XXL</t>
  </si>
  <si>
    <t>AMBARNATH</t>
  </si>
  <si>
    <t>404-1856281-9996319</t>
  </si>
  <si>
    <t>J0293-DR-S</t>
  </si>
  <si>
    <t>GWALIOR</t>
  </si>
  <si>
    <t>406-5406738-7113145</t>
  </si>
  <si>
    <t>405-5257740-5301158</t>
  </si>
  <si>
    <t>SET154-KR-NP-XL</t>
  </si>
  <si>
    <t>ROHTAK</t>
  </si>
  <si>
    <t>JNE3439-KR-XL</t>
  </si>
  <si>
    <t>405-2072502-4089911</t>
  </si>
  <si>
    <t>SET291-KR-PP-XL</t>
  </si>
  <si>
    <t>405-0882561-5952340</t>
  </si>
  <si>
    <t>SET293-KR-NP-M</t>
  </si>
  <si>
    <t>403-7266170-1163500</t>
  </si>
  <si>
    <t>JNE3648-TP-N-M</t>
  </si>
  <si>
    <t>405-8114272-1687512</t>
  </si>
  <si>
    <t>171-6138639-1478731</t>
  </si>
  <si>
    <t>JNE3334-KR-M</t>
  </si>
  <si>
    <t>405-4059216-4541150</t>
  </si>
  <si>
    <t>SET331-KR-NP-XS</t>
  </si>
  <si>
    <t>405-1152015-7333945</t>
  </si>
  <si>
    <t>SET265-KR-NP-S</t>
  </si>
  <si>
    <t>406-0177436-6731556</t>
  </si>
  <si>
    <t>JNE3718-KR-S</t>
  </si>
  <si>
    <t>RAMAGUNDAM</t>
  </si>
  <si>
    <t>406-0715107-8168308</t>
  </si>
  <si>
    <t>SET397-KR-NP  -M</t>
  </si>
  <si>
    <t>PITHORAGARH</t>
  </si>
  <si>
    <t>403-0104882-7373900</t>
  </si>
  <si>
    <t>JNE3861-DR-XXL</t>
  </si>
  <si>
    <t>J0335-DR-XL</t>
  </si>
  <si>
    <t>J0335-DR-XXL</t>
  </si>
  <si>
    <t>405-3002282-6797102</t>
  </si>
  <si>
    <t>JNE1525-KR-UDF19-A-S</t>
  </si>
  <si>
    <t>407-8466904-3461908</t>
  </si>
  <si>
    <t>JNE3654-TP-XL</t>
  </si>
  <si>
    <t>171-3305587-5364338</t>
  </si>
  <si>
    <t>JNE3261-KR-S</t>
  </si>
  <si>
    <t>406-8961316-8137943</t>
  </si>
  <si>
    <t>SET324-KR-NP-S</t>
  </si>
  <si>
    <t>GUWAHATI, KAMRUP (M)</t>
  </si>
  <si>
    <t>SET332-KR-PP-S</t>
  </si>
  <si>
    <t>171-2813040-8296320</t>
  </si>
  <si>
    <t>SET324-KR-NP-XXXL</t>
  </si>
  <si>
    <t>KOLAR</t>
  </si>
  <si>
    <t>408-9845791-1393151</t>
  </si>
  <si>
    <t>PATIALA</t>
  </si>
  <si>
    <t>PUNJAB</t>
  </si>
  <si>
    <t>402-4277204-2348328</t>
  </si>
  <si>
    <t>SET280-KR-PP-S</t>
  </si>
  <si>
    <t>REWA</t>
  </si>
  <si>
    <t>171-3049339-2085136</t>
  </si>
  <si>
    <t>JNE3618-KR-XXL</t>
  </si>
  <si>
    <t>BONGAIGAON</t>
  </si>
  <si>
    <t>405-9928526-2470747</t>
  </si>
  <si>
    <t>SET304-KR-DPT-XS</t>
  </si>
  <si>
    <t>405-4908072-0260360</t>
  </si>
  <si>
    <t>MEN5032-KR-XXXL</t>
  </si>
  <si>
    <t>406-3984186-5973150</t>
  </si>
  <si>
    <t>SET110-KR-PP-XXL</t>
  </si>
  <si>
    <t>Chengalpattu</t>
  </si>
  <si>
    <t>171-8635309-7508346</t>
  </si>
  <si>
    <t>SET324-KR-NP-M</t>
  </si>
  <si>
    <t>PERAMBALUR</t>
  </si>
  <si>
    <t>171-0293372-4913973</t>
  </si>
  <si>
    <t>SET269-KR-NP-XXXL</t>
  </si>
  <si>
    <t>402-8288606-4313118</t>
  </si>
  <si>
    <t>JNE3794-KR-M</t>
  </si>
  <si>
    <t>HIMACHAL PRADESH</t>
  </si>
  <si>
    <t>402-8746990-6412346</t>
  </si>
  <si>
    <t>JNE3291-KR-XXL</t>
  </si>
  <si>
    <t>402-0294212-5431551</t>
  </si>
  <si>
    <t>JNE3440-KR-N-XXXL</t>
  </si>
  <si>
    <t>VARANASI</t>
  </si>
  <si>
    <t>406-1530134-2105912</t>
  </si>
  <si>
    <t>JNE2270-KR-487-A-XXL</t>
  </si>
  <si>
    <t>403-5222550-4437140</t>
  </si>
  <si>
    <t>JNE3261-KR-M</t>
  </si>
  <si>
    <t>COIMBATORE</t>
  </si>
  <si>
    <t>408-1482435-5202714</t>
  </si>
  <si>
    <t>SET110-KR-PP-M</t>
  </si>
  <si>
    <t>CHIRMIRI</t>
  </si>
  <si>
    <t>403-6442534-2769112</t>
  </si>
  <si>
    <t>J0300-TP-XXXL</t>
  </si>
  <si>
    <t>AZAMGARH</t>
  </si>
  <si>
    <t>408-3113070-0750756</t>
  </si>
  <si>
    <t>KALYAN</t>
  </si>
  <si>
    <t>404-7796841-1880317</t>
  </si>
  <si>
    <t>JNE3810-KR-S</t>
  </si>
  <si>
    <t>405-2142542-0941949</t>
  </si>
  <si>
    <t>JNE3461-KR-XL</t>
  </si>
  <si>
    <t>405-0286717-7761132</t>
  </si>
  <si>
    <t>JNE3429-KR-XL</t>
  </si>
  <si>
    <t>406-9021273-9221106</t>
  </si>
  <si>
    <t>JNE3710-DR-S</t>
  </si>
  <si>
    <t>404-5381335-4577925</t>
  </si>
  <si>
    <t>J0113-TP-XS</t>
  </si>
  <si>
    <t>MYSORE</t>
  </si>
  <si>
    <t>171-0131752-2560336</t>
  </si>
  <si>
    <t>SET355-KR-PP-M</t>
  </si>
  <si>
    <t>BARABANKI</t>
  </si>
  <si>
    <t>407-4235449-1353916</t>
  </si>
  <si>
    <t>J0009-SKD-S</t>
  </si>
  <si>
    <t>AMILA</t>
  </si>
  <si>
    <t>171-8061614-5688327</t>
  </si>
  <si>
    <t>J0248-KR-DPT-XL</t>
  </si>
  <si>
    <t>VIJAYAWADA</t>
  </si>
  <si>
    <t>407-8248783-4261958</t>
  </si>
  <si>
    <t>JNE3560-KR-XL</t>
  </si>
  <si>
    <t>RAWAN AMBUJA CEMENT PLANT</t>
  </si>
  <si>
    <t>404-6513062-3876305</t>
  </si>
  <si>
    <t>JNE3373-KR-XXXL</t>
  </si>
  <si>
    <t>406-7779874-9136347</t>
  </si>
  <si>
    <t>SET398-KR-PP-L</t>
  </si>
  <si>
    <t>HERBERTPUR</t>
  </si>
  <si>
    <t>406-9638549-1733961</t>
  </si>
  <si>
    <t>NW032-ST-CP-XXL</t>
  </si>
  <si>
    <t>407-8801185-0134713</t>
  </si>
  <si>
    <t>SET361-KR-NP-S</t>
  </si>
  <si>
    <t>171-3625443-6505905</t>
  </si>
  <si>
    <t>JNE3797-KR-L</t>
  </si>
  <si>
    <t>KALAMASSERY</t>
  </si>
  <si>
    <t>402-8078642-8565124</t>
  </si>
  <si>
    <t>JNE3887-KR-XL</t>
  </si>
  <si>
    <t>Puri-2</t>
  </si>
  <si>
    <t>402-2820441-9623566</t>
  </si>
  <si>
    <t>JNE3870-DR-XXL</t>
  </si>
  <si>
    <t>TIKABALI</t>
  </si>
  <si>
    <t>171-4312987-5366767</t>
  </si>
  <si>
    <t>SET345-KR-NP-XS</t>
  </si>
  <si>
    <t>BIHARSHARIF</t>
  </si>
  <si>
    <t>403-5189998-9343503</t>
  </si>
  <si>
    <t>NW013-ST-SR-L</t>
  </si>
  <si>
    <t>407-9863928-5979501</t>
  </si>
  <si>
    <t>JNE2014-KR-178-XL</t>
  </si>
  <si>
    <t>PARAVUR</t>
  </si>
  <si>
    <t>171-4644162-9093116</t>
  </si>
  <si>
    <t>JNE3612-KR-S</t>
  </si>
  <si>
    <t>BASTI</t>
  </si>
  <si>
    <t>406-0974406-3179521</t>
  </si>
  <si>
    <t>PJNE2100-KR-N-6XL</t>
  </si>
  <si>
    <t>WALAJAPET</t>
  </si>
  <si>
    <t>402-0048138-1845122</t>
  </si>
  <si>
    <t>SET398-KR-PP-XXXL</t>
  </si>
  <si>
    <t>Dimapur</t>
  </si>
  <si>
    <t>407-6283946-7749133</t>
  </si>
  <si>
    <t>J0006-SET-M</t>
  </si>
  <si>
    <t>407-0542879-1795554</t>
  </si>
  <si>
    <t>Mahendragarh</t>
  </si>
  <si>
    <t>406-0218328-1773963</t>
  </si>
  <si>
    <t>407-3742007-3242711</t>
  </si>
  <si>
    <t>JNE3437-KR-S</t>
  </si>
  <si>
    <t>JNE3465-KR-S</t>
  </si>
  <si>
    <t>405-3067317-3360344</t>
  </si>
  <si>
    <t>J0373-KR-XXXL</t>
  </si>
  <si>
    <t>406-5648244-8317954</t>
  </si>
  <si>
    <t>J0344-TP-XXXL</t>
  </si>
  <si>
    <t>New Delhi</t>
  </si>
  <si>
    <t>171-3460653-0171519</t>
  </si>
  <si>
    <t>J0118-TP-XXL</t>
  </si>
  <si>
    <t>GURUGRAM</t>
  </si>
  <si>
    <t>404-5337874-2284337</t>
  </si>
  <si>
    <t>SET200-KR-NP-A-XS</t>
  </si>
  <si>
    <t>405-2660443-4165145</t>
  </si>
  <si>
    <t>402-3329522-2367566</t>
  </si>
  <si>
    <t>JNE1998-KR-311-XXL</t>
  </si>
  <si>
    <t>406-3078054-1755513</t>
  </si>
  <si>
    <t>MEN5004-KR-XXXL</t>
  </si>
  <si>
    <t>BIJNOR</t>
  </si>
  <si>
    <t>171-4647176-6456305</t>
  </si>
  <si>
    <t>SET345-KR-NP-XXL</t>
  </si>
  <si>
    <t>408-5011528-8276347</t>
  </si>
  <si>
    <t>ALLAHABAD</t>
  </si>
  <si>
    <t>407-4097885-3129958</t>
  </si>
  <si>
    <t>JNE3654-TP-L</t>
  </si>
  <si>
    <t>VASAI VIRAR</t>
  </si>
  <si>
    <t>171-1224053-5752314</t>
  </si>
  <si>
    <t>J0344-TP-L</t>
  </si>
  <si>
    <t>406-2849582-6531553</t>
  </si>
  <si>
    <t>J0334-TP-L</t>
  </si>
  <si>
    <t>407-5875767-6399551</t>
  </si>
  <si>
    <t>J0230-SKD-S</t>
  </si>
  <si>
    <t>171-6336729-6763536</t>
  </si>
  <si>
    <t>404-3907920-5281963</t>
  </si>
  <si>
    <t>JNE1233-BLUE-KR-031-XXL</t>
  </si>
  <si>
    <t>408-7310428-6047538</t>
  </si>
  <si>
    <t>J0295-DR-M</t>
  </si>
  <si>
    <t>403-2608092-6065935</t>
  </si>
  <si>
    <t>SET324-KR-NP-L</t>
  </si>
  <si>
    <t>MANGALURU</t>
  </si>
  <si>
    <t>404-9760385-9109154</t>
  </si>
  <si>
    <t>405-0732969-3941948</t>
  </si>
  <si>
    <t>J0147-SET-XL</t>
  </si>
  <si>
    <t>NEW TOWN</t>
  </si>
  <si>
    <t>402-2720308-2560327</t>
  </si>
  <si>
    <t>J0308-DR-L</t>
  </si>
  <si>
    <t>402-0589123-6183541</t>
  </si>
  <si>
    <t>NW030-TP-PJ-L</t>
  </si>
  <si>
    <t>408-3874942-9917143</t>
  </si>
  <si>
    <t>SET360-KR-NP-XL</t>
  </si>
  <si>
    <t>SAMBHAL</t>
  </si>
  <si>
    <t>402-1706149-0949104</t>
  </si>
  <si>
    <t>PJNE3373-KR-N-6XL</t>
  </si>
  <si>
    <t>407-1672316-3245939</t>
  </si>
  <si>
    <t>JNE3449-KR-XXL</t>
  </si>
  <si>
    <t>ELAVANASURKOTTAI</t>
  </si>
  <si>
    <t>405-1832646-7988329</t>
  </si>
  <si>
    <t>JNE3786-KR-S</t>
  </si>
  <si>
    <t>SANGLI MIRAJ KUPWAD</t>
  </si>
  <si>
    <t>408-9692204-9817146</t>
  </si>
  <si>
    <t>402-9339129-6219537</t>
  </si>
  <si>
    <t>J0003-SET-XXL</t>
  </si>
  <si>
    <t>MYSURU</t>
  </si>
  <si>
    <t>405-3036350-8089120</t>
  </si>
  <si>
    <t>J0314-KR-M</t>
  </si>
  <si>
    <t>ANKLESHWR</t>
  </si>
  <si>
    <t>404-6680046-0839536</t>
  </si>
  <si>
    <t>J0341-DR-M</t>
  </si>
  <si>
    <t>406-2966654-4672325</t>
  </si>
  <si>
    <t>PJNE3068-KR-4XL</t>
  </si>
  <si>
    <t>Greater Noida West</t>
  </si>
  <si>
    <t>403-4845285-4565113</t>
  </si>
  <si>
    <t>J0340-TP-M</t>
  </si>
  <si>
    <t>JAMMU</t>
  </si>
  <si>
    <t>171-4496851-5319548</t>
  </si>
  <si>
    <t>JNE3687-TU-M</t>
  </si>
  <si>
    <t>408-3416118-1167564</t>
  </si>
  <si>
    <t>J0376-SKD-L</t>
  </si>
  <si>
    <t>ITANAGAR</t>
  </si>
  <si>
    <t>ARUNACHAL PRADESH</t>
  </si>
  <si>
    <t>406-1590113-9193914</t>
  </si>
  <si>
    <t>404-0363929-8015528</t>
  </si>
  <si>
    <t>J0198-TP-S</t>
  </si>
  <si>
    <t>KARANJA</t>
  </si>
  <si>
    <t>407-7173744-5333154</t>
  </si>
  <si>
    <t>JNE3453-KR-S</t>
  </si>
  <si>
    <t>405-6880044-2861120</t>
  </si>
  <si>
    <t>NIMBAHERA</t>
  </si>
  <si>
    <t>403-4337144-0984323</t>
  </si>
  <si>
    <t>171-1851948-5476361</t>
  </si>
  <si>
    <t>SET398-KR-PP-M</t>
  </si>
  <si>
    <t>Imphal East</t>
  </si>
  <si>
    <t>MANIPUR</t>
  </si>
  <si>
    <t>171-5810429-4493110</t>
  </si>
  <si>
    <t>NW033-ST-CP-XXXL</t>
  </si>
  <si>
    <t>BIDHAN NAGAR</t>
  </si>
  <si>
    <t>171-1068229-1581965</t>
  </si>
  <si>
    <t>NW037-TP-SR-XXXL</t>
  </si>
  <si>
    <t>402-2105140-3584364</t>
  </si>
  <si>
    <t>JNE3618-KR-M</t>
  </si>
  <si>
    <t>403-3561336-3563535</t>
  </si>
  <si>
    <t>SET290-KR-DPT-M</t>
  </si>
  <si>
    <t>AHMEDABAD</t>
  </si>
  <si>
    <t>402-9532672-5385917</t>
  </si>
  <si>
    <t>408-4547464-4180323</t>
  </si>
  <si>
    <t>JNE3568-KR-XXL</t>
  </si>
  <si>
    <t>BHUBANESWAR</t>
  </si>
  <si>
    <t>402-2211107-5096323</t>
  </si>
  <si>
    <t>J0003-SET-XXXL</t>
  </si>
  <si>
    <t>ALIGARH</t>
  </si>
  <si>
    <t>403-9412025-7537140</t>
  </si>
  <si>
    <t>JNE2153-KR-278-A-S</t>
  </si>
  <si>
    <t>KOCHI</t>
  </si>
  <si>
    <t>403-5456917-5571511</t>
  </si>
  <si>
    <t>171-8452330-4756317</t>
  </si>
  <si>
    <t>JNE3645-TP-N-XS</t>
  </si>
  <si>
    <t>171-4350114-4299568</t>
  </si>
  <si>
    <t>JNE3662-TP-XS</t>
  </si>
  <si>
    <t>405-8692900-3888310</t>
  </si>
  <si>
    <t>JNE3440-KR-N-L</t>
  </si>
  <si>
    <t>Bangalore</t>
  </si>
  <si>
    <t>402-6750101-3923558</t>
  </si>
  <si>
    <t>SET331-KR-NP-S</t>
  </si>
  <si>
    <t>MALAPPURAM</t>
  </si>
  <si>
    <t>403-5725327-6264327</t>
  </si>
  <si>
    <t>J0301-TP-M</t>
  </si>
  <si>
    <t>403-5209693-1173944</t>
  </si>
  <si>
    <t>MEN5004-KR-XL</t>
  </si>
  <si>
    <t>403-8255889-7526765</t>
  </si>
  <si>
    <t>J0352-KR-S</t>
  </si>
  <si>
    <t>407-3554912-7244363</t>
  </si>
  <si>
    <t>JNE3160-KR-G-XXL</t>
  </si>
  <si>
    <t>SIBSAGAR</t>
  </si>
  <si>
    <t>407-4737202-9096304</t>
  </si>
  <si>
    <t>JNE3798-KR-M</t>
  </si>
  <si>
    <t>GAYA</t>
  </si>
  <si>
    <t>171-2842936-5423534</t>
  </si>
  <si>
    <t>JNE3690-TU-XL</t>
  </si>
  <si>
    <t>407-4936046-5852304</t>
  </si>
  <si>
    <t>SET355-KR-PP-XXL</t>
  </si>
  <si>
    <t>SET317-KR-PP-XXL</t>
  </si>
  <si>
    <t>402-9580874-3525948</t>
  </si>
  <si>
    <t>SET375-KR-NP-XL</t>
  </si>
  <si>
    <t>KOLLAM</t>
  </si>
  <si>
    <t>404-7426070-1355530</t>
  </si>
  <si>
    <t>JNE3371-KR-M</t>
  </si>
  <si>
    <t>406-4878137-1126707</t>
  </si>
  <si>
    <t>171-3505516-3505949</t>
  </si>
  <si>
    <t>SET116-KR-NP-XL</t>
  </si>
  <si>
    <t>406-6199849-7523514</t>
  </si>
  <si>
    <t>PERALASSERI</t>
  </si>
  <si>
    <t>406-6180074-2350757</t>
  </si>
  <si>
    <t>SET147-KR-NP-XL</t>
  </si>
  <si>
    <t>SET397-KR-NP-XL</t>
  </si>
  <si>
    <t>406-2403215-8361103</t>
  </si>
  <si>
    <t>SET300-KR-NP-L</t>
  </si>
  <si>
    <t>404-6578109-5618751</t>
  </si>
  <si>
    <t>JNE3384-KR-M</t>
  </si>
  <si>
    <t>407-2307966-4961113</t>
  </si>
  <si>
    <t>JNE3291-KR-XL</t>
  </si>
  <si>
    <t>UDUPI</t>
  </si>
  <si>
    <t>404-5539778-0029904</t>
  </si>
  <si>
    <t>SET291-KR-PP-L</t>
  </si>
  <si>
    <t>MARIANI</t>
  </si>
  <si>
    <t>171-6222676-0740318</t>
  </si>
  <si>
    <t>JNE3399-KR-L</t>
  </si>
  <si>
    <t>403-2166075-2254703</t>
  </si>
  <si>
    <t>407-5766340-7411567</t>
  </si>
  <si>
    <t>JNE3440-KR-N-XS</t>
  </si>
  <si>
    <t>404-0634392-1837110</t>
  </si>
  <si>
    <t>408-2759943-9849959</t>
  </si>
  <si>
    <t>SET363-KR-NP-XXL</t>
  </si>
  <si>
    <t>403-5977671-8855508</t>
  </si>
  <si>
    <t>Shipped - Returned to Seller</t>
  </si>
  <si>
    <t>COOCH BEHAR</t>
  </si>
  <si>
    <t>408-9321153-0591557</t>
  </si>
  <si>
    <t>404-0696150-3898703</t>
  </si>
  <si>
    <t>J0348-SET-S</t>
  </si>
  <si>
    <t>406-7586136-6520337</t>
  </si>
  <si>
    <t>J0399-DR-M</t>
  </si>
  <si>
    <t>407-6146457-8788352</t>
  </si>
  <si>
    <t>JNE3797-KR-M</t>
  </si>
  <si>
    <t>404-8514200-3544346</t>
  </si>
  <si>
    <t>JNE3440-KR-N-M</t>
  </si>
  <si>
    <t>404-7452877-2137949</t>
  </si>
  <si>
    <t>JNE3802-KR-M</t>
  </si>
  <si>
    <t>402-2703790-2816329</t>
  </si>
  <si>
    <t>J0285-SKD-M</t>
  </si>
  <si>
    <t>JHARIA KHAS</t>
  </si>
  <si>
    <t>407-1515930-8661921</t>
  </si>
  <si>
    <t>SET322-KR-SHA-XL</t>
  </si>
  <si>
    <t>405-9144614-1601126</t>
  </si>
  <si>
    <t>MEN5021-KR-XL</t>
  </si>
  <si>
    <t>Secunderabad</t>
  </si>
  <si>
    <t>407-0994909-4122733</t>
  </si>
  <si>
    <t>PJ0096-KR-N-5XL</t>
  </si>
  <si>
    <t>5XL</t>
  </si>
  <si>
    <t>UDAIPUR</t>
  </si>
  <si>
    <t>402-7042386-5486768</t>
  </si>
  <si>
    <t>JNE3461-KR-M</t>
  </si>
  <si>
    <t>403-7652993-1507525</t>
  </si>
  <si>
    <t>SET383-KR-NP-L</t>
  </si>
  <si>
    <t>407-3847456-6656309</t>
  </si>
  <si>
    <t>J0002-SKD-XXXL</t>
  </si>
  <si>
    <t>BHAGALPUR</t>
  </si>
  <si>
    <t>SET344-KR-NP-XXXL</t>
  </si>
  <si>
    <t>171-7623384-8040337</t>
  </si>
  <si>
    <t>JNE3465-KR-XXL</t>
  </si>
  <si>
    <t>SET324-KR-NP-XXL</t>
  </si>
  <si>
    <t>171-4607096-6413920</t>
  </si>
  <si>
    <t>SET184-KR-PP-XXXL</t>
  </si>
  <si>
    <t>404-6783988-2006729</t>
  </si>
  <si>
    <t>404-6975277-1927553</t>
  </si>
  <si>
    <t>BERHAMPORE</t>
  </si>
  <si>
    <t>402-5586272-3646748</t>
  </si>
  <si>
    <t>J0008-SKD-S</t>
  </si>
  <si>
    <t>Dehradun</t>
  </si>
  <si>
    <t>171-6655820-6440356</t>
  </si>
  <si>
    <t>J0008-SKD-XXL</t>
  </si>
  <si>
    <t>171-1584788-8864335</t>
  </si>
  <si>
    <t>J0013-SKD-XXL</t>
  </si>
  <si>
    <t>402-0150402-0900371</t>
  </si>
  <si>
    <t>J0208-DR-S</t>
  </si>
  <si>
    <t>SEONI</t>
  </si>
  <si>
    <t>408-6791822-5493964</t>
  </si>
  <si>
    <t>SET344-KR-NP-XL</t>
  </si>
  <si>
    <t>Agra</t>
  </si>
  <si>
    <t>405-0483874-0889137</t>
  </si>
  <si>
    <t>NW001-TP-PJ-XXL</t>
  </si>
  <si>
    <t>407-5600921-2143569</t>
  </si>
  <si>
    <t>SET304-KR-DPT-S</t>
  </si>
  <si>
    <t>404-1607808-0769930</t>
  </si>
  <si>
    <t>SET265-KR-NP-XL</t>
  </si>
  <si>
    <t>407-5124083-2725136</t>
  </si>
  <si>
    <t>SET004-KR-SP-A-S</t>
  </si>
  <si>
    <t>407-4766116-5412325</t>
  </si>
  <si>
    <t>Nermand</t>
  </si>
  <si>
    <t>402-6885004-6990731</t>
  </si>
  <si>
    <t>402-2207276-9869933</t>
  </si>
  <si>
    <t>J0012-SKD-M</t>
  </si>
  <si>
    <t>KAMAREDDY</t>
  </si>
  <si>
    <t>407-9494293-9423561</t>
  </si>
  <si>
    <t>JNE3465-KR-M</t>
  </si>
  <si>
    <t>SRINAGAR</t>
  </si>
  <si>
    <t>171-6867266-8495534</t>
  </si>
  <si>
    <t>SET374-KR-NP-XS</t>
  </si>
  <si>
    <t>408-3475592-6193128</t>
  </si>
  <si>
    <t>JNE3567-KR-XL</t>
  </si>
  <si>
    <t>MUDDEBIHAL</t>
  </si>
  <si>
    <t>171-1987024-2709164</t>
  </si>
  <si>
    <t>J0041-SET-M</t>
  </si>
  <si>
    <t>SANTHAMAGULURU MANDAL</t>
  </si>
  <si>
    <t>406-1522425-5387565</t>
  </si>
  <si>
    <t>JNE3611-KR-XL</t>
  </si>
  <si>
    <t>171-3270734-5045130</t>
  </si>
  <si>
    <t>SET384-KR-NP-XS</t>
  </si>
  <si>
    <t>408-4101226-7217932</t>
  </si>
  <si>
    <t>171-5719664-5449151</t>
  </si>
  <si>
    <t>403-9400764-4029123</t>
  </si>
  <si>
    <t>406-8413944-2634744</t>
  </si>
  <si>
    <t>Hyderabad</t>
  </si>
  <si>
    <t>406-8271099-5133911</t>
  </si>
  <si>
    <t>JNE3635-KR-L</t>
  </si>
  <si>
    <t>405-3441326-1516368</t>
  </si>
  <si>
    <t>J0118-TP-XXXL</t>
  </si>
  <si>
    <t>KOLKATA 700034</t>
  </si>
  <si>
    <t>408-8009772-6580317</t>
  </si>
  <si>
    <t>JNE3654-TP-XS</t>
  </si>
  <si>
    <t>kolkata</t>
  </si>
  <si>
    <t>402-4774686-7773937</t>
  </si>
  <si>
    <t>JNE3652-TP-N-XL</t>
  </si>
  <si>
    <t>402-2860689-5652319</t>
  </si>
  <si>
    <t>J0339-DR-L</t>
  </si>
  <si>
    <t>406-6386989-1689108</t>
  </si>
  <si>
    <t>SET303-KR-NP-XL</t>
  </si>
  <si>
    <t>BARUIPUR</t>
  </si>
  <si>
    <t>408-9720884-9553122</t>
  </si>
  <si>
    <t>JNE3396-KR-XXXL</t>
  </si>
  <si>
    <t>KENDRAPARA</t>
  </si>
  <si>
    <t>408-6428766-2839536</t>
  </si>
  <si>
    <t>JNE3256-KR-XXXL</t>
  </si>
  <si>
    <t>408-8641795-6914711</t>
  </si>
  <si>
    <t>J0340-TP-XS</t>
  </si>
  <si>
    <t>402-9475978-1434754</t>
  </si>
  <si>
    <t>J0335-DR-S</t>
  </si>
  <si>
    <t>407-5776821-9327552</t>
  </si>
  <si>
    <t>J0008-SKD-L</t>
  </si>
  <si>
    <t>171-6845071-0336346</t>
  </si>
  <si>
    <t>SET268-KR-NP-XS</t>
  </si>
  <si>
    <t>NASHIK</t>
  </si>
  <si>
    <t>404-7491342-1035558</t>
  </si>
  <si>
    <t>J0280-SKD-S</t>
  </si>
  <si>
    <t>171-6783343-9758701</t>
  </si>
  <si>
    <t>HOSHIARPUR</t>
  </si>
  <si>
    <t>402-0043314-1059527</t>
  </si>
  <si>
    <t>J0339-DR-M</t>
  </si>
  <si>
    <t>406-6586654-6641140</t>
  </si>
  <si>
    <t>JNE3564-KR-XXXL</t>
  </si>
  <si>
    <t>405-6120626-0941135</t>
  </si>
  <si>
    <t>SET182-KR-DH-L</t>
  </si>
  <si>
    <t>408-9255314-3102740</t>
  </si>
  <si>
    <t>SET128-KR-DH-M</t>
  </si>
  <si>
    <t>BARSHI</t>
  </si>
  <si>
    <t>408-3436456-9893130</t>
  </si>
  <si>
    <t>JNE3567-KR-XXL</t>
  </si>
  <si>
    <t>408-3870331-6287517</t>
  </si>
  <si>
    <t>JNE3568-KR-L</t>
  </si>
  <si>
    <t>407-2882576-2777135</t>
  </si>
  <si>
    <t>403-2256919-4846738</t>
  </si>
  <si>
    <t>JNE3881-DR-XXXL</t>
  </si>
  <si>
    <t>403-2920089-2403567</t>
  </si>
  <si>
    <t>JNE3639-TP-N-XXL</t>
  </si>
  <si>
    <t>406-7792526-4685142</t>
  </si>
  <si>
    <t>SET291-KR-PP-XXL</t>
  </si>
  <si>
    <t>406-7680255-6117120</t>
  </si>
  <si>
    <t>JNE3613-KR-XXL</t>
  </si>
  <si>
    <t>402-4646784-8411501</t>
  </si>
  <si>
    <t>JNE3368-KR-XXXL</t>
  </si>
  <si>
    <t>CHANDI MANDIR</t>
  </si>
  <si>
    <t>405-2788163-4515521</t>
  </si>
  <si>
    <t>JNE3522-KR-XXL</t>
  </si>
  <si>
    <t>ujjain</t>
  </si>
  <si>
    <t>405-1757140-2025918</t>
  </si>
  <si>
    <t>JNE3741-KR-XXL</t>
  </si>
  <si>
    <t>403-9105351-8453114</t>
  </si>
  <si>
    <t>Haldwani</t>
  </si>
  <si>
    <t>402-0503400-6235514</t>
  </si>
  <si>
    <t>SET293-KR-NP-S</t>
  </si>
  <si>
    <t>408-3201739-2676310</t>
  </si>
  <si>
    <t>SET388-KR-NP-L</t>
  </si>
  <si>
    <t>171-8027093-8553945</t>
  </si>
  <si>
    <t>Uttarkashi</t>
  </si>
  <si>
    <t>403-3331597-7637100</t>
  </si>
  <si>
    <t>J0008-SKD-XS</t>
  </si>
  <si>
    <t>403-4424319-6635501</t>
  </si>
  <si>
    <t>SET197-KR-NP-L</t>
  </si>
  <si>
    <t>Old Goa</t>
  </si>
  <si>
    <t>Goa</t>
  </si>
  <si>
    <t>403-0906375-2269150</t>
  </si>
  <si>
    <t>MEN5029-KR-M</t>
  </si>
  <si>
    <t>MAHESHWAR</t>
  </si>
  <si>
    <t>406-7261451-5682727</t>
  </si>
  <si>
    <t>J0341-DR-XS</t>
  </si>
  <si>
    <t>407-5096970-7475550</t>
  </si>
  <si>
    <t>J0010-LCD-L</t>
  </si>
  <si>
    <t>HARDOI</t>
  </si>
  <si>
    <t>402-6566640-5417947</t>
  </si>
  <si>
    <t>JNE3800-KR-M</t>
  </si>
  <si>
    <t>402-5302912-6805151</t>
  </si>
  <si>
    <t>407-9707366-3029944</t>
  </si>
  <si>
    <t>402-1365379-0131533</t>
  </si>
  <si>
    <t>408-5540360-9479519</t>
  </si>
  <si>
    <t>SET183-KR-DH-M</t>
  </si>
  <si>
    <t>SHILLONG</t>
  </si>
  <si>
    <t>MEGHALAYA</t>
  </si>
  <si>
    <t>403-2079921-1244300</t>
  </si>
  <si>
    <t>DHAMNOD DHAR DISTRICT</t>
  </si>
  <si>
    <t>402-8019936-6115500</t>
  </si>
  <si>
    <t>406-6711228-7576354</t>
  </si>
  <si>
    <t>J0341-DR-XXL</t>
  </si>
  <si>
    <t>171-1425554-3718756</t>
  </si>
  <si>
    <t>J0341-DR-XXXL</t>
  </si>
  <si>
    <t>407-9906412-0889129</t>
  </si>
  <si>
    <t>CHAKDAHA</t>
  </si>
  <si>
    <t>408-8991303-6559523</t>
  </si>
  <si>
    <t>408-6046797-8945127</t>
  </si>
  <si>
    <t>171-2134173-5385136</t>
  </si>
  <si>
    <t>J0331-KR-XXXL</t>
  </si>
  <si>
    <t>CHIKKAMAGALURU</t>
  </si>
  <si>
    <t>JNE3752-KR-XXXL</t>
  </si>
  <si>
    <t>402-2155477-9353103</t>
  </si>
  <si>
    <t>SET369-KR-NP-XXL</t>
  </si>
  <si>
    <t>407-8580022-5578715</t>
  </si>
  <si>
    <t>402-1572540-8678700</t>
  </si>
  <si>
    <t>171-1887627-9813158</t>
  </si>
  <si>
    <t>JNE3373-KR-XS</t>
  </si>
  <si>
    <t>408-7712483-3825907</t>
  </si>
  <si>
    <t>JNE3805-KR-L</t>
  </si>
  <si>
    <t>402-3621298-2630741</t>
  </si>
  <si>
    <t>404-8745561-3169903</t>
  </si>
  <si>
    <t>JNE3537-KR-M</t>
  </si>
  <si>
    <t>404-1508602-9433941</t>
  </si>
  <si>
    <t>J0003-SET-XL</t>
  </si>
  <si>
    <t>171-9371949-6030721</t>
  </si>
  <si>
    <t>MALDA</t>
  </si>
  <si>
    <t>171-2705563-6985105</t>
  </si>
  <si>
    <t>DIMAPUR</t>
  </si>
  <si>
    <t>171-3537751-4007556</t>
  </si>
  <si>
    <t>SET436-KR-NP-XXXL</t>
  </si>
  <si>
    <t>Nellore</t>
  </si>
  <si>
    <t>408-5990312-3581165</t>
  </si>
  <si>
    <t>SET264-KR-NP-XXL</t>
  </si>
  <si>
    <t>403-6062596-1220349</t>
  </si>
  <si>
    <t>JNE3567-KR-XS</t>
  </si>
  <si>
    <t>CUNCOLIM</t>
  </si>
  <si>
    <t>GOA</t>
  </si>
  <si>
    <t>171-8220241-5105927</t>
  </si>
  <si>
    <t>J0329-KR-XXXL</t>
  </si>
  <si>
    <t>408-9405529-3743511</t>
  </si>
  <si>
    <t>JNE3568-KR-XL</t>
  </si>
  <si>
    <t>402-3595365-1666728</t>
  </si>
  <si>
    <t>SET341-KR-NP-L</t>
  </si>
  <si>
    <t>407-3271219-3762757</t>
  </si>
  <si>
    <t>JNE3543-KR-M</t>
  </si>
  <si>
    <t>402-3660716-8589107</t>
  </si>
  <si>
    <t>trivandrum</t>
  </si>
  <si>
    <t>171-3953233-6135505</t>
  </si>
  <si>
    <t>KANPUR</t>
  </si>
  <si>
    <t>402-5525660-2118707</t>
  </si>
  <si>
    <t>JNE3365-KR-1052-A-S</t>
  </si>
  <si>
    <t>CHINNALAPATTI</t>
  </si>
  <si>
    <t>406-9941718-1734719</t>
  </si>
  <si>
    <t>JNE3759-KR-XL</t>
  </si>
  <si>
    <t>171-1297873-2176339</t>
  </si>
  <si>
    <t>MEN5001-KR-L</t>
  </si>
  <si>
    <t>407-6401192-4057954</t>
  </si>
  <si>
    <t>J0098-TP-XS</t>
  </si>
  <si>
    <t>406-3397500-8084361</t>
  </si>
  <si>
    <t>171-9620288-8918704</t>
  </si>
  <si>
    <t>SET226-KR-PP-L</t>
  </si>
  <si>
    <t>BAGESHWAR</t>
  </si>
  <si>
    <t>402-8089760-1132331</t>
  </si>
  <si>
    <t>SET380-KR-NP-XXXL</t>
  </si>
  <si>
    <t>403-7042175-3905937</t>
  </si>
  <si>
    <t>MEN5009-KR-M</t>
  </si>
  <si>
    <t>BARRACKPORE</t>
  </si>
  <si>
    <t>MEN5011-KR-M</t>
  </si>
  <si>
    <t>407-4629176-4141949</t>
  </si>
  <si>
    <t>Dombivali  east</t>
  </si>
  <si>
    <t>171-7306449-0588335</t>
  </si>
  <si>
    <t>MEN5032-KR-S</t>
  </si>
  <si>
    <t>407-1396965-6726703</t>
  </si>
  <si>
    <t>407-0624641-6557144</t>
  </si>
  <si>
    <t>405-8444009-8723509</t>
  </si>
  <si>
    <t>New delhi</t>
  </si>
  <si>
    <t>406-5729580-2175565</t>
  </si>
  <si>
    <t>SET359-KR-NP-XXL</t>
  </si>
  <si>
    <t>404-2255967-5457950</t>
  </si>
  <si>
    <t>J0199-SET-XXXL</t>
  </si>
  <si>
    <t>408-5020509-5674715</t>
  </si>
  <si>
    <t>407-7642883-3094732</t>
  </si>
  <si>
    <t>J0401-DR-L</t>
  </si>
  <si>
    <t>404-7608918-0571517</t>
  </si>
  <si>
    <t>J0003-SET-XS</t>
  </si>
  <si>
    <t>171-6589781-2209965</t>
  </si>
  <si>
    <t>J0308-DR-XL</t>
  </si>
  <si>
    <t>Pune</t>
  </si>
  <si>
    <t>405-9442254-2207515</t>
  </si>
  <si>
    <t>Pathanapuram</t>
  </si>
  <si>
    <t>405-3071731-6600369</t>
  </si>
  <si>
    <t>PJNE3252-KR-N-6XL</t>
  </si>
  <si>
    <t>404-6026001-1717923</t>
  </si>
  <si>
    <t>JNE3752-KR-M</t>
  </si>
  <si>
    <t>JAUNPUR</t>
  </si>
  <si>
    <t>404-4026534-0431517</t>
  </si>
  <si>
    <t>SET217-KR-PP-XXXL</t>
  </si>
  <si>
    <t>SOLAPUR</t>
  </si>
  <si>
    <t>406-4970885-3273941</t>
  </si>
  <si>
    <t>JNE3799-KR-XL</t>
  </si>
  <si>
    <t>406-2942566-8263534</t>
  </si>
  <si>
    <t>MAHBUBNAGAR</t>
  </si>
  <si>
    <t>406-7501816-7391539</t>
  </si>
  <si>
    <t>JNE3294-KR-S</t>
  </si>
  <si>
    <t>Nk sweets Vikasnagar</t>
  </si>
  <si>
    <t>408-3137526-3167563</t>
  </si>
  <si>
    <t>DARJEELING</t>
  </si>
  <si>
    <t>408-5211576-2061139</t>
  </si>
  <si>
    <t>SET356-KR-NP-XXXL</t>
  </si>
  <si>
    <t>406-9632792-8869139</t>
  </si>
  <si>
    <t>JNE2014-KR-178-XXXL</t>
  </si>
  <si>
    <t>408-7971979-8745937</t>
  </si>
  <si>
    <t>J0401-DR-XS</t>
  </si>
  <si>
    <t>LUDHIANA</t>
  </si>
  <si>
    <t>405-5166820-2566738</t>
  </si>
  <si>
    <t>405-8932002-4271522</t>
  </si>
  <si>
    <t>404-1855398-2642751</t>
  </si>
  <si>
    <t>MUZAFFARPUR</t>
  </si>
  <si>
    <t>408-0912805-7526753</t>
  </si>
  <si>
    <t>SET365-KR-NP-L</t>
  </si>
  <si>
    <t>402-2403704-9667560</t>
  </si>
  <si>
    <t>JNE3405-KR-XXXL</t>
  </si>
  <si>
    <t>405-2569549-3466719</t>
  </si>
  <si>
    <t>Sonbhadra</t>
  </si>
  <si>
    <t>405-2822825-3877133</t>
  </si>
  <si>
    <t>J0230-SKD-XXL</t>
  </si>
  <si>
    <t>171-5222377-4501935</t>
  </si>
  <si>
    <t>JNE3465-KR-XXXL</t>
  </si>
  <si>
    <t>KAKINADA</t>
  </si>
  <si>
    <t>171-2644368-7969167</t>
  </si>
  <si>
    <t>SET265-KR-NP-M</t>
  </si>
  <si>
    <t>JNE3288-KR-M</t>
  </si>
  <si>
    <t>SET316-KR-DPT-M</t>
  </si>
  <si>
    <t>171-1758807-7455529</t>
  </si>
  <si>
    <t>SET268-KR-NP-S</t>
  </si>
  <si>
    <t>HALDIA</t>
  </si>
  <si>
    <t>404-5848202-7366725</t>
  </si>
  <si>
    <t>JNE3800-KR-XXL</t>
  </si>
  <si>
    <t>408-8224264-0017161</t>
  </si>
  <si>
    <t>408-6529937-6381928</t>
  </si>
  <si>
    <t>Tivim</t>
  </si>
  <si>
    <t>407-2028379-9672355</t>
  </si>
  <si>
    <t>JNE2270-KR-487-A-L</t>
  </si>
  <si>
    <t>402-9221687-4573915</t>
  </si>
  <si>
    <t>405-2668017-2013957</t>
  </si>
  <si>
    <t>408-3337319-8990747</t>
  </si>
  <si>
    <t>MEN5024-KR-M</t>
  </si>
  <si>
    <t>MANDVI KACHCHH DISTRICT</t>
  </si>
  <si>
    <t>407-1256885-2004349</t>
  </si>
  <si>
    <t>MEN5023-KR-XL</t>
  </si>
  <si>
    <t>SAMBALPUR</t>
  </si>
  <si>
    <t>404-3723311-1030756</t>
  </si>
  <si>
    <t>KANNIYAKUMARI</t>
  </si>
  <si>
    <t>171-5542306-9306709</t>
  </si>
  <si>
    <t>Chinchwad ,Pune</t>
  </si>
  <si>
    <t>406-3702147-1800341</t>
  </si>
  <si>
    <t>JNE3797-KR-XS</t>
  </si>
  <si>
    <t>404-5867260-9073129</t>
  </si>
  <si>
    <t>JNE3515-KR-XL</t>
  </si>
  <si>
    <t>404-0532727-2082745</t>
  </si>
  <si>
    <t>J0225-SKD-XXL</t>
  </si>
  <si>
    <t>403-8966287-7773106</t>
  </si>
  <si>
    <t>JNE3461-KR-L</t>
  </si>
  <si>
    <t>408-1512444-4965152</t>
  </si>
  <si>
    <t>JNE3618-KR-XS</t>
  </si>
  <si>
    <t>PURNIA</t>
  </si>
  <si>
    <t>171-9451879-3651542</t>
  </si>
  <si>
    <t>PJNE3405-KR-N-5XL</t>
  </si>
  <si>
    <t>408-8501185-0578768</t>
  </si>
  <si>
    <t>402-0251823-0845133</t>
  </si>
  <si>
    <t>JNE3500-KR-S</t>
  </si>
  <si>
    <t>408-5190897-8781155</t>
  </si>
  <si>
    <t>403-3109934-4911514</t>
  </si>
  <si>
    <t>TADEPALLIGUDEM</t>
  </si>
  <si>
    <t>407-0718034-7893108</t>
  </si>
  <si>
    <t>Ghaziabad</t>
  </si>
  <si>
    <t>404-0752237-5721965</t>
  </si>
  <si>
    <t>403-6818986-3510737</t>
  </si>
  <si>
    <t>403-4673019-6572340</t>
  </si>
  <si>
    <t>JNE3368-KR-XXL</t>
  </si>
  <si>
    <t>171-4549643-0067500</t>
  </si>
  <si>
    <t>JNE2270-KR-487-A-XL</t>
  </si>
  <si>
    <t>AKOLA</t>
  </si>
  <si>
    <t>404-3622512-3887551</t>
  </si>
  <si>
    <t>JORHAT</t>
  </si>
  <si>
    <t>406-6906315-9570765</t>
  </si>
  <si>
    <t>JNE3568-KR-S</t>
  </si>
  <si>
    <t>407-3562449-1962729</t>
  </si>
  <si>
    <t>J0096-KR-S</t>
  </si>
  <si>
    <t>RAMANAGARA</t>
  </si>
  <si>
    <t>408-2593644-6317933</t>
  </si>
  <si>
    <t>SET319-KR-NP-S</t>
  </si>
  <si>
    <t>Vijayapur</t>
  </si>
  <si>
    <t>407-7607527-1189964</t>
  </si>
  <si>
    <t>Shipped - Rejected by Buyer</t>
  </si>
  <si>
    <t>405-7398388-2654744</t>
  </si>
  <si>
    <t>J0415-DR-L</t>
  </si>
  <si>
    <t>BOKARO STEEL CITY</t>
  </si>
  <si>
    <t>405-5066690-4132337</t>
  </si>
  <si>
    <t>JNE3718-KR-XXL</t>
  </si>
  <si>
    <t>408-6466311-6949931</t>
  </si>
  <si>
    <t>SET014-KR-PP-XXL</t>
  </si>
  <si>
    <t>171-4643830-2345965</t>
  </si>
  <si>
    <t>SET408-KR-NP-XXL</t>
  </si>
  <si>
    <t>404-1051549-5381167</t>
  </si>
  <si>
    <t>KHAMMAM</t>
  </si>
  <si>
    <t>406-7625210-8793109</t>
  </si>
  <si>
    <t>J0254-SKD-XS</t>
  </si>
  <si>
    <t>406-8665288-2025908</t>
  </si>
  <si>
    <t>SAR114</t>
  </si>
  <si>
    <t>Saree</t>
  </si>
  <si>
    <t>Free</t>
  </si>
  <si>
    <t>408-6732772-4525113</t>
  </si>
  <si>
    <t>J0010-LCD-XS</t>
  </si>
  <si>
    <t>AURANGABAD</t>
  </si>
  <si>
    <t>171-7068385-2777168</t>
  </si>
  <si>
    <t>SET186-KR-DH-K-M</t>
  </si>
  <si>
    <t>405-9930530-1209919</t>
  </si>
  <si>
    <t>JNE3819-KR-L</t>
  </si>
  <si>
    <t>GADARWARA</t>
  </si>
  <si>
    <t>407-0288006-5535531</t>
  </si>
  <si>
    <t>J0335-DR-L</t>
  </si>
  <si>
    <t>403-6363820-3080315</t>
  </si>
  <si>
    <t>SET334-KR-NP-XXL</t>
  </si>
  <si>
    <t>408-7937211-8974712</t>
  </si>
  <si>
    <t>SHIRDI</t>
  </si>
  <si>
    <t>407-4283259-6933941</t>
  </si>
  <si>
    <t>JNE3470-KR-XS</t>
  </si>
  <si>
    <t>VELLORE</t>
  </si>
  <si>
    <t>407-3630361-4581152</t>
  </si>
  <si>
    <t>JNE3619-KR-XS</t>
  </si>
  <si>
    <t>408-6348199-2089932</t>
  </si>
  <si>
    <t>J0283-SET-XL</t>
  </si>
  <si>
    <t>408-5824761-8505932</t>
  </si>
  <si>
    <t>JNE3440-KR-N-XL</t>
  </si>
  <si>
    <t>noida</t>
  </si>
  <si>
    <t>406-0673842-3693910</t>
  </si>
  <si>
    <t>Mangaluru</t>
  </si>
  <si>
    <t>405-0722232-7258752</t>
  </si>
  <si>
    <t>JNE3787-KR-XXL</t>
  </si>
  <si>
    <t>SINGRAULI</t>
  </si>
  <si>
    <t>408-0224364-7467540</t>
  </si>
  <si>
    <t>SET282-KR-PP-XXL</t>
  </si>
  <si>
    <t>408-2445040-0957913</t>
  </si>
  <si>
    <t>JNE3691-TU-L</t>
  </si>
  <si>
    <t>406-8412164-3153129</t>
  </si>
  <si>
    <t>407-5524319-6977912</t>
  </si>
  <si>
    <t>JNE3727-KR-XXL</t>
  </si>
  <si>
    <t>THRIPPUNITHURA</t>
  </si>
  <si>
    <t>407-7757868-6086759</t>
  </si>
  <si>
    <t>171-5065107-7793119</t>
  </si>
  <si>
    <t>JNE3634-KR-XL</t>
  </si>
  <si>
    <t>403-0216195-8439543</t>
  </si>
  <si>
    <t>KENDUJHAR</t>
  </si>
  <si>
    <t>402-9874837-4557125</t>
  </si>
  <si>
    <t>JNE3675-TU-L</t>
  </si>
  <si>
    <t>408-8892348-9765950</t>
  </si>
  <si>
    <t>JNE2199-KR-411-A-XXL</t>
  </si>
  <si>
    <t>408-6417023-0253911</t>
  </si>
  <si>
    <t>SET184-KR-PP-XXL</t>
  </si>
  <si>
    <t>407-4004149-2857161</t>
  </si>
  <si>
    <t>404-6408992-6781106</t>
  </si>
  <si>
    <t>JNE3468-KR-L</t>
  </si>
  <si>
    <t>407-9345273-2408359</t>
  </si>
  <si>
    <t>408-0266080-9401113</t>
  </si>
  <si>
    <t>J0213-TP-L</t>
  </si>
  <si>
    <t>404-6096382-3389133</t>
  </si>
  <si>
    <t>BL110-XL</t>
  </si>
  <si>
    <t>Blouse</t>
  </si>
  <si>
    <t>405-9737320-3923530</t>
  </si>
  <si>
    <t>J0008-SKD-XL</t>
  </si>
  <si>
    <t>Nerul</t>
  </si>
  <si>
    <t>402-7908398-5262750</t>
  </si>
  <si>
    <t>SET288-KR-NP-XXL</t>
  </si>
  <si>
    <t>IMPHAL</t>
  </si>
  <si>
    <t>407-6861831-9368312</t>
  </si>
  <si>
    <t>PALASBARI</t>
  </si>
  <si>
    <t>406-4290163-4557960</t>
  </si>
  <si>
    <t>405-9000587-4386763</t>
  </si>
  <si>
    <t>404-7760595-7490722</t>
  </si>
  <si>
    <t>Chikkaballapur</t>
  </si>
  <si>
    <t>403-8206114-6438765</t>
  </si>
  <si>
    <t>SET110-KR-PP-L</t>
  </si>
  <si>
    <t>Andul near maya stores</t>
  </si>
  <si>
    <t>404-6734371-2217151</t>
  </si>
  <si>
    <t>MEN5031-KR-XXXL</t>
  </si>
  <si>
    <t>403-9844758-9663515</t>
  </si>
  <si>
    <t>402-1037282-5400318</t>
  </si>
  <si>
    <t>JNE3421-KR-N-M</t>
  </si>
  <si>
    <t>Mumbai</t>
  </si>
  <si>
    <t>408-6497115-2636366</t>
  </si>
  <si>
    <t>SET351-KR-NP-L</t>
  </si>
  <si>
    <t>408-2311178-4563550</t>
  </si>
  <si>
    <t>SET337-KR-NP-L</t>
  </si>
  <si>
    <t>171-7904830-1900363</t>
  </si>
  <si>
    <t>MEN5021-KR-XXL</t>
  </si>
  <si>
    <t>406-9476969-2801163</t>
  </si>
  <si>
    <t>403-2867551-8904322</t>
  </si>
  <si>
    <t>J0338-DR-L</t>
  </si>
  <si>
    <t>407-0133690-8157926</t>
  </si>
  <si>
    <t>SURAT</t>
  </si>
  <si>
    <t>402-2892726-4411563</t>
  </si>
  <si>
    <t>402-9688522-2179563</t>
  </si>
  <si>
    <t>JNE3364-KR-1051-A-L</t>
  </si>
  <si>
    <t>CHITTOOR</t>
  </si>
  <si>
    <t>404-7977517-7125147</t>
  </si>
  <si>
    <t>KADUR</t>
  </si>
  <si>
    <t>403-4009455-2766717</t>
  </si>
  <si>
    <t>SURATGARH</t>
  </si>
  <si>
    <t>408-8960391-6097167</t>
  </si>
  <si>
    <t>MIRA ROAD</t>
  </si>
  <si>
    <t>406-9811989-3946709</t>
  </si>
  <si>
    <t>JNE2153-KR-278-A-XL</t>
  </si>
  <si>
    <t>406-0361691-7797129</t>
  </si>
  <si>
    <t>JNE3487-KR-XXL</t>
  </si>
  <si>
    <t>408-9628391-5712365</t>
  </si>
  <si>
    <t>JNE3865-TP-XXXL</t>
  </si>
  <si>
    <t>DINANAGAR</t>
  </si>
  <si>
    <t>408-1587720-2667552</t>
  </si>
  <si>
    <t>171-5980259-5726757</t>
  </si>
  <si>
    <t>405-2266530-9531500</t>
  </si>
  <si>
    <t>SET291-KR-PP-XXXL</t>
  </si>
  <si>
    <t>408-3468189-1632369</t>
  </si>
  <si>
    <t>JNE3704-KR-L</t>
  </si>
  <si>
    <t>ARAKANDANALLUR</t>
  </si>
  <si>
    <t>402-8199412-5613164</t>
  </si>
  <si>
    <t>J0378-SKD-XXL</t>
  </si>
  <si>
    <t>BHOPAL</t>
  </si>
  <si>
    <t>406-8049367-7383569</t>
  </si>
  <si>
    <t>GURGAON</t>
  </si>
  <si>
    <t>404-4084311-5014713</t>
  </si>
  <si>
    <t>JNE3721-KR-XL</t>
  </si>
  <si>
    <t>405-4491602-9761902</t>
  </si>
  <si>
    <t>J0308-DR-XXL</t>
  </si>
  <si>
    <t>Bhatgaon</t>
  </si>
  <si>
    <t>404-3973098-9107502</t>
  </si>
  <si>
    <t>SET398-KR-PP-XXL</t>
  </si>
  <si>
    <t>BHANJANAGAR</t>
  </si>
  <si>
    <t>404-8364446-3952321</t>
  </si>
  <si>
    <t>J0157-DR-S</t>
  </si>
  <si>
    <t>408-4378624-3886712</t>
  </si>
  <si>
    <t>JNE3799-KR-S</t>
  </si>
  <si>
    <t>408-2058872-0942730</t>
  </si>
  <si>
    <t>JNE2265-KR-501-S</t>
  </si>
  <si>
    <t>JNE3401-KR-M</t>
  </si>
  <si>
    <t>404-5141245-7726736</t>
  </si>
  <si>
    <t>MADHURAWADA</t>
  </si>
  <si>
    <t>405-5489495-6651552</t>
  </si>
  <si>
    <t>SET332-KR-PP-L</t>
  </si>
  <si>
    <t>ALMORA</t>
  </si>
  <si>
    <t>171-6816175-3049154</t>
  </si>
  <si>
    <t>SET345-KR-NP-XL</t>
  </si>
  <si>
    <t>PRODDATUR</t>
  </si>
  <si>
    <t>408-7342331-1733136</t>
  </si>
  <si>
    <t>JNE1525-KR-UDF19-A-XL</t>
  </si>
  <si>
    <t>SHRIGONDA</t>
  </si>
  <si>
    <t>402-1721558-6618710</t>
  </si>
  <si>
    <t>J0373-KR-M</t>
  </si>
  <si>
    <t>406-2138801-8731538</t>
  </si>
  <si>
    <t>JNE3449-KR-XXXL</t>
  </si>
  <si>
    <t>407-1271803-1705135</t>
  </si>
  <si>
    <t>FAIZABAD</t>
  </si>
  <si>
    <t>408-0666162-2209142</t>
  </si>
  <si>
    <t>J0006-SET-L</t>
  </si>
  <si>
    <t>BHIWADI</t>
  </si>
  <si>
    <t>404-8344681-3468344</t>
  </si>
  <si>
    <t>405-5365766-8023559</t>
  </si>
  <si>
    <t>405-2729845-2846741</t>
  </si>
  <si>
    <t>SET228-KR-PP-A-XXXL</t>
  </si>
  <si>
    <t>BANGALORE</t>
  </si>
  <si>
    <t>407-7312276-7007540</t>
  </si>
  <si>
    <t>407-6910434-1793162</t>
  </si>
  <si>
    <t>MEN5023-KR-S</t>
  </si>
  <si>
    <t>407-7361111-8973957</t>
  </si>
  <si>
    <t>SET388-KR-NP-S</t>
  </si>
  <si>
    <t>406-2349830-7633129</t>
  </si>
  <si>
    <t>SET333-KR-DPT-XL</t>
  </si>
  <si>
    <t>404-0553710-6997951</t>
  </si>
  <si>
    <t>Vadodara</t>
  </si>
  <si>
    <t>404-5682813-1706729</t>
  </si>
  <si>
    <t>SET172-KR-PP-B-M</t>
  </si>
  <si>
    <t>171-0355946-6502712</t>
  </si>
  <si>
    <t>SET268-KR-NP-XL</t>
  </si>
  <si>
    <t>405-5141255-1451535</t>
  </si>
  <si>
    <t>Malda</t>
  </si>
  <si>
    <t>402-4712282-7084353</t>
  </si>
  <si>
    <t>408-4929717-0247504</t>
  </si>
  <si>
    <t>SET319-KR-NP-XL</t>
  </si>
  <si>
    <t>SET378-KR-NP-XS</t>
  </si>
  <si>
    <t>407-0903946-2097158</t>
  </si>
  <si>
    <t>403-3362230-0094739</t>
  </si>
  <si>
    <t>404-2227887-7441969</t>
  </si>
  <si>
    <t>407-8016372-7101131</t>
  </si>
  <si>
    <t>SET344-KR-NP-S</t>
  </si>
  <si>
    <t>407-2520173-9985116</t>
  </si>
  <si>
    <t>MEN5002-KR-M</t>
  </si>
  <si>
    <t>407-3257788-4892350</t>
  </si>
  <si>
    <t>GUNTUR</t>
  </si>
  <si>
    <t>408-7201398-0382766</t>
  </si>
  <si>
    <t>407-1181422-6183500</t>
  </si>
  <si>
    <t>408-6235816-9261123</t>
  </si>
  <si>
    <t>408-5823964-2421167</t>
  </si>
  <si>
    <t>408-2752424-0976355</t>
  </si>
  <si>
    <t>MEN5006-KR-XXL</t>
  </si>
  <si>
    <t>408-1221783-1443515</t>
  </si>
  <si>
    <t>404-3977029-4836363</t>
  </si>
  <si>
    <t>406-6993846-8855562</t>
  </si>
  <si>
    <t>SET363-KR-NP-XL</t>
  </si>
  <si>
    <t>ROORKEE</t>
  </si>
  <si>
    <t>405-5018129-4536368</t>
  </si>
  <si>
    <t>JNE3794-KR-XXXL</t>
  </si>
  <si>
    <t>406-3787864-1268330</t>
  </si>
  <si>
    <t>171-8504713-0689107</t>
  </si>
  <si>
    <t>402-9564773-1029157</t>
  </si>
  <si>
    <t>405-4930362-9342759</t>
  </si>
  <si>
    <t>Golabandha</t>
  </si>
  <si>
    <t>402-4976284-7401969</t>
  </si>
  <si>
    <t>SET131-KR-NP-A-XXL</t>
  </si>
  <si>
    <t>404-7724638-9574745</t>
  </si>
  <si>
    <t>408-9182064-6638723</t>
  </si>
  <si>
    <t>SET203-KR-DPT-S</t>
  </si>
  <si>
    <t>171-9163388-0505130</t>
  </si>
  <si>
    <t>SET098-KR-PP-XL</t>
  </si>
  <si>
    <t>BHATPARA</t>
  </si>
  <si>
    <t>171-4737030-9245958</t>
  </si>
  <si>
    <t>JNE3614-KR-M</t>
  </si>
  <si>
    <t>Palampur</t>
  </si>
  <si>
    <t>402-3889665-2309117</t>
  </si>
  <si>
    <t>J0201-TP-L</t>
  </si>
  <si>
    <t>404-0489249-5004350</t>
  </si>
  <si>
    <t>402-5795462-7785129</t>
  </si>
  <si>
    <t>402-1771710-8988341</t>
  </si>
  <si>
    <t>SET201-KR-NP-A-XXL</t>
  </si>
  <si>
    <t>407-8782240-5186712</t>
  </si>
  <si>
    <t>406-1146171-5116306</t>
  </si>
  <si>
    <t>NW030-TP-PJ-XXL</t>
  </si>
  <si>
    <t>405-4454054-5598720</t>
  </si>
  <si>
    <t>SET273-KR-NP-XXXL</t>
  </si>
  <si>
    <t>405-0904566-9930731</t>
  </si>
  <si>
    <t>405-2826187-6916328</t>
  </si>
  <si>
    <t>JNE3690-TU-L</t>
  </si>
  <si>
    <t>404-5926144-0737167</t>
  </si>
  <si>
    <t>J0247-SKD-S</t>
  </si>
  <si>
    <t>PICHHORE SHIVPURI DISTRICT</t>
  </si>
  <si>
    <t>407-0010438-9058746</t>
  </si>
  <si>
    <t>SET347-KR-NP-XXXL</t>
  </si>
  <si>
    <t>405-7730926-6032325</t>
  </si>
  <si>
    <t>J0386-KR-XXXL</t>
  </si>
  <si>
    <t>SIKANDARABAD INDUSTRIAL AREA</t>
  </si>
  <si>
    <t>171-6907664-7672347</t>
  </si>
  <si>
    <t>404-0072596-3665116</t>
  </si>
  <si>
    <t>J0342-TP-L</t>
  </si>
  <si>
    <t>406-8833813-9606757</t>
  </si>
  <si>
    <t>SET363-KR-NP-L</t>
  </si>
  <si>
    <t>MAVELIKKARA</t>
  </si>
  <si>
    <t>408-3892272-6235562</t>
  </si>
  <si>
    <t>J0342-TP-M</t>
  </si>
  <si>
    <t>171-9584070-4172351</t>
  </si>
  <si>
    <t>J0198-TP-XXXL</t>
  </si>
  <si>
    <t>402-1220435-6391519</t>
  </si>
  <si>
    <t>JNE3500-KR-XXL</t>
  </si>
  <si>
    <t>404-5137687-4471546</t>
  </si>
  <si>
    <t>JNE3510-KR-XL</t>
  </si>
  <si>
    <t>171-0065908-0641927</t>
  </si>
  <si>
    <t>J0005-DR-XXL</t>
  </si>
  <si>
    <t>403-3416641-9569165</t>
  </si>
  <si>
    <t>QADIAN</t>
  </si>
  <si>
    <t>404-1694926-5861958</t>
  </si>
  <si>
    <t>SET360-KR-NP-XXL</t>
  </si>
  <si>
    <t>402-5767256-6281114</t>
  </si>
  <si>
    <t>SET110-KR-PP-S</t>
  </si>
  <si>
    <t>KALABURGI</t>
  </si>
  <si>
    <t>403-3410267-0750719</t>
  </si>
  <si>
    <t>403-9122678-2549117</t>
  </si>
  <si>
    <t>Rangareddy</t>
  </si>
  <si>
    <t>402-7676083-2016323</t>
  </si>
  <si>
    <t>404-7830524-8312347</t>
  </si>
  <si>
    <t>402-5917367-0340362</t>
  </si>
  <si>
    <t>J0416-DR-S</t>
  </si>
  <si>
    <t>408-7154712-8009957</t>
  </si>
  <si>
    <t>402-6250862-8853945</t>
  </si>
  <si>
    <t>SET310-KR-NP-XXL</t>
  </si>
  <si>
    <t>DHARMANAGAR</t>
  </si>
  <si>
    <t>TRIPURA</t>
  </si>
  <si>
    <t>406-0002738-2742749</t>
  </si>
  <si>
    <t>SET188-KR-NP-XS</t>
  </si>
  <si>
    <t>403-6658095-6765934</t>
  </si>
  <si>
    <t>J0096-KR-XS</t>
  </si>
  <si>
    <t>Jhajjar</t>
  </si>
  <si>
    <t>402-7304691-3952343</t>
  </si>
  <si>
    <t>SET323-KR-NP-XXL</t>
  </si>
  <si>
    <t>407-6959497-7065133</t>
  </si>
  <si>
    <t>406-0117804-3287554</t>
  </si>
  <si>
    <t>JAMSHEDPUR</t>
  </si>
  <si>
    <t>407-9183800-1013951</t>
  </si>
  <si>
    <t>PJNE2100-KR-N-5XL</t>
  </si>
  <si>
    <t>405-0930056-6437111</t>
  </si>
  <si>
    <t>PJNE3068-KR-5XL</t>
  </si>
  <si>
    <t>MEERUT</t>
  </si>
  <si>
    <t>405-7472210-7516334</t>
  </si>
  <si>
    <t>J0196-TP-XXL</t>
  </si>
  <si>
    <t>408-4366006-6437145</t>
  </si>
  <si>
    <t>403-3676854-5721945</t>
  </si>
  <si>
    <t>SET187-KR-DH-XL</t>
  </si>
  <si>
    <t>GORAKHPUR</t>
  </si>
  <si>
    <t>408-6618566-0057120</t>
  </si>
  <si>
    <t>SET389-KR-NP-XL</t>
  </si>
  <si>
    <t>MUDBIDRI</t>
  </si>
  <si>
    <t>171-7822891-4076363</t>
  </si>
  <si>
    <t>VASCO DA GAMA</t>
  </si>
  <si>
    <t>406-3015774-3032307</t>
  </si>
  <si>
    <t>SAR040</t>
  </si>
  <si>
    <t>NADIAD</t>
  </si>
  <si>
    <t>407-8925293-2306747</t>
  </si>
  <si>
    <t>J0372-SKD-L</t>
  </si>
  <si>
    <t>Janipur</t>
  </si>
  <si>
    <t>402-7386453-2621962</t>
  </si>
  <si>
    <t>Nagpur</t>
  </si>
  <si>
    <t>405-7939580-3974740</t>
  </si>
  <si>
    <t>J0376-SKD-S</t>
  </si>
  <si>
    <t>402-1304000-3677964</t>
  </si>
  <si>
    <t>JNE3518-KR-M</t>
  </si>
  <si>
    <t>403-7294367-8346767</t>
  </si>
  <si>
    <t>J0095-SET-XXXL</t>
  </si>
  <si>
    <t>NW004-TP-PJ-XXXL</t>
  </si>
  <si>
    <t>406-3069661-8992322</t>
  </si>
  <si>
    <t>J0167-KR-S</t>
  </si>
  <si>
    <t>KANPURKanpur</t>
  </si>
  <si>
    <t>405-6917473-7822701</t>
  </si>
  <si>
    <t>SET374-KR-NP-XXXL</t>
  </si>
  <si>
    <t>405-2853362-9249968</t>
  </si>
  <si>
    <t>408-5685967-2798764</t>
  </si>
  <si>
    <t>Hamirpur</t>
  </si>
  <si>
    <t>407-1521483-6236364</t>
  </si>
  <si>
    <t>SET331-KR-NP-M</t>
  </si>
  <si>
    <t>407-3192826-3199543</t>
  </si>
  <si>
    <t>SET356-KR-NP-L</t>
  </si>
  <si>
    <t>AMRITSAR</t>
  </si>
  <si>
    <t>405-6680529-6046716</t>
  </si>
  <si>
    <t>407-3789221-2643524</t>
  </si>
  <si>
    <t>171-0201364-0214715</t>
  </si>
  <si>
    <t>SET293-KR-NP-XXL</t>
  </si>
  <si>
    <t>PALI</t>
  </si>
  <si>
    <t>404-5782230-8762723</t>
  </si>
  <si>
    <t>BASSEIN</t>
  </si>
  <si>
    <t>404-2222453-6739538</t>
  </si>
  <si>
    <t>SET375-KR-NP-XXL</t>
  </si>
  <si>
    <t>408-7009060-8830716</t>
  </si>
  <si>
    <t>THIRUVALLA</t>
  </si>
  <si>
    <t>402-3663529-2350713</t>
  </si>
  <si>
    <t>406-6439645-8186752</t>
  </si>
  <si>
    <t>407-1487637-6585969</t>
  </si>
  <si>
    <t>407-0632004-8093157</t>
  </si>
  <si>
    <t>402-9211704-8331565</t>
  </si>
  <si>
    <t>JNE3273-KR-XXL</t>
  </si>
  <si>
    <t>AMBASAMUDRAM</t>
  </si>
  <si>
    <t>402-3020801-9225151</t>
  </si>
  <si>
    <t>SET331-KR-NP-L</t>
  </si>
  <si>
    <t>Pathanamthitta</t>
  </si>
  <si>
    <t>403-3917470-4280308</t>
  </si>
  <si>
    <t>JNE3518-KR-XL</t>
  </si>
  <si>
    <t>JNE3476-KR-XL</t>
  </si>
  <si>
    <t>171-2628906-0061939</t>
  </si>
  <si>
    <t>JNE3738-KR-XXXL</t>
  </si>
  <si>
    <t>406-3009249-7653118</t>
  </si>
  <si>
    <t>JNE3465-KR-XS</t>
  </si>
  <si>
    <t>Vizianagaram</t>
  </si>
  <si>
    <t>171-6395980-8828309</t>
  </si>
  <si>
    <t>JNE3463-KR-XXXL</t>
  </si>
  <si>
    <t>CHITTOOR district</t>
  </si>
  <si>
    <t>404-1435490-1121140</t>
  </si>
  <si>
    <t>MEN5032-KR-XXL</t>
  </si>
  <si>
    <t>402-7913336-9467565</t>
  </si>
  <si>
    <t>SET380-KR-NP-L</t>
  </si>
  <si>
    <t>RAE BARELI</t>
  </si>
  <si>
    <t>408-7264030-5002700</t>
  </si>
  <si>
    <t>J0230-SKD-M</t>
  </si>
  <si>
    <t>Benipur</t>
  </si>
  <si>
    <t>408-9019983-8862750</t>
  </si>
  <si>
    <t>405-1990663-9192363</t>
  </si>
  <si>
    <t>KHATIMA</t>
  </si>
  <si>
    <t>403-5876876-0701925</t>
  </si>
  <si>
    <t>ERODE</t>
  </si>
  <si>
    <t>405-1437048-4974713</t>
  </si>
  <si>
    <t>402-9348518-5984354</t>
  </si>
  <si>
    <t>JNE3611-KR-XXXL</t>
  </si>
  <si>
    <t>406-8892825-4377127</t>
  </si>
  <si>
    <t>406-7955475-7819507</t>
  </si>
  <si>
    <t>JNE3784-KR-M</t>
  </si>
  <si>
    <t>405-6675358-3715504</t>
  </si>
  <si>
    <t>SET114-KR-PP-XS</t>
  </si>
  <si>
    <t>Ulhasnagar</t>
  </si>
  <si>
    <t>171-7920358-6691543</t>
  </si>
  <si>
    <t>406-7722012-4093964</t>
  </si>
  <si>
    <t>J0385-KR-M</t>
  </si>
  <si>
    <t>INDORE</t>
  </si>
  <si>
    <t>408-7616878-8551517</t>
  </si>
  <si>
    <t>SET347-KR-NP-L</t>
  </si>
  <si>
    <t>HALWARA</t>
  </si>
  <si>
    <t>408-8068196-8707526</t>
  </si>
  <si>
    <t>JNE3437-KR-XXL</t>
  </si>
  <si>
    <t>407-2512537-5717124</t>
  </si>
  <si>
    <t>JNE3065-KR-XXL</t>
  </si>
  <si>
    <t>406-3257301-5556318</t>
  </si>
  <si>
    <t>J0343-DR-XXL</t>
  </si>
  <si>
    <t>Neelakudi, Thiruvarur</t>
  </si>
  <si>
    <t>402-7784273-3159533</t>
  </si>
  <si>
    <t>J0119-TP-XL</t>
  </si>
  <si>
    <t>403-9745522-7408318</t>
  </si>
  <si>
    <t>405-7523500-6097912</t>
  </si>
  <si>
    <t>J0334-TP-XL</t>
  </si>
  <si>
    <t>171-0947491-1860302</t>
  </si>
  <si>
    <t>J0236-SKD-XXL</t>
  </si>
  <si>
    <t>407-9614308-2636322</t>
  </si>
  <si>
    <t>J0126-SKD-XXXL</t>
  </si>
  <si>
    <t>171-6153595-4758722</t>
  </si>
  <si>
    <t>402-0721169-8180327</t>
  </si>
  <si>
    <t>J0230-SKD-XL</t>
  </si>
  <si>
    <t>406-9129776-9779513</t>
  </si>
  <si>
    <t>SET171-KR-NP-M</t>
  </si>
  <si>
    <t>SHIMLA</t>
  </si>
  <si>
    <t>406-4276465-0364334</t>
  </si>
  <si>
    <t>402-8123545-4535558</t>
  </si>
  <si>
    <t>JNE3365-KR-1052-A-XXXL</t>
  </si>
  <si>
    <t>408-0987613-5525924</t>
  </si>
  <si>
    <t>DARBHANGA</t>
  </si>
  <si>
    <t>406-0038568-0852338</t>
  </si>
  <si>
    <t>BURDWAN</t>
  </si>
  <si>
    <t>403-5684700-6277902</t>
  </si>
  <si>
    <t>403-2561797-6193141</t>
  </si>
  <si>
    <t>J0012-SKD-XXL</t>
  </si>
  <si>
    <t>406-4980665-9833930</t>
  </si>
  <si>
    <t>J0308-DR-M</t>
  </si>
  <si>
    <t>405-9201316-2870743</t>
  </si>
  <si>
    <t>J0117-TP-XXL</t>
  </si>
  <si>
    <t>MIHAN</t>
  </si>
  <si>
    <t>408-7966317-7457928</t>
  </si>
  <si>
    <t>171-0983521-4425145</t>
  </si>
  <si>
    <t>403-5847066-2369918</t>
  </si>
  <si>
    <t>KHURJA</t>
  </si>
  <si>
    <t>404-9771516-3764302</t>
  </si>
  <si>
    <t>405-0534257-8109938</t>
  </si>
  <si>
    <t>171-5702903-4981901</t>
  </si>
  <si>
    <t>SET265-KR-NP-XS</t>
  </si>
  <si>
    <t>406-6474243-1265115</t>
  </si>
  <si>
    <t>SET433-KR-NP-XL</t>
  </si>
  <si>
    <t>Choglamsar</t>
  </si>
  <si>
    <t>LADAKH</t>
  </si>
  <si>
    <t>405-3523941-5355524</t>
  </si>
  <si>
    <t>JNE3769-KR-L</t>
  </si>
  <si>
    <t>403-5082537-8368348</t>
  </si>
  <si>
    <t>JNE3468-KR-XXXL</t>
  </si>
  <si>
    <t>408-5947919-3506726</t>
  </si>
  <si>
    <t>YAVATMAL</t>
  </si>
  <si>
    <t>408-6114783-6199528</t>
  </si>
  <si>
    <t>J0154-DR-XXL</t>
  </si>
  <si>
    <t>Allahabad</t>
  </si>
  <si>
    <t>J0154-DR-XS</t>
  </si>
  <si>
    <t>408-9630926-2785104</t>
  </si>
  <si>
    <t>SET268-KR-NP-M</t>
  </si>
  <si>
    <t>REDHAKHOL</t>
  </si>
  <si>
    <t>403-5342526-7867558</t>
  </si>
  <si>
    <t>MEN5019-KR-XXXL</t>
  </si>
  <si>
    <t>FARIDABAD</t>
  </si>
  <si>
    <t>404-2255125-4533134</t>
  </si>
  <si>
    <t>SET333-KR-DPT-XS</t>
  </si>
  <si>
    <t>171-5594281-0212357</t>
  </si>
  <si>
    <t>SET110-KR-PP-XXXL</t>
  </si>
  <si>
    <t>405-6041428-1576346</t>
  </si>
  <si>
    <t>405-5933927-3375545</t>
  </si>
  <si>
    <t>405-3785331-3948333</t>
  </si>
  <si>
    <t>404-8711304-7038702</t>
  </si>
  <si>
    <t>405-2872303-9941933</t>
  </si>
  <si>
    <t>PJNE2171-KR-N-5XL</t>
  </si>
  <si>
    <t>402-6464284-9643538</t>
  </si>
  <si>
    <t>SET310-KR-NP-S</t>
  </si>
  <si>
    <t>FARIDPUR BAREILLY DISTRICT</t>
  </si>
  <si>
    <t>405-7534473-2900341</t>
  </si>
  <si>
    <t>Rourkela</t>
  </si>
  <si>
    <t>407-2944929-6438702</t>
  </si>
  <si>
    <t>SET219-KR-PP-XXXL</t>
  </si>
  <si>
    <t>171-0362861-1228360</t>
  </si>
  <si>
    <t>J0096-KR-XL</t>
  </si>
  <si>
    <t>VIZIANAGARAM</t>
  </si>
  <si>
    <t>404-5775216-5570767</t>
  </si>
  <si>
    <t>JNE3562-KR-XXL</t>
  </si>
  <si>
    <t>171-2754000-1881907</t>
  </si>
  <si>
    <t>JNE3745-KR-S</t>
  </si>
  <si>
    <t>DHARWAD</t>
  </si>
  <si>
    <t>408-2784061-1695540</t>
  </si>
  <si>
    <t>DAULATPUR</t>
  </si>
  <si>
    <t>403-8794854-0523518</t>
  </si>
  <si>
    <t>JNE3795-KR-XS</t>
  </si>
  <si>
    <t>404-4680896-8003501</t>
  </si>
  <si>
    <t>SET397-KR-NP-XXL</t>
  </si>
  <si>
    <t>JALNA</t>
  </si>
  <si>
    <t>405-8314081-3929157</t>
  </si>
  <si>
    <t>JNE3365-KR-1052-A-M</t>
  </si>
  <si>
    <t>KARIMNAGAR</t>
  </si>
  <si>
    <t>406-1694518-5618746</t>
  </si>
  <si>
    <t>408-5094125-1397968</t>
  </si>
  <si>
    <t>SET145-KR-NP-S</t>
  </si>
  <si>
    <t>402-6569321-5308311</t>
  </si>
  <si>
    <t>ARVI,Dist- wardha</t>
  </si>
  <si>
    <t>406-5828889-4813915</t>
  </si>
  <si>
    <t>402-4832715-9188334</t>
  </si>
  <si>
    <t>Kurseong</t>
  </si>
  <si>
    <t>408-9898972-5365901</t>
  </si>
  <si>
    <t>SET220-KR-PP-XL</t>
  </si>
  <si>
    <t>408-7275140-3593905</t>
  </si>
  <si>
    <t>NANDURA</t>
  </si>
  <si>
    <t>405-7907546-1330739</t>
  </si>
  <si>
    <t>JNE3371-KR-XXXL</t>
  </si>
  <si>
    <t>DIU</t>
  </si>
  <si>
    <t>DADRA AND NAGAR</t>
  </si>
  <si>
    <t>405-7732656-4733913</t>
  </si>
  <si>
    <t>JNE3487-KR-XXXL</t>
  </si>
  <si>
    <t>JNE3702-KR-XXXL</t>
  </si>
  <si>
    <t>JNE3461-KR-XXXL</t>
  </si>
  <si>
    <t>171-5431988-8713937</t>
  </si>
  <si>
    <t>JNE3739-KR-L</t>
  </si>
  <si>
    <t>MUMBAI 400101</t>
  </si>
  <si>
    <t>171-6687746-4020351</t>
  </si>
  <si>
    <t>SET265-KR-NP-L</t>
  </si>
  <si>
    <t>403-3045245-2207560</t>
  </si>
  <si>
    <t>405-4991185-1773106</t>
  </si>
  <si>
    <t>403-6782192-8968326</t>
  </si>
  <si>
    <t>SET343-KR-NP-XXL</t>
  </si>
  <si>
    <t>171-6640050-9516349</t>
  </si>
  <si>
    <t>JNE3534-KR-XS</t>
  </si>
  <si>
    <t>PONNERI</t>
  </si>
  <si>
    <t>402-5014156-9264316</t>
  </si>
  <si>
    <t>408-8342548-5107567</t>
  </si>
  <si>
    <t>404-7769149-3935539</t>
  </si>
  <si>
    <t>SERAMPORE</t>
  </si>
  <si>
    <t>402-5903377-6817119</t>
  </si>
  <si>
    <t>J0094-KR-M</t>
  </si>
  <si>
    <t>Kinnigoli</t>
  </si>
  <si>
    <t>405-6584819-2669165</t>
  </si>
  <si>
    <t>405-9099443-7445111</t>
  </si>
  <si>
    <t>SET364-KR-NP-XXL</t>
  </si>
  <si>
    <t>MIRZAPUR CUM VINDHYACHAL</t>
  </si>
  <si>
    <t>408-3810333-4165930</t>
  </si>
  <si>
    <t>JNE2265-KR-501-XL</t>
  </si>
  <si>
    <t>405-0881145-7742744</t>
  </si>
  <si>
    <t>JNE3690-TU-S</t>
  </si>
  <si>
    <t>403-7153786-2898705</t>
  </si>
  <si>
    <t>SET347-KR-NP-XL</t>
  </si>
  <si>
    <t>408-2042136-9817130</t>
  </si>
  <si>
    <t>407-8176931-5052349</t>
  </si>
  <si>
    <t>JNE1998-KR-311-S</t>
  </si>
  <si>
    <t>407-3305249-3442711</t>
  </si>
  <si>
    <t>JNE3715-KR-S</t>
  </si>
  <si>
    <t>403-5215681-9527524</t>
  </si>
  <si>
    <t>408-3749874-2210712</t>
  </si>
  <si>
    <t>DIBRUGARH</t>
  </si>
  <si>
    <t>406-6143137-4946754</t>
  </si>
  <si>
    <t>BL003-50BLACK</t>
  </si>
  <si>
    <t>403-3797724-0896348</t>
  </si>
  <si>
    <t>407-3778695-8884327</t>
  </si>
  <si>
    <t>402-6454286-3321909</t>
  </si>
  <si>
    <t>Deganga</t>
  </si>
  <si>
    <t>402-9138974-2250726</t>
  </si>
  <si>
    <t>MEN5005-KR-XXXL</t>
  </si>
  <si>
    <t>MEN5028-KR-XXL</t>
  </si>
  <si>
    <t>408-4193711-8156307</t>
  </si>
  <si>
    <t>J0215-BL-L</t>
  </si>
  <si>
    <t>KARIMGANJ</t>
  </si>
  <si>
    <t>404-5546156-4947565</t>
  </si>
  <si>
    <t>408-0902233-8069950</t>
  </si>
  <si>
    <t>JNE3714-KR-L</t>
  </si>
  <si>
    <t>171-7821391-2118700</t>
  </si>
  <si>
    <t>PJNE2199-KR-N-6XL</t>
  </si>
  <si>
    <t>ALATHUR</t>
  </si>
  <si>
    <t>171-3764328-7297105</t>
  </si>
  <si>
    <t>JNE3634-KR-M</t>
  </si>
  <si>
    <t>Aluva</t>
  </si>
  <si>
    <t>406-5700980-4110708</t>
  </si>
  <si>
    <t>406-4317049-7021127</t>
  </si>
  <si>
    <t>408-0738576-5377963</t>
  </si>
  <si>
    <t>JNE3421-KR-N-L</t>
  </si>
  <si>
    <t>171-6112262-4294731</t>
  </si>
  <si>
    <t>CHENGAMANAD</t>
  </si>
  <si>
    <t>402-0069978-7444377</t>
  </si>
  <si>
    <t>407-6451607-8520320</t>
  </si>
  <si>
    <t>407-6825420-7253915</t>
  </si>
  <si>
    <t>171-2497796-8649164</t>
  </si>
  <si>
    <t>NIZAMABAD</t>
  </si>
  <si>
    <t>405-3921640-0927553</t>
  </si>
  <si>
    <t>LONI KALBHOR</t>
  </si>
  <si>
    <t>402-8291421-3780342</t>
  </si>
  <si>
    <t>KHELARI</t>
  </si>
  <si>
    <t>407-4549939-3485945</t>
  </si>
  <si>
    <t>SET285-KR-SHA-XS</t>
  </si>
  <si>
    <t>Mira road</t>
  </si>
  <si>
    <t>403-3597087-4521139</t>
  </si>
  <si>
    <t>JNE3394-KR-A-XL</t>
  </si>
  <si>
    <t>171-9016873-6719541</t>
  </si>
  <si>
    <t>SET356-KR-NP-XL</t>
  </si>
  <si>
    <t>GHAZIPUR</t>
  </si>
  <si>
    <t>171-3693730-4530754</t>
  </si>
  <si>
    <t>404-0541321-3023502</t>
  </si>
  <si>
    <t>402-1600884-0332308</t>
  </si>
  <si>
    <t>JNE3468-KR-XXL</t>
  </si>
  <si>
    <t>402-0229417-2609936</t>
  </si>
  <si>
    <t>J0343-DR-XXXL</t>
  </si>
  <si>
    <t>403-0131049-2132337</t>
  </si>
  <si>
    <t>171-4573948-3966741</t>
  </si>
  <si>
    <t>J0380-SKD-XXXL</t>
  </si>
  <si>
    <t>KATIHAR</t>
  </si>
  <si>
    <t>171-0211853-1251554</t>
  </si>
  <si>
    <t>J0382-SKD-XL</t>
  </si>
  <si>
    <t>404-3699924-2837921</t>
  </si>
  <si>
    <t>405-0457160-2123517</t>
  </si>
  <si>
    <t>NAGERCOIL</t>
  </si>
  <si>
    <t>408-6862973-4520309</t>
  </si>
  <si>
    <t>171-7679971-0310752</t>
  </si>
  <si>
    <t>KOTHAGUDEM</t>
  </si>
  <si>
    <t>171-3669717-3172330</t>
  </si>
  <si>
    <t>BHINDER</t>
  </si>
  <si>
    <t>403-9724686-7777903</t>
  </si>
  <si>
    <t>PJNE3399-KR-N-6XL</t>
  </si>
  <si>
    <t>403-8306900-1833930</t>
  </si>
  <si>
    <t>PJNE3068-KR-6XL</t>
  </si>
  <si>
    <t>403-1962150-0618711</t>
  </si>
  <si>
    <t>403-1632972-2861963</t>
  </si>
  <si>
    <t>JNE3468-KR-XL</t>
  </si>
  <si>
    <t>403-9533906-1728355</t>
  </si>
  <si>
    <t>JALANDHAR</t>
  </si>
  <si>
    <t>171-1269122-8425943</t>
  </si>
  <si>
    <t>J0236-SKD-S</t>
  </si>
  <si>
    <t>NARASAPUR</t>
  </si>
  <si>
    <t>171-2937341-8703561</t>
  </si>
  <si>
    <t>PALAKKAD</t>
  </si>
  <si>
    <t>406-5206188-8892351</t>
  </si>
  <si>
    <t>PARVATHIPURAM</t>
  </si>
  <si>
    <t>405-5228379-1065951</t>
  </si>
  <si>
    <t>406-3236326-4964331</t>
  </si>
  <si>
    <t>JNE3799-KR-XS</t>
  </si>
  <si>
    <t>408-3364449-3401947</t>
  </si>
  <si>
    <t>SET121-KR-NP-XS</t>
  </si>
  <si>
    <t>402-7682157-9147503</t>
  </si>
  <si>
    <t>405-1515003-2007535</t>
  </si>
  <si>
    <t>J0202-TP-XXL</t>
  </si>
  <si>
    <t>408-8569813-9288333</t>
  </si>
  <si>
    <t>J0014-LCD-S</t>
  </si>
  <si>
    <t>SATNA</t>
  </si>
  <si>
    <t>404-0867714-0772302</t>
  </si>
  <si>
    <t>Padur</t>
  </si>
  <si>
    <t>JNE3396-KR-XL</t>
  </si>
  <si>
    <t>402-1704468-7240327</t>
  </si>
  <si>
    <t>JNE3609-KR-XXL</t>
  </si>
  <si>
    <t>MADURAI</t>
  </si>
  <si>
    <t>406-5757669-2996307</t>
  </si>
  <si>
    <t>407-1492215-2982709</t>
  </si>
  <si>
    <t>JNE3775-KR-S</t>
  </si>
  <si>
    <t>171-2119982-7294757</t>
  </si>
  <si>
    <t>BALLIA</t>
  </si>
  <si>
    <t>407-1684475-5197113</t>
  </si>
  <si>
    <t>404-4568279-0273125</t>
  </si>
  <si>
    <t>J0301-TP-XXL</t>
  </si>
  <si>
    <t>403-9752008-2541919</t>
  </si>
  <si>
    <t>JNE3659-TP-N-L</t>
  </si>
  <si>
    <t>403-3896686-3972343</t>
  </si>
  <si>
    <t>JNE3652-TP-N-L</t>
  </si>
  <si>
    <t>408-5238024-3207538</t>
  </si>
  <si>
    <t>SET192-KR-NP-XXXL</t>
  </si>
  <si>
    <t>DEVARAKONDA</t>
  </si>
  <si>
    <t>403-9336057-8075519</t>
  </si>
  <si>
    <t>406-6070472-3313109</t>
  </si>
  <si>
    <t>THRISSUR</t>
  </si>
  <si>
    <t>407-0828621-5564309</t>
  </si>
  <si>
    <t>402-7281943-2634753</t>
  </si>
  <si>
    <t>J0336-TP-XXXL</t>
  </si>
  <si>
    <t>408-3364643-8111517</t>
  </si>
  <si>
    <t>402-9327280-6831502</t>
  </si>
  <si>
    <t>SET187-KR-DH-M</t>
  </si>
  <si>
    <t>405-8803159-2662729</t>
  </si>
  <si>
    <t>JNE3409-KR-S</t>
  </si>
  <si>
    <t>SET345-KR-NP-S</t>
  </si>
  <si>
    <t>405-3441275-4039543</t>
  </si>
  <si>
    <t>406-2890663-9523509</t>
  </si>
  <si>
    <t>402-1430516-9436331</t>
  </si>
  <si>
    <t>171-7949350-6828319</t>
  </si>
  <si>
    <t>171-2964083-5815566</t>
  </si>
  <si>
    <t>406-9789934-2845967</t>
  </si>
  <si>
    <t>JNE3800-KR-XL</t>
  </si>
  <si>
    <t>405-9399780-0313164</t>
  </si>
  <si>
    <t>J0228-SKD-S</t>
  </si>
  <si>
    <t>404-9635079-7600310</t>
  </si>
  <si>
    <t>J0119-TP-XXL</t>
  </si>
  <si>
    <t>DANGUWAPASI</t>
  </si>
  <si>
    <t>171-6983189-6050757</t>
  </si>
  <si>
    <t>DHEMAJI</t>
  </si>
  <si>
    <t>171-3884714-3945906</t>
  </si>
  <si>
    <t>PULGAON</t>
  </si>
  <si>
    <t>405-1693679-3068331</t>
  </si>
  <si>
    <t>JNE3562-KR-XL</t>
  </si>
  <si>
    <t>AKATHIYOOR</t>
  </si>
  <si>
    <t>402-4804971-8591532</t>
  </si>
  <si>
    <t>JNE3818-KR-M</t>
  </si>
  <si>
    <t>Shakarpur</t>
  </si>
  <si>
    <t>JNE3712-TP-N-M</t>
  </si>
  <si>
    <t>405-1597244-8205967</t>
  </si>
  <si>
    <t>403-9610979-2949958</t>
  </si>
  <si>
    <t>JNE3423-KR-XL</t>
  </si>
  <si>
    <t>405-1911317-3604322</t>
  </si>
  <si>
    <t>Imphal east</t>
  </si>
  <si>
    <t>404-7251284-9387528</t>
  </si>
  <si>
    <t>J0023-TP-XXL</t>
  </si>
  <si>
    <t>403-4512253-4789948</t>
  </si>
  <si>
    <t>CHEBROLU</t>
  </si>
  <si>
    <t>408-1348466-1321955</t>
  </si>
  <si>
    <t>JNE2032-KR-205-XXXL</t>
  </si>
  <si>
    <t>171-0490216-5028364</t>
  </si>
  <si>
    <t>JNE3560-KR-L</t>
  </si>
  <si>
    <t>Alappuzha</t>
  </si>
  <si>
    <t>406-5421335-3440327</t>
  </si>
  <si>
    <t>AKBARPUR</t>
  </si>
  <si>
    <t>405-6836135-6312327</t>
  </si>
  <si>
    <t>JNE3706-DR-L</t>
  </si>
  <si>
    <t>171-0689935-4850722</t>
  </si>
  <si>
    <t>NABAGRAM COLONY</t>
  </si>
  <si>
    <t>403-9835374-1565102</t>
  </si>
  <si>
    <t>SET398-KR-PP-XS</t>
  </si>
  <si>
    <t>403-8625708-2309901</t>
  </si>
  <si>
    <t>J0294-TP-XS</t>
  </si>
  <si>
    <t>403-6616419-0658741</t>
  </si>
  <si>
    <t>171-5550949-7914705</t>
  </si>
  <si>
    <t>J0095-SET-XXL</t>
  </si>
  <si>
    <t>KOZHIKODE</t>
  </si>
  <si>
    <t>408-9407260-0749114</t>
  </si>
  <si>
    <t>JNE3463-KR-L</t>
  </si>
  <si>
    <t>408-4453138-1209128</t>
  </si>
  <si>
    <t>JNE3546-KR-L</t>
  </si>
  <si>
    <t>402-4934568-7802706</t>
  </si>
  <si>
    <t>JNE3764-KR-XL</t>
  </si>
  <si>
    <t>405-9862364-7636347</t>
  </si>
  <si>
    <t>SET331-KR-NP-XXXL</t>
  </si>
  <si>
    <t>NELAMANGALA</t>
  </si>
  <si>
    <t>405-7713713-9002732</t>
  </si>
  <si>
    <t>J0278-SET-XXXL</t>
  </si>
  <si>
    <t>SET319-KR-NP-XXXL</t>
  </si>
  <si>
    <t>406-8536478-4581952</t>
  </si>
  <si>
    <t>J0117-TP-S</t>
  </si>
  <si>
    <t>KOTPAD, Koraput</t>
  </si>
  <si>
    <t>407-0533151-5470709</t>
  </si>
  <si>
    <t>404-6783850-0597940</t>
  </si>
  <si>
    <t>JNE3870-DR-XL</t>
  </si>
  <si>
    <t>407-3030317-4521947</t>
  </si>
  <si>
    <t>JNE3784-KR-L</t>
  </si>
  <si>
    <t>402-0093786-0156303</t>
  </si>
  <si>
    <t>SET287-KR-NP-M</t>
  </si>
  <si>
    <t>171-3705534-0250736</t>
  </si>
  <si>
    <t>JNE3567-KR-L</t>
  </si>
  <si>
    <t>408-9408562-5254749</t>
  </si>
  <si>
    <t>J0372-SKD-M</t>
  </si>
  <si>
    <t>403-4739886-5496325</t>
  </si>
  <si>
    <t>ALAPPUZHA</t>
  </si>
  <si>
    <t>171-9312177-9903551</t>
  </si>
  <si>
    <t>J0139-KR-XXXL</t>
  </si>
  <si>
    <t>171-3255381-0489121</t>
  </si>
  <si>
    <t>J0097-KR-XXXL</t>
  </si>
  <si>
    <t>408-4584840-2787538</t>
  </si>
  <si>
    <t>408-5118229-6373917</t>
  </si>
  <si>
    <t>JNE3399-KR-XL</t>
  </si>
  <si>
    <t>403-0707216-6170737</t>
  </si>
  <si>
    <t>SET182-KR-DH-XXXL</t>
  </si>
  <si>
    <t>BAREILLY</t>
  </si>
  <si>
    <t>403-3258819-8018763</t>
  </si>
  <si>
    <t>408-2491878-4865146</t>
  </si>
  <si>
    <t>405-7190860-0329952</t>
  </si>
  <si>
    <t>402-0164950-5496362</t>
  </si>
  <si>
    <t>SET304-KR-DPT-XL</t>
  </si>
  <si>
    <t>404-3821323-1636305</t>
  </si>
  <si>
    <t>408-3649698-8803541</t>
  </si>
  <si>
    <t>SET356-KR-NP-XXL</t>
  </si>
  <si>
    <t>405-3694403-2551528</t>
  </si>
  <si>
    <t>SET110-KR-PP-XS</t>
  </si>
  <si>
    <t>TIRORA</t>
  </si>
  <si>
    <t>405-6593194-1742748</t>
  </si>
  <si>
    <t>ZIRAKPUR</t>
  </si>
  <si>
    <t>403-7086967-7558701</t>
  </si>
  <si>
    <t>171-5927080-9153924</t>
  </si>
  <si>
    <t>406-5651070-7367520</t>
  </si>
  <si>
    <t>405-1952513-5416327</t>
  </si>
  <si>
    <t>406-8112035-0609144</t>
  </si>
  <si>
    <t>AJMER</t>
  </si>
  <si>
    <t>407-6114533-2816312</t>
  </si>
  <si>
    <t>JNE3722-KR-L</t>
  </si>
  <si>
    <t>MADIKERI</t>
  </si>
  <si>
    <t>407-6002733-2903540</t>
  </si>
  <si>
    <t>JNE3480-KR-M</t>
  </si>
  <si>
    <t>403-1068845-1092310</t>
  </si>
  <si>
    <t>SET014-KR-PP-M</t>
  </si>
  <si>
    <t>407-3001310-2482707</t>
  </si>
  <si>
    <t>Thrissur</t>
  </si>
  <si>
    <t>402-9024954-3597923</t>
  </si>
  <si>
    <t>404-6763777-8680366</t>
  </si>
  <si>
    <t>MEN5007-KR-M</t>
  </si>
  <si>
    <t>405-6167247-7769908</t>
  </si>
  <si>
    <t>404-3190952-7345128</t>
  </si>
  <si>
    <t>J0339-DR-XL</t>
  </si>
  <si>
    <t>407-4179560-9885921</t>
  </si>
  <si>
    <t>JNE3784-KR-XXXL</t>
  </si>
  <si>
    <t>405-4515494-3244302</t>
  </si>
  <si>
    <t>404-0812833-5129124</t>
  </si>
  <si>
    <t>403-9928712-6587519</t>
  </si>
  <si>
    <t>Dungarpur</t>
  </si>
  <si>
    <t>404-5314568-1043519</t>
  </si>
  <si>
    <t>PANCHKULA</t>
  </si>
  <si>
    <t>402-8207665-7247536</t>
  </si>
  <si>
    <t>403-3814019-1141952</t>
  </si>
  <si>
    <t>DHOLKA</t>
  </si>
  <si>
    <t>403-5049239-4135545</t>
  </si>
  <si>
    <t>DALTONGANJ</t>
  </si>
  <si>
    <t>405-6344744-8777959</t>
  </si>
  <si>
    <t>405-0654626-6276321</t>
  </si>
  <si>
    <t>JNE3894-TP-M</t>
  </si>
  <si>
    <t>BATHINDA</t>
  </si>
  <si>
    <t>403-9647049-8100304</t>
  </si>
  <si>
    <t>JNE3543-KR-XL</t>
  </si>
  <si>
    <t>407-3546546-1957155</t>
  </si>
  <si>
    <t>404-4807357-2693108</t>
  </si>
  <si>
    <t>404-4911741-3341902</t>
  </si>
  <si>
    <t>MEN5027-KR-XL</t>
  </si>
  <si>
    <t>404-1580706-8406729</t>
  </si>
  <si>
    <t>MEN5006-KR-XL</t>
  </si>
  <si>
    <t>404-6525036-6681154</t>
  </si>
  <si>
    <t>JNE3806-KR-L</t>
  </si>
  <si>
    <t>408-6862949-2369917</t>
  </si>
  <si>
    <t>JNE3870-DR-XXXL</t>
  </si>
  <si>
    <t>403-4522038-5418732</t>
  </si>
  <si>
    <t>405-9510649-7934734</t>
  </si>
  <si>
    <t>KAMATGI,Hunugund taluk,Bagalkot district</t>
  </si>
  <si>
    <t>408-2170248-9556321</t>
  </si>
  <si>
    <t>171-1747399-1165911</t>
  </si>
  <si>
    <t>408-1752203-1767518</t>
  </si>
  <si>
    <t>SET349-KR-NP-XS</t>
  </si>
  <si>
    <t>402-6953218-8797919</t>
  </si>
  <si>
    <t>JNE3465-KR-XL</t>
  </si>
  <si>
    <t>407-3644990-7729144</t>
  </si>
  <si>
    <t>J0343-DR-XL</t>
  </si>
  <si>
    <t>406-9906656-5128304</t>
  </si>
  <si>
    <t>171-8345794-3569957</t>
  </si>
  <si>
    <t>MEN5021-KR-M</t>
  </si>
  <si>
    <t>403-9545828-0603523</t>
  </si>
  <si>
    <t>408-8140052-8753913</t>
  </si>
  <si>
    <t>MEN5031-KR-S</t>
  </si>
  <si>
    <t>406-7221225-8921144</t>
  </si>
  <si>
    <t>406-4803324-2221109</t>
  </si>
  <si>
    <t>ARNI</t>
  </si>
  <si>
    <t>407-5470882-4765942</t>
  </si>
  <si>
    <t>403-0373263-7181928</t>
  </si>
  <si>
    <t>SET098-KR-PP-S</t>
  </si>
  <si>
    <t>405-3139781-4240349</t>
  </si>
  <si>
    <t>SET278-KR-NP-S</t>
  </si>
  <si>
    <t>MORBI</t>
  </si>
  <si>
    <t>404-4771108-9660348</t>
  </si>
  <si>
    <t>JNE3294-KR-XXL</t>
  </si>
  <si>
    <t>407-4616863-5212363</t>
  </si>
  <si>
    <t>SET363-KR-NP-M</t>
  </si>
  <si>
    <t>Jorhat</t>
  </si>
  <si>
    <t>405-5863149-6577918</t>
  </si>
  <si>
    <t>Bantwal</t>
  </si>
  <si>
    <t>406-7524766-1454768</t>
  </si>
  <si>
    <t>SET282-KR-PP-XXXL</t>
  </si>
  <si>
    <t>408-6818789-4965132</t>
  </si>
  <si>
    <t>402-1038454-4297969</t>
  </si>
  <si>
    <t>J0414-DR-XXXL</t>
  </si>
  <si>
    <t>408-8100357-3585904</t>
  </si>
  <si>
    <t>JNE3506-KR-XXL</t>
  </si>
  <si>
    <t>GANJAM</t>
  </si>
  <si>
    <t>402-4372312-4448367</t>
  </si>
  <si>
    <t>DEWAS</t>
  </si>
  <si>
    <t>406-3745473-8633147</t>
  </si>
  <si>
    <t>403-1140011-7398736</t>
  </si>
  <si>
    <t>MEN5001-KR-M</t>
  </si>
  <si>
    <t>MEN5022-KR-M</t>
  </si>
  <si>
    <t>MEN5023-KR-M</t>
  </si>
  <si>
    <t>MEN5030-KR-M</t>
  </si>
  <si>
    <t>171-2789156-5817163</t>
  </si>
  <si>
    <t>MEN5003-KR-XXXL</t>
  </si>
  <si>
    <t>NAGAUR</t>
  </si>
  <si>
    <t>404-9605291-9790766</t>
  </si>
  <si>
    <t>408-9259634-7565152</t>
  </si>
  <si>
    <t>JNE3660-TP-N-S</t>
  </si>
  <si>
    <t>NEYYATTINKARA</t>
  </si>
  <si>
    <t>171-2120512-6643534</t>
  </si>
  <si>
    <t>408-7767023-9733103</t>
  </si>
  <si>
    <t>402-6159360-3192305</t>
  </si>
  <si>
    <t>JNE3407-KR-S</t>
  </si>
  <si>
    <t>406-4919920-0965963</t>
  </si>
  <si>
    <t>SET359-KR-NP-L</t>
  </si>
  <si>
    <t>402-5821417-6985934</t>
  </si>
  <si>
    <t>J0377-SKD-XXXL</t>
  </si>
  <si>
    <t>SILIGURI</t>
  </si>
  <si>
    <t>406-7489606-3781934</t>
  </si>
  <si>
    <t>JNE3818-KR-XXL</t>
  </si>
  <si>
    <t>KUSHALANAGARA</t>
  </si>
  <si>
    <t>408-4543593-8672326</t>
  </si>
  <si>
    <t>404-3628070-0647500</t>
  </si>
  <si>
    <t>JNE3412-KR-XXL</t>
  </si>
  <si>
    <t>JNE3757-KR-XXL</t>
  </si>
  <si>
    <t>404-0691443-7069131</t>
  </si>
  <si>
    <t>403-0467296-2575536</t>
  </si>
  <si>
    <t>SIMLAPAL</t>
  </si>
  <si>
    <t>408-3531277-4885962</t>
  </si>
  <si>
    <t>408-6069754-7397924</t>
  </si>
  <si>
    <t>JNE3805-KR-S</t>
  </si>
  <si>
    <t>NARKATIAGANJ</t>
  </si>
  <si>
    <t>408-0391714-9281921</t>
  </si>
  <si>
    <t>408-3692922-9946738</t>
  </si>
  <si>
    <t>J0308-DR-XXXL</t>
  </si>
  <si>
    <t>Wagholi, PUNE</t>
  </si>
  <si>
    <t>171-7935921-7575568</t>
  </si>
  <si>
    <t>SET184-KR-PP-S</t>
  </si>
  <si>
    <t>KOHIMA</t>
  </si>
  <si>
    <t>408-2026538-7845958</t>
  </si>
  <si>
    <t>403-2026715-3949910</t>
  </si>
  <si>
    <t>404-4599488-8213952</t>
  </si>
  <si>
    <t>JNE3825-KR-M</t>
  </si>
  <si>
    <t>S02-5278980-4327051</t>
  </si>
  <si>
    <t>BL017-63BLACK</t>
  </si>
  <si>
    <t>Surat</t>
  </si>
  <si>
    <t>171-5599779-6322751</t>
  </si>
  <si>
    <t>171-2550230-3805124</t>
  </si>
  <si>
    <t>J0098-TP-XXL</t>
  </si>
  <si>
    <t>THANE (W)</t>
  </si>
  <si>
    <t>402-5852450-2129941</t>
  </si>
  <si>
    <t>JNE2171-KR-437-S</t>
  </si>
  <si>
    <t>405-3054995-4312360</t>
  </si>
  <si>
    <t>JNE3802-KR-L</t>
  </si>
  <si>
    <t>407-2538775-7502719</t>
  </si>
  <si>
    <t>PJNE3399-KR-N-4XL</t>
  </si>
  <si>
    <t>406-1981446-7471514</t>
  </si>
  <si>
    <t>408-4235910-6012362</t>
  </si>
  <si>
    <t>J0349-SET-XL</t>
  </si>
  <si>
    <t>PORVORIM</t>
  </si>
  <si>
    <t>171-9839922-3832357</t>
  </si>
  <si>
    <t>PJNE3440-KR-N-5XL</t>
  </si>
  <si>
    <t>405-9808686-6294763</t>
  </si>
  <si>
    <t>408-8489677-5577933</t>
  </si>
  <si>
    <t>402-5550488-9916304</t>
  </si>
  <si>
    <t>JNE3579-KR-L</t>
  </si>
  <si>
    <t>408-6369127-2887567</t>
  </si>
  <si>
    <t>Vasai</t>
  </si>
  <si>
    <t>171-0113406-2293163</t>
  </si>
  <si>
    <t>403-8565647-0953102</t>
  </si>
  <si>
    <t>JNE3373-KR-M</t>
  </si>
  <si>
    <t>406-9957971-2569147</t>
  </si>
  <si>
    <t>SANGLI</t>
  </si>
  <si>
    <t>406-1092108-2639512</t>
  </si>
  <si>
    <t>J0139-KR-XXL</t>
  </si>
  <si>
    <t>402-3270101-7657904</t>
  </si>
  <si>
    <t>MEN5006-KR-L</t>
  </si>
  <si>
    <t>402-7078622-5609155</t>
  </si>
  <si>
    <t>J0285-SKD-S</t>
  </si>
  <si>
    <t>KOTTAYAM</t>
  </si>
  <si>
    <t>171-7678731-3568339</t>
  </si>
  <si>
    <t>408-7206307-2384358</t>
  </si>
  <si>
    <t>DHARMADOM</t>
  </si>
  <si>
    <t>407-5830946-0458753</t>
  </si>
  <si>
    <t>JNE3724-KR-XL</t>
  </si>
  <si>
    <t>171-3016563-0593956</t>
  </si>
  <si>
    <t>404-3252605-4011545</t>
  </si>
  <si>
    <t>171-1148440-5117161</t>
  </si>
  <si>
    <t>NW037-TP-SR-L</t>
  </si>
  <si>
    <t>171-7636697-5689908</t>
  </si>
  <si>
    <t>408-1336273-5938748</t>
  </si>
  <si>
    <t>J0334-TP-S</t>
  </si>
  <si>
    <t>406-3815399-6450709</t>
  </si>
  <si>
    <t>NATHDWARA</t>
  </si>
  <si>
    <t>171-9638653-2292340</t>
  </si>
  <si>
    <t>BL001-50PINK</t>
  </si>
  <si>
    <t>Varanasi</t>
  </si>
  <si>
    <t>403-7879236-4794741</t>
  </si>
  <si>
    <t>406-4110471-9710751</t>
  </si>
  <si>
    <t>SET098-KR-PP-XXL</t>
  </si>
  <si>
    <t>ULLAL</t>
  </si>
  <si>
    <t>408-5598612-8613920</t>
  </si>
  <si>
    <t>404-3475672-0623516</t>
  </si>
  <si>
    <t>SET388-KR-NP-XXXL</t>
  </si>
  <si>
    <t>403-0708193-0609948</t>
  </si>
  <si>
    <t>NANDED WAGHALA</t>
  </si>
  <si>
    <t>402-6638943-7023558</t>
  </si>
  <si>
    <t>NW034-TP-PJ-XXXL</t>
  </si>
  <si>
    <t>405-1047044-2461167</t>
  </si>
  <si>
    <t>403-4121872-9661935</t>
  </si>
  <si>
    <t>JNE3639-TP-N-XL</t>
  </si>
  <si>
    <t>407-0341499-2477170</t>
  </si>
  <si>
    <t>Sangareddy District</t>
  </si>
  <si>
    <t>402-7081372-1053905</t>
  </si>
  <si>
    <t>MEN5028-KR-XL</t>
  </si>
  <si>
    <t>MEN5011-KR-XL</t>
  </si>
  <si>
    <t>403-8349155-2308363</t>
  </si>
  <si>
    <t>JNE3718-KR-L</t>
  </si>
  <si>
    <t>SET266-KR-NP-L</t>
  </si>
  <si>
    <t>403-3794902-2627533</t>
  </si>
  <si>
    <t>SET048-KR-NP-L</t>
  </si>
  <si>
    <t>403-8342497-0727510</t>
  </si>
  <si>
    <t>J0210-DR-XL</t>
  </si>
  <si>
    <t>403-5686295-0611519</t>
  </si>
  <si>
    <t>404-9773937-7060345</t>
  </si>
  <si>
    <t>Madurai</t>
  </si>
  <si>
    <t>407-3205298-5473103</t>
  </si>
  <si>
    <t>J0095-SET-XL</t>
  </si>
  <si>
    <t>403-3741687-4048344</t>
  </si>
  <si>
    <t>thane</t>
  </si>
  <si>
    <t>406-4889947-7806746</t>
  </si>
  <si>
    <t>408-2548158-8811519</t>
  </si>
  <si>
    <t>SET342-KR-NP-N-XXL</t>
  </si>
  <si>
    <t>BELAGAVI</t>
  </si>
  <si>
    <t>402-4612397-6796307</t>
  </si>
  <si>
    <t>402-2375582-5673132</t>
  </si>
  <si>
    <t>402-7355260-1275513</t>
  </si>
  <si>
    <t>JNE3487-KR-L</t>
  </si>
  <si>
    <t>171-6613108-2363511</t>
  </si>
  <si>
    <t>406-5961574-4441901</t>
  </si>
  <si>
    <t>404-9326488-7546742</t>
  </si>
  <si>
    <t>403-1691463-7067522</t>
  </si>
  <si>
    <t>JNE3651-TP-N-M</t>
  </si>
  <si>
    <t>171-1293566-4097166</t>
  </si>
  <si>
    <t>Kanniyakumari</t>
  </si>
  <si>
    <t>404-6513417-3841113</t>
  </si>
  <si>
    <t>408-7484954-7860326</t>
  </si>
  <si>
    <t>J0002-SKD-XL</t>
  </si>
  <si>
    <t>hyderabad</t>
  </si>
  <si>
    <t>408-0027611-3047556</t>
  </si>
  <si>
    <t>J0004-SKD-XL</t>
  </si>
  <si>
    <t>J0234-SKD-L</t>
  </si>
  <si>
    <t>Gender</t>
  </si>
  <si>
    <t>Women</t>
  </si>
  <si>
    <t>Sales Channel</t>
  </si>
  <si>
    <t>Age</t>
  </si>
  <si>
    <t>Month</t>
  </si>
  <si>
    <t>Count of Order ID</t>
  </si>
  <si>
    <t>Row Labels</t>
  </si>
  <si>
    <t>Grand Total</t>
  </si>
  <si>
    <t>Sum of Amount</t>
  </si>
  <si>
    <t>Men</t>
  </si>
  <si>
    <t>Column Labels</t>
  </si>
  <si>
    <t>January</t>
  </si>
  <si>
    <t>Flipkart</t>
  </si>
  <si>
    <t>Myntra</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</si>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</sst>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8"/>
      <color them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34" borderId="0" xfId="0" applyFill="1"/>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VS CHART</a:t>
            </a:r>
            <a:endParaRPr lang="en-IN"/>
          </a:p>
        </c:rich>
      </c:tx>
      <c:layout>
        <c:manualLayout>
          <c:xMode val="edge"/>
          <c:yMode val="edge"/>
          <c:x val="0.23732633420822397"/>
          <c:y val="3.7037037037037035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180314960629921"/>
          <c:y val="7.8703703703703706E-2"/>
          <c:w val="0.62387226596675416"/>
          <c:h val="0.7243806503353748"/>
        </c:manualLayout>
      </c:layout>
      <c:barChart>
        <c:barDir val="col"/>
        <c:grouping val="clustered"/>
        <c:varyColors val="0"/>
        <c:ser>
          <c:idx val="2"/>
          <c:order val="0"/>
          <c:tx>
            <c:strRef>
              <c:f>Sheet1!$B$3</c:f>
              <c:strCache>
                <c:ptCount val="1"/>
                <c:pt idx="0">
                  <c:v>Count of Order ID</c:v>
                </c:pt>
              </c:strCache>
            </c:strRef>
          </c:tx>
          <c:invertIfNegative val="0"/>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Sheet1!$B$4:$B$16</c:f>
              <c:numCache>
                <c:formatCode>General</c:formatCode>
                <c:ptCount val="12"/>
                <c:pt idx="0">
                  <c:v>78</c:v>
                </c:pt>
                <c:pt idx="1">
                  <c:v>70</c:v>
                </c:pt>
                <c:pt idx="2">
                  <c:v>77</c:v>
                </c:pt>
                <c:pt idx="3">
                  <c:v>101</c:v>
                </c:pt>
                <c:pt idx="4">
                  <c:v>91</c:v>
                </c:pt>
                <c:pt idx="5">
                  <c:v>81</c:v>
                </c:pt>
                <c:pt idx="6">
                  <c:v>86</c:v>
                </c:pt>
                <c:pt idx="7">
                  <c:v>79</c:v>
                </c:pt>
                <c:pt idx="8">
                  <c:v>68</c:v>
                </c:pt>
                <c:pt idx="9">
                  <c:v>77</c:v>
                </c:pt>
                <c:pt idx="10">
                  <c:v>90</c:v>
                </c:pt>
                <c:pt idx="11">
                  <c:v>101</c:v>
                </c:pt>
              </c:numCache>
            </c:numRef>
          </c:val>
          <c:extLst>
            <c:ext xmlns:c16="http://schemas.microsoft.com/office/drawing/2014/chart" uri="{C3380CC4-5D6E-409C-BE32-E72D297353CC}">
              <c16:uniqueId val="{0000000F-7EC1-457E-A429-CB53FA8AC85B}"/>
            </c:ext>
          </c:extLst>
        </c:ser>
        <c:dLbls>
          <c:showLegendKey val="0"/>
          <c:showVal val="0"/>
          <c:showCatName val="0"/>
          <c:showSerName val="0"/>
          <c:showPercent val="0"/>
          <c:showBubbleSize val="0"/>
        </c:dLbls>
        <c:gapWidth val="219"/>
        <c:axId val="1812057199"/>
        <c:axId val="1812053359"/>
      </c:barChart>
      <c:lineChart>
        <c:grouping val="standard"/>
        <c:varyColors val="0"/>
        <c:ser>
          <c:idx val="3"/>
          <c:order val="1"/>
          <c:tx>
            <c:strRef>
              <c:f>Sheet1!$C$3</c:f>
              <c:strCache>
                <c:ptCount val="1"/>
                <c:pt idx="0">
                  <c:v>Sum of Amount</c:v>
                </c:pt>
              </c:strCache>
            </c:strRef>
          </c:tx>
          <c:marker>
            <c:symbol val="none"/>
          </c:marker>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Sheet1!$C$4:$C$16</c:f>
              <c:numCache>
                <c:formatCode>General</c:formatCode>
                <c:ptCount val="12"/>
                <c:pt idx="0">
                  <c:v>50366</c:v>
                </c:pt>
                <c:pt idx="1">
                  <c:v>44258.799999999996</c:v>
                </c:pt>
                <c:pt idx="2">
                  <c:v>42388</c:v>
                </c:pt>
                <c:pt idx="3">
                  <c:v>61968.159999999996</c:v>
                </c:pt>
                <c:pt idx="4">
                  <c:v>46567.519999999997</c:v>
                </c:pt>
                <c:pt idx="5">
                  <c:v>49095.25</c:v>
                </c:pt>
                <c:pt idx="6">
                  <c:v>46965.440000000002</c:v>
                </c:pt>
                <c:pt idx="7">
                  <c:v>45680.959999999992</c:v>
                </c:pt>
                <c:pt idx="8">
                  <c:v>39280.660000000003</c:v>
                </c:pt>
                <c:pt idx="9">
                  <c:v>43790.81</c:v>
                </c:pt>
                <c:pt idx="10">
                  <c:v>53645.16</c:v>
                </c:pt>
                <c:pt idx="11">
                  <c:v>61343.07</c:v>
                </c:pt>
              </c:numCache>
            </c:numRef>
          </c:val>
          <c:smooth val="0"/>
          <c:extLst>
            <c:ext xmlns:c16="http://schemas.microsoft.com/office/drawing/2014/chart" uri="{C3380CC4-5D6E-409C-BE32-E72D297353CC}">
              <c16:uniqueId val="{00000010-7EC1-457E-A429-CB53FA8AC85B}"/>
            </c:ext>
          </c:extLst>
        </c:ser>
        <c:dLbls>
          <c:showLegendKey val="0"/>
          <c:showVal val="0"/>
          <c:showCatName val="0"/>
          <c:showSerName val="0"/>
          <c:showPercent val="0"/>
          <c:showBubbleSize val="0"/>
        </c:dLbls>
        <c:marker val="1"/>
        <c:smooth val="0"/>
        <c:axId val="1932982015"/>
        <c:axId val="1932980575"/>
      </c:lineChart>
      <c:catAx>
        <c:axId val="181205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3359"/>
        <c:crosses val="autoZero"/>
        <c:auto val="1"/>
        <c:lblAlgn val="ctr"/>
        <c:lblOffset val="100"/>
        <c:noMultiLvlLbl val="0"/>
      </c:catAx>
      <c:valAx>
        <c:axId val="1812053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7199"/>
        <c:crosses val="autoZero"/>
        <c:crossBetween val="between"/>
      </c:valAx>
      <c:valAx>
        <c:axId val="1932980575"/>
        <c:scaling>
          <c:orientation val="minMax"/>
        </c:scaling>
        <c:delete val="0"/>
        <c:axPos val="r"/>
        <c:numFmt formatCode="0,&quot;k&quot;" sourceLinked="0"/>
        <c:majorTickMark val="out"/>
        <c:minorTickMark val="none"/>
        <c:tickLblPos val="nextTo"/>
        <c:crossAx val="1932982015"/>
        <c:crosses val="max"/>
        <c:crossBetween val="between"/>
      </c:valAx>
      <c:catAx>
        <c:axId val="1932982015"/>
        <c:scaling>
          <c:orientation val="minMax"/>
        </c:scaling>
        <c:delete val="1"/>
        <c:axPos val="b"/>
        <c:numFmt formatCode="General" sourceLinked="1"/>
        <c:majorTickMark val="out"/>
        <c:minorTickMark val="none"/>
        <c:tickLblPos val="nextTo"/>
        <c:crossAx val="1932980575"/>
        <c:crosses val="autoZero"/>
        <c:auto val="1"/>
        <c:lblAlgn val="ctr"/>
        <c:lblOffset val="100"/>
        <c:noMultiLvlLbl val="0"/>
      </c:catAx>
    </c:plotArea>
    <c:legend>
      <c:legendPos val="r"/>
      <c:layout>
        <c:manualLayout>
          <c:xMode val="edge"/>
          <c:yMode val="edge"/>
          <c:x val="0.74234208223971998"/>
          <c:y val="0.74874847090405494"/>
          <c:w val="0.25765799078031276"/>
          <c:h val="0.251251529095944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DashboardD.xlsx]Sheet1!PivotTable4</c:name>
    <c:fmtId val="1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ORDER</a:t>
            </a:r>
            <a:r>
              <a:rPr lang="en-IN" baseline="0"/>
              <a:t> VS STATUS</a:t>
            </a:r>
            <a:endParaRPr lang="en-IN"/>
          </a:p>
        </c:rich>
      </c:tx>
      <c:layout>
        <c:manualLayout>
          <c:xMode val="edge"/>
          <c:yMode val="edge"/>
          <c:x val="0.24139113001018611"/>
          <c:y val="4.1666666666666664E-2"/>
        </c:manualLayout>
      </c:layout>
      <c:overlay val="0"/>
      <c:spPr>
        <a:noFill/>
        <a:ln>
          <a:noFill/>
        </a:ln>
        <a:effectLst/>
      </c:sp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1"/>
          <c:order val="0"/>
          <c:tx>
            <c:strRef>
              <c:f>Sheet1!$AG$6</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Sheet1!$AF$7:$AF$11</c:f>
              <c:strCache>
                <c:ptCount val="4"/>
                <c:pt idx="0">
                  <c:v>Cancelled</c:v>
                </c:pt>
                <c:pt idx="1">
                  <c:v>Shipped</c:v>
                </c:pt>
                <c:pt idx="2">
                  <c:v>Shipped - Delivered to Buyer</c:v>
                </c:pt>
                <c:pt idx="3">
                  <c:v>Shipped - Rejected by Buyer</c:v>
                </c:pt>
              </c:strCache>
            </c:strRef>
          </c:cat>
          <c:val>
            <c:numRef>
              <c:f>Sheet1!$AG$7:$AG$11</c:f>
              <c:numCache>
                <c:formatCode>General</c:formatCode>
                <c:ptCount val="4"/>
                <c:pt idx="0">
                  <c:v>137</c:v>
                </c:pt>
                <c:pt idx="1">
                  <c:v>691</c:v>
                </c:pt>
                <c:pt idx="2">
                  <c:v>164</c:v>
                </c:pt>
                <c:pt idx="3">
                  <c:v>1</c:v>
                </c:pt>
              </c:numCache>
            </c:numRef>
          </c:val>
          <c:extLst>
            <c:ext xmlns:c16="http://schemas.microsoft.com/office/drawing/2014/chart" uri="{C3380CC4-5D6E-409C-BE32-E72D297353CC}">
              <c16:uniqueId val="{00000015-BCB3-45CA-840D-019C2BD39B47}"/>
            </c:ext>
          </c:extLst>
        </c:ser>
        <c:dLbls>
          <c:showLegendKey val="0"/>
          <c:showVal val="0"/>
          <c:showCatName val="0"/>
          <c:showSerName val="0"/>
          <c:showPercent val="1"/>
          <c:showBubbleSize val="0"/>
          <c:showLeaderLines val="1"/>
        </c:dLbls>
        <c:firstSliceAng val="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TOP 5 STATE</a:t>
            </a:r>
            <a:endParaRPr lang="en-IN"/>
          </a:p>
        </c:rich>
      </c:tx>
      <c:layout>
        <c:manualLayout>
          <c:xMode val="edge"/>
          <c:yMode val="edge"/>
          <c:x val="0.3241291876813589"/>
          <c:y val="3.310271896573552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0090357608365428"/>
          <c:y val="0.15605567512418175"/>
          <c:w val="0.6569680576677901"/>
          <c:h val="0.73424064820262303"/>
        </c:manualLayout>
      </c:layout>
      <c:barChart>
        <c:barDir val="bar"/>
        <c:grouping val="clustered"/>
        <c:varyColors val="0"/>
        <c:ser>
          <c:idx val="1"/>
          <c:order val="0"/>
          <c:tx>
            <c:strRef>
              <c:f>Sheet1!$AW$15</c:f>
              <c:strCache>
                <c:ptCount val="1"/>
                <c:pt idx="0">
                  <c:v>Total</c:v>
                </c:pt>
              </c:strCache>
            </c:strRef>
          </c:tx>
          <c:invertIfNegative val="0"/>
          <c:cat>
            <c:strRef>
              <c:f>Sheet1!$AV$16:$AV$21</c:f>
              <c:strCache>
                <c:ptCount val="5"/>
                <c:pt idx="0">
                  <c:v>Gujarat</c:v>
                </c:pt>
                <c:pt idx="1">
                  <c:v>JAMMU &amp; KASHMIR</c:v>
                </c:pt>
                <c:pt idx="2">
                  <c:v>MAHARASHTRA</c:v>
                </c:pt>
                <c:pt idx="3">
                  <c:v>PUNJAB</c:v>
                </c:pt>
                <c:pt idx="4">
                  <c:v>RAJASTHAN</c:v>
                </c:pt>
              </c:strCache>
            </c:strRef>
          </c:cat>
          <c:val>
            <c:numRef>
              <c:f>Sheet1!$AW$16:$AW$21</c:f>
              <c:numCache>
                <c:formatCode>General</c:formatCode>
                <c:ptCount val="5"/>
                <c:pt idx="0">
                  <c:v>17904.96</c:v>
                </c:pt>
                <c:pt idx="1">
                  <c:v>4684</c:v>
                </c:pt>
                <c:pt idx="2">
                  <c:v>81483.53</c:v>
                </c:pt>
                <c:pt idx="3">
                  <c:v>6377</c:v>
                </c:pt>
                <c:pt idx="4">
                  <c:v>10578</c:v>
                </c:pt>
              </c:numCache>
            </c:numRef>
          </c:val>
          <c:extLst>
            <c:ext xmlns:c16="http://schemas.microsoft.com/office/drawing/2014/chart" uri="{C3380CC4-5D6E-409C-BE32-E72D297353CC}">
              <c16:uniqueId val="{00000003-14FC-4C1D-A4E6-31B34D624313}"/>
            </c:ext>
          </c:extLst>
        </c:ser>
        <c:dLbls>
          <c:showLegendKey val="0"/>
          <c:showVal val="0"/>
          <c:showCatName val="0"/>
          <c:showSerName val="0"/>
          <c:showPercent val="0"/>
          <c:showBubbleSize val="0"/>
        </c:dLbls>
        <c:gapWidth val="219"/>
        <c:axId val="2006466015"/>
        <c:axId val="2006464575"/>
      </c:barChart>
      <c:catAx>
        <c:axId val="200646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464575"/>
        <c:crosses val="autoZero"/>
        <c:auto val="1"/>
        <c:lblAlgn val="ctr"/>
        <c:lblOffset val="100"/>
        <c:noMultiLvlLbl val="0"/>
      </c:catAx>
      <c:valAx>
        <c:axId val="2006464575"/>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46601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SALES TREND</a:t>
            </a:r>
            <a:endParaRPr lang="en-IN"/>
          </a:p>
        </c:rich>
      </c:tx>
      <c:layout>
        <c:manualLayout>
          <c:xMode val="edge"/>
          <c:yMode val="edge"/>
          <c:x val="0.2515"/>
          <c:y val="4.1666666666666664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bar"/>
        <c:grouping val="stacked"/>
        <c:varyColors val="0"/>
        <c:ser>
          <c:idx val="3"/>
          <c:order val="0"/>
          <c:tx>
            <c:strRef>
              <c:f>Sheet1!$AQ$52:$AQ$53</c:f>
              <c:strCache>
                <c:ptCount val="1"/>
                <c:pt idx="0">
                  <c:v>Amazon</c:v>
                </c:pt>
              </c:strCache>
            </c:strRef>
          </c:tx>
          <c:invertIfNegative val="0"/>
          <c:cat>
            <c:strRef>
              <c:f>Sheet1!$AP$54:$AP$66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Sheet1!$AQ$54:$AQ$66</c:f>
              <c:numCache>
                <c:formatCode>General</c:formatCode>
                <c:ptCount val="12"/>
                <c:pt idx="0">
                  <c:v>36790</c:v>
                </c:pt>
                <c:pt idx="1">
                  <c:v>32637</c:v>
                </c:pt>
                <c:pt idx="2">
                  <c:v>32941</c:v>
                </c:pt>
                <c:pt idx="3">
                  <c:v>46979</c:v>
                </c:pt>
                <c:pt idx="4">
                  <c:v>33813</c:v>
                </c:pt>
                <c:pt idx="5">
                  <c:v>40838</c:v>
                </c:pt>
                <c:pt idx="6">
                  <c:v>40975</c:v>
                </c:pt>
                <c:pt idx="7">
                  <c:v>36354</c:v>
                </c:pt>
                <c:pt idx="8">
                  <c:v>29461</c:v>
                </c:pt>
                <c:pt idx="9">
                  <c:v>32165</c:v>
                </c:pt>
                <c:pt idx="10">
                  <c:v>47175</c:v>
                </c:pt>
                <c:pt idx="11">
                  <c:v>52091</c:v>
                </c:pt>
              </c:numCache>
            </c:numRef>
          </c:val>
          <c:extLst>
            <c:ext xmlns:c16="http://schemas.microsoft.com/office/drawing/2014/chart" uri="{C3380CC4-5D6E-409C-BE32-E72D297353CC}">
              <c16:uniqueId val="{00000009-5ED3-4B46-B9C5-EA9B09EDFEA9}"/>
            </c:ext>
          </c:extLst>
        </c:ser>
        <c:ser>
          <c:idx val="0"/>
          <c:order val="1"/>
          <c:tx>
            <c:strRef>
              <c:f>Sheet1!$AR$52:$AR$53</c:f>
              <c:strCache>
                <c:ptCount val="1"/>
                <c:pt idx="0">
                  <c:v>Flipkart</c:v>
                </c:pt>
              </c:strCache>
            </c:strRef>
          </c:tx>
          <c:invertIfNegative val="0"/>
          <c:cat>
            <c:strRef>
              <c:f>Sheet1!$AP$54:$AP$66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Sheet1!$AR$54:$AR$66</c:f>
              <c:numCache>
                <c:formatCode>General</c:formatCode>
                <c:ptCount val="12"/>
                <c:pt idx="0">
                  <c:v>8337</c:v>
                </c:pt>
                <c:pt idx="1">
                  <c:v>4865.58</c:v>
                </c:pt>
                <c:pt idx="2">
                  <c:v>5222</c:v>
                </c:pt>
                <c:pt idx="3">
                  <c:v>6483.98</c:v>
                </c:pt>
                <c:pt idx="4">
                  <c:v>4892.5200000000004</c:v>
                </c:pt>
                <c:pt idx="5">
                  <c:v>2902</c:v>
                </c:pt>
                <c:pt idx="6">
                  <c:v>2150</c:v>
                </c:pt>
                <c:pt idx="7">
                  <c:v>5763.96</c:v>
                </c:pt>
                <c:pt idx="8">
                  <c:v>4483.95</c:v>
                </c:pt>
                <c:pt idx="9">
                  <c:v>6606.05</c:v>
                </c:pt>
                <c:pt idx="10">
                  <c:v>2537.16</c:v>
                </c:pt>
                <c:pt idx="11">
                  <c:v>3601</c:v>
                </c:pt>
              </c:numCache>
            </c:numRef>
          </c:val>
          <c:extLst>
            <c:ext xmlns:c16="http://schemas.microsoft.com/office/drawing/2014/chart" uri="{C3380CC4-5D6E-409C-BE32-E72D297353CC}">
              <c16:uniqueId val="{00000000-37BA-48E5-92AD-636F4393C7E3}"/>
            </c:ext>
          </c:extLst>
        </c:ser>
        <c:ser>
          <c:idx val="1"/>
          <c:order val="2"/>
          <c:tx>
            <c:strRef>
              <c:f>Sheet1!$AS$52:$AS$53</c:f>
              <c:strCache>
                <c:ptCount val="1"/>
                <c:pt idx="0">
                  <c:v>Myntra</c:v>
                </c:pt>
              </c:strCache>
            </c:strRef>
          </c:tx>
          <c:invertIfNegative val="0"/>
          <c:cat>
            <c:strRef>
              <c:f>Sheet1!$AP$54:$AP$66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Sheet1!$AS$54:$AS$66</c:f>
              <c:numCache>
                <c:formatCode>General</c:formatCode>
                <c:ptCount val="12"/>
                <c:pt idx="0">
                  <c:v>5239</c:v>
                </c:pt>
                <c:pt idx="1">
                  <c:v>6756.22</c:v>
                </c:pt>
                <c:pt idx="2">
                  <c:v>4225</c:v>
                </c:pt>
                <c:pt idx="3">
                  <c:v>8505.18</c:v>
                </c:pt>
                <c:pt idx="4">
                  <c:v>7862</c:v>
                </c:pt>
                <c:pt idx="5">
                  <c:v>5355.25</c:v>
                </c:pt>
                <c:pt idx="6">
                  <c:v>3840.4399999999996</c:v>
                </c:pt>
                <c:pt idx="7">
                  <c:v>3563</c:v>
                </c:pt>
                <c:pt idx="8">
                  <c:v>5335.71</c:v>
                </c:pt>
                <c:pt idx="9">
                  <c:v>5019.76</c:v>
                </c:pt>
                <c:pt idx="10">
                  <c:v>3933</c:v>
                </c:pt>
                <c:pt idx="11">
                  <c:v>5651.07</c:v>
                </c:pt>
              </c:numCache>
            </c:numRef>
          </c:val>
          <c:extLst>
            <c:ext xmlns:c16="http://schemas.microsoft.com/office/drawing/2014/chart" uri="{C3380CC4-5D6E-409C-BE32-E72D297353CC}">
              <c16:uniqueId val="{00000001-37BA-48E5-92AD-636F4393C7E3}"/>
            </c:ext>
          </c:extLst>
        </c:ser>
        <c:dLbls>
          <c:showLegendKey val="0"/>
          <c:showVal val="0"/>
          <c:showCatName val="0"/>
          <c:showSerName val="0"/>
          <c:showPercent val="0"/>
          <c:showBubbleSize val="0"/>
        </c:dLbls>
        <c:gapWidth val="150"/>
        <c:shape val="box"/>
        <c:axId val="1091653343"/>
        <c:axId val="1091651903"/>
        <c:axId val="0"/>
      </c:bar3DChart>
      <c:catAx>
        <c:axId val="109165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51903"/>
        <c:crosses val="autoZero"/>
        <c:auto val="1"/>
        <c:lblAlgn val="ctr"/>
        <c:lblOffset val="100"/>
        <c:noMultiLvlLbl val="0"/>
      </c:catAx>
      <c:valAx>
        <c:axId val="1091651903"/>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53343"/>
        <c:crosses val="autoZero"/>
        <c:crossBetween val="between"/>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DashboardD.xlsx]Sheet1!PivotTable7</c:name>
    <c:fmtId val="7"/>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marker>
          <c:symbol val="none"/>
        </c:marker>
        <c:dLbl>
          <c:idx val="0"/>
          <c:delete val="1"/>
          <c:extLst>
            <c:ext xmlns:c15="http://schemas.microsoft.com/office/drawing/2012/chart" uri="{CE6537A1-D6FC-4f65-9D91-7224C49458BB}"/>
          </c:extLst>
        </c:dLbl>
      </c:pivotFmt>
      <c:pivotFmt>
        <c:idx val="30"/>
        <c:marker>
          <c:symbol val="none"/>
        </c:marker>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5"/>
          <c:order val="0"/>
          <c:tx>
            <c:strRef>
              <c:f>Sheet1!$BH$54:$BH$55</c:f>
              <c:strCache>
                <c:ptCount val="1"/>
                <c:pt idx="0">
                  <c:v>kurta</c:v>
                </c:pt>
              </c:strCache>
            </c:strRef>
          </c:tx>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Sheet1!$BH$56:$BH$64</c:f>
              <c:numCache>
                <c:formatCode>General</c:formatCode>
                <c:ptCount val="8"/>
                <c:pt idx="0">
                  <c:v>3147</c:v>
                </c:pt>
                <c:pt idx="1">
                  <c:v>2588</c:v>
                </c:pt>
                <c:pt idx="2">
                  <c:v>4118</c:v>
                </c:pt>
                <c:pt idx="3">
                  <c:v>4694.05</c:v>
                </c:pt>
                <c:pt idx="4">
                  <c:v>4714.38</c:v>
                </c:pt>
                <c:pt idx="5">
                  <c:v>4561</c:v>
                </c:pt>
                <c:pt idx="6">
                  <c:v>4555.1399999999994</c:v>
                </c:pt>
                <c:pt idx="7">
                  <c:v>2253</c:v>
                </c:pt>
              </c:numCache>
            </c:numRef>
          </c:val>
          <c:extLst>
            <c:ext xmlns:c16="http://schemas.microsoft.com/office/drawing/2014/chart" uri="{C3380CC4-5D6E-409C-BE32-E72D297353CC}">
              <c16:uniqueId val="{0000000F-9819-4BF0-BE0D-9C2D52E4BA43}"/>
            </c:ext>
          </c:extLst>
        </c:ser>
        <c:ser>
          <c:idx val="0"/>
          <c:order val="1"/>
          <c:tx>
            <c:strRef>
              <c:f>Sheet1!$BI$54:$BI$55</c:f>
              <c:strCache>
                <c:ptCount val="1"/>
                <c:pt idx="0">
                  <c:v>Saree</c:v>
                </c:pt>
              </c:strCache>
            </c:strRef>
          </c:tx>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Sheet1!$BI$56:$BI$64</c:f>
              <c:numCache>
                <c:formatCode>General</c:formatCode>
                <c:ptCount val="8"/>
                <c:pt idx="2">
                  <c:v>989</c:v>
                </c:pt>
                <c:pt idx="7">
                  <c:v>620</c:v>
                </c:pt>
              </c:numCache>
            </c:numRef>
          </c:val>
          <c:extLst>
            <c:ext xmlns:c16="http://schemas.microsoft.com/office/drawing/2014/chart" uri="{C3380CC4-5D6E-409C-BE32-E72D297353CC}">
              <c16:uniqueId val="{00000002-98E0-4973-89C8-C7237DD4DF0B}"/>
            </c:ext>
          </c:extLst>
        </c:ser>
        <c:ser>
          <c:idx val="1"/>
          <c:order val="2"/>
          <c:tx>
            <c:strRef>
              <c:f>Sheet1!$BJ$54:$BJ$55</c:f>
              <c:strCache>
                <c:ptCount val="1"/>
                <c:pt idx="0">
                  <c:v>Set</c:v>
                </c:pt>
              </c:strCache>
            </c:strRef>
          </c:tx>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Sheet1!$BJ$56:$BJ$64</c:f>
              <c:numCache>
                <c:formatCode>General</c:formatCode>
                <c:ptCount val="8"/>
                <c:pt idx="0">
                  <c:v>9600.93</c:v>
                </c:pt>
                <c:pt idx="1">
                  <c:v>11901.86</c:v>
                </c:pt>
                <c:pt idx="2">
                  <c:v>4621</c:v>
                </c:pt>
                <c:pt idx="3">
                  <c:v>5002</c:v>
                </c:pt>
                <c:pt idx="4">
                  <c:v>9349</c:v>
                </c:pt>
                <c:pt idx="5">
                  <c:v>2902</c:v>
                </c:pt>
                <c:pt idx="6">
                  <c:v>8113</c:v>
                </c:pt>
                <c:pt idx="7">
                  <c:v>6120</c:v>
                </c:pt>
              </c:numCache>
            </c:numRef>
          </c:val>
          <c:extLst>
            <c:ext xmlns:c16="http://schemas.microsoft.com/office/drawing/2014/chart" uri="{C3380CC4-5D6E-409C-BE32-E72D297353CC}">
              <c16:uniqueId val="{00000003-98E0-4973-89C8-C7237DD4DF0B}"/>
            </c:ext>
          </c:extLst>
        </c:ser>
        <c:ser>
          <c:idx val="2"/>
          <c:order val="3"/>
          <c:tx>
            <c:strRef>
              <c:f>Sheet1!$BK$54:$BK$55</c:f>
              <c:strCache>
                <c:ptCount val="1"/>
                <c:pt idx="0">
                  <c:v>Top</c:v>
                </c:pt>
              </c:strCache>
            </c:strRef>
          </c:tx>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Sheet1!$BK$56:$BK$64</c:f>
              <c:numCache>
                <c:formatCode>General</c:formatCode>
                <c:ptCount val="8"/>
                <c:pt idx="0">
                  <c:v>469.52</c:v>
                </c:pt>
                <c:pt idx="1">
                  <c:v>1284</c:v>
                </c:pt>
                <c:pt idx="2">
                  <c:v>512</c:v>
                </c:pt>
                <c:pt idx="3">
                  <c:v>927</c:v>
                </c:pt>
                <c:pt idx="4">
                  <c:v>880</c:v>
                </c:pt>
                <c:pt idx="5">
                  <c:v>545</c:v>
                </c:pt>
                <c:pt idx="7">
                  <c:v>540</c:v>
                </c:pt>
              </c:numCache>
            </c:numRef>
          </c:val>
          <c:extLst>
            <c:ext xmlns:c16="http://schemas.microsoft.com/office/drawing/2014/chart" uri="{C3380CC4-5D6E-409C-BE32-E72D297353CC}">
              <c16:uniqueId val="{00000000-FA32-4D45-BE58-CEA6DBE7DAF7}"/>
            </c:ext>
          </c:extLst>
        </c:ser>
        <c:ser>
          <c:idx val="3"/>
          <c:order val="4"/>
          <c:tx>
            <c:strRef>
              <c:f>Sheet1!$BL$54:$BL$55</c:f>
              <c:strCache>
                <c:ptCount val="1"/>
                <c:pt idx="0">
                  <c:v>Western Dress</c:v>
                </c:pt>
              </c:strCache>
            </c:strRef>
          </c:tx>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Sheet1!$BL$56:$BL$64</c:f>
              <c:numCache>
                <c:formatCode>General</c:formatCode>
                <c:ptCount val="8"/>
                <c:pt idx="0">
                  <c:v>2293</c:v>
                </c:pt>
                <c:pt idx="1">
                  <c:v>2342</c:v>
                </c:pt>
                <c:pt idx="2">
                  <c:v>744</c:v>
                </c:pt>
                <c:pt idx="3">
                  <c:v>859</c:v>
                </c:pt>
                <c:pt idx="4">
                  <c:v>1596</c:v>
                </c:pt>
                <c:pt idx="5">
                  <c:v>2113</c:v>
                </c:pt>
                <c:pt idx="6">
                  <c:v>1505.29</c:v>
                </c:pt>
                <c:pt idx="7">
                  <c:v>2603</c:v>
                </c:pt>
              </c:numCache>
            </c:numRef>
          </c:val>
          <c:extLst>
            <c:ext xmlns:c16="http://schemas.microsoft.com/office/drawing/2014/chart" uri="{C3380CC4-5D6E-409C-BE32-E72D297353CC}">
              <c16:uniqueId val="{00000001-FA32-4D45-BE58-CEA6DBE7DAF7}"/>
            </c:ext>
          </c:extLst>
        </c:ser>
        <c:dLbls>
          <c:showLegendKey val="0"/>
          <c:showVal val="0"/>
          <c:showCatName val="0"/>
          <c:showSerName val="0"/>
          <c:showPercent val="0"/>
          <c:showBubbleSize val="0"/>
        </c:dLbls>
        <c:gapWidth val="219"/>
        <c:overlap val="100"/>
        <c:axId val="1482150591"/>
        <c:axId val="1482148671"/>
      </c:barChart>
      <c:catAx>
        <c:axId val="148215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148671"/>
        <c:crosses val="autoZero"/>
        <c:auto val="1"/>
        <c:lblAlgn val="ctr"/>
        <c:lblOffset val="100"/>
        <c:noMultiLvlLbl val="0"/>
      </c:catAx>
      <c:valAx>
        <c:axId val="148214867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15059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DashboardD.xlsx]Sheet1!PivotTable8</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MEN</a:t>
            </a:r>
            <a:r>
              <a:rPr lang="en-US" baseline="0"/>
              <a:t> VS WOmEn</a:t>
            </a:r>
            <a:endParaRPr lang="en-US"/>
          </a:p>
        </c:rich>
      </c:tx>
      <c:layout>
        <c:manualLayout>
          <c:xMode val="edge"/>
          <c:yMode val="edge"/>
          <c:x val="0.28826377952755899"/>
          <c:y val="3.703703703703703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146303587051617"/>
          <c:y val="0.17171296296296298"/>
          <c:w val="0.46641666666666665"/>
          <c:h val="0.77736111111111106"/>
        </c:manualLayout>
      </c:layout>
      <c:pieChart>
        <c:varyColors val="1"/>
        <c:ser>
          <c:idx val="0"/>
          <c:order val="0"/>
          <c:tx>
            <c:strRef>
              <c:f>Sheet1!$B$45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0F8-4D21-A2BA-33D560A7514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0F8-4D21-A2BA-33D560A751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Sheet1!$A$46:$A$48</c:f>
              <c:strCache>
                <c:ptCount val="2"/>
                <c:pt idx="0">
                  <c:v>Men</c:v>
                </c:pt>
                <c:pt idx="1">
                  <c:v>Women</c:v>
                </c:pt>
              </c:strCache>
            </c:strRef>
          </c:cat>
          <c:val>
            <c:numRef>
              <c:f>Sheet1!$B$46:$B$48</c:f>
              <c:numCache>
                <c:formatCode>General</c:formatCode>
                <c:ptCount val="2"/>
                <c:pt idx="0">
                  <c:v>419</c:v>
                </c:pt>
                <c:pt idx="1">
                  <c:v>580</c:v>
                </c:pt>
              </c:numCache>
            </c:numRef>
          </c:val>
          <c:extLst>
            <c:ext xmlns:c16="http://schemas.microsoft.com/office/drawing/2014/chart" uri="{C3380CC4-5D6E-409C-BE32-E72D297353CC}">
              <c16:uniqueId val="{00000004-20F8-4D21-A2BA-33D560A7514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VS CHART</a:t>
            </a:r>
            <a:endParaRPr lang="en-IN"/>
          </a:p>
        </c:rich>
      </c:tx>
      <c:layout>
        <c:manualLayout>
          <c:xMode val="edge"/>
          <c:yMode val="edge"/>
          <c:x val="0.23732633420822397"/>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80314960629921"/>
          <c:y val="7.8703703703703706E-2"/>
          <c:w val="0.62387226596675416"/>
          <c:h val="0.7243806503353748"/>
        </c:manualLayout>
      </c:layout>
      <c:barChart>
        <c:barDir val="col"/>
        <c:grouping val="clustered"/>
        <c:varyColors val="0"/>
        <c:ser>
          <c:idx val="0"/>
          <c:order val="0"/>
          <c:tx>
            <c:strRef>
              <c:f>Sheet1!$B$3</c:f>
              <c:strCache>
                <c:ptCount val="1"/>
                <c:pt idx="0">
                  <c:v>Count of Order ID</c:v>
                </c:pt>
              </c:strCache>
            </c:strRef>
          </c:tx>
          <c:spPr>
            <a:solidFill>
              <a:schemeClr val="accent1"/>
            </a:solidFill>
            <a:ln>
              <a:noFill/>
            </a:ln>
            <a:effectLst/>
          </c:spPr>
          <c:invertIfNegative val="0"/>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Sheet1!$B$4:$B$16</c:f>
              <c:numCache>
                <c:formatCode>General</c:formatCode>
                <c:ptCount val="12"/>
                <c:pt idx="0">
                  <c:v>78</c:v>
                </c:pt>
                <c:pt idx="1">
                  <c:v>70</c:v>
                </c:pt>
                <c:pt idx="2">
                  <c:v>77</c:v>
                </c:pt>
                <c:pt idx="3">
                  <c:v>101</c:v>
                </c:pt>
                <c:pt idx="4">
                  <c:v>91</c:v>
                </c:pt>
                <c:pt idx="5">
                  <c:v>81</c:v>
                </c:pt>
                <c:pt idx="6">
                  <c:v>86</c:v>
                </c:pt>
                <c:pt idx="7">
                  <c:v>79</c:v>
                </c:pt>
                <c:pt idx="8">
                  <c:v>68</c:v>
                </c:pt>
                <c:pt idx="9">
                  <c:v>77</c:v>
                </c:pt>
                <c:pt idx="10">
                  <c:v>90</c:v>
                </c:pt>
                <c:pt idx="11">
                  <c:v>101</c:v>
                </c:pt>
              </c:numCache>
            </c:numRef>
          </c:val>
          <c:extLst>
            <c:ext xmlns:c16="http://schemas.microsoft.com/office/drawing/2014/chart" uri="{C3380CC4-5D6E-409C-BE32-E72D297353CC}">
              <c16:uniqueId val="{00000000-C0E3-4FD7-87A5-2D764304C809}"/>
            </c:ext>
          </c:extLst>
        </c:ser>
        <c:dLbls>
          <c:showLegendKey val="0"/>
          <c:showVal val="0"/>
          <c:showCatName val="0"/>
          <c:showSerName val="0"/>
          <c:showPercent val="0"/>
          <c:showBubbleSize val="0"/>
        </c:dLbls>
        <c:gapWidth val="219"/>
        <c:axId val="1812057199"/>
        <c:axId val="1812053359"/>
      </c:barChart>
      <c:lineChart>
        <c:grouping val="standard"/>
        <c:varyColors val="0"/>
        <c:ser>
          <c:idx val="1"/>
          <c:order val="1"/>
          <c:tx>
            <c:strRef>
              <c:f>Sheet1!$C$3</c:f>
              <c:strCache>
                <c:ptCount val="1"/>
                <c:pt idx="0">
                  <c:v>Sum of Amount</c:v>
                </c:pt>
              </c:strCache>
            </c:strRef>
          </c:tx>
          <c:spPr>
            <a:ln w="28575" cap="rnd">
              <a:solidFill>
                <a:schemeClr val="accent2"/>
              </a:solidFill>
              <a:round/>
            </a:ln>
            <a:effectLst/>
          </c:spPr>
          <c:marker>
            <c:symbol val="none"/>
          </c:marker>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Sheet1!$C$4:$C$16</c:f>
              <c:numCache>
                <c:formatCode>General</c:formatCode>
                <c:ptCount val="12"/>
                <c:pt idx="0">
                  <c:v>50366</c:v>
                </c:pt>
                <c:pt idx="1">
                  <c:v>44258.799999999996</c:v>
                </c:pt>
                <c:pt idx="2">
                  <c:v>42388</c:v>
                </c:pt>
                <c:pt idx="3">
                  <c:v>61968.159999999996</c:v>
                </c:pt>
                <c:pt idx="4">
                  <c:v>46567.519999999997</c:v>
                </c:pt>
                <c:pt idx="5">
                  <c:v>49095.25</c:v>
                </c:pt>
                <c:pt idx="6">
                  <c:v>46965.440000000002</c:v>
                </c:pt>
                <c:pt idx="7">
                  <c:v>45680.959999999992</c:v>
                </c:pt>
                <c:pt idx="8">
                  <c:v>39280.660000000003</c:v>
                </c:pt>
                <c:pt idx="9">
                  <c:v>43790.81</c:v>
                </c:pt>
                <c:pt idx="10">
                  <c:v>53645.16</c:v>
                </c:pt>
                <c:pt idx="11">
                  <c:v>61343.07</c:v>
                </c:pt>
              </c:numCache>
            </c:numRef>
          </c:val>
          <c:smooth val="0"/>
          <c:extLst>
            <c:ext xmlns:c16="http://schemas.microsoft.com/office/drawing/2014/chart" uri="{C3380CC4-5D6E-409C-BE32-E72D297353CC}">
              <c16:uniqueId val="{00000002-C0E3-4FD7-87A5-2D764304C809}"/>
            </c:ext>
          </c:extLst>
        </c:ser>
        <c:dLbls>
          <c:showLegendKey val="0"/>
          <c:showVal val="0"/>
          <c:showCatName val="0"/>
          <c:showSerName val="0"/>
          <c:showPercent val="0"/>
          <c:showBubbleSize val="0"/>
        </c:dLbls>
        <c:marker val="1"/>
        <c:smooth val="0"/>
        <c:axId val="1933017055"/>
        <c:axId val="1933000255"/>
      </c:lineChart>
      <c:catAx>
        <c:axId val="181205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3359"/>
        <c:crosses val="autoZero"/>
        <c:auto val="1"/>
        <c:lblAlgn val="ctr"/>
        <c:lblOffset val="100"/>
        <c:noMultiLvlLbl val="0"/>
      </c:catAx>
      <c:valAx>
        <c:axId val="1812053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7199"/>
        <c:crosses val="autoZero"/>
        <c:crossBetween val="between"/>
      </c:valAx>
      <c:valAx>
        <c:axId val="1933000255"/>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17055"/>
        <c:crosses val="max"/>
        <c:crossBetween val="between"/>
      </c:valAx>
      <c:catAx>
        <c:axId val="1933017055"/>
        <c:scaling>
          <c:orientation val="minMax"/>
        </c:scaling>
        <c:delete val="1"/>
        <c:axPos val="b"/>
        <c:numFmt formatCode="General" sourceLinked="1"/>
        <c:majorTickMark val="out"/>
        <c:minorTickMark val="none"/>
        <c:tickLblPos val="nextTo"/>
        <c:crossAx val="1933000255"/>
        <c:crosses val="autoZero"/>
        <c:auto val="1"/>
        <c:lblAlgn val="ctr"/>
        <c:lblOffset val="100"/>
        <c:noMultiLvlLbl val="0"/>
      </c:catAx>
      <c:spPr>
        <a:noFill/>
        <a:ln>
          <a:noFill/>
        </a:ln>
        <a:effectLst/>
      </c:spPr>
    </c:plotArea>
    <c:legend>
      <c:legendPos val="r"/>
      <c:layout>
        <c:manualLayout>
          <c:xMode val="edge"/>
          <c:yMode val="edge"/>
          <c:x val="0.74234208223971998"/>
          <c:y val="0.8431707494896471"/>
          <c:w val="0.25697215319029859"/>
          <c:h val="0.15682906485749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Sheet1!$J$4</c:f>
              <c:strCache>
                <c:ptCount val="1"/>
                <c:pt idx="0">
                  <c:v>Total</c:v>
                </c:pt>
              </c:strCache>
            </c:strRef>
          </c:tx>
          <c:spPr>
            <a:solidFill>
              <a:schemeClr val="accent1"/>
            </a:solidFill>
            <a:ln>
              <a:noFill/>
            </a:ln>
            <a:effectLst/>
          </c:spPr>
          <c:invertIfNegative val="0"/>
          <c:cat>
            <c:strRef>
              <c:f>Sheet1!$I$5:$I$8</c:f>
              <c:strCache>
                <c:ptCount val="3"/>
                <c:pt idx="0">
                  <c:v>0</c:v>
                </c:pt>
                <c:pt idx="1">
                  <c:v>Men</c:v>
                </c:pt>
                <c:pt idx="2">
                  <c:v>Women</c:v>
                </c:pt>
              </c:strCache>
            </c:strRef>
          </c:cat>
          <c:val>
            <c:numRef>
              <c:f>Sheet1!$J$5:$J$8</c:f>
              <c:numCache>
                <c:formatCode>General</c:formatCode>
                <c:ptCount val="3"/>
                <c:pt idx="0">
                  <c:v>1125</c:v>
                </c:pt>
                <c:pt idx="1">
                  <c:v>169278.06</c:v>
                </c:pt>
                <c:pt idx="2">
                  <c:v>414946.77</c:v>
                </c:pt>
              </c:numCache>
            </c:numRef>
          </c:val>
          <c:extLst>
            <c:ext xmlns:c16="http://schemas.microsoft.com/office/drawing/2014/chart" uri="{C3380CC4-5D6E-409C-BE32-E72D297353CC}">
              <c16:uniqueId val="{00000000-DF48-4267-B7A5-E39E688CEC64}"/>
            </c:ext>
          </c:extLst>
        </c:ser>
        <c:dLbls>
          <c:showLegendKey val="0"/>
          <c:showVal val="0"/>
          <c:showCatName val="0"/>
          <c:showSerName val="0"/>
          <c:showPercent val="0"/>
          <c:showBubbleSize val="0"/>
        </c:dLbls>
        <c:gapWidth val="219"/>
        <c:overlap val="-27"/>
        <c:axId val="1474626239"/>
        <c:axId val="1474616159"/>
      </c:barChart>
      <c:catAx>
        <c:axId val="147462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16159"/>
        <c:crosses val="autoZero"/>
        <c:auto val="1"/>
        <c:lblAlgn val="ctr"/>
        <c:lblOffset val="100"/>
        <c:noMultiLvlLbl val="0"/>
      </c:catAx>
      <c:valAx>
        <c:axId val="1474616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2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ORDER</a:t>
            </a:r>
            <a:r>
              <a:rPr lang="en-IN" baseline="0"/>
              <a:t> VS STATUS</a:t>
            </a:r>
            <a:endParaRPr lang="en-IN"/>
          </a:p>
        </c:rich>
      </c:tx>
      <c:layout>
        <c:manualLayout>
          <c:xMode val="edge"/>
          <c:yMode val="edge"/>
          <c:x val="0.24139113001018611"/>
          <c:y val="4.166666666666666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Sheet1!$AG$6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E7B-4B53-9FD4-88A0672BBB7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E7B-4B53-9FD4-88A0672BBB7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E7B-4B53-9FD4-88A0672BBB7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E7B-4B53-9FD4-88A0672BBB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Sheet1!$AF$7:$AF$11</c:f>
              <c:strCache>
                <c:ptCount val="4"/>
                <c:pt idx="0">
                  <c:v>Cancelled</c:v>
                </c:pt>
                <c:pt idx="1">
                  <c:v>Shipped</c:v>
                </c:pt>
                <c:pt idx="2">
                  <c:v>Shipped - Delivered to Buyer</c:v>
                </c:pt>
                <c:pt idx="3">
                  <c:v>Shipped - Rejected by Buyer</c:v>
                </c:pt>
              </c:strCache>
            </c:strRef>
          </c:cat>
          <c:val>
            <c:numRef>
              <c:f>Sheet1!$AG$7:$AG$11</c:f>
              <c:numCache>
                <c:formatCode>General</c:formatCode>
                <c:ptCount val="4"/>
                <c:pt idx="0">
                  <c:v>137</c:v>
                </c:pt>
                <c:pt idx="1">
                  <c:v>691</c:v>
                </c:pt>
                <c:pt idx="2">
                  <c:v>164</c:v>
                </c:pt>
                <c:pt idx="3">
                  <c:v>1</c:v>
                </c:pt>
              </c:numCache>
            </c:numRef>
          </c:val>
          <c:extLst>
            <c:ext xmlns:c16="http://schemas.microsoft.com/office/drawing/2014/chart" uri="{C3380CC4-5D6E-409C-BE32-E72D297353CC}">
              <c16:uniqueId val="{00000000-12E2-4E83-A352-923525C3FA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TOP 5 STATE</a:t>
            </a:r>
            <a:endParaRPr lang="en-IN"/>
          </a:p>
        </c:rich>
      </c:tx>
      <c:layout>
        <c:manualLayout>
          <c:xMode val="edge"/>
          <c:yMode val="edge"/>
          <c:x val="0.3241291876813589"/>
          <c:y val="3.31027189657355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90357608365428"/>
          <c:y val="0.15605567512418175"/>
          <c:w val="0.6569680576677901"/>
          <c:h val="0.73424064820262303"/>
        </c:manualLayout>
      </c:layout>
      <c:barChart>
        <c:barDir val="bar"/>
        <c:grouping val="clustered"/>
        <c:varyColors val="0"/>
        <c:ser>
          <c:idx val="0"/>
          <c:order val="0"/>
          <c:tx>
            <c:strRef>
              <c:f>Sheet1!$AW$15</c:f>
              <c:strCache>
                <c:ptCount val="1"/>
                <c:pt idx="0">
                  <c:v>Total</c:v>
                </c:pt>
              </c:strCache>
            </c:strRef>
          </c:tx>
          <c:spPr>
            <a:solidFill>
              <a:schemeClr val="accent1"/>
            </a:solidFill>
            <a:ln>
              <a:noFill/>
            </a:ln>
            <a:effectLst/>
          </c:spPr>
          <c:invertIfNegative val="0"/>
          <c:cat>
            <c:strRef>
              <c:f>Sheet1!$AV$16:$AV$21</c:f>
              <c:strCache>
                <c:ptCount val="5"/>
                <c:pt idx="0">
                  <c:v>Gujarat</c:v>
                </c:pt>
                <c:pt idx="1">
                  <c:v>JAMMU &amp; KASHMIR</c:v>
                </c:pt>
                <c:pt idx="2">
                  <c:v>MAHARASHTRA</c:v>
                </c:pt>
                <c:pt idx="3">
                  <c:v>PUNJAB</c:v>
                </c:pt>
                <c:pt idx="4">
                  <c:v>RAJASTHAN</c:v>
                </c:pt>
              </c:strCache>
            </c:strRef>
          </c:cat>
          <c:val>
            <c:numRef>
              <c:f>Sheet1!$AW$16:$AW$21</c:f>
              <c:numCache>
                <c:formatCode>General</c:formatCode>
                <c:ptCount val="5"/>
                <c:pt idx="0">
                  <c:v>17904.96</c:v>
                </c:pt>
                <c:pt idx="1">
                  <c:v>4684</c:v>
                </c:pt>
                <c:pt idx="2">
                  <c:v>81483.53</c:v>
                </c:pt>
                <c:pt idx="3">
                  <c:v>6377</c:v>
                </c:pt>
                <c:pt idx="4">
                  <c:v>10578</c:v>
                </c:pt>
              </c:numCache>
            </c:numRef>
          </c:val>
          <c:extLst>
            <c:ext xmlns:c16="http://schemas.microsoft.com/office/drawing/2014/chart" uri="{C3380CC4-5D6E-409C-BE32-E72D297353CC}">
              <c16:uniqueId val="{00000002-CF0E-48C8-A7B3-EC26FDF094DB}"/>
            </c:ext>
          </c:extLst>
        </c:ser>
        <c:dLbls>
          <c:showLegendKey val="0"/>
          <c:showVal val="0"/>
          <c:showCatName val="0"/>
          <c:showSerName val="0"/>
          <c:showPercent val="0"/>
          <c:showBubbleSize val="0"/>
        </c:dLbls>
        <c:gapWidth val="219"/>
        <c:axId val="2006466015"/>
        <c:axId val="2006464575"/>
      </c:barChart>
      <c:catAx>
        <c:axId val="200646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464575"/>
        <c:crosses val="autoZero"/>
        <c:auto val="1"/>
        <c:lblAlgn val="ctr"/>
        <c:lblOffset val="100"/>
        <c:noMultiLvlLbl val="0"/>
      </c:catAx>
      <c:valAx>
        <c:axId val="2006464575"/>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46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SALES TREND</a:t>
            </a:r>
            <a:endParaRPr lang="en-IN"/>
          </a:p>
        </c:rich>
      </c:tx>
      <c:layout>
        <c:manualLayout>
          <c:xMode val="edge"/>
          <c:yMode val="edge"/>
          <c:x val="0.2515"/>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Sheet1!$AQ$52:$AQ$53</c:f>
              <c:strCache>
                <c:ptCount val="1"/>
                <c:pt idx="0">
                  <c:v>Amazon</c:v>
                </c:pt>
              </c:strCache>
            </c:strRef>
          </c:tx>
          <c:spPr>
            <a:ln w="28575" cap="rnd">
              <a:solidFill>
                <a:schemeClr val="accent1"/>
              </a:solidFill>
              <a:round/>
            </a:ln>
            <a:effectLst/>
          </c:spPr>
          <c:marker>
            <c:symbol val="none"/>
          </c:marker>
          <c:cat>
            <c:strRef>
              <c:f>Sheet1!$AP$54:$AP$66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Sheet1!$AQ$54:$AQ$66</c:f>
              <c:numCache>
                <c:formatCode>General</c:formatCode>
                <c:ptCount val="12"/>
                <c:pt idx="0">
                  <c:v>36790</c:v>
                </c:pt>
                <c:pt idx="1">
                  <c:v>32637</c:v>
                </c:pt>
                <c:pt idx="2">
                  <c:v>32941</c:v>
                </c:pt>
                <c:pt idx="3">
                  <c:v>46979</c:v>
                </c:pt>
                <c:pt idx="4">
                  <c:v>33813</c:v>
                </c:pt>
                <c:pt idx="5">
                  <c:v>40838</c:v>
                </c:pt>
                <c:pt idx="6">
                  <c:v>40975</c:v>
                </c:pt>
                <c:pt idx="7">
                  <c:v>36354</c:v>
                </c:pt>
                <c:pt idx="8">
                  <c:v>29461</c:v>
                </c:pt>
                <c:pt idx="9">
                  <c:v>32165</c:v>
                </c:pt>
                <c:pt idx="10">
                  <c:v>47175</c:v>
                </c:pt>
                <c:pt idx="11">
                  <c:v>52091</c:v>
                </c:pt>
              </c:numCache>
            </c:numRef>
          </c:val>
          <c:smooth val="0"/>
          <c:extLst>
            <c:ext xmlns:c16="http://schemas.microsoft.com/office/drawing/2014/chart" uri="{C3380CC4-5D6E-409C-BE32-E72D297353CC}">
              <c16:uniqueId val="{00000000-7450-4AE5-8C68-6D9028F70810}"/>
            </c:ext>
          </c:extLst>
        </c:ser>
        <c:ser>
          <c:idx val="1"/>
          <c:order val="1"/>
          <c:tx>
            <c:strRef>
              <c:f>Sheet1!$AR$52:$AR$53</c:f>
              <c:strCache>
                <c:ptCount val="1"/>
                <c:pt idx="0">
                  <c:v>Flipkart</c:v>
                </c:pt>
              </c:strCache>
            </c:strRef>
          </c:tx>
          <c:spPr>
            <a:ln w="28575" cap="rnd">
              <a:solidFill>
                <a:schemeClr val="accent2"/>
              </a:solidFill>
              <a:round/>
            </a:ln>
            <a:effectLst/>
          </c:spPr>
          <c:marker>
            <c:symbol val="none"/>
          </c:marker>
          <c:cat>
            <c:strRef>
              <c:f>Sheet1!$AP$54:$AP$66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Sheet1!$AR$54:$AR$66</c:f>
              <c:numCache>
                <c:formatCode>General</c:formatCode>
                <c:ptCount val="12"/>
                <c:pt idx="0">
                  <c:v>8337</c:v>
                </c:pt>
                <c:pt idx="1">
                  <c:v>4865.58</c:v>
                </c:pt>
                <c:pt idx="2">
                  <c:v>5222</c:v>
                </c:pt>
                <c:pt idx="3">
                  <c:v>6483.98</c:v>
                </c:pt>
                <c:pt idx="4">
                  <c:v>4892.5200000000004</c:v>
                </c:pt>
                <c:pt idx="5">
                  <c:v>2902</c:v>
                </c:pt>
                <c:pt idx="6">
                  <c:v>2150</c:v>
                </c:pt>
                <c:pt idx="7">
                  <c:v>5763.96</c:v>
                </c:pt>
                <c:pt idx="8">
                  <c:v>4483.95</c:v>
                </c:pt>
                <c:pt idx="9">
                  <c:v>6606.05</c:v>
                </c:pt>
                <c:pt idx="10">
                  <c:v>2537.16</c:v>
                </c:pt>
                <c:pt idx="11">
                  <c:v>3601</c:v>
                </c:pt>
              </c:numCache>
            </c:numRef>
          </c:val>
          <c:smooth val="0"/>
          <c:extLst>
            <c:ext xmlns:c16="http://schemas.microsoft.com/office/drawing/2014/chart" uri="{C3380CC4-5D6E-409C-BE32-E72D297353CC}">
              <c16:uniqueId val="{00000000-DBF4-4749-A9C9-37DC5E13C2FD}"/>
            </c:ext>
          </c:extLst>
        </c:ser>
        <c:ser>
          <c:idx val="2"/>
          <c:order val="2"/>
          <c:tx>
            <c:strRef>
              <c:f>Sheet1!$AS$52:$AS$53</c:f>
              <c:strCache>
                <c:ptCount val="1"/>
                <c:pt idx="0">
                  <c:v>Myntra</c:v>
                </c:pt>
              </c:strCache>
            </c:strRef>
          </c:tx>
          <c:spPr>
            <a:ln w="28575" cap="rnd">
              <a:solidFill>
                <a:schemeClr val="accent3"/>
              </a:solidFill>
              <a:round/>
            </a:ln>
            <a:effectLst/>
          </c:spPr>
          <c:marker>
            <c:symbol val="none"/>
          </c:marker>
          <c:cat>
            <c:strRef>
              <c:f>Sheet1!$AP$54:$AP$66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Sheet1!$AS$54:$AS$66</c:f>
              <c:numCache>
                <c:formatCode>General</c:formatCode>
                <c:ptCount val="12"/>
                <c:pt idx="0">
                  <c:v>5239</c:v>
                </c:pt>
                <c:pt idx="1">
                  <c:v>6756.22</c:v>
                </c:pt>
                <c:pt idx="2">
                  <c:v>4225</c:v>
                </c:pt>
                <c:pt idx="3">
                  <c:v>8505.18</c:v>
                </c:pt>
                <c:pt idx="4">
                  <c:v>7862</c:v>
                </c:pt>
                <c:pt idx="5">
                  <c:v>5355.25</c:v>
                </c:pt>
                <c:pt idx="6">
                  <c:v>3840.4399999999996</c:v>
                </c:pt>
                <c:pt idx="7">
                  <c:v>3563</c:v>
                </c:pt>
                <c:pt idx="8">
                  <c:v>5335.71</c:v>
                </c:pt>
                <c:pt idx="9">
                  <c:v>5019.76</c:v>
                </c:pt>
                <c:pt idx="10">
                  <c:v>3933</c:v>
                </c:pt>
                <c:pt idx="11">
                  <c:v>5651.07</c:v>
                </c:pt>
              </c:numCache>
            </c:numRef>
          </c:val>
          <c:smooth val="0"/>
          <c:extLst>
            <c:ext xmlns:c16="http://schemas.microsoft.com/office/drawing/2014/chart" uri="{C3380CC4-5D6E-409C-BE32-E72D297353CC}">
              <c16:uniqueId val="{00000001-DBF4-4749-A9C9-37DC5E13C2FD}"/>
            </c:ext>
          </c:extLst>
        </c:ser>
        <c:dLbls>
          <c:showLegendKey val="0"/>
          <c:showVal val="0"/>
          <c:showCatName val="0"/>
          <c:showSerName val="0"/>
          <c:showPercent val="0"/>
          <c:showBubbleSize val="0"/>
        </c:dLbls>
        <c:smooth val="0"/>
        <c:axId val="1091653343"/>
        <c:axId val="1091651903"/>
      </c:lineChart>
      <c:catAx>
        <c:axId val="109165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51903"/>
        <c:crosses val="autoZero"/>
        <c:auto val="1"/>
        <c:lblAlgn val="ctr"/>
        <c:lblOffset val="100"/>
        <c:noMultiLvlLbl val="0"/>
      </c:catAx>
      <c:valAx>
        <c:axId val="109165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5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782725467610154E-2"/>
          <c:y val="7.407407407407407E-2"/>
          <c:w val="0.73374617842219803"/>
          <c:h val="0.8416746864975212"/>
        </c:manualLayout>
      </c:layout>
      <c:barChart>
        <c:barDir val="col"/>
        <c:grouping val="stacked"/>
        <c:varyColors val="0"/>
        <c:ser>
          <c:idx val="0"/>
          <c:order val="0"/>
          <c:tx>
            <c:strRef>
              <c:f>Sheet1!$BH$54:$BH$55</c:f>
              <c:strCache>
                <c:ptCount val="1"/>
                <c:pt idx="0">
                  <c:v>kurta</c:v>
                </c:pt>
              </c:strCache>
            </c:strRef>
          </c:tx>
          <c:spPr>
            <a:solidFill>
              <a:schemeClr val="accent1"/>
            </a:solidFill>
            <a:ln>
              <a:noFill/>
            </a:ln>
            <a:effectLst/>
          </c:spPr>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Sheet1!$BH$56:$BH$64</c:f>
              <c:numCache>
                <c:formatCode>General</c:formatCode>
                <c:ptCount val="8"/>
                <c:pt idx="0">
                  <c:v>3147</c:v>
                </c:pt>
                <c:pt idx="1">
                  <c:v>2588</c:v>
                </c:pt>
                <c:pt idx="2">
                  <c:v>4118</c:v>
                </c:pt>
                <c:pt idx="3">
                  <c:v>4694.05</c:v>
                </c:pt>
                <c:pt idx="4">
                  <c:v>4714.38</c:v>
                </c:pt>
                <c:pt idx="5">
                  <c:v>4561</c:v>
                </c:pt>
                <c:pt idx="6">
                  <c:v>4555.1399999999994</c:v>
                </c:pt>
                <c:pt idx="7">
                  <c:v>2253</c:v>
                </c:pt>
              </c:numCache>
            </c:numRef>
          </c:val>
          <c:extLst>
            <c:ext xmlns:c16="http://schemas.microsoft.com/office/drawing/2014/chart" uri="{C3380CC4-5D6E-409C-BE32-E72D297353CC}">
              <c16:uniqueId val="{00000000-C82A-41C4-A156-7D9F5C2D26F1}"/>
            </c:ext>
          </c:extLst>
        </c:ser>
        <c:ser>
          <c:idx val="1"/>
          <c:order val="1"/>
          <c:tx>
            <c:strRef>
              <c:f>Sheet1!$BI$54:$BI$55</c:f>
              <c:strCache>
                <c:ptCount val="1"/>
                <c:pt idx="0">
                  <c:v>Saree</c:v>
                </c:pt>
              </c:strCache>
            </c:strRef>
          </c:tx>
          <c:spPr>
            <a:solidFill>
              <a:schemeClr val="accent2"/>
            </a:solidFill>
            <a:ln>
              <a:noFill/>
            </a:ln>
            <a:effectLst/>
          </c:spPr>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Sheet1!$BI$56:$BI$64</c:f>
              <c:numCache>
                <c:formatCode>General</c:formatCode>
                <c:ptCount val="8"/>
                <c:pt idx="2">
                  <c:v>989</c:v>
                </c:pt>
                <c:pt idx="7">
                  <c:v>620</c:v>
                </c:pt>
              </c:numCache>
            </c:numRef>
          </c:val>
          <c:extLst>
            <c:ext xmlns:c16="http://schemas.microsoft.com/office/drawing/2014/chart" uri="{C3380CC4-5D6E-409C-BE32-E72D297353CC}">
              <c16:uniqueId val="{00000002-76CD-4B48-9845-99F28D98C0FD}"/>
            </c:ext>
          </c:extLst>
        </c:ser>
        <c:ser>
          <c:idx val="2"/>
          <c:order val="2"/>
          <c:tx>
            <c:strRef>
              <c:f>Sheet1!$BJ$54:$BJ$55</c:f>
              <c:strCache>
                <c:ptCount val="1"/>
                <c:pt idx="0">
                  <c:v>Set</c:v>
                </c:pt>
              </c:strCache>
            </c:strRef>
          </c:tx>
          <c:spPr>
            <a:solidFill>
              <a:schemeClr val="accent3"/>
            </a:solidFill>
            <a:ln>
              <a:noFill/>
            </a:ln>
            <a:effectLst/>
          </c:spPr>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Sheet1!$BJ$56:$BJ$64</c:f>
              <c:numCache>
                <c:formatCode>General</c:formatCode>
                <c:ptCount val="8"/>
                <c:pt idx="0">
                  <c:v>9600.93</c:v>
                </c:pt>
                <c:pt idx="1">
                  <c:v>11901.86</c:v>
                </c:pt>
                <c:pt idx="2">
                  <c:v>4621</c:v>
                </c:pt>
                <c:pt idx="3">
                  <c:v>5002</c:v>
                </c:pt>
                <c:pt idx="4">
                  <c:v>9349</c:v>
                </c:pt>
                <c:pt idx="5">
                  <c:v>2902</c:v>
                </c:pt>
                <c:pt idx="6">
                  <c:v>8113</c:v>
                </c:pt>
                <c:pt idx="7">
                  <c:v>6120</c:v>
                </c:pt>
              </c:numCache>
            </c:numRef>
          </c:val>
          <c:extLst>
            <c:ext xmlns:c16="http://schemas.microsoft.com/office/drawing/2014/chart" uri="{C3380CC4-5D6E-409C-BE32-E72D297353CC}">
              <c16:uniqueId val="{00000003-76CD-4B48-9845-99F28D98C0FD}"/>
            </c:ext>
          </c:extLst>
        </c:ser>
        <c:ser>
          <c:idx val="3"/>
          <c:order val="3"/>
          <c:tx>
            <c:strRef>
              <c:f>Sheet1!$BK$54:$BK$55</c:f>
              <c:strCache>
                <c:ptCount val="1"/>
                <c:pt idx="0">
                  <c:v>Top</c:v>
                </c:pt>
              </c:strCache>
            </c:strRef>
          </c:tx>
          <c:spPr>
            <a:solidFill>
              <a:schemeClr val="accent4"/>
            </a:solidFill>
            <a:ln>
              <a:noFill/>
            </a:ln>
            <a:effectLst/>
          </c:spPr>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Sheet1!$BK$56:$BK$64</c:f>
              <c:numCache>
                <c:formatCode>General</c:formatCode>
                <c:ptCount val="8"/>
                <c:pt idx="0">
                  <c:v>469.52</c:v>
                </c:pt>
                <c:pt idx="1">
                  <c:v>1284</c:v>
                </c:pt>
                <c:pt idx="2">
                  <c:v>512</c:v>
                </c:pt>
                <c:pt idx="3">
                  <c:v>927</c:v>
                </c:pt>
                <c:pt idx="4">
                  <c:v>880</c:v>
                </c:pt>
                <c:pt idx="5">
                  <c:v>545</c:v>
                </c:pt>
                <c:pt idx="7">
                  <c:v>540</c:v>
                </c:pt>
              </c:numCache>
            </c:numRef>
          </c:val>
          <c:extLst>
            <c:ext xmlns:c16="http://schemas.microsoft.com/office/drawing/2014/chart" uri="{C3380CC4-5D6E-409C-BE32-E72D297353CC}">
              <c16:uniqueId val="{00000000-A3CD-49C9-8F18-3AC48A0C46C2}"/>
            </c:ext>
          </c:extLst>
        </c:ser>
        <c:ser>
          <c:idx val="4"/>
          <c:order val="4"/>
          <c:tx>
            <c:strRef>
              <c:f>Sheet1!$BL$54:$BL$55</c:f>
              <c:strCache>
                <c:ptCount val="1"/>
                <c:pt idx="0">
                  <c:v>Western Dress</c:v>
                </c:pt>
              </c:strCache>
            </c:strRef>
          </c:tx>
          <c:spPr>
            <a:solidFill>
              <a:schemeClr val="accent5"/>
            </a:solidFill>
            <a:ln>
              <a:noFill/>
            </a:ln>
            <a:effectLst/>
          </c:spPr>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Sheet1!$BL$56:$BL$64</c:f>
              <c:numCache>
                <c:formatCode>General</c:formatCode>
                <c:ptCount val="8"/>
                <c:pt idx="0">
                  <c:v>2293</c:v>
                </c:pt>
                <c:pt idx="1">
                  <c:v>2342</c:v>
                </c:pt>
                <c:pt idx="2">
                  <c:v>744</c:v>
                </c:pt>
                <c:pt idx="3">
                  <c:v>859</c:v>
                </c:pt>
                <c:pt idx="4">
                  <c:v>1596</c:v>
                </c:pt>
                <c:pt idx="5">
                  <c:v>2113</c:v>
                </c:pt>
                <c:pt idx="6">
                  <c:v>1505.29</c:v>
                </c:pt>
                <c:pt idx="7">
                  <c:v>2603</c:v>
                </c:pt>
              </c:numCache>
            </c:numRef>
          </c:val>
          <c:extLst>
            <c:ext xmlns:c16="http://schemas.microsoft.com/office/drawing/2014/chart" uri="{C3380CC4-5D6E-409C-BE32-E72D297353CC}">
              <c16:uniqueId val="{00000001-A3CD-49C9-8F18-3AC48A0C46C2}"/>
            </c:ext>
          </c:extLst>
        </c:ser>
        <c:dLbls>
          <c:showLegendKey val="0"/>
          <c:showVal val="0"/>
          <c:showCatName val="0"/>
          <c:showSerName val="0"/>
          <c:showPercent val="0"/>
          <c:showBubbleSize val="0"/>
        </c:dLbls>
        <c:gapWidth val="219"/>
        <c:overlap val="100"/>
        <c:axId val="1482150591"/>
        <c:axId val="1482148671"/>
      </c:barChart>
      <c:catAx>
        <c:axId val="148215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148671"/>
        <c:crosses val="autoZero"/>
        <c:auto val="1"/>
        <c:lblAlgn val="ctr"/>
        <c:lblOffset val="100"/>
        <c:noMultiLvlLbl val="0"/>
      </c:catAx>
      <c:valAx>
        <c:axId val="148214867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15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DashboardD.xlsx]Sheet1!PivotTable8</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MEN</a:t>
            </a:r>
            <a:r>
              <a:rPr lang="en-US" baseline="0"/>
              <a:t> VS WOmEn</a:t>
            </a:r>
            <a:endParaRPr lang="en-US"/>
          </a:p>
        </c:rich>
      </c:tx>
      <c:layout>
        <c:manualLayout>
          <c:xMode val="edge"/>
          <c:yMode val="edge"/>
          <c:x val="0.28826377952755899"/>
          <c:y val="3.703703703703703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Sheet1!$B$45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020-4155-ABE2-2341EAFE13D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020-4155-ABE2-2341EAFE13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Sheet1!$A$46:$A$48</c:f>
              <c:strCache>
                <c:ptCount val="2"/>
                <c:pt idx="0">
                  <c:v>Men</c:v>
                </c:pt>
                <c:pt idx="1">
                  <c:v>Women</c:v>
                </c:pt>
              </c:strCache>
            </c:strRef>
          </c:cat>
          <c:val>
            <c:numRef>
              <c:f>Sheet1!$B$46:$B$48</c:f>
              <c:numCache>
                <c:formatCode>General</c:formatCode>
                <c:ptCount val="2"/>
                <c:pt idx="0">
                  <c:v>419</c:v>
                </c:pt>
                <c:pt idx="1">
                  <c:v>580</c:v>
                </c:pt>
              </c:numCache>
            </c:numRef>
          </c:val>
          <c:extLst>
            <c:ext xmlns:c16="http://schemas.microsoft.com/office/drawing/2014/chart" uri="{C3380CC4-5D6E-409C-BE32-E72D297353CC}">
              <c16:uniqueId val="{00000000-90F4-4DD7-8CDE-D673B8C8A84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Sheet1!$J$41</c:f>
              <c:strCache>
                <c:ptCount val="1"/>
                <c:pt idx="0">
                  <c:v>Total</c:v>
                </c:pt>
              </c:strCache>
            </c:strRef>
          </c:tx>
          <c:spPr>
            <a:solidFill>
              <a:schemeClr val="accent1"/>
            </a:solidFill>
            <a:ln>
              <a:noFill/>
            </a:ln>
            <a:effectLst/>
          </c:spPr>
          <c:invertIfNegative val="0"/>
          <c:cat>
            <c:strRef>
              <c:f>Sheet1!$I$42:$I$74</c:f>
              <c:strCache>
                <c:ptCount val="32"/>
                <c:pt idx="0">
                  <c:v>DELHI</c:v>
                </c:pt>
                <c:pt idx="1">
                  <c:v>ANDHRA PRADESH</c:v>
                </c:pt>
                <c:pt idx="2">
                  <c:v>ARUNACHAL PRADESH</c:v>
                </c:pt>
                <c:pt idx="3">
                  <c:v>ASSAM</c:v>
                </c:pt>
                <c:pt idx="4">
                  <c:v>BIHAR</c:v>
                </c:pt>
                <c:pt idx="5">
                  <c:v>CHANDIGARH</c:v>
                </c:pt>
                <c:pt idx="6">
                  <c:v>CHHATTISGARH</c:v>
                </c:pt>
                <c:pt idx="7">
                  <c:v>DADRA AND NAGAR</c:v>
                </c:pt>
                <c:pt idx="8">
                  <c:v>Goa</c:v>
                </c:pt>
                <c:pt idx="9">
                  <c:v>Gujarat</c:v>
                </c:pt>
                <c:pt idx="10">
                  <c:v>HARYANA</c:v>
                </c:pt>
                <c:pt idx="11">
                  <c:v>HIMACHAL PRADESH</c:v>
                </c:pt>
                <c:pt idx="12">
                  <c:v>JAMMU &amp; KASHMIR</c:v>
                </c:pt>
                <c:pt idx="13">
                  <c:v>JHARKHAND</c:v>
                </c:pt>
                <c:pt idx="14">
                  <c:v>KARNATAKA</c:v>
                </c:pt>
                <c:pt idx="15">
                  <c:v>KERALA</c:v>
                </c:pt>
                <c:pt idx="16">
                  <c:v>LADAKH</c:v>
                </c:pt>
                <c:pt idx="17">
                  <c:v>MADHYA PRADESH</c:v>
                </c:pt>
                <c:pt idx="18">
                  <c:v>MAHARASHTRA</c:v>
                </c:pt>
                <c:pt idx="19">
                  <c:v>MANIPUR</c:v>
                </c:pt>
                <c:pt idx="20">
                  <c:v>MEGHALAYA</c:v>
                </c:pt>
                <c:pt idx="21">
                  <c:v>NAGALAND</c:v>
                </c:pt>
                <c:pt idx="22">
                  <c:v>ODISHA</c:v>
                </c:pt>
                <c:pt idx="23">
                  <c:v>PUDUCHERRY</c:v>
                </c:pt>
                <c:pt idx="24">
                  <c:v>PUNJAB</c:v>
                </c:pt>
                <c:pt idx="25">
                  <c:v>RAJASTHAN</c:v>
                </c:pt>
                <c:pt idx="26">
                  <c:v>TAMIL NADU</c:v>
                </c:pt>
                <c:pt idx="27">
                  <c:v>TELANGANA</c:v>
                </c:pt>
                <c:pt idx="28">
                  <c:v>TRIPURA</c:v>
                </c:pt>
                <c:pt idx="29">
                  <c:v>UTTAR PRADESH</c:v>
                </c:pt>
                <c:pt idx="30">
                  <c:v>UTTARAKHAND</c:v>
                </c:pt>
                <c:pt idx="31">
                  <c:v>WEST BENGAL</c:v>
                </c:pt>
              </c:strCache>
            </c:strRef>
          </c:cat>
          <c:val>
            <c:numRef>
              <c:f>Sheet1!$J$42:$J$74</c:f>
              <c:numCache>
                <c:formatCode>General</c:formatCode>
                <c:ptCount val="32"/>
                <c:pt idx="0">
                  <c:v>29396.58</c:v>
                </c:pt>
                <c:pt idx="1">
                  <c:v>27608</c:v>
                </c:pt>
                <c:pt idx="2">
                  <c:v>999</c:v>
                </c:pt>
                <c:pt idx="3">
                  <c:v>12197</c:v>
                </c:pt>
                <c:pt idx="4">
                  <c:v>16149.38</c:v>
                </c:pt>
                <c:pt idx="5">
                  <c:v>653</c:v>
                </c:pt>
                <c:pt idx="6">
                  <c:v>2003</c:v>
                </c:pt>
                <c:pt idx="7">
                  <c:v>1396</c:v>
                </c:pt>
                <c:pt idx="8">
                  <c:v>3746</c:v>
                </c:pt>
                <c:pt idx="9">
                  <c:v>17904.96</c:v>
                </c:pt>
                <c:pt idx="10">
                  <c:v>17328.080000000002</c:v>
                </c:pt>
                <c:pt idx="11">
                  <c:v>3279</c:v>
                </c:pt>
                <c:pt idx="12">
                  <c:v>4684</c:v>
                </c:pt>
                <c:pt idx="13">
                  <c:v>9827.57</c:v>
                </c:pt>
                <c:pt idx="14">
                  <c:v>71627.01999999999</c:v>
                </c:pt>
                <c:pt idx="15">
                  <c:v>17324</c:v>
                </c:pt>
                <c:pt idx="16">
                  <c:v>666</c:v>
                </c:pt>
                <c:pt idx="17">
                  <c:v>13986</c:v>
                </c:pt>
                <c:pt idx="18">
                  <c:v>81483.53</c:v>
                </c:pt>
                <c:pt idx="19">
                  <c:v>4174</c:v>
                </c:pt>
                <c:pt idx="20">
                  <c:v>1900</c:v>
                </c:pt>
                <c:pt idx="21">
                  <c:v>3403</c:v>
                </c:pt>
                <c:pt idx="22">
                  <c:v>13736</c:v>
                </c:pt>
                <c:pt idx="23">
                  <c:v>3067.33</c:v>
                </c:pt>
                <c:pt idx="24">
                  <c:v>6377</c:v>
                </c:pt>
                <c:pt idx="25">
                  <c:v>10578</c:v>
                </c:pt>
                <c:pt idx="26">
                  <c:v>41846.43</c:v>
                </c:pt>
                <c:pt idx="27">
                  <c:v>62524.72</c:v>
                </c:pt>
                <c:pt idx="28">
                  <c:v>1213</c:v>
                </c:pt>
                <c:pt idx="29">
                  <c:v>53641.619999999995</c:v>
                </c:pt>
                <c:pt idx="30">
                  <c:v>10719.36</c:v>
                </c:pt>
                <c:pt idx="31">
                  <c:v>39911.25</c:v>
                </c:pt>
              </c:numCache>
            </c:numRef>
          </c:val>
          <c:extLst>
            <c:ext xmlns:c16="http://schemas.microsoft.com/office/drawing/2014/chart" uri="{C3380CC4-5D6E-409C-BE32-E72D297353CC}">
              <c16:uniqueId val="{00000000-8AC0-45DB-A502-661787BF70D0}"/>
            </c:ext>
          </c:extLst>
        </c:ser>
        <c:dLbls>
          <c:showLegendKey val="0"/>
          <c:showVal val="0"/>
          <c:showCatName val="0"/>
          <c:showSerName val="0"/>
          <c:showPercent val="0"/>
          <c:showBubbleSize val="0"/>
        </c:dLbls>
        <c:gapWidth val="219"/>
        <c:overlap val="-27"/>
        <c:axId val="790013839"/>
        <c:axId val="790014319"/>
      </c:barChart>
      <c:catAx>
        <c:axId val="79001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014319"/>
        <c:crosses val="autoZero"/>
        <c:auto val="1"/>
        <c:lblAlgn val="ctr"/>
        <c:lblOffset val="100"/>
        <c:noMultiLvlLbl val="0"/>
      </c:catAx>
      <c:valAx>
        <c:axId val="79001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01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Sheet1!$C$121:$C$122</c:f>
              <c:strCache>
                <c:ptCount val="1"/>
                <c:pt idx="0">
                  <c:v>Amazon</c:v>
                </c:pt>
              </c:strCache>
            </c:strRef>
          </c:tx>
          <c:spPr>
            <a:solidFill>
              <a:schemeClr val="accent1"/>
            </a:solidFill>
            <a:ln>
              <a:noFill/>
            </a:ln>
            <a:effectLst/>
          </c:spPr>
          <c:invertIfNegative val="0"/>
          <c:cat>
            <c:strRef>
              <c:f>Sheet1!$B$123</c:f>
              <c:strCache>
                <c:ptCount val="1"/>
                <c:pt idx="0">
                  <c:v>Total</c:v>
                </c:pt>
              </c:strCache>
            </c:strRef>
          </c:cat>
          <c:val>
            <c:numRef>
              <c:f>Sheet1!$C$123</c:f>
              <c:numCache>
                <c:formatCode>General</c:formatCode>
                <c:ptCount val="1"/>
                <c:pt idx="0">
                  <c:v>462219</c:v>
                </c:pt>
              </c:numCache>
            </c:numRef>
          </c:val>
          <c:extLst>
            <c:ext xmlns:c16="http://schemas.microsoft.com/office/drawing/2014/chart" uri="{C3380CC4-5D6E-409C-BE32-E72D297353CC}">
              <c16:uniqueId val="{00000000-87FD-4A23-84FC-9FD7C03B3FFD}"/>
            </c:ext>
          </c:extLst>
        </c:ser>
        <c:ser>
          <c:idx val="1"/>
          <c:order val="1"/>
          <c:tx>
            <c:strRef>
              <c:f>Sheet1!$D$121:$D$122</c:f>
              <c:strCache>
                <c:ptCount val="1"/>
                <c:pt idx="0">
                  <c:v>Flipkart</c:v>
                </c:pt>
              </c:strCache>
            </c:strRef>
          </c:tx>
          <c:spPr>
            <a:solidFill>
              <a:schemeClr val="accent2"/>
            </a:solidFill>
            <a:ln>
              <a:noFill/>
            </a:ln>
            <a:effectLst/>
          </c:spPr>
          <c:invertIfNegative val="0"/>
          <c:cat>
            <c:strRef>
              <c:f>Sheet1!$B$123</c:f>
              <c:strCache>
                <c:ptCount val="1"/>
                <c:pt idx="0">
                  <c:v>Total</c:v>
                </c:pt>
              </c:strCache>
            </c:strRef>
          </c:cat>
          <c:val>
            <c:numRef>
              <c:f>Sheet1!$D$123</c:f>
              <c:numCache>
                <c:formatCode>General</c:formatCode>
                <c:ptCount val="1"/>
                <c:pt idx="0">
                  <c:v>63772.149999999994</c:v>
                </c:pt>
              </c:numCache>
            </c:numRef>
          </c:val>
          <c:extLst>
            <c:ext xmlns:c16="http://schemas.microsoft.com/office/drawing/2014/chart" uri="{C3380CC4-5D6E-409C-BE32-E72D297353CC}">
              <c16:uniqueId val="{00000001-87FD-4A23-84FC-9FD7C03B3FFD}"/>
            </c:ext>
          </c:extLst>
        </c:ser>
        <c:ser>
          <c:idx val="2"/>
          <c:order val="2"/>
          <c:tx>
            <c:strRef>
              <c:f>Sheet1!$E$121:$E$122</c:f>
              <c:strCache>
                <c:ptCount val="1"/>
                <c:pt idx="0">
                  <c:v>Myntra</c:v>
                </c:pt>
              </c:strCache>
            </c:strRef>
          </c:tx>
          <c:spPr>
            <a:solidFill>
              <a:schemeClr val="accent3"/>
            </a:solidFill>
            <a:ln>
              <a:noFill/>
            </a:ln>
            <a:effectLst/>
          </c:spPr>
          <c:invertIfNegative val="0"/>
          <c:cat>
            <c:strRef>
              <c:f>Sheet1!$B$123</c:f>
              <c:strCache>
                <c:ptCount val="1"/>
                <c:pt idx="0">
                  <c:v>Total</c:v>
                </c:pt>
              </c:strCache>
            </c:strRef>
          </c:cat>
          <c:val>
            <c:numRef>
              <c:f>Sheet1!$E$123</c:f>
              <c:numCache>
                <c:formatCode>General</c:formatCode>
                <c:ptCount val="1"/>
                <c:pt idx="0">
                  <c:v>59358.68</c:v>
                </c:pt>
              </c:numCache>
            </c:numRef>
          </c:val>
          <c:extLst>
            <c:ext xmlns:c16="http://schemas.microsoft.com/office/drawing/2014/chart" uri="{C3380CC4-5D6E-409C-BE32-E72D297353CC}">
              <c16:uniqueId val="{00000002-87FD-4A23-84FC-9FD7C03B3FFD}"/>
            </c:ext>
          </c:extLst>
        </c:ser>
        <c:dLbls>
          <c:showLegendKey val="0"/>
          <c:showVal val="0"/>
          <c:showCatName val="0"/>
          <c:showSerName val="0"/>
          <c:showPercent val="0"/>
          <c:showBubbleSize val="0"/>
        </c:dLbls>
        <c:gapWidth val="219"/>
        <c:axId val="626787423"/>
        <c:axId val="623516095"/>
      </c:barChart>
      <c:catAx>
        <c:axId val="62678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516095"/>
        <c:crosses val="autoZero"/>
        <c:auto val="1"/>
        <c:lblAlgn val="ctr"/>
        <c:lblOffset val="100"/>
        <c:noMultiLvlLbl val="0"/>
      </c:catAx>
      <c:valAx>
        <c:axId val="623516095"/>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78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DashboardD.xlsx]Sheet1!PivotTable7</c:name>
    <c:fmtId val="9"/>
  </c:pivotSource>
  <c:chart>
    <c:title>
      <c:tx>
        <c:rich>
          <a:bodyPr/>
          <a:lstStyle/>
          <a:p>
            <a:pPr>
              <a:defRPr/>
            </a:pPr>
            <a:r>
              <a:rPr lang="en-IN"/>
              <a:t>AGE</a:t>
            </a:r>
            <a:r>
              <a:rPr lang="en-IN" baseline="0"/>
              <a:t> WISE PRODUCT SALE</a:t>
            </a:r>
            <a:endParaRPr lang="en-IN"/>
          </a:p>
        </c:rich>
      </c:tx>
      <c:layout>
        <c:manualLayout>
          <c:xMode val="edge"/>
          <c:yMode val="edge"/>
          <c:x val="0.16067925174341466"/>
          <c:y val="0"/>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marker>
          <c:symbol val="none"/>
        </c:marker>
        <c:dLbl>
          <c:idx val="0"/>
          <c:delete val="1"/>
          <c:extLst>
            <c:ext xmlns:c15="http://schemas.microsoft.com/office/drawing/2012/chart" uri="{CE6537A1-D6FC-4f65-9D91-7224C49458BB}"/>
          </c:extLst>
        </c:dLbl>
      </c:pivotFmt>
      <c:pivotFmt>
        <c:idx val="30"/>
        <c:marker>
          <c:symbol val="none"/>
        </c:marker>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marker>
          <c:symbol val="none"/>
        </c:marker>
        <c:dLbl>
          <c:idx val="0"/>
          <c:delete val="1"/>
          <c:extLst>
            <c:ext xmlns:c15="http://schemas.microsoft.com/office/drawing/2012/chart" uri="{CE6537A1-D6FC-4f65-9D91-7224C49458BB}"/>
          </c:extLst>
        </c:dLbl>
      </c:pivotFmt>
      <c:pivotFmt>
        <c:idx val="33"/>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marker>
          <c:symbol val="none"/>
        </c:marker>
        <c:dLbl>
          <c:idx val="0"/>
          <c:delete val="1"/>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marker>
          <c:symbol val="none"/>
        </c:marker>
        <c:dLbl>
          <c:idx val="0"/>
          <c:delete val="1"/>
          <c:extLst>
            <c:ext xmlns:c15="http://schemas.microsoft.com/office/drawing/2012/chart" uri="{CE6537A1-D6FC-4f65-9D91-7224C49458BB}"/>
          </c:extLst>
        </c:dLbl>
      </c:pivotFmt>
      <c:pivotFmt>
        <c:idx val="38"/>
        <c:marker>
          <c:symbol val="none"/>
        </c:marker>
        <c:dLbl>
          <c:idx val="0"/>
          <c:delete val="1"/>
          <c:extLst>
            <c:ext xmlns:c15="http://schemas.microsoft.com/office/drawing/2012/chart" uri="{CE6537A1-D6FC-4f65-9D91-7224C49458BB}"/>
          </c:extLst>
        </c:dLbl>
      </c:pivotFmt>
      <c:pivotFmt>
        <c:idx val="39"/>
        <c:marker>
          <c:symbol val="none"/>
        </c:marker>
        <c:dLbl>
          <c:idx val="0"/>
          <c:delete val="1"/>
          <c:extLst>
            <c:ext xmlns:c15="http://schemas.microsoft.com/office/drawing/2012/chart" uri="{CE6537A1-D6FC-4f65-9D91-7224C49458BB}"/>
          </c:extLst>
        </c:dLbl>
      </c:pivotFmt>
      <c:pivotFmt>
        <c:idx val="40"/>
        <c:marker>
          <c:symbol val="none"/>
        </c:marker>
        <c:dLbl>
          <c:idx val="0"/>
          <c:delete val="1"/>
          <c:extLst>
            <c:ext xmlns:c15="http://schemas.microsoft.com/office/drawing/2012/chart" uri="{CE6537A1-D6FC-4f65-9D91-7224C49458BB}"/>
          </c:extLst>
        </c:dLbl>
      </c:pivotFmt>
      <c:pivotFmt>
        <c:idx val="4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164476021414151"/>
          <c:y val="3.5469384107278512E-2"/>
          <c:w val="0.60772551738741298"/>
          <c:h val="0.88972804605078748"/>
        </c:manualLayout>
      </c:layout>
      <c:barChart>
        <c:barDir val="col"/>
        <c:grouping val="stacked"/>
        <c:varyColors val="0"/>
        <c:ser>
          <c:idx val="5"/>
          <c:order val="0"/>
          <c:tx>
            <c:strRef>
              <c:f>Sheet1!$BH$54:$BH$55</c:f>
              <c:strCache>
                <c:ptCount val="1"/>
                <c:pt idx="0">
                  <c:v>kurta</c:v>
                </c:pt>
              </c:strCache>
            </c:strRef>
          </c:tx>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Sheet1!$BH$56:$BH$64</c:f>
              <c:numCache>
                <c:formatCode>General</c:formatCode>
                <c:ptCount val="8"/>
                <c:pt idx="0">
                  <c:v>3147</c:v>
                </c:pt>
                <c:pt idx="1">
                  <c:v>2588</c:v>
                </c:pt>
                <c:pt idx="2">
                  <c:v>4118</c:v>
                </c:pt>
                <c:pt idx="3">
                  <c:v>4694.05</c:v>
                </c:pt>
                <c:pt idx="4">
                  <c:v>4714.38</c:v>
                </c:pt>
                <c:pt idx="5">
                  <c:v>4561</c:v>
                </c:pt>
                <c:pt idx="6">
                  <c:v>4555.1399999999994</c:v>
                </c:pt>
                <c:pt idx="7">
                  <c:v>2253</c:v>
                </c:pt>
              </c:numCache>
            </c:numRef>
          </c:val>
          <c:extLst>
            <c:ext xmlns:c16="http://schemas.microsoft.com/office/drawing/2014/chart" uri="{C3380CC4-5D6E-409C-BE32-E72D297353CC}">
              <c16:uniqueId val="{00000000-039B-4DBA-9D89-737D806CEFF0}"/>
            </c:ext>
          </c:extLst>
        </c:ser>
        <c:ser>
          <c:idx val="0"/>
          <c:order val="1"/>
          <c:tx>
            <c:strRef>
              <c:f>Sheet1!$BI$54:$BI$55</c:f>
              <c:strCache>
                <c:ptCount val="1"/>
                <c:pt idx="0">
                  <c:v>Saree</c:v>
                </c:pt>
              </c:strCache>
            </c:strRef>
          </c:tx>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Sheet1!$BI$56:$BI$64</c:f>
              <c:numCache>
                <c:formatCode>General</c:formatCode>
                <c:ptCount val="8"/>
                <c:pt idx="2">
                  <c:v>989</c:v>
                </c:pt>
                <c:pt idx="7">
                  <c:v>620</c:v>
                </c:pt>
              </c:numCache>
            </c:numRef>
          </c:val>
          <c:extLst>
            <c:ext xmlns:c16="http://schemas.microsoft.com/office/drawing/2014/chart" uri="{C3380CC4-5D6E-409C-BE32-E72D297353CC}">
              <c16:uniqueId val="{00000003-3FA3-4FDF-9AFB-9F171A0B4AF8}"/>
            </c:ext>
          </c:extLst>
        </c:ser>
        <c:ser>
          <c:idx val="1"/>
          <c:order val="2"/>
          <c:tx>
            <c:strRef>
              <c:f>Sheet1!$BJ$54:$BJ$55</c:f>
              <c:strCache>
                <c:ptCount val="1"/>
                <c:pt idx="0">
                  <c:v>Set</c:v>
                </c:pt>
              </c:strCache>
            </c:strRef>
          </c:tx>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Sheet1!$BJ$56:$BJ$64</c:f>
              <c:numCache>
                <c:formatCode>General</c:formatCode>
                <c:ptCount val="8"/>
                <c:pt idx="0">
                  <c:v>9600.93</c:v>
                </c:pt>
                <c:pt idx="1">
                  <c:v>11901.86</c:v>
                </c:pt>
                <c:pt idx="2">
                  <c:v>4621</c:v>
                </c:pt>
                <c:pt idx="3">
                  <c:v>5002</c:v>
                </c:pt>
                <c:pt idx="4">
                  <c:v>9349</c:v>
                </c:pt>
                <c:pt idx="5">
                  <c:v>2902</c:v>
                </c:pt>
                <c:pt idx="6">
                  <c:v>8113</c:v>
                </c:pt>
                <c:pt idx="7">
                  <c:v>6120</c:v>
                </c:pt>
              </c:numCache>
            </c:numRef>
          </c:val>
          <c:extLst>
            <c:ext xmlns:c16="http://schemas.microsoft.com/office/drawing/2014/chart" uri="{C3380CC4-5D6E-409C-BE32-E72D297353CC}">
              <c16:uniqueId val="{00000004-3FA3-4FDF-9AFB-9F171A0B4AF8}"/>
            </c:ext>
          </c:extLst>
        </c:ser>
        <c:ser>
          <c:idx val="2"/>
          <c:order val="3"/>
          <c:tx>
            <c:strRef>
              <c:f>Sheet1!$BK$54:$BK$55</c:f>
              <c:strCache>
                <c:ptCount val="1"/>
                <c:pt idx="0">
                  <c:v>Top</c:v>
                </c:pt>
              </c:strCache>
            </c:strRef>
          </c:tx>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Sheet1!$BK$56:$BK$64</c:f>
              <c:numCache>
                <c:formatCode>General</c:formatCode>
                <c:ptCount val="8"/>
                <c:pt idx="0">
                  <c:v>469.52</c:v>
                </c:pt>
                <c:pt idx="1">
                  <c:v>1284</c:v>
                </c:pt>
                <c:pt idx="2">
                  <c:v>512</c:v>
                </c:pt>
                <c:pt idx="3">
                  <c:v>927</c:v>
                </c:pt>
                <c:pt idx="4">
                  <c:v>880</c:v>
                </c:pt>
                <c:pt idx="5">
                  <c:v>545</c:v>
                </c:pt>
                <c:pt idx="7">
                  <c:v>540</c:v>
                </c:pt>
              </c:numCache>
            </c:numRef>
          </c:val>
          <c:extLst>
            <c:ext xmlns:c16="http://schemas.microsoft.com/office/drawing/2014/chart" uri="{C3380CC4-5D6E-409C-BE32-E72D297353CC}">
              <c16:uniqueId val="{00000000-125A-4777-B4B6-7F5DC1D8D482}"/>
            </c:ext>
          </c:extLst>
        </c:ser>
        <c:ser>
          <c:idx val="3"/>
          <c:order val="4"/>
          <c:tx>
            <c:strRef>
              <c:f>Sheet1!$BL$54:$BL$55</c:f>
              <c:strCache>
                <c:ptCount val="1"/>
                <c:pt idx="0">
                  <c:v>Western Dress</c:v>
                </c:pt>
              </c:strCache>
            </c:strRef>
          </c:tx>
          <c:invertIfNegative val="0"/>
          <c:cat>
            <c:strRef>
              <c:f>Sheet1!$BG$56:$BG$64</c:f>
              <c:strCache>
                <c:ptCount val="8"/>
                <c:pt idx="0">
                  <c:v>18</c:v>
                </c:pt>
                <c:pt idx="1">
                  <c:v>20</c:v>
                </c:pt>
                <c:pt idx="2">
                  <c:v>25</c:v>
                </c:pt>
                <c:pt idx="3">
                  <c:v>30</c:v>
                </c:pt>
                <c:pt idx="4">
                  <c:v>35</c:v>
                </c:pt>
                <c:pt idx="5">
                  <c:v>40</c:v>
                </c:pt>
                <c:pt idx="6">
                  <c:v>45</c:v>
                </c:pt>
                <c:pt idx="7">
                  <c:v>50</c:v>
                </c:pt>
              </c:strCache>
            </c:strRef>
          </c:cat>
          <c:val>
            <c:numRef>
              <c:f>Sheet1!$BL$56:$BL$64</c:f>
              <c:numCache>
                <c:formatCode>General</c:formatCode>
                <c:ptCount val="8"/>
                <c:pt idx="0">
                  <c:v>2293</c:v>
                </c:pt>
                <c:pt idx="1">
                  <c:v>2342</c:v>
                </c:pt>
                <c:pt idx="2">
                  <c:v>744</c:v>
                </c:pt>
                <c:pt idx="3">
                  <c:v>859</c:v>
                </c:pt>
                <c:pt idx="4">
                  <c:v>1596</c:v>
                </c:pt>
                <c:pt idx="5">
                  <c:v>2113</c:v>
                </c:pt>
                <c:pt idx="6">
                  <c:v>1505.29</c:v>
                </c:pt>
                <c:pt idx="7">
                  <c:v>2603</c:v>
                </c:pt>
              </c:numCache>
            </c:numRef>
          </c:val>
          <c:extLst>
            <c:ext xmlns:c16="http://schemas.microsoft.com/office/drawing/2014/chart" uri="{C3380CC4-5D6E-409C-BE32-E72D297353CC}">
              <c16:uniqueId val="{00000001-125A-4777-B4B6-7F5DC1D8D482}"/>
            </c:ext>
          </c:extLst>
        </c:ser>
        <c:dLbls>
          <c:showLegendKey val="0"/>
          <c:showVal val="0"/>
          <c:showCatName val="0"/>
          <c:showSerName val="0"/>
          <c:showPercent val="0"/>
          <c:showBubbleSize val="0"/>
        </c:dLbls>
        <c:gapWidth val="219"/>
        <c:overlap val="100"/>
        <c:axId val="1482150591"/>
        <c:axId val="1482148671"/>
      </c:barChart>
      <c:catAx>
        <c:axId val="148215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148671"/>
        <c:crosses val="autoZero"/>
        <c:auto val="1"/>
        <c:lblAlgn val="ctr"/>
        <c:lblOffset val="100"/>
        <c:noMultiLvlLbl val="0"/>
      </c:catAx>
      <c:valAx>
        <c:axId val="148214867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150591"/>
        <c:crosses val="autoZero"/>
        <c:crossBetween val="between"/>
      </c:valAx>
      <c:spPr>
        <a:no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DashboardD.xlsx]Sheet1!PivotTable4</c:name>
    <c:fmtId val="1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ORDER</a:t>
            </a:r>
            <a:r>
              <a:rPr lang="en-IN" baseline="0"/>
              <a:t> VS STATUS</a:t>
            </a:r>
            <a:endParaRPr lang="en-IN"/>
          </a:p>
        </c:rich>
      </c:tx>
      <c:layout>
        <c:manualLayout>
          <c:xMode val="edge"/>
          <c:yMode val="edge"/>
          <c:x val="0.24139113001018611"/>
          <c:y val="4.1666666666666664E-2"/>
        </c:manualLayout>
      </c:layout>
      <c:overlay val="0"/>
      <c:spPr>
        <a:noFill/>
        <a:ln>
          <a:noFill/>
        </a:ln>
        <a:effectLst/>
      </c:sp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1"/>
          <c:order val="0"/>
          <c:tx>
            <c:strRef>
              <c:f>Sheet1!$AG$6</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Sheet1!$AF$7:$AF$11</c:f>
              <c:strCache>
                <c:ptCount val="4"/>
                <c:pt idx="0">
                  <c:v>Cancelled</c:v>
                </c:pt>
                <c:pt idx="1">
                  <c:v>Shipped</c:v>
                </c:pt>
                <c:pt idx="2">
                  <c:v>Shipped - Delivered to Buyer</c:v>
                </c:pt>
                <c:pt idx="3">
                  <c:v>Shipped - Rejected by Buyer</c:v>
                </c:pt>
              </c:strCache>
            </c:strRef>
          </c:cat>
          <c:val>
            <c:numRef>
              <c:f>Sheet1!$AG$7:$AG$11</c:f>
              <c:numCache>
                <c:formatCode>General</c:formatCode>
                <c:ptCount val="4"/>
                <c:pt idx="0">
                  <c:v>137</c:v>
                </c:pt>
                <c:pt idx="1">
                  <c:v>691</c:v>
                </c:pt>
                <c:pt idx="2">
                  <c:v>164</c:v>
                </c:pt>
                <c:pt idx="3">
                  <c:v>1</c:v>
                </c:pt>
              </c:numCache>
            </c:numRef>
          </c:val>
          <c:extLst>
            <c:ext xmlns:c16="http://schemas.microsoft.com/office/drawing/2014/chart" uri="{C3380CC4-5D6E-409C-BE32-E72D297353CC}">
              <c16:uniqueId val="{00000000-1B97-4940-B646-506C2D3F29D9}"/>
            </c:ext>
          </c:extLst>
        </c:ser>
        <c:dLbls>
          <c:showLegendKey val="0"/>
          <c:showVal val="0"/>
          <c:showCatName val="0"/>
          <c:showSerName val="0"/>
          <c:showPercent val="1"/>
          <c:showBubbleSize val="0"/>
          <c:showLeaderLines val="1"/>
        </c:dLbls>
        <c:firstSliceAng val="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VS CHART</a:t>
            </a:r>
            <a:endParaRPr lang="en-IN"/>
          </a:p>
        </c:rich>
      </c:tx>
      <c:layout>
        <c:manualLayout>
          <c:xMode val="edge"/>
          <c:yMode val="edge"/>
          <c:x val="0.23732633420822397"/>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cmpd="sng" algn="ctr">
            <a:solidFill>
              <a:schemeClr val="accent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80314960629921"/>
          <c:y val="7.8703703703703706E-2"/>
          <c:w val="0.62387226596675416"/>
          <c:h val="0.7243806503353748"/>
        </c:manualLayout>
      </c:layout>
      <c:barChart>
        <c:barDir val="col"/>
        <c:grouping val="clustered"/>
        <c:varyColors val="0"/>
        <c:ser>
          <c:idx val="2"/>
          <c:order val="0"/>
          <c:tx>
            <c:strRef>
              <c:f>Sheet1!$B$3</c:f>
              <c:strCache>
                <c:ptCount val="1"/>
                <c:pt idx="0">
                  <c:v>Count of Order ID</c:v>
                </c:pt>
              </c:strCache>
            </c:strRef>
          </c:tx>
          <c:spPr>
            <a:solidFill>
              <a:schemeClr val="accent6"/>
            </a:solidFill>
            <a:ln>
              <a:noFill/>
            </a:ln>
            <a:effectLst/>
          </c:spPr>
          <c:invertIfNegative val="0"/>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Sheet1!$B$4:$B$16</c:f>
              <c:numCache>
                <c:formatCode>General</c:formatCode>
                <c:ptCount val="12"/>
                <c:pt idx="0">
                  <c:v>78</c:v>
                </c:pt>
                <c:pt idx="1">
                  <c:v>70</c:v>
                </c:pt>
                <c:pt idx="2">
                  <c:v>77</c:v>
                </c:pt>
                <c:pt idx="3">
                  <c:v>101</c:v>
                </c:pt>
                <c:pt idx="4">
                  <c:v>91</c:v>
                </c:pt>
                <c:pt idx="5">
                  <c:v>81</c:v>
                </c:pt>
                <c:pt idx="6">
                  <c:v>86</c:v>
                </c:pt>
                <c:pt idx="7">
                  <c:v>79</c:v>
                </c:pt>
                <c:pt idx="8">
                  <c:v>68</c:v>
                </c:pt>
                <c:pt idx="9">
                  <c:v>77</c:v>
                </c:pt>
                <c:pt idx="10">
                  <c:v>90</c:v>
                </c:pt>
                <c:pt idx="11">
                  <c:v>101</c:v>
                </c:pt>
              </c:numCache>
            </c:numRef>
          </c:val>
          <c:extLst>
            <c:ext xmlns:c16="http://schemas.microsoft.com/office/drawing/2014/chart" uri="{C3380CC4-5D6E-409C-BE32-E72D297353CC}">
              <c16:uniqueId val="{00000000-FF11-47E4-8F5F-522843464D2E}"/>
            </c:ext>
          </c:extLst>
        </c:ser>
        <c:dLbls>
          <c:showLegendKey val="0"/>
          <c:showVal val="0"/>
          <c:showCatName val="0"/>
          <c:showSerName val="0"/>
          <c:showPercent val="0"/>
          <c:showBubbleSize val="0"/>
        </c:dLbls>
        <c:gapWidth val="219"/>
        <c:axId val="1812057199"/>
        <c:axId val="1812053359"/>
      </c:barChart>
      <c:lineChart>
        <c:grouping val="stacked"/>
        <c:varyColors val="0"/>
        <c:ser>
          <c:idx val="3"/>
          <c:order val="1"/>
          <c:tx>
            <c:strRef>
              <c:f>Sheet1!$C$3</c:f>
              <c:strCache>
                <c:ptCount val="1"/>
                <c:pt idx="0">
                  <c:v>Sum of Amount</c:v>
                </c:pt>
              </c:strCache>
            </c:strRef>
          </c:tx>
          <c:spPr>
            <a:ln w="19050" cap="rnd" cmpd="sng" algn="ctr">
              <a:solidFill>
                <a:schemeClr val="accent2">
                  <a:lumMod val="60000"/>
                </a:schemeClr>
              </a:solidFill>
              <a:prstDash val="solid"/>
              <a:round/>
            </a:ln>
            <a:effectLst/>
          </c:spPr>
          <c:marker>
            <c:symbol val="none"/>
          </c:marker>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Sheet1!$C$4:$C$16</c:f>
              <c:numCache>
                <c:formatCode>General</c:formatCode>
                <c:ptCount val="12"/>
                <c:pt idx="0">
                  <c:v>50366</c:v>
                </c:pt>
                <c:pt idx="1">
                  <c:v>44258.799999999996</c:v>
                </c:pt>
                <c:pt idx="2">
                  <c:v>42388</c:v>
                </c:pt>
                <c:pt idx="3">
                  <c:v>61968.159999999996</c:v>
                </c:pt>
                <c:pt idx="4">
                  <c:v>46567.519999999997</c:v>
                </c:pt>
                <c:pt idx="5">
                  <c:v>49095.25</c:v>
                </c:pt>
                <c:pt idx="6">
                  <c:v>46965.440000000002</c:v>
                </c:pt>
                <c:pt idx="7">
                  <c:v>45680.959999999992</c:v>
                </c:pt>
                <c:pt idx="8">
                  <c:v>39280.660000000003</c:v>
                </c:pt>
                <c:pt idx="9">
                  <c:v>43790.81</c:v>
                </c:pt>
                <c:pt idx="10">
                  <c:v>53645.16</c:v>
                </c:pt>
                <c:pt idx="11">
                  <c:v>61343.07</c:v>
                </c:pt>
              </c:numCache>
            </c:numRef>
          </c:val>
          <c:smooth val="0"/>
          <c:extLst>
            <c:ext xmlns:c16="http://schemas.microsoft.com/office/drawing/2014/chart" uri="{C3380CC4-5D6E-409C-BE32-E72D297353CC}">
              <c16:uniqueId val="{00000001-FF11-47E4-8F5F-522843464D2E}"/>
            </c:ext>
          </c:extLst>
        </c:ser>
        <c:dLbls>
          <c:showLegendKey val="0"/>
          <c:showVal val="0"/>
          <c:showCatName val="0"/>
          <c:showSerName val="0"/>
          <c:showPercent val="0"/>
          <c:showBubbleSize val="0"/>
        </c:dLbls>
        <c:marker val="1"/>
        <c:smooth val="0"/>
        <c:axId val="402755311"/>
        <c:axId val="402751471"/>
      </c:lineChart>
      <c:catAx>
        <c:axId val="181205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3359"/>
        <c:crosses val="autoZero"/>
        <c:auto val="1"/>
        <c:lblAlgn val="ctr"/>
        <c:lblOffset val="100"/>
        <c:noMultiLvlLbl val="0"/>
      </c:catAx>
      <c:valAx>
        <c:axId val="1812053359"/>
        <c:scaling>
          <c:orientation val="minMax"/>
        </c:scaling>
        <c:delete val="0"/>
        <c:axPos val="l"/>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57199"/>
        <c:crosses val="autoZero"/>
        <c:crossBetween val="between"/>
      </c:valAx>
      <c:valAx>
        <c:axId val="402751471"/>
        <c:scaling>
          <c:orientation val="minMax"/>
        </c:scaling>
        <c:delete val="0"/>
        <c:axPos val="r"/>
        <c:numFmt formatCode="General"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02755311"/>
        <c:crosses val="max"/>
        <c:crossBetween val="between"/>
      </c:valAx>
      <c:catAx>
        <c:axId val="402755311"/>
        <c:scaling>
          <c:orientation val="minMax"/>
        </c:scaling>
        <c:delete val="1"/>
        <c:axPos val="b"/>
        <c:numFmt formatCode="General" sourceLinked="1"/>
        <c:majorTickMark val="out"/>
        <c:minorTickMark val="none"/>
        <c:tickLblPos val="nextTo"/>
        <c:crossAx val="402751471"/>
        <c:crosses val="autoZero"/>
        <c:auto val="1"/>
        <c:lblAlgn val="ctr"/>
        <c:lblOffset val="100"/>
        <c:noMultiLvlLbl val="0"/>
      </c:catAx>
      <c:spPr>
        <a:gradFill>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a:effectLst/>
      </c:spPr>
    </c:plotArea>
    <c:legend>
      <c:legendPos val="r"/>
      <c:layout>
        <c:manualLayout>
          <c:xMode val="edge"/>
          <c:yMode val="edge"/>
          <c:x val="0.8155685422178478"/>
          <c:y val="0.23082339434386151"/>
          <c:w val="0.18443145778215214"/>
          <c:h val="0.69706042685344261"/>
        </c:manualLayout>
      </c:layout>
      <c:overlay val="0"/>
      <c:spPr>
        <a:gradFill>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TOP 5 STATE</a:t>
            </a:r>
            <a:endParaRPr lang="en-IN"/>
          </a:p>
        </c:rich>
      </c:tx>
      <c:layout>
        <c:manualLayout>
          <c:xMode val="edge"/>
          <c:yMode val="edge"/>
          <c:x val="0.44020750347383053"/>
          <c:y val="5.3615139418421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90357608365428"/>
          <c:y val="0.15605567512418175"/>
          <c:w val="0.6569680576677901"/>
          <c:h val="0.73424064820262303"/>
        </c:manualLayout>
      </c:layout>
      <c:barChart>
        <c:barDir val="bar"/>
        <c:grouping val="clustered"/>
        <c:varyColors val="0"/>
        <c:ser>
          <c:idx val="1"/>
          <c:order val="0"/>
          <c:tx>
            <c:strRef>
              <c:f>Sheet1!$AW$15</c:f>
              <c:strCache>
                <c:ptCount val="1"/>
                <c:pt idx="0">
                  <c:v>Total</c:v>
                </c:pt>
              </c:strCache>
            </c:strRef>
          </c:tx>
          <c:spPr>
            <a:solidFill>
              <a:schemeClr val="accent5"/>
            </a:solidFill>
            <a:ln>
              <a:noFill/>
            </a:ln>
            <a:effectLst/>
          </c:spPr>
          <c:invertIfNegative val="0"/>
          <c:cat>
            <c:strRef>
              <c:f>Sheet1!$AV$16:$AV$21</c:f>
              <c:strCache>
                <c:ptCount val="5"/>
                <c:pt idx="0">
                  <c:v>Gujarat</c:v>
                </c:pt>
                <c:pt idx="1">
                  <c:v>JAMMU &amp; KASHMIR</c:v>
                </c:pt>
                <c:pt idx="2">
                  <c:v>MAHARASHTRA</c:v>
                </c:pt>
                <c:pt idx="3">
                  <c:v>PUNJAB</c:v>
                </c:pt>
                <c:pt idx="4">
                  <c:v>RAJASTHAN</c:v>
                </c:pt>
              </c:strCache>
            </c:strRef>
          </c:cat>
          <c:val>
            <c:numRef>
              <c:f>Sheet1!$AW$16:$AW$21</c:f>
              <c:numCache>
                <c:formatCode>General</c:formatCode>
                <c:ptCount val="5"/>
                <c:pt idx="0">
                  <c:v>17904.96</c:v>
                </c:pt>
                <c:pt idx="1">
                  <c:v>4684</c:v>
                </c:pt>
                <c:pt idx="2">
                  <c:v>81483.53</c:v>
                </c:pt>
                <c:pt idx="3">
                  <c:v>6377</c:v>
                </c:pt>
                <c:pt idx="4">
                  <c:v>10578</c:v>
                </c:pt>
              </c:numCache>
            </c:numRef>
          </c:val>
          <c:extLst>
            <c:ext xmlns:c16="http://schemas.microsoft.com/office/drawing/2014/chart" uri="{C3380CC4-5D6E-409C-BE32-E72D297353CC}">
              <c16:uniqueId val="{00000000-D1C3-45C5-ADCA-04BB5665042E}"/>
            </c:ext>
          </c:extLst>
        </c:ser>
        <c:dLbls>
          <c:showLegendKey val="0"/>
          <c:showVal val="0"/>
          <c:showCatName val="0"/>
          <c:showSerName val="0"/>
          <c:showPercent val="0"/>
          <c:showBubbleSize val="0"/>
        </c:dLbls>
        <c:gapWidth val="219"/>
        <c:axId val="2006466015"/>
        <c:axId val="2006464575"/>
      </c:barChart>
      <c:catAx>
        <c:axId val="200646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464575"/>
        <c:crosses val="autoZero"/>
        <c:auto val="1"/>
        <c:lblAlgn val="ctr"/>
        <c:lblOffset val="100"/>
        <c:noMultiLvlLbl val="0"/>
      </c:catAx>
      <c:valAx>
        <c:axId val="2006464575"/>
        <c:scaling>
          <c:orientation val="minMax"/>
        </c:scaling>
        <c:delete val="0"/>
        <c:axPos val="b"/>
        <c:numFmt formatCode="0,&quot;k&quot;"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46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DashboardD.xlsx]Sheet1!PivotTable6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SALES TREND</a:t>
            </a:r>
            <a:endParaRPr lang="en-IN"/>
          </a:p>
        </c:rich>
      </c:tx>
      <c:layout>
        <c:manualLayout>
          <c:xMode val="edge"/>
          <c:yMode val="edge"/>
          <c:x val="0.2515"/>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68020754758312"/>
          <c:y val="0.22257105989646259"/>
          <c:w val="0.57786235874750269"/>
          <c:h val="0.60638240994452985"/>
        </c:manualLayout>
      </c:layout>
      <c:barChart>
        <c:barDir val="bar"/>
        <c:grouping val="stacked"/>
        <c:varyColors val="0"/>
        <c:ser>
          <c:idx val="3"/>
          <c:order val="0"/>
          <c:tx>
            <c:strRef>
              <c:f>Sheet1!$AQ$52:$AQ$53</c:f>
              <c:strCache>
                <c:ptCount val="1"/>
                <c:pt idx="0">
                  <c:v>Amazon</c:v>
                </c:pt>
              </c:strCache>
            </c:strRef>
          </c:tx>
          <c:spPr>
            <a:solidFill>
              <a:schemeClr val="accent1">
                <a:lumMod val="60000"/>
              </a:schemeClr>
            </a:solidFill>
            <a:ln>
              <a:noFill/>
            </a:ln>
            <a:effectLst/>
          </c:spPr>
          <c:invertIfNegative val="0"/>
          <c:cat>
            <c:strRef>
              <c:f>Sheet1!$AP$54:$AP$66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Sheet1!$AQ$54:$AQ$66</c:f>
              <c:numCache>
                <c:formatCode>General</c:formatCode>
                <c:ptCount val="12"/>
                <c:pt idx="0">
                  <c:v>36790</c:v>
                </c:pt>
                <c:pt idx="1">
                  <c:v>32637</c:v>
                </c:pt>
                <c:pt idx="2">
                  <c:v>32941</c:v>
                </c:pt>
                <c:pt idx="3">
                  <c:v>46979</c:v>
                </c:pt>
                <c:pt idx="4">
                  <c:v>33813</c:v>
                </c:pt>
                <c:pt idx="5">
                  <c:v>40838</c:v>
                </c:pt>
                <c:pt idx="6">
                  <c:v>40975</c:v>
                </c:pt>
                <c:pt idx="7">
                  <c:v>36354</c:v>
                </c:pt>
                <c:pt idx="8">
                  <c:v>29461</c:v>
                </c:pt>
                <c:pt idx="9">
                  <c:v>32165</c:v>
                </c:pt>
                <c:pt idx="10">
                  <c:v>47175</c:v>
                </c:pt>
                <c:pt idx="11">
                  <c:v>52091</c:v>
                </c:pt>
              </c:numCache>
            </c:numRef>
          </c:val>
          <c:extLst>
            <c:ext xmlns:c16="http://schemas.microsoft.com/office/drawing/2014/chart" uri="{C3380CC4-5D6E-409C-BE32-E72D297353CC}">
              <c16:uniqueId val="{00000000-16E8-4EDE-A716-FF0B453BAB36}"/>
            </c:ext>
          </c:extLst>
        </c:ser>
        <c:ser>
          <c:idx val="0"/>
          <c:order val="1"/>
          <c:tx>
            <c:strRef>
              <c:f>Sheet1!$AR$52:$AR$53</c:f>
              <c:strCache>
                <c:ptCount val="1"/>
                <c:pt idx="0">
                  <c:v>Flipkart</c:v>
                </c:pt>
              </c:strCache>
            </c:strRef>
          </c:tx>
          <c:spPr>
            <a:solidFill>
              <a:schemeClr val="accent1"/>
            </a:solidFill>
            <a:ln>
              <a:noFill/>
            </a:ln>
            <a:effectLst/>
          </c:spPr>
          <c:invertIfNegative val="0"/>
          <c:cat>
            <c:strRef>
              <c:f>Sheet1!$AP$54:$AP$66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Sheet1!$AR$54:$AR$66</c:f>
              <c:numCache>
                <c:formatCode>General</c:formatCode>
                <c:ptCount val="12"/>
                <c:pt idx="0">
                  <c:v>8337</c:v>
                </c:pt>
                <c:pt idx="1">
                  <c:v>4865.58</c:v>
                </c:pt>
                <c:pt idx="2">
                  <c:v>5222</c:v>
                </c:pt>
                <c:pt idx="3">
                  <c:v>6483.98</c:v>
                </c:pt>
                <c:pt idx="4">
                  <c:v>4892.5200000000004</c:v>
                </c:pt>
                <c:pt idx="5">
                  <c:v>2902</c:v>
                </c:pt>
                <c:pt idx="6">
                  <c:v>2150</c:v>
                </c:pt>
                <c:pt idx="7">
                  <c:v>5763.96</c:v>
                </c:pt>
                <c:pt idx="8">
                  <c:v>4483.95</c:v>
                </c:pt>
                <c:pt idx="9">
                  <c:v>6606.05</c:v>
                </c:pt>
                <c:pt idx="10">
                  <c:v>2537.16</c:v>
                </c:pt>
                <c:pt idx="11">
                  <c:v>3601</c:v>
                </c:pt>
              </c:numCache>
            </c:numRef>
          </c:val>
          <c:extLst>
            <c:ext xmlns:c16="http://schemas.microsoft.com/office/drawing/2014/chart" uri="{C3380CC4-5D6E-409C-BE32-E72D297353CC}">
              <c16:uniqueId val="{00000001-2879-418D-AAC9-DBD6FB535754}"/>
            </c:ext>
          </c:extLst>
        </c:ser>
        <c:ser>
          <c:idx val="1"/>
          <c:order val="2"/>
          <c:tx>
            <c:strRef>
              <c:f>Sheet1!$AS$52:$AS$53</c:f>
              <c:strCache>
                <c:ptCount val="1"/>
                <c:pt idx="0">
                  <c:v>Myntra</c:v>
                </c:pt>
              </c:strCache>
            </c:strRef>
          </c:tx>
          <c:spPr>
            <a:solidFill>
              <a:schemeClr val="accent3"/>
            </a:solidFill>
            <a:ln>
              <a:noFill/>
            </a:ln>
            <a:effectLst/>
          </c:spPr>
          <c:invertIfNegative val="0"/>
          <c:cat>
            <c:strRef>
              <c:f>Sheet1!$AP$54:$AP$66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Sheet1!$AS$54:$AS$66</c:f>
              <c:numCache>
                <c:formatCode>General</c:formatCode>
                <c:ptCount val="12"/>
                <c:pt idx="0">
                  <c:v>5239</c:v>
                </c:pt>
                <c:pt idx="1">
                  <c:v>6756.22</c:v>
                </c:pt>
                <c:pt idx="2">
                  <c:v>4225</c:v>
                </c:pt>
                <c:pt idx="3">
                  <c:v>8505.18</c:v>
                </c:pt>
                <c:pt idx="4">
                  <c:v>7862</c:v>
                </c:pt>
                <c:pt idx="5">
                  <c:v>5355.25</c:v>
                </c:pt>
                <c:pt idx="6">
                  <c:v>3840.4399999999996</c:v>
                </c:pt>
                <c:pt idx="7">
                  <c:v>3563</c:v>
                </c:pt>
                <c:pt idx="8">
                  <c:v>5335.71</c:v>
                </c:pt>
                <c:pt idx="9">
                  <c:v>5019.76</c:v>
                </c:pt>
                <c:pt idx="10">
                  <c:v>3933</c:v>
                </c:pt>
                <c:pt idx="11">
                  <c:v>5651.07</c:v>
                </c:pt>
              </c:numCache>
            </c:numRef>
          </c:val>
          <c:extLst>
            <c:ext xmlns:c16="http://schemas.microsoft.com/office/drawing/2014/chart" uri="{C3380CC4-5D6E-409C-BE32-E72D297353CC}">
              <c16:uniqueId val="{00000002-2879-418D-AAC9-DBD6FB535754}"/>
            </c:ext>
          </c:extLst>
        </c:ser>
        <c:dLbls>
          <c:showLegendKey val="0"/>
          <c:showVal val="0"/>
          <c:showCatName val="0"/>
          <c:showSerName val="0"/>
          <c:showPercent val="0"/>
          <c:showBubbleSize val="0"/>
        </c:dLbls>
        <c:gapWidth val="150"/>
        <c:overlap val="100"/>
        <c:axId val="1091653343"/>
        <c:axId val="1091651903"/>
      </c:barChart>
      <c:catAx>
        <c:axId val="109165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51903"/>
        <c:crosses val="autoZero"/>
        <c:auto val="1"/>
        <c:lblAlgn val="ctr"/>
        <c:lblOffset val="100"/>
        <c:noMultiLvlLbl val="0"/>
      </c:catAx>
      <c:valAx>
        <c:axId val="1091651903"/>
        <c:scaling>
          <c:orientation val="minMax"/>
        </c:scaling>
        <c:delete val="0"/>
        <c:axPos val="b"/>
        <c:numFmt formatCode="0,&quot;k&quot;"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5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DashboardD.xlsx]Sheet2!PivotTable1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PARTNER VS SALES</a:t>
            </a:r>
            <a:endParaRPr lang="en-IN"/>
          </a:p>
        </c:rich>
      </c:tx>
      <c:layout>
        <c:manualLayout>
          <c:xMode val="edge"/>
          <c:yMode val="edge"/>
          <c:x val="0.25774513125618337"/>
          <c:y val="6.34920634920634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29422527003402"/>
          <c:y val="4.100549931258593E-2"/>
          <c:w val="0.70223960260001062"/>
          <c:h val="0.79075428071491061"/>
        </c:manualLayout>
      </c:layout>
      <c:barChart>
        <c:barDir val="bar"/>
        <c:grouping val="clustered"/>
        <c:varyColors val="0"/>
        <c:ser>
          <c:idx val="0"/>
          <c:order val="0"/>
          <c:tx>
            <c:strRef>
              <c:f>Sheet2!$B$1:$B$2</c:f>
              <c:strCache>
                <c:ptCount val="1"/>
                <c:pt idx="0">
                  <c:v>Amazon</c:v>
                </c:pt>
              </c:strCache>
            </c:strRef>
          </c:tx>
          <c:spPr>
            <a:solidFill>
              <a:schemeClr val="accent1"/>
            </a:solidFill>
            <a:ln>
              <a:noFill/>
            </a:ln>
            <a:effectLst/>
          </c:spPr>
          <c:invertIfNegative val="0"/>
          <c:cat>
            <c:strRef>
              <c:f>Sheet2!$A$3</c:f>
              <c:strCache>
                <c:ptCount val="1"/>
                <c:pt idx="0">
                  <c:v>Total</c:v>
                </c:pt>
              </c:strCache>
            </c:strRef>
          </c:cat>
          <c:val>
            <c:numRef>
              <c:f>Sheet2!$B$3</c:f>
              <c:numCache>
                <c:formatCode>General</c:formatCode>
                <c:ptCount val="1"/>
                <c:pt idx="0">
                  <c:v>462219</c:v>
                </c:pt>
              </c:numCache>
            </c:numRef>
          </c:val>
          <c:extLst>
            <c:ext xmlns:c16="http://schemas.microsoft.com/office/drawing/2014/chart" uri="{C3380CC4-5D6E-409C-BE32-E72D297353CC}">
              <c16:uniqueId val="{00000000-87A8-4B58-8F17-A6D5DA9A461D}"/>
            </c:ext>
          </c:extLst>
        </c:ser>
        <c:ser>
          <c:idx val="1"/>
          <c:order val="1"/>
          <c:tx>
            <c:strRef>
              <c:f>Sheet2!$C$1:$C$2</c:f>
              <c:strCache>
                <c:ptCount val="1"/>
                <c:pt idx="0">
                  <c:v>Flipkart</c:v>
                </c:pt>
              </c:strCache>
            </c:strRef>
          </c:tx>
          <c:spPr>
            <a:solidFill>
              <a:schemeClr val="accent2"/>
            </a:solidFill>
            <a:ln>
              <a:noFill/>
            </a:ln>
            <a:effectLst/>
          </c:spPr>
          <c:invertIfNegative val="0"/>
          <c:cat>
            <c:strRef>
              <c:f>Sheet2!$A$3</c:f>
              <c:strCache>
                <c:ptCount val="1"/>
                <c:pt idx="0">
                  <c:v>Total</c:v>
                </c:pt>
              </c:strCache>
            </c:strRef>
          </c:cat>
          <c:val>
            <c:numRef>
              <c:f>Sheet2!$C$3</c:f>
              <c:numCache>
                <c:formatCode>General</c:formatCode>
                <c:ptCount val="1"/>
                <c:pt idx="0">
                  <c:v>63772.149999999994</c:v>
                </c:pt>
              </c:numCache>
            </c:numRef>
          </c:val>
          <c:extLst>
            <c:ext xmlns:c16="http://schemas.microsoft.com/office/drawing/2014/chart" uri="{C3380CC4-5D6E-409C-BE32-E72D297353CC}">
              <c16:uniqueId val="{00000008-87A8-4B58-8F17-A6D5DA9A461D}"/>
            </c:ext>
          </c:extLst>
        </c:ser>
        <c:ser>
          <c:idx val="2"/>
          <c:order val="2"/>
          <c:tx>
            <c:strRef>
              <c:f>Sheet2!$D$1:$D$2</c:f>
              <c:strCache>
                <c:ptCount val="1"/>
                <c:pt idx="0">
                  <c:v>Myntra</c:v>
                </c:pt>
              </c:strCache>
            </c:strRef>
          </c:tx>
          <c:spPr>
            <a:solidFill>
              <a:schemeClr val="accent3"/>
            </a:solidFill>
            <a:ln>
              <a:noFill/>
            </a:ln>
            <a:effectLst/>
          </c:spPr>
          <c:invertIfNegative val="0"/>
          <c:cat>
            <c:strRef>
              <c:f>Sheet2!$A$3</c:f>
              <c:strCache>
                <c:ptCount val="1"/>
                <c:pt idx="0">
                  <c:v>Total</c:v>
                </c:pt>
              </c:strCache>
            </c:strRef>
          </c:cat>
          <c:val>
            <c:numRef>
              <c:f>Sheet2!$D$3</c:f>
              <c:numCache>
                <c:formatCode>General</c:formatCode>
                <c:ptCount val="1"/>
                <c:pt idx="0">
                  <c:v>59358.68</c:v>
                </c:pt>
              </c:numCache>
            </c:numRef>
          </c:val>
          <c:extLst>
            <c:ext xmlns:c16="http://schemas.microsoft.com/office/drawing/2014/chart" uri="{C3380CC4-5D6E-409C-BE32-E72D297353CC}">
              <c16:uniqueId val="{00000009-87A8-4B58-8F17-A6D5DA9A461D}"/>
            </c:ext>
          </c:extLst>
        </c:ser>
        <c:dLbls>
          <c:showLegendKey val="0"/>
          <c:showVal val="0"/>
          <c:showCatName val="0"/>
          <c:showSerName val="0"/>
          <c:showPercent val="0"/>
          <c:showBubbleSize val="0"/>
        </c:dLbls>
        <c:gapWidth val="219"/>
        <c:axId val="889286335"/>
        <c:axId val="889285855"/>
      </c:barChart>
      <c:catAx>
        <c:axId val="88928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285855"/>
        <c:crosses val="autoZero"/>
        <c:auto val="1"/>
        <c:lblAlgn val="ctr"/>
        <c:lblOffset val="100"/>
        <c:noMultiLvlLbl val="0"/>
      </c:catAx>
      <c:valAx>
        <c:axId val="889285855"/>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286335"/>
        <c:crosses val="autoZero"/>
        <c:crossBetween val="between"/>
      </c:valAx>
      <c:spPr>
        <a:noFill/>
        <a:ln>
          <a:noFill/>
        </a:ln>
        <a:effectLst/>
      </c:spPr>
    </c:plotArea>
    <c:legend>
      <c:legendPos val="r"/>
      <c:layout>
        <c:manualLayout>
          <c:xMode val="edge"/>
          <c:yMode val="edge"/>
          <c:x val="0.84894868678327973"/>
          <c:y val="8.4198381452318477E-2"/>
          <c:w val="0.15105142229933408"/>
          <c:h val="0.31764936054330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[EEcom MY DashboardD.xlsx]Sheet2!PivotTable1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PARTNER VS SALES</a:t>
            </a:r>
            <a:endParaRPr lang="en-IN"/>
          </a:p>
        </c:rich>
      </c:tx>
      <c:layout>
        <c:manualLayout>
          <c:xMode val="edge"/>
          <c:yMode val="edge"/>
          <c:x val="0.25774513125618337"/>
          <c:y val="6.34920634920634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7888284098715"/>
          <c:y val="6.4814814814814811E-2"/>
          <c:w val="0.70223960260001062"/>
          <c:h val="0.79075428071491061"/>
        </c:manualLayout>
      </c:layout>
      <c:barChart>
        <c:barDir val="bar"/>
        <c:grouping val="clustered"/>
        <c:varyColors val="0"/>
        <c:ser>
          <c:idx val="0"/>
          <c:order val="0"/>
          <c:tx>
            <c:strRef>
              <c:f>Sheet2!$B$1:$B$2</c:f>
              <c:strCache>
                <c:ptCount val="1"/>
                <c:pt idx="0">
                  <c:v>Amazon</c:v>
                </c:pt>
              </c:strCache>
            </c:strRef>
          </c:tx>
          <c:spPr>
            <a:solidFill>
              <a:schemeClr val="accent1"/>
            </a:solidFill>
            <a:ln>
              <a:noFill/>
            </a:ln>
            <a:effectLst/>
          </c:spPr>
          <c:invertIfNegative val="0"/>
          <c:cat>
            <c:strRef>
              <c:f>Sheet2!$A$3</c:f>
              <c:strCache>
                <c:ptCount val="1"/>
                <c:pt idx="0">
                  <c:v>Total</c:v>
                </c:pt>
              </c:strCache>
            </c:strRef>
          </c:cat>
          <c:val>
            <c:numRef>
              <c:f>Sheet2!$B$3</c:f>
              <c:numCache>
                <c:formatCode>General</c:formatCode>
                <c:ptCount val="1"/>
                <c:pt idx="0">
                  <c:v>462219</c:v>
                </c:pt>
              </c:numCache>
            </c:numRef>
          </c:val>
          <c:extLst>
            <c:ext xmlns:c16="http://schemas.microsoft.com/office/drawing/2014/chart" uri="{C3380CC4-5D6E-409C-BE32-E72D297353CC}">
              <c16:uniqueId val="{00000000-ED2F-4DBB-BCB4-EC7B463E881F}"/>
            </c:ext>
          </c:extLst>
        </c:ser>
        <c:ser>
          <c:idx val="1"/>
          <c:order val="1"/>
          <c:tx>
            <c:strRef>
              <c:f>Sheet2!$C$1:$C$2</c:f>
              <c:strCache>
                <c:ptCount val="1"/>
                <c:pt idx="0">
                  <c:v>Flipkart</c:v>
                </c:pt>
              </c:strCache>
            </c:strRef>
          </c:tx>
          <c:spPr>
            <a:solidFill>
              <a:schemeClr val="accent2"/>
            </a:solidFill>
            <a:ln>
              <a:noFill/>
            </a:ln>
            <a:effectLst/>
          </c:spPr>
          <c:invertIfNegative val="0"/>
          <c:cat>
            <c:strRef>
              <c:f>Sheet2!$A$3</c:f>
              <c:strCache>
                <c:ptCount val="1"/>
                <c:pt idx="0">
                  <c:v>Total</c:v>
                </c:pt>
              </c:strCache>
            </c:strRef>
          </c:cat>
          <c:val>
            <c:numRef>
              <c:f>Sheet2!$C$3</c:f>
              <c:numCache>
                <c:formatCode>General</c:formatCode>
                <c:ptCount val="1"/>
                <c:pt idx="0">
                  <c:v>63772.149999999994</c:v>
                </c:pt>
              </c:numCache>
            </c:numRef>
          </c:val>
          <c:extLst>
            <c:ext xmlns:c16="http://schemas.microsoft.com/office/drawing/2014/chart" uri="{C3380CC4-5D6E-409C-BE32-E72D297353CC}">
              <c16:uniqueId val="{00000022-ED2F-4DBB-BCB4-EC7B463E881F}"/>
            </c:ext>
          </c:extLst>
        </c:ser>
        <c:ser>
          <c:idx val="2"/>
          <c:order val="2"/>
          <c:tx>
            <c:strRef>
              <c:f>Sheet2!$D$1:$D$2</c:f>
              <c:strCache>
                <c:ptCount val="1"/>
                <c:pt idx="0">
                  <c:v>Myntra</c:v>
                </c:pt>
              </c:strCache>
            </c:strRef>
          </c:tx>
          <c:spPr>
            <a:solidFill>
              <a:schemeClr val="accent3"/>
            </a:solidFill>
            <a:ln>
              <a:noFill/>
            </a:ln>
            <a:effectLst/>
          </c:spPr>
          <c:invertIfNegative val="0"/>
          <c:cat>
            <c:strRef>
              <c:f>Sheet2!$A$3</c:f>
              <c:strCache>
                <c:ptCount val="1"/>
                <c:pt idx="0">
                  <c:v>Total</c:v>
                </c:pt>
              </c:strCache>
            </c:strRef>
          </c:cat>
          <c:val>
            <c:numRef>
              <c:f>Sheet2!$D$3</c:f>
              <c:numCache>
                <c:formatCode>General</c:formatCode>
                <c:ptCount val="1"/>
                <c:pt idx="0">
                  <c:v>59358.68</c:v>
                </c:pt>
              </c:numCache>
            </c:numRef>
          </c:val>
          <c:extLst>
            <c:ext xmlns:c16="http://schemas.microsoft.com/office/drawing/2014/chart" uri="{C3380CC4-5D6E-409C-BE32-E72D297353CC}">
              <c16:uniqueId val="{00000023-ED2F-4DBB-BCB4-EC7B463E881F}"/>
            </c:ext>
          </c:extLst>
        </c:ser>
        <c:dLbls>
          <c:showLegendKey val="0"/>
          <c:showVal val="0"/>
          <c:showCatName val="0"/>
          <c:showSerName val="0"/>
          <c:showPercent val="0"/>
          <c:showBubbleSize val="0"/>
        </c:dLbls>
        <c:gapWidth val="219"/>
        <c:axId val="889286335"/>
        <c:axId val="889285855"/>
      </c:barChart>
      <c:catAx>
        <c:axId val="88928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285855"/>
        <c:crosses val="autoZero"/>
        <c:auto val="1"/>
        <c:lblAlgn val="ctr"/>
        <c:lblOffset val="100"/>
        <c:noMultiLvlLbl val="0"/>
      </c:catAx>
      <c:valAx>
        <c:axId val="889285855"/>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286335"/>
        <c:crosses val="autoZero"/>
        <c:crossBetween val="between"/>
      </c:valAx>
      <c:spPr>
        <a:noFill/>
        <a:ln>
          <a:noFill/>
        </a:ln>
        <a:effectLst/>
      </c:spPr>
    </c:plotArea>
    <c:legend>
      <c:legendPos val="r"/>
      <c:layout>
        <c:manualLayout>
          <c:xMode val="edge"/>
          <c:yMode val="edge"/>
          <c:x val="0.84894868678327973"/>
          <c:y val="8.4198381452318477E-2"/>
          <c:w val="0.15105126919376041"/>
          <c:h val="0.401788526434195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492108C-5FE0-4154-A021-8697ADC0DC35}">
          <cx:dataId val="0"/>
          <cx:layoutPr>
            <cx:geography cultureLanguage="en-US" cultureRegion="IN" attribution="Powered by Bing">
              <cx:geoCache provider="{E9337A44-BEBE-4D9F-B70C-5C5E7DAFC167}">
                <cx:binary>1H1Zc9w4su5fcfjhPl2qiR2cOz0RYlWJpdXabLf7hVGWZe4bSHD79SfLktwqtCQfYzw3RnpxWBRQ
yUx8uSfqnzfjP27y2416MxZ52f7jZvz9bdx19T9++629iW+LTbtXJDeqaquv3d5NVfxWff2a3Nz+
9kVthqSMfsMuor/dxBvV3Y5v//VP2C26rU6qm02XVOWFvlXT5W2r86594dmTj95svhRJuUzaTiU3
Hfr97XJ1sj58++a27JJuup7q29/f7vzJ2ze/mRv97UPf5EBXp7/AWiz3OCXEczl3v/2gt2/yqozu
HwuxhxCjQjLkffvhDx99tilg+fI2j5OHXz1FzTdaNl++qNu2hXf59u/3ZTuEw29P3r65qXTZbbkV
AeN+f3tYfkk2b98kbbW4e7CotlQfnn17zd92+fyvfxq/gBc3fvNIFCaXfvToGdIeC2KH+J8VBN4j
DDMXS3wnCLwrCG+PcMKFS9jdY/HA9TtB3DPqeWqeFsT9sh3C/7u4vnNG4Pzvny3Xl/tvzi/3l6ur
9QMTnjp6PwcExPYEYwxJz7076Z7Jf48ziphH7x6Th4++4/9++SVWmzfnavPlto0fnj1F1tOCMNfv
vDa89fl/NTR2qAUhLdbr/evrw6tg//IXigijPcy5pB67h8iurpJ4z6UIC8DQA//vZLOI403XJW20
URaS2V2986bwotevSi77l+/P9hfr/ZNfjx8s9phHiPQYekp/eXwPuYII/oAuw5DsK11uwIDm/waE
/r6FIa39y1clrfX+5af9s/2Hw/yUMvk5HYe9PeRJ5FG2q9v4HqEupi6Vd6IzZLPeqGlTghl+bF12
WHvn8vzNzH9fuPPHv79dvy457F9d7Z++9PY/KQVgN6OAFLA1dz870vDwngQlBmaIPG1p2nZTvETN
Mwbmbpkhif2rV4UIUF1ny8Nfa1WIuyewBxKRT3vAfE9IlyHBxJ046APvH4zLBnxUW9Py11pDMAuw
m6/IK/MPQVk9MOYXKCq2x4UHQQcjdxrJsPTw2PU4p55h6f0EQrCXyHgaG/fLDBH4r0tLLfeX4BcD
Pt6c7QNCXuLCT+ordw9hD1OwGzuKShAw6S7FTNy7YwYylhuIjt/ACX9ztgF8vFlv+tvcJlh8Zh9D
XM993CtCUVC9aGR/TmwQ0EDEiImHnzQzgu65DHOPY3yn18AnuLPvd3rtB7Q8DaRviwy5BODAvCIZ
XO4f7V9dg515YMcv0GZ8j0kKopD3JsQILcmeZC7CEok7ZWdI4nKTbtou3pQvUfS0PB4tNaRyefSq
pBLodKM23Usc+Dl0YLzHPYgm2UM8YsgEQTQjXAYpmTt0GOmW/wU9T0vk+0JDHsHrksf68PQ/FEcS
tOdhwiDOfzLIh4QkJhwjwp+JVZLi3wwj13/bwRDV+nXlYo72T0/fv/k/m6L+f2+O96/Wp4e/0Dcg
ZI+Bp8ZAf93hxIAR20b9HHLLT6ePjzZFoR9o27RxkVh4b09uYsjs6PhVqbsj8KaPt7HOL1R4ZI8z
Do6cvA8r5Y4zJxkIkiKC+b23YDhzR+BYZ2CDvrxE0dMq79FSUyqvK8g53r8827/ePwaH5vlMyM+Z
IUT3BAIfmtKntR1kzQBeEAY9nQs43qhy022yF93Gp6XyaKkhle37vSKH7Xh1uX/yK0Xi7lHqSSEE
QOBxKYzvUVdiAMl9ngA/HIM7h/n4Vm1yG0HcrzOl8N9dDNuhFjL+J/vL/WOA868CBhgWD7lI4od6
i2FYINsM6QEKOcs7n9kox5xsvmyy+CVynkbFw7qd19u+3auCxOn+cv3pP1Ajw2DtCYQpjN07X2gX
IXIPS+lxQu6tvSGU082XePo3amTmekNIp6/LLzvdByMP/tj15a9UXt4eheqYJJA//vZjSGhbhZEe
wfdFTM8INU83YObBD+vU5uexs7PYlM3rsvTvr69BNr/YA4NEM/hXLgSd/M5Xlrvo8fYwBJzgoN17
0oZs3ncdyMbSB9tZbMjm/evyjU/3zw7P3//CGAaDD0YoNFeQh1zAjlw8SM9ALlpACeB7iPM4UXa6
KZNaW8Qt3xca8jiF1NMr8r9OVwEUlPc//UIthiEYgYIMIuLe7d01/h70AQjBpXDvgQSPdyRyG0Eh
eTPZ6LC/lppSeV3+2LYGcPJrA0i+53IkIS3zZKjv0T3KwTeAYtndj5Ex29YAcqv48a+VhkjOXpdI
3i0Pr9a/EiXuHkPEpRSM/d3Pjt6SIBAsodDs3rsChj159yVpYwuIPKwzhPEONPIr0lrn75fvF+vV
5eWnB93x7+f5EdqTHkYcg5V/yvny9kBpYQGNFt8fP1Zb5/qLhl5TpaaXSHo6bnm81hDMObzhqxLM
2dG+/xIHfi7DAl6XpBj69jAopMfhPNuDSF4COO7NuhGsnOsy3Xx+iY7nJHG3zpQCvNIrksL1/unh
CRSSl+9f4sDPSQLg4SIOJWNpOL4SEivCBefXMBnXmyLJoXj8Rb9ExNNieLzWEMX16/Kvrldgx4Nf
2geGxB5Yac6gA2kXE96e63rbBsv7+BAeP9ZQ17dgwSOrVrBHS01xBK8LGZfb6ONXmnGyJyiUIaFS
vyMM8HIFxQIKXffWxLDf12obdlgY8O8LTUG8Lgv+LUb/D/Sx8rv6I7pvY3XRjlQkOF2cQ1n4oYxi
mI1vgbZ9D6ux3JDQ+9eV4fq4urp+469AeYGjfqdH/n0nC3KQ4NQi5opdey7Fniegn4U+hIwGXD7e
tt0b/xbUV/4SMU9bk53FhlA+/n+27M9PtHyf81lCTWj1bUDo0VDLy0+/vTfMLBlLXxLbnUQPv/z+
FhL1GAsKSPk+e7TdZ8d2LDfFpvzWDbZMvtvz3cW30Oby+1uBIfOPYUvQitxllINaHEB48ARcua0+
dBGigkIHIBRoykp1MYwxQRMnTMdgue0bgFYaD2hpK33/CFI7cCqYC/VPhgn9PqB1XuVTVJXfOXP/
/zelLs6rpOza399uOwzruz/bEgs0SUkohkIqRxRt+3bg+c3mEobA4K/R/62V0wy0RHSF0uSrFvxM
KBbU3LtOwzrz3RSt8kmMfu+E10mEL+qZfxIqCrT3Zzzo3EdOdBzG84dM86BO2AFynFV6MqfqqBvY
YhT5Kgr703hwPzSYBFkXHdQzC9JZrd16UcXhiub1MVILruUBH2BtU57kqVrTJj/MOLngip0xToKh
oRc0RGe08jGPPo9RfDDV3krmzZV06qt5DFchJwsaV4uscP28+zznV1PUrNJiDtjIDwQdTkUtD3VU
nKCanpV0/FATuqi78hy6alb1NAV5wf1UdcsJh9fzlMulDOl1y6O1GtJ3RUhLX8Re4bdMredw6P00
yi+6SKxJ3aaLhPV/dsq7dqX6I6XAssilAQn5YeNkK1l0N05Hlk1dnNA0Xz06eU8IEW2F9DchCvD8
CRwmODVwkB4LcSoUbmPXoau8aZZRyf1CFCfR0Lxj0/ROKKf14zhbZLNYOZotepDMywRQ0FW7BMDA
HTRGgA/GBYWZLui4f0xA0niy8nASrpzSn+s6OZFaHYxujvx+YmyVxfgdDTMe6HA+T5v5Q18m5ATa
ZZ3DgpPEF/7tRDp1MHPFF31GkgOBwmIVVvPJmKu1brJswWXkHLpd5hdz6y4oy4tlUA6T52cKtb4c
8tVAvMkfc+5XVcjWoUeOm1GlfixCd6VbfDMN4eQP43yh3SSY2wQtAHsfSYOPQzGeylQfl03cHFVN
HUGKGVTDveq6l9Ad7G6qelJJFN+PRn7/779OH+Ytvy376/fb4cq//vfsX20/6/ufwUfdf/ZWL+38
52968hlNeDe/+czDHTW5E+Y92Jpvmg6Bs/C8htwZ4fv+93dK0RMQrSJBGINMNXQE/KUUuYSZDpjO
hB51D8rTLoGzfq8UidgDKwluPpwzGM2B0bXvShGa2rkLplKKrd6GNCr+GaW4hctfcHLwVh1DUXBb
TXp8ittwDKss8fg6RkuPvWt7aHL7/v73p+Cxsn1uXwOeAIyet/koVh2L89if52n6GGM+QmBnsz1I
5THZqXCyaRhLsYpVo9TlwGc3uo7Gufr68v5bED/Flq0JeWQivGLOpM5CvvIwa+eLGhWe68ckZciH
cnaBfUqaLjx4+cOe45Vhj1qQfTqACluNLZHEly6JlF9NXP758v67GusvGbu7LyO8xq1Tb+IrDVbg
FKGBFleDm7r8ZJJdOQaOACXkF1NTQ3hhIR0J5v8x92rp1r3YfmCfe2I8qmId6gVtdZz8wApsN3pC
PNtsxOMPkMk8uJ0mbDVkrRiO+ERCvKizFscnLItTfIp0prNF0zblJHw3p6g5cMu4V2urF+QGR3NF
OJrGVATKqYcg6hDN/YjI6MvL26PtPk+931aSj45fLYo2Y+3EVjqK+gZ0tgwEQV/rjDRD5jfR0Be+
noRzUg0RylYaV5UsfSeSuAA/3kaEhnXLo6noczYAhyVmC6Kqr4INiR37pKF0KlAEg5w6tpqmVvzh
VlPlh71O39mRbqieXKYJb4kCE0yS5NaFCwFOSifJ9I8cgGdkY6ieyhlY3cRg4fNO9B8QeGn+GM7C
TrFJQ/GofEjrGjds1VXOPK/c0enVktdVJSzJN5QNHiMkpzwFZVNRnS4mzkfqNw0gdfky+59RndzA
ZuGBr5XqSARF3jbhpSiKRn8gzey5R50Te+IC/HnCD1/+sGdUpzSAiNPJKau2doKymgQ/b6Fe0n0o
us75arW/MDRZK13tDiOTwVyhYjVF1FH+mGSt+oE0tif+CaALg1leldFc4ykMKkfOxcGgUN2v8mFC
ybJJYupZfoyhTwitQjnUjgi6TuNuXfKqdFdzifJxVSfdMNrhWhhKo6n6JiRjIYMaZ/N1pqb4XSkg
rnpZFs/xytAaQzZKNIALFWBnTFZ5qwQ5iehUNR8zJrPxB6x65kRtOwgfq95YRnUmIWoKVE6nQ6eY
3XdehFTuv/wSz21PdrevwmRygTkQFogGjxBsjvQTn6t6Zbe9oT50Lyqo7nIe9DlIoMujYkW1I2pL
6g3loRNSTvmUyoC2fQYymOTo+K07JbPlBxh4zjyHNd4I3PdQ0ZSHNWLlsFKpmIdzKwZtnfDH4hV4
Ii1yRh54bZx8ELJtz8ckaiY7+rkBNDEpuKcFqiQBxNldsu5mMnp+nBWDawcxbkBsTKaGd1iJIGuj
mh62Be6ln2qqfmSbt5rnCY3EDZRNURq5xQAibsKpVss0IkKcF87c86OoC4tsNUZ4Kv/IC0n+1GU0
lD/Q5M/5PNwAXj5GoajmAVRhLvP6KHbaUEDgkHngNcpuSGnnl10694sk5nVxkI1zJJacDqS66t2O
a0sGGwCdQu4ImTlhUAhHL0kyiECKnPzgfBjpi+++OMe754/13Zg0uPEC4s6qWs0o7LsVC+c5X9ce
EdO7qC2qr7VDh2JNZ1mys5EQXJ5iIWX6h8wwYz8g5RlNxA0syzJldTUkNKhF2JIFn73behyHxk6P
MgNoGiku0zSiQVSP8hMD83PWuk5hp+fY9vQ+cpAbEpWp4wgvYDlEMguNZDH7OlFT+4Nj8AwMtnXN
xx/QJs3E8Khk0EEKBR9KqpT7eawRQCLGsVv5ZaLrwsczr6ObGvIz2JJvBsDJUOYgZcUDLsNC+3WD
28KfNHUsVSwzAD7TOWs0V2KlG4ZWfOqj5cwrZ2mlX5mBYh56bpk24xy0OuqCuRSpz1Wd/kBJPHNm
mQFOqEzHzgi+ZJDipFjgDqXLcKqw5aEysAlhSSVRUs0BhrjRd2P0sYzojzy950g34IZ4DenXPJqD
SEzdqZ5KF+xnE6PU8twYljNOdVcTNc2BExbeIe7HbBkSSQMrsVIDzaTuWd1lsHsXYroYiGj9tkCJ
He3UQLMs8Sx7AWJ1OhwvMqJ7n2eC2im6b4ncR7oidR3lDmE7Bw1K8oPWK6NFz+h88DJntrB5wl5S
A69lyOJ5Rs4QDA67hbgw6w9ol9Vl0A2CW76BAVnSi75Ms3AICAD30uuqdIVoldnFy9SAbFeCrzLM
fAgqqOYcwu1AeplOpaW6oQZkUVfkoZxTHURtTo+TvBCn9Zhbkm4gFixpmGWIdEFTpSFaKIbbhYjH
LF6+LNxnQLstjz22AiyM2syZIQ9Tl8l4BKWc7kSHYW4JKgOykB91eqTT7kDpaGivyODK/B1Tksd2
52bbnfCY/AwlfRP1eASfTc+LrGafJm8qf3Dwn+ENMUDLUiejUob9qslj5JNWY7/xPG1JumF/SZ1S
HKayB847nxQGB6z0xtBOrMTAbFbPynFafk86xQ32Wc9tSTfRymSoZYz6lTdA0hhvd2/tGbMVxyNt
lrl9HeYt7D6mXrzQMtM+5zi1ZLuB1hhqpxW0ecHuFN82Cc0PoiSyTD0RA60Z3Nspkwg292ZdBLnw
FIRGfLTzDbZFlMeMGTsiwnzK+hXrwsEfUY99VIednYkiBlaLuMZlRVy9Kvu59Ic4udXpjOy4jg2c
trPq6gpqy6sii6nPKfvk9C223NzAqRsyRabY6VaicctlOyabVs+t5eYGTJvWG1PwhPUq5V7s8zTJ
fa2wsNzdwKkgqRMljgekexqdtlAeOQ9FlNuVqLCB01FTXFLYOZgR3Brrz6XkbOl0jmztzgw2oIqb
0St0HfXBRItS+Q6poc1gwN2NlXHCBlZREmJVjQVY1rDNj7y0Rcs2S6eV3e54F05ahTWJJqaDziN/
ohRftJRc2G1tIrWd0mKanC5IYucM1OOnCQvL/Bo2cOolSSFQKbogHWK51DG7rrKwshMoMnBaZq2j
PKl14CRdsshTcSJw49od9m1f52P9BWXhoW5H6azKfPySTOgjZsVdTf7uCt3zO2/0f1GMRQZKZTJE
DtjrKYBt286foXOC+1NLIjvViwyc9hHTcUZVF8CMg/sH7UAP+G0yIztPAxlA1U2O3TysdFBUal5W
o/gcJ3VoyXYDpKFMGtEnSgdsUtOiKGogPftR5XW7yRPBwbZ54LFMvZLTpHaKLoAWKO9UthE6zZ2w
/miFI2RAFHe4U3DnNBzHOIx9Ugx/CJlYitTA6EwrLw3jTAeK9cRHcvyUN/Lcjm4Do3Sg45AQ2NtJ
22uqp1NGW7i80aJs6RoIrYYwjDoSdSs3dJyFk4Ynyexa5gdcA6EI1bWYHeysoK/tXTGJT1JNuZ1q
cQ2IOjH46aoCnuRxeVFF1UFYxHaa3DXQSethIiMkvVfV3ENbFz6mzM6CugYw64l1vKohtuNFdCKr
MShVaFcHdQ1YJnk3xloD0XXxfu71IhUf7E6IAcncS1U9ZyBEGmef1ehdyJnb6antHcaP0a6bPhun
gXfB1KYIuuk6HKSatEs7wg1EkjIcyzTxuqB1oNaPy2zthd4fdnsbiMzypGVwyYmzYgl4t47LN9Qj
doYNxhJ22QIHu2lyF0xynPDRZy11lp4neivgwK0fu7vLthcdZb2zaviVqpYSOjFseEI9A5FxFDe0
iacu0BK6LQbS1j5q+LXd5gYmByiQT1MZtisU1+shh+J7Q9LO6qTAKMguS5TWbubksLnM2TnR9U1C
J2XJFQOXcC/x5DbSa1eqIOcM9h51b7u3AU00JIKQEUHaGBP3RMsoPWroyC25YqAzbmmfgz8LB4XN
3J/d9H3OYysHi25blx8jf/Q0HTIPkD+SqUsXLg15tcTgASVWqoV6BkDroaAh9Bt1QUTrjTP0H6H4
8N7qKJrNWj0hruIE+KJ1xJaNzhKfwAiklR8BCaFdzqi4F5CPHoHwcTzXlXs09o0lQqWB0LQQLhUx
aQOZkdMcGg5XcCUQtuO4NBCqIwU9l7rvArfOL6iTL1IVWzkp1Gx/Uswpp4gUbYAxw4uhgF5wRNOv
duI0ADpBRaGF1usWOgD4p6gdjxLBruy2NvA5qi7MJHZUMKF88PNKNAdlkdq1LlCz86liQ+n10F8T
QAlpXpZzdSZIa1eXp9IAqK5xm8VoUEEF/Sm532rlHDu9O13accaA5+AQ0IpUg0T76UsLHtzYys9W
W5sdSB0YnrjmVRtkPLoc6/rQLQq7c2g2H/WhzHiaUxXMfROv+iHCSycvb+zoNsCZzDRs1Zi1gRfX
i4xOZ4X8kdu5tWN/j6qo2WY0OJAP7muhgrjomfaV4Olpw+vRH1Ksp4Ud/YYRZVk5llnFVJAn5M88
ph+dOru229qA6AgtiTkXoQL89+26bxXyUU/tSnVUGCiNcMwSRTAQTtHHoofpBOrUH+woN23o2NSZ
cuM2YDihw2omeqJ+KfM4szPSwsApjaNIapnDkRydi6TA10ljF4tTYWA0T1gDATNsHU7eRecm70LC
rcpQ38adHpv/XE5h0fSTgtmXAgeOxN0FiobEqhUXbujYNaFY9C7rEziJoTtP/qSagFDLji5qNiwV
Y+h0YxuroOxr13d7cdAMkV12GKYedinvFNWaesByUI/H/YSPczbaYchsU/KGKNdpE6lAhBHMKM3T
sacSu7oZNVuRPDgl7ogzFaCqPyeoOVFuZ0m3gU6VQHUChr6aoOXyY4LURZ41VkEcNVuLwpEWWVSn
KuDAGd+DLnG/mQpppw/NdqGOpI2TVl4DdZu4WSicXWjHs3NBzXZ614U4q2RuE0QJKVJ/gETFSrsO
t2OM2YqUph60jaUT4MabioXUnF/miTvbSdRsRepTxkNohmuC2VN4gVp6BpbUrnpOzTYk7ZSyYmMF
x6XyqJuBrp2yNval12dWORyo8O9iFPpnXS8aS+B9FA9iUULyLAhD2tjVEajZbjRlWktVhHUgnTZr
YBCvLr5qTwyWQaPZcIQK7NLBc+pAxVO7LCKe+sAhdmBl8MyGIyHGUbq9Wwc653jhcmj8hm+FsdSP
zDCnXQ5TJC0p66ClIup8NONsk01jGfl21BvWdEwUV8MIvKnitPKTrng/5sjO5jHTnOJqKByhge+l
rNdT67YHQ17FayvKzX6jnvRkqvOhDtKQzR/dKozW8A2HMJ1rt71hUgnoSYYnEKtXhk17IDQMDPss
rHhj+QGG9wvFuKwq6x44T9rhUCn5Pm5yu9w8NVuORFZgaAJWdSBod5VE7cWQdVd2jDG83iicBpLn
UROI0vuzrAbkx3B5lSVT6K6qaSBlLh1d1AFRqfxTQFFhrbOitzwyhmXtXGecZsKqAJDq+RxaX3xn
csTKjjF4l3Y1OVCjz2F31k/aZ6g+ysofdTF9c0GfCGjMNqMmGaG9TuIq6HkWhT5Ui1NQNiIZs0VU
eFG2LuppuNJFmx+Sljg86OK4Ydcw4iaac8j/terKEwVfZ1CXrNZpVlLuizyBZHw0NtId/JmmjXo/
NNjRC3dqymxTxbHTLDg4lniJGOTaV6LWo17mCLJkCw5V6vFQN45MAyzGmB6GVTpMC+RCNuEPBzp7
pwNE0lYsiRhhzyFPuvkgary4hWk7POuDAuNxXrZ9Qco/R0FpeN5R7qSfW8SaJpAz9vpAjfC+y7qb
2Sp1eyYXpcAIpp4nEel1hKrIO+GyhMEtt5nxFdwYMPg95uqwTlo1B27lyelgKPKeLntFI7bqxUAh
hZ3HPV1EeV1U4M963rSQKiHCL6pEoeOhDFPvMCeoo8EM3B4WjGT94Tw7xZkqe5cuqdv3s5+GKpyv
cpRWws4LMbtfmjLpoL/dqwIPkm0+w+lJPEd2UyvUbH5x4dXg27HqKpiqOiyWlTukwdi4iaX3Rw1t
X4xU80yTKuAMrhsAze/jiHh2esFsUyM0nMALzusg5sVtSLOrUCSWTDcUfQ9lpDHHQDfTYdB6+VHI
kF1mkxgqnvXQVoMg/RXA14+Mfuh4me/lqLLkieGWKTciPIOKYxDhNPXHrPnKU2XnsRJDyacwm9uX
wq0CPen6DMa/knVFusJOD8NdHTu58Jgnri4xb4NIZRRufvBSmCvQ3ScrPUwMLa+KqO/7uq+CTEb6
g5LNDJWIUnaWbDfOOSoTNDsEhMqjgo0r3JZ69oXDsmZpRb/Z6tUVzRA6cVcFUKj6OtT0iDmt3cgF
3By5y/laD6pvJlEFsetBH1nXijFfEC/FX+1oN058z5qZ9BrXQd54s/RF1RCosUuM7Xox4IqW3RcY
6jJH7hiBgwDf1e1rMaSrJEksHQSz36sWQ5jOEZhwqNGoBXSU8UXtDG5gxxzj2A8uzDKzpKxgEjXP
jzjpWefzRnG7/n5qdnu1aRlBI1MFmqzU4iguifsnxLSTXSoYG+6NGItmLlrwVyGVNR6GNNSBcDth
eeiNOASTXHvJVsGnSREt2qGJfN0VhR1mzZYvpNCoR4iTA2cqyW0M3ea3c6ELu85P+Aq93UMJtxGV
aZxmdQD3wPTOYeaVaOGGw8B+UDt8ZvANbiTa/QCYBw1DnssymHNE1HWdJX21CEWJ6+XQVs41TISd
OY6Xp0vw4jJvEXkQjB7EDmOVnfTN/jAYpOWuTsH/HKYmlgunSOECiiIu69wujDYbxLhLZohZtpop
7FB4XCQR3J0wNVPn2mWnzBax2dUKRlJxGcAXGySZPw7pQP00o72lj4IMePN2LlSJ4QMmjaFtedYf
oXv/xkp1mF1ieVdMnafnMqhV2S7GiHydO2ZLuIHsqJlR22aiCMC3PchxdoRxa5cC+Dbj+KgVvXAc
NxrgBpGgo327yBy4LAoGSS7tmGJY4i7OVYSGvgxCreRKxzjyC5ZYmkqzT2wQSVWWINEgUaPzuUgH
cqMcMDdWtJuNYm1KywouGCsCcFfORD8f5030g7tctuftiVDR7BOLRqgzclWVQTvi+AjlSvpRUg12
RsxsFRsynki4i6oISCaryE+lbI5iocvYDqZmwxj1xorw0i0Cwcp0ATdorTOKJjs7YLaMqbqMotBL
ysCj8XDSqoIuRJf2Fy/LdOscP8V4w/H0hmzqBwT2PZ9pA16z20beKndRVa04BEallY9FzN4duJ4j
DOtO5cGsxGcI1E8LEX98+Q2ePjpke5XU4yoV7V0oDcI4FkwIVmHqN63ubwfS2N0NQDyDQQn4ymUc
lnng1TKE7E4r4aIzpq0gBd+Iukt8hVM9zgqID6MYYnyEax/ufLBTB8Ts3/H4LCbWQrIDDR2almUC
xd9FWpZpbxUswh0Au+TLfghrcCPyAMV8WsrIdc8rGJ6y0pWQgN7dfeIJRORD4ywjFI3VUeoi9wzj
mmkr6uF75nf3lxMPJSdRFbiadLUPpyjd6nvXq5Y2R5OaNzIWTtI2vZeAwmT4SnfuZYRCq4MD97bv
0g5XknTSVUA7pHzZMlFQX5o1Kq10DtxQubt7CRrSyaBVdYWECi/7Ce5lLGNmN2IHV73t7p4nJdIu
bvOtYyAv6oKwoEuYtGI6MRsca0h5uWGxBWwMqbKqkRcOjRJLxhihnJ66ctJTkkPbCtwrtoCJ2ObT
nHtV/4P9vyUr/q6PidlYxuHLekfONWgzrlnxrkGo1Osk6xt1AIGYxgdwlx5vlw3Lx+rEmSAqOKlF
2hSf4ItJ6YHmeD4U1JmY782hhusPJifL3hUlG/GiaJopWcxRHM6fq3BK9EFZg81daJaON6Sg9Liv
0+5oSuL+gIR6gC3gkorYd4uEztcxgvmWi2x7kcR1mci6XULARmd4qoZF7ELn51lax868hL9uk1OC
w6q3ciThu4p3zwv0NTZ4O5AMF5Ci9Kz3Mu8EJziyM7DEbImrnIxVkB3NAjy6txw3Fx6Kzm0UADFb
4iDW/B/OvqxJUlVd+xcZoaIgt2pmVtbcQ1UPN0ZPywFQBBTx158nz9Ve+a191hd52xFtWggv7/AM
QUXUixPZgbOVaXZOJ/tvSheXPfdPW+Xq4luWSLW73cRp1hDTOBu7S1/zANRD7VEhtGdYbMvu221/
ydU1mMwcJp1rLk6RjughE14edy3bt9uefhWJu9AsqBGJOK1T1tVRs39xQ/pv6/TPKQ5c4v6+fZK4
7RdhFnGicuk/AVWdvRRdu/3YhiT6l+bgf/uJq2gcN5y1qZ7FwW5E0Lpzs5n7cjVotp97D0bbvxTV
/+WTX6PmAE9ol5XK9tD2Tojjkm8J0GGRPPRqL9IKiO7bukrkGkTXduidNEZi0cY0AtCNfkEgujGn
uuhl/2fKFkFwBI2AUZwSjOMc8UdHko//9076L1/iGkTHCLCcOzi4tWhn5s5c2vw4FRxzf9quMr4J
XUDY5df/o0TM8Wza9yyCTAeU/sB1b7/ymd1GbSXXWl028LnvgxlOjOXuCMx1UTZdcluxAiOrv7/7
2qMVSZakO/VZkR31GlRd8P6mOo6wq4McU51IyWRTJ2t/HzekzCZ645pfHeNAYmknh0fve3Zo+HxU
fXpTfUiuMXQBSmW95aKpRZ8+sDx6mOltXTxyLcwFWOFFCLdvaj34+X6w1p2inHz6vzf7JdL/ww1w
DaFrctatgUTY7ElrD1qbrAxcZsfbnn51SmMuTJPHUX9ivdUPQL1+mdtwmzgsucbQtZS10Zou/UmG
VB4X7sa7eJa3QVHJNYwuChvmhsr0p34Y5lp3xWPEjD3cti5X9+42xPNiycRrp7J+O6apf9NGiNua
ihCI//v57CbuZpmNvB7X+VnI6TSY6bZL/BpKF7pta1WLREq6pS/HZYyrXeb/Enn/22a8Op8r0Pk7
GH44RHadSqDGKk2hKHzbml9dsDtEeuzqdA/WkgrV2OppLhsz8tsAaRCk/vuicxXAuRA5B9Fq2tOy
kI15mDbR38aDJNdouoWOzchmwmvld4w9PwAF8C8r87+t2n8IAtdYuozuCcSp2u6UhIisD3GvchCM
WohtfoZS0nTqc76Tks2ryg8U3TVfzU7kKyQsNQ3HeeHxfNh10qY/FMvT9dQUpGc3deBJdnVPSu7I
jqzYHnq2mWPeOIj+RuK2uRq5VvghPiW7FM4eiFcdUBbuMyiV27+s63/ZztcCP4ufIZPDgj0Eluyl
iIWpmLgxPmXp37dbDo+FiMyrPewKEg3ehb9i093GHyLXsJto12puJFkOLRDzNfddV8Up6Fs3ncRr
yMQO6HPTrwimTKc/rSKfVJfeRqmEM8bfl6VTqNgnnS2HPjZxuekUVhANoDM3vfk1JHSL5gQiMO7S
TjKuPfckLpZDZ4Ud69t+4Gq3j33v4EPZsXozHcVtGYZlrDpYf5Bft/3A1c1jnFj2tdHLYZk6fVBF
5mvNs5vGHuQaE4r6ISeaqOWQXETofD5DNiBjN4H9YVL09y+r2ZrZxuHh6wKlb2mzuZxkehvglORX
V0/WLZBmWMblkA6JrohIhhId25+3LfrV1TOJAo5lpHGHNe1UWUQR2IRbFt+WZF0jQlsAn+MsIu4w
AeZVTsK0z5IR937Tu18r0GVea5LQ2R0ijhFcJvb20If8toW5FqDrjU8moALcAYqm6euoNvGTxju7
LSe/RoPueedntyBEjiOVFXTOIU+UNf8mwXM5kv9waV6rfMlEzKmYCJxqGpmvr92ienUMNJXmmBmN
W/Cm9b8GUzUrabJkQECDa1dUr2neVuO23AamItd6X7prmHMUT2/bsa8LIKkqPoXft736VTATA74A
8IzmoDcdql7NQ21Vc1usuQZTcZ3FTuW5OaxiWY+qK9ISCsP7bcHmGkwVFMqN3XhzcN0uj4kVb3sy
5Dd+0qtItncq2yf0eg666Fil5DZUgKTeBvvHVP/vcXJkgTlWNPoQqchUw67Hkuhwm3ITGNB/f3qT
ZdIkA9WH3s1dtedKVgWk5W+7/q4xYEsS0HI2bXEchnH/vMd6ex/i8d+03i933D+c2GsUWEO8TxaA
lQ+5ScBHucR4DXPV8qbdfnFk/c+GDhxu0K4OnB+zCK3zNfo1yfHzbY++9PL+o1ck4CjWwOCCHaHz
1chy3QHwc91mv972+KtzmsiJTHts+DHXagSGddho90gTORa3ndVruS9tiwWJk+ZHbpNy4Om9jG+8
/K7BXxDiml1I8WiVIRW+4CHG2wCJ5Br5BQOFvunYzI/7RfpI+CSDo1jhb9wuV8d0iGXn9jBlNVS4
7kajX2N6m5og/Jr/vl3iHKAiolRWU8AfhjF6zMb+w01b5f+BfEFGqDNkzOqULio5ZVqCd915tbzd
9vyrud6ok3mQy8SO2ZRs0DjPbHZ/oer9m57g5TD+Qwi4xnP1kdBZ4Rt6VDqyd65ZV/VsWdy2B/BU
WXNu1e67J7c3/x/F9f9WB//0o1fHl8FBblyHWaJS2Py4VYnsZaoPQuDUyWPXbEKW86TgJ1OOZMbd
vg3BjOw8SU07dURhPQhVyl2s4dw1IWp+EOIBuxtjQFpFSYawe1+i4NHzo4DLvX5abeMTet6ijM2i
NLtso76MCe9JWxrHNIqiieLTlTmfp/aHNp1akjITrFdnssOgbaoDCnrW1mFevalEIMP2CRJyfu3L
XMCDBzLfod/sWCZ8iWhW8gDtdnGXaEGhTa/Qs3SqBK9ALnhBy6bxTacKuePAhuIvpRX+2SxzttYU
cF9SLlghUa2rT2HGFpaNGtTLxI4/JjRt2VJuBp6KvswL2nbfxj4T/JdqFzjxgMi5T0aVUPsawtcL
SO9O7yps5QjRKFt539tE1AzEyeawY2STHqK02WzVFNhpvFqpD7mq03XP44ekWCk/9vmyK/DC5inc
QcZ/rBjVK30a4qUv6rgnnlQdozOysELBFFBBALfc5pbOI/Cbw9S1teMosViFDsnWTnizeTSsLFLK
wBtZ+1OTMaSNiCVULff4WlPXl6ZAZlfyJIKR3aLG9PvsFK192Df2a+n3QI7aTLl43g1cIt+7OWXs
mbiGkMe96YqlreUOjkp25H5JoIiwU7bIJzA0Cnwv3fcaL9fGO2+XYwxVY2RjKp52cRco2fzPuVD9
1FbTimbwmYGBxD8nG9tsqOSYwUmsLaKLDKRc5OgjsFh2gLagoMOWdTkEfMtpOqc5GmnpmYqx6EpB
BT9S0Y3VRDevDArYENn1klmu9iFerDh4gxj1TKd2GT5vW9qOBbbDlC7HgeR2q6a2y1KoxHZB1uhx
dMW3wpFxeuDbjiZQl8fLZkqvHZr5JS9yliKDco4QUvGckOFDIgpDjxBYEdvDmPoEXe3YQVttx5jZ
rS24W3Gw1AHJSSGyFsvlZyojcGbMyjL9ieUqKequsfnwE32QQuLQqGxaazvkk30WS9zSz4Bnzeo4
BAaaEJ/iKb/f8ygVj0nnxf67H+W0gDFjoil7nnFou8Oou5CetUqG+UsXqSJOEd5ES/OSqYzr59g5
kfzMhqYpQtm0XLUn79c1v49Nn01fB09DXkHzPgYbvfUk4ZB2zqn81TjfirYUsyh+5oTO+gvY5XtX
YbqEuwtUiSk8AdVnC/znKcp+TYNZ97NK4XH5WeywI610h5P0a8iwze9ake7PjsftMU7nYngpDGxA
D3HR6+7jLLptf/XgSKQRJtHQDSjqixIxPVvvxvEvgclN9zDQmYTTNA2yOc0pT8zDMsPcthoyWI9+
K2ia8d+JF80zKOTRPcZI+y+wQ1Q5+LytWwgERfXW74W/h8nDut9BPIh8lbzPeK0lmI4fWOjk+Jy0
TZ+c/dQv4RDN3bDd8WBiemJ0E/GXmDai+djNvNWVDi6CJuIQcwseiqIw8lt3uHY+2Xh38ZloquUb
nDWa6WXJOeuOcScmVrttWBE7fV6Y7gj8dGKeZr7SXxKaAGPVoEvjX7otNggl3bT5A80nZ9o6xrRq
fRADBI6PTbtoMFQitrafu8Ly7Ky01rR0TWToz67jg67a0Qo3lMWYNDHMgTKyna1U1tXOp3FUOzum
STnK3etvxHG8QZ3HbQI5ww1v0UetNeWwRXY8jBdJnhKCdrt4nj2IaYdcG/89jYOn8D9r4ahbwQqC
PiFdav80OMKsGmSXqooqn09fwgx/RggcKQXJs5KIfe/P3oEl+znAn840ZTc7tiHe79pPUzk4XNO+
RMd7tb/8spL8HR4ZBheCgFoN/yjxlMuH1G4xB5g4YtJ5GH2q8hLczzE/SZ5wcVjXlshQtokr9ge/
2RYdzA3WT/wubgJyRDDZuu5sYYMWlbvp++gTzYVJ6y6jS1TbeE14zcK+D+8m3slwt7rd89Oipqip
Z5824ZHAXes1TuzQf0IXOQ2i7KV0/AjV+Nbdc4EK5jmgC1EcM9HjvnNNk8/AeWfd9qjaeBDVtJvE
VZk2LAJvwdim92DP7Tb56GKhQMYYM+de+y1m6d2EkfHwPEHprp/LNWRwuIGueDl7w5NzQrh1L7md
o/FH2m+FfKSSWOyxsVOy+01ksWMnKEi22cPUFv16xF+2DYdcicy+UbF2zb1t+4GcQaKl8mkxKUyx
DghHktbwMiLNnx1SydA0t92Q39mpb1tgm0Fiwh4poKN03w0u6Ds9KALMcAoMcXywGq6H5erCmH7C
bxbva9K57buEaDw46TztpqyaIb/YVhHiU1Ntjd4+DSl15K7gGlyXfBwBVlWrKaIq6MXB881MfgOB
ZGVJhYFC0b3idfP8ZfOh7e+iMc0wOeobES2fldqn8R7Q3W5HVjTu2y/cGnYU0EiN4+TDZVJD4op0
M9ufdlgmK4tIvIfmXAz49BCapXAEe/QIyPML3C+sgSdsx93d5ijPLzf31kEToMUyWls6jlMeQ6+u
3Ze2mnsfwgfCN8lLOI0VF1NghfhWCuIH8xK7pJh/7MbqbICB8Lrl55CReHvOsPu7r4Pd4BGDP5JM
zYtAa9x/LAQW8X5PB7PVI1lyd4f7P9ItFjdV68HvjPkWyZObdnxM067H1YtIvbEkOPW6Ys3W+3kA
Au9lWPuur7Khm+zXTbM0/6ZSFgpVQiEsHjVWisj29wjN1PgVqvUZ/zFBeUV8n+UsUtRXEEQklRrS
gd0p5mxA/tbFBZ3KOVoCrkK54fpAtgfJWBrlK6stRBqmANgoi35CVT5kVYxLfTjv8Nr9zBbs74OI
vaRVv+2Yvyg2Zl/yFLiIioSiGSrUohmDZeHEllMqWU7Xkmyxmp91N3egHCeQ7zxqPsjpiSjtI1lS
MLB+DNPstmOe9Nn6koyxgf4u5qz8c1aMvjuuEk45r3Paka+FhctLbbMGrYCijxx9DqNu2DE2g09f
MH8i40cpmN0fkmGcJwTMDGcDsHgA1YqTgIiqeWqU5HqriixrXwOQL1G10V6tH+3uZxCiwXtNfQUZ
w0ZUjCe9fhEWPaayU62cDySAVyuPoKglh6Ih41ibuEnxJfpOJk/Zoi9OrtRekp8CaN+urXix5mmt
ljlOllLsW/gyFBKqSeWuQPz7rEFuI++tpdOjGRdkXFXXDlGVDFCFCxWi+1oyT4n7ki6QPbhrqde4
79kWI00nIPBqVwaSRe7c4xXiD8s0OlalOZ1rEbplPIkNR/1bHhu/HlMmZAJnEgPJsyTrSVETCSRm
aUmyHzkuI+9KkzeDfV4AneJjpahi8lHYJrwU4WKAupudPNiiEPGhgIPNhmsUKUdt9gxh38s1amHP
Pebu8yKbZP04miWp0Jae0+9Bwhq7anyX3SFdg62lAItmwtStNNvQ3XVOQ1gjA68aly2p9t1xXU4w
Q6K1M3F61yIf+OIVIw8tpJRUSfkw26qDf3kLzVadwtw5G+h94dvwOwP7Z3hKcXTUaR/szp/mKDWv
sYfEK0og4h5b2KvvyJ2SzLyukQaS3G2soqCRP6GFDrI23EUJ1MjB5H0KpkjfJh+1B5EOFD7TanMP
q5D8pfVQ0K8FtnGVb4uv0q7p77Is448LbcN9m2zye2jX4RMn0lR9TD/I3Ki3fOAjhw24toCdLFKI
udzinntbtsh2wzHA3i3c0TVt32my6Xs3hILX2M60Uvuyb8fRDPl9AHwxe/NRwT610gO1UKduZNFd
o9jqZdlg5xagyYcu/t27Jri3PKc0lGuvtgJQzmT1oe4vegBnGbYdsimFSYKGs+482xR1TE+moW7p
mkT3a3LxTwd92sf3pksa/myjzbrjCp5//L5TmdKKh2x1D0um8/Y7Mlc1H3KXRumd7nWfPQ7bKuHG
2o6rLH2iTfFOFqnjl5ksRB8g0xBGSBJY2p2naOXyW9TBS3io8tDnfR3boXPlkvdIRblbWF8ZiRzF
lw2JCJFlyMPS/9qKnMyP6zat+0+YUnmkQ50rcuxuibOV63IAYWg4QEWnSU+mkP3wYUtQ+x+mMSPq
6BjiTo2KpmXn+QK/O8xMpeQFpJohfwB+liR1wrecnxPQpra/evAD1MtiXaHjKvB27e7tbElMSwiK
FJhI7UMqwweUxixFFQzI5v5grbSIC93IfPKkFY7kJ4Fi1X8TueDnbMJUgljl2bfEEhF9V5hpoUze
phwuhWhCdxV2B5KlsllWRHdrlq1eVWuKLxScfvdeeMT2r9bOPB3qnM0R7qtmzKP1E/X7sLVllKaM
lM41RlW8ITJ9tnuxhb8y0P3lb9ODzXYoBlj9fQyy2zgEB/LJvMLjORfbYVyh7nrifZROrxSnDBEx
JmYuEJ66jaFZ2I2g798NJO78HRGdiFWd7QYpQCkppS1k4CfUH8j4hrkKq77kIrBxcf7D4Ixp/YmL
Vph3aaNpPU5D5PjZWr7k+GI796aeU7mt3wXPwUWineD2u/NiXo+6jVVUcbEkD/3cNrSaMXt0j2EY
shafhPUgA1p02Suj1xlJ6UwhJ/O+7FDJhRDA3DxObTqffLMVH2eSBofsIN93/RKklKWBn2YJUli7
EPiLFcN0DL7IQ9XCgnQ578SiQOv4wkrr/BTp0i3O2w8s8az7a4W1SXHYRRx3NfWXe7VsLTwm7hqk
2Y89pLmw60iiyH0zwNP0Qbdh+sILLEJNnMsSWcY9pszvVu5DhCw1xNFp27GvT8gDEnbvcAUMP7wn
/QklQMK/TZA4Z12V8zbuP+o17zpIQieK9kuJTZaTqkBUDajmIhDndtYl/XMx+HivDA78m0hydZBN
T0cctWa5n2J0MJ7QryD5azFuVNz71fCf6MR8RerhUgpLFQoI+ASPmPTjmLbNd+hZDH3dKgTFfjDi
ybkYmdkOgRF/lqzoKr0HGI4AQR/f9cwQ+TQ7YuWTaRb7sGg9DT/g4Oz+RLOwtt6WCJ8x29i7WLLL
cEcUuNu3zL9T5BKubvcZuTpwTW4rpWfqCLIyp+WgfYvcALCFFWZ3xYZ+LSKhRX/HDc8egH5YJBaX
Tg+I3+ZdIBkr0xwI9DNa6dw+krmYo1fCAOIDKIiN7Xpeads6iY+yhNiC0d0M/WGLSTGww1DQ/kM7
wxv+kIAoMP+1ralYq6hD5+o75A7gIGvywmaHsUtDiq3Zp59Mj3rkFMbBlumAAKrLdTFwsWvTpftV
5Mqm78Qv3VoFZRNUOyyT61YOayGjb32fND+LS2pyV2xgmb8Fqv84IV2GdJfPCZJZlYnljsMTpKg4
NerPlOPIlgUsOyrYgsTZQfKs+N/mnyA7FiEUB+hbNhlKGZiqH7eUefZVtxEH/7jnDTqDEVdQRrIa
Uhw1khLl73M6Tb+k3EiCOJd1w/gOpTY+VKnpPLkbXBZ+o3Ru9wcj0+aP6uTOcxh0hzV9VJ3P5reo
iWn+J4FlRv4bpWWHzsjQ5o98MgKxI+5ClbbJ7F8Nb5gG1QizpaylbfzaR5Sim43UI37IPQRFj3w1
NK03t8fksNLVrqVUy/YJmshJ9kUbvn6Iosx+KRqWvGHc7vbT1IBvcRdNKIw3qbb1QLMCgr77sOov
WHPxMCYCsDY6wCEbGifZdJ46zucq16PypY4a8RVM3a2cc/BktM48fTCbjl4Z9dsT5XtXHKcGEiMH
mYftNMNW4pRoGZ8z+Bgj5o3Evne8zcOLbiewh9cVej9lPi+N++QXSLx+hwYHijMbfNZ9RWuYsJKu
AeuQ+mFAWOAkIRMyDgb+cRG7t26jSBIJWgltiyxjyCPIw7I9qg1g8PkhL1r0TTz8z+FTwszen1Id
63fIrw/iY1pMIIFvcGD42ONFStKviV4qhO3gfGnQGyMvWnQsq4jG67xNU+On4zA3Q1elGdP+5wXr
ep5GqdTDxtgu8Rsish9Fknn5QlrmkbCFnhyLQkfTHSCUzH9AK3o8IEyM49Hk+WDrtFtlArgcnFsP
k48RRKADc49vgXZEo/NJo9z2AC2vIbiPNuqGtRrzJZH3UbSq/QT5sf13lMM2qZSwhnxo92nD8WkK
LIfw8UHwbKnm2fl7MiVIOLt+fAi6yz8CvTyDIQB9R/Q5INRAMtZ8jXbAyY8FGDLhDX2mbcVFZOPk
tytMmzJ44Igd7QErFz2eR0wo+u/dPltV4UuB8F6IDpk5IqZcVdXNjYZ+OcSL+BMk0gpWcU/1ct6m
bIZdPXyz4V3arLToyyiH7OHRc3I5hNGwti3cFWdUTAg+oh52y/3ZgZTBy3TanMQxxrzrz4K7szlr
4+K2XqGoHQOJqdIseZ8yZGj16rnpKpatFFwfR4N47ymUXuoYevP9V4mGRlaqcem6t3jbET3aKKLJ
PWWJyivFU5nWE7phazWNK1pbJXh5W1sP4HHFL5meTfEBhiD9WgaoQOvDEpp8KkO6Z8hguE7cr8jA
VaHMQfXgH+Bls7JTF7Rnvyj+KP/FIkGlj7lNJKsyyUT6KlsfQzRZoyjoeqvUxwACvzimg41VKHOQ
7Vc0MLtxb1GoO7QcsKk3JIXwNW9mmFFz2zx1U9zv5ySLt/GJa/RpS6qJh1667syfOCd995zuzQgo
SBOL8W4p1ih9BUWNUZwpQ3aP+c8Y9BH+jd4cAS7SqsJUJV9+jl7ZCAaJuyvOkUQ75Wss1eULURQ+
dWK4HsD7QwGmnhf0D0UFfoWzSwnNoSR9iGmao7jMXTTe9cBZrD99GritG0obd/KI1742udbiIAkp
5jqFI40T5WxU6I6oBiV/aDLIrwF8KS/2YHBLm+qh6/l237iYFRV4Ii3PaygxxDhQfaMwz8YodGrv
6bqRHTmL09kdmgQTpvUzcrsSfdhElODm7UM9YxvIY7YtyfyH9bmQEWqHJHOkbAlETP7SQknwuQQm
ZA6XqUKemFWRNPxEU52G7SySghTv0IxW7tGjtN80/vA+GzLkIBuZXnLWy+1LhL+GR2WXODItx4ua
NQrStdjX7Hm5VNAPTTSJDckX8LIQmApN274ElVgUK2YhFAc8E+hZsQqzlhzVamwVH3/1AdU14FSB
qfiPcWs0IxlgOQqmyYFuu8KtZjL3lk9L8ZIjeLRIFYth/y06TCO+D4OfxDFrszHyWF1NRpglU9N/
yJDu4yynnGX5USM1mv90Ost9UbqEQ63Zs2wpPifoz/Wwf0H/3/3kJlvEu46WKXqdWgx8PqyXQhWK
BaGQacXWGbrGoM1pI8+dwtwLmyTT5GgYCh96gI/iMj+AlNrmvtoxQ5pQ6faG9ayOc+qKB68xSXpE
dl3QR6RFmf00ykGYe9YSP52jBWbm30kcN3FFLznbcZlUtJSSpT56nGIIPH2IFrv0iHGQoa84MuPx
EBZVmOfeOhBdVB6z9fMugSKrithiyNMTOUJixrSR+1VQq5vPxFsE/xH+BsO630c7/LWRskLXUJ69
bklAPgUP6iphm1vuwjRycmfQZfcnKegev6OrmOf3vcAksNKxAgDgAOpmbIoae3NHb+vSUYuOs0nT
pSJUDVGJM/dEtQ0ZZo055DGOcQJo9XzsowTzHjpixBNKCYu1ogzzpvPadCzP7ty28P1OZ1sUj5B0
S/3C0dNr4ZU2LTwZHvPEWPueW6iq/2FttqhHJLY9O8q8W/gn7zGaqWVbDC3YiQCnvvbjKOlD08pR
fPIFFuYhpIWw9/ECS52nFe+awnI87PnrsDDV3m+D4eINhV7frFW8IFue62EqFNrWGTTa+rhacJh1
VEH7gwZdYw7ICn4UgAZfJIzZNygYxjapOIcApjoojILsckYCZrCwjg3avOKeHtF4BhgHozTkbjx8
Ilh2kKt43on9DdOTZjuuOMlHvu/sEUU0jR7SqOFI7GgM9br0MsYr0lM8UKpPYmBz/rjLCSTXJA2T
++b7hUO0QiyQDjm6Vm+hKxNPc4YZZwrQVTzbYq0oGhv2u1ohWf86QXbBpseL1GuCnsaWw329MDtf
h4or70UdlLk4yjlLn3PTZOM5A7nc382jXkjdrkGPj6mFTg1apDHmrVMwbDn2aOInZWSTJDpiRun6
WhYtR9mpZ6uRIRHVkx8bg837Q7O3w/YRkgyZQ++9a8z+m4w5aX9qMcXyHBNQHc8xur7zEwjaxn2W
kKRGbjPm2faYZJENf4U5H/RjCG1k0eDb0qLaOdKREv3lBbOV3lqA/WaXPS2xsr5yAcahZ4NXGOpl
T1NRARtPMTPPsguicS2OHGDSZ7nCGfgt9qK1T8btyXjPYHu3X742a8B14C7Aut2ybPiJNl9E6iEv
Im0h1op6prIjdrs6ILMWuCARSC9lvjfav/DIrKQKUZQYHJZiNqBL6PyyglyjXYVMwuT8xf4Pe2ey
HDlyZdFfkdW6ke1wDA6YtbRAICZGcJ65gTEzSczzjK/vE1klKZOqoVXWmzZrkzZZZEQwMDj83Xfu
fWrINJzdsYq/9qfn41fV41Qn3sAK93XpzronWO+yW6NpZMe9F1p53XmV02L0R2JiUJSKRCx8Q1oa
eI0R1sGFjFQ3blhGyUIcsiIe3rpkqqZjuajcemym3jYpXuqkP5tntUyPjsqr4fKU4Wjs2rwPvJyw
m9pjNxqexPJqGnjm0sC8cubZVWdthNPggkZJTgYDe+MFaatOUa0sBleaVveKcbV2PIxFclxPdpWi
2jV1dAMmobMjGhjKfJNANvJcZMYG2Y3u4ATug6qEC9xbCPpZw7YImrrsvBi/n+mVDhyBsaL33fRv
CEkh4i2CjeheUSuWWPPsju1r4lmssh0aYlbi9vAIqafu3EzYQxkOVEymHT3jsJ77xutHhtjU23zo
rDhZjTX54exDhT1Zut8YESiH/x9t0xHPq1nOlk6V0a0ERFDraU5XByuCko17g1drh2GMwmrvRift
N6T8nqrTmmkGl6VsmzVqwdLDtWqBtv+PoJ/ENLdmtiOoe5p8YSdl7y1zZF3SsCp63w4wf/85gulj
spA9m0VeFm22Fu5TYt7Zw5/jmT8GClmZMdCu4X2N+MZBtIitP2mh+RgnVBJ46AaxUhsekwIRyR3E
ectq3f6Bh/c3AqtoGfxIXiGFyQ4ijc6Exv1XR2XcHfJRK4kRbJsKwUkOCWMBlFvLq6lFuqXASjSx
KrWJ8/T7CNWJKvo12ugDWBbSoplirVGbkmmmmR/jIzgHHqxX7NdoP9KLc/a//0m/BVN94MyauuVS
gyneEAhQq9tuLoPer0L2uf7Ik4l0UhJJMnal01z8wRH+DYTzYzpRAh/G00RaG9thJkdH7My6Rmv+
gy/0W+/+gT6rmOjXqsi1IEfyz2mjP4xOFfw564j4gIeyTa/zKgyszczYDy9q5n3cZ8affPMPhFmn
611R9ra1QYNe00iNvUBHefz90/xbR+UDHhpMQ9xZbmxvQqG1PNOHwNMjnv5/7t1Pn/od2yrTyoAO
4rjIJSebt3OZMrmUt7//5r9xhQrjxze3Gz0fqynhcomUK7+2aErjStizZK6QI/PKq3po7B2+Eqv6
U+P5jI+JMJETjooYIWvDOFTr0ayb9iLRkVd//wt9W1x/5e7+mAejktlAFgrNTe64EQq0W8wjzRX+
9zbrnf1gsvPmvxSmXtjbuErukiW+07nSrF3Qxn1ErRJGa6Yzfp0Gg9HNXqfYkv381/3nD+NU27/9
F//+UlYU+2HUffjn3+7KnP//1+k1//idH1/xt+1befGav7Uff+mH1/C+v3yu/9q9/vCPNfvybr7u
35r55q3ts+7b+4dv5ek3/6c//Mvbt3e5m6u3v/70+jWPC5+ip4m/dD/98qP917/+RKyS/O4MnT7g
l5+evsFff/Li6LX51xe8vbbdX39ynE/oNxZFlBRSxxLPNT6+ffuJ8QmEXkkb/cXCdHRCRgsmnkZ/
/UmqT5YUynZ13ZW2hFf46S9t2X/7kfmJV6CtUtNZhtJZBf/+za9+vkZ+PhkciV/+/f3oW/KIfnhS
KFMKxzF0XTcti/lpwuKbfn8L1sRBtIWbG9sq0M27JDQXv5+j4gxlr/WHZOq3A+kwUZpPHnti5zlW
eX6UptXXdE2AOLeFq9tIMGb6mERRfMEgcPtcdwt4Wh5Gkeu1SMS0IxrbfpTLyM53pKQ6BmlUMpKg
qwuiI2d7G4J7PbqGXb4vpeoeI/Q2YvMM2V3aSpuuhBOigrZCW5k1lfsoHHk2NXQh+nasD2ZblGfM
8GX8i1t0e+oJNfm61IxHzV6keai6NjkkmWu0XuyYxV0aB4vYp7GpHUTCB60sMxmw2tmDDa6YB/dT
mbB9szTrYJPN88JTBtYw0dCMV7Wa4wdaR+I+sObR3bAn5r2NcgJVyRLWyDBb5Fc3DOglAfCWZ3Te
w43F9vfihIcQv0gxfhR5gsDalMxMyEuVQwDYRnOtVdBPXt7H8zXMW7IZgC3OC8dMB0+kzBJmz2nl
/WXYzf07HLF2Q0cvoBUSB+NrRTMHtFELBgAaba4voim1oI8EkOomINPHppc4pNftMs97G+hr088o
Y15RI4SnYwpk2qvyCIFp7RNdDwniMdElc5W4O9lbDemRxnvUZarmazE1GS7NbHaJlta9V7qid1ZT
Jzi71NEy9Sjq4xdIpBRwBoiURMtq0ypd3VqlUBuG6zVf5y6LY45G0G97LTG+VKk+PuvdYJ9pVRIe
rKgtr21nlvejWTTnNCQTaxXNQmk4FUSirZmwWOReaiZhu1KJbZ31IRp/lk7uJdBtxTzDtAhXRPPk
ZzO5znDwCW0MGlTXi1WpA0PUx7Vu99ZLjhJ9R8RRd2sKIvJ2hKqJ63jRqKjpK0JqJtbkXggmuV9W
toDXVanTnVuNYxytWsm90DUJtMkk5n3fLjL3ipFDikCR5jtdc5PrOOxHw0vdYToGY3ubiyV4cZsi
PdNS03xWTW4flDZnu1A2ksNU6u5F03OgPEsVTgszV1vlqqAgpCx0Ew3YpGzVstGhKwrPaRdj3w4t
cUaG3Ur8eUNzo5X2gpydrMUYa75V1S9VlQcIj2Xu14hlD7XZTKvGLc8EPTcGPQSlb83mZZdCcCkL
Q4XbRRjkzccgitd5L9tNWaqG+ZAqOprCGb8ig37Rtaa+yO3mtm6qdzdug1VgoGW6lMtV1a66xRwv
8zr0lVWZ0C0nMEjamzLGPXAZWDlXvc0kEXszUj0XyJGt48XmNHtd2S7bCb6988ykt84agOtRGCML
Qh4Zvrt0+dFRpr3mNhzuC7SKc00AD9L8IIfQRAu57mwmHqNjnoIgF6FFoxdqk/MCbJMWXkdrbOBy
DaMvacGa6LOayGldgoS6Z84yRdHW6Dk4nrIyDfbCGfkjeZElvJI5MAF3wthrx9HqUNpHR6VfY6Po
0R9p2uKis7gsummLoG5uxWCKtRnWAICNWhjzIsQ2D808hksLgnvFoV31HWrJWKF6o27kjZ9GgPBI
NGG9LpKu39DXXs6pJMWtkzTLiwOnZHgyboYD3ddyT5WbXgXSCTa0b+P3Kh6DDoUXRMsDcWUUwEwr
Pza0cfIWCZ5fEFb9XJmZ2NUpXX0MRWm8m4MYARXSDwaxVfK8scEajNSNdwxMap5M2VhcDjM9+YCa
N6/Kbk3GxHArMr150uD8z1Rez0jYiVLbtkdD4Pi3Vwng/ECZY/afGaZDUSfdHVnTBz1N5yMEZfbU
yLA9hCEjL5ZUu+2rId0nhZPeIJyFlzaU7qXU0nzrFIVxVRfHKu72+TDMV6KLYx+2Ybh3XWPYUIoX
UMaTqvdLWmkXoi1EdTC4mi5HhNdjErHCr1I0wDOaVM+B63bPimizhzruy3MOc3qdp4v50lkFsxdq
9J9qVaPdXIbg0UdSUgArJGlZftJ3xpp0V3fVWo48j/KlWPwx6OO16faHbF7MVbQQCe5p5Js22kCb
x2Wq0u0yEvCRLflyGywdO9AAiOrRcSdjPVdUZnlkGmcqA9H1+mypVq2dJF9Brvu9juMZmI1e0W0G
lLDpT5+t4ti46ig4N2GezjupV/YXfYzmrc3Yr2rt5HJeGUVWoAPrE81y08AIpNqQ1AszzLbDyOO+
amqaDLoNaJqON5HbWqHXaSQCOrBee3eZQ8wKDCmMgyB71Ah8v++Q+o4Lu97U01UtzyozqPtVERn6
PhTG13YWqY9RI/2M85Msq6VMqntwKQh6k61H4bt1o45T5STn0mlnx2tZW60ofwUwiLmM0+QiMZvw
0qhamtXBEoRIXiNoIwIiMgoYo6Gt57AorxWTLLv9WMfLXSnZvHlTiZtCtI39gJA03JPM9RVHQbls
46ClnR5mxqVy2/AN9SvcFHbUFTStJgCPFnaLdF53WoPjyoekUeOdYql5DSaycFcFJTvujVSguKrE
qu7VnGRvEJjpinDTzM+jmH4wetZzlEhp75qkNi67ukKYYhGdQjQzBlUlZ0tlDU9uEH5Gft9xazkH
hgUn6xzriQdAtytq/VYsnOc5KcezGZHNyhi6I1DRGMw1LvsiqWYJOsRNsiM03Dow9Nq+HQqyMLS2
Z6B24XZ7J0rYdFhL2n4G873APcOJotzZS3SmbZ3wMKW5pCU+JFTmF5Ycr8OAaxrIgUdrbri4jYLx
HuAa1+tCsh9genOVKXO6T6EofJwdlpdmBQHxbWauVWlpd86k1pM5Y2IR0rkeW4jqZgzZ7xlx8qjP
mB4GSId1MxTVVyC2dDuSl7AO2W7tQIjcJ0Tc+TLQ7fLr0MppM0JkMukMzOS2MeN6RzQWGxPZ7gBI
omNU9vMGFLp+wY6+HCa9tN/pemNiCKzLSjbxIdd43Bey1j/PxUyMTJw4Em55aI3ImwctPmRI6hiW
2nR6DwIxHpc5CWN/ImXvYrYbFpJxKj8DNMv1qLW0lekTb8d8jK9szC4bjAfuRnV6ulkSVZ33gatt
SUXNV3pg2kTHTl9ze2mvsNxcMDup2+kQf/6s479yOvK31Wynx7oDcZ778cimM/YBA83LbJDZLqhY
1sEfydQiyI4xN8e5o2IDrKh091KFYbvJy+6E3YexuikxExiruhL6Jqq1A2siPInMkugur1lXvZJ5
WfFKjH3CNsKtl4OCu9oQ8a/dOAKu+hkuxlFnQ9BO2CYqnKvoS+Y7myyYAcvI9QceUvV2Gjv9TVlj
WJ8teORq+K3U/Tr0jq5vloanUWsO462bWQryq1/ORaudY621bthMzmcMuYg8Q7QpscOxy24OAMpz
8iSeMfnobeCNjWXcZake7nA9tGwp3cAfu+RgWJV9wYrQra06zI92KAfIh9CIn5BpjKPMNTzN7DOX
i6YjAcGrBK2TjJ31bQn7e+R+tXr2XqBPTT0P16kG8O3NynbOTU3vhFfZxSLp+prCh3XTG3/Si+x2
0W2JL5uO1nORRvnRaLHIrBilZl0YJTsUsE3QeTarxBJFoV1ewX5b9qrN28D2aCnFyyqtm3BZh4uA
4kmDKnoUzNc9NFUF3B8R1HAWKrYYjMTdl2mWXwy0+DJ8Hvm5HGx1TQCuabABI0BnleRF/hWMQv8c
Vr0DZJKq5z7S+73juPT3bDtOyxWMcxqtggLpl366Qz5QQea/r5VIZetgGZ07AHBIyiZt5vXEGGg0
lpPbobZg79wMjyjJU74WufpqZrTPllXrFcGn81xJqzlyzGibnfoQU8yYehleydp6r/Uh3AVFqe2n
JCDvNtf2oop2phVfLCWswmBXuZ8lYXcrxgbfBw6mbWCRu5aS57bKTCIgTyWGUvmOA7GsgEuKkr0h
f8mZbRXvYuaQxKG2k/YkPE5E7FEin6wbrobZKnp0mzFbIYvfYc+fPZ0QSY1th0c5OG6apLuknMd8
NjpkiLa1nwttZ8Sg5hQjn7XAOKZWAl7EWKUFstGjuf3SlfIQCkozJkahK+J58uHCZy8to27PWLFl
nY/64DHQcPGDODdouA8dmYY9f+dALobtjhiniX4A34QnnV7zofbbPtrBZ0U+keeXS6/Sq9HICcWO
xHLOvWduKyNwfR49JDCOc4ML0pXGWQLYfxNUTro1gWBWYY3LrhY9hkkzhsXWqsLAkdymbEq1edgS
UxZcw2DowQrAfDZWmts7NUOuuuZoz30Sr/qM4+s0mYIK1yBZDHPYmZoKHnpd9k+Mz6iSVRRlFCxJ
Z8eHqT1RR4schutMJDlIVFi5D5mZT6+dEQaHlq6dtWuCymNDYz2FY9WH6w66MFnptPumM8GggRu7
Cqd8bRsGrVh6Eh4PDvGI2Sm7BVqpRk9rTFtstTRrz5RSHXtQB8aRNnT1SPfs1pi5FEXn3GE6sQ4s
MBDYceXspgxTRkXjvbZHe41HC8Nf664rXQxvcgbbZXcqnAvITWdHjVV03HJV9jw7jk1zbq4Tr2yC
4YU7K17FVgXtl+fRNrcnezthVVlbMSWcBNQ6SxY57ToHlcBz4CzXsWyqA05cBAZ8QeNDCC3xXGJM
28Z21wM2qVbdO2xcTJo0ZDp4QWKkP+vS/9u62nn8BT9m+d59FNZ+0OL+D6lvuoGx9/fkt91rM78W
r98LcL+85mcFTiGmueqUk2jpJmDfPxU4ZX4ybRASofMRLoDQPxU4Q3xykN7AR7kCDfNbROffFTj1
ySaq3HVJXhDu6Sf/hgBnfctc/aeYq4iGkOB7rsWnCMdVxgcBLtVlJFOcT9tk0JxLJYAxN1QV+aZY
kuQp5Pp6BlbN9sTYcCO4dcCmeTKNtUjrYYcE5u6hArpb1+Q9/AG55gHmxXiSY6EulkWY97EVtOej
FMaeZJPkcxlrxgU5GxMkWxPu7NxSAvDD5aFc6535NZ0W2Xtt3XcXdibknakS7pRYy4v3ea4oDR07
u5OZPhL7KeTZaft/1dZGyjZyKPwOY/M+rJwQBitIHphu3p41mhM88IxIzhMA6BgxiBgkF54PlGoN
SeN4SdIJH+/4ySJFDq2RUFKcXJkrK7ToAhd4hS/wrzOXoo1L38Qz7xt1n64NZ8pv465R3oDn5aLX
cU24AcbsCPp/jm1xZH9fnRtM9TubIGE3FmLPhSkHky5Pmt4OnejOy45HdqLs4qKWZrsPs1ZfK4LX
b7KC9X/oXAF6JjDy9NYFASXZBSzqsK2n3n3GW4xxRSsGnuvSxF1ep5dZZjQ767RzOJkcME53y6ub
mxmgZVJtSqzBsI8NKseisnXQdOgbppD3QVq9F0UHyVLAEMWrKU/HZ9FN4QOe5fFpxpF85wZ98KYv
JgCz6SzV4MW1nherWUgV70E78nYTG5F4zl3LjBFLkhgJa1HTSzLXo7lJAzO+KpwhOMZOPh1cLZrW
sATOzN5tcWIfRMb1Z5wWJuZSA3pYMzMaSbRJiqMz9Pm7Pk90EgZdMhK71HkOtGVxNHKmCwaTVd9m
M+fFrHOxamP1Pk9Jcb0w0+tMm2zjPM3C0M+1onucEgw8reP2j2pI4ge2vKCVtXYj7aQ6JKQAvGtT
DMgmEojbpD9lIiThPF2Dmn+NIufFslRwXjVLw0lXwUHS3vD7sTiVr0mJoznoDJ6XSlXW+TD0yU1U
OrofL+18NtWLuswxU5HZfY+HVo+8UYXDcSAf/LWhY7qbpTnuAPOiYzNX6d5KsrUMp2BXai10NMka
9jWIf3k5diOuHdrxJCVG1nNk4ABZp8ugPUHSxQ9hlaX7Ih3Hl9y1xesYgHNHVFh+iZHqAH7R+rh/
/NS2ruNJr29oeuPP6LPhNaFZ+2BNRrRtyt54roYqxIk3gFjNBjwzqQqxcW7mKLc+v1pdhC3+Wup7
MzwYEdjmoprq0ppiihCnqh4DYrdbfGyi38laagnevirdJOTIBIOYE2QIU78JNcgJYh5y45JOBQ++
6Rv5CeYivQGn6IOdx+qMenr2qbbKc+AKRGASti+xarf4O3p93UUduN2gGkBYKuV4ZWN2Pk+jMB7W
QUYREdBSfXPsGYDVtupzCStGzjjztfQVqZHZGjK4qv2iJSd2NdpivI8b7CVb3XZEdiJ/U0U2OY7f
fMZjjg8Iiw55mOyv+mKwzmWh+nWZGWLTBzXrID0EYfmVWYC8MWACw5GhhnizKM256FDQFq9hKX6m
PbLQLp3smd09PNPizUuIfXjIEPe8JrYd7k5CQY5dPJVPhhmFkKFJ2F9P2lB8bZFrJnbfoXwxG2uy
vKJqo+epdAzTY0HUZk8ViUKPz2SvnsE24KsjzXDudUFJkdb6iK9CLsUZRKdhe6AC857JaxaTg5ic
ra8o9LXPYTlJciSQrJ96ehPO2s0cjG2nmsAo59OiPQZYqWLktRibbjFtejnM/daR4rR9lq72bEew
D+xmJ23y6JJMIOs22OQujmXF4Gah1RdjltTRepo6Y1qHkiSmVcvcnwbPggOZRs+9vI3tgR3V6CyU
NmzQ2s8CwCvx+t62o0OM4bG7rSKhHeDNMWZgUmzWqo+QpZkuMN+KMGWnacq0fwYstGGN47Gg0u9H
M15D0EWIcxqhDKK1gtQLmDCKemtYAzVtqp+huth7+two4K0RT++NZhePPfugbYmSlMGlU6J6DD7J
bqAMg8d+dNtzXA/vNQNqX63YvTGnSZAqa4UmlUJW2hsoLvest/rpZXYGujvgufaL2QuiEk6a2l7Y
oQoAhDJ6U/qgbk654M4Vw+Y0tCMzxwaRqmYE8nL5Ao2Kui3+QAzQNkX+SJmTJ/d0NaYDRsrwQZhx
UaPsma3PbhXgeQRuf9MdniqGO04deQ2RWEfRaJ1reOqVhxkINxuBh9Ze0zLu+4Yb4alCFbqbOzs9
YIskhiGnz0teRmSW8xY5mexVPdTvoT2j8zS3oKFg3XCuFHaRPFlq4G9WmZOf2QTrFMRgxwHtdoS/
M0bz1Y8o17m5j2kyV4xZIxZgxTCbrF01oqVoYt7ss2ZkTAjRRMsfaA1h9rXWBqyvE8bli0IbuGO6
QM8ekyLrD6yh+qvQu/mRXp2zJ0tkpkeiloS1tzBMHKlZi0BfTv2zy+uvW6LuMMyn7rhVlqU919g0
DnKmzZYXHQ89PNjbIC7ch3CZtHtRudm1aUxh64/AhgTmG/k51GrQeGXAkWXR7S7xcVC1IUF0D8Ng
zp2/YHB80dISnopOLaN+yKu8tWJwBo9VUftc1N28eI79LTzULTRzJQOHrQINjew1jqql2mrDkDTr
pJvd1Evisqm3iczFUwfXe1sWAqg0Mp38UR8DCLFmHtVNYiRRuFEjgkUz4PD2urRMr9xIXyIOly2J
VYT8PRBuiREzSaLrsYsQK1ooTr8ZY19Pluwz54pqZ5mc6mFsO54CQ8fz3dSXm7SJMKGlRpk3Hm2G
U4uoQiHVYOtx+deaeKiS1OhXS08W5xAtBJNPgVLhroshMo+MHUAZIE427PwgsrpLQTuQy1PJNl7J
NAqeAnvK9rk7DREVOEc11MLqoW8n+7obY9fPKjwMXsKEtisd+fp8mQQrqnDM9gausLoZYe/4zkLI
DUCGwx0fEjMUR7N9TFxh1CuTJxxXhjWrnZb0+kYv9Z4MziGN18ki8DMoPYqABZvk0qbahYJzCvm6
6Kp80GoXWFqnS3BhNxNHxGVe7lGIiSNUmVW806fQeSWE2fiCDZI/K3ST7sHVJwKT2miOfMV8+S9U
h9mO0Q7uQyxiRvEttcbi18mLlFCJ82y2gsnXrGzZJiPBCjxpq5SaUaeFkyf0qLZl0rrHwJ2cwwQ7
765osnSJH8dR+zJmdLnxp7TGe1a5DPHtE+PMCrTwMz2AGU9hu7hHdOiLyDHEfl4yHvPfKqH/Lxr/
ANnQhc4pPYUL/+ffi7N/wTb8tyyKf6ga//GifxSOZAifwAzu+V8AjZ/RDWV/IjODuUYKPsNw5Gkm
yN/RDeeT4yiDXZf+raKU36Ebzid28rxK2BAXvKP8dyrHEwPyHePHl3Okki53uW0wc8R1PhB4cWGR
J+TiZGWnhBBWk3d6159qhWjohkuyne56rdFuCqODYiajoDqQSUKFRaRYCkWcZM952gyvgLDxPkjd
fg2XYa2WhfsVF0i3icn4uZ5sMd3w9qdbcKyuuHmzN7Dxz2PfElG1uNq6pnmGkGiWV5U7BndIpMSn
1Xr7aNB6fy0d+mn0xzFkBGl6NZfWTVpmw4GZnqTjGPb4YCS2WItkCbwQX63vkpFxW5buE44ousYj
IVpFWtOf0bRxKwqinyYpY79tKzjbub4VuRGdstVKgi4796aaNCrRvqtvzVNd0obg0+HIRtah0toR
PFJvsaiOj/CQpKTIIHvH8FgcByOMPjt2XuMoabvPPX33u6SX+ZZEJrRJVAS0usFQCPb5pOkoUIH+
kia4Fm1QGIh4xz2OLCy4GBcMGKuWDvCL8a0Ay74VY6SdiedSV64ngooWh0OIdOk1bF2tbsCxNAMV
PDha1h6ibzWd8a2+Yy46c5T+f0n4H1Fctn4C6X57PXiEyvqL91aEr9n3q4Lx8+t+XhJc8UkgIQkT
NekEc52Cf3+huaxPDkIOFYGrk/wNSf3PJUF9koBewhWgE/IkJ/2T5tI/WSbLjoOu4zgW9ca/sySc
SM/vpSTbReKHFmNl0ZkK8nGeB5BPWGeO7WwhrtJNLRLU+NCOfStOMTAV8x+Qst+Q6Q+fd5KvTKU4
IlzGH1Yg6vPgJJSprZ62ISPZ0+SN5yMGKJ0m9MRgSD+nv8jGl99qIdEHx/WSyOofliZAwh+kcZ8O
bLH8707b1c9/wPdQm36inD/+XdJhkwHOJlHWPkhqbttCTxEcuR1l9tIV/B36qDGZe7F2sjPPXHcp
txSLzSbAoOZHMzBP/++N9oE+cbk6dCg+IQlolx+5utRhiZiS3tlW8VRvAwJVzhw9Lu9+/6v+yhk3
TelYPHFc5Rru6effAbR4uYckWhJna5QWotP46Jgq3o1xVvE8aMc/OLBcpx+Pq2UIvo2pLGlyIf34
abTWdDEljrsF77M3kzMBxfWV/INP+fhc48ghrTrYGemEk8ry4aqSQYoP3ArUFjaAr5GeiNasvxny
+Mu/ffB4RNssunwfx7Y/fJClLRzR0+UbxEKAWCTvtPCw5xnFlZGkf4AE/8qZAoSkZHV5WgusIj8e
O/IZIahak/0iOvAqY3vhRSQH+GgI2QpJ7A8Y+W95xh/uAaoYxzBMVgTWqQ/nKsYutzQqVFtCQYjb
HEoeUCoQNxmjNvdlHqV+RbzMJiJqbgepUW50kQefoSDISS+mGjuN02zxoA0+E8nYdguE2JVtOJlv
EZZx1UlyiNBZC7fe9wkNFSPPHSSTaokGrxzrcVXhdvJ764R9YTS7bvK8uf798/dr97nLRgvEQ7AW
/8v1OALAjATGqG1I2MI+waK0nwdL4Lm07knt21Q0KPdFE74raOc14oO8G0PT+YND/WvXK35Qogt1
BZL7MSS/SUAcrSBzt1nWm3uM9RcFsKCni8he/f4X/tdPck9tDEPiq7U41h/OaVRF7YjggI2cNuRq
6h2CM8sczlLI9e9/Elfmv16wyPcCKcowaX/8/PPvlpY61w2NMlBtTSIf1ynwBHiLnK6ksKcbW+NC
kGw4w5ROH1DUnPqdI2qyEQsafGhN485tSVmalWI/2faWfdsjEr1aQ+3sRpsEwRUK/nzrtp157Lqh
PNBxj7dFE825V+l9Mm0yhwiJGncyoqXq98KdiXeNTHsDOzlvtZrmbtPUcm1YBOzxi7BonhWWVrAd
O1mj4ujBeU8Y3mVh6VTPbdTa63CYJCWlE18GILiv9ATzvUlsy1pk+EZn19KorWu1T+tOPcXGYl6O
ki++tGa7IsECusZtiJxiNv25nsynzapBgkqV7yNmpUAC6EwMnfrqzqRh+CT7onqlp88s6qguYAYA
e1ZFOTL7pBjmTeEW2S4WXXKriaq+dERO63ZSFbpwM6FuE9RWP+GOC84bHI0ESJDjMOS188UeT9vd
QBjPqZY8Fvia0L5APg/E6tD9bowLlUd+LeIdKWH5rhh0o2IFCOWNrjtkuRoRABKkQXu5DDN5ol1t
b9u6SWECuoohgKh6RESyx17KPjsbSuINPVap+ejSIADtSfu893sZ9GqFFY8RXPU4vLFl4piMRnGM
MO0znaPXL2oCFTlkhuwxG5LIobfF8GCZDjO1cqtqbZBC4T6wbZs7ogTd7t7JkKD6XgyY5ijDG9sy
j/Vg5+uyFgHwdniy5NQLj34vDfWcYM/MpJ+SgtntZOg2tMU537IdTs0BMIPXwE5HP+TcsggNOpBe
ZaHWV3I+YAkxn42oxl/uAGlcDmGNP54x33yO800GZPGYWDnNGe41BURDerG67IH8qYKAIJF8wTDK
d1CBxRWP1bUF0GMjBBQ2VuuILQ5pFs0q0031vuCRTjxChAtCQjsjSJBnqwS3ewpdKNMcusbu7NKP
STTkFgqFRzC0vZULGxyP9SD/bKOFkiBWEpDqmk29b9xceUZI8MsQCATdhfgX3P3hf7N3ZsuNI2mW
fpV5AZRhX24J7qQkhnbFDUwhhbADDsfigD/9fIyqNouMqa7sue+LTMu0TAVFEoD/yznfYbfRGlrG
0CnJ5WsSgLVzuveclvnN3Fj8vpmSTrvKQtb9cW37KPQNI9dnG/TByIjwiAVKntKhqR+cRiFzyJct
HMLs0TZRyUETHrY9v9ueaTUYhm6I9qFn1ny/cw07bOb6uLKqGeVVI1RFZD7PE4msJ2fpfrIy6jb5
iB5EZh0aroQemgLV6Q64WOXKNwo7Lu0JQKSlPbUzQrxkZLrx6ZtheROOAAAzvMiHrEHVW7gsfJw+
r9+JMUY52FhqHzoy+YRx4yUrIKzq21SYYl3xFT8kgWPui5ykS7VM2Q7HHTP6IpMfCOqHb3bUL/sI
8/eOJVC4oYW1tiFqw1Vto+KbKBBBZWAyhsaymQM6Mjni5JvEkYSk8NTjHx3gtCkahT4N46RIntJl
ck+dtNI7o1zsk5RD9J6HvvNkaw/pbJo63komkslYI5O9bXrtPqsHIENezq0QGilueZhKvqA4Rn+U
nVIxvYah7I9ha5ak6zBNVeM4IsXQzc1QeSEAO1fpdQsfGw2CLKpVYFRM3MeiRd5G4e14+rZ3mPIj
adQPdhewuUH6+2POeeKaSGhijvl813XlfCGBTR0KPONggUwkT6WOnvzO1RvM58a6wdZ7wyztdWR9
vmv7eo6jBilQ6l+Sqr430Z8d6qz2D2pEgZiUQOX0NO3gbBpbgu7Vz0ZBk2JQibSGe82wXueoY6tV
saZOsn4dov+PZ2XSTLuLda4GtlsrP8yqLToWRhdVq7Yt1ORVbw00FJaPGkXK6T7pQURspRuAqx5I
YYN+/zWz/qpV4D1SJOnd2GXdymu5lX3L3FmW722UaoE4NsM3kcuzUzQsbSxDxJon+C5JmneS7GFY
884dLBBAVQFpuihqe9wxWU6S5GzDOHRG5QDeHZP7huzoTZCky6kI3Ru40cheQ4PMNsdH3ajG7nvC
gjoOFquN/UVf2IUReKEaX63AZfuvDWg1THzpsg06Yh9YzMM6jq+cCsoqwJdP1GWsQpvc2Ve+k+xk
jhgKsWZym9dwpazOiB4y3u+bjIB3rUuIV3waPiIXHuddMaOXgl+zDro2MTegXEpYSC2fCGYyHVwq
D5UBp5WWL1PGigecH1yJLojkeEiLZSbvpmHhPPT6a7HzZoXdk+1QML7X8AMO/HF6NYRzvy1cyewG
3eGa7cw9z/413nPrlpuwu+IZk5gpWfmGJKE7QhFLV9ao9cpaFATLKs22eV4i7PKBGZZKnqRO5rug
cp8nGyd6GhlPTqUYEXPIX3wDOVuvE1C9CO2aYJX4iiu3vBI3Ard7sH3zIcj7bt9itV1FIKP2TMOK
49Unva+7EcsGXKMrjp5do+9xUbALtndpy9qHRwqLbdlDjRV2hRqzti+jqPJ1Y2bNW8uIe9O53iYx
luLUSJ4WM7iRLw4kJteNqvYadslTyqQSVvPsqZ+y0h5mc7Op14Xs9YpJm0nN6C1bwwjbfVi19QHM
wFeLqv84q8R6QDbSbSEyXRD7l0coE17cRs7MfM4ypmfwaOkXal+5AR+63HXhYh4Cr0u2RhPJe+1V
6ZbEnU8ZdeOt1Rjptsqj5uiHBUrUshjL/TyZ8w7iyBKzNC02Q21+64CExIhlYTmE07zVyVVIkLpp
cyw8roRwts2t5YwDQ7hCb9s5L0+If6PquqrKVTyXg4phybUf9mxXp6Sxy2HbDHwikV9UuwSv2AGw
ZLgSmX8q3fF1kXN7M7fzLTu5/tOrxXjuhCOIWKvmmN7wFpl1v4mSvkcl7nu72uymQ+0tu7I1nptk
YTk5apFuOvIRj+AZi00m4BWlo18/zf083EbQ/3eYp+b9LNJjA4fiyYUzC3Y5RC4GSeyza5Tm5L7a
Ie28hW43psSi2Tyby9ZPbwPRpN+u3KoY+LqPehU/AprWCnmkN06XOZMvoCyHVWuM54xFdlwvatOy
U1oTOik2FcRG2c7YACbk6FM0THFlMwzVIrixtVXzmnn+jcLeY39TJGsycKAGN8ycV/UMZK0w8q0I
Glh45kfj5/tRoXyvxkXCYOztvdMG0PitiVPYmcGf5J7eVWwoxyjASOQFaBQWxNlCGOExaudibaMt
3TvVI3RirEBoX9e0UOumS8WOUr7cYEFJESkWyS6bkLfhkkLaXXsfQ+clr0HNhlaY3M1q8Te60PtB
dE8AFNHyT8txMMbnsLCJw5o01AX5FuEnoNo0PsK8fbad8qbJ/Yd04oTKa+uumoOfaflTqhA1TZ6P
wA/RdPoj7MxOHIUXnHPPujEYqMbEDfTnShrwciMLA1JU7hLlhB/tHBTbFIw5p1TchGLawcCvX7Tz
ySiu2oZ2B4VaFXVcdaJajXiN+QL7/HEkr5enWPMkdfjsdwV/de+lSL5D3jxnVvXmArQ59bUrEVDK
YtvU2VOGdwXT0qMKizcU5gcxuFXs9c2t45f87jZqc19MajPi0L0qUdTKNsZi7eISBJ9uH5pGdVvl
V/eMur0DSu0fjB1w4i1rI+w8SJ3Wauimad0VWbL3LZuETZBxd4sI+p9DVUUMzbwD6+f6iP6ffINE
6V2tkh+lE9CY0+4/Dp17FbQkEMEg0PkfmbbEtu7dOE1qbysjszqi0DHZaqrsWkr53cZ1liDOqnBc
Q/wo1qEVSSyUzY199Yf1zUytIpKI5l65OyOlRehVznzdM6hheMOFXeALtGF6oLpjpdzyfdO3tmgZ
ggfiOu5cRyEFseV3mG3bfqDOb3yqz7pEYuYlPPNxxcfoOFgxODfgRl7AaGMpA8rRzHzvqUHeQRFU
8pBlGvGU2zyZRDmwScUBNRfitbCmdm3BxVnl7Y/AcF+QrA0x3gUJj7znS5PlM2yx8bLAZnueGYbC
jvWqPR4Fa+9qu92IJFtWAGWK93waUTm7GdRaBiLHAOUyY/nOwJmmqG0D+b2xxmnn+j7v1CwU+7/p
zrMQCqPsaTfaqcYv8gmcu7xFCyJ9p9ouptlujWge1jCGbxp6lm1B/3NUTUJxdMWP2fIiBxoMT4Td
a3b1aTRZggJf64duTNttIqAQTultSHl4h0pqBPCumWVECZQcFPAU/TN9c25hxdO22SBamcut6dMc
h418cchh2yAHNLcYxsxNmlzNQ8qfH22joXVpBLWkVOY2bYP2Y+ZNHQMZoAuf+UptFrF7OzPGHeet
eSu6zDyk6OCPdbdvFl1s/Ka1b8yFbJu0h75cOqH7DL/Sfw5n72cyW/batptplyHLeammatg3OOQe
hJjkDzBg6WVASniz5I6IC8cxdmLIUDTXM546sG633tjXG5cxzjrIMLubHbqRlaKaB15tIbc12zI2
xhR/iGnlXIY9M74Ypn5trsZMjIcezhSUZfS/HaViysTrI0nB3aKZW+JMUgoNtMi7qPAcZtUFtRJm
tT1JLh7gZd8/Iqpc3ka9rGmY/E3F7buFzDQeErfAAVZ4sNvqdL7kpsdm3i3FMSBNGwGT/y1jEAUv
jW9cEwm2x7RrwfcL0LAXatwBbslv3FnKAzFQmwb5xzbiRqeXqskMLtBLFbmkrsSEcUOiCwVuU4F4
LRFcTuS9HISe5G6cbX9XV4N34nWWzZiX2U6jo9onpQqPSRglzFzabu3kVPM0YA+swJzvZVNYsT8P
n3PkqFerTL834BtvujlLXqpcf9KOy/tIdYg6UgkSO4cctrVYEp4QfTzZtvfCy/bHRkYHslPcTZ9R
DvcoO2J01d6TPfekR5idhLdnGsyGGtk7uEdNZkG1gaKzzjEhhw2XDzGtWy9rk3RL0+e+jKm00Gy1
4mUqOKaTEjZP2IwE/GRg4pFc+UgJp4UcIUNF+FYz8V6UmQPAMjcvdtc5G9b5OEeh9UhcGdEP5CPX
GIoRqxLhmKvahdevEg2tHtkXA6YxAHHeyHPTYlTzo7k8THPDSLRL/E1ntPXOMIjYILsMPnNg5ccl
WzSNmWxxg1mtikmo+65619ynOl1es1biwi4KyYTD/xHgHqc4iJaYBQFKx9oRd5WTtDHcn/wMOhdP
V+QUBy6/b5HrC8Q9Tdrt59TJzukEeU23bX5Cgp9X+DiZqJ6qeayQfI7O9G0pTPdzKhT2O0OXC1a+
gDghx9fBqwXXpty4Kpi9jRyz/KvlIgtwXy5wrbJ0WB51HQVBXJmGTDahMQ9k1JSyegXtNW6MRdHp
6UE/mnaKOwGy05NcShfJn/dQ+CPPzEiWHzXyum0RWvM6JAx8YzY+FpBeeOhXm1M5TLdhbckjnjGP
MFLODu7VSsMUrmFLB6HDuwg0gESkfchfgqp95oXkU1017SvweufOajGuNQMaxUbALsOZskVqjAek
CIfmTbTCOQ5ebW8gTiJHhAiX7FGFTE/4NfRDmUzdY1467g3iLhMHl4tQlUiD1WIUTNn7SlSEVEXs
kIcgH9edTvBbDqgKY+RwnL8GmuOa6PF6iqGYGqROtx32wAzdJInnybYDGYd3qysxs5QcBqsAFhVQ
ta6vtkaixDtGB9u7fickJ/D8uR3rEIAFQO4aP2zS7EY+6vDM+Z2V29yW94nX8/Qq78E91Ltoymb8
6gwvBBE8N8obL25qeWsmOVMMUQz39WTcMnAPCNBQcT8lPHjZI2wNkGBYfEAMBVO6FsiMYxhccWRA
MjOgAIAbjrryxksLRGtd/xx0eZGtM+inNAjCfydqwN5HE8JryKLDRkUgwgCDjPe0lAn3f13s6szw
N3Mn+K2G7FUtnH422rmNYZUYmrX61L3tHpoZP2Or1TMEiX2HRnbHpNYipCkxL70NgNNBxbBqRqMk
8zJw983QVPGSld3RCXGNDCTwttN0TCCVGTFXi4XlMKs3THXGm6Av7B8z6NVkXRc1qAPnKr4hKGDC
mWyK4eQGctwFgWcA3ZZm+OkXE2kwiy1eGH+Ib2z0h/sU5+5rGBFtxCdPX8zobmtNMrijllOx3xE+
SSjJL1jqzyFL5T7S1nznaczaKzOqkh/MYKnwmZeLU/PLCg5zNTdXSPYAS41lY5BulXYoHcs2Goav
0jWteWNaGEkAgs+sHWuvQRLUOyJ64iwdvVX2y6MOz542uES8pg9DtAikAbXJSjVEmQgQo8b/XRZP
pT8lG/A73blPfbXG7MLGJcmN74sQ8Vzl2abKiOfpR9Xfe0q4uxq14R1jkYA/ugemlZLVFHtBgJ89
+mXA72Yg6+B+eUxnqLrZ9MxxIxuQAcRygLDAmwa0GhDcVZ+bxAKj/6jlUzPM0VNDnh3HbrpgvsLc
A17b0q91M7/oHq6EO5T2NpvytdGXBGOIgYyxJc+PactMiIUOOvvceAY3ma+jnNklY/cyzjOdHwWC
K4w57nZo6bq61Cv22BNoZicXAWufSedABQv6IIecoLcmgX3ZCmE12jcPA1oTyxC3ndurMcVnkI16
xVbFuG17Z2lhc9XMcZhoZA8OKh6EqyMBZoXfboY8Ew/gdWp8/4MPxlDg66tATVKOrvRoDxeQjC7R
KYHjP2Jj6vayTGkiJd1Ku4YjJ4+GY5tkc5jLvC1xNK2wzsuVqQL/lfelt8MV782iwmufHT0NzrVj
qS6JmQI7tnTnfC42OLcYKhxxVxHov5jJongKl+vDskQDDjDFSZwv17+K+1QYGjvsoxXHG/OSF28u
g9dhyYIzG6n2pkIicM/iMzj4tuM8mV6airXvAVKmqnZJnhiqPnqblrClkMHccTA54UyubRPTgPYZ
2o1ezb1VTC2hmoblWj9dYhOeRm7h58QsxFcZNJrGP+rruwYdMysGELN61eFEQRnqmYdkJr3EZDPy
kNdegho1M3rOndb/vqC8u/NEUf2oAg02ooD5OkJIfiXIaKI7HtP6vfAifRS1y783CpHtqjJomPBF
SMLkROs9RC2+mLhFwf7ei9TeKzlMNcLJzL9gNWQaEXZ9egF7ymw3M7bXqI5ns4+Gr7ax22eWSMlL
ndbtGy4HtTF6PvmCj7M8+FSS+6XJ9UuykPaDvJtbc8mT4c1Gd/zOFNj9XkE/iyehkRA4ecrFRgmv
nSkgbdq1jsJwXY6UFod3sMxfNkjO2GBuA30Qu3nfhy4y8q5xng38KAdnNpcbqVT0VlhgJM2gb1fm
EuZHnzGzzx5jEJhzZfKuGbJwA7RV9xYiij1qam2Kal3JXUkBuMJH2mfbdPIeObyanxOk6ovfSHPH
ssEArenJdEOZh1WPqImccU8L8JMHMv+E5N26ggFSTPjoOPDH89gn+qYVpBMFIVTiOWXe5aEJqxCV
1+Jh6cm1WpULSE5aKoaQrt1j7B9UdXDVEh7mJBuOuduKTxKNWAy21oDas7CCSq8AHVeP0K1Bbwxl
3d7wwAhhoUKru5BMJ9sdbfJsx5Pd0UW3tYeGq8mrkjrbD+wPq5DqGwNrdYHH2D2QYdT+9LqxukF/
Wx71mPhfkeuFN8kgxBm9t2HEtjU5X944tD9Lu1QucIZ2fGuQnrwWUqJmrpxA+usw70bcNAq84gqS
pg8w3o/WGQvSx97rUKTj5UdF6ia9eW/IwX1OYSF9Nql8tiKmok1PRQLKVBfIrFNrZuLelRc9quW9
7uF1xZLZ6Ug9RRhTwOhd7/uBsZ4XTX1NduPMhwz/ggLD8IU2j0XWuTXKZgu5uJyT/HaZBw9MC1tX
nhGEJm7RrA0n2MYyWJfMK7YKJjm9dTPBzrfR6e/svmQRLULDvJk6l/w2Lgn71hwDBnbBMCyx5wfp
+yhFUq5T2b+6xMEU6zrossNUy/Y+44vCLUyawVPPgnDZEOsUfFIaueiq83r5KFII2XFViaDYX/Nz
KKTAuOK6VqroUaNzZq4GAEh+HESN/31sIz9bCUp+jPWOeoKryckW+WqXaoOpvdFYEU6q5YeUoKDZ
HMMsobXmPqFG4h2wTLAInmk7jlzm2DN7nOAN3hJJJqlKGFkOcAz8BamIZZ3h/sOpk6Er/Z2DLxC5
LxNsG6KkZOHh8B8erQGD0Eos8NI2YIxrNh3oioeNm+WMznqr+EjAaR4CN/fsuEoH01rjMwSIUyXd
h1wClPKza3H8s7pZTsRKVTjuB/9Vd2wdWGLQvNUyqcu9rErns6gG87RIt6HB1Yu1W6a62TklzCkw
28vWr1gCcUk2B/gJLMoClmkXn9gqAigxjEsElP2HBoJIiWcb8qUIsnqtgLSv2kx8OZMVnTzDjY4F
aquL0g5BW7zt/rjIXt4sC5F57Grp8RfA175prAy2fTt6mzZb0zWLL3JdgCREVZFfstCDSdASG5B2
pBfW2I1imwCgfVFb2bRlb59tm95991pzuTf8wv0wMPasiNM5L7bVfo6eUzw5QQZjRqs2Yvjrdq8R
p/kZvoh1W4nWwHRk/50Q4yp/+KvkJTJdVFAc3Bg+XPcqn/hNsUD+TCAIHQuvPT3LUzrmC4j37K4a
RM65Tal6N1lG8WQCkCn+qarENPvvQWruv5NLIEFhC4oqF+HNH/oebRsg/VGB7xa09HeRL+R+kj1b
BPTwO0eBB0voya4BV8X0qYCbsHMYyfedSguYc/9RChLVwrBm2ClMwu0aFkzwvJ2tooxn32xblyZV
DmOZ2ifShxNV76XvtkflXvFAfX7b2xOrCo/ZoINSq4pHskh5rlABc9ZXBoPt0t7VcwngG3UQNFie
ZaMcCfVR3uM80hx4arEuXe5/FA3Jf0YwDfvO4IFftE3Qgmq5SqXm0Pmbj87+E0HnI/ViZgstFP4T
y+A/RGw1lxIfn0u1joaSvsG8uIB72ngslkNjIVlSC9oMJ2Lvbi3jcsp7MCBRtaEKuGoMlI0rP42C
GG8nUbJj7W+IwZsOZgu0HNPTaTZH+t0KtBqw5mJP+uPfhW3/QWS8qv2iq1CcHBX+jj7nqpz77dLL
OUvEFIHGN6WAuAHkXleE78zZSRvDvTVP/nricI6Xpc+OOIDGn2y8xoME87FXDNw8qym5xRTO2Abd
xn8W8/y/sj1+OdcPuS4DAnH/FAmmzPB8y6+jXYl39MpxS6OzmTTyb17mV/73H/cfXySKR24BHu3W
H9+jYGHs9gn2StafC4HONtlkSslxPc+V/8OmgecZWcJgtpJmTaKVf59ThMKAVh2OpsGO7qolLJHN
cLMIr6nvMHKaYBgSbWzc3HwUQ9k//+eP5hdP+Pffmee1aUFnRDrp/hv3NamJmoEE1x74GR4K2m68
ODAZDhZJifGYNuQ5Ku8ImGjfCGWySFG1zTjD9nRc3MVfI2ZYPr0ims+/fq//9W38z3wbPCH+e512
nL03n3n6LrPfZdr/cnzwk/8yb2DRQIdFhxPRkXD1c1ogwIDIiXkjAPBqglm6qjHx7/+XdwPTP/GO
OPuZweP8+EUK6P+J3eQ/cQNZERoN1Km+ycX9X8aSyz+vp/+E3bR48b8cVai9sYEEHp2nT81vXxXM
vz0vRrD/NQI0gF1Kdk911wavXWClN9CKwLUUkZzfBsP8gRRW/gyl03zHb4HXYMqycUNn226CqcVf
6RnRq2QFcpzAC6+Jpag+WfuOL/97Mf6PHAPwH7g4/vsr8fG9zqv/c/v+Of5+JXKIXX/sn5dhaP4D
uKsT4A3wGCz9ZhjgMoQfYUe+/8su8Pt1aDn/cBEe82jisRQg70bA/q/rMPwHVw2idt+ldfeQJ/9/
XYfRH5chxdJVaI08nVezqSH+ehnKzglHf/YByafiYiX1hI6w+858K40l825jKI9uP+s9qe3Z35z6
WJ7+ePEQLauPIYLPBFg6b/SvL46Nhn1TICrkLobeJ4N/jRnGUSNZ3K+g8JAIWxX2Oe8RbI3UROeh
tViCk7zIyT8zF8wGboUVIRfz7eQByiSc1EOJoeeV9HLn2MnoOiPqoxuHAHQe1QDBSOJjYL9nYLhO
pAi+TZHplTeiDgG7+v6jk11bmNTmDyQOjjnIrKw7t7Uqcz36/Q3uJxZueTnELd3FFgGOYClQ9Qgu
XW08WmbXs0sk+fGbXFL7DOXOeAw0+0o/bKO7a/YwTQ3T6RRA1S43jOUJtIa76QJUklZB/HBW+YTo
gmM7RWjodl6ezwcNwsKJZ4lKbwW/0Sj3LvC9M0oPn6AKIx/VwQAQ6py6xOjEjvFUsktzSNrSQP2I
O3gJv4fXpRXaOmHfO5FFLnr/C/A5GHxqjMX2uAj688DOZ0/AYlZ/q510+lmTwv3WuH2PctEzmiU2
dcOPRrZSryqFPEVagaofCDd7GZn3bEi6oH+wh1PYuCeWyGKfonOhCg7zXdEZ3/3RJBJrJKZtTe9G
MBJGZVRgSFHyk18487DX9TzfjqIDQSzL8jRB99hVmV/u7DBF4FZ0YXtuKL8PWTXXe2fK1GNKZuku
Akq5zuXIirkPjY0e+bp7yv13WHUma0qB4igK6nlXGtFdvXTqHJV5ui0ZZ944RslKLiA01AOgiGiu
D/cWU89NxJ3jkTI3WuclV4AQa6+mhy9UwjjGqPj64QXgDRbuISWzd9UYiAUngAJrkC39i59a4QuM
EfOGjCiuaaiXcAccYiO5zoeUMXJHSXzjLDJ6nPw2Z4k8DmvVI3dxzLlfe3UkPCy9GeSIBTdaYGvC
qpnhlA9h2kfWevLQK7UEkRp9ti7bjnUEvhf1vQhHx9oKxDMmH7HJ8K7siYDdZJYCMQrpA9K6o2x3
2tZ5rm/DJnB+NG4y3JtOw9w2QJp9tf0vDzQbwU+NQfghUH30NAy93a2WbDS+F7k9n/Oxdh/xBtAU
I+DpglsX9zaDmpmTac06MFFbyzBQVUVeQQgG4o50NZdd2h6GMlU/xDIj+ZjAJp4LaUnre4iTf6cD
ojaptFFCR9ovfvSzrC6qLmBypiMzo9z2WB52B4iRHoop9aUHFjC1nNW2bBzniz22+MznvtgvaDNv
OqjJBy0xKFqJIKUj7ZzpFpCvOJleLripZ2t48pUdfRSJkxyY9+ir19dglqMU4at97e1Ls0OvnFt9
f6MtmW0W57pXRyCNtkdZt2arkRnrqdmOCvwqZiBroxA43uOIDx+YR1vvZM/4FyRu4y7JEj7COeyf
UJ3Bqp168wzipX5Fpt49t6zBnygc3EPWA1ITYhmStVdOJZqqsVQ7QS4GsTxNNfdQOVn5f1S53aQn
6CMpKseiCt0nu81btUFQnbyim9slxZIBOnT8YO8u5qjZHnit3tuKsehqyItl0/rwwdi8LcQHadKP
ilFSfqdm12AVnRfAdpYRAchjivfOlcaStUExwQMpiFDjGTlPY3L1ZBpnbC+KLfJ1NvaOM9Ybko6C
6DyIpT5qZ7H6LQMc6zqSt8ND0oXWd/ja0WWUejp0JtCG3rFlsi6MSRls4AEXb0AacNtMuZG8M9Zh
BYp8gXBBxo3PeE6G4JDYkn1QV5T6m9UVwAosJ4M3kubze1PM4hZAb28fM+Svm8lY3hbGovZ6YZuz
I5bYeGhGR/zskmU6IHXPNrjewa2ZI+5PYJHL0K2BPjavXPw63dR6mtMYmG7k7MpkAF7OkAb1PNp3
eA/MzMhIG4eOIZ6rhPU2i8lZT0NWWts6u+JD/bEb3oyGpfEmKIX7wkrafO3YfMRmp+2PfBzgHrka
ftHAVBn6b3+nZj/67B3d3prdHBU7xxsQP1g+a8u40km7W9J58mL+t/zUDR2Bt6kInMdkmZmyMaPL
61XrDt0ecQO/AHzbEpBsphXcRatgx8ewtwZT2JdC8MyksVth9M2rXVteBW1J6o11TMNO/HRYkk2E
670NDaACnDtU1u0zRw9TffDEwUifPYmnMh/0qZRFRExX0sSKne3WLasZTR/LT3p0QrDNLhjwFEzk
8laZYyCcbuvm0iX9CIWd20EYdOdWuXgXyBlZtkHn7twV0+TfWmRpQsSzm3O9SMXTVGenOurULitH
koUDABZNjGacmWMknOzewKCNR9nUIGCByJnXGx2Rph6Ae6ZmFH5iEeS6HdEvziyro/5LLmZ4pzU0
hdgcZrajZkolFJEo98oewl2HZjt8AyCxcwZ/vmTKiu5h56bP1uDBlrORUqGgINlTZDY53A2JiiRP
yDMyiYwopp7b1vYN96lqu+kDLUDJPUPS28o2wRsRq+ETzIvs3GRu58mbUGdk4TabSk4cyGPX71yz
FVQQdoZ6r1C3kxb8cOZ25a3dGtaF0bxz684WhisVGPn9DOscVAlDxyxZNrquazSI1f1o4NAyWrg7
1GTb3EzZ9jnOhzsZ3lr58q5csB/UC4g/txC8Hj94VZvVxA+3aCl16dtxzZxt6wqHNVIIrvmisjYq
Vn5vOTWjaBdgTeuL9tSWYfjKKad8strLhTqIQuirBkNxu/Rirg5hbuh7n/Ub+EMHz+ZKsStIYfCh
vFvZbE9XzHrkz3FhtLsjW3D4GEPYWduawW22mqQQ+2CyzTNQ2gm2LRHfaInYuXg8Wr2mX0V4RNQB
1aG4gic01VpZj82D6y7dqV8GVj4TTJZrTC6JlQDw8/Fl8Hr7RXVIc4I01DVH6NwhEgAUj0o+JK90
U3Sm/6FFGXxzZaKeLU1JGXdTXh5TEIBOPNhUXxt0w+0T8NIeOTfLSpZ0aIEuXS/0bWlKyG1NQNwC
qWx7E7AVsanwXea+lGy4SOxo18T9zYIVWs7EpmTPyZfHA1zEaVRBBwduL39GJYH320nbtcOJXiwP
HjkUbF772XbjBqWItzfnVp5HI8p6yMlte86KWnwNAQvyOCWkEU15W0LESdiqIiP3XR5i+aS8/iw7
Vam7pnbRg8vUYC9S1dOkYZkbC1Rscw6bdZFafOtiYdyNkyXKq3VJQextPXLKHibsDcZxTILUJDTQ
tqdj5HekolkW1NYQduJxnKDRXNlUMxWwnzDSX9yS7W8RwXalK3oUWtkv5I/5L9zUxXS0XOmcmEDP
V2pvUfJIL4OnRSRTcyL4EGU/AW8d5rM58hyWOZGkZBWzOOmmMt5Dpt/zOrkmva6w8UkW9SgSmGvT
OUzbwfRHyYKG2/VIXDxyqGoqniWqwfwMw8wPD96g0kPVynGbyc74aVpFciyv4GLGp0ZzWGbFo7gF
wfzqKNcEllIawwvftrgB01IgR6+d4eDxMCeKpbJP2k0lhU4ynFkTQm5CM82ui7e+Wfglxnj23flW
TF7F2iJL8SQVlEcELEWd9ziYdodI+LfO9V8jir+Ypq8D6t8nYXSZEWON4Iq8QDXy5/S8scdhrHLC
61jbVAegeD8gGz+AlHl1ovrB9hoO1iCL1hSZ33tiIP/GzPnnkPL68pAYQ3zkFl4x848JKrYrG+Kd
MWxkgmPc0KI58+FXp//8Ln91tH++yyuyw7FMXgcu5F+bzqXXk620O26mdKAnnEaRxsEVdrd3s//L
3pntRo6kWfpV+gGGBRpJM5LAoIFx0nd3ybUr4oZQbNz3zcinn8+7q2eqaqaB6ou5G+RNZoYUoZBI
s3855zv3fVE+NdB9Lb9KfkE2NJAwIocDMgMR7FOQQXdcQKFfQNwOz3nq+tf7twwGhGk9GHOzfFoW
jUKaKzJFRu7F4Wabqo52/38e88/MYwCxMMD4z8cx/6P6lXRf/3Lrvn797v9+OPhvn/nXiYzzl/vY
gdkblIS/QzjcB4MKB68SPlJVPogB9l+pLsL/i+Byck0hmB3eR4Z/nccI6y/oJ+7Tf0h6lEj/pTSe
f4iOY41wnzFCImVkiRCMBu7vn07VF8aE93XYdZgQ+pcEh+8rzLqqCbHoqEfHTTwkXYIc1IqTfedg
Ht0WQyzDv/m2/V/OAvYC/7iT4cu4jyiRwLAktL1/+0r/ZkBpykmlxuJb25rG5z33OHsi5UfHKS6t
1zFP/YtWSB7ItiojkrebeqQdgwbDGEMe+F/pjp0tlAX0W99lgoq7Skj6xolEbENJEhoBDkt0XEkN
DbkXx4ckSxFeZ9xrW4eE0qekJ9cypdiDal92gdEaK6HlcRFtjQ5Lpy3dZVtRUAaJOfJmWo5LVCn4
6C2Ue/+sxpzsG9+a8iDj4+9eOS2OHSyrL/BjRG5kzgPJncaBmlGisOoH+8uUZnGVBOqgDmwLVEPa
bLlXhiAlAvuHbQ/rL6Sw8hXtEibLxZ5OQz73N3QJ9AJ4iFJ0Z3P9Y3C9/jiqqXtMnEGc4GRaoUq8
cad8Z7jFeLZCp7JYpYOCKurmoFMCOksAXG/QeYoWXyPKEgdT26cALx/UyrTektk3diMqLbIx2ACu
k21d2iQ2dnyIuQeCqcJ6TroDglT/Ehv2fJzYU4VcX7tqiZewddrxvAxGSuKyE0M4bxvYfC1ikxEV
ym5xZ2xMg7NsY6mGV9kyHfPT2g5dxg8vRTXLT3f1om23EDlpd6Z5aOhK+Ku1NySoy6ZUxnwFmpe9
jrM2Pua5nZC5332NDhVcV1vptsV/FdhrN/1qy8zbqjKvnhwgh8AXlTECxC67UxrbTiiILe/1fHWS
9uBVxtlrE7LntEEJarqPLjC1hSykWAQr2m2rxFVtSBLvXYJc9jl4e2Yg6h6rS5yOSrAqRmse9OhH
etXfijFVNB204NhJqnAuOxzSE8IAWIXtQ5Pnw2cKt3xf9UNNYHOM8LgyjB/uCn7Im6rloUSrEfoz
z1PKY7VjK59vGxTn939Tv2JMnvsZm9EH20wLUJ6YlmvsEFuDKk88mRpQ7lhO+tFsjDVom0kDUGrA
iPnVY1oU3X0CtO6beBiecIUprGHO+uQMUbZtVwOvLuFYwYTC+ZYvafXISDXe2lYqtxUqoWPSUvPJ
hLQdgpWRzrhDc6jnpnkvGIvw0wTdX0EjQ29e/rGBp1OU+uVr5LjkXxNFG/J7sHBNWnWYtL9edKKd
I0NOb1+hf9raTF2p6Us3DkrD97cdpvZA66gJO6D8h45B4jaPF+xkLpoAGHReJ3cjlmWI40rxriFE
CY1Gs7iuyqU8ZGTSoakGsDjaWj2mvWE/T5p0vqp/0M26ooWt5dWrnWWfUdqDXlLiGnvJo88hs2X9
+kibFRTJrJlUVOMZh3v6c6m75A+S/DHwC8I1hb9Gl0XM5uPq2i0gZeEf7LFQp26amms1O8NxBR26
M1xXPfZ82XdlXvQcI3L7spq7/CqDGDXgsv3ZwcF95mSGY+jW3XerHdFQuRlDRWjfSdAQQ8340IlV
fvQcCc1DdiBKEQcvGDlwj4QY9Mpl0zftuIuSfN6BLfcaotLMuWLUGWfXkdCBMOmMbJfF5PpikaM/
JkInCUTVuUNotabNQnmcELMLe2abnEbvuPujR2Ia6pUq1q8t+s6Cn7NPDqn8VgpvfDKsmvrdIhnl
vW8b4glERKrO0MGAlGq6RnZCnkaHnY7asjrNS5l8a0Q1TYEXQyhmn27g9MOquVvJ14mRUQEqvSRN
Lk8uIilnazf+7yUn2ffYVFW7ncehOnlFLz+d1GecmyHO2yB0BODC1n9fOS4zbugvzZ+UdrAhoaAb
/rg9Q+hoWodPaGbjoVH1Y5UYH62e+0NlmMiHsemyFk8xCzcFSqvNonw8PubqfMMOjMBJYUP4dMqu
OPoZAEffnJkMzakXLCW6RnrxuQBBFtF+E65b3EQyo3yhMXT0UWXL5F+aMhL5b2XIfnwWUDBf4qa2
9W5ojOar51X4iiKreq+LxLi2sapIxqIP4BXq+NNKf53fGgyvBpdUhCZsmj7z0jfOiyd1BGZh6Wh7
51UFckC+aKb2bAfI6e1T3HT2c6W9+9CtIkYAI7b6IxZLPnMV9t5xdrMiexr6nokpOp2XsWspCcTI
/NwWLQTZienHHzpMG3Ro6qqPqtX2z2X2liPKN7lf0kmdFdCl38xQwM1ElpkdDE/IS5Q5OtkYEONe
rESqa6X5ruY5IQEAABC890arnvNItd/o/9pnh9P6ZSnb9oCjetrFfUwGa5MnntogiNBXe43sA/kP
8RaRNjI0JwJgigj+HTBJ4T32InKz05Q/w/z2zljG+o3j5HgHGBjSrvtma37Ufpd+m2XGQqBrYDVv
SuRW9jatyWcjc62tHjPcy3eRLlT0TV945rYgfgyolOWLJ1HhKTOEET9BUJ0/i64Rb7Yx2y/1ILDL
iZ6AUVvXCJqN+K1i/nukqmG9ryZ+C2qtOSPSoZvCQqfzvq1ZYQgXHyxVmvEkF6vei3bsA3yi9W83
1dbOm9jdBDiXp7eO5JAM61BbTRtV5fphyUtr2K7rYtkbWDjMgNCYopwS8xiyNTlGfa1/JK4xh3W3
JB+YF/ura8MVNpJEgERn10OYmxWsE/dnmbVEOmjvmJR6fQRDqsKu9XvMzyaxG1Ps7bXOcOtUZV72
GDGietBnZm2Gw+BiHq0DQ6d1PvV1lpwoZ+oQeRYRMZQN6tUBE6sDFMjVjGDKFbe8RZqJsZNHYa2x
dWSd3T3zWTuZLSAbxjvdDvl6iMXOPc9xv2yTeolLLE9IBxsWa6QeyOUoMmvYQXsme49t2q5q70wV
ZJ/7qF7jx2ld5I4gqQUfcOddlIG0OY07tmoOzM7fWMx0V33CMv+KpLshReFkuZ/dNNsI8KZo3Dja
6H9QX9a7QcgG7QgErA8Dssqt6NJsa+dRkYcFcoCH2uCy3DMzUVnY5/7eM+4gAlJPYPpJ54DkWO2l
mXohEN2pfajJOQ08OYqNGEvoZZEplluvTbzYBElJAlhKjK0yMSCLEPR4TnM/f51GpOdWQaibnPri
mPUyu7Gjt/tt1tTL78kqCzeI6zn7ILUrCitDEvnjZ71rB5lpqyaYiayDblJ65M/pqjezCLIuYMB6
km5y9HqdBkDc5z6ICAw7SD07x7Xump1qu+oC89p8YIXaWtS3+buuE9s6TfHE+HwWbnTwo6gtDhkT
ugsIy/EuMgcSxpAEIYEwDhOawR9jH9s3Z7Z66moCvF44bRLJgzuOTZhohuvdEG3LKZpOOaqhLkd1
6uYEuWEc2cegry8IzvqNNTJhYbA89PtJDcYJkO1Xa7Nsa1EBgotereL3WLkxw0VPcvsPSC077dA9
jEu0hAz6qqtbgL7ojcl8Z9fr37jg2nNtzqwSfWPYmY417hxt8UzoOvojC1Vsc2G7jxAzLApod8S5
PbuCU7Qx3g21coYsOsLO4DeVuc8R82/dQrbP66yQ9+rBsh+6yPSD1F/1F5x3clQ4xVE8Gkw/B0lZ
RiQQ7t/+d+eQgAOTpQ0JmGi4OWNCtyRwKynmh6ijKEhn+2zzE9pmS+5uJ8Xkr4FOulVcNJuiwVtf
ppF7XYBwvouxI2dAQVHBkrEvcAMi6aa5uXQyzs8q71wOEqsYD+DWKdxiwFamI5cnR5OE7hTVuaiL
N2WVv43IexwmvLa5SPKg1bm5S5OKZXDqcTNlfVC7SGqVGNbHom1LBs7d+FhTfW0GqoBLsubJQRFY
fHLFD/I/N8MwEBFgI0CP9XKwDSehl1rnEOtbuRNcSMS0xAv2ARZ5B5WOgGos1NnJEVg/MzOFNzs+
52uqrrEbi3PlMZPPM3vOg7WRYFjEZFAykmk0t7HALz6/NrxMO6eKIWF4SGnv6GEyh8goxVKijlEX
O2dvGJ0nR5TeaTKbaTuIzA9dg4VyxNt+HhcXUbNdd4IStDLvjyHqLfKDtgZ7w7CW+hAVSu3zLj15
+bA3E0iAXrInaYZnegkIDSDDTfjpKSpFFnRWps8dWomQnK6aPqsmD0a4JaZdUN5gEGTXBTBTHdjZ
+nCPJ2tNaojVmTyMvEh+YyAHx2gtOf+YT7+zc6yNICkXY4sU0Tgncet/mlhr9qw2xEfnUbL7bVyc
GrzOoTDQ/xSGdLZy9qfDymr0u8cg60O5a/NMBYxjMEqn97yKCH2sGuNZTCM01bXNOSulx+AXetal
G7KEWMJ23ZoUbT+FELTQooG26gz1L4BHWM2d4QK0G397JMPFjH6YmrvPXkiyyGUwpsZrm40G9O1J
bRpI6gfCSd0jNm//OqvZf/GibAixLGaI+ilgJ7eyt72NpFS6zQU2Bp57UjqUGWFucugizfI5m3RO
nVB1X8RhO2Fp2FGAacI4svQ76Hw1TqbNjhqIz/Aw+AO5QH7+LGt8rx4+ZcvpHmrrowV0NOYmTmtv
Zw3qG0GZj9VsikOe6BfPhwRglM/sdDDBivu1pEgRFGQiUBp+dLH/SeJoaLHG7BhsBEWXtyFm1OSZ
jOPy4A/EK3HNVBcnny2e464++l5+9oAQnmLtrGcFaRvFlVccytzbOwvxWwBgyW0zSS+chyLeE6z5
cl+iw5CtpsAqaPBw7GFrkpThRwB66kDgeP7TtrL6ko9utgZA8BUrV85IHLMHIpHtEMaUuScINNrV
oOzPupDl1rjnBgKupmGq2gwwAp6UjafdcO296Yi6vNin7lGMyZm0ssNqY91oRCrfmsYdLiaSkLc0
cxgZd6SZbKW1cDHiKkQIkEcLwgovG+UOE0bzjr22YLlHi7IqZMfl6jfnpAaghLr/lhOAmi2Sj5/U
NrGy01C2vyvNrgoPMhbH2DOrLQf8yWw8MjRFuWPE1BzJXL17/HUeWnm3XFfrDjZyLfOnzd8PpNWI
nsat9N3847XHKfO8mx4ruYsgdoUMw7GYFc12arW5U+RujTarglwQx6AM83mKsp4OR/vLU2lKF86v
obrdQDbnfk4rQASzybc+d/PAnWYfS6iBDKHp5KWsHCdUjZov7hJ5AIBr5D0Yxld8TgQ9QOhwAYW+
YKkN08S+sRc9ovL/gTb/9xJ3LKzMpqYQt1ogmFLh3+0B+u64Ng3oTFBFEcOa29oo54cxnwRdNhg5
bq5DTm6KQNvNfpbdpAc+xycIzat5odxyy237W80Mkyvp7wn5PUhDnKWHrZJaa9dO07fRmtkcaJt8
qZbr4KUT5vJgR8m30bZWEqWNdzv15WOZ6eHLkHZz4NchKFO2uDQQR7ulG6NEMV7wgF9ruw2bjH0/
1mt1adm/E3ZsfXKAw3EwWwnsrBTkw6kl9BbxXrr4YTLldRAWkh01dNABEFhqMj3Me1YIV/PGd7Hp
56MHO6FUeMSso0rSY5nrIJnL11axlM7lHKTtdKdE22QdRezMyB8vquXTaDyHtwcXZQpBH8uXU5Bs
FKt+VzjpNYsm/PpiuM1dQalnp8kt6e23rMZq7Wp7CtFpUS+ySN25AsCE3ac7DVkkcFKrYJQnnAcN
Dyr0CqhMrKkRV1Rqa/VIhLo75UmK6eTkF8M3z82cpryO1cuYgYOYqlPk9/6BZeSDWn2CS/px9MOx
FuVrDPns068GMsN6kj5oODZlo+EIFHqP78BigYuW/ZgO/bgzciVgnSXWIe/FdGvXKf4eI/EMeEMh
ZfevNlu4+YZgfxTtL5c51ytAoPooKH2PCZOhu7rmYqiChlrdrY/aZW9B6iO9CbHgJeOWcaybd5vQ
gEOeLRggU8Ozt6Jh/1kN8KDaZmkulsvEjLYhIgRpVS9rAqMjMld9rdGqMcu0VHtUKhtRl2loR4ib
DbesNv6caX5Q2FIbK0q3ruUu/qZt7PRtIpDqgedsa4GzW1TUX8hewAmcmUy9jmtmeQATdP/Z945x
xLqRbmvcu/hXV/dns0ZoxPz5xY+yl9Kqk71Lbuy+85v83UBEFrayu402WSEZfP5tDlY3NCI4GDH3
PHXyZDB8xVVnETYAcGnakIu0XYA/xRvTIF2eRS1RvvP8TdaE8Cyc4keVxs6VaCtMTxN6uiAr8uYe
jMvP7DBr2yMVoZF4tFzVuKHM+LiIxL8wqRImVK385TLq2vRw3W6VyvRT1hO8AGmLeTiS35lJKvZP
y4o/8lXml96rqxNmMt1s+zQjccOIemyziDQyslCT/DuKsmE/5Lbc1VSaFFT5SPQ6N3K6ml226Vzc
PpwLSyGuvsTgfZnUcq5kZrxHFuv5rKH12PaGEK++lGLBXJfnWJvrMrvonpLMjRpxmGZhnjVR9zyd
VUn0BMoeFx4XyhFymtsDn0KimJUOF3p56x2ikzyKQbV/+qShdIyc/jIT27KvDNt8sshaejRUbe9b
OBr7Fqqjx/K4Fds4Hbl5WaHJizkN5FfkgQ2ivttkTCkufietl7G04lOxWNYrB3/1OCqijqaYUNSN
2bXt3spKu91pE+jdBmiPDmj+G64+wrMXp8X0i9OPSVi9WMmXpzgv8HPN+RuGnOvoI+Jzl7m6ZW2t
AqGd3xEREz9MW+Bxgqka/YqKtHylDPmW+RIXcN49WWP/aiG2DKf7wGtc58OwLs0up3Y+a23yuEoG
X56qpoM21uqrkfCTvMbJAsg15naq0ZbFjAfDeMnXG2nXWPjNAtf24nqMzUgI5dVyGNApsIZl7RJ/
njUPXk4kR9NqDOzJ8DYtiFlNq/tIRdsGXYotDD+feliRCT4vRt9+d2KMzJDj3RkR0Oi0wejg1Wok
jU0cvSaJ7x89/17ukJVFyupZp1nGgaez02K5f1LK/42dlUOYM4LiJNCyCabR81+J7OAy6ddch+Mg
qgvSotvorjcVK/8pQdUYsPiEuzNYPwFm8TCiq73qktq4y1b73GeL8TWpON5Gtf/dH4R3UA3qEqok
J1imgiLMtxswilGRHfVkiQO3Lq2xdUqpmt6yQsgHS/D4VS7Ew1F7xoHGjvDkrngaUoVYh8XUDmnV
RVCo994A32llKrmdrLU/AvAwHqZF+wwxnNekUfxxOSn3TpcTtmqoCUZpxgi/4y9fNMEg7Edjbc0L
FF+wgxGxzMKLaYrz3GcyRKgO4UnPwsIeHiEE2LjzLE5W5L/gu3TOSVWRZ4rXz5SkjE6uv9VD8VoX
2QMyEhwhqnHuTDR8ZmsugGzIEdQc5tthRx4CyyRcBvzVB3/iTAYPUZ/92h4SpgCdw8M8sy8WigMZ
/lLzhqRT/QLexdSyBtREYbHy45VkxvIYhovX1IQZE3NOUHCVXYekj27duq4nkoG8q+eD1iVr6U3G
6kn1aLFGx/9SmTgXOr54TLv3jiR6p1vsJ5+66JwmY0DgXJiW3TuRoZ8SUNmm6ZskwJUAgOQpQoAd
rixYXjqYNIEFJePZNuvujNuUfJZYJe8SCc8h72ZKGt3XIWAfkI/CDdukQe7m3bVjkBrj8Umza7rG
c5JhU1znrxJfawTdi2W/M3TMXtDUQe6t5EWMFnsxHLDmFnbAKZ4cj5De7ggVsK42Dj7cvYdhnW6F
agFE1MJ1gi2zCkww9YwcFdbKFtwJsrDSejfbBEGROzbyCLS8+iGYNfD+jFZ94TfNTshd3waPEVVh
WLua8+3qL0XmBgaYtJ9rTmHGfTg/pTNaxbghk3bjd4P5CfPXeKXvty8rj/I7EVwTCDwRoccdk/6R
cwEpQzw6xXe8nNPPxB3o6xga+BNLoTyX67mvYPMzvXXGd4mH73EiKw8/dc4PgR3TnDwQ4pstm3VI
KTOLxvZfC6H6Y6LrleMK+MW3Gb/AG8HABEjipZfXKpZ1xSTTcWqqQeAOsfSMKrALDdprjcsZBZmX
Og1+bTd9Ix62O7KOoozDGpzu6KidgzuW6bohG9i6q82Aj/j5PH1mbvUT0JURQPH6SVtuQOdJId2Y
rfWzoOBj4bYysNoYGSORfjS982QNKSdFzT/h2FT9dcGNSUlpyk88eLxL/LLZXw1b9T9sVE1uQCBH
jQxrkpjG7Xq3To46elGsrmxZUYYDu2Y8xk64U/Owa9JCPo1oL3jb3ZgHpXX56WGtsQ+GEUGzZbsR
gKrx75OuakOpOBH+IEeAhJjLXZGlyKO6Z6Ud1pBFBKYxc6QRZFFWXAdD6Rcma8muJc1jXfEJBCiI
SmSROdHLvH4ZqBVXaeQ5IpI/ajBF05aYyPbUG0X5Zg0otBG0lAdXEz5fzEbeB27kzayiLTuwUUyN
kyMC045BW3U63bFR3BPlVgXx6n1ViRnvvDbKbjz47XYl1vdYW7X1aE7Jl98z0cPDaUG0m6dvToMf
vHfidps7623EmxZaTelvRpOwqSixsA0N5Rq2y2eTIgU3241t1aRpujWf34o3SBbhtOTd3k+99b2a
EjPUMeaiMRtnnHsCdVjRnexK0nW4a3egC0x2vW1Ez5gyOOtH9V1H+DaAXnrt1oT7d808hl+aEdiz
k0eEkWeVdF5ZNq27BLLgE/LodIe+Un+LCAYEFyyD3I+cx6rryvcq5e5AOGhuMHalT+OM3hape1EG
gCzhALFFUWsAQ8+H3RGh+pvyLHtNRnN4di0WPlurTOMpwKaXnmEwURLEniPC2OZOlkhLo9XWL3rJ
xSGVIzQ37dOggZtig3hcnJrV6R3jcL+pXRqPrXt39jcIAjaNaM132N6AufFiMU0htJDFrAizdJ62
tWxe6cyoUgan23twiq7kRaGxXwCGLrn1nf1bdKYQyS4F1WRQtjQ0S1qqs0RLGUwZSZMkC05XwIDy
wzXInI7NeZel9gImYHAPiHS7c7OKdJePvfmczNa0Z8nAmHNoUB4FVC1E21Rz9JJMWj0wruSvkrEU
dFvsGKymxY3vqkN94CzNVUSjDNiuVShfV5e87KTx1ku1anI7l6os9mxf6AHZuunT3PlpQJoATw+z
1NcY9dSjPTY3I17Dimke/LBBHZ2C6NmNqWR9jquYYVxrArELWauMO0zreUDoxp92ViTIzYqVilvb
468C6cBuMIroYMdAkaG4NNZeUCicQQAdinIZvvIJGc/Wn4wZyoys0nd+vt8BpWR7zRCBq4u9OnQ3
Qdumo1Bl/afpZAkcvxSrzozcvds4jOkY7rC/M0O8NKSnr/aotnOuWCl2YjovK4QCr63Gb8NiL7ds
4X5sWjfbDAmNAbjss1vdeUEN/BT03e5M/d8uSfo8tF7LuDjrbQScnNBDDegoR/488/yCKX0Thcx/
rUaZgrvo3F9s4PyLHMUpJQms2dBvo+X0QG9XnIWiwCZi1J8GC9nHWrQdTPRK8FQIIzRRVn6ffTgB
xLdNubXRqWIUTM3wkxkonYfV2o8xQF3y1nVW84MDymLb+liT0AAoWTvmOS4R7BOTy4LJgC9QDca3
qNPddz+h3ghUPZlot2Ek0MdLyAcMK2kT0O7ubeTiBzQ7YObrsf1gMPQNUM+PWfsF17jq3mwrKY5p
C4t2w3Wafgr6z49hMVnrjKa5QGahTqfXwNUC8w51AD0LIF9Qd3muqydvKVdiND31OJSlu7WaYj6s
VT6tAZO+YSf6uHZ2xAqgyUAiGWH5mgcjWApMCPcGJ2cssVvd7omNFyy1tBZMMeJeH3Aa+KwyDG9v
tNp6qh1zugDFhiDGefSMyMMIVib9qAC1vhVEQx6sYYg/k6Gy39p8yNE6oFph24Pq3jCcad+P9/k4
TDbxkFkzcyezKz0WXqhm5y4P6xS05MaNuQnSamHQjiYY6SDepMEQ1sUcC9DJlYXIp1qV1YS152ah
alW19dz+TybSIRzqqMXHkyFn6PJi3Vq2eHWZ7QepKfy94jTdst8tL0Zh3eRUYXiC3ryx5Oo+LAR5
0e9r/WMq7BaIjjd7Tw7L744WafUfzFSUzyxp/Rds2vrGAvvuyU6qs7Eo9mqVOZ2yziX5M46LMbBB
2L44C1vGxR4+e+bQd0hyt+Klgy+Jkqbbc5Wid0mX8ZGgrGfEe/lFU3MdELHaoTN77wANk7DP2pRS
0tPZW4te5zaT5Kg32MCyd+J42REY3oq4KZ2aoLHXa8cDEVSA3GwE0+6xT/J9Us7JSZagBcvI8wAR
yweAJWU42qWHGWipjswySL5Nm5I3Qs8n0SCcWbOO+WbnumUQQUb+xO+O6gMEwYeh7Gevi9583cw3
nCsAJiO6uLzrCSieZRKWOntK2BOCWR0Ojkfoe+/7yxmMHpPXQlcPeT11QdXlR+ip81PlpswNaKIu
/lIu+Ybmyb42rg/NQ8w/vZ40CHM5xzELI8+Qp6otWdqYXjweskibn8iJYY3AK9xLxynfxOhycA3s
pI9VVp1ErcYzMwE0IY7U2JCs9h2YyHr1+oi01NJqyQBhUU2MgwIggV6pDVo1FzvIHdmB7ApkHRCN
g9Jsm90M2If8R6Bo5qaJ2csmjlk8cUxP5J86ud5yc9Q7dpLmmRDZ3w38ekxHMZnP6cxoDzRI88C5
JQEj2ssJPQGQCD/Wr9MQa4xkEZzH0VufkVgWW9JFGUn5onpuKS6e52HBdUGgzzc01VmySUY9nXVp
9kHiC++P0nb0PvU5ZreVppSJdNTmvPlr+8h6yf8A/7NAtquZGiS1EeaApbeykskxm2V9LBPXehKp
Sh9sAoSBtiU4RfzZHm7MBpKfBXnCxFY0lQPINtfIHYQ6L6p3QGDOmvNs7Zka4h0d18UHHAs0Hd1W
yj6B2L2fbeQ7JwqV+CdDQmqI7D6KstvsKaUJL2kERnmCKncfBX2Y8GnijV+bw7eVbM93phvpN/Rp
6yOzDXsb+xHuxM7PficGucv4dNgcRHXxSmRAsmUtQHt/xxXafuO+SBMaeTK2MrA8lTxPMetzGP8k
cgxJlv+phT29VFyvLGZQ5Ld+K4HONkV5KIeMKHKC605jadu7tueuoXmuzFtRLPM3xizqysqq2Hq1
NxJANDv9IxsD56UcacAJIc5foGv/yPoO3HvH/TkW0SmJNTnStuwe41aLL9TgjBVz3plNVWMzcdzU
QBjUlUhsVusIYh3SsjKm53VlXbyx5rELQZo0u7VjkNFkPvlAviX+WJkXnVHoNBVYoLGjr4WSclMU
BzuWcSRo1LyHc9fiXdG0+rTOTAvYRlnPc91Hz5nv11sYic1rFaUv3K7UPJJemuvXPnSl67JLS/Jz
nxca908CRWQgQMQxioGdNWVtSI2cf/hZA7K5NaLkc4IimN0hODNjB+bbK7oajqjUyHeuaTvn3lLr
V9Wkau8lbO96UlsDLMTs8bKW64pd3wvTsOFARvld3XefvTfm2P9BXLMEXh3Ll7UV65GAZkKfrKXf
0HT5pyafFTMNNjG8qu1mcMqZ8UnvMldYlCHAR5PVseRssEucyenwVK5iQBk3TLuRNIEdajJqzjg1
9hWrm5d+0kRTTD32D6e16Ko8rJ80lYv3ZzWU5KZYq7c84XugnN4m51HVx3qao4cuG7tH8Fb5KRF8
/THJ18zyXRKTmD7+5sAxrlO09MNWFYZn4HwuOIP+G1qxLMusYgH3N0tBttWdx1VHIGyj4lsxLMRN
pkiG31TB/kOivrpNVZR9x3E1PUibpQtzWsSwRAwVnEikxv8/kcvvf9cPX+Xv/r/fIR0/azhjKD6G
f/37/wTy8FeGxz1O9O/+g4IpHZYneJ7L8+9+LPjUf6cH3T/yn/3Ff/n9TwnhWVWwHDYxL/znavgg
Sb6GIe3/D1DG//7k/yWIv/stTOnBX/UgCkAb+HdSBvACS0py2FwTjBU3OL/yHzGnzl+AF9xZGZAD
pKsEX8t/SOLdv/BIcOcoR/CpONr/K6gMABz/YEwhUtGFkIHfmnxF/rw7S+NvpehRRigPC+Sd69QE
E2hBqs4MDdTG+1wR82E3K3btLhfYNqc4guLius24hqhFtIFzayBtmhCxSzWLnAK25qwZo7K9wMEs
Xkg7Nl4lI5tjrOvppsoqOXNw0H530i33vc79rWs3cC6rPvk1EcuZBMyGvCQcEjs5kIRTvK/x/6Tu
zHbrVtIs/UQ8YDA4xWXteWvcGmxJviEk2eY8BBkcn74+KjO7zjkoZHddNNANJPIinbblPTDiX/9a
36o4sqKiCq9jUbHXSxwfQZxe9gd/qomTtMtT3H/t15lpeMpuHHxhQJvb9joJ8bBPoUc/8lyT8t1G
EwbgbVDM1J1WhE/u0nrGC9oXi/0Uwd97lXB3nxADMGLZTvZB7UN8Oxe6RHK2huUjrpX3Y0oIdRnT
t+8jw8VWifzMHmNlAsgCflomcoetR1RdJiLF97Dosn2FX39TOdN1bJtmL8CBblM4UgfCQDEtMmkD
3d0XHwDhppJnfh85VH2kOT50P/8YfVw0VDIV6mcMA/6bQ54fcTNgqt+kqDLM3w47N+PZ417JHOQU
18hNlsXOFdOztWUCd7cGYus1ebXv2JujaBc4tEuw4K4m+GiVjSN70tU+cYln7kjVBLe9PwJtr9zy
l01LiTq2sPesDUY8ujUoC+tuFpx/iOSYizdluTi8DutFBaJnbDa45DnMHX+Mb004qqtJVc0bSmpH
ILUvyPX6U1ojlQTw5lpk2NeSairKDGwnOUFLswirrTshNM9QbfPYaFrhPRwwa/+44sKmovTEvNn/
bNpqTA5ILtMJZ4U6Bj3xRLyDPtuypkfQgt+89kTwsf5mXOlcclb1N5HPXoKFU/0e2zIhWmkqra5N
zEdxiyzffGqmyzeogjW3yjSg0UNlbfNDoDJDrcAwmx+zrGqfBL2RF9cVVrTDDaJuMkxHl5L2JYpu
qwTCKObC9oH1xvSd3VzZbqLStn71DZfsXShE++oGOeVT2q+P4TTz67Wjxueuqrj5xKYEe7D6TZjw
VjIFqErGCZNhrBwLZzxaBspDnIzjdxB/zaNn6uUs8Wryvc31KQgTC29G4xOYZbixSfh7EwVy7OU+
Yr5c62+NqHRzW9rpT3ZKBfgeF0x4HrzUv2CUwXHguMVkv8TksF8RaCWpCk3LhopK3sCwJ9p+lPgR
NqHUsK07ux0FckgY0+eW4NaJ/F9R4SxvY0xGEz43LQfysx4UMBA7z9oPznBIiq5wp7dpyKqdXg2T
sdWNz9PYg9Rmo4Qa5jpXCCYIul5s+GWGgb2epw4KbkC0IKbfDsP6SFfCZOorVg9UaMgZ6181N9Uh
nxE/WXNEp3lOjvzcC1VnLCuGEVIhIWZI7zj9cLkG0XfFbmxbGRkosMjK31qiZ+k+m7bR2zEu9S5Z
KiK0CDW22JYja5o9XZqgRp1Ep78o6ky+LaD0r+0c8vteG4mAaLnO+EoPphAH7ciWzhOt+7eSmAV1
JBZj6yZPMTsRAvb0pUGvoraORikMdwvmS2GRqDUkrZjze7+/05R1AtuG7n42+FFfO2L9W9ZZP/Ny
YJ0MDh6OcFH414mirWcf9pbngNvWlDo42e0SOiAaVDINL24UtzeYGpI3MeCC3lReSY2Bg0GbD2wU
WuTtSyB5GnjXZ1chPcel+aQhAFk7rMAhcZR4OQnXQv90LXiVG6vtuZ9VZhxvMeuT7FBePHtAQjKM
clZHqnjr0oQTItpoWAm9KpKQMTwWcpfbqvs1u+w6tuMUIJeB047doeR+2eqryCeLUfJKEVVu2Epw
nS5wmjmd7JJTXRrn4Ka+sU/lUhFrzWIJ6ljQsw2Jmz0mSpSy3W7HR1P/xl8bXtmmdnai62Ckg4/j
4QT17omtK2DbBRrMrhi1fkuDzsYuq8LwwTSt830OcFKDIc8RGZLa+abaQb+yRg8xYhaxRB5Hz4bB
HMv7xoTVPY2awTdN5TQvd+bz8Qk6NIPDjExX7rp0uJ0Dg8jqTm78XYneLiF8BOK3rW0RXvMTJnLn
D15Bo2E4h29mIhfPAeUAyDGJV54i12HEb0fPf+bZ1N7gU8/umHOcA0GzYDfBiSEkYbGz2hRcrRNg
BoU4WPSQ32RzFLyQXB5ZYE/lfY47fFs4ukHyqdMLwQ+UykUINrzEVVBT9fc+tvNvDWvGHWzAt8YO
5LNpBvfChdvZ9RgQT9or7Wdt19YvfFcTAMXYIUgLVvSc2VmAQS91o2do28ElqNPnuratS1TPIN5J
4mq8Mll+gVgqtjElAj0EiMozG867JdmndkVfmOFlg+wXZJiuoyKc1k9CIRv63qroMHGj9/BZ5Gj0
Sz2eEqGCswH1fxqKcfksEgEhG2s7ekIPqpK4RndTNijQzeinQHrbN8hey3Hq1URNLTHswC/T96if
XeSjMX8Mg7FC3gIG6Q1JddDWGCJlhlgGoOqFu7lPEJudrnPa2wDi9w+UEqDNoXCmcG8XuSAh1tru
uYgbHi7IPNQvJql51stYk75ok1tFWn1vOtgGpH+yFJB4bm3tzpVHlwfQtmY/9OxxtDwwVQFLgJuS
4/sjvb7HvNu9LyIb0SqoPNzzREjOQx0liNOD82S7aMiiV9mwIcEY3Njx4D9JDyv3tgAUchw76Ryz
cArv5sWOzXXVrY4gZSfFrU8lzHszq+itpwHq0QRC/W41EF9OZa4SMI8aSj0EGt7I/9JS5+bFfVVc
0snFeuFJ3uKNoDvn1HYG37lx6/nFWTyQK6RSLnlTEXtxOzD5WIiEfPfZ/vg7k8XJdwampD2MKqyt
O4xvybUbZ8uu88YoOsoElwx27X4ezyqC4nwy+FhfBotvZFWmwyNxOiT6nOqj0UloKDVeZ0hAWTwe
fMzRR59Cjzd8BPWKj4IB7sR9etVrYoh+Qt/Aur3LcKvJ+ab1Na1zxJb7By6wo97QZJW8JsLgvSrG
gX46l3qMZziG+gVZobmojrw8oK/lLuz9GMwXWtO083TLO9q26UKopgx+1i5WZ0RvZ76zBgq1vqzT
LYYnOLpIrsQ7AsgHsBjELmzd+R3zApuHrqzgM87N8MEQmIUHJbE6obsojN7L+DDkBjTR179SuwHL
FGwcb2oInmVGCeC4jB7GzrWOUadVcwnHEqaFLr95efFYJGW6m0Ch3ChAjHxnIzDgOaSKY0UUD1zY
3GBElQ5vfEQ69aVhU05sqhnjnEw2iwLWl6H8nvmRvlEU+T2quvYfh9JvbhleCij6c/FqrVaArY/B
+TOfF2pUchKFW5YL3t0U+hiKusJMP8IUrPtVjctsPuVKwG1OKkcUiH3gxAzchc+oiGkMpPqX48oa
uVwCY4Hj77ShuqNfazkJTq5fluj8X3FM9SM9jDlZFnwCYbvzS95rdpsydY5OrbBUqc45sGnPXhcL
RoaNH1QehrlWnG3J8F3kKnkMZqcgRNYvlyWV5pf8OnxbDJG0cgODGcY4esS93VGbEBIywUz1zIr+
WmiiD4QNB/89qVOyjaMbJrh/IhUofCozVKbFkfdhHowUfQH62iREd3mfC492T1g2eX7q+2zB0aE7
HhpsSLNN0Tveqx0LPW16UDhg79N2ZAdkN5+upc1prNv0tmaD+5CWo35p0eh+dtpTp6LKqQhFKFm2
4OLjMw6JDs0fvZHIY2Xis6Vgq51zEPMnNtYTOwpgQhsYE+YHHW5usZla09/g0SSRkPuhoRpWdNkN
I0F68tvROTVkWLC3w5XYC6LIj968wkMSynmbnWxKGr8JhIBDsdkN4Kuru6uyzCLA6xN3uZ2DhfhC
LhsIHhZpbjeyz8iNQJgKvQqLwoi0/xjzyTyNmA4+wnopf6xTtuFvkGWxQyS0nuy+7S9lIdqXfNLz
meAChh8SbhC4JTCfhoQSvzLYXDGI7F13Ni69WsUke1JJS862LursvayLNmFFkcb3Tg1EBQdBE7h8
H7LsoSfW2RrpS74uJYJZkV2sNoVMP1P3CMvP867jZBLDhrnSfqbLTz3iVgHnES7IWMXcY3/J9MCF
pB5kd9WlGGh3Pui5eRMTqGUFqW2ktSqll6NIsvVQhkB8ak3HW8M13i4RyAd6SK4MJ9J7mkMV3FZp
1BG1IH2OSkgCyN0lxkQD6woccsto2GLnnY9fqM0CHK52TsUIsQNENtzqNFMuP8tQsNqZppIUNr61
NbWctLQ8+Xl6VuhHv6Y4x7fb5jxJrDhSDxpzz7fSW2cKE+IZwns84wkJBbpWL+QNBXZr3epQnYY8
oBu8nxN9wBU3fXcd2M7HkhgsOL0h+oGHJdUA5xe48goZ7Szbdolfgn6CnDQEIyvg/ysy1S2bn7qr
f5u/ClNfYtN/qVb/P4lZ6NgrW+HfaVn/Qf/m+2fyXvy3cIf/9Qf8Q89SwR+u8ICZhNLxhPJW8OQ/
9Cwl/kCxd4E1iH9hHP4lZ6k/XMDI/L8d4vvAAv5LznL8P3zPBpvMHxf4kNKc/4mcRQz7r3IWyjNY
Bc9n0exA9gzEKnf9Sc4CCcQc5STY9vl+Zqce2/B90FFOQIdIv+53KXvKTjQiNfQLNS04WC6Svd7V
AVEgK3TpXcOkdl6SiuSmsHPqQIcp5b8ZOdI3tmCKyZlhvd0zz8dXqDaE8LzWsfftiN3krvbYpZ0s
Duw3knxJtatFWmENqgSnQk6cNNw7/AuoZondgzDByCiNpdaeR3ycmDM+moVL1z7SLpOrRVdTsasc
UEnbZVTjA+MCvhpUHLa3zmTPzklPWXtswadJahdwil7wzA/gsZqmpAXDI/RSoaw/GJLz9L3qgUca
d0aWTNrSHTewsLR/JymYvT31PMqwwbfcR0ry3GId9ONXXPBOfwzDaP4kEWAutIpEu26iaoEtUjNi
A2/d4T3JuukMcqNki9j46Ztr+R3lyW5Ybsfath8m0FcQARz/LAReVJpeXCamrHKAJaLkPRvfmV9Z
5dK4g+aI7O3YdXpywoAoOFwDSqrdOUPUa8j23TqlGG+p+7GuOQGCo15cQIvkW3rx5LS1ZEkNgCo+
uGDK1MuAtHOeddKJfaFs3W+hbDr6OE+C439DDLZNz7rrPPs+XF+XHNOJ7NQhK4CBPHfJzELdtCwt
Ir+hcr6T+b6bATXpODn3hhIzFKGRtkY8jJLn2CnMw3K+F9OErbWksU7cQ6/kRmgFVLdiWdGgEivc
0L09PeIW/Z1x9O+rHMFwxJ11puaUi2eD+tdq4RwirDDbYY4WilYDijtlyqJhcc0hzcWM9cYjnsdm
cnR3UvXB06CmMyQ5gYgF+erKKsAEuln01GVhfCeL4cVpJN1JfnWDFZpZXnk/RVmeq6E9j1PMoFPY
5dHrlLOlrTLdy8VUt7EjabXlY/NY4jU9+9MK/ZDcC0i9hcfSLUmQ181V72tK0CxgPSFErSUKb5G8
u1scMWJDY4a+gSawotjc5KdLlvPIqFm+pMar7gaZe6d+wEsaq3reWCqhu5KM7j0+hmDPEF8/Bq1b
37UVCXMXV99+USDEN1NiUwReTE+5wUUyQ708zz32Ox0E7VXjJ0D8VY3OOUn4dHX2UYtMPula5BxI
OJjA0EYHPyrcvVsRzxOuoiwdIkgqTH+rC38BMZDYmsyh1z8XSXMZmvY4TPYy4qLEb9NmibmPEqCI
3oJItMW6u/O4qdWeQ8kxJL15eKSeChNDAAmxan71PWiJUUC0JQ0PVgYZusq64N6Q1nzFgNzvEn5l
gxuhekX5b3gYyWd34POPTWDjUTVciOQo+kpdrGWxfzFb8Emvm+vGD6gsHhG+bEU7Fyv+30FlrnvA
iDjzLd75Bl+pBaDQIrBFCV3RI9BGHtdpWVgbmZrgsMw1qYLECjY0TVHBhZ66HYMA497sLa8WP/ch
y6JlnxSuPkq5Dp1JDqo9tMan3KufOPezK6JUAeu6Yjigigf7EIFjn0scKC3FhXtuKNh+8ARhvM57
dzeXoGwSEUm6l6yhx1vkSHvrEljcobdjf7QjZ/6eZqbmUhjh6lTouD6W2r1KmAeMbn83GviG3Yf6
avK5vydAN8gwulSi5kN5wZ7mo6JCqMQjmH+wmKgOtEkyfMajV11cY8e7YrDDE58EnoRoTDTwzDp8
GZUT/2zyYUz/cQf5xx7qvwH/+N7fuD+h7dm270rPDmzHBQ/9NwwXMRidZIlN9tjpcPBHYiwZfdlB
3HdVKb+NNXJm09Uo86PUjI0soKvnSlvzvk0K8ZP1pcpu5nqEgpobVAnLWclu7fruQ0cTHFMjeIZm
C/sDt6DTUzEHHEIkZ4+uvPF+cgsqs+qcDrnOl/njHNiVxDGk0JuuAQOEtwsb20sSQntzcdRRN5mB
5oG5Z7oP6reQubzEf8k76iOGCnWVXZDFYtzGdDGC5PDHWxXl3Xkcg/nY83y/XmJrOhQJYtYih+nk
TYG6UvMwYsvCti2LOuZrH5nvKrPozxq58be9wrZS01uIpxwBU5DqPgQT55Zhow5yc6GPd1TLfAp9
VgfYgAAAFlStOBhH0cpg/9mzV94ELkld1eL3tfvB+hUGwXyFULOKMTViZeva1mOe+2TRa0Oga+7k
hWbu+EmP0Bxpo6cmHUKwqJY+w7Il6vtSQRtAVA3vPVBIL5XVgCCVIUIDSYoDtiY0b3s2+8ZODOVB
4VNCunLbeT+qjMu7Mu+1Ecc+IStEJsq9a7KPYWgflSXCm1oAJ/Cspd0R7e4eEzunQLjmheO+gXJl
a54ro2udKrtP34X2nH1ZuIyCAZQkq3pk/5/eJVGJb5rYO9nu5BS4tCBzrJA3NuzQiLmQKug8qc8L
llKWWU03UMoT0dpettUr1T3dznaaj2lEPGxbFxbyoipQzWl9r9nVP6Wx9xnU7vSIKtjCuOn7uw6F
hYbRMOksyjjoGz6HvXCpAR8gR/0sZrd5BRVQI7XmgXKPyh2wFpEfcngoe970wlJL9DtV2s377Pj5
m4lKd3nyopXuMzcBM7GvYv0mKGK6w6Uu7whg+x9jBv8ib4Yew4cnrY8hyeEMlv4w0nxhvKOy7BSo
X0BElHHjSQJB/cT+TJmWs4L2qqlPYE/my9ErQtrCodLcBlPS3vZ1r4ZtlFbxD68M40fbNS52UZ43
Wo+c8z1GM9+d0r3vW+GzzteuulT679xq8b0G8UTl8Wjr4gpKouXwborERtyw8sexIiCFakiWa2+3
OZiSvMBFwuojGwES8unRh3yaqGXnidUwcC+9ppFyju9KEyteTifj2A8W8MKVpR/nOitfOFrcX6xg
+hNXL8azWbLik2ThCaxnDnaOsK9OaHgLT791qQg8RlTffS/Lb/M5l3e1Ww6PMQaP177DBJeWrnXQ
bRQ/ElLmyiPttnrix8ifxbLw7uqUo2lxC/vKD9E4Eu16tCuHXXCT5MT9VvOwt/cj6NpO67yxekmv
koBq8A19SBkmhTR4naPx99D0lr0VYhjITVYHZ045uuCSeMccfukPpAc8KtHUQ61g71C+d3YyPImm
cF+jibgY7yhFMIzMFGex+ByW0xCW8seSa3vHoWS9+TCXH1MRqfem09Mzq6XqJvMJc26mirau9Rbu
ndzMxluMNQsvkaAk8pDKxf/E6U7JltUbatmmBV6E1+c95yrgihGp3sw/EJKsu9EGQA+jOZNq41RR
fm25mb51+1XMWZzhp122C/st04Uv9DW1a9mEY0lQrQ5b0RQU7avTj3NE2GBKy21jtTTbGQ6LtxB3
9pM3hjmWpUhuMZyTi+p619p1blSpLYIcyJMR4eqKh17X7+x5mAjhRxr0EeQK54cJmjk/YSlNPmac
ydGWXNAAHp2mAe1ELBcLZvLlOuSObYsmj6/nicfLQY6G0jGK0G6i1O+vkoyIzjEg7fodvLPDrtqI
7uTBCPtWdV5yMX4VftSAvZ8GwQgFn8VahydMXXwIYr6EADchjwMW0+4W959/swyNOKcE1Zh/pnKk
vd3ErNOpB6GjmhbCZ2On1v0M2Q43tY2zmJRwYf0mA4EVrCsdgMNdZ3t3i0px4spCDrd6wUy8JFJ+
sC+cuwMfef1rNnF+FgQYofKnOn6tJtyYh5zwwrln3vjtpNS/J2UMWpyocSV2Og2mfWQN+SqR5Pq7
KLOFJsFqKveFZeMiXBMFewWdj/I/C68CFYuLue7aTN1jrFKPvD7V3WgEt06/Y5WgR7Zu2M+rXcvl
hfayVDdvpamN3pSgFtptZAEUE/E4nVsXAwLp32zcsQyGjpAFNZ/HrIGjg0yc3vepE1MPJbtwM7ox
diuQ7B1ZHmLvhM1QZNbFSkCuGe85FDLcp9RzBt/AHMwfzDEQe7IpJbipq9kHLBOl7V07T7PYpkZN
FwjPr1S4PEGg0s/loHW676eqvu+BrdSXIZ9YoCyO9+5THMcvzYW5IxQ/nTWOv30zOd1rr2X3e4rt
sNwhx4Jit6fyaXGz+Ps8FpxE+QBhpWyJk20XdtG41ulgOnARtm7xUEA4IsoNPSrOLHAGMvnWDr5z
RS2gaa/ytLBpHeitgVG7DUdKeZP2nr08+lqil0dCztMGU0t3DvwhfAuEPT21XLfYmE5WdGZU8uOD
mGRxrrhvElfXc7lbej6dW8eZ6+BeCyS5nY3wsQVKOh9tPcp3+q/bM+sAcOACo+SoAizGbuuCimda
4gaWAOLBfaitCfFvLDfkY8bPgJran3FTYCvss7BssWIN642V58Q74+yw6Rnhgy15Q2IgdBggQHhj
wLUom7/HIxE9SrUtFrxKNRmzdJOM3a4c0Pw2pApp/o6HRe6sgOR+tvTm2fWKTOzcaKq5mhWyosPW
IvQihKtvQ3zHx0L7wJ7DfnqFsRXl7E5LEn9sLHluNqkN84TnubzWZjLlpcFgSNqPSTg9Tpoiz8oO
SKcVilvRDGW73kvoOHyYC0VmTZv4c2nXXGIYgokI9cTmWpVxjq+3DVviigVufYkvZ74ai8GKzyG8
32Qfsf/50SiubTZx728TXspfHj3qZ9tS1Yvn5cl3hcyOMd6xx+Nor1XmwjVH35/680wwEnBG1f+m
b25mIpbosataWUxbDZ1hN4uoO5jJs8jd0ciuctTrAQzYrnQCxnz2PfmmjAPv0w1itr6+arxnFvJU
w+Nn3MTKvwrSwT3MRYG5HxT90zDN9l2BOrNzYJFvVNRN8zbF9f/YQej8ZEH9VXKonwp7mjmz2SUf
+tpYzItGpo8LohSIxaR4cZU13BW5Oz3XTVCdGR2p+uC1tu/TYAx3OGKi266wvauBL/zzbLj6t1Yx
n+IALNGcTtVvHOzVvee03jMfe27CmXsl0k6eJxGZV3zw7nXpi+U6WMR0SjzZn/s4gRhqZHV0cr3p
Au+JO3n7MAaTvobI5N4gmten3E/9N1Ye8Ucksxjwk80KNXWplVhEftP0VXrpAgBctJER6yqBCY0O
OkMXOfHv0E2+RZNVACRr9jDhoPXTI7mtmTOpbvBaCgkM66elOuq8g3yVqBaOlc53IVwwSifCF6J9
6rZKmvHsdemnCPAwoFbkkC9xtrDq4T7g9FdrneyJqr/iOgozZ2fgm24p/Sx+gLypbheXxJCi2pkf
suhOQLbNyQAE3lkmzA78e7pDkMJGqdWRXkS1/ZM4+t+McX/nyDLFuaHE04cDz4Xw4q9T3p80RovH
bzXyIDmDO3G4dq63tFDW8R0YP3fcenyEQCb4gSADKUk7z31wHksJLel/84PItfPtT7xlfhK8gS4m
QnovXE+Gf6tFbPtITyVm0vPc0oU4dOYjUXJcHljRq+4+DCuxtvXmgdwXSzk+suFi/vPDzBB8Gfh+
J+7wHS8MFvBhdtr4UFLtJzYSm4F+94k9UGHfWWwQjVNclIp45X1ZvIbgYpElVkGuHAfxAV6kYg3O
1PiC/GEdQOPLJ2cYrc82ibh492H8DX9vv64e4/TVpKwjecS5t8pOEQXCwX4J25gPSppMD4TLs3CH
EqvgDNj5tZuYdke3NCnQQcb3bLrqrQlb80j2YL62pklCiY45DqENHeRUvDosoB8MMfhgFCEbN0TL
YJUvmy8lcyBNhVRq5U4Corz1Hpsv2RM4CRJo4Dn27+ZLGHVculgpPYCWAgz+kY5y8eJLG2eXprIE
+Wu9sFMZ2zu7OA7TU9pjglaYFimX/Lrdi6+bPiBKbv3T1wSQDvn86WEI2DOlhvfZ15wgTC3xOXKi
mU4r5yi/xgnUJP89pQ2dUJ0Kz1bkfIspMT83UxvDZ+CFz5cZ1FCm1hDxOrMMX+NLuE4y5TrT+Ot0
E65zTpRMJtljdymfshqmBKw8JqJ1NgrXKSmBT7FrYQocHd2iUa6K6JanifVRfA1Z0zpvZevkpdYZ
zFmnsZnV8JuGHTBv0XIY1xqVOMuT73X5m+cUzbsXLDaOpNnI6aXwNS+SVxfenaHxKTmOLhkOfotu
Xtuo8aufEFD6dJ94ffzbyB7u7b//mjhfov9fviaBHbCVcDyH/YQInb95XHvSA7SvcpwQIRK3jUVU
ux5TvetaOC9VaYdnHba4wgn446tu6/sQL/UNMWCow5Y/Tle+idnQkUeMdygAmABBAo6PTD34RF10
0te2HJphE6dSP7kAejeNk7logOm494Ppnuj0PcD/DqfkKIYbEZYGGJucok+8EPLgp40Px0XnD9Sc
TUj6fnYFRvsJh9p95UQXhX3xJo7iHgWYELsdP/Edl3d2udwymKktrRf2wBPPJnOCXkewtNWhf0rI
jOH+8LmgcnbYp6EJigtGPvsiazG4+9r14mcRkOWOB7a38dRbGCxlPaK9YYe/4+GiL2HbTYeOm4zZ
eWjLIyRBqYa9NxWUQWu7BJYgWh/J0G+qn4B/9XphJrNUeObiqKHDvjtGu1pmmBG9pdgpPVEjLoog
ekvYKrxN3oytYyxrur5NnhzTUhMCxNkasLMAd5kFc3yqQo+vnOuP/moD9QGNlNS8lpHCpUAJU3Rk
Eq7wMnRqzrAHt+BUgn5QJ99uo4doUMlHKdzoaII4pfWmsh4nlBGUgjQk6ecNV/gqxi2RVnGHtLjw
qeTSWVA7eY0PwPpBCXyz548zW2GFFWD6LHTQeRuMdeD1aJuSOKNHg2bGJic5+H3PkbZ4A+Rnbd6I
W6bPVtI533VWVvCsFpve1EHzaJrG7AE4NlBhuJTXHk8pUDWB2dfsGvZjnGCZSkT2rbIJPW5wfKxp
Rl6Zq1TabsEQ40PgzRf76NPiwPdaZRLWav2k1NgcaN7gbvl1Ei1J5z74Vhvfjgv7a+QdGlsJ2VQm
vJAF6+WmWZdI4mufJMzUExf82jPZ68qpRdUltdasmyi6FdhKqXTG7uJXzof42lop9lfO1yark548
gFAKvhdfm67KsSxvU6ewoDcpT2+yYH7evMWoe+lJur6I75amEfZ+Pcd+uv04QcCenJCQxrpty4hN
UCBN/VS/YTKQBNVJugDkWrL9SBbirGnr5l6tXYbrngRsvzEqy7NTFvoskGcEDG/XpqK+lmCt0pP+
0nSnVd7NPfGqCUqGuKOeKdd4Tdv1C+JkbIaC9EpHy2rAUMGhETWl4n7eHTwWrddTwoqos2rvhJmp
e//3D6qVP//Xx5TgYsFDyrV9KaS77jb/dK+wUeZzJNHgrGLvLlb3EFRumuHh6y/5H3Wf/p9tuZ/r
kv/8fRH+l/zG/xuBDYoG/m1W4z+67r38c4fkP37DP/fZ/h+2kA4ZPj5wfqDWEoR/5jPUH5hr+bPZ
JgPA/PqVfy20gz/IXrD+ptFASBGuF7N/5jMcohs8pslniMDz5LqB/ldU5Z93y39XZcpy+S8fCq45
ts1CWxDQUIHL3/W30oI6YUWcWB2XhASH48aeLLy9PXuT7GgTaaCTqV6KS5hi593SRYnkDEfSYNnC
KV5uExMM3aZlIdGSMDDiUIX24m1k6fU1yJ0+SoHtoyyHjIh7Dlb31yxWorRF7PKKabPHaAV8Yuuq
IT1j7d9nXtVd3LRyHlQnCMJDu2NdZFU3k6PScxdHQAQd9yl0m27LK8hwjW1sV0P9vWXbdejCZpfh
Bd57vrwKWFGTJel3SzsuW1jK1cZZE2RLG9aHgEfbzuV2sZceNMxaq9sotsTdYHXx0V2SH5VI02s8
WvCdYdFCrGZtW3vyJ8k3WruG7pMzOjzmDQ9503nLpp+i+Qw41jwsPCFRGezkp9I+GvAsuiu04/dg
ssITq5v2gJ3b3Y2KvzNMsbEPgbgzPKGWHpIfYx9nUWbd+Rq/crZ8AE44W7HcmTJ6mbS8Bmdw45I9
NnN/VbrimNJQRvOftj5dTKWHaJI/i6I5dmwlN7k/43xineKM8jlWuHUgGC17L4cNW1IpBMQteykS
b9qbIHjl7F7r/MJNGOzGjuhJ2k8cuDFWVK4leM9GrGGOFlis6vk4p+4RtD/u8cJc8rbBvbhMHSvh
GIrh2LgfFLYB6Gx9+2GRvnM/9x4Y4Nbtf5S0xcyb2h/iTyfyMZzirr/gqMYZKEb3s21761j0Orxn
OAyu5eTPv1tlEDtQxPWmhop8DRJ2vGmT/B6tMf3ttiM8x7mRGxFzySi7mpVmWhjWbIRySLs9Cq2u
csi1WxELIo2L1cp70tU494vwkte48kd/eQyT+iEP7KMVj8FlKVOGSI6S61SbtSkoj5wLaHvqBL35
s/AymtWs4kcp++G2C/yz5ZDyQWXocmaHnlYD5HLayxFptA94FzcDADi5bGu3mq9NHtwLy/UeDRO+
uGFMzRS0rEporrVWClPPpezqYErC2lsLvQD/puKqu8kG/rG7omHNvcn8/2TvPJrrNvKv/VWmZv1C
hdBIi9ng5sCcuUGRooQcG/nT/x9cyWOKsuXx8q3yTi6LAm8Auvv8znlOy+GYzW2G4DwR/tiweaA1
VMHxfF07DtJmbGQSPFZk5ICVrUlVF21XoUyUKlv9lbTJHyHZhJG1sLXCt5d+6vfQ2WLamnB95vRX
5kENtkwRUdZsWwbHzSLUE0nbRyKi8gEsM04Y7menmZZJhmsLkbVg89Fh5T83Q5gHNEFAjjz4VZj2
awcQruYFwEKcG+LPxH8TM1WKryVJBfaIMWivtSrD1F0EIITYj7GfEiS+XAcBwA3AuQScv4tNaFjj
vEuqyF42bK3CtZ8pjnwr9C7MFoXm0PWgFSOsJaI35rOqB+MDh+p27zYxwCV0v3EZ+1pUefSDhNQ6
6X0KgrZT2C2SBcaBxomCahbyr7xZdqJA3xSrll/jLolV7hDOiJ4ewWJL4jzDAhE0X3q/KgS8yb6v
gItGWnJpMUuJ1xNSs8N+CtfBeZhgOj9g3wnZFQ+wxgl5gA1ULQchDt9wGW+yltnGzqrqJv1c1Uob
rV07gUOqZw4TU9FpZFhdm/wEo6ZrMnTqCuwWF2zLZNlokHEf8jK00bb8oTa9CkE3Laa9pej6M9JM
OBvimpeeEJhA7xwqJlOSAoTQmeJdNhCQdcDomOzpwIHI27ixb8NmeHRoZFzKvBqfHLOvQKOF6ZUR
azz2ooCKjzxvbthbFuuuk84TDhgGLUYjpmdNnd56q4VErbb5va/Uy9LNlwoVVF5Wd83B4t9FMmjI
LyIsDn2XHZu6Swx2zz7vKNjjmd7cYzxIIfhcjHWqrZRw8NtN0JeNPo8G6n6l53naH3hq33eNGOw1
h53mJs7s1Lim6rPz16ltQ6Ci5wN74hyzGQFADddmCj96i+cgWHbY6WlLsbXwDUKjhkwUZTSzYpSO
bms01u6ZBDfiMVqYDQini6TlYdLxtCjBUtwPr0MY+45HtBZHihNYeHGDclqjHkImHmR32TRjdCEU
fDsdGcAzx2ivRnwKOz+0YiJcagtFYMrvlEm1gaGkw5MczPKqVFTU246SnVs5pePV6NdZetnhhH7N
sS1vW2btO7/LbMXrWyZaFsWiVwq0ErzTjXuBCovIDXfZeQ0IKD+kEax7OkbIYBEmbBllICo6X510
qo4l9pavPiHgdoGzxaauValIH9sKFQi6YVHmaBdqnH6NmIsHFPOE6nnSddZ1UWjWQ8ZofRMhV9lr
V4B2PGrUGfBUGMOVkrv1bRFUVHXJpM+/6DYtgh0I/ce+0uGUV4JaMsvM4KbD4pgbmge4AWjGxlmQ
SiU7g+8obkE4V9kxLwcn2YKPFRa0QqWLVyQKHMIynJEWsSRlEZckVfaWloi3Qqm7Kyuhik4t8vSY
R0BaQOn49l1aa+bz1LKCRCNPVQ+lJ3i0OgU44qAFNL6MKTjNESapw/h160MxYqxiajCg9WbXCZ2R
TiA4bpgtejLPiIJ5/jxhw3KqjAI3qzvJuyHUlHPAFWBqhkBWiMNBOiGfKBEHCdIAOWfCrkpHr1ZJ
kQJ8GlMMMMTMJGckfT0ZhjSv6rhLHzMZ8KUrgsCYydedb+BrdmllcPPaYCqO8dAHHK4r9ZagMOsf
VjsrvwK9o4wXpgVF6kpRR04sQxETOlcYIRGPMmzk5ZLMe7Ds+zRAxsaHg6vJAauwCWoiVscoVxju
dHnfXWlAQ4O9KCdTPfZxPOGAduE3LnCT4MsfSqpiYmVsr/0qMst7FKTFQNsAMVVUV4LBKiY0bnkX
2CHUfMpLEoq6Nn1TubeIU9YV4a0eR5vPc98aqtngOBlb13SGZalH+pb1LLswJvAIsFacDa0/iL0j
TKClEsvpKHEC4uwDa3WIDMmnUDL0RmuSXf2ZFADpTiCubB8M9VyOyFFR7V+r3PALnEP+qrGYSEvU
qEdHa6tDFkfBXSyrZoHCrIAMLK2AwUhA6w67m5xPuICKOjpVeQQp4SQbQ4gYLWBwHT7WsjGNBfXA
AnmCaoELZtgGXPDQuBM9gcpNGik9jnAcRANKumUlEHzjDDOWb9yNWhfxMY+jHazcsW1vBpxQ5U4b
HfIK+hS8sczxsPTJZg0oAqERbNNI9Vca54+XUsvcw8jY+XISxWVla8NGwvNk2lLSAZlP5pHmAWeZ
t+ahmsjX5HpzG1gY/TzyuoceJP4LC0Z8E9h6+la2ZYfCXmnVuqdie0c0xae7VtjVWxDgLywK098F
qdpv0y5jgSqH0IbrF9WxtlKlIdaVYc/QDsyi9QaoYOCfmSH9SrKgrdnrB+owEkEQvGrG4nMpR+xW
CpCURosySrNU3azgv6V0LkATieO/sEn92FX484lnFr3fHYMN8NRqUTTDThRpRZzTlPWejsn49ten
7T+6jINYRVSFGL1uftDOuynLC99X+p091ORLmY/Ei2qsiHb/+jqzuPj7qX5+OfPnqwnIe5wI+c8f
X47mKnrjuGa7m9q8fYnnFd5qJk4EweikIUm9JPqSdsAtPNFkuvMXV9d/HBF8uzytk7ZwsTi5eK1/
vHxEWkehCqfZiZppP6DN5kZ36JylBG3iSyrTK6eCCUtEfHxKxgIuBbuJTnVvJ3YX4rTN0DDKzRuP
3GLfPw2Xg00E1TIqOBgq2bHSw2MAxkfpo/RC1jWPqsKefDgkYQFlyz3++v38+QVxEiZoiAUdKdcy
P4i5E/hwOy3acjdFkokatQZgRjtEJmQksmSs8UHqGLu/e1FDtcA0aA47U4ANH76TNWVRoiMSwUWD
6WjYBFezBthLsI/ssfpbOtD8kXGxE/xB418SH3WgwDX0PEUj3vUTNd2Yy9+GRFnT5Nr8xav6+RYw
+FqaGLOZiWNLnP//uztNz6RWFgTDdhHc4OZCaLS9svfXzHb767dP+/lDM0xXcIpkm6gztfrwoQUJ
9cPmZKa7RkAHClu2FH47hMER9cNoaTU2dLlx4cG4LHm9vEj61hCXtCktWIjCt/a0+ys1qJANQ69p
SyqJ/WF92iv++lf96T3RNJ2vlouww9vCTO3H9wQPMxOQwol2SRiq9q502uZyKAYOS3/7Oga3/TcA
iIk5/MfrWFjSSYq14Y7CdxsYOJjAaBn4abo/Xedv6X1/rOT9AGL53yTB/8+CLza3z7tPZUbFfEfA
zCya//x7+fJGo+lL/vav8xdALv/avnRf0ui9Uoimy6Nm/le+qYW28Ym9tMMjXdjC4rvJ1+ObWmjr
n9AKhcvfZjzMjInkyW9qofqJuwxki2mYM+bl935TXf2kGro182GISgIQ/HtiIV+Z31cam4gNYA7b
mqEx+NVt9cOjPibxCeiLEs8ek2kcDxtLhFC+9GUyiM279+m7TvmvvM0uiyhv5H/+PQNofriWpZqW
y+OQC2p8ea0P1wqA9xWlKX04YRwq7e56zChpSOx1XlB24VZP9EUsmv7BNagAnKDnzxhn45FJLafy
gd4NWpZy/a8eMx8UdH4NfitDn1V0/nCKPb1/oPkwzFwrq/xVCTG1SaodvGtSf5x6NObLExZCW+G8
WltrZ07nB/hH/DlXHpQbs1kIvfwmtv+p4xvP1M/vk6MTvDcZ2FG+/BGvAzutpPEg8FdyakP462IX
zHhE4gb+xcATBoKKAiMm7VrIp9a0j4ocytdktug3HXVUYf6scB688hstZYwBz0uIaIehhD0d1C8j
75/t4XM6UhTDTNEq8jOrox27xwHawYqAXggS27WUlSFVUBXUfcDfAOMBPBqenW6eqZWyxHy0LgWV
4ykzeRyRhNTRI657vbhGtSIpjQ+g6jB8jiuFuW7fuh41mPvAYvJWFUdp6VssOV5VP85IQyXkmNW9
KvmBZAJSaW/sy9FLdUG0975ru4euTUqPulO6HQd7J5p7JK2dM6LEdiBF6maZyZR5eHA1Meuy4/PU
MedCQvrDxlVm+3u2qpRa+UwJ0+No9jcZDRLsgNYDKjltidmipSOooqp2reDTIiC51DnvKyHRDVGf
dRRYSOPrgGXTEVwz7Vdl0a2NqsAg/WA57h5jA5Up7KpTE+0UE2hELR/c79gstrXsFxx7eXu4jEtq
uuqvi9okmcVITTG2bUPD2wSq2+YMoMf1UqteQ/tCzyv4r1hA6U3siSCw7O1LwZ3ZAQqADaBENwlM
AKU+x/lMmW340sX+SojXaiieJVp2zcLMXIyasAuS+kCSLqM63zoaLF7HXuOIW1Bj3p6rrlneRI3/
HNiZckYMSiztNrlAtuqv9Qmr+wKuJCq7717iti4+B0ZFaUJZ8qYxwYYcCGX7i8R1dcV5pnhxjcjG
cwkMZmGR2cVaG+7sXtzYAMTvOLp3O3Js7VPf0QXTGm6wwfnPeZ3kW3CflQm19mQ3PCJPxGn0hGiG
55NEuCE22q4hbdus5tjRvLwnUMdvQYGwSa3uFiAJ4tdAiclZ2JXRkfHdhVlL66qeOvu60bNq/c8i
+b+gznTmjKxTf445u2zf2s/hl7oe36+K33/s25Lo6J90V8B9h3Gms119tySaBEINlTGYRVLj2//5
viRqlIELnawmG0LLJUjO2Os3wJn6aV49TdcgwskGDGLZ3xiguR+fvxbUNdYFSExC5Y8fvFpm6Y5q
W7bVSnHMJ6zlC+lw2GPjZS9AORCRrtphHbj2scyNz+/eqT9YI3/c87I9+HDpDzs8PdbsJFFnRwRj
LHBLGNBDmmPKxH/tK4Y4v76aPr+S96u/rassxVDmTJWBJelX/v+7zTz1PbHVMLpYQz4Q+6DywfDE
NiYlR0/WoyzhB8Txhk+6WqVpSzbG7myqDFRz2VntY1fMscQpuI+z5JL54RnjkwWFvqbXqP5DVRFJ
TKoG8a+IDxoc0NWvf3vtD359FxQpW+45XcwXav4g3/36mDaY0TDKZ/bVFFtOtIAWsFXWCORUZyss
iYu+HB2qEozh0iUGe0PE5UIf8P7DdsQO21aPyWShfDrqkyLyY2jQN1hAu7I7Ex5DtGuqhthgz9/V
M6IJuQMhJ+idDdj8vFo4Y7ULKl29VXKV2Qr4ym3BeGykSMmerkYKjOMwWnVmeC1MeM1j/yoT00v6
cNW1EHx8urOCKLmyw+S6TMcbUb2NjNI8ZfCeyQ9PG4rzxmVjZPZZUbtM/rDg71Ck2p0e4sChVztd
mg4vZsiNe1FrxkYnoHBrJepVrqQE8VyuDHg4PeoUCL5QN2JvCpc93oA/7qDHLJiiwr/rkcKul0Jr
I7R40EwCpBEzzSRYm7YPk2QOhuI994+YeCdPuLGEGQxeYcpkvm9k4TwDYaNVMyf445gzGs8tMR5R
iPQ8JD71Zn2ov4Jigl/bNuq+0w7QVnpyERNiu+pIuY6NpFizC572Oeo3QwpQR10OgQhA6VsUxW9R
QF8bkBckeL3q19hAUMQBvxdjuIdn/xQ54b4S7h3EGhIBfDSmHOutJvmBkoqfbZ/58TLNZHWGPrAa
2uIW+EH+FyqDzgPoh9vJMVVCyJYh+EoiEM2b9vffR0ZZWlU2I7P2NCWTCOS5gK5SNbRB5hSbYLox
jdso0ocjdZ7Kc+ibWuWVDt4vP2JP5NjG3aBjfof0cujb1vkyUINxY5Cu2UjTZzjuSvU6NIrkAem5
JYPkq19P99Q/J7/bseTw9vKWRfkykvgRPzc/rE4chHg4/vmidvEWyRBN5hsNdPf2n3/r337k+4IG
4WA+kgmmOo7hEkT57YznaJ/mZU5g9UFOwwDMQ+q3M57+CbXgPc3z9wXN/gTxSUM+cjU0EE6Cf2dB
w+D74ZsJsRMVyrBUsOA4hU6OkXdPyqizKnLVzbQu06JSFkVmprkH2149C2389rWNEaItNX9FYJHq
Iz3N/CPwlHTtp0N1oM9BW0HGpsoHHg70en++v3UMXKR2/N6uNzo8g7NBi0KbaHczrCBmOnQnR+BH
cnesHqcI9AflLkDpjTSkrzGut23WNauOzuNtVQX5BdEUQewIj7q7NA1B9CVjsxhyi2PygitY1/lO
d1JxiCjBdT3cFnKFEU056+Ma57pKpSguAXdQvrCprTPP6TX3NXKBk6hq75wVZhztMbyqZOJpUz5y
8LYepOoQ29LUkIcW6BagaXVUd3KpGy3jQ7jS93GTPvWTGp1FdXTrA0gDXJV1sDut+oXCN3BTehVe
+3Vj3QBnSc/UKNY3A4aTlWpHwGLYFsMWVsiTd+qOpQkMeJFPK5e3jvFTHFJRTsUfZg+socj31G5Q
GFQM6YHwF/Z1mbwxc+RIYRXRte+YIMjJtq1MuxufB0ASx9DklONNqkI1bsQEAneAYxj7ZLaELKRq
TJjw25KRP15a56DQX0WVHVWyrA6pNj99MBTSQBbazp0WTOqlNcrh2gUJSH9VHulzmjeoLlg/2Ww7
mS5fgF701a7HO3yAtASAQi16/6JwMmakWeVAZ8qAx5SHvtSoA8C/EQpIBkCymaME7qXsyKQtrAZe
7TofRb6XA9NUH0q2Tnqb0OAyoOsmWltwkJd6n8SY2qR+HnVK/Kx0jNB8CV4tjxnY8JK69LoKXOeu
xK2zMhtnOOJi6C4aguN8lFhJaQUZHBM2RF93N85c9uFlTDAeWrO37otSw71c9rV2hTnLAsIHRHBp
1n6xbel62mau6CmEbpm+N5gNXisziq8kXKOVodAcu4qjcQyOPS8J6nOqFUTB09pfsO5F1+hzzrax
E0BiSTCsM0hv6cJPumJblXZxluppsw464BNRuzB7nLhKeF/01UDRytidtw3vsSbt+Gmwq/bSBN6x
MMXsFq3zi2bQzuEeUXDXDtNVAmXtLK4U3jIFmzsdn9WZm5pGtklNs+GuxgoBfqiOeo72CrsZ8IQ1
6EbopBPYiMFcCkXtv9ix/9SQjjjGlZGf9RVYiKBkKIhOb1fbVmbiWIxDsc8nyWbI0ZEiYinZauXz
YgVHtfaJ8Gs0BtVqZF9Bh5cgsWClLMi12GfS1erHQYfgsNTqskk8BsZz0QqC7q4n2N7uAHJZZF07
wxmfhcqHdCOdqgfklhdvKaxBdmkE9aySVZLRee1pVRtpDwoMpWEXxrjhmMZ0BNjhliUUmVq+7x5z
UiTx0hyNiI+iwBDbt5RP7SPaP4yFqnXjXYhsx8S3yR7g74lsP+O3NpGaJPGCIoo2XjNu08FVcGRJ
VrbZpg8gH/tN69aKueBhf99Wbn/UjEaeK72aM4VGOcfmYtmJ50BCfbPt2N7IwU/PajaWa9oN6XjE
rmJ5+TgZlIoM4yscPe0prYlD2nVjbgfuIp6wJX1DcVPSN0kh2yLFgjfC3RVV8RYQF0PnsPwvMVHG
bWK301vdD92cT+If1vALBKvUoDpyMwSGKW8jBRMpPmEaoxdNWDjD9SgrGpdtKQeaOSv+6i6IDY3M
TO33qyjOUybkOpu3Zdb2GbylzC71XdYa0EFMHUctHW3BdBu3gtywwWDUoK0A5XApHUGqZG7oI0kg
3eRsMAu6Eu3AwBUbcnaaiHt7OgP9zegW00J1GfdoaXCRwpA4EgkDISeGAZuBCMj6s/Bgf5czK4Qy
T/aVVo/ZdsjOAhwidyaRzWODeheSM9bL5xbfOWzghFvCk8BrcPoQOTwECoUW68rODHeRpaUdb5Mg
78FDw079rIpq7ldJRvc1rBQSkSX4Y8IJdjgZ3lipOR0f9mToK5Vo3UhvqQmAKwmL9FratpxD9bEd
HnyLEMfSgmNK/yYP+OgCX0V96LOwL0jhlQLGii76s1QAnDRMevE0XBCHgiqibY8PyiWWMQyLuOAx
qfYhQZWhpY88rdWXqpmuRcchlZ4rv71Rh0RwFlWkosI/rAljZHlnczyZEuulDmDPLJNysB7q1mzd
hbDKONgmzdSFq7ayJsuToZqywcY0sIAfNH4J4PzemVrT3zRuQOdG0Y3NDaEV91BxD3uDootrTVbi
AQNKxiw6F3tp4twxY1IlfU95sAtWYNFaKGUO5ZqTO+31hhvWk1oKLiwtcOYwl4HTRjMSqPsozMj+
Z3yUeBroIxnXsu6VfCNSYXxl44TKUyoAca6MQA3vzNCgv7Fl03WgQdoKNhGU0Lt4iHneMXFryn1V
uE29wqbRXChIhxTBd7r7UKZ0+Gp5TLtSItTKmFt7O58wLf3zS4uSDQGAuk7gzSaSD5pJU5xdyKEL
m5UDa+ap8hP1ogb8QaebwYhwUZP1ZA/hkuBR7bR9qoCf0bIyKcsioMCKihZT3shJKC/zaZssfyvn
FCz2DrYfoBIX8Cwo0tNTkV3wqsHUhsBDtlap9sMiCVv5RQKnJoIYEAH1fMcV9rYYG0wddWvY4Vx1
FtHMoYY8sK1JUyDXNlnPEUAtcR/mjdWD9tHKN443cHbtGbkrwwo2NdGSzw7GiG1ZTfbnVnRkzZ0T
sbfRZ3ovK9OEmFnB9I1jNXgyZ9CvqcbdgxJhXiLWIeOzTivunB6IhJfKKNBWIObNQzbDg+MTRziE
KIwd2mcp8+vHacYN1yfycNcCIR6SEsNTqGZ0tRUUW2YnXnFqIemt86StLuMT0RhzGHTj9EQ6jquq
faKioEYEYXKhUfyh949jmEFIThItDtBmRECSHu9eO1jhF/yqEGv8rk+LFUR54IHRib08zBhmTF4l
JYZ6K3WvkmL2RRr0JvszvrkjenHfzUjnaoY71xZkhHIGPisz+nmCAc2GdEsgjhQDrQr5GisUHKQT
NToZcPYYM0q6n2s01RNfOsoS+dBHboJpFvw06z7PE6JraN8znrqhOvtYdEF/WxEZWaQQLJbGDLTG
V5ymC1mr1WtQZyjuUxgan4esWPR+t/KTYnoK4WN3kU/9haUGW8KVHb40qsMDT8xQbZdIS7Gh/RDW
dkIf1AaCtT7rILX6qJ243GFF/zWOXsO8NGZwN+NwGN50HMPzZiiPi7N3W73iQZsnr/TRDKjyMwi8
FwXuSevEB7cKt9zWLBfkuAISDxE1v/Ax+3t/houbJ864xCHUzujx7kQhR0SBSK7IE538RCrPZ2i5
k6RgzswZZW7MUHN88fWjHiXCPOWZvxB4JwTCPJ9/e4ai8wRSdUxVBvCmZMamqyUAdaHiD16iMrqX
2DbrG/XEWvetJC090MDVs3WiscsyJr/PBg2344xrb4MTuR3Ul3vgxmNjGM1wd9dqJe0DnXFsBej3
bIbAOycevHFiwxsBmHjoahDjuxkeL3Qw8nx7IMoDT2rfRDO60baYIveA1EcOVi3o0vTiukeKIEsN
oT6WzVwuD7ae1B8Ee0XaIB4QFCjQgvvhYaDnA2wKA9wTWzbtxQXqsNdmMH6vg5z0Rmfegp3I+emJ
op+qBkwk9oQSejWY/dGHK4sINtP3QaNB4g9nKD8PifglRm4/Sx0gPctxxvfznkHy75xoWHSNFibL
4cT6h74O7wf8PzerWERzJUBXGtqeUr4BejuFAWTv+hVP1XwZnvoEmMP7gOJOPQPBNOK3OpUPuCWR
73quJBhaMz7Wpemi0Jw6CzpZa6/GXGQwqGGwoNJFXyPXaYte5OWqoPmg9mlvquYyBNcI0wsjnvLL
wgb7RGFaYC1cmfJgKYt419c4j0weki9uiqBFjY75HIFeeB1OPQzlqZLBzePXcq5pINIU3LSZljwC
uVBv8Ltw/rNZQ867svT7ja7ltA4g8NA4xo1FE0SjYnxr5noIndtiBZOicTxV2fYOmwKKaEeMbMC3
ed1XLi44/OAlTsPWdu3DeOqiAFKZ3kuyntthYnOxJP9Gb0U9V1hYc5mFU/jOqpoLLmb/H8rbXHsR
NG57ac0DlJQPgDbpLr3heVEdA9oLSG3P9RldEgK8JnVFdmnsbvVe2Vt8oD7Hryc75mk7uAJCUTHd
vZM//kCp/mmYS7bFcMkSn8Im1ixrvNe6HIM31iibaZPUWnxV9lNzLkJLW05wRffRBGRPy+ni/PVF
Zz36vV5tMaGmEMx2iMrYumZ8UOZ1clmTDzhkQw1OemSX0VwGfl/QPhGHt+VUA2YZR4sBU199+fWV
fxLmuTKyicY8QFBzKT7MrksTBAP64bQhAUbWxbFFh/XSUg71aKBY4mvL305X/EeK+wspzsbKZOm8
v38uxm2KH5S4//7Ed7+FYLiEaU1jHvRjOgsnBnw1anQ1qno+DJdMBDfEOXrLsYqB5eWr9dtwSXxi
xuBqKmkvDTuc4/wdLe6nLxK/mGrBxXdN0vz4+368b3SbCZKZ9v0K82DBaIEKVh8TBoSjkOBwFg/f
vDx/aieYNecfbpnT9bigybiN9+PDfUrZgEyYrfarSeB8m0TwtZuwepDjGf5ymvSTccFUTYfYNKMY
A2Xzo3GhtZjoGYTDSYWplD1kJq3mGOq1Xazr5VniB91ZOxFCS/UmXwZV7b5RQNVdUiiT7BBb2GJg
GdX2HExYuJJWgoVM3KB+EByySBE7HB8sK9D2rapLkkjwwxZSsznyxoNDL1Y2pdRB9EbxRZkTquwv
tduM2D+DejuqtAM9sOplRCsCrvVo8jk/2YJFMSxWDPgIGzsybb+2hOW+IEXQNpBj2Sv8dLp0K6ab
HkyYYFN14EUJHXVXMRSWQ0UXU7etRIs1hLQtv0pr+/6Dw/4w8nQQHLYXBakdMIinxxkismJvSlBx
hcfBkWJAsj7B4EmBOOAZdld/zWKl3tvS2tkB3wcNxWul2PkRIs/tXExdLulP8Pcg8qZDxDH7chjS
4xCSORG+2jFNKh+VLIzZn+pXsQCpkcPxH3F9QLbUQ68q62phuEp9HEN8pGoLOtQnEuKlGv0aS8Vy
qDFOzGSlKUOyV0b5GDE287JBJMuRbmnPshXyz5193uRxvE4lzLkwKReGNjQrU3FXiEHjJgno/qNp
VOrK9Vh1S1PjgGpp6FAOPijGMO5Or3AhJKyRC7+GlMoW7iv4UAhybcwfWNFsFWuDTBt30aV27hWh
VJeW4OK6lTG9c9SrvqVLqC1qbp08eAn05CzL6TXTreC1J6HhaZKYn8iVDS7PqyKBkze/o4kx2whF
eEOAIliog/5mtkjdib2rijhdpFpG+nBwPPYEsMOkceUbCaJcpr3FVrZmFFNxdm02LDhfVQB0q4Tz
Dqelr53vnDN//Eou+AiCbR+UibZIOn+uq6huAkQRDlts1gGh+cmmMejmS+toxaiZ7x3jVrZrROeD
Y2yIXiXu6MuLquG0TPts3sWokAbwPqNPD6o7fLGoA8KghSUpyeZjyeBA1QGg53VsBFatQfnQ5OQz
zRQKYCucc30MYXr6w2voy4cBeQoVp5e8GUmESYPGdCM4jjHtdjhlfa9QpL/QAUWNCQ5x6s8PAceP
jVXrjwnCQOgTioFNT6aij159U2xihEUvZb+7QGbzKOVAlVC5tNXryo6alm5ZSxPoSRxekU1wF34B
gEhJU0m5ETdqUunTLbQsVC9p3/YqrzS3s2OX8zkItXxlrlas/llc/xfzhmZBs/jV0nr4Ur+kP6yu
33/k+9pqf8JcQZWcpjoOezCN5eS7l3FeJbESsEs6+TZsFqLfjBv6JxugO8BG23DYMM6I0+9rq/OJ
MRpdUq7GouxyxrH+ztqKC/LDasfWzMIvqWKqE6zhFq/1/a6Uh5XSow+ABvLpRPQL0s8cilPoJPxC
xzwG/+Orrc7ZbCq2aobFvUAGShdO5pZnYaI0D6IXjIhyJ4wfrZJUBvJNXuwooyct6oJqtr0Kbid6
BDgWqJ0cojvL6qNjTcHiZ4EJ7yBzGFasURYjrLYA7rUOuJ2jBVE2HhgN1r7ck1FJ9i5mVAdeLg3e
cjaY2dLpHPoCHIPTotekBno/wL6BWbCS2IAjYhAKuRYOR2Y+/mGSVd3unVC1HuiG0R98m1SUDJX+
glBbGVIZIRXPytWAgbtDnzDHIcBwTtq6VKsm07nMe7rGodZFjdeh63V7yq9DddXXfs0ZAungRs17
wssJz7R0WY1TNdPINZeGBbLhQEwSMnsXoS1bwschSQUekwJOqKzgllxYBNjkUbcEVcy6T2XYooS5
BM4n1gZiO3ZQq4sozsqvFcUSR71V4P2q0VgzZohVc8sD34AMjWcz9Mh+jzf9pENR9BOdWGjTDCko
5KiJifgC7+x50pTJ50SBtLUbtTbl0SUTLiACy3mci8ouEkwMWz4Zcas6cbclgjqe0ynkXursx/DY
MQ4ZVlKqxR1bGIo/pjgb/I1FkcEemIRK4V5XD/dqmdhMXFTrszo4QHpQt0ymZySqQZNDXM+8PrbS
VWtK/YH5RPvgBKbo1n0qpMOanKntTOsArJW1+Y0IES0Z11U8KctGI1UCMzIcFyDUhyWDicFZmo3a
Zau2NYzrGOsdTMUqumIWAy6u02LrM5NLC7cLKg+2HFfvz+O0Cw9uYKSM0TTri8hD+HP+ZKKrwzQZ
eAv8yd0JpmnjknGW7nNG7TX+nmY9Vzb6vpcxQ04W/eRiD7QyUYp1r+qTuR0HhXzG2Ea+ugR8OXG6
7Vr7qcqDkBmgYVFRAS8oWYrSof+aUxLccbWs26/gxgbAaJOZ0zymwldf4PKDFwOyo137DCbitWrk
/lXWDQGTgTHpIZvywrweEJjG0GosAZbrTX0EsZ28tZEI1J2TAQXNMQZS1JLGRW5BPAwd8m5GkwEz
iZylZACXgOFlsKjo8w4rvi/p3E7tdljlbd3bGCottzyoesUwmURgSnN0vFWlGt/neq9usEVBd4rE
dGQCmR7GsNPXlJb71QKrrN2fUXXZaPM+p7ive2PJsNHYamZH1NI1mjLeCzfLb4IwXjUp+PcNwWQ5
QTfkm8JQCg9t60S1R/eX2nMBZigsqUpUvpJ1m456p3WUGNIA1e4V0sTjPf5x5vbVOHb05hn0FDNL
IuEAmqsGxBPReJ+wFivMonvQRa8JFh6U6qCBM9CPaT5dREmqjQuNW6ZdY/i0EPUcCJ0jGEHiojvq
s9rpwgjacTpTyJrfNxi60F6MxsTbO4gR95MZ6q29RRPnMc9SHTqKFyTkg5FdqhfyghRCOTEVXGhI
Y1F5nMCMRWm2YoEJglfr/b/fnXVJNpSXUu+ajVaWyfqfxf1/WdznczChl18t75s2fqlfmvc+lv/+
1H9Pz9BLZnu+iZlSPbVlfFvhLecTbRzkjPTvx2cW19+cLOITZ2p8l6gyDuvvXEv7fYUnrkC1h8Ec
FX8hSBJN/J0Vfl6/359mOcEi/rBhQPRnx2B/kGHAGXUWRm979X/UndmS3EbXXV/IcGBKDLc1z9XV
E7t5g2h2k5iBRGLOp/cq/XZY4idL4QjfWBcMSWSzClVAZp5z9l67ExQwC63n+Vtie9O/GG1+L9JN
+ku0CZB4+57Ndf32Mq1netkIiHbtufnwfTCNYAMLJlYcsPNhGxMH92/eiN87W/dX9BAyMorBIcKG
/NvBpdQgsPLIW/vWFDKFLE3qM1ro5chZ2KlWJSFzT0HP8LKLgkcsyiHBqmGpv1ezY21NGO8Hgnuc
g9UM9toGQA4yvRjPZaz1yWIAc/7TXfM33T/r97bC/f3e2yh3M5KJte63gxYpffk8TpVPAVSXX+Mw
59jKLX7NwypcZQYlwhgDd6dqr79UDTGgn4LxdY4zbBN97f6KidZ9qeqpO8QIWX7989uz//M+4e3h
nvTvHkruybtS7096Jz9sTCLNZ2/dW9I9p0Aqp2Uqamflt2NyBBxMnYKSpj4yNprWpsE4pQNWC0HL
D3bJ5Prf7Dkur2gnjpYl99B0bsC62eujoQ8Sgh2H/B02ELZljjYPBeG/P3ogJNtybuTjP1/LHyrW
v97zIAN9HiHWSxcN4G8i3SDVo9n1DkkmfZFgXkDRhNvWjleTRPU4oiDJl6VjirVRt+NX5Y1g24uy
CgkPLu9yAi80bv00de+eOxBsYVnVqcwN8TaRa9G2oMxVaq9g9xBwURjxtYJ9sidRElVYnL1LAVg7
jcRbKCD5dUZPt3u+BnM6gAr3yj2gC+9ilVgVXCPS+MITghKw61jRhqEgnRlGhet+Dhj6F6NzVpDu
vwJgA3ph9Y48wrjV5y4rnZgoe9sk6NmkNMxsg1iZWk/Z2z9/ln88uL99lnSQUZjTemPGR7nxl/tC
+iUK3HaGqBw55bU282pTZ6N5Ql2+9R3rl5GN07WHpMpglJ5SuetVMf7ymkL9cBFynpsYmgW4HBs6
Z10UK98AVrKoKt9aYsGXD3VStzt4GTGpzbKcv8J+tJ565A5H8A/Gm+Xk8UmiOIZBB1p3McfmdApy
dCYdM+5/uXFYWX9fLIM/TK8O3Ub6cX/8/p8eAhmYcvDvD0GbN8MFgs8d4WYb7l6yrD8YMzFEDc5G
Ej4KfVOk8B4dKThMY1WTO0u7wYtoxfxTjbH5+c/fw9+srwHdSEZ3/GPSt/vr11DEczmAQhZrtD9i
STvsVzLMuHoYV/jT8C8d0L/5GOi23g2aqB8tlvS/vhgJ5R5jmk6smY/5byYAmftTnF3/+ZL+ZkH8
y6v89pQWQZZ6raOgbDpp+tMkMOw09wQ+4NBGX//Pr3Xv2f52F1OCs0ezo6Ln/F1nzC2ZSWmDz6+E
Yx8do9RfmkTok6sc89GeWpbdqh5DWooUrw9hFanVP7+Bv/lIKebxC9JVFnQUfv9IjVFIzGBiXcAK
e7XGBudNpP1/2YXvEV9/uU40qxwcUEyxhNtm4P/eK2fJDeYi85DQq0fZ2tAkzHmbpcNtAkMXpleE
70tnGr/uuX19UhhXbaEAYT8B8OWM8yrs+xbFk1vfvFaOWx9ZKuD7x9aW0Hxmil1JdxYbQLKXZNPP
CyckT4M0xJ9ZnC7/+SP7/f4QzBCwerJTWrgNmWL99S7UpKQ3vUfGTcO2AzUUxBj0MkBNXm38y7fz
Hx/b3dPJxmd5HGAsnNp/falERzZlDt1Yv/DiAyNUY0fK9XCMFYJep416iBtW+C8vylHw96caJyXr
DcclVlYfX89vX9dod8ImZysiUXokZziHBR4HikywaXzDKlciTZvaRyNO9yoe333GsRsfQPcHofMW
lpHkyNmH0ApaLE7kPbRSEtFgO+jxlNwWHQTVNkrfI7t9rwcIaTSIFxgSWnj/GE0aICsLH0q+yAd3
gZ7ZfAhpCiwbYgOATzIdMGBSLcCZmxtlRQKRLUogmhAnaRsFYTEj9JHIJttIljfCJHArNjACeJ4I
ZV6y6O9zN3gibqq/au8DZspXBZz7WulSrCoh4jfwZP3VaDJ7M2ZtDBc7+0MPWy4UMk4QIXRi0McW
2fusDWs19agNSM5uhy+7CNXWTbBV3DHc7vuU2iS2muWzlMODCrY915mSe/0ZpUKtRYRpMjViIi2F
SDVtIqE2oiH+rUKYvZsIVFraAJYu6NryB4uQI4TaWdOtIYGz56re/kkgWXAu6c5s0Alaq4hyNlqG
yKPWevT8koQhJ/+e0x5ap0xm0C7MsFe8J4FRdtU1DpqGqu/dYqmbZD4qKtcbhCESq9N5PQGFgRxD
96bSmFEAEHrP/ZAvZjoA3WyHv+bROeHTf2aM8jPjdPma3lWRjq7KdRgM38qkObTl1G5aJizniCnB
a5NlDom1CuzmLOuSv6sw4InqEJh3cytD/TrFfXAect/dEb2tCPmMSQ3NA6SAltENVzXpaWvpQjx0
RH98VS1fW69Q6hPWBZx86MJtrKN2Z9KzuDEzsN6qRhYoeBxkxgQxbFKmSw91XcqbkRd3yy3CNAHA
sJlXIK/mlyLW3c2J5v4FFmi4bAw1A2+N5FbWRn4xZEO6/aRIDuKgdemzJllm9C8xeZY+r+zJS6SN
fg1vChiFG1gfRmSpPUoecbGRLa0Svr0d7ajulvTFDzX4hDXcr3A0hbFV0fBgxu5W188m2HH6mPO1
ieZzZPjtljDtES5+Xn9GkZU8Q3oiK4zmFgfwgLzghlGb4Rd61eFyWiHcKxb1FIub34zJJb/7fU1J
+EM9q+pXYIL0Bb89H0qpymslgp9JI94rkznAorVqggIVHu1v5BHXOzcegQrPmDoTZ4IA1iYAjUay
RXsVf1Oy/SbDkalSJyz1o6it7jUOcg+1dVNuQ6jdaxlVsLnRfZ5UqaCxksi0y5QsNsqAGCcIm10y
Yq2wPFXGGWIUjlqYXCeVV4+ssMhxymYEb+N4a/5UvGXkeora4acj4iMZ5mggs9CrcCM7KC7ThD+A
ivhpgPWzHlDub3K63NeoBdpq1Ubw5PTzjzYQ9WOhRu8qelYFnkE4k0467ItSPGhpOrc+KflObKIb
Vkk79gfXwvQbWl2ySUKSfPrQWU52LU9+do+JdSAsxjNzOhKQkpeORFn+n9RH02y4wLppl7NgdRRu
O7NBNIDrrCT7AOnWn4ZYjBeml8VNEOp17vDZroG1dKukIAXXTd8bBJab2Mto0BoFoDBT4RiGnDcx
XL7UOWOh2ZjsT2ckPGIMmmzVhIm5SvO4ebCNMqRdSGnnbZzSfXWiRrAGxmjEEmIp8SZejc7sH+No
PgKlW/YOcJM8e47IwuaKZX5zzMnCwJvaXyYim0c5ZJz0g1EzI2qBhC1Ig85WDK6uis7wCqad3jWT
82TBuRcVkC3EeAMBYf220rIng8L+UQ3NMbHEigTyH1VKBGRaDe52lJ69VYb5VDMSbZNpOFdiiE5j
X2do0EzZvnW6tO5O6wpfM+XZsCDsyt/M2dxRXWt17KwuBr/nAIDK40uPrJ3IstFaJqOj7aVfT/kC
a0a/7NOwAjzZVu7GC8mJw+1w4NhRb2va8cfaMYYHA+Tg5p48f0pqcg2FBz/L9ZpbQuIiJoXQ+CAp
of7Qysy3VuSnr1EVuOtuctMTYj7njXfNCLrPBdHRKRmaU6C3iSeTj9AyskMTQF3yPXZOZZPEnpQy
3A1p3y8lqrrTXMz0OmEo7qUjUpZ+0axylZvnYpSgJhE3c4+rm7J+kWrjVAuPoe5z0JH63VqJpPtd
zI9enAdHqYqZWAg/O5quM69dhInfKtRkbz2stmVoF9bjFJOWDomAvTCBeuyqLv1Os5e0ZLdtNuCp
/TcZm+Y+TcL6kDkx220yP5henqym3Ikf6Ox0a5OrPY3o547d0IpT5PRinUSD+WybSXor0s7Z45cP
Tm4Y9/DIsvg8lAH/1obDpfGzL1k22TNhA0wPaATvuEXXTd/+CPAtbaqC8yJCrvvqApYMdVQhOfdr
35v3rXu3baiD7K/CTNdl61Xw1WFFxnIKwHRLL1obfeCfHfSIjx2GpS/05eUbjBUBfNN9hfogVnVC
+7VqumGLaUOFi053MHVdZqGG65UH8BEea5irNq5vOKvUzFroEap5MsTgmveQohCrhxTJHpiW3Jgz
aTuF1dQr7Zbc+FGniLSbKs/dY2bQe8C73wK38x8Cfn6BMsG4VWFWnHXafHmtDZeL6G1OwIWqnirV
X+7IX791f1WBOoDxjx9IAvBoxg75Kh6TbD84fM6xn5Lk6szjgnbUuY3leoijJQe1aKOicpQ0CCD8
DYYVXkcr7AmbbOMXSkyPVM4itWABVgjufThsF0hZ0auvfOuxLDvzbHejPDhxPJ1R8LdfrUhNovaa
JHkeK96MYbripzOZ4WdAKhsw3TRb2wk/Z0WBgSCuotufcujbRCJzAKxOzvxhh+SFlfh4aDU7dbVW
oV89yopslKTJALOME5OtzDEkYdrBAItMOnLhW6n1YkScSbIEP9WqFuzXA+0fVBdkH25x9bhslX0T
PbvS6vnyi5Bj5FjG27lxoJ22UUOoGmMVvUhbu3i9677flK8LsOtoEsAOJAzB11nvJHTz6yy85ElO
hGVujCuHYmhisTHEe9ywBfkyKt49GufbUBi02/ORvLVxLENcOo3kzcP1LjnPZM56kMRIEJJq6OuU
06BcdaqVVzkn7TkbssfS0z9gBH/rS7ffJMlsHxSA/13f67de2zzQGkrenOQ465hurgk+q8jLZbvB
nOtzulUaR3vdTquqJFlIFkF/sh1lbZKoTza+k0WHEqlJvFBlNO2HBOpw6ayysgjvxMt0YTklyYlw
HrKjMaXytYLY20df2vUfg9F+VsHwYTFtQGn5XeTtWwKyfFfGRnlrBgIzW7Pyl/h6/FMxBHm3Kuq0
XNWmBXy41sxlSPRTK59oL3KWjd6iFWVzTgpEdQ6F6p6MNs9hvwYOsFRp95e8SmN3gZ9AfExjhVia
t9A/NJGIb0U4PUVT6exg8lbvE/Y4rGCj6exoLY0/QWR0T7q85/xMOFNInPd3lTGjuRdse1+Ybgli
KAFzxPhrFlHlyC1PckBio6pvQZyNuwGxyntVdySpWljivTquAGmEB2i8EjQlDZeFFRIUMTDj3fui
Gl9NlbLpBMEA6JhMRLIoa03NyuCVBKjIS3/xM9W6ACoJOXM2cBtwjMEyoJngHvLxPlPJ4vbqI3ZN
1i6t1rUil/AEMRFSfurV/qbIEn+bEXHPkuvWDvFYRKoQTRQ8GZN/TzagafiSkNhKrp5vHmlR1FsV
2CEPdx9CRoYv6Ub6RrTYcmBs9dXRdNxMTmd+8Azb65mEpl3eB/rBGMx+TSBnwTG4V/Ue6qRxNhMn
QsMzqfxM2FZ0VRw+mAiD8qitot72UQCeEW3dsYyDF6KDDkDE6h+6j9MteSDJE+PI+gl+obHscU/f
4AUyIC9D7wYKwvyeiCJ87HPbPtu+iTgFt9DnfSn8Dus6ecKe1BAXYOVgQDP8CTIzwhdfd92zn4d5
uOq7FBCKVVySYZxeRnNOs1UK3HNjNW31/a4P5xqSfJcwvT0ROhhfLB03N4a99aHOpLPH6UqQmVXW
yGLs+Fsq++gqbTihsqD3MnpBeiw5sH0rQzIBMWuExZYzD2EMMAiMdVAyc20Gf2DaCCHnSmdweM1d
OoOM3spDzdQwhMAztjcAyT7tFK2I1OK8dvSKzvs5WsQVMIuu0pvDrXprggxDKdQ8294Ln/o4Kagm
d7miKbvAbVvcETbVLqnG7Fvbluq9QWJgrR2TwcGCCFMzXHE4z156pJMrO8Cp7paGaoGllhQ2QVya
pyYZkovhmdXaErXcDREUGcOxAPbNiXpgm8w2CJQLAiBK4gaTOZhfDasCcpsayCjA7qwaqeGxN1V3
yf3pRiCez80/5P1OcgkGfndZ/eI/sWGMCPvUOp8D1H2h0TDrmOJAPGKuJI5TZZxCIjt3l00Yty9k
CtIwNU3Od/x281nIaFoPerCv1kCqOnKikUpKGcOHSKLsvRJGpdaRJboBe4w7po8IEzuyzhwOu4ae
gYLWbsvKEM+PXCgtdIkdmqKqdLZs6vOW8MhylzuG6byWUdT+IlGTHAybzmF1sN3ScyFdABI6hnMK
ckBHlj+vijmH481J2jCuUKe64GjBzR3XkxBvfTmVO6kD57HQTrhLjbTBWzTU6Mg54Wc1T7uQwZo6
c7x2zcj0ttG6n1A8pCHeggrjUVcD/iUmJyBqrVWzfaK9B9fHSwWDqgCsPO6LxthPELjPuRO2L+kg
MtBBJtPxxqdOM4LplyZWDdA3brSDJhXyh7DksGklvPglgaAs/+aI+aH0S/0NUl77K6EPdMZ8aHxx
6c17H42twPQtuwNbIcsA341brWeygtVFBPF8aWsvkIug18VmEIN5ohsWs54P+GBWg1Okqyaq5TUd
QvNSk638ndKSctEfm+BHhpOb7joL9zdgJzhoAmc8Zl0S4IHBI9YswtGT720T1ndYevTGSInnaijw
jXpp/YQVNThFSsQ5CbPOj+IeRjdCjHI7l+EJ/UzirvQhR3zAh00LjNx4I34EF1w8T+jzN44p46NM
AuuKBNK4mzZ65S/6oWo3MyCmPbgyey2NVHVr0q7VNyfzhl3G9vUa5zEB9EEA95krIRpA6Sz/qDku
ETpSdzse1fjYBL31INvMQCtCGhg6StuIjGU3dVG1nKY5aleCENqlOw36nAEIfRuphn/Yogn2dFfj
oz1MP1tr+Kla48WkBFgUAMn3jkWKYYDtdQM1C2u/qPpXJeP4EIQyPGVunP4cMKIgaanT+UJni52h
5GC9CAwb/35D6PpaKsxlepLGzzYcif1jtvartcXYft5fAgosSLTwcUrchMhWezDRFw4ppb3HOHNG
/TG7C4lnZulGXFw9R5Tg+lUooN9LYNY/UkNWOR6TqbtOkf+Ay06cuzvxg8uKVmk3tXR0cqc/Dl2j
92qEA8DT8U5ENI5FXGoAqbSfb71unrAkxhCE1ay/Bz19uHgblu67r0iqNhvfeWu59EPANrygv9gR
e0cXku6S88rutHTBjOlFFs3iYljTiLsGf+lY5MGqsfQ5qcrmGHpYraOukV/womm3leBLI0mta0yo
MJ1m7HARVsht7hYTPkJL7FuOtMSUs1mh2prYkrvcnlBLamNbm+0faQlEL8a9LS8oYgkUd5W/r307
NhesdNaTDJT3SSvjLmbKgslc4gXda6t9LCOVPFg2fcHQaCFae71zjqJ+2WXch6BhCMIOgnre8Y13
41LbLkPXYOSOTcJjPYRvo+H4r4n2vEM+K7nMA23Rmi0hurD3HvrMc84BBr1VwHHlbcC5c7zb1Jcc
DuTanshlTQcAZy7JF2cQOFh+OpNMS7QqTOvI10xu/kxV7A6k+yo/TD9jpdmAi0gtHcEYDchq9VJ6
In8GnaQfDSP2X5nX15REaVRGC7dvnHUQY1YpvMxy0Op2wWuA65AebGE/dTMpfPacRktKILm3NJwY
6cAEV6PKli3BPNUS2VqHOXsq0+3IWXLLNp2ZxPyaZLLmIkpWYeLGHLfm4TvLKGorj2TwcBOCLNbI
otJuzxQ60Mu5bWS5aVO/f+yswNwVHO/xuNIeQT842YAlQjEat7SYs0tT19EhaMpuC6q2WI2j8E6T
WzW7MbeqTdBoHOdDSw1E8NFKRZl8SKf6oS0d58WaokWl7O9p7eFTCgV5BN5E0II3NGsvAadDNKu3
7ObiDF1f7OI4MR9lDXy6qZzgUJKSek7b/Lki1gnT9JD8anCsPPnKdZ/7vI72KUeQtdEMTyQfYCmK
vPFxLEdz1xcix4XpkgteVus2zmB6GzqGWFGWW2Ap3ga6Ub2goeuciSPst8KT3aZv//AYseYHyjya
cWFsp6jcD4Xyt73LbZQl3S8gz/qL0D2CpA2MujOax4kQwMXA5CtPZbk3gX6sMcgREJy09IYiv6u5
w514rR2dPHd9v9HMY52m4jtm1rXGcPrpIoI6xuPoXEGpKrFQmHiBBbOSVvSftmjd+02dmwRokhcQ
rG1xbbARLpqOkO+lEsRrZrOPBrJjtCzXZlMcA8ILtDTWYVZdMO7172UovvrAiLe9MVlkhnb86aDw
br2plnXrnWzd7QxJfVd3sXtUTXKl91szOyi3UCRutSHMH4nUI0sT5bA9IpcLp2E+0gB7yUnBjKXp
Lxk8LO00pdk3AB92VEqmLXa6Dq//l9NF6TJ31Het45MFVBSTQFrXBEzbMWHcMiAAzzfERgpKIC3S
vW/PrVzUYVMSelkxyeLo4R8FSv2l0hTIHgq2Re2Iah0QS0yTknJCWOH0vQJPfCQh1l05tUfRfqeX
seauTDLNh1WRih819tUnDwoLMSGJjaBvNGxwz3PWIYubJQZAt04Owkhz755ALN7VYBnxB4K1nMdT
SY+6N7SeHddPqbUGum1QLNZEbEq5pJZe6yCYww0DCloZKp1vkeFGT41Ebpj2IYmbfmDvkQ2v4qCx
D9iMUwaYA+7y3eDr9CPyI3ZFP+OWUjjAsmcj1RkjRwst/0ecRizEFqlKS7OBrnD0UuqTZZx71vge
Eu11C2NfOHvG2ej75575CAPa7FSIQS91juueyAJ6ouSAL/qY/dAzGSGwnoYeLlOVPmbjkD/1nctq
y7pRbTEh0tMcowplKqmo/rusiv5jrm3xlQNvWyg37NGBhpybyZYj4xKay0ZrLD5BM1vdLhNs94XJ
V00xOFAtRhJ1SWCoNxrFap2BKmGE2fkH3xP08A0ftEInWK2KC8Y+kF2ywQhp79tSfmDmV7zR8SrY
3+EOXB0jJlS3M55ca8RESp5BfBMcSM7cccl71GQNFXGzGNvYPPmz9aXE1K/i2ZZA3wl0FtFM7nQW
bocy/A7W5FE00xvi5Ql5f8QxI9NOs5/Ic4iDuEMhqeoLSD74/oobvUxpNuLTvotsrP6RvRuUaJDT
JcsKWa4pA6hUO/AO8aLQQ/lTD4IAcNdplxx79lWVYLHxI2omUDmoTDymUjJsxyfiWLuXuJdELqQO
TepCNJcMAQN85zPxALDyJ99aWUFCk6IFz/5GvVCaa1RpDTEOhCkMWGm/p1bWkmNHMsxRdy2C3kHk
GQfflLFw07Hpln3MkofTnn7BnMXhbjYtEp8pdWzWn5KM56IST80YWhy06J+mpsFwRGTvLRFT23lg
xaW3Op3TWiiyHCb9NvtUbSA/8T/4wuNmuXqqfBtHy7kRDRrFm7Zz5u/STHNYSIi13LDz3uZGWzS/
GOtxJAJgV2dzaJ4ndNrNwvf5GNCDkctBfER0dWgNfVKbUoXoLAKSA8d/2fH58UkaiQ+zSVjFCyVc
uoKxvs1nm9REyzwSM8y8oB3yl7JrdqqXI37T8bUjZoFPMH5hgLyVVuDvCmZJ616rFuvyrBLYOIIe
d2YgFGWkyLqSvnTEiqAYkVQmAzcaNhBT/ap0epEN+lE3nbe+rVbV3ZfvERWyhPOQE6Gd0oFP5Dqx
scm2KG36BQSPeBPOpU2NjxrGW7ki/WH3tpCIGuW4K6k/3+Bx0Fv13AYCk918VTn92NVkc4OMBEAg
g23C4akQwFyWjdURKxKBhgq19k9+EpQv9kTo+ranWYcZG8II78vHoVN58S1p8kvnY+5qoYcemJww
crDLAmp4WJQrZfYoWt1y1I8ag/QO4Rmp23YS2LsAPFuB3qJnnIBE/y1jVfzUlgJ/hbjmyYOPTp94
kulRgIeQFHAEx4DFWwx2RCFX28axSG1JyUTS0F7ZaPGXHpnpl5FzzGGYo3tQYStdpmnJdHd4FzUP
O0Ai0sY6PvKlYfevUCwS6g8drFNvIJ4hsDKOdfbe8yXb4JiIrWg5QS0oSu0zFVy9SBRTxWHVNPpW
ya82S42fsBmMpfJ745TfT7wo7tNH9Hr1hfTOHnF/kT1kWns7HiUHnGKgX93E9tdBaAisC7qi3ruj
lnQL/iKvpyVQDdatys5P6JxcjmV3AkfUjEdWXNzmnOU2Pav01sNitSBm+D4ZayLrW0G74RAxBVpJ
wjRXVep4j70O0zMhMeITG4kPMUsTuELyzeSselcYi4SwmmWRkGNKD8lZmYlFCiR+jjeVJuLJ4v68
JdLiVood4M6urh8FUq0F9jFs5MJp8WJ0IC1i+MlmY+Z0U/I5XQW5KJ9S9OrbvvW6b03EWldjEc62
Y4WybTGbGVdcGj2R9UV1p8fEftcSqpN8Qgyy3zGJpNfZbomN5c3ALryngGaOWAZ+SLK8iYdd5EW9
zCpnPiYGsSas4gPfzlg3wYcxGu8AAH/Gg++c4dc9cEPRraebBMemyx4SeDX9qs/UvXLATTBdQs3o
eotBue23NYtnskxUO+y4rRuOjw4t07EMkr11j0PxG7Od7xvRYK7qsAAuZPDJIhnQgJMGK9oJv1Sf
djxiTKweI9/prg1MjH1lTpgNcmNQsLrx+C+SLo1uMc2iJ+6u9FteSetttLEgeH4br2NDxJuojvTV
q+piicmA+jKaB8bOhWW+obrsXnJt05gKCCEGN2UF+0TZzRLZWPwzjHWwkhHwpdDT8xM58PJUgV7Z
sFsUa89XpPBNuDIgoAHY6HLrjyq5X05O1RzJkSkAUYPHF3Ns7Y0u7Nr7HuIsdQHouYWFcqHR0kHM
zo2PPI69V6floF1RJO1aI2npw/rJdkqzdGN13rqwp/7LwAy6T0c7sha+PZJim1jpKdLj9MAdWdwh
cOq99obs0wnJqVYgAZ5IEhmw51PvSOLA5F3BADUGFtKU8WtOl+R5jqMQ44BfBdPSHLr2yZrK9uLm
dSMuJqlrB6iS2FSEMfZrQa21a1KIFZ3OzYfZwStCDVFau9BKirX0OjQqlqSrB8v1ORoc+5JIQJS2
5dO0KXCJODDqNzJuGWIGunhJVImExEBCpdv6bNTGi18ZPx2knc+lNJpHUsWiDcC19H6qxdvnpumr
SRAT6X+x/+xM+fBoENyzyrIbLLViY7tZ/5bXXvsgLGd6MyKoOhlClKNTg7LGINu/say8QehwzrNx
Px+MZX6BKWEfq6I1t0WclA/g70iyEkP+NQxRu2lG21yqckgpVUxWBwRWO2rDNF420u4SIh9csS/8
ttkOKtDvJe5isAiztj9Lx+A81krTWBSck49ZKuJVhRUc2y44sha80zKWvb3ExYs0ouoDlqZY7kvp
0ffxuq1y/P4gx6hewjew3kRYkEAX8K6wK6eldaPZmh4HfQ9l5qnkb/WnTS3NfB/3hfMg/aZdlxjg
VvBQgmNv0dLIql/4OTfexJ5RgEDbcowGaTY7brMgZ8hc4l+tduRMUrAG8XuQJF+olH4GdFtxVYPu
jqzNRDDxsgHRsZVN/TP3cuxpHmGLqSoWJdQMsmbdVVIOp1jBqPPrV/AbOE21v5oKBkOGNZvMjZM1
j+wSJhdxggTUFYN8mltrh2Jo6ZtDsptBgQH1SVEgMBXqFuPEICsAtC3L1sSVY+y02RwKx9312Xxy
G7rfs+UxEeKv3LXBlG3cLkaPLDWQeqb72Xdfzmpj+HF2Dvw0f7KZfz2LiorxzkxZeGAEt/9N1ybn
Rkb3az/v4g8jSdwzJbC50aSTb6s2bV/+EOf9v2Yt/H8UZeGYgUAX+H9mKDyleZ7+JeH2f/7If9lA
guC/hzYnBFeg6kPIfrdz/pcNhN8x7wQD9ESQTP5k87Txh9j8DxYP1xLo//63zdP2//sdCwAa1f9f
4IX/Cz733WT6J10oBlLX4V3Z1t2lYQau+E1oGNHDx7xo2zsXnt5BqxHYQJ2emRbIA0o+TIYNtS9B
RDWxFvH0ko55fKisCjib2SUrK2xJVbeH4DOjJbGKOuk/Vpj49rUhu3PpT8niT5/s37gl/mru+M/3
+5v2UyC17lKmLTuMlONudu8HBSSiuDMjNFZ0NuyGMz50o2j7zy/s/GYe+M+Xvit5/6wB91wEW9KZ
d2lMeaSnLrvAxws2mpAABtgG0oMQXWRvqXKR00eZmHxhbwjLVeiTlJ5JoXazppCr77kINB9orKrk
aoc2FGrJp+c507VwovgcdUTupsQ8UTVX5q7V6V3+s1ZFek/XFOWCVhHEZubOw1ueGrOGKDA2KOZL
kj+7sn8aHDOG34lKKC+mdF1IuzyUoVmfIdmlZ+LOxnfOd93KIkbklFoFPdBSNxslEZVUn/OQmHuo
y1sYl8a9PTmgebDMF3ck2s0n725bOAW2tSlOCYjvPzMVtrRQart/w6poQkgySPWsKx+OJJWwSggk
re3sRfwP7s5kuW4r3dKvkqOabQew0dednQOcls0hxU6cIEiJQg9s9M3T1wfZmWXJvnZkRU7qTuxw
yBRPu5v1r/UtOyQQMN7VqWqO7eiPuXgx29I7d3lanObUe24XKfYWUcJmNjV/jm15hUSAw7KATRTB
kHDnFMwVm4sx0ts2uM4bFY6LP3xPShDcMYYQINQw34JBsnYom11AQb2xpWGuOykSwLuwDyU1rskN
5yhjNzUaAK7qAfDeKVzmEBur8gdF1amIuC/WVCWGFn4Jrd6Bdaduj2L1XbLIAc8SxiM5clkrpznz
AYVVAU8sXvPI3dFqbO11ZL8IaOdED7N0il6hoINa8EgW4ZFAODuHs8dNyJXDDqzsA4a51Y09df5U
4HBRdk/aeVQHEjMPAIDwkDYwERuP9wRzVHzrcQAPOPrnV0izcNsBC7euHQKbtbV9l8Th0SRBunVl
FQd1BWkNW7219XqV+ANFuw9iqk91Bv6tGoYttbBHYBqGn8dJHiQdn+aJMfJuVBAKexcmkpH183lE
R91OVEXuSdNioSgfuqzbNp609nXt4hSiTZLJaGtTeyJzXktrNK0NMN2DbSAEZXh1tqUDtjanak3P
6bccvZC5kGcdOOA7m8IkKWw9lWWLEmfMLmgslftG3qc+Ax53G+Z43sqaoK7jpvs6H+91jJNnEWEU
scdpZEce+02lOmBRlco+pYYu/Nlx9tNofsoqa/Jxs8JMxLAOFSW9sd1JbubYkUwEca90qTb5s5B7
MTZ7SwoRmHZ030voCRb9gZGVHevCvU9cYs31PD10E1dRlWy7Lr4Zal0dsHD5IzjQqX1a8vrWqXUk
emx+cazcR0lZ2k53vKDU+reMxDDVrc11k0l/Lkr6RBtGBeRI4uKLppcBvik6iR3gHrXk9kGG+4YA
Soz/loaZtL5LRu8kGv2W08sp5Wp4jRWFeG5IP+IuCrkhIGBW7TuyNi1esOk/TS0HdZnLe4Fmswth
efDdHqYvA0h7sMmNzbxwMry3OIdLpvG0jtPSopjnnjlvR5LTm5Ar0c6ecftxPcy3E3zbQ6MoMJMZ
dm/VY9Zuisy6c0OUh3zImL1pdX8gChWfDNZFamO0R5DEcsvqN55nDGwPjUdqeelM7OKR0KBR6S0w
NxzQm7F0tCsmctrRq/vmvgZwcRlJOh2SSlKwjjf8QF453g6LEW87AJ9XNo4JNc+nRmK7s+zsgalU
d8ooceUjaD4RyCWJpTCh51xicNnSoyCkam4k80QuSQw5OjPPNrIhoZtm9BN4bZscI4dRGSyZtfc6
SQIOc3TfVK31UpTi5IQYDFchuljc9FDiMIGfZy8HUtELJ8PqmxMhcXRJxyDAkFsxZNmh9ZLP+OfM
wOS25yRGudUxOdGfM41cYeIh4AKuc2hGX18a62+iTD+GJ77vYsQnJKAYppkcIn7KY+rCjHWRcTCt
vOoO5xBuYabdPVf7819vmPqPAIk//qafjhZZN5UxrGfjMES9dTBD7wPZZNjkjDG2ZWa/23Id3Fom
TOB15VUO9LG/fghrYPfn0w1mOs44yFSGRsbmxy3brbhQ4FLXD6xWjkKnkgKvQQv8mcZjXzSO8JNa
zz51i+oOWSnqG4oGsZwxUT9racgMc8SiRgDpxU7S5o66Cc/P4oZVPsKocYOBADOPriU+NbTRIQm7
8iDx6wVcjlgES+3U1Bi2HAWSB9zPRtDwsC2a4o7HIQC7r/SQfx07/+Rw9Gfv7e+f7k+AqtTMGdRn
ln4AkBPet81kbOfZbf3CFcvfZHB+DKj8+ubaDpWMGv8A1b/++e8OQ/oowoKMmX5Ieudb5+COni3z
1aDdxW8s9XdZw/Wj8n9TWn/8bWtM53e/TTDkHGjnlQcrGS5LbxnPRhH3R4LFX/UEDlNtZ92F1FJ8
cju5HDqBliUzYO8IH921l/aHlHfSb/ka5nY97dK2707MBYHNTtSHJAlvYWZBC4q71PLlXJUXMHiw
i7MGUPTERFVWKZI4rKFpPZTU6/HE5Jzy1+/fj2mj70+TEz9QTUe65A3N9eP8u6eZFaOtCfaRg11b
0TbDYLktDJlxdLPFBW47xNa+ppf3r3/rn31Rf/i1P52pZUcVNOh5g1pha+WiW1+dTGdnbsJskzSa
OJXzdBOKlnTuespxRuDG/w8PgUUJIhxmFJd2hx+fea4RZ1JFoh+MhDFMy5aYWO01wzZkTnz5mI/J
C7ga503DfmXV/62B6sv0v6OP6k++OX/ycfZ+//t/+ub0o9dWsK/IveT9q9EmE1Su0DgVNTLiLKK/
aTdZbwo/fZx5pgDeHI2oP//+8dnGI4z3rmI4jlqaXukjfXFJC2Xnr1/UP1kNfvgtPz2n1tAMkqEV
1lEw98ypaBXAeh90ha3+5u37s9+0PhVaFAkxruShHz63uvL6EjVbOyzhOJKEQHe2vSP7zN88oz/9
pP7+F/20DnD/oMs7b0x2E+V8JGN3m0q8SAjoIf0QvfEpi7o1D7Iej8nxcxVQ3d/m9f94ZTY1snl8
RTVJ2ePa4PX7b2kYT1jAkpCyOSdVh2VshgclTR3LwGQclDE9IhfjEh8igHUDTDKwfUhAda7hDRRv
AqkGSPSaJ+F0UZ4pzHu2GyO/YDR9ShvQSH/9KTD++GHDl0jpgosowSO2fvoYgJXNmF83PLSoP5cz
irgea8m+WnL8bmK5njx7ClSPtYHwB41MtFpwCRW7BNSBb1llHgwFy2kzlLi20JHSSvcLxZ2mRfii
YKn+ptQYIfUXHOEM86w7A97cglHWMLv2FpNXF6il4mylVoRb/iETDRbNWBdbzR7Mq7Ztfz3i/Kcl
qP95natUrHEI+9eJ4Q+Fq9RAvn2J3/J/XJq3rx9t/Ht2if7rD/9GLvF+0VC9yAojW/3WtPOrZOVQ
KueZqFIkwL8jPPk4/UYuMShntZChNQewiJTfl4HfyCUGFayOQ3kjNZxsbusf/RuiFZWvPyygCF8Q
a+GmcTb0pAE646evoCRqp0a3c/dlGFJS5LTM2luPm6oSc/3F7AyG/1rsPY215e7tVW7hYtn5zpiG
R2nXRKpITx2ygXLWSna3feEVe7Po0te8oUO1Ikko8Q1k9RfG2YrvKSmyfJyjG8H8/t71YrGremhN
VFN2zVdC4Xhc49a5V8JKxiDWlPklzCF4bdDG490git3s9dcJ57MzUX7d70e7O9ZLdKTexNwwjtB2
ifJutT6pD4qwzosd1d7XTOBSY1I5h8Szwn5nlES8tzldY1+jxAxfeyvsT0ubYm6xp27PwCE+kDCf
97PUqDSbauwIMr/G2uLeGjllFLNMK/Kk1HTUc78aWU2N41u7XEZyRdh5ppicrWHP+zAvuRMsYaIe
h6WqPpI6sa9xrBkkqPqHpdW8Z0aT7sVwsDxupDUkvKoV3Gw3qfDVEOsgnB3G7bxs5iId9pCdp21X
yeyl7WftZOBePJWZ/EJIhmgq6ZWrJGZCkDhu+ylnyno0wAtAgVg0tJfMSd5jZxLPMozcM+h+8ypy
2/BdTYOKNhMVCt8GRMHrYkYN44xYXPOG8zyxK3NhLbFRaObNSOdX6ZPBr7YzsIkg1NxvkDhL37Zj
7vL5MBRoIUhKTW58wehFMpfBFgxkg1s6H3iTF0rAGSskqM4l9ICK9drLEMEbgzVfH+BJV77qM/0a
b3R7UJLUwsisd+9G3FXTCNfJwHBKsb4aKUaj8MltMDxZOA4eTC0HG9cyZeqW2Pg8zQoTg8SoO5hO
cZvkEFu3jRtDZoNTzq11LHwnbIMxQ7VgbNYE5LU+6OAL2QOB393o+pAee9QY3nQy2Z1WXI3V4n21
lBk9ToOOM2c0iqd5kjnMO2LFY1nWJKomr75yB7Ako9LkXVsbWskcU5i+XZlImibmhq+t2d56ZiO2
OuHNHexMebMYc7FLR3u6iae8x8gj+dQmmpc/5ujYtT/ZdGWJgtfMS3UM403Zvy5MjM8CNsZ9Xyjn
vCTK3c2j1myMKf1amyviFHOBQrh5ooIDGbQgtNVgyLGaOfVHK2OUGCblIxk174ZikKXbWmJYAi0c
ddCscRrddJUWXYyFcUwXQ9LlW7ZgLS1HrvGtATPNCjWmdHOKn7qwyi/ukrUe42tRc3lqzB0OdjfA
6Mpto/rS6tPJzcJ0K7TRl1ondg150WJAi3BreHBABB6oPPG5FEqIIKmdbakV/DsWgfHjLej7qie5
bAGSwmvGIvzTTh7SfzNWLcsBQiAEWobbCzKhwu7Dx7FUVxPwHFwpMjDa8iWfoB4GVd2QLVv0xNhE
Ydmfu2UYv4XcnfwyLvOzx3iu2JJwya6qyChfKugsu9YhsB1Qw2IWQdc1BEUY/mX33vfvc/b9u22s
SMFjyfcCQvi6LozWjGQ9DgYG9t4U2evvtqk/OZ475o+nGEgPBiRkdh7gK6bN5vPTij+LjvFFFml7
3Yo+YSPhLJUZn3Dhv2qmBqG2yih/cqL6ymkAIm6J7407d5i4qdcNIbeNiKxGD6yFuhno7uG0T/Fk
+w2Qvw/c0tEDI//5SFz7YE45iUI0/a3sm1e37XZV3NQMM9sT2pnLuD75UqP4b/lsFZcJQ+dR17ya
wELenzy9jU+yLgqTOwxOVOKjxrEcGsPeapnWBbyOchtSxeUP9sCE1JuKC9RA77WiEPsVIB2AQzsv
32Vh9DdWNNc3edSQex5Xq2Q3Oi/c1MKjXRjhZS6S4Z7/dHbN0icvuH7jE0bjxQdC5wYLZuH9iNFr
X9lwAqQ7zkdifYSacISHeBZl9InZeTpsxiVqtzzscWukWbzLaNHbN6MFD5dNluojAM3sQT0yfhs2
Tx3Ckh8ZnnpKDawSdV6a3+hpp6Cxy7JzjyaH3dJKz8rKMWRQEmI9CVAWt97iik9GO8oD03k8f4ur
VR9ENaYnW1T2k+Vw447Durm4mTWcNALHB5o84quw1poDPp5j0bh+N8Su71RNt63d1Ufn9Pp0J8dx
vJvWqfcwlj2JllxP9jGVl7wjPTa7uW4+9YAhtqAXmY5Uunw3lRE+VKFZgc9lZN+lIwUcizWCgCD4
98pQfLxeDNldLU0Xk6tqp3MZufZV4WbGzgWBeuVYpEZAY7gGLtZ0JuKGF2SrNQOpdMbbt60YCbA5
OKL2kx5hKy/WflHTIHVJojbwhiW79GNcXdvTstrHSqreIkOdJtvx7uJ1FcEuxnHFOQpsEQ1uxFnG
n3IPT+WYF+iQM55oRtQpcZ9tyjaxnVmq2nXNimxWr3Bdx4xIj++KRYhvJHrLL8O61uUNrpuxkRtz
gFVatrm1X74vjP33RZKVwvT7deVs1jUUpy/rDJaqhYUg1rotOSfvZl5X3mldgxvJ2KQcK9ZcGDrz
SxkOLtVlMyu6XtX3g1NX5wXr36uFsOFXq+aWiUbuiu8bQ7ruEc66W+g56X7inOwhdcRA6+DIpURV
/74FaZ4COeKJuSMPpNfOAxqEdUvMxgz9ad3XkobhDq0PembtW428rhiUQulmn+ybdKFWfd1BSxW5
76PCZIRPqF8VYZmoM2V5A2toV9SHKszGfRgDHyJAu27pi9byxs6ixTeF7rSjDs5pNkvLW+R8PzXM
6wFCcJJY1iMFqiuHi4xiELzhjuXH67lD4/gYetz/7ALULbW2rhuEop/ORY7CQp59OoZWyUCvxD6u
OPrA4y7SY9r3EquaG5s+9ErM5lNFfsnLs+zakm16NIBpXKdRIZ/jyjZvqOxz78tZx0bRtHG7k3Hj
fTC3lRfGIdaXIe+HS9LOyaPo0+5TSO9I60da7xy7KBYMVhpBk5BmYqrUvRFgN718N7Yw+kMj6gwX
Jj/KuiHho3K2ty4FTYQnRZTjpmNyw2RudJr3qRleNFsp33MFDtbM0KxdEbr63qUK6sGJeOIpt4Yj
sWx8UDF5nwfqBmkVVMwYAhwr4kLHq3Eknm9+KtLKvkCRsJiCsnXpRVI9KGyByabSmvxoiCSlpp7o
c4lWi+Qe6apnTjGl7bWtSoZuw+gdOFhq7xMwzi+EsRSv8UKMggMpBWojwHttAwAfy2Kk8zLOJLn3
WcorjtxnJxiGVXYeG1ecvHrAMEml2Cl1BKwLM2k8YAjYHBPmFZ91gCYLFvAHkuPFlhxsvqf0JTnF
pE4mXjTXviNenL2iW4X+omkW5TJN0b1H1hC90uELqdcxc0gvWbjnf3nX8F4GPCILnaa0qUjxVt6O
0+Vs5VpyJ2p0g9LIV78djcIttTy2eUl4GiHtM1vLhldfKZz26fKhITJPlN/AmmdNNISvtBTCaNLV
gD+k9lK1FFUPc9tfWwYu8Uh3+mDEB8gPOwsW+RgrIYHgmuiYOwUNdwC6OeyTp5nfitF7J/RrAFig
Bg7aT1UeHbgyfNtxCWzKtI7u48KY96w8HKxpAHtKJ1rdsqp40k0lX8xa7w9Dn6vn0bLS57DVmo+M
77vv4TQ7DB0wRk97MuwcCDLWR/tomdW1xJ2d0jjBoZ8mcTh8dpDRDgBJMF/9CdowgQbBBG8Dv1Om
Orp2x74bZtbJMwDogHJOA72x5s+EqCC6UnR3nkaBNTK2wy+yScx9ZLvkdh0qvKjKKScOylO/ULto
kmaOw71n1mJn68QFk6ZIzmqmvOgMmay6t8UgH2j+bGEjAmL8GDLFcdHIWveqJL5pbIbISD+VaoQx
v4wkkOj5LnZOaqp9Q86Ao7GCKyJCyyauCaSFv3VI3vIEAFPoqOYkE7A+qYvZYhry8Dj2bnou9bHb
ujzRmXmgyIkzr/WidhsfSgL2wejl7V6Fy8TFyTDWOoj5OJGs2qOsEv3Scuel4CSYBMy9vWuCwvPO
Uka1M/TeeY3rRN/LISH74Arq0wsmZuOmmTVoJmWcdjQFtcc0bz97YX+9ONq3FboaYHXU37pBOLde
DcXGUQ8tZjImwXHX3suomYv9mCTL19SgKA6v3VNB98FWgBDySd3rPhyIce9qdctI1pj2GlWFfjLl
2lMXkcRktMlSXDdDw5I0dH5kSnWnnLCQUIA8Pt956XYPyBPLg6164hKZxlhPd6wrLYvVAJFHyy95
WcnrlCv7RoSRfW2YFCz0Y9Lhke4at9xj1RCfALUZF0Mvx2+QUsJ29TZTBLiREdjxW2HP5qFJMo5F
orwu3BSwfk08qcXWD9Yh3dtJX7OKSO4YUyv8wvoK3TFPiUqV3YixPS+3I81GvoKygu1zueFAeO7k
cGNp/YubvVbLPZCtrTQ7GEOlTL+lVoTTpCARBfPxzrHC+jOfLzYvRrG34+LA4olL9aINwxht6BCj
T1Owz+4paOk/L1Y7PtqFZ3zG+mk926mNr11rzWMrtPTEThBf2TnZSSjtOhH6vAhKAW8nTaNj1zDz
8JyEGNzUx3dJquz7WQvnV4u0zgaAUHFsFpOAckqE1ykzKz+4TA8W9lNneulZ8rbgEXUDny8NXZFp
FZQvzXVg6hTqLgK4ABhFGKawxvdz7pgY8ar0YFYWF9mYk+ycY5kfEn0ClGwRlDQrTEwbwHzhhc5l
dTTrNX6T92aQST1+JNCS7AfIafgR+vrgmo13wLEa44dLZngYa9KJxyD9OqKnb4D58kKvlxXhKAci
WSbFfVSyiGLbF8uOUt6J6VFc73U9e8zFrE6ZiRU4o1+XXkyqZlB/ufNjoH/wGgbJS68gtbBmkFWZ
cxVYCblExtJitLeQMvkGZqXGgo3FatjaPd8sHkq17byCnxi6goIyEAlPc0l8VJj0C6qoNA5xxgoB
X7P1286e+aokxQG3Fo+5pO9NB8sNh7JiNRvHeiSpY/kz6NsznbLhNS6t1bzzbiHMpJl2jCp+Ig4B
gzLXkdlkBH0Vv3SFS6OiM2pBbi3zCYUP7FLj3XMv30qPxHUmCwA+NvM+qP7UKhfj4OBRF0uQTFbM
NQkz+qahgO4c46PjJQh1OsQq/evSD0R4ZVt+i8NxtWe4ydE1ZtDbYLlgIYU0/pVlSi1zXmWfARJh
t6wzGd6bYvCuSw7aF+4q3Zmi0P6ozTbKkgUX8ikV5rBd25c/FzZFhZIe7nMqVgKUo9KDGpm4aoyR
9mDm66vSKNtDm9BNPJVbbUqRpaXpLTvoPPqeb5jx2HFdu3QipalgcJogKdA+Yk/b6FpE9mMFE0nr
NLUH2tSwXZYeoel+m9axey/Lwduno5M+2VpuHussz6+cpHWxywvriEHhEhk2dpS/vgvLP7sKW8xc
MRlrGAF/npUx0ZZhaBruXkDhDCwzJfIaDYw9aosYCXAS7r9GPkUPkV2WhKgyKn99DCjiLh+z+R2T
rmqC3LTiAILDotMKiV6JpmMQ0PQ0gCF6TLoCMt2qcGp2z8TAnRAIZ9LoJ9AvJvRAboji1zHkf1q1
///IOErQEKHaY0j130vyDw2Yi+btByX+Xz/2qxjvyV/Ah+OH1lyD2aix+kR/FeM9/RcKOpDobZc/
x0LKIPE3MV6av1gWGGzP5kdcrCX80T8x4hI/Kqc09H0XHylC/78jxqO+/CjGu1B1bNPgL7RtadkM
xH6ch5FHB8Zjcp4zQ4xCfdZJqBruoQBTsCEz+eLaCG8D3dVbq81m+HrdxyTlc+q6L0yJtPuw5oxp
1ePXjhDmJsO/GHSwiHwhdIEKX5efMqW1Z2eIOJq6M52Dg846Wqd3thKZP9JsfygBMmyiSN04KqOi
gLAoH1frhX7Nemf3831lah+FYsg2l5iqIspaoT+ZmyUTX83IuOHwLkkQi/o1ruqIZWaYDt08Qxew
Vh5LFQ2vSZsfBGX3Tb5ygLqxwKxmR5eIMgw/kZYINDqtyFGm5ZVyHePcAYk8KaHolS/J+22UQ+Rp
o+XzEwLIA0G1tzFuKAHqSDwNCGzXNLtbAfcMyrQqor8xAeANbIn+vphTmgEz80pR/ITVihaBJZwr
Wr88Qa0AMwgPKWTGPJRaev9N772bdo5sjrqGc8f+pG25QQdx3Wb7uSWzic2lvHZS1A8xoaMbdSQO
NkH6U9xKxd23xp7FAeVIG6E6aeg472w9r83kxVsDl+hWjQM9JCCX2N0N9d4Dxb4O7QGbFii5TcKR
xgcRaV4vVM4Shqs+Ur0b94Q9nNtGIzI+chTe9Cm0ZF2rENQchw08Ljlse3VzqotJ3rvt8pX6SBBx
2VTDFuuzF6OaX8jGxVvWMJwYHuF0fPP45LOecSp92eR2QSQM+bekdLODU3mvXpdnvj3wvy9dPse7
kdQGw0ztVDk2HwC2rAOopPicQK1IbPvB6dr05GJrRoyZkgf0rtZHZM8CfKQRxfBRfo+X093C6yN3
l3kG1yWSLZ0yHx2YT4FDQOeafNAzn1fvY9JK3LSiLG4WCBd+0cUFh472geLkh3ieoB1NBdmr9ild
qARD+vP2bWlA/xXm55wkziHl0KxbagqyzoEjkRrtruir7kmLCB1Ytns/zN4DwZdLSVR1Q6sFZK4Y
ql87UM+98QbN2+NFisLr1JB1sy8w2R25mgK7iGAYXEx7UoBphGC7z/JbD2tgUIG0OWLDUDubz+Bt
1LXDCUdUcojWasw8jlnOvHbPTeq6xx9FwjNvjDO98ul9m5ruXirIv5iPnvSonT4xVYtOI0aIA4BA
Oj9N+1HXUrnPkqF4ymnZ2PJW4XazZtIZWdqhcPQi/NxUai3plfVVAi/ttMwjJoxwcEyEAKuRfh82
H5VqqL2rAPigoHk3dmFOdxFhZV8x1QkmbILbrrVPDCqNW60BB+KGnEttb8SBq9N2MCu3v9XSpeiJ
+yxfaJo9JB1pXpt4x4FG147Ux6LfhZjYfPp0kA3iqdp1aFFbVCFnO9hR7Gfd6HKWU25ykPE6KC9g
xWMXoYnI4175PLee/UgQ2jnU7hw+06YaMkFwgFEOWrpPTKK6qVPP59qxkkcvUZSRVrXNyM9aJGgb
Xdx4RbPsCy9Pn+1SPmsEDXeVPW+iFlOhaqeL6gb5McALuU9GguMU/7RUvQ82zgOkMaY70GC8Vr1z
goLXZbTFrUOijT4Dezx0ZPShjCguC06e7WA1AcjL1Y1o3HMoOCY79qaLNIYiME5wzBrV2px9noZQ
8s1NjNTnXIhtb4ids5kX6WVcQnUVUotyGzPk5NDfX/V2MuwLs6ufsbxCz6Uh6qZj+AjsqKH7JtEl
9EAIIEO6pI8D+taOMetyH8bL3YQsBleJW2E1j8lRpf0d+5A49lVY7/DURO9NVSwHPRcPXA61YDGo
YKqIr95WGeQkApyJb5Qugw6ZXJGKze7rCHi1Bcl1UyRmD3LMERwZHcnQyQ39edHJ/AvKK4/CQhTo
BLHVMHEpsWuy5moSQJEFCiAwgJzWPMdgFU6sD7omS9+zc31ret5dAX4E5jDFQ2jK4D7owiVSZwTZ
gKyA8ZBrRx+yvIQABKoyfNJMcnzfHwNRbCOI8PRuq86Tz9RXWdscq01AJbp3na2UyK0cLEZj4B/H
dxH1cAlSxlkPUrnfLIrFi5GZLg4qFwttAIT/djA4DU5Dxs04ZXx4L8e430GMA8Ep0ntn0tW1QznH
kyIbEtSMQwJviZ9QnbiRjUQO2ROIzwrvM9aeZVd76ms18YGiNORhqDNnm07z6Je5drMA2QE5y/UE
pNUjEAx57IXwts36TtNMHu6MIZIbt2Dp6bzyaymX996pXgdHggYR2HfJAzpx4LQVtyJ4dKcpjC5J
XDfXrobsQEXvXaLbmBnRl0FQDdJ3abRcCajocaljHMhfNw+REcHebaN6b3ddcTCm6k0TrEJ2kdFP
HhLPst7nUh5G0/pKaZSFs0wne25YX78f4P7TB9n/efYTSmuwDv73Z93TG+yzf/yvt0L91z/Oby1x
h+aHc++vP/+bA8X+xXGxmCDn6aZpYfL456GX5lkOm2xnfDj519oh+89Dr2H9olOkTJQKtwln3LWh
9Z8OFPkLvmup41whLsxnV//3Dr0/Wt6E1GFcQWi31svZ7yyapaSbpOeLvIcoRFRUMHDexBo8cEZk
w40yM7sKPJLZQB4FhbTEzdmPoKvU55mV81hFUb0jb0D76lrprM2TQ+Kinw65UQEf7kLGsUpEerXr
aU730UUz+BhGCxqzm48FQbFN3sbz87SKew4zGc4mWnxgXa1v9V5mzxGVc0FKanoPPp54NshZSsw8
70jmB81tlRGpw25OTA/pEdG95M1d5UYnkU7ih99VyHYVJN1VmsxWkRILGzTr78rlenL7VH3XMx2M
nFewj4iKx6vgSdkL2idDePnQrYJoN9cJO1s9JOcZPCJo+EnsQkjx+xk11ST8vrVdUpsbUXYcsDOZ
jVsyZ+a+WsVYIDuDv6wCLWhSMK5tuXwWLKIB4zKqwVZJN3PiGVSPB4OxjVoiPrSuriJwX0BK1e3C
ui4bVvlY5uRBxBierdRR72ZGeqJrlfDdCOZE+l1yXsXnKi2zZ8Z66jmip/WgrSK1gwIOCsWKy1Oy
itkgZ8mIKLrLv/RGH66RBlvuUX0zjeRLax1HMWgVjPhEPAhB+O16MR28QUufg2vXl+WQTwvaTZKL
5mxrkXoTiopYBAkYCqLoOgq/2Fvg3fO3JCpW0bY3IKRh5BaHkolkAIGKWvDcnn1wJSD9bUk8NUp6
eY/rovhWj7wLvmwM9ZQlJqqN69UqemQWzjmlGCTErsWmW4ioelE0GzNzo9vCdoyjV9TxxZIoqbqi
uZC3G6wTL1tTzdu6hzwcRiHduozLA5O/Ul4aHuJbn049M3XRaX4511A2HNHRCIf7ZkeDBSXuDLWa
Y2yKeVfEevhtVjaPCRylhadQh55G3awgnBQCMbjnSB6+IT9kRG1I+qCdcjhYisRK/dibPXTnmrad
kCMhsJ2quask+aLN4ik92fXUMG+lJCaXmHn0zaq5Jkyg8XA8JbPaWlh7aVhtmg5lZlxag/bJvMcT
7grtK6PS+W1hXPOI6ZGDQyV045vGGIyvNEl84KPApMaNQ7sG/sakBc+uhhykPkxYl7gUAh2oMHz3
BKbYn3ECFUO4k8JxzUucLISt0KEisH7pBNyojnvagHJU0k8G7ExSVUoUjKaAYssg1WsXeWrqtY9x
ritS9omubbpiiRo0S0i9G6GF1olzStQyM/W8+3yavkiN8fisg3Mwy4UbDW4i8NIWdpCeDt9Fr80L
LwpDRMgN09Mk0ugN8Sg5FnaTHdUckspmBltAG+m8W0ifEgtWu3o5F4giq9rH+zSFeXdGtUVIsuYm
GWD8kCMLRqwHB9xwODKk6n05KO+D+mWd1rpOdE9Ix/E7fKHxPQrTYUc6Z75ZmP5dEq7rxPCt4pJ6
K+ciagTtoqY+m68Q/w2GVo7BSbpYtOoq503yx6KKXvlLigORbu3SproJecJ7zQDFBkjB9tUyIKu7
PaUxyeDmV91sWK+uGcHqLNexodOmWME6ukIC5bD2JLHKhi2o02TeDmiex8I1qlNhJKTNXASyxO84
nFylqTMdZjtxA4L9mgpASYVX4D9yHFlQZNArqcdQAa8OeFdleo+20RcAtlvvHn/t3VyWiLLTpDaD
6ZY7S6BekHjp1YNtwSVFkAB3a5rJl0rG5qlHf2WI1Wt7Corz45DSimm1xPxBEGcHmYAGyS0awa26
Hn2+6k1QrWt6OWeOXxOgOtnRxNUxanMGQrFJgA0HGt0seXIjWPeuC83WueaJhtF0OPha1bT3Fuv8
pY6GEFxaBTBh6DOOT2NsXuzezB500A0fuoOKvJmTbAh6QLfnpZj+D3Nnths3kqbtW+kbYIH7AgwG
mCQzmZJSaUmWVbJPCMm2uG/BnVf/P5FVPWOl3NL0yeA/6EZVyRa3iC++5V0wd/TUdE8SNYWVGSuX
jZdA8Zn0CgW6Gehh0Exldh0jhYP0vzGtz7HidfssL9O7klbtxTT3t96KVkZAtESPxcs8/SvnNmp7
Imc8ZVmLfbsiPg8wLp4geHhqCbcDyeRPADlnpol18oJqPOS8DDCH3sx5we5gLBlPHSOlTphHLdbF
01SW9p9020Uwq6vr419S7k2zhyTvVRryjTbQI2Dak3MLyBlFZbHaQWGs02EUinm0W6iBpJhadBnH
iE2vpKMXOOeluzhZjYteGWMqb63vd46SFXeW05XbNI3AUa5NIn4y7U2To+6M6xMqmjSt+nxV9Y0K
EdHPjHk+JKgR+/ECZ3WBnH1Y3XL8iqc6Np4m/qYrp1iIiHAtY7ybNIwwohx3e7MCq2g0xxXjtoYQ
2Oo/jbGujuB7aBZ0C50d1YW91g5u9z1aXRDfa6XvRhRNL1d3HX7CB1p2tdaNn0XMMbSh85SHBjP6
yxj8xZOeAvFjdKDHn6j7VcAl+GvvWkvSZYRtIPRnQpLqGme4ciZNu6KlMjG4RU2uMbI0XMyaSKfw
dy5wRQFZ1kbzDRWIjRosI6fOdlveZt9+iaZK+CXHiR9XCF3mc93dTZYALehGzn2XeeNNMkJLWcuF
85oJ45Wr2Efwq9VFNyomyUAHdtPJbOfgca4+/9+m8bJe+F4jwZDGjDf/8z/+rh8kKPvVv2xPfpS3
w0+x3P3shqL/JzJa/sn/7Q//8fN/52qJcYn5bo7+X9WPp/Kp+sdT9eMfRwLP85P4x0VX8K/dr7m6
4/39m/5uURt/YGeJoyTob/zgVI+0+O8WNXm3bBA72IbZjkVa+N/Zumb8wX+BQmGbJrk0PNT/ztZJ
/plw0Lp2cMBW+RP/VrauveZVOa6tag7QeIMWOpWDe+pg/5K0d+C37TqdRZhMJbMwq3yuGhdja8fp
kJcXDYjv4gXiSOOvXv7MxoCSSB7gI7dO3KvxXXGrLsB7iZpxSh9GRDD/Gn78S/7RGbPldIt091XP
spkYwNY4a6LDW8fbO48FiAkyLYXUF/nAFjG9xDuMeMKaxny0uyHoYp0WACrHH0yV/sUN0MfXeVWO
JxUvfi1s9FxrXESkRXhK9Yx1Hv1GQ5vaSCN6x+zRIQJgPHjw5hIpLqRxH78Ug78Beb4uqf56BTYs
Fc20qOyYCry+g85MdVGURRuKIV42DK/vh8Q6pm31EftK/qL/oV/980I2lzExOdeNs0e1sSiiuV9j
wFGPNWaVvbdz+gbwa4me6eKl/oLdOZxCEsVxoiPjRGp1wOjl1mKkegDUpGwNxYieuoyeiZh19c7I
oWnLfYEzwSwuhqpeQlFS+SkNkTLPTQc6coPm4jD22BjEKzIE+k2rJEg+4cK1WVr7axd1F6ro3MBM
W46bihwYcvISdoBWr5foyzrR/EnK9b7WXGtnztN8xG/lRTNWGtRj8VwppRsUIuJY8H5C578zVufP
978QlfXZi2NLyIkRRvaS9Sm/4C/7yFkrxgFpy8jeiJBHm5evWRQFDNp7ajcdW/YEgQKnHb3d+9fV
z0dMtkoLwKZb6xiQRwgjry+MT4vTIMGfhW6HLJOLXsSF46IqqtNwBo7adXBAVtTJhY7wGM1tBPuR
GHbcig8KEmNbJAgSugC8LYc9RbMhD7zIcdFxn5awwMfAl/otGGIppOEf3DuNirOXxsgMETKXVY3l
rnq2rNXBw2fASTCj0fQqaBXLwmADHxhjJH/HwWWbg+4KGXSXx2Z2L0aD8TkaK9SMHb1G++KvAGQi
hGQdbNBxG7cbqGAUHtpZeBq7MFJEutbv79/3229t2jgg24jP6KjEyM7Or9+6J98Ez8ptT4qglWkS
lVwVXtvpRQu7wZ1r6ClbzUL/aH/+5oXpJt0b1bbg+Mj56a9XHvQyQiVDFGEEKYKM1ENXQpZ97z+f
bNS8DgImU1F0b6A3eWSWZzz4Ch1NAzRdESaLU4WOaPNLKt+/coh/GdZx4vzNZWhiQYdyNGit+tnX
pzGDYUg2FgigFC+or4JxsDtMGQB3oCpmssk9BfnDaKT6r7QVrq9VvGixud42a7ZFQivh3Fk8X5M9
ghIqLD0AvHqKjkWeZ5Puw89NfRrd94pNUqfazlGfF4Gs2uAG+Yx7z0iluGO4T3cB6v0Wl6FQpTj2
LW3W/ZQZ4rZO+WNdYmkHlIfQah9oLYDrIhK1rgtaHhShjuwsNjL0IbI4hmZFirirYMRsEg9be13v
Hube7aBbopwQ9dlzuabPWM/clhgYXEb4B29MI3uh0Kz3HZraG9Wr9srsqcjCqd4OB5MXDFjczVAT
c9EIkVJuHgtOY31XMSKIY1M82yNr0MzjLyBbAegU3n3C4vCVPue+jVtM+5T9hLX8Fuj2o4ZlB0r3
RO9lybFJmy3sThhtBPOMI1ou9b0LJsBPmroQlnWHqfCUPmM26wZGywQ0BgIMMcL6hsh05tNt1+9G
KNKbLF05iFdbwREye9ESHnqMezcoS+4XT8w7oec/7ZzTc0KYJZ4A+4wugRssfrfNOUCCjB4WIgDK
o0N5E5gRiGwvMdzAco3IH8wugQe1VmGOZCftUSZ9rZ1S0HACFwtAwtIsD1bRfM40777t0BhHG6MP
8sgFqY6pOQfLaPqFwaepOnFnp1BESoyaSDDCyKmehdqhvTM0JqDSott6M1+TAXNDsz6zGefZu7Yt
XpAG1Td2O161/Ui9l78U1IDh3C3ghk0etJtKCxLRdWSwAtHUc2HFOEf8q2kgtZwBucFIUx9amlkN
67yWR+ZSk1/lGpfCROkFoxRWLF+WZsaLpdUSrddaD2NONxCwPb7HJqAn5gAvtZSYquiybdR0cpF+
qw8z5fwGP6LUL9bymc5p8WmALujbIyZzzDF3a5Y824Za75NFpdVGNcGcnWckPT3Y2UBuJT8MmcGx
s2mw5WiqgCNi7S4Ty0ZtEAXvKOoxJ0qfXbx7NlZs3Bpu4YUoij+7KsCmnBWuITSA7QVrSWBehT7n
jPslDBittCHhufdw+RYEtNT8ry1QssI0zbhlQoI/wUjyiUDPel3NfKwhldmGBOzijgiRLmEFGRqf
v4PHiLRKjSQRQIfDpKIcgTFo6oMyyIO6R9hV3ji3SxYDDXuXKZxp8JbFlW4N3Z+DN3m7gcml3zao
yxRO0lzXntfSJ+HbOQvWEGvrXGi4ogUg0nC96b2M2c54qCd0mjNoTztpq4DKV/GiSJiF51j8HZ6D
pctkRX7gUrVu9aJ9xLzQZSKbvbQ2d41GMv6KLLDByV964MJI/REJqizmAh1I2L7gBGnsJWMY13eb
YeIlUgyQD63kU2TJiJ+jZoGcCSLTUGQCfF9duhdavrXX5tHSsT+Tp5OnchFU1b2dpZnRpW5nL+AU
oxv4jruSJMlP0ZLciq5qdtas4+Ll/agKgomhs3Irkq4NOi9fuo59jKzsozUSa2nk80JmKxRO8dyT
X8lwtlS8iASb7lNQGizCC7XfI66WHIyDfdRrpF8QHL6l3qnCFPQLqoPZ8wJe3XcNkUE05OOeqolE
Jiw2sOytPHZwHjqennBa8he5JdrUupVHATON277hxk7foNG9Y1oq4EiqCAGj6YCNkiW7qCybygUI
rVvlttYQ981M7WCJ7CVv4gI5EpaKUFmMp0jn0tz2LaSa6sUiotqrQuvRmz51WDtvZ4X9m7EzUaFZ
+VuuqeyLvIsue/l1ZoWVB07/sMaVGlgZ+3Bu1vnyFIkBk5KI2TFK/qnLmWGSZi2re+8Ujew8x5XN
nbjzrpv5KXzFmVU/NLu0Hij5aQ0da0/NA9dqOH6wH4NWxxs7nSt4feO5IpPn3LZuNSDymHMtoREx
MMwXXqRcYfNKME4a0nQizW5c+VRTzaITjNZ9BCRYpiPRxx35NIZHQiG/bpeJR4YixsZJiPpUQVXY
xvzCdqQqOMVfjAqk8npShVWuGRvFq+t9m3UYlxABhMcF4oRVbQ1sIGfND7bNXest4SZr6ISe0mEa
UMV2mER+rUTF8gWrpnrvSG8mI2H5qnP+fForVV8+0yhB83m+j1RMe3JLQJkfedXytIk84mLeswUi
0efXs2MDb8FfCDIPzXazF/kGvfdhMzRVu6PphBOVjU/qlPJWLU3m55azy9o22RdNzYG39O2RKNle
pWbSX5gTfpbgg+zNbCSgHqAF7fJhkj46XhTgnGpu6m5apk0EswXZpzWWtNwBzqZmprsR75sNXlcd
CGo0StM5fanb+jESVb+bqay+K0hwfzaKrLlSqxy74Kb/nOELHFLnpGh8a9ojYjMgdUr8u3LHSINk
0KLAMFYVEC8T/5UyaaxjmRo0Y30hrASB3QHY7LSixW1O9NBy2TSHoYQXQEKe3K7iaGiJuXPMWbuE
pPY8KAWMMEfvfDQRDF9nFrDLJ3W9WgXbqakI9rLMqwGRBWjR8n8uThmWNSV7j9n/MbUAFM1Vlvo4
1vdALwFGdFgZbOYiNslRWqwxy5yTd+GNjbr4ma0kbP1o4QTYVvTm8frZIlhx0XvtY+EBIaOLvm5G
UKLXoyGl/nFlQy4cUw7I4hGXB45c9fwy4HX87hWQVKppw04M1mVRj9/iIp7gTYhkX7ZgGKYZSA4F
1PfGmbZZvHwf4NCgQoWSTaKoHUYrGAgrbV/4rAYBKLhKYdqq8KTNGk3YSIfioafGHjAs5IUOTPAY
43Sg2jcKupBolnDOAKIGPpTiNsI3jZNrlNKu0pr4a44T8J7pEvKUCxG8hBbiKT8bm8XnTICodDnQ
yQflCWK2y3rS6J+u5m2cZzr2QOoBAGoeVDEhU82GLgDNrUhpXqRV55JdKyufNW8wR1sJS+mQvmhz
7WHeR/6k4W0FniJZvhi92covvPpTwQmEv2L0MmVKjWKvWzxU7WBemSvEbejSvJcOxhotjjJvxfd4
9ST2CtuG1Xb6MK9JgpO5XXdTTsakSq84RMB0ApeM41BcsYzinEN911c1q98qI+YLQwOs5VTRI2JI
ODDYpi76rhwy2i0wE7EpKrR4BR6PPn4ljINiLzSn6RlVcDfMq/EWDLWyjcD9MBgdCZocBfI+R1e9
1eg+hB3M6E3Eab3xSLMHLXnOrfpRzRHdHS31tgMPtulVhxWadPMl6BQmiaqU/3bim6qYDtgQf6OA
bHfqaImrTtXFl0HJv2acaXHvhK2+eJegt42NPmX5dQbMdwvW2wVw15Ndy3C6MpC6xsEOzJrbN7vJ
cu+NNH9ulvJAgoF2szMLskDjuhHkNYrmHdDItqkbsRbs9Qmy/VwyL5q2ow6KvtcLnjUVmGlMWXKj
gjn8epqC4omI03buXBQmK6wpWA2D4tYkWLxTJP55z6bjPtRGJa5iJZ3uy1ZhWIYxbKDL5lUaw0cG
N+MvLnEt6shz8jaZj4pi6ANIMBmkSxKncWzIvbserTqmpxQ6Y4PyL/yfWtT7ItbCSB26C83LXiol
eQER94gXEzPZyjrGBmvkdKLjVZRyRmTPrVyrMcvkiMUpVR45AcU1oz1w71uFG2aYwJlZIUIA+I+q
ZZ1pEGFPkQdDLB5BNFEvTMP0KW7YUmgH8bGrvgoRBI0uFzqT5DoFfkB2D55pGFO/xJNOidXRn52E
7I6Kfns65dAXqg7paJBGmYuLG4inHeKGyxQ6a3hOjPVbaTjJD5HOeE6gaUcHBFVjTNkZOiusJm+J
oqdi6vgtonxRoa4946taHQpOvdPqp97c9k6WXlKsvtCE4KkK+86d09D29NsKDZ59F3FyZVhhyUaV
Za7tfoi98dpCgHizYIu9d2LW51Dro9+RQxEU4uZWgDfjMPMa5MBBF+Ble1xSwhjNyHxbOojM51Z/
qQxrSsRtrhZ9Xbdmy+WXwiVfhdyLtqb+qRBjuRlMB8YN9Gnci+hKsdo54pAc8MfKvD2dvd7MPk3M
6P797sIJB3LeXgDAgLQvsBNVtWV75ZdW2ZghLR9nSx7inUchbtCwtfr+sQUhgjRJCQFB0XKegq/c
r8W6S/RyINQ0D1b7p9s296qbauxhCl2ZZgyOqmxtx7nPx/hG1ecVJK6j7JmAD0EyodMAJvfGLhWG
/25PAtzHX06NzFON5Gj6D1wzkxdUQkbf6u1bLV+rYFJ67aBj4nFpN3MJwA1xBoxcSEodaqDeIIYI
B7o63BtyLwXNnlMRNiBCcje4PzJoo1cVBnK+GcssMIFmaFPzBlbsRhe5ps3/fouciQCChYBcbLoC
xllHKivSpIzZKWHUUXLAfI4uO9wr9zauCGC8rIdUtlJ5Ps7/ge2mTSSN73/W3zTFpIaNA3wIEx76
ua+/Km7mrZXq+RBmDvizTl+TfSfIkxIbD51cyYBtA4T2sdEzPmhXSbzTeb+K8l3i/w0CBr2k15dm
Z2tDmntD6LYzzDKCegDORJPAzzIw16b5JhG5CJvguYKVyk09luNnr9FD5una4/uvQXbg3ixufDkA
PTjI+qhnfeBBH9Qmqac8NGUQkA0Ds2dLO5Dyt8IyYcYSXd+/pHy8s0vSH0X8gfGEinnV2eMbmFVR
bkZDCNTH3Rbt4m7bmH/CFfV+7gQUqgTHYPCQBfLMY7l//+q/aRYyJ+AGUNE6jbJev/ySl2oAa+rD
1iUZy2no+IAOug9W+G9eK11m3bItl77nmzEVp6mOUreFlI+WmjgIILMnsvmbsnTHziu+Ln2RfnBF
7XcPZkiZcfrbGnMfuep+CVNtJWLSkrIP4zTrrtCvxFqqN8UFIYFWzuSCVKfmaFS6Z7odP5dzsYQj
yFGsA2FBFWP6Yy0e3n/XZ9pODOtMOUe0IbYgBPhmcTVycOypDXssz77VjbX8/Cv5zTNyvGJuj+9f
Tk4Zz1aWhRAf6HFNdz05iHz9CgYdWndU5V3ops5R6NhnVArGX+hDpL5K1rzRRvsJd9UvjQp/UXXg
GdrKZkyna/B2P3p3Kjarla7X79+WnMq+uS0P5AlLna0NcvH1bUG5bpYYoA/w75E+TUHybLeEmkFF
2XfQgdjW7QGJlu5Po5dyBzWfSElAcKVK/aiJmcYUeRzCiaC1MQxYSDKM46T1Ak5b9t3u9lavzsFq
koL0zoXRGbc6Oc4QAzMo4yEDixhvE7wFfGeNkdetmC3JqWMObm2jq0XmS70svwMxA5oMUEMR4c+k
Ahzn1dDKkmO708GWraq4eP/d6G/fjZwkg/00bA9w8vk819PGuacwbELERGaER3HPdfoYadmppC/m
tHApEyOldYAEVz9iyiIfk9YqjkktGg0udBxg1ViXYpJ62aiDsrVUpkSjzJtXye3syhhCDvBHiI10
QuPyw3h2Ugl8HdAcBCt1mFMWnClLlc/4y86jl0GcFySbJKXdJkM1AawWFLzKEY+DLl2F7PLgepbY
apAEgFOkOzGhJvH+q3y7+B0Lwwxb15ncozRwtsqQ/jWaEdkctJYgmU+8GJ2VkFaj/cGFzlmLbGtG
h4h7wriAFAes/vXzMgWJWr3IYbNWdAUz8h5tyYGVO331UqwdHQ6HrlQqu8vtPNSYBqGerw8eWPpy
jIOpSZ51SniMmfWDU1Lv5ZSAvN98W8uasaJ4p799EAazeaOgDQeZ/kP9ybdzSB7CYwBqOSpCl+eT
44rKVdfWpAmTrtQCvTDx6MNOGIIvWSfS7S0uucMPWS8tOe2noU1eltL9IGK9DZAOsAjmiYZumG+P
iUIfOqfRMGCCPfDT8Bb8fXSEKQY4bP60fHQ1/e0EywGD7XjMfQ34jOeqU0at9VAA9Yb55RTv8qZe
AjmWxJoK4SsttmjgklBDLuKIAHH3qVzrx3qu82skT+gKqPFz42rLdWG2636k8N7kZk5lXkrz6Kgb
YSdNn95f1G/PUe7YkoNixyainwMJhDU7ZYc6XOgoC0KXXdMHCgBjnACon2hlQ99Qiw+Glr9J+Lka
KwKVaZWwfb6TClIHnKb0OowyGpstJsIU4jP+BbU5o/zf00+NAV9r+XDR0Z66wsv59tQzpN+ubKGC
q0Fa0UKIGBQFPdKENEIN7ZLWirbDyX7bIHpCdknZbVj9I/o4dNNlT6RCgQTJcc/d9Y6MZqlFv1aO
X0x9SG9zKiq/rI1kD6UcfYscJXmkS78ULa6tGgpsm0azsc1m6LBLHJnMR5MXWnJCCcAeXSX6JKfZ
Rl1gScDMDc+w7MVOey4341SqRd8MZZ79pukmnBlZhu9/yt+GDdswAfDYuqmC2XgdNhpoPIkwCRvx
0ic3KCTTFKB82emWiQAUfUzOQIrc1NOfaZvTzbb40NXUusGE6tO2ssV06Sz0iE6xvtQnRqNLisGD
2TVW0Pf619No02w0KHNMay9LBgrHJOMjvP8kbxNYl/hK8griRNVB/r1+EBGbjGBBi4bgeBcEFRDK
Lh25JcxkvIqFV/qeu5ZfTaBvgeGM+Qdn5rmAGvHX1U3cOcG8AIdChfP19T0o3N40V3WoFkzRal3M
N1pOv98t6IQbrWc+oB2IFpyR5BcDipRBbnJCzgp97FT+E7ycNhhUpwxicJshZxcTJYcBEHIY31Rt
wBi5flSQtvdP8wdaG5pCny+as20SJeLRauQ0wKLJntGUDNVS9vhm2c4FbXsr2sl8UAsLjRrvIEY9
heC4WmgCElXK2Hvhf5I8q6g/zS4rwgqv5jB3GDe+/5F+k1m4Otm3K/X1OJVtmS//ciqPzOqqDGGu
sGVIcRoQwCxkJIwKk9+kbEOYpBCS8vViRtBtsyJP5EfpA8OD5uI0hlnVAeCUQIiG0/q2kPGtte/h
O6TMxZuvFRN9TEKZRThquYTv3/3buAcNnIyCfa9Spp7XSEOvANym8RIqrhlqEfNFGSryhar41I0q
ovKDqPcmeXZYU+SnFGUQiTnYz1YVZg0RymNUgrS2cWNreql5zHF8msV0p887MBQaiS8gOQCNDHIM
OPZSnRIx561oRb61ALNILspHweP8oDzdnEVey36TqCH5818+pr24WaYAEQ+hkiHlILgHlKuYAjAu
K+Rbef/1/+ZycouDVDI0iok3x07eWBhr1Hk4WXLVOuVhUUiozI61Q+34UUXsnmfBDjGOiAKiEyAb
QrhnazURI9NGkSZhkiTWwYPQQywUmJKZcKxRfcCsEvb0Nq2gARikofvUmqK9pinV0axN58/JLL2b
bBz2gNY/gcqdt63d2xtzQrhwYo8GdFe6q8JtUMVBZgpVlypFTwPZv2gsmW6ufYXPN788HYUtZ9e3
Ke1wtMsqbVdnGDUqtV5CPXSbPTWMmfhKnU6BGVuZrxrJeDFH046OZLsVcWuGJU4Rl2A5FCYq+adu
UU2fss0IMYvhHWoixd1DyaAo5fGnijp5t2KXIyV/3GBI+EGiK8+aRNtpUzvcLiRqu7KIssBJqNQi
aXGTk9HRERS01VPm1EGVl8YlAFULHFjuZYFdttWuaswUP3eBy2BpohWAz4EBNLp1MZziHpQmArCt
fG5681OcpDryb0N35drKSvtn1b4Nk2eEvZNbH2w04zxRxxGAJAw5ZgpiW6Vef72WvbgVnlJwyoOg
cKWIItPrAtRI1alMtsmlMr1UPzVtW4VRM5lwBhbsiRr5AWvIpq7obeYXA3m9IxxUlYrke6FnyBkC
PdxwMti0lEZzuyioqbkESCzkRbVjiGD6siuxc41VuV/qyTx48tdndf+pT/R7ywFtMs02SBJrQFBG
lDhgZJ37QcPpvE0B7I8NxQ4mjyHQqGdLncipWUabu7sEPrSAik6L6IPdex48T5dwQBhaqLWiqnH2
gqnCLBoBsQtgIGuCGtkhfxQjZUazAgbpjZZ3o3xUFZ0nBVyU2ImONh12GTbOIlSMTWlmJ2h4trXT
bhl+Cb/BBZCxW64BGGCkpxhWd1Ejwuqbfd590NbSznN7x+CcA+dHAk8/lY7L61W1tGUxZtJLekBK
g7l81vG1DSQTM3nByPIuGtREQ6LdPW2HPCxMe/zyftQ8IeB+LYRP90CLHH88F9CvBIj/GqXZNsLR
hWLvkM1VgnFpu31pGoJCXIXMLsbU89NS7Z7gb0RHXqR5rGdQp1Wvu5+V3FmDBNkev5vMbDdgwvOo
djqvsu3I7pJmV2LXcjchlIMll8Pj9IlzaFvTljqd7QOKXjGMnArhqMnrb6BANAgKKsUHyZcli9tX
z0gCizyKbRi40EC7Pkv+FvTFzJYjdDewqw6TIead2sSa7+Hvfnl6CA/3kht1ip1Dl/ADBo+RjwLl
GiDdl/krKVhg0IvwjSSK9x5SrgihZrAiwHNh06S/ILra7ZURv4wB/+AgjY1bhJuMbSPS8XJd0aQu
WluAAFgRRJ+dkak25kdWhmrSardbyF8rCJ9aztgrZVc2+hoI6XyGMdkuF213nPmbu8YegVgk8d0C
R963o6m4WdbmYRWZQRAaLq0J1+cVQetN3CbjNdJQ/aNSVz/eXzLn8u+uw+ukCQ+m0qEVjA796yXT
eF6UrtRNuzgX9E4GRfiIcR3SePqM9G4E097UdmuvYZRsL5Gv0/HyM6tx9zm+PxslpXuFHT00SI9t
llVjcoXAh/rULpnDeNlbr/gt9mFEA4yJsFntaSQNG166Hebq+H2FJXtFlaf6ag9kz+o7c9fq0MtK
oQtfseuHAenZ3Tgr9yUN6SBfxUeZjfkmWpkaNTc71rBcNrB2tqCytF/QaSmsnTZyeCO7bnzT54kh
GDcecYK6OuJebh/2E7RbQykxQVvbBApf72KamDZBlkRS1a8uv6SxhHekbLscuy84o1amIOLasDDt
WAkE4LhARRVmu/R15mupm/mD6mrbRQzhvCTIRenm52k0Hk1FQ1vZcz5HSfqDWgeyJfOpq7JXHPRD
mvE6rlL3pief3CYFkj/eWFCOV0kTlNDBQpveQGgy8tsxmGShj1wSmrOxfX/xvMnSZC2pwWjyZOx7
kxQuc5owo2Tt4I3yAtvAvZF7BW3zzJ+0ePygjeu8ObmQ60ZniSyCdg3igWcJcjnQq1KHnggLnCrI
mEM/AixLrpq10ny0K+cdcnbZMbH75EpHE37DdLlldMVLn8eWDN6dIuQxxj9HLzpMsX0drVa300D5
zPblAictaBf29ZgBeeXP+g05YaB4rEuRcXzoE7uZtP2l7tr1Vq8B82ntOv7U6rrbDwZ7oKEoPGSd
ipYmAgo79I+mL9NYiDsG/lGg6cl426DZ6Js6OI3c1Ghx2WuLFzWlDWAuD6FQ+7aHH7P38oXIseJ0
UNqVcxCwK64nlbCMYXe+6+TtMDEtZCI+fsFGWgm6kWNGQcG19C0dXZQau4WnFi22o67W2JxjfvnN
iNChBsTMODtJamXniVIay8fKruVFbhJHs7cJvSAyUDbE+kFW8JvVwiKhFyPx6PKUfB1pOtsu8jIG
FesKQDmZxfsTjcXhVJt14FhsiH93dTJVBJFOikWhbp1X6XZegQxea2tXlCUJSMNuADYHez9L3X2y
Wu0Hu0F7m1hStqESRsULTB3VhLMUxAXe1upxbO7AMRnbFEdKGiyIXaclg6hqVZOr2TPTbdzZOxR4
xV50hAsbI8dtDanbd3Bv980JZZuZyhl3SQ4qdeRTq5gGAErQ+rBpeZTUrsVd2RGurUoe7lYkOHnS
4gbxoKdFhpG4siIpRc9v14on8IstTtegQrM6RVmf3uQ9jkndxWq718WY5DumDC8tJnbBOlkviJU/
6Qn3rqj9vFvcaL2ir6VvtWGmsVKLezxUiVQKkf90tDY5qZZw4+QRRJmx9UoA9yjLo9QiT0kPufIw
YQle1UmhXk292aOjLk/TMgcM3pCXwK/nqC2HdaPKvbroxA9RDstztRLf8pF1viKsFeRCYAcxkbMj
HN8EXd60D2maY6xZcWYWqIkxsHDqgI4L0u0KcszrgkHZXz8tWO/YGmE34ChU8zXIkGDQocPOQAs2
izx1s0TvLsw0d9gshItUm8gH+nnlJc7dRdKr7rXWMsAfoOVeeH3s7tGvHq6rhD+ixmQQVeRhjFYD
/gbzDRc87sQRyU3QHH2ED7l8TMXSsiOCjytiP1q3HRACDOEoeRd6iVGAV+CxUqz2F3txvpfgdf28
MPULdud4gFNjbIlgrGJrccOxxa7dTUmjT9vds3l9IE25gsIp0HhkOgm0dD/xjJ6inc9x2l3/Z8os
/x9SOjW4RYZO7fBLnHnj+3P/EwJn/FQ9/Urh/OVv/kXidLU/JLvK8Eyb36ezo/5J4nScP8g1HCQn
QdFrFjJ//0Pi9P5gfASNzqKzCpfGJX78LbmiWX+4zJY5ZV2XoQ9qhP+O5Aq/8XUSzV3R8KZWORFp
DALy61ic5qBLjYwZRKf2dzagMmlshlZdjCAe8MzpZybp9Qojw/1Ql4uPbWe3GxPb2NtraSC/m1UA
GqkugWFrk3Xb2VOP7FVUIXRbl8C68/nonESB3Rjh/chD8AvZsB8ClaLdWqAdyq9s+ucOJdkOZ1NS
tI2YU/vRtrTkoW+q7lqCxgRbtE+RPyZLunJohMHFmXpaYjF293sqq3aTx5PwB3wyAHJU03eSWbFd
cLR382l8tPWSbmtNBr7hdaScfYuD4LDtQsFW1iYnzWRAj51b9qUqHbPxq9bGukAvZnzvFdNVKrQN
4/JTPptmDR5KaxB0VTyU6SI3rcIZUZsvlVDHr0x81mUzO2lPlZdFUCTQWma2m+foBwDgPy65mJg1
K7ON3iwD1U9oFY4PAjF8sHQiVa8oySookstRW7Rxn2rd9L1GWeSbYhQdhkxF133CI1JJgqkqRljk
mvUQqdhR9Iah3Ce5o8riIEfDjYb3xYLQ+u0YIZUhjDj+4S5StT+2Z3njhbFrcu59AMlq1a7Y1wPY
f7VI0erjM1fP9tBYF12imoLxs6pzk0wiN7SZalL2TPukl15UITW4MLyqs7jYuIrRYw1kp6FuYxOK
PYy4MBO6QmM3oQ/YqVt90JUMv57kbphTfDOyeNQ2HB4wQKmbOKqGdXqCo5tdYngwXbOgBsR4bbdR
QruklRJLuwPQqcE4d3WQq8j5eKuw945Spg9NV6NVNaOnpil1cacoWDiU7oxjsOfGYV2iu6L0k/Ep
8XKEed0s3tsI21zxRTGwUrqWPCtXv7Xrul4mZhzdAIPMrpeMhYozjfPc51BRVIOQnyMtsS+hhyEa
gey0qJEmGxik5POEhqNoviD5jR/I4JpPqYbBc6oK048NUe9IfTYk4t2feBh8RSd82WgOyCM+00MH
XBWV96HHThAqcfq5nKe9QImw0TUf0u6l3exiZ8XNFsgpsw6YCe3QDHurAqrAtFLnuGq6OL1nHzjX
HXSZOy+3bGmUO2eXRaJEjx081Huzz8Cp17Rb3ZA/lGI1MBtYM6WiWD7rrdruc9bUEUoMp+Pc9xET
SA9lE89o/h97Z7IbObJm6SfiBSejkZte+CSXS3LNUig2hEIRMs6zGWl8+vo87y1UVQJVjd400EBv
EglkRkhykTac/5zvOJuaZoS3pojDswDucfSGnrufrdsUovrM6NhUHRP1upk2dknHX25Vq8tLGScv
svEw7085C4WK3AG9X0T2IQvz7BHcZLST3P2ovVpj9dAtvaK+GRrx0xLHtmMAC+YxSCLz0eVFd87z
cD5ZF7Mop2ss13NgVv6mir4Yo70n+pHkMV57eI2A+MxLnCz+q67lfIzmxf5Kqrx+sZPf0oESFeEv
nu/8G4dZwOxPAIvBR+pnn15ahdW2X2KwkGkm5X0R9vBmXEoENkFRB/2hpMn8alY9DRS1SLMriqqa
+6wsgheD7HpKB+E/l/UY4MHufb5JGHCwa7QHgC/qvb07TCq80q5W9+tceI/wbCK4x/l0i8JSfxU8
wvxW08B/G9txuiUtEuxTD7cnZqqcO2cVn5umXmkSGSzeThmkLpmszjtSAk2lE3VVt5CsSzx9QlAp
ODie9+KIaB73MqoAqxaePEu4sI8xuIqn0F/87jK2pPCmW2f5qqrahfuPg+FrXtt166IWbQnXFf12
EDRv6PhU9FbwztMbSk/9YgY6OFCz8nruCeWB1jgFbpUd56Q5u8UwOUxGBXUJlFGRb5y84xJ79WNU
UGAueHH3o1vnVwP/QGtem+fRBBamFNxuL0/uTZGru3Kp468ySPK7WaWwFX1gjP1Alk5FtX+Uk3B/
lSvVGsaIBQECBk9WC3nDMIXfoa+i2zTpserqQm9ZixpqGy3I9FboeS/r+pc3Vu0eR/RwpG8pency
ILexfi+iqrvi1c+uvZJLUe9nO6coze+wzf8UYyf30ejY7aUgZ2taByN20J9yJ6TcSAvQoF5+72NR
3ok0chjeNfJoUceuIdyeXDUISiWixd1DNLc/LFmJDBu6Gh59UNTBTimn2w+hv1ub6mUFfXWgsSum
Oqn7UbmWOptu8naEUX4VjpmrE9ctGWyoDUVgV+FMHlSvy2FKQ/PkmbC4W4zTHeKymy6GrBusQD/1
0h3DhlABdc4wpJZRg6RcvHPc+rcePBc0/Cx2OU4OSQYyLWkBLEpd3PhEY3Gvd6vNIO+ktHNkLv+q
27C+wjR8GsoUySoVtre7NXNdClfiydZYpubuaIbqs7ZVfaKHQn8EcJGSbZrZ/K6wk7lqMq93t8BX
+yciFcPV2s/gmwbGc1tpFoSPTIFP8+tB7WjCwzivneBPjU8p37PFk6ELUSM5zDiq4haucwM/cWQf
yP2xxdUEOH3crlURfTXtqO9lNM33eZmN5FQq1L+ZTSxJtCXr6d+1bXzPj4XEzzm7eAlGtw+2HOzn
lmzEvLylafY74XGnDSDacey5I/2lD+XYF58siP1THjFxbSdRM7YE38MP1fbEMJT/WJh8/XAUgE0l
KzpQguGvQeyK6WSe7DZIhvkOAJr4Nfpl+lPxhSkSAUNzsdFu6tqhnirohtdWmuZIpnZfjXI8RdyU
HroiVW+lqDvItNzgGC5WP2YTdgdfrljn46qp82M1qeE4NwkJGtMNkLa6BiYH7JDmgT1gvgJvZ86x
iNeTz4HsLSfoBqvdWU69H6tLkte97rjIsiFRA7Eayh+2sZ/H19nAZyWSaf3ye+EeY3UZgos1PYx1
j9uo9miDyehGmspXG5UUQwl6OQQ3ry4Ydj7asnTRZeKFRAlcS70n2/UnYHLG6YRHsaSZBCoK7pee
Kf9EEVFIG1zk20cn6INTyxjluuwsE7k6bT+JJHbbMeRIIcb6kqyhDhLIHPb/lRKgYojjRyJ62PfT
fkaZHSH7z16xyW3qHzrgVztzuUvngX9WRt/4vv326PPKN4ZtCiQf5+rfmqhvuAoiLD5HrXNStuGh
gatEH5zKrhAcNu44s6skg2deJtJlrzbU1XbJFwrJvOXsqgy6W8Ik183o5EjNQjAVGuC+TLnM2bAj
K8dSBiA6WD74Q2ixtVx/DfG67FOIqwfIEM2t25XBO5933BFM002JaySXh46Og71QLog7cmgnmUr5
2Bn2cpww7k1Gecw9vuCK2qk1fcTZEN/WJMhu8ftC+gbjJR54QxmHUZ403HIPqcke+OLP6i6KmUna
3AeL752F9qOTHirxJ8nS5C66UAXyOcufgwE2I+iGEHx23+QfjldPdyybtMCt5bwbe/mltEmOsikq
ws+FPk+hF3+E4SWwXzSA5RDoyb7ZoOjuOiYqnPzzIL9uazUiT4nOsnpMdBKvS3OouDodAfRHMGal
fUqLgnKRctCnNpeMNJykOQVLad9mGvzulzr70UYyfWC2Xn7Mbkyll4RMZksmkhSQ7JH/yPnlkbev
h0XtEFHa8yALdjqmlECxA2/fuCzOOqG9npSTeHe5yvAxx/V9r1nwOD+2P7ImFz+TpipPnqKHTAwU
bMbe1EkSm1rD+s9V9kiRqLOtdaSZKa7LV2ppISe8aqmH8fnKdjSHUbKPL5I2EmZZr9Fk1HsMHnPr
13R/aQ5Ew6CuV1ViaJ0wS9TV58L044EddXExA9TtziWvvCldZ+cSyqesPaXVq5u/clgGL2XS1adi
mC2PtTHXgfC8E+nDau+Ppbtb6jIl+w/fy+1YIPsLH6T6PRs3+a3iLrhmXEmkOrcuak01fFknszcV
DGcS2DnQYX9unau0Ju8WIygdQGXy8YVzeO+IGHxjVg4Ps24a7Fdt98vlgTlrgC/XhU+fS+4zNODq
w3EClsJxkpYq0sQFQKhy+5ym+ch5oag+Sy9Z+VE6KNHNmn1xGfOviWDBA0idcGMSeFiOs85PpVmB
epGQ8T4a2To/6UrThz53u6Mgt0whe1Jho1iXmkvPFHsPA+7tLaSM3RjTrrQ1SVIe4s4CVab2IWLU
DYJz2438vgRunR+2WWaerDm6ap0Gt2mq7wIn20YYpmTLfDzSEcWjefwNKQ2fRnK7NAl/fzdtF9Og
UOX+luOpeyqjwSWNU//p5+VI0OIlvnRnRZ7JofsFZDGrxh7HWKqDDYceqkk7XcN0mD56tzWfq/GG
fSLT6M0BEHXb2jb9cjgzMT/QjWbwKpIrfj0hwpyRd8FadbfRFNYfMk41ZyN4fa3LkVYHjsMuaBfC
HpWfu3S2gd/BEucst33TsMT3eZ1c+UEmNrSEAmWltCo+pEjjXy4QbMqVRoGQRnPPz4QkLbMhSibf
Oo5I+44AzXma1+oHeQugZlmakzQJls+oIeN5wRR7DxVttqxlzfqoHMecSrEuj3BZZkTOGbxgAhcE
kDllWitKxVNSJ8MnsDcCUsPc/ejY31jix+BaWpo2o3Ie7uKJYcGmn7poryfyOH7at48TkRaHE4sB
KLcq8+I00Sw3owkpOxNttJ81bG7Cr378UY1BfyVH/zsvm+QUZgwLN9bmwUOswCPMkGLeLs1FQEOg
cOxoKdGkiFcf8onvH6gTqX9oUXJyhd750PC6b7Kpas/pYMQZfOaKpjmudtdmDY3KdOGOD7BrunsO
1wV9Lqq1x6HwL9k5NtEnWOZDsskzUV3jECXd6K3Dc9Fxht1whKuPNYWfu4RbzK2vPLWlSnJ8jVw6
nFsgRFs7luotLOL8Kh1IfGySlVLbuYmoaRjn9VRzPDv1/Tr/MGtgXhJOoY8oo+wmaxG81f6SnxLj
Fb+U1OxF6byexSo6Ong6V90OAP3umtFQFuk1aJFFJa7dziw9ki2s/i1iqPg0IZrkJikD97OOvLJH
PKBKKyyNRGspkhHhYaL4aa+IzN046+jtgzbmttuntAdZWXZ37OPdR7ak3ZuRvdivXcjFAIbhxsZ+
ex/EYfwayVKegIHiWtFGYDbx67PoLUesYhrLfkO8zvzwJO1Uwi2y+zRc/Kth9KAX+nMZfawexU2Y
jsg9dnF141ANcVPn0H83jg77vezT4gHQguJXG3/SS8kKVjhXK6LVwbXcwfk5vK2PAcRA+oxSSkJh
Cjgl4ZaL9uBB/4XcT1/14FT1K2HH/tSWpPD3zTpFv5yQ+8WyFhyXkjKifkY6fT2hWXVMRnN4//zU
HG+daHnO06K6y0NGxsKnhkcsIe78/y/tRh6Ka3gxZfwPTO3sk7Yp8Hx/k3b//U/+S9qV8PlAXzOA
xL0e/sXM/iefL4amHcDyusTKCNf9h7Dri38gtcKtSqDB4hm9uOf+Jez63j9YuS6YukuEAV03/D8R
dhnI/V3YxRJBQQ3mOb5HQajjvwq73NcLlToWprYXrsO20i6CHP3vcOFHLUD8uFxJ30dl3Wo3DpiP
991YxgZw5qC83Tj6IcJH15vn2cV+tZFiEgeuqfVdvGgU3jmbntoZabjxWorNBCPKTQcV9Zjptrnh
G6p3ddjOXP81OXwr4nm5jVr4KURwm/xeaEKrmwS5Id9dmkSzG5BO4DEKqoSfwmZiAwFaYC376wXR
TBcBqJxWwgelSDGfMeYjUOeID8yAwB4JQ+98WjwZLfojxm7IHN7S/GAMRhBXp57+zQ/HDAU+Bqgo
FegXOUaCYxTkiBRpxkvxF3YSxukcoc7OsCsOnPGN4qLVy/aQw4lrycyn+TlnC0GDy/oQ067EWHTi
jhaUG26E9FsUNFrLY4HDwsUczkl2nw5hzrEhmiNaDLPG+dnqNEk2GF3y2xbZ9LOvdX47+sBJN0Pb
yvxmwRi67pghTrgfEAujv+ZdFK6ZNP6h5lZ/VH45h5wqpvaPvzrBN6Ftx0Hb7KiKWHNqbCmTQV0W
CYKxHhNrNzSelEfP8ecHZ3XMIzfO+iuosfhtyyIDZmL72fkx9iFM0BRGX3sVQnd8cHyRdjs/VFXD
JgX7Yovnr3ppg8rgFpvcCe/LGnXtdqxi7zvCZlzh4/Oqj1Vi4jhop08oGJQrvRz4/IJt1g0D1Wry
wgvXqZPceDkpK7R0A1977B8663TQSQckmKntn7Iids/9gvl+Q5VFPUPqFTH4jrr7dMeJCxQ0X71F
ZGBe0XFHhaVAngtf+/avADKUXwPJ1Tb2agr7FtSbZw/IB8u7tKm9c1WTHPFmQNnq2vw9TLCnb4I1
nrcMZGhRSqf12WuX5aFROIvDifg7x03KMpHV9hUkqW3YoTbpCwlM83ddcZWHOebN8AQu0Bsd4vdW
4yWjsA4+RjfibH9Fk1s2XyACU3v0a+LlTRA1V8LN6reBFk9wEsEr3n2C7BGZ8jHh2GpuDNd3LpI1
x8dhnsunxIjgOr8A72YGIrucIc5Nn4JJSKfcvlJy16HQ6eVEvjJgmo/TvHcjamGji2nfYy4LFcOn
DoJO9PXxL2CPbYrlnmc9uOo4e3e7rBXNN+zK6ZE2QX9XaOE9r2pe3xzqOI6VhAhymItemk2wdM1b
lVGlErYFjPR20t86G4o38jbX0RzrY1jyd2N+ozBuLKfowfp1/9H79fjY1KH3OScpJb+9L5NnQCuI
P1mVu9ui1iLfJKwp5WahF3s/B3YFSxj5n/NaTFTcOmP46vu9ug8NBJFhNvUvRrjyPh6C6GeROeMe
/S9VtIKP5onQbXq0Xe5d53Vb/ZZjmlhIhS6q5+QIe19ION9wAIru28977+3yILwAe1y/MznP3S6e
3ep17V35aOvlQTI+N8SzpxqTlPBmfk6nxzjrx95HEND/e6XDpaGBtKrScxBIfbKsEU/pkqs/NQB8
Ut1mse8lN8RpM7I0H4OoBGJfBGnwXQ7tChMkCfpsM5Z+9KKhKoMK1RhG6IBST0Otms9oIKjkG910
9HdRwuXmeH22XUKD4eDFy63w1cT8f83XA/O1ZEcOhLLHPF32GBdhvEc8A8Ng+wONn+60oWZsOK2u
6CmrqgaA+I2nQevbGHdEYzP9EHsBB7G2vFwFI0GMk2P1+MQVtr+inJVQksn1+FwUfb7HstdfU0oV
3dA1mz6pKgw/YNaUJ8bx6U9nHp/drl5uC6Vn9ErXFo+0JXAsIvyMwDKuPsylQOnrchloPvIcpE7P
s8FtxEHvrupLZBgvSrL7UizJmbgnQclidbhVk6dZH+cIuDVk74lSZjev4Nkp8dMH4LU3RskbL87c
RwY784lYXHRb+aY+5aWuqbfXWbdnhpPc10jDR9MuFCIUAz64WRsk9sqdc+gMdEY6FP7CktrOUdIj
1Fn/NaIm4VH1hbrxJ4OHKEnrz4Uc/6dTBfoK0DbfM1rQ8NubsC0tbe6/GFxf+zVs5D6m9/BWDUP3
pVI1fyZdgRqriBnQ4+VA59qsZh6OEcWCF5BYRXDRa77TEag3oxkZg/CYgoPpA8fufEFjwpQu7W0x
06ve9pdP1ALM3shZMHpdrb3OMlM+OpKYOVeWmIxSvpTst3GX9OckY3nZ9J6oaeCYzfzJ1JHkFRHY
9CmbrP5Gkar1PYErBOE25uTO7imbuzTHktTo3D4OgO/Y2YdxeGxacEzbEdYcZdOFDLecczG7G02u
PzJReR7HRR1kVrenjPrc6oIz9H/Lek5J3fp6Bp4TBPlNIiy0NUBtLkf7Kn9jz6bligrAqUI+A9jT
CEfcVHjqrxK6+14TdMitJwcNu56xJBNKXzs3VZ6u7nVuxuYlaPqA8g+KyW5W+CbhTdbY4L3t3GjZ
LYIsEw4lajHHpj0xuETPo3T0aSEKdArRwQ/0h1CyECMVMxiZH9YGIdlLWHSh/03Tu0j69jvDL/ru
zkN0VdG1dz2ucbUr1rh5StI+vJVD4MNFjcboffKxeNJ8F3AcEioU6XUxdNFdnmX5uUr78r3FKXDH
gQ03f9o3ut/0xNZvE6vjj2TNmYAzK3dDZhRIqsuOWQOPM/CQHWPI8MUpgvKazGsF2SbooCs0cpSv
OIB0s++qJL/KRFl9NMqdce2y7NONN3Q3SeYl+wyuODS01V+O/lJlpwii2LXFyr73pz66SlNcNDrI
CNEWoJsIIZif1reEmfMyjNDPZfkRW0BVm0wH8REUVHwOrM4oivVc8ycVY7LXC/YeDkZ7t7v0kQfj
Z5PjJ51nHn89leKGkORLaNPhak7MsydN9z5cYMoGNq7aSEMrPTcl4V4tzkjVQVup6jnnMXnvF3eB
627WY057CPnAwMuf/DUxy0lTRlVsW92RxG4CP/yRjJP91UkE7A0wRWfazDCkBrafdNTHlWaKbAuK
fNhCwpMjpX9q3SypJhcO77H6YKQ/8yEmBq3SZ/skqMi0ds10+VDYhjc1aW1K2ZbjPADLfqlcJR8U
9p8X5qA0ZbUB5ew6xIHkFRiwWQxb6E6idl8mBonHgkDNrmjVcFBuBoAS9MwLKnfKR35YQ/73ehR3
Y+26qLdzuJ/rgcAsUP+NRE65rj0YJtIu6mGEgrBzIu8sqaE7RxyVN/3gzo8IIfltuVbeoXRyBCua
W+1KNY6fia2kDAERvPUPuk6Ks7csw63qL9UDDlRTlIZSTXfDymFxM3CdeRNGwEtbpzYLdr5tnAjM
pTu9AeCJiHotoXrrWevYwax4gqTlF7tAc0rEOYmNYUNLSEKFFmbP1wL2xxlzefag5HRxNSlrSTfZ
heo1bJw/gDVFrzA1LRXLMr0oRSZ6A0UuHlnscCfXdPd88AK7h8DO6Iu1Qw8H70zzjNag7tC2MdHy
ffo4B7r4BJI3+2a0XE9AX6iu35WcN6/RYii4qNYmId8up9E9dqRNDyT6x+xIO3vQsGpaz9npUUA5
U5Xf99vVrfktTUoF25A4cb4nti2AyVL8+uk44fjcEJCnQ48z+66rm/oeRUh/tDJCmO2Nbe40U66e
4tEJco/DEceGxr2Px6j6GEvstfssLIr6fmwyF94hhBCxExm5Dmi3abrsCPAzPnGbbAyOS+eFiD48
ysfU+Ml7KjUXHSOBYG0wbFw6SHQ/tienCmn77JqL5Bat3vs4OqG6miJcNomdZ+aovspfWyeu7WPd
DjiwQ7K33+MQkojDgzjYQ+pOUoFdYtxDCSgPx/0UhFw5qqolrRtn3sqmV6G+UOH2xDszb0RAkng7
ZStnDVb/mykzx0HXzc0SB+E7y5J4ilq2g7xIk5vG2Ol5ATcLXbpa3+dVSYdiILCILL8FqhulPYyS
evCx/5fVj/9cVfC//l9q2IWLgaP6v5dHbj6HhhqF8m/Ot7/+1D+lERlTlIvHh/ICgoz04v2H6y38
B0UGgmCOR+A/FpdSg3+163rxP0LhJYyDLy3MUgb8p3+JI573DyEJKyb8l5B/gfz074UOD/+MhNAF
8d8CpC+etv8UHGE2F8fk/NBE2DsJ/PzN8xaNwunklMAaHMWR6+F9lIJ8p0vGAIdx0unRtOV3D/rx
f+N7JlLx96+MJRjYjIfpmasq8av/KsqoTAQcvCu9j9Jk+JOSbCY7F+KvmoXx1LXvrrwyuYTRsZG5
sz4tY0dpDc7cFfvo2H2HAl2e9hm9RLAcuKVS3UtPN5P/FlUexRvPAPsbg0cbU1DU85Jo12SHQKT+
Fipme7VGRp4cNUUHxd1yxezCElpZ5WJ9H+6ZfzPKDoKvgtvxjtqoQ5EE3nbCTg6Cvnmy9aVXSbn7
yPFd3luGTOEyFE/QkCLuQ4sJzh4dDw8g3sqzpBXn0nJfzOcgLl5UEvP1UruMV0sQ1Y9WQGnvilvu
duNd2fFRLMnqrdt0ocCNU0TOH54pyCFp35uvIHLC10niUSCI4an7XCbDLW2WgFqZ2W78KNf1pvOZ
0PiTKIjxFeotn73kKRKGcSl4iZ2q2itv9skxtn2IY22ip506ckVsJXQOdi0p4wzATNzPzjh9p4vP
/BN4wEA2sZiS31M3I1DRm+pQrZS4r/j0Rv4Vd2d04fVmTyOdLNWmCW3ZbCuOUwPTQabpqAmkEAJ3
voH71+Derchh4MQ5L3kd3rtkbrK9X1rx0JNZ2kbh6N7m46Lx3izNw6JmRWcNJxAUmF4yc5d1g9LW
pc1VG+rl1hTxdMDb1WyLgRpgMizrTbOY7rVvYqm3fTc6CmSiaN98Tkk7f3Ji6kvLGUMdmaakfVB+
AO81C8u65znQE4zNpq+3JPmTidySDo/EzODRtJm7vtUVTsYBSUdN09a3eBKIo8T2nv9v7pHPG++P
cKTA18CNaW/ElDxkWI4IZRgHqIUeIqJRnjNdayYtFEHTcWuuFP1uuE9cP7gKgZ+SE1SdeKO/Vq77
taA2YheZhsk10Fo4yMNYUG0nO3ud1tgeNqoV9ObqbPrZNz4PUtm7P5TbZn/SSXZffDL508jchhIu
QW97bytQqDSVZj8wvnAtgnmpDn5x6Qgm4Q/vzdd8ldXPvGOQlkzpbCXDn3MXYrBYCzQ87DTspLkp
qCjNAs/u/XzxDwX9UM8YkoKnBnmo382eP5FM4SxSby7nzq++lhg+CzV32DG95OcYt9k7d5gq3ofx
0N6hFJTeLk5U9GYm/FpSa2/ZEyZZMJNM4yvTQI5XfjNEn31e9OCjJBu35w2R2EYVqM9t7/XeH2fM
veds6uo3g53yMaJ+6UejueRuMi5yDtGVwH2h8yvRm9Az9HzRNlU/t5DW9qNFqSVipjqu38QGGX7S
uxUciPYQs46GysFstNDcRGQrWveZS7LIA1GMs1xReG8AmhwtUpO5yi7xQPSYnluHcqublUu1t+Eg
zCpSylqRAq5m5952dqypC2M4WFgnyTeu2xbwxpnQfrkuMZUdlur6yBUNzYEIk7SshL6kCIRDPupn
jb+4K+Liwamr7MGfpNDbAXmdGunGmx9zlLQ3fqVi03ZRHW0wkUb7FHjvs+Lesgu7kNavQNSPlzAg
gyQufSgbS/8jGNlNWMxciz8gjH6ymPMbJbHtoMdIj47TMK4dQA2wCLmno650Gw5IC9Zi7Duc7xa+
U6ej00VFCOR8h5dSPtOwLJgUqWtHOtOc5yma3ypgzByJAWFBEzCJ3x1d0sof+TQaAR9fiG7vYhoL
d7N1izvqvPQD0/PuNbYLWImR/uaYor8m/DHXa/cbxvJQ7eoMxQ4+aeL0HDUHtW67ipDLRsWDVdcM
t3y5kUFQnjmButlDS/tWtr9AAk/tpYD5aqyCKTlZRyMhW+3xdmHkhjUa9oXzOafDkm6tSodx3/gN
1p5m7JA2RhkeQniMUKphGLfoN40TIhEVg9n19I1DTW6duty2s5vs+hRGNlqkIAcde0JgIhtifTuM
Xc0fwXaUFKYjMxundzxJw09pHA9w1CDfyJDXJxh85c1auCzELmfjY5QxDccVq+17HXsseirO5zPJ
3rjZ1yUr9dowWAcelPU98IZQ/m6bKHpeSh+iFrJYvZk7t6SwS8vh22qTPQ5RQNlh3hQ0m9NaeI7r
2aP9pAOCpNr6veFGdlJl3ObbQrLtYMFS5SZqiDj6jUvzM+l1yau3xxbkfAKxP+s5SzfwJi9jDdz4
VPeJ6hymepwxOaVtti0pLsyh5YNIOqbMZJgw6Dj9hC7OHVIDJrW3dFRX3iaOTPaOCZmpDZP9CwF9
WWK97Tx+NkDF9kewBtELy2/3gHoWXSmXQpmW/fk28ulfp4zArz5qvTDS8cZVRhvlRuj6ppBorr72
erCUIKR4DR13+DlrMT0wXDDndEn9B1eO4g+3KmcbY69/FbxIX4z4Uy49bpQja1VXfngph4zbKYXi
VE3D7zU30HJEP0pAqIkjuCqMEdXDYa+f29bT19r1y+q2N0Z+CHocv9cyrbOtl/UmA09axnxwRQaS
AfDP4ofXsF1NTz6BWYj1uuiT3SV/jGDyUvyedrV34VsxVAfi39GhiVpSyns3ZcvfhmYNl2tKF2Al
OMEQMvbSYrdgq+clwMWFxY1pjJ+kZxqM3k09ZLtm4F6VFV5LWnqk7J6DQb9uNeFLc0PlavQc0bM8
by9G2Ghbp2hgRHsdspd8El4NxWOvO+cSIPXjr96fgpsG2JAgHoDJk1kK7X09+fdbkrUffZT2r+US
hL/i0ifTAOu+VfvEH3PkPlo4s03IffkbKkKBBqSl0fswF/GTG0SKUQt2WSS8UtHKnlFQwtsZaATl
eQ4GHhpT0ynqxgWxgBi6Z3tDn0X4Pk89T1RNjycHoSpk03fZ9obKpWE7RqwqN2zw3jduTppNvLJS
P/IBfjJCabjcYxwf/Z1ra7PHA6TQHDKmXreYdO0JcdT5leaDxg6GVFxuyiF2t2Appp9Bb5hDVDp3
fipSvdE2GG3xScqWVSDxcSBQq+d4z03cheFRmY6zSeitpCfL2WUzdriAX6Ol4+3mEeC6WxaFVXeW
nrInt6lIU1dM8Lg6rlWP8Ryl73qKfPm7TkkRL8Su4qSsdkOP2yeYvOggQGi8zwsALeEAM9pQG+Bt
cG0jZ7t22PopBvBt0tAeu5k858t6qvtwBaN80Wzn0EF4JtVGRUlcH8LcsTRGoGTpteOLdcq/10Ws
WB5EtqsDLJYMGnZ1vmDaTAQ2aIuP/rHo6J7AHB4f/HGocP6nIVuuSR9sKgDWSR2v5CTrL8r4vHee
xOB7zsdiT4Sfcf/QyuRB6mG4LbJlpvCwqOQTnes5nb1Tkj071qvvUFL5/Hgp3haUJnRs+O/NVTwW
9j0N4/FlHKg83uW4fCyWMkVPm2c7/Z1wGvwKM4OZo6UhqkasSvGA19xuvoN4NOQNnSx7CTvbssUy
L76bR7xrhA3hnCufp5A839xkOxIQ83fuyGXXrX39PK8sKlhOU8pNndpKGD7NxQmZTgSPjjoEnYkb
b7GnkAeRQ29VozFbdlq3JKuKTdUGeLHTpq/ONaf5mih4YVxIBNWwV2R7nruyd55abNb7VQaKObKk
o9LtB7mffaZ7bVJgpRI9+jLg8Mg5lVVq2O8tVl4e4ih5aVEOKbRKLSdBNkpyBWowFd5nr6/QetaI
wvac2d+4c0LLRyvD9tWb6vrQUQqAyQg/zM2yLplhWHARkBTi9juCbTICwtLZn1KqIdv0MuVURMEY
R0QPACSNrbPfvrk6qF7m0Y1/+7VqjwhhS3etc97Rhptxy1xgKAhytsql+rQT93RbWG9DNU2VYHJ3
PYqpDcfDpEnswKdMiGxn5jRkcQg9Boph2/aPQzwXZjvBfxL4KlcO2KT9FXbZwX2gsrr3ANRgrD/Y
IXQJbqAqzk71hwHZIrHhxplixITPbGNqim+PIlLeCfeVOLfMPmbsTXMSU+4cu4QgGh44Uhjl9VSI
4WEMVMcUqsQXKkLBNc8sHcNh/BrXc6xEB82m+B0RFKIAQebeDbdkQUagYWpD5c5ME0Ht++t5yf6N
vTPZrRxZr/WrGB5fFshgP/Bkt9qNpK2tJlM5IZRq2PcRDJJP74956tqVvsCxz8AXMOBBAQVUqScj
/matb+XPpDaXG3Q03ra2yUvtHVTotSE3goTSlRbefc8LcJ8aZKpNniS3bGGt1ZDmNl09IDSafAm8
bpppLOYU0o0i0noctLnLkYHuq9aqHth+lheSz+qNtKgaGSNO3SJ2n5ziXKPs3xoTvQgTVoqLMfPu
7RAXeVUXOOVqEAjUl3Gf6wu4NPPFrFB2ccAC+im7/lsVDWotU+FdB3QlW1Y+086txns/MUbNFkd5
N7WDD5xwK+a8uhExIlIjXCKkWtwfVs64u0uDGRtJUZFRWofHeehgyNRRGK1nDu/PoIc8j7n3q5mS
/BIPg1zJoQpfa2MIjn4i7O+IlLCEcYGuEZzRnBUIOqWjUJs3xK0irhq63LjMGMl8stCakYo36Zun
spPmjWgjFMc6nKynRUdwglSqEFwazY3vJcMzvND8R6TMGY2FORlfg/Kr/oed0wZRAKSD2FURzoJ9
l+U64CQV40amTsyChgnhhwFR9TxZCZXlkCCfXmWjZVINNFOud8VANZlnQfgQIvXBeh+0akdqDCP4
xGxs9B6pVSP7tqgU4FlyZzYBAD9CoQMOqkDbmgBn2+uPza9jR/KtvUqPlfhmVJgQybIyeCgGU8zu
jVvSJsBdsqtxDcfDQV3tk1K+sivL+yHJaf1sQFeTJCHw6W+CPggPIaSukOQI3cckiCUU0fC7vc8g
huKdMsk5oWTUdwRXz6SgI/zuVsrKvPeudCTS9rhNHxgLEKCobPvqSJPtRRyYHIlR4OkN82MI/E2D
JWiFGHxyEVZENOdZUQ3ITAdhnlXXNCj8B6onGSTMZ2tjlO+SyBi5//+rDvsfOx81LSHApf+9Eend
W/y25Lv+JiD7t4/725A0RAwmoAQAXkH4hRaMaeCf+a6LfgzmHLNTwkt9czEN/zkkFd4fbLQJvQsX
dCOs0n8fkiIuY3oK7AfFrMe4VPj/yJAUYejvw0pEaIFtBx4Qa/L8SFDlm/grQ4jgH2EOU1Ye0LpO
28p/i/0U7SnJBXcJW7lzWlA+c3891w3+PZcUkn1rjijQHde/zQLqiLEP9hkWRBwFHIM2vlKnCp5j
EGmbogvBuKml66ExI1TCGbDAufRiAjOIblTx2Cdwy7IQNVCQOK/Z0K9F791O/Yzs3E3hKGf0BEP0
gJeW5guQgJlH3BtZ9DziOd11Cy7AL91zaU/eG7dJsR/ycNvXAjZXEM63RTmXa6klFRG8BiTwwDuM
QO90j2xIZAErtsCKqVVLe9OWhKSMlr8EShibOtQPbcJkzAk/NO20bsrzUmFPvbiCeCBuu4lpptI1
KQxfrpWORyOJMjAkeTDvRdI9pvxu72uUKCQqGc0eu/DzyAHnGfqMVtjbIOa3z9nEj5zSqKOH27dG
RLHQtLe2q3oUSnW5T3mvmXjOdxHeUYrBvkWJRIzs0bESnB2GfPGoN4tWbald8FA4LVvr6kvSB21C
j4PTtjZjwCAZc1Mbxgdsh4KFjEYxA3YQJ3a8oSa+MSb1gBBs4DLrx2dEKO7B9sttoziz07zeUivy
q/Hb+IY8+eQR1sY1sYefuL/8Vcy1vBvHKYBtxrDTXVJeChehDVNnuIGxQfiopCqHduAeRDhPXCb1
lWvC4bS3HcUELZkezYL5LWliEiMeBcf96N2GpftMVAxU98yrLrpD/saRdxubzn2SjZs8977FxXRH
MtK0lmp0cFayvuz6g0GAE4LvbxqX7GlMt5M70Xer/q7r5FdePZpkTG0G4CU3rt8U6wk1w1ZaWwf1
lwlpYdWGtsGImmqkEe3dNJjnnKuHaoKWKcCb106HsTefo/JFFA3T0QRKEJN1vnZ2aE2Dnrgxn8kJ
ohOfGE2NyUpQMyS40spAW/uWZWLlWm9OZKSn2Qq/iiy8tfFKOUS1+1F7sRGFDFW2qXNx7ebEeh3A
mJk469Ktg/3mMfTA7UUka62YhbskWnTG/ZzY7gVXpdyloZXsK8g67w3994lwq5Rd4+R6l6K1m6Md
9dMpc7rgze3aBO5IFZ/ImgmwMXbqQKRr8S1DqECsierTcyIS85BkeMkmv4uf+mV0y6PaH2za6Vc2
dlDBW10zAbaHg+9XxY98ivzH2UHHVGCIX3tN5Z2wf4QnKBXezvK03kmLPYgy5vEWu3f5NGOffwqa
Uh0zNEPP7Bv7XTsw1Vp1DcJ/yQQMQUEyEHQTurfwFJpzPgT6wVKVfUcJoI6S9JtX7LJq68f1yIwC
WVJbePmhS0L3fu6YFNvOqAieoNL7gEVCF1CTqHc7K40nsQn1GYejpMAJLGsN8tC8BMFoXjEdt3dk
JFnnMq+TZ8L1wlvkjt2ZR8U/24ZmKe8wuV0BC8O/XTb+HjtFcRfyA24SKaeHrEjM6j+Bz9nmcir/
+3ILfTsoXMfG0e4FiF1ouX8/tfNc+rXdz/EhiOPirnGodg9ZP/R3rV2x0sG9tmksrZErWKgOdD5v
NKigrUtE3daR6hkYmbEr7KnlLch6TtjeqjdunJo7L6GXwbAdv8pIIQqCouxevMrMTtIsgTzg/MCt
M18az6rQkwXF7USU1oon6dlFkYSJM3RvQEjjp7F6vCOT+9R1CbZRpct7T8VAEvWkoqdGa2HsUf0w
aun9GbcfbirmUkKTi7r2GP2D0IG0tcbMNIxAb4mK2w6kbWEzS9qUVXpcb93Zqp7J4gleQWof+0KS
hieCq/INgogQ1k62t6y93XUr/WqTmgX0lZJAajt2bqbSknxX9rUZ5RnN6mPU+QEQKGRyA5owqPEj
I+YoJeKS2YZNas7a19nEzKo89bMznKKuPvspr3+aTu4OLS7oGTw+meqmbemW7Oq0F78ng6uP1aCd
nRGj7KqQi9/VS6PbhlaBLCrPrs3sxZtGxeUdXAR/j6qMRwlxLX2x6ZlnzbzwPDHtOaNZCFEJmclz
YsbiHKdee5cDZbzWtJaXJLdRpQAzlSf+1uOZmI30lnlKeIvhm+c9AEn54WNUc2i77OQThFm1Hpl9
7brlTZmWdyZY3h6xvEdqeaOKPlDHJBrtu9yoxoemTduzY1bcz0k/3DWaq5K+p39rp5ISmLhmQuGW
NxjHmTqay1sd+Xn1BABnvGUpHB+awda7djkHoBqFp2nW3qlx6nxNN7s8B23wGCxnSLqcJriC68u8
nDDOctaAQOgPcjl/5uUkSpcziVbEPOSBheAs9jiyRtmV3/BOqkOWlwuzEJd8IVWyHqQXvGWFmE5N
ZDRHhv3+JSkJR17Y0epEAeK9ez5JsLR4cjc0qXfh/zbuVRsjM6shgqYpJMr1pLBZ4djvAmS7MwCH
bU6D0u+WiRNgA9fPNL5C0M0bMkM9Fh908hNUxqQc7io/Y0ThtrgMZxyh84bdoxveWEhjs2M193Hz
DWlMV/JpclxjrKtyecMUeojPAk0RQZV9ygxcyYCxoI1LTPPapbB/TeTYDiKMZMJQMsFV2JazyzBr
dF1mvJ3jlYv6I6sJwJH2vW0M4jaIR/dhNHxrV4R2v+2AnVz7uXNz8KdRae6BmBTF1kBkqsFe1Azi
8ib6uZDlNPsr8ixWnT8nxlaVTPkYLM94Xn2Oze9zQYIP2qjK4myhcw55xNhZkS4gxTWXLb+Xqn3w
o4mNSJbpLUvshg1GhUg7MHeZL5/lcGbgij0oMpFdhs0t9AgiXGGqralRE8aMKQKYZSRvRRNb0jAe
GcU2emU7vl4hF/8Bokrvpky/W5XdrlEKMxCcxCUyW830gnfU67ufqf+zaA12IIJcTg+1zAbPnj5j
33YQr5t7P6kfnNC6ZkzfNmMRXLCDRzcJG751XOLgQ6vnn6Q3opOuI6znqX0kq/da52rxdzIkNbj/
t+bcvGNdZYkRG2wGJ4xUXaIvXOfPs9WkX66jE0KFkenqop5PWY4vctS1fEFdMG0yq52+wtriGSTu
qrHXTPHMDPhiSoP9v31eJYE5Pk3N57/889tHmXLC97JL3+Vf+zXfwaUBGpguzONfBDrtv9fynd8+
3vLkP/0Ef3qHzD8w56BAQaj8yyVE8/W33s8Xf7hoYzz6Lod/+QsVyvb/MGHpuiZsTpByQHX/TR9j
CxpGnwkezuPQdtlh/SOtH1b+34oIYxHZoD3hn9+LB6eQdW7lkixT7Zc7xTfvrbKG3fOaGowgTjtk
yeUbVbBXdtdzjrv+sRYBCtbBY83F7g8BZRVMbrmBINS9uEakiFkKppcmK0NnjUuauOCODBhG9LoN
r7RV/YOfm84IbJSJIffPXLPxaGBfgO0drGjbw3KsV/0C1Ps5BDAsDkNdO7e9cO1jMVr6bYim6ieG
d9irmBAbQD8VJyXxQWFMmFLvmQxRPe9HN+UsJu06HKf9ZErErQLyUnvgFcTw17LOyTaqsbL2mAVe
+jA2vkvy3dy1Ty4nyiPavBFEnxqA8k2d9yqmvLyMozUZmHgFxlQ2uUWxQwKbeGwZE/O1zaYc04Zt
UOyHlGXXsUoHBtiZPbxnrjGy5iydo6Xi+IqAudq2QSoehZupb1wi7qUkeOjql7m3N6QT3iDxnfeD
OeIowlMbnQf0TRtG76AjY3TLAgdCsGMbD1Q1Fip5D/EjJTdG0SfhthDeAJg01/OpMTw2CNRNdDrx
/JnqkvF6FDft6yxy5z5UU2Ztkz6DflA6WfzsO8zbKIZKeUma0GRwlY0a3EvDRlnF07DPi5T7B46T
fsakZrxwhSd4rLRvPgfKgiodeu2Ub1OjoHD2EvEzs3S77+aAblTIPF6NZtxfgOMsJlXsu/62bJD9
IVyW56xKiOpt7a668TEWwOQrW3hc5AnLH6WTG93GRWj5GZfR+OSSJI8JFjgB+y5ULms/UsFt3XQk
imE5KwqGxY7Y56QMh/duqIp2K6eMuR7iXbrNyShqaiJyNlOi29va2WZDZdg7vDL+J1TByNkkRQtM
scmqZt56YDGttRGWGVGDbtf8YIeffDdFg7Nj2fDcl+QgD2jqy6nnl1GUGk6Tr7i6WaCrdeqUTCTV
wLxhbfOF6KTdKbm61K8dv30v/g44KPqCgeBPx64Q0WceefImyFplvTfFwMoAkbs17O0ygjPB15KE
eHaQuS6kFltnFSaLYgZN/AFBf/+uvGTkym5UtTHZZL6rXvTG2TLSOt8OSoU/nHqeswtCTA9hyBi5
h0xP5XMLouhjgij5OsY5IeRkxWENqtKSrFsTnmZmGrmzdqxKH5qEW3GVZFRCK1iEnrMRbGgoauoc
G8oQxmo3hRAIyNudgs9w6DyxyfvQ2gZ+gV6L7Cn/wVRRfxhoQAidYkX9aBRh/5MNQP8tyxLzzhnn
ecf0Q9ZoHEYvoLMKh4dFWPtNdy6bDFfXp3m2Wii0PujVMcgaD6VONJAEE0KLMOpkwbdXBb8LZhXk
IqMz+EaBmp8qK3eTLdzw3l5ltBKHSsajoIywZ7xzFTUy7o86AT1B086y3NtikhtYypGdtrIy5RPu
OM24U/JiunrhnDAKiAhu3xZsOfYwK9291RTmwW9yzIuCP+NrR3bzhzT6GKyJNPGjwfS9VX4S34a4
0ujfiRO46rJJH4fBWNZ2g2cdTE0Ik9NH3TUN9HDfx8KTi+4KmGetqu91nfjbYdZYhKMoemLyUaXM
AGIC7HNdYAMMG7YW0qRQZbiV/ahSXd9nRedu+xYDQhaO40FF3fyxuN8DAr+S2trnOeZxhssTf3t2
W4lNmgFr0Iax3yuLbKGPaATRzrmjj+QtMOUzfx2gZuYUW/e0FwRDY4KYjoY7YuLXQW9j5QQbtYlS
g4rI7G3d8Kxm9c/CRbvABoKHsDVViNRIt9kPq3aa726rdbhq2w5pjlAOZlQi1kWyrkmwq1bS72ag
c43ZvPSZleVXEdQQHCR7YVz6JvHFLMhMcUoypBWbgV//vAXRtwwOm2nA4VBo2zl05tTb4P6b7hbf
FAIGzRKNoGU0fnddS2L9mMTJV2KwEGp6E9AapkU8YwVmSlJzcmadeMOTdRHX/jZCnEBobeWnEJaA
fJHb0I5HpAtMfOwpKo5KD968doei7NcsXmogWQLghBX3zN+CaLzopgUab0xGvh/IdTpYdN305Kpw
1iMonXHX2nZ2Zr1vuOwmpH3D8iPZD+N9p0aGXEnd182qw7V5nrIGoVdZVu7KbB0zX7demf1kQ1Nt
zcI+6REWyIrOjo+q+Q4fmtrvv9lFoI+S/FIbS7BkOw8SZEB5p810EzNjOPLauPU3JI54PhzZs/cJ
9rKHWQr2r3hlgRhSA6O7ynJycFZJFRbHxNYMVK2sg8OV9pHLQm4G/cdPYOw7C4/e+CAsOorAHOaP
gtuAizqVTwVsphMBOSPjuChYO1UvrzA2hi+Hy2dvx9I+Aod78zvtbWaFdmLWdnwjZN8/26Nr30BS
8nl1CyTlwD2cTzqjaFjXxRBelGXZu7zQio7eD5qjFUmoEVOqbqIQ2NrKZtzNODrNxjONh6SXJFIq
HKL8tnA5yLeZrlpyyMcYtiDTYgMrj2dF+TpBsrRnw44Wd07b/DCnfX0VmVMcRx61c4Ay6jSHqXNS
iQpatsmq/x7ynG16twre4auLipm20947ZRFcEWphKpYSurXTRKhdR0N8hDwwm6hnT9lmIExaMoQd
9E7ML0xXNs9mZcLfV/z567BNvuM69JfhOjjyVeoh97X8zL+r8tB7t1KJYhMEVb32Otn8kIjoiB5r
5VMr+v59jK3m4tHO3FZdxiRX51l817u9D5vBT/baNVPsWlgiJDWX8H+Us80spIaN++w5S1fq4qX4
jJI2uS8jg7G2auBxsdXH2KYbaXGB1kq9Ds7kb/2BNt9wFq1Ea0bxq8/OH/ZVOhDYydb9R07SSArG
IRtfoGt6+yRo/Ht2IvYxHDWabSQUF+Idp5/hrGA9zSgMKc8gG0K66gL5hKcBmWvWaxf7SZwG7Mzc
aXoI4i7YsU3TLzOBAzuUzuUboSGUGtjGNU7qPtJyBcGpQhLS2vGeP5U+W3GMXpyWvntIO5u+F51h
jk5kLjipRD3KgiF50qVHPzNUvVcS8/OhoU2L6ZNHr9gVVmLd9U3jfBO+HkiA7M182qXo21iddGwM
EVN0wSmF+oj6whl7ySo/7JI1y3B8JIr9Lei0SXevWqZdtiG2xkSpNBfRbcqOiLGd9GghrSoEc4ch
ErCmz6WmyWqCiOPz+2eIwyo+LjOFyassXhwnaa9NW/RkNNIPXbPJAbVpDZgjhemfUjrxe2tU5mcK
YqRY8RRUYsu9uwAIhcLakcPdeJxo/BOo15QEK931SbWNU/KoNpZBC3MJ3HKIdnpwnRu/EDVyyNyB
QVYMFVIF7OVyiTjAdwWup4zj9RjW/t6zZHAtCtG0mznUwbyqw8L5ylBhsoEKDes5dI3pLQ0M8yMI
CqWwksKAYR7QSTIGRnz4SKZaMgWLLGu2RS8TBplF/CXiOr3KGcz0FDYWLNi0n4GwBCnSkbp7UBDY
2Yh0HFFVH3i7iaot2zgjsaFhgjgkMJHIrzyvj95C3QoUSJQYW6peBJ9dGbrFdmy8ETZAXBhf7JFm
ajTVHUJ8P1ilBjzpCLfHbYcVols53Msbnmz2SG1m1m922DbiAgmk2EbDEmvfiBGhWsFGo2pqLVZm
g1ppxVMlSHNskwu2SOdg50F8n8OLRZPgoValAxItmydbI2Ty+ZTxM/hpvicLhNxLo/2g37RhVHzV
RcpGwS4QwjGc9zaYD9HnZPD1fUWMZ9cRCi3tTmJdsNluAes069UU4zmPK6hdajZ5Fps0d1euGTdv
SWF0p3yc0aCN1kxwpGSZMTlMd/bEmfrjLahhg/Ef2m/GU5hWY4B3tGT0nGIvbRUdGccAlSpCiuaZ
XdSVm7uJV7ZIw1MQ1RUTvEW0ORJ9tTcNyIVDC+ze5w7Zxh1hJZ7AZ72qMkBBTpZkQIh8tQ0RP6zU
1CtiE6RzdGxhfqcOIDYBKzYpQKlt8NIUyK40YLRVyMYHiWecbsYsV1cE92RqlXbB9j1qi3ZVtWb6
AKyh2FpNiCrGJVr0tCBCt1Rw0VZ40U/q1HCPyL/Y1krCiwvD+IfoSvlzwh5jE5thRUSXiRzKX+0/
IKTumRo7Jfzb2ij2s1GWrMnk+DSOKMISySoDqOaDmy4IXDGydYo8dzwG7aBvnKaITxjfcn7vXnoM
kiIEmOWn7r7OTfGt7Wa0pHVae0uFjrAbMGOKjdJxEHzLOKOazVPzp8sRc5NSljK+JLrmFsrwkkls
0xx3JFSthJFmEh/+XBxqcu1RbZdp/cTmD+ldVnsXzxudR2fG1+hDxrzUvWtvNaEC0yrOvOEJMTf6
b05ecSAXKNhCv02eePWi18Qj+RthqcJsH8Ypp4saEIUXFcuFiogxtlOJdxkcgWSiBQubrmzPzG9d
w1Y3SZrYd6mYxwAxWZbdd0UbTxvXZPmWmMrHKhBPsBlUJh8nUaTPiH2GS4gl4Z1317pYEIU/2z7p
dx3M5nLliQmJl6Ed65uQNVW9lWcHt/WyW9808TyYA7OMUnJepQou9UoFZXYoKuhPqirLfRS0uOxC
YzyIxms2kGTHk1Hww+Y+nwSvY4VAS8ZQplzc4d86rrqEr9YWO9O0+JymLB4jUQRPMlEGPmHVCNZI
ifZ2bZ4168QWI3BKgK5A4VHorh0/qZ6s0sp2njMQUu6IL59mkFsZjVqPrMWQ58kZ/Zfl+twOOcLo
a4EW8MXjUuZvObfwu9RQy4/cGaf1/6E5LzCY2MWNPblUNEU3jhvTy0hugfjJ0owrRW2KMEMO+N8y
avyfZKb7m+jj704Obxdfs+r+OjqECL9oTPiwP7Uizh++Y5tklEGER9a0yD7+1IqIP0I0JKELdGGJ
0/idNkQKso8DybGEjZcBgUnPMZP8yz8LG4w8qWd8RpuoZBs1y38w0P09Qx3A598Ghj4WCJcvg6kO
TJxpQRz6fXCIvLtqDDMPb7IuLW+mhCYjToGlSYSUWK1JtXXj8SkPsmqPfwZvQzKPz2UvjUd0dN+6
GI6C0QbzNY7K8eQLPVwxCD1YFdVaPluIAbSTUqLUiB7ZJ8EY66IXRwTlLdl2h76LyFhVgTpBSb4a
VW4BmRmTn67B4twdsmothuKCD4Mru8hIm1j13gTyolWs3tC0EMHgcjTByQnWYwQkc9YTrofMGZMN
4DBzTeYuxSSRMvu0yf0bo2J0exP24fjIpZ58B2Lzmc+wfWmMbGTHY5r9gGD4U4fCvEkd5y6rwJbm
sPBPGrAgvhqn3+AT+zKNCoqpqlqCoLS36o2ovMJRb2/DHGMincwKNFG+7lKAxnOnmaPALOQTpd8H
llHUwZRqK6PCngMfr6Wwsw+mBXkl80MLgIwCXyTYGPY8IuB7ZdlcTZ19aLd3sDlGRDolUwFg2aRF
D3rzB+L5kk8VVcN+EnXMasSJHwdMwNLWxuOg/OJhKDxjX2g3qjaNE5kPLgUEFmwsJMXiuhnMtdUt
n1NoZpjUXwxA819rbnAc00NE47KTLSHnIPpxhiij8MRN0SSxcUCzX5xwO8psFzGKhK4z9nmEzyNC
iJoEwIKGulcLLyHqDj2282QfTsRwtdJtQZaGONE3g0uA0wpBFUParG8KB56eY757rT2+VNUIiBMN
rs/8wm/baT2UpQzh8kzhhXDBHLJu6yDLh/fF5A4IQWiuAqqU77L3uttZSqfZWvAk0nVsRchMCB62
NlIb1qqTyIJTKntwFNVw7zp2bz1MuQzqdZj1Bls4xy9QHzsWW3PkjFpfs86Pkhuko6o98oRhQizY
18+b3m/FnWHo6qtu0vJEuRjHzCmh9IJubHv+5lPqHxeMXbjSFpX32tPhA8k9B6onj/WgjqAV51us
9yVjBHsZqPss9u07CGbf4QRfxqwwNwB2BOvz7iaRzD7dzrxlukz3b9fXYdHuNM6jqrztZDnTXbpo
Ycr8ttSqhdkSbey8PngJSdTIpKolrBYmwpq0B/5kQhMQV07lITZz+5JOtvHJ47ypAwTJg4lHi9SZ
agweTLNtdrUeVyVH1C4sRbPhR/2y54dSDps+4GMsq/leGiJ76E1wwx6cMN11rA0S30EHlnkoYIyP
BTT6GDYGEQFGz3h52vRgU1mvg4ce3CC++SU2wu71hP4+YZLlZ2zTGA60/uLY8UrG0xOBBFZZ9+tp
ns1tLmvjzcHrhD57T7Jvsp1tTAlD48c3VWDSR9T2xncy7P5YY5lhWVV9a6aZ9yOc4kdRlCk0JqH2
OioaXplslzuApS3blwB8Iv99dmbWFNgGYfT0ZyEyIicjprRVEUEu9R85+m7jDJeMDdbqmKdEQpfu
Fl1/sXMm/DzMv/dlE6i945kfBb3uavSmT6az9xhRgIzSwO6cPnjCYmZ9ahnkPxnrfP1lr/Wnn/qf
EGZf6pTFOZcFduv/KDIBo+d5ljDZOvkspX4/7qtmpHJPrfDGiBsTOkwmYEkWlbXBDefeJ7XHW2Kg
82+2LiXIrVmP6XditRAqjQMD3lXp6YRzUnq8dR6S5UsmGhVu4zHvJp7LNGAXauX1wPQWcG/dVdb7
wNDMoWvRmD5QZlHKot+DjTaRnyRWY9OBCrUSleyT2DO6Q2e5HBZVE51YNQ8k8/06TYxfJ0v765Tp
lwNnLMfEOCg5+YJtux7IlliYJcrEERwsCgyZGejYCsBPh65tOaYW5YaImPMLGeP28dS5iPqdDk17
p9KUvyaZeaaTaPDH1UnguDnZEIm3mSgxbosQJwiy+7Wo2KwNSEzmRWuScZydvSpy920rKuZLEltz
nfabcoz2yHbEcWFlfFpkajyz86+3rU2E0hbUOJGxgO3UuM+GOlRrD/rbvkctl248oPs83cTIIJJg
rZU/plNv6RPjOqYvmUaAAyN7O4ZEA5mtUW7oTKqXZBHweIuUBx7/XVp32YkprnMBZjaPq4AgkVcO
BSaWrc8svtbkddWLN6v02ux+aFTwEUtXEY+bPSAnF0fPZPdaM2CwbhEU4jn8tZ+WDEHYVctyTs9l
IBCBoTe4r3BV7v0hcd6DaDD25ErJC27FCNV+HL+je+dtHdNW/ZhcTi9WgeI+cpX5kCL0xJth/XSK
yLoxx75E5Om2zFPK7lIgWMKEJPYF8R975AZHbjuw28oYkLQA6PXGjmTepCftUmxSVA2AgaZzI93v
2FrHLb+5bwx0kWbnKSCXOJy2RoCPVTTWE8zlep2r8QYUV8Y9B39otD/wYOid1xrvkPCrBD+4tW8S
ebQJiE2sDOCUderL6FsU2xvATwfyp36mFj68OgRohxFlUsrdjbP6YMlh3eWt/Vk7cXibqwaMvm92
u2A0gpvakm9u0PfHJLCGde/lyccUhvqInaCH1CGmQ9+7M8vbNIAYz2x6GPp3ikW8S679MThIRReS
25qMxgAye5qenMx4nZMy3peTad1VbXgLiQUYfa7EtqpgS9m+Ve9s2UTrVuEQg7M8I+FTalMNBXFg
nFaORiwZoJ8k261uenk7N1ZHSOI07X2nQeI4iscujkYaKis9CNySZ8OaPIoPy7uLccU9YNLuSS+L
t3Y4pAdDBgAFESoVtHV+evRCV8ARAVryCchx2DItaL7yIQYOn3v1zlEzq6Ee4LJdCv5r6sYb9ojZ
vtVjxg2rxPQ6uj5pm944CSiACufu0JXm99RN5UsLerZeVWmWfcElZnBRRnGCaCuWQGgEKIa90akk
3oLgLU/Rckd3y23NwIWLu/l1iXu/LnTbL+L0Jvh10Q+/Lv35VwHQAOQkGPVXYeD8KhK8pV5AYSb/
V7Lx+V+RbFhLA/SXy+z/Ce26fftIprd/unRvH5/9b2KNPz/0T3mG+ANRhOP5limoQPzgN34JshDT
5OAEa/IXeQbKfFTyqGEJ/zXphZZUyv/bbVkoNzzYrp7n26jqw38IX2Ih7frt/oX/sQhEmIQBMcE9
QAf3+/2bWkY4zozyd2OhEmdjdvi2rb5L7g0jM18SV1rfgjbm5WHmU5yR72vriPJCHgJWGY+VI9L7
Dpkku3U9OR9ET4VPcyXDZh/VbBTPeHlU8hLHdTStDKMOXmCrAh9ohNiMBjVlbxbXFqPeM2GN7pop
xXDfVOYLBsrRwHOmn1K3KZ/iuao+lOvb951ZZjeCKS8MhTk5dHGpLmVOkhjVqTsu+FB6k3WbGNSR
YiK3xZ16OJASsUnAaYpQTQXTQ6gisKNZ6hX1UXTttUJFN1+HsGfW5CVz+diQvTWQrtcNj6VVl1ii
HA1KIcTbCmsCsvJwEDGSj5U9RM2HYQQKxFJbAe2wS/x3Z7alYXgcIuH7cD4c0T1MU958OBzv6T4O
x3x4Maw4/GBpNf78V/bOZEdyJc3OT8QSSaMZSUArp88e8xyxIWLI5DwPRvLp9TG6u9DVgARpoYUA
bQq3bt6MjAx3N9r/n3O+s1i6so526zfFrncF826q6VtOfJ8MvgHNsbiVGBb1eTHk+LcPXSS+KS6a
j5xT66lSdrERbejd2w4pHp2mJ2zSwjjXALLNQ5V76mtuEwcoPwolC6+w5YGWx4o2lnjiSaBG2qSs
NALEGFoOcrE/m09OVyXvCITRz9AY7fdkdu5N4SYIKx3+vl0I4IoC+KLWFxfvxQEclebolG1x4Kfi
wHmROX1CXTOitCb1cpRjppl2+uhKQP7NPhbeHA8gqIx206MvAVz1oAAauR1QecG0Woe0wKAYcvur
BzbQeaRYiYkVB+5ktn1ISw18pk6jK1rgv4eCdwtlH1m0JQkB5SSJ0kevA+3WAWPZmDl/b0LwKmAJ
bUFhc6bqk5tkSHnCIP5SUOS9Oi0heAbYLhMfce2i9mOOCFhYfwmrMqFPjMYxnXgMQNBMDma69DHz
iZ9cVF881CLlvla28ZWUs7x3Xem/t22eXEckbNUun5f40PSuRzbLhltCh0L+NiL6DcAJ5dRvFMaX
KHAdChu5MJZxxrUqn7A8xMQOzh3A/oNLDRWtM3nUXeG5SbYIEQ9eqs1dUllUBDlpb2+IrD1ByKTK
wXHxj9ZkEGkZ8CTO1BEi896rQpq2zLBYPiVsh/gVXGicBMkUu9BmaA7hUm0ZWp9MF//GRg+L8IKq
4OJ1smyPDW/tj/FbpxOcCoUVYRRBzh9h+RO/8Ldxpukwg20o4r2TKbsJYkNbtx2mderEVKveBZ5a
hHLq+4yQPofBeXWE0xg30unids+TMx72KCKW3DpjZ89BprSQez1Ps7lNJ15o2u9KMLus7qNyunEY
vYbrEJM+vccIHcVj4vNfPcQedH9yFKGlX3veXd6G7pps2of0uSNqabJ9QTkzZWzopyIfFyf9ExUQ
8uRJP2oe8QLPHi6j3k//6HGur0a29HywZU38CHN+DqM/Hmz8wmn2J9e93+5EGLZ0XpEWRsOgDGXd
hCykGDvPaPOgHKxw3BZL/pedcBMUStBfEaZ11p14ZxJurhOSP5bfOvdksUvKuKT8UcZU2kfHd/3k
PDiy/RJ+3tKaFgMQIVE5MdDwSxwSNJKVyrGe2YUQJTEzy9mj3pClNesmClZZE64sMfqAWIFE5pVF
CjslXmLcHnMPiJAWqwaofpcXWyDKId0QsYCHklMY227SstXvI4La9ciF6rVyU8qXtKRTcEABPhPo
9acNOcFpxzlEn+rU+ZSjWb2+Hv3G59INWSLwUuDEKaT5ezkNqNsQfh+KsYRwp3vJdSpDCz+F8BLY
TePDO2FITS493diBNDDNWaUtXgsgJ3uUJrAXDDzEmDUx54JHZLGbDNOE18vVURj2lCIRGtFC1nEZ
Diarr6u66o2gJO8PPaDC1BY7ZX1rIBV/Qr+YPmA7OS9dbGUnNYzp3mzH8IGnZeIdGsvtniornb4a
IqU/rC31k24LvR9l+ehzLE0b3WCy3sVj9ZiCMmDlBR7q3DTktg8ARKKjVTSCi+QoD2NJSXAgnX4U
gUyxtu29fFxaahjVOyW3vKxchbtLpmbKPaAgcX2sHEzgvrnq9cWH6xbwlyoGFg3aZaCcdmQdQA6k
OmK8q5DVoGPJrqFroql6NvizxV8YiZhkKTTKqyFMRcy0iAZ/NRcCYl7XLtVzk2t698KpWIFTY+2c
amcYL1kWw+CrEFnlBodj8iExR92PeHmu0ybzb8s2AzsKEu2bR3N7tfhRR6wOxs5GT1N9rqcsuhSQ
WvleZg4qKab2oWCRiULvjP4t3wu2Oybdl8zqyHkPuloebPoITpjX6n4bKnffuekf5dn5s4L6vdNh
kfQ3vHrlu4lkDVy1Nw5p26NI2bgtk6r+AfJEdx8QhRtuLhNumrKA6wEii96XJD6VFfspUMQtalQ1
8nlzJ7G1YB3fm/UaCS4GfybsQ4XnY9nlxtl2qvbDthgldxHjAGyBqik8VkeMWbBTuv5LNaMDfake
76cc/vxJxmX2Vukoim5nZ13kmalTflW6679DgShNLVrVGueOGjmIDeS30/0Yje6j78wMQULm7rnG
b0hxm6z4X/QRPH18NQ4z03Ddkbh5QjuD3fCLWdjLeyelDUNqGoDALAnrBSxX2e96uDfkpWKcszUX
MxywcqIgZdH9X0l9Dmvwkf9vinj4K3U/ntjB1ldate5ZGkl9n1XVuGw6F/fpVuZj+pyjMR3ipugu
SRyaB5OZ/kxHEl/IahNiXFaeE/BSHQ8bAu4EDd1s5DscY37Rr7gL0jpSdPBMZrF8Nn6ZOrtmEmjs
sxF+993kAozqRga1yHPWsBml9dkdRp72wgvP9szmt5cBsckS+glte7cN2ccHLqbUWyRQo0FRexGo
ryHHSMrXjA62n1YfPiRmPm+i1Hti2Im1CTO2jKx46/ey6lUUJDBlP6GlyYvDBvtTDENH9gdVnQue
EV6iCnbxprYADrh8S7uIM3MOUvKSrz3j/vdiktDDBOzKmwQvHyTJoVIPcTVPK36ofGKJwvfWthVR
HC+h5EfX2E7LZqGWy3ai6o5Tf962resvRy47OKxMfCrPIeFSzh3NMdnZhE1UsS7gW5TujAVVWhaB
mObmw0tSHjXsspfbtmikQ7RnGj77vpI7N05JsxRNlt0KXB8OCvS6+gdthFHZyhHM+9YanKAjNf8c
Lb3/hJafeQGTAGxABJcjXQdw9Cd3ct4IFY/xYzYN/h1JSpHj7hMeADuDx8fKtQLbxJMZsP0szzEZ
BbbXqJlHYLRGTyVLbKxiLTgvM/HHg2TzTfeO1br3yZIaLtQ2bT8qnjrbWkXDS0xG71FQlHOn54h7
W4wYdJ/bvRz3pr9IzJzaMMl0wIaAXj9G6nFUfnKbjgtAcpqBZmKhTfZdRJN4wHqHU1YJ5GQ0aolA
OkrjhxMPZT+nLN2evfQPW/N6y1VIPpO0r6y17E89mINWH3DTyRP7tOoGGHTBY+sZlBUJQ/c9c+kI
LczW+KoQax/NGWPOxe76YgWMun8p+EjqqwURHvWnk8UPmcD+ZdHTfMyXfLy4ICySLUIreyuTTq6S
NFxL721Scgodm6ZQRxZrxrOKZvYSeVd3B8zxPXWFAPfdOTHhs8la7Kx5aIegxHl+NkkaxgH26vl1
8cJ+V8Up1g4X4BMNt3iIsSNU9RWGfMosjChpd7qMKIeIOqyAxfA2seHHWFIlW3Z+A9+I3XyEFf4f
Hk31eYoFFcltzcnjRM59ol1olzOV9DTcUXBhcngRXItf7IyFl9MCBuFdyFar8/9WrnPslGhPEzRy
TOk9m2cjng6ExKpDCGzxDzGp7hbkJOff7LM9p6TW3mBSx3nfYwjjioD7dxpZ6fhVdQcHPz41ad3t
8cqXR/qMs0tDhdC3zvr63jVmLH340fH8Tm5FO60Z7RVQiiMc5uiD60wHsSV+SEqO5o7MMZc5FyIG
SjgE6Cq81JIiKbKgYJmjobsabOi70iDirBPNIlH1J6vy0A14EuN1LjUid1OaGuce5ug8jb0PkgVE
Mil87s+aNwi96XN7aRu757KYpWe/y+jW8pqfpTa4W+VOuD5OmcZqPNYnNbctsDR7OTACRfsxjplq
ET7MazC25S52pQiaEtdJGwG9IP6l7vvCRGhsACpfVIPL3azj+kTzRZNuPaSYW0qVWFYZqSJxFD7x
tr9XTnSh/JJSAu2A48Jz5Ml8AcmEAYadrr/h5QRTlEWQ15slja9jo6cJMJ2H/AX2F8CwCKcY0yfG
Wr9snhUmhk+kzOkODy3ga5PwxvW8KJcyLvjSVUirzYFFqsPxBqjiXdnmbVZ37W0GD+MQdv1xsETL
DZD+NuY0MXxw6wyDMpPyrZur8ateuusCv/ylQ29did8gepNCRF/QtcyviOsGEeKp2pOZw6PfGwvi
nt/dpPT3PhYxf7bwGgmw06alDap3w1vUkCfy+vYN5X36qXe5m89d1gNbyo3+HRiJPPcWSz8KtvBE
zaL78krIjjmUgYv0Q/0YRjJnzunNvSZDe2yxqO+FYalXj1VnRrQ+isbt2I5oQNxG7nLejc0OkyLW
wYrS3l1jNMiCZLhKyJc2co7UFhlpahhwPfeGwDdZcHmiFRxjqptDn3xyo8mbSDmUJZNJj1m552ny
09qGFjg3iumYLkn5MUXE8DaDsMFKukZaR3dFWpsvIVkRrt+ETMCP2B92bKhb4pfWD2joCkaVk6PV
1rwOp4HpZg8Zn0HCXabkJWsmtvuGV9uwkOquLI8Ti+5dHam+3iGtLW9jTLG3ywboNJEEYF6YRHkH
4MtWx3VB8hlJw8InsriwesZJgb1zep5hfYleb3UzzVh6hOY/DfVjnLv9J5YaDoDOKo62TD7atEL0
IK5f7vIhyramZs/CXJfDjwwr+dTQ5nfsykXY1xEM7Q5MSpu2O7uzF/dAlFgYezEZKZSHFYv1QvDD
Ng81T02BNp2vV8boSmtqC3Sb8oPo/QGsbAeNdZOOvvm3NqfhxgOP/mpOheuSMxYhKKreTd+SMmkp
ZPTLak+UAmSCjeB8NtxUFE967Xspe2tUV2hCfXep4gmg/hLPxS7RhqY8jTKlXrjvftEU/q5hfDsI
lnMuJ1Ji6kBYEqZE1bX0PvLE2mtNxCOLOh0wmhlPtRd6V4ZaOnTDlFIWquc++Mgl7Q1HvnIuzVCk
t+QNnO88HbxXNjPwwngecZOu5aFEXbjBvd98Oy3rZgoLI3E14WPfW36c/6QGGuix8dKEXqe4BdFq
LXC0MCEVreTGx8IA/o3d9izstaR7LKn1dZqJbh0Lh4h9RA4ob+NNdQ/mqiupk6vxacEPwJVmXvJ4
gMyBbZCPe5cS3N6EpBXEsWMSS/dwaDzYGu5obttM9m7gEDR5E2GzXpVpqeCZQ7nDU8Y6UIJOyIdb
CswJhidFy+EeF7wxNzynM3Vu4O18RvS6bNZFO3oZcCtuODyiYBkY+AziYjprv1ZfRGrrV1VY3tui
UPYh8sZ4zTxy60HnADULNFy5vTfT8bCHU9LCHxhzYBt1luOYHTrGO8x7NM/ioYD9FnvRh9PM9aGk
qpHehdJDZC4LD7cCVMitTCAmKPYfxja1cXEoJyd0kHDneUPf79qDpYbmgoon7grie8e8gOXDO1jk
D6WRN0cdrrYQEjvNGNh+hJxhtQpTabqyqhDx+JAUAhfsboSx3hxCuzCwA+s+LOoT+eOQzDXurgOe
XWciKRFO76NiwOJv4nUvw+zCYFUgHflbuyvM0c6wtOJFmFmgjcD7Poc8tp5oCoFI5vSe4p5AcfpF
dSOxkgiDzKdNzpS9RTIZ1h69j36LYoR/ffbdYXlNy4Ghi7cnIP8MlUZa0CgmYIBgSg9FaaszCxE3
2ePfLQEsm/kPAGH7muwE7vc8W3lJRee26jZBSiEfJtPXRpsjHQ9zCBNXLx4YwIy2eeBxzmAB1uOt
cu6ppsUl12Jt3AwjXZhF0jLNTzbHz6xoIcT43LMHse3GvuKcwDCI8lbzBs1kYZ28qWnLQ+T5IwGH
YhyWLR5+97uVQ/uM6QTsQAapBZuezUpvk9AwiidJsXtkFjCyXTa0SHpgvET0iYXSvUx2y6408VPv
Jp0SgLQ47BoO7DTCgkNyh6hGVgKw2sqyh+yEFs7CRsVDY27HZKxv0iJfc3OA7d5VmIZbvJjDO5+k
1r5qTXM4RHXUDVe1aZMv0oYr/K0huugnhE0b7yd7SLnshSVIVx5LnCtTOdEeSJLQOS9+tWAGHvpG
BYBQpLMxlK/xB0D3NewOhuBIx84VlQwUpjFFGlFQt2sSfMmrPN3ZcbLcQ/PK6gPg4hKGXuZjCcZl
OuxGmiqu9bQWzrZ9uuwaM4VMqrOC9Vdm+r1D8IbvYQNTYG+QDBmuZi3LJjAwx8L4wLaSB0lrskzq
XMU5sMS+dwO/h9t9zpONEQxA7hZ5HIeFJ6gdIhcUYZUydcSyCGWfhl9jopu5G0oZ7vPC+jtmhvfQ
eqTTsWJD7HWMqsecGKeUr8k4r/FD5XVb7jqOzWij+sa4x9q6eC92ssy7SI0JA0zaNzxcrNHYM9Y7
yV+ar+ePnAuZ3KWJnTywxaX9jotrQyeEmzxkMK6PVITEOJEyfJQ1lLLLMo/Ry8qn6TbQKlMIKvlb
bYhwR+2wm50woLFxX92hUQOlaDtMYfmJoGP8VEk9P6UYmzGnVoBcN4ALeqpzeRS2m8nLixtmyMk7
NnrdZdPv+s1lrv0yU694XsyJNCmR9m7HsBafDQuxKegpQmg25IMEnlgFZy5GIbUMmq3ZWoj9xELh
wkrHCVLoQXcd3fErepEq483i6uUoeOM+9I2uH0IaMgjxYYTexnaEWIuvD4EHdhjePduaaI4e6j1o
DS/aA6QY46AwOjZRVt2pZR868KqPHm9fgOLVKNhbJrFOb1g2kGsgmUcYpRaQraCASIE8E/cezJDM
tk79HD9SqUdxzGTNn1SF7YRB415tpnB1GhIV3wgyYF/9xn7jTjZJnm1prB4zRhMo5RkmtKRV0VNr
W94Td1EcSaYf07BiIkUZXNua5pVoYvUXuBZ3UdGyB1g9b8UfvEReFngCdHGpJpb9zZBQ5WFP2MQK
DnpulK0qDv9XfK7XyXdLTOtv/9//27/A0taqg+8K3YeW6P7/pWoJx8LN8b/WZ6ne/Ozivv38z3bY
f/99/8zO+2CwTVBngB/+RZy1/6GkRbEEDlS6HRyTP+s/uGn2P0ybfwHv0hb+qqD+U5215D8UlGnU
WWHbSliYV/8PvLCWKbHV/icED1979ee6lljpaSZR+v+iztoMNVNvG9Nu7mt7PCo0ku1EEJ2AVOz8
jdYba9BTQS22k78uk71fYqfF4+viG65BWT04EIDWnN1vxUxk4GYcTCzjhFDsb9EgDkNrxV8/OeSA
MRKCEcUJBlKUYqC8vpdtkrwajkwi1hyOru7xFOUdz7+kB8DtlOCq2lKF9tbJsdRtU3LdHqklleGI
GwHY0jNoE3j1f2m8XJ5pJaAMMLojEmv9paeIaPSE2I11ZPBPzQpbtbPYsKnvXkbUiFg7kk+j1WS3
uq31FUQtIuZyhbla6BJnxB3pbVtJneVN+Mt/5eFtZg9gj984qWfrwL6IB0zj0noc6JCt0ZTECZV1
E/H+K2cUjAzlL5HWBizekhnqnDRoojR+cjyjUPv2F2g723BIAj2mSXoLQ4BOAkD9z5go4W+YYuYA
67wxPxpepLNzOxHVohmUHqHNKrnXm5nKIMx1K6LX7q0M6qLpoPxBKyek43FtWfm+LKWqK6v14vtp
JQN3IIJl28NX6aasGrZcv+WOh3HXM0MSWPadPCFRAHc4GqP2LmRVXJ1kXgMsXn7hxWBgnYds5hJ3
vYqzIWj/wfE3rIgFW8h5Maa9rhQ3kxBv93LtkHs1zpELBzsw9eIYx5b2j5Vyo4fDgN1kvCZuPvuB
TFZYs6dteVfCLNBB4oVdeUVWl+aF0c9pl6jG2jpS2AAGuqN1wz+ZqMo1UZIiYTBQYhh3stQlJmyv
7zE0Vna1ixabf0YbgT3dUeUa7ucsG/OTOZP3oH3Rt2EJuLWycQjX01MXx0aOHiucr3qlXWOrhjMe
te1PRQpjOvOuo/7E/OVmj23Pc12uadC4NYdTRGgrYrnh0mVrGt5YMOCy0k5TU3zVPg64Y2wRw9jF
LMhAzvs2rxhNttVZ6L5Gdqvb7KpHArxvE/cO4UY9dx16f9CHmPoiIltnT8MsYJ1S1KwEUusBUm/3
sVBoTgFdRhugzSMWDdizwUGN5GEJTPX2U9JGyM6WmfE8Gcx6fkxKsWDdKpbrUZqtxnVUxRaZ3AjH
4gS1Te/scqnH42JGxbXP7b4/TuyZmq2ZjsU7q5Dm1gcy02xbv6YXKjT9rAoMKZwnEBW1szFtvHYb
z/BET1lhKa8YzWOJBxdjMO5gI7Iug+BM2HRR4Vy3NUvjLZu7GS00LZKPHqPWtKMcnXe7FWG4sGrG
mG2F+YLcmxm+GMQHD4s70rsyVeVPXpNpzds42UehM70iJRdBwyMTmhk2qHekbT43NSVqtxRxUAfr
FNWlNPPxiVx7yjVvZn+S5P5E26Ij7kiWTiTdfJEeyZsUuzKx8mKTmqNdHBnHnGfqsbtLN+voQ2Y2
5Aps13l4T/kV/B7IVGOI6ZtrDVu++GuqDXb5bPBog1hMOBpkYJunRJniBFwV25+Tl+B1KCDhUR66
Kv+pZdyeRbv4gjnUW14okim/m7EafZABYooOIOGwrxWZi66fa6alMdI3cVMZp9Cx4bjjvcz1Y63J
fAaYVADMxpBXO2onCpyFCl8oBrw6Hw7TLCxGu8Ws020muIsHC9dcM5Bm072O6YzbcUQG8mn5+bCi
0C2fPSZJc6snPigb0mhUuRqVlFsCR+h1hTGLTc6hf5Ct5u0Zvy6JYX71Qw5Awa5SUPBZu/eHmAsr
QUVkjQJoZcXwYAZOlDRH5XSSz6gvfI59mtswnc8+csc0CCewHIgWo9OED8VsUA8yMxSRgeJ+t4NF
mOhdTu/YPXQG18HoYEOWJYXiGBdnsdNPRUfceIQPN2TXjgiXgDAtIaLUEjAi7QRT+sLK+y5MsugJ
inOZb8dowvPaicSvtpZEoNj4smSNDGZGP/szdfGcVyTCNh0/eZKYtaPuwSwYNhMFgZAgofO03qp5
RdzaMq4fksamyJizgSIFmMFq9TBwgzhhxHZQFCmv2JWcZjTfusl0yfrEPPJmXvD9lsAGSRDWcKq4
H3RHwm1tuO8b2FtlniY/avKb15JZ8N4Y+6TYTE2yfHPnzNsNEpLNHMauptryR/RQ7YZ0OVmlk2XH
TnK9X+lvxAwKdqwguLz1h1DaA8NNVqR3XbbMXBBaIT653649DmVZP82Q1q8rs9YYfLIJz4STcbT6
A5YyytvAwE20CJKTj8cXDZXtnM2RL/amQVVUWpgeUV7IjON1tpI02WR6RNdT8OibKGub+jipwfvj
amc+soq1bkIdMxxWhgapUC34QDalJmW/9UbX2wAtjcNbZ05RQJwhrf272VPjSEzNja8N0frvJKfl
fWobF3yu+GhcHDU0BQKn/nXZhKvhRnDIbcNfE07C+p6V71e6GnSS1apj/7p2MB+tHk978V771dZD
yUaI1o/Vh5YUXD90P2Unk3D3hjNmRUfjEZqdlEiiHtJoO7dFGowTM5vRlO7ZalzTPoyr46hYvUdU
i5PhJqidBM3qTcILj00JwdIO3EZS+eCGy9loFrIqYPPUg/Nrc4pXx5NavU+qipfjVJjDChOjggGO
LXVYRP+LQxpVLARwCPaHPo70xfg1V5lK96ByV8sV0RH3Zlx9WLDjox9Hq/g97uYngGwr3ePXuuWu
Lq5k9XMVv9Yu5a5Ta8tZRHxXLPZ4AqipvtCOsSZYJdi584hVjFiGPBCE8e4deyk2SFPWU05nyQcA
ma66EWkz/sUoifksclcjmupjTGnxr0FN2ksWoKPVxQ5rHRa2ysmmLxJaoGwdAEUvFYUyyUFVVvXT
SGG29/RBYoizUyyPZ+fXKAdGlB9jFEELYkGMl06wNabr8tdiF/7a7Qyuc/Q8/NrwylKMj82vOS/J
DBoAfi171a99T2DkG7s6q86SfTTSrK/n+9kV9KiIJb6mgCI5Yi/ADhhPbX9gzYeS+GsXdJ0Y6+C6
uUDK8lR/lyxtfCq8yDuXqZEAcNDi1iTRTt1Qr6tdPwHegcmS7zAERjzLuYP8tKuLETIPqW1X25jZ
Wchx8HovhlFiftQzisHJK3NVfs6/BkkOWv+JJl7nZxgbUW8ipy1vB79rXoaJDpD012opsjm/6uzK
zTHKR4RI8b6/KO5qN10voQfkY8Sa9XeulL8zprmOm9Nc1w1+69r55gGZb3lkMZnS1yVe+7D7tNk3
kecdc+bXyM7qvziXmlfrd75lCcysK8OBC4eRzOVLEw3Rk/6diwGFxig8pnwkYboOzvT82m8oSU3g
/07WvUOs11nHbYu5e+JO/mlNC1w5ZvJ0Hc4NW3Dy978zO0Iy87v5O8tnv3N9QfA1JSqwzvv+7+xv
/O4B7N+dABuBwuXMW3cF5u/eAAd/jU+ETNZlWBcL3e+OAb+1/Zj8bh5sh0d5jPPyAdpr9MB7fzku
42Kz68cNit18GYa7xEucwO9EfTHzTuztddmRsPVwfvcf9dpZELdeKk9d2s3xa9HUMQqZTZ3rpqhb
boSLMK3rWjTDnaMntiEpWfJhSNjrx9PZLPxqJ0zQUWM3Qp3QSbMfOppp2Ky4rb8RsZQ00/v9gzbC
5RAhor3V/GxP7KJbQImqzCpC1L6htkhmCbA/FWMRdUbDeI972hbObOzpcRtE4T5r2InmFoeFRStn
O1J+lXsue14etDeRsw5n8FgyEGg+gcNknsJ8X7GI5CWUyzvVzvrD5rtQ2xSPnBV4/Lzh8AoUaEe0
0wfYtB593wLuRUjafOKCywmbLjAY0KLjcyiq6U8RNvNezW5+ai3qEI6jD2GNocELzyi3MLsgDG5z
i3FmyyWD/Wa8+CydlwwnFhtZ+qbs0nHsABb+rsgbiPQ+rxh5uAz7/Y4Ps0U6ccnGLz6+6qrLcoz3
MQCBhGtHGR1DVFNSA3G+1yYV9NChZXFrm1yGdiERe+vc+XGo9kzEpthiFEuZqhhvVMCQuxx8vKUf
sucBBrVkYH5lDeus3VWwSxmUfDU/t3BSHBgEAkkioT/1Z2xaeRpjMEzFVHrbLpbtMas55hfw48mG
HCFnDVmwHWkglvNEybC0oAYCjqVdp9rgCO0+HKMJbyMXm5iy2hiDoYe3KyKqTkd0mqv7pe2r7txU
Nq0CnR8qiFwRqTq2pSzGBx1RHjFiv7MDPEjTrVd75PWjPvF/iNx5j6x/n+PVTQwxTkHZLLH3FfXi
7mnGwKeWmd55DfTge6FgumYnfQc9xdzWKJstWr8E0gnHpntoQ22x8Brc1a2QdN9pz557D/S9b49u
X64Gwrj/qftlvKXKEWmxAPXBMrWK0GVsXJyfTq+JDPI6ANxxcFzj+OBmn6gravTUPYolpbtxqK+x
IF0ikso9jG+2V7h/xmPmqO8O7eAuU5ELz6SkBhGkd2I3Jnwcooh6VOIVV/gPb7eJn/HKRVPJTz4m
xakLRUFW0ePnnXJDnkiJOAWM1kJ2fENjVd95PIb3Sd9GH9wpAOty+KlHJ/s0bSkhkISr4FQSqZ/R
4mnElaesNOvHEHbEofWosOHg3FZVJw5WUro/aMnWMTRbMBp1dlxKjxCIGrJ0W091uU+pV35sLWvG
4uSZXzg/ywuVC/pzaGsqIMKMBhi/n83pmGck4AB8Wvp7GRRiGpHkJgB45J37rOHSBagmzYNRG80n
uHdv3i2qkZB8RXusJu70mRLuAVSJPmKpZtwf6+xOe2K+IQQuV6JOPl9p2jZBJel++TOnHXaIjBsk
do/CewLora5mG6yJ6kqHmRgQm64zc2tzk/+TG1N7aHvEax4mb41PnyZVunK47hSHaE/OPw1qIJPh
oaj86Nhb8wGSW3Yo6fuEyl6z/MhU3T9z3W1YUMxdHYCRZ+ag8mjbQL7464nYP8kWeyDFPcu7hQ/8
oaxoLd2wqO+CBs87S3NzsIJEclyyuTnIKj9pO6oPcW6p2yFzLP5Ck2cEtqxKLjtGgVw/0OsRub3E
3Mt8OrhO86ZbEzP7jMvYlK58yH2nPzZ4PO9zPC6wBePCw6eQvTW5MN9QLestamB7QwsIUPdytvf4
7FifdRoMLg54bjTyLm5W55GbJGf0mE0j5uEoJvfG45oXYF92LjMZ/T2BeDi9eJcowuslM/KY4CGL
jN3Iw3hPMD8JXBUVVxxU6Y6PjPeKfEOjSUSOMCjhmGywnTxRL4nHKjHH6UmpiSBhV6EdNv4gb3Fc
e+TCUjVf69zQO07cmYhume/nPmrOyxLV9mWy0rrfsU2jFSvu3g1sW09SNT3O+mbpnpfR57YXZYJO
9BRybZGZvKqLeawVr39bRv3OxaMRnfEM5DtTx5rcrJT1wVky92sq80964JJgqsjgq34p/mCWCg+c
D9VDs2hUpiQ0bnKBvcAJ8W2nPFgxS5RYN+K6OqwMxABPPAa73L2pJfjqTc840G98dBQOZy2TC4Wi
5Ylcm/fH7MWdEXLt7vD+cSEL5zvlzID8jB64NvZOgE4j+yOjOsRT2p/UtLCbmqtFvSi7kO+Svgiz
i3mSRENycRv6AkCfwSqeudjSYCfnryXJxXOWTeZf3Q4G84Av77CJHlIll/6mNuZMX8djTSY6Myj6
XvLvRlp2t0OMm45cvee/sZcWdxkhsyOVdc2uRQif72meoJ5tpkHY64EPkEGOuUnh47FPoemi2mVp
QhWOx9Byb4oCP7QsLR56/z/29ed/K/Zl/tIygFL8z0urr/9EMZUs87/oCtY/f+O/Yzbsf7jStKlP
sSBmUO7Jl/w3zIbn/4MqSkXqyvfcf/+V/5AW1D9Mcl2+7/N5FC6qxD+lBSpZ1gCZhaqk5L9lwv4P
pAWu1f+qLIDZIHcmJLXankPAzPkvueshRDGTcKaPLU8fEHdNBhjKE2zGSSIk8c+UYSzsFW7uEyjF
4dGxZi/aKc1Mvo/8UDw3pHdOjJSK1L5CDN4UicGaGUvx1BwgzornFZBwHWpt3haGIfs7IUslAnfy
PcigjpP6x67CUIdJ32vq/8HdmSxHbqTZ+lX6AS5kcMe8uYuYJ5LBIJNJ5gZGipkYHTPgAJ6+P7DU
VSX1vLibWyYrs7QURTIC4f4P53znYhrleCTGFZ2hE+GNRMgYPbeOh6R0wL+L510Yz4xn67Pfe/1r
ZSPxLshu2iIJg0NY+DcT+/BmsCDLIhxj8lWx6MjaofmdYV6laahaRj78stHFTFsiiRviAC9O3FZE
jdqs8ds+9zmtcnVABqEeapnIAxftiKVjtg5TMsENsesAK8GEW0flk/uoYyw3RGb5e02Q1l3l5wFa
OZYUsJXNrdUoErH7AGpI7EIOsWX1MpS+7m9hOVbeqobkJ6DLL1dqgjgI/rFl4uQPk+ikWa481thf
URMgXY8uddKlGiDQMNDfIXphjFHUY7RpQUGQSG1Y+Fy44EFcRAKBERQ0aGaPsyDn+6GJfLd4ZMsF
Hnw2cYAdstQAIRdXvpiJzeSmPoWDZo1UpqEYtn3PIbaDc4BNKZe18+iT1CV3YiaYBOuYJL1K9szF
V9aM8mMXov/Ye50Zf5plFXlrValgXzS9eHFCKHObyETPWKbtL9qOcw+e6CopiC5lMxHhZpnGwSAb
8ZW9/riKzfCqR4YuFBAMabpREVrS6I2a6uSRjARz55rMecs8BHdQO6bet0AcPy01eIeSvMBknwyI
vTd5ydyb2sJ/hpaPp2XySpAODNf8p1wYlDykjsIFSZwF550/kYqK/wKLzQrFOnSHyCpPpgdSxWgD
yq/EP3FjQvggVfw5ZNS8g7jmnFx3kV+lxn7R7j4wMFtnZdsuQ6VkHQu3fWCEDp8O7h9YLItgEDsH
HY0WJAagWANRjvbMzPKL4zE357+FwVnl6tJgoMNckdrJM09rfy5NS6AVliUs/ilI0uMUZXBOSyCe
RAW5q7yK2GoMOnsIsLu/dby3oDvKkOVWRNVN/6LH0VzNOLvQm8fFSinvZUwS9VhP5b7Uab6tgyWS
Ox2STwdN4RZVRPWk+qgFUN+nvO7ptHfRp7x5KDWOOTyGO3QGP4EtAvxi6q+2PrSbQ2akgKMa4qSR
L2j3SZcTwnMBL/JHNXWi3ZqMKI5oEQySfEaUxhIdM/nvPeJsktfMGsXSHHhIREYUlgr/yi6n1kAF
FuWHPDBopjuXE0aNd65j9hRhLQP5NsqvzC7rUwtQ+cRqI3iIrDp8t/UQdv9vqFL/323bBZAORtwm
t8R/fi9+6zo27ln817Cyf3ztH1t3PMwQlQiYkdyCbNjZav9BrPd+w8QLC0QITzD5//vO3RK/YaGW
xIfZAIAD1uL/uBj93/gLlvR/u0yXr/pfXIzYrP98MTIaYVwjHI+LGPWubfJD/HNWWRyiNeLGk3vY
KSrfe7mrUYDgyCEzxXPeW4Cqj2LC3o9pwlxHCMzGNbBNV+5gMXU77Xj6wjQpWWcDCqcQcx2bhG/9
XAA3IPEWQY+zid06P3psEz/ipO+OZppYC4MpMrAczMWyHfKd+WhMatGT0KPfwhy4bEFi8INkHANE
hN4EMR0/BYP4eJWi2SOzTMOTqpqfhHkQVeVlPdhBlRCQFgj/3uz65BKhvNlOMk02JEvXO4VVExmf
SrYti2hA6SLA8sBatBYcanFqBZ+pcrGfOICFdgKB057Wy3zy5iRBxe3We94ZD8HhmHmAezUDcJGQ
5Bu07Q4FbiHXFsCLZBXL5j33BT+ojvJ0r3y8iqtooEKGnTnAxnZ6/1HTO2zcuoI77tvVh8nw597O
zIs9u6wazTtg/vRxNkheJqLD4J1nZ3pEIp3SqPbLHvbO4J3bjLbX7Ri87Mm7aYgCTceO3EI3ZzNg
qIobetQdVtXQfe4cj5IHdi8zFWEnjyy/zg2N4qrylb0JC2eRdpV+v4vVFHCAB405rIpelu+GZUx3
qPXDHwGW4GM6+9UVkl1fIvYxXCy4kP+bdGpZkxjm3Uh1Xq/pSNgx+N1CpgwWr6EavcPQ1t6Bvefw
bcCZL8gqcDJWQzNcCQTlFwQrxrHE7/V7a3Xhus8c0oV50tpVj/35u0Z9eGYPxFQ6iolDcXlFiKVX
yWfi6mZr8lQegriE7FgyFtqDWS9+DA55pl6JIjgXZvrRVOVb508okSGJ0tMV2U1l9nBtERK/lAlq
ggoS7IXQJO8C1pmmXLALadrxQgUTXZYQgV1TW8YhYBe1DyNbYsNgvoPOgrQUdk480Rh2lxQVlNQY
m++gBWL2yDOJnN1T4jKRm0UPI1LvpfMk2xQMpKBM6mR6wt01HoF+i6sUiBe2kVMN7zg+9SnMXJuh
fpuSwzd3P7QKNaQBtm6BZ1rPrekj5fJ1qR8sI21+5CgEsBikc1uz4DGc+j4ws5yxqMZ+vrExeTJd
zIxtBtm03iKXrpjvZSPRUAbfpnBcfUUkq17s0mjIBTB4K2q0e/G2jSTT7GKwgMVH1JZWOxCtljK5
NBLTf+C4IDEnQwZ4n8YOA5bZzq8MWboLtiXzOoqBfB/pOdNTMJfiZGcd6g67FoxtAxk9mCjZIJSL
VO4G1HPbZKS1XVnCM84qzOp+rZelC9+0SB/kbBU4oefs2ja633aMqrZdLvINEqXx4Hnaqwm809Wj
X+nwwfcIN2OcgS+86hYXvOdbO5/VSEPEQp5cZBrKnVdO7oUl0Hg2EcHgo5Awq03E3jE1yg+nyvWM
TpBZPSugbxWge7QhlRU+CzzuH8SM4/DRFMsUVs2TA+ZpA4KA8JScZR4Jiny2AChn9/Bs9aPfi/ER
Ix5kZL9EWV4FnrfhSN0KrzsYtcl0sRxi4vFC8wDPbjh1NMJX4QbqmjCqeakNV7+YOPN+aoCyM/Ke
ksp99o0nwCzyAS+58yJQZ4BCqjQZYzrFWIPeFLBSwCNdWNavglACtty6enFKU2yMamxecHmTvAS1
hikknoitBWBmlxLXs19gTDvmAxpKVsQUym6Q6BrEgz3Zngp3cewzNbF8PR3LrLAukWK2PCnX2ftB
57POa+ZNhGT7mDZ98FoYjberW9nfIHKFV/4I27nT3ivGZLVXqLF2RBfV98yJ+3sARcXH5FHlA2pU
P0iGDH4EvlLXHj3qXo4G+rA5kzztbofnpLFA4hiePDYZEwZRKwW1Ic9i1r15f6rY1G907zdHexbq
WtVswdIs+V02sAfcoj1VhGbsPW41FZY/Kmuu4ab33o1oWeKJxunox170XOO1+ck8XW/cxhr3XQPn
FSqSrMXWneZlZcMEJ6bbIpMP8QHOy66xqkvl4RCcbRPTVw8hEMo7n0iTjCYnXUBDDG9t67WZmpPT
J8adQBmgIuBvXhLdjUbTHDiq8cDRLqpU1QfCwJotvkbmsGNeVFuEW8mEmMax8lNmdS1oMR+XW5z2
hU831uOJ69L8SHW7/C6IN7bNiFINZtcPk+78MPSlh6xTW2NFx+Top6adyTRnSbqVtXZ2RaCGG3ks
jtoSmhQcRsQvW+X7qNCnEaBeevOWABvCJ9qrifvpo+qtjEWirD5qf1KnseLlITTOeSa02+KJrew7
OtElhyWsNqItprPQC74Y4LE7jPMep2T+Ksbwc+nTcxW+x6OHs03l2GYLeMqAhDs7WjMSDo/oGcv1
aBvWjREqIZ5paT7ZRIASu2Gk40PsFTArpe8g8iVdBoFAMYqd6hPJMtk0fo1h456ELAndMYP6ApaR
qeWMKlpFffmpOmbxvqxgB8pqfm9ilt9mXFzDTGBpA3WxjQYVPvEGKF5TwJqrOiMG0gc2sLXbOr4X
EcFl/IvsX9oRopU5l9ecxc4FWpt61YM5bIcYGBzirGGodlqmqCncjg4mcM3glzIsNDeGEdBYZTYR
YVYDrCMCR7Mlk9S1926xuL3twrhB5otIdx3t4YBWrTfX+KPdfG/g2rlRXyTFXR4ZRszKLqf95xhY
x0ezpcvdyLpO9QMZFg0mkSZ/DDsr+ak4cSYUBS5SrLH20Z24yTdLKZBslLtrPxPiuV3MISO6rI4/
e9ZBheidrBS+g1EmTASWWW7ty+QA61gum+Lq1mr9YLCRKYjt4hu2x6YcS0Te2Bp8k9FmR2mxbmGb
rJtWj586GcdfupKfLRPvHx4eK7caTLYseIofABG7h37uu8PM0HldEGh+8SwWP3VlDucZEM0GEg9E
iBbxlc65nlqzJ/Og9p/lrMkclDqDhWUQEo2jBgWQx0S7IkfCyZ1iF7cMQwGP6AdGkwaEH1ieXaa6
vXYEGzRJZp+bTuGnb9XWjs9otC/i2eJt6BUcn9K9Syw/uprQyPbtPHQ7IwUp6sa5+xQhOr1YBVfn
OpVzunHwz7MJJOwFR6Q3sOTtomODYeEDM8S49Y0qvOLi6Jkzl9664YhalW3q3Pdlwp47D61tVENL
CDEUYrz22Y/G7ITIIWfAvHXwp7Pux8m6xdAe71I8gBHVlTaOLGvts+c3w1Y0o31QoyueQtLft01l
Onc9CLmDM9nZPpu0eGFXVK4q2VqHzB30McnD8uqxTxGsnWa8cJFpJK/wtVkjaFbQpmV1G/Ql0YPN
hgjh02y/cNGRqOs2Pt1B4sqtrf3slAjlH7yww6sTVcUvv8j8Oxcd0LchK9Te7QoT+wSUwTmznWNQ
T/aOEYd5hN4gUGSFAVcN0IUV1cBCgC7GS2t2j47Z7qhTCZldcAp+3nw3wnJTM/i6HybjjfBI0kQQ
3n1jK8D0xUfOm5Q0LZULIqSS5nhC8sZ6IETEvhptpFw9+wXMQoq0JR4MEpJVl+ubmTnus2nPzmaK
upDfYPRwr7fh6Z86y/8IHPkVIPaPdFLv3/Vpf5FGG74/g79J4sOoe6waloO3eQi8E+PFZEf2VQki
Rxvf0G+Oz+StBq+TP1QPMp6jsz/J+i1MQMzZjOMWKa5EsNdP1fNoBfPOdAxmRx4ubdUExrUYGgyX
S6QWHkbeAZg6NqWEEbKpZ+xrGBQ1xbAOZVfsqwGaAaCas+8nxu8YUCLiYsbyATV1e0Cl8dLXLSqI
rnJYRwfiVfY9+X7CIc2pRsNGFisfWryv99jCGH44VuNsFDTjYxN73g8q9WjvSLJTRKrfy4GFQ8dk
lgplNbGZgrsIUcDBZ/g49MUFndx8gXrpUYH70Jjg+RJjluErdhmrNAsXKWqcT8So8CMMO+qWUBSK
wi2BI+X3WapcbqoEJw9hgu5wCT1vOsY11S6LF+k+suskNSjHx78bOQ5I68zkTyCKyWcVws6qbANO
bRfLG4IwEhQN0jfm0GUqWk6De7a73jg4Mgs3bTojeJU+cdDbqTTHn0M7vrbxXO+K3kl2dqPynTNC
NB8ieie3cnCmENHDYNnxkecymPRWvTPPK2yQUPHFnDzMiFmXJGR5Culfr4lJ/ujKGofkxgc9OI4k
fBwl+TTHGcAS+rSp/QVXkVJQaT0+x0o7xrqnXmDNUhe9tyaNpbzIpc4evkru/Kv8lkslzi1MUc56
td3yQkqw62mSr9h+xQ/WUsmTPcbZBJBDnMRXpQ/2gxC0pf4nZa27BEtPkC3dAcbX5L4nYwHLIqCi
hzbVYlfhZX5WS4PRfPUajEh5g5qlBbG+upF+aUzU0qKor24lXBoX3cRc1q6Waz+eAmLdYHhto5jE
geCr5fG/2h9BGkV16GoPB3XjihOeJSacdpXyhmc8uAzQ03XkCO8dIhtUVojbaDOG7mqz3N9PPvHp
HGL0W8gsnyqcx5vcqG6GTJJDBeqN4OKqvDGgtNclypK1MbGLW5WUwicPVNd5iGnS7CYEiQiBCBa9
TxlGgEMXrGP8C98ZOztr5IrWNfC191LzHkyAnGgZs6V5zL76yCxtsrs465gU0GTaAPvX+qvzdL+6
0GBpSCvmiPt6aVL7pV1lYsownQ62WlpZHJ287Ut7yw+5NLq0vM3S/MJQGq7u0hD7S2vsGJH/RorO
29im2Ye7NND90kqz7S5+gCUo9v5Xpz0vTXe8tN/I35NP9Pf05PnSnqulUWeeL8/d0rzje6Bi++ro
m6W5B7pg/E5wkHHEsn1RIcG8HfYkhbBnmQxky5CgX8YFzjI4kF0fbP7rE/UrzvnfH6jUhnKZ2njO
X8DrARvnCWi/vyeB5Wl+tV7rd+O1vun79pFE+OLByO//6+9o/wX1vhzhwgRhJWwbxwwhkX8etWnm
BcrtknAPajT8wPBMUi7GjOkelfYs1xSG1bmZama+AvrKB67obgsrPPvFVgOV2zRhEyhShAF00RSI
2xkFEpb6svLM/eyExve2q9xniPec3G5RQj3PbLJBtkz7m8NYl/XFUk12cgHSHrmY+bgxHcC0Qbjz
OMM5pZqid1bpLreJgpsAo5/90pl/uDoNjy1c5uNQO/6+m3Ljm8JDfumx1z2SwhudZU4w2HmgvnuK
A3dmGI0ibZPrUUMyS5oXO7KWj6OS+ff/5kX9q2WI988MbIE4DcOQSybIn19UpF0WvV5t7Ccscaci
S46dDH1kPEawlZJ2SwaWczVtArmWTR+SoaSHTiU98daS7lusGyC5n9PQ65PK7els+KK9+gxlX6nv
yhfLry59UrTbHiQLzAhL3xqF3naFmibjo7mYOCdvyg5mx+xgFXaIPTduZHin1meRte0mfiq04wMF
Mrbc94ZQX2hyxAuxmlruo+zrakq/rqn568qyv66veLnJguVO+3rBFptb9LP8o5T4WwTB341uf/nj
/30uFf/8l9a4/3Sk/yc/Hf/hP77xwgv90x+2X+vnx/5nM91+skrs/m1Kvfyb/9O//Jf/0RIbF8Ay
IP9vJvX/8h+gS//4yj/m9PZvqCClafqM6akdxN9X2B75sYEFiA8druUv8NJ/TOrN32wm+pJBPR44
mCR80b+xS63fcLOZfGXAA4qDTv5vJvV/WWDbyyYcRxz0UpMDS1jL5+D3d+gtEZxx8X8gSMCb7p1h
j/E+eNLs5x6KMnWrtRUkzQcsIyISaF+rv22A/vS0/DOxXLj2sgH400EJltUVwneAuUrXd/7ynXsQ
yYS3D8PetftwR2CXU70ricAXxrhgst1XIotxK+v+Na9SDBG4cqplkE83skaUYrp7M68Eo05Ckt7C
Okw6gu5AD7Bjj/hYNORJm8RWxetMhW1/0BK32xpCAwMFoelEV1XpTx8WMnurA2K1J1/Le1O2Gt+n
UgYvysRLvMVdMTyyCEbCmXVuArwrzxJiRENu9UHI/rWwcdo7whk2zI/OdgKZVEe7SaPXbefiI62N
ddxZw4bapdy0YYn4vBEX5ovpY9Bn3vcApdnewih4Yc2N1z52bBd/UeSG34whT9LtHBloiXwuawTQ
P73SYdVPWFA4pJIziSGA1vGVxF9vN4xqJgCAiHZDFC+MAQY24osSQcungfkVbnl5mxSaSSfNizUA
bgRggWU/FBVJ4SOcPCQY0SbSPV/Y1BR/lZuvScEi+q5qUvaJ8r0y8mIVBfbZdFpUmiT4RVazB9m6
w1s4rGrEqgi0gj2ax3YN8DrnXyr1Woatxn1IYIHZQ71F39/ATWj7HfxAtSkbu4c9aRZEZ9Oldzrx
thk1y6ZlH7pHod0fMSeInZ1YztE28SqQi84grun7E9tLfA2akfcMGWfdO/AeM/ZFu7CK1Cle4noD
Jw83oLPZZugGORhMOpCmIspRBxv2ZyWG6NCz1d94hmvck0FagCiqk9s0k7tGLgi9JSwA9iasZwF2
LRY31iU+aO6NzRA42GTk6A5bzebqnaIHe1hFNqGxThDmvkW97d8BnBIfGIzUJ1yDlFI4WwpwGaNh
iMrsYqKgQj3RmIy4ZVBjvq7PSGaNk7Kq6gRJl1hHH+sz2rMG87SJ3HNGYqZZviPENdyVaZauu07o
lK4KoCH0gdChDMTGVmykkjRC2FvM9Sis/JK3SuwZtOVqj6TKf1ILHZLhjW1uau5wuYU1g0B5Rux+
ZzaEGKzaehoeJZqvnR3FU3SKogrqJ/Yw762lmUI2RorhPTph7D61Z4S3CVbK0eyI3QX7heJu5gN1
zIRGlhybhEDYQW4/l8y2QoyMfjLxYi48BQtzrAUOscpJKS2HFzCi2Pp8VtlPjOukdY4Mu9Fb39Go
7YBNiJ9lXdV711LiJbNwwu87JexfhavDYGdbEtqGBWiNqnueHOOGJUEjA6znc9b6KRRURxI3D3UE
GJUFeOq5lwm00aQ2zswpKGP4H+iqKPFu/YzVkp9Ptbt8Nh5Ce/p0o+yjVfFFDCnDN8Pe9ZO0VmqQ
+WGIA+vBRb6wqe3+gsmXEdTkZhcib7PVTMgv88GKLAFGm4e0qu8LIDRXyKufcYYOoSkbtQ67PDqY
qVfdFaw6dzLiN/ImVe0i8MHXODS6PR5UH8E+kQEgPsuP2W0G8vAM996cyERB6rFsc9ps/KXApuPq
1zI5B3jz2HOmPhOiuZgIv24mR3x4qU5OsJ3yM5OUh9FDgr1yWtFBdsTi7P6sUSDkyYpdho0timgC
epDXTkXcxy3WX1c437J4AjZZDP1jQLVKHlDCJqBzyIOZ+/lnBW4lXbelbe/iRZtLh+3dDTjdwBAT
SBTAwNgSSpkcyy5WV8NkzQBzsLdIK9bhjeFOZj0PBvLtlUmMyzGL6uH3zlBEmeu+zbZxWZfsyrrp
gZlTvJ66Em9CikSUJysE9wq85cMf0nZjFA5UPX9BVrK6XudQbGEtSfnNz0EkObyPKzUCgZtGHmBs
yPdDaANxicJDn0siHxVQqzz27irpxifUPb+4nZL7ogTUncODTtkjA9g7wrgf11XIsHHbzLMJRqWN
RLExWOJ8JsaEXB3/l3nxWA6QHQrFE/bpMlOGIjYwl4+HW4I4Bf9Vk21zEvR+mnhp91NijVhE+MDs
nZq0hUNVuVAgh2Hw72sGiC8e7xOrOdEcJog5+GFc+9qOdfgx5cwon+DacMx2c0HEWNlZJpSVxiWl
kjofkzUgbZieVTPfkQ1prdPeJMLdKZd4p3lPRgLIPZbgY1O8GmCmFO6fVo4kRmeW9yUZF/uEKT1g
sMr3xUqis3rWmcRLGCLBufdaT+Ouc0kGyQeUS5NfPBLlXIBdSppNWynjmnd2eD8amqFRG64T32Y1
hBIN/55gkBzBComOipDUrfbtBrYPN5PTIBHLkohfIb4jz+aTLvz3ifP9qFuPUsEkdSGZEfEbYy0P
Bp4MRtwwg6TML4jMaHX6hm3SEBXrMJIwYOKIN5lJ95nAl5fIQrRUd5oHINQcz5HVgQCyAbspY45v
amRXUabJDr3eNmHBv+tYk13ikYANEGhiBW00+RwjsHVE45JZ1/rkhxq4UMtxzKBX1cQpExy9rzxs
xbxDekstaK3JcgNRM87fCFTghWQBvFUuL2wOGP2u9Ac2gm31TTsxOr6yaA5d4PRLqYHZ2MWQVbq+
2HMCEdDrVOj/ssbdmqjM4ODY7gF5FNG/aXBtjYmPr5L2A4595r+4udeyGUZ7b2Qu+7rRixDkL9o0
q0Hz3ya2c6ZcaN8WDye+u8BxMOAk7dVNqmCbiq71t2UR6jd2x/nN62bzbAZ59guwiHs0uHKOYgj0
d9S/7gZoYDkg8TBL/MkjEeiRZ4a/zHjuD3gY/XXaESy64ZoN9wYSjoSMRBFfIwMb9jqLBvPkRva4
H2VqvQeiqdmfy/GB7I9MrxYTDwD2XrqnKFCY14chVaeIBd9TFAiyIP1BPAOGDH/mpLIMsPF9tfeb
KMk4mER4TDvTOcG3w+02jykBOJaRnPiotDD5Ivgy+xJA5l6ZUrxY6F5WtmMPAJRZVq1jmYN5x84w
rHM38ErehAJhsu8bz/TV6SHBa3hOx5QllDkNr7YD6rIHAoOImvLhnlkzco8WmeOpQ3MQbJ3Ymp+z
dJp+9inx0JvKz7IbnNPhhhoBX1qWMHihtGWDTWm/S7HdvfiM/u7DuChOcShMQsOYfXD5eUTm8hxA
iLJrnI3KzM/OaIzPg1b2YcBj+AjLraOadMMrgDGfOBBfMGDxvVcj18hCo7p8tWy69RKYK1Cme5xc
7kX6+NXh8DkDHprMVlTuMQmEnHgCtzJRMsDYoEB6TYNAT1LwIBcc8XnSWaz6dgHtYC3gYWIjre7D
gOziAEou+4qCglFN3c3FfX/0Kn6Cwi/EN8sd2Oaw2raew5DYn+1MHJW4ckVwv+HnHyYOMOECimb+
m+ckLSIDCnauVcw7xFA1QAy4FF4evKdJJWAxIatL/GLaMwsmyhFH2idFC/J0zBSsM+cct0k/TsVe
Obo5VvXQvvGhnW9G0FJtOmOxzxq+iW+YcpsuExGHEHtQs1Z0LcdG3usWF8F7acmxfpzGpM6f2LBH
3qarCFGjE6HBIyuAmIIVOcZjyOpnQPPh9Z1Bhq1P4o5TlelNEe7+PFYi+TUbmcRu75I3hFsw2veN
2T6iGxRvfRnYz/3IcnM1NTJ4XWy1M+ikpHiKEBF/jhppKjIM6722JYJQkFUJbwdZuDeTAvVnY5Xz
KdKltayMx/o2NYKzYoZTQsHWCk41ZDzRvh7Raa2a1uq/u7zd7xkG9G+Oa7rNM2Ift7sH7mxbWzYK
EndPi6qYoCECLq0pxQfnRGBRAxWBZ0x6MSXHSvAQbvrICFPq9pbNswIktqha3BNGZ19sSu7DM+hw
spkyq67uo8aL4402LHlHbilbNf4PVyuojOhYl731ls863hciqF6qQPbvkpYIXUFV3xoH6KoxkIcF
eaVqff/cTQT+RDyHK7DT5nvq4duLiiA9LniYF/x4xquoSsffsq6031x8fqeh09NuCPxyUYq4jxGR
JKSnR2N4sBf1JzrcIxV1fBmlrQ81CLdDz0v4jlF8gBtruFc7rpqdMmA1dKX3kICBP3WuFJseq/qt
wPJ5F3RWzxYy6HAOYk7BMePXwE+8fArPZQObxkbLfUe4648+ij+NQY2PfWWGwLHqhjgmC2jjqnWH
4Fe/IOtj4M07W7rRZtAyfmn8oP+uUz45OSGF39M8Yrk3utZd0eP3xa2p4FYDxLFjcy2rLrjVlLPX
JRmc6iqpftqWDekw0vJQtJn7jJelO80RJBcxdxoIOZK71sjie4xVpJ7OjYWfHjPpVomqu4yhjXCW
fDJyZlXMbqV1N1YFcnwFcr269vSkH0Ss2Uz+im434WcE/F82D4OjsyMyAmIWxqTcjKzAKQ+U1W9H
FOPrRuMZQlwyv8dYn1ZLGDYsT3xbU5dKwJqlvEMwmJ3xHgaviVeHP8KEM9+JqNO4VofbFJXTj4Ra
7B6ezryd27C761EyPcEKwq+o8S3tZnCOJ8u2q7uw5ZFntwJEuCr7H0kC2iwEuPw+QVl3VmlASy2K
wbvzPZq11TDx6SKf19zEA3qMGb7I1teLCWeixwLls5urOL3Djx2+5L7TnpwqTF/wO9Ogxq6iE0Tt
41cTlsfYElcPisIp9AbNkq7PnzEoS9CyqviFZZbNEGtK+exTT96bijtvNRWh9elHGR0WUvzmbEYt
RkfAF9HB4EETW3jqzC+7Luu/95BvAeMbdvW9Q1aBzioYxVMGSP7Za2T7nhp4IlF49XUBJakuXts2
D991ZzJ3DCLOlzNkSfc6c/q9zA08l0sKQQfWuKvsZpdmfvgedZr+CiGK9TG4Bco4qWbo1l75PmpR
bXBlet9LlyGNA67xElGpJSvN2cEPBLQ2K/ycLHbPvqH1F1vhNs6BV7J9aASEBbys3Xuv+uEsyORc
tdIPt4Sv5Ac8fKDOcOFfWiB1qzJKqtfGM8GnZMq4oeJx1pAawpXw1h1HfMm2H8pKCX14vGdyHTsH
GKEaexD0xsUjKl4Kug0QK0zXfw24Q3YoGicCAaeRJOFZg9Iri2n6ntFDbqIwcQ6tl7Cj4ZePqAls
Ml9o/Ftb7agCmstkDvGbDOAFeGnBA5SImZ/BwNKwoCdGBkGEwNmq/tVmCaau2puK97kJp18lNegx
dgyOoZBMcIJsiJfHzrx3x+QjixhsCVBCmEzf8ZhPm46rea27zlrrOAVYPQQvHDLlaWraJzNEI4ND
yzhHaQcUKQLSQtapQ2pOecl6kt/j3r91SWs/hFaoLjCRJMIskjLy1RhmR6crijOsAveYjBOPA3xQ
5zQrBEmbHHYw15TaZWVXbwICUriqWj5pEIbHhTWcRFMMw5MQRbGQiGMenw+CBLDUZ/hr+XqYxW6M
amCgg9q5udXdgLVciYIRe+5mfcuI8AJLKcAf94aj97kRoBZkKPXgAEleZkJvsPYBJ6tKC2uTGewf
qewU6ArOq7sYCxHTrtZhcB7ESH/6lMYTAuBsM3+buw205vzFRLnmsvZr3EdKgxzULtpX6L/JQt5F
QERoJ6iB3Eo2Vgse3g8nPpd5GBDVLFCyIVZc8KR92Zzthlki2bgy/F5HAKjbpiLzYcFTp2UPOMEF
3LVq7cF5tJK+viMxI1+XdR1ecWdbd+YX8ToMSu/cL/oqa+FhSzavZwy01TmxE//mirzaFRpy1Qa9
W/EKibp7YLjWAhy3ENexbQS8XQ8GPoiZPSW5DNPvpLXOm25BdRMpZH4ac5QdBxLXn1xOJnY5vbS5
jma5cmc/20XpkmTrmPMDGuVkH0uvJMYgVf7dmHXV42yMKGkgbfJXGGoObqnnd6ytBDM4VfrNdWpO
wbFERyotssMrhldixYe6faAnkC8ujP1yY5oDNRfocwsEer+w0CM487R7wGcbaXzzO+S96cJOR74G
Rh1o9wgHLR8fPaK61/XEDrBbyOvGwmAHdF7/MBcuu7EQ2luVJhzGLSIfZ5+RLvJA7H23azKUq2Ie
uUj5o3PsbF9d4E7rnZVznW6KLyL8tMDhbSvmM16CvFljFw73fVY3S/y3HO5FHrQvrjuLFx9CPPbW
Ce4SkytAsIObJlsvJ6ZkxSqrembdqsxd4rTjBIB0odizcDVLtrqxZCRblZLnluEHaStZZHwHSdD+
K3XntWM5kl3RL2KD3rxebzJvevtCpCt6HxFk8Ou1mC1Io3kYQA8SJEAYaKSuqq7MvGTEOXuvdQqp
7DJ75hCNjSDN1T0K8D47N4GfPaTBTFqejgfD3tnzPdZkXSb/5EE172cJkL+wZ/8+/KX0B3VpdNsc
ZifJgF/Af96l0RI+8225llFI7i2kQrMeWW/hugmj9kW6Tv6pfu0BrJNN9zihevYhnrruY+bO9Wvn
xOPeyOvuBpARgYhkcQ+oXw2BrTEStCODOEe59MIK8QbLCKBWCOiYZEn0bjQ4j1o9oRpwAodNl109
5wNAYHieE7wHP7W3uiaOa2jS/in808Fsp4ufkbylHh81D0Io2KOxnh8ZX3qnsLODW0fDdIbFwMYt
kTPrQrG4F5ga+FivazsiwNGzOjCmycDCHIz9gRkyyCNiSdNrFvq8IBih6mtRucFWpnf02lEswg2I
HgsR11dJT9W08PuCMjdWiNjmTXAYeM0AaAao+RnSsG7WKZgC6HVNBbKHqTNdsNZxplU76jLaZIGm
kiocJrUbojRkUBwHwwKvEfu2dCNx52h7fmFwPt4ZvqwBEKG3yGp32AvCjk8O/dkbpxXuNguN0QRG
QYBlKD0we7JEwgQXh/B/W6Rv2eSXZ1aW6rY3bBBnFUQfSNchUAG+BSX/ib3Su+iMUxbdB0O96lng
a/I5XO9Sb8r3ZppNNxNlR5SdEJxqutx+dNeQxTXWSWsvgNw0kOvMtawHmE5UwTKimQ+gd1CbLlaR
hj2ux+t08NZ+lHKRmtAPXfrGGu67pDHv7dGpb7ThoSnRcda9zVOYXfxfhYnqQv/ahMrFGKce8vqQ
ic568tPIPmddRCK2wsa9FBCZf8KUrYIT+LX4KyswdbW/xpSR/BqHMrMb442a0xpolcM1bu5V+cJP
m1Lrusx4EzD1nG5gW8RfoyGWBxwfIs/iHwoCxz46lpivydgGp5Tk2z7pkLrwbOcFNETm9+BC8dhE
DW++kQTHk7/oYCb6XKcpybsrdxQkZhy0MYN0M7A+i0tmDKOOIiNEnB8/j6tNX8oNd4gyXwuCaofa
nYOTx3N7o4KmfHAn5Z0MuybwWmj5Xedwb+gtaHfflmZ9yF2SIZuJKP2H1RKv3iYyQCMNPnznt/Xw
VCgnvCOGUn7NbUBGwe75D6SbuyFR3WsCXoAr3iLXCbNgMAAkIGeQfA0f6hEHD2+gKlzlwRg9woNy
iFxUvZ1tmyG9lVUw3DdN4bE94NkCw0a67jkyhbitnKA8t5gRHq2YKkuC2uDWn2qmCaau5PvMWG15
ISv7Gl7WsIsDbiWrpB7L+yLFLLFOo9wGExE38x0gR74jHG6uzEU7xHKrPpamld6TT29BbU/eWqmO
qwbmIQLM9OTnlLR+pbR/4pclN3y6jc9pURrxX1/TWBVbK2umD67M4UUu+iM9Vd8d/rSqkGSB04as
cx7pa19o5GiQCvYs98l4p9GDzgYbOESJ4tRndHkkIu3lK2ecMgTDpv/ojPy9IjxM6a+RyS35XBMf
HsYdAutlQ4Mp6WhkVXwUHNvfA0zNt7FpUhZyQU7duxzouQmUHr6KEPP4StEkPmXKQxGlF1tUwp7/
iu3qV9MXxDNaMWB7JuN0PfqNezcxznivg0U/VVgxKqpEsr5JJT9No7nos6d4UU6jRzKZKRS9tP+0
Napf4qydrDEeDxRPGLv31qZAVlatPY4IVE+D+sXBFMChM+LIkjLhLCx7hPPCtqWBN9A+s08Vx4qv
7zbtRHOYQP9sTFJO2xCAU7M3HVw7NUR5llYCK5fvxMM1u0O5pakb/lGLwms0CqzjvO7fTCwv4Lfo
FRvrwlTRScYeB9kgZ2/lzJIbjA3k9DzYA6OcxRQWss1h3Nt6H63nQllOSwEwkNjyymVGAk2GOca1
AA9kA/zr4PuJIaVdwc7HWeRkGSDX7wZh3mfGsfWxm6TsV+Dfluc/Js4rH+h4A68I1k4HVZSgT8Cl
hxEpR5O54o63UjkPYyUpnfEzJBxeNIVIr8Gomp8l1ZtqO7YxiE8iUjSRFhFbvFD9+UsB0+IdPNF1
c9RRewKaar5o3frBg0kG4bRuV3lc6pcOnBd7G4xwtt3yzq+7hW7tmwA5mtg24o0IsvlaZjFPbzHi
mAtwS50SXMyk1QsdfEVE7JjlmWz84Ho0vK3sX22dFWnv0lZZ2q8YtBVEKn8ld1XtU87wfel0VwS6
+WOIjQMKonseremjWk8lAc+n0Ca1OalgQlFGuvzIkL0C10/Vif/DyIduFROQf2Jn65SrkYUoNefF
09ctxj5Ybu4dLy/OLr9Cvxh93HAUJt6lTWDP0yvzZnvbU8x9TJbbVRWKeSfxgCKGYT+4HaHWbibA
dtdQ5u3vwm2Wl9giVo6LHrOPJWEseaQI1hHD4fNcmcT1aH9ftMnGm0IlQ3IQqCvWNPaWEoLFJ0vZ
WyMf71BZ3TrpMHK7Hl4l2pmTjuvyGBq1QQ7KGjaj7tSP1Xr5teQ4cbGXp3My63ATBCZSZdXaOHX4
3+bcg9VjycF8NY0uuwwJba6iH+1tQ/N7sdCoIVs7nnhNZTtjMlT1VVOgxR5Sy9i6dlwdSyswv8pW
BdukDfurCp7pTTx3eb9uszHbSCpFX0PipIfEioIj5ovxwHmdMXEjE2/3vxv7ITDyH3Gi/0/cbJto
qfOvskG3ss4/Pv8Rmf3vv+TvUFDg/0V+x2X37LCP8Unx/Ed5l3hP6AGJZ6EPuZoQ2n+Gguy/wGAE
cCZCbwkH/QPWIvrLc23L5Bd6ATEj87+VCcKl9U/ZHDPgcmA7dmS7Hv/zz1iLxZbnI7Cq91Kq4dBb
hfwgWA9cL3T4HJQGT+fO1Ky5XOCyikaqV9XJkVRtzuu+tpjmeuEzk3Xvm+EI1jk3MHYBIcaNPebT
2SjqdDu75BZ6oEYgDJeLwjR/+NLFrcMdWjLT9afqbCAW34xUllk9o4zpo+ziUK+jLpY9kzz+hm+/
dpRXnYqBHABRawuSvImjtGvJG3PfyLZZHvBo8jJG6l2RlidnduvrttDzTU1x8ou5J8Rjklufmt7O
gT9vvGkjbexs10hw/vlu8mybylv3fITXrpYZGOC4ePcqWW6SmT81ZmKBtSJbPDgmD223a5IXtxrG
o0FvZBP4FvHqurpreZfgyUvFKefCehz7cLqhIRLuG87V1O9ZrUyINSd5myI+OLCFq88NURwCO4M3
0SNjcZ8y0nzSHA4gukKey53kMqQu86SYraBRBbe2W6snar7JT1dm/SsFVveuMnk9sLaKbrOwc9ZT
/7tQjLMHNmP2kU38cx6o7jYF8frgAMM6AnWSZ1HF2ZVKw/p5jCcTHpJJrYZbzYYfjTXApPxjZDx9
oaPHPKvLuL+tmjFQD26UV5egTX9iF40YOCB2k9LvXpmfx2vD1e2XP8d/mJaFMzn96SW12wPB7ZNk
RbllK2PdKUhqXGTy4nY5ZL7yZG+vLN26Z1KmzlHKufym0KzQivTUfbDfcF9B7XsB4hwOiNQi76v1
ZLcHiwWwbEo1JtZ+PFUm6+WR/dKBOAHqJDZcsGENFgk6+In7s2W/Ojl/sslN9GFAxnAqPZY7M557
DziobAli6YQ7BivGmaAZZUHiNsWFpvewj4xZP9lzaWHSAcOXuE33YlF1u5Q6igF3KBP6V8f2gaD9
GtnvuJEEKkhm+XZ0XZG6o/zRtMPBTGPELqTD0XH4f+TohhchMcV1dsceS1AcZJ49HQVBuws7xids
00zVCk/ssiwId4Pug8eoMNSOdA+kqNToVj6vWtrDPjCLuEisbd77A9huzVC0Noz1pOlbGxrMhy8b
c+vOZFATMLnXld9oeDYy2Je5WaH6gpA89fvK4QSCRZlJeBi7Gy8PORT6q0UBuJ8TFqoVuXe2W1pp
vDF28+mlem+BWWcdvZTCpVnctZOf7dpF01OwrWDE4O7g9fl7iC31ObTN8K1gkMjAx6wV1IxuvPfr
9s31q896TrbePFwNdfBFTItxc1yE5OR7d9czaOPhs/yOVR8y5rTGkhzW/Ti49yHlhFVV9mLDJE2z
Cea+74yM5OKMvjEl62/Hay59Nk9bn5Lo2pK+cd/4rXwhu0aYyirmfV/4JpXvXKwbZhBnM4fZDKfO
3UrRBj8iLOKd37BK6Tkh3aZmYG3jLIgenMDmqzqBYnR1NK0HribA+xvOLXNZb0NLjzXsx3Z6Sao4
PDqc6LZlsRT/zaA5TbgHFuHIsFdNro9F403cTYfBPw5zMu9jGc+3YTJ7uyRwhlXsJAF3Zg1pp+e7
rQuM1R4L0JWFZnJfRB2bzTiga8VOYm9LVA4r1wfWnlusDnTRaHjsbJ0qU8DbLJr4hd30vMblgfQw
GtXJ7Kb6hCkqPHDurz8RywjQgba5DqPCvOdDTj01S3EBlmPngyjjJv/kZ03AIUyX7baoJ6lWsZuG
HHp48G3TjL50rvJliOwn31NUPRHG7LYtQT2j5BbKF+JQuk2w4YXhvarauJPDyHCCvzkbQxYqpKyV
9kg8h37+isR+3lZlmC+7FWgFTb7U78oIIrkNe9Dp0wFip+TzL7S3HgBa70XtmbdDUG4Lk/JTmkRr
ILOKJU5wxRiYIZiTUvVxiIPMFEPdKHyoZzWdvYZ3NyMMVzwQvuOIL8dv4orFYWwSaxMD+U/r7C53
fHfDWXWiMAbYMBvYIwkmoXtHxu3e8XiC09ef1xMuKnRSs/qJEnGXquCJ+K0AL81vgFGw1a90SWiL
JXGVewfFLJu0hxuDQgBiWcb9XphUSGamXu9w3b1700ePye9OF1gdYpVAsuGpX2aPxFsvNqGthusn
3KWkgldhmCvCkURUpyG96g0zP4HEd49BDrM75m/+4lWR8zY4+bjJuHKwcMgOtYjbh6Q0+r3uuImt
LaXIF1Rp3b5Oc5CcO1+Lm6DS7bkxAvFT0fMCnTAtr0Gd8U2t6t3g+dEmmIfofvBxyqIv2vqmfJVM
T+kaneWYzxerSq6bPrV5zRJWjVHgosDosgYQe85DdbJMQNFYH0dnuHIAnFcTU0o7JXjj5s4ek9K+
tyzm810OFRi5UbFhS3nsqSdPE7NA22XHxj/1gz8v8nYAYvkqloPdPzjJ2BEP+gkmZ/zDaC4GLFuE
hBc8mysaJcO9GjPhg6kcxcfMa+gnh+y9aQk03BJZJgWrfVh/mwB5xiMiLPGImskxNrimKpu6aEYa
QJlio1uvh7YxpBuiID2rH0xazzx68k3XxnQ7u3pYjbYe94yarM0cwjKVGPbW2kr9B9as07EKaYbv
UZzG6YbbyWObQhkcuvAmNDzJ5Dg0nnWGc6NtOKIkZvtTttP02FZgkA0EUDvplry9HaeK7kK3eZ4C
ddvUCgtAnV4In+18lsgLcunVEv1TP1fwNOrCuSPQ3lDdrvWO1150XccVcD3NjuQ191C8NxwrIHB8
5am7Z658mIfsLLLgMIpRElaGL7uZ3YqkVeFgHEjYL5RDTpKKsBnJwQPgy1uo9/eFmX7xQnsee/U9
eC7hg5GLaZJ0u8Ryo7VPwQcs7Gzx3uUUFqfYMPxgk/uzvm4H11zHA/wRIqXdJfZSSoBxQnKAtveG
NY+8EK+dV0HbgWI1hpy0EZq4Rx6/ISgNsr4roQx3yxGeKLDFqZN+p9kU2Rn5FUVFNToHYI7mHac4
/dDk5bxz1ejdWtS0vSr/dhMOsNXkyrPkG73uSkmjd2hORspmbfA8CLIMKzZmi3OJ/uNi77Cmg2Mo
c930xkeu/RZ7bVlejaHmFR13/lYETb/qBn/aNHPqXVGbsW45fnenMFD2ocWXferi/FyRdHuTiNWe
Vczzz1YghleFNpA1CIGnqwvbmyi2ULrkzUdY1vz7Rn27Ba0VE9Txjx28VlrS4rXz+w+2oYC9bOGu
CI3TmGXXFJuW8eJlVfhaV6OxzbrUeKrdflP50LP4dmRw4PnS/TDqrbacKGG7aZ2sp7w2PXo6/XDy
u6KkLtcduFr4B2cUPl/UKrmKEwNgbshLCqXDxhG1fKFN2F15Wdi/NVmzjKDA0616fynldIuEfSxQ
2AIlWVJ4gKB1FRPVjIydH6AWmAGzUiSV8VOt0+7OTICDdSlKBadvHXYG5BA4g433jV3WL31CWt3B
drL4ZPQ9cFNweZkovxsSh/su8+s/UdvG+2lsScB2nKDbIHevbAvO3WpmIvpB7TC98hTXe+L2oQ1t
TGcPSbLEZg2/y54HIOw8aon92jJO2BGZDI6dyrxYyBrJfyQOq79hOMZzZR3MoE7eGfpi26a0Qd5l
rL7dTkYXI2y9Z21Z7GfFSL/YkcNbNHTJfQE+4qEZJ/s0hmHHK88i1EUywl+33AS2fGKI3w7Ly7VO
74acREPvpRzYBnSFaQyJeZjGS8Cub+2PXU1cHN9mBcCVMlj8A0Svh0jb0nitS83RbXLiXTH74Zs1
9aSy68q5p+8wbCdhEVwfCFMR8/NIYHjeO1fWbjtXSfTTChRHERfAY6qJ0PhJll2UlWYHauocyN26
OzU0+3lruNGOuUxo0S6/LYyxpv/MyTyEcn8iQOkBAozyiz33N5WZ2isGecNKBaI6hTMuCbrk0VEE
lnNFaouSW+9Bo4na4IxHm61FKTBKUy//48Xzl6hIOIZmj4FvDJMNbXWLkoTFJFMlPD/LOj7HaXJR
RcHJ0Yqu7SWJQZdFrYfCy14AX+vNOJdvxDJn4vc5yWBJ5MGbWd6YlV439jCel0s+Ctz6pxvbPcO/
6NyICMRQn0abliziM8s+w2HljPQ45TMHSNkXrFxYTzB4tBAs0ejomCg9AWIAZtqY6jkxPUoQnfmQ
6yTeufEuHOO9VXTFKa7UXT76myAZebhojuSmuYOgpy/4G7sdpWOWqHq6YZX4yY/nRP65ymn8I2j2
CANsOqqs3LkhQPSM90E/mgvEGBykVcbgm/ocGHCZvs2peUl4fm5LeJvL2SDbNZ1BuaI1mJi5Oj6w
gCk3hZv1d6ots42ZDt1BDcTSDC+vDrwp8pOl0EN2qgpv5Mz2YpiBhdRecq0AfkIt7M3klE0SpDYi
XBzcRW7bG6uhBs/u1n6xbQ5PbggBuGTiijsxWTetQbK28A4pwYUwHEkFqpEaKEY5DD2Tehi8vH6r
YpsPj5Na8RdF/NlYxWkABtNMuwlchsrvqt4y7ieXGEp17F0VrkKRmsjC+MZfmqqoLzl9vHfegD2E
WlDOM4CXdZ0zpltBTYRqiQT+VTpz/GxbEJc6xb1lBUmF+2lVA3yp+8Lao6QXe+wS/n1fT8VJQ6E/
errx7p3JdfdS2f0X6Wy8Mz4Z6TfGrOJrqij4DG3Lh1Hx8ORLE51j+tEsqlV4iChPrch8E2psBrHh
N3BfuUuPz0pm1YPoRvdSBDaoXqtuZia//Y3D9/SO5Sb/MoD/nxN7/GnLnBFrNmen1FTWjaYIfsKU
GK0pqimCyB6B0qE2LLYovrWtXAKZnD7YRmjjyshZ+xe4NXYBBwuWlJ3BNtliHm4TqeOYnvOxNdso
eAjKydhS26TPTMrj2qzMrd3P4dpMPJ5YKskO2GSKUwSVZE1K5XHyi48eaBIdHmNFWeGb4XN+DLr+
eoHzrE09dS3V9JeByw9U8hV0PH0tI/3edLVxwtiZ3v2PzD33P83lo/oZ/rkT+X+w7ciLxP2XE837
j/xjEGAJ/8tQ8+9f9e9DzfAvkswBy37HQUgeMJ/8G0joR39ByQ1s31vKtG7o/sNM0/zLsuwoQlJh
u0xDl//XfxYdsYGg+fFgCYZAhv5bSMKQXuQ/FQ5t5t0mmhWSMQ6xnmXo+Q9VRyw+E+N6MezgZ4Ik
NOJFZGqX5NG4Fzb+EYcmPYhhQgy4j34VqB0p5npTLWbUAYYFlxw7Cc+2KpwdSCPnykdUnq256aBV
JTjQzuv5V7eaS2rqVxESVvmrYy26YBR73EJM4oDxwPZJPATWcrG5yn5cICHsV45pNLT9Vsqqave+
zou3GUjNyOFwwrsQcmLrGRBWalibdZxcAXv1P52uk1sQ/+N+Ipd6OxfWTDI2NLaICQrg6UWzbTtZ
3CsbU7UCS/Shf0W1Zhn7n6ymatgZSdIzK10KWJWH+GGXsItllhnkL2VYiY6il40Dtx2DItwHBE4f
iDjJPQR/VLnmYs3VmkpPO+vpzYGTho8WwNmFUFLPiuZv7e6vgrew7RRLwK+ad8GglisFfCZeqd4C
xpjUTnvDg7fjgWLJ6K39Vf2adcjCNPtVAI/Q2pJV50KLZ9/kvYXCgqUgxnTZo0Z8zofBKQW/6SIX
NgjKO+dQ6aHeD0T6rGOz1D9xsxF1lECrVrYQA38BnlftColrtevyOv90hCxY0rjtLfM59zu1rOkJ
9jsRXOTIhJ/HqatPLQqnZuW0VFriEthZNdT4tudFm1x5MkhWte5wOJmz9J5TmeBYhnIJIm2OsojZ
mwuv2CcLsOXfYHpWoyhv67ZL79gj5f0uRr19SDMx7OkdJK95MgHAo6zGgA9fhKS7FC4SaMZOqj/5
1mgZa+fXEy2NVNNycdFHe/CEKyC85ODOVoB8ZeUxh+d7hmJ3xUDYfCT5SjI7Dn3drjgc4sFueWnE
K6EDBpjRr8faX5TWrJOmNzBo4VWeRYRlsl/9tfpVYaeRpkhGFHhkyNRnNYmHv33ZI3furegWj7bZ
GGoPpVpecR+zlwlO+FTkA7cBNvuK5z8RqHWkqvmWBbhT3k90DUgfggPKFn23lc6ChSIO9X051Pih
aRTXb+Aai3NA1dDgPND7X60wA5pCXHh3zN/EKYs1zEFzouTb09zbgqry36IkZ0FbWRnqh0YSRN5w
PYjwxLd2ufM7uz+GziTyHUMHKLqNKcV6nA0E5tzzk3vcaiSSO7ozryb2mZccKcynr0JAR6Nil2su
VnQoCkhlmvBFkvYluOdwowDZ634EXsb4MAEu5TOjWmTr0eJd7+p51JtCSvfUK7fnFQlHMwe82cpX
r0mHzzRPuFOWv0L3nudAvqNqKZ1DoW3trRLf5E+OTUVALPY53567X0l8kwVQMlKW2Wo9+VGLWML7
lcoXwLuZ1vMm1fO09KpaG1BgFFpYeJo45GPOOUejOjUjlPUtP7AfjWtkqL8Wnb29mO2Z+Vi7fLHd
13zCuUOTMPnqfb+5BEHr7ScTBHIaYQxhK+G4Xz2qkRvQmL57RmGU9RfgZ+rdAM+6ygkwrXHORFeh
lSdP/EShx6gifiprlpY7Xib6rZC6vHRJaEIzNlkjscRJ7L1niZqCTKC+8p4mUJAQJdTc/7Z1OhU0
CnL2q+dKWMq/Skp/fuBh41WPBVznjzA3wgturZo/gPPDaUja4jVDqio55IXBgtmrjJcO3+kF0bPJ
DJ75PmGiVs7kczrUyny+SZ7YzbdwuojLdZfZ2F8sno7P7oRjHiNf5Rg7Fmc62Lt1z8cMASu9GFHP
jn3dB1qApWo8VslWaW2sEWcXkOhi4w6DwJOd00R0vOydIE51cODZrITdSlK8sn2Qo6KkPZDTwuRg
PLg8zgCQocAgwlrMSGKwqcFD07P68KLJ8Q/Z5NS3bATgaCn82Gw8iDUGyMBfRRmw07DIhm2t1mnq
AwwZN3sw6b97/LNx9sy0YYbPkhK7jnjdH4vJrhZ27Mz50x5N65s5ZnDTyNJ5Nygi3NraanYOaYnn
MiG0dVulLJH4l+dMt3K8sX7Py2o6wMWanLUcW2R+JPrWadY34RbLJtNxpcoxeEwMqf5MQWZXrOOr
7t3rXSojNE3Z4RNdl2uX7YxYZ1PssSNogmpbUnNqV56CgM96IL6VvZrNbZBhutuEIuCp5RqW/zL4
vsuLu4jRZXEpsquoXLtRTLs4Cqazbdj2IZEqfWyqRaFphWrbxiSZ40LIt0EzclklVbPgdn6Tz8vn
0FiFZVBz7++dG9H595IE4Mbxu5cmUXwwlyB1ukSqm8yLz5nTS3oag/s9LRHshI7emsgSwT/V6o2r
s/cC+MUq7oIfjwy3SFwDC07ZbEScVAyjGVnnKy+Z3BfxmwVv2p6f2tQbomHFNnR0jq7vMetl5JW3
x/E3ae4ZDbV+x/DhEyTAArt1EpRy3k39Aoqc0vC7+U2z25awnuHYGzNxXEFofUSxPl1mfny+Y7Ks
zXpUHHXctKzEcpVrsJzmrJBIkRyKJDe2NM0yflYYPctJkHrgAzFsCETnVHpLc0tkNbgvPIuoqYox
qWFB+apggf0Js1i8laEzANzUw6dBgGjNaMHNNqNJInrlerF/CdisrOporBHx/JYKzN+CAUVa8nVu
mpE5j0eVNfTql3oC5VNFHz2sYQNW/MCAJmrzlAJpvHQeVA8Pt80M59LhP6coNgFs2zaWdF7tgDvm
MZqd4SfsYhZJPu23lRu25bGqcHWSujUVvqcJLO0MBE9jCe6j63FuoytT2BpetCXTz6odnJPX9wbN
eEUCtLWXDCWiV/1u2oHIN9oVTkRcPcTIJZMYMBKXqYqhoyk5hyZ+Oe8r7cXUa/kqX1t9SLNcUrRd
9E/+qaj6GJYcBoRVA/7omUMU0IUisuwvmvr9q6REfSpRZKWb2gaSuOKlNFGdiliXluzjjXVgebG1
GuDh38gA7ckK/4aAUWek88YqRO9fcQWrjl5vhXixeNjtxrFf3n5c0EteqyZ/nl1i1PVKPqbriTAD
Si4EWyMI3mfHdwJoaWHWkI8JGAqPncwP6FW6O5W3CT7LxO71luIvhwL2QzqjwhHTe86Hnn0+JqYP
1gPdnd1W/n089EHLGMwXbEDUzCi/kjY/J8qL+Ds7pTR3asg3PfOPjRJpRgWUg+kd9Z7xLGO+POs4
tWaQ2ensPcP7h9eWNKlu2WiTwt6GKRHvlwTO3Y/dV3Z2XwjN4yIZl9NRjuiuZcsmyg8OCmAN1KST
q7Bt4aA2ndAzubOINUpRZdChmeQwWuEBrQUbilQ8F7FrsfDiHX0jG+pbtVRqy0eg/6mkZ92PhUqH
jdVG5V06T8aT3ZnRM4U1jzpiFP1IR5lP2gjHc+h5xps2YyLCcZfPd2OTyzeevxwX3E4QzK9CEM5V
7VJQGZGOHs060S9NpilRSN4xdPXMVsA0dFGLJaWZF/uGeTyp5cgpkRs4oi05KZvsfUz2bhA5sxq3
BfuG6uQHClMc2GDnSPaKpDi0BOTp4C5wY2D76PQ+ZkmWnYgJF2dPuro7StcCgZzlZWdsqJFEfxQ7
ha+hZzC5SEJreztwl3qGUJUSnk/HqbeIFTeZQWi/T90T0bCeOJaRt/nOw2kEKo+JRWR8NP0QHHRu
l4vhdSbffEzrfAa4NyuuOxtCNk34yprACu898nSs5flJw9BcTLT9ic3JD48K06ATP9+NwmC1MZWE
qMCBGPuJdvTR4fPED+ZsEPtPfdFObABd5VzmNuHA6jSk9YjgPGJT7uZTEWtEyBFngtuFUlVTsZ2j
xL4qXXbte/B3stwiv5Rb20Rc6KyRayhuKmXt9azB6rTruut0bjgetU0micZYbeVeRO7U8cmj0pTe
AGyT/o2fUXY95ANrAnK/9R1I+s64Cj3OJMiqTBvfXqc9ZzdMc5odWSlm+SvT7b46ePSE9K4tQj28
VzPeOKwXhb/sf734Hf1bHTN0TKyAQ5JwYnKmMCJw7alh4JjZTyB9LRs4WIpCzzbfad/SEe8FyAPc
ra29odukoyte3914KEILQq6urH5rQ444NKZd7EXCaJZjoD89pLWoqqPO/NxcCBD0TGukkvl14wLV
XjPzbgQ5OnvYdUaqjI1IRn+vKyeKTw4cV7lrc2io66iOg/hUd1LTnc+EDVmBNwNtFgM0/fA2FRy3
227S1XW5UJXWRpd6c7XyRxG2p9qsdXSIcfrplcDZkz7zkvKHozuBAuUpN45X7HVCE1RGBoH8KSVQ
nX9afIabu0QKval9KO4rVggLmpCO5S2wyegt53AHa1CTAtgAuAjwiPaZng9WwmbmnBpsCJDweIHL
ngCmfmD3HQbmsDfOWVW8RUhGOJFbbXKbFi3vRDdu3w1nYmBcmvNtjm4zRyIoN31WkCQuoxG4y+zA
HCkmvwW8F2PysUXFa6pOjfgPgRvDPkJJ4GbEiAEhsyhT/aWT3nGOw2ixZiA7gwOxU/JBWh1SUZ+o
INdLMkkKaI27Gt3yHgwPzyZQ8MU5oaBvc2ohi09VA5EdBoBEfQ5BKEtO7yFh/Mbv4VNrrsLlIRv6
BPIRlY9nMogJ3w8Ao8jYsoRhou+U9jUBMZVs+NV0nYkrgd3p8iaCrg/QFvZPb1LtT3D/dTz6cXZ1
9vA0ECDh45W3/QeAkxqeQGlQsg/iq6AFIrQW9BgQuCQeUt258pwbr0yce3bF7j5r8SvlbFZnCnF8
OfzR78/8XIpHvvIRJJrE5Nc3AUnlcR6OLaDXj2Qwk2eweOJFd4nI9zDG7ZMCGY+fOtKk20KrJHmt
gnZd9FVoroPGMisoGABENnWXg/iLpCSsMztM+3cGfzH8r0V0DllOIiYo2BxTaQHszvxfRJulQ9Mt
sBQyt5inTbUZJR2jDZYkf/s/Mrf8/4Rps0gu/0tM29VHMaQf3+PPv1F3ZruRK1mW/ZVEPTcvjDMJ
VDXQ7vRJ7i65JNf4QmjkPBlnfn0vKrOzFHEzI5Dd1Q/1dIGrkOiiSLNj5+y99kf5vXX5t+/7W+vS
+EPVWIZd29JVAr1m1eXfwlS0P4RQv3K+TAdZ5rfepar+YQv6k7Q6DZ0G5rc4FTqh1tzX1KEi0iJl
wvOvQNr0H9NUrBn1ZiP8FDOPEJicS6P2e+vSBHEQSj2HcdxnF27GztY7KUB8+dywaC/gu5HSNCuJ
ZEu2FUck6Db3JLSKA3jZR72Pn9qSrpmcxg10mZb5a3OKecmW/BaRRzMEVBFD86U008fGYYbP+f+x
N9lmuxHMoKWR2AETDj8LU9f46psw9vRX5Nt3FtyMGP5PENzXLwfLS2XATo9YhXj34y9HIyVsIEQZ
HoMojxCTdeJ/5rI8Ccte/mtXMvhLmuhtXeSIMy1zhuF96wAHilRpYCILqNUCH3u+jHPlMDbkLBOU
+etLzYC+b78Vyl3Dgq48/0cHsPcl1v1+LUxnQGJ7SqDc6t5sDnVLckEempFenHTVHYpNaP1kmnui
skrP7lraupbRLeygCje+2sMeb0l9jOwn/tU5z7OjYmrM6Ez5GCj9vrDsFy30DLO0PNMqXiWmxWWp
h/A28uowGoFc5GbUr31dXOCVr3c6KzonTXD/hoh6j4CeF6ubnqoqetYrgrTSRJi/ud1/YqHyyzuu
KSC4WuiJVW1+rL/db3a9sBt1xfUKdK4hzVo1g2DEWB8ir79xi0cq/BfF6YgSQAQWzUnBXfaeKuHH
r/8YXxf6z0ds/mPYKmxD3RbCIDJJ/emDjCEd9Cww0daR37NQqwpOkmI/OkFN1I2avqW0E6lHF1Ga
7mU7nQtzvKYRZ2905nuLzNWu9VbexgOxEGa1MQL7ZYqD52xU15ShN7/5sD+LrxFwOyxCYBmEbc9z
lB/vGml8jpI0A+xBMcGZw6Rti/5sdOK2UiwSw6Jz3RY7mBjbabA2USXuFaLYF3gzF+FArAzg9w4h
tN0QXz2ldFgs69xDFl78+nP+6a/L53SxyKB141UyWel+/JxmUGE5jWzF66L0tnTiat1nqKuqfsDH
2+5rIp6JCe5nlSESkkROz5TNtyMJEy2lzK8/zM8Yy58+y5eg/duTJqxSTfFo+wQOhYsBZRDHYSB4
Ood3bVP/9nJfa9L3B2q+nkWfnFEXCVua+OmBsiE3OBNJsQhVKDABzBe0D6XXZj1PhXELW1BbO2NW
eB0No2U1Q9uwNcMuDJ/tUaf3Gfv1KiB3grZG/ui3OIRqd53F9ZlA1GRP0GG6bH13WPtmdO1mFIBN
DP1bnw5OUxvb2ALFDS2SIMZOW4xaoSLhafeO68Z01EnTMIzqwPkrYJqQ0sjFpr1tHDAFhVlNSJSY
qWgy0FeNPp1+/Yf4cTG3ja8bg7PNYq9SbYN974dXHiN7WtPxgaU1GWj8g3VcXg4okZLs+OsLaX9+
TRjm0UkQDtlChm7+tG2YEy37HGnXSo/tPYD2j9wk749mDQQiV4c0U4cP8dDfGtW0a9rxBg/tk++g
Yetq/1kiTs/N+j2wIWaKZCtT7dw08jgU6ebXn9P486P54+eksvi+CArARpxCqwRMiHUY1X5dJzY5
hHH26LNB0z/vOg/RIPleCgrVdMiPciCr2ynxYk4EsyAZVRh41cpqGCp9q8dRd5S1zKAm9MnWpI7E
gWoZFwAAk3sk49Anq+ayK/puYZRtjSewGxbKfA7OXS5siQ7jHulfNBoNbaH0hJhgRJpjM5t2kxvF
AzOQFz8sKfpxJz+PZnuvIbD1JiqHz6zsUgRpAWOqtgr2oIynNbaK+1/fsz8/RFQ7pkHVwzats4P8
eMuSxqXc0HOXyFD/skH9YjbdMiKBm2Pn+teXUv/Rtag5bB2/C1NDlaH19z/PEIuqrfXC9Tpt0rEh
TA9TVOr7UnKCCXuiPdIKEX0+HuvgM7CjnqFOTaaGywbbN4X0phFUkh6b8oRz7jcfbr72j6uMzSSd
t9ZltaFe/ekRT+NOpY0H3R8pzcWIrMJU9lN195s78HOlwsjeES6LGF4UWwU2/OMdkNpMRbfSAIob
tM3BHrajGSUeHsvNFIWFN9btTR+U5UtamXdMuK7NWl/Fgr6ybeTtqpqIZ62Y/hFcPZwcdGUH8HcJ
cRW28ZuC4h99Ussx2BR5LOit/bS40BvxgZlEvucwbhriKFvjYSF8B+F5IMCJWeR8C+HjIWh+s79w
oPjxL4HlSpt9QDY4K9v8ebHpGIRPBWGgdJLte39uWbhyScyJp+faDZAfgETVby6p/qNrWqqmWQaK
Cha4n/4ubjYKg5hD13Mrkt+12eYalcNFadi6p0WU9ln7FibdXRUaAM2sF20iYMNXXhsZBcuQxv+l
M+Sfsa1Ds7WXUXz+9XNj/GkBdjSKaZcC14YFS+X+43MzKCiPhNYoXu0QQhrLjW/6az/mdQHChbcr
mdK9wUOEKvEzNuFlEkEII2hYN5b/JCuw57Fl3Gh994k+Z50NYh10eOGVJDr1VrIpQ6LRTMziblm8
Wey3KxvqSBco7q7gy1Np9BcxVDCEtrUHXaFaJ2b9MWbi3I7Gk0raTj3nf8sEaq3fAyGTyW/+Qn8K
ubSdWdKClsQ1eXdAe/94B/IIGbgD78CrO/tM4Pk1EoCtnTNjL8shXaZuI1eQZY7lENAr8fk/5BzQ
K0rrVRPUN43sb8g8YzNQCD6KEgPPhGSDtyHIZOLRruB2ZW7dL1RdHoK6IaUdW41XwZeWPcgUOC4H
O4CqRYfwxTELOA2Bc9vp7pOqRUd6PR48kp0EB9XFY85ABdgKNNZ3oCElEMbqUmJn6/igdC+u0nQ4
DHF8SCAiARMzX7qm8QiJCpjT9pumsY6FkmwqziCrwSWoUoVauzZyHawDAs8CZutC0F9aNNngkVc7
rEOmuzrRjQu+dMGc662XwVWRPtqTu4qaj18/jH/aZB2dcplXk6Od0I2fV4bWyvFpVTr1mLaspq1J
9FixrWgcQ3r+utKsyPqvBN3/N1J+kbkubM1lY/znqPtjNBU0137on/z92/7aQnH1P9hGsdI4P2i/
XA1RmObohm3b/JEIWf67n1Uz+A7LoYymA04CiskK8n+0X+ofLCyW6QpOa3yvZf0r/ZOv8923jdQx
DYMtjrhZgmppNKg/FRQDXrwczA8BZp1R4H/Py01vVtlGxuqlLmt3F5H4HM8OTDNoP+hYg9gzccp/
u2Wnv17ve6MDUduP28jX59DYaE2bipWF86cNHaCsAgbe77ZWUqOCt0Gak85cTEurPYTh3qi2FfyH
jASbqId/YnJwAf18jMOhYYvVz21lX9ZEVtX3E6YEke/1eChhWDYmERGO11s2kI0STwxsJJbe67HF
fOcDj6VNIDzR3vV1fBjNfjX4+SrO6hNyias+8S80vSTAyVpjmsC8GpC0BBAgNpMzsDbWMD14YSsC
ysRAgnZDR5wfqUflauBCXusg3mXE/VjX5RlpMf2bcRsH+qlHxcOwPMHvztiF3K5HIl3m+dsk1tTE
cHAZNOaZuga+hQKNBQZRBhbVznlQkukmiOPbCmhBHQxbjvYXRBGRqwgmxK5uh2HWf6HGGAcsmIbB
oDjApUtEAHxnlNnMOmGUThfWYH4USMwd8azU4o4oO0Bs9lGa8sbySaBsihUQSq/XtGrB9Bd6p6sR
zki4yZi+Emr7HlWoKNpJVz2Qdp+aOwFBNbUQP6SebSvGzd5gT/tG7Y8K5BJU13QyekIJoA7d4rHa
SXFT02ezhE4FbfS31RCcMEKv9X7B/EZn1pjm4yqyvMbqL7Aq3ZF+WCEmMjBu3lb58Ik6GsqSeJpq
pESlIIKtLx+DPlpTpO21SjfZOdkmfDJBbPeOx2uRmGsOTsSkY3D2hqbDmtNdAtl89EuyVCz9Rtq0
2we7vVN1Wl8qJgf0jQTbtd0QgyaDAjhAvFMbU19J3JAJA3sYC8+xDiLYaCbUcqziPJpVaN1B9xEo
kCDmVUj5xhCYf01NpgkkiHHzJhpqM1/4iPpm1CU1otovzY6TWaaejezBlnK6ipM+eegmcvMS49of
um7jjCjKANb2O7okNMcQe3EasKp824TJo9X6H4lSoGG6Ks27GjUGLZ2Zql6Kaw2jDIeaaVcG8YOh
5v22RVHfxSFWUfvQDZUH92kNQOXKGK+lUx5t4S5RlpiLwhhRNcxMsBYhPtKUE6GuuFHiZsvBwVg0
DLMQ4JnJ1glP0OgOKJeX0t3VuU6gAuZ4loNTFKH/D/zhoZxo4CXWK3kIq3iO8kwUVR4rV5W8OUm6
jCx9NQ4NtVP0aqbOukpOhgqhr1SvsyxD1WasGQARx5ptYXAuyI7tF9NkPSg4XQwl3fBo2AgxtIyh
ZWssOpUxht9Zl0WrXsBju8q16S7q4Enh4H2KqGvhBZsr0EvLcdTXbTZc2Vq90eZUicmx9yB3yfoL
36zOOKmkJ/A6aVeuQEVWNeZV5Aa7IXGfmZjviLl5LxJCV6vpmgKVGbRWgPdLc46iop+bDijo7MHB
TBHfBGHDadxH+abb0SpXT9IiBbwW3PmK+yQAhJTRMYvy3rN8vV+WMOwRwkiWIvPE+PI6S8nRGvPy
DKd30+FUWUZmiHShLl8LKmNjtO4z/PAW/8MjTnad1gTYjUOxL0J5Z+MQ8fPmqR2zchuizFiWtnOP
4u7W7vvAG9zjYDeY7JGgZvIsFPeK2IanJjWftUZbY4M/iLF9qsbkAWBKtmlKfg/qmVEpVvhOV2RD
EqdhKDeMmXdDpqImsPOLBqoTKYiIAyr4I4vQlvHWdvpdL5ytpumbSZafepJt8jZ+wbs7qzP8XV6G
GNF93vy8YuqsVs4H88v7AeLWAj/mqoI7S3VDvJdB7ZjpUUJ+Rb510OdpLaqDqnZ5/hqxSa0Z3Rqj
Jij0w4BoacUbdtmM6kOFZXe07WplZKB9RAbRM7F5MTIVrED/1LlzZq5zVnrnILrmcoJ6gLneHjc1
2WBaEeymwPioAgVikwxIRI7qAwe/reL7x6Tr19ij6d7SqwBAjI5PUTBmhDIAnDD4K5gMe169HeoY
vDyGcpIlQ/0xDBJSfJWjIbD0REH0DpoAE0h6I5q05jYH13Xabiqb50E63MlkJS372CJFKybjoq/7
VYoCNoQ+ZDvRtiDXRYz+hWU+ERJ752dkPTdYzEdojj0MioJFCDzOugn9TSktryyewzq/zFz7AQXy
boDD1qTGHsbVticw1ddzT3XpdgDq2AnEZswfm0Vi31Z+71WNsR2jy6pgRJghLmHw6fKkO6n62KbN
FWea7SwGWNjuJmp8sDK1v51mdc3QybPlNy8yIVY+NPB9WPLBcSXJoC2zSZ0ejbbt0/bAVH6YdI84
GgxkubxWJv04DqxcmOcXbswrr5j2yRzCj3LcB7BgEDxchYQ9oHwSJgHL8bSQQv8kW3pOrovBwqh7
6rcl3tXPSMvfw8C40kE2Q2DcRklwFmMPJx72mSndRycevLj9bEwgxCNLJ22o2pSXZjXwEhZoB817
NAcXdvoMreEJJ/5zoMRencSHVrRXuIfJ1TNZXvzwSJ/uYVK7a4n/0e6Hy5YW5VjC/zOz5yxQUm9U
jFcoTJddq22LYTzaSI/odhJB4KrbTIe+r7Yv7dQ+Ir1dpea0TdT4DcLsa6aPzNePZPEs8kEjO6GA
ZxSWx9qqsTer9TLGtBvdatmFzqIQ9p7Bsow0HFkiOnDivYds0+vHKXZ2gLOvhBt9dGj+9BTKheGz
fxbNBr8leSrEWSTiWASzt50o38BIrmVuoQ5G8UfIThh0UO6ap/CYpwQc3sUGAL9KWZd1fFkSu6v2
NWrxLrq3I1gSChErObOYPj7Zk0cw4iYd+m2R1e+GO+zDKCFTjRuIuN7AmbOwhpR0Uix8Nadp0n4s
27qXg3x18V6vGqSIBCqE92al1EszaXBExdndAHHmup/cORa2dhaqEBQ2Bdi0OWe8V+RFEqfLpNEK
VBjmCV/fUxCPb5rfPtQdxogRkbBtyHuZlNuij+9jW66IFV9aWrdBjb60pnPXaHC+4J7QR9XN7KYq
EaL69WZUzZXdMSUMjhhiXWCzw8F1edT9Yun2nyl5uW103VTuRZ+5J7+JruL6As+pZ6X2crhBwrIu
6nVo5VeVX5DXgQzFS8KQ/SNaKaK9Iag7INy5RWm9mdy7wNYegl7cRK1gPXA2UXBOIoQnurnFXIEd
wlmXsj0MIrvu1BN6khWCJ0R/zwqcwKGiX1y05mKMX3vmbSQ9HqISVZVSDeSfEkTUV9anm9+HvJtj
EVzMx9tYFuRPc5Aoq3XUHCJ1RJXhnC3O5I7RvESc74VwW4+QdRiE1A/Q0h6SBizaWN1X4CumStm1
2t6FZRbFLFkGJSn8g4sqs27V7NyZ+F/JwUHumQBh9m3LZbHO7gJhK8u8i6ML184Orc2ODP2dEEg/
T46lY2Vvihm6qzyYip3v65IaUrrNI+zs4r5qpg5hAUCDLm3Gz7xpnJMbC+coE7177/oiWYFyFBvT
RJ63mCyfGNYWbapjDgwMTPFm5Wl47eiZtRdVAG+BxT7DblYm94XtOisYt+7N1OncSaUJnxFe99sU
mBiaK8VUVw2av4vYdaCKhiJhBoerEBNKhExlJBlQGuKDSzpvhMNPr0pmiW1mjs3GF7F6i7REX6t2
0Fw5ISHmIocOIBRb3nLeoz6mMBsWHRnL11VGRAxgJYjJLud+kKv9Tqg1DILOCHatAiTclgF73ARy
3h9VZxdUIDAXWZe6m7YoqyOxZwGaYVkilneB8rllfYTx6F+ksq0v3NbumCopHL0G6XLfwYMcG8aO
RE6OxHIQIbAIRhHfFvRv7oUU41sJRHof0+xaB9ZEXPEwFU+DPrmXSLyqOw46vD9OHWSvZCm0BC2g
kUbDHMZXRteYZ9ONwxtXF+N13bvlpdpL86YzyB2XhRvuR+O+A99WO53cuEjgbvxCNe4Ug3zyRR4x
6TAhga5xxbGUTUMKR8xuL8mLsg8jG+YzGAd7S/yXs1fjYXiF3pmfMHo0J5T19RVytniXRThDcGe1
8KBn2RMJv2t1zIMNSH/cqXoJkr+bUHb7mrosjDjbuMSNb7L5gJ0nI8CVMEBCm6TkRap6aD7oAOuX
OBiy59hMtcsSQOzWgM60V6ZpZE1BQEeYOMkJz0PYLuMohOPYpOOVpkE6hCszdrc1T+aIYKEesw2W
Hvyx1fRmpjHOrL5uTa/0u7OvWHdOPl3hMwfan24NM9sBzVkaJCSy7EfgvId9Ra4aLggLDwERxERS
eQa5jubI/ivsx16pdt0Yi2WrGu9WymamxS8GWTxjAXg3SNao7lc5lRsbg0EMBBon17p0AkMQhCYf
Bq04a7mxi4RzmRqtZ6hA/WYkRdFuuuRSE/JeVRt3BQHncZpQ345BREWZWefO6O58vJXlSA60wkoU
hclhHJRd4IxXThR0u1IlwMNUCJnKcrQDyaRdjQ7WBc3AbRLnK7cKj1XU1+sipignCn4BuZkmaLPO
a4Ug4lWN/SlE+VjUcxgUbh5nHaQ52Mf6N2MF3fqx2eEgNrd0IUzOmgDEVOH+1HSxQDjFjWn1Wyt9
4Jgf7aehHa6w0DN1gjV7Iay8uhyKYLpmfQpv+sgyz2pcx1cS4EG/qK28w7/aZa809uatZn5rxvn9
Mec3KZzfqWR+u6r5PVO/3rj53StgV98CkaWBUvBqtvM7ijOrPI7ze5vOb7D/9TIPgV5ftGmiXAQ+
7/o4v/XO/P6jlA5WWG2rI91Xd9O3eAYQ88PnIWQFHaAq/ZPGPGldzmuLOq8y07zeBD4rj2j8AeBZ
r58JKmZdUolJWgRh2NyiZ69vRVFnzCcseVFOsrkCEaivEdGrt9o8b/Hn1Q/59/RqzisirGr1Q5tX
SfSF0S5kyuxiFFvhZJkRzfO6qkQBIvevxbZFHbgdEyd8zkvqjFKM7o0RkyQT6lpy3+khB4a+Z/kW
YW/tq7EPrw23UN98VxlWWeUu9TJmk//aBGCRw4iYd4Z63iP8ebco5n0DE9j4Kea9RM67Cv2c4l6d
dxrla9Phr1kgYGcngtWbvTnz7lTP+5Rvp+EObuShmPcw+EjKEoTWHZoPDSL5VE/vNAn3s3cTzIWm
1mA/aIE7Iza3xRil2sNo2jS1EH+PT707QNkfdSdelwENqIRnc9VapJlNGQWcRswhZuCc0Kk0h1AG
nEQrtfCyBMJI0FsFYtpQtojd3XppSNt/MTDtFVvCiCcON0WjrmtT2Hgym68rIkDN0O44tc0+DfqU
hylHuAz4MoWWElsvTqVp+yxmkdhYPTKIhYVolMWsUciMw/iUvOqivO70FGpNKTSzWkP5oi7htLBs
KwXHRpdZeMcahO7CLIdVV1U3IafNba8YTzKnldNCPd1EE3XlxOM7ppj7gnFYuYp/juPqnDZhtlL6
mGkkLIrLXuTNyuHA/sEh5kFxhHnUwcWv6tK4AwhCBaRo+kpkXcIKC3MyqoL0xuktVMXRkKzY6GvP
F0l0tgWsSqvBqT9rSLCfnJ0qCsnecpNtblNmt5m4CMAhr/IO6cnaGhhj05ZLvE63niOVwTrorU+8
4ckSzxGQGjpmK00dD5L6A7E6/7znwVhCoHs0W7W4AMikr3NrgLAvC21ToV7w1M6F8zYZczY0eBHi
6HGpkU5JM5W2ipAvmACuqQsBdVlDRRRAf1cWw5wukd/2SslxjNz2jQFvxFkEOGIPIXw6L02IY2iw
rq56BR6KDnRp7QD/XThGV687jXeNeFBjAeGUE1gw2iAK6+c+7+wd443oMZryZ8T8VBBmiTfRdpoN
qCSGYFOKQ0lGQNaybFhKleiopgToMOMXlrjfwWHFKIahTWWUFqXgOH8yKyAggU7FhFQpBsLtF/eF
TxazO3JqRfWPpNbtznyfuQt0nBYLxE7GXe1YQAIb099ppSu2YA2jY+Hb72pZY3fTCGdyBhYUAkLe
OcV8xrp1DjNLJQcysheaEhiXZUGOaWFx71I3fK9daoo0rtnaqxoK9ZTD5R+jVzjkj336BNr4iIqE
J0KLlmNunya10LwxyT+terrB/YUG18HipKRNqi8UdDMrDh0wCqXWeTqUak4iHDw6gjyW2JLkbadq
4o6xWs3pVX0bCvjAZAPc2TLdqpKFS9GdnpNxCX03UMMDlLM9WVYQvnXer0GySRQK5QANaYL6TM3H
m1dUUMG7YgdSAwBqH0yPsTMfMoM5BWRIOr6vtqG7x003kQSTZB6YznBptyiKDZOmF/6c8gW3kL4L
FEvsw55EIKLp6isQvc0J7Uh+IhN7ePVZf/aqRpT4MFdU3VxbVXOVpc/1Vv9Vec01GLmZ9k7pC8Xz
v6ozVlzjDuPPcCPn4q3ljv9/GVD9U4nvf1ckq00xirtf1TRkHGy/X3LDfz7R8l7e5ctfXvL3v1y+
BC/yL9uX7iON/vK/+B/eS/aSf33Ji9rvI69/eIm/CYj1P+jIaQbKBE5EOAe0vwuIxR8Mx1FB2ohM
BIpIplw5IWXhf/ybJv5gDoRMmC/wsWeV8N8HYOIPxGWM/lV+nflHOv/SAEyfxQLfJmCG6TCCQ6em
c/TXTE5lfP2bQA42VB9zDDFWfn/XjsXRPavrYB3qSwwftJSh5kWMDeob/Q6LjNsSpntXV9E6yh58
utQRiDgH66lIsmfX7ziSwwCsFy1UV0duutJhmaTMdl7HwUDMRBBmGz20/TNsq5UySgJqp1uklDPO
7EoP5VpXLkrnE851uvUpe7XL4D2kR56bqHFxMvSA32hnW59QEdgI6KIqC1hSOzNucLUL9bLLcm/s
8QAAl8yshNzNoWX4g19I2QgLE32sNtBg2vRyoBpyoZ3k/atw87u6EdfZvBNFwZwZobP814iijPyt
Sa8sp8OP1yXkQ8egzgK4MyE0S1xVtnZSmUYF6bTTdbkWXz57sLOw9rAsg59TwSuV5VXdIjKogHa3
oHDwupxSiNdDGcdI94oP7FE5ebPGk4iJ6TG0FRrgVcHhJvb7NQm969EYKatovVmS/ak+6lFzaiz9
UvX1t8S2TkPBZwWoRXGnavdDNN6RAjT7WMlwIeswRim3CC3EvFbHTw3C6BRkzPUq5H8I4+hXAv6L
h98I8RDS/vxs8d4Bb4dpiRCPUe1Pz1bSiZpkLg5Qw5TdyUYplobBaLEDwzMfsTTgoqltESSQb9Ly
yswGDNwGhFlkIyPI3EVWz2ZZ393N57VEIRClpaEcJ6znvn7Su2LNuO9WN0yJbhJCkR7tq3wvWhBF
Zb5Xx7WqOKuc42oZTddmGm4du19J1b3ERoTbKfo0ODubyZPCbZ6llhGwh4BhAXvKUs5Q0F73irg+
kDTsEU054zO35SROTAnXnW6cRuEeLAODIq1kl6YhxuZzXBJCplo0oS4M9Rl7LRTP9qKy6L4WCPGV
AnqwbQ9QcHgqE4QoKPwOTn7EQAl5BB5D5rxmzbhNU8E2xTCtZT65TNrpMA0UbzjVwQOuC/KyMn4g
BSAFhaKOFywXD5oWXMb5WZPyKGF31Wp/zodnbDbDvtRGgglAGz9VPlAAJUwflVhfhSWIn5hHpMcB
rVou0gj5Dl2iYvIxXpHLRxAzlnRvTp/bV/0MPp6efz381mad4w8rEE8JImFQLiBcwVrPEo5vK9BU
kJwp+9xfWUXyESjtg8/t86X6XOHrnmBZqLa8qfzkcmq7K4TZu5hucRQZCzWp4VZV9gEtVOzFdQnT
3L1i9MXa1ZBR4+a0dKEFI08szfw3Tzfomp8+t8XKzfPNAs4GMxuafvzcNQC1slNjf1XZko6WpmMI
5wObxXKA4bqQKbP3NHQ2DesiNCeqLRapip41oZxDmW+qkFg6W+FsIaseFqNt88xyaCu0aGu3sbbA
VgnUtLtlYd3o6XCK4va2VNS7SWeuK7V3wLm3mTHzXR2Ce0PZgK0lslpaDK8HtOIL5nyftO4B9zaN
cgBjR0b5VMIQLvubsOtOvdPuSwuDHxy7YzgDJlA3P1f2pBKn1J0tNb3qUnCIrVl+5goEWlMvzxgk
P91QZ/4RWZ+Wkt7WMFazKdrIrsbFrX4C9dqEsK4gr+ClqIgowOLmuMsmNO97Isap3dyFLV/7UMH4
hwc+61cowgNQDoLUpCgxH3IOZH0Ubg2fA6jZHIUSneqG3YNjkhc77pYc+2QRtu1DLJu7ShCykRuP
U1LdBaTQtFo+eR2UjklhRBtXxJSKLYzAWzPstyJA2NvEb74ob/GXXLSa7lno42RselbsnIJc7Iqy
P/UGlMTUuc1U6KFtRjitcFeu6jKPAqsb4i5W44NQ01Xf9ewy0UM6gDGzmR7g/jLHoygOjU8Q0Wiu
G3AC+KEXav0YT7e+pTNydbyw3bvkQsa5/yC5hZuR+cYy9tU1UPCNk0yrsIfCKPXmkz73cmisUwsn
vZLxU5VhD3fnnBvyismj1Y0KxZxNbmNmXxeBzpS0qrxc9nBRy+4UmfFbleIgUbRPEg7Ju3AfDKw8
vlKQAcg0ogVfUzDUzHkNF25XnJoq2WrQg+OivM166wYj/94AOAr02sLrbY5L7MB8f0OaTbuuYcD6
QU24cfKI9HgLjWQLKMElqC3KkJ9A7w3zR4yyh0Hq92lDRIZpPZpTdR6ytgHE3u4q3/6cyHH329Ba
0bHjvKAGe4LzoGpwFPNk4KQr05gOKFIXlVVcZRXlhS3Fi8FYcKX18qbQx5cENN4iaZtHkWJdRIhW
LOlKnKTR3AHhucCXh6NdMDBIdolm3lu2mmPMH3CZxGe1tsDMtntB2zMbJjT1OcPMVN8q/eABLzll
iO4IpL3PwM06RGxJw72xWuUYgGNCO08bdOn6RFx20bUOcHjkaTfiEuMlOnzu2DC4t8OoP8AgwGU9
7aRa3aDJ7BLn053E8xDQDNKGNYSjt9jQ4D6B7ghM88Z3PzKbLcNdGQrKlctSvUSjkLc3cRedpJJ5
rV7SdUVrCg8kdu4QPRK6wtltaghg1xfMBRmAfxD1uMlBeiT1o+2eCYleRINB0+PTjUJP1Z7a4NYO
QMY6knPutTJjhWsYmK3G46IcY3EzoDFdhNNB+OnC5vjbsEdFlrGT9to0sLozeXZjPMTWldq/uQTu
ZLb+2LQE1o6814n2iAiCCPWlnYLcxGvDWvkASiFh7GN6QfTaw7bO2s8hLpZZ6b4Oug5dpKtflRJY
iQy2SaQykYCy3bpQ5RJ02SPIl4Xp9p42crh3C7pwIfpDpXOJ3g2y+4hB8WrQRuNdkczLHMXxCiSb
676Y9qbMz2EA0HCK1RmM/lSQzFgkxIMNMYKQhnFoKYnboMeyC5okXeWpg0bFyluv6/O3op02zmRv
G4VgPjALS+FQTgXhcAt5lTGIoHmAXxiTy0tjUQ6rcmcBZl22UHkmy37F8X3h9uEHbayzm5flEkTA
NgbZiEiG0sT1sS77tsCMQWBL3DXnlLzkUs3QaRiHotQ/E5EuY3UTNATikokH6+gIw4DV1ziGFdx7
xiT4ojXGlXqwlsYIm6Q3kTMRsYyfVCrLmvQwgOLKuPgf4UQunt1SppWme0o0GjBUYOdIZI9E0+WL
rAgRR9UAUkP1gnsTQc1kmqCVPgG7tt0s7bxtUSY5XIRZ1X/VofX/AZX3N02n99K8rCCnNON1+yHH
mw9Sz5r6f/77XxWf81fnkKPmXPzf/aNf/6C/fHxd+TyWH//xby/vSFm8qEaB/dZ8P1iqf9VSUhL9
cGD9+lxfH/pXPyZ94Xdr3/n5ms550hSuNrsR/zdz59Ibtw3E8a8S5NCjoPcDRQK0KdA86jZAXfTM
eBde1et1oF0f/O37G5GSRa12a2eMhjxa6xE15Dw58+f2bnft/t7QqJqnFbWWeF4yiA550YQ/pzhw
/uMsK8//xps5ErM7yBJwouHhCPZBxVO+fUZh8u1pRMq9iEE0sd9IAD5hQdVE4I6UFTdL2ceW1/8/
C07ugYyGYbsus435vA1AjSnJhorPm3x9XUU0eJRcOEMviYzvtQFOfj0SQP5EegyesgtmZCa7oI5K
XHhCjdIuM9XGEz5UFWiTRU4zB80jMmzRc0C7gP5kZFfFg6SI6FApkrqJ7Uf6ygBJaErZJA1l8jII
eL6LMpgtolWUH1ZvXtM5WGcpqJ9aRlQRxeUUkUtrynQXNLT008nfFI4DPA6OAzSm5rHaICTgENAx
1ZBk6YcvDjXYBrl0fMUoy8A4gEUE7cCujEIhVhHdCIAzFBQ5yfCtQlNG9D4AnDVISnj6gMNC2Qla
RmTg7NJ9wW4ordQfiUQaF1lKjbIdwRmINJGMkUoxpiUugiB1oBrt8NQCnSo1soDWdFYyOMWYNakV
VIVAFBEIzXJ/HLUZMmYagcdxU3LuEKJGEA9BaxQQBJqdpCRl2UMoI7phC5qRKDWQQRozMM3I5YBq
JmRRwTbgWMn5QTMXoRC1iKoYHoenFiVg4jxNqxHQinLJYSLLPPUQMhgQy0GZs5vB7YKK+ydLwURQ
aURcRaIiwsV0USNWeRTT9gy+DwjtMoKzCsKGNFMrxTSir4t2w8ENmIlDghMB0hPxpWVDcLFjAkrA
vH/z2cmDJkpAem5yFnkqChhNgPnzmIrafgSnC1Igu7BiOkFIoppCk5K9ZL/SN4vETBXJE8737VOx
moFZhTzOtNogo+mWwgm87mUmVFGKzklcyy6RVXBMcM6yNoImj0bxKpYBwLd++M5yXWA9c9xp0A/6
EZx1YCMnWm85yaMqwQbmlI30YyYShE64EPiRoXrLNqUkqVCVakhZbdzFBG/DrrZvHMitpj3+BeCB
doQnFQCIKJmQxBEgX+DfVzNHqYyITYEoSZw3HVzYkHJq/wJuYpFQuwUIy7jGExNZg2NAM0yeUePe
j/DcJLYvsb+cDFCTT5tpptUOWRZRDJHU6ZBF9KWCRCs4EGAsxs5i2iUIKdEKaqiWCdiJIgPJvuCu
3CUVCQpoTetHlrkoKzgm5Cyg1m9MuNyJ9KKApi4yQVJsdZNRGmlHcMJBgBNrNQRZBQAbyamn7KmJ
aqiKCNUI9gjINP0Ibgs4K6kWBbwFQTRBvbh19vgAOAy9G3VFYmV8HJgD3R9AZVppIMcYc3yBB72Y
WWkwFdQoA4VjZcVl+APSixLkaKUBJhRg6qWZ9Ov0w9sMFZuBzFMKHywXglMJuPalndS3Z1pBh+YE
gzSSFHxPVUKNy1RxK2ZhZS6gtUeABcNa5y6XNohM3IHLPMEcEzvREQgilN0Zz1CIT+DUWNbBvUHb
VV/Q0a73S3Ufp34wVDMcP3eVDP0JJTXQ3g+lvsO++7He4613wNlXW0weDtUX/Xvcv7sPPH61967h
q4Y/vm/XnemuuMCmLzVx05R7J9+8pp1hQ5vD586s1vuNV3LSHzQ/TuioOmXcBWfp7/c+Kpg9ptGS
pbHVdNPZ2pMPLdn3pnswOzMl7DJnasrtrbnamO0ip21qRvuKj+b29v7VD+b264+vPpn9hnoz70Ps
sYD2LZ9Mt6Mi6sZnkk0nqGmzT7czwn1oqiX8Hwj/pyuwnrTHL8xq87AsQzaG0E7/j1XLBQXTxXRB
q5bw5/sVEKDrrnvwiNt8qZ747h/zxSfcO9JawmcvmlWu5Z/tzU3rwRjSjyCGWDvpS3PbbmklW90P
tMROOD9CS/yvA4hAS6rFGWwt/b/X+8Orn9e7a7P1Zm8r0rTULwzKHIV16Lw97mJPLfVfwcnqzGE6
7/FQSE37zpvxeOampYtVHlsMf2+v7r6wuh/2W5oR9/53JAlAx8OfFmtIn6TBfuJiwdPmaay00X7W
eZBQpeRedu3Xe38HEboKcOkLSO9yM+jA+N7jGw+ctVySdlNZ6hl1ahsk+NRSvzA74dNAyE1diL8A
my7W1/g45sGTisc0u3buv6y3m/Z45lIUqiY9ytuspdfOPk/0r3jH1eirllZi3822da0vIMTvNhtz
OLT7oze4Q68XWN/ezpgb+ZCBH/0GeqxB067DR0zBSfqkkLX0L9eI1vXcx3+sJ9XS/82s4M8wT2EO
l/wcp9a1r1nWR9/SnH5W6y7Fm2NbwHEUOpT7L/2bH2LLL662a9O9/RcAAP//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regionMap" uniqueId="{F4EA71FA-9706-4CF0-BEAA-7634DED8248B}">
          <cx:dataId val="0"/>
          <cx:layoutPr>
            <cx:geography cultureLanguage="en-US" cultureRegion="IN" attribution="Powered by Bing">
              <cx:geoCache provider="{E9337A44-BEBE-4D9F-B70C-5C5E7DAFC167}">
                <cx:binary>1H1Zc9w4su5fcfjhPl2qiR2cOz0RYlWJpdXabLf7hVGWZe4bSHD79SfLktwqtCQfYzw3RnpxWBRQ
yUx8uSfqnzfjP27y2416MxZ52f7jZvz9bdx19T9++629iW+LTbtXJDeqaquv3d5NVfxWff2a3Nz+
9kVthqSMfsMuor/dxBvV3Y5v//VP2C26rU6qm02XVOWFvlXT5W2r86594dmTj95svhRJuUzaTiU3
Hfr97XJ1sj58++a27JJuup7q29/f7vzJ2ze/mRv97UPf5EBXp7/AWiz3OCXEczl3v/2gt2/yqozu
HwuxhxCjQjLkffvhDx99tilg+fI2j5OHXz1FzTdaNl++qNu2hXf59u/3ZTuEw29P3r65qXTZbbkV
AeN+f3tYfkk2b98kbbW4e7CotlQfnn17zd92+fyvfxq/gBc3fvNIFCaXfvToGdIeC2KH+J8VBN4j
DDMXS3wnCLwrCG+PcMKFS9jdY/HA9TtB3DPqeWqeFsT9sh3C/7u4vnNG4Pzvny3Xl/tvzi/3l6ur
9QMTnjp6PwcExPYEYwxJz7076Z7Jf48ziphH7x6Th4++4/9++SVWmzfnavPlto0fnj1F1tOCMNfv
vDa89fl/NTR2qAUhLdbr/evrw6tg//IXigijPcy5pB67h8iurpJ4z6UIC8DQA//vZLOI403XJW20
URaS2V2986bwotevSi77l+/P9hfr/ZNfjx8s9phHiPQYekp/eXwPuYII/oAuw5DsK11uwIDm/waE
/r6FIa39y1clrfX+5af9s/2Hw/yUMvk5HYe9PeRJ5FG2q9v4HqEupi6Vd6IzZLPeqGlTghl+bF12
WHvn8vzNzH9fuPPHv79dvy457F9d7Z++9PY/KQVgN6OAFLA1dz870vDwngQlBmaIPG1p2nZTvETN
Mwbmbpkhif2rV4UIUF1ny8Nfa1WIuyewBxKRT3vAfE9IlyHBxJ046APvH4zLBnxUW9Py11pDMAuw
m6/IK/MPQVk9MOYXKCq2x4UHQQcjdxrJsPTw2PU4p55h6f0EQrCXyHgaG/fLDBH4r0tLLfeX4BcD
Pt6c7QNCXuLCT+ordw9hD1OwGzuKShAw6S7FTNy7YwYylhuIjt/ACX9ztgF8vFlv+tvcJlh8Zh9D
XM993CtCUVC9aGR/TmwQ0EDEiImHnzQzgu65DHOPY3yn18AnuLPvd3rtB7Q8DaRviwy5BODAvCIZ
XO4f7V9dg515YMcv0GZ8j0kKopD3JsQILcmeZC7CEok7ZWdI4nKTbtou3pQvUfS0PB4tNaRyefSq
pBLodKM23Usc+Dl0YLzHPYgm2UM8YsgEQTQjXAYpmTt0GOmW/wU9T0vk+0JDHsHrksf68PQ/FEcS
tOdhwiDOfzLIh4QkJhwjwp+JVZLi3wwj13/bwRDV+nXlYo72T0/fv/k/m6L+f2+O96/Wp4e/0Dcg
ZI+Bp8ZAf93hxIAR20b9HHLLT6ePjzZFoR9o27RxkVh4b09uYsjs6PhVqbsj8KaPt7HOL1R4ZI8z
Do6cvA8r5Y4zJxkIkiKC+b23YDhzR+BYZ2CDvrxE0dMq79FSUyqvK8g53r8827/ePwaH5vlMyM+Z
IUT3BAIfmtKntR1kzQBeEAY9nQs43qhy022yF93Gp6XyaKkhle37vSKH7Xh1uX/yK0Xi7lHqSSEE
QOBxKYzvUVdiAMl9ngA/HIM7h/n4Vm1yG0HcrzOl8N9dDNuhFjL+J/vL/WOA868CBhgWD7lI4od6
i2FYINsM6QEKOcs7n9kox5xsvmyy+CVynkbFw7qd19u+3auCxOn+cv3pP1Ajw2DtCYQpjN07X2gX
IXIPS+lxQu6tvSGU082XePo3amTmekNIp6/LLzvdByMP/tj15a9UXt4eheqYJJA//vZjSGhbhZEe
wfdFTM8INU83YObBD+vU5uexs7PYlM3rsvTvr69BNr/YA4NEM/hXLgSd/M5Xlrvo8fYwBJzgoN17
0oZs3ncdyMbSB9tZbMjm/evyjU/3zw7P3//CGAaDD0YoNFeQh1zAjlw8SM9ALlpACeB7iPM4UXa6
KZNaW8Qt3xca8jiF1NMr8r9OVwEUlPc//UIthiEYgYIMIuLe7d01/h70AQjBpXDvgQSPdyRyG0Eh
eTPZ6LC/lppSeV3+2LYGcPJrA0i+53IkIS3zZKjv0T3KwTeAYtndj5Ex29YAcqv48a+VhkjOXpdI
3i0Pr9a/EiXuHkPEpRSM/d3Pjt6SIBAsodDs3rsChj159yVpYwuIPKwzhPEONPIr0lrn75fvF+vV
5eWnB93x7+f5EdqTHkYcg5V/yvny9kBpYQGNFt8fP1Zb5/qLhl5TpaaXSHo6bnm81hDMObzhqxLM
2dG+/xIHfi7DAl6XpBj69jAopMfhPNuDSF4COO7NuhGsnOsy3Xx+iY7nJHG3zpQCvNIrksL1/unh
CRSSl+9f4sDPSQLg4SIOJWNpOL4SEivCBefXMBnXmyLJoXj8Rb9ExNNieLzWEMX16/Kvrldgx4Nf
2geGxB5Yac6gA2kXE96e63rbBsv7+BAeP9ZQ17dgwSOrVrBHS01xBK8LGZfb6ONXmnGyJyiUIaFS
vyMM8HIFxQIKXffWxLDf12obdlgY8O8LTUG8Lgv+LUb/D/Sx8rv6I7pvY3XRjlQkOF2cQ1n4oYxi
mI1vgbZ9D6ux3JDQ+9eV4fq4urp+469AeYGjfqdH/n0nC3KQ4NQi5opdey7Fniegn4U+hIwGXD7e
tt0b/xbUV/4SMU9bk53FhlA+/n+27M9PtHyf81lCTWj1bUDo0VDLy0+/vTfMLBlLXxLbnUQPv/z+
FhL1GAsKSPk+e7TdZ8d2LDfFpvzWDbZMvtvz3cW30Oby+1uBIfOPYUvQitxllINaHEB48ARcua0+
dBGigkIHIBRoykp1MYwxQRMnTMdgue0bgFYaD2hpK33/CFI7cCqYC/VPhgn9PqB1XuVTVJXfOXP/
/zelLs6rpOza399uOwzruz/bEgs0SUkohkIqRxRt+3bg+c3mEobA4K/R/62V0wy0RHSF0uSrFvxM
KBbU3LtOwzrz3RSt8kmMfu+E10mEL+qZfxIqCrT3Zzzo3EdOdBzG84dM86BO2AFynFV6MqfqqBvY
YhT5Kgr703hwPzSYBFkXHdQzC9JZrd16UcXhiub1MVILruUBH2BtU57kqVrTJj/MOLngip0xToKh
oRc0RGe08jGPPo9RfDDV3krmzZV06qt5DFchJwsaV4uscP28+zznV1PUrNJiDtjIDwQdTkUtD3VU
nKCanpV0/FATuqi78hy6alb1NAV5wf1UdcsJh9fzlMulDOl1y6O1GtJ3RUhLX8Re4bdMredw6P00
yi+6SKxJ3aaLhPV/dsq7dqX6I6XAssilAQn5YeNkK1l0N05Hlk1dnNA0Xz06eU8IEW2F9DchCvD8
CRwmODVwkB4LcSoUbmPXoau8aZZRyf1CFCfR0Lxj0/ROKKf14zhbZLNYOZotepDMywRQ0FW7BMDA
HTRGgA/GBYWZLui4f0xA0niy8nASrpzSn+s6OZFaHYxujvx+YmyVxfgdDTMe6HA+T5v5Q18m5ATa
ZZ3DgpPEF/7tRDp1MHPFF31GkgOBwmIVVvPJmKu1brJswWXkHLpd5hdz6y4oy4tlUA6T52cKtb4c
8tVAvMkfc+5XVcjWoUeOm1GlfixCd6VbfDMN4eQP43yh3SSY2wQtAHsfSYOPQzGeylQfl03cHFVN
HUGKGVTDveq6l9Ad7G6qelJJFN+PRn7/779OH+Ytvy376/fb4cq//vfsX20/6/ufwUfdf/ZWL+38
52968hlNeDe/+czDHTW5E+Y92Jpvmg6Bs/C8htwZ4fv+93dK0RMQrSJBGINMNXQE/KUUuYSZDpjO
hB51D8rTLoGzfq8UidgDKwluPpwzGM2B0bXvShGa2rkLplKKrd6GNCr+GaW4hctfcHLwVh1DUXBb
TXp8ittwDKss8fg6RkuPvWt7aHL7/v73p+Cxsn1uXwOeAIyet/koVh2L89if52n6GGM+QmBnsz1I
5THZqXCyaRhLsYpVo9TlwGc3uo7Gufr68v5bED/Flq0JeWQivGLOpM5CvvIwa+eLGhWe68ckZciH
cnaBfUqaLjx4+cOe45Vhj1qQfTqACluNLZHEly6JlF9NXP758v67GusvGbu7LyO8xq1Tb+IrDVbg
FKGBFleDm7r8ZJJdOQaOACXkF1NTQ3hhIR0J5v8x92rp1r3YfmCfe2I8qmId6gVtdZz8wApsN3pC
PNtsxOMPkMk8uJ0mbDVkrRiO+ERCvKizFscnLItTfIp0prNF0zblJHw3p6g5cMu4V2urF+QGR3NF
OJrGVATKqYcg6hDN/YjI6MvL26PtPk+931aSj45fLYo2Y+3EVjqK+gZ0tgwEQV/rjDRD5jfR0Be+
noRzUg0RylYaV5UsfSeSuAA/3kaEhnXLo6noczYAhyVmC6Kqr4INiR37pKF0KlAEg5w6tpqmVvzh
VlPlh71O39mRbqieXKYJb4kCE0yS5NaFCwFOSifJ9I8cgGdkY6ieyhlY3cRg4fNO9B8QeGn+GM7C
TrFJQ/GofEjrGjds1VXOPK/c0enVktdVJSzJN5QNHiMkpzwFZVNRnS4mzkfqNw0gdfky+59RndzA
ZuGBr5XqSARF3jbhpSiKRn8gzey5R50Te+IC/HnCD1/+sGdUpzSAiNPJKau2doKymgQ/b6Fe0n0o
us75arW/MDRZK13tDiOTwVyhYjVF1FH+mGSt+oE0tif+CaALg1leldFc4ykMKkfOxcGgUN2v8mFC
ybJJYupZfoyhTwitQjnUjgi6TuNuXfKqdFdzifJxVSfdMNrhWhhKo6n6JiRjIYMaZ/N1pqb4XSkg
rnpZFs/xytAaQzZKNIALFWBnTFZ5qwQ5iehUNR8zJrPxB6x65kRtOwgfq95YRnUmIWoKVE6nQ6eY
3XdehFTuv/wSz21PdrevwmRygTkQFogGjxBsjvQTn6t6Zbe9oT50Lyqo7nIe9DlIoMujYkW1I2pL
6g3loRNSTvmUyoC2fQYymOTo+K07JbPlBxh4zjyHNd4I3PdQ0ZSHNWLlsFKpmIdzKwZtnfDH4hV4
Ii1yRh54bZx8ELJtz8ckaiY7+rkBNDEpuKcFqiQBxNldsu5mMnp+nBWDawcxbkBsTKaGd1iJIGuj
mh62Be6ln2qqfmSbt5rnCY3EDZRNURq5xQAibsKpVss0IkKcF87c86OoC4tsNUZ4Kv/IC0n+1GU0
lD/Q5M/5PNwAXj5GoajmAVRhLvP6KHbaUEDgkHngNcpuSGnnl10694sk5nVxkI1zJJacDqS66t2O
a0sGGwCdQu4ImTlhUAhHL0kyiECKnPzgfBjpi+++OMe754/13Zg0uPEC4s6qWs0o7LsVC+c5X9ce
EdO7qC2qr7VDh2JNZ1mys5EQXJ5iIWX6h8wwYz8g5RlNxA0syzJldTUkNKhF2JIFn73behyHxk6P
MgNoGiku0zSiQVSP8hMD83PWuk5hp+fY9vQ+cpAbEpWp4wgvYDlEMguNZDH7OlFT+4Nj8AwMtnXN
xx/QJs3E8Khk0EEKBR9KqpT7eawRQCLGsVv5ZaLrwsczr6ObGvIz2JJvBsDJUOYgZcUDLsNC+3WD
28KfNHUsVSwzAD7TOWs0V2KlG4ZWfOqj5cwrZ2mlX5mBYh56bpk24xy0OuqCuRSpz1Wd/kBJPHNm
mQFOqEzHzgi+ZJDipFjgDqXLcKqw5aEysAlhSSVRUs0BhrjRd2P0sYzojzy950g34IZ4DenXPJqD
SEzdqZ5KF+xnE6PU8twYljNOdVcTNc2BExbeIe7HbBkSSQMrsVIDzaTuWd1lsHsXYroYiGj9tkCJ
He3UQLMs8Sx7AWJ1OhwvMqJ7n2eC2im6b4ncR7oidR3lDmE7Bw1K8oPWK6NFz+h88DJntrB5wl5S
A69lyOJ5Rs4QDA67hbgw6w9ol9Vl0A2CW76BAVnSi75Ms3AICAD30uuqdIVoldnFy9SAbFeCrzLM
fAgqqOYcwu1AeplOpaW6oQZkUVfkoZxTHURtTo+TvBCn9Zhbkm4gFixpmGWIdEFTpSFaKIbbhYjH
LF6+LNxnQLstjz22AiyM2syZIQ9Tl8l4BKWc7kSHYW4JKgOykB91eqTT7kDpaGivyODK/B1Tksd2
52bbnfCY/AwlfRP1eASfTc+LrGafJm8qf3Dwn+ENMUDLUiejUob9qslj5JNWY7/xPG1JumF/SZ1S
HKayB847nxQGB6z0xtBOrMTAbFbPynFafk86xQ32Wc9tSTfRymSoZYz6lTdA0hhvd2/tGbMVxyNt
lrl9HeYt7D6mXrzQMtM+5zi1ZLuB1hhqpxW0ecHuFN82Cc0PoiSyTD0RA60Z3Nspkwg292ZdBLnw
FIRGfLTzDbZFlMeMGTsiwnzK+hXrwsEfUY99VIednYkiBlaLuMZlRVy9Kvu59Ic4udXpjOy4jg2c
trPq6gpqy6sii6nPKfvk9C223NzAqRsyRabY6VaicctlOyabVs+t5eYGTJvWG1PwhPUq5V7s8zTJ
fa2wsNzdwKkgqRMljgekexqdtlAeOQ9FlNuVqLCB01FTXFLYOZgR3Brrz6XkbOl0jmztzgw2oIqb
0St0HfXBRItS+Q6poc1gwN2NlXHCBlZREmJVjQVY1rDNj7y0Rcs2S6eV3e54F05ahTWJJqaDziN/
ohRftJRc2G1tIrWd0mKanC5IYucM1OOnCQvL/Bo2cOolSSFQKbogHWK51DG7rrKwshMoMnBaZq2j
PKl14CRdsshTcSJw49od9m1f52P9BWXhoW5H6azKfPySTOgjZsVdTf7uCt3zO2/0f1GMRQZKZTJE
DtjrKYBt286foXOC+1NLIjvViwyc9hHTcUZVF8CMg/sH7UAP+G0yIztPAxlA1U2O3TysdFBUal5W
o/gcJ3VoyXYDpKFMGtEnSgdsUtOiKGogPftR5XW7yRPBwbZ54LFMvZLTpHaKLoAWKO9UthE6zZ2w
/miFI2RAFHe4U3DnNBzHOIx9Ugx/CJlYitTA6EwrLw3jTAeK9cRHcvyUN/Lcjm4Do3Sg45AQ2NtJ
22uqp1NGW7i80aJs6RoIrYYwjDoSdSs3dJyFk4Ynyexa5gdcA6EI1bWYHeysoK/tXTGJT1JNuZ1q
cQ2IOjH46aoCnuRxeVFF1UFYxHaa3DXQSethIiMkvVfV3ENbFz6mzM6CugYw64l1vKohtuNFdCKr
MShVaFcHdQ1YJnk3xloD0XXxfu71IhUf7E6IAcncS1U9ZyBEGmef1ehdyJnb6antHcaP0a6bPhun
gXfB1KYIuuk6HKSatEs7wg1EkjIcyzTxuqB1oNaPy2zthd4fdnsbiMzypGVwyYmzYgl4t47LN9Qj
doYNxhJ22QIHu2lyF0xynPDRZy11lp4neivgwK0fu7vLthcdZb2zaviVqpYSOjFseEI9A5FxFDe0
iacu0BK6LQbS1j5q+LXd5gYmByiQT1MZtisU1+shh+J7Q9LO6qTAKMguS5TWbubksLnM2TnR9U1C
J2XJFQOXcC/x5DbSa1eqIOcM9h51b7u3AU00JIKQEUHaGBP3RMsoPWroyC25YqAzbmmfgz8LB4XN
3J/d9H3OYysHi25blx8jf/Q0HTIPkD+SqUsXLg15tcTgASVWqoV6BkDroaAh9Bt1QUTrjTP0H6H4
8N7qKJrNWj0hruIE+KJ1xJaNzhKfwAiklR8BCaFdzqi4F5CPHoHwcTzXlXs09o0lQqWB0LQQLhUx
aQOZkdMcGg5XcCUQtuO4NBCqIwU9l7rvArfOL6iTL1IVWzkp1Gx/Uswpp4gUbYAxw4uhgF5wRNOv
duI0ADpBRaGF1usWOgD4p6gdjxLBruy2NvA5qi7MJHZUMKF88PNKNAdlkdq1LlCz86liQ+n10F8T
QAlpXpZzdSZIa1eXp9IAqK5xm8VoUEEF/Sm532rlHDu9O13accaA5+AQ0IpUg0T76UsLHtzYys9W
W5sdSB0YnrjmVRtkPLoc6/rQLQq7c2g2H/WhzHiaUxXMfROv+iHCSycvb+zoNsCZzDRs1Zi1gRfX
i4xOZ4X8kdu5tWN/j6qo2WY0OJAP7muhgrjomfaV4Olpw+vRH1Ksp4Ud/YYRZVk5llnFVJAn5M88
ph+dOru229qA6AgtiTkXoQL89+26bxXyUU/tSnVUGCiNcMwSRTAQTtHHoofpBOrUH+woN23o2NSZ
cuM2YDihw2omeqJ+KfM4szPSwsApjaNIapnDkRydi6TA10ljF4tTYWA0T1gDATNsHU7eRecm70LC
rcpQ38adHpv/XE5h0fSTgtmXAgeOxN0FiobEqhUXbujYNaFY9C7rEziJoTtP/qSagFDLji5qNiwV
Y+h0YxuroOxr13d7cdAMkV12GKYedinvFNWaesByUI/H/YSPczbaYchsU/KGKNdpE6lAhBHMKM3T
sacSu7oZNVuRPDgl7ogzFaCqPyeoOVFuZ0m3gU6VQHUChr6aoOXyY4LURZ41VkEcNVuLwpEWWVSn
KuDAGd+DLnG/mQpppw/NdqGOpI2TVl4DdZu4WSicXWjHs3NBzXZ614U4q2RuE0QJKVJ/gETFSrsO
t2OM2YqUph60jaUT4MabioXUnF/miTvbSdRsRepTxkNohmuC2VN4gVp6BpbUrnpOzTYk7ZSyYmMF
x6XyqJuBrp2yNval12dWORyo8O9iFPpnXS8aS+B9FA9iUULyLAhD2tjVEajZbjRlWktVhHUgnTZr
YBCvLr5qTwyWQaPZcIQK7NLBc+pAxVO7LCKe+sAhdmBl8MyGIyHGUbq9Wwc653jhcmj8hm+FsdSP
zDCnXQ5TJC0p66ClIup8NONsk01jGfl21BvWdEwUV8MIvKnitPKTrng/5sjO5jHTnOJqKByhge+l
rNdT67YHQ17FayvKzX6jnvRkqvOhDtKQzR/dKozW8A2HMJ1rt71hUgnoSYYnEKtXhk17IDQMDPss
rHhj+QGG9wvFuKwq6x44T9rhUCn5Pm5yu9w8NVuORFZgaAJWdSBod5VE7cWQdVd2jDG83iicBpLn
UROI0vuzrAbkx3B5lSVT6K6qaSBlLh1d1AFRqfxTQFFhrbOitzwyhmXtXGecZsKqAJDq+RxaX3xn
csTKjjF4l3Y1OVCjz2F31k/aZ6g+ysofdTF9c0GfCGjMNqMmGaG9TuIq6HkWhT5Ui1NQNiIZs0VU
eFG2LuppuNJFmx+Sljg86OK4Ydcw4iaac8j/terKEwVfZ1CXrNZpVlLuizyBZHw0NtId/JmmjXo/
NNjRC3dqymxTxbHTLDg4lniJGOTaV6LWo17mCLJkCw5V6vFQN45MAyzGmB6GVTpMC+RCNuEPBzp7
pwNE0lYsiRhhzyFPuvkgary4hWk7POuDAuNxXrZ9Qco/R0FpeN5R7qSfW8SaJpAz9vpAjfC+y7qb
2Sp1eyYXpcAIpp4nEel1hKrIO+GyhMEtt5nxFdwYMPg95uqwTlo1B27lyelgKPKeLntFI7bqxUAh
hZ3HPV1EeV1U4M963rSQKiHCL6pEoeOhDFPvMCeoo8EM3B4WjGT94Tw7xZkqe5cuqdv3s5+GKpyv
cpRWws4LMbtfmjLpoL/dqwIPkm0+w+lJPEd2UyvUbH5x4dXg27HqKpiqOiyWlTukwdi4iaX3Rw1t
X4xU80yTKuAMrhsAze/jiHh2esFsUyM0nMALzusg5sVtSLOrUCSWTDcUfQ9lpDHHQDfTYdB6+VHI
kF1mkxgqnvXQVoMg/RXA14+Mfuh4me/lqLLkieGWKTciPIOKYxDhNPXHrPnKU2XnsRJDyacwm9uX
wq0CPen6DMa/knVFusJOD8NdHTu58Jgnri4xb4NIZRRufvBSmCvQ3ScrPUwMLa+KqO/7uq+CTEb6
g5LNDJWIUnaWbDfOOSoTNDsEhMqjgo0r3JZ69oXDsmZpRb/Z6tUVzRA6cVcFUKj6OtT0iDmt3cgF
3By5y/laD6pvJlEFsetBH1nXijFfEC/FX+1oN058z5qZ9BrXQd54s/RF1RCosUuM7Xox4IqW3RcY
6jJH7hiBgwDf1e1rMaSrJEksHQSz36sWQ5jOEZhwqNGoBXSU8UXtDG5gxxzj2A8uzDKzpKxgEjXP
jzjpWefzRnG7/n5qdnu1aRlBI1MFmqzU4iguifsnxLSTXSoYG+6NGItmLlrwVyGVNR6GNNSBcDth
eeiNOASTXHvJVsGnSREt2qGJfN0VhR1mzZYvpNCoR4iTA2cqyW0M3ea3c6ELu85P+Aq93UMJtxGV
aZxmdQD3wPTOYeaVaOGGw8B+UDt8ZvANbiTa/QCYBw1DnssymHNE1HWdJX21CEWJ6+XQVs41TISd
OY6Xp0vw4jJvEXkQjB7EDmOVnfTN/jAYpOWuTsH/HKYmlgunSOECiiIu69wujDYbxLhLZohZtpop
7FB4XCQR3J0wNVPn2mWnzBax2dUKRlJxGcAXGySZPw7pQP00o72lj4IMePN2LlSJ4QMmjaFtedYf
oXv/xkp1mF1ieVdMnafnMqhV2S7GiHydO2ZLuIHsqJlR22aiCMC3PchxdoRxa5cC+Dbj+KgVvXAc
NxrgBpGgo327yBy4LAoGSS7tmGJY4i7OVYSGvgxCreRKxzjyC5ZYmkqzT2wQSVWWINEgUaPzuUgH
cqMcMDdWtJuNYm1KywouGCsCcFfORD8f5030g7tctuftiVDR7BOLRqgzclWVQTvi+AjlSvpRUg12
RsxsFRsynki4i6oISCaryE+lbI5iocvYDqZmwxj1xorw0i0Cwcp0ATdorTOKJjs7YLaMqbqMotBL
ysCj8XDSqoIuRJf2Fy/LdOscP8V4w/H0hmzqBwT2PZ9pA16z20beKndRVa04BEallY9FzN4duJ4j
DOtO5cGsxGcI1E8LEX98+Q2ePjpke5XU4yoV7V0oDcI4FkwIVmHqN63ubwfS2N0NQDyDQQn4ymUc
lnng1TKE7E4r4aIzpq0gBd+Iukt8hVM9zgqID6MYYnyEax/ufLBTB8Ts3/H4LCbWQrIDDR2almUC
xd9FWpZpbxUswh0Au+TLfghrcCPyAMV8WsrIdc8rGJ6y0pWQgN7dfeIJRORD4ywjFI3VUeoi9wzj
mmkr6uF75nf3lxMPJSdRFbiadLUPpyjd6nvXq5Y2R5OaNzIWTtI2vZeAwmT4SnfuZYRCq4MD97bv
0g5XknTSVUA7pHzZMlFQX5o1Kq10DtxQubt7CRrSyaBVdYWECi/7Ce5lLGNmN2IHV73t7p4nJdIu
bvOtYyAv6oKwoEuYtGI6MRsca0h5uWGxBWwMqbKqkRcOjRJLxhihnJ66ctJTkkPbCtwrtoCJ2ObT
nHtV/4P9vyUr/q6PidlYxuHLekfONWgzrlnxrkGo1Osk6xt1AIGYxgdwlx5vlw3Lx+rEmSAqOKlF
2hSf4ItJ6YHmeD4U1JmY782hhusPJifL3hUlG/GiaJopWcxRHM6fq3BK9EFZg81daJaON6Sg9Liv
0+5oSuL+gIR6gC3gkorYd4uEztcxgvmWi2x7kcR1mci6XULARmd4qoZF7ELn51lax868hL9uk1OC
w6q3ciThu4p3zwv0NTZ4O5AMF5Ci9Kz3Mu8EJziyM7DEbImrnIxVkB3NAjy6txw3Fx6Kzm0UADFb
4iDW/B/OvqxJUlVd+xcZoaIgt2pmVtbcQ1UPN0ZPywFQBBTx158nz9Ve+a191hd52xFtWggv7/AM
QUXUixPZgbOVaXZOJ/tvSheXPfdPW+Xq4luWSLW73cRp1hDTOBu7S1/zANRD7VEhtGdYbMvu221/
ydU1mMwcJp1rLk6RjughE14edy3bt9uefhWJu9AsqBGJOK1T1tVRs39xQ/pv6/TPKQ5c4v6+fZK4
7RdhFnGicuk/AVWdvRRdu/3YhiT6l+bgf/uJq2gcN5y1qZ7FwW5E0Lpzs5n7cjVotp97D0bbvxTV
/+WTX6PmAE9ol5XK9tD2Tojjkm8J0GGRPPRqL9IKiO7bukrkGkTXduidNEZi0cY0AtCNfkEgujGn
uuhl/2fKFkFwBI2AUZwSjOMc8UdHko//9076L1/iGkTHCLCcOzi4tWhn5s5c2vw4FRxzf9quMr4J
XUDY5df/o0TM8Wza9yyCTAeU/sB1b7/ymd1GbSXXWl028LnvgxlOjOXuCMx1UTZdcluxAiOrv7/7
2qMVSZakO/VZkR31GlRd8P6mOo6wq4McU51IyWRTJ2t/HzekzCZ645pfHeNAYmknh0fve3Zo+HxU
fXpTfUiuMXQBSmW95aKpRZ8+sDx6mOltXTxyLcwFWOFFCLdvaj34+X6w1p2inHz6vzf7JdL/ww1w
DaFrctatgUTY7ElrD1qbrAxcZsfbnn51SmMuTJPHUX9ivdUPQL1+mdtwmzgsucbQtZS10Zou/UmG
VB4X7sa7eJa3QVHJNYwuChvmhsr0p34Y5lp3xWPEjD3cti5X9+42xPNiycRrp7J+O6apf9NGiNua
ihCI//v57CbuZpmNvB7X+VnI6TSY6bZL/BpKF7pta1WLREq6pS/HZYyrXeb/Enn/22a8Op8r0Pk7
GH44RHadSqDGKk2hKHzbml9dsDtEeuzqdA/WkgrV2OppLhsz8tsAaRCk/vuicxXAuRA5B9Fq2tOy
kI15mDbR38aDJNdouoWOzchmwmvld4w9PwAF8C8r87+t2n8IAtdYuozuCcSp2u6UhIisD3GvchCM
WohtfoZS0nTqc76Tks2ryg8U3TVfzU7kKyQsNQ3HeeHxfNh10qY/FMvT9dQUpGc3deBJdnVPSu7I
jqzYHnq2mWPeOIj+RuK2uRq5VvghPiW7FM4eiFcdUBbuMyiV27+s63/ZztcCP4ufIZPDgj0Eluyl
iIWpmLgxPmXp37dbDo+FiMyrPewKEg3ehb9i093GHyLXsJto12puJFkOLRDzNfddV8Up6Fs3ncRr
yMQO6HPTrwimTKc/rSKfVJfeRqmEM8bfl6VTqNgnnS2HPjZxuekUVhANoDM3vfk1JHSL5gQiMO7S
TjKuPfckLpZDZ4Ud69t+4Gq3j33v4EPZsXozHcVtGYZlrDpYf5Bft/3A1c1jnFj2tdHLYZk6fVBF
5mvNs5vGHuQaE4r6ISeaqOWQXETofD5DNiBjN4H9YVL09y+r2ZrZxuHh6wKlb2mzuZxkehvglORX
V0/WLZBmWMblkA6JrohIhhId25+3LfrV1TOJAo5lpHGHNe1UWUQR2IRbFt+WZF0jQlsAn+MsIu4w
AeZVTsK0z5IR937Tu18r0GVea5LQ2R0ijhFcJvb20If8toW5FqDrjU8moALcAYqm6euoNvGTxju7
LSe/RoPueedntyBEjiOVFXTOIU+UNf8mwXM5kv9waV6rfMlEzKmYCJxqGpmvr92ienUMNJXmmBmN
W/Cm9b8GUzUrabJkQECDa1dUr2neVuO23AamItd6X7prmHMUT2/bsa8LIKkqPoXft736VTATA74A
8IzmoDcdql7NQ21Vc1usuQZTcZ3FTuW5OaxiWY+qK9ISCsP7bcHmGkwVFMqN3XhzcN0uj4kVb3sy
5Dd+0qtItncq2yf0eg666Fil5DZUgKTeBvvHVP/vcXJkgTlWNPoQqchUw67Hkuhwm3ITGNB/f3qT
ZdIkA9WH3s1dtedKVgWk5W+7/q4xYEsS0HI2bXEchnH/vMd6ex/i8d+03i933D+c2GsUWEO8TxaA
lQ+5ScBHucR4DXPV8qbdfnFk/c+GDhxu0K4OnB+zCK3zNfo1yfHzbY++9PL+o1ck4CjWwOCCHaHz
1chy3QHwc91mv972+KtzmsiJTHts+DHXagSGddho90gTORa3ndVruS9tiwWJk+ZHbpNy4Om9jG+8
/K7BXxDiml1I8WiVIRW+4CHG2wCJ5Br5BQOFvunYzI/7RfpI+CSDo1jhb9wuV8d0iGXn9jBlNVS4
7kajX2N6m5og/Jr/vl3iHKAiolRWU8AfhjF6zMb+w01b5f+BfEFGqDNkzOqULio5ZVqCd915tbzd
9vyrud6ok3mQy8SO2ZRs0DjPbHZ/oer9m57g5TD+Qwi4xnP1kdBZ4Rt6VDqyd65ZV/VsWdy2B/BU
WXNu1e67J7c3/x/F9f9WB//0o1fHl8FBblyHWaJS2Py4VYnsZaoPQuDUyWPXbEKW86TgJ1OOZMbd
vg3BjOw8SU07dURhPQhVyl2s4dw1IWp+EOIBuxtjQFpFSYawe1+i4NHzo4DLvX5abeMTet6ijM2i
NLtso76MCe9JWxrHNIqiieLTlTmfp/aHNp1akjITrFdnssOgbaoDCnrW1mFevalEIMP2CRJyfu3L
XMCDBzLfod/sWCZ8iWhW8gDtdnGXaEGhTa/Qs3SqBK9ALnhBy6bxTacKuePAhuIvpRX+2SxzttYU
cF9SLlghUa2rT2HGFpaNGtTLxI4/JjRt2VJuBp6KvswL2nbfxj4T/JdqFzjxgMi5T0aVUPsawtcL
SO9O7yps5QjRKFt539tE1AzEyeawY2STHqK02WzVFNhpvFqpD7mq03XP44ekWCk/9vmyK/DC5inc
QcZ/rBjVK30a4qUv6rgnnlQdozOysELBFFBBALfc5pbOI/Cbw9S1teMosViFDsnWTnizeTSsLFLK
wBtZ+1OTMaSNiCVULff4WlPXl6ZAZlfyJIKR3aLG9PvsFK192Df2a+n3QI7aTLl43g1cIt+7OWXs
mbiGkMe96YqlreUOjkp25H5JoIiwU7bIJzA0Cnwv3fcaL9fGO2+XYwxVY2RjKp52cRco2fzPuVD9
1FbTimbwmYGBxD8nG9tsqOSYwUmsLaKLDKRc5OgjsFh2gLagoMOWdTkEfMtpOqc5GmnpmYqx6EpB
BT9S0Y3VRDevDArYENn1klmu9iFerDh4gxj1TKd2GT5vW9qOBbbDlC7HgeR2q6a2y1KoxHZB1uhx
dMW3wpFxeuDbjiZQl8fLZkqvHZr5JS9yliKDco4QUvGckOFDIgpDjxBYEdvDmPoEXe3YQVttx5jZ
rS24W3Gw1AHJSSGyFsvlZyojcGbMyjL9ieUqKequsfnwE32QQuLQqGxaazvkk30WS9zSz4Bnzeo4
BAaaEJ/iKb/f8ygVj0nnxf67H+W0gDFjoil7nnFou8Oou5CetUqG+UsXqSJOEd5ES/OSqYzr59g5
kfzMhqYpQtm0XLUn79c1v49Nn01fB09DXkHzPgYbvfUk4ZB2zqn81TjfirYUsyh+5oTO+gvY5XtX
YbqEuwtUiSk8AdVnC/znKcp+TYNZ97NK4XH5WeywI610h5P0a8iwze9ake7PjsftMU7nYngpDGxA
D3HR6+7jLLptf/XgSKQRJtHQDSjqixIxPVvvxvEvgclN9zDQmYTTNA2yOc0pT8zDMsPcthoyWI9+
K2ia8d+JF80zKOTRPcZI+y+wQ1Q5+LytWwgERfXW74W/h8nDut9BPIh8lbzPeK0lmI4fWOjk+Jy0
TZ+c/dQv4RDN3bDd8WBiemJ0E/GXmDai+djNvNWVDi6CJuIQcwseiqIw8lt3uHY+2Xh38ZloquUb
nDWa6WXJOeuOcScmVrttWBE7fV6Y7gj8dGKeZr7SXxKaAGPVoEvjX7otNggl3bT5A80nZ9o6xrRq
fRADBI6PTbtoMFQitrafu8Ly7Ky01rR0TWToz67jg67a0Qo3lMWYNDHMgTKyna1U1tXOp3FUOzum
STnK3etvxHG8QZ3HbQI5ww1v0UetNeWwRXY8jBdJnhKCdrt4nj2IaYdcG/89jYOn8D9r4ahbwQqC
PiFdav80OMKsGmSXqooqn09fwgx/RggcKQXJs5KIfe/P3oEl+znAn840ZTc7tiHe79pPUzk4XNO+
RMd7tb/8spL8HR4ZBheCgFoN/yjxlMuH1G4xB5g4YtJ5GH2q8hLczzE/SZ5wcVjXlshQtokr9ge/
2RYdzA3WT/wubgJyRDDZuu5sYYMWlbvp++gTzYVJ6y6jS1TbeE14zcK+D+8m3slwt7rd89Oipqip
Z5824ZHAXes1TuzQf0IXOQ2i7KV0/AjV+Nbdc4EK5jmgC1EcM9HjvnNNk8/AeWfd9qjaeBDVtJvE
VZk2LAJvwdim92DP7Tb56GKhQMYYM+de+y1m6d2EkfHwPEHprp/LNWRwuIGueDl7w5NzQrh1L7md
o/FH2m+FfKSSWOyxsVOy+01ksWMnKEi22cPUFv16xF+2DYdcicy+UbF2zb1t+4GcQaKl8mkxKUyx
DghHktbwMiLNnx1SydA0t92Q39mpb1tgm0Fiwh4poKN03w0u6Ds9KALMcAoMcXywGq6H5erCmH7C
bxbva9K57buEaDw46TztpqyaIb/YVhHiU1Ntjd4+DSl15K7gGlyXfBwBVlWrKaIq6MXB881MfgOB
ZGVJhYFC0b3idfP8ZfOh7e+iMc0wOeobES2fldqn8R7Q3W5HVjTu2y/cGnYU0EiN4+TDZVJD4op0
M9ufdlgmK4tIvIfmXAz49BCapXAEe/QIyPML3C+sgSdsx93d5ijPLzf31kEToMUyWls6jlMeQ6+u
3Ze2mnsfwgfCN8lLOI0VF1NghfhWCuIH8xK7pJh/7MbqbICB8Lrl55CReHvOsPu7r4Pd4BGDP5JM
zYtAa9x/LAQW8X5PB7PVI1lyd4f7P9ItFjdV68HvjPkWyZObdnxM067H1YtIvbEkOPW6Ys3W+3kA
Au9lWPuur7Khm+zXTbM0/6ZSFgpVQiEsHjVWisj29wjN1PgVqvUZ/zFBeUV8n+UsUtRXEEQklRrS
gd0p5mxA/tbFBZ3KOVoCrkK54fpAtgfJWBrlK6stRBqmANgoi35CVT5kVYxLfTjv8Nr9zBbs74OI
vaRVv+2Yvyg2Zl/yFLiIioSiGSrUohmDZeHEllMqWU7Xkmyxmp91N3egHCeQ7zxqPsjpiSjtI1lS
MLB+DNPstmOe9Nn6koyxgf4u5qz8c1aMvjuuEk45r3Paka+FhctLbbMGrYCijxx9DqNu2DE2g09f
MH8i40cpmN0fkmGcJwTMDGcDsHgA1YqTgIiqeWqU5HqriixrXwOQL1G10V6tH+3uZxCiwXtNfQUZ
w0ZUjCe9fhEWPaayU62cDySAVyuPoKglh6Ih41ibuEnxJfpOJk/Zoi9OrtRekp8CaN+urXix5mmt
ljlOllLsW/gyFBKqSeWuQPz7rEFuI++tpdOjGRdkXFXXDlGVDFCFCxWi+1oyT4n7ki6QPbhrqde4
79kWI00nIPBqVwaSRe7c4xXiD8s0OlalOZ1rEbplPIkNR/1bHhu/HlMmZAJnEgPJsyTrSVETCSRm
aUmyHzkuI+9KkzeDfV4AneJjpahi8lHYJrwU4WKAupudPNiiEPGhgIPNhmsUKUdt9gxh38s1amHP
Pebu8yKbZP04miWp0Jae0+9Bwhq7anyX3SFdg62lAItmwtStNNvQ3XVOQ1gjA68aly2p9t1xXU4w
Q6K1M3F61yIf+OIVIw8tpJRUSfkw26qDf3kLzVadwtw5G+h94dvwOwP7Z3hKcXTUaR/szp/mKDWv
sYfEK0og4h5b2KvvyJ2SzLyukQaS3G2soqCRP6GFDrI23EUJ1MjB5H0KpkjfJh+1B5EOFD7TanMP
q5D8pfVQ0K8FtnGVb4uv0q7p77Is448LbcN9m2zye2jX4RMn0lR9TD/I3Ki3fOAjhw24toCdLFKI
udzinntbtsh2wzHA3i3c0TVt32my6Xs3hILX2M60Uvuyb8fRDPl9AHwxe/NRwT610gO1UKduZNFd
o9jqZdlg5xagyYcu/t27Jri3PKc0lGuvtgJQzmT1oe4vegBnGbYdsimFSYKGs+482xR1TE+moW7p
mkT3a3LxTwd92sf3pksa/myjzbrjCp5//L5TmdKKh2x1D0um8/Y7Mlc1H3KXRumd7nWfPQ7bKuHG
2o6rLH2iTfFOFqnjl5ksRB8g0xBGSBJY2p2naOXyW9TBS3io8tDnfR3boXPlkvdIRblbWF8ZiRzF
lw2JCJFlyMPS/9qKnMyP6zat+0+YUnmkQ50rcuxuibOV63IAYWg4QEWnSU+mkP3wYUtQ+x+mMSPq
6BjiTo2KpmXn+QK/O8xMpeQFpJohfwB+liR1wrecnxPQpra/evAD1MtiXaHjKvB27e7tbElMSwiK
FJhI7UMqwweUxixFFQzI5v5grbSIC93IfPKkFY7kJ4Fi1X8TueDnbMJUgljl2bfEEhF9V5hpoUze
phwuhWhCdxV2B5KlsllWRHdrlq1eVWuKLxScfvdeeMT2r9bOPB3qnM0R7qtmzKP1E/X7sLVllKaM
lM41RlW8ITJ9tnuxhb8y0P3lb9ODzXYoBlj9fQyy2zgEB/LJvMLjORfbYVyh7nrifZROrxSnDBEx
JmYuEJ66jaFZ2I2g798NJO78HRGdiFWd7QYpQCkppS1k4CfUH8j4hrkKq77kIrBxcf7D4Ixp/YmL
Vph3aaNpPU5D5PjZWr7k+GI796aeU7mt3wXPwUWineD2u/NiXo+6jVVUcbEkD/3cNrSaMXt0j2EY
shafhPUgA1p02Suj1xlJ6UwhJ/O+7FDJhRDA3DxObTqffLMVH2eSBofsIN93/RKklKWBn2YJUli7
EPiLFcN0DL7IQ9XCgnQ578SiQOv4wkrr/BTp0i3O2w8s8az7a4W1SXHYRRx3NfWXe7VsLTwm7hqk
2Y89pLmw60iiyH0zwNP0Qbdh+sILLEJNnMsSWcY9pszvVu5DhCw1xNFp27GvT8gDEnbvcAUMP7wn
/QklQMK/TZA4Z12V8zbuP+o17zpIQieK9kuJTZaTqkBUDajmIhDndtYl/XMx+HivDA78m0hydZBN
T0cctWa5n2J0MJ7QryD5azFuVNz71fCf6MR8RerhUgpLFQoI+ASPmPTjmLbNd+hZDH3dKgTFfjDi
ybkYmdkOgRF/lqzoKr0HGI4AQR/f9cwQ+TQ7YuWTaRb7sGg9DT/g4Oz+RLOwtt6WCJ8x29i7WLLL
cEcUuNu3zL9T5BKubvcZuTpwTW4rpWfqCLIyp+WgfYvcALCFFWZ3xYZ+LSKhRX/HDc8egH5YJBaX
Tg+I3+ZdIBkr0xwI9DNa6dw+krmYo1fCAOIDKIiN7Xpeads6iY+yhNiC0d0M/WGLSTGww1DQ/kM7
wxv+kIAoMP+1ralYq6hD5+o75A7gIGvywmaHsUtDiq3Zp59Mj3rkFMbBlumAAKrLdTFwsWvTpftV
5Mqm78Qv3VoFZRNUOyyT61YOayGjb32fND+LS2pyV2xgmb8Fqv84IV2GdJfPCZJZlYnljsMTpKg4
NerPlOPIlgUsOyrYgsTZQfKs+N/mnyA7FiEUB+hbNhlKGZiqH7eUefZVtxEH/7jnDTqDEVdQRrIa
Uhw1khLl73M6Tb+k3EiCOJd1w/gOpTY+VKnpPLkbXBZ+o3Ru9wcj0+aP6uTOcxh0hzV9VJ3P5reo
iWn+J4FlRv4bpWWHzsjQ5o98MgKxI+5ClbbJ7F8Nb5gG1QizpaylbfzaR5Sim43UI37IPQRFj3w1
NK03t8fksNLVrqVUy/YJmshJ9kUbvn6Iosx+KRqWvGHc7vbT1IBvcRdNKIw3qbb1QLMCgr77sOov
WHPxMCYCsDY6wCEbGifZdJ46zucq16PypY4a8RVM3a2cc/BktM48fTCbjl4Z9dsT5XtXHKcGEiMH
mYftNMNW4pRoGZ8z+Bgj5o3Evne8zcOLbiewh9cVej9lPi+N++QXSLx+hwYHijMbfNZ9RWuYsJKu
AeuQ+mFAWOAkIRMyDgb+cRG7t26jSBIJWgltiyxjyCPIw7I9qg1g8PkhL1r0TTz8z+FTwszen1Id
63fIrw/iY1pMIIFvcGD42ONFStKviV4qhO3gfGnQGyMvWnQsq4jG67xNU+On4zA3Q1elGdP+5wXr
ep5GqdTDxtgu8Rsish9Fknn5QlrmkbCFnhyLQkfTHSCUzH9AK3o8IEyM49Hk+WDrtFtlArgcnFsP
k48RRKADc49vgXZEo/NJo9z2AC2vIbiPNuqGtRrzJZH3UbSq/QT5sf13lMM2qZSwhnxo92nD8WkK
LIfw8UHwbKnm2fl7MiVIOLt+fAi6yz8CvTyDIQB9R/Q5INRAMtZ8jXbAyY8FGDLhDX2mbcVFZOPk
tytMmzJ44Igd7QErFz2eR0wo+u/dPltV4UuB8F6IDpk5IqZcVdXNjYZ+OcSL+BMk0gpWcU/1ct6m
bIZdPXyz4V3arLToyyiH7OHRc3I5hNGwti3cFWdUTAg+oh52y/3ZgZTBy3TanMQxxrzrz4K7szlr
4+K2XqGoHQOJqdIseZ8yZGj16rnpKpatFFwfR4N47ymUXuoYevP9V4mGRlaqcem6t3jbET3aKKLJ
PWWJyivFU5nWE7phazWNK1pbJXh5W1sP4HHFL5meTfEBhiD9WgaoQOvDEpp8KkO6Z8hguE7cr8jA
VaHMQfXgH+Bls7JTF7Rnvyj+KP/FIkGlj7lNJKsyyUT6KlsfQzRZoyjoeqvUxwACvzimg41VKHOQ
7Vc0MLtxb1GoO7QcsKk3JIXwNW9mmFFz2zx1U9zv5ySLt/GJa/RpS6qJh1667syfOCd995zuzQgo
SBOL8W4p1ih9BUWNUZwpQ3aP+c8Y9BH+jd4cAS7SqsJUJV9+jl7ZCAaJuyvOkUQ75Wss1eULURQ+
dWK4HsD7QwGmnhf0D0UFfoWzSwnNoSR9iGmao7jMXTTe9cBZrD99GritG0obd/KI1742udbiIAkp
5jqFI40T5WxU6I6oBiV/aDLIrwF8KS/2YHBLm+qh6/l237iYFRV4Ii3PaygxxDhQfaMwz8YodGrv
6bqRHTmL09kdmgQTpvUzcrsSfdhElODm7UM9YxvIY7YtyfyH9bmQEWqHJHOkbAlETP7SQknwuQQm
ZA6XqUKemFWRNPxEU52G7SySghTv0IxW7tGjtN80/vA+GzLkIBuZXnLWy+1LhL+GR2WXODItx4ua
NQrStdjX7Hm5VNAPTTSJDckX8LIQmApN274ElVgUK2YhFAc8E+hZsQqzlhzVamwVH3/1AdU14FSB
qfiPcWs0IxlgOQqmyYFuu8KtZjL3lk9L8ZIjeLRIFYth/y06TCO+D4OfxDFrszHyWF1NRpglU9N/
yJDu4yynnGX5USM1mv90Ost9UbqEQ63Zs2wpPifoz/Wwf0H/3/3kJlvEu46WKXqdWgx8PqyXQhWK
BaGQacXWGbrGoM1pI8+dwtwLmyTT5GgYCh96gI/iMj+AlNrmvtoxQ5pQ6faG9ayOc+qKB68xSXpE
dl3QR6RFmf00ykGYe9YSP52jBWbm30kcN3FFLznbcZlUtJSSpT56nGIIPH2IFrv0iHGQoa84MuPx
EBZVmOfeOhBdVB6z9fMugSKrithiyNMTOUJixrSR+1VQq5vPxFsE/xH+BsO630c7/LWRskLXUJ69
bklAPgUP6iphm1vuwjRycmfQZfcnKegev6OrmOf3vcAksNKxAgDgAOpmbIoae3NHb+vSUYuOs0nT
pSJUDVGJM/dEtQ0ZZo055DGOcQJo9XzsowTzHjpixBNKCYu1ogzzpvPadCzP7ty28P1OZ1sUj5B0
S/3C0dNr4ZU2LTwZHvPEWPueW6iq/2FttqhHJLY9O8q8W/gn7zGaqWVbDC3YiQCnvvbjKOlD08pR
fPIFFuYhpIWw9/ECS52nFe+awnI87PnrsDDV3m+D4eINhV7frFW8IFue62EqFNrWGTTa+rhacJh1
VEH7gwZdYw7ICn4UgAZfJIzZNygYxjapOIcApjoojILsckYCZrCwjg3avOKeHtF4BhgHozTkbjx8
Ilh2kKt43on9DdOTZjuuOMlHvu/sEUU0jR7SqOFI7GgM9br0MsYr0lM8UKpPYmBz/rjLCSTXJA2T
++b7hUO0QiyQDjm6Vm+hKxNPc4YZZwrQVTzbYq0oGhv2u1ohWf86QXbBpseL1GuCnsaWw329MDtf
h4or70UdlLk4yjlLn3PTZOM5A7nc382jXkjdrkGPj6mFTg1apDHmrVMwbDn2aOInZWSTJDpiRun6
WhYtR9mpZ6uRIRHVkx8bg837Q7O3w/YRkgyZQ++9a8z+m4w5aX9qMcXyHBNQHc8xur7zEwjaxn2W
kKRGbjPm2faYZJENf4U5H/RjCG1k0eDb0qLaOdKREv3lBbOV3lqA/WaXPS2xsr5yAcahZ4NXGOpl
T1NRARtPMTPPsguicS2OHGDSZ7nCGfgt9qK1T8btyXjPYHu3X742a8B14C7Aut2ybPiJNl9E6iEv
Im0h1op6prIjdrs6ILMWuCARSC9lvjfav/DIrKQKUZQYHJZiNqBL6PyyglyjXYVMwuT8xf4Pe2ey
HDlyZdFfkdW6ke1wDA6YtbRAICZGcJ65gTEzSczzjK/vE1klKZOqoVXWmzZrkzZZZEQwMDj83Xfu
fWrINJzdsYq/9qfn41fV41Qn3sAK93XpzronWO+yW6NpZMe9F1p53XmV02L0R2JiUJSKRCx8Q1oa
eI0R1sGFjFQ3blhGyUIcsiIe3rpkqqZjuajcemym3jYpXuqkP5tntUyPjsqr4fKU4Wjs2rwPvJyw
m9pjNxqexPJqGnjm0sC8cubZVWdthNPggkZJTgYDe+MFaatOUa0sBleaVveKcbV2PIxFclxPdpWi
2jV1dAMmobMjGhjKfJNANvJcZMYG2Y3u4ATug6qEC9xbCPpZw7YImrrsvBi/n+mVDhyBsaL33fRv
CEkh4i2CjeheUSuWWPPsju1r4lmssh0aYlbi9vAIqafu3EzYQxkOVEymHT3jsJ77xutHhtjU23zo
rDhZjTX54exDhT1Zut8YESiH/x9t0xHPq1nOlk6V0a0ERFDraU5XByuCko17g1drh2GMwmrvRift
N6T8nqrTmmkGl6VsmzVqwdLDtWqBtv+PoJ/ENLdmtiOoe5p8YSdl7y1zZF3SsCp63w4wf/85gulj
spA9m0VeFm22Fu5TYt7Zw5/jmT8GClmZMdCu4X2N+MZBtIitP2mh+RgnVBJ46AaxUhsekwIRyR3E
ectq3f6Bh/c3AqtoGfxIXiGFyQ4ijc6Exv1XR2XcHfJRK4kRbJsKwUkOCWMBlFvLq6lFuqXASjSx
KrWJ8/T7CNWJKvo12ugDWBbSoplirVGbkmmmmR/jIzgHHqxX7NdoP9KLc/a//0m/BVN94MyauuVS
gyneEAhQq9tuLoPer0L2uf7Ik4l0UhJJMnal01z8wRH+DYTzYzpRAh/G00RaG9thJkdH7My6Rmv+
gy/0W+/+gT6rmOjXqsi1IEfyz2mjP4xOFfw564j4gIeyTa/zKgyszczYDy9q5n3cZ8affPMPhFmn
611R9ra1QYNe00iNvUBHefz90/xbR+UDHhpMQ9xZbmxvQqG1PNOHwNMjnv5/7t1Pn/od2yrTyoAO
4rjIJSebt3OZMrmUt7//5r9xhQrjxze3Gz0fqynhcomUK7+2aErjStizZK6QI/PKq3po7B2+Eqv6
U+P5jI+JMJETjooYIWvDOFTr0ayb9iLRkVd//wt9W1x/5e7+mAejktlAFgrNTe64EQq0W8wjzRX+
9zbrnf1gsvPmvxSmXtjbuErukiW+07nSrF3Qxn1ErRJGa6Yzfp0Gg9HNXqfYkv381/3nD+NU27/9
F//+UlYU+2HUffjn3+7KnP//1+k1//idH1/xt+1befGav7Uff+mH1/C+v3yu/9q9/vCPNfvybr7u
35r55q3ts+7b+4dv5ek3/6c//Mvbt3e5m6u3v/70+jWPC5+ip4m/dD/98qP917/+RKyS/O4MnT7g
l5+evsFff/Li6LX51xe8vbbdX39ynE/oNxZFlBRSxxLPNT6+ffuJ8QmEXkkb/cXCdHRCRgsmnkZ/
/UmqT5YUynZ13ZW2hFf46S9t2X/7kfmJV6CtUtNZhtJZBf/+za9+vkZ+PhkciV/+/f3oW/KIfnhS
KFMKxzF0XTcti/lpwuKbfn8L1sRBtIWbG9sq0M27JDQXv5+j4gxlr/WHZOq3A+kwUZpPHnti5zlW
eX6UptXXdE2AOLeFq9tIMGb6mERRfMEgcPtcdwt4Wh5Gkeu1SMS0IxrbfpTLyM53pKQ6BmlUMpKg
qwuiI2d7G4J7PbqGXb4vpeoeI/Q2YvMM2V3aSpuuhBOigrZCW5k1lfsoHHk2NXQh+nasD2ZblGfM
8GX8i1t0e+oJNfm61IxHzV6keai6NjkkmWu0XuyYxV0aB4vYp7GpHUTCB60sMxmw2tmDDa6YB/dT
mbB9szTrYJPN88JTBtYw0dCMV7Wa4wdaR+I+sObR3bAn5r2NcgJVyRLWyDBb5Fc3DOglAfCWZ3Te
w43F9vfihIcQv0gxfhR5gsDalMxMyEuVQwDYRnOtVdBPXt7H8zXMW7IZgC3OC8dMB0+kzBJmz2nl
/WXYzf07HLF2Q0cvoBUSB+NrRTMHtFELBgAaba4voim1oI8EkOomINPHppc4pNftMs97G+hr088o
Y15RI4SnYwpk2qvyCIFp7RNdDwniMdElc5W4O9lbDemRxnvUZarmazE1GS7NbHaJlta9V7qid1ZT
Jzi71NEy9Sjq4xdIpBRwBoiURMtq0ypd3VqlUBuG6zVf5y6LY45G0G97LTG+VKk+PuvdYJ9pVRIe
rKgtr21nlvejWTTnNCQTaxXNQmk4FUSirZmwWOReaiZhu1KJbZ31IRp/lk7uJdBtxTzDtAhXRPPk
ZzO5znDwCW0MGlTXi1WpA0PUx7Vu99ZLjhJ9R8RRd2sKIvJ2hKqJ63jRqKjpK0JqJtbkXggmuV9W
toDXVanTnVuNYxytWsm90DUJtMkk5n3fLjL3ipFDikCR5jtdc5PrOOxHw0vdYToGY3ubiyV4cZsi
PdNS03xWTW4flDZnu1A2ksNU6u5F03OgPEsVTgszV1vlqqAgpCx0Ew3YpGzVstGhKwrPaRdj3w4t
cUaG3Ur8eUNzo5X2gpydrMUYa75V1S9VlQcIj2Xu14hlD7XZTKvGLc8EPTcGPQSlb83mZZdCcCkL
Q4XbRRjkzccgitd5L9tNWaqG+ZAqOprCGb8ig37Rtaa+yO3mtm6qdzdug1VgoGW6lMtV1a66xRwv
8zr0lVWZ0C0nMEjamzLGPXAZWDlXvc0kEXszUj0XyJGt48XmNHtd2S7bCb6988ykt84agOtRGCML
Qh4Zvrt0+dFRpr3mNhzuC7SKc00AD9L8IIfQRAu57mwmHqNjnoIgF6FFoxdqk/MCbJMWXkdrbOBy
DaMvacGa6LOayGldgoS6Z84yRdHW6Dk4nrIyDfbCGfkjeZElvJI5MAF3wthrx9HqUNpHR6VfY6Po
0R9p2uKis7gsummLoG5uxWCKtRnWAICNWhjzIsQ2D808hksLgnvFoV31HWrJWKF6o27kjZ9GgPBI
NGG9LpKu39DXXs6pJMWtkzTLiwOnZHgyboYD3ddyT5WbXgXSCTa0b+P3Kh6DDoUXRMsDcWUUwEwr
Pza0cfIWCZ5fEFb9XJmZ2NUpXX0MRWm8m4MYARXSDwaxVfK8scEajNSNdwxMap5M2VhcDjM9+YCa
N6/Kbk3GxHArMr150uD8z1Rez0jYiVLbtkdD4Pi3Vwng/ECZY/afGaZDUSfdHVnTBz1N5yMEZfbU
yLA9hCEjL5ZUu+2rId0nhZPeIJyFlzaU7qXU0nzrFIVxVRfHKu72+TDMV6KLYx+2Ybh3XWPYUIoX
UMaTqvdLWmkXoi1EdTC4mi5HhNdjErHCr1I0wDOaVM+B63bPimizhzruy3MOc3qdp4v50lkFsxdq
9J9qVaPdXIbg0UdSUgArJGlZftJ3xpp0V3fVWo48j/KlWPwx6OO16faHbF7MVbQQCe5p5Js22kCb
x2Wq0u0yEvCRLflyGywdO9AAiOrRcSdjPVdUZnlkGmcqA9H1+mypVq2dJF9Brvu9juMZmI1e0W0G
lLDpT5+t4ti46ig4N2GezjupV/YXfYzmrc3Yr2rt5HJeGUVWoAPrE81y08AIpNqQ1AszzLbDyOO+
amqaDLoNaJqON5HbWqHXaSQCOrBee3eZQ8wKDCmMgyB71Ah8v++Q+o4Lu97U01UtzyozqPtVERn6
PhTG13YWqY9RI/2M85Msq6VMqntwKQh6k61H4bt1o45T5STn0mlnx2tZW60ofwUwiLmM0+QiMZvw
0qhamtXBEoRIXiNoIwIiMgoYo6Gt57AorxWTLLv9WMfLXSnZvHlTiZtCtI39gJA03JPM9RVHQbls
46ClnR5mxqVy2/AN9SvcFHbUFTStJgCPFnaLdF53WoPjyoekUeOdYql5DSaycFcFJTvujVSguKrE
qu7VnGRvEJjpinDTzM+jmH4wetZzlEhp75qkNi67ukKYYhGdQjQzBlUlZ0tlDU9uEH5Gft9xazkH
hgUn6xzriQdAtytq/VYsnOc5KcezGZHNyhi6I1DRGMw1LvsiqWYJOsRNsiM03Dow9Nq+HQqyMLS2
Z6B24XZ7J0rYdFhL2n4G873APcOJotzZS3SmbZ3wMKW5pCU+JFTmF5Ycr8OAaxrIgUdrbri4jYLx
HuAa1+tCsh9genOVKXO6T6EofJwdlpdmBQHxbWauVWlpd86k1pM5Y2IR0rkeW4jqZgzZ7xlx8qjP
mB4GSId1MxTVVyC2dDuSl7AO2W7tQIjcJ0Tc+TLQ7fLr0MppM0JkMukMzOS2MeN6RzQWGxPZ7gBI
omNU9vMGFLp+wY6+HCa9tN/pemNiCKzLSjbxIdd43Bey1j/PxUyMTJw4Em55aI3ImwctPmRI6hiW
2nR6DwIxHpc5CWN/ImXvYrYbFpJxKj8DNMv1qLW0lekTb8d8jK9szC4bjAfuRnV6ulkSVZ33gatt
SUXNV3pg2kTHTl9ze2mvsNxcMDup2+kQf/6s479yOvK31Wynx7oDcZ778cimM/YBA83LbJDZLqhY
1sEfydQiyI4xN8e5o2IDrKh091KFYbvJy+6E3YexuikxExiruhL6Jqq1A2siPInMkugur1lXvZJ5
WfFKjH3CNsKtl4OCu9oQ8a/dOAKu+hkuxlFnQ9BO2CYqnKvoS+Y7myyYAcvI9QceUvV2Gjv9TVlj
WJ8teORq+K3U/Tr0jq5vloanUWsO462bWQryq1/ORaudY621bthMzmcMuYg8Q7QpscOxy24OAMpz
8iSeMfnobeCNjWXcZake7nA9tGwp3cAfu+RgWJV9wYrQra06zI92KAfIh9CIn5BpjKPMNTzN7DOX
i6YjAcGrBK2TjJ31bQn7e+R+tXr2XqBPTT0P16kG8O3NynbOTU3vhFfZxSLp+prCh3XTG3/Si+x2
0W2JL5uO1nORRvnRaLHIrBilZl0YJTsUsE3QeTarxBJFoV1ewX5b9qrN28D2aCnFyyqtm3BZh4uA
4kmDKnoUzNc9NFUF3B8R1HAWKrYYjMTdl2mWXwy0+DJ8Hvm5HGx1TQCuabABI0BnleRF/hWMQv8c
Vr0DZJKq5z7S+73juPT3bDtOyxWMcxqtggLpl366Qz5QQea/r5VIZetgGZ07AHBIyiZt5vXEGGg0
lpPbobZg79wMjyjJU74WufpqZrTPllXrFcGn81xJqzlyzGibnfoQU8yYehleydp6r/Uh3AVFqe2n
JCDvNtf2oop2phVfLCWswmBXuZ8lYXcrxgbfBw6mbWCRu5aS57bKTCIgTyWGUvmOA7GsgEuKkr0h
f8mZbRXvYuaQxKG2k/YkPE5E7FEin6wbrobZKnp0mzFbIYvfYc+fPZ0QSY1th0c5OG6apLuknMd8
NjpkiLa1nwttZ8Sg5hQjn7XAOKZWAl7EWKUFstGjuf3SlfIQCkozJkahK+J58uHCZy8to27PWLFl
nY/64DHQcPGDODdouA8dmYY9f+dALobtjhiniX4A34QnnV7zofbbPtrBZ0U+keeXS6/Sq9HICcWO
xHLOvWduKyNwfR49JDCOc4ML0pXGWQLYfxNUTro1gWBWYY3LrhY9hkkzhsXWqsLAkdymbEq1edgS
UxZcw2DowQrAfDZWmts7NUOuuuZoz30Sr/qM4+s0mYIK1yBZDHPYmZoKHnpd9k+Mz6iSVRRlFCxJ
Z8eHqT1RR4schutMJDlIVFi5D5mZT6+dEQaHlq6dtWuCymNDYz2FY9WH6w66MFnptPumM8GggRu7
Cqd8bRsGrVh6Eh4PDvGI2Sm7BVqpRk9rTFtstTRrz5RSHXtQB8aRNnT1SPfs1pi5FEXn3GE6sQ4s
MBDYceXspgxTRkXjvbZHe41HC8Nf664rXQxvcgbbZXcqnAvITWdHjVV03HJV9jw7jk1zbq4Tr2yC
4YU7K17FVgXtl+fRNrcnezthVVlbMSWcBNQ6SxY57ToHlcBz4CzXsWyqA05cBAZ8QeNDCC3xXGJM
28Z21wM2qVbdO2xcTJo0ZDp4QWKkP+vS/9u62nn8BT9m+d59FNZ+0OL+D6lvuoGx9/fkt91rM78W
r98LcL+85mcFTiGmueqUk2jpJmDfPxU4ZX4ybRASofMRLoDQPxU4Q3xykN7AR7kCDfNbROffFTj1
ySaq3HVJXhDu6Sf/hgBnfctc/aeYq4iGkOB7rsWnCMdVxgcBLtVlJFOcT9tk0JxLJYAxN1QV+aZY
kuQp5Pp6BlbN9sTYcCO4dcCmeTKNtUjrYYcE5u6hArpb1+Q9/AG55gHmxXiSY6EulkWY97EVtOej
FMaeZJPkcxlrxgU5GxMkWxPu7NxSAvDD5aFc6535NZ0W2Xtt3XcXdibknakS7pRYy4v3ea4oDR07
u5OZPhL7KeTZaft/1dZGyjZyKPwOY/M+rJwQBitIHphu3p41mhM88IxIzhMA6BgxiBgkF54PlGoN
SeN4SdIJH+/4ySJFDq2RUFKcXJkrK7ToAhd4hS/wrzOXoo1L38Qz7xt1n64NZ8pv465R3oDn5aLX
cU24AcbsCPp/jm1xZH9fnRtM9TubIGE3FmLPhSkHky5Pmt4OnejOy45HdqLs4qKWZrsPs1ZfK4LX
b7KC9X/oXAF6JjDy9NYFASXZBSzqsK2n3n3GW4xxRSsGnuvSxF1ep5dZZjQ767RzOJkcME53y6ub
mxmgZVJtSqzBsI8NKseisnXQdOgbppD3QVq9F0UHyVLAEMWrKU/HZ9FN4QOe5fFpxpF85wZ98KYv
JgCz6SzV4MW1nherWUgV70E78nYTG5F4zl3LjBFLkhgJa1HTSzLXo7lJAzO+KpwhOMZOPh1cLZrW
sATOzN5tcWIfRMb1Z5wWJuZSA3pYMzMaSbRJiqMz9Pm7Pk90EgZdMhK71HkOtGVxNHKmCwaTVd9m
M+fFrHOxamP1Pk9Jcb0w0+tMm2zjPM3C0M+1onucEgw8reP2j2pI4ge2vKCVtXYj7aQ6JKQAvGtT
DMgmEojbpD9lIiThPF2Dmn+NIufFslRwXjVLw0lXwUHS3vD7sTiVr0mJoznoDJ6XSlXW+TD0yU1U
OrofL+18NtWLuswxU5HZfY+HVo+8UYXDcSAf/LWhY7qbpTnuAPOiYzNX6d5KsrUMp2BXai10NMka
9jWIf3k5diOuHdrxJCVG1nNk4ABZp8ugPUHSxQ9hlaX7Ih3Hl9y1xesYgHNHVFh+iZHqAH7R+rh/
/NS2ruNJr29oeuPP6LPhNaFZ+2BNRrRtyt54roYqxIk3gFjNBjwzqQqxcW7mKLc+v1pdhC3+Wup7
MzwYEdjmoprq0ppiihCnqh4DYrdbfGyi38laagnevirdJOTIBIOYE2QIU78JNcgJYh5y45JOBQ++
6Rv5CeYivQGn6IOdx+qMenr2qbbKc+AKRGASti+xarf4O3p93UUduN2gGkBYKuV4ZWN2Pk+jMB7W
QUYREdBSfXPsGYDVtupzCStGzjjztfQVqZHZGjK4qv2iJSd2NdpivI8b7CVb3XZEdiJ/U0U2OY7f
fMZjjg8Iiw55mOyv+mKwzmWh+nWZGWLTBzXrID0EYfmVWYC8MWACw5GhhnizKM256FDQFq9hKX6m
PbLQLp3smd09PNPizUuIfXjIEPe8JrYd7k5CQY5dPJVPhhmFkKFJ2F9P2lB8bZFrJnbfoXwxG2uy
vKJqo+epdAzTY0HUZk8ViUKPz2SvnsE24KsjzXDudUFJkdb6iK9CLsUZRKdhe6AC857JaxaTg5ic
ra8o9LXPYTlJciSQrJ96ehPO2s0cjG2nmsAo59OiPQZYqWLktRibbjFtejnM/daR4rR9lq72bEew
D+xmJ23y6JJMIOs22OQujmXF4Gah1RdjltTRepo6Y1qHkiSmVcvcnwbPggOZRs+9vI3tgR3V6CyU
NmzQ2s8CwCvx+t62o0OM4bG7rSKhHeDNMWZgUmzWqo+QpZkuMN+KMGWnacq0fwYstGGN47Gg0u9H
M15D0EWIcxqhDKK1gtQLmDCKemtYAzVtqp+huth7+two4K0RT++NZhePPfugbYmSlMGlU6J6DD7J
bqAMg8d+dNtzXA/vNQNqX63YvTGnSZAqa4UmlUJW2hsoLvest/rpZXYGujvgufaL2QuiEk6a2l7Y
oQoAhDJ6U/qgbk654M4Vw+Y0tCMzxwaRqmYE8nL5Ao2Kui3+QAzQNkX+SJmTJ/d0NaYDRsrwQZhx
UaPsma3PbhXgeQRuf9MdniqGO04deQ2RWEfRaJ1reOqVhxkINxuBh9Ze0zLu+4Yb4alCFbqbOzs9
YIskhiGnz0teRmSW8xY5mexVPdTvoT2j8zS3oKFg3XCuFHaRPFlq4G9WmZOf2QTrFMRgxwHtdoS/
M0bz1Y8o17m5j2kyV4xZIxZgxTCbrF01oqVoYt7ss2ZkTAjRRMsfaA1h9rXWBqyvE8bli0IbuGO6
QM8ekyLrD6yh+qvQu/mRXp2zJ0tkpkeiloS1tzBMHKlZi0BfTv2zy+uvW6LuMMyn7rhVlqU919g0
DnKmzZYXHQ89PNjbIC7ch3CZtHtRudm1aUxh64/AhgTmG/k51GrQeGXAkWXR7S7xcVC1IUF0D8Ng
zp2/YHB80dISnopOLaN+yKu8tWJwBo9VUftc1N28eI79LTzULTRzJQOHrQINjew1jqql2mrDkDTr
pJvd1Evisqm3iczFUwfXe1sWAqg0Mp38UR8DCLFmHtVNYiRRuFEjgkUz4PD2urRMr9xIXyIOly2J
VYT8PRBuiREzSaLrsYsQK1ooTr8ZY19Pluwz54pqZ5mc6mFsO54CQ8fz3dSXm7SJMKGlRpk3Hm2G
U4uoQiHVYOtx+deaeKiS1OhXS08W5xAtBJNPgVLhroshMo+MHUAZIE427PwgsrpLQTuQy1PJNl7J
NAqeAnvK9rk7DREVOEc11MLqoW8n+7obY9fPKjwMXsKEtisd+fp8mQQrqnDM9gausLoZYe/4zkLI
DUCGwx0fEjMUR7N9TFxh1CuTJxxXhjWrnZb0+kYv9Z4MziGN18ki8DMoPYqABZvk0qbahYJzCvm6
6Kp80GoXWFqnS3BhNxNHxGVe7lGIiSNUmVW806fQeSWE2fiCDZI/K3ST7sHVJwKT2miOfMV8+S9U
h9mO0Q7uQyxiRvEttcbi18mLlFCJ82y2gsnXrGzZJiPBCjxpq5SaUaeFkyf0qLZl0rrHwJ2cwwQ7
765osnSJH8dR+zJmdLnxp7TGe1a5DPHtE+PMCrTwMz2AGU9hu7hHdOiLyDHEfl4yHvPfKqH/Lxr/
ANnQhc4pPYUL/+ffi7N/wTb8tyyKf6ga//GifxSOZAifwAzu+V8AjZ/RDWV/IjODuUYKPsNw5Gkm
yN/RDeeT4yiDXZf+raKU36Ebzid28rxK2BAXvKP8dyrHEwPyHePHl3Okki53uW0wc8R1PhB4cWGR
J+TiZGWnhBBWk3d6159qhWjohkuyne56rdFuCqODYiajoDqQSUKFRaRYCkWcZM952gyvgLDxPkjd
fg2XYa2WhfsVF0i3icn4uZ5sMd3w9qdbcKyuuHmzN7Dxz2PfElG1uNq6pnmGkGiWV5U7BndIpMSn
1Xr7aNB6fy0d+mn0xzFkBGl6NZfWTVpmw4GZnqTjGPb4YCS2WItkCbwQX63vkpFxW5buE44ousYj
IVpFWtOf0bRxKwqinyYpY79tKzjbub4VuRGdstVKgi4796aaNCrRvqtvzVNd0obg0+HIRtah0toR
PFJvsaiOj/CQpKTIIHvH8FgcByOMPjt2XuMoabvPPX33u6SX+ZZEJrRJVAS0usFQCPb5pOkoUIH+
kia4Fm1QGIh4xz2OLCy4GBcMGKuWDvCL8a0Ay74VY6SdiedSV64ngooWh0OIdOk1bF2tbsCxNAMV
PDha1h6ibzWd8a2+Yy46c5T+f0n4H1Fctn4C6X57PXiEyvqL91aEr9n3q4Lx8+t+XhJc8UkgIQkT
NekEc52Cf3+huaxPDkIOFYGrk/wNSf3PJUF9koBewhWgE/IkJ/2T5tI/WSbLjoOu4zgW9ca/sySc
SM/vpSTbReKHFmNl0ZkK8nGeB5BPWGeO7WwhrtJNLRLU+NCOfStOMTAV8x+Qst+Q6Q+fd5KvTKU4
IlzGH1Yg6vPgJJSprZ62ISPZ0+SN5yMGKJ0m9MRgSD+nv8jGl99qIdEHx/WSyOofliZAwh+kcZ8O
bLH8707b1c9/wPdQm36inD/+XdJhkwHOJlHWPkhqbttCTxEcuR1l9tIV/B36qDGZe7F2sjPPXHcp
txSLzSbAoOZHMzBP/++N9oE+cbk6dCg+IQlolx+5utRhiZiS3tlW8VRvAwJVzhw9Lu9+/6v+yhk3
TelYPHFc5Rru6effAbR4uYckWhJna5QWotP46Jgq3o1xVvE8aMc/OLBcpx+Pq2UIvo2pLGlyIf34
abTWdDEljrsF77M3kzMBxfWV/INP+fhc48ghrTrYGemEk8ry4aqSQYoP3ArUFjaAr5GeiNasvxny
+Mu/ffB4RNssunwfx7Y/fJClLRzR0+UbxEKAWCTvtPCw5xnFlZGkf4AE/8qZAoSkZHV5WgusIj8e
O/IZIahak/0iOvAqY3vhRSQH+GgI2QpJ7A8Y+W95xh/uAaoYxzBMVgTWqQ/nKsYutzQqVFtCQYjb
HEoeUCoQNxmjNvdlHqV+RbzMJiJqbgepUW50kQefoSDISS+mGjuN02zxoA0+E8nYdguE2JVtOJlv
EZZx1UlyiNBZC7fe9wkNFSPPHSSTaokGrxzrcVXhdvJ764R9YTS7bvK8uf798/dr97nLRgvEQ7AW
/8v1OALAjATGqG1I2MI+waK0nwdL4Lm07knt21Q0KPdFE74raOc14oO8G0PT+YND/WvXK35Qogt1
BZL7MSS/SUAcrSBzt1nWm3uM9RcFsKCni8he/f4X/tdPck9tDEPiq7U41h/OaVRF7YjggI2cNuRq
6h2CM8sczlLI9e9/Elfmv16wyPcCKcowaX/8/PPvlpY61w2NMlBtTSIf1ynwBHiLnK6ksKcbW+NC
kGw4w5ROH1DUnPqdI2qyEQsafGhN485tSVmalWI/2faWfdsjEr1aQ+3sRpsEwRUK/nzrtp157Lqh
PNBxj7dFE825V+l9Mm0yhwiJGncyoqXq98KdiXeNTHsDOzlvtZrmbtPUcm1YBOzxi7BonhWWVrAd
O1mj4ujBeU8Y3mVh6VTPbdTa63CYJCWlE18GILiv9ATzvUlsy1pk+EZn19KorWu1T+tOPcXGYl6O
ki++tGa7IsECusZtiJxiNv25nsynzapBgkqV7yNmpUAC6EwMnfrqzqRh+CT7onqlp88s6qguYAYA
e1ZFOTL7pBjmTeEW2S4WXXKriaq+dERO63ZSFbpwM6FuE9RWP+GOC84bHI0ESJDjMOS188UeT9vd
QBjPqZY8Fvia0L5APg/E6tD9bowLlUd+LeIdKWH5rhh0o2IFCOWNrjtkuRoRABKkQXu5DDN5ol1t
b9u6SWECuoohgKh6RESyx17KPjsbSuINPVap+ejSIADtSfu893sZ9GqFFY8RXPU4vLFl4piMRnGM
MO0znaPXL2oCFTlkhuwxG5LIobfF8GCZDjO1cqtqbZBC4T6wbZs7ogTd7t7JkKD6XgyY5ijDG9sy
j/Vg5+uyFgHwdniy5NQLj34vDfWcYM/MpJ+SgtntZOg2tMU537IdTs0BMIPXwE5HP+TcsggNOpBe
ZaHWV3I+YAkxn42oxl/uAGlcDmGNP54x33yO800GZPGYWDnNGe41BURDerG67IH8qYKAIJF8wTDK
d1CBxRWP1bUF0GMjBBQ2VuuILQ5pFs0q0031vuCRTjxChAtCQjsjSJBnqwS3ewpdKNMcusbu7NKP
STTkFgqFRzC0vZULGxyP9SD/bKOFkiBWEpDqmk29b9xceUZI8MsQCATdhfgX3P3hf7N3ZsuNI2mW
fpV5AZRhX24J7qQkhnbFDUwhhbADDsfigD/9fIyqNouMqa7sue+LTMu0TAVFEoD/yznfYbfRGlrG
0CnJ5WsSgLVzuveclvnN3Fj8vpmSTrvKQtb9cW37KPQNI9dnG/TByIjwiAVKntKhqR+cRiFzyJct
HMLs0TZRyUETHrY9v9ueaTUYhm6I9qFn1ny/cw07bOb6uLKqGeVVI1RFZD7PE4msJ2fpfrIy6jb5
iB5EZh0aroQemgLV6Q64WOXKNwo7Lu0JQKSlPbUzQrxkZLrx6ZtheROOAAAzvMiHrEHVW7gsfJw+
r9+JMUY52FhqHzoy+YRx4yUrIKzq21SYYl3xFT8kgWPui5ykS7VM2Q7HHTP6IpMfCOqHb3bUL/sI
8/eOJVC4oYW1tiFqw1Vto+KbKBBBZWAyhsaymQM6Mjni5JvEkYSk8NTjHx3gtCkahT4N46RIntJl
ck+dtNI7o1zsk5RD9J6HvvNkaw/pbJo63komkslYI5O9bXrtPqsHIENezq0QGilueZhKvqA4Rn+U
nVIxvYah7I9ha5ak6zBNVeM4IsXQzc1QeSEAO1fpdQsfGw2CLKpVYFRM3MeiRd5G4e14+rZ3mPIj
adQPdhewuUH6+2POeeKaSGhijvl813XlfCGBTR0KPONggUwkT6WOnvzO1RvM58a6wdZ7wyztdWR9
vmv7eo6jBilQ6l+Sqr430Z8d6qz2D2pEgZiUQOX0NO3gbBpbgu7Vz0ZBk2JQibSGe82wXueoY6tV
saZOsn4dov+PZ2XSTLuLda4GtlsrP8yqLToWRhdVq7Yt1ORVbw00FJaPGkXK6T7pQURspRuAqx5I
YYN+/zWz/qpV4D1SJOnd2GXdymu5lX3L3FmW722UaoE4NsM3kcuzUzQsbSxDxJon+C5JmneS7GFY
884dLBBAVQFpuihqe9wxWU6S5GzDOHRG5QDeHZP7huzoTZCky6kI3Ru40cheQ4PMNsdH3ajG7nvC
gjoOFquN/UVf2IUReKEaX63AZfuvDWg1THzpsg06Yh9YzMM6jq+cCsoqwJdP1GWsQpvc2Ve+k+xk
jhgKsWZym9dwpazOiB4y3u+bjIB3rUuIV3waPiIXHuddMaOXgl+zDro2MTegXEpYSC2fCGYyHVwq
D5UBp5WWL1PGigecH1yJLojkeEiLZSbvpmHhPPT6a7HzZoXdk+1QML7X8AMO/HF6NYRzvy1cyewG
3eGa7cw9z/413nPrlpuwu+IZk5gpWfmGJKE7QhFLV9ao9cpaFATLKs22eV4i7PKBGZZKnqRO5rug
cp8nGyd6GhlPTqUYEXPIX3wDOVuvE1C9CO2aYJX4iiu3vBI3Ard7sH3zIcj7bt9itV1FIKP2TMOK
49Unva+7EcsGXKMrjp5do+9xUbALtndpy9qHRwqLbdlDjRV2hRqzti+jqPJ1Y2bNW8uIe9O53iYx
luLUSJ4WM7iRLw4kJteNqvYadslTyqQSVvPsqZ+y0h5mc7Op14Xs9YpJm0nN6C1bwwjbfVi19QHM
wFeLqv84q8R6QDbSbSEyXRD7l0coE17cRs7MfM4ypmfwaOkXal+5AR+63HXhYh4Cr0u2RhPJe+1V
6ZbEnU8ZdeOt1Rjptsqj5uiHBUrUshjL/TyZ8w7iyBKzNC02Q21+64CExIhlYTmE07zVyVVIkLpp
cyw8roRwts2t5YwDQ7hCb9s5L0+If6PquqrKVTyXg4phybUf9mxXp6Sxy2HbDHwikV9UuwSv2AGw
ZLgSmX8q3fF1kXN7M7fzLTu5/tOrxXjuhCOIWKvmmN7wFpl1v4mSvkcl7nu72uymQ+0tu7I1nptk
YTk5apFuOvIRj+AZi00m4BWlo18/zf083EbQ/3eYp+b9LNJjA4fiyYUzC3Y5RC4GSeyza5Tm5L7a
Ie28hW43psSi2Tyby9ZPbwPRpN+u3KoY+LqPehU/AprWCnmkN06XOZMvoCyHVWuM54xFdlwvatOy
U1oTOik2FcRG2c7YACbk6FM0THFlMwzVIrixtVXzmnn+jcLeY39TJGsycKAGN8ycV/UMZK0w8q0I
Glh45kfj5/tRoXyvxkXCYOztvdMG0PitiVPYmcGf5J7eVWwoxyjASOQFaBQWxNlCGOExaudibaMt
3TvVI3RirEBoX9e0UOumS8WOUr7cYEFJESkWyS6bkLfhkkLaXXsfQ+clr0HNhlaY3M1q8Te60PtB
dE8AFNHyT8txMMbnsLCJw5o01AX5FuEnoNo0PsK8fbad8qbJ/Yd04oTKa+uumoOfaflTqhA1TZ6P
wA/RdPoj7MxOHIUXnHPPujEYqMbEDfTnShrwciMLA1JU7hLlhB/tHBTbFIw5p1TchGLawcCvX7Tz
ySiu2oZ2B4VaFXVcdaJajXiN+QL7/HEkr5enWPMkdfjsdwV/de+lSL5D3jxnVvXmArQ59bUrEVDK
YtvU2VOGdwXT0qMKizcU5gcxuFXs9c2t45f87jZqc19MajPi0L0qUdTKNsZi7eISBJ9uH5pGdVvl
V/eMur0DSu0fjB1w4i1rI+w8SJ3Wauimad0VWbL3LZuETZBxd4sI+p9DVUUMzbwD6+f6iP6ffINE
6V2tkh+lE9CY0+4/Dp17FbQkEMEg0PkfmbbEtu7dOE1qbysjszqi0DHZaqrsWkr53cZ1liDOqnBc
Q/wo1qEVSSyUzY199Yf1zUytIpKI5l65OyOlRehVznzdM6hheMOFXeALtGF6oLpjpdzyfdO3tmgZ
ggfiOu5cRyEFseV3mG3bfqDOb3yqz7pEYuYlPPNxxcfoOFgxODfgRl7AaGMpA8rRzHzvqUHeQRFU
8pBlGvGU2zyZRDmwScUBNRfitbCmdm3BxVnl7Y/AcF+QrA0x3gUJj7znS5PlM2yx8bLAZnueGYbC
jvWqPR4Fa+9qu92IJFtWAGWK93waUTm7GdRaBiLHAOUyY/nOwJmmqG0D+b2xxmnn+j7v1CwU+7/p
zrMQCqPsaTfaqcYv8gmcu7xFCyJ9p9ouptlujWge1jCGbxp6lm1B/3NUTUJxdMWP2fIiBxoMT4Td
a3b1aTRZggJf64duTNttIqAQTultSHl4h0pqBPCumWVECZQcFPAU/TN9c25hxdO22SBamcut6dMc
h418cchh2yAHNLcYxsxNmlzNQ8qfH22joXVpBLWkVOY2bYP2Y+ZNHQMZoAuf+UptFrF7OzPGHeet
eSu6zDyk6OCPdbdvFl1s/Ka1b8yFbJu0h75cOqH7DL/Sfw5n72cyW/batptplyHLeammatg3OOQe
hJjkDzBg6WVASniz5I6IC8cxdmLIUDTXM546sG633tjXG5cxzjrIMLubHbqRlaKaB15tIbc12zI2
xhR/iGnlXIY9M74Ypn5trsZMjIcezhSUZfS/HaViysTrI0nB3aKZW+JMUgoNtMi7qPAcZtUFtRJm
tT1JLh7gZd8/Iqpc3ka9rGmY/E3F7buFzDQeErfAAVZ4sNvqdL7kpsdm3i3FMSBNGwGT/y1jEAUv
jW9cEwm2x7RrwfcL0LAXatwBbslv3FnKAzFQmwb5xzbiRqeXqskMLtBLFbmkrsSEcUOiCwVuU4F4
LRFcTuS9HISe5G6cbX9XV4N34nWWzZiX2U6jo9onpQqPSRglzFzabu3kVPM0YA+swJzvZVNYsT8P
n3PkqFerTL834BtvujlLXqpcf9KOy/tIdYg6UgkSO4cctrVYEp4QfTzZtvfCy/bHRkYHslPcTZ9R
DvcoO2J01d6TPfekR5idhLdnGsyGGtk7uEdNZkG1gaKzzjEhhw2XDzGtWy9rk3RL0+e+jKm00Gy1
4mUqOKaTEjZP2IwE/GRg4pFc+UgJp4UcIUNF+FYz8V6UmQPAMjcvdtc5G9b5OEeh9UhcGdEP5CPX
GIoRqxLhmKvahdevEg2tHtkXA6YxAHHeyHPTYlTzo7k8THPDSLRL/E1ntPXOMIjYILsMPnNg5ccl
WzSNmWxxg1mtikmo+65619ynOl1es1biwi4KyYTD/xHgHqc4iJaYBQFKx9oRd5WTtDHcn/wMOhdP
V+QUBy6/b5HrC8Q9Tdrt59TJzukEeU23bX5Cgp9X+DiZqJ6qeayQfI7O9G0pTPdzKhT2O0OXC1a+
gDghx9fBqwXXpty4Kpi9jRyz/KvlIgtwXy5wrbJ0WB51HQVBXJmGTDahMQ9k1JSyegXtNW6MRdHp
6UE/mnaKOwGy05NcShfJn/dQ+CPPzEiWHzXyum0RWvM6JAx8YzY+FpBeeOhXm1M5TLdhbckjnjGP
MFLODu7VSsMUrmFLB6HDuwg0gESkfchfgqp95oXkU1017SvweufOajGuNQMaxUbALsOZskVqjAek
CIfmTbTCOQ5ebW8gTiJHhAiX7FGFTE/4NfRDmUzdY1467g3iLhMHl4tQlUiD1WIUTNn7SlSEVEXs
kIcgH9edTvBbDqgKY+RwnL8GmuOa6PF6iqGYGqROtx32wAzdJInnybYDGYd3qysxs5QcBqsAFhVQ
ta6vtkaixDtGB9u7fickJ/D8uR3rEIAFQO4aP2zS7EY+6vDM+Z2V29yW94nX8/Qq78E91Ltoymb8
6gwvBBE8N8obL25qeWsmOVMMUQz39WTcMnAPCNBQcT8lPHjZI2wNkGBYfEAMBVO6FsiMYxhccWRA
MjOgAIAbjrryxksLRGtd/xx0eZGtM+inNAjCfydqwN5HE8JryKLDRkUgwgCDjPe0lAn3f13s6szw
N3Mn+K2G7FUtnH422rmNYZUYmrX61L3tHpoZP2Or1TMEiX2HRnbHpNYipCkxL70NgNNBxbBqRqMk
8zJw983QVPGSld3RCXGNDCTwttN0TCCVGTFXi4XlMKs3THXGm6Av7B8z6NVkXRc1qAPnKr4hKGDC
mWyK4eQGctwFgWcA3ZZm+OkXE2kwiy1eGH+Ib2z0h/sU5+5rGBFtxCdPX8zobmtNMrijllOx3xE+
SSjJL1jqzyFL5T7S1nznaczaKzOqkh/MYKnwmZeLU/PLCg5zNTdXSPYAS41lY5BulXYoHcs2Goav
0jWteWNaGEkAgs+sHWuvQRLUOyJ64iwdvVX2y6MOz542uES8pg9DtAikAbXJSjVEmQgQo8b/XRZP
pT8lG/A73blPfbXG7MLGJcmN74sQ8Vzl2abKiOfpR9Xfe0q4uxq14R1jkYA/ugemlZLVFHtBgJ89
+mXA72Yg6+B+eUxnqLrZ9MxxIxuQAcRygLDAmwa0GhDcVZ+bxAKj/6jlUzPM0VNDnh3HbrpgvsLc
A17b0q91M7/oHq6EO5T2NpvytdGXBGOIgYyxJc+PactMiIUOOvvceAY3ma+jnNklY/cyzjOdHwWC
K4w57nZo6bq61Cv22BNoZicXAWufSedABQv6IIecoLcmgX3ZCmE12jcPA1oTyxC3ndurMcVnkI16
xVbFuG17Z2lhc9XMcZhoZA8OKh6EqyMBZoXfboY8Ew/gdWp8/4MPxlDg66tATVKOrvRoDxeQjC7R
KYHjP2Jj6vayTGkiJd1Ku4YjJ4+GY5tkc5jLvC1xNK2wzsuVqQL/lfelt8MV782iwmufHT0NzrVj
qS6JmQI7tnTnfC42OLcYKhxxVxHov5jJongKl+vDskQDDjDFSZwv17+K+1QYGjvsoxXHG/OSF28u
g9dhyYIzG6n2pkIicM/iMzj4tuM8mV6airXvAVKmqnZJnhiqPnqblrClkMHccTA54UyubRPTgPYZ
2o1ezb1VTC2hmoblWj9dYhOeRm7h58QsxFcZNJrGP+rruwYdMysGELN61eFEQRnqmYdkJr3EZDPy
kNdegho1M3rOndb/vqC8u/NEUf2oAg02ooD5OkJIfiXIaKI7HtP6vfAifRS1y783CpHtqjJomPBF
SMLkROs9RC2+mLhFwf7ei9TeKzlMNcLJzL9gNWQaEXZ9egF7ymw3M7bXqI5ns4+Gr7ax22eWSMlL
ndbtGy4HtTF6PvmCj7M8+FSS+6XJ9UuykPaDvJtbc8mT4c1Gd/zOFNj9XkE/iyehkRA4ecrFRgmv
nSkgbdq1jsJwXY6UFod3sMxfNkjO2GBuA30Qu3nfhy4y8q5xng38KAdnNpcbqVT0VlhgJM2gb1fm
EuZHnzGzzx5jEJhzZfKuGbJwA7RV9xYiij1qam2Kal3JXUkBuMJH2mfbdPIeObyanxOk6ovfSHPH
ssEArenJdEOZh1WPqImccU8L8JMHMv+E5N26ggFSTPjoOPDH89gn+qYVpBMFIVTiOWXe5aEJqxCV
1+Jh6cm1WpULSE5aKoaQrt1j7B9UdXDVEh7mJBuOuduKTxKNWAy21oDas7CCSq8AHVeP0K1Bbwxl
3d7wwAhhoUKru5BMJ9sdbfJsx5Pd0UW3tYeGq8mrkjrbD+wPq5DqGwNrdYHH2D2QYdT+9LqxukF/
Wx71mPhfkeuFN8kgxBm9t2HEtjU5X944tD9Lu1QucIZ2fGuQnrwWUqJmrpxA+usw70bcNAq84gqS
pg8w3o/WGQvSx97rUKTj5UdF6ia9eW/IwX1OYSF9Nql8tiKmok1PRQLKVBfIrFNrZuLelRc9quW9
7uF1xZLZ6Ug9RRhTwOhd7/uBsZ4XTX1NduPMhwz/ggLD8IU2j0XWuTXKZgu5uJyT/HaZBw9MC1tX
nhGEJm7RrA0n2MYyWJfMK7YKJjm9dTPBzrfR6e/svmQRLULDvJk6l/w2Lgn71hwDBnbBMCyx5wfp
+yhFUq5T2b+6xMEU6zrossNUy/Y+44vCLUyawVPPgnDZEOsUfFIaueiq83r5KFII2XFViaDYX/Nz
KKTAuOK6VqroUaNzZq4GAEh+HESN/31sIz9bCUp+jPWOeoKryckW+WqXaoOpvdFYEU6q5YeUoKDZ
HMMsobXmPqFG4h2wTLAInmk7jlzm2DN7nOAN3hJJJqlKGFkOcAz8BamIZZ3h/sOpk6Er/Z2DLxC5
LxNsG6KkZOHh8B8erQGD0Eos8NI2YIxrNh3oioeNm+WMznqr+EjAaR4CN/fsuEoH01rjMwSIUyXd
h1wClPKza3H8s7pZTsRKVTjuB/9Vd2wdWGLQvNUyqcu9rErns6gG87RIt6HB1Yu1W6a62TklzCkw
28vWr1gCcUk2B/gJLMoClmkXn9gqAigxjEsElP2HBoJIiWcb8qUIsnqtgLSv2kx8OZMVnTzDjY4F
aquL0g5BW7zt/rjIXt4sC5F57Grp8RfA175prAy2fTt6mzZb0zWLL3JdgCREVZFfstCDSdASG5B2
pBfW2I1imwCgfVFb2bRlb59tm95991pzuTf8wv0wMPasiNM5L7bVfo6eUzw5QQZjRqs2Yvjrdq8R
p/kZvoh1W4nWwHRk/50Q4yp/+KvkJTJdVFAc3Bg+XPcqn/hNsUD+TCAIHQuvPT3LUzrmC4j37K4a
RM65Tal6N1lG8WQCkCn+qarENPvvQWruv5NLIEFhC4oqF+HNH/oebRsg/VGB7xa09HeRL+R+kj1b
BPTwO0eBB0voya4BV8X0qYCbsHMYyfedSguYc/9RChLVwrBm2ClMwu0aFkzwvJ2tooxn32xblyZV
DmOZ2ifShxNV76XvtkflXvFAfX7b2xOrCo/ZoINSq4pHskh5rlABc9ZXBoPt0t7VcwngG3UQNFie
ZaMcCfVR3uM80hx4arEuXe5/FA3Jf0YwDfvO4IFftE3Qgmq5SqXm0Pmbj87+E0HnI/ViZgstFP4T
y+A/RGw1lxIfn0u1joaSvsG8uIB72ngslkNjIVlSC9oMJ2Lvbi3jcsp7MCBRtaEKuGoMlI0rP42C
GG8nUbJj7W+IwZsOZgu0HNPTaTZH+t0KtBqw5mJP+uPfhW3/QWS8qv2iq1CcHBX+jj7nqpz77dLL
OUvEFIHGN6WAuAHkXleE78zZSRvDvTVP/nricI6Xpc+OOIDGn2y8xoME87FXDNw8qym5xRTO2Abd
xn8W8/y/sj1+OdcPuS4DAnH/FAmmzPB8y6+jXYl39MpxS6OzmTTyb17mV/73H/cfXySKR24BHu3W
H9+jYGHs9gn2StafC4HONtlkSslxPc+V/8OmgecZWcJgtpJmTaKVf59ThMKAVh2OpsGO7qolLJHN
cLMIr6nvMHKaYBgSbWzc3HwUQ9k//+eP5hdP+Pffmee1aUFnRDrp/hv3NamJmoEE1x74GR4K2m68
ODAZDhZJifGYNuQ5Ku8ImGjfCGWySFG1zTjD9nRc3MVfI2ZYPr0ims+/fq//9W38z3wbPCH+e512
nL03n3n6LrPfZdr/cnzwk/8yb2DRQIdFhxPRkXD1c1ogwIDIiXkjAPBqglm6qjHx7/+XdwPTP/GO
OPuZweP8+EUK6P+J3eQ/cQNZERoN1Km+ycX9X8aSyz+vp/+E3bR48b8cVai9sYEEHp2nT81vXxXM
vz0vRrD/NQI0gF1Kdk911wavXWClN9CKwLUUkZzfBsP8gRRW/gyl03zHb4HXYMqycUNn226CqcVf
6RnRq2QFcpzAC6+Jpag+WfuOL/97Mf6PHAPwH7g4/vsr8fG9zqv/c/v+Of5+JXKIXX/sn5dhaP4D
uKsT4A3wGCz9ZhjgMoQfYUe+/8su8Pt1aDn/cBEe82jisRQg70bA/q/rMPwHVw2idt+ldfeQJ/9/
XYfRH5chxdJVaI08nVezqSH+ehnKzglHf/YByafiYiX1hI6w+858K40l825jKI9uP+s9qe3Z35z6
WJ7+ePEQLauPIYLPBFg6b/SvL46Nhn1TICrkLobeJ4N/jRnGUSNZ3K+g8JAIWxX2Oe8RbI3UROeh
tViCk7zIyT8zF8wGboUVIRfz7eQByiSc1EOJoeeV9HLn2MnoOiPqoxuHAHQe1QDBSOJjYL9nYLhO
pAi+TZHplTeiDgG7+v6jk11bmNTmDyQOjjnIrKw7t7Uqcz36/Q3uJxZueTnELd3FFgGOYClQ9Qgu
XW08WmbXs0sk+fGbXFL7DOXOeAw0+0o/bKO7a/YwTQ3T6RRA1S43jOUJtIa76QJUklZB/HBW+YTo
gmM7RWjodl6ezwcNwsKJZ4lKbwW/0Sj3LvC9M0oPn6AKIx/VwQAQ6py6xOjEjvFUsktzSNrSQP2I
O3gJv4fXpRXaOmHfO5FFLnr/C/A5GHxqjMX2uAj688DOZ0/AYlZ/q510+lmTwv3WuH2PctEzmiU2
dcOPRrZSryqFPEVagaofCDd7GZn3bEi6oH+wh1PYuCeWyGKfonOhCg7zXdEZ3/3RJBJrJKZtTe9G
MBJGZVRgSFHyk18487DX9TzfjqIDQSzL8jRB99hVmV/u7DBF4FZ0YXtuKL8PWTXXe2fK1GNKZuku
Akq5zuXIirkPjY0e+bp7yv13WHUma0qB4igK6nlXGtFdvXTqHJV5ui0ZZ944RslKLiA01AOgiGiu
D/cWU89NxJ3jkTI3WuclV4AQa6+mhy9UwjjGqPj64QXgDRbuISWzd9UYiAUngAJrkC39i59a4QuM
EfOGjCiuaaiXcAccYiO5zoeUMXJHSXzjLDJ6nPw2Z4k8DmvVI3dxzLlfe3UkPCy9GeSIBTdaYGvC
qpnhlA9h2kfWevLQK7UEkRp9ti7bjnUEvhf1vQhHx9oKxDMmH7HJ8K7siYDdZJYCMQrpA9K6o2x3
2tZ5rm/DJnB+NG4y3JtOw9w2QJp9tf0vDzQbwU+NQfghUH30NAy93a2WbDS+F7k9n/Oxdh/xBtAU
I+DpglsX9zaDmpmTac06MFFbyzBQVUVeQQgG4o50NZdd2h6GMlU/xDIj+ZjAJp4LaUnre4iTf6cD
ojaptFFCR9ovfvSzrC6qLmBypiMzo9z2WB52B4iRHoop9aUHFjC1nNW2bBzniz22+MznvtgvaDNv
OqjJBy0xKFqJIKUj7ZzpFpCvOJleLripZ2t48pUdfRSJkxyY9+ir19dglqMU4at97e1Ls0OvnFt9
f6MtmW0W57pXRyCNtkdZt2arkRnrqdmOCvwqZiBroxA43uOIDx+YR1vvZM/4FyRu4y7JEj7COeyf
UJ3Bqp168wzipX5Fpt49t6zBnygc3EPWA1ITYhmStVdOJZqqsVQ7QS4GsTxNNfdQOVn5f1S53aQn
6CMpKseiCt0nu81btUFQnbyim9slxZIBOnT8YO8u5qjZHnit3tuKsehqyItl0/rwwdi8LcQHadKP
ilFSfqdm12AVnRfAdpYRAchjivfOlcaStUExwQMpiFDjGTlPY3L1ZBpnbC+KLfJ1NvaOM9Ybko6C
6DyIpT5qZ7H6LQMc6zqSt8ND0oXWd/ja0WWUejp0JtCG3rFlsi6MSRls4AEXb0AacNtMuZG8M9Zh
BYp8gXBBxo3PeE6G4JDYkn1QV5T6m9UVwAosJ4M3kubze1PM4hZAb28fM+Svm8lY3hbGovZ6YZuz
I5bYeGhGR/zskmU6IHXPNrjewa2ZI+5PYJHL0K2BPjavXPw63dR6mtMYmG7k7MpkAF7OkAb1PNp3
eA/MzMhIG4eOIZ6rhPU2i8lZT0NWWts6u+JD/bEb3oyGpfEmKIX7wkrafO3YfMRmp+2PfBzgHrka
ftHAVBn6b3+nZj/67B3d3prdHBU7xxsQP1g+a8u40km7W9J58mL+t/zUDR2Bt6kInMdkmZmyMaPL
61XrDt0ecQO/AHzbEpBsphXcRatgx8ewtwZT2JdC8MyksVth9M2rXVteBW1J6o11TMNO/HRYkk2E
670NDaACnDtU1u0zRw9TffDEwUifPYmnMh/0qZRFRExX0sSKne3WLasZTR/LT3p0QrDNLhjwFEzk
8laZYyCcbuvm0iX9CIWd20EYdOdWuXgXyBlZtkHn7twV0+TfWmRpQsSzm3O9SMXTVGenOurULitH
koUDABZNjGacmWMknOzewKCNR9nUIGCByJnXGx2Rph6Ae6ZmFH5iEeS6HdEvziyro/5LLmZ4pzU0
hdgcZrajZkolFJEo98oewl2HZjt8AyCxcwZ/vmTKiu5h56bP1uDBlrORUqGgINlTZDY53A2JiiRP
yDMyiYwopp7b1vYN96lqu+kDLUDJPUPS28o2wRsRq+ETzIvs3GRu58mbUGdk4TabSk4cyGPX71yz
FVQQdoZ6r1C3kxb8cOZ25a3dGtaF0bxz684WhisVGPn9DOscVAlDxyxZNrquazSI1f1o4NAyWrg7
1GTb3EzZ9jnOhzsZ3lr58q5csB/UC4g/txC8Hj94VZvVxA+3aCl16dtxzZxt6wqHNVIIrvmisjYq
Vn5vOTWjaBdgTeuL9tSWYfjKKad8strLhTqIQuirBkNxu/Rirg5hbuh7n/Ub+EMHz+ZKsStIYfCh
vFvZbE9XzHrkz3FhtLsjW3D4GEPYWduawW22mqQQ+2CyzTNQ2gm2LRHfaInYuXg8Wr2mX0V4RNQB
1aG4gic01VpZj82D6y7dqV8GVj4TTJZrTC6JlQDw8/Fl8Hr7RXVIc4I01DVH6NwhEgAUj0o+JK90
U3Sm/6FFGXxzZaKeLU1JGXdTXh5TEIBOPNhUXxt0w+0T8NIeOTfLSpZ0aIEuXS/0bWlKyG1NQNwC
qWx7E7AVsanwXea+lGy4SOxo18T9zYIVWs7EpmTPyZfHA1zEaVRBBwduL39GJYH320nbtcOJXiwP
HjkUbF772XbjBqWItzfnVp5HI8p6yMlte86KWnwNAQvyOCWkEU15W0LESdiqIiP3XR5i+aS8/iw7
Vam7pnbRg8vUYC9S1dOkYZkbC1Rscw6bdZFafOtiYdyNkyXKq3VJQextPXLKHibsDcZxTILUJDTQ
tqdj5HekolkW1NYQduJxnKDRXNlUMxWwnzDSX9yS7W8RwXalK3oUWtkv5I/5L9zUxXS0XOmcmEDP
V2pvUfJIL4OnRSRTcyL4EGU/AW8d5rM58hyWOZGkZBWzOOmmMt5Dpt/zOrkmva6w8UkW9SgSmGvT
OUzbwfRHyYKG2/VIXDxyqGoqniWqwfwMw8wPD96g0kPVynGbyc74aVpFciyv4GLGp0ZzWGbFo7gF
wfzqKNcEllIawwvftrgB01IgR6+d4eDxMCeKpbJP2k0lhU4ynFkTQm5CM82ui7e+Wfglxnj23flW
TF7F2iJL8SQVlEcELEWd9ziYdodI+LfO9V8jir+Ypq8D6t8nYXSZEWON4Iq8QDXy5/S8scdhrHLC
61jbVAegeD8gGz+AlHl1ovrB9hoO1iCL1hSZ33tiIP/GzPnnkPL68pAYQ3zkFl4x848JKrYrG+Kd
MWxkgmPc0KI58+FXp//8Ln91tH++yyuyw7FMXgcu5F+bzqXXk620O26mdKAnnEaRxsEVdrd3s//L
3pntRo6kWfpV+gGGBRpJM5LAoIFx0nd3ybUr4oZQbNz3zcinn8+7q2eqaqaB6ou5G+RNZoYUoZBI
s3855zv3fVE+NdB9Lb9KfkE2NJAwIocDMgMR7FOQQXdcQKFfQNwOz3nq+tf7twwGhGk9GHOzfFoW
jUKaKzJFRu7F4Wabqo52/38e88/MYwCxMMD4z8cx/6P6lXRf/3Lrvn797v9+OPhvn/nXiYzzl/vY
gdkblIS/QzjcB4MKB68SPlJVPogB9l+pLsL/i+Byck0hmB3eR4Z/nccI6y/oJ+7Tf0h6lEj/pTSe
f4iOY41wnzFCImVkiRCMBu7vn07VF8aE93XYdZgQ+pcEh+8rzLqqCbHoqEfHTTwkXYIc1IqTfedg
Ht0WQyzDv/m2/V/OAvYC/7iT4cu4jyiRwLAktL1/+0r/ZkBpykmlxuJb25rG5z33OHsi5UfHKS6t
1zFP/YtWSB7ItiojkrebeqQdgwbDGEMe+F/pjp0tlAX0W99lgoq7Skj6xolEbENJEhoBDkt0XEkN
DbkXx4ckSxFeZ9xrW4eE0qekJ9cypdiDal92gdEaK6HlcRFtjQ5Lpy3dZVtRUAaJOfJmWo5LVCn4
6C2Ue/+sxpzsG9+a8iDj4+9eOS2OHSyrL/BjRG5kzgPJncaBmlGisOoH+8uUZnGVBOqgDmwLVEPa
bLlXhiAlAvuHbQ/rL6Sw8hXtEibLxZ5OQz73N3QJ9AJ4iFJ0Z3P9Y3C9/jiqqXtMnEGc4GRaoUq8
cad8Z7jFeLZCp7JYpYOCKurmoFMCOksAXG/QeYoWXyPKEgdT26cALx/UyrTektk3diMqLbIx2ACu
k21d2iQ2dnyIuQeCqcJ6TroDglT/Ehv2fJzYU4VcX7tqiZewddrxvAxGSuKyE0M4bxvYfC1ikxEV
ym5xZ2xMg7NsY6mGV9kyHfPT2g5dxg8vRTXLT3f1om23EDlpd6Z5aOhK+Ku1NySoy6ZUxnwFmpe9
jrM2Pua5nZC5332NDhVcV1vptsV/FdhrN/1qy8zbqjKvnhwgh8AXlTECxC67UxrbTiiILe/1fHWS
9uBVxtlrE7LntEEJarqPLjC1hSykWAQr2m2rxFVtSBLvXYJc9jl4e2Yg6h6rS5yOSrAqRmse9OhH
etXfijFVNB204NhJqnAuOxzSE8IAWIXtQ5Pnw2cKt3xf9UNNYHOM8LgyjB/uCn7Im6rloUSrEfoz
z1PKY7VjK59vGxTn939Tv2JMnvsZm9EH20wLUJ6YlmvsEFuDKk88mRpQ7lhO+tFsjDVom0kDUGrA
iPnVY1oU3X0CtO6beBiecIUprGHO+uQMUbZtVwOvLuFYwYTC+ZYvafXISDXe2lYqtxUqoWPSUvPJ
hLQdgpWRzrhDc6jnpnkvGIvw0wTdX0EjQ29e/rGBp1OU+uVr5LjkXxNFG/J7sHBNWnWYtL9edKKd
I0NOb1+hf9raTF2p6Us3DkrD97cdpvZA66gJO6D8h45B4jaPF+xkLpoAGHReJ3cjlmWI40rxriFE
CY1Gs7iuyqU8ZGTSoakGsDjaWj2mvWE/T5p0vqp/0M26ooWt5dWrnWWfUdqDXlLiGnvJo88hs2X9
+kibFRTJrJlUVOMZh3v6c6m75A+S/DHwC8I1hb9Gl0XM5uPq2i0gZeEf7LFQp26amms1O8NxBR26
M1xXPfZ82XdlXvQcI3L7spq7/CqDGDXgsv3ZwcF95mSGY+jW3XerHdFQuRlDRWjfSdAQQ8340IlV
fvQcCc1DdiBKEQcvGDlwj4QY9Mpl0zftuIuSfN6BLfcaotLMuWLUGWfXkdCBMOmMbJfF5PpikaM/
JkInCUTVuUNotabNQnmcELMLe2abnEbvuPujR2Ia6pUq1q8t+s6Cn7NPDqn8VgpvfDKsmvrdIhnl
vW8b4glERKrO0MGAlGq6RnZCnkaHnY7asjrNS5l8a0Q1TYEXQyhmn27g9MOquVvJ14mRUQEqvSRN
Lk8uIilnazf+7yUn2ffYVFW7ncehOnlFLz+d1GecmyHO2yB0BODC1n9fOS4zbugvzZ+UdrAhoaAb
/rg9Q+hoWodPaGbjoVH1Y5UYH62e+0NlmMiHsemyFk8xCzcFSqvNonw8PubqfMMOjMBJYUP4dMqu
OPoZAEffnJkMzakXLCW6RnrxuQBBFtF+E65b3EQyo3yhMXT0UWXL5F+aMhL5b2XIfnwWUDBf4qa2
9W5ojOar51X4iiKreq+LxLi2sapIxqIP4BXq+NNKf53fGgyvBpdUhCZsmj7z0jfOiyd1BGZh6Wh7
51UFckC+aKb2bAfI6e1T3HT2c6W9+9CtIkYAI7b6IxZLPnMV9t5xdrMiexr6nokpOp2XsWspCcTI
/NwWLQTZienHHzpMG3Ro6qqPqtX2z2X2liPKN7lf0kmdFdCl38xQwM1ElpkdDE/IS5Q5OtkYEONe
rESqa6X5ruY5IQEAABC890arnvNItd/o/9pnh9P6ZSnb9oCjetrFfUwGa5MnntogiNBXe43sA/kP
8RaRNjI0JwJgigj+HTBJ4T32InKz05Q/w/z2zljG+o3j5HgHGBjSrvtma37Ufpd+m2XGQqBrYDVv
SuRW9jatyWcjc62tHjPcy3eRLlT0TV945rYgfgyolOWLJ1HhKTOEET9BUJ0/i64Rb7Yx2y/1ILDL
iZ6AUVvXCJqN+K1i/nukqmG9ryZ+C2qtOSPSoZvCQqfzvq1ZYQgXHyxVmvEkF6vei3bsA3yi9W83
1dbOm9jdBDiXp7eO5JAM61BbTRtV5fphyUtr2K7rYtkbWDjMgNCYopwS8xiyNTlGfa1/JK4xh3W3
JB+YF/ura8MVNpJEgERn10OYmxWsE/dnmbVEOmjvmJR6fQRDqsKu9XvMzyaxG1Ps7bXOcOtUZV72
GDGietBnZm2Gw+BiHq0DQ6d1PvV1lpwoZ+oQeRYRMZQN6tUBE6sDFMjVjGDKFbe8RZqJsZNHYa2x
dWSd3T3zWTuZLSAbxjvdDvl6iMXOPc9xv2yTeolLLE9IBxsWa6QeyOUoMmvYQXsme49t2q5q70wV
ZJ/7qF7jx2ld5I4gqQUfcOddlIG0OY07tmoOzM7fWMx0V33CMv+KpLshReFkuZ/dNNsI8KZo3Dja
6H9QX9a7QcgG7QgErA8Dssqt6NJsa+dRkYcFcoCH2uCy3DMzUVnY5/7eM+4gAlJPYPpJ54DkWO2l
mXohEN2pfajJOQ08OYqNGEvoZZEplluvTbzYBElJAlhKjK0yMSCLEPR4TnM/f51GpOdWQaibnPri
mPUyu7Gjt/tt1tTL78kqCzeI6zn7ILUrCitDEvnjZ71rB5lpqyaYiayDblJ65M/pqjezCLIuYMB6
km5y9HqdBkDc5z6ICAw7SD07x7Xump1qu+oC89p8YIXaWtS3+buuE9s6TfHE+HwWbnTwo6gtDhkT
ugsIy/EuMgcSxpAEIYEwDhOawR9jH9s3Z7Z66moCvF44bRLJgzuOTZhohuvdEG3LKZpOOaqhLkd1
6uYEuWEc2cegry8IzvqNNTJhYbA89PtJDcYJkO1Xa7Nsa1EBgotereL3WLkxw0VPcvsPSC077dA9
jEu0hAz6qqtbgL7ojcl8Z9fr37jg2nNtzqwSfWPYmY417hxt8UzoOvojC1Vsc2G7jxAzLApod8S5
PbuCU7Qx3g21coYsOsLO4DeVuc8R82/dQrbP66yQ9+rBsh+6yPSD1F/1F5x3clQ4xVE8Gkw/B0lZ
RiQQ7t/+d+eQgAOTpQ0JmGi4OWNCtyRwKynmh6ijKEhn+2zzE9pmS+5uJ8Xkr4FOulVcNJuiwVtf
ppF7XYBwvouxI2dAQVHBkrEvcAMi6aa5uXQyzs8q71wOEqsYD+DWKdxiwFamI5cnR5OE7hTVuaiL
N2WVv43IexwmvLa5SPKg1bm5S5OKZXDqcTNlfVC7SGqVGNbHom1LBs7d+FhTfW0GqoBLsubJQRFY
fHLFD/I/N8MwEBFgI0CP9XKwDSehl1rnEOtbuRNcSMS0xAv2ARZ5B5WOgGos1NnJEVg/MzOFNzs+
52uqrrEbi3PlMZPPM3vOg7WRYFjEZFAykmk0t7HALz6/NrxMO6eKIWF4SGnv6GEyh8goxVKijlEX
O2dvGJ0nR5TeaTKbaTuIzA9dg4VyxNt+HhcXUbNdd4IStDLvjyHqLfKDtgZ7w7CW+hAVSu3zLj15
+bA3E0iAXrInaYZnegkIDSDDTfjpKSpFFnRWps8dWomQnK6aPqsmD0a4JaZdUN5gEGTXBTBTHdjZ
+nCPJ2tNaojVmTyMvEh+YyAHx2gtOf+YT7+zc6yNICkXY4sU0Tgncet/mlhr9qw2xEfnUbL7bVyc
GrzOoTDQ/xSGdLZy9qfDymr0u8cg60O5a/NMBYxjMEqn97yKCH2sGuNZTCM01bXNOSulx+AXetal
G7KEWMJ23ZoUbT+FELTQooG26gz1L4BHWM2d4QK0G397JMPFjH6YmrvPXkiyyGUwpsZrm40G9O1J
bRpI6gfCSd0jNm//OqvZf/GibAixLGaI+ilgJ7eyt72NpFS6zQU2Bp57UjqUGWFucugizfI5m3RO
nVB1X8RhO2Fp2FGAacI4svQ76Hw1TqbNjhqIz/Aw+AO5QH7+LGt8rx4+ZcvpHmrrowV0NOYmTmtv
Zw3qG0GZj9VsikOe6BfPhwRglM/sdDDBivu1pEgRFGQiUBp+dLH/SeJoaLHG7BhsBEWXtyFm1OSZ
jOPy4A/EK3HNVBcnny2e464++l5+9oAQnmLtrGcFaRvFlVccytzbOwvxWwBgyW0zSS+chyLeE6z5
cl+iw5CtpsAqaPBw7GFrkpThRwB66kDgeP7TtrL6ko9utgZA8BUrV85IHLMHIpHtEMaUuScINNrV
oOzPupDl1rjnBgKupmGq2gwwAp6UjafdcO296Yi6vNin7lGMyZm0ssNqY91oRCrfmsYdLiaSkLc0
cxgZd6SZbKW1cDHiKkQIkEcLwgovG+UOE0bzjr22YLlHi7IqZMfl6jfnpAaghLr/lhOAmi2Sj5/U
NrGy01C2vyvNrgoPMhbH2DOrLQf8yWw8MjRFuWPE1BzJXL17/HUeWnm3XFfrDjZyLfOnzd8PpNWI
nsat9N3847XHKfO8mx4ruYsgdoUMw7GYFc12arW5U+RujTarglwQx6AM83mKsp4OR/vLU2lKF86v
obrdQDbnfk4rQASzybc+d/PAnWYfS6iBDKHp5KWsHCdUjZov7hJ5AIBr5D0Yxld8TgQ9QOhwAYW+
YKkN08S+sRc9ovL/gTb/9xJ3LKzMpqYQt1ogmFLh3+0B+u64Ng3oTFBFEcOa29oo54cxnwRdNhg5
bq5DTm6KQNvNfpbdpAc+xycIzat5odxyy237W80Mkyvp7wn5PUhDnKWHrZJaa9dO07fRmtkcaJt8
qZbr4KUT5vJgR8m30bZWEqWNdzv15WOZ6eHLkHZz4NchKFO2uDQQR7ulG6NEMV7wgF9ruw2bjH0/
1mt1adm/E3ZsfXKAw3EwWwnsrBTkw6kl9BbxXrr4YTLldRAWkh01dNABEFhqMj3Me1YIV/PGd7Hp
56MHO6FUeMSso0rSY5nrIJnL11axlM7lHKTtdKdE22QdRezMyB8vquXTaDyHtwcXZQpBH8uXU5Bs
FKt+VzjpNYsm/PpiuM1dQalnp8kt6e23rMZq7Wp7CtFpUS+ySN25AsCE3ac7DVkkcFKrYJQnnAcN
Dyr0CqhMrKkRV1Rqa/VIhLo75UmK6eTkF8M3z82cpryO1cuYgYOYqlPk9/6BZeSDWn2CS/px9MOx
FuVrDPns068GMsN6kj5oODZlo+EIFHqP78BigYuW/ZgO/bgzciVgnSXWIe/FdGvXKf4eI/EMeEMh
ZfevNlu4+YZgfxTtL5c51ytAoPooKH2PCZOhu7rmYqiChlrdrY/aZW9B6iO9CbHgJeOWcaybd5vQ
gEOeLRggU8Ozt6Jh/1kN8KDaZmkulsvEjLYhIgRpVS9rAqMjMld9rdGqMcu0VHtUKhtRl2loR4ib
DbesNv6caX5Q2FIbK0q3ruUu/qZt7PRtIpDqgedsa4GzW1TUX8hewAmcmUy9jmtmeQATdP/Z945x
xLqRbmvcu/hXV/dns0ZoxPz5xY+yl9Kqk71Lbuy+85v83UBEFrayu402WSEZfP5tDlY3NCI4GDH3
PHXyZDB8xVVnETYAcGnakIu0XYA/xRvTIF2eRS1RvvP8TdaE8Cyc4keVxs6VaCtMTxN6uiAr8uYe
jMvP7DBr2yMVoZF4tFzVuKHM+LiIxL8wqRImVK385TLq2vRw3W6VyvRT1hO8AGmLeTiS35lJKvZP
y4o/8lXml96rqxNmMt1s+zQjccOIemyziDQyslCT/DuKsmE/5Lbc1VSaFFT5SPQ6N3K6ml226Vzc
PpwLSyGuvsTgfZnUcq5kZrxHFuv5rKH12PaGEK++lGLBXJfnWJvrMrvonpLMjRpxmGZhnjVR9zyd
VUn0BMoeFx4XyhFymtsDn0KimJUOF3p56x2ikzyKQbV/+qShdIyc/jIT27KvDNt8sshaejRUbe9b
OBr7Fqqjx/K4Fds4Hbl5WaHJizkN5FfkgQ2ivttkTCkufietl7G04lOxWNYrB3/1OCqijqaYUNSN
2bXt3spKu91pE+jdBmiPDmj+G64+wrMXp8X0i9OPSVi9WMmXpzgv8HPN+RuGnOvoI+Jzl7m6ZW2t
AqGd3xEREz9MW+Bxgqka/YqKtHylDPmW+RIXcN49WWP/aiG2DKf7wGtc58OwLs0up3Y+a23yuEoG
X56qpoM21uqrkfCTvMbJAsg15naq0ZbFjAfDeMnXG2nXWPjNAtf24nqMzUgI5dVyGNApsIZl7RJ/
njUPXk4kR9NqDOzJ8DYtiFlNq/tIRdsGXYotDD+feliRCT4vRt9+d2KMzJDj3RkR0Oi0wejg1Wok
jU0cvSaJ7x89/17ukJVFyupZp1nGgaez02K5f1LK/42dlUOYM4LiJNCyCabR81+J7OAy6ddch+Mg
qgvSotvorjcVK/8pQdUYsPiEuzNYPwFm8TCiq73qktq4y1b73GeL8TWpON5Gtf/dH4R3UA3qEqok
J1imgiLMtxswilGRHfVkiQO3Lq2xdUqpmt6yQsgHS/D4VS7Ew1F7xoHGjvDkrngaUoVYh8XUDmnV
RVCo994A32llKrmdrLU/AvAwHqZF+wwxnNekUfxxOSn3TpcTtmqoCUZpxgi/4y9fNMEg7Edjbc0L
FF+wgxGxzMKLaYrz3GcyRKgO4UnPwsIeHiEE2LjzLE5W5L/gu3TOSVWRZ4rXz5SkjE6uv9VD8VoX
2QMyEhwhqnHuTDR8ZmsugGzIEdQc5tthRx4CyyRcBvzVB3/iTAYPUZ/92h4SpgCdw8M8sy8WigMZ
/lLzhqRT/QLexdSyBtREYbHy45VkxvIYhovX1IQZE3NOUHCVXYekj27duq4nkoG8q+eD1iVr6U3G
6kn1aLFGx/9SmTgXOr54TLv3jiR6p1vsJ5+66JwmY0DgXJiW3TuRoZ8SUNmm6ZskwJUAgOQpQoAd
rixYXjqYNIEFJePZNuvujNuUfJZYJe8SCc8h72ZKGt3XIWAfkI/CDdukQe7m3bVjkBrj8Umza7rG
c5JhU1znrxJfawTdi2W/M3TMXtDUQe6t5EWMFnsxHLDmFnbAKZ4cj5De7ggVsK42Dj7cvYdhnW6F
agFE1MJ1gi2zCkww9YwcFdbKFtwJsrDSejfbBEGROzbyCLS8+iGYNfD+jFZ94TfNTshd3waPEVVh
WLua8+3qL0XmBgaYtJ9rTmHGfTg/pTNaxbghk3bjd4P5CfPXeKXvty8rj/I7EVwTCDwRoccdk/6R
cwEpQzw6xXe8nNPPxB3o6xga+BNLoTyX67mvYPMzvXXGd4mH73EiKw8/dc4PgR3TnDwQ4pstm3VI
KTOLxvZfC6H6Y6LrleMK+MW3Gb/AG8HABEjipZfXKpZ1xSTTcWqqQeAOsfSMKrALDdprjcsZBZmX
Og1+bTd9Ix62O7KOoozDGpzu6KidgzuW6bohG9i6q82Aj/j5PH1mbvUT0JURQPH6SVtuQOdJId2Y
rfWzoOBj4bYysNoYGSORfjS982QNKSdFzT/h2FT9dcGNSUlpyk88eLxL/LLZXw1b9T9sVE1uQCBH
jQxrkpjG7Xq3To46elGsrmxZUYYDu2Y8xk64U/Owa9JCPo1oL3jb3ZgHpXX56WGtsQ+GEUGzZbsR
gKrx75OuakOpOBH+IEeAhJjLXZGlyKO6Z6Ud1pBFBKYxc6QRZFFWXAdD6Rcma8muJc1jXfEJBCiI
SmSROdHLvH4ZqBVXaeQ5IpI/ajBF05aYyPbUG0X5Zg0otBG0lAdXEz5fzEbeB27kzayiLTuwUUyN
kyMC045BW3U63bFR3BPlVgXx6n1ViRnvvDbKbjz47XYl1vdYW7X1aE7Jl98z0cPDaUG0m6dvToMf
vHfidps7623EmxZaTelvRpOwqSixsA0N5Rq2y2eTIgU3241t1aRpujWf34o3SBbhtOTd3k+99b2a
EjPUMeaiMRtnnHsCdVjRnexK0nW4a3egC0x2vW1Ez5gyOOtH9V1H+DaAXnrt1oT7d808hl+aEdiz
k0eEkWeVdF5ZNq27BLLgE/LodIe+Un+LCAYEFyyD3I+cx6rryvcq5e5AOGhuMHalT+OM3hape1EG
gCzhALFFUWsAQ8+H3RGh+pvyLHtNRnN4di0WPlurTOMpwKaXnmEwURLEniPC2OZOlkhLo9XWL3rJ
xSGVIzQ37dOggZtig3hcnJrV6R3jcL+pXRqPrXt39jcIAjaNaM132N6AufFiMU0htJDFrAizdJ62
tWxe6cyoUgan23twiq7kRaGxXwCGLrn1nf1bdKYQyS4F1WRQtjQ0S1qqs0RLGUwZSZMkC05XwIDy
wzXInI7NeZel9gImYHAPiHS7c7OKdJePvfmczNa0Z8nAmHNoUB4FVC1E21Rz9JJMWj0wruSvkrEU
dFvsGKymxY3vqkN94CzNVUSjDNiuVShfV5e87KTx1ku1anI7l6os9mxf6AHZuunT3PlpQJoATw+z
1NcY9dSjPTY3I17Dimke/LBBHZ2C6NmNqWR9jquYYVxrArELWauMO0zreUDoxp92ViTIzYqVilvb
468C6cBuMIroYMdAkaG4NNZeUCicQQAdinIZvvIJGc/Wn4wZyoys0nd+vt8BpWR7zRCBq4u9OnQ3
Qdumo1Bl/afpZAkcvxSrzozcvds4jOkY7rC/M0O8NKSnr/aotnOuWCl2YjovK4QCr63Gb8NiL7ds
4X5sWjfbDAmNAbjss1vdeUEN/BT03e5M/d8uSfo8tF7LuDjrbQScnNBDDegoR/488/yCKX0Thcx/
rUaZgrvo3F9s4PyLHMUpJQms2dBvo+X0QG9XnIWiwCZi1J8GC9nHWrQdTPRK8FQIIzRRVn6ffTgB
xLdNubXRqWIUTM3wkxkonYfV2o8xQF3y1nVW84MDymLb+liT0AAoWTvmOS4R7BOTy4LJgC9QDca3
qNPddz+h3ghUPZlot2Ek0MdLyAcMK2kT0O7ubeTiBzQ7YObrsf1gMPQNUM+PWfsF17jq3mwrKY5p
C4t2w3Wafgr6z49hMVnrjKa5QGahTqfXwNUC8w51AD0LIF9Qd3muqydvKVdiND31OJSlu7WaYj6s
VT6tAZO+YSf6uHZ2xAqgyUAiGWH5mgcjWApMCPcGJ2cssVvd7omNFyy1tBZMMeJeH3Aa+KwyDG9v
tNp6qh1zugDFhiDGefSMyMMIVib9qAC1vhVEQx6sYYg/k6Gy39p8yNE6oFph24Pq3jCcad+P9/k4
TDbxkFkzcyezKz0WXqhm5y4P6xS05MaNuQnSamHQjiYY6SDepMEQ1sUcC9DJlYXIp1qV1YS152ah
alW19dz+TybSIRzqqMXHkyFn6PJi3Vq2eHWZ7QepKfy94jTdst8tL0Zh3eRUYXiC3ryx5Oo+LAR5
0e9r/WMq7BaIjjd7Tw7L744WafUfzFSUzyxp/Rds2vrGAvvuyU6qs7Eo9mqVOZ2yziX5M46LMbBB
2L44C1vGxR4+e+bQd0hyt+Klgy+Jkqbbc5Wid0mX8ZGgrGfEe/lFU3MdELHaoTN77wANk7DP2pRS
0tPZW4te5zaT5Kg32MCyd+J42REY3oq4KZ2aoLHXa8cDEVSA3GwE0+6xT/J9Us7JSZagBcvI8wAR
yweAJWU42qWHGWipjswySL5Nm5I3Qs8n0SCcWbOO+WbnumUQQUb+xO+O6gMEwYeh7Gevi9583cw3
nCsAJiO6uLzrCSieZRKWOntK2BOCWR0Ojkfoe+/7yxmMHpPXQlcPeT11QdXlR+ip81PlpswNaKIu
/lIu+Ybmyb42rg/NQ8w/vZ40CHM5xzELI8+Qp6otWdqYXjweskibn8iJYY3AK9xLxynfxOhycA3s
pI9VVp1ErcYzMwE0IY7U2JCs9h2YyHr1+oi01NJqyQBhUU2MgwIggV6pDVo1FzvIHdmB7ApkHRCN
g9Jsm90M2If8R6Bo5qaJ2csmjlk8cUxP5J86ud5yc9Q7dpLmmRDZ3w38ekxHMZnP6cxoDzRI88C5
JQEj2ssJPQGQCD/Wr9MQa4xkEZzH0VufkVgWW9JFGUn5onpuKS6e52HBdUGgzzc01VmySUY9nXVp
9kHiC++P0nb0PvU5ZreVppSJdNTmvPlr+8h6yf8A/7NAtquZGiS1EeaApbeykskxm2V9LBPXehKp
Sh9sAoSBtiU4RfzZHm7MBpKfBXnCxFY0lQPINtfIHYQ6L6p3QGDOmvNs7Zka4h0d18UHHAs0Hd1W
yj6B2L2fbeQ7JwqV+CdDQmqI7D6KstvsKaUJL2kERnmCKncfBX2Y8GnijV+bw7eVbM93phvpN/Rp
6yOzDXsb+xHuxM7PficGucv4dNgcRHXxSmRAsmUtQHt/xxXafuO+SBMaeTK2MrA8lTxPMetzGP8k
cgxJlv+phT29VFyvLGZQ5Ld+K4HONkV5KIeMKHKC605jadu7tueuoXmuzFtRLPM3xizqysqq2Hq1
NxJANDv9IxsD56UcacAJIc5foGv/yPoO3HvH/TkW0SmJNTnStuwe41aLL9TgjBVz3plNVWMzcdzU
QBjUlUhsVusIYh3SsjKm53VlXbyx5rELQZo0u7VjkNFkPvlAviX+WJkXnVHoNBVYoLGjr4WSclMU
BzuWcSRo1LyHc9fiXdG0+rTOTAvYRlnPc91Hz5nv11sYic1rFaUv3K7UPJJemuvXPnSl67JLS/Jz
nxca908CRWQgQMQxioGdNWVtSI2cf/hZA7K5NaLkc4IimN0hODNjB+bbK7oajqjUyHeuaTvn3lLr
V9Wkau8lbO96UlsDLMTs8bKW64pd3wvTsOFARvld3XefvTfm2P9BXLMEXh3Ll7UV65GAZkKfrKXf
0HT5pyafFTMNNjG8qu1mcMqZ8UnvMldYlCHAR5PVseRssEucyenwVK5iQBk3TLuRNIEdajJqzjg1
9hWrm5d+0kRTTD32D6e16Ko8rJ80lYv3ZzWU5KZYq7c84XugnN4m51HVx3qao4cuG7tH8Fb5KRF8
/THJ18zyXRKTmD7+5sAxrlO09MNWFYZn4HwuOIP+G1qxLMusYgH3N0tBttWdx1VHIGyj4lsxLMRN
pkiG31TB/kOivrpNVZR9x3E1PUibpQtzWsSwRAwVnEikxv8/kcvvf9cPX+Xv/r/fIR0/azhjKD6G
f/37/wTy8FeGxz1O9O/+g4IpHZYneJ7L8+9+LPjUf6cH3T/yn/3Ff/n9TwnhWVWwHDYxL/znavgg
Sb6GIe3/D1DG//7k/yWIv/stTOnBX/UgCkAb+HdSBvACS0py2FwTjBU3OL/yHzGnzl+AF9xZGZAD
pKsEX8t/SOLdv/BIcOcoR/CpONr/K6gMABz/YEwhUtGFkIHfmnxF/rw7S+NvpehRRigPC+Sd69QE
E2hBqs4MDdTG+1wR82E3K3btLhfYNqc4guLius24hqhFtIFzayBtmhCxSzWLnAK25qwZo7K9wMEs
Xkg7Nl4lI5tjrOvppsoqOXNw0H530i33vc79rWs3cC6rPvk1EcuZBMyGvCQcEjs5kIRTvK/x/6Tu
zHbrVtIs/UQ8YDA4xWXteWvcGmxJviEk2eY8BBkcn74+KjO7zjkoZHddNNANJPIinbblPTDiX/9a
36o4sqKiCq9jUbHXSxwfQZxe9gd/qomTtMtT3H/t15lpeMpuHHxhQJvb9joJ8bBPoUc/8lyT8t1G
EwbgbVDM1J1WhE/u0nrGC9oXi/0Uwd97lXB3nxADMGLZTvZB7UN8Oxe6RHK2huUjrpX3Y0oIdRnT
t+8jw8VWifzMHmNlAsgCflomcoetR1RdJiLF97Dosn2FX39TOdN1bJtmL8CBblM4UgfCQDEtMmkD
3d0XHwDhppJnfh85VH2kOT50P/8YfVw0VDIV6mcMA/6bQ54fcTNgqt+kqDLM3w47N+PZ417JHOQU
18hNlsXOFdOztWUCd7cGYus1ebXv2JujaBc4tEuw4K4m+GiVjSN70tU+cYln7kjVBLe9PwJtr9zy
l01LiTq2sPesDUY8ujUoC+tuFpx/iOSYizdluTi8DutFBaJnbDa45DnMHX+Mb004qqtJVc0bSmpH
ILUvyPX6U1ojlQTw5lpk2NeSairKDGwnOUFLswirrTshNM9QbfPYaFrhPRwwa/+44sKmovTEvNn/
bNpqTA5ILtMJZ4U6Bj3xRLyDPtuypkfQgt+89kTwsf5mXOlcclb1N5HPXoKFU/0e2zIhWmkqra5N
zEdxiyzffGqmyzeogjW3yjSg0UNlbfNDoDJDrcAwmx+zrGqfBL2RF9cVVrTDDaJuMkxHl5L2JYpu
qwTCKObC9oH1xvSd3VzZbqLStn71DZfsXShE++oGOeVT2q+P4TTz67Wjxueuqrj5xKYEe7D6TZjw
VjIFqErGCZNhrBwLZzxaBspDnIzjdxB/zaNn6uUs8Wryvc31KQgTC29G4xOYZbixSfh7EwVy7OU+
Yr5c62+NqHRzW9rpT3ZKBfgeF0x4HrzUv2CUwXHguMVkv8TksF8RaCWpCk3LhopK3sCwJ9p+lPgR
NqHUsK07ux0FckgY0+eW4NaJ/F9R4SxvY0xGEz43LQfysx4UMBA7z9oPznBIiq5wp7dpyKqdXg2T
sdWNz9PYg9Rmo4Qa5jpXCCYIul5s+GWGgb2epw4KbkC0IKbfDsP6SFfCZOorVg9UaMgZ6181N9Uh
nxE/WXNEp3lOjvzcC1VnLCuGEVIhIWZI7zj9cLkG0XfFbmxbGRkosMjK31qiZ+k+m7bR2zEu9S5Z
KiK0CDW22JYja5o9XZqgRp1Ep78o6ky+LaD0r+0c8vteG4mAaLnO+EoPphAH7ciWzhOt+7eSmAV1
JBZj6yZPMTsRAvb0pUGvoraORikMdwvmS2GRqDUkrZjze7+/05R1AtuG7n42+FFfO2L9W9ZZP/Ny
YJ0MDh6OcFH414mirWcf9pbngNvWlDo42e0SOiAaVDINL24UtzeYGpI3MeCC3lReSY2Bg0GbD2wU
WuTtSyB5GnjXZ1chPcel+aQhAFk7rMAhcZR4OQnXQv90LXiVG6vtuZ9VZhxvMeuT7FBePHtAQjKM
clZHqnjr0oQTItpoWAm9KpKQMTwWcpfbqvs1u+w6tuMUIJeB047doeR+2eqryCeLUfJKEVVu2Epw
nS5wmjmd7JJTXRrn4Ka+sU/lUhFrzWIJ6ljQsw2Jmz0mSpSy3W7HR1P/xl8bXtmmdnai62Ckg4/j
4QT17omtK2DbBRrMrhi1fkuDzsYuq8LwwTSt830OcFKDIc8RGZLa+abaQb+yRg8xYhaxRB5Hz4bB
HMv7xoTVPY2awTdN5TQvd+bz8Qk6NIPDjExX7rp0uJ0Dg8jqTm78XYneLiF8BOK3rW0RXvMTJnLn
D15Bo2E4h29mIhfPAeUAyDGJV54i12HEb0fPf+bZ1N7gU8/umHOcA0GzYDfBiSEkYbGz2hRcrRNg
BoU4WPSQ32RzFLyQXB5ZYE/lfY47fFs4ukHyqdMLwQ+UykUINrzEVVBT9fc+tvNvDWvGHWzAt8YO
5LNpBvfChdvZ9RgQT9or7Wdt19YvfFcTAMXYIUgLVvSc2VmAQS91o2do28ElqNPnuratS1TPIN5J
4mq8Mll+gVgqtjElAj0EiMozG867JdmndkVfmOFlg+wXZJiuoyKc1k9CIRv63qroMHGj9/BZ5Gj0
Sz2eEqGCswH1fxqKcfksEgEhG2s7ekIPqpK4RndTNijQzeinQHrbN8hey3Hq1URNLTHswC/T96if
XeSjMX8Mg7FC3gIG6Q1JddDWGCJlhlgGoOqFu7lPEJudrnPa2wDi9w+UEqDNoXCmcG8XuSAh1tru
uYgbHi7IPNQvJql51stYk75ok1tFWn1vOtgGpH+yFJB4bm3tzpVHlwfQtmY/9OxxtDwwVQFLgJuS
4/sjvb7HvNu9LyIb0SqoPNzzREjOQx0liNOD82S7aMiiV9mwIcEY3Njx4D9JDyv3tgAUchw76Ryz
cArv5sWOzXXVrY4gZSfFrU8lzHszq+itpwHq0QRC/W41EF9OZa4SMI8aSj0EGt7I/9JS5+bFfVVc
0snFeuFJ3uKNoDvn1HYG37lx6/nFWTyQK6RSLnlTEXtxOzD5WIiEfPfZ/vg7k8XJdwampD2MKqyt
O4xvybUbZ8uu88YoOsoElwx27X4ezyqC4nwy+FhfBotvZFWmwyNxOiT6nOqj0UloKDVeZ0hAWTwe
fMzRR59Cjzd8BPWKj4IB7sR9etVrYoh+Qt/Aur3LcKvJ+ab1Na1zxJb7By6wo97QZJW8JsLgvSrG
gX46l3qMZziG+gVZobmojrw8oK/lLuz9GMwXWtO083TLO9q26UKopgx+1i5WZ0RvZ76zBgq1vqzT
LYYnOLpIrsQ7AsgHsBjELmzd+R3zApuHrqzgM87N8MEQmIUHJbE6obsojN7L+DDkBjTR179SuwHL
FGwcb2oInmVGCeC4jB7GzrWOUadVcwnHEqaFLr95efFYJGW6m0Ch3ChAjHxnIzDgOaSKY0UUD1zY
3GBElQ5vfEQ69aVhU05sqhnjnEw2iwLWl6H8nvmRvlEU+T2quvYfh9JvbhleCij6c/FqrVaArY/B
+TOfF2pUchKFW5YL3t0U+hiKusJMP8IUrPtVjctsPuVKwG1OKkcUiH3gxAzchc+oiGkMpPqX48oa
uVwCY4Hj77ShuqNfazkJTq5fluj8X3FM9SM9jDlZFnwCYbvzS95rdpsydY5OrbBUqc45sGnPXhcL
RoaNH1QehrlWnG3J8F3kKnkMZqcgRNYvlyWV5pf8OnxbDJG0cgODGcY4esS93VGbEBIywUz1zIr+
WmiiD4QNB/89qVOyjaMbJrh/IhUofCozVKbFkfdhHowUfQH62iREd3mfC492T1g2eX7q+2zB0aE7
HhpsSLNN0Tveqx0LPW16UDhg79N2ZAdkN5+upc1prNv0tmaD+5CWo35p0eh+dtpTp6LKqQhFKFm2
4OLjMw6JDs0fvZHIY2Xis6Vgq51zEPMnNtYTOwpgQhsYE+YHHW5usZla09/g0SSRkPuhoRpWdNkN
I0F68tvROTVkWLC3w5XYC6LIj968wkMSynmbnWxKGr8JhIBDsdkN4Kuru6uyzCLA6xN3uZ2DhfhC
LhsIHhZpbjeyz8iNQJgKvQqLwoi0/xjzyTyNmA4+wnopf6xTtuFvkGWxQyS0nuy+7S9lIdqXfNLz
meAChh8SbhC4JTCfhoQSvzLYXDGI7F13Ni69WsUke1JJS862LursvayLNmFFkcb3Tg1EBQdBE7h8
H7LsoSfW2RrpS74uJYJZkV2sNoVMP1P3CMvP867jZBLDhrnSfqbLTz3iVgHnES7IWMXcY3/J9MCF
pB5kd9WlGGh3Pui5eRMTqGUFqW2ktSqll6NIsvVQhkB8ak3HW8M13i4RyAd6SK4MJ9J7mkMV3FZp
1BG1IH2OSkgCyN0lxkQD6woccsto2GLnnY9fqM0CHK52TsUIsQNENtzqNFMuP8tQsNqZppIUNr61
NbWctLQ8+Xl6VuhHv6Y4x7fb5jxJrDhSDxpzz7fSW2cKE+IZwns84wkJBbpWL+QNBXZr3epQnYY8
oBu8nxN9wBU3fXcd2M7HkhgsOL0h+oGHJdUA5xe48goZ7Szbdolfgn6CnDQEIyvg/ysy1S2bn7qr
f5u/ClNfYtN/qVb/P4lZ6NgrW+HfaVn/Qf/m+2fyXvy3cIf/9Qf8Q89SwR+u8ICZhNLxhPJW8OQ/
9Cwl/kCxd4E1iH9hHP4lZ6k/XMDI/L8d4vvAAv5LznL8P3zPBpvMHxf4kNKc/4mcRQz7r3IWyjNY
Bc9n0exA9gzEKnf9Sc4CCcQc5STY9vl+Zqce2/B90FFOQIdIv+53KXvKTjQiNfQLNS04WC6Svd7V
AVEgK3TpXcOkdl6SiuSmsHPqQIcp5b8ZOdI3tmCKyZlhvd0zz8dXqDaE8LzWsfftiN3krvbYpZ0s
Duw3knxJtatFWmENqgSnQk6cNNw7/AuoZondgzDByCiNpdaeR3ycmDM+moVL1z7SLpOrRVdTsasc
UEnbZVTjA+MCvhpUHLa3zmTPzklPWXtswadJahdwil7wzA/gsZqmpAXDI/RSoaw/GJLz9L3qgUca
d0aWTNrSHTewsLR/JymYvT31PMqwwbfcR0ry3GId9ONXXPBOfwzDaP4kEWAutIpEu26iaoEtUjNi
A2/d4T3JuukMcqNki9j46Ztr+R3lyW5Ybsfath8m0FcQARz/LAReVJpeXCamrHKAJaLkPRvfmV9Z
5dK4g+aI7O3YdXpywoAoOFwDSqrdOUPUa8j23TqlGG+p+7GuOQGCo15cQIvkW3rx5LS1ZEkNgCo+
uGDK1MuAtHOeddKJfaFs3W+hbDr6OE+C439DDLZNz7rrPPs+XF+XHNOJ7NQhK4CBPHfJzELdtCwt
Ir+hcr6T+b6bATXpODn3hhIzFKGRtkY8jJLn2CnMw3K+F9OErbWksU7cQ6/kRmgFVLdiWdGgEivc
0L09PeIW/Z1x9O+rHMFwxJ11puaUi2eD+tdq4RwirDDbYY4WilYDijtlyqJhcc0hzcWM9cYjnsdm
cnR3UvXB06CmMyQ5gYgF+erKKsAEuln01GVhfCeL4cVpJN1JfnWDFZpZXnk/RVmeq6E9j1PMoFPY
5dHrlLOlrTLdy8VUt7EjabXlY/NY4jU9+9MK/ZDcC0i9hcfSLUmQ181V72tK0CxgPSFErSUKb5G8
u1scMWJDY4a+gSawotjc5KdLlvPIqFm+pMar7gaZe6d+wEsaq3reWCqhu5KM7j0+hmDPEF8/Bq1b
37UVCXMXV99+USDEN1NiUwReTE+5wUUyQ708zz32Ox0E7VXjJ0D8VY3OOUn4dHX2UYtMPula5BxI
OJjA0EYHPyrcvVsRzxOuoiwdIkgqTH+rC38BMZDYmsyh1z8XSXMZmvY4TPYy4qLEb9NmibmPEqCI
3oJItMW6u/O4qdWeQ8kxJL15eKSeChNDAAmxan71PWiJUUC0JQ0PVgYZusq64N6Q1nzFgNzvEn5l
gxuhekX5b3gYyWd34POPTWDjUTVciOQo+kpdrGWxfzFb8Emvm+vGD6gsHhG+bEU7Fyv+30FlrnvA
iDjzLd75Bl+pBaDQIrBFCV3RI9BGHtdpWVgbmZrgsMw1qYLECjY0TVHBhZ66HYMA497sLa8WP/ch
y6JlnxSuPkq5Dp1JDqo9tMan3KufOPezK6JUAeu6Yjigigf7EIFjn0scKC3FhXtuKNh+8ARhvM57
dzeXoGwSEUm6l6yhx1vkSHvrEljcobdjf7QjZ/6eZqbmUhjh6lTouD6W2r1KmAeMbn83GviG3Yf6
avK5vydAN8gwulSi5kN5wZ7mo6JCqMQjmH+wmKgOtEkyfMajV11cY8e7YrDDE58EnoRoTDTwzDp8
GZUT/2zyYUz/cQf5xx7qvwH/+N7fuD+h7dm270rPDmzHBQ/9NwwXMRidZIlN9tjpcPBHYiwZfdlB
3HdVKb+NNXJm09Uo86PUjI0soKvnSlvzvk0K8ZP1pcpu5nqEgpobVAnLWclu7fruQ0cTHFMjeIZm
C/sDt6DTUzEHHEIkZ4+uvPF+cgsqs+qcDrnOl/njHNiVxDGk0JuuAQOEtwsb20sSQntzcdRRN5mB
5oG5Z7oP6reQubzEf8k76iOGCnWVXZDFYtzGdDGC5PDHWxXl3Xkcg/nY83y/XmJrOhQJYtYih+nk
TYG6UvMwYsvCti2LOuZrH5nvKrPozxq58be9wrZS01uIpxwBU5DqPgQT55Zhow5yc6GPd1TLfAp9
VgfYgAAAFlStOBhH0cpg/9mzV94ELkld1eL3tfvB+hUGwXyFULOKMTViZeva1mOe+2TRa0Oga+7k
hWbu+EmP0Bxpo6cmHUKwqJY+w7Il6vtSQRtAVA3vPVBIL5XVgCCVIUIDSYoDtiY0b3s2+8ZODOVB
4VNCunLbeT+qjMu7Mu+1Ecc+IStEJsq9a7KPYWgflSXCm1oAJ/Cspd0R7e4eEzunQLjmheO+gXJl
a54ro2udKrtP34X2nH1ZuIyCAZQkq3pk/5/eJVGJb5rYO9nu5BS4tCBzrJA3NuzQiLmQKug8qc8L
llKWWU03UMoT0dpettUr1T3dznaaj2lEPGxbFxbyoipQzWl9r9nVP6Wx9xnU7vSIKtjCuOn7uw6F
hYbRMOksyjjoGz6HvXCpAR8gR/0sZrd5BRVQI7XmgXKPyh2wFpEfcngoe970wlJL9DtV2s377Pj5
m4lKd3nyopXuMzcBM7GvYv0mKGK6w6Uu7whg+x9jBv8ib4Yew4cnrY8hyeEMlv4w0nxhvKOy7BSo
X0BElHHjSQJB/cT+TJmWs4L2qqlPYE/my9ErQtrCodLcBlPS3vZ1r4ZtlFbxD68M40fbNS52UZ43
Wo+c8z1GM9+d0r3vW+GzzteuulT679xq8b0G8UTl8Wjr4gpKouXwborERtyw8sexIiCFakiWa2+3
OZiSvMBFwuojGwES8unRh3yaqGXnidUwcC+9ppFyju9KEyteTifj2A8W8MKVpR/nOitfOFrcX6xg
+hNXL8azWbLik2ThCaxnDnaOsK9OaHgLT791qQg8RlTffS/Lb/M5l3e1Ww6PMQaP177DBJeWrnXQ
bRQ/ElLmyiPttnrix8ifxbLw7uqUo2lxC/vKD9E4Eu16tCuHXXCT5MT9VvOwt/cj6NpO67yxekmv
koBq8A19SBkmhTR4naPx99D0lr0VYhjITVYHZ045uuCSeMccfukPpAc8KtHUQ61g71C+d3YyPImm
cF+jibgY7yhFMIzMFGex+ByW0xCW8seSa3vHoWS9+TCXH1MRqfem09Mzq6XqJvMJc26mirau9Rbu
ndzMxluMNQsvkaAk8pDKxf/E6U7JltUbatmmBV6E1+c95yrgihGp3sw/EJKsu9EGQA+jOZNq41RR
fm25mb51+1XMWZzhp122C/st04Uv9DW1a9mEY0lQrQ5b0RQU7avTj3NE2GBKy21jtTTbGQ6LtxB3
9pM3hjmWpUhuMZyTi+p619p1blSpLYIcyJMR4eqKh17X7+x5mAjhRxr0EeQK54cJmjk/YSlNPmac
ydGWXNAAHp2mAe1ELBcLZvLlOuSObYsmj6/nicfLQY6G0jGK0G6i1O+vkoyIzjEg7fodvLPDrtqI
7uTBCPtWdV5yMX4VftSAvZ8GwQgFn8VahydMXXwIYr6EADchjwMW0+4W959/swyNOKcE1Zh/pnKk
vd3ErNOpB6GjmhbCZ2On1v0M2Q43tY2zmJRwYf0mA4EVrCsdgMNdZ3t3i0px4spCDrd6wUy8JFJ+
sC+cuwMfef1rNnF+FgQYofKnOn6tJtyYh5zwwrln3vjtpNS/J2UMWpyocSV2Og2mfWQN+SqR5Pq7
KLOFJsFqKveFZeMiXBMFewWdj/I/C68CFYuLue7aTN1jrFKPvD7V3WgEt06/Y5WgR7Zu2M+rXcvl
hfayVDdvpamN3pSgFtptZAEUE/E4nVsXAwLp32zcsQyGjpAFNZ/HrIGjg0yc3vepE1MPJbtwM7ox
diuQ7B1ZHmLvhM1QZNbFSkCuGe85FDLcp9RzBt/AHMwfzDEQe7IpJbipq9kHLBOl7V07T7PYpkZN
FwjPr1S4PEGg0s/loHW676eqvu+BrdSXIZ9YoCyO9+5THMcvzYW5IxQ/nTWOv30zOd1rr2X3e4rt
sNwhx4Jit6fyaXGz+Ps8FpxE+QBhpWyJk20XdtG41ulgOnARtm7xUEA4IsoNPSrOLHAGMvnWDr5z
RS2gaa/ytLBpHeitgVG7DUdKeZP2nr08+lqil0dCztMGU0t3DvwhfAuEPT21XLfYmE5WdGZU8uOD
mGRxrrhvElfXc7lbej6dW8eZ6+BeCyS5nY3wsQVKOh9tPcp3+q/bM+sAcOACo+SoAizGbuuCimda
4gaWAOLBfaitCfFvLDfkY8bPgJran3FTYCvss7BssWIN642V58Q74+yw6Rnhgy15Q2IgdBggQHhj
wLUom7/HIxE9SrUtFrxKNRmzdJOM3a4c0Pw2pApp/o6HRe6sgOR+tvTm2fWKTOzcaKq5mhWyosPW
IvQihKtvQ3zHx0L7wJ7DfnqFsRXl7E5LEn9sLHluNqkN84TnubzWZjLlpcFgSNqPSTg9Tpoiz8oO
SKcVilvRDGW73kvoOHyYC0VmTZv4c2nXXGIYgokI9cTmWpVxjq+3DVviigVufYkvZ74ai8GKzyG8
32Qfsf/50SiubTZx728TXspfHj3qZ9tS1Yvn5cl3hcyOMd6xx+Nor1XmwjVH35/680wwEnBG1f+m
b25mIpbosataWUxbDZ1hN4uoO5jJs8jd0ciuctTrAQzYrnQCxnz2PfmmjAPv0w1itr6+arxnFvJU
w+Nn3MTKvwrSwT3MRYG5HxT90zDN9l2BOrNzYJFvVNRN8zbF9f/YQej8ZEH9VXKonwp7mjmz2SUf
+tpYzItGpo8LohSIxaR4cZU13BW5Oz3XTVCdGR2p+uC1tu/TYAx3OGKi266wvauBL/zzbLj6t1Yx
n+IALNGcTtVvHOzVvee03jMfe27CmXsl0k6eJxGZV3zw7nXpi+U6WMR0SjzZn/s4gRhqZHV0cr3p
Au+JO3n7MAaTvobI5N4gmten3E/9N1Ye8Ucksxjwk80KNXWplVhEftP0VXrpAgBctJER6yqBCY0O
OkMXOfHv0E2+RZNVACRr9jDhoPXTI7mtmTOpbvBaCgkM66elOuq8g3yVqBaOlc53IVwwSifCF6J9
6rZKmvHsdemnCPAwoFbkkC9xtrDq4T7g9FdrneyJqr/iOgozZ2fgm24p/Sx+gLypbheXxJCi2pkf
suhOQLbNyQAE3lkmzA78e7pDkMJGqdWRXkS1/ZM4+t+McX/nyDLFuaHE04cDz4Xw4q9T3p80RovH
bzXyIDmDO3G4dq63tFDW8R0YP3fcenyEQCb4gSADKUk7z31wHksJLel/84PItfPtT7xlfhK8gS4m
QnovXE+Gf6tFbPtITyVm0vPc0oU4dOYjUXJcHljRq+4+DCuxtvXmgdwXSzk+suFi/vPDzBB8Gfh+
J+7wHS8MFvBhdtr4UFLtJzYSm4F+94k9UGHfWWwQjVNclIp45X1ZvIbgYpElVkGuHAfxAV6kYg3O
1PiC/GEdQOPLJ2cYrc82ibh492H8DX9vv64e4/TVpKwjecS5t8pOEQXCwX4J25gPSppMD4TLs3CH
EqvgDNj5tZuYdke3NCnQQcb3bLrqrQlb80j2YL62pklCiY45DqENHeRUvDosoB8MMfhgFCEbN0TL
YJUvmy8lcyBNhVRq5U4Corz1Hpsv2RM4CRJo4Dn27+ZLGHVculgpPYCWAgz+kY5y8eJLG2eXprIE
+Wu9sFMZ2zu7OA7TU9pjglaYFimX/Lrdi6+bPiBKbv3T1wSQDvn86WEI2DOlhvfZ15wgTC3xOXKi
mU4r5yi/xgnUJP89pQ2dUJ0Kz1bkfIspMT83UxvDZ+CFz5cZ1FCm1hDxOrMMX+NLuE4y5TrT+Ot0
E65zTpRMJtljdymfshqmBKw8JqJ1NgrXKSmBT7FrYQocHd2iUa6K6JanifVRfA1Z0zpvZevkpdYZ
zFmnsZnV8JuGHTBv0XIY1xqVOMuT73X5m+cUzbsXLDaOpNnI6aXwNS+SVxfenaHxKTmOLhkOfotu
Xtuo8aufEFD6dJ94ffzbyB7u7b//mjhfov9fviaBHbCVcDyH/YQInb95XHvSA7SvcpwQIRK3jUVU
ux5TvetaOC9VaYdnHba4wgn446tu6/sQL/UNMWCow5Y/Tle+idnQkUeMdygAmABBAo6PTD34RF10
0te2HJphE6dSP7kAejeNk7logOm494Ppnuj0PcD/DqfkKIYbEZYGGJucok+8EPLgp40Px0XnD9Sc
TUj6fnYFRvsJh9p95UQXhX3xJo7iHgWYELsdP/Edl3d2udwymKktrRf2wBPPJnOCXkewtNWhf0rI
jOH+8LmgcnbYp6EJigtGPvsiazG4+9r14mcRkOWOB7a38dRbGCxlPaK9YYe/4+GiL2HbTYeOm4zZ
eWjLIyRBqYa9NxWUQWu7BJYgWh/J0G+qn4B/9XphJrNUeObiqKHDvjtGu1pmmBG9pdgpPVEjLoog
ekvYKrxN3oytYyxrur5NnhzTUhMCxNkasLMAd5kFc3yqQo+vnOuP/moD9QGNlNS8lpHCpUAJU3Rk
Eq7wMnRqzrAHt+BUgn5QJ99uo4doUMlHKdzoaII4pfWmsh4nlBGUgjQk6ecNV/gqxi2RVnGHtLjw
qeTSWVA7eY0PwPpBCXyz548zW2GFFWD6LHTQeRuMdeD1aJuSOKNHg2bGJic5+H3PkbZ4A+Rnbd6I
W6bPVtI533VWVvCsFpve1EHzaJrG7AE4NlBhuJTXHk8pUDWB2dfsGvZjnGCZSkT2rbIJPW5wfKxp
Rl6Zq1TabsEQ40PgzRf76NPiwPdaZRLWav2k1NgcaN7gbvl1Ei1J5z74Vhvfjgv7a+QdGlsJ2VQm
vJAF6+WmWZdI4mufJMzUExf82jPZ68qpRdUltdasmyi6FdhKqXTG7uJXzof42lop9lfO1yark548
gFAKvhdfm67KsSxvU6ewoDcpT2+yYH7evMWoe+lJur6I75amEfZ+Pcd+uv04QcCenJCQxrpty4hN
UCBN/VS/YTKQBNVJugDkWrL9SBbirGnr5l6tXYbrngRsvzEqy7NTFvoskGcEDG/XpqK+lmCt0pP+
0nSnVd7NPfGqCUqGuKOeKdd4Tdv1C+JkbIaC9EpHy2rAUMGhETWl4n7eHTwWrddTwoqos2rvhJmp
e//3D6qVP//Xx5TgYsFDyrV9KaS77jb/dK+wUeZzJNHgrGLvLlb3EFRumuHh6y/5H3Wf/p9tuZ/r
kv/8fRH+l/zG/xuBDYoG/m1W4z+67r38c4fkP37DP/fZ/h+2kA4ZPj5wfqDWEoR/5jPUH5hr+bPZ
JgPA/PqVfy20gz/IXrD+ptFASBGuF7N/5jMcohs8pslniMDz5LqB/ldU5Z93y39XZcpy+S8fCq45
ts1CWxDQUIHL3/W30oI6YUWcWB2XhASH48aeLLy9PXuT7GgTaaCTqV6KS5hi593SRYnkDEfSYNnC
KV5uExMM3aZlIdGSMDDiUIX24m1k6fU1yJ0+SoHtoyyHjIh7Dlb31yxWorRF7PKKabPHaAV8Yuuq
IT1j7d9nXtVd3LRyHlQnCMJDu2NdZFU3k6PScxdHQAQd9yl0m27LK8hwjW1sV0P9vWXbdejCZpfh
Bd57vrwKWFGTJel3SzsuW1jK1cZZE2RLG9aHgEfbzuV2sZceNMxaq9sotsTdYHXx0V2SH5VI02s8
WvCdYdFCrGZtW3vyJ8k3WruG7pMzOjzmDQ9503nLpp+i+Qw41jwsPCFRGezkp9I+GvAsuiu04/dg
ssITq5v2gJ3b3Y2KvzNMsbEPgbgzPKGWHpIfYx9nUWbd+Rq/crZ8AE44W7HcmTJ6mbS8Bmdw45I9
NnN/VbrimNJQRvOftj5dTKWHaJI/i6I5dmwlN7k/43xineKM8jlWuHUgGC17L4cNW1IpBMQteykS
b9qbIHjl7F7r/MJNGOzGjuhJ2k8cuDFWVK4leM9GrGGOFlis6vk4p+4RtD/u8cJc8rbBvbhMHSvh
GIrh2LgfFLYB6Gx9+2GRvnM/9x4Y4Nbtf5S0xcyb2h/iTyfyMZzirr/gqMYZKEb3s21761j0Orxn
OAyu5eTPv1tlEDtQxPWmhop8DRJ2vGmT/B6tMf3ttiM8x7mRGxFzySi7mpVmWhjWbIRySLs9Cq2u
csi1WxELIo2L1cp70tU494vwkte48kd/eQyT+iEP7KMVj8FlKVOGSI6S61SbtSkoj5wLaHvqBL35
s/AymtWs4kcp++G2C/yz5ZDyQWXocmaHnlYD5HLayxFptA94FzcDADi5bGu3mq9NHtwLy/UeDRO+
uGFMzRS0rEporrVWClPPpezqYErC2lsLvQD/puKqu8kG/rG7omHNvcn8/2TvPJrrNvKv/VWmZv1C
hdBIi9ng5sCcuUGRooQcG/nT/x9cyWOKsuXx8q3yTi6LAm8Auvv8znlOy+GYzW2G4DwR/tiweaA1
VMHxfF07DtJmbGQSPFZk5ICVrUlVF21XoUyUKlv9lbTJHyHZhJG1sLXCt5d+6vfQ2WLamnB95vRX
5kENtkwRUdZsWwbHzSLUE0nbRyKi8gEsM04Y7menmZZJhmsLkbVg89Fh5T83Q5gHNEFAjjz4VZj2
awcQruYFwEKcG+LPxH8TM1WKryVJBfaIMWivtSrD1F0EIITYj7GfEiS+XAcBwA3AuQScv4tNaFjj
vEuqyF42bK3CtZ8pjnwr9C7MFoXm0PWgFSOsJaI35rOqB+MDh+p27zYxwCV0v3EZ+1pUefSDhNQ6
6X0KgrZT2C2SBcaBxomCahbyr7xZdqJA3xSrll/jLolV7hDOiJ4ewWJL4jzDAhE0X3q/KgS8yb6v
gItGWnJpMUuJ1xNSs8N+CtfBeZhgOj9g3wnZFQ+wxgl5gA1ULQchDt9wGW+yltnGzqrqJv1c1Uob
rV07gUOqZw4TU9FpZFhdm/wEo6ZrMnTqCuwWF2zLZNlokHEf8jK00bb8oTa9CkE3Laa9pej6M9JM
OBvimpeeEJhA7xwqJlOSAoTQmeJdNhCQdcDomOzpwIHI27ixb8NmeHRoZFzKvBqfHLOvQKOF6ZUR
azz2ooCKjzxvbthbFuuuk84TDhgGLUYjpmdNnd56q4VErbb5va/Uy9LNlwoVVF5Wd83B4t9FMmjI
LyIsDn2XHZu6Swx2zz7vKNjjmd7cYzxIIfhcjHWqrZRw8NtN0JeNPo8G6n6l53naH3hq33eNGOw1
h53mJs7s1Lim6rPz16ltQ6Ci5wN74hyzGQFADddmCj96i+cgWHbY6WlLsbXwDUKjhkwUZTSzYpSO
bms01u6ZBDfiMVqYDQini6TlYdLxtCjBUtwPr0MY+45HtBZHihNYeHGDclqjHkImHmR32TRjdCEU
fDsdGcAzx2ivRnwKOz+0YiJcagtFYMrvlEm1gaGkw5MczPKqVFTU246SnVs5pePV6NdZetnhhH7N
sS1vW2btO7/LbMXrWyZaFsWiVwq0ErzTjXuBCovIDXfZeQ0IKD+kEax7OkbIYBEmbBllICo6X510
qo4l9pavPiHgdoGzxaauValIH9sKFQi6YVHmaBdqnH6NmIsHFPOE6nnSddZ1UWjWQ8ZofRMhV9lr
V4B2PGrUGfBUGMOVkrv1bRFUVHXJpM+/6DYtgh0I/ce+0uGUV4JaMsvM4KbD4pgbmge4AWjGxlmQ
SiU7g+8obkE4V9kxLwcn2YKPFRa0QqWLVyQKHMIynJEWsSRlEZckVfaWloi3Qqm7Kyuhik4t8vSY
R0BaQOn49l1aa+bz1LKCRCNPVQ+lJ3i0OgU44qAFNL6MKTjNESapw/h160MxYqxiajCg9WbXCZ2R
TiA4bpgtejLPiIJ5/jxhw3KqjAI3qzvJuyHUlHPAFWBqhkBWiMNBOiGfKBEHCdIAOWfCrkpHr1ZJ
kQJ8GlMMMMTMJGckfT0ZhjSv6rhLHzMZ8KUrgsCYydedb+BrdmllcPPaYCqO8dAHHK4r9ZagMOsf
VjsrvwK9o4wXpgVF6kpRR04sQxETOlcYIRGPMmzk5ZLMe7Ds+zRAxsaHg6vJAauwCWoiVscoVxju
dHnfXWlAQ4O9KCdTPfZxPOGAduE3LnCT4MsfSqpiYmVsr/0qMst7FKTFQNsAMVVUV4LBKiY0bnkX
2CHUfMpLEoq6Nn1TubeIU9YV4a0eR5vPc98aqtngOBlb13SGZalH+pb1LLswJvAIsFacDa0/iL0j
TKClEsvpKHEC4uwDa3WIDMmnUDL0RmuSXf2ZFADpTiCubB8M9VyOyFFR7V+r3PALnEP+qrGYSEvU
qEdHa6tDFkfBXSyrZoHCrIAMLK2AwUhA6w67m5xPuICKOjpVeQQp4SQbQ4gYLWBwHT7WsjGNBfXA
AnmCaoELZtgGXPDQuBM9gcpNGik9jnAcRANKumUlEHzjDDOWb9yNWhfxMY+jHazcsW1vBpxQ5U4b
HfIK+hS8sczxsPTJZg0oAqERbNNI9Vca54+XUsvcw8jY+XISxWVla8NGwvNk2lLSAZlP5pHmAWeZ
t+ahmsjX5HpzG1gY/TzyuoceJP4LC0Z8E9h6+la2ZYfCXmnVuqdie0c0xae7VtjVWxDgLywK098F
qdpv0y5jgSqH0IbrF9WxtlKlIdaVYc/QDsyi9QaoYOCfmSH9SrKgrdnrB+owEkEQvGrG4nMpR+xW
CpCURosySrNU3azgv6V0LkATieO/sEn92FX484lnFr3fHYMN8NRqUTTDThRpRZzTlPWejsn49ten
7T+6jINYRVSFGL1uftDOuynLC99X+p091ORLmY/Ei2qsiHb/+jqzuPj7qX5+OfPnqwnIe5wI+c8f
X47mKnrjuGa7m9q8fYnnFd5qJk4EweikIUm9JPqSdsAtPNFkuvMXV9d/HBF8uzytk7ZwsTi5eK1/
vHxEWkehCqfZiZppP6DN5kZ36JylBG3iSyrTK6eCCUtEfHxKxgIuBbuJTnVvJ3YX4rTN0DDKzRuP
3GLfPw2Xg00E1TIqOBgq2bHSw2MAxkfpo/RC1jWPqsKefDgkYQFlyz3++v38+QVxEiZoiAUdKdcy
P4i5E/hwOy3acjdFkokatQZgRjtEJmQksmSs8UHqGLu/e1FDtcA0aA47U4ANH76TNWVRoiMSwUWD
6WjYBFezBthLsI/ssfpbOtD8kXGxE/xB418SH3WgwDX0PEUj3vUTNd2Yy9+GRFnT5Nr8xav6+RYw
+FqaGLOZiWNLnP//uztNz6RWFgTDdhHc4OZCaLS9svfXzHb767dP+/lDM0xXcIpkm6gztfrwoQUJ
9cPmZKa7RkAHClu2FH47hMER9cNoaTU2dLlx4cG4LHm9vEj61hCXtCktWIjCt/a0+ys1qJANQ69p
SyqJ/WF92iv++lf96T3RNJ2vlouww9vCTO3H9wQPMxOQwol2SRiq9q502uZyKAYOS3/7Oga3/TcA
iIk5/MfrWFjSSYq14Y7CdxsYOJjAaBn4abo/Xedv6X1/rOT9AGL53yTB/8+CLza3z7tPZUbFfEfA
zCya//x7+fJGo+lL/vav8xdALv/avnRf0ui9Uoimy6Nm/le+qYW28Ym9tMMjXdjC4rvJ1+ObWmjr
n9AKhcvfZjzMjInkyW9qofqJuwxki2mYM+bl935TXf2kGro182GISgIQ/HtiIV+Z31cam4gNYA7b
mqEx+NVt9cOjPibxCeiLEs8ek2kcDxtLhFC+9GUyiM279+m7TvmvvM0uiyhv5H/+PQNofriWpZqW
y+OQC2p8ea0P1wqA9xWlKX04YRwq7e56zChpSOx1XlB24VZP9EUsmv7BNagAnKDnzxhn45FJLafy
gd4NWpZy/a8eMx8UdH4NfitDn1V0/nCKPb1/oPkwzFwrq/xVCTG1SaodvGtSf5x6NObLExZCW+G8
WltrZ07nB/hH/DlXHpQbs1kIvfwmtv+p4xvP1M/vk6MTvDcZ2FG+/BGvAzutpPEg8FdyakP462IX
zHhE4gb+xcATBoKKAiMm7VrIp9a0j4ocytdktug3HXVUYf6scB688hstZYwBz0uIaIehhD0d1C8j
75/t4XM6UhTDTNEq8jOrox27xwHawYqAXggS27WUlSFVUBXUfcDfAOMBPBqenW6eqZWyxHy0LgWV
4ykzeRyRhNTRI657vbhGtSIpjQ+g6jB8jiuFuW7fuh41mPvAYvJWFUdp6VssOV5VP85IQyXkmNW9
KvmBZAJSaW/sy9FLdUG0975ru4euTUqPulO6HQd7J5p7JK2dM6LEdiBF6maZyZR5eHA1Meuy4/PU
MedCQvrDxlVm+3u2qpRa+UwJ0+No9jcZDRLsgNYDKjltidmipSOooqp2reDTIiC51DnvKyHRDVGf
dRRYSOPrgGXTEVwz7Vdl0a2NqsAg/WA57h5jA5Up7KpTE+0UE2hELR/c79gstrXsFxx7eXu4jEtq
uuqvi9okmcVITTG2bUPD2wSq2+YMoMf1UqteQ/tCzyv4r1hA6U3siSCw7O1LwZ3ZAQqADaBENwlM
AKU+x/lMmW340sX+SojXaiieJVp2zcLMXIyasAuS+kCSLqM63zoaLF7HXuOIW1Bj3p6rrlneRI3/
HNiZckYMSiztNrlAtuqv9Qmr+wKuJCq7717iti4+B0ZFaUJZ8qYxwYYcCGX7i8R1dcV5pnhxjcjG
cwkMZmGR2cVaG+7sXtzYAMTvOLp3O3Js7VPf0QXTGm6wwfnPeZ3kW3CflQm19mQ3PCJPxGn0hGiG
55NEuCE22q4hbdus5tjRvLwnUMdvQYGwSa3uFiAJ4tdAiclZ2JXRkfHdhVlL66qeOvu60bNq/c8i
+b+gznTmjKxTf445u2zf2s/hl7oe36+K33/s25Lo6J90V8B9h3Gms119tySaBEINlTGYRVLj2//5
viRqlIELnawmG0LLJUjO2Os3wJn6aV49TdcgwskGDGLZ3xiguR+fvxbUNdYFSExC5Y8fvFpm6Y5q
W7bVSnHMJ6zlC+lw2GPjZS9AORCRrtphHbj2scyNz+/eqT9YI3/c87I9+HDpDzs8PdbsJFFnRwRj
LHBLGNBDmmPKxH/tK4Y4v76aPr+S96u/rassxVDmTJWBJelX/v+7zTz1PbHVMLpYQz4Q+6DywfDE
NiYlR0/WoyzhB8Txhk+6WqVpSzbG7myqDFRz2VntY1fMscQpuI+z5JL54RnjkwWFvqbXqP5DVRFJ
TKoG8a+IDxoc0NWvf3vtD359FxQpW+45XcwXav4g3/36mDaY0TDKZ/bVFFtOtIAWsFXWCORUZyss
iYu+HB2qEozh0iUGe0PE5UIf8P7DdsQO21aPyWShfDrqkyLyY2jQN1hAu7I7Ex5DtGuqhthgz9/V
M6IJuQMhJ+idDdj8vFo4Y7ULKl29VXKV2Qr4ym3BeGykSMmerkYKjOMwWnVmeC1MeM1j/yoT00v6
cNW1EHx8urOCKLmyw+S6TMcbUb2NjNI8ZfCeyQ9PG4rzxmVjZPZZUbtM/rDg71Ck2p0e4sChVztd
mg4vZsiNe1FrxkYnoHBrJepVrqQE8VyuDHg4PeoUCL5QN2JvCpc93oA/7qDHLJiiwr/rkcKul0Jr
I7R40EwCpBEzzSRYm7YPk2QOhuI994+YeCdPuLGEGQxeYcpkvm9k4TwDYaNVMyf445gzGs8tMR5R
iPQ8JD71Zn2ov4Jigl/bNuq+0w7QVnpyERNiu+pIuY6NpFizC572Oeo3QwpQR10OgQhA6VsUxW9R
QF8bkBckeL3q19hAUMQBvxdjuIdn/xQ54b4S7h3EGhIBfDSmHOutJvmBkoqfbZ/58TLNZHWGPrAa
2uIW+EH+FyqDzgPoh9vJMVVCyJYh+EoiEM2b9vffR0ZZWlU2I7P2NCWTCOS5gK5SNbRB5hSbYLox
jdso0ocjdZ7Kc+ibWuWVDt4vP2JP5NjG3aBjfof0cujb1vkyUINxY5Cu2UjTZzjuSvU6NIrkAem5
JYPkq19P99Q/J7/bseTw9vKWRfkykvgRPzc/rE4chHg4/vmidvEWyRBN5hsNdPf2n3/r337k+4IG
4WA+kgmmOo7hEkT57YznaJ/mZU5g9UFOwwDMQ+q3M57+CbXgPc3z9wXN/gTxSUM+cjU0EE6Cf2dB
w+D74ZsJsRMVyrBUsOA4hU6OkXdPyqizKnLVzbQu06JSFkVmprkH2149C2389rWNEaItNX9FYJHq
Iz3N/CPwlHTtp0N1oM9BW0HGpsoHHg70en++v3UMXKR2/N6uNzo8g7NBi0KbaHczrCBmOnQnR+BH
cnesHqcI9AflLkDpjTSkrzGut23WNauOzuNtVQX5BdEUQewIj7q7NA1B9CVjsxhyi2PygitY1/lO
d1JxiCjBdT3cFnKFEU056+Ma57pKpSguAXdQvrCprTPP6TX3NXKBk6hq75wVZhztMbyqZOJpUz5y
8LYepOoQ29LUkIcW6BagaXVUd3KpGy3jQ7jS93GTPvWTGp1FdXTrA0gDXJV1sDut+oXCN3BTehVe
+3Vj3QBnSc/UKNY3A4aTlWpHwGLYFsMWVsiTd+qOpQkMeJFPK5e3jvFTHFJRTsUfZg+socj31G5Q
GFQM6YHwF/Z1mbwxc+RIYRXRte+YIMjJtq1MuxufB0ASx9DklONNqkI1bsQEAneAYxj7ZLaELKRq
TJjw25KRP15a56DQX0WVHVWyrA6pNj99MBTSQBbazp0WTOqlNcrh2gUJSH9VHulzmjeoLlg/2Ww7
mS5fgF701a7HO3yAtASAQi16/6JwMmakWeVAZ8qAx5SHvtSoA8C/EQpIBkCymaME7qXsyKQtrAZe
7TofRb6XA9NUH0q2Tnqb0OAyoOsmWltwkJd6n8SY2qR+HnVK/Kx0jNB8CV4tjxnY8JK69LoKXOeu
xK2zMhtnOOJi6C4aguN8lFhJaQUZHBM2RF93N85c9uFlTDAeWrO37otSw71c9rV2hTnLAsIHRHBp
1n6xbel62mau6CmEbpm+N5gNXisziq8kXKOVodAcu4qjcQyOPS8J6nOqFUTB09pfsO5F1+hzzrax
E0BiSTCsM0hv6cJPumJblXZxluppsw464BNRuzB7nLhKeF/01UDRytidtw3vsSbt+Gmwq/bSBN6x
MMXsFq3zi2bQzuEeUXDXDtNVAmXtLK4U3jIFmzsdn9WZm5pGtklNs+GuxgoBfqiOeo72CrsZ8IQ1
6EbopBPYiMFcCkXtv9ix/9SQjjjGlZGf9RVYiKBkKIhOb1fbVmbiWIxDsc8nyWbI0ZEiYinZauXz
YgVHtfaJ8Gs0BtVqZF9Bh5cgsWClLMi12GfS1erHQYfgsNTqskk8BsZz0QqC7q4n2N7uAHJZZF07
wxmfhcqHdCOdqgfklhdvKaxBdmkE9aySVZLRee1pVRtpDwoMpWEXxrjhmMZ0BNjhliUUmVq+7x5z
UiTx0hyNiI+iwBDbt5RP7SPaP4yFqnXjXYhsx8S3yR7g74lsP+O3NpGaJPGCIoo2XjNu08FVcGRJ
VrbZpg8gH/tN69aKueBhf99Wbn/UjEaeK72aM4VGOcfmYtmJ50BCfbPt2N7IwU/PajaWa9oN6XjE
rmJ5+TgZlIoM4yscPe0prYlD2nVjbgfuIp6wJX1DcVPSN0kh2yLFgjfC3RVV8RYQF0PnsPwvMVHG
bWK301vdD92cT+If1vALBKvUoDpyMwSGKW8jBRMpPmEaoxdNWDjD9SgrGpdtKQeaOSv+6i6IDY3M
TO33qyjOUybkOpu3Zdb2GbylzC71XdYa0EFMHUctHW3BdBu3gtywwWDUoK0A5XApHUGqZG7oI0kg
3eRsMAu6Eu3AwBUbcnaaiHt7OgP9zegW00J1GfdoaXCRwpA4EgkDISeGAZuBCMj6s/Bgf5czK4Qy
T/aVVo/ZdsjOAhwidyaRzWODeheSM9bL5xbfOWzghFvCk8BrcPoQOTwECoUW68rODHeRpaUdb5Mg
78FDw079rIpq7ldJRvc1rBQSkSX4Y8IJdjgZ3lipOR0f9mToK5Vo3UhvqQmAKwmL9FratpxD9bEd
HnyLEMfSgmNK/yYP+OgCX0V96LOwL0jhlQLGii76s1QAnDRMevE0XBCHgiqibY8PyiWWMQyLuOAx
qfYhQZWhpY88rdWXqpmuRcchlZ4rv71Rh0RwFlWkosI/rAljZHlnczyZEuulDmDPLJNysB7q1mzd
hbDKONgmzdSFq7ayJsuToZqywcY0sIAfNH4J4PzemVrT3zRuQOdG0Y3NDaEV91BxD3uDootrTVbi
AQNKxiw6F3tp4twxY1IlfU95sAtWYNFaKGUO5ZqTO+31hhvWk1oKLiwtcOYwl4HTRjMSqPsozMj+
Z3yUeBroIxnXsu6VfCNSYXxl44TKUyoAca6MQA3vzNCgv7Fl03WgQdoKNhGU0Lt4iHneMXFryn1V
uE29wqbRXChIhxTBd7r7UKZ0+Gp5TLtSItTKmFt7O58wLf3zS4uSDQGAuk7gzSaSD5pJU5xdyKEL
m5UDa+ap8hP1ogb8QaebwYhwUZP1ZA/hkuBR7bR9qoCf0bIyKcsioMCKihZT3shJKC/zaZssfyvn
FCz2DrYfoBIX8Cwo0tNTkV3wqsHUhsBDtlap9sMiCVv5RQKnJoIYEAH1fMcV9rYYG0wddWvY4Vx1
FtHMoYY8sK1JUyDXNlnPEUAtcR/mjdWD9tHKN443cHbtGbkrwwo2NdGSzw7GiG1ZTfbnVnRkzZ0T
sbfRZ3ovK9OEmFnB9I1jNXgyZ9CvqcbdgxJhXiLWIeOzTivunB6IhJfKKNBWIObNQzbDg+MTRziE
KIwd2mcp8+vHacYN1yfycNcCIR6SEsNTqGZ0tRUUW2YnXnFqIemt86StLuMT0RhzGHTj9EQ6jquq
faKioEYEYXKhUfyh949jmEFIThItDtBmRECSHu9eO1jhF/yqEGv8rk+LFUR54IHRib08zBhmTF4l
JYZ6K3WvkmL2RRr0JvszvrkjenHfzUjnaoY71xZkhHIGPisz+nmCAc2GdEsgjhQDrQr5GisUHKQT
NToZcPYYM0q6n2s01RNfOsoS+dBHboJpFvw06z7PE6JraN8znrqhOvtYdEF/WxEZWaQQLJbGDLTG
V5ymC1mr1WtQZyjuUxgan4esWPR+t/KTYnoK4WN3kU/9haUGW8KVHb40qsMDT8xQbZdIS7Gh/RDW
dkIf1AaCtT7rILX6qJ243GFF/zWOXsO8NGZwN+NwGN50HMPzZiiPi7N3W73iQZsnr/TRDKjyMwi8
FwXuSevEB7cKt9zWLBfkuAISDxE1v/Ax+3t/houbJ864xCHUzujx7kQhR0SBSK7IE538RCrPZ2i5
k6RgzswZZW7MUHN88fWjHiXCPOWZvxB4JwTCPJ9/e4ai8wRSdUxVBvCmZMamqyUAdaHiD16iMrqX
2DbrG/XEWvetJC090MDVs3WiscsyJr/PBg2344xrb4MTuR3Ul3vgxmNjGM1wd9dqJe0DnXFsBej3
bIbAOycevHFiwxsBmHjoahDjuxkeL3Qw8nx7IMoDT2rfRDO60baYIveA1EcOVi3o0vTiukeKIEsN
oT6WzVwuD7ae1B8Ee0XaIB4QFCjQgvvhYaDnA2wKA9wTWzbtxQXqsNdmMH6vg5z0Rmfegp3I+emJ
op+qBkwk9oQSejWY/dGHK4sINtP3QaNB4g9nKD8PifglRm4/Sx0gPctxxvfznkHy75xoWHSNFibL
4cT6h74O7wf8PzerWERzJUBXGtqeUr4BejuFAWTv+hVP1XwZnvoEmMP7gOJOPQPBNOK3OpUPuCWR
73quJBhaMz7Wpemi0Jw6CzpZa6/GXGQwqGGwoNJFXyPXaYte5OWqoPmg9mlvquYyBNcI0wsjnvLL
wgb7RGFaYC1cmfJgKYt419c4j0weki9uiqBFjY75HIFeeB1OPQzlqZLBzePXcq5pINIU3LSZljwC
uVBv8Ltw/rNZQ867svT7ja7ltA4g8NA4xo1FE0SjYnxr5noIndtiBZOicTxV2fYOmwKKaEeMbMC3
ed1XLi44/OAlTsPWdu3DeOqiAFKZ3kuyntthYnOxJP9Gb0U9V1hYc5mFU/jOqpoLLmb/H8rbXHsR
NG57ac0DlJQPgDbpLr3heVEdA9oLSG3P9RldEgK8JnVFdmnsbvVe2Vt8oD7Hryc75mk7uAJCUTHd
vZM//kCp/mmYS7bFcMkSn8Im1ixrvNe6HIM31iibaZPUWnxV9lNzLkJLW05wRffRBGRPy+ni/PVF
Zz36vV5tMaGmEMx2iMrYumZ8UOZ1clmTDzhkQw1OemSX0VwGfl/QPhGHt+VUA2YZR4sBU199+fWV
fxLmuTKyicY8QFBzKT7MrksTBAP64bQhAUbWxbFFh/XSUg71aKBY4mvL305X/EeK+wspzsbKZOm8
v38uxm2KH5S4//7Ed7+FYLiEaU1jHvRjOgsnBnw1anQ1qno+DJdMBDfEOXrLsYqB5eWr9dtwSXxi
xuBqKmkvDTuc4/wdLe6nLxK/mGrBxXdN0vz4+368b3SbCZKZ9v0K82DBaIEKVh8TBoSjkOBwFg/f
vDx/aieYNecfbpnT9bigybiN9+PDfUrZgEyYrfarSeB8m0TwtZuwepDjGf5ymvSTccFUTYfYNKMY
A2Xzo3GhtZjoGYTDSYWplD1kJq3mGOq1Xazr5VniB91ZOxFCS/UmXwZV7b5RQNVdUiiT7BBb2GJg
GdX2HExYuJJWgoVM3KB+EByySBE7HB8sK9D2rapLkkjwwxZSsznyxoNDL1Y2pdRB9EbxRZkTquwv
tduM2D+DejuqtAM9sOplRCsCrvVo8jk/2YJFMSxWDPgIGzsybb+2hOW+IEXQNpBj2Sv8dLp0K6ab
HkyYYFN14EUJHXVXMRSWQ0UXU7etRIs1hLQtv0pr+/6Dw/4w8nQQHLYXBakdMIinxxkismJvSlBx
hcfBkWJAsj7B4EmBOOAZdld/zWKl3tvS2tkB3wcNxWul2PkRIs/tXExdLulP8Pcg8qZDxDH7chjS
4xCSORG+2jFNKh+VLIzZn+pXsQCpkcPxH3F9QLbUQ68q62phuEp9HEN8pGoLOtQnEuKlGv0aS8Vy
qDFOzGSlKUOyV0b5GDE287JBJMuRbmnPshXyz5193uRxvE4lzLkwKReGNjQrU3FXiEHjJgno/qNp
VOrK9Vh1S1PjgGpp6FAOPijGMO5Or3AhJKyRC7+GlMoW7iv4UAhybcwfWNFsFWuDTBt30aV27hWh
VJeW4OK6lTG9c9SrvqVLqC1qbp08eAn05CzL6TXTreC1J6HhaZKYn8iVDS7PqyKBkze/o4kx2whF
eEOAIliog/5mtkjdib2rijhdpFpG+nBwPPYEsMOkceUbCaJcpr3FVrZmFFNxdm02LDhfVQB0q4Tz
Dqelr53vnDN//Eou+AiCbR+UibZIOn+uq6huAkQRDlts1gGh+cmmMejmS+toxaiZ7x3jVrZrROeD
Y2yIXiXu6MuLquG0TPts3sWokAbwPqNPD6o7fLGoA8KghSUpyeZjyeBA1QGg53VsBFatQfnQ5OQz
zRQKYCucc30MYXr6w2voy4cBeQoVp5e8GUmESYPGdCM4jjHtdjhlfa9QpL/QAUWNCQ5x6s8PAceP
jVXrjwnCQOgTioFNT6aij159U2xihEUvZb+7QGbzKOVAlVC5tNXryo6alm5ZSxPoSRxekU1wF34B
gEhJU0m5ETdqUunTLbQsVC9p3/YqrzS3s2OX8zkItXxlrlas/llc/xfzhmZBs/jV0nr4Ur+kP6yu
33/k+9pqf8JcQZWcpjoOezCN5eS7l3FeJbESsEs6+TZsFqLfjBv6JxugO8BG23DYMM6I0+9rq/OJ
MRpdUq7GouxyxrH+ztqKC/LDasfWzMIvqWKqE6zhFq/1/a6Uh5XSow+ABvLpRPQL0s8cilPoJPxC
xzwG/+Orrc7ZbCq2aobFvUAGShdO5pZnYaI0D6IXjIhyJ4wfrZJUBvJNXuwooyct6oJqtr0Kbid6
BDgWqJ0cojvL6qNjTcHiZ4EJ7yBzGFasURYjrLYA7rUOuJ2jBVE2HhgN1r7ck1FJ9i5mVAdeLg3e
cjaY2dLpHPoCHIPTotekBno/wL6BWbCS2IAjYhAKuRYOR2Y+/mGSVd3unVC1HuiG0R98m1SUDJX+
glBbGVIZIRXPytWAgbtDnzDHIcBwTtq6VKsm07nMe7rGodZFjdeh63V7yq9DddXXfs0ZAungRs17
wssJz7R0WY1TNdPINZeGBbLhQEwSMnsXoS1bwschSQUekwJOqKzgllxYBNjkUbcEVcy6T2XYooS5
BM4n1gZiO3ZQq4sozsqvFcUSR71V4P2q0VgzZohVc8sD34AMjWcz9Mh+jzf9pENR9BOdWGjTDCko
5KiJifgC7+x50pTJ50SBtLUbtTbl0SUTLiACy3mci8ouEkwMWz4Zcas6cbclgjqe0ynkXursx/DY
MQ4ZVlKqxR1bGIo/pjgb/I1FkcEemIRK4V5XD/dqmdhMXFTrszo4QHpQt0ymZySqQZNDXM+8PrbS
VWtK/YH5RPvgBKbo1n0qpMOanKntTOsArJW1+Y0IES0Z11U8KctGI1UCMzIcFyDUhyWDicFZmo3a
Zau2NYzrGOsdTMUqumIWAy6u02LrM5NLC7cLKg+2HFfvz+O0Cw9uYKSM0TTri8hD+HP+ZKKrwzQZ
eAv8yd0JpmnjknGW7nNG7TX+nmY9Vzb6vpcxQ04W/eRiD7QyUYp1r+qTuR0HhXzG2Ea+ugR8OXG6
7Vr7qcqDkBmgYVFRAS8oWYrSof+aUxLccbWs26/gxgbAaJOZ0zymwldf4PKDFwOyo137DCbitWrk
/lXWDQGTgTHpIZvywrweEJjG0GosAZbrTX0EsZ28tZEI1J2TAQXNMQZS1JLGRW5BPAwd8m5GkwEz
iZylZACXgOFlsKjo8w4rvi/p3E7tdljlbd3bGCottzyoesUwmURgSnN0vFWlGt/neq9usEVBd4rE
dGQCmR7GsNPXlJb71QKrrN2fUXXZaPM+p7ive2PJsNHYamZH1NI1mjLeCzfLb4IwXjUp+PcNwWQ5
QTfkm8JQCg9t60S1R/eX2nMBZigsqUpUvpJ1m456p3WUGNIA1e4V0sTjPf5x5vbVOHb05hn0FDNL
IuEAmqsGxBPReJ+wFivMonvQRa8JFh6U6qCBM9CPaT5dREmqjQuNW6ZdY/i0EPUcCJ0jGEHiojvq
s9rpwgjacTpTyJrfNxi60F6MxsTbO4gR95MZ6q29RRPnMc9SHTqKFyTkg5FdqhfyghRCOTEVXGhI
Y1F5nMCMRWm2YoEJglfr/b/fnXVJNpSXUu+ajVaWyfqfxf1/WdznczChl18t75s2fqlfmvc+lv/+
1H9Pz9BLZnu+iZlSPbVlfFvhLecTbRzkjPTvx2cW19+cLOITZ2p8l6gyDuvvXEv7fYUnrkC1h8Ec
FX8hSBJN/J0Vfl6/359mOcEi/rBhQPRnx2B/kGHAGXUWRm979X/UndmS3EbXXV/IcGBKDLc1z9XV
E7t5g2h2k5iBRGLOp/cq/XZY4idL4QjfWBcMSWSzClVAZp5z9l67ExQwC63n+Vtie9O/GG1+L9JN
+ku0CZB4+57Ndf32Mq1netkIiHbtufnwfTCNYAMLJlYcsPNhGxMH92/eiN87W/dX9BAyMorBIcKG
/NvBpdQgsPLIW/vWFDKFLE3qM1ro5chZ2KlWJSFzT0HP8LKLgkcsyiHBqmGpv1ezY21NGO8Hgnuc
g9UM9toGQA4yvRjPZaz1yWIAc/7TXfM33T/r97bC/f3e2yh3M5KJte63gxYpffk8TpVPAVSXX+Mw
59jKLX7NwypcZQYlwhgDd6dqr79UDTGgn4LxdY4zbBN97f6KidZ9qeqpO8QIWX7989uz//M+4e3h
nvTvHkruybtS7096Jz9sTCLNZ2/dW9I9p0Aqp2Uqamflt2NyBBxMnYKSpj4yNprWpsE4pQNWC0HL
D3bJ5Prf7Dkur2gnjpYl99B0bsC62eujoQ8Sgh2H/B02ELZljjYPBeG/P3ogJNtybuTjP1/LHyrW
v97zIAN9HiHWSxcN4G8i3SDVo9n1DkkmfZFgXkDRhNvWjleTRPU4oiDJl6VjirVRt+NX5Y1g24uy
CgkPLu9yAi80bv00de+eOxBsYVnVqcwN8TaRa9G2oMxVaq9g9xBwURjxtYJ9sidRElVYnL1LAVg7
jcRbKCD5dUZPt3u+BnM6gAr3yj2gC+9ilVgVXCPS+MITghKw61jRhqEgnRlGhet+Dhj6F6NzVpDu
vwJgA3ph9Y48wrjV5y4rnZgoe9sk6NmkNMxsg1iZWk/Z2z9/ln88uL99lnSQUZjTemPGR7nxl/tC
+iUK3HaGqBw55bU282pTZ6N5Ql2+9R3rl5GN07WHpMpglJ5SuetVMf7ymkL9cBFynpsYmgW4HBs6
Z10UK98AVrKoKt9aYsGXD3VStzt4GTGpzbKcv8J+tJ565A5H8A/Gm+Xk8UmiOIZBB1p3McfmdApy
dCYdM+5/uXFYWX9fLIM/TK8O3Ub6cX/8/p8eAhmYcvDvD0GbN8MFgs8d4WYb7l6yrD8YMzFEDc5G
Ej4KfVOk8B4dKThMY1WTO0u7wYtoxfxTjbH5+c/fw9+srwHdSEZ3/GPSt/vr11DEczmAQhZrtD9i
STvsVzLMuHoYV/jT8C8d0L/5GOi23g2aqB8tlvS/vhgJ5R5jmk6smY/5byYAmftTnF3/+ZL+ZkH8
y6v89pQWQZZ6raOgbDpp+tMkMOw09wQ+4NBGX//Pr3Xv2f52F1OCs0ezo6Ln/F1nzC2ZSWmDz6+E
Yx8do9RfmkTok6sc89GeWpbdqh5DWooUrw9hFanVP7+Bv/lIKebxC9JVFnQUfv9IjVFIzGBiXcAK
e7XGBudNpP1/2YXvEV9/uU40qxwcUEyxhNtm4P/eK2fJDeYi85DQq0fZ2tAkzHmbpcNtAkMXpleE
70tnGr/uuX19UhhXbaEAYT8B8OWM8yrs+xbFk1vfvFaOWx9ZKuD7x9aW0Hxmil1JdxYbQLKXZNPP
CyckT4M0xJ9ZnC7/+SP7/f4QzBCwerJTWrgNmWL99S7UpKQ3vUfGTcO2AzUUxBj0MkBNXm38y7fz
Hx/b3dPJxmd5HGAsnNp/falERzZlDt1Yv/DiAyNUY0fK9XCMFYJep416iBtW+C8vylHw96caJyXr
DcclVlYfX89vX9dod8ImZysiUXokZziHBR4HikywaXzDKlciTZvaRyNO9yoe333GsRsfQPcHofMW
lpHkyNmH0ApaLE7kPbRSEtFgO+jxlNwWHQTVNkrfI7t9rwcIaTSIFxgSWnj/GE0aICsLH0q+yAd3
gZ7ZfAhpCiwbYgOATzIdMGBSLcCZmxtlRQKRLUogmhAnaRsFYTEj9JHIJttIljfCJHArNjACeJ4I
ZV6y6O9zN3gibqq/au8DZspXBZz7WulSrCoh4jfwZP3VaDJ7M2ZtDBc7+0MPWy4UMk4QIXRi0McW
2fusDWs19agNSM5uhy+7CNXWTbBV3DHc7vuU2iS2muWzlMODCrY915mSe/0ZpUKtRYRpMjViIi2F
SDVtIqE2oiH+rUKYvZsIVFraAJYu6NryB4uQI4TaWdOtIYGz56re/kkgWXAu6c5s0Alaq4hyNlqG
yKPWevT8koQhJ/+e0x5ap0xm0C7MsFe8J4FRdtU1DpqGqu/dYqmbZD4qKtcbhCESq9N5PQGFgRxD
96bSmFEAEHrP/ZAvZjoA3WyHv+bROeHTf2aM8jPjdPma3lWRjq7KdRgM38qkObTl1G5aJizniCnB
a5NlDom1CuzmLOuSv6sw4InqEJh3cytD/TrFfXAect/dEb2tCPmMSQ3NA6SAltENVzXpaWvpQjx0
RH98VS1fW69Q6hPWBZx86MJtrKN2Z9KzuDEzsN6qRhYoeBxkxgQxbFKmSw91XcqbkRd3yy3CNAHA
sJlXIK/mlyLW3c2J5v4FFmi4bAw1A2+N5FbWRn4xZEO6/aRIDuKgdemzJllm9C8xeZY+r+zJS6SN
fg1vChiFG1gfRmSpPUoecbGRLa0Svr0d7ajulvTFDzX4hDXcr3A0hbFV0fBgxu5W188m2HH6mPO1
ieZzZPjtljDtES5+Xn9GkZU8Q3oiK4zmFgfwgLzghlGb4Rd61eFyWiHcKxb1FIub34zJJb/7fU1J
+EM9q+pXYIL0Bb89H0qpymslgp9JI94rkznAorVqggIVHu1v5BHXOzcegQrPmDoTZ4IA1iYAjUay
RXsVf1Oy/SbDkalSJyz1o6it7jUOcg+1dVNuQ6jdaxlVsLnRfZ5UqaCxksi0y5QsNsqAGCcIm10y
Yq2wPFXGGWIUjlqYXCeVV4+ssMhxymYEb+N4a/5UvGXkeora4acj4iMZ5mggs9CrcCM7KC7ThD+A
ivhpgPWzHlDub3K63NeoBdpq1Ubw5PTzjzYQ9WOhRu8qelYFnkE4k0467ItSPGhpOrc+KflObKIb
Vkk79gfXwvQbWl2ySUKSfPrQWU52LU9+do+JdSAsxjNzOhKQkpeORFn+n9RH02y4wLppl7NgdRRu
O7NBNIDrrCT7AOnWn4ZYjBeml8VNEOp17vDZroG1dKukIAXXTd8bBJab2Mto0BoFoDBT4RiGnDcx
XL7UOWOh2ZjsT2ckPGIMmmzVhIm5SvO4ebCNMqRdSGnnbZzSfXWiRrAGxmjEEmIp8SZejc7sH+No
PgKlW/YOcJM8e47IwuaKZX5zzMnCwJvaXyYim0c5ZJz0g1EzI2qBhC1Ig85WDK6uis7wCqad3jWT
82TBuRcVkC3EeAMBYf220rIng8L+UQ3NMbHEigTyH1VKBGRaDe52lJ69VYb5VDMSbZNpOFdiiE5j
X2do0EzZvnW6tO5O6wpfM+XZsCDsyt/M2dxRXWt17KwuBr/nAIDK40uPrJ3IstFaJqOj7aVfT/kC
a0a/7NOwAjzZVu7GC8mJw+1w4NhRb2va8cfaMYYHA+Tg5p48f0pqcg2FBz/L9ZpbQuIiJoXQ+CAp
of7Qysy3VuSnr1EVuOtuctMTYj7njXfNCLrPBdHRKRmaU6C3iSeTj9AyskMTQF3yPXZOZZPEnpQy
3A1p3y8lqrrTXMz0OmEo7qUjUpZ+0axylZvnYpSgJhE3c4+rm7J+kWrjVAuPoe5z0JH63VqJpPtd
zI9enAdHqYqZWAg/O5quM69dhInfKtRkbz2stmVoF9bjFJOWDomAvTCBeuyqLv1Os5e0ZLdtNuCp
/TcZm+Y+TcL6kDkx220yP5henqym3Ikf6Ox0a5OrPY3o547d0IpT5PRinUSD+WybSXor0s7Z45cP
Tm4Y9/DIsvg8lAH/1obDpfGzL1k22TNhA0wPaATvuEXXTd/+CPAtbaqC8yJCrvvqApYMdVQhOfdr
35v3rXu3baiD7K/CTNdl61Xw1WFFxnIKwHRLL1obfeCfHfSIjx2GpS/05eUbjBUBfNN9hfogVnVC
+7VqumGLaUOFi053MHVdZqGG65UH8BEea5irNq5vOKvUzFroEap5MsTgmveQohCrhxTJHpiW3Jgz
aTuF1dQr7Zbc+FGniLSbKs/dY2bQe8C73wK38x8Cfn6BMsG4VWFWnHXafHmtDZeL6G1OwIWqnirV
X+7IX791f1WBOoDxjx9IAvBoxg75Kh6TbD84fM6xn5Lk6szjgnbUuY3leoijJQe1aKOicpQ0CCD8
DYYVXkcr7AmbbOMXSkyPVM4itWABVgjufThsF0hZ0auvfOuxLDvzbHejPDhxPJ1R8LdfrUhNovaa
JHkeK96MYbripzOZ4WdAKhsw3TRb2wk/Z0WBgSCuotufcujbRCJzAKxOzvxhh+SFlfh4aDU7dbVW
oV89yopslKTJALOME5OtzDEkYdrBAItMOnLhW6n1YkScSbIEP9WqFuzXA+0fVBdkH25x9bhslX0T
PbvS6vnyi5Bj5FjG27lxoJ22UUOoGmMVvUhbu3i9677flK8LsOtoEsAOJAzB11nvJHTz6yy85ElO
hGVujCuHYmhisTHEe9ywBfkyKt49GufbUBi02/ORvLVxLENcOo3kzcP1LjnPZM56kMRIEJJq6OuU
06BcdaqVVzkn7TkbssfS0z9gBH/rS7ffJMlsHxSA/13f67de2zzQGkrenOQ465hurgk+q8jLZbvB
nOtzulUaR3vdTquqJFlIFkF/sh1lbZKoTza+k0WHEqlJvFBlNO2HBOpw6ayysgjvxMt0YTklyYlw
HrKjMaXytYLY20df2vUfg9F+VsHwYTFtQGn5XeTtWwKyfFfGRnlrBgIzW7Pyl/h6/FMxBHm3Kuq0
XNWmBXy41sxlSPRTK59oL3KWjd6iFWVzTgpEdQ6F6p6MNs9hvwYOsFRp95e8SmN3gZ9AfExjhVia
t9A/NJGIb0U4PUVT6exg8lbvE/Y4rGCj6exoLY0/QWR0T7q85/xMOFNInPd3lTGjuRdse1+Ybgli
KAFzxPhrFlHlyC1PckBio6pvQZyNuwGxyntVdySpWljivTquAGmEB2i8EjQlDZeFFRIUMTDj3fui
Gl9NlbLpBMEA6JhMRLIoa03NyuCVBKjIS3/xM9W6ACoJOXM2cBtwjMEyoJngHvLxPlPJ4vbqI3ZN
1i6t1rUil/AEMRFSfurV/qbIEn+bEXHPkuvWDvFYRKoQTRQ8GZN/TzagafiSkNhKrp5vHmlR1FsV
2CEPdx9CRoYv6Ub6RrTYcmBs9dXRdNxMTmd+8Azb65mEpl3eB/rBGMx+TSBnwTG4V/Ue6qRxNhMn
QsMzqfxM2FZ0VRw+mAiD8qitot72UQCeEW3dsYyDF6KDDkDE6h+6j9MteSDJE+PI+gl+obHscU/f
4AUyIC9D7wYKwvyeiCJ87HPbPtu+iTgFt9DnfSn8Dus6ecKe1BAXYOVgQDP8CTIzwhdfd92zn4d5
uOq7FBCKVVySYZxeRnNOs1UK3HNjNW31/a4P5xqSfJcwvT0ROhhfLB03N4a99aHOpLPH6UqQmVXW
yGLs+Fsq++gqbTihsqD3MnpBeiw5sH0rQzIBMWuExZYzD2EMMAiMdVAyc20Gf2DaCCHnSmdweM1d
OoOM3spDzdQwhMAztjcAyT7tFK2I1OK8dvSKzvs5WsQVMIuu0pvDrXprggxDKdQ8294Ln/o4Kagm
d7miKbvAbVvcETbVLqnG7Fvbluq9QWJgrR2TwcGCCFMzXHE4z156pJMrO8Cp7paGaoGllhQ2QVya
pyYZkovhmdXaErXcDREUGcOxAPbNiXpgm8w2CJQLAiBK4gaTOZhfDasCcpsayCjA7qwaqeGxN1V3
yf3pRiCez80/5P1OcgkGfndZ/eI/sWGMCPvUOp8D1H2h0TDrmOJAPGKuJI5TZZxCIjt3l00Yty9k
CtIwNU3Od/x281nIaFoPerCv1kCqOnKikUpKGcOHSKLsvRJGpdaRJboBe4w7po8IEzuyzhwOu4ae
gYLWbsvKEM+PXCgtdIkdmqKqdLZs6vOW8MhylzuG6byWUdT+IlGTHAybzmF1sN3ScyFdABI6hnMK
ckBHlj+vijmH481J2jCuUKe64GjBzR3XkxBvfTmVO6kD57HQTrhLjbTBWzTU6Mg54Wc1T7uQwZo6
c7x2zcj0ttG6n1A8pCHeggrjUVcD/iUmJyBqrVWzfaK9B9fHSwWDqgCsPO6LxthPELjPuRO2L+kg
MtBBJtPxxqdOM4LplyZWDdA3brSDJhXyh7DksGklvPglgaAs/+aI+aH0S/0NUl77K6EPdMZ8aHxx
6c17H42twPQtuwNbIcsA341brWeygtVFBPF8aWsvkIug18VmEIN5ohsWs54P+GBWg1Okqyaq5TUd
QvNSk638ndKSctEfm+BHhpOb7joL9zdgJzhoAmc8Zl0S4IHBI9YswtGT720T1ndYevTGSInnaijw
jXpp/YQVNThFSsQ5CbPOj+IeRjdCjHI7l+EJ/UzirvQhR3zAh00LjNx4I34EF1w8T+jzN44p46NM
AuuKBNK4mzZ65S/6oWo3MyCmPbgyey2NVHVr0q7VNyfzhl3G9vUa5zEB9EEA95krIRpA6Sz/qDku
ETpSdzse1fjYBL31INvMQCtCGhg6StuIjGU3dVG1nKY5aleCENqlOw36nAEIfRuphn/Yogn2dFfj
oz1MP1tr+Kla48WkBFgUAMn3jkWKYYDtdQM1C2u/qPpXJeP4EIQyPGVunP4cMKIgaanT+UJni52h
5GC9CAwb/35D6PpaKsxlepLGzzYcif1jtvartcXYft5fAgosSLTwcUrchMhWezDRFw4ppb3HOHNG
/TG7C4lnZulGXFw9R5Tg+lUooN9LYNY/UkNWOR6TqbtOkf+Ay06cuzvxg8uKVmk3tXR0cqc/Dl2j
92qEA8DT8U5ENI5FXGoAqbSfb71unrAkxhCE1ay/Bz19uHgblu67r0iqNhvfeWu59EPANrygv9gR
e0cXku6S88rutHTBjOlFFs3iYljTiLsGf+lY5MGqsfQ5qcrmGHpYraOukV/womm3leBLI0mta0yo
MJ1m7HARVsht7hYTPkJL7FuOtMSUs1mh2prYkrvcnlBLamNbm+0faQlEL8a9LS8oYgkUd5W/r307
NhesdNaTDJT3SSvjLmbKgslc4gXda6t9LCOVPFg2fcHQaCFae71zjqJ+2WXch6BhCMIOgnre8Y13
41LbLkPXYOSOTcJjPYRvo+H4r4n2vEM+K7nMA23Rmi0hurD3HvrMc84BBr1VwHHlbcC5c7zb1Jcc
DuTanshlTQcAZy7JF2cQOFh+OpNMS7QqTOvI10xu/kxV7A6k+yo/TD9jpdmAi0gtHcEYDchq9VJ6
In8GnaQfDSP2X5nX15REaVRGC7dvnHUQY1YpvMxy0Op2wWuA65AebGE/dTMpfPacRktKILm3NJwY
6cAEV6PKli3BPNUS2VqHOXsq0+3IWXLLNp2ZxPyaZLLmIkpWYeLGHLfm4TvLKGorj2TwcBOCLNbI
otJuzxQ60Mu5bWS5aVO/f+yswNwVHO/xuNIeQT842YAlQjEat7SYs0tT19EhaMpuC6q2WI2j8E6T
WzW7MbeqTdBoHOdDSw1E8NFKRZl8SKf6oS0d58WaokWl7O9p7eFTCgV5BN5E0II3NGsvAadDNKu3
7ObiDF1f7OI4MR9lDXy6qZzgUJKSek7b/Lki1gnT9JD8anCsPPnKdZ/7vI72KUeQtdEMTyQfYCmK
vPFxLEdz1xcix4XpkgteVus2zmB6GzqGWFGWW2Ap3ga6Ub2goeuciSPst8KT3aZv//AYseYHyjya
cWFsp6jcD4Xyt73LbZQl3S8gz/qL0D2CpA2MujOax4kQwMXA5CtPZbk3gX6sMcgREJy09IYiv6u5
w514rR2dPHd9v9HMY52m4jtm1rXGcPrpIoI6xuPoXEGpKrFQmHiBBbOSVvSftmjd+02dmwRokhcQ
rG1xbbARLpqOkO+lEsRrZrOPBrJjtCzXZlMcA8ILtDTWYVZdMO7172UovvrAiLe9MVlkhnb86aDw
br2plnXrnWzd7QxJfVd3sXtUTXKl91szOyi3UCRutSHMH4nUI0sT5bA9IpcLp2E+0gB7yUnBjKXp
Lxk8LO00pdk3AB92VEqmLXa6Dq//l9NF6TJ31Het45MFVBSTQFrXBEzbMWHcMiAAzzfERgpKIC3S
vW/PrVzUYVMSelkxyeLo4R8FSv2l0hTIHgq2Re2Iah0QS0yTknJCWOH0vQJPfCQh1l05tUfRfqeX
seauTDLNh1WRih819tUnDwoLMSGJjaBvNGxwz3PWIYubJQZAt04Owkhz755ALN7VYBnxB4K1nMdT
SY+6N7SeHddPqbUGum1QLNZEbEq5pJZe6yCYww0DCloZKp1vkeFGT41Ebpj2IYmbfmDvkQ2v4qCx
D9iMUwaYA+7y3eDr9CPyI3ZFP+OWUjjAsmcj1RkjRwst/0ecRizEFqlKS7OBrnD0UuqTZZx71vge
Eu11C2NfOHvG2ej75575CAPa7FSIQS91juueyAJ6ouSAL/qY/dAzGSGwnoYeLlOVPmbjkD/1nctq
y7pRbTEh0tMcowplKqmo/rusiv5jrm3xlQNvWyg37NGBhpybyZYj4xKay0ZrLD5BM1vdLhNs94XJ
V00xOFAtRhJ1SWCoNxrFap2BKmGE2fkH3xP08A0ftEInWK2KC8Y+kF2ywQhp79tSfmDmV7zR8SrY
3+EOXB0jJlS3M55ca8RESp5BfBMcSM7cccl71GQNFXGzGNvYPPmz9aXE1K/i2ZZA3wl0FtFM7nQW
bocy/A7W5FE00xvi5Ql5f8QxI9NOs5/Ic4iDuEMhqeoLSD74/oobvUxpNuLTvotsrP6RvRuUaJDT
JcsKWa4pA6hUO/AO8aLQQ/lTD4IAcNdplxx79lWVYLHxI2omUDmoTDymUjJsxyfiWLuXuJdELqQO
TepCNJcMAQN85zPxALDyJ99aWUFCk6IFz/5GvVCaa1RpDTEOhCkMWGm/p1bWkmNHMsxRdy2C3kHk
GQfflLFw07Hpln3MkofTnn7BnMXhbjYtEp8pdWzWn5KM56IST80YWhy06J+mpsFwRGTvLRFT23lg
xaW3Op3TWiiyHCb9NvtUbSA/8T/4wuNmuXqqfBtHy7kRDRrFm7Zz5u/STHNYSIi13LDz3uZGWzS/
GOtxJAJgV2dzaJ4ndNrNwvf5GNCDkctBfER0dWgNfVKbUoXoLAKSA8d/2fH58UkaiQ+zSVjFCyVc
uoKxvs1nm9REyzwSM8y8oB3yl7JrdqqXI37T8bUjZoFPMH5hgLyVVuDvCmZJ616rFuvyrBLYOIIe
d2YgFGWkyLqSvnTEiqAYkVQmAzcaNhBT/ap0epEN+lE3nbe+rVbV3ZfvERWyhPOQE6Gd0oFP5Dqx
scm2KG36BQSPeBPOpU2NjxrGW7ki/WH3tpCIGuW4K6k/3+Bx0Fv13AYCk918VTn92NVkc4OMBEAg
g23C4akQwFyWjdURKxKBhgq19k9+EpQv9kTo+ranWYcZG8II78vHoVN58S1p8kvnY+5qoYcemJww
crDLAmp4WJQrZfYoWt1y1I8ag/QO4Rmp23YS2LsAPFuB3qJnnIBE/y1jVfzUlgJ/hbjmyYOPTp94
kulRgIeQFHAEx4DFWwx2RCFX28axSG1JyUTS0F7ZaPGXHpnpl5FzzGGYo3tQYStdpmnJdHd4FzUP
O0Ai0sY6PvKlYfevUCwS6g8drFNvIJ4hsDKOdfbe8yXb4JiIrWg5QS0oSu0zFVy9SBRTxWHVNPpW
ya82S42fsBmMpfJ745TfT7wo7tNH9Hr1hfTOHnF/kT1kWns7HiUHnGKgX93E9tdBaAisC7qi3ruj
lnQL/iKvpyVQDdatys5P6JxcjmV3AkfUjEdWXNzmnOU2Pav01sNitSBm+D4ZayLrW0G74RAxBVpJ
wjRXVep4j70O0zMhMeITG4kPMUsTuELyzeSselcYi4SwmmWRkGNKD8lZmYlFCiR+jjeVJuLJ4v68
JdLiVood4M6urh8FUq0F9jFs5MJp8WJ0IC1i+MlmY+Z0U/I5XQW5KJ9S9OrbvvW6b03EWldjEc62
Y4WybTGbGVdcGj2R9UV1p8fEftcSqpN8Qgyy3zGJpNfZbomN5c3ALryngGaOWAZ+SLK8iYdd5EW9
zCpnPiYGsSas4gPfzlg3wYcxGu8AAH/Gg++c4dc9cEPRraebBMemyx4SeDX9qs/UvXLATTBdQs3o
eotBue23NYtnskxUO+y4rRuOjw4t07EMkr11j0PxG7Od7xvRYK7qsAAuZPDJIhnQgJMGK9oJv1Sf
djxiTKweI9/prg1MjH1lTpgNcmNQsLrx+C+SLo1uMc2iJ+6u9FteSetttLEgeH4br2NDxJuojvTV
q+piicmA+jKaB8bOhWW+obrsXnJt05gKCCEGN2UF+0TZzRLZWPwzjHWwkhHwpdDT8xM58PJUgV7Z
sFsUa89XpPBNuDIgoAHY6HLrjyq5X05O1RzJkSkAUYPHF3Ns7Y0u7Nr7HuIsdQHouYWFcqHR0kHM
zo2PPI69V6floF1RJO1aI2npw/rJdkqzdGN13rqwp/7LwAy6T0c7sha+PZJim1jpKdLj9MAdWdwh
cOq99obs0wnJqVYgAZ5IEhmw51PvSOLA5F3BADUGFtKU8WtOl+R5jqMQ44BfBdPSHLr2yZrK9uLm
dSMuJqlrB6iS2FSEMfZrQa21a1KIFZ3OzYfZwStCDVFau9BKirX0OjQqlqSrB8v1ORoc+5JIQJS2
5dO0KXCJODDqNzJuGWIGunhJVImExEBCpdv6bNTGi18ZPx2knc+lNJpHUsWiDcC19H6qxdvnpumr
SRAT6X+x/+xM+fBoENyzyrIbLLViY7tZ/5bXXvsgLGd6MyKoOhlClKNTg7LGINu/say8QehwzrNx
Px+MZX6BKWEfq6I1t0WclA/g70iyEkP+NQxRu2lG21yqckgpVUxWBwRWO2rDNF420u4SIh9csS/8
ttkOKtDvJe5isAiztj9Lx+A81krTWBSck49ZKuJVhRUc2y44sha80zKWvb3ExYs0ouoDlqZY7kvp
0ffxuq1y/P4gx6hewjew3kRYkEAX8K6wK6eldaPZmh4HfQ9l5qnkb/WnTS3NfB/3hfMg/aZdlxjg
VvBQgmNv0dLIql/4OTfexJ5RgEDbcowGaTY7brMgZ8hc4l+tduRMUrAG8XuQJF+olH4GdFtxVYPu
jqzNRDDxsgHRsZVN/TP3cuxpHmGLqSoWJdQMsmbdVVIOp1jBqPPrV/AbOE21v5oKBkOGNZvMjZM1
j+wSJhdxggTUFYN8mltrh2Jo6ZtDsptBgQH1SVEgMBXqFuPEICsAtC3L1sSVY+y02RwKx9312Xxy
G7rfs+UxEeKv3LXBlG3cLkaPLDWQeqb72Xdfzmpj+HF2Dvw0f7KZfz2LiorxzkxZeGAEt/9N1ybn
Rkb3az/v4g8jSdwzJbC50aSTb6s2bV/+EOf9v2Yt/H8UZeGYgUAX+H9mKDyleZ7+JeH2f/7If9lA
guC/hzYnBFeg6kPIfrdz/pcNhN8x7wQD9ESQTP5k87Txh9j8DxYP1xLo//63zdP2//sdCwAa1f9f
4IX/Cz733WT6J10oBlLX4V3Z1t2lYQau+E1oGNHDx7xo2zsXnt5BqxHYQJ2emRbIA0o+TIYNtS9B
RDWxFvH0ko55fKisCjib2SUrK2xJVbeH4DOjJbGKOuk/Vpj49rUhu3PpT8niT5/s37gl/mru+M/3
+5v2UyC17lKmLTuMlONudu8HBSSiuDMjNFZ0NuyGMz50o2j7zy/s/GYe+M+Xvit5/6wB91wEW9KZ
d2lMeaSnLrvAxws2mpAABtgG0oMQXWRvqXKR00eZmHxhbwjLVeiTlJ5JoXazppCr77kINB9orKrk
aoc2FGrJp+c507VwovgcdUTupsQ8UTVX5q7V6V3+s1ZFek/XFOWCVhHEZubOw1ueGrOGKDA2KOZL
kj+7sn8aHDOG34lKKC+mdF1IuzyUoVmfIdmlZ+LOxnfOd93KIkbklFoFPdBSNxslEZVUn/OQmHuo
y1sYl8a9PTmgebDMF3ck2s0n725bOAW2tSlOCYjvPzMVtrRQart/w6poQkgySPWsKx+OJJWwSggk
re3sRfwP7s5kuW4r3dKvkqOabQew0dednQOcls0hxU6cIEiJQg9s9M3T1wfZmWXJvnZkRU7qTuxw
yBRPu5v1r/UtOyQQMN7VqWqO7eiPuXgx29I7d3lanObUe24XKfYWUcJmNjV/jm15hUSAw7KATRTB
kHDnFMwVm4sx0ts2uM4bFY6LP3xPShDcMYYQINQw34JBsnYom11AQb2xpWGuOykSwLuwDyU1rskN
5yhjNzUaAK7qAfDeKVzmEBur8gdF1amIuC/WVCWGFn4Jrd6Bdaduj2L1XbLIAc8SxiM5clkrpznz
AYVVAU8sXvPI3dFqbO11ZL8IaOdED7N0il6hoINa8EgW4ZFAODuHs8dNyJXDDqzsA4a51Y09df5U
4HBRdk/aeVQHEjMPAIDwkDYwERuP9wRzVHzrcQAPOPrnV0izcNsBC7euHQKbtbV9l8Th0SRBunVl
FQd1BWkNW7219XqV+ANFuw9iqk91Bv6tGoYttbBHYBqGn8dJHiQdn+aJMfJuVBAKexcmkpH183lE
R91OVEXuSdNioSgfuqzbNp609nXt4hSiTZLJaGtTeyJzXktrNK0NMN2DbSAEZXh1tqUDtjanak3P
6bccvZC5kGcdOOA7m8IkKWw9lWWLEmfMLmgslftG3qc+Ax53G+Z43sqaoK7jpvs6H+91jJNnEWEU
scdpZEce+02lOmBRlco+pYYu/Nlx9tNofsoqa/Jxs8JMxLAOFSW9sd1JbubYkUwEca90qTb5s5B7
MTZ7SwoRmHZ030voCRb9gZGVHevCvU9cYs31PD10E1dRlWy7Lr4Zal0dsHD5IzjQqX1a8vrWqXUk
emx+cazcR0lZ2k53vKDU+reMxDDVrc11k0l/Lkr6RBtGBeRI4uKLppcBvik6iR3gHrXk9kGG+4YA
Soz/loaZtL5LRu8kGv2W08sp5Wp4jRWFeG5IP+IuCrkhIGBW7TuyNi1esOk/TS0HdZnLe4Fmswth
efDdHqYvA0h7sMmNzbxwMry3OIdLpvG0jtPSopjnnjlvR5LTm5Ar0c6ecftxPcy3E3zbQ6MoMJMZ
dm/VY9Zuisy6c0OUh3zImL1pdX8gChWfDNZFamO0R5DEcsvqN55nDGwPjUdqeelM7OKR0KBR6S0w
NxzQm7F0tCsmctrRq/vmvgZwcRlJOh2SSlKwjjf8QF453g6LEW87AJ9XNo4JNc+nRmK7s+zsgalU
d8ooceUjaD4RyCWJpTCh51xicNnSoyCkam4k80QuSQw5OjPPNrIhoZtm9BN4bZscI4dRGSyZtfc6
SQIOc3TfVK31UpTi5IQYDFchuljc9FDiMIGfZy8HUtELJ8PqmxMhcXRJxyDAkFsxZNmh9ZLP+OfM
wOS25yRGudUxOdGfM41cYeIh4AKuc2hGX18a62+iTD+GJ77vYsQnJKAYppkcIn7KY+rCjHWRcTCt
vOoO5xBuYabdPVf7819vmPqPAIk//qafjhZZN5UxrGfjMES9dTBD7wPZZNjkjDG2ZWa/23Id3Fom
TOB15VUO9LG/fghrYPfn0w1mOs44yFSGRsbmxy3brbhQ4FLXD6xWjkKnkgKvQQv8mcZjXzSO8JNa
zz51i+oOWSnqG4oGsZwxUT9racgMc8SiRgDpxU7S5o66Cc/P4oZVPsKocYOBADOPriU+NbTRIQm7
8iDx6wVcjlgES+3U1Bi2HAWSB9zPRtDwsC2a4o7HIQC7r/SQfx07/+Rw9Gfv7e+f7k+AqtTMGdRn
ln4AkBPet81kbOfZbf3CFcvfZHB+DKj8+ubaDpWMGv8A1b/++e8OQ/oowoKMmX5Ieudb5+COni3z
1aDdxW8s9XdZw/Wj8n9TWn/8bWtM53e/TTDkHGjnlQcrGS5LbxnPRhH3R4LFX/UEDlNtZ92F1FJ8
cju5HDqBliUzYO8IH921l/aHlHfSb/ka5nY97dK2707MBYHNTtSHJAlvYWZBC4q71PLlXJUXMHiw
i7MGUPTERFVWKZI4rKFpPZTU6/HE5Jzy1+/fj2mj70+TEz9QTUe65A3N9eP8u6eZFaOtCfaRg11b
0TbDYLktDJlxdLPFBW47xNa+ppf3r3/rn31Rf/i1P52pZUcVNOh5g1pha+WiW1+dTGdnbsJskzSa
OJXzdBOKlnTuespxRuDG/w8PgUUJIhxmFJd2hx+fea4RZ1JFoh+MhDFMy5aYWO01wzZkTnz5mI/J
C7ga503DfmXV/62B6sv0v6OP6k++OX/ycfZ+//t/+ub0o9dWsK/IveT9q9EmE1Su0DgVNTLiLKK/
aTdZbwo/fZx5pgDeHI2oP//+8dnGI4z3rmI4jlqaXukjfXFJC2Xnr1/UP1kNfvgtPz2n1tAMkqEV
1lEw98ypaBXAeh90ha3+5u37s9+0PhVaFAkxruShHz63uvL6EjVbOyzhOJKEQHe2vSP7zN88oz/9
pP7+F/20DnD/oMs7b0x2E+V8JGN3m0q8SAjoIf0QvfEpi7o1D7Iej8nxcxVQ3d/m9f94ZTY1snl8
RTVJ2ePa4PX7b2kYT1jAkpCyOSdVh2VshgclTR3LwGQclDE9IhfjEh8igHUDTDKwfUhAda7hDRRv
AqkGSPSaJ+F0UZ4pzHu2GyO/YDR9ShvQSH/9KTD++GHDl0jpgosowSO2fvoYgJXNmF83PLSoP5cz
irgea8m+WnL8bmK5njx7ClSPtYHwB41MtFpwCRW7BNSBb1llHgwFy2kzlLi20JHSSvcLxZ2mRfii
YKn+ptQYIfUXHOEM86w7A97cglHWMLv2FpNXF6il4mylVoRb/iETDRbNWBdbzR7Mq7Ztfz3i/Kcl
qP95natUrHEI+9eJ4Q+Fq9RAvn2J3/J/XJq3rx9t/Ht2if7rD/9GLvF+0VC9yAojW/3WtPOrZOVQ
KueZqFIkwL8jPPk4/UYuMShntZChNQewiJTfl4HfyCUGFayOQ3kjNZxsbusf/RuiFZWvPyygCF8Q
a+GmcTb0pAE646evoCRqp0a3c/dlGFJS5LTM2luPm6oSc/3F7AyG/1rsPY215e7tVW7hYtn5zpiG
R2nXRKpITx2ygXLWSna3feEVe7Po0te8oUO1Ikko8Q1k9RfG2YrvKSmyfJyjG8H8/t71YrGremhN
VFN2zVdC4Xhc49a5V8JKxiDWlPklzCF4bdDG490git3s9dcJ57MzUX7d70e7O9ZLdKTexNwwjtB2
ifJutT6pD4qwzosd1d7XTOBSY1I5h8Szwn5nlES8tzldY1+jxAxfeyvsT0ubYm6xp27PwCE+kDCf
97PUqDSbauwIMr/G2uLeGjllFLNMK/Kk1HTUc78aWU2N41u7XEZyRdh5ppicrWHP+zAvuRMsYaIe
h6WqPpI6sa9xrBkkqPqHpdW8Z0aT7sVwsDxupDUkvKoV3Gw3qfDVEOsgnB3G7bxs5iId9pCdp21X
yeyl7WftZOBePJWZ/EJIhmgq6ZWrJGZCkDhu+ylnyno0wAtAgVg0tJfMSd5jZxLPMozcM+h+8ypy
2/BdTYOKNhMVCt8GRMHrYkYN44xYXPOG8zyxK3NhLbFRaObNSOdX6ZPBr7YzsIkg1NxvkDhL37Zj
7vL5MBRoIUhKTW58wehFMpfBFgxkg1s6H3iTF0rAGSskqM4l9ICK9drLEMEbgzVfH+BJV77qM/0a
b3R7UJLUwsisd+9G3FXTCNfJwHBKsb4aKUaj8MltMDxZOA4eTC0HG9cyZeqW2Pg8zQoTg8SoO5hO
cZvkEFu3jRtDZoNTzq11LHwnbIMxQ7VgbNYE5LU+6OAL2QOB393o+pAee9QY3nQy2Z1WXI3V4n21
lBk9ToOOM2c0iqd5kjnMO2LFY1nWJKomr75yB7Ako9LkXVsbWskcU5i+XZlImibmhq+t2d56ZiO2
OuHNHexMebMYc7FLR3u6iae8x8gj+dQmmpc/5ujYtT/ZdGWJgtfMS3UM403Zvy5MjM8CNsZ9Xyjn
vCTK3c2j1myMKf1amyviFHOBQrh5ooIDGbQgtNVgyLGaOfVHK2OUGCblIxk174ZikKXbWmJYAi0c
ddCscRrddJUWXYyFcUwXQ9LlW7ZgLS1HrvGtATPNCjWmdHOKn7qwyi/ukrUe42tRc3lqzB0OdjfA
6Mpto/rS6tPJzcJ0K7TRl1ondg150WJAi3BreHBABB6oPPG5FEqIIKmdbakV/DsWgfHjLej7qie5
bAGSwmvGIvzTTh7SfzNWLcsBQiAEWobbCzKhwu7Dx7FUVxPwHFwpMjDa8iWfoB4GVd2QLVv0xNhE
Ydmfu2UYv4XcnfwyLvOzx3iu2JJwya6qyChfKugsu9YhsB1Qw2IWQdc1BEUY/mX33vfvc/b9u22s
SMFjyfcCQvi6LozWjGQ9DgYG9t4U2evvtqk/OZ475o+nGEgPBiRkdh7gK6bN5vPTij+LjvFFFml7
3Yo+YSPhLJUZn3Dhv2qmBqG2yih/cqL6ymkAIm6J7407d5i4qdcNIbeNiKxGD6yFuhno7uG0T/Fk
+w2Qvw/c0tEDI//5SFz7YE45iUI0/a3sm1e37XZV3NQMM9sT2pnLuD75UqP4b/lsFZcJQ+dR17ya
wELenzy9jU+yLgqTOwxOVOKjxrEcGsPeapnWBbyOchtSxeUP9sCE1JuKC9RA77WiEPsVIB2AQzsv
32Vh9DdWNNc3edSQex5Xq2Q3Oi/c1MKjXRjhZS6S4Z7/dHbN0icvuH7jE0bjxQdC5wYLZuH9iNFr
X9lwAqQ7zkdifYSacISHeBZl9InZeTpsxiVqtzzscWukWbzLaNHbN6MFD5dNluojAM3sQT0yfhs2
Tx3Ckh8ZnnpKDawSdV6a3+hpp6Cxy7JzjyaH3dJKz8rKMWRQEmI9CVAWt97iik9GO8oD03k8f4ur
VR9ENaYnW1T2k+Vw447Durm4mTWcNALHB5o84quw1poDPp5j0bh+N8Su71RNt63d1Ufn9Pp0J8dx
vJvWqfcwlj2JllxP9jGVl7wjPTa7uW4+9YAhtqAXmY5Uunw3lRE+VKFZgc9lZN+lIwUcizWCgCD4
98pQfLxeDNldLU0Xk6tqp3MZufZV4WbGzgWBeuVYpEZAY7gGLtZ0JuKGF2SrNQOpdMbbt60YCbA5
OKL2kx5hKy/WflHTIHVJojbwhiW79GNcXdvTstrHSqreIkOdJtvx7uJ1FcEuxnHFOQpsEQ1uxFnG
n3IPT+WYF+iQM55oRtQpcZ9tyjaxnVmq2nXNimxWr3Bdx4xIj++KRYhvJHrLL8O61uUNrpuxkRtz
gFVatrm1X74vjP33RZKVwvT7deVs1jUUpy/rDJaqhYUg1rotOSfvZl5X3mldgxvJ2KQcK9ZcGDrz
SxkOLtVlMyu6XtX3g1NX5wXr36uFsOFXq+aWiUbuiu8bQ7ruEc66W+g56X7inOwhdcRA6+DIpURV
/74FaZ4COeKJuSMPpNfOAxqEdUvMxgz9ad3XkobhDq0PembtW428rhiUQulmn+ybdKFWfd1BSxW5
76PCZIRPqF8VYZmoM2V5A2toV9SHKszGfRgDHyJAu27pi9byxs6ixTeF7rSjDs5pNkvLW+R8PzXM
6wFCcJJY1iMFqiuHi4xiELzhjuXH67lD4/gYetz/7ALULbW2rhuEop/ORY7CQp59OoZWyUCvxD6u
OPrA4y7SY9r3EquaG5s+9ErM5lNFfsnLs+zakm16NIBpXKdRIZ/jyjZvqOxz78tZx0bRtHG7k3Hj
fTC3lRfGIdaXIe+HS9LOyaPo0+5TSO9I60da7xy7KBYMVhpBk5BmYqrUvRFgN718N7Yw+kMj6gwX
Jj/KuiHho3K2ty4FTYQnRZTjpmNyw2RudJr3qRleNFsp33MFDtbM0KxdEbr63qUK6sGJeOIpt4Yj
sWx8UDF5nwfqBmkVVMwYAhwr4kLHq3Eknm9+KtLKvkCRsJiCsnXpRVI9KGyByabSmvxoiCSlpp7o
c4lWi+Qe6apnTjGl7bWtSoZuw+gdOFhq7xMwzi+EsRSv8UKMggMpBWojwHttAwAfy2Kk8zLOJLn3
WcorjtxnJxiGVXYeG1ecvHrAMEml2Cl1BKwLM2k8YAjYHBPmFZ91gCYLFvAHkuPFlhxsvqf0JTnF
pE4mXjTXviNenL2iW4X+omkW5TJN0b1H1hC90uELqdcxc0gvWbjnf3nX8F4GPCILnaa0qUjxVt6O
0+Vs5VpyJ2p0g9LIV78djcIttTy2eUl4GiHtM1vLhldfKZz26fKhITJPlN/AmmdNNISvtBTCaNLV
gD+k9lK1FFUPc9tfWwYu8Uh3+mDEB8gPOwsW+RgrIYHgmuiYOwUNdwC6OeyTp5nfitF7J/RrAFig
Bg7aT1UeHbgyfNtxCWzKtI7u48KY96w8HKxpAHtKJ1rdsqp40k0lX8xa7w9Dn6vn0bLS57DVmo+M
77vv4TQ7DB0wRk97MuwcCDLWR/tomdW1xJ2d0jjBoZ8mcTh8dpDRDgBJMF/9CdowgQbBBG8Dv1Om
Orp2x74bZtbJMwDogHJOA72x5s+EqCC6UnR3nkaBNTK2wy+yScx9ZLvkdh0qvKjKKScOylO/ULto
kmaOw71n1mJn68QFk6ZIzmqmvOgMmay6t8UgH2j+bGEjAmL8GDLFcdHIWveqJL5pbIbISD+VaoQx
v4wkkOj5LnZOaqp9Q86Ao7GCKyJCyyauCaSFv3VI3vIEAFPoqOYkE7A+qYvZYhry8Dj2bnou9bHb
ujzRmXmgyIkzr/WidhsfSgL2wejl7V6Fy8TFyTDWOoj5OJGs2qOsEv3Scuel4CSYBMy9vWuCwvPO
Uka1M/TeeY3rRN/LISH74Arq0wsmZuOmmTVoJmWcdjQFtcc0bz97YX+9ONq3FboaYHXU37pBOLde
DcXGUQ8tZjImwXHX3suomYv9mCTL19SgKA6v3VNB98FWgBDySd3rPhyIce9qdctI1pj2GlWFfjLl
2lMXkcRktMlSXDdDw5I0dH5kSnWnnLCQUIA8Pt956XYPyBPLg6164hKZxlhPd6wrLYvVAJFHyy95
WcnrlCv7RoSRfW2YFCz0Y9Lhke4at9xj1RCfALUZF0Mvx2+QUsJ29TZTBLiREdjxW2HP5qFJMo5F
orwu3BSwfk08qcXWD9Yh3dtJX7OKSO4YUyv8wvoK3TFPiUqV3YixPS+3I81GvoKygu1zueFAeO7k
cGNp/YubvVbLPZCtrTQ7GEOlTL+lVoTTpCARBfPxzrHC+jOfLzYvRrG34+LA4olL9aINwxht6BCj
T1Owz+4paOk/L1Y7PtqFZ3zG+mk926mNr11rzWMrtPTEThBf2TnZSSjtOhH6vAhKAW8nTaNj1zDz
8JyEGNzUx3dJquz7WQvnV4u0zgaAUHFsFpOAckqE1ykzKz+4TA8W9lNneulZ8rbgEXUDny8NXZFp
FZQvzXVg6hTqLgK4ABhFGKawxvdz7pgY8ar0YFYWF9mYk+ycY5kfEn0ClGwRlDQrTEwbwHzhhc5l
dTTrNX6T92aQST1+JNCS7AfIafgR+vrgmo13wLEa44dLZngYa9KJxyD9OqKnb4D58kKvlxXhKAci
WSbFfVSyiGLbF8uOUt6J6VFc73U9e8zFrE6ZiRU4o1+XXkyqZlB/ufNjoH/wGgbJS68gtbBmkFWZ
cxVYCblExtJitLeQMvkGZqXGgo3FatjaPd8sHkq17byCnxi6goIyEAlPc0l8VJj0C6qoNA5xxgoB
X7P1286e+aokxQG3Fo+5pO9NB8sNh7JiNRvHeiSpY/kz6NsznbLhNS6t1bzzbiHMpJl2jCp+Ig4B
gzLXkdlkBH0Vv3SFS6OiM2pBbi3zCYUP7FLj3XMv30qPxHUmCwA+NvM+qP7UKhfj4OBRF0uQTFbM
NQkz+qahgO4c46PjJQh1OsQq/evSD0R4ZVt+i8NxtWe4ydE1ZtDbYLlgIYU0/pVlSi1zXmWfARJh
t6wzGd6bYvCuSw7aF+4q3Zmi0P6ozTbKkgUX8ikV5rBd25c/FzZFhZIe7nMqVgKUo9KDGpm4aoyR
9mDm66vSKNtDm9BNPJVbbUqRpaXpLTvoPPqeb5jx2HFdu3QipalgcJogKdA+Yk/b6FpE9mMFE0nr
NLUH2tSwXZYeoel+m9axey/Lwduno5M+2VpuHussz6+cpHWxywvriEHhEhk2dpS/vgvLP7sKW8xc
MRlrGAF/npUx0ZZhaBruXkDhDCwzJfIaDYw9aosYCXAS7r9GPkUPkV2WhKgyKn99DCjiLh+z+R2T
rmqC3LTiAILDotMKiV6JpmMQ0PQ0gCF6TLoCMt2qcGp2z8TAnRAIZ9LoJ9AvJvRAboji1zHkf1q1
///IOErQEKHaY0j130vyDw2Yi+btByX+Xz/2qxjvyV/Ah+OH1lyD2aix+kR/FeM9/RcKOpDobZc/
x0LKIPE3MV6av1gWGGzP5kdcrCX80T8x4hI/Kqc09H0XHylC/78jxqO+/CjGu1B1bNPgL7RtadkM
xH6ch5FHB8Zjcp4zQ4xCfdZJqBruoQBTsCEz+eLaCG8D3dVbq81m+HrdxyTlc+q6L0yJtPuw5oxp
1ePXjhDmJsO/GHSwiHwhdIEKX5efMqW1Z2eIOJq6M52Dg846Wqd3thKZP9JsfygBMmyiSN04KqOi
gLAoH1frhX7Nemf3831lah+FYsg2l5iqIspaoT+ZmyUTX83IuOHwLkkQi/o1ruqIZWaYDt08Qxew
Vh5LFQ2vSZsfBGX3Tb5ygLqxwKxmR5eIMgw/kZYINDqtyFGm5ZVyHePcAYk8KaHolS/J+22UQ+Rp
o+XzEwLIA0G1tzFuKAHqSDwNCGzXNLtbAfcMyrQqor8xAeANbIn+vphTmgEz80pR/ITVihaBJZwr
Wr88Qa0AMwgPKWTGPJRaev9N772bdo5sjrqGc8f+pG25QQdx3Wb7uSWzic2lvHZS1A8xoaMbdSQO
NkH6U9xKxd23xp7FAeVIG6E6aeg472w9r83kxVsDl+hWjQM9JCCX2N0N9d4Dxb4O7QGbFii5TcKR
xgcRaV4vVM4Shqs+Ur0b94Q9nNtGIzI+chTe9Cm0ZF2rENQchw08Ljlse3VzqotJ3rvt8pX6SBBx
2VTDFuuzF6OaX8jGxVvWMJwYHuF0fPP45LOecSp92eR2QSQM+bekdLODU3mvXpdnvj3wvy9dPse7
kdQGw0ztVDk2HwC2rAOopPicQK1IbPvB6dr05GJrRoyZkgf0rtZHZM8CfKQRxfBRfo+X093C6yN3
l3kG1yWSLZ0yHx2YT4FDQOeafNAzn1fvY9JK3LSiLG4WCBd+0cUFh472geLkh3ieoB1NBdmr9ild
qARD+vP2bWlA/xXm55wkziHl0KxbagqyzoEjkRrtruir7kmLCB1Ytns/zN4DwZdLSVR1Q6sFZK4Y
ql87UM+98QbN2+NFisLr1JB1sy8w2R25mgK7iGAYXEx7UoBphGC7z/JbD2tgUIG0OWLDUDubz+Bt
1LXDCUdUcojWasw8jlnOvHbPTeq6xx9FwjNvjDO98ul9m5ruXirIv5iPnvSonT4xVYtOI0aIA4BA
Oj9N+1HXUrnPkqF4ymnZ2PJW4XazZtIZWdqhcPQi/NxUai3plfVVAi/ttMwjJoxwcEyEAKuRfh82
H5VqqL2rAPigoHk3dmFOdxFhZV8x1QkmbILbrrVPDCqNW60BB+KGnEttb8SBq9N2MCu3v9XSpeiJ
+yxfaJo9JB1pXpt4x4FG147Ux6LfhZjYfPp0kA3iqdp1aFFbVCFnO9hR7Gfd6HKWU25ykPE6KC9g
xWMXoYnI4175PLee/UgQ2jnU7hw+06YaMkFwgFEOWrpPTKK6qVPP59qxkkcvUZSRVrXNyM9aJGgb
Xdx4RbPsCy9Pn+1SPmsEDXeVPW+iFlOhaqeL6gb5McALuU9GguMU/7RUvQ82zgOkMaY70GC8Vr1z
goLXZbTFrUOijT4Dezx0ZPShjCguC06e7WA1AcjL1Y1o3HMoOCY79qaLNIYiME5wzBrV2px9noZQ
8s1NjNTnXIhtb4ids5kX6WVcQnUVUotyGzPk5NDfX/V2MuwLs6ufsbxCz6Uh6qZj+AjsqKH7JtEl
9EAIIEO6pI8D+taOMetyH8bL3YQsBleJW2E1j8lRpf0d+5A49lVY7/DURO9NVSwHPRcPXA61YDGo
YKqIr95WGeQkApyJb5Qugw6ZXJGKze7rCHi1Bcl1UyRmD3LMERwZHcnQyQ39edHJ/AvKK4/CQhTo
BLHVMHEpsWuy5moSQJEFCiAwgJzWPMdgFU6sD7omS9+zc31ret5dAX4E5jDFQ2jK4D7owiVSZwTZ
gKyA8ZBrRx+yvIQABKoyfNJMcnzfHwNRbCOI8PRuq86Tz9RXWdscq01AJbp3na2UyK0cLEZj4B/H
dxH1cAlSxlkPUrnfLIrFi5GZLg4qFwttAIT/djA4DU5Dxs04ZXx4L8e430GMA8Ep0ntn0tW1QznH
kyIbEtSMQwJviZ9QnbiRjUQO2ROIzwrvM9aeZVd76ms18YGiNORhqDNnm07z6Je5drMA2QE5y/UE
pNUjEAx57IXwts36TtNMHu6MIZIbt2Dp6bzyaymX996pXgdHggYR2HfJAzpx4LQVtyJ4dKcpjC5J
XDfXrobsQEXvXaLbmBnRl0FQDdJ3abRcCajocaljHMhfNw+REcHebaN6b3ddcTCm6k0TrEJ2kdFP
HhLPst7nUh5G0/pKaZSFs0wne25YX78f4P7TB9n/efYTSmuwDv73Z93TG+yzf/yvt0L91z/Oby1x
h+aHc++vP/+bA8X+xXGxmCDn6aZpYfL456GX5lkOm2xnfDj519oh+89Dr2H9olOkTJQKtwln3LWh
9Z8OFPkLvmup41whLsxnV//3Dr0/Wt6E1GFcQWi31svZ7yyapaSbpOeLvIcoRFRUMHDexBo8cEZk
w40yM7sKPJLZQB4FhbTEzdmPoKvU55mV81hFUb0jb0D76lrprM2TQ+Kinw65UQEf7kLGsUpEerXr
aU730UUz+BhGCxqzm48FQbFN3sbz87SKew4zGc4mWnxgXa1v9V5mzxGVc0FKanoPPp54NshZSsw8
70jmB81tlRGpw25OTA/pEdG95M1d5UYnkU7ih99VyHYVJN1VmsxWkRILGzTr78rlenL7VH3XMx2M
nFewj4iKx6vgSdkL2idDePnQrYJoN9cJO1s9JOcZPCJo+EnsQkjx+xk11ST8vrVdUpsbUXYcsDOZ
jVsyZ+a+WsVYIDuDv6wCLWhSMK5tuXwWLKIB4zKqwVZJN3PiGVSPB4OxjVoiPrSuriJwX0BK1e3C
ui4bVvlY5uRBxBierdRR72ZGeqJrlfDdCOZE+l1yXsXnKi2zZ8Z66jmip/WgrSK1gwIOCsWKy1Oy
itkgZ8mIKLrLv/RGH66RBlvuUX0zjeRLax1HMWgVjPhEPAhB+O16MR28QUufg2vXl+WQTwvaTZKL
5mxrkXoTiopYBAkYCqLoOgq/2Fvg3fO3JCpW0bY3IKRh5BaHkolkAIGKWvDcnn1wJSD9bUk8NUp6
eY/rovhWj7wLvmwM9ZQlJqqN69UqemQWzjmlGCTErsWmW4ioelE0GzNzo9vCdoyjV9TxxZIoqbqi
uZC3G6wTL1tTzdu6hzwcRiHduozLA5O/Ul4aHuJbn049M3XRaX4511A2HNHRCIf7ZkeDBSXuDLWa
Y2yKeVfEevhtVjaPCRylhadQh55G3awgnBQCMbjnSB6+IT9kRG1I+qCdcjhYisRK/dibPXTnmrad
kCMhsJ2quask+aLN4ik92fXUMG+lJCaXmHn0zaq5Jkyg8XA8JbPaWlh7aVhtmg5lZlxag/bJvMcT
7grtK6PS+W1hXPOI6ZGDQyV045vGGIyvNEl84KPApMaNQ7sG/sakBc+uhhykPkxYl7gUAh2oMHz3
BKbYn3ECFUO4k8JxzUucLISt0KEisH7pBNyojnvagHJU0k8G7ExSVUoUjKaAYssg1WsXeWrqtY9x
ritS9omubbpiiRo0S0i9G6GF1olzStQyM/W8+3yavkiN8fisg3Mwy4UbDW4i8NIWdpCeDt9Fr80L
LwpDRMgN09Mk0ugN8Sg5FnaTHdUckspmBltAG+m8W0ifEgtWu3o5F4giq9rH+zSFeXdGtUVIsuYm
GWD8kCMLRqwHB9xwODKk6n05KO+D+mWd1rpOdE9Ix/E7fKHxPQrTYUc6Z75ZmP5dEq7rxPCt4pJ6
K+ciagTtoqY+m68Q/w2GVo7BSbpYtOoq503yx6KKXvlLigORbu3SproJecJ7zQDFBkjB9tUyIKu7
PaUxyeDmV91sWK+uGcHqLNexodOmWME6ukIC5bD2JLHKhi2o02TeDmiex8I1qlNhJKTNXASyxO84
nFylqTMdZjtxA4L9mgpASYVX4D9yHFlQZNArqcdQAa8OeFdleo+20RcAtlvvHn/t3VyWiLLTpDaD
6ZY7S6BekHjp1YNtwSVFkAB3a5rJl0rG5qlHf2WI1Wt7Corz45DSimm1xPxBEGcHmYAGyS0awa26
Hn2+6k1QrWt6OWeOXxOgOtnRxNUxanMGQrFJgA0HGt0seXIjWPeuC83WueaJhtF0OPha1bT3Fuv8
pY6GEFxaBTBh6DOOT2NsXuzezB500A0fuoOKvJmTbAh6QLfnpZj+D3Nnths3kqbtW+kbYIH7AgwG
mCQzmZJSaUmWVbJPCMm2uG/BnVf/P5FVPWOl3NL0yeA/6EZVyRa3iC++5V0wd/TUdE8SNYWVGSuX
jZdA8Zn0CgW6Gehh0Exldh0jhYP0vzGtz7HidfssL9O7klbtxTT3t96KVkZAtESPxcs8/SvnNmp7
Imc8ZVmLfbsiPg8wLp4geHhqCbcDyeRPADlnpol18oJqPOS8DDCH3sx5we5gLBlPHSOlTphHLdbF
01SW9p9020Uwq6vr419S7k2zhyTvVRryjTbQI2Dak3MLyBlFZbHaQWGs02EUinm0W6iBpJhadBnH
iE2vpKMXOOeluzhZjYteGWMqb63vd46SFXeW05XbNI3AUa5NIn4y7U2To+6M6xMqmjSt+nxV9Y0K
EdHPjHk+JKgR+/ECZ3WBnH1Y3XL8iqc6Np4m/qYrp1iIiHAtY7ybNIwwohx3e7MCq2g0xxXjtoYQ
2Oo/jbGujuB7aBZ0C50d1YW91g5u9z1aXRDfa6XvRhRNL1d3HX7CB1p2tdaNn0XMMbSh85SHBjP6
yxj8xZOeAvFjdKDHn6j7VcAl+GvvWkvSZYRtIPRnQpLqGme4ciZNu6KlMjG4RU2uMbI0XMyaSKfw
dy5wRQFZ1kbzDRWIjRosI6fOdlveZt9+iaZK+CXHiR9XCF3mc93dTZYALehGzn2XeeNNMkJLWcuF
85oJ45Wr2Efwq9VFNyomyUAHdtPJbOfgca4+/9+m8bJe+F4jwZDGjDf/8z/+rh8kKPvVv2xPfpS3
w0+x3P3shqL/JzJa/sn/7Q//8fN/52qJcYn5bo7+X9WPp/Kp+sdT9eMfRwLP85P4x0VX8K/dr7m6
4/39m/5uURt/YGeJoyTob/zgVI+0+O8WNXm3bBA72IbZjkVa+N/Zumb8wX+BQmGbJrk0PNT/ztZJ
/plw0Lp2cMBW+RP/VrauveZVOa6tag7QeIMWOpWDe+pg/5K0d+C37TqdRZhMJbMwq3yuGhdja8fp
kJcXDYjv4gXiSOOvXv7MxoCSSB7gI7dO3KvxXXGrLsB7iZpxSh9GRDD/Gn78S/7RGbPldIt091XP
spkYwNY4a6LDW8fbO48FiAkyLYXUF/nAFjG9xDuMeMKaxny0uyHoYp0WACrHH0yV/sUN0MfXeVWO
JxUvfi1s9FxrXESkRXhK9Yx1Hv1GQ5vaSCN6x+zRIQJgPHjw5hIpLqRxH78Ug78Beb4uqf56BTYs
Fc20qOyYCry+g85MdVGURRuKIV42DK/vh8Q6pm31EftK/qL/oV/980I2lzExOdeNs0e1sSiiuV9j
wFGPNWaVvbdz+gbwa4me6eKl/oLdOZxCEsVxoiPjRGp1wOjl1mKkegDUpGwNxYieuoyeiZh19c7I
oWnLfYEzwSwuhqpeQlFS+SkNkTLPTQc6coPm4jD22BjEKzIE+k2rJEg+4cK1WVr7axd1F6ro3MBM
W46bihwYcvISdoBWr5foyzrR/EnK9b7WXGtnztN8xG/lRTNWGtRj8VwppRsUIuJY8H5C578zVufP
978QlfXZi2NLyIkRRvaS9Sm/4C/7yFkrxgFpy8jeiJBHm5evWRQFDNp7ajcdW/YEgQKnHb3d+9fV
z0dMtkoLwKZb6xiQRwgjry+MT4vTIMGfhW6HLJOLXsSF46IqqtNwBo7adXBAVtTJhY7wGM1tBPuR
GHbcig8KEmNbJAgSugC8LYc9RbMhD7zIcdFxn5awwMfAl/otGGIppOEf3DuNirOXxsgMETKXVY3l
rnq2rNXBw2fASTCj0fQqaBXLwmADHxhjJH/HwWWbg+4KGXSXx2Z2L0aD8TkaK9SMHb1G++KvAGQi
hGQdbNBxG7cbqGAUHtpZeBq7MFJEutbv79/3229t2jgg24jP6KjEyM7Or9+6J98Ez8ptT4qglWkS
lVwVXtvpRQu7wZ1r6ClbzUL/aH/+5oXpJt0b1bbg+Mj56a9XHvQyQiVDFGEEKYKM1ENXQpZ97z+f
bNS8DgImU1F0b6A3eWSWZzz4Ch1NAzRdESaLU4WOaPNLKt+/coh/GdZx4vzNZWhiQYdyNGit+tnX
pzGDYUg2FgigFC+or4JxsDtMGQB3oCpmssk9BfnDaKT6r7QVrq9VvGixud42a7ZFQivh3Fk8X5M9
ghIqLD0AvHqKjkWeZ5Puw89NfRrd94pNUqfazlGfF4Gs2uAG+Yx7z0iluGO4T3cB6v0Wl6FQpTj2
LW3W/ZQZ4rZO+WNdYmkHlIfQah9oLYDrIhK1rgtaHhShjuwsNjL0IbI4hmZFirirYMRsEg9be13v
Hube7aBbopwQ9dlzuabPWM/clhgYXEb4B29MI3uh0Kz3HZraG9Wr9srsqcjCqd4OB5MXDFjczVAT
c9EIkVJuHgtOY31XMSKIY1M82yNr0MzjLyBbAegU3n3C4vCVPue+jVtM+5T9hLX8Fuj2o4ZlB0r3
RO9lybFJmy3sThhtBPOMI1ou9b0LJsBPmroQlnWHqfCUPmM26wZGywQ0BgIMMcL6hsh05tNt1+9G
KNKbLF05iFdbwREye9ESHnqMezcoS+4XT8w7oec/7ZzTc0KYJZ4A+4wugRssfrfNOUCCjB4WIgDK
o0N5E5gRiGwvMdzAco3IH8wugQe1VmGOZCftUSZ9rZ1S0HACFwtAwtIsD1bRfM40777t0BhHG6MP
8sgFqY6pOQfLaPqFwaepOnFnp1BESoyaSDDCyKmehdqhvTM0JqDSott6M1+TAXNDsz6zGefZu7Yt
XpAG1Td2O161/Ui9l78U1IDh3C3ghk0etJtKCxLRdWSwAtHUc2HFOEf8q2kgtZwBucFIUx9amlkN
67yWR+ZSk1/lGpfCROkFoxRWLF+WZsaLpdUSrddaD2NONxCwPb7HJqAn5gAvtZSYquiybdR0cpF+
qw8z5fwGP6LUL9bymc5p8WmALujbIyZzzDF3a5Y824Za75NFpdVGNcGcnWckPT3Y2UBuJT8MmcGx
s2mw5WiqgCNi7S4Ty0ZtEAXvKOoxJ0qfXbx7NlZs3Bpu4YUoij+7KsCmnBWuITSA7QVrSWBehT7n
jPslDBittCHhufdw+RYEtNT8ry1QssI0zbhlQoI/wUjyiUDPel3NfKwhldmGBOzijgiRLmEFGRqf
v4PHiLRKjSQRQIfDpKIcgTFo6oMyyIO6R9hV3ji3SxYDDXuXKZxp8JbFlW4N3Z+DN3m7gcml3zao
yxRO0lzXntfSJ+HbOQvWEGvrXGi4ogUg0nC96b2M2c54qCd0mjNoTztpq4DKV/GiSJiF51j8HZ6D
pctkRX7gUrVu9aJ9xLzQZSKbvbQ2d41GMv6KLLDByV964MJI/REJqizmAh1I2L7gBGnsJWMY13eb
YeIlUgyQD63kU2TJiJ+jZoGcCSLTUGQCfF9duhdavrXX5tHSsT+Tp5OnchFU1b2dpZnRpW5nL+AU
oxv4jruSJMlP0ZLciq5qdtas4+Ll/agKgomhs3Irkq4NOi9fuo59jKzsozUSa2nk80JmKxRO8dyT
X8lwtlS8iASb7lNQGizCC7XfI66WHIyDfdRrpF8QHL6l3qnCFPQLqoPZ8wJe3XcNkUE05OOeqolE
Jiw2sOytPHZwHjqennBa8he5JdrUupVHATON277hxk7foNG9Y1oq4EiqCAGj6YCNkiW7qCybygUI
rVvlttYQ981M7WCJ7CVv4gI5EpaKUFmMp0jn0tz2LaSa6sUiotqrQuvRmz51WDtvZ4X9m7EzUaFZ
+VuuqeyLvIsue/l1ZoWVB07/sMaVGlgZ+3Bu1vnyFIkBk5KI2TFK/qnLmWGSZi2re+8Ujew8x5XN
nbjzrpv5KXzFmVU/NLu0Hij5aQ0da0/NA9dqOH6wH4NWxxs7nSt4feO5IpPn3LZuNSDymHMtoREx
MMwXXqRcYfNKME4a0nQizW5c+VRTzaITjNZ9BCRYpiPRxx35NIZHQiG/bpeJR4YixsZJiPpUQVXY
xvzCdqQqOMVfjAqk8npShVWuGRvFq+t9m3UYlxABhMcF4oRVbQ1sIGfND7bNXest4SZr6ISe0mEa
UMV2mER+rUTF8gWrpnrvSG8mI2H5qnP+fForVV8+0yhB83m+j1RMe3JLQJkfedXytIk84mLeswUi
0efXs2MDb8FfCDIPzXazF/kGvfdhMzRVu6PphBOVjU/qlPJWLU3m55azy9o22RdNzYG39O2RKNle
pWbSX5gTfpbgg+zNbCSgHqAF7fJhkj46XhTgnGpu6m5apk0EswXZpzWWtNwBzqZmprsR75sNXlcd
CGo0StM5fanb+jESVb+bqay+K0hwfzaKrLlSqxy74Kb/nOELHFLnpGh8a9ojYjMgdUr8u3LHSINk
0KLAMFYVEC8T/5UyaaxjmRo0Y30hrASB3QHY7LSixW1O9NBy2TSHoYQXQEKe3K7iaGiJuXPMWbuE
pPY8KAWMMEfvfDQRDF9nFrDLJ3W9WgXbqakI9rLMqwGRBWjR8n8uThmWNSV7j9n/MbUAFM1Vlvo4
1vdALwFGdFgZbOYiNslRWqwxy5yTd+GNjbr4ma0kbP1o4QTYVvTm8frZIlhx0XvtY+EBIaOLvm5G
UKLXoyGl/nFlQy4cUw7I4hGXB45c9fwy4HX87hWQVKppw04M1mVRj9/iIp7gTYhkX7ZgGKYZSA4F
1PfGmbZZvHwf4NCgQoWSTaKoHUYrGAgrbV/4rAYBKLhKYdqq8KTNGk3YSIfioafGHjAs5IUOTPAY
43Sg2jcKupBolnDOAKIGPpTiNsI3jZNrlNKu0pr4a44T8J7pEvKUCxG8hBbiKT8bm8XnTICodDnQ
yQflCWK2y3rS6J+u5m2cZzr2QOoBAGoeVDEhU82GLgDNrUhpXqRV55JdKyufNW8wR1sJS+mQvmhz
7WHeR/6k4W0FniJZvhi92covvPpTwQmEv2L0MmVKjWKvWzxU7WBemSvEbejSvJcOxhotjjJvxfd4
9ST2CtuG1Xb6MK9JgpO5XXdTTsakSq84RMB0ApeM41BcsYzinEN911c1q98qI+YLQwOs5VTRI2JI
ODDYpi76rhwy2i0wE7EpKrR4BR6PPn4ljINiLzSn6RlVcDfMq/EWDLWyjcD9MBgdCZocBfI+R1e9
1eg+hB3M6E3Eab3xSLMHLXnOrfpRzRHdHS31tgMPtulVhxWadPMl6BQmiaqU/3bim6qYDtgQf6OA
bHfqaImrTtXFl0HJv2acaXHvhK2+eJegt42NPmX5dQbMdwvW2wVw15Ndy3C6MpC6xsEOzJrbN7vJ
cu+NNH9ulvJAgoF2szMLskDjuhHkNYrmHdDItqkbsRbs9Qmy/VwyL5q2ow6KvtcLnjUVmGlMWXKj
gjn8epqC4omI03buXBQmK6wpWA2D4tYkWLxTJP55z6bjPtRGJa5iJZ3uy1ZhWIYxbKDL5lUaw0cG
N+MvLnEt6shz8jaZj4pi6ANIMBmkSxKncWzIvbserTqmpxQ6Y4PyL/yfWtT7ItbCSB26C83LXiol
eQER94gXEzPZyjrGBmvkdKLjVZRyRmTPrVyrMcvkiMUpVR45AcU1oz1w71uFG2aYwJlZIUIA+I+q
ZZ1pEGFPkQdDLB5BNFEvTMP0KW7YUmgH8bGrvgoRBI0uFzqT5DoFfkB2D55pGFO/xJNOidXRn52E
7I6Kfns65dAXqg7paJBGmYuLG4inHeKGyxQ6a3hOjPVbaTjJD5HOeE6gaUcHBFVjTNkZOiusJm+J
oqdi6vgtonxRoa4946taHQpOvdPqp97c9k6WXlKsvtCE4KkK+86d09D29NsKDZ59F3FyZVhhyUaV
Za7tfoi98dpCgHizYIu9d2LW51Dro9+RQxEU4uZWgDfjMPMa5MBBF+Ble1xSwhjNyHxbOojM51Z/
qQxrSsRtrhZ9Xbdmy+WXwiVfhdyLtqb+qRBjuRlMB8YN9Gnci+hKsdo54pAc8MfKvD2dvd7MPk3M
6P797sIJB3LeXgDAgLQvsBNVtWV75ZdW2ZghLR9nSx7inUchbtCwtfr+sQUhgjRJCQFB0XKegq/c
r8W6S/RyINQ0D1b7p9s296qbauxhCl2ZZgyOqmxtx7nPx/hG1ecVJK6j7JmAD0EyodMAJvfGLhWG
/25PAtzHX06NzFON5Gj6D1wzkxdUQkbf6u1bLV+rYFJ67aBj4nFpN3MJwA1xBoxcSEodaqDeIIYI
B7o63BtyLwXNnlMRNiBCcje4PzJoo1cVBnK+GcssMIFmaFPzBlbsRhe5ps3/fouciQCChYBcbLoC
xllHKivSpIzZKWHUUXLAfI4uO9wr9zauCGC8rIdUtlJ5Ps7/ge2mTSSN73/W3zTFpIaNA3wIEx76
ua+/Km7mrZXq+RBmDvizTl+TfSfIkxIbD51cyYBtA4T2sdEzPmhXSbzTeb+K8l3i/w0CBr2k15dm
Z2tDmntD6LYzzDKCegDORJPAzzIw16b5JhG5CJvguYKVyk09luNnr9FD5una4/uvQXbg3ixufDkA
PTjI+qhnfeBBH9Qmqac8NGUQkA0Ds2dLO5Dyt8IyYcYSXd+/pHy8s0vSH0X8gfGEinnV2eMbmFVR
bkZDCNTH3Rbt4m7bmH/CFfV+7gQUqgTHYPCQBfLMY7l//+q/aRYyJ+AGUNE6jbJev/ySl2oAa+rD
1iUZy2no+IAOug9W+G9eK11m3bItl77nmzEVp6mOUreFlI+WmjgIILMnsvmbsnTHziu+Ln2RfnBF
7XcPZkiZcfrbGnMfuep+CVNtJWLSkrIP4zTrrtCvxFqqN8UFIYFWzuSCVKfmaFS6Z7odP5dzsYQj
yFGsA2FBFWP6Yy0e3n/XZ9pODOtMOUe0IbYgBPhmcTVycOypDXssz77VjbX8/Cv5zTNyvGJuj+9f
Tk4Zz1aWhRAf6HFNdz05iHz9CgYdWndU5V3ops5R6NhnVArGX+hDpL5K1rzRRvsJd9UvjQp/UXXg
GdrKZkyna/B2P3p3Kjarla7X79+WnMq+uS0P5AlLna0NcvH1bUG5bpYYoA/w75E+TUHybLeEmkFF
2XfQgdjW7QGJlu5Po5dyBzWfSElAcKVK/aiJmcYUeRzCiaC1MQxYSDKM46T1Ak5b9t3u9lavzsFq
koL0zoXRGbc6Oc4QAzMo4yEDixhvE7wFfGeNkdetmC3JqWMObm2jq0XmS70svwMxA5oMUEMR4c+k
Ahzn1dDKkmO708GWraq4eP/d6G/fjZwkg/00bA9w8vk819PGuacwbELERGaER3HPdfoYadmppC/m
tHApEyOldYAEVz9iyiIfk9YqjkktGg0udBxg1ViXYpJ62aiDsrVUpkSjzJtXye3syhhCDvBHiI10
QuPyw3h2Ugl8HdAcBCt1mFMWnClLlc/4y86jl0GcFySbJKXdJkM1AawWFLzKEY+DLl2F7PLgepbY
apAEgFOkOzGhJvH+q3y7+B0Lwwxb15ncozRwtsqQ/jWaEdkctJYgmU+8GJ2VkFaj/cGFzlmLbGtG
h4h7wriAFAes/vXzMgWJWr3IYbNWdAUz8h5tyYGVO331UqwdHQ6HrlQqu8vtPNSYBqGerw8eWPpy
jIOpSZ51SniMmfWDU1Lv5ZSAvN98W8uasaJ4p799EAazeaOgDQeZ/kP9ybdzSB7CYwBqOSpCl+eT
44rKVdfWpAmTrtQCvTDx6MNOGIIvWSfS7S0uucMPWS8tOe2noU1eltL9IGK9DZAOsAjmiYZumG+P
iUIfOqfRMGCCPfDT8Bb8fXSEKQY4bP60fHQ1/e0EywGD7XjMfQ34jOeqU0at9VAA9Yb55RTv8qZe
AjmWxJoK4SsttmjgklBDLuKIAHH3qVzrx3qu82skT+gKqPFz42rLdWG2636k8N7kZk5lXkrz6Kgb
YSdNn95f1G/PUe7YkoNixyainwMJhDU7ZYc6XOgoC0KXXdMHCgBjnACon2hlQ99Qiw+Glr9J+Lka
KwKVaZWwfb6TClIHnKb0OowyGpstJsIU4jP+BbU5o/zf00+NAV9r+XDR0Z66wsv59tQzpN+ubKGC
q0Fa0UKIGBQFPdKENEIN7ZLWirbDyX7bIHpCdknZbVj9I/o4dNNlT6RCgQTJcc/d9Y6MZqlFv1aO
X0x9SG9zKiq/rI1kD6UcfYscJXmkS78ULa6tGgpsm0azsc1m6LBLHJnMR5MXWnJCCcAeXSX6JKfZ
Rl1gScDMDc+w7MVOey4341SqRd8MZZ79pukmnBlZhu9/yt+GDdswAfDYuqmC2XgdNhpoPIkwCRvx
0ic3KCTTFKB82emWiQAUfUzOQIrc1NOfaZvTzbb40NXUusGE6tO2ssV06Sz0iE6xvtQnRqNLisGD
2TVW0Pf619No02w0KHNMay9LBgrHJOMjvP8kbxNYl/hK8griRNVB/r1+EBGbjGBBi4bgeBcEFRDK
Lh25JcxkvIqFV/qeu5ZfTaBvgeGM+Qdn5rmAGvHX1U3cOcG8AIdChfP19T0o3N40V3WoFkzRal3M
N1pOv98t6IQbrWc+oB2IFpyR5BcDipRBbnJCzgp97FT+E7ycNhhUpwxicJshZxcTJYcBEHIY31Rt
wBi5flSQtvdP8wdaG5pCny+as20SJeLRauQ0wKLJntGUDNVS9vhm2c4FbXsr2sl8UAsLjRrvIEY9
heC4WmgCElXK2Hvhf5I8q6g/zS4rwgqv5jB3GDe+/5F+k1m4Otm3K/X1OJVtmS//ciqPzOqqDGGu
sGVIcRoQwCxkJIwKk9+kbEOYpBCS8vViRtBtsyJP5EfpA8OD5uI0hlnVAeCUQIiG0/q2kPGtte/h
O6TMxZuvFRN9TEKZRThquYTv3/3buAcNnIyCfa9Spp7XSEOvANym8RIqrhlqEfNFGSryhar41I0q
ovKDqPcmeXZYU+SnFGUQiTnYz1YVZg0RymNUgrS2cWNreql5zHF8msV0p887MBQaiS8gOQCNDHIM
OPZSnRIx561oRb61ALNILspHweP8oDzdnEVey36TqCH5818+pr24WaYAEQ+hkiHlILgHlKuYAjAu
K+Rbef/1/+ZycouDVDI0iok3x07eWBhr1Hk4WXLVOuVhUUiozI61Q+34UUXsnmfBDjGOiAKiEyAb
QrhnazURI9NGkSZhkiTWwYPQQywUmJKZcKxRfcCsEvb0Nq2gARikofvUmqK9pinV0axN58/JLL2b
bBz2gNY/gcqdt63d2xtzQrhwYo8GdFe6q8JtUMVBZgpVlypFTwPZv2gsmW6ufYXPN788HYUtZ9e3
Ke1wtMsqbVdnGDUqtV5CPXSbPTWMmfhKnU6BGVuZrxrJeDFH046OZLsVcWuGJU4Rl2A5FCYq+adu
UU2fss0IMYvhHWoixd1DyaAo5fGnijp5t2KXIyV/3GBI+EGiK8+aRNtpUzvcLiRqu7KIssBJqNQi
aXGTk9HRERS01VPm1EGVl8YlAFULHFjuZYFdttWuaswUP3eBy2BpohWAz4EBNLp1MZziHpQmArCt
fG5681OcpDryb0N35drKSvtn1b4Nk2eEvZNbH2w04zxRxxGAJAw5ZgpiW6Vef72WvbgVnlJwyoOg
cKWIItPrAtRI1alMtsmlMr1UPzVtW4VRM5lwBhbsiRr5AWvIpq7obeYXA3m9IxxUlYrke6FnyBkC
PdxwMti0lEZzuyioqbkESCzkRbVjiGD6siuxc41VuV/qyTx48tdndf+pT/R7ywFtMs02SBJrQFBG
lDhgZJ37QcPpvE0B7I8NxQ4mjyHQqGdLncipWUabu7sEPrSAik6L6IPdex48T5dwQBhaqLWiqnH2
gqnCLBoBsQtgIGuCGtkhfxQjZUazAgbpjZZ3o3xUFZ0nBVyU2ImONh12GTbOIlSMTWlmJ2h4trXT
bhl+Cb/BBZCxW64BGGCkpxhWd1Ejwuqbfd590NbSznN7x+CcA+dHAk8/lY7L61W1tGUxZtJLekBK
g7l81vG1DSQTM3nByPIuGtREQ6LdPW2HPCxMe/zyftQ8IeB+LYRP90CLHH88F9CvBIj/GqXZNsLR
hWLvkM1VgnFpu31pGoJCXIXMLsbU89NS7Z7gb0RHXqR5rGdQp1Wvu5+V3FmDBNkev5vMbDdgwvOo
djqvsu3I7pJmV2LXcjchlIMll8Pj9IlzaFvTljqd7QOKXjGMnArhqMnrb6BANAgKKsUHyZcli9tX
z0gCizyKbRi40EC7Pkv+FvTFzJYjdDewqw6TIead2sSa7+Hvfnl6CA/3kht1ip1Dl/ADBo+RjwLl
GiDdl/krKVhg0IvwjSSK9x5SrgihZrAiwHNh06S/ILra7ZURv4wB/+AgjY1bhJuMbSPS8XJd0aQu
WluAAFgRRJ+dkak25kdWhmrSardbyF8rCJ9aztgrZVc2+hoI6XyGMdkuF213nPmbu8YegVgk8d0C
R963o6m4WdbmYRWZQRAaLq0J1+cVQetN3CbjNdJQ/aNSVz/eXzLn8u+uw+ukCQ+m0qEVjA796yXT
eF6UrtRNuzgX9E4GRfiIcR3SePqM9G4E097UdmuvYZRsL5Gv0/HyM6tx9zm+PxslpXuFHT00SI9t
llVjcoXAh/rULpnDeNlbr/gt9mFEA4yJsFntaSQNG166Hebq+H2FJXtFlaf6ag9kz+o7c9fq0MtK
oQtfseuHAenZ3Tgr9yUN6SBfxUeZjfkmWpkaNTc71rBcNrB2tqCytF/QaSmsnTZyeCO7bnzT54kh
GDcecYK6OuJebh/2E7RbQykxQVvbBApf72KamDZBlkRS1a8uv6SxhHekbLscuy84o1amIOLasDDt
WAkE4LhARRVmu/R15mupm/mD6mrbRQzhvCTIRenm52k0Hk1FQ1vZcz5HSfqDWgeyJfOpq7JXHPRD
mvE6rlL3pief3CYFkj/eWFCOV0kTlNDBQpveQGgy8tsxmGShj1wSmrOxfX/xvMnSZC2pwWjyZOx7
kxQuc5owo2Tt4I3yAtvAvZF7BW3zzJ+0ePygjeu8ObmQ60ZniSyCdg3igWcJcjnQq1KHnggLnCrI
mEM/AixLrpq10ny0K+cdcnbZMbH75EpHE37DdLlldMVLn8eWDN6dIuQxxj9HLzpMsX0drVa300D5
zPblAictaBf29ZgBeeXP+g05YaB4rEuRcXzoE7uZtP2l7tr1Vq8B82ntOv7U6rrbDwZ7oKEoPGSd
ipYmAgo79I+mL9NYiDsG/lGg6cl426DZ6Js6OI3c1Ghx2WuLFzWlDWAuD6FQ+7aHH7P38oXIseJ0
UNqVcxCwK64nlbCMYXe+6+TtMDEtZCI+fsFGWgm6kWNGQcG19C0dXZQau4WnFi22o67W2JxjfvnN
iNChBsTMODtJamXniVIay8fKruVFbhJHs7cJvSAyUDbE+kFW8JvVwiKhFyPx6PKUfB1pOtsu8jIG
FesKQDmZxfsTjcXhVJt14FhsiH93dTJVBJFOikWhbp1X6XZegQxea2tXlCUJSMNuADYHez9L3X2y
Wu0Hu0F7m1hStqESRsULTB3VhLMUxAXe1upxbO7AMRnbFEdKGiyIXaclg6hqVZOr2TPTbdzZOxR4
xV50hAsbI8dtDanbd3Bv980JZZuZyhl3SQ4qdeRTq5gGAErQ+rBpeZTUrsVd2RGurUoe7lYkOHnS
4gbxoKdFhpG4siIpRc9v14on8IstTtegQrM6RVmf3uQ9jkndxWq718WY5DumDC8tJnbBOlkviJU/
6Qn3rqj9vFvcaL2ir6VvtWGmsVKLezxUiVQKkf90tDY5qZZw4+QRRJmx9UoA9yjLo9QiT0kPufIw
YQle1UmhXk292aOjLk/TMgcM3pCXwK/nqC2HdaPKvbroxA9RDstztRLf8pF1viKsFeRCYAcxkbMj
HN8EXd60D2maY6xZcWYWqIkxsHDqgI4L0u0KcszrgkHZXz8tWO/YGmE34ChU8zXIkGDQocPOQAs2
izx1s0TvLsw0d9gshItUm8gH+nnlJc7dRdKr7rXWMsAfoOVeeH3s7tGvHq6rhD+ixmQQVeRhjFYD
/gbzDRc87sQRyU3QHH2ED7l8TMXSsiOCjytiP1q3HRACDOEoeRd6iVGAV+CxUqz2F3txvpfgdf28
MPULdud4gFNjbIlgrGJrccOxxa7dTUmjT9vds3l9IE25gsIp0HhkOgm0dD/xjJ6inc9x2l3/Z8os
/x9SOjW4RYZO7fBLnHnj+3P/EwJn/FQ9/Urh/OVv/kXidLU/JLvK8Eyb36ezo/5J4nScP8g1HCQn
QdFrFjJ//0Pi9P5gfASNzqKzCpfGJX78LbmiWX+4zJY5ZV2XoQ9qhP+O5Aq/8XUSzV3R8KZWORFp
DALy61ic5qBLjYwZRKf2dzagMmlshlZdjCAe8MzpZybp9Qojw/1Ql4uPbWe3GxPb2NtraSC/m1UA
GqkugWFrk3Xb2VOP7FVUIXRbl8C68/nonESB3Rjh/chD8AvZsB8ClaLdWqAdyq9s+ucOJdkOZ1NS
tI2YU/vRtrTkoW+q7lqCxgRbtE+RPyZLunJohMHFmXpaYjF293sqq3aTx5PwB3wyAHJU03eSWbFd
cLR382l8tPWSbmtNBr7hdaScfYuD4LDtQsFW1iYnzWRAj51b9qUqHbPxq9bGukAvZnzvFdNVKrQN
4/JTPptmDR5KaxB0VTyU6SI3rcIZUZsvlVDHr0x81mUzO2lPlZdFUCTQWma2m+foBwDgPy65mJg1
K7ON3iwD1U9oFY4PAjF8sHQiVa8oySookstRW7Rxn2rd9L1GWeSbYhQdhkxF133CI1JJgqkqRljk
mvUQqdhR9Iah3Ce5o8riIEfDjYb3xYLQ+u0YIZUhjDj+4S5StT+2Z3njhbFrcu59AMlq1a7Y1wPY
f7VI0erjM1fP9tBYF12imoLxs6pzk0wiN7SZalL2TPukl15UITW4MLyqs7jYuIrRYw1kp6FuYxOK
PYy4MBO6QmM3oQ/YqVt90JUMv57kbphTfDOyeNQ2HB4wQKmbOKqGdXqCo5tdYngwXbOgBsR4bbdR
QruklRJLuwPQqcE4d3WQq8j5eKuw945Spg9NV6NVNaOnpil1cacoWDiU7oxjsOfGYV2iu6L0k/Ep
8XKEed0s3tsI21zxRTGwUrqWPCtXv7Xrul4mZhzdAIPMrpeMhYozjfPc51BRVIOQnyMtsS+hhyEa
gey0qJEmGxik5POEhqNoviD5jR/I4JpPqYbBc6oK048NUe9IfTYk4t2feBh8RSd82WgOyCM+00MH
XBWV96HHThAqcfq5nKe9QImw0TUf0u6l3exiZ8XNFsgpsw6YCe3QDHurAqrAtFLnuGq6OL1nHzjX
HXSZOy+3bGmUO2eXRaJEjx081Huzz8Cp17Rb3ZA/lGI1MBtYM6WiWD7rrdruc9bUEUoMp+Pc9xET
SA9lE89o/h97Z7IbObJm6SfiBSejkZte+CSXS3LNUig2hEIRMs6zGWl8+vo87y1UVQJVjd400EBv
EglkRkhykTac/5zvOJuaZoS3pojDswDucfSGnrufrdsUovrM6NhUHRP1upk2dknHX25Vq8tLGScv
svEw7085C4WK3AG9X0T2IQvz7BHcZLST3P2ovVpj9dAtvaK+GRrx0xLHtmMAC+YxSCLz0eVFd87z
cD5ZF7Mop2ss13NgVv6mir4Yo70n+pHkMV57eI2A+MxLnCz+q67lfIzmxf5Kqrx+sZPf0oESFeEv
nu/8G4dZwOxPAIvBR+pnn15ahdW2X2KwkGkm5X0R9vBmXEoENkFRB/2hpMn8alY9DRS1SLMriqqa
+6wsgheD7HpKB+E/l/UY4MHufb5JGHCwa7QHgC/qvb07TCq80q5W9+tceI/wbCK4x/l0i8JSfxU8
wvxW08B/G9txuiUtEuxTD7cnZqqcO2cVn5umXmkSGSzeThmkLpmszjtSAk2lE3VVt5CsSzx9QlAp
ODie9+KIaB73MqoAqxaePEu4sI8xuIqn0F/87jK2pPCmW2f5qqrahfuPg+FrXtt166IWbQnXFf12
EDRv6PhU9FbwztMbSk/9YgY6OFCz8nruCeWB1jgFbpUd56Q5u8UwOUxGBXUJlFGRb5y84xJ79WNU
UGAueHH3o1vnVwP/QGtem+fRBBamFNxuL0/uTZGru3Kp468ySPK7WaWwFX1gjP1Alk5FtX+Uk3B/
lSvVGsaIBQECBk9WC3nDMIXfoa+i2zTpserqQm9ZixpqGy3I9FboeS/r+pc3Vu0eR/RwpG8pency
ILexfi+iqrvi1c+uvZJLUe9nO6coze+wzf8UYyf30ejY7aUgZ2taByN20J9yJ6TcSAvQoF5+72NR
3ok0chjeNfJoUceuIdyeXDUISiWixd1DNLc/LFmJDBu6Gh59UNTBTimn2w+hv1ub6mUFfXWgsSum
Oqn7UbmWOptu8naEUX4VjpmrE9ctGWyoDUVgV+FMHlSvy2FKQ/PkmbC4W4zTHeKymy6GrBusQD/1
0h3DhlABdc4wpJZRg6RcvHPc+rcePBc0/Cx2OU4OSQYyLWkBLEpd3PhEY3Gvd6vNIO+ktHNkLv+q
27C+wjR8GsoUySoVtre7NXNdClfiydZYpubuaIbqs7ZVfaKHQn8EcJGSbZrZ/K6wk7lqMq93t8BX
+yciFcPV2s/gmwbGc1tpFoSPTIFP8+tB7WjCwzivneBPjU8p37PFk6ELUSM5zDiq4haucwM/cWQf
yP2xxdUEOH3crlURfTXtqO9lNM33eZmN5FQq1L+ZTSxJtCXr6d+1bXzPj4XEzzm7eAlGtw+2HOzn
lmzEvLylafY74XGnDSDacey5I/2lD+XYF58siP1THjFxbSdRM7YE38MP1fbEMJT/WJh8/XAUgE0l
KzpQguGvQeyK6WSe7DZIhvkOAJr4Nfpl+lPxhSkSAUNzsdFu6tqhnirohtdWmuZIpnZfjXI8RdyU
HroiVW+lqDvItNzgGC5WP2YTdgdfrljn46qp82M1qeE4NwkJGtMNkLa6BiYH7JDmgT1gvgJvZ86x
iNeTz4HsLSfoBqvdWU69H6tLkte97rjIsiFRA7Eayh+2sZ/H19nAZyWSaf3ye+EeY3UZgos1PYx1
j9uo9miDyehGmspXG5UUQwl6OQQ3ry4Ydj7asnTRZeKFRAlcS70n2/UnYHLG6YRHsaSZBCoK7pee
Kf9EEVFIG1zk20cn6INTyxjluuwsE7k6bT+JJHbbMeRIIcb6kqyhDhLIHPb/lRKgYojjRyJ62PfT
fkaZHSH7z16xyW3qHzrgVztzuUvngX9WRt/4vv326PPKN4ZtCiQf5+rfmqhvuAoiLD5HrXNStuGh
gatEH5zKrhAcNu44s6skg2deJtJlrzbU1XbJFwrJvOXsqgy6W8Ik183o5EjNQjAVGuC+TLnM2bAj
K8dSBiA6WD74Q2ixtVx/DfG67FOIqwfIEM2t25XBO5933BFM002JaySXh46Og71QLog7cmgnmUr5
2Bn2cpww7k1Gecw9vuCK2qk1fcTZEN/WJMhu8ftC+gbjJR54QxmHUZ403HIPqcke+OLP6i6KmUna
3AeL752F9qOTHirxJ8nS5C66UAXyOcufgwE2I+iGEHx23+QfjldPdyybtMCt5bwbe/mltEmOsikq
ws+FPk+hF3+E4SWwXzSA5RDoyb7ZoOjuOiYqnPzzIL9uazUiT4nOsnpMdBKvS3OouDodAfRHMGal
fUqLgnKRctCnNpeMNJykOQVLad9mGvzulzr70UYyfWC2Xn7Mbkyll4RMZksmkhSQ7JH/yPnlkbev
h0XtEFHa8yALdjqmlECxA2/fuCzOOqG9npSTeHe5yvAxx/V9r1nwOD+2P7ImFz+TpipPnqKHTAwU
bMbe1EkSm1rD+s9V9kiRqLOtdaSZKa7LV2ppISe8aqmH8fnKdjSHUbKPL5I2EmZZr9Fk1HsMHnPr
13R/aQ5Ew6CuV1ViaJ0wS9TV58L044EddXExA9TtziWvvCldZ+cSyqesPaXVq5u/clgGL2XS1adi
mC2PtTHXgfC8E+nDau+Ppbtb6jIl+w/fy+1YIPsLH6T6PRs3+a3iLrhmXEmkOrcuak01fFknszcV
DGcS2DnQYX9unau0Ju8WIygdQGXy8YVzeO+IGHxjVg4Ps24a7Fdt98vlgTlrgC/XhU+fS+4zNODq
w3EClsJxkpYq0sQFQKhy+5ym+ch5oag+Sy9Z+VE6KNHNmn1xGfOviWDBA0idcGMSeFiOs85PpVmB
epGQ8T4a2To/6UrThz53u6Mgt0whe1Jho1iXmkvPFHsPA+7tLaSM3RjTrrQ1SVIe4s4CVab2IWLU
DYJz2438vgRunR+2WWaerDm6ap0Gt2mq7wIn20YYpmTLfDzSEcWjefwNKQ2fRnK7NAl/fzdtF9Og
UOX+luOpeyqjwSWNU//p5+VI0OIlvnRnRZ7JofsFZDGrxh7HWKqDDYceqkk7XcN0mD56tzWfq/GG
fSLT6M0BEHXb2jb9cjgzMT/QjWbwKpIrfj0hwpyRd8FadbfRFNYfMk41ZyN4fa3LkVYHjsMuaBfC
HpWfu3S2gd/BEucst33TsMT3eZ1c+UEmNrSEAmWltCo+pEjjXy4QbMqVRoGQRnPPz4QkLbMhSibf
Oo5I+44AzXma1+oHeQugZlmakzQJls+oIeN5wRR7DxVttqxlzfqoHMecSrEuj3BZZkTOGbxgAhcE
kDllWitKxVNSJ8MnsDcCUsPc/ejY31jix+BaWpo2o3Ie7uKJYcGmn7poryfyOH7at48TkRaHE4sB
KLcq8+I00Sw3owkpOxNttJ81bG7Cr378UY1BfyVH/zsvm+QUZgwLN9bmwUOswCPMkGLeLs1FQEOg
cOxoKdGkiFcf8onvH6gTqX9oUXJyhd750PC6b7Kpas/pYMQZfOaKpjmudtdmDY3KdOGOD7BrunsO
1wV9Lqq1x6HwL9k5NtEnWOZDsskzUV3jECXd6K3Dc9Fxht1whKuPNYWfu4RbzK2vPLWlSnJ8jVw6
nFsgRFs7luotLOL8Kh1IfGySlVLbuYmoaRjn9VRzPDv1/Tr/MGtgXhJOoY8oo+wmaxG81f6SnxLj
Fb+U1OxF6byexSo6Ong6V90OAP3umtFQFuk1aJFFJa7dziw9ki2s/i1iqPg0IZrkJikD97OOvLJH
PKBKKyyNRGspkhHhYaL4aa+IzN046+jtgzbmttuntAdZWXZ37OPdR7ak3ZuRvdivXcjFAIbhxsZ+
ex/EYfwayVKegIHiWtFGYDbx67PoLUesYhrLfkO8zvzwJO1Uwi2y+zRc/Kth9KAX+nMZfawexU2Y
jsg9dnF141ANcVPn0H83jg77vezT4gHQguJXG3/SS8kKVjhXK6LVwbXcwfk5vK2PAcRA+oxSSkJh
Cjgl4ZaL9uBB/4XcT1/14FT1K2HH/tSWpPD3zTpFv5yQ+8WyFhyXkjKifkY6fT2hWXVMRnN4//zU
HG+daHnO06K6y0NGxsKnhkcsIe78/y/tRh6Ka3gxZfwPTO3sk7Yp8Hx/k3b//U/+S9qV8PlAXzOA
xL0e/sXM/iefL4amHcDyusTKCNf9h7Dri38gtcKtSqDB4hm9uOf+Jez63j9YuS6YukuEAV03/D8R
dhnI/V3YxRJBQQ3mOb5HQajjvwq73NcLlToWprYXrsO20i6CHP3vcOFHLUD8uFxJ30dl3Wo3DpiP
991YxgZw5qC83Tj6IcJH15vn2cV+tZFiEgeuqfVdvGgU3jmbntoZabjxWorNBCPKTQcV9Zjptrnh
G6p3ddjOXP81OXwr4nm5jVr4KURwm/xeaEKrmwS5Id9dmkSzG5BO4DEKqoSfwmZiAwFaYC376wXR
TBcBqJxWwgelSDGfMeYjUOeID8yAwB4JQ+98WjwZLfojxm7IHN7S/GAMRhBXp57+zQ/HDAU+Bqgo
FegXOUaCYxTkiBRpxkvxF3YSxukcoc7OsCsOnPGN4qLVy/aQw4lrycyn+TlnC0GDy/oQ067EWHTi
jhaUG26E9FsUNFrLY4HDwsUczkl2nw5hzrEhmiNaDLPG+dnqNEk2GF3y2xbZ9LOvdX47+sBJN0Pb
yvxmwRi67pghTrgfEAujv+ZdFK6ZNP6h5lZ/VH45h5wqpvaPvzrBN6Ftx0Hb7KiKWHNqbCmTQV0W
CYKxHhNrNzSelEfP8ecHZ3XMIzfO+iuosfhtyyIDZmL72fkx9iFM0BRGX3sVQnd8cHyRdjs/VFXD
JgX7Yovnr3ppg8rgFpvcCe/LGnXtdqxi7zvCZlzh4/Oqj1Vi4jhop08oGJQrvRz4/IJt1g0D1Wry
wgvXqZPceDkpK7R0A1977B8663TQSQckmKntn7Iids/9gvl+Q5VFPUPqFTH4jrr7dMeJCxQ0X71F
ZGBe0XFHhaVAngtf+/avADKUXwPJ1Tb2agr7FtSbZw/IB8u7tKm9c1WTHPFmQNnq2vw9TLCnb4I1
nrcMZGhRSqf12WuX5aFROIvDifg7x03KMpHV9hUkqW3YoTbpCwlM83ddcZWHOebN8AQu0Bsd4vdW
4yWjsA4+RjfibH9Fk1s2XyACU3v0a+LlTRA1V8LN6reBFk9wEsEr3n2C7BGZ8jHh2GpuDNd3LpI1
x8dhnsunxIjgOr8A72YGIrucIc5Nn4JJSKfcvlJy16HQ6eVEvjJgmo/TvHcjamGji2nfYy4LFcOn
DoJO9PXxL2CPbYrlnmc9uOo4e3e7rBXNN+zK6ZE2QX9XaOE9r2pe3xzqOI6VhAhymItemk2wdM1b
lVGlErYFjPR20t86G4o38jbX0RzrY1jyd2N+ozBuLKfowfp1/9H79fjY1KH3OScpJb+9L5NnQCuI
P1mVu9ui1iLfJKwp5WahF3s/B3YFSxj5n/NaTFTcOmP46vu9ug8NBJFhNvUvRrjyPh6C6GeROeMe
/S9VtIKP5onQbXq0Xe5d53Vb/ZZjmlhIhS6q5+QIe19ION9wAIru28977+3yILwAe1y/MznP3S6e
3ep17V35aOvlQTI+N8SzpxqTlPBmfk6nxzjrx95HEND/e6XDpaGBtKrScxBIfbKsEU/pkqs/NQB8
Ut1mse8lN8RpM7I0H4OoBGJfBGnwXQ7tChMkCfpsM5Z+9KKhKoMK1RhG6IBST0Otms9oIKjkG910
9HdRwuXmeH22XUKD4eDFy63w1cT8f83XA/O1ZEcOhLLHPF32GBdhvEc8A8Ng+wONn+60oWZsOK2u
6CmrqgaA+I2nQevbGHdEYzP9EHsBB7G2vFwFI0GMk2P1+MQVtr+inJVQksn1+FwUfb7HstdfU0oV
3dA1mz6pKgw/YNaUJ8bx6U9nHp/drl5uC6Vn9ErXFo+0JXAsIvyMwDKuPsylQOnrchloPvIcpE7P
s8FtxEHvrupLZBgvSrL7UizJmbgnQclidbhVk6dZH+cIuDVk74lSZjev4Nkp8dMH4LU3RskbL87c
RwY784lYXHRb+aY+5aWuqbfXWbdnhpPc10jDR9MuFCIUAz64WRsk9sqdc+gMdEY6FP7CktrOUdIj
1Fn/NaIm4VH1hbrxJ4OHKEnrz4Uc/6dTBfoK0DbfM1rQ8NubsC0tbe6/GFxf+zVs5D6m9/BWDUP3
pVI1fyZdgRqriBnQ4+VA59qsZh6OEcWCF5BYRXDRa77TEag3oxkZg/CYgoPpA8fufEFjwpQu7W0x
06ve9pdP1ALM3shZMHpdrb3OMlM+OpKYOVeWmIxSvpTst3GX9OckY3nZ9J6oaeCYzfzJ1JHkFRHY
9CmbrP5Gkar1PYErBOE25uTO7imbuzTHktTo3D4OgO/Y2YdxeGxacEzbEdYcZdOFDLecczG7G02u
PzJReR7HRR1kVrenjPrc6oIz9H/Lek5J3fp6Bp4TBPlNIiy0NUBtLkf7Kn9jz6bligrAqUI+A9jT
CEfcVHjqrxK6+14TdMitJwcNu56xJBNKXzs3VZ6u7nVuxuYlaPqA8g+KyW5W+CbhTdbY4L3t3GjZ
LYIsEw4lajHHpj0xuETPo3T0aSEKdArRwQ/0h1CyECMVMxiZH9YGIdlLWHSh/03Tu0j69jvDL/ru
zkN0VdG1dz2ucbUr1rh5StI+vJVD4MNFjcboffKxeNJ8F3AcEioU6XUxdNFdnmX5uUr78r3FKXDH
gQ03f9o3ut/0xNZvE6vjj2TNmYAzK3dDZhRIqsuOWQOPM/CQHWPI8MUpgvKazGsF2SbooCs0cpSv
OIB0s++qJL/KRFl9NMqdce2y7NONN3Q3SeYl+wyuODS01V+O/lJlpwii2LXFyr73pz66SlNcNDrI
CNEWoJsIIZif1reEmfMyjNDPZfkRW0BVm0wH8REUVHwOrM4oivVc8ycVY7LXC/YeDkZ7t7v0kQfj
Z5PjJ51nHn89leKGkORLaNPhak7MsydN9z5cYMoGNq7aSEMrPTcl4V4tzkjVQVup6jnnMXnvF3eB
627WY057CPnAwMuf/DUxy0lTRlVsW92RxG4CP/yRjJP91UkE7A0wRWfazDCkBrafdNTHlWaKbAuK
fNhCwpMjpX9q3SypJhcO77H6YKQ/8yEmBq3SZ/skqMi0ds10+VDYhjc1aW1K2ZbjPADLfqlcJR8U
9p8X5qA0ZbUB5ew6xIHkFRiwWQxb6E6idl8mBonHgkDNrmjVcFBuBoAS9MwLKnfKR35YQ/73ehR3
Y+26qLdzuJ/rgcAsUP+NRE65rj0YJtIu6mGEgrBzIu8sqaE7RxyVN/3gzo8IIfltuVbeoXRyBCua
W+1KNY6fia2kDAERvPUPuk6Ks7csw63qL9UDDlRTlIZSTXfDymFxM3CdeRNGwEtbpzYLdr5tnAjM
pTu9AeCJiHotoXrrWevYwax4gqTlF7tAc0rEOYmNYUNLSEKFFmbP1wL2xxlzefag5HRxNSlrSTfZ
heo1bJw/gDVFrzA1LRXLMr0oRSZ6A0UuHlnscCfXdPd88AK7h8DO6Iu1Qw8H70zzjNag7tC2MdHy
ffo4B7r4BJI3+2a0XE9AX6iu35WcN6/RYii4qNYmId8up9E9dqRNDyT6x+xIO3vQsGpaz9npUUA5
U5Xf99vVrfktTUoF25A4cb4nti2AyVL8+uk44fjcEJCnQ48z+66rm/oeRUh/tDJCmO2Nbe40U66e
4tEJco/DEceGxr2Px6j6GEvstfssLIr6fmwyF94hhBCxExm5Dmi3abrsCPAzPnGbbAyOS+eFiD48
ysfU+Ml7KjUXHSOBYG0wbFw6SHQ/tienCmn77JqL5Bat3vs4OqG6miJcNomdZ+aovspfWyeu7WPd
DjiwQ7K33+MQkojDgzjYQ+pOUoFdYtxDCSgPx/0UhFw5qqolrRtn3sqmV6G+UOH2xDszb0RAkng7
ZStnDVb/mykzx0HXzc0SB+E7y5J4ilq2g7xIk5vG2Ol5ATcLXbpa3+dVSYdiILCILL8FqhulPYyS
evCx/5fVj/9cVfC//l9q2IWLgaP6v5dHbj6HhhqF8m/Ot7/+1D+lERlTlIvHh/ICgoz04v2H6y38
B0UGgmCOR+A/FpdSg3+163rxP0LhJYyDLy3MUgb8p3+JI573DyEJKyb8l5B/gfz074UOD/+MhNAF
8d8CpC+etv8UHGE2F8fk/NBE2DsJ/PzN8xaNwunklMAaHMWR6+F9lIJ8p0vGAIdx0unRtOV3D/rx
f+N7JlLx96+MJRjYjIfpmasq8av/KsqoTAQcvCu9j9Jk+JOSbCY7F+KvmoXx1LXvrrwyuYTRsZG5
sz4tY0dpDc7cFfvo2H2HAl2e9hm9RLAcuKVS3UtPN5P/FlUexRvPAPsbg0cbU1DU85Jo12SHQKT+
Fipme7VGRp4cNUUHxd1yxezCElpZ5WJ9H+6ZfzPKDoKvgtvxjtqoQ5EE3nbCTg6Cvnmy9aVXSbn7
yPFd3luGTOEyFE/QkCLuQ4sJzh4dDw8g3sqzpBXn0nJfzOcgLl5UEvP1UruMV0sQ1Y9WQGnvilvu
duNd2fFRLMnqrdt0ocCNU0TOH54pyCFp35uvIHLC10niUSCI4an7XCbDLW2WgFqZ2W78KNf1pvOZ
0PiTKIjxFeotn73kKRKGcSl4iZ2q2itv9skxtn2IY22ip506ckVsJXQOdi0p4wzATNzPzjh9p4vP
/BN4wEA2sZiS31M3I1DRm+pQrZS4r/j0Rv4Vd2d04fVmTyOdLNWmCW3ZbCuOUwPTQabpqAmkEAJ3
voH71+Derchh4MQ5L3kd3rtkbrK9X1rx0JNZ2kbh6N7m46Lx3izNw6JmRWcNJxAUmF4yc5d1g9LW
pc1VG+rl1hTxdMDb1WyLgRpgMizrTbOY7rVvYqm3fTc6CmSiaN98Tkk7f3Ji6kvLGUMdmaakfVB+
AO81C8u65znQE4zNpq+3JPmTidySDo/EzODRtJm7vtUVTsYBSUdN09a3eBKIo8T2nv9v7pHPG++P
cKTA18CNaW/ElDxkWI4IZRgHqIUeIqJRnjNdayYtFEHTcWuuFP1uuE9cP7gKgZ+SE1SdeKO/Vq77
taA2YheZhsk10Fo4yMNYUG0nO3ud1tgeNqoV9ObqbPrZNz4PUtm7P5TbZn/SSXZffDL508jchhIu
QW97bytQqDSVZj8wvnAtgnmpDn5x6Qgm4Q/vzdd8ldXPvGOQlkzpbCXDn3MXYrBYCzQ87DTspLkp
qCjNAs/u/XzxDwX9UM8YkoKnBnmo382eP5FM4SxSby7nzq++lhg+CzV32DG95OcYt9k7d5gq3ofx
0N6hFJTeLk5U9GYm/FpSa2/ZEyZZMJNM4yvTQI5XfjNEn31e9OCjJBu35w2R2EYVqM9t7/XeH2fM
veds6uo3g53yMaJ+6UejueRuMi5yDtGVwH2h8yvRm9Az9HzRNlU/t5DW9qNFqSVipjqu38QGGX7S
uxUciPYQs46GysFstNDcRGQrWveZS7LIA1GMs1xReG8AmhwtUpO5yi7xQPSYnluHcqublUu1t+Eg
zCpSylqRAq5m5952dqypC2M4WFgnyTeu2xbwxpnQfrkuMZUdlur6yBUNzYEIk7SshL6kCIRDPupn
jb+4K+Liwamr7MGfpNDbAXmdGunGmx9zlLQ3fqVi03ZRHW0wkUb7FHjvs+Lesgu7kNavQNSPlzAg
gyQufSgbS/8jGNlNWMxciz8gjH6ymPMbJbHtoMdIj47TMK4dQA2wCLmno650Gw5IC9Zi7Duc7xa+
U6ej00VFCOR8h5dSPtOwLJgUqWtHOtOc5yma3ypgzByJAWFBEzCJ3x1d0sof+TQaAR9fiG7vYhoL
d7N1izvqvPQD0/PuNbYLWImR/uaYor8m/DHXa/cbxvJQ7eoMxQ4+aeL0HDUHtW67ipDLRsWDVdcM
t3y5kUFQnjmButlDS/tWtr9AAk/tpYD5aqyCKTlZRyMhW+3xdmHkhjUa9oXzOafDkm6tSodx3/gN
1p5m7JA2RhkeQniMUKphGLfoN40TIhEVg9n19I1DTW6duty2s5vs+hRGNlqkIAcde0JgIhtifTuM
Xc0fwXaUFKYjMxundzxJw09pHA9w1CDfyJDXJxh85c1auCzELmfjY5QxDccVq+17HXsseirO5zPJ
3rjZ1yUr9dowWAcelPU98IZQ/m6bKHpeSh+iFrJYvZk7t6SwS8vh22qTPQ5RQNlh3hQ0m9NaeI7r
2aP9pAOCpNr6veFGdlJl3ObbQrLtYMFS5SZqiDj6jUvzM+l1yau3xxbkfAKxP+s5SzfwJi9jDdz4
VPeJ6hymepwxOaVtti0pLsyh5YNIOqbMZJgw6Dj9hC7OHVIDJrW3dFRX3iaOTPaOCZmpDZP9CwF9
WWK97Tx+NkDF9kewBtELy2/3gHoWXSmXQpmW/fk28ulfp4zArz5qvTDS8cZVRhvlRuj6ppBorr72
erCUIKR4DR13+DlrMT0wXDDndEn9B1eO4g+3KmcbY69/FbxIX4z4Uy49bpQja1VXfngph4zbKYXi
VE3D7zU30HJEP0pAqIkjuCqMEdXDYa+f29bT19r1y+q2N0Z+CHocv9cyrbOtl/UmA09axnxwRQaS
AfDP4ofXsF1NTz6BWYj1uuiT3SV/jGDyUvyedrV34VsxVAfi39GhiVpSyns3ZcvfhmYNl2tKF2Al
OMEQMvbSYrdgq+clwMWFxY1pjJ+kZxqM3k09ZLtm4F6VFV5LWnqk7J6DQb9uNeFLc0PlavQc0bM8
by9G2Ghbp2hgRHsdspd8El4NxWOvO+cSIPXjr96fgpsG2JAgHoDJk1kK7X09+fdbkrUffZT2r+US
hL/i0ifTAOu+VfvEH3PkPlo4s03IffkbKkKBBqSl0fswF/GTG0SKUQt2WSS8UtHKnlFQwtsZaATl
eQ4GHhpT0ynqxgWxgBi6Z3tDn0X4Pk89T1RNjycHoSpk03fZ9obKpWE7RqwqN2zw3jduTppNvLJS
P/IBfjJCabjcYxwf/Z1ra7PHA6TQHDKmXreYdO0JcdT5leaDxg6GVFxuyiF2t2Appp9Bb5hDVDp3
fipSvdE2GG3xScqWVSDxcSBQq+d4z03cheFRmY6zSeitpCfL2WUzdriAX6Ol4+3mEeC6WxaFVXeW
nrInt6lIU1dM8Lg6rlWP8Ryl73qKfPm7TkkRL8Su4qSsdkOP2yeYvOggQGi8zwsALeEAM9pQG+Bt
cG0jZ7t22PopBvBt0tAeu5k858t6qvtwBaN80Wzn0EF4JtVGRUlcH8LcsTRGoGTpteOLdcq/10Ws
WB5EtqsDLJYMGnZ1vmDaTAQ2aIuP/rHo6J7AHB4f/HGocP6nIVuuSR9sKgDWSR2v5CTrL8r4vHee
xOB7zsdiT4Sfcf/QyuRB6mG4LbJlpvCwqOQTnes5nb1Tkj071qvvUFL5/Hgp3haUJnRs+O/NVTwW
9j0N4/FlHKg83uW4fCyWMkVPm2c7/Z1wGvwKM4OZo6UhqkasSvGA19xuvoN4NOQNnSx7CTvbssUy
L76bR7xrhA3hnCufp5A839xkOxIQ83fuyGXXrX39PK8sKlhOU8pNndpKGD7NxQmZTgSPjjoEnYkb
b7GnkAeRQ29VozFbdlq3JKuKTdUGeLHTpq/ONaf5mih4YVxIBNWwV2R7nruyd55abNb7VQaKObKk
o9LtB7mffaZ7bVJgpRI9+jLg8Mg5lVVq2O8tVl4e4ih5aVEOKbRKLSdBNkpyBWowFd5nr6/QetaI
wvac2d+4c0LLRyvD9tWb6vrQUQqAyQg/zM2yLplhWHARkBTi9juCbTICwtLZn1KqIdv0MuVURMEY
R0QPACSNrbPfvrk6qF7m0Y1/+7VqjwhhS3etc97Rhptxy1xgKAhytsql+rQT93RbWG9DNU2VYHJ3
PYqpDcfDpEnswKdMiGxn5jRkcQg9Boph2/aPQzwXZjvBfxL4KlcO2KT9FXbZwX2gsrr3ANRgrD/Y
IXQJbqAqzk71hwHZIrHhxplixITPbGNqim+PIlLeCfeVOLfMPmbsTXMSU+4cu4QgGh44Uhjl9VSI
4WEMVMcUqsQXKkLBNc8sHcNh/BrXc6xEB82m+B0RFKIAQebeDbdkQUagYWpD5c5ME0Ht++t5yf6N
vTPZrRxZr/WrGB5fFshgP/Bkt9qNpK2tJlM5IZRq2PcRDJJP74956tqVvsCxz8AXMOBBAQVUqScj
/matb+XPpDaXG3Q03ra2yUvtHVTotSE3goTSlRbefc8LcJ8aZKpNniS3bGGt1ZDmNl09IDSafAm8
bpppLOYU0o0i0noctLnLkYHuq9aqHth+lheSz+qNtKgaGSNO3SJ2n5ziXKPs3xoTvQgTVoqLMfPu
7RAXeVUXOOVqEAjUl3Gf6wu4NPPFrFB2ccAC+im7/lsVDWotU+FdB3QlW1Y+086txns/MUbNFkd5
N7WDD5xwK+a8uhExIlIjXCKkWtwfVs64u0uDGRtJUZFRWofHeehgyNRRGK1nDu/PoIc8j7n3q5mS
/BIPg1zJoQpfa2MIjn4i7O+IlLCEcYGuEZzRnBUIOqWjUJs3xK0irhq63LjMGMl8stCakYo36Zun
spPmjWgjFMc6nKynRUdwglSqEFwazY3vJcMzvND8R6TMGY2FORlfg/Kr/oed0wZRAKSD2FURzoJ9
l+U64CQV40amTsyChgnhhwFR9TxZCZXlkCCfXmWjZVINNFOud8VANZlnQfgQIvXBeh+0akdqDCP4
xGxs9B6pVSP7tqgU4FlyZzYBAD9CoQMOqkDbmgBn2+uPza9jR/KtvUqPlfhmVJgQybIyeCgGU8zu
jVvSJsBdsqtxDcfDQV3tk1K+sivL+yHJaf1sQFeTJCHw6W+CPggPIaSukOQI3cckiCUU0fC7vc8g
huKdMsk5oWTUdwRXz6SgI/zuVsrKvPeudCTS9rhNHxgLEKCobPvqSJPtRRyYHIlR4OkN82MI/E2D
JWiFGHxyEVZENOdZUQ3ITAdhnlXXNCj8B6onGSTMZ2tjlO+SyBi5//+rDvsfOx81LSHApf+9Eend
W/y25Lv+JiD7t4/725A0RAwmoAQAXkH4hRaMaeCf+a6LfgzmHLNTwkt9czEN/zkkFd4fbLQJvQsX
dCOs0n8fkiIuY3oK7AfFrMe4VPj/yJAUYejvw0pEaIFtBx4Qa/L8SFDlm/grQ4jgH2EOU1Ye0LpO
28p/i/0U7SnJBXcJW7lzWlA+c3891w3+PZcUkn1rjijQHde/zQLqiLEP9hkWRBwFHIM2vlKnCp5j
EGmbogvBuKml66ExI1TCGbDAufRiAjOIblTx2Cdwy7IQNVCQOK/Z0K9F791O/Yzs3E3hKGf0BEP0
gJeW5guQgJlH3BtZ9DziOd11Cy7AL91zaU/eG7dJsR/ycNvXAjZXEM63RTmXa6klFRG8BiTwwDuM
QO90j2xIZAErtsCKqVVLe9OWhKSMlr8EShibOtQPbcJkzAk/NO20bsrzUmFPvbiCeCBuu4lpptI1
KQxfrpWORyOJMjAkeTDvRdI9pvxu72uUKCQqGc0eu/DzyAHnGfqMVtjbIOa3z9nEj5zSqKOH27dG
RLHQtLe2q3oUSnW5T3mvmXjOdxHeUYrBvkWJRIzs0bESnB2GfPGoN4tWbald8FA4LVvr6kvSB21C
j4PTtjZjwCAZc1Mbxgdsh4KFjEYxA3YQJ3a8oSa+MSb1gBBs4DLrx2dEKO7B9sttoziz07zeUivy
q/Hb+IY8+eQR1sY1sYefuL/8Vcy1vBvHKYBtxrDTXVJeChehDVNnuIGxQfiopCqHduAeRDhPXCb1
lWvC4bS3HcUELZkezYL5LWliEiMeBcf96N2GpftMVAxU98yrLrpD/saRdxubzn2SjZs8977FxXRH
MtK0lmp0cFayvuz6g0GAE4LvbxqX7GlMt5M70Xer/q7r5FdePZpkTG0G4CU3rt8U6wk1w1ZaWwf1
lwlpYdWGtsGImmqkEe3dNJjnnKuHaoKWKcCb106HsTefo/JFFA3T0QRKEJN1vnZ2aE2Dnrgxn8kJ
ohOfGE2NyUpQMyS40spAW/uWZWLlWm9OZKSn2Qq/iiy8tfFKOUS1+1F7sRGFDFW2qXNx7ebEeh3A
mJk469Ktg/3mMfTA7UUka62YhbskWnTG/ZzY7gVXpdyloZXsK8g67w3994lwq5Rd4+R6l6K1m6Md
9dMpc7rgze3aBO5IFZ/ImgmwMXbqQKRr8S1DqECsierTcyIS85BkeMkmv4uf+mV0y6PaH2za6Vc2
dlDBW10zAbaHg+9XxY98ivzH2UHHVGCIX3tN5Z2wf4QnKBXezvK03kmLPYgy5vEWu3f5NGOffwqa
Uh0zNEPP7Bv7XTsw1Vp1DcJ/yQQMQUEyEHQTurfwFJpzPgT6wVKVfUcJoI6S9JtX7LJq68f1yIwC
WVJbePmhS0L3fu6YFNvOqAieoNL7gEVCF1CTqHc7K40nsQn1GYejpMAJLGsN8tC8BMFoXjEdt3dk
JFnnMq+TZ8L1wlvkjt2ZR8U/24ZmKe8wuV0BC8O/XTb+HjtFcRfyA24SKaeHrEjM6j+Bz9nmcir/
+3ILfTsoXMfG0e4FiF1ouX8/tfNc+rXdz/EhiOPirnGodg9ZP/R3rV2x0sG9tmksrZErWKgOdD5v
NKigrUtE3daR6hkYmbEr7KnlLch6TtjeqjdunJo7L6GXwbAdv8pIIQqCouxevMrMTtIsgTzg/MCt
M18az6rQkwXF7USU1oon6dlFkYSJM3RvQEjjp7F6vCOT+9R1CbZRpct7T8VAEvWkoqdGa2HsUf0w
aun9GbcfbirmUkKTi7r2GP2D0IG0tcbMNIxAb4mK2w6kbWEzS9qUVXpcb93Zqp7J4gleQWof+0KS
hieCq/INgogQ1k62t6y93XUr/WqTmgX0lZJAajt2bqbSknxX9rUZ5RnN6mPU+QEQKGRyA5owqPEj
I+YoJeKS2YZNas7a19nEzKo89bMznKKuPvspr3+aTu4OLS7oGTw+meqmbemW7Oq0F78ng6uP1aCd
nRGj7KqQi9/VS6PbhlaBLCrPrs3sxZtGxeUdXAR/j6qMRwlxLX2x6ZlnzbzwPDHtOaNZCFEJmclz
YsbiHKdee5cDZbzWtJaXJLdRpQAzlSf+1uOZmI30lnlKeIvhm+c9AEn54WNUc2i77OQThFm1Hpl9
7brlTZmWdyZY3h6xvEdqeaOKPlDHJBrtu9yoxoemTduzY1bcz0k/3DWaq5K+p39rp5ISmLhmQuGW
NxjHmTqay1sd+Xn1BABnvGUpHB+awda7djkHoBqFp2nW3qlx6nxNN7s8B23wGCxnSLqcJriC68u8
nDDOctaAQOgPcjl/5uUkSpcziVbEPOSBheAs9jiyRtmV3/BOqkOWlwuzEJd8IVWyHqQXvGWFmE5N
ZDRHhv3+JSkJR17Y0epEAeK9ez5JsLR4cjc0qXfh/zbuVRsjM6shgqYpJMr1pLBZ4djvAmS7MwCH
bU6D0u+WiRNgA9fPNL5C0M0bMkM9Fh908hNUxqQc7io/Y0ThtrgMZxyh84bdoxveWEhjs2M193Hz
DWlMV/JpclxjrKtyecMUeojPAk0RQZV9ygxcyYCxoI1LTPPapbB/TeTYDiKMZMJQMsFV2JazyzBr
dF1mvJ3jlYv6I6sJwJH2vW0M4jaIR/dhNHxrV4R2v+2AnVz7uXNz8KdRae6BmBTF1kBkqsFe1Azi
8ib6uZDlNPsr8ixWnT8nxlaVTPkYLM94Xn2Oze9zQYIP2qjK4myhcw55xNhZkS4gxTWXLb+Xqn3w
o4mNSJbpLUvshg1GhUg7MHeZL5/lcGbgij0oMpFdhs0t9AgiXGGqralRE8aMKQKYZSRvRRNb0jAe
GcU2emU7vl4hF/8Bokrvpky/W5XdrlEKMxCcxCUyW830gnfU67ufqf+zaA12IIJcTg+1zAbPnj5j
33YQr5t7P6kfnNC6ZkzfNmMRXLCDRzcJG751XOLgQ6vnn6Q3opOuI6znqX0kq/da52rxdzIkNbj/
t+bcvGNdZYkRG2wGJ4xUXaIvXOfPs9WkX66jE0KFkenqop5PWY4vctS1fEFdMG0yq52+wtriGSTu
qrHXTPHMDPhiSoP9v31eJYE5Pk3N57/889tHmXLC97JL3+Vf+zXfwaUBGpguzONfBDrtv9fynd8+
3vLkP/0Ef3qHzD8w56BAQaj8yyVE8/W33s8Xf7hoYzz6Lod/+QsVyvb/MGHpuiZsTpByQHX/TR9j
CxpGnwkezuPQdtlh/SOtH1b+34oIYxHZoD3hn9+LB6eQdW7lkixT7Zc7xTfvrbKG3fOaGowgTjtk
yeUbVbBXdtdzjrv+sRYBCtbBY83F7g8BZRVMbrmBINS9uEakiFkKppcmK0NnjUuauOCODBhG9LoN
r7RV/YOfm84IbJSJIffPXLPxaGBfgO0drGjbw3KsV/0C1Ps5BDAsDkNdO7e9cO1jMVr6bYim6ieG
d9irmBAbQD8VJyXxQWFMmFLvmQxRPe9HN+UsJu06HKf9ZErErQLyUnvgFcTw17LOyTaqsbL2mAVe
+jA2vkvy3dy1Ty4nyiPavBFEnxqA8k2d9yqmvLyMozUZmHgFxlQ2uUWxQwKbeGwZE/O1zaYc04Zt
UOyHlGXXsUoHBtiZPbxnrjGy5iydo6Xi+IqAudq2QSoehZupb1wi7qUkeOjql7m3N6QT3iDxnfeD
OeIowlMbnQf0TRtG76AjY3TLAgdCsGMbD1Q1Fip5D/EjJTdG0SfhthDeAJg01/OpMTw2CNRNdDrx
/JnqkvF6FDft6yxy5z5UU2Ztkz6DflA6WfzsO8zbKIZKeUma0GRwlY0a3EvDRlnF07DPi5T7B46T
fsakZrxwhSd4rLRvPgfKgiodeu2Ub1OjoHD2EvEzs3S77+aAblTIPF6NZtxfgOMsJlXsu/62bJD9
IVyW56xKiOpt7a668TEWwOQrW3hc5AnLH6WTG93GRWj5GZfR+OSSJI8JFjgB+y5ULms/UsFt3XQk
imE5KwqGxY7Y56QMh/duqIp2K6eMuR7iXbrNyShqaiJyNlOi29va2WZDZdg7vDL+J1TByNkkRQtM
scmqZt56YDGttRGWGVGDbtf8YIeffDdFg7Nj2fDcl+QgD2jqy6nnl1GUGk6Tr7i6WaCrdeqUTCTV
wLxhbfOF6KTdKbm61K8dv30v/g44KPqCgeBPx64Q0WceefImyFplvTfFwMoAkbs17O0ygjPB15KE
eHaQuS6kFltnFSaLYgZN/AFBf/+uvGTkym5UtTHZZL6rXvTG2TLSOt8OSoU/nHqeswtCTA9hyBi5
h0xP5XMLouhjgij5OsY5IeRkxWENqtKSrFsTnmZmGrmzdqxKH5qEW3GVZFRCK1iEnrMRbGgoauoc
G8oQxmo3hRAIyNudgs9w6DyxyfvQ2gZ+gV6L7Cn/wVRRfxhoQAidYkX9aBRh/5MNQP8tyxLzzhnn
ecf0Q9ZoHEYvoLMKh4dFWPtNdy6bDFfXp3m2Wii0PujVMcgaD6VONJAEE0KLMOpkwbdXBb8LZhXk
IqMz+EaBmp8qK3eTLdzw3l5ltBKHSsajoIywZ7xzFTUy7o86AT1B086y3NtikhtYypGdtrIy5RPu
OM24U/JiunrhnDAKiAhu3xZsOfYwK9291RTmwW9yzIuCP+NrR3bzhzT6GKyJNPGjwfS9VX4S34a4
0ujfiRO46rJJH4fBWNZ2g2cdTE0Ik9NH3TUN9HDfx8KTi+4KmGetqu91nfjbYdZYhKMoemLyUaXM
AGIC7HNdYAMMG7YW0qRQZbiV/ahSXd9nRedu+xYDQhaO40FF3fyxuN8DAr+S2trnOeZxhssTf3t2
W4lNmgFr0Iax3yuLbKGPaATRzrmjj+QtMOUzfx2gZuYUW/e0FwRDY4KYjoY7YuLXQW9j5QQbtYlS
g4rI7G3d8Kxm9c/CRbvABoKHsDVViNRIt9kPq3aa726rdbhq2w5pjlAOZlQi1kWyrkmwq1bS72ag
c43ZvPSZleVXEdQQHCR7YVz6JvHFLMhMcUoypBWbgV//vAXRtwwOm2nA4VBo2zl05tTb4P6b7hbf
FAIGzRKNoGU0fnddS2L9mMTJV2KwEGp6E9AapkU8YwVmSlJzcmadeMOTdRHX/jZCnEBobeWnEJaA
fJHb0I5HpAtMfOwpKo5KD968doei7NcsXmogWQLghBX3zN+CaLzopgUab0xGvh/IdTpYdN305Kpw
1iMonXHX2nZ2Zr1vuOwmpH3D8iPZD+N9p0aGXEnd182qw7V5nrIGoVdZVu7KbB0zX7demf1kQ1Nt
zcI+6REWyIrOjo+q+Q4fmtrvv9lFoI+S/FIbS7BkOw8SZEB5p810EzNjOPLauPU3JI54PhzZs/cJ
9rKHWQr2r3hlgRhSA6O7ynJycFZJFRbHxNYMVK2sg8OV9pHLQm4G/cdPYOw7C4/e+CAsOorAHOaP
gtuAizqVTwVsphMBOSPjuChYO1UvrzA2hi+Hy2dvx9I+Aod78zvtbWaFdmLWdnwjZN8/26Nr30BS
8nl1CyTlwD2cTzqjaFjXxRBelGXZu7zQio7eD5qjFUmoEVOqbqIQ2NrKZtzNODrNxjONh6SXJFIq
HKL8tnA5yLeZrlpyyMcYtiDTYgMrj2dF+TpBsrRnw44Wd07b/DCnfX0VmVMcRx61c4Ay6jSHqXNS
iQpatsmq/x7ynG16twre4auLipm20947ZRFcEWphKpYSurXTRKhdR0N8hDwwm6hnT9lmIExaMoQd
9E7ML0xXNs9mZcLfV/z567BNvuM69JfhOjjyVeoh97X8zL+r8tB7t1KJYhMEVb32Otn8kIjoiB5r
5VMr+v59jK3m4tHO3FZdxiRX51l817u9D5vBT/baNVPsWlgiJDWX8H+Us80spIaN++w5S1fq4qX4
jJI2uS8jg7G2auBxsdXH2KYbaXGB1kq9Ds7kb/2BNt9wFq1Ea0bxq8/OH/ZVOhDYydb9R07SSArG
IRtfoGt6+yRo/Ht2IvYxHDWabSQUF+Idp5/hrGA9zSgMKc8gG0K66gL5hKcBmWvWaxf7SZwG7Mzc
aXoI4i7YsU3TLzOBAzuUzuUboSGUGtjGNU7qPtJyBcGpQhLS2vGeP5U+W3GMXpyWvntIO5u+F51h
jk5kLjipRD3KgiF50qVHPzNUvVcS8/OhoU2L6ZNHr9gVVmLd9U3jfBO+HkiA7M182qXo21iddGwM
EVN0wSmF+oj6whl7ySo/7JI1y3B8JIr9Lei0SXevWqZdtiG2xkSpNBfRbcqOiLGd9GghrSoEc4ch
ErCmz6WmyWqCiOPz+2eIwyo+LjOFyassXhwnaa9NW/RkNNIPXbPJAbVpDZgjhemfUjrxe2tU5mcK
YqRY8RRUYsu9uwAIhcLakcPdeJxo/BOo15QEK931SbWNU/KoNpZBC3MJ3HKIdnpwnRu/EDVyyNyB
QVYMFVIF7OVyiTjAdwWup4zj9RjW/t6zZHAtCtG0mznUwbyqw8L5ylBhsoEKDes5dI3pLQ0M8yMI
CqWwksKAYR7QSTIGRnz4SKZaMgWLLGu2RS8TBplF/CXiOr3KGcz0FDYWLNi0n4GwBCnSkbp7UBDY
2Yh0HFFVH3i7iaot2zgjsaFhgjgkMJHIrzyvj95C3QoUSJQYW6peBJ9dGbrFdmy8ETZAXBhf7JFm
ajTVHUJ8P1ilBjzpCLfHbYcVols53Msbnmz2SG1m1m922DbiAgmk2EbDEmvfiBGhWsFGo2pqLVZm
g1ppxVMlSHNskwu2SOdg50F8n8OLRZPgoValAxItmydbI2Ty+ZTxM/hpvicLhNxLo/2g37RhVHzV
RcpGwS4QwjGc9zaYD9HnZPD1fUWMZ9cRCi3tTmJdsNluAes069UU4zmPK6hdajZ5Fps0d1euGTdv
SWF0p3yc0aCN1kxwpGSZMTlMd/bEmfrjLahhg/Ef2m/GU5hWY4B3tGT0nGIvbRUdGccAlSpCiuaZ
XdSVm7uJV7ZIw1MQ1RUTvEW0ORJ9tTcNyIVDC+ze5w7Zxh1hJZ7AZ72qMkBBTpZkQIh8tQ0RP6zU
1CtiE6RzdGxhfqcOIDYBKzYpQKlt8NIUyK40YLRVyMYHiWecbsYsV1cE92RqlXbB9j1qi3ZVtWb6
AKyh2FpNiCrGJVr0tCBCt1Rw0VZ40U/q1HCPyL/Y1krCiwvD+IfoSvlzwh5jE5thRUSXiRzKX+0/
IKTumRo7Jfzb2ij2s1GWrMnk+DSOKMISySoDqOaDmy4IXDGydYo8dzwG7aBvnKaITxjfcn7vXnoM
kiIEmOWn7r7OTfGt7Wa0pHVae0uFjrAbMGOKjdJxEHzLOKOazVPzp8sRc5NSljK+JLrmFsrwkkls
0xx3JFSthJFmEh/+XBxqcu1RbZdp/cTmD+ldVnsXzxudR2fG1+hDxrzUvWtvNaEC0yrOvOEJMTf6
b05ecSAXKNhCv02eePWi18Qj+RthqcJsH8Ypp4saEIUXFcuFiogxtlOJdxkcgWSiBQubrmzPzG9d
w1Y3SZrYd6mYxwAxWZbdd0UbTxvXZPmWmMrHKhBPsBlUJh8nUaTPiH2GS4gl4Z1317pYEIU/2z7p
dx3M5nLliQmJl6Ed65uQNVW9lWcHt/WyW9808TyYA7OMUnJepQou9UoFZXYoKuhPqirLfRS0uOxC
YzyIxms2kGTHk1Hww+Y+nwSvY4VAS8ZQplzc4d86rrqEr9YWO9O0+JymLB4jUQRPMlEGPmHVCNZI
ifZ2bZ4168QWI3BKgK5A4VHorh0/qZ6s0sp2njMQUu6IL59mkFsZjVqPrMWQ58kZ/Zfl+twOOcLo
a4EW8MXjUuZvObfwu9RQy4/cGaf1/6E5LzCY2MWNPblUNEU3jhvTy0hugfjJ0owrRW2KMEMO+N8y
avyfZKb7m+jj704Obxdfs+r+OjqECL9oTPiwP7Uizh++Y5tklEGER9a0yD7+1IqIP0I0JKELdGGJ
0/idNkQKso8DybGEjZcBgUnPMZP8yz8LG4w8qWd8RpuoZBs1y38w0P09Qx3A598Ghj4WCJcvg6kO
TJxpQRz6fXCIvLtqDDMPb7IuLW+mhCYjToGlSYSUWK1JtXXj8SkPsmqPfwZvQzKPz2UvjUd0dN+6
GI6C0QbzNY7K8eQLPVwxCD1YFdVaPluIAbSTUqLUiB7ZJ8EY66IXRwTlLdl2h76LyFhVgTpBSb4a
VW4BmRmTn67B4twdsmothuKCD4Mru8hIm1j13gTyolWs3tC0EMHgcjTByQnWYwQkc9YTrofMGZMN
4DBzTeYuxSSRMvu0yf0bo2J0exP24fjIpZ58B2Lzmc+wfWmMbGTHY5r9gGD4U4fCvEkd5y6rwJbm
sPBPGrAgvhqn3+AT+zKNCoqpqlqCoLS36o2ovMJRb2/DHGMincwKNFG+7lKAxnOnmaPALOQTpd8H
llHUwZRqK6PCngMfr6Wwsw+mBXkl80MLgIwCXyTYGPY8IuB7ZdlcTZ19aLd3sDlGRDolUwFg2aRF
D3rzB+L5kk8VVcN+EnXMasSJHwdMwNLWxuOg/OJhKDxjX2g3qjaNE5kPLgUEFmwsJMXiuhnMtdUt
n1NoZpjUXwxA819rbnAc00NE47KTLSHnIPpxhiij8MRN0SSxcUCzX5xwO8psFzGKhK4z9nmEzyNC
iJoEwIKGulcLLyHqDj2282QfTsRwtdJtQZaGONE3g0uA0wpBFUParG8KB56eY757rT2+VNUIiBMN
rs/8wm/baT2UpQzh8kzhhXDBHLJu6yDLh/fF5A4IQWiuAqqU77L3uttZSqfZWvAk0nVsRchMCB62
NlIb1qqTyIJTKntwFNVw7zp2bz1MuQzqdZj1Bls4xy9QHzsWW3PkjFpfs86Pkhuko6o98oRhQizY
18+b3m/FnWHo6qtu0vJEuRjHzCmh9IJubHv+5lPqHxeMXbjSFpX32tPhA8k9B6onj/WgjqAV51us
9yVjBHsZqPss9u07CGbf4QRfxqwwNwB2BOvz7iaRzD7dzrxlukz3b9fXYdHuNM6jqrztZDnTXbpo
Ycr8ttSqhdkSbey8PngJSdTIpKolrBYmwpq0B/5kQhMQV07lITZz+5JOtvHJ47ypAwTJg4lHi9SZ
agweTLNtdrUeVyVH1C4sRbPhR/2y54dSDps+4GMsq/leGiJ76E1wwx6cMN11rA0S30EHlnkoYIyP
BTT6GDYGEQFGz3h52vRgU1mvg4ce3CC++SU2wu71hP4+YZLlZ2zTGA60/uLY8UrG0xOBBFZZ9+tp
ns1tLmvjzcHrhD57T7Jvsp1tTAlD48c3VWDSR9T2xncy7P5YY5lhWVV9a6aZ9yOc4kdRlCk0JqH2
OioaXplslzuApS3blwB8Iv99dmbWFNgGYfT0ZyEyIicjprRVEUEu9R85+m7jDJeMDdbqmKdEQpfu
Fl1/sXMm/DzMv/dlE6i945kfBb3uavSmT6az9xhRgIzSwO6cPnjCYmZ9ahnkPxnrfP1lr/Wnn/qf
EGZf6pTFOZcFduv/KDIBo+d5ljDZOvkspX4/7qtmpHJPrfDGiBsTOkwmYEkWlbXBDefeJ7XHW2Kg
82+2LiXIrVmP6XditRAqjQMD3lXp6YRzUnq8dR6S5UsmGhVu4zHvJp7LNGAXauX1wPQWcG/dVdb7
wNDMoWvRmD5QZlHKot+DjTaRnyRWY9OBCrUSleyT2DO6Q2e5HBZVE51YNQ8k8/06TYxfJ0v765Tp
lwNnLMfEOCg5+YJtux7IlliYJcrEERwsCgyZGejYCsBPh65tOaYW5YaImPMLGeP28dS5iPqdDk17
p9KUvyaZeaaTaPDH1UnguDnZEIm3mSgxbosQJwiy+7Wo2KwNSEzmRWuScZydvSpy920rKuZLEltz
nfabcoz2yHbEcWFlfFpkajyz86+3rU2E0hbUOJGxgO3UuM+GOlRrD/rbvkctl248oPs83cTIIJJg
rZU/plNv6RPjOqYvmUaAAyN7O4ZEA5mtUW7oTKqXZBHweIuUBx7/XVp32YkprnMBZjaPq4AgkVcO
BSaWrc8svtbkddWLN6v02ux+aFTwEUtXEY+bPSAnF0fPZPdaM2CwbhEU4jn8tZ+WDEHYVctyTs9l
IBCBoTe4r3BV7v0hcd6DaDD25ErJC27FCNV+HL+je+dtHdNW/ZhcTi9WgeI+cpX5kCL0xJth/XSK
yLoxx75E5Om2zFPK7lIgWMKEJPYF8R975AZHbjuw28oYkLQA6PXGjmTepCftUmxSVA2AgaZzI93v
2FrHLb+5bwx0kWbnKSCXOJy2RoCPVTTWE8zlep2r8QYUV8Y9B39otD/wYOid1xrvkPCrBD+4tW8S
ebQJiE2sDOCUderL6FsU2xvATwfyp36mFj68OgRohxFlUsrdjbP6YMlh3eWt/Vk7cXibqwaMvm92
u2A0gpvakm9u0PfHJLCGde/lyccUhvqInaCH1CGmQ9+7M8vbNIAYz2x6GPp3ikW8S679MThIRReS
25qMxgAye5qenMx4nZMy3peTad1VbXgLiQUYfa7EtqpgS9m+Ve9s2UTrVuEQg7M8I+FTalMNBXFg
nFaORiwZoJ8k261uenk7N1ZHSOI07X2nQeI4iscujkYaKis9CNySZ8OaPIoPy7uLccU9YNLuSS+L
t3Y4pAdDBgAFESoVtHV+evRCV8ARAVryCchx2DItaL7yIQYOn3v1zlEzq6Ee4LJdCv5r6sYb9ojZ
vtVjxg2rxPQ6uj5pm944CSiACufu0JXm99RN5UsLerZeVWmWfcElZnBRRnGCaCuWQGgEKIa90akk
3oLgLU/Rckd3y23NwIWLu/l1iXu/LnTbL+L0Jvh10Q+/Lv35VwHQAOQkGPVXYeD8KhK8pV5AYSb/
V7Lx+V+RbFhLA/SXy+z/Ce26fftIprd/unRvH5/9b2KNPz/0T3mG+ANRhOP5limoQPzgN34JshDT
5OAEa/IXeQbKfFTyqGEJ/zXphZZUyv/bbVkoNzzYrp7n26jqw38IX2Ih7frt/oX/sQhEmIQBMcE9
QAf3+/2bWkY4zozyd2OhEmdjdvi2rb5L7g0jM18SV1rfgjbm5WHmU5yR72vriPJCHgJWGY+VI9L7
Dpkku3U9OR9ET4VPcyXDZh/VbBTPeHlU8hLHdTStDKMOXmCrAh9ohNiMBjVlbxbXFqPeM2GN7pop
xXDfVOYLBsrRwHOmn1K3KZ/iuao+lOvb951ZZjeCKS8MhTk5dHGpLmVOkhjVqTsu+FB6k3WbGNSR
YiK3xZ16OJASsUnAaYpQTQXTQ6gisKNZ6hX1UXTttUJFN1+HsGfW5CVz+diQvTWQrtcNj6VVl1ii
HA1KIcTbCmsCsvJwEDGSj5U9RM2HYQQKxFJbAe2wS/x3Z7alYXgcIuH7cD4c0T1MU958OBzv6T4O
x3x4Maw4/GBpNf78V/bOZEdyJc3OT8QSSaMZSUArp88e8xyxIWLI5DwPRvLp9TG6u9DVgARpoYUA
bQq3bt6MjAx3N9r/n3O+s1i6so526zfFrncF826q6VtOfJ8MvgHNsbiVGBb1eTHk+LcPXSS+KS6a
j5xT66lSdrERbejd2w4pHp2mJ2zSwjjXALLNQ5V76mtuEwcoPwolC6+w5YGWx4o2lnjiSaBG2qSs
NALEGFoOcrE/m09OVyXvCITRz9AY7fdkdu5N4SYIKx3+vl0I4IoC+KLWFxfvxQEclebolG1x4Kfi
wHmROX1CXTOitCb1cpRjppl2+uhKQP7NPhbeHA8gqIx206MvAVz1oAAauR1QecG0Woe0wKAYcvur
BzbQeaRYiYkVB+5ktn1ISw18pk6jK1rgv4eCdwtlH1m0JQkB5SSJ0kevA+3WAWPZmDl/b0LwKmAJ
bUFhc6bqk5tkSHnCIP5SUOS9Oi0heAbYLhMfce2i9mOOCFhYfwmrMqFPjMYxnXgMQNBMDma69DHz
iZ9cVF881CLlvla28ZWUs7x3Xem/t22eXEckbNUun5f40PSuRzbLhltCh0L+NiL6DcAJ5dRvFMaX
KHAdChu5MJZxxrUqn7A8xMQOzh3A/oNLDRWtM3nUXeG5SbYIEQ9eqs1dUllUBDlpb2+IrD1ByKTK
wXHxj9ZkEGkZ8CTO1BEi896rQpq2zLBYPiVsh/gVXGicBMkUu9BmaA7hUm0ZWp9MF//GRg+L8IKq
4OJ1smyPDW/tj/FbpxOcCoUVYRRBzh9h+RO/8Ldxpukwg20o4r2TKbsJYkNbtx2mderEVKveBZ5a
hHLq+4yQPofBeXWE0xg30unids+TMx72KCKW3DpjZ89BprSQez1Ps7lNJ15o2u9KMLus7qNyunEY
vYbrEJM+vccIHcVj4vNfPcQedH9yFKGlX3veXd6G7pps2of0uSNqabJ9QTkzZWzopyIfFyf9ExUQ
8uRJP2oe8QLPHi6j3k//6HGur0a29HywZU38CHN+DqM/Hmz8wmn2J9e93+5EGLZ0XpEWRsOgDGXd
hCykGDvPaPOgHKxw3BZL/pedcBMUStBfEaZ11p14ZxJurhOSP5bfOvdksUvKuKT8UcZU2kfHd/3k
PDiy/RJ+3tKaFgMQIVE5MdDwSxwSNJKVyrGe2YUQJTEzy9mj3pClNesmClZZE64sMfqAWIFE5pVF
CjslXmLcHnMPiJAWqwaofpcXWyDKId0QsYCHklMY227SstXvI4La9ciF6rVyU8qXtKRTcEABPhPo
9acNOcFpxzlEn+rU+ZSjWb2+Hv3G59INWSLwUuDEKaT5ezkNqNsQfh+KsYRwp3vJdSpDCz+F8BLY
TePDO2FITS493diBNDDNWaUtXgsgJ3uUJrAXDDzEmDUx54JHZLGbDNOE18vVURj2lCIRGtFC1nEZ
Diarr6u66o2gJO8PPaDC1BY7ZX1rIBV/Qr+YPmA7OS9dbGUnNYzp3mzH8IGnZeIdGsvtniornb4a
IqU/rC31k24LvR9l+ehzLE0b3WCy3sVj9ZiCMmDlBR7q3DTktg8ARKKjVTSCi+QoD2NJSXAgnX4U
gUyxtu29fFxaahjVOyW3vKxchbtLpmbKPaAgcX2sHEzgvrnq9cWH6xbwlyoGFg3aZaCcdmQdQA6k
OmK8q5DVoGPJrqFroql6NvizxV8YiZhkKTTKqyFMRcy0iAZ/NRcCYl7XLtVzk2t698KpWIFTY+2c
amcYL1kWw+CrEFnlBodj8iExR92PeHmu0ybzb8s2AzsKEu2bR3N7tfhRR6wOxs5GT1N9rqcsuhSQ
WvleZg4qKab2oWCRiULvjP4t3wu2Oybdl8zqyHkPuloebPoITpjX6n4bKnffuekf5dn5s4L6vdNh
kfQ3vHrlu4lkDVy1Nw5p26NI2bgtk6r+AfJEdx8QhRtuLhNumrKA6wEii96XJD6VFfspUMQtalQ1
8nlzJ7G1YB3fm/UaCS4GfybsQ4XnY9nlxtl2qvbDthgldxHjAGyBqik8VkeMWbBTuv5LNaMDfake
76cc/vxJxmX2Vukoim5nZ13kmalTflW6679DgShNLVrVGueOGjmIDeS30/0Yje6j78wMQULm7rnG
b0hxm6z4X/QRPH18NQ4z03Ddkbh5QjuD3fCLWdjLeyelDUNqGoDALAnrBSxX2e96uDfkpWKcszUX
MxywcqIgZdH9X0l9Dmvwkf9vinj4K3U/ntjB1ldate5ZGkl9n1XVuGw6F/fpVuZj+pyjMR3ipugu
SRyaB5OZ/kxHEl/IahNiXFaeE/BSHQ8bAu4EDd1s5DscY37Rr7gL0jpSdPBMZrF8Nn6ZOrtmEmjs
sxF+993kAozqRga1yHPWsBml9dkdRp72wgvP9szmt5cBsckS+glte7cN2ccHLqbUWyRQo0FRexGo
ryHHSMrXjA62n1YfPiRmPm+i1Hti2Im1CTO2jKx46/ey6lUUJDBlP6GlyYvDBvtTDENH9gdVnQue
EV6iCnbxprYADrh8S7uIM3MOUvKSrz3j/vdiktDDBOzKmwQvHyTJoVIPcTVPK36ofGKJwvfWthVR
HC+h5EfX2E7LZqGWy3ai6o5Tf962resvRy47OKxMfCrPIeFSzh3NMdnZhE1UsS7gW5TujAVVWhaB
mObmw0tSHjXsspfbtmikQ7RnGj77vpI7N05JsxRNlt0KXB8OCvS6+gdthFHZyhHM+9YanKAjNf8c
Lb3/hJafeQGTAGxABJcjXQdw9Cd3ct4IFY/xYzYN/h1JSpHj7hMeADuDx8fKtQLbxJMZsP0szzEZ
BbbXqJlHYLRGTyVLbKxiLTgvM/HHg2TzTfeO1br3yZIaLtQ2bT8qnjrbWkXDS0xG71FQlHOn54h7
W4wYdJ/bvRz3pr9IzJzaMMl0wIaAXj9G6nFUfnKbjgtAcpqBZmKhTfZdRJN4wHqHU1YJ5GQ0aolA
OkrjhxMPZT+nLN2evfQPW/N6y1VIPpO0r6y17E89mINWH3DTyRP7tOoGGHTBY+sZlBUJQ/c9c+kI
LczW+KoQax/NGWPOxe76YgWMun8p+EjqqwURHvWnk8UPmcD+ZdHTfMyXfLy4ICySLUIreyuTTq6S
NFxL721Scgodm6ZQRxZrxrOKZvYSeVd3B8zxPXWFAPfdOTHhs8la7Kx5aIegxHl+NkkaxgH26vl1
8cJ+V8Up1g4X4BMNt3iIsSNU9RWGfMosjChpd7qMKIeIOqyAxfA2seHHWFIlW3Z+A9+I3XyEFf4f
Hk31eYoFFcltzcnjRM59ol1olzOV9DTcUXBhcngRXItf7IyFl9MCBuFdyFar8/9WrnPslGhPEzRy
TOk9m2cjng6ExKpDCGzxDzGp7hbkJOff7LM9p6TW3mBSx3nfYwjjioD7dxpZ6fhVdQcHPz41ad3t
8cqXR/qMs0tDhdC3zvr63jVmLH340fH8Tm5FO60Z7RVQiiMc5uiD60wHsSV+SEqO5o7MMZc5FyIG
SjgE6Cq81JIiKbKgYJmjobsabOi70iDirBPNIlH1J6vy0A14EuN1LjUid1OaGuce5ug8jb0PkgVE
Mil87s+aNwi96XN7aRu757KYpWe/y+jW8pqfpTa4W+VOuD5OmcZqPNYnNbctsDR7OTACRfsxjplq
ET7MazC25S52pQiaEtdJGwG9IP6l7vvCRGhsACpfVIPL3azj+kTzRZNuPaSYW0qVWFYZqSJxFD7x
tr9XTnSh/JJSAu2A48Jz5Ml8AcmEAYadrr/h5QRTlEWQ15slja9jo6cJMJ2H/AX2F8CwCKcY0yfG
Wr9snhUmhk+kzOkODy3ga5PwxvW8KJcyLvjSVUirzYFFqsPxBqjiXdnmbVZ37W0GD+MQdv1xsETL
DZD+NuY0MXxw6wyDMpPyrZur8ateuusCv/ylQ29did8gepNCRF/QtcyviOsGEeKp2pOZw6PfGwvi
nt/dpPT3PhYxf7bwGgmw06alDap3w1vUkCfy+vYN5X36qXe5m89d1gNbyo3+HRiJPPcWSz8KtvBE
zaL78krIjjmUgYv0Q/0YRjJnzunNvSZDe2yxqO+FYalXj1VnRrQ+isbt2I5oQNxG7nLejc0OkyLW
wYrS3l1jNMiCZLhKyJc2co7UFhlpahhwPfeGwDdZcHmiFRxjqptDn3xyo8mbSDmUJZNJj1m552ny
09qGFjg3iumYLkn5MUXE8DaDsMFKukZaR3dFWpsvIVkRrt+ETMCP2B92bKhb4pfWD2joCkaVk6PV
1rwOp4HpZg8Zn0HCXabkJWsmtvuGV9uwkOquLI8Ti+5dHam+3iGtLW9jTLG3ywboNJEEYF6YRHkH
4MtWx3VB8hlJw8InsriwesZJgb1zep5hfYleb3UzzVh6hOY/DfVjnLv9J5YaDoDOKo62TD7atEL0
IK5f7vIhyramZs/CXJfDjwwr+dTQ5nfsykXY1xEM7Q5MSpu2O7uzF/dAlFgYezEZKZSHFYv1QvDD
Ng81T02BNp2vV8boSmtqC3Sb8oPo/QGsbAeNdZOOvvm3NqfhxgOP/mpOheuSMxYhKKreTd+SMmkp
ZPTLak+UAmSCjeB8NtxUFE967Xspe2tUV2hCfXep4gmg/hLPxS7RhqY8jTKlXrjvftEU/q5hfDsI
lnMuJ1Ji6kBYEqZE1bX0PvLE2mtNxCOLOh0wmhlPtRd6V4ZaOnTDlFIWquc++Mgl7Q1HvnIuzVCk
t+QNnO88HbxXNjPwwngecZOu5aFEXbjBvd98Oy3rZgoLI3E14WPfW36c/6QGGuix8dKEXqe4BdFq
LXC0MCEVreTGx8IA/o3d9izstaR7LKn1dZqJbh0Lh4h9RA4ob+NNdQ/mqiupk6vxacEPwJVmXvJ4
gMyBbZCPe5cS3N6EpBXEsWMSS/dwaDzYGu5obttM9m7gEDR5E2GzXpVpqeCZQ7nDU8Y6UIJOyIdb
CswJhidFy+EeF7wxNzynM3Vu4O18RvS6bNZFO3oZcCtuODyiYBkY+AziYjprv1ZfRGrrV1VY3tui
UPYh8sZ4zTxy60HnADULNFy5vTfT8bCHU9LCHxhzYBt1luOYHTrGO8x7NM/ioYD9FnvRh9PM9aGk
qpHehdJDZC4LD7cCVMitTCAmKPYfxja1cXEoJyd0kHDneUPf79qDpYbmgoon7grie8e8gOXDO1jk
D6WRN0cdrrYQEjvNGNh+hJxhtQpTabqyqhDx+JAUAhfsboSx3hxCuzCwA+s+LOoT+eOQzDXurgOe
XWciKRFO76NiwOJv4nUvw+zCYFUgHflbuyvM0c6wtOJFmFmgjcD7Poc8tp5oCoFI5vSe4p5AcfpF
dSOxkgiDzKdNzpS9RTIZ1h69j36LYoR/ffbdYXlNy4Ghi7cnIP8MlUZa0CgmYIBgSg9FaaszCxE3
2ePfLQEsm/kPAGH7muwE7vc8W3lJRee26jZBSiEfJtPXRpsjHQ9zCBNXLx4YwIy2eeBxzmAB1uOt
cu6ppsUl12Jt3AwjXZhF0jLNTzbHz6xoIcT43LMHse3GvuKcwDCI8lbzBs1kYZ28qWnLQ+T5IwGH
YhyWLR5+97uVQ/uM6QTsQAapBZuezUpvk9AwiidJsXtkFjCyXTa0SHpgvET0iYXSvUx2y6408VPv
Jp0SgLQ47BoO7DTCgkNyh6hGVgKw2sqyh+yEFs7CRsVDY27HZKxv0iJfc3OA7d5VmIZbvJjDO5+k
1r5qTXM4RHXUDVe1aZMv0oYr/K0huugnhE0b7yd7SLnshSVIVx5LnCtTOdEeSJLQOS9+tWAGHvpG
BYBQpLMxlK/xB0D3NewOhuBIx84VlQwUpjFFGlFQt2sSfMmrPN3ZcbLcQ/PK6gPg4hKGXuZjCcZl
OuxGmiqu9bQWzrZ9uuwaM4VMqrOC9Vdm+r1D8IbvYQNTYG+QDBmuZi3LJjAwx8L4wLaSB0lrskzq
XMU5sMS+dwO/h9t9zpONEQxA7hZ5HIeFJ6gdIhcUYZUydcSyCGWfhl9jopu5G0oZ7vPC+jtmhvfQ
eqTTsWJD7HWMqsecGKeUr8k4r/FD5XVb7jqOzWij+sa4x9q6eC92ssy7SI0JA0zaNzxcrNHYM9Y7
yV+ar+ePnAuZ3KWJnTywxaX9jotrQyeEmzxkMK6PVITEOJEyfJQ1lLLLMo/Ry8qn6TbQKlMIKvlb
bYhwR+2wm50woLFxX92hUQOlaDtMYfmJoGP8VEk9P6UYmzGnVoBcN4ALeqpzeRS2m8nLixtmyMk7
NnrdZdPv+s1lrv0yU694XsyJNCmR9m7HsBafDQuxKegpQmg25IMEnlgFZy5GIbUMmq3ZWoj9xELh
wkrHCVLoQXcd3fErepEq483i6uUoeOM+9I2uH0IaMgjxYYTexnaEWIuvD4EHdhjePduaaI4e6j1o
DS/aA6QY46AwOjZRVt2pZR868KqPHm9fgOLVKNhbJrFOb1g2kGsgmUcYpRaQraCASIE8E/cezJDM
tk79HD9SqUdxzGTNn1SF7YRB415tpnB1GhIV3wgyYF/9xn7jTjZJnm1prB4zRhMo5RkmtKRV0VNr
W94Td1EcSaYf07BiIkUZXNua5pVoYvUXuBZ3UdGyB1g9b8UfvEReFngCdHGpJpb9zZBQ5WFP2MQK
DnpulK0qDv9XfK7XyXdLTOtv/9//27/A0taqg+8K3YeW6P7/pWoJx8LN8b/WZ6ne/Ozivv38z3bY
f/99/8zO+2CwTVBngB/+RZy1/6GkRbEEDlS6HRyTP+s/uGn2P0ybfwHv0hb+qqD+U5215D8UlGnU
WWHbSliYV/8PvLCWKbHV/icED1979ee6lljpaSZR+v+iztoMNVNvG9Nu7mt7PCo0ku1EEJ2AVOz8
jdYba9BTQS22k78uk71fYqfF4+viG65BWT04EIDWnN1vxUxk4GYcTCzjhFDsb9EgDkNrxV8/OeSA
MRKCEcUJBlKUYqC8vpdtkrwajkwi1hyOru7xFOUdz7+kB8DtlOCq2lKF9tbJsdRtU3LdHqklleGI
GwHY0jNoE3j1f2m8XJ5pJaAMMLojEmv9paeIaPSE2I11ZPBPzQpbtbPYsKnvXkbUiFg7kk+j1WS3
uq31FUQtIuZyhbla6BJnxB3pbVtJneVN+Mt/5eFtZg9gj984qWfrwL6IB0zj0noc6JCt0ZTECZV1
E/H+K2cUjAzlL5HWBizekhnqnDRoojR+cjyjUPv2F2g723BIAj2mSXoLQ4BOAkD9z5go4W+YYuYA
67wxPxpepLNzOxHVohmUHqHNKrnXm5nKIMx1K6LX7q0M6qLpoPxBKyek43FtWfm+LKWqK6v14vtp
JQN3IIJl28NX6aasGrZcv+WOh3HXM0MSWPadPCFRAHc4GqP2LmRVXJ1kXgMsXn7hxWBgnYds5hJ3
vYqzIWj/wfE3rIgFW8h5Maa9rhQ3kxBv93LtkHs1zpELBzsw9eIYx5b2j5Vyo4fDgN1kvCZuPvuB
TFZYs6dteVfCLNBB4oVdeUVWl+aF0c9pl6jG2jpS2AAGuqN1wz+ZqMo1UZIiYTBQYhh3stQlJmyv
7zE0Vna1ixabf0YbgT3dUeUa7ucsG/OTOZP3oH3Rt2EJuLWycQjX01MXx0aOHiucr3qlXWOrhjMe
te1PRQpjOvOuo/7E/OVmj23Pc12uadC4NYdTRGgrYrnh0mVrGt5YMOCy0k5TU3zVPg64Y2wRw9jF
LMhAzvs2rxhNttVZ6L5Gdqvb7KpHArxvE/cO4UY9dx16f9CHmPoiIltnT8MsYJ1S1KwEUusBUm/3
sVBoTgFdRhugzSMWDdizwUGN5GEJTPX2U9JGyM6WmfE8Gcx6fkxKsWDdKpbrUZqtxnVUxRaZ3AjH
4gS1Te/scqnH42JGxbXP7b4/TuyZmq2ZjsU7q5Dm1gcy02xbv6YXKjT9rAoMKZwnEBW1szFtvHYb
z/BET1lhKa8YzWOJBxdjMO5gI7Iug+BM2HRR4Vy3NUvjLZu7GS00LZKPHqPWtKMcnXe7FWG4sGrG
mG2F+YLcmxm+GMQHD4s70rsyVeVPXpNpzds42UehM70iJRdBwyMTmhk2qHekbT43NSVqtxRxUAfr
FNWlNPPxiVx7yjVvZn+S5P5E26Ij7kiWTiTdfJEeyZsUuzKx8mKTmqNdHBnHnGfqsbtLN+voQ2Y2
5Aps13l4T/kV/B7IVGOI6ZtrDVu++GuqDXb5bPBog1hMOBpkYJunRJniBFwV25+Tl+B1KCDhUR66
Kv+pZdyeRbv4gjnUW14okim/m7EafZABYooOIOGwrxWZi66fa6alMdI3cVMZp9Cx4bjjvcz1Y63J
fAaYVADMxpBXO2onCpyFCl8oBrw6Hw7TLCxGu8Ws020muIsHC9dcM5Bm072O6YzbcUQG8mn5+bCi
0C2fPSZJc6snPigb0mhUuRqVlFsCR+h1hTGLTc6hf5Ct5u0Zvy6JYX71Qw5Awa5SUPBZu/eHmAsr
QUVkjQJoZcXwYAZOlDRH5XSSz6gvfI59mtswnc8+csc0CCewHIgWo9OED8VsUA8yMxSRgeJ+t4NF
mOhdTu/YPXQG18HoYEOWJYXiGBdnsdNPRUfceIQPN2TXjgiXgDAtIaLUEjAi7QRT+sLK+y5MsugJ
inOZb8dowvPaicSvtpZEoNj4smSNDGZGP/szdfGcVyTCNh0/eZKYtaPuwSwYNhMFgZAgofO03qp5
RdzaMq4fksamyJizgSIFmMFq9TBwgzhhxHZQFCmv2JWcZjTfusl0yfrEPPJmXvD9lsAGSRDWcKq4
H3RHwm1tuO8b2FtlniY/avKb15JZ8N4Y+6TYTE2yfHPnzNsNEpLNHMauptryR/RQ7YZ0OVmlk2XH
TnK9X+lvxAwKdqwguLz1h1DaA8NNVqR3XbbMXBBaIT653649DmVZP82Q1q8rs9YYfLIJz4STcbT6
A5YyytvAwE20CJKTj8cXDZXtnM2RL/amQVVUWpgeUV7IjON1tpI02WR6RNdT8OibKGub+jipwfvj
amc+soq1bkIdMxxWhgapUC34QDalJmW/9UbX2wAtjcNbZ05RQJwhrf272VPjSEzNja8N0frvJKfl
fWobF3yu+GhcHDU0BQKn/nXZhKvhRnDIbcNfE07C+p6V71e6GnSS1apj/7p2MB+tHk978V771dZD
yUaI1o/Vh5YUXD90P2Unk3D3hjNmRUfjEZqdlEiiHtJoO7dFGowTM5vRlO7ZalzTPoyr46hYvUdU
i5PhJqidBM3qTcILj00JwdIO3EZS+eCGy9loFrIqYPPUg/Nrc4pXx5NavU+qipfjVJjDChOjggGO
LXVYRP+LQxpVLARwCPaHPo70xfg1V5lK96ByV8sV0RH3Zlx9WLDjox9Hq/g97uYngGwr3ePXuuWu
Lq5k9XMVv9Yu5a5Ta8tZRHxXLPZ4AqipvtCOsSZYJdi584hVjFiGPBCE8e4deyk2SFPWU05nyQcA
ma66EWkz/sUoifksclcjmupjTGnxr0FN2ksWoKPVxQ5rHRa2ysmmLxJaoGwdAEUvFYUyyUFVVvXT
SGG29/RBYoizUyyPZ+fXKAdGlB9jFEELYkGMl06wNabr8tdiF/7a7Qyuc/Q8/NrwylKMj82vOS/J
DBoAfi171a99T2DkG7s6q86SfTTSrK/n+9kV9KiIJb6mgCI5Yi/ADhhPbX9gzYeS+GsXdJ0Y6+C6
uUDK8lR/lyxtfCq8yDuXqZEAcNDi1iTRTt1Qr6tdPwHegcmS7zAERjzLuYP8tKuLETIPqW1X25jZ
Wchx8HovhlFiftQzisHJK3NVfs6/BkkOWv+JJl7nZxgbUW8ipy1vB79rXoaJDpD012opsjm/6uzK
zTHKR4RI8b6/KO5qN10voQfkY8Sa9XeulL8zprmOm9Nc1w1+69r55gGZb3lkMZnS1yVe+7D7tNk3
kecdc+bXyM7qvziXmlfrd75lCcysK8OBC4eRzOVLEw3Rk/6diwGFxig8pnwkYboOzvT82m8oSU3g
/07WvUOs11nHbYu5e+JO/mlNC1w5ZvJ0Hc4NW3Dy978zO0Iy87v5O8tnv3N9QfA1JSqwzvv+7+xv
/O4B7N+dABuBwuXMW3cF5u/eAAd/jU+ETNZlWBcL3e+OAb+1/Zj8bh5sh0d5jPPyAdpr9MB7fzku
42Kz68cNit18GYa7xEucwO9EfTHzTuztddmRsPVwfvcf9dpZELdeKk9d2s3xa9HUMQqZTZ3rpqhb
boSLMK3rWjTDnaMntiEpWfJhSNjrx9PZLPxqJ0zQUWM3Qp3QSbMfOppp2Ky4rb8RsZQ00/v9gzbC
5RAhor3V/GxP7KJbQImqzCpC1L6htkhmCbA/FWMRdUbDeI972hbObOzpcRtE4T5r2InmFoeFRStn
O1J+lXsue14etDeRsw5n8FgyEGg+gcNknsJ8X7GI5CWUyzvVzvrD5rtQ2xSPnBV4/Lzh8AoUaEe0
0wfYtB593wLuRUjafOKCywmbLjAY0KLjcyiq6U8RNvNezW5+ai3qEI6jD2GNocELzyi3MLsgDG5z
i3FmyyWD/Wa8+CydlwwnFhtZ+qbs0nHsABb+rsgbiPQ+rxh5uAz7/Y4Ps0U6ccnGLz6+6qrLcoz3
MQCBhGtHGR1DVFNSA3G+1yYV9NChZXFrm1yGdiERe+vc+XGo9kzEpthiFEuZqhhvVMCQuxx8vKUf
sucBBrVkYH5lDeus3VWwSxmUfDU/t3BSHBgEAkkioT/1Z2xaeRpjMEzFVHrbLpbtMas55hfw48mG
HCFnDVmwHWkglvNEybC0oAYCjqVdp9rgCO0+HKMJbyMXm5iy2hiDoYe3KyKqTkd0mqv7pe2r7txU
Nq0CnR8qiFwRqTq2pSzGBx1RHjFiv7MDPEjTrVd75PWjPvF/iNx5j6x/n+PVTQwxTkHZLLH3FfXi
7mnGwKeWmd55DfTge6FgumYnfQc9xdzWKJstWr8E0gnHpntoQ22x8Brc1a2QdN9pz557D/S9b49u
X64Gwrj/qftlvKXKEWmxAPXBMrWK0GVsXJyfTq+JDPI6ANxxcFzj+OBmn6gravTUPYolpbtxqK+x
IF0ikso9jG+2V7h/xmPmqO8O7eAuU5ELz6SkBhGkd2I3Jnwcooh6VOIVV/gPb7eJn/HKRVPJTz4m
xakLRUFW0ePnnXJDnkiJOAWM1kJ2fENjVd95PIb3Sd9GH9wpAOty+KlHJ/s0bSkhkISr4FQSqZ/R
4mnElaesNOvHEHbEofWosOHg3FZVJw5WUro/aMnWMTRbMBp1dlxKjxCIGrJ0W091uU+pV35sLWvG
4uSZXzg/ywuVC/pzaGsqIMKMBhi/n83pmGck4AB8Wvp7GRRiGpHkJgB45J37rOHSBagmzYNRG80n
uHdv3i2qkZB8RXusJu70mRLuAVSJPmKpZtwf6+xOe2K+IQQuV6JOPl9p2jZBJel++TOnHXaIjBsk
do/CewLora5mG6yJ6kqHmRgQm64zc2tzk/+TG1N7aHvEax4mb41PnyZVunK47hSHaE/OPw1qIJPh
oaj86Nhb8wGSW3Yo6fuEyl6z/MhU3T9z3W1YUMxdHYCRZ+ag8mjbQL7464nYP8kWeyDFPcu7hQ/8
oaxoLd2wqO+CBs87S3NzsIJEclyyuTnIKj9pO6oPcW6p2yFzLP5Ck2cEtqxKLjtGgVw/0OsRub3E
3Mt8OrhO86ZbEzP7jMvYlK58yH2nPzZ4PO9zPC6wBePCw6eQvTW5MN9QLestamB7QwsIUPdytvf4
7FifdRoMLg54bjTyLm5W55GbJGf0mE0j5uEoJvfG45oXYF92LjMZ/T2BeDi9eJcowuslM/KY4CGL
jN3Iw3hPMD8JXBUVVxxU6Y6PjPeKfEOjSUSOMCjhmGywnTxRL4nHKjHH6UmpiSBhV6EdNv4gb3Fc
e+TCUjVf69zQO07cmYhume/nPmrOyxLV9mWy0rrfsU2jFSvu3g1sW09SNT3O+mbpnpfR57YXZYJO
9BRybZGZvKqLeawVr39bRv3OxaMRnfEM5DtTx5rcrJT1wVky92sq80964JJgqsjgq34p/mCWCg+c
D9VDs2hUpiQ0bnKBvcAJ8W2nPFgxS5RYN+K6OqwMxABPPAa73L2pJfjqTc840G98dBQOZy2TC4Wi
5Ylcm/fH7MWdEXLt7vD+cSEL5zvlzID8jB64NvZOgE4j+yOjOsRT2p/UtLCbmqtFvSi7kO+Svgiz
i3mSRENycRv6AkCfwSqeudjSYCfnryXJxXOWTeZf3Q4G84Av77CJHlIll/6mNuZMX8djTSY6Myj6
XvLvRlp2t0OMm45cvee/sZcWdxkhsyOVdc2uRQif72meoJ5tpkHY64EPkEGOuUnh47FPoemi2mVp
QhWOx9Byb4oCP7QsLR56/z/29ed/K/Zl/tIygFL8z0urr/9EMZUs87/oCtY/f+O/Yzbsf7jStKlP
sSBmUO7Jl/w3zIbn/4MqSkXqyvfcf/+V/5AW1D9Mcl2+7/N5FC6qxD+lBSpZ1gCZhaqk5L9lwv4P
pAWu1f+qLIDZIHcmJLXankPAzPkvueshRDGTcKaPLU8fEHdNBhjKE2zGSSIk8c+UYSzsFW7uEyjF
4dGxZi/aKc1Mvo/8UDw3pHdOjJSK1L5CDN4UicGaGUvx1BwgzornFZBwHWpt3haGIfs7IUslAnfy
PcigjpP6x67CUIdJ32vq/8HdmSxHbqTZ+lX6AS5kcMe8uYuYJ5LBIJNJ5gZGipkYHTPgAJ6+P7DU
VSX1vLibWyYrs7QURTIC4f4P53znYhrleCTGFZ2hE+GNRMgYPbeOh6R0wL+L510Yz4xn67Pfe/1r
ZSPxLshu2iIJg0NY+DcT+/BmsCDLIhxj8lWx6MjaofmdYV6laahaRj78stHFTFsiiRviAC9O3FZE
jdqs8ds+9zmtcnVABqEeapnIAxftiKVjtg5TMsENsesAK8GEW0flk/uoYyw3RGb5e02Q1l3l5wFa
OZYUsJXNrdUoErH7AGpI7EIOsWX1MpS+7m9hOVbeqobkJ6DLL1dqgjgI/rFl4uQPk+ikWa481thf
URMgXY8uddKlGiDQMNDfIXphjFHUY7RpQUGQSG1Y+Fy44EFcRAKBERQ0aGaPsyDn+6GJfLd4ZMsF
Hnw2cYAdstQAIRdXvpiJzeSmPoWDZo1UpqEYtn3PIbaDc4BNKZe18+iT1CV3YiaYBOuYJL1K9szF
V9aM8mMXov/Ye50Zf5plFXlrValgXzS9eHFCKHObyETPWKbtL9qOcw+e6CopiC5lMxHhZpnGwSAb
8ZW9/riKzfCqR4YuFBAMabpREVrS6I2a6uSRjARz55rMecs8BHdQO6bet0AcPy01eIeSvMBknwyI
vTd5ydyb2sJ/hpaPp2XySpAODNf8p1wYlDykjsIFSZwF550/kYqK/wKLzQrFOnSHyCpPpgdSxWgD
yq/EP3FjQvggVfw5ZNS8g7jmnFx3kV+lxn7R7j4wMFtnZdsuQ6VkHQu3fWCEDp8O7h9YLItgEDsH
HY0WJAagWANRjvbMzPKL4zE357+FwVnl6tJgoMNckdrJM09rfy5NS6AVliUs/ilI0uMUZXBOSyCe
RAW5q7yK2GoMOnsIsLu/dby3oDvKkOVWRNVN/6LH0VzNOLvQm8fFSinvZUwS9VhP5b7Uab6tgyWS
Ox2STwdN4RZVRPWk+qgFUN+nvO7ptHfRp7x5KDWOOTyGO3QGP4EtAvxi6q+2PrSbQ2akgKMa4qSR
L2j3SZcTwnMBL/JHNXWi3ZqMKI5oEQySfEaUxhIdM/nvPeJsktfMGsXSHHhIREYUlgr/yi6n1kAF
FuWHPDBopjuXE0aNd65j9hRhLQP5NsqvzC7rUwtQ+cRqI3iIrDp8t/UQdv9vqFL/323bBZAORtwm
t8R/fi9+6zo27ln817Cyf3ztH1t3PMwQlQiYkdyCbNjZav9BrPd+w8QLC0QITzD5//vO3RK/YaGW
xIfZAIAD1uL/uBj93/gLlvR/u0yXr/pfXIzYrP98MTIaYVwjHI+LGPWubfJD/HNWWRyiNeLGk3vY
KSrfe7mrUYDgyCEzxXPeW4Cqj2LC3o9pwlxHCMzGNbBNV+5gMXU77Xj6wjQpWWcDCqcQcx2bhG/9
XAA3IPEWQY+zid06P3psEz/ipO+OZppYC4MpMrAczMWyHfKd+WhMatGT0KPfwhy4bEFi8INkHANE
hN4EMR0/BYP4eJWi2SOzTMOTqpqfhHkQVeVlPdhBlRCQFgj/3uz65BKhvNlOMk02JEvXO4VVExmf
SrYti2hA6SLA8sBatBYcanFqBZ+pcrGfOICFdgKB057Wy3zy5iRBxe3We94ZD8HhmHmAezUDcJGQ
5Bu07Q4FbiHXFsCLZBXL5j33BT+ojvJ0r3y8iqtooEKGnTnAxnZ6/1HTO2zcuoI77tvVh8nw597O
zIs9u6wazTtg/vRxNkheJqLD4J1nZ3pEIp3SqPbLHvbO4J3bjLbX7Ri87Mm7aYgCTceO3EI3ZzNg
qIobetQdVtXQfe4cj5IHdi8zFWEnjyy/zg2N4qrylb0JC2eRdpV+v4vVFHCAB405rIpelu+GZUx3
qPXDHwGW4GM6+9UVkl1fIvYxXCy4kP+bdGpZkxjm3Uh1Xq/pSNgx+N1CpgwWr6EavcPQ1t6Bvefw
bcCZL8gqcDJWQzNcCQTlFwQrxrHE7/V7a3Xhus8c0oV50tpVj/35u0Z9eGYPxFQ6iolDcXlFiKVX
yWfi6mZr8lQegriE7FgyFtqDWS9+DA55pl6JIjgXZvrRVOVb508okSGJ0tMV2U1l9nBtERK/lAlq
ggoS7IXQJO8C1pmmXLALadrxQgUTXZYQgV1TW8YhYBe1DyNbYsNgvoPOgrQUdk480Rh2lxQVlNQY
m++gBWL2yDOJnN1T4jKRm0UPI1LvpfMk2xQMpKBM6mR6wt01HoF+i6sUiBe2kVMN7zg+9SnMXJuh
fpuSwzd3P7QKNaQBtm6BZ1rPrekj5fJ1qR8sI21+5CgEsBikc1uz4DGc+j4ws5yxqMZ+vrExeTJd
zIxtBtm03iKXrpjvZSPRUAbfpnBcfUUkq17s0mjIBTB4K2q0e/G2jSTT7GKwgMVH1JZWOxCtljK5
NBLTf+C4IDEnQwZ4n8YOA5bZzq8MWboLtiXzOoqBfB/pOdNTMJfiZGcd6g67FoxtAxk9mCjZIJSL
VO4G1HPbZKS1XVnCM84qzOp+rZelC9+0SB/kbBU4oefs2ja633aMqrZdLvINEqXx4Hnaqwm809Wj
X+nwwfcIN2OcgS+86hYXvOdbO5/VSEPEQp5cZBrKnVdO7oUl0Hg2EcHgo5Awq03E3jE1yg+nyvWM
TpBZPSugbxWge7QhlRU+CzzuH8SM4/DRFMsUVs2TA+ZpA4KA8JScZR4Jiny2AChn9/Bs9aPfi/ER
Ix5kZL9EWV4FnrfhSN0KrzsYtcl0sRxi4vFC8wDPbjh1NMJX4QbqmjCqeakNV7+YOPN+aoCyM/Ke
ksp99o0nwCzyAS+58yJQZ4BCqjQZYzrFWIPeFLBSwCNdWNavglACtty6enFKU2yMamxecHmTvAS1
hikknoitBWBmlxLXs19gTDvmAxpKVsQUym6Q6BrEgz3Zngp3cewzNbF8PR3LrLAukWK2PCnX2ftB
57POa+ZNhGT7mDZ98FoYjberW9nfIHKFV/4I27nT3ivGZLVXqLF2RBfV98yJ+3sARcXH5FHlA2pU
P0iGDH4EvlLXHj3qXo4G+rA5kzztbofnpLFA4hiePDYZEwZRKwW1Ic9i1r15f6rY1G907zdHexbq
WtVswdIs+V02sAfcoj1VhGbsPW41FZY/Kmuu4ab33o1oWeKJxunox170XOO1+ck8XW/cxhr3XQPn
FSqSrMXWneZlZcMEJ6bbIpMP8QHOy66xqkvl4RCcbRPTVw8hEMo7n0iTjCYnXUBDDG9t67WZmpPT
J8adQBmgIuBvXhLdjUbTHDiq8cDRLqpU1QfCwJotvkbmsGNeVFuEW8mEmMax8lNmdS1oMR+XW5z2
hU831uOJ69L8SHW7/C6IN7bNiFINZtcPk+78MPSlh6xTW2NFx+Top6adyTRnSbqVtXZ2RaCGG3ks
jtoSmhQcRsQvW+X7qNCnEaBeevOWABvCJ9qrifvpo+qtjEWirD5qf1KnseLlITTOeSa02+KJrew7
OtElhyWsNqItprPQC74Y4LE7jPMep2T+Ksbwc+nTcxW+x6OHs03l2GYLeMqAhDs7WjMSDo/oGcv1
aBvWjREqIZ5paT7ZRIASu2Gk40PsFTArpe8g8iVdBoFAMYqd6hPJMtk0fo1h456ELAndMYP6ApaR
qeWMKlpFffmpOmbxvqxgB8pqfm9ilt9mXFzDTGBpA3WxjQYVPvEGKF5TwJqrOiMG0gc2sLXbOr4X
EcFl/IvsX9oRopU5l9ecxc4FWpt61YM5bIcYGBzirGGodlqmqCncjg4mcM3glzIsNDeGEdBYZTYR
YVYDrCMCR7Mlk9S1926xuL3twrhB5otIdx3t4YBWrTfX+KPdfG/g2rlRXyTFXR4ZRszKLqf95xhY
x0ezpcvdyLpO9QMZFg0mkSZ/DDsr+ak4cSYUBS5SrLH20Z24yTdLKZBslLtrPxPiuV3MISO6rI4/
e9ZBheidrBS+g1EmTASWWW7ty+QA61gum+Lq1mr9YLCRKYjt4hu2x6YcS0Te2Bp8k9FmR2mxbmGb
rJtWj586GcdfupKfLRPvHx4eK7caTLYseIofABG7h37uu8PM0HldEGh+8SwWP3VlDucZEM0GEg9E
iBbxlc65nlqzJ/Og9p/lrMkclDqDhWUQEo2jBgWQx0S7IkfCyZ1iF7cMQwGP6AdGkwaEH1ieXaa6
vXYEGzRJZp+bTuGnb9XWjs9otC/i2eJt6BUcn9K9Syw/uprQyPbtPHQ7IwUp6sa5+xQhOr1YBVfn
OpVzunHwz7MJJOwFR6Q3sOTtomODYeEDM8S49Y0qvOLi6Jkzl9664YhalW3q3Pdlwp47D61tVENL
CDEUYrz22Y/G7ITIIWfAvHXwp7Pux8m6xdAe71I8gBHVlTaOLGvts+c3w1Y0o31QoyueQtLft01l
Onc9CLmDM9nZPpu0eGFXVK4q2VqHzB30McnD8uqxTxGsnWa8cJFpJK/wtVkjaFbQpmV1G/Ql0YPN
hgjh02y/cNGRqOs2Pt1B4sqtrf3slAjlH7yww6sTVcUvv8j8Oxcd0LchK9Te7QoT+wSUwTmznWNQ
T/aOEYd5hN4gUGSFAVcN0IUV1cBCgC7GS2t2j47Z7qhTCZldcAp+3nw3wnJTM/i6HybjjfBI0kQQ
3n1jK8D0xUfOm5Q0LZULIqSS5nhC8sZ6IETEvhptpFw9+wXMQoq0JR4MEpJVl+ubmTnus2nPzmaK
upDfYPRwr7fh6Z86y/8IHPkVIPaPdFLv3/Vpf5FGG74/g79J4sOoe6waloO3eQi8E+PFZEf2VQki
Rxvf0G+Oz+StBq+TP1QPMp6jsz/J+i1MQMzZjOMWKa5EsNdP1fNoBfPOdAxmRx4ubdUExrUYGgyX
S6QWHkbeAZg6NqWEEbKpZ+xrGBQ1xbAOZVfsqwGaAaCas+8nxu8YUCLiYsbyATV1e0Cl8dLXLSqI
rnJYRwfiVfY9+X7CIc2pRsNGFisfWryv99jCGH44VuNsFDTjYxN73g8q9WjvSLJTRKrfy4GFQ8dk
lgplNbGZgrsIUcDBZ/g49MUFndx8gXrpUYH70Jjg+RJjluErdhmrNAsXKWqcT8So8CMMO+qWUBSK
wi2BI+X3WapcbqoEJw9hgu5wCT1vOsY11S6LF+k+suskNSjHx78bOQ5I68zkTyCKyWcVws6qbANO
bRfLG4IwEhQN0jfm0GUqWk6De7a73jg4Mgs3bTojeJU+cdDbqTTHn0M7vrbxXO+K3kl2dqPynTNC
NB8ieie3cnCmENHDYNnxkecymPRWvTPPK2yQUPHFnDzMiFmXJGR5Culfr4lJ/ujKGofkxgc9OI4k
fBwl+TTHGcAS+rSp/QVXkVJQaT0+x0o7xrqnXmDNUhe9tyaNpbzIpc4evkru/Kv8lkslzi1MUc56
td3yQkqw62mSr9h+xQ/WUsmTPcbZBJBDnMRXpQ/2gxC0pf4nZa27BEtPkC3dAcbX5L4nYwHLIqCi
hzbVYlfhZX5WS4PRfPUajEh5g5qlBbG+upF+aUzU0qKor24lXBoX3cRc1q6Waz+eAmLdYHhto5jE
geCr5fG/2h9BGkV16GoPB3XjihOeJSacdpXyhmc8uAzQ03XkCO8dIhtUVojbaDOG7mqz3N9PPvHp
HGL0W8gsnyqcx5vcqG6GTJJDBeqN4OKqvDGgtNclypK1MbGLW5WUwicPVNd5iGnS7CYEiQiBCBa9
TxlGgEMXrGP8C98ZOztr5IrWNfC191LzHkyAnGgZs6V5zL76yCxtsrs465gU0GTaAPvX+qvzdL+6
0GBpSCvmiPt6aVL7pV1lYsownQ62WlpZHJ287Ut7yw+5NLq0vM3S/MJQGq7u0hD7S2vsGJH/RorO
29im2Ye7NND90kqz7S5+gCUo9v5Xpz0vTXe8tN/I35NP9Pf05PnSnqulUWeeL8/d0rzje6Bi++ro
m6W5B7pg/E5wkHHEsn1RIcG8HfYkhbBnmQxky5CgX8YFzjI4kF0fbP7rE/UrzvnfH6jUhnKZ2njO
X8DrARvnCWi/vyeB5Wl+tV7rd+O1vun79pFE+OLByO//6+9o/wX1vhzhwgRhJWwbxwwhkX8etWnm
BcrtknAPajT8wPBMUi7GjOkelfYs1xSG1bmZama+AvrKB67obgsrPPvFVgOV2zRhEyhShAF00RSI
2xkFEpb6svLM/eyExve2q9xniPec3G5RQj3PbLJBtkz7m8NYl/XFUk12cgHSHrmY+bgxHcC0Qbjz
OMM5pZqid1bpLreJgpsAo5/90pl/uDoNjy1c5uNQO/6+m3Ljm8JDfumx1z2SwhudZU4w2HmgvnuK
A3dmGI0ibZPrUUMyS5oXO7KWj6OS+ff/5kX9q2WI988MbIE4DcOQSybIn19UpF0WvV5t7Ccscaci
S46dDH1kPEawlZJ2SwaWczVtArmWTR+SoaSHTiU98daS7lusGyC5n9PQ65PK7els+KK9+gxlX6nv
yhfLry59UrTbHiQLzAhL3xqF3naFmibjo7mYOCdvyg5mx+xgFXaIPTduZHin1meRte0mfiq04wMF
Mrbc94ZQX2hyxAuxmlruo+zrakq/rqn568qyv66veLnJguVO+3rBFptb9LP8o5T4WwTB341uf/nj
/30uFf/8l9a4/3Sk/yc/Hf/hP77xwgv90x+2X+vnx/5nM91+skrs/m1Kvfyb/9O//Jf/0RIbF8Ay
IP9vJvX/8h+gS//4yj/m9PZvqCClafqM6akdxN9X2B75sYEFiA8druUv8NJ/TOrN32wm+pJBPR44
mCR80b+xS63fcLOZfGXAA4qDTv5vJvV/WWDbyyYcRxz0UpMDS1jL5+D3d+gtEZxx8X8gSMCb7p1h
j/E+eNLs5x6KMnWrtRUkzQcsIyISaF+rv22A/vS0/DOxXLj2sgH400EJltUVwneAuUrXd/7ynXsQ
yYS3D8PetftwR2CXU70ricAXxrhgst1XIotxK+v+Na9SDBG4cqplkE83skaUYrp7M68Eo05Ckt7C
Okw6gu5AD7Bjj/hYNORJm8RWxetMhW1/0BK32xpCAwMFoelEV1XpTx8WMnurA2K1J1/Le1O2Gt+n
UgYvysRLvMVdMTyyCEbCmXVuArwrzxJiRENu9UHI/rWwcdo7whk2zI/OdgKZVEe7SaPXbefiI62N
ddxZw4bapdy0YYn4vBEX5ovpY9Bn3vcApdnewih4Yc2N1z52bBd/UeSG34whT9LtHBloiXwuawTQ
P73SYdVPWFA4pJIziSGA1vGVxF9vN4xqJgCAiHZDFC+MAQY24osSQcungfkVbnl5mxSaSSfNizUA
bgRggWU/FBVJ4SOcPCQY0SbSPV/Y1BR/lZuvScEi+q5qUvaJ8r0y8mIVBfbZdFpUmiT4RVazB9m6
w1s4rGrEqgi0gj2ax3YN8DrnXyr1Woatxn1IYIHZQ71F39/ATWj7HfxAtSkbu4c9aRZEZ9Oldzrx
thk1y6ZlH7pHod0fMSeInZ1YztE28SqQi84grun7E9tLfA2akfcMGWfdO/AeM/ZFu7CK1Cle4noD
Jw83oLPZZugGORhMOpCmIspRBxv2ZyWG6NCz1d94hmvck0FagCiqk9s0k7tGLgi9JSwA9iasZwF2
LRY31iU+aO6NzRA42GTk6A5bzebqnaIHe1hFNqGxThDmvkW97d8BnBIfGIzUJ1yDlFI4WwpwGaNh
iMrsYqKgQj3RmIy4ZVBjvq7PSGaNk7Kq6gRJl1hHH+sz2rMG87SJ3HNGYqZZviPENdyVaZauu07o
lK4KoCH0gdChDMTGVmykkjRC2FvM9Sis/JK3SuwZtOVqj6TKf1ILHZLhjW1uau5wuYU1g0B5Rux+
ZzaEGKzaehoeJZqvnR3FU3SKogrqJ/Yw762lmUI2RorhPTph7D61Z4S3CVbK0eyI3QX7heJu5gN1
zIRGlhybhEDYQW4/l8y2QoyMfjLxYi48BQtzrAUOscpJKS2HFzCi2Pp8VtlPjOukdY4Mu9Fb39Go
7YBNiJ9lXdV711LiJbNwwu87JexfhavDYGdbEtqGBWiNqnueHOOGJUEjA6znc9b6KRRURxI3D3UE
GJUFeOq5lwm00aQ2zswpKGP4H+iqKPFu/YzVkp9Ptbt8Nh5Ce/p0o+yjVfFFDCnDN8Pe9ZO0VmqQ
+WGIA+vBRb6wqe3+gsmXEdTkZhcib7PVTMgv88GKLAFGm4e0qu8LIDRXyKufcYYOoSkbtQ67PDqY
qVfdFaw6dzLiN/ImVe0i8MHXODS6PR5UH8E+kQEgPsuP2W0G8vAM996cyERB6rFsc9ps/KXApuPq
1zI5B3jz2HOmPhOiuZgIv24mR3x4qU5OsJ3yM5OUh9FDgr1yWtFBdsTi7P6sUSDkyYpdho0timgC
epDXTkXcxy3WX1c437J4AjZZDP1jQLVKHlDCJqBzyIOZ+/lnBW4lXbelbe/iRZtLh+3dDTjdwBAT
SBTAwNgSSpkcyy5WV8NkzQBzsLdIK9bhjeFOZj0PBvLtlUmMyzGL6uH3zlBEmeu+zbZxWZfsyrrp
gZlTvJ66Em9CikSUJysE9wq85cMf0nZjFA5UPX9BVrK6XudQbGEtSfnNz0EkObyPKzUCgZtGHmBs
yPdDaANxicJDn0siHxVQqzz27irpxifUPb+4nZL7ogTUncODTtkjA9g7wrgf11XIsHHbzLMJRqWN
RLExWOJ8JsaEXB3/l3nxWA6QHQrFE/bpMlOGIjYwl4+HW4I4Bf9Vk21zEvR+mnhp91NijVhE+MDs
nZq0hUNVuVAgh2Hw72sGiC8e7xOrOdEcJog5+GFc+9qOdfgx5cwon+DacMx2c0HEWNlZJpSVxiWl
kjofkzUgbZieVTPfkQ1prdPeJMLdKZd4p3lPRgLIPZbgY1O8GmCmFO6fVo4kRmeW9yUZF/uEKT1g
sMr3xUqis3rWmcRLGCLBufdaT+Ouc0kGyQeUS5NfPBLlXIBdSppNWynjmnd2eD8amqFRG64T32Y1
hBIN/55gkBzBComOipDUrfbtBrYPN5PTIBHLkohfIb4jz+aTLvz3ifP9qFuPUsEkdSGZEfEbYy0P
Bp4MRtwwg6TML4jMaHX6hm3SEBXrMJIwYOKIN5lJ95nAl5fIQrRUd5oHINQcz5HVgQCyAbspY45v
amRXUabJDr3eNmHBv+tYk13ikYANEGhiBW00+RwjsHVE45JZ1/rkhxq4UMtxzKBX1cQpExy9rzxs
xbxDekstaK3JcgNRM87fCFTghWQBvFUuL2wOGP2u9Ac2gm31TTsxOr6yaA5d4PRLqYHZ2MWQVbq+
2HMCEdDrVOj/ssbdmqjM4ODY7gF5FNG/aXBtjYmPr5L2A4595r+4udeyGUZ7b2Qu+7rRixDkL9o0
q0Hz3ya2c6ZcaN8WDye+u8BxMOAk7dVNqmCbiq71t2UR6jd2x/nN62bzbAZ59guwiHs0uHKOYgj0
d9S/7gZoYDkg8TBL/MkjEeiRZ4a/zHjuD3gY/XXaESy64ZoN9wYSjoSMRBFfIwMb9jqLBvPkRva4
H2VqvQeiqdmfy/GB7I9MrxYTDwD2XrqnKFCY14chVaeIBd9TFAiyIP1BPAOGDH/mpLIMsPF9tfeb
KMk4mER4TDvTOcG3w+02jykBOJaRnPiotDD5Ivgy+xJA5l6ZUrxY6F5WtmMPAJRZVq1jmYN5x84w
rHM38ErehAJhsu8bz/TV6SHBa3hOx5QllDkNr7YD6rIHAoOImvLhnlkzco8WmeOpQ3MQbJ3Ymp+z
dJp+9inx0JvKz7IbnNPhhhoBX1qWMHihtGWDTWm/S7HdvfiM/u7DuChOcShMQsOYfXD5eUTm8hxA
iLJrnI3KzM/OaIzPg1b2YcBj+AjLraOadMMrgDGfOBBfMGDxvVcj18hCo7p8tWy69RKYK1Cme5xc
7kX6+NXh8DkDHprMVlTuMQmEnHgCtzJRMsDYoEB6TYNAT1LwIBcc8XnSWaz6dgHtYC3gYWIjre7D
gOziAEou+4qCglFN3c3FfX/0Kn6Cwi/EN8sd2Oaw2raew5DYn+1MHJW4ckVwv+HnHyYOMOECimb+
m+ckLSIDCnauVcw7xFA1QAy4FF4evKdJJWAxIatL/GLaMwsmyhFH2idFC/J0zBSsM+cct0k/TsVe
Obo5VvXQvvGhnW9G0FJtOmOxzxq+iW+YcpsuExGHEHtQs1Z0LcdG3usWF8F7acmxfpzGpM6f2LBH
3qarCFGjE6HBIyuAmIIVOcZjyOpnQPPh9Z1Bhq1P4o5TlelNEe7+PFYi+TUbmcRu75I3hFsw2veN
2T6iGxRvfRnYz/3IcnM1NTJ4XWy1M+ikpHiKEBF/jhppKjIM6722JYJQkFUJbwdZuDeTAvVnY5Xz
KdKltayMx/o2NYKzYoZTQsHWCk41ZDzRvh7Raa2a1uq/u7zd7xkG9G+Oa7rNM2Ift7sH7mxbWzYK
EndPi6qYoCECLq0pxQfnRGBRAxWBZ0x6MSXHSvAQbvrICFPq9pbNswIktqha3BNGZ19sSu7DM+hw
spkyq67uo8aL4402LHlHbilbNf4PVyuojOhYl731ls863hciqF6qQPbvkpYIXUFV3xoH6KoxkIcF
eaVqff/cTQT+RDyHK7DT5nvq4duLiiA9LniYF/x4xquoSsffsq6031x8fqeh09NuCPxyUYq4jxGR
JKSnR2N4sBf1JzrcIxV1fBmlrQ81CLdDz0v4jlF8gBtruFc7rpqdMmA1dKX3kICBP3WuFJseq/qt
wPJ5F3RWzxYy6HAOYk7BMePXwE+8fArPZQObxkbLfUe4648+ij+NQY2PfWWGwLHqhjgmC2jjqnWH
4Fe/IOtj4M07W7rRZtAyfmn8oP+uUz45OSGF39M8Yrk3utZd0eP3xa2p4FYDxLFjcy2rLrjVlLPX
JRmc6iqpftqWDekw0vJQtJn7jJelO80RJBcxdxoIOZK71sjie4xVpJ7OjYWfHjPpVomqu4yhjXCW
fDJyZlXMbqV1N1YFcnwFcr269vSkH0Ss2Uz+im434WcE/F82D4OjsyMyAmIWxqTcjKzAKQ+U1W9H
FOPrRuMZQlwyv8dYn1ZLGDYsT3xbU5dKwJqlvEMwmJ3xHgaviVeHP8KEM9+JqNO4VofbFJXTj4Ra
7B6ezryd27C761EyPcEKwq+o8S3tZnCOJ8u2q7uw5ZFntwJEuCr7H0kC2iwEuPw+QVl3VmlASy2K
wbvzPZq11TDx6SKf19zEA3qMGb7I1teLCWeixwLls5urOL3Djx2+5L7TnpwqTF/wO9Ogxq6iE0Tt
41cTlsfYElcPisIp9AbNkq7PnzEoS9CyqviFZZbNEGtK+exTT96bijtvNRWh9elHGR0WUvzmbEYt
RkfAF9HB4EETW3jqzC+7Luu/95BvAeMbdvW9Q1aBzioYxVMGSP7Za2T7nhp4IlF49XUBJakuXts2
D991ZzJ3DCLOlzNkSfc6c/q9zA08l0sKQQfWuKvsZpdmfvgedZr+CiGK9TG4Bco4qWbo1l75PmpR
bXBlet9LlyGNA67xElGpJSvN2cEPBLQ2K/ycLHbPvqH1F1vhNs6BV7J9aASEBbys3Xuv+uEsyORc
tdIPt4Sv5Ac8fKDOcOFfWiB1qzJKqtfGM8GnZMq4oeJx1pAawpXw1h1HfMm2H8pKCX14vGdyHTsH
GKEaexD0xsUjKl4Kug0QK0zXfw24Q3YoGicCAaeRJOFZg9Iri2n6ntFDbqIwcQ6tl7Cj4ZePqAls
Ml9o/Ftb7agCmstkDvGbDOAFeGnBA5SImZ/BwNKwoCdGBkGEwNmq/tVmCaau2puK97kJp18lNegx
dgyOoZBMcIJsiJfHzrx3x+QjixhsCVBCmEzf8ZhPm46rea27zlrrOAVYPQQvHDLlaWraJzNEI4ND
yzhHaQcUKQLSQtapQ2pOecl6kt/j3r91SWs/hFaoLjCRJMIskjLy1RhmR6crijOsAveYjBOPA3xQ
5zQrBEmbHHYw15TaZWVXbwICUriqWj5pEIbHhTWcRFMMw5MQRbGQiGMenw+CBLDUZ/hr+XqYxW6M
amCgg9q5udXdgLVciYIRe+5mfcuI8AJLKcAf94aj97kRoBZkKPXgAEleZkJvsPYBJ6tKC2uTGewf
qewU6ArOq7sYCxHTrtZhcB7ESH/6lMYTAuBsM3+buw205vzFRLnmsvZr3EdKgxzULtpX6L/JQt5F
QERoJ6iB3Eo2Vgse3g8nPpd5GBDVLFCyIVZc8KR92Zzthlki2bgy/F5HAKjbpiLzYcFTp2UPOMEF
3LVq7cF5tJK+viMxI1+XdR1ecWdbd+YX8ToMSu/cL/oqa+FhSzavZwy01TmxE//mirzaFRpy1Qa9
W/EKibp7YLjWAhy3ENexbQS8XQ8GPoiZPSW5DNPvpLXOm25BdRMpZH4ac5QdBxLXn1xOJnY5vbS5
jma5cmc/20XpkmTrmPMDGuVkH0uvJMYgVf7dmHXV42yMKGkgbfJXGGoObqnnd6ytBDM4VfrNdWpO
wbFERyotssMrhldixYe6faAnkC8ujP1yY5oDNRfocwsEer+w0CM487R7wGcbaXzzO+S96cJOR74G
Rh1o9wgHLR8fPaK61/XEDrBbyOvGwmAHdF7/MBcuu7EQ2luVJhzGLSIfZ5+RLvJA7H23azKUq2Ie
uUj5o3PsbF9d4E7rnZVznW6KLyL8tMDhbSvmM16CvFljFw73fVY3S/y3HO5FHrQvrjuLFx9CPPbW
Ce4SkytAsIObJlsvJ6ZkxSqrembdqsxd4rTjBIB0odizcDVLtrqxZCRblZLnluEHaStZZHwHSdD+
K3XntWM5kl3RL2KD3rxebzJvevtCpCt6HxFk8Ou1mC1Io3kYQA8SJEAYaKSuqq7MvGTEOXuvdQqp
7DJ75hCNjSDN1T0K8D47N4GfPaTBTFqejgfD3tnzPdZkXSb/5EE172cJkL+wZ/8+/KX0B3VpdNsc
ZifJgF/Af96l0RI+8225llFI7i2kQrMeWW/hugmj9kW6Tv6pfu0BrJNN9zihevYhnrruY+bO9Wvn
xOPeyOvuBpARgYhkcQ+oXw2BrTEStCODOEe59MIK8QbLCKBWCOiYZEn0bjQ4j1o9oRpwAodNl109
5wNAYHieE7wHP7W3uiaOa2jS/in808Fsp4ufkbylHh81D0Io2KOxnh8ZX3qnsLODW0fDdIbFwMYt
kTPrQrG4F5ga+FivazsiwNGzOjCmycDCHIz9gRkyyCNiSdNrFvq8IBih6mtRucFWpnf02lEswg2I
HgsR11dJT9W08PuCMjdWiNjmTXAYeM0AaAao+RnSsG7WKZgC6HVNBbKHqTNdsNZxplU76jLaZIGm
kiocJrUbojRkUBwHwwKvEfu2dCNx52h7fmFwPt4ZvqwBEKG3yGp32AvCjk8O/dkbpxXuNguN0QRG
QYBlKD0we7JEwgQXh/B/W6Rv2eSXZ1aW6rY3bBBnFUQfSNchUAG+BSX/ib3Su+iMUxbdB0O96lng
a/I5XO9Sb8r3ZppNNxNlR5SdEJxqutx+dNeQxTXWSWsvgNw0kOvMtawHmE5UwTKimQ+gd1CbLlaR
hj2ux+t08NZ+lHKRmtAPXfrGGu67pDHv7dGpb7ThoSnRcda9zVOYXfxfhYnqQv/ahMrFGKce8vqQ
ic568tPIPmddRCK2wsa9FBCZf8KUrYIT+LX4KyswdbW/xpSR/BqHMrMb442a0xpolcM1bu5V+cJP
m1Lrusx4EzD1nG5gW8RfoyGWBxwfIs/iHwoCxz46lpivydgGp5Tk2z7pkLrwbOcFNETm9+BC8dhE
DW++kQTHk7/oYCb6XKcpybsrdxQkZhy0MYN0M7A+i0tmDKOOIiNEnB8/j6tNX8oNd4gyXwuCaofa
nYOTx3N7o4KmfHAn5Z0MuybwWmj5Xedwb+gtaHfflmZ9yF2SIZuJKP2H1RKv3iYyQCMNPnznt/Xw
VCgnvCOGUn7NbUBGwe75D6SbuyFR3WsCXoAr3iLXCbNgMAAkIGeQfA0f6hEHD2+gKlzlwRg9woNy
iFxUvZ1tmyG9lVUw3DdN4bE94NkCw0a67jkyhbitnKA8t5gRHq2YKkuC2uDWn2qmCaau5PvMWG15
ISv7Gl7WsIsDbiWrpB7L+yLFLLFOo9wGExE38x0gR74jHG6uzEU7xHKrPpamld6TT29BbU/eWqmO
qwbmIQLM9OTnlLR+pbR/4pclN3y6jc9pURrxX1/TWBVbK2umD67M4UUu+iM9Vd8d/rSqkGSB04as
cx7pa19o5GiQCvYs98l4p9GDzgYbOESJ4tRndHkkIu3lK2ecMgTDpv/ojPy9IjxM6a+RyS35XBMf
HsYdAutlQ4Mp6WhkVXwUHNvfA0zNt7FpUhZyQU7duxzouQmUHr6KEPP4StEkPmXKQxGlF1tUwp7/
iu3qV9MXxDNaMWB7JuN0PfqNezcxznivg0U/VVgxKqpEsr5JJT9No7nos6d4UU6jRzKZKRS9tP+0
Napf4qydrDEeDxRPGLv31qZAVlatPY4IVE+D+sXBFMChM+LIkjLhLCx7hPPCtqWBN9A+s08Vx4qv
7zbtRHOYQP9sTFJO2xCAU7M3HVw7NUR5llYCK5fvxMM1u0O5pakb/lGLwms0CqzjvO7fTCwv4Lfo
FRvrwlTRScYeB9kgZ2/lzJIbjA3k9DzYA6OcxRQWss1h3Nt6H63nQllOSwEwkNjyymVGAk2GOca1
AA9kA/zr4PuJIaVdwc7HWeRkGSDX7wZh3mfGsfWxm6TsV+Dfluc/Js4rH+h4A68I1k4HVZSgT8Cl
hxEpR5O54o63UjkPYyUpnfEzJBxeNIVIr8Gomp8l1ZtqO7YxiE8iUjSRFhFbvFD9+UsB0+IdPNF1
c9RRewKaar5o3frBg0kG4bRuV3lc6pcOnBd7G4xwtt3yzq+7hW7tmwA5mtg24o0IsvlaZjFPbzHi
mAtwS50SXMyk1QsdfEVE7JjlmWz84Ho0vK3sX22dFWnv0lZZ2q8YtBVEKn8ld1XtU87wfel0VwS6
+WOIjQMKonseremjWk8lAc+n0Ca1OalgQlFGuvzIkL0C10/Vif/DyIduFROQf2Jn65SrkYUoNefF
09ctxj5Ybu4dLy/OLr9Cvxh93HAUJt6lTWDP0yvzZnvbU8x9TJbbVRWKeSfxgCKGYT+4HaHWbibA
dtdQ5u3vwm2Wl9giVo6LHrOPJWEseaQI1hHD4fNcmcT1aH9ftMnGm0IlQ3IQqCvWNPaWEoLFJ0vZ
WyMf71BZ3TrpMHK7Hl4l2pmTjuvyGBq1QQ7KGjaj7tSP1Xr5teQ4cbGXp3My63ATBCZSZdXaOHX4
3+bcg9VjycF8NY0uuwwJba6iH+1tQ/N7sdCoIVs7nnhNZTtjMlT1VVOgxR5Sy9i6dlwdSyswv8pW
BdukDfurCp7pTTx3eb9uszHbSCpFX0PipIfEioIj5ovxwHmdMXEjE2/3vxv7ITDyH3Gi/0/cbJto
qfOvskG3ss4/Pv8Rmf3vv+TvUFDg/0V+x2X37LCP8Unx/Ed5l3hP6AGJZ6EPuZoQ2n+Gguy/wGAE
cCZCbwkH/QPWIvrLc23L5Bd6ATEj87+VCcKl9U/ZHDPgcmA7dmS7Hv/zz1iLxZbnI7Cq91Kq4dBb
hfwgWA9cL3T4HJQGT+fO1Ky5XOCyikaqV9XJkVRtzuu+tpjmeuEzk3Xvm+EI1jk3MHYBIcaNPebT
2SjqdDu75BZ6oEYgDJeLwjR/+NLFrcMdWjLT9afqbCAW34xUllk9o4zpo+ziUK+jLpY9kzz+hm+/
dpRXnYqBHABRawuSvImjtGvJG3PfyLZZHvBo8jJG6l2RlidnduvrttDzTU1x8ou5J8Rjklufmt7O
gT9vvGkjbexs10hw/vlu8mybylv3fITXrpYZGOC4ePcqWW6SmT81ZmKBtSJbPDgmD223a5IXtxrG
o0FvZBP4FvHqurpreZfgyUvFKefCehz7cLqhIRLuG87V1O9ZrUyINSd5myI+OLCFq88NURwCO4M3
0SNjcZ8y0nzSHA4gukKey53kMqQu86SYraBRBbe2W6snar7JT1dm/SsFVveuMnk9sLaKbrOwc9ZT
/7tQjLMHNmP2kU38cx6o7jYF8frgAMM6AnWSZ1HF2ZVKw/p5jCcTHpJJrYZbzYYfjTXApPxjZDx9
oaPHPKvLuL+tmjFQD26UV5egTX9iF40YOCB2k9LvXpmfx2vD1e2XP8d/mJaFMzn96SW12wPB7ZNk
RbllK2PdKUhqXGTy4nY5ZL7yZG+vLN26Z1KmzlHKufym0KzQivTUfbDfcF9B7XsB4hwOiNQi76v1
ZLcHiwWwbEo1JtZ+PFUm6+WR/dKBOAHqJDZcsGENFgk6+In7s2W/Ojl/sslN9GFAxnAqPZY7M557
DziobAli6YQ7BivGmaAZZUHiNsWFpvewj4xZP9lzaWHSAcOXuE33YlF1u5Q6igF3KBP6V8f2gaD9
GtnvuJEEKkhm+XZ0XZG6o/zRtMPBTGPELqTD0XH4f+TohhchMcV1dsceS1AcZJ49HQVBuws7xids
00zVCk/ssiwId4Pug8eoMNSOdA+kqNToVj6vWtrDPjCLuEisbd77A9huzVC0Noz1pOlbGxrMhy8b
c+vOZFATMLnXld9oeDYy2Je5WaH6gpA89fvK4QSCRZlJeBi7Gy8PORT6q0UBuJ8TFqoVuXe2W1pp
vDF28+mlem+BWWcdvZTCpVnctZOf7dpF01OwrWDE4O7g9fl7iC31ObTN8K1gkMjAx6wV1IxuvPfr
9s31q896TrbePFwNdfBFTItxc1yE5OR7d9czaOPhs/yOVR8y5rTGkhzW/Ti49yHlhFVV9mLDJE2z
Cea+74yM5OKMvjEl62/Hay59Nk9bn5Lo2pK+cd/4rXwhu0aYyirmfV/4JpXvXKwbZhBnM4fZDKfO
3UrRBj8iLOKd37BK6Tkh3aZmYG3jLIgenMDmqzqBYnR1NK0HribA+xvOLXNZb0NLjzXsx3Z6Sao4
PDqc6LZlsRT/zaA5TbgHFuHIsFdNro9F403cTYfBPw5zMu9jGc+3YTJ7uyRwhlXsJAF3Zg1pp+e7
rQuM1R4L0JWFZnJfRB2bzTiga8VOYm9LVA4r1wfWnlusDnTRaHjsbJ0qU8DbLJr4hd30vMblgfQw
GtXJ7Kb6hCkqPHDurz8RywjQgba5DqPCvOdDTj01S3EBlmPngyjjJv/kZ03AIUyX7baoJ6lWsZuG
HHp48G3TjL50rvJliOwn31NUPRHG7LYtQT2j5BbKF+JQuk2w4YXhvarauJPDyHCCvzkbQxYqpKyV
9kg8h37+isR+3lZlmC+7FWgFTb7U78oIIrkNe9Dp0wFip+TzL7S3HgBa70XtmbdDUG4Lk/JTmkRr
ILOKJU5wxRiYIZiTUvVxiIPMFEPdKHyoZzWdvYZ3NyMMVzwQvuOIL8dv4orFYWwSaxMD+U/r7C53
fHfDWXWiMAbYMBvYIwkmoXtHxu3e8XiC09ef1xMuKnRSs/qJEnGXquCJ+K0AL81vgFGw1a90SWiL
JXGVewfFLJu0hxuDQgBiWcb9XphUSGamXu9w3b1700ePye9OF1gdYpVAsuGpX2aPxFsvNqGthusn
3KWkgldhmCvCkURUpyG96g0zP4HEd49BDrM75m/+4lWR8zY4+bjJuHKwcMgOtYjbh6Q0+r3uuImt
LaXIF1Rp3b5Oc5CcO1+Lm6DS7bkxAvFT0fMCnTAtr0Gd8U2t6t3g+dEmmIfofvBxyqIv2vqmfJVM
T+kaneWYzxerSq6bPrV5zRJWjVHgosDosgYQe85DdbJMQNFYH0dnuHIAnFcTU0o7JXjj5s4ek9K+
tyzm810OFRi5UbFhS3nsqSdPE7NA22XHxj/1gz8v8nYAYvkqloPdPzjJ2BEP+gkmZ/zDaC4GLFuE
hBc8mysaJcO9GjPhg6kcxcfMa+gnh+y9aQk03BJZJgWrfVh/mwB5xiMiLPGImskxNrimKpu6aEYa
QJlio1uvh7YxpBuiID2rH0xazzx68k3XxnQ7u3pYjbYe94yarM0cwjKVGPbW2kr9B9as07EKaYbv
UZzG6YbbyWObQhkcuvAmNDzJ5Dg0nnWGc6NtOKIkZvtTttP02FZgkA0EUDvplry9HaeK7kK3eZ4C
ddvUCgtAnV4In+18lsgLcunVEv1TP1fwNOrCuSPQ3lDdrvWO1150XccVcD3NjuQ191C8NxwrIHB8
5am7Z658mIfsLLLgMIpRElaGL7uZ3YqkVeFgHEjYL5RDTpKKsBnJwQPgy1uo9/eFmX7xQnsee/U9
eC7hg5GLaZJ0u8Ryo7VPwQcs7Gzx3uUUFqfYMPxgk/uzvm4H11zHA/wRIqXdJfZSSoBxQnKAtveG
NY+8EK+dV0HbgWI1hpy0EZq4Rx6/ISgNsr4roQx3yxGeKLDFqZN+p9kU2Rn5FUVFNToHYI7mHac4
/dDk5bxz1ejdWtS0vSr/dhMOsNXkyrPkG73uSkmjd2hORspmbfA8CLIMKzZmi3OJ/uNi77Cmg2Mo
c930xkeu/RZ7bVlejaHmFR13/lYETb/qBn/aNHPqXVGbsW45fnenMFD2ocWXferi/FyRdHuTiNWe
Vczzz1YghleFNpA1CIGnqwvbmyi2ULrkzUdY1vz7Rn27Ba0VE9Txjx28VlrS4rXz+w+2oYC9bOGu
CI3TmGXXFJuW8eJlVfhaV6OxzbrUeKrdflP50LP4dmRw4PnS/TDqrbacKGG7aZ2sp7w2PXo6/XDy
u6KkLtcduFr4B2cUPl/UKrmKEwNgbshLCqXDxhG1fKFN2F15Wdi/NVmzjKDA0616fynldIuEfSxQ
2AIlWVJ4gKB1FRPVjIydH6AWmAGzUiSV8VOt0+7OTICDdSlKBadvHXYG5BA4g433jV3WL31CWt3B
drL4ZPQ9cFNweZkovxsSh/su8+s/UdvG+2lsScB2nKDbIHevbAvO3WpmIvpB7TC98hTXe+L2oQ1t
TGcPSbLEZg2/y54HIOw8aon92jJO2BGZDI6dyrxYyBrJfyQOq79hOMZzZR3MoE7eGfpi26a0Qd5l
rL7dTkYXI2y9Z21Z7GfFSL/YkcNbNHTJfQE+4qEZJ/s0hmHHK88i1EUywl+33AS2fGKI3w7Ly7VO
74acREPvpRzYBnSFaQyJeZjGS8Cub+2PXU1cHN9mBcCVMlj8A0Svh0jb0nitS83RbXLiXTH74Zs1
9aSy68q5p+8wbCdhEVwfCFMR8/NIYHjeO1fWbjtXSfTTChRHERfAY6qJ0PhJll2UlWYHauocyN26
OzU0+3lruNGOuUxo0S6/LYyxpv/MyTyEcn8iQOkBAozyiz33N5WZ2isGecNKBaI6hTMuCbrk0VEE
lnNFaouSW+9Bo4na4IxHm61FKTBKUy//48Xzl6hIOIZmj4FvDJMNbXWLkoTFJFMlPD/LOj7HaXJR
RcHJ0Yqu7SWJQZdFrYfCy14AX+vNOJdvxDJn4vc5yWBJ5MGbWd6YlV439jCel0s+Ctz6pxvbPcO/
6NyICMRQn0abliziM8s+w2HljPQ45TMHSNkXrFxYTzB4tBAs0ejomCg9AWIAZtqY6jkxPUoQnfmQ
6yTeufEuHOO9VXTFKa7UXT76myAZebhojuSmuYOgpy/4G7sdpWOWqHq6YZX4yY/nRP65ymn8I2j2
CANsOqqs3LkhQPSM90E/mgvEGBykVcbgm/ocGHCZvs2peUl4fm5LeJvL2SDbNZ1BuaI1mJi5Oj6w
gCk3hZv1d6ots42ZDt1BDcTSDC+vDrwp8pOl0EN2qgpv5Mz2YpiBhdRecq0AfkIt7M3klE0SpDYi
XBzcRW7bG6uhBs/u1n6xbQ5PbggBuGTiijsxWTetQbK28A4pwYUwHEkFqpEaKEY5DD2Tehi8vH6r
YpsPj5Na8RdF/NlYxWkABtNMuwlchsrvqt4y7ieXGEp17F0VrkKRmsjC+MZfmqqoLzl9vHfegD2E
WlDOM4CXdZ0zpltBTYRqiQT+VTpz/GxbEJc6xb1lBUmF+2lVA3yp+8Lao6QXe+wS/n1fT8VJQ6E/
errx7p3JdfdS2f0X6Wy8Mz4Z6TfGrOJrqij4DG3Lh1Hx8ORLE51j+tEsqlV4iChPrch8E2psBrHh
N3BfuUuPz0pm1YPoRvdSBDaoXqtuZia//Y3D9/SO5Sb/MoD/nxN7/GnLnBFrNmen1FTWjaYIfsKU
GK0pqimCyB6B0qE2LLYovrWtXAKZnD7YRmjjyshZ+xe4NXYBBwuWlJ3BNtliHm4TqeOYnvOxNdso
eAjKydhS26TPTMrj2qzMrd3P4dpMPJ5YKskO2GSKUwSVZE1K5XHyi48eaBIdHmNFWeGb4XN+DLr+
eoHzrE09dS3V9JeByw9U8hV0PH0tI/3edLVxwtiZ3v2PzD33P83lo/oZ/rkT+X+w7ciLxP2XE837
j/xjEGAJ/8tQ8+9f9e9DzfAvkswBy37HQUgeMJ/8G0joR39ByQ1s31vKtG7o/sNM0/zLsuwoQlJh
u0xDl//XfxYdsYGg+fFgCYZAhv5bSMKQXuQ/FQ5t5t0mmhWSMQ6xnmXo+Q9VRyw+E+N6MezgZ4Ik
NOJFZGqX5NG4Fzb+EYcmPYhhQgy4j34VqB0p5npTLWbUAYYFlxw7Cc+2KpwdSCPnykdUnq256aBV
JTjQzuv5V7eaS2rqVxESVvmrYy26YBR73EJM4oDxwPZJPATWcrG5yn5cICHsV45pNLT9Vsqqave+
zou3GUjNyOFwwrsQcmLrGRBWalibdZxcAXv1P52uk1sQ/+N+Ipd6OxfWTDI2NLaICQrg6UWzbTtZ
3CsbU7UCS/Shf0W1Zhn7n6ymatgZSdIzK10KWJWH+GGXsItllhnkL2VYiY6il40Dtx2DItwHBE4f
iDjJPQR/VLnmYs3VmkpPO+vpzYGTho8WwNmFUFLPiuZv7e6vgrew7RRLwK+ad8GglisFfCZeqd4C
xpjUTnvDg7fjgWLJ6K39Vf2adcjCNPtVAI/Q2pJV50KLZ9/kvYXCgqUgxnTZo0Z8zofBKQW/6SIX
NgjKO+dQ6aHeD0T6rGOz1D9xsxF1lECrVrYQA38BnlftColrtevyOv90hCxY0rjtLfM59zu1rOkJ
9jsRXOTIhJ/HqatPLQqnZuW0VFriEthZNdT4tudFm1x5MkhWte5wOJmz9J5TmeBYhnIJIm2OsojZ
mwuv2CcLsOXfYHpWoyhv67ZL79gj5f0uRr19SDMx7OkdJK95MgHAo6zGgA9fhKS7FC4SaMZOqj/5
1mgZa+fXEy2NVNNycdFHe/CEKyC85ODOVoB8ZeUxh+d7hmJ3xUDYfCT5SjI7Dn3drjgc4sFueWnE
K6EDBpjRr8faX5TWrJOmNzBo4VWeRYRlsl/9tfpVYaeRpkhGFHhkyNRnNYmHv33ZI3furegWj7bZ
GGoPpVpecR+zlwlO+FTkA7cBNvuK5z8RqHWkqvmWBbhT3k90DUgfggPKFn23lc6ChSIO9X051Pih
aRTXb+Aai3NA1dDgPND7X60wA5pCXHh3zN/EKYs1zEFzouTb09zbgqry36IkZ0FbWRnqh0YSRN5w
PYjwxLd2ufM7uz+GziTyHUMHKLqNKcV6nA0E5tzzk3vcaiSSO7ozryb2mZccKcynr0JAR6Nil2su
VnQoCkhlmvBFkvYluOdwowDZ634EXsb4MAEu5TOjWmTr0eJd7+p51JtCSvfUK7fnFQlHMwe82cpX
r0mHzzRPuFOWv0L3nudAvqNqKZ1DoW3trRLf5E+OTUVALPY53567X0l8kwVQMlKW2Wo9+VGLWML7
lcoXwLuZ1vMm1fO09KpaG1BgFFpYeJo45GPOOUejOjUjlPUtP7AfjWtkqL8Wnb29mO2Z+Vi7fLHd
13zCuUOTMPnqfb+5BEHr7ScTBHIaYQxhK+G4Xz2qkRvQmL57RmGU9RfgZ+rdAM+6ygkwrXHORFeh
lSdP/EShx6gifiprlpY7Xib6rZC6vHRJaEIzNlkjscRJ7L1niZqCTKC+8p4mUJAQJdTc/7Z1OhU0
CnL2q+dKWMq/Skp/fuBh41WPBVznjzA3wgturZo/gPPDaUja4jVDqio55IXBgtmrjJcO3+kF0bPJ
DJ75PmGiVs7kczrUyny+SZ7YzbdwuojLdZfZ2F8sno7P7oRjHiNf5Rg7Fmc62Lt1z8cMASu9GFHP
jn3dB1qApWo8VslWaW2sEWcXkOhi4w6DwJOd00R0vOydIE51cODZrITdSlK8sn2Qo6KkPZDTwuRg
PLg8zgCQocAgwlrMSGKwqcFD07P68KLJ8Q/Z5NS3bATgaCn82Gw8iDUGyMBfRRmw07DIhm2t1mnq
AwwZN3sw6b97/LNx9sy0YYbPkhK7jnjdH4vJrhZ27Mz50x5N65s5ZnDTyNJ5Nygi3NraanYOaYnn
MiG0dVulLJH4l+dMt3K8sX7Py2o6wMWanLUcW2R+JPrWadY34RbLJtNxpcoxeEwMqf5MQWZXrOOr
7t3rXSojNE3Z4RNdl2uX7YxYZ1PssSNogmpbUnNqV56CgM96IL6VvZrNbZBhutuEIuCp5RqW/zL4
vsuLu4jRZXEpsquoXLtRTLs4Cqazbdj2IZEqfWyqRaFphWrbxiSZ40LIt0EzclklVbPgdn6Tz8vn
0FiFZVBz7++dG9H595IE4Mbxu5cmUXwwlyB1ukSqm8yLz5nTS3oag/s9LRHshI7emsgSwT/V6o2r
s/cC+MUq7oIfjwy3SFwDC07ZbEScVAyjGVnnKy+Z3BfxmwVv2p6f2tQbomHFNnR0jq7vMetl5JW3
x/E3ae4ZDbV+x/DhEyTAArt1EpRy3k39Aoqc0vC7+U2z25awnuHYGzNxXEFofUSxPl1mfny+Y7Ks
zXpUHHXctKzEcpVrsJzmrJBIkRyKJDe2NM0yflYYPctJkHrgAzFsCETnVHpLc0tkNbgvPIuoqYox
qWFB+apggf0Js1i8laEzANzUw6dBgGjNaMHNNqNJInrlerF/CdisrOporBHx/JYKzN+CAUVa8nVu
mpE5j0eVNfTql3oC5VNFHz2sYQNW/MCAJmrzlAJpvHQeVA8Pt80M59LhP6coNgFs2zaWdF7tgDvm
MZqd4SfsYhZJPu23lRu25bGqcHWSujUVvqcJLO0MBE9jCe6j63FuoytT2BpetCXTz6odnJPX9wbN
eEUCtLWXDCWiV/1u2oHIN9oVTkRcPcTIJZMYMBKXqYqhoyk5hyZ+Oe8r7cXUa/kqX1t9SLNcUrRd
9E/+qaj6GJYcBoRVA/7omUMU0IUisuwvmvr9q6REfSpRZKWb2gaSuOKlNFGdiliXluzjjXVgebG1
GuDh38gA7ckK/4aAUWek88YqRO9fcQWrjl5vhXixeNjtxrFf3n5c0EteqyZ/nl1i1PVKPqbriTAD
Si4EWyMI3mfHdwJoaWHWkI8JGAqPncwP6FW6O5W3CT7LxO71luIvhwL2QzqjwhHTe86Hnn0+JqYP
1gPdnd1W/n089EHLGMwXbEDUzCi/kjY/J8qL+Ds7pTR3asg3PfOPjRJpRgWUg+kd9Z7xLGO+POs4
tWaQ2ensPcP7h9eWNKlu2WiTwt6GKRHvlwTO3Y/dV3Z2XwjN4yIZl9NRjuiuZcsmyg8OCmAN1KST
q7Bt4aA2ndAzubOINUpRZdChmeQwWuEBrQUbilQ8F7FrsfDiHX0jG+pbtVRqy0eg/6mkZ92PhUqH
jdVG5V06T8aT3ZnRM4U1jzpiFP1IR5lP2gjHc+h5xps2YyLCcZfPd2OTyzeevxwX3E4QzK9CEM5V
7VJQGZGOHs060S9NpilRSN4xdPXMVsA0dFGLJaWZF/uGeTyp5cgpkRs4oi05KZvsfUz2bhA5sxq3
BfuG6uQHClMc2GDnSPaKpDi0BOTp4C5wY2D76PQ+ZkmWnYgJF2dPuro7StcCgZzlZWdsqJFEfxQ7
ha+hZzC5SEJreztwl3qGUJUSnk/HqbeIFTeZQWi/T90T0bCeOJaRt/nOw2kEKo+JRWR8NP0QHHRu
l4vhdSbffEzrfAa4NyuuOxtCNk34yprACu898nSs5flJw9BcTLT9ic3JD48K06ATP9+NwmC1MZWE
qMCBGPuJdvTR4fPED+ZsEPtPfdFObABd5VzmNuHA6jSk9YjgPGJT7uZTEWtEyBFngtuFUlVTsZ2j
xL4qXXbte/B3stwiv5Rb20Rc6KyRayhuKmXt9azB6rTruut0bjgetU0micZYbeVeRO7U8cmj0pTe
AGyT/o2fUXY95ANrAnK/9R1I+s64Cj3OJMiqTBvfXqc9ZzdMc5odWSlm+SvT7b46ePSE9K4tQj28
VzPeOKwXhb/sf734Hf1bHTN0TKyAQ5JwYnKmMCJw7alh4JjZTyB9LRs4WIpCzzbfad/SEe8FyAPc
ra29odukoyte3914KEILQq6urH5rQ444NKZd7EXCaJZjoD89pLWoqqPO/NxcCBD0TGukkvl14wLV
XjPzbgQ5OnvYdUaqjI1IRn+vKyeKTw4cV7lrc2io66iOg/hUd1LTnc+EDVmBNwNtFgM0/fA2FRy3
227S1XW5UJXWRpd6c7XyRxG2p9qsdXSIcfrplcDZkz7zkvKHozuBAuUpN45X7HVCE1RGBoH8KSVQ
nX9afIabu0QKval9KO4rVggLmpCO5S2wyegt53AHa1CTAtgAuAjwiPaZng9WwmbmnBpsCJDweIHL
ngCmfmD3HQbmsDfOWVW8RUhGOJFbbXKbFi3vRDdu3w1nYmBcmvNtjm4zRyIoN31WkCQuoxG4y+zA
HCkmvwW8F2PysUXFa6pOjfgPgRvDPkJJ4GbEiAEhsyhT/aWT3nGOw2ixZiA7gwOxU/JBWh1SUZ+o
INdLMkkKaI27Gt3yHgwPzyZQ8MU5oaBvc2ohi09VA5EdBoBEfQ5BKEtO7yFh/Mbv4VNrrsLlIRv6
BPIRlY9nMogJ3w8Ao8jYsoRhou+U9jUBMZVs+NV0nYkrgd3p8iaCrg/QFvZPb1LtT3D/dTz6cXZ1
9vA0ECDh45W3/QeAkxqeQGlQsg/iq6AFIrQW9BgQuCQeUt258pwbr0yce3bF7j5r8SvlbFZnCnF8
OfzR78/8XIpHvvIRJJrE5Nc3AUnlcR6OLaDXj2Qwk2eweOJFd4nI9zDG7ZMCGY+fOtKk20KrJHmt
gnZd9FVoroPGMisoGABENnWXg/iLpCSsMztM+3cGfzH8r0V0DllOIiYo2BxTaQHszvxfRJulQ9Mt
sBQyt5inTbUZJR2jDZYkf/s/Mrf8/4Rps0gu/0tM29VHMaQf3+PPv1F3ZruRK1mW/ZVEPTcvjDMJ
VDXQ7vRJ7i65JNf4QmjkPBlnfn0vKrOzFHEzI5Dd1Q/1dIGrkOiiSLNj5+y99kf5vXX5t+/7W+vS
+EPVWIZd29JVAr1m1eXfwlS0P4RQv3K+TAdZ5rfepar+YQv6k7Q6DZ0G5rc4FTqh1tzX1KEi0iJl
wvOvQNr0H9NUrBn1ZiP8FDOPEJicS6P2e+vSBHEQSj2HcdxnF27GztY7KUB8+dywaC/gu5HSNCuJ
ZEu2FUck6Db3JLSKA3jZR72Pn9qSrpmcxg10mZb5a3OKecmW/BaRRzMEVBFD86U008fGYYbP+f+x
N9lmuxHMoKWR2AETDj8LU9f46psw9vRX5Nt3FtyMGP5PENzXLwfLS2XATo9YhXj34y9HIyVsIEQZ
HoMojxCTdeJ/5rI8Ccte/mtXMvhLmuhtXeSIMy1zhuF96wAHilRpYCILqNUCH3u+jHPlMDbkLBOU
+etLzYC+b78Vyl3Dgq48/0cHsPcl1v1+LUxnQGJ7SqDc6t5sDnVLckEempFenHTVHYpNaP1kmnui
skrP7lraupbRLeygCje+2sMeb0l9jOwn/tU5z7OjYmrM6Ez5GCj9vrDsFy30DLO0PNMqXiWmxWWp
h/A28uowGoFc5GbUr31dXOCVr3c6KzonTXD/hoh6j4CeF6ubnqoqetYrgrTSRJi/ud1/YqHyyzuu
KSC4WuiJVW1+rL/db3a9sBt1xfUKdK4hzVo1g2DEWB8ir79xi0cq/BfF6YgSQAQWzUnBXfaeKuHH
r/8YXxf6z0ds/mPYKmxD3RbCIDJJ/emDjCEd9Cww0daR37NQqwpOkmI/OkFN1I2avqW0E6lHF1Ga
7mU7nQtzvKYRZ2905nuLzNWu9VbexgOxEGa1MQL7ZYqD52xU15ShN7/5sD+LrxFwOyxCYBmEbc9z
lB/vGml8jpI0A+xBMcGZw6Rti/5sdOK2UiwSw6Jz3RY7mBjbabA2USXuFaLYF3gzF+FArAzg9w4h
tN0QXz2ldFgs69xDFl78+nP+6a/L53SxyKB141UyWel+/JxmUGE5jWzF66L0tnTiat1nqKuqfsDH
2+5rIp6JCe5nlSESkkROz5TNtyMJEy2lzK8/zM8Yy58+y5eg/duTJqxSTfFo+wQOhYsBZRDHYSB4
Ood3bVP/9nJfa9L3B2q+nkWfnFEXCVua+OmBsiE3OBNJsQhVKDABzBe0D6XXZj1PhXELW1BbO2NW
eB0No2U1Q9uwNcMuDJ/tUaf3Gfv1KiB3grZG/ui3OIRqd53F9ZlA1GRP0GG6bH13WPtmdO1mFIBN
DP1bnw5OUxvb2ALFDS2SIMZOW4xaoSLhafeO68Z01EnTMIzqwPkrYJqQ0sjFpr1tHDAFhVlNSJSY
qWgy0FeNPp1+/Yf4cTG3ja8bg7PNYq9SbYN974dXHiN7WtPxgaU1GWj8g3VcXg4okZLs+OsLaX9+
TRjm0UkQDtlChm7+tG2YEy37HGnXSo/tPYD2j9wk749mDQQiV4c0U4cP8dDfGtW0a9rxBg/tk++g
Yetq/1kiTs/N+j2wIWaKZCtT7dw08jgU6ebXn9P486P54+eksvi+CArARpxCqwRMiHUY1X5dJzY5
hHH26LNB0z/vOg/RIPleCgrVdMiPciCr2ynxYk4EsyAZVRh41cpqGCp9q8dRd5S1zKAm9MnWpI7E
gWoZFwAAk3sk49Anq+ayK/puYZRtjSewGxbKfA7OXS5siQ7jHulfNBoNbaH0hJhgRJpjM5t2kxvF
AzOQFz8sKfpxJz+PZnuvIbD1JiqHz6zsUgRpAWOqtgr2oIynNbaK+1/fsz8/RFQ7pkHVwzats4P8
eMuSxqXc0HOXyFD/skH9YjbdMiKBm2Pn+teXUv/Rtag5bB2/C1NDlaH19z/PEIuqrfXC9Tpt0rEh
TA9TVOr7UnKCCXuiPdIKEX0+HuvgM7CjnqFOTaaGywbbN4X0phFUkh6b8oRz7jcfbr72j6uMzSSd
t9ZltaFe/ekRT+NOpY0H3R8pzcWIrMJU9lN195s78HOlwsjeES6LGF4UWwU2/OMdkNpMRbfSAIob
tM3BHrajGSUeHsvNFIWFN9btTR+U5UtamXdMuK7NWl/Fgr6ybeTtqpqIZ62Y/hFcPZwcdGUH8HcJ
cRW28ZuC4h99Ussx2BR5LOit/bS40BvxgZlEvucwbhriKFvjYSF8B+F5IMCJWeR8C+HjIWh+s79w
oPjxL4HlSpt9QDY4K9v8ebHpGIRPBWGgdJLte39uWbhyScyJp+faDZAfgETVby6p/qNrWqqmWQaK
Cha4n/4ubjYKg5hD13Mrkt+12eYalcNFadi6p0WU9ln7FibdXRUaAM2sF20iYMNXXhsZBcuQxv+l
M+Sfsa1Ds7WXUXz+9XNj/GkBdjSKaZcC14YFS+X+43MzKCiPhNYoXu0QQhrLjW/6az/mdQHChbcr
mdK9wUOEKvEzNuFlEkEII2hYN5b/JCuw57Fl3Gh994k+Z50NYh10eOGVJDr1VrIpQ6LRTMziblm8
Wey3KxvqSBco7q7gy1Np9BcxVDCEtrUHXaFaJ2b9MWbi3I7Gk0raTj3nf8sEaq3fAyGTyW/+Qn8K
ubSdWdKClsQ1eXdAe/94B/IIGbgD78CrO/tM4Pk1EoCtnTNjL8shXaZuI1eQZY7lENAr8fk/5BzQ
K0rrVRPUN43sb8g8YzNQCD6KEgPPhGSDtyHIZOLRruB2ZW7dL1RdHoK6IaUdW41XwZeWPcgUOC4H
O4CqRYfwxTELOA2Bc9vp7pOqRUd6PR48kp0EB9XFY85ABdgKNNZ3oCElEMbqUmJn6/igdC+u0nQ4
DHF8SCAiARMzX7qm8QiJCpjT9pumsY6FkmwqziCrwSWoUoVauzZyHawDAs8CZutC0F9aNNngkVc7
rEOmuzrRjQu+dMGc662XwVWRPtqTu4qaj18/jH/aZB2dcplXk6Od0I2fV4bWyvFpVTr1mLaspq1J
9FixrWgcQ3r+utKsyPqvBN3/N1J+kbkubM1lY/znqPtjNBU0137on/z92/7aQnH1P9hGsdI4P2i/
XA1RmObohm3b/JEIWf67n1Uz+A7LoYymA04CiskK8n+0X+ofLCyW6QpOa3yvZf0r/ZOv8923jdQx
DYMtjrhZgmppNKg/FRQDXrwczA8BZp1R4H/Py01vVtlGxuqlLmt3F5H4HM8OTDNoP+hYg9gzccp/
u2Wnv17ve6MDUduP28jX59DYaE2bipWF86cNHaCsAgbe77ZWUqOCt0Gak85cTEurPYTh3qi2FfyH
jASbqId/YnJwAf18jMOhYYvVz21lX9ZEVtX3E6YEke/1eChhWDYmERGO11s2kI0STwxsJJbe67HF
fOcDj6VNIDzR3vV1fBjNfjX4+SrO6hNyias+8S80vSTAyVpjmsC8GpC0BBAgNpMzsDbWMD14YSsC
ysRAgnZDR5wfqUflauBCXusg3mXE/VjX5RlpMf2bcRsH+qlHxcOwPMHvztiF3K5HIl3m+dsk1tTE
cHAZNOaZuga+hQKNBQZRBhbVznlQkukmiOPbCmhBHQxbjvYXRBGRqwgmxK5uh2HWf6HGGAcsmIbB
oDjApUtEAHxnlNnMOmGUThfWYH4USMwd8azU4o4oO0Bs9lGa8sbySaBsihUQSq/XtGrB9Bd6p6sR
zki4yZi+Emr7HlWoKNpJVz2Qdp+aOwFBNbUQP6SebSvGzd5gT/tG7Y8K5BJU13QyekIJoA7d4rHa
SXFT02ezhE4FbfS31RCcMEKv9X7B/EZn1pjm4yqyvMbqL7Aq3ZF+WCEmMjBu3lb58Ik6GsqSeJpq
pESlIIKtLx+DPlpTpO21SjfZOdkmfDJBbPeOx2uRmGsOTsSkY3D2hqbDmtNdAtl89EuyVCz9Rtq0
2we7vVN1Wl8qJgf0jQTbtd0QgyaDAjhAvFMbU19J3JAJA3sYC8+xDiLYaCbUcqziPJpVaN1B9xEo
kCDmVUj5xhCYf01NpgkkiHHzJhpqM1/4iPpm1CU1otovzY6TWaaejezBlnK6ipM+eegmcvMS49of
um7jjCjKANb2O7okNMcQe3EasKp824TJo9X6H4lSoGG6Ks27GjUGLZ2Zql6Kaw2jDIeaaVcG8YOh
5v22RVHfxSFWUfvQDZUH92kNQOXKGK+lUx5t4S5RlpiLwhhRNcxMsBYhPtKUE6GuuFHiZsvBwVg0
DLMQ4JnJ1glP0OgOKJeX0t3VuU6gAuZ4loNTFKH/D/zhoZxo4CXWK3kIq3iO8kwUVR4rV5W8OUm6
jCx9NQ4NtVP0aqbOukpOhgqhr1SvsyxD1WasGQARx5ptYXAuyI7tF9NkPSg4XQwl3fBo2AgxtIyh
ZWssOpUxht9Zl0WrXsBju8q16S7q4Enh4H2KqGvhBZsr0EvLcdTXbTZc2Vq90eZUicmx9yB3yfoL
36zOOKmkJ/A6aVeuQEVWNeZV5Aa7IXGfmZjviLl5LxJCV6vpmgKVGbRWgPdLc46iop+bDijo7MHB
TBHfBGHDadxH+abb0SpXT9IiBbwW3PmK+yQAhJTRMYvy3rN8vV+WMOwRwkiWIvPE+PI6S8nRGvPy
DKd30+FUWUZmiHShLl8LKmNjtO4z/PAW/8MjTnad1gTYjUOxL0J5Z+MQ8fPmqR2zchuizFiWtnOP
4u7W7vvAG9zjYDeY7JGgZvIsFPeK2IanJjWftUZbY4M/iLF9qsbkAWBKtmlKfg/qmVEpVvhOV2RD
EqdhKDeMmXdDpqImsPOLBqoTKYiIAyr4I4vQlvHWdvpdL5ytpumbSZafepJt8jZ+wbs7qzP8XV6G
GNF93vy8YuqsVs4H88v7AeLWAj/mqoI7S3VDvJdB7ZjpUUJ+Rb510OdpLaqDqnZ5/hqxSa0Z3Rqj
Jij0w4BoacUbdtmM6kOFZXe07WplZKB9RAbRM7F5MTIVrED/1LlzZq5zVnrnILrmcoJ6gLneHjc1
2WBaEeymwPioAgVikwxIRI7qAwe/reL7x6Tr19ij6d7SqwBAjI5PUTBmhDIAnDD4K5gMe169HeoY
vDyGcpIlQ/0xDBJSfJWjIbD0REH0DpoAE0h6I5q05jYH13Xabiqb50E63MlkJS372CJFKybjoq/7
VYoCNoQ+ZDvRtiDXRYz+hWU+ERJ752dkPTdYzEdojj0MioJFCDzOugn9TSktryyewzq/zFz7AQXy
boDD1qTGHsbVticw1ddzT3XpdgDq2AnEZswfm0Vi31Z+71WNsR2jy6pgRJghLmHw6fKkO6n62KbN
FWea7SwGWNjuJmp8sDK1v51mdc3QybPlNy8yIVY+NPB9WPLBcSXJoC2zSZ0ejbbt0/bAVH6YdI84
GgxkubxWJv04DqxcmOcXbswrr5j2yRzCj3LcB7BgEDxchYQ9oHwSJgHL8bSQQv8kW3pOrovBwqh7
6rcl3tXPSMvfw8C40kE2Q2DcRklwFmMPJx72mSndRycevLj9bEwgxCNLJ22o2pSXZjXwEhZoB817
NAcXdvoMreEJJ/5zoMRencSHVrRXuIfJ1TNZXvzwSJ/uYVK7a4n/0e6Hy5YW5VjC/zOz5yxQUm9U
jFcoTJddq22LYTzaSI/odhJB4KrbTIe+r7Yv7dQ+Ir1dpea0TdT4DcLsa6aPzNePZPEs8kEjO6GA
ZxSWx9qqsTer9TLGtBvdatmFzqIQ9p7Bsow0HFkiOnDivYds0+vHKXZ2gLOvhBt9dGj+9BTKheGz
fxbNBr8leSrEWSTiWASzt50o38BIrmVuoQ5G8UfIThh0UO6ap/CYpwQc3sUGAL9KWZd1fFkSu6v2
NWrxLrq3I1gSChErObOYPj7Zk0cw4iYd+m2R1e+GO+zDKCFTjRuIuN7AmbOwhpR0Uix8Nadp0n4s
27qXg3x18V6vGqSIBCqE92al1EszaXBExdndAHHmup/cORa2dhaqEBQ2Bdi0OWe8V+RFEqfLpNEK
VBjmCV/fUxCPb5rfPtQdxogRkbBtyHuZlNuij+9jW66IFV9aWrdBjb60pnPXaHC+4J7QR9XN7KYq
EaL69WZUzZXdMSUMjhhiXWCzw8F1edT9Yun2nyl5uW103VTuRZ+5J7+JruL6As+pZ6X2crhBwrIu
6nVo5VeVX5DXgQzFS8KQ/SNaKaK9Iag7INy5RWm9mdy7wNYegl7cRK1gPXA2UXBOIoQnurnFXIEd
wlmXsj0MIrvu1BN6khWCJ0R/zwqcwKGiX1y05mKMX3vmbSQ9HqISVZVSDeSfEkTUV9anm9+HvJtj
EVzMx9tYFuRPc5Aoq3XUHCJ1RJXhnC3O5I7RvESc74VwW4+QdRiE1A/Q0h6SBizaWN1X4CumStm1
2t6FZRbFLFkGJSn8g4sqs27V7NyZ+F/JwUHumQBh9m3LZbHO7gJhK8u8i6ML184Orc2ODP2dEEg/
T46lY2Vvihm6qzyYip3v65IaUrrNI+zs4r5qpg5hAUCDLm3Gz7xpnJMbC+coE7177/oiWYFyFBvT
RJ63mCyfGNYWbapjDgwMTPFm5Wl47eiZtRdVAG+BxT7DblYm94XtOisYt+7N1OncSaUJnxFe99sU
mBiaK8VUVw2av4vYdaCKhiJhBoerEBNKhExlJBlQGuKDSzpvhMNPr0pmiW1mjs3GF7F6i7REX6t2
0Fw5ISHmIocOIBRb3nLeoz6mMBsWHRnL11VGRAxgJYjJLud+kKv9Tqg1DILOCHatAiTclgF73ARy
3h9VZxdUIDAXWZe6m7YoqyOxZwGaYVkilneB8rllfYTx6F+ksq0v3NbumCopHL0G6XLfwYMcG8aO
RE6OxHIQIbAIRhHfFvRv7oUU41sJRHof0+xaB9ZEXPEwFU+DPrmXSLyqOw46vD9OHWSvZCm0BC2g
kUbDHMZXRteYZ9ONwxtXF+N13bvlpdpL86YzyB2XhRvuR+O+A99WO53cuEjgbvxCNe4Ug3zyRR4x
6TAhga5xxbGUTUMKR8xuL8mLsg8jG+YzGAd7S/yXs1fjYXiF3pmfMHo0J5T19RVytniXRThDcGe1
8KBn2RMJv2t1zIMNSH/cqXoJkr+bUHb7mrosjDjbuMSNb7L5gJ0nI8CVMEBCm6TkRap6aD7oAOuX
OBiy59hMtcsSQOzWgM60V6ZpZE1BQEeYOMkJz0PYLuMohOPYpOOVpkE6hCszdrc1T+aIYKEesw2W
Hvyx1fRmpjHOrL5uTa/0u7OvWHdOPl3hMwfan24NM9sBzVkaJCSy7EfgvId9Ra4aLggLDwERxERS
eQa5jubI/ivsx16pdt0Yi2WrGu9WymamxS8GWTxjAXg3SNao7lc5lRsbg0EMBBon17p0AkMQhCYf
Bq04a7mxi4RzmRqtZ6hA/WYkRdFuuuRSE/JeVRt3BQHncZpQ345BREWZWefO6O58vJXlSA60wkoU
hclhHJRd4IxXThR0u1IlwMNUCJnKcrQDyaRdjQ7WBc3AbRLnK7cKj1XU1+sipignCn4BuZkmaLPO
a4Ug4lWN/SlE+VjUcxgUbh5nHaQ52Mf6N2MF3fqx2eEgNrd0IUzOmgDEVOH+1HSxQDjFjWn1Wyt9
4Jgf7aehHa6w0DN1gjV7Iay8uhyKYLpmfQpv+sgyz2pcx1cS4EG/qK28w7/aZa809uatZn5rxvn9
Mec3KZzfqWR+u6r5PVO/3rj53StgV98CkaWBUvBqtvM7ijOrPI7ze5vOb7D/9TIPgV5ftGmiXAQ+
7/o4v/XO/P6jlA5WWG2rI91Xd9O3eAYQ88PnIWQFHaAq/ZPGPGldzmuLOq8y07zeBD4rj2j8AeBZ
r58JKmZdUolJWgRh2NyiZ69vRVFnzCcseVFOsrkCEaivEdGrt9o8b/Hn1Q/59/RqzisirGr1Q5tX
SfSF0S5kyuxiFFvhZJkRzfO6qkQBIvevxbZFHbgdEyd8zkvqjFKM7o0RkyQT6lpy3+khB4a+Z/kW
YW/tq7EPrw23UN98VxlWWeUu9TJmk//aBGCRw4iYd4Z63iP8ebco5n0DE9j4Kea9RM67Cv2c4l6d
dxrla9Phr1kgYGcngtWbvTnz7lTP+5Rvp+EObuShmPcw+EjKEoTWHZoPDSL5VE/vNAn3s3cTzIWm
1mA/aIE7Iza3xRil2sNo2jS1EH+PT707QNkfdSdelwENqIRnc9VapJlNGQWcRswhZuCc0Kk0h1AG
nEQrtfCyBMJI0FsFYtpQtojd3XppSNt/MTDtFVvCiCcON0WjrmtT2Hgym68rIkDN0O44tc0+DfqU
hylHuAz4MoWWElsvTqVp+yxmkdhYPTKIhYVolMWsUciMw/iUvOqivO70FGpNKTSzWkP5oi7htLBs
KwXHRpdZeMcahO7CLIdVV1U3IafNba8YTzKnldNCPd1EE3XlxOM7ppj7gnFYuYp/juPqnDZhtlL6
mGkkLIrLXuTNyuHA/sEh5kFxhHnUwcWv6tK4AwhCBaRo+kpkXcIKC3MyqoL0xuktVMXRkKzY6GvP
F0l0tgWsSqvBqT9rSLCfnJ0qCsnecpNtblNmt5m4CMAhr/IO6cnaGhhj05ZLvE63niOVwTrorU+8
4ckSzxGQGjpmK00dD5L6A7E6/7znwVhCoHs0W7W4AMikr3NrgLAvC21ToV7w1M6F8zYZczY0eBHi
6HGpkU5JM5W2ipAvmACuqQsBdVlDRRRAf1cWw5wukd/2SslxjNz2jQFvxFkEOGIPIXw6L02IY2iw
rq56BR6KDnRp7QD/XThGV687jXeNeFBjAeGUE1gw2iAK6+c+7+wd443oMZryZ8T8VBBmiTfRdpoN
qCSGYFOKQ0lGQNaybFhKleiopgToMOMXlrjfwWHFKIahTWWUFqXgOH8yKyAggU7FhFQpBsLtF/eF
TxazO3JqRfWPpNbtznyfuQt0nBYLxE7GXe1YQAIb099ppSu2YA2jY+Hb72pZY3fTCGdyBhYUAkLe
OcV8xrp1DjNLJQcysheaEhiXZUGOaWFx71I3fK9daoo0rtnaqxoK9ZTD5R+jVzjkj336BNr4iIqE
J0KLlmNunya10LwxyT+terrB/YUG18HipKRNqi8UdDMrDh0wCqXWeTqUak4iHDw6gjyW2JLkbadq
4o6xWs3pVX0bCvjAZAPc2TLdqpKFS9GdnpNxCX03UMMDlLM9WVYQvnXer0GySRQK5QANaYL6TM3H
m1dUUMG7YgdSAwBqH0yPsTMfMoM5BWRIOr6vtqG7x003kQSTZB6YznBptyiKDZOmF/6c8gW3kL4L
FEvsw55EIKLp6isQvc0J7Uh+IhN7ePVZf/aqRpT4MFdU3VxbVXOVpc/1Vv9Vec01GLmZ9k7pC8Xz
v6ozVlzjDuPPcCPn4q3ljv9/GVD9U4nvf1ckq00xirtf1TRkHGy/X3LDfz7R8l7e5ctfXvL3v1y+
BC/yL9uX7iON/vK/+B/eS/aSf33Ji9rvI69/eIm/CYj1P+jIaQbKBE5EOAe0vwuIxR8Mx1FB2ohM
BIpIplw5IWXhf/ybJv5gDoRMmC/wsWeV8N8HYOIPxGWM/lV+nflHOv/SAEyfxQLfJmCG6TCCQ6em
c/TXTE5lfP2bQA42VB9zDDFWfn/XjsXRPavrYB3qSwwftJSh5kWMDeob/Q6LjNsSpntXV9E6yh58
utQRiDgH66lIsmfX7ziSwwCsFy1UV0duutJhmaTMdl7HwUDMRBBmGz20/TNsq5UySgJqp1uklDPO
7EoP5VpXLkrnE851uvUpe7XL4D2kR56bqHFxMvSA32hnW59QEdgI6KIqC1hSOzNucLUL9bLLcm/s
8QAAl8yshNzNoWX4g19I2QgLE32sNtBg2vRyoBpyoZ3k/atw87u6EdfZvBNFwZwZobP814iijPyt
Sa8sp8OP1yXkQ8egzgK4MyE0S1xVtnZSmUYF6bTTdbkWXz57sLOw9rAsg59TwSuV5VXdIjKogHa3
oHDwupxSiNdDGcdI94oP7FE5ebPGk4iJ6TG0FRrgVcHhJvb7NQm969EYKatovVmS/ak+6lFzaiz9
UvX1t8S2TkPBZwWoRXGnavdDNN6RAjT7WMlwIeswRim3CC3EvFbHTw3C6BRkzPUq5H8I4+hXAv6L
h98I8RDS/vxs8d4Bb4dpiRCPUe1Pz1bSiZpkLg5Qw5TdyUYplobBaLEDwzMfsTTgoqltESSQb9Ly
yswGDNwGhFlkIyPI3EVWz2ZZ393N57VEIRClpaEcJ6znvn7Su2LNuO9WN0yJbhJCkR7tq3wvWhBF
Zb5Xx7WqOKuc42oZTddmGm4du19J1b3ERoTbKfo0ODubyZPCbZ6llhGwh4BhAXvKUs5Q0F73irg+
kDTsEU054zO35SROTAnXnW6cRuEeLAODIq1kl6YhxuZzXBJCplo0oS4M9Rl7LRTP9qKy6L4WCPGV
AnqwbQ9QcHgqE4QoKPwOTn7EQAl5BB5D5rxmzbhNU8E2xTCtZT65TNrpMA0UbzjVwQOuC/KyMn4g
BSAFhaKOFywXD5oWXMb5WZPyKGF31Wp/zodnbDbDvtRGgglAGz9VPlAAJUwflVhfhSWIn5hHpMcB
rVou0gj5Dl2iYvIxXpHLRxAzlnRvTp/bV/0MPp6efz381mad4w8rEE8JImFQLiBcwVrPEo5vK9BU
kJwp+9xfWUXyESjtg8/t86X6XOHrnmBZqLa8qfzkcmq7K4TZu5hucRQZCzWp4VZV9gEtVOzFdQnT
3L1i9MXa1ZBR4+a0dKEFI08szfw3Tzfomp8+t8XKzfPNAs4GMxuafvzcNQC1slNjf1XZko6WpmMI
5wObxXKA4bqQKbP3NHQ2DesiNCeqLRapip41oZxDmW+qkFg6W+FsIaseFqNt88xyaCu0aGu3sbbA
VgnUtLtlYd3o6XCK4va2VNS7SWeuK7V3wLm3mTHzXR2Ce0PZgK0lslpaDK8HtOIL5nyftO4B9zaN
cgBjR0b5VMIQLvubsOtOvdPuSwuDHxy7YzgDJlA3P1f2pBKn1J0tNb3qUnCIrVl+5goEWlMvzxgk
P91QZ/4RWZ+Wkt7WMFazKdrIrsbFrX4C9dqEsK4gr+ClqIgowOLmuMsmNO97Isap3dyFLV/7UMH4
hwc+61cowgNQDoLUpCgxH3IOZH0Ubg2fA6jZHIUSneqG3YNjkhc77pYc+2QRtu1DLJu7ShCykRuP
U1LdBaTQtFo+eR2UjklhRBtXxJSKLYzAWzPstyJA2NvEb74ob/GXXLSa7lno42RselbsnIJc7Iqy
P/UGlMTUuc1U6KFtRjitcFeu6jKPAqsb4i5W44NQ01Xf9ewy0UM6gDGzmR7g/jLHoygOjU8Q0Wiu
G3AC+KEXav0YT7e+pTNydbyw3bvkQsa5/yC5hZuR+cYy9tU1UPCNk0yrsIfCKPXmkz73cmisUwsn
vZLxU5VhD3fnnBvyismj1Y0KxZxNbmNmXxeBzpS0qrxc9nBRy+4UmfFbleIgUbRPEg7Ju3AfDKw8
vlKQAcg0ogVfUzDUzHkNF25XnJoq2WrQg+OivM166wYj/94AOAr02sLrbY5L7MB8f0OaTbuuYcD6
QU24cfKI9HgLjWQLKMElqC3KkJ9A7w3zR4yyh0Hq92lDRIZpPZpTdR6ytgHE3u4q3/6cyHH329Ba
0bHjvKAGe4LzoGpwFPNk4KQr05gOKFIXlVVcZRXlhS3Fi8FYcKX18qbQx5cENN4iaZtHkWJdRIhW
LOlKnKTR3AHhucCXh6NdMDBIdolm3lu2mmPMH3CZxGe1tsDMtntB2zMbJjT1OcPMVN8q/eABLzll
iO4IpL3PwM06RGxJw72xWuUYgGNCO08bdOn6RFx20bUOcHjkaTfiEuMlOnzu2DC4t8OoP8AgwGU9
7aRa3aDJ7BLn053E8xDQDNKGNYSjt9jQ4D6B7ghM88Z3PzKbLcNdGQrKlctSvUSjkLc3cRedpJJ5
rV7SdUVrCg8kdu4QPRK6wtltaghg1xfMBRmAfxD1uMlBeiT1o+2eCYleRINB0+PTjUJP1Z7a4NYO
QMY6knPutTJjhWsYmK3G46IcY3EzoDFdhNNB+OnC5vjbsEdFlrGT9to0sLozeXZjPMTWldq/uQTu
ZLb+2LQE1o6814n2iAiCCPWlnYLcxGvDWvkASiFh7GN6QfTaw7bO2s8hLpZZ6b4Oug5dpKtflRJY
iQy2SaQykYCy3bpQ5RJ02SPIl4Xp9p42crh3C7pwIfpDpXOJ3g2y+4hB8WrQRuNdkczLHMXxCiSb
676Y9qbMz2EA0HCK1RmM/lSQzFgkxIMNMYKQhnFoKYnboMeyC5okXeWpg0bFyluv6/O3op02zmRv
G4VgPjALS+FQTgXhcAt5lTGIoHmAXxiTy0tjUQ6rcmcBZl22UHkmy37F8X3h9uEHbayzm5flEkTA
NgbZiEiG0sT1sS77tsCMQWBL3DXnlLzkUs3QaRiHotQ/E5EuY3UTNATikokH6+gIw4DV1ziGFdx7
xiT4ojXGlXqwlsYIm6Q3kTMRsYyfVCrLmvQwgOLKuPgf4UQunt1SppWme0o0GjBUYOdIZI9E0+WL
rAgRR9UAUkP1gnsTQc1kmqCVPgG7tt0s7bxtUSY5XIRZ1X/VofX/AZX3N02n99K8rCCnNON1+yHH
mw9Sz5r6f/77XxWf81fnkKPmXPzf/aNf/6C/fHxd+TyWH//xby/vSFm8qEaB/dZ8P1iqf9VSUhL9
cGD9+lxfH/pXPyZ94Xdr3/n5ms550hSuNrsR/zdz59Ibtw3E8a8S5NCjoPcDRQK0KdA86jZAXfTM
eBde1et1oF0f/O37G5GSRa12a2eMhjxa6xE15Dw58+f2bnft/t7QqJqnFbWWeF4yiA550YQ/pzhw
/uMsK8//xps5ErM7yBJwouHhCPZBxVO+fUZh8u1pRMq9iEE0sd9IAD5hQdVE4I6UFTdL2ceW1/8/
C07ugYyGYbsus435vA1AjSnJhorPm3x9XUU0eJRcOEMviYzvtQFOfj0SQP5EegyesgtmZCa7oI5K
XHhCjdIuM9XGEz5UFWiTRU4zB80jMmzRc0C7gP5kZFfFg6SI6FApkrqJ7Uf6ygBJaErZJA1l8jII
eL6LMpgtolWUH1ZvXtM5WGcpqJ9aRlQRxeUUkUtrynQXNLT008nfFI4DPA6OAzSm5rHaICTgENAx
1ZBk6YcvDjXYBrl0fMUoy8A4gEUE7cCujEIhVhHdCIAzFBQ5yfCtQlNG9D4AnDVISnj6gMNC2Qla
RmTg7NJ9wW4ordQfiUQaF1lKjbIdwRmINJGMkUoxpiUugiB1oBrt8NQCnSo1soDWdFYyOMWYNakV
VIVAFBEIzXJ/HLUZMmYagcdxU3LuEKJGEA9BaxQQBJqdpCRl2UMoI7phC5qRKDWQQRozMM3I5YBq
JmRRwTbgWMn5QTMXoRC1iKoYHoenFiVg4jxNqxHQinLJYSLLPPUQMhgQy0GZs5vB7YKK+ydLwURQ
aURcRaIiwsV0USNWeRTT9gy+DwjtMoKzCsKGNFMrxTSir4t2w8ENmIlDghMB0hPxpWVDcLFjAkrA
vH/z2cmDJkpAem5yFnkqChhNgPnzmIrafgSnC1Igu7BiOkFIoppCk5K9ZL/SN4vETBXJE8737VOx
moFZhTzOtNogo+mWwgm87mUmVFGKzklcyy6RVXBMcM6yNoImj0bxKpYBwLd++M5yXWA9c9xp0A/6
EZx1YCMnWm85yaMqwQbmlI30YyYShE64EPiRoXrLNqUkqVCVakhZbdzFBG/DrrZvHMitpj3+BeCB
doQnFQCIKJmQxBEgX+DfVzNHqYyITYEoSZw3HVzYkHJq/wJuYpFQuwUIy7jGExNZg2NAM0yeUePe
j/DcJLYvsb+cDFCTT5tpptUOWRZRDJHU6ZBF9KWCRCs4EGAsxs5i2iUIKdEKaqiWCdiJIgPJvuCu
3CUVCQpoTetHlrkoKzgm5Cyg1m9MuNyJ9KKApi4yQVJsdZNRGmlHcMJBgBNrNQRZBQAbyamn7KmJ
aqiKCNUI9gjINP0Ibgs4K6kWBbwFQTRBvbh19vgAOAy9G3VFYmV8HJgD3R9AZVppIMcYc3yBB72Y
WWkwFdQoA4VjZcVl+APSixLkaKUBJhRg6qWZ9Ov0w9sMFZuBzFMKHywXglMJuPalndS3Z1pBh+YE
gzSSFHxPVUKNy1RxK2ZhZS6gtUeABcNa5y6XNohM3IHLPMEcEzvREQgilN0Zz1CIT+DUWNbBvUHb
VV/Q0a73S3Ufp34wVDMcP3eVDP0JJTXQ3g+lvsO++7He4613wNlXW0weDtUX/Xvcv7sPPH61967h
q4Y/vm/XnemuuMCmLzVx05R7J9+8pp1hQ5vD586s1vuNV3LSHzQ/TuioOmXcBWfp7/c+Kpg9ptGS
pbHVdNPZ2pMPLdn3pnswOzMl7DJnasrtrbnamO0ip21qRvuKj+b29v7VD+b264+vPpn9hnoz70Ps
sYD2LZ9Mt6Mi6sZnkk0nqGmzT7czwn1oqiX8Hwj/pyuwnrTHL8xq87AsQzaG0E7/j1XLBQXTxXRB
q5bw5/sVEKDrrnvwiNt8qZ747h/zxSfcO9JawmcvmlWu5Z/tzU3rwRjSjyCGWDvpS3PbbmklW90P
tMROOD9CS/yvA4hAS6rFGWwt/b/X+8Orn9e7a7P1Zm8r0rTULwzKHIV16Lw97mJPLfVfwcnqzGE6
7/FQSE37zpvxeOampYtVHlsMf2+v7r6wuh/2W5oR9/53JAlAx8OfFmtIn6TBfuJiwdPmaay00X7W
eZBQpeRedu3Xe38HEboKcOkLSO9yM+jA+N7jGw+ctVySdlNZ6hl1ahsk+NRSvzA74dNAyE1diL8A
my7W1/g45sGTisc0u3buv6y3m/Z45lIUqiY9ytuspdfOPk/0r3jH1eirllZi3822da0vIMTvNhtz
OLT7oze4Q68XWN/ezpgb+ZCBH/0GeqxB067DR0zBSfqkkLX0L9eI1vXcx3+sJ9XS/82s4M8wT2EO
l/wcp9a1r1nWR9/SnH5W6y7Fm2NbwHEUOpT7L/2bH2LLL662a9O9/RcAAP//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5.xml"/><Relationship Id="rId5" Type="http://schemas.openxmlformats.org/officeDocument/2006/relationships/chart" Target="../charts/chart11.xml"/><Relationship Id="rId10" Type="http://schemas.microsoft.com/office/2014/relationships/chartEx" Target="../charts/chartEx2.xml"/><Relationship Id="rId4" Type="http://schemas.openxmlformats.org/officeDocument/2006/relationships/chart" Target="../charts/chart10.xml"/><Relationship Id="rId9"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18.xml"/><Relationship Id="rId7" Type="http://schemas.openxmlformats.org/officeDocument/2006/relationships/image" Target="../media/image4.sv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image" Target="../media/image3.png"/><Relationship Id="rId5" Type="http://schemas.openxmlformats.org/officeDocument/2006/relationships/chart" Target="../charts/chart20.xml"/><Relationship Id="rId4" Type="http://schemas.openxmlformats.org/officeDocument/2006/relationships/chart" Target="../charts/chart19.xml"/><Relationship Id="rId9"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104494</xdr:colOff>
      <xdr:row>2</xdr:row>
      <xdr:rowOff>144684</xdr:rowOff>
    </xdr:from>
    <xdr:to>
      <xdr:col>7</xdr:col>
      <xdr:colOff>160759</xdr:colOff>
      <xdr:row>13</xdr:row>
      <xdr:rowOff>48228</xdr:rowOff>
    </xdr:to>
    <xdr:graphicFrame macro="">
      <xdr:nvGraphicFramePr>
        <xdr:cNvPr id="2" name="Chart 1">
          <a:extLst>
            <a:ext uri="{FF2B5EF4-FFF2-40B4-BE49-F238E27FC236}">
              <a16:creationId xmlns:a16="http://schemas.microsoft.com/office/drawing/2014/main" id="{F10FF453-6F66-4462-BE51-977907F2C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321519</xdr:colOff>
      <xdr:row>13</xdr:row>
      <xdr:rowOff>112533</xdr:rowOff>
    </xdr:from>
    <xdr:to>
      <xdr:col>13</xdr:col>
      <xdr:colOff>80380</xdr:colOff>
      <xdr:row>24</xdr:row>
      <xdr:rowOff>8039</xdr:rowOff>
    </xdr:to>
    <xdr:graphicFrame macro="">
      <xdr:nvGraphicFramePr>
        <xdr:cNvPr id="4" name="Chart 3">
          <a:extLst>
            <a:ext uri="{FF2B5EF4-FFF2-40B4-BE49-F238E27FC236}">
              <a16:creationId xmlns:a16="http://schemas.microsoft.com/office/drawing/2014/main" id="{558F4364-8543-463C-B51F-1B79F5283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112531</xdr:colOff>
      <xdr:row>13</xdr:row>
      <xdr:rowOff>104494</xdr:rowOff>
    </xdr:from>
    <xdr:to>
      <xdr:col>7</xdr:col>
      <xdr:colOff>168797</xdr:colOff>
      <xdr:row>24</xdr:row>
      <xdr:rowOff>16077</xdr:rowOff>
    </xdr:to>
    <xdr:graphicFrame macro="">
      <xdr:nvGraphicFramePr>
        <xdr:cNvPr id="5" name="Chart 4">
          <a:extLst>
            <a:ext uri="{FF2B5EF4-FFF2-40B4-BE49-F238E27FC236}">
              <a16:creationId xmlns:a16="http://schemas.microsoft.com/office/drawing/2014/main" id="{BFBE069C-E140-4BD5-95CA-3CDB1B78B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233104</xdr:colOff>
      <xdr:row>2</xdr:row>
      <xdr:rowOff>152722</xdr:rowOff>
    </xdr:from>
    <xdr:to>
      <xdr:col>19</xdr:col>
      <xdr:colOff>128610</xdr:colOff>
      <xdr:row>13</xdr:row>
      <xdr:rowOff>64304</xdr:rowOff>
    </xdr:to>
    <xdr:graphicFrame macro="">
      <xdr:nvGraphicFramePr>
        <xdr:cNvPr id="6" name="Chart 5">
          <a:extLst>
            <a:ext uri="{FF2B5EF4-FFF2-40B4-BE49-F238E27FC236}">
              <a16:creationId xmlns:a16="http://schemas.microsoft.com/office/drawing/2014/main" id="{CB275995-2827-4319-97A7-772F9956E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233101</xdr:colOff>
      <xdr:row>15</xdr:row>
      <xdr:rowOff>160759</xdr:rowOff>
    </xdr:from>
    <xdr:to>
      <xdr:col>19</xdr:col>
      <xdr:colOff>128608</xdr:colOff>
      <xdr:row>24</xdr:row>
      <xdr:rowOff>0</xdr:rowOff>
    </xdr:to>
    <xdr:graphicFrame macro="">
      <xdr:nvGraphicFramePr>
        <xdr:cNvPr id="7" name="Chart 6">
          <a:extLst>
            <a:ext uri="{FF2B5EF4-FFF2-40B4-BE49-F238E27FC236}">
              <a16:creationId xmlns:a16="http://schemas.microsoft.com/office/drawing/2014/main" id="{F09E4555-A0DA-4194-BA53-4AA63A241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112531</xdr:colOff>
      <xdr:row>0</xdr:row>
      <xdr:rowOff>48228</xdr:rowOff>
    </xdr:from>
    <xdr:to>
      <xdr:col>24</xdr:col>
      <xdr:colOff>144682</xdr:colOff>
      <xdr:row>2</xdr:row>
      <xdr:rowOff>72342</xdr:rowOff>
    </xdr:to>
    <xdr:sp macro="" textlink="">
      <xdr:nvSpPr>
        <xdr:cNvPr id="11" name="Rectangle: Rounded Corners 10">
          <a:extLst>
            <a:ext uri="{FF2B5EF4-FFF2-40B4-BE49-F238E27FC236}">
              <a16:creationId xmlns:a16="http://schemas.microsoft.com/office/drawing/2014/main" id="{7DF1F937-DFCF-7D36-4764-8A98E8EF09F3}"/>
            </a:ext>
          </a:extLst>
        </xdr:cNvPr>
        <xdr:cNvSpPr/>
      </xdr:nvSpPr>
      <xdr:spPr>
        <a:xfrm>
          <a:off x="112531" y="48228"/>
          <a:ext cx="14693417" cy="5063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ANNUAL</a:t>
          </a:r>
          <a:r>
            <a:rPr lang="en-IN" sz="2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REPORT</a:t>
          </a:r>
          <a:endParaRPr lang="en-IN"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editAs="oneCell">
    <xdr:from>
      <xdr:col>9</xdr:col>
      <xdr:colOff>56267</xdr:colOff>
      <xdr:row>0</xdr:row>
      <xdr:rowOff>0</xdr:rowOff>
    </xdr:from>
    <xdr:to>
      <xdr:col>10</xdr:col>
      <xdr:colOff>359781</xdr:colOff>
      <xdr:row>2</xdr:row>
      <xdr:rowOff>112533</xdr:rowOff>
    </xdr:to>
    <xdr:pic>
      <xdr:nvPicPr>
        <xdr:cNvPr id="18" name="Graphic 17" descr="Diploma roll with solid fill">
          <a:extLst>
            <a:ext uri="{FF2B5EF4-FFF2-40B4-BE49-F238E27FC236}">
              <a16:creationId xmlns:a16="http://schemas.microsoft.com/office/drawing/2014/main" id="{2D35C102-AC48-0BD2-06E4-D4233A4029C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54242" y="0"/>
          <a:ext cx="914400" cy="594811"/>
        </a:xfrm>
        <a:prstGeom prst="rect">
          <a:avLst/>
        </a:prstGeom>
      </xdr:spPr>
    </xdr:pic>
    <xdr:clientData/>
  </xdr:twoCellAnchor>
  <xdr:twoCellAnchor editAs="oneCell">
    <xdr:from>
      <xdr:col>19</xdr:col>
      <xdr:colOff>458165</xdr:colOff>
      <xdr:row>3</xdr:row>
      <xdr:rowOff>48226</xdr:rowOff>
    </xdr:from>
    <xdr:to>
      <xdr:col>24</xdr:col>
      <xdr:colOff>329556</xdr:colOff>
      <xdr:row>13</xdr:row>
      <xdr:rowOff>136645</xdr:rowOff>
    </xdr:to>
    <mc:AlternateContent xmlns:mc="http://schemas.openxmlformats.org/markup-compatibility/2006" xmlns:a14="http://schemas.microsoft.com/office/drawing/2010/main">
      <mc:Choice Requires="a14">
        <xdr:graphicFrame macro="">
          <xdr:nvGraphicFramePr>
            <xdr:cNvPr id="20" name="Month">
              <a:extLst>
                <a:ext uri="{FF2B5EF4-FFF2-40B4-BE49-F238E27FC236}">
                  <a16:creationId xmlns:a16="http://schemas.microsoft.com/office/drawing/2014/main" id="{DDFC1383-4DBA-94F8-06BF-DF15CADEE6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065000" y="715378"/>
              <a:ext cx="2925822" cy="1937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281328</xdr:colOff>
      <xdr:row>13</xdr:row>
      <xdr:rowOff>156419</xdr:rowOff>
    </xdr:from>
    <xdr:to>
      <xdr:col>24</xdr:col>
      <xdr:colOff>136644</xdr:colOff>
      <xdr:row>17</xdr:row>
      <xdr:rowOff>40189</xdr:rowOff>
    </xdr:to>
    <mc:AlternateContent xmlns:mc="http://schemas.openxmlformats.org/markup-compatibility/2006" xmlns:a14="http://schemas.microsoft.com/office/drawing/2010/main">
      <mc:Choice Requires="a14">
        <xdr:graphicFrame macro="">
          <xdr:nvGraphicFramePr>
            <xdr:cNvPr id="23" name="Sales Channel">
              <a:extLst>
                <a:ext uri="{FF2B5EF4-FFF2-40B4-BE49-F238E27FC236}">
                  <a16:creationId xmlns:a16="http://schemas.microsoft.com/office/drawing/2014/main" id="{09FD2C81-6BB4-B704-29C6-0E7BB061472E}"/>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1888163" y="2672305"/>
              <a:ext cx="2909747" cy="623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305443</xdr:colOff>
      <xdr:row>2</xdr:row>
      <xdr:rowOff>160760</xdr:rowOff>
    </xdr:from>
    <xdr:to>
      <xdr:col>13</xdr:col>
      <xdr:colOff>88418</xdr:colOff>
      <xdr:row>13</xdr:row>
      <xdr:rowOff>72342</xdr:rowOff>
    </xdr:to>
    <xdr:graphicFrame macro="">
      <xdr:nvGraphicFramePr>
        <xdr:cNvPr id="24" name="Chart 23">
          <a:extLst>
            <a:ext uri="{FF2B5EF4-FFF2-40B4-BE49-F238E27FC236}">
              <a16:creationId xmlns:a16="http://schemas.microsoft.com/office/drawing/2014/main" id="{13F03670-6109-464F-A0DD-9A103879C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281330</xdr:colOff>
      <xdr:row>17</xdr:row>
      <xdr:rowOff>133993</xdr:rowOff>
    </xdr:from>
    <xdr:to>
      <xdr:col>24</xdr:col>
      <xdr:colOff>128607</xdr:colOff>
      <xdr:row>23</xdr:row>
      <xdr:rowOff>160761</xdr:rowOff>
    </xdr:to>
    <mc:AlternateContent xmlns:mc="http://schemas.openxmlformats.org/markup-compatibility/2006" xmlns:a14="http://schemas.microsoft.com/office/drawing/2010/main">
      <mc:Choice Requires="a14">
        <xdr:graphicFrame macro="">
          <xdr:nvGraphicFramePr>
            <xdr:cNvPr id="26" name="Gender">
              <a:extLst>
                <a:ext uri="{FF2B5EF4-FFF2-40B4-BE49-F238E27FC236}">
                  <a16:creationId xmlns:a16="http://schemas.microsoft.com/office/drawing/2014/main" id="{B3216EBD-C42E-F99C-0758-1B3257D6BCC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888165" y="3389373"/>
              <a:ext cx="2901708" cy="1136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714375</xdr:colOff>
      <xdr:row>0</xdr:row>
      <xdr:rowOff>165100</xdr:rowOff>
    </xdr:from>
    <xdr:to>
      <xdr:col>6</xdr:col>
      <xdr:colOff>511175</xdr:colOff>
      <xdr:row>15</xdr:row>
      <xdr:rowOff>146050</xdr:rowOff>
    </xdr:to>
    <xdr:graphicFrame macro="">
      <xdr:nvGraphicFramePr>
        <xdr:cNvPr id="2" name="Chart 1">
          <a:extLst>
            <a:ext uri="{FF2B5EF4-FFF2-40B4-BE49-F238E27FC236}">
              <a16:creationId xmlns:a16="http://schemas.microsoft.com/office/drawing/2014/main" id="{49ACF072-9B33-C5B1-2AFA-8F21F4360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155575</xdr:colOff>
      <xdr:row>4</xdr:row>
      <xdr:rowOff>82550</xdr:rowOff>
    </xdr:from>
    <xdr:to>
      <xdr:col>24</xdr:col>
      <xdr:colOff>460375</xdr:colOff>
      <xdr:row>19</xdr:row>
      <xdr:rowOff>63500</xdr:rowOff>
    </xdr:to>
    <xdr:graphicFrame macro="">
      <xdr:nvGraphicFramePr>
        <xdr:cNvPr id="3" name="Chart 2">
          <a:extLst>
            <a:ext uri="{FF2B5EF4-FFF2-40B4-BE49-F238E27FC236}">
              <a16:creationId xmlns:a16="http://schemas.microsoft.com/office/drawing/2014/main" id="{7E760B5D-69D9-9361-0621-AC0EA1F63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1044575</xdr:colOff>
      <xdr:row>12</xdr:row>
      <xdr:rowOff>19050</xdr:rowOff>
    </xdr:from>
    <xdr:to>
      <xdr:col>40</xdr:col>
      <xdr:colOff>130175</xdr:colOff>
      <xdr:row>27</xdr:row>
      <xdr:rowOff>0</xdr:rowOff>
    </xdr:to>
    <xdr:graphicFrame macro="">
      <xdr:nvGraphicFramePr>
        <xdr:cNvPr id="4" name="Chart 3">
          <a:extLst>
            <a:ext uri="{FF2B5EF4-FFF2-40B4-BE49-F238E27FC236}">
              <a16:creationId xmlns:a16="http://schemas.microsoft.com/office/drawing/2014/main" id="{261CA57D-8FF7-C8D8-CC8A-05B3ECE98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206375</xdr:colOff>
      <xdr:row>14</xdr:row>
      <xdr:rowOff>95250</xdr:rowOff>
    </xdr:from>
    <xdr:to>
      <xdr:col>53</xdr:col>
      <xdr:colOff>511175</xdr:colOff>
      <xdr:row>29</xdr:row>
      <xdr:rowOff>76200</xdr:rowOff>
    </xdr:to>
    <xdr:graphicFrame macro="">
      <xdr:nvGraphicFramePr>
        <xdr:cNvPr id="5" name="Chart 4">
          <a:extLst>
            <a:ext uri="{FF2B5EF4-FFF2-40B4-BE49-F238E27FC236}">
              <a16:creationId xmlns:a16="http://schemas.microsoft.com/office/drawing/2014/main" id="{CAD91878-123D-BB86-50FB-E0B8C622C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46</xdr:col>
      <xdr:colOff>14895</xdr:colOff>
      <xdr:row>53</xdr:row>
      <xdr:rowOff>176702</xdr:rowOff>
    </xdr:from>
    <xdr:to>
      <xdr:col>51</xdr:col>
      <xdr:colOff>502512</xdr:colOff>
      <xdr:row>69</xdr:row>
      <xdr:rowOff>34964</xdr:rowOff>
    </xdr:to>
    <xdr:graphicFrame macro="">
      <xdr:nvGraphicFramePr>
        <xdr:cNvPr id="6" name="Chart 5">
          <a:extLst>
            <a:ext uri="{FF2B5EF4-FFF2-40B4-BE49-F238E27FC236}">
              <a16:creationId xmlns:a16="http://schemas.microsoft.com/office/drawing/2014/main" id="{D77B7E5C-1593-95CF-7D23-41C470E87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54</xdr:col>
      <xdr:colOff>257920</xdr:colOff>
      <xdr:row>59</xdr:row>
      <xdr:rowOff>137505</xdr:rowOff>
    </xdr:from>
    <xdr:to>
      <xdr:col>62</xdr:col>
      <xdr:colOff>196771</xdr:colOff>
      <xdr:row>74</xdr:row>
      <xdr:rowOff>176075</xdr:rowOff>
    </xdr:to>
    <xdr:graphicFrame macro="">
      <xdr:nvGraphicFramePr>
        <xdr:cNvPr id="7" name="Chart 6">
          <a:extLst>
            <a:ext uri="{FF2B5EF4-FFF2-40B4-BE49-F238E27FC236}">
              <a16:creationId xmlns:a16="http://schemas.microsoft.com/office/drawing/2014/main" id="{4DE0FCD9-32E1-4BB2-E78D-8AC208753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630297</xdr:colOff>
      <xdr:row>166</xdr:row>
      <xdr:rowOff>106146</xdr:rowOff>
    </xdr:from>
    <xdr:to>
      <xdr:col>18</xdr:col>
      <xdr:colOff>514272</xdr:colOff>
      <xdr:row>181</xdr:row>
      <xdr:rowOff>144717</xdr:rowOff>
    </xdr:to>
    <xdr:graphicFrame macro="">
      <xdr:nvGraphicFramePr>
        <xdr:cNvPr id="8" name="Chart 7">
          <a:extLst>
            <a:ext uri="{FF2B5EF4-FFF2-40B4-BE49-F238E27FC236}">
              <a16:creationId xmlns:a16="http://schemas.microsoft.com/office/drawing/2014/main" id="{C95941FB-1C75-9E68-442B-356BC4500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575420</xdr:colOff>
      <xdr:row>37</xdr:row>
      <xdr:rowOff>12073</xdr:rowOff>
    </xdr:from>
    <xdr:to>
      <xdr:col>24</xdr:col>
      <xdr:colOff>255569</xdr:colOff>
      <xdr:row>52</xdr:row>
      <xdr:rowOff>50644</xdr:rowOff>
    </xdr:to>
    <xdr:graphicFrame macro="">
      <xdr:nvGraphicFramePr>
        <xdr:cNvPr id="9" name="Chart 8">
          <a:extLst>
            <a:ext uri="{FF2B5EF4-FFF2-40B4-BE49-F238E27FC236}">
              <a16:creationId xmlns:a16="http://schemas.microsoft.com/office/drawing/2014/main" id="{A03D1B5C-6D72-DB37-CFA1-8CB144E89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148166</xdr:colOff>
      <xdr:row>53</xdr:row>
      <xdr:rowOff>74789</xdr:rowOff>
    </xdr:from>
    <xdr:to>
      <xdr:col>26</xdr:col>
      <xdr:colOff>439795</xdr:colOff>
      <xdr:row>68</xdr:row>
      <xdr:rowOff>113359</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30CB6510-2F9C-6817-C673-6EA7D94B62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4137216" y="9834739"/>
              <a:ext cx="4558829" cy="2800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93290</xdr:colOff>
      <xdr:row>57</xdr:row>
      <xdr:rowOff>176702</xdr:rowOff>
    </xdr:from>
    <xdr:to>
      <xdr:col>11</xdr:col>
      <xdr:colOff>431957</xdr:colOff>
      <xdr:row>73</xdr:row>
      <xdr:rowOff>34964</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AEEB61A-5BBE-DFD1-5EB6-EEA7149ADE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198690" y="10673252"/>
              <a:ext cx="4104217" cy="28046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462530</xdr:colOff>
      <xdr:row>30</xdr:row>
      <xdr:rowOff>133272</xdr:rowOff>
    </xdr:from>
    <xdr:to>
      <xdr:col>6</xdr:col>
      <xdr:colOff>338784</xdr:colOff>
      <xdr:row>41</xdr:row>
      <xdr:rowOff>87030</xdr:rowOff>
    </xdr:to>
    <mc:AlternateContent xmlns:mc="http://schemas.openxmlformats.org/markup-compatibility/2006" xmlns:a14="http://schemas.microsoft.com/office/drawing/2010/main">
      <mc:Choice Requires="a14">
        <xdr:graphicFrame macro="">
          <xdr:nvGraphicFramePr>
            <xdr:cNvPr id="11" name="Month 2">
              <a:extLst>
                <a:ext uri="{FF2B5EF4-FFF2-40B4-BE49-F238E27FC236}">
                  <a16:creationId xmlns:a16="http://schemas.microsoft.com/office/drawing/2014/main" id="{61805945-2FFB-4AA6-91E7-482AAC32C3C9}"/>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500802" y="5542531"/>
              <a:ext cx="2925822" cy="1937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32</xdr:row>
      <xdr:rowOff>0</xdr:rowOff>
    </xdr:from>
    <xdr:to>
      <xdr:col>15</xdr:col>
      <xdr:colOff>220796</xdr:colOff>
      <xdr:row>35</xdr:row>
      <xdr:rowOff>82339</xdr:rowOff>
    </xdr:to>
    <mc:AlternateContent xmlns:mc="http://schemas.openxmlformats.org/markup-compatibility/2006" xmlns:a14="http://schemas.microsoft.com/office/drawing/2010/main">
      <mc:Choice Requires="a14">
        <xdr:graphicFrame macro="">
          <xdr:nvGraphicFramePr>
            <xdr:cNvPr id="12" name="Sales Channel 2">
              <a:extLst>
                <a:ext uri="{FF2B5EF4-FFF2-40B4-BE49-F238E27FC236}">
                  <a16:creationId xmlns:a16="http://schemas.microsoft.com/office/drawing/2014/main" id="{3E946E91-4DCE-434E-8C86-065CFCAB4796}"/>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8662654" y="5769877"/>
              <a:ext cx="2909747" cy="623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889000</xdr:colOff>
      <xdr:row>118</xdr:row>
      <xdr:rowOff>19914</xdr:rowOff>
    </xdr:from>
    <xdr:to>
      <xdr:col>9</xdr:col>
      <xdr:colOff>467235</xdr:colOff>
      <xdr:row>133</xdr:row>
      <xdr:rowOff>58485</xdr:rowOff>
    </xdr:to>
    <xdr:graphicFrame macro="">
      <xdr:nvGraphicFramePr>
        <xdr:cNvPr id="13" name="Chart 12">
          <a:extLst>
            <a:ext uri="{FF2B5EF4-FFF2-40B4-BE49-F238E27FC236}">
              <a16:creationId xmlns:a16="http://schemas.microsoft.com/office/drawing/2014/main" id="{1E7E94BC-B2F1-6D9C-8CD8-88AF858EC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71438</xdr:colOff>
      <xdr:row>0</xdr:row>
      <xdr:rowOff>52539</xdr:rowOff>
    </xdr:from>
    <xdr:to>
      <xdr:col>23</xdr:col>
      <xdr:colOff>543909</xdr:colOff>
      <xdr:row>3</xdr:row>
      <xdr:rowOff>119063</xdr:rowOff>
    </xdr:to>
    <xdr:sp macro="" textlink="">
      <xdr:nvSpPr>
        <xdr:cNvPr id="2" name="Rectangle: Rounded Corners 1">
          <a:extLst>
            <a:ext uri="{FF2B5EF4-FFF2-40B4-BE49-F238E27FC236}">
              <a16:creationId xmlns:a16="http://schemas.microsoft.com/office/drawing/2014/main" id="{1127DE1C-C268-1FB4-4778-2942615E5F1F}"/>
            </a:ext>
          </a:extLst>
        </xdr:cNvPr>
        <xdr:cNvSpPr/>
      </xdr:nvSpPr>
      <xdr:spPr>
        <a:xfrm>
          <a:off x="71438" y="52539"/>
          <a:ext cx="14529784" cy="614212"/>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ANNUAL</a:t>
          </a:r>
          <a:r>
            <a:rPr lang="en-IN" sz="2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REPORT</a:t>
          </a:r>
          <a:endParaRPr lang="en-IN"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0</xdr:col>
      <xdr:colOff>103188</xdr:colOff>
      <xdr:row>3</xdr:row>
      <xdr:rowOff>174624</xdr:rowOff>
    </xdr:from>
    <xdr:to>
      <xdr:col>5</xdr:col>
      <xdr:colOff>381000</xdr:colOff>
      <xdr:row>24</xdr:row>
      <xdr:rowOff>7937</xdr:rowOff>
    </xdr:to>
    <xdr:sp macro="" textlink="">
      <xdr:nvSpPr>
        <xdr:cNvPr id="3" name="Rectangle: Rounded Corners 2">
          <a:extLst>
            <a:ext uri="{FF2B5EF4-FFF2-40B4-BE49-F238E27FC236}">
              <a16:creationId xmlns:a16="http://schemas.microsoft.com/office/drawing/2014/main" id="{ED507CBB-BA68-4773-F7BE-F948E4FD44BC}"/>
            </a:ext>
          </a:extLst>
        </xdr:cNvPr>
        <xdr:cNvSpPr/>
      </xdr:nvSpPr>
      <xdr:spPr>
        <a:xfrm>
          <a:off x="103188" y="722312"/>
          <a:ext cx="3333750" cy="366712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15875</xdr:colOff>
      <xdr:row>4</xdr:row>
      <xdr:rowOff>47625</xdr:rowOff>
    </xdr:from>
    <xdr:to>
      <xdr:col>23</xdr:col>
      <xdr:colOff>563562</xdr:colOff>
      <xdr:row>15</xdr:row>
      <xdr:rowOff>79375</xdr:rowOff>
    </xdr:to>
    <xdr:sp macro="" textlink="">
      <xdr:nvSpPr>
        <xdr:cNvPr id="4" name="Rectangle: Rounded Corners 3">
          <a:extLst>
            <a:ext uri="{FF2B5EF4-FFF2-40B4-BE49-F238E27FC236}">
              <a16:creationId xmlns:a16="http://schemas.microsoft.com/office/drawing/2014/main" id="{F18AE229-6372-8543-88EB-00286BF445C1}"/>
            </a:ext>
          </a:extLst>
        </xdr:cNvPr>
        <xdr:cNvSpPr/>
      </xdr:nvSpPr>
      <xdr:spPr>
        <a:xfrm>
          <a:off x="3683000" y="777875"/>
          <a:ext cx="10937875" cy="2039938"/>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317500</xdr:colOff>
      <xdr:row>5</xdr:row>
      <xdr:rowOff>23812</xdr:rowOff>
    </xdr:from>
    <xdr:to>
      <xdr:col>5</xdr:col>
      <xdr:colOff>158750</xdr:colOff>
      <xdr:row>22</xdr:row>
      <xdr:rowOff>111125</xdr:rowOff>
    </xdr:to>
    <xdr:graphicFrame macro="">
      <xdr:nvGraphicFramePr>
        <xdr:cNvPr id="5" name="Chart 4">
          <a:extLst>
            <a:ext uri="{FF2B5EF4-FFF2-40B4-BE49-F238E27FC236}">
              <a16:creationId xmlns:a16="http://schemas.microsoft.com/office/drawing/2014/main" id="{33738950-9D8B-486A-8D15-E9892D0E1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214313</xdr:colOff>
      <xdr:row>0</xdr:row>
      <xdr:rowOff>79374</xdr:rowOff>
    </xdr:from>
    <xdr:to>
      <xdr:col>14</xdr:col>
      <xdr:colOff>4622</xdr:colOff>
      <xdr:row>3</xdr:row>
      <xdr:rowOff>119061</xdr:rowOff>
    </xdr:to>
    <mc:AlternateContent xmlns:mc="http://schemas.openxmlformats.org/markup-compatibility/2006" xmlns:a14="http://schemas.microsoft.com/office/drawing/2010/main">
      <mc:Choice Requires="a14">
        <xdr:graphicFrame macro="">
          <xdr:nvGraphicFramePr>
            <xdr:cNvPr id="6" name="Sales Channel 1">
              <a:extLst>
                <a:ext uri="{FF2B5EF4-FFF2-40B4-BE49-F238E27FC236}">
                  <a16:creationId xmlns:a16="http://schemas.microsoft.com/office/drawing/2014/main" id="{D1EE329D-6EF9-4973-B33C-BAFD3210CB88}"/>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5651500" y="79374"/>
              <a:ext cx="2909747" cy="587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563564</xdr:colOff>
      <xdr:row>4</xdr:row>
      <xdr:rowOff>47626</xdr:rowOff>
    </xdr:from>
    <xdr:to>
      <xdr:col>12</xdr:col>
      <xdr:colOff>103188</xdr:colOff>
      <xdr:row>15</xdr:row>
      <xdr:rowOff>0</xdr:rowOff>
    </xdr:to>
    <xdr:graphicFrame macro="">
      <xdr:nvGraphicFramePr>
        <xdr:cNvPr id="7" name="Chart 6">
          <a:extLst>
            <a:ext uri="{FF2B5EF4-FFF2-40B4-BE49-F238E27FC236}">
              <a16:creationId xmlns:a16="http://schemas.microsoft.com/office/drawing/2014/main" id="{00C3F281-DB9E-4A4B-8333-585777A0D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547688</xdr:colOff>
      <xdr:row>4</xdr:row>
      <xdr:rowOff>63499</xdr:rowOff>
    </xdr:from>
    <xdr:to>
      <xdr:col>23</xdr:col>
      <xdr:colOff>261937</xdr:colOff>
      <xdr:row>15</xdr:row>
      <xdr:rowOff>15874</xdr:rowOff>
    </xdr:to>
    <xdr:graphicFrame macro="">
      <xdr:nvGraphicFramePr>
        <xdr:cNvPr id="11" name="Chart 10">
          <a:extLst>
            <a:ext uri="{FF2B5EF4-FFF2-40B4-BE49-F238E27FC236}">
              <a16:creationId xmlns:a16="http://schemas.microsoft.com/office/drawing/2014/main" id="{EBD3D8F9-A762-483F-A87E-B9E88E1F8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7938</xdr:colOff>
      <xdr:row>16</xdr:row>
      <xdr:rowOff>39688</xdr:rowOff>
    </xdr:from>
    <xdr:to>
      <xdr:col>23</xdr:col>
      <xdr:colOff>531811</xdr:colOff>
      <xdr:row>23</xdr:row>
      <xdr:rowOff>174625</xdr:rowOff>
    </xdr:to>
    <xdr:sp macro="" textlink="">
      <xdr:nvSpPr>
        <xdr:cNvPr id="12" name="Rectangle: Rounded Corners 11">
          <a:extLst>
            <a:ext uri="{FF2B5EF4-FFF2-40B4-BE49-F238E27FC236}">
              <a16:creationId xmlns:a16="http://schemas.microsoft.com/office/drawing/2014/main" id="{131D5E00-7A93-5BC7-73CF-7799416CD8A4}"/>
            </a:ext>
          </a:extLst>
        </xdr:cNvPr>
        <xdr:cNvSpPr/>
      </xdr:nvSpPr>
      <xdr:spPr>
        <a:xfrm>
          <a:off x="3675063" y="2960688"/>
          <a:ext cx="10914061" cy="141287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476250</xdr:colOff>
      <xdr:row>16</xdr:row>
      <xdr:rowOff>126999</xdr:rowOff>
    </xdr:from>
    <xdr:to>
      <xdr:col>14</xdr:col>
      <xdr:colOff>587375</xdr:colOff>
      <xdr:row>23</xdr:row>
      <xdr:rowOff>87312</xdr:rowOff>
    </xdr:to>
    <xdr:graphicFrame macro="">
      <xdr:nvGraphicFramePr>
        <xdr:cNvPr id="13" name="Chart 12">
          <a:extLst>
            <a:ext uri="{FF2B5EF4-FFF2-40B4-BE49-F238E27FC236}">
              <a16:creationId xmlns:a16="http://schemas.microsoft.com/office/drawing/2014/main" id="{B8ECE8E2-DE2B-4F60-B013-2B2ACBC5B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587375</xdr:colOff>
      <xdr:row>16</xdr:row>
      <xdr:rowOff>111124</xdr:rowOff>
    </xdr:from>
    <xdr:to>
      <xdr:col>23</xdr:col>
      <xdr:colOff>246062</xdr:colOff>
      <xdr:row>23</xdr:row>
      <xdr:rowOff>135439</xdr:rowOff>
    </xdr:to>
    <xdr:graphicFrame macro="">
      <xdr:nvGraphicFramePr>
        <xdr:cNvPr id="14" name="Chart 13">
          <a:extLst>
            <a:ext uri="{FF2B5EF4-FFF2-40B4-BE49-F238E27FC236}">
              <a16:creationId xmlns:a16="http://schemas.microsoft.com/office/drawing/2014/main" id="{822DF74E-565E-420C-B8A4-2193E8313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365124</xdr:colOff>
      <xdr:row>0</xdr:row>
      <xdr:rowOff>95250</xdr:rowOff>
    </xdr:from>
    <xdr:to>
      <xdr:col>23</xdr:col>
      <xdr:colOff>23811</xdr:colOff>
      <xdr:row>3</xdr:row>
      <xdr:rowOff>119062</xdr:rowOff>
    </xdr:to>
    <mc:AlternateContent xmlns:mc="http://schemas.openxmlformats.org/markup-compatibility/2006" xmlns:a14="http://schemas.microsoft.com/office/drawing/2010/main">
      <mc:Choice Requires="a14">
        <xdr:graphicFrame macro="">
          <xdr:nvGraphicFramePr>
            <xdr:cNvPr id="15" name="Month 1">
              <a:extLst>
                <a:ext uri="{FF2B5EF4-FFF2-40B4-BE49-F238E27FC236}">
                  <a16:creationId xmlns:a16="http://schemas.microsoft.com/office/drawing/2014/main" id="{E24D3B67-B398-4FB9-8210-1E2EDE42C44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921749" y="95250"/>
              <a:ext cx="5159375"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0</xdr:colOff>
      <xdr:row>17</xdr:row>
      <xdr:rowOff>0</xdr:rowOff>
    </xdr:from>
    <xdr:to>
      <xdr:col>27</xdr:col>
      <xdr:colOff>303212</xdr:colOff>
      <xdr:row>22</xdr:row>
      <xdr:rowOff>1588</xdr:rowOff>
    </xdr:to>
    <xdr:pic>
      <xdr:nvPicPr>
        <xdr:cNvPr id="17" name="Graphic 16" descr="Bar chart with solid fill">
          <a:extLst>
            <a:ext uri="{FF2B5EF4-FFF2-40B4-BE49-F238E27FC236}">
              <a16:creationId xmlns:a16="http://schemas.microsoft.com/office/drawing/2014/main" id="{8C7B61A2-E797-4A8F-5466-D63A040DEA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890875" y="3103563"/>
          <a:ext cx="914400" cy="914400"/>
        </a:xfrm>
        <a:prstGeom prst="rect">
          <a:avLst/>
        </a:prstGeom>
      </xdr:spPr>
    </xdr:pic>
    <xdr:clientData/>
  </xdr:twoCellAnchor>
  <xdr:twoCellAnchor editAs="oneCell">
    <xdr:from>
      <xdr:col>1</xdr:col>
      <xdr:colOff>103188</xdr:colOff>
      <xdr:row>0</xdr:row>
      <xdr:rowOff>87311</xdr:rowOff>
    </xdr:from>
    <xdr:to>
      <xdr:col>2</xdr:col>
      <xdr:colOff>406401</xdr:colOff>
      <xdr:row>3</xdr:row>
      <xdr:rowOff>65086</xdr:rowOff>
    </xdr:to>
    <xdr:pic>
      <xdr:nvPicPr>
        <xdr:cNvPr id="10" name="Graphic 9" descr="Bar chart with solid fill">
          <a:extLst>
            <a:ext uri="{FF2B5EF4-FFF2-40B4-BE49-F238E27FC236}">
              <a16:creationId xmlns:a16="http://schemas.microsoft.com/office/drawing/2014/main" id="{B63DDA93-B4A4-1356-3C09-FF6B11E9EB1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8"/>
            </a:ext>
          </a:extLst>
        </a:blip>
        <a:stretch>
          <a:fillRect/>
        </a:stretch>
      </xdr:blipFill>
      <xdr:spPr>
        <a:xfrm>
          <a:off x="714376" y="87311"/>
          <a:ext cx="914400" cy="525463"/>
        </a:xfrm>
        <a:prstGeom prst="rect">
          <a:avLst/>
        </a:prstGeom>
      </xdr:spPr>
    </xdr:pic>
    <xdr:clientData/>
  </xdr:twoCellAnchor>
  <xdr:twoCellAnchor>
    <xdr:from>
      <xdr:col>12</xdr:col>
      <xdr:colOff>103189</xdr:colOff>
      <xdr:row>4</xdr:row>
      <xdr:rowOff>55563</xdr:rowOff>
    </xdr:from>
    <xdr:to>
      <xdr:col>17</xdr:col>
      <xdr:colOff>523875</xdr:colOff>
      <xdr:row>15</xdr:row>
      <xdr:rowOff>71437</xdr:rowOff>
    </xdr:to>
    <xdr:graphicFrame macro="">
      <xdr:nvGraphicFramePr>
        <xdr:cNvPr id="20" name="Chart 19">
          <a:extLst>
            <a:ext uri="{FF2B5EF4-FFF2-40B4-BE49-F238E27FC236}">
              <a16:creationId xmlns:a16="http://schemas.microsoft.com/office/drawing/2014/main" id="{A1C9B642-F881-44BC-975C-348034200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330200</xdr:colOff>
      <xdr:row>3</xdr:row>
      <xdr:rowOff>146050</xdr:rowOff>
    </xdr:from>
    <xdr:to>
      <xdr:col>9</xdr:col>
      <xdr:colOff>190500</xdr:colOff>
      <xdr:row>12</xdr:row>
      <xdr:rowOff>88900</xdr:rowOff>
    </xdr:to>
    <xdr:graphicFrame macro="">
      <xdr:nvGraphicFramePr>
        <xdr:cNvPr id="2" name="Chart 1">
          <a:extLst>
            <a:ext uri="{FF2B5EF4-FFF2-40B4-BE49-F238E27FC236}">
              <a16:creationId xmlns:a16="http://schemas.microsoft.com/office/drawing/2014/main" id="{2ED1B61C-682F-7026-CFEE-C663CC5FF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349250</xdr:colOff>
      <xdr:row>3</xdr:row>
      <xdr:rowOff>38101</xdr:rowOff>
    </xdr:from>
    <xdr:to>
      <xdr:col>8</xdr:col>
      <xdr:colOff>330200</xdr:colOff>
      <xdr:row>9</xdr:row>
      <xdr:rowOff>127001</xdr:rowOff>
    </xdr:to>
    <mc:AlternateContent xmlns:mc="http://schemas.openxmlformats.org/markup-compatibility/2006" xmlns:a14="http://schemas.microsoft.com/office/drawing/2010/main">
      <mc:Choice Requires="a14">
        <xdr:graphicFrame macro="">
          <xdr:nvGraphicFramePr>
            <xdr:cNvPr id="3" name="Sales Channel 3">
              <a:extLst>
                <a:ext uri="{FF2B5EF4-FFF2-40B4-BE49-F238E27FC236}">
                  <a16:creationId xmlns:a16="http://schemas.microsoft.com/office/drawing/2014/main" id="{DEB5ED81-C4F8-4E53-AB0A-296128375FE6}"/>
                </a:ext>
              </a:extLst>
            </xdr:cNvPr>
            <xdr:cNvGraphicFramePr/>
          </xdr:nvGraphicFramePr>
          <xdr:xfrm>
            <a:off x="0" y="0"/>
            <a:ext cx="0" cy="0"/>
          </xdr:xfrm>
          <a:graphic>
            <a:graphicData uri="http://schemas.microsoft.com/office/drawing/2010/slicer">
              <sle:slicer xmlns:sle="http://schemas.microsoft.com/office/drawing/2010/slicer" name="Sales Channel 3"/>
            </a:graphicData>
          </a:graphic>
        </xdr:graphicFrame>
      </mc:Choice>
      <mc:Fallback xmlns="">
        <xdr:sp macro="" textlink="">
          <xdr:nvSpPr>
            <xdr:cNvPr id="0" name=""/>
            <xdr:cNvSpPr>
              <a:spLocks noTextEdit="1"/>
            </xdr:cNvSpPr>
          </xdr:nvSpPr>
          <xdr:spPr>
            <a:xfrm>
              <a:off x="4375150" y="590551"/>
              <a:ext cx="1828800" cy="119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09.505181365741" createdVersion="8" refreshedVersion="8" minRefreshableVersion="3" recordCount="999" xr:uid="{23FE727F-0ECE-4E5E-827D-CED8BE5D55FF}">
  <cacheSource type="worksheet">
    <worksheetSource ref="A1:R1000" sheet="Amazon Sale Report"/>
  </cacheSource>
  <cacheFields count="18">
    <cacheField name="index" numFmtId="0">
      <sharedItems containsSemiMixedTypes="0" containsString="0" containsNumber="1" containsInteger="1" minValue="0" maxValue="998"/>
    </cacheField>
    <cacheField name="Order ID" numFmtId="0">
      <sharedItems count="943">
        <s v="405-8078784-5731545"/>
        <s v="171-9198151-1101146"/>
        <s v="404-0687676-7273146"/>
        <s v="403-9615377-8133951"/>
        <s v="407-1069790-7240320"/>
        <s v="404-1490984-4578765"/>
        <s v="408-5748499-6859555"/>
        <s v="406-7807733-3785945"/>
        <s v="407-5443024-5233168"/>
        <s v="402-4393761-0311520"/>
        <s v="407-5633625-6970741"/>
        <s v="171-4638481-6326716"/>
        <s v="405-5513694-8146768"/>
        <s v="408-7955685-3083534"/>
        <s v="408-1298370-1920302"/>
        <s v="403-4965581-9520319"/>
        <s v="406-9379318-6555504"/>
        <s v="405-9013803-8009918"/>
        <s v="402-4030358-5835511"/>
        <s v="405-5957858-1051546"/>
        <s v="405-0607769-0716360"/>
        <s v="404-8494550-5860325"/>
        <s v="171-1305077-2813934"/>
        <s v="404-6019946-2909948"/>
        <s v="402-3384087-4005164"/>
        <s v="405-8191138-5176316"/>
        <s v="403-9230474-9657916"/>
        <s v="408-3484251-6901959"/>
        <s v="405-7755803-4729935"/>
        <s v="404-5933402-8801952"/>
        <s v="171-9040274-9291563"/>
        <s v="403-7056319-0979561"/>
        <s v="404-9632124-1107550"/>
        <s v="402-1465437-0579556"/>
        <s v="404-7774085-3780319"/>
        <s v="402-2764952-1492318"/>
        <s v="406-0272200-7784379"/>
        <s v="403-4367956-2849158"/>
        <s v="403-4242957-8599555"/>
        <s v="408-7165704-5643524"/>
        <s v="402-8210765-3935569"/>
        <s v="406-7398201-3869914"/>
        <s v="408-3478480-0881162"/>
        <s v="402-7595162-9129931"/>
        <s v="171-6876154-6233146"/>
        <s v="408-3917043-5314763"/>
        <s v="408-9281152-6213100"/>
        <s v="403-3496411-3082707"/>
        <s v="171-9208368-0157156"/>
        <s v="408-2137113-0982751"/>
        <s v="402-3628566-9688333"/>
        <s v="408-7138000-9728362"/>
        <s v="402-1752649-2274748"/>
        <s v="402-7944191-1869101"/>
        <s v="407-4063876-9566742"/>
        <s v="403-0752752-4656334"/>
        <s v="406-8879861-2081117"/>
        <s v="406-8089333-7941903"/>
        <s v="171-3072652-6805159"/>
        <s v="171-2592464-6846743"/>
        <s v="404-2262140-4696366"/>
        <s v="405-3594372-1614709"/>
        <s v="407-2974257-4781134"/>
        <s v="171-4137548-0481151"/>
        <s v="405-4461562-9113959"/>
        <s v="404-4535078-5241919"/>
        <s v="405-8387725-2971512"/>
        <s v="405-6480932-8759528"/>
        <s v="405-9966506-3155561"/>
        <s v="408-7029737-8028367"/>
        <s v="407-2189901-7515567"/>
        <s v="402-2105657-2899562"/>
        <s v="406-1326801-8886709"/>
        <s v="408-7760667-5809130"/>
        <s v="405-8457623-9269955"/>
        <s v="408-6820155-3521913"/>
        <s v="403-6190683-2687538"/>
        <s v="408-4069830-3819562"/>
        <s v="171-7367545-7081126"/>
        <s v="404-6522553-9345930"/>
        <s v="403-9950518-0349133"/>
        <s v="407-6599093-6553153"/>
        <s v="403-3763475-2237125"/>
        <s v="405-1492294-0323520"/>
        <s v="403-1162895-2484367"/>
        <s v="171-6833843-5473114"/>
        <s v="403-1477057-8253913"/>
        <s v="408-2114413-6089906"/>
        <s v="405-1879750-2639521"/>
        <s v="406-5727754-5302723"/>
        <s v="405-0901744-8270705"/>
        <s v="405-9112089-3379536"/>
        <s v="408-6357132-2310703"/>
        <s v="406-5334922-9670748"/>
        <s v="402-8519791-3706738"/>
        <s v="408-1830318-0357940"/>
        <s v="406-5103760-7326749"/>
        <s v="402-7841951-1872363"/>
        <s v="408-7698765-2294756"/>
        <s v="404-1856281-9996319"/>
        <s v="406-5406738-7113145"/>
        <s v="405-5257740-5301158"/>
        <s v="405-2072502-4089911"/>
        <s v="405-0882561-5952340"/>
        <s v="403-7266170-1163500"/>
        <s v="405-8114272-1687512"/>
        <s v="171-6138639-1478731"/>
        <s v="405-4059216-4541150"/>
        <s v="405-1152015-7333945"/>
        <s v="406-0177436-6731556"/>
        <s v="406-0715107-8168308"/>
        <s v="403-0104882-7373900"/>
        <s v="405-3002282-6797102"/>
        <s v="407-8466904-3461908"/>
        <s v="171-3305587-5364338"/>
        <s v="406-8961316-8137943"/>
        <s v="171-2813040-8296320"/>
        <s v="408-9845791-1393151"/>
        <s v="402-4277204-2348328"/>
        <s v="171-3049339-2085136"/>
        <s v="405-9928526-2470747"/>
        <s v="405-4908072-0260360"/>
        <s v="406-3984186-5973150"/>
        <s v="171-8635309-7508346"/>
        <s v="171-0293372-4913973"/>
        <s v="402-8288606-4313118"/>
        <s v="402-8746990-6412346"/>
        <s v="402-0294212-5431551"/>
        <s v="406-1530134-2105912"/>
        <s v="403-5222550-4437140"/>
        <s v="408-1482435-5202714"/>
        <s v="403-6442534-2769112"/>
        <s v="408-3113070-0750756"/>
        <s v="404-7796841-1880317"/>
        <s v="405-2142542-0941949"/>
        <s v="405-0286717-7761132"/>
        <s v="406-9021273-9221106"/>
        <s v="404-5381335-4577925"/>
        <s v="171-0131752-2560336"/>
        <s v="407-4235449-1353916"/>
        <s v="171-8061614-5688327"/>
        <s v="407-8248783-4261958"/>
        <s v="404-6513062-3876305"/>
        <s v="406-7779874-9136347"/>
        <s v="406-9638549-1733961"/>
        <s v="407-8801185-0134713"/>
        <s v="171-3625443-6505905"/>
        <s v="402-8078642-8565124"/>
        <s v="402-2820441-9623566"/>
        <s v="171-4312987-5366767"/>
        <s v="403-5189998-9343503"/>
        <s v="407-9863928-5979501"/>
        <s v="171-4644162-9093116"/>
        <s v="406-0974406-3179521"/>
        <s v="402-0048138-1845122"/>
        <s v="407-6283946-7749133"/>
        <s v="407-0542879-1795554"/>
        <s v="406-0218328-1773963"/>
        <s v="407-3742007-3242711"/>
        <s v="405-3067317-3360344"/>
        <s v="406-5648244-8317954"/>
        <s v="171-3460653-0171519"/>
        <s v="404-5337874-2284337"/>
        <s v="405-2660443-4165145"/>
        <s v="402-3329522-2367566"/>
        <s v="406-3078054-1755513"/>
        <s v="171-4647176-6456305"/>
        <s v="408-5011528-8276347"/>
        <s v="407-4097885-3129958"/>
        <s v="171-1224053-5752314"/>
        <s v="406-2849582-6531553"/>
        <s v="407-5875767-6399551"/>
        <s v="171-6336729-6763536"/>
        <s v="404-3907920-5281963"/>
        <s v="408-7310428-6047538"/>
        <s v="403-2608092-6065935"/>
        <s v="404-9760385-9109154"/>
        <s v="405-0732969-3941948"/>
        <s v="402-2720308-2560327"/>
        <s v="402-0589123-6183541"/>
        <s v="408-3874942-9917143"/>
        <s v="402-1706149-0949104"/>
        <s v="407-1672316-3245939"/>
        <s v="405-1832646-7988329"/>
        <s v="408-9692204-9817146"/>
        <s v="402-9339129-6219537"/>
        <s v="405-3036350-8089120"/>
        <s v="404-6680046-0839536"/>
        <s v="406-2966654-4672325"/>
        <s v="403-4845285-4565113"/>
        <s v="171-4496851-5319548"/>
        <s v="408-3416118-1167564"/>
        <s v="406-1590113-9193914"/>
        <s v="404-0363929-8015528"/>
        <s v="407-7173744-5333154"/>
        <s v="405-6880044-2861120"/>
        <s v="403-4337144-0984323"/>
        <s v="171-1851948-5476361"/>
        <s v="171-5810429-4493110"/>
        <s v="171-1068229-1581965"/>
        <s v="402-2105140-3584364"/>
        <s v="403-3561336-3563535"/>
        <s v="402-9532672-5385917"/>
        <s v="408-4547464-4180323"/>
        <s v="402-2211107-5096323"/>
        <s v="403-9412025-7537140"/>
        <s v="403-5456917-5571511"/>
        <s v="171-8452330-4756317"/>
        <s v="171-4350114-4299568"/>
        <s v="405-8692900-3888310"/>
        <s v="402-6750101-3923558"/>
        <s v="403-5725327-6264327"/>
        <s v="403-5209693-1173944"/>
        <s v="403-8255889-7526765"/>
        <s v="407-3554912-7244363"/>
        <s v="407-4737202-9096304"/>
        <s v="171-2842936-5423534"/>
        <s v="407-4936046-5852304"/>
        <s v="402-9580874-3525948"/>
        <s v="404-7426070-1355530"/>
        <s v="406-4878137-1126707"/>
        <s v="171-3505516-3505949"/>
        <s v="406-6199849-7523514"/>
        <s v="406-6180074-2350757"/>
        <s v="406-2403215-8361103"/>
        <s v="404-6578109-5618751"/>
        <s v="407-2307966-4961113"/>
        <s v="404-5539778-0029904"/>
        <s v="171-6222676-0740318"/>
        <s v="403-2166075-2254703"/>
        <s v="407-5766340-7411567"/>
        <s v="404-0634392-1837110"/>
        <s v="408-2759943-9849959"/>
        <s v="403-5977671-8855508"/>
        <s v="408-9321153-0591557"/>
        <s v="404-0696150-3898703"/>
        <s v="406-7586136-6520337"/>
        <s v="407-6146457-8788352"/>
        <s v="404-8514200-3544346"/>
        <s v="404-7452877-2137949"/>
        <s v="402-2703790-2816329"/>
        <s v="407-1515930-8661921"/>
        <s v="405-9144614-1601126"/>
        <s v="407-0994909-4122733"/>
        <s v="402-7042386-5486768"/>
        <s v="403-7652993-1507525"/>
        <s v="407-3847456-6656309"/>
        <s v="171-7623384-8040337"/>
        <s v="171-4607096-6413920"/>
        <s v="404-6783988-2006729"/>
        <s v="404-6975277-1927553"/>
        <s v="402-5586272-3646748"/>
        <s v="171-6655820-6440356"/>
        <s v="171-1584788-8864335"/>
        <s v="402-0150402-0900371"/>
        <s v="408-6791822-5493964"/>
        <s v="405-0483874-0889137"/>
        <s v="407-5600921-2143569"/>
        <s v="404-1607808-0769930"/>
        <s v="407-5124083-2725136"/>
        <s v="407-4766116-5412325"/>
        <s v="402-6885004-6990731"/>
        <s v="402-2207276-9869933"/>
        <s v="407-9494293-9423561"/>
        <s v="171-6867266-8495534"/>
        <s v="408-3475592-6193128"/>
        <s v="171-1987024-2709164"/>
        <s v="406-1522425-5387565"/>
        <s v="171-3270734-5045130"/>
        <s v="408-4101226-7217932"/>
        <s v="171-5719664-5449151"/>
        <s v="403-9400764-4029123"/>
        <s v="406-8413944-2634744"/>
        <s v="406-8271099-5133911"/>
        <s v="405-3441326-1516368"/>
        <s v="408-8009772-6580317"/>
        <s v="402-4774686-7773937"/>
        <s v="402-2860689-5652319"/>
        <s v="406-6386989-1689108"/>
        <s v="408-9720884-9553122"/>
        <s v="408-6428766-2839536"/>
        <s v="408-8641795-6914711"/>
        <s v="402-9475978-1434754"/>
        <s v="407-5776821-9327552"/>
        <s v="171-6845071-0336346"/>
        <s v="404-7491342-1035558"/>
        <s v="171-6783343-9758701"/>
        <s v="402-0043314-1059527"/>
        <s v="406-6586654-6641140"/>
        <s v="405-6120626-0941135"/>
        <s v="408-9255314-3102740"/>
        <s v="408-3436456-9893130"/>
        <s v="408-3870331-6287517"/>
        <s v="407-2882576-2777135"/>
        <s v="403-2256919-4846738"/>
        <s v="403-2920089-2403567"/>
        <s v="406-7792526-4685142"/>
        <s v="406-7680255-6117120"/>
        <s v="402-4646784-8411501"/>
        <s v="405-2788163-4515521"/>
        <s v="405-1757140-2025918"/>
        <s v="403-9105351-8453114"/>
        <s v="402-0503400-6235514"/>
        <s v="408-3201739-2676310"/>
        <s v="171-8027093-8553945"/>
        <s v="403-3331597-7637100"/>
        <s v="403-4424319-6635501"/>
        <s v="403-0906375-2269150"/>
        <s v="406-7261451-5682727"/>
        <s v="407-5096970-7475550"/>
        <s v="402-6566640-5417947"/>
        <s v="402-5302912-6805151"/>
        <s v="407-9707366-3029944"/>
        <s v="402-1365379-0131533"/>
        <s v="408-5540360-9479519"/>
        <s v="403-2079921-1244300"/>
        <s v="402-8019936-6115500"/>
        <s v="406-6711228-7576354"/>
        <s v="171-1425554-3718756"/>
        <s v="407-9906412-0889129"/>
        <s v="408-8991303-6559523"/>
        <s v="408-6046797-8945127"/>
        <s v="171-2134173-5385136"/>
        <s v="402-2155477-9353103"/>
        <s v="407-8580022-5578715"/>
        <s v="402-1572540-8678700"/>
        <s v="171-1887627-9813158"/>
        <s v="408-7712483-3825907"/>
        <s v="402-3621298-2630741"/>
        <s v="404-8745561-3169903"/>
        <s v="404-1508602-9433941"/>
        <s v="171-9371949-6030721"/>
        <s v="171-2705563-6985105"/>
        <s v="171-3537751-4007556"/>
        <s v="408-5990312-3581165"/>
        <s v="403-6062596-1220349"/>
        <s v="171-8220241-5105927"/>
        <s v="408-9405529-3743511"/>
        <s v="402-3595365-1666728"/>
        <s v="407-3271219-3762757"/>
        <s v="402-3660716-8589107"/>
        <s v="171-3953233-6135505"/>
        <s v="402-5525660-2118707"/>
        <s v="406-9941718-1734719"/>
        <s v="171-1297873-2176339"/>
        <s v="407-6401192-4057954"/>
        <s v="406-3397500-8084361"/>
        <s v="171-9620288-8918704"/>
        <s v="402-8089760-1132331"/>
        <s v="403-7042175-3905937"/>
        <s v="407-4629176-4141949"/>
        <s v="171-7306449-0588335"/>
        <s v="407-1396965-6726703"/>
        <s v="407-0624641-6557144"/>
        <s v="405-8444009-8723509"/>
        <s v="406-5729580-2175565"/>
        <s v="404-2255967-5457950"/>
        <s v="408-5020509-5674715"/>
        <s v="407-7642883-3094732"/>
        <s v="404-7608918-0571517"/>
        <s v="171-6589781-2209965"/>
        <s v="405-9442254-2207515"/>
        <s v="405-3071731-6600369"/>
        <s v="404-6026001-1717923"/>
        <s v="404-4026534-0431517"/>
        <s v="406-4970885-3273941"/>
        <s v="406-2942566-8263534"/>
        <s v="406-7501816-7391539"/>
        <s v="408-3137526-3167563"/>
        <s v="408-5211576-2061139"/>
        <s v="406-9632792-8869139"/>
        <s v="408-7971979-8745937"/>
        <s v="405-5166820-2566738"/>
        <s v="405-8932002-4271522"/>
        <s v="404-1855398-2642751"/>
        <s v="408-0912805-7526753"/>
        <s v="402-2403704-9667560"/>
        <s v="405-2569549-3466719"/>
        <s v="405-2822825-3877133"/>
        <s v="171-5222377-4501935"/>
        <s v="171-2644368-7969167"/>
        <s v="171-1758807-7455529"/>
        <s v="404-5848202-7366725"/>
        <s v="408-8224264-0017161"/>
        <s v="408-6529937-6381928"/>
        <s v="407-2028379-9672355"/>
        <s v="402-9221687-4573915"/>
        <s v="405-2668017-2013957"/>
        <s v="408-3337319-8990747"/>
        <s v="407-1256885-2004349"/>
        <s v="404-3723311-1030756"/>
        <s v="171-5542306-9306709"/>
        <s v="406-3702147-1800341"/>
        <s v="404-5867260-9073129"/>
        <s v="404-0532727-2082745"/>
        <s v="403-8966287-7773106"/>
        <s v="408-1512444-4965152"/>
        <s v="171-9451879-3651542"/>
        <s v="408-8501185-0578768"/>
        <s v="402-0251823-0845133"/>
        <s v="408-5190897-8781155"/>
        <s v="403-3109934-4911514"/>
        <s v="407-0718034-7893108"/>
        <s v="404-0752237-5721965"/>
        <s v="403-6818986-3510737"/>
        <s v="403-4673019-6572340"/>
        <s v="171-4549643-0067500"/>
        <s v="404-3622512-3887551"/>
        <s v="406-6906315-9570765"/>
        <s v="407-3562449-1962729"/>
        <s v="408-2593644-6317933"/>
        <s v="407-7607527-1189964"/>
        <s v="405-7398388-2654744"/>
        <s v="405-5066690-4132337"/>
        <s v="408-6466311-6949931"/>
        <s v="171-4643830-2345965"/>
        <s v="404-1051549-5381167"/>
        <s v="406-7625210-8793109"/>
        <s v="406-8665288-2025908"/>
        <s v="408-6732772-4525113"/>
        <s v="171-7068385-2777168"/>
        <s v="405-9930530-1209919"/>
        <s v="407-0288006-5535531"/>
        <s v="403-6363820-3080315"/>
        <s v="408-7937211-8974712"/>
        <s v="407-4283259-6933941"/>
        <s v="407-3630361-4581152"/>
        <s v="408-6348199-2089932"/>
        <s v="408-5824761-8505932"/>
        <s v="406-0673842-3693910"/>
        <s v="405-0722232-7258752"/>
        <s v="408-0224364-7467540"/>
        <s v="408-2445040-0957913"/>
        <s v="406-8412164-3153129"/>
        <s v="407-5524319-6977912"/>
        <s v="407-7757868-6086759"/>
        <s v="171-5065107-7793119"/>
        <s v="403-0216195-8439543"/>
        <s v="402-9874837-4557125"/>
        <s v="408-8892348-9765950"/>
        <s v="408-6417023-0253911"/>
        <s v="407-4004149-2857161"/>
        <s v="404-6408992-6781106"/>
        <s v="407-9345273-2408359"/>
        <s v="408-0266080-9401113"/>
        <s v="404-6096382-3389133"/>
        <s v="405-9737320-3923530"/>
        <s v="402-7908398-5262750"/>
        <s v="407-6861831-9368312"/>
        <s v="406-4290163-4557960"/>
        <s v="405-9000587-4386763"/>
        <s v="404-7760595-7490722"/>
        <s v="403-8206114-6438765"/>
        <s v="404-6734371-2217151"/>
        <s v="403-9844758-9663515"/>
        <s v="402-1037282-5400318"/>
        <s v="408-6497115-2636366"/>
        <s v="408-2311178-4563550"/>
        <s v="171-7904830-1900363"/>
        <s v="406-9476969-2801163"/>
        <s v="403-2867551-8904322"/>
        <s v="407-0133690-8157926"/>
        <s v="402-2892726-4411563"/>
        <s v="402-9688522-2179563"/>
        <s v="404-7977517-7125147"/>
        <s v="403-4009455-2766717"/>
        <s v="408-8960391-6097167"/>
        <s v="406-9811989-3946709"/>
        <s v="406-0361691-7797129"/>
        <s v="408-9628391-5712365"/>
        <s v="408-1587720-2667552"/>
        <s v="171-5980259-5726757"/>
        <s v="405-2266530-9531500"/>
        <s v="408-3468189-1632369"/>
        <s v="402-8199412-5613164"/>
        <s v="406-8049367-7383569"/>
        <s v="404-4084311-5014713"/>
        <s v="405-4491602-9761902"/>
        <s v="404-3973098-9107502"/>
        <s v="404-8364446-3952321"/>
        <s v="408-4378624-3886712"/>
        <s v="408-2058872-0942730"/>
        <s v="404-5141245-7726736"/>
        <s v="405-5489495-6651552"/>
        <s v="171-6816175-3049154"/>
        <s v="408-7342331-1733136"/>
        <s v="402-1721558-6618710"/>
        <s v="406-2138801-8731538"/>
        <s v="407-1271803-1705135"/>
        <s v="408-0666162-2209142"/>
        <s v="404-8344681-3468344"/>
        <s v="405-5365766-8023559"/>
        <s v="405-2729845-2846741"/>
        <s v="407-7312276-7007540"/>
        <s v="407-6910434-1793162"/>
        <s v="407-7361111-8973957"/>
        <s v="406-2349830-7633129"/>
        <s v="404-0553710-6997951"/>
        <s v="404-5682813-1706729"/>
        <s v="171-0355946-6502712"/>
        <s v="405-5141255-1451535"/>
        <s v="402-4712282-7084353"/>
        <s v="408-4929717-0247504"/>
        <s v="407-0903946-2097158"/>
        <s v="403-3362230-0094739"/>
        <s v="404-2227887-7441969"/>
        <s v="407-8016372-7101131"/>
        <s v="407-2520173-9985116"/>
        <s v="407-3257788-4892350"/>
        <s v="408-7201398-0382766"/>
        <s v="407-1181422-6183500"/>
        <s v="408-6235816-9261123"/>
        <s v="408-5823964-2421167"/>
        <s v="408-2752424-0976355"/>
        <s v="408-1221783-1443515"/>
        <s v="404-3977029-4836363"/>
        <s v="406-6993846-8855562"/>
        <s v="405-5018129-4536368"/>
        <s v="406-3787864-1268330"/>
        <s v="171-8504713-0689107"/>
        <s v="402-9564773-1029157"/>
        <s v="405-4930362-9342759"/>
        <s v="402-4976284-7401969"/>
        <s v="404-7724638-9574745"/>
        <s v="408-9182064-6638723"/>
        <s v="171-9163388-0505130"/>
        <s v="171-4737030-9245958"/>
        <s v="402-3889665-2309117"/>
        <s v="404-0489249-5004350"/>
        <s v="402-5795462-7785129"/>
        <s v="402-1771710-8988341"/>
        <s v="407-8782240-5186712"/>
        <s v="406-1146171-5116306"/>
        <s v="405-4454054-5598720"/>
        <s v="405-0904566-9930731"/>
        <s v="405-2826187-6916328"/>
        <s v="404-5926144-0737167"/>
        <s v="407-0010438-9058746"/>
        <s v="405-7730926-6032325"/>
        <s v="171-6907664-7672347"/>
        <s v="404-0072596-3665116"/>
        <s v="406-8833813-9606757"/>
        <s v="408-3892272-6235562"/>
        <s v="171-9584070-4172351"/>
        <s v="402-1220435-6391519"/>
        <s v="404-5137687-4471546"/>
        <s v="171-0065908-0641927"/>
        <s v="403-3416641-9569165"/>
        <s v="404-1694926-5861958"/>
        <s v="402-5767256-6281114"/>
        <s v="403-3410267-0750719"/>
        <s v="403-9122678-2549117"/>
        <s v="402-7676083-2016323"/>
        <s v="404-7830524-8312347"/>
        <s v="402-5917367-0340362"/>
        <s v="408-7154712-8009957"/>
        <s v="402-6250862-8853945"/>
        <s v="406-0002738-2742749"/>
        <s v="403-6658095-6765934"/>
        <s v="402-7304691-3952343"/>
        <s v="407-6959497-7065133"/>
        <s v="406-0117804-3287554"/>
        <s v="407-9183800-1013951"/>
        <s v="405-0930056-6437111"/>
        <s v="405-7472210-7516334"/>
        <s v="408-4366006-6437145"/>
        <s v="403-3676854-5721945"/>
        <s v="408-6618566-0057120"/>
        <s v="171-7822891-4076363"/>
        <s v="406-3015774-3032307"/>
        <s v="407-8925293-2306747"/>
        <s v="402-7386453-2621962"/>
        <s v="405-7939580-3974740"/>
        <s v="402-1304000-3677964"/>
        <s v="403-7294367-8346767"/>
        <s v="406-3069661-8992322"/>
        <s v="405-6917473-7822701"/>
        <s v="405-2853362-9249968"/>
        <s v="408-5685967-2798764"/>
        <s v="407-1521483-6236364"/>
        <s v="407-3192826-3199543"/>
        <s v="405-6680529-6046716"/>
        <s v="407-3789221-2643524"/>
        <s v="171-0201364-0214715"/>
        <s v="404-5782230-8762723"/>
        <s v="404-2222453-6739538"/>
        <s v="408-7009060-8830716"/>
        <s v="402-3663529-2350713"/>
        <s v="406-6439645-8186752"/>
        <s v="407-1487637-6585969"/>
        <s v="407-0632004-8093157"/>
        <s v="402-9211704-8331565"/>
        <s v="402-3020801-9225151"/>
        <s v="403-3917470-4280308"/>
        <s v="171-2628906-0061939"/>
        <s v="406-3009249-7653118"/>
        <s v="171-6395980-8828309"/>
        <s v="404-1435490-1121140"/>
        <s v="402-7913336-9467565"/>
        <s v="408-7264030-5002700"/>
        <s v="408-9019983-8862750"/>
        <s v="405-1990663-9192363"/>
        <s v="403-5876876-0701925"/>
        <s v="405-1437048-4974713"/>
        <s v="402-9348518-5984354"/>
        <s v="406-8892825-4377127"/>
        <s v="406-7955475-7819507"/>
        <s v="405-6675358-3715504"/>
        <s v="171-7920358-6691543"/>
        <s v="406-7722012-4093964"/>
        <s v="408-7616878-8551517"/>
        <s v="408-8068196-8707526"/>
        <s v="407-2512537-5717124"/>
        <s v="406-3257301-5556318"/>
        <s v="402-7784273-3159533"/>
        <s v="403-9745522-7408318"/>
        <s v="405-7523500-6097912"/>
        <s v="171-0947491-1860302"/>
        <s v="407-9614308-2636322"/>
        <s v="171-6153595-4758722"/>
        <s v="402-0721169-8180327"/>
        <s v="406-9129776-9779513"/>
        <s v="406-4276465-0364334"/>
        <s v="402-8123545-4535558"/>
        <s v="408-0987613-5525924"/>
        <s v="406-0038568-0852338"/>
        <s v="403-5684700-6277902"/>
        <s v="403-2561797-6193141"/>
        <s v="406-4980665-9833930"/>
        <s v="405-9201316-2870743"/>
        <s v="408-7966317-7457928"/>
        <s v="171-0983521-4425145"/>
        <s v="403-5847066-2369918"/>
        <s v="404-9771516-3764302"/>
        <s v="405-0534257-8109938"/>
        <s v="171-5702903-4981901"/>
        <s v="406-6474243-1265115"/>
        <s v="405-3523941-5355524"/>
        <s v="403-5082537-8368348"/>
        <s v="408-5947919-3506726"/>
        <s v="408-6114783-6199528"/>
        <s v="408-9630926-2785104"/>
        <s v="403-5342526-7867558"/>
        <s v="404-2255125-4533134"/>
        <s v="171-5594281-0212357"/>
        <s v="405-6041428-1576346"/>
        <s v="405-5933927-3375545"/>
        <s v="405-3785331-3948333"/>
        <s v="404-8711304-7038702"/>
        <s v="405-2872303-9941933"/>
        <s v="402-6464284-9643538"/>
        <s v="405-7534473-2900341"/>
        <s v="407-2944929-6438702"/>
        <s v="171-0362861-1228360"/>
        <s v="404-5775216-5570767"/>
        <s v="171-2754000-1881907"/>
        <s v="408-2784061-1695540"/>
        <s v="403-8794854-0523518"/>
        <s v="404-4680896-8003501"/>
        <s v="405-8314081-3929157"/>
        <s v="406-1694518-5618746"/>
        <s v="408-5094125-1397968"/>
        <s v="402-6569321-5308311"/>
        <s v="406-5828889-4813915"/>
        <s v="402-4832715-9188334"/>
        <s v="408-9898972-5365901"/>
        <s v="408-7275140-3593905"/>
        <s v="405-7907546-1330739"/>
        <s v="405-7732656-4733913"/>
        <s v="171-5431988-8713937"/>
        <s v="171-6687746-4020351"/>
        <s v="403-3045245-2207560"/>
        <s v="405-4991185-1773106"/>
        <s v="403-6782192-8968326"/>
        <s v="171-6640050-9516349"/>
        <s v="402-5014156-9264316"/>
        <s v="408-8342548-5107567"/>
        <s v="404-7769149-3935539"/>
        <s v="402-5903377-6817119"/>
        <s v="405-6584819-2669165"/>
        <s v="405-9099443-7445111"/>
        <s v="408-3810333-4165930"/>
        <s v="405-0881145-7742744"/>
        <s v="403-7153786-2898705"/>
        <s v="408-2042136-9817130"/>
        <s v="407-8176931-5052349"/>
        <s v="407-3305249-3442711"/>
        <s v="403-5215681-9527524"/>
        <s v="408-3749874-2210712"/>
        <s v="406-6143137-4946754"/>
        <s v="403-3797724-0896348"/>
        <s v="407-3778695-8884327"/>
        <s v="402-6454286-3321909"/>
        <s v="402-9138974-2250726"/>
        <s v="408-4193711-8156307"/>
        <s v="404-5546156-4947565"/>
        <s v="408-0902233-8069950"/>
        <s v="171-7821391-2118700"/>
        <s v="171-3764328-7297105"/>
        <s v="406-5700980-4110708"/>
        <s v="406-4317049-7021127"/>
        <s v="408-0738576-5377963"/>
        <s v="171-6112262-4294731"/>
        <s v="402-0069978-7444377"/>
        <s v="407-6451607-8520320"/>
        <s v="407-6825420-7253915"/>
        <s v="171-2497796-8649164"/>
        <s v="405-3921640-0927553"/>
        <s v="402-8291421-3780342"/>
        <s v="407-4549939-3485945"/>
        <s v="403-3597087-4521139"/>
        <s v="171-9016873-6719541"/>
        <s v="171-3693730-4530754"/>
        <s v="404-0541321-3023502"/>
        <s v="402-1600884-0332308"/>
        <s v="402-0229417-2609936"/>
        <s v="403-0131049-2132337"/>
        <s v="171-4573948-3966741"/>
        <s v="171-0211853-1251554"/>
        <s v="404-3699924-2837921"/>
        <s v="405-0457160-2123517"/>
        <s v="408-6862973-4520309"/>
        <s v="171-7679971-0310752"/>
        <s v="171-3669717-3172330"/>
        <s v="403-9724686-7777903"/>
        <s v="403-8306900-1833930"/>
        <s v="403-1962150-0618711"/>
        <s v="403-1632972-2861963"/>
        <s v="403-9533906-1728355"/>
        <s v="171-1269122-8425943"/>
        <s v="171-2937341-8703561"/>
        <s v="406-5206188-8892351"/>
        <s v="405-5228379-1065951"/>
        <s v="406-3236326-4964331"/>
        <s v="408-3364449-3401947"/>
        <s v="402-7682157-9147503"/>
        <s v="405-1515003-2007535"/>
        <s v="408-8569813-9288333"/>
        <s v="404-0867714-0772302"/>
        <s v="402-1704468-7240327"/>
        <s v="406-5757669-2996307"/>
        <s v="407-1492215-2982709"/>
        <s v="171-2119982-7294757"/>
        <s v="407-1684475-5197113"/>
        <s v="404-4568279-0273125"/>
        <s v="403-9752008-2541919"/>
        <s v="403-3896686-3972343"/>
        <s v="408-5238024-3207538"/>
        <s v="403-9336057-8075519"/>
        <s v="406-6070472-3313109"/>
        <s v="407-0828621-5564309"/>
        <s v="402-7281943-2634753"/>
        <s v="408-3364643-8111517"/>
        <s v="402-9327280-6831502"/>
        <s v="405-8803159-2662729"/>
        <s v="405-3441275-4039543"/>
        <s v="406-2890663-9523509"/>
        <s v="402-1430516-9436331"/>
        <s v="171-7949350-6828319"/>
        <s v="171-2964083-5815566"/>
        <s v="406-9789934-2845967"/>
        <s v="405-9399780-0313164"/>
        <s v="404-9635079-7600310"/>
        <s v="171-6983189-6050757"/>
        <s v="171-3884714-3945906"/>
        <s v="405-1693679-3068331"/>
        <s v="402-4804971-8591532"/>
        <s v="405-1597244-8205967"/>
        <s v="403-9610979-2949958"/>
        <s v="405-1911317-3604322"/>
        <s v="404-7251284-9387528"/>
        <s v="403-4512253-4789948"/>
        <s v="408-1348466-1321955"/>
        <s v="171-0490216-5028364"/>
        <s v="406-5421335-3440327"/>
        <s v="405-6836135-6312327"/>
        <s v="171-0689935-4850722"/>
        <s v="403-9835374-1565102"/>
        <s v="403-8625708-2309901"/>
        <s v="403-6616419-0658741"/>
        <s v="171-5550949-7914705"/>
        <s v="408-9407260-0749114"/>
        <s v="408-4453138-1209128"/>
        <s v="402-4934568-7802706"/>
        <s v="405-9862364-7636347"/>
        <s v="405-7713713-9002732"/>
        <s v="406-8536478-4581952"/>
        <s v="407-0533151-5470709"/>
        <s v="404-6783850-0597940"/>
        <s v="407-3030317-4521947"/>
        <s v="402-0093786-0156303"/>
        <s v="171-3705534-0250736"/>
        <s v="408-9408562-5254749"/>
        <s v="403-4739886-5496325"/>
        <s v="171-9312177-9903551"/>
        <s v="171-3255381-0489121"/>
        <s v="408-4584840-2787538"/>
        <s v="408-5118229-6373917"/>
        <s v="403-0707216-6170737"/>
        <s v="403-3258819-8018763"/>
        <s v="408-2491878-4865146"/>
        <s v="405-7190860-0329952"/>
        <s v="402-0164950-5496362"/>
        <s v="404-3821323-1636305"/>
        <s v="408-3649698-8803541"/>
        <s v="405-3694403-2551528"/>
        <s v="405-6593194-1742748"/>
        <s v="403-7086967-7558701"/>
        <s v="171-5927080-9153924"/>
        <s v="406-5651070-7367520"/>
        <s v="405-1952513-5416327"/>
        <s v="406-8112035-0609144"/>
        <s v="407-6114533-2816312"/>
        <s v="407-6002733-2903540"/>
        <s v="403-1068845-1092310"/>
        <s v="407-3001310-2482707"/>
        <s v="402-9024954-3597923"/>
        <s v="404-6763777-8680366"/>
        <s v="405-6167247-7769908"/>
        <s v="404-3190952-7345128"/>
        <s v="407-4179560-9885921"/>
        <s v="405-4515494-3244302"/>
        <s v="404-0812833-5129124"/>
        <s v="403-9928712-6587519"/>
        <s v="404-5314568-1043519"/>
        <s v="402-8207665-7247536"/>
        <s v="403-3814019-1141952"/>
        <s v="403-5049239-4135545"/>
        <s v="405-6344744-8777959"/>
        <s v="405-0654626-6276321"/>
        <s v="403-9647049-8100304"/>
        <s v="407-3546546-1957155"/>
        <s v="404-4807357-2693108"/>
        <s v="404-4911741-3341902"/>
        <s v="404-1580706-8406729"/>
        <s v="404-6525036-6681154"/>
        <s v="408-6862949-2369917"/>
        <s v="403-4522038-5418732"/>
        <s v="405-9510649-7934734"/>
        <s v="408-2170248-9556321"/>
        <s v="171-1747399-1165911"/>
        <s v="408-1752203-1767518"/>
        <s v="402-6953218-8797919"/>
        <s v="407-3644990-7729144"/>
        <s v="406-9906656-5128304"/>
        <s v="171-8345794-3569957"/>
        <s v="403-9545828-0603523"/>
        <s v="408-8140052-8753913"/>
        <s v="406-7221225-8921144"/>
        <s v="406-4803324-2221109"/>
        <s v="407-5470882-4765942"/>
        <s v="403-0373263-7181928"/>
        <s v="405-3139781-4240349"/>
        <s v="404-4771108-9660348"/>
        <s v="407-4616863-5212363"/>
        <s v="405-5863149-6577918"/>
        <s v="406-7524766-1454768"/>
        <s v="408-6818789-4965132"/>
        <s v="402-1038454-4297969"/>
        <s v="408-8100357-3585904"/>
        <s v="402-4372312-4448367"/>
        <s v="406-3745473-8633147"/>
        <s v="403-1140011-7398736"/>
        <s v="171-2789156-5817163"/>
        <s v="404-9605291-9790766"/>
        <s v="408-9259634-7565152"/>
        <s v="171-2120512-6643534"/>
        <s v="408-7767023-9733103"/>
        <s v="402-6159360-3192305"/>
        <s v="406-4919920-0965963"/>
        <s v="402-5821417-6985934"/>
        <s v="406-7489606-3781934"/>
        <s v="408-4543593-8672326"/>
        <s v="404-3628070-0647500"/>
        <s v="404-0691443-7069131"/>
        <s v="403-0467296-2575536"/>
        <s v="408-3531277-4885962"/>
        <s v="408-6069754-7397924"/>
        <s v="408-0391714-9281921"/>
        <s v="408-3692922-9946738"/>
        <s v="171-7935921-7575568"/>
        <s v="408-2026538-7845958"/>
        <s v="403-2026715-3949910"/>
        <s v="404-4599488-8213952"/>
        <s v="S02-5278980-4327051"/>
        <s v="171-5599779-6322751"/>
        <s v="171-2550230-3805124"/>
        <s v="402-5852450-2129941"/>
        <s v="405-3054995-4312360"/>
        <s v="407-2538775-7502719"/>
        <s v="406-1981446-7471514"/>
        <s v="408-4235910-6012362"/>
        <s v="171-9839922-3832357"/>
        <s v="405-9808686-6294763"/>
        <s v="408-8489677-5577933"/>
        <s v="402-5550488-9916304"/>
        <s v="408-6369127-2887567"/>
        <s v="171-0113406-2293163"/>
        <s v="403-8565647-0953102"/>
        <s v="406-9957971-2569147"/>
        <s v="406-1092108-2639512"/>
        <s v="402-3270101-7657904"/>
        <s v="402-7078622-5609155"/>
        <s v="171-7678731-3568339"/>
        <s v="408-7206307-2384358"/>
        <s v="407-5830946-0458753"/>
        <s v="171-3016563-0593956"/>
        <s v="404-3252605-4011545"/>
        <s v="171-1148440-5117161"/>
        <s v="171-7636697-5689908"/>
        <s v="408-1336273-5938748"/>
        <s v="406-3815399-6450709"/>
        <s v="171-9638653-2292340"/>
        <s v="403-7879236-4794741"/>
        <s v="406-4110471-9710751"/>
        <s v="408-5598612-8613920"/>
        <s v="404-3475672-0623516"/>
        <s v="403-0708193-0609948"/>
        <s v="402-6638943-7023558"/>
        <s v="405-1047044-2461167"/>
        <s v="403-4121872-9661935"/>
        <s v="407-0341499-2477170"/>
        <s v="402-7081372-1053905"/>
        <s v="403-8349155-2308363"/>
        <s v="403-3794902-2627533"/>
        <s v="403-8342497-0727510"/>
        <s v="403-5686295-0611519"/>
        <s v="404-9773937-7060345"/>
        <s v="407-3205298-5473103"/>
        <s v="403-3741687-4048344"/>
        <s v="406-4889947-7806746"/>
        <s v="408-2548158-8811519"/>
        <s v="402-4612397-6796307"/>
        <s v="402-2375582-5673132"/>
        <s v="402-7355260-1275513"/>
        <s v="171-6613108-2363511"/>
        <s v="406-5961574-4441901"/>
        <s v="404-9326488-7546742"/>
        <s v="403-1691463-7067522"/>
        <s v="171-1293566-4097166"/>
        <s v="404-6513417-3841113"/>
        <s v="408-7484954-7860326"/>
        <s v="408-0027611-3047556"/>
      </sharedItems>
    </cacheField>
    <cacheField name="Date" numFmtId="14">
      <sharedItems containsSemiMixedTypes="0" containsNonDate="0" containsDate="1" containsString="0" minDate="2023-01-01T00:00:00" maxDate="2025-01-01T00:00:00"/>
    </cacheField>
    <cacheField name="Month" numFmtId="0">
      <sharedItems count="12">
        <s v="November"/>
        <s v="January"/>
        <s v="December"/>
        <s v="June"/>
        <s v="May"/>
        <s v="February"/>
        <s v="March"/>
        <s v="August"/>
        <s v="September"/>
        <s v="April"/>
        <s v="October"/>
        <s v="July"/>
      </sharedItems>
    </cacheField>
    <cacheField name="Status" numFmtId="0">
      <sharedItems count="5">
        <s v="Cancelled"/>
        <s v="Shipped - Delivered to Buyer"/>
        <s v="Shipped"/>
        <s v="Shipped - Returned to Seller"/>
        <s v="Shipped - Rejected by Buyer"/>
      </sharedItems>
    </cacheField>
    <cacheField name="Fulfilment" numFmtId="0">
      <sharedItems/>
    </cacheField>
    <cacheField name="Gender" numFmtId="0">
      <sharedItems containsMixedTypes="1" containsNumber="1" containsInteger="1" minValue="0" maxValue="0" count="3">
        <s v="Women"/>
        <s v="Men"/>
        <n v="0"/>
      </sharedItems>
    </cacheField>
    <cacheField name="Sales Channel" numFmtId="0">
      <sharedItems count="3">
        <s v="Flipkart"/>
        <s v="Amazon"/>
        <s v="Myntra"/>
      </sharedItems>
    </cacheField>
    <cacheField name="Age" numFmtId="0">
      <sharedItems containsSemiMixedTypes="0" containsString="0" containsNumber="1" containsInteger="1" minValue="18" maxValue="60" count="43">
        <n v="49"/>
        <n v="52"/>
        <n v="53"/>
        <n v="56"/>
        <n v="55"/>
        <n v="57"/>
        <n v="42"/>
        <n v="31"/>
        <n v="25"/>
        <n v="48"/>
        <n v="30"/>
        <n v="20"/>
        <n v="54"/>
        <n v="46"/>
        <n v="33"/>
        <n v="22"/>
        <n v="58"/>
        <n v="59"/>
        <n v="37"/>
        <n v="43"/>
        <n v="19"/>
        <n v="60"/>
        <n v="29"/>
        <n v="32"/>
        <n v="26"/>
        <n v="36"/>
        <n v="45"/>
        <n v="34"/>
        <n v="47"/>
        <n v="41"/>
        <n v="35"/>
        <n v="27"/>
        <n v="18"/>
        <n v="24"/>
        <n v="38"/>
        <n v="50"/>
        <n v="28"/>
        <n v="39"/>
        <n v="21"/>
        <n v="40"/>
        <n v="51"/>
        <n v="44"/>
        <n v="23"/>
      </sharedItems>
    </cacheField>
    <cacheField name="SKU" numFmtId="0">
      <sharedItems/>
    </cacheField>
    <cacheField name="Category" numFmtId="0">
      <sharedItems count="8">
        <s v="Set"/>
        <s v="kurta"/>
        <s v="Western Dress"/>
        <s v="Top"/>
        <s v="Ethnic Dress"/>
        <s v="Bottom"/>
        <s v="Saree"/>
        <s v="Blouse"/>
      </sharedItems>
    </cacheField>
    <cacheField name="Size" numFmtId="0">
      <sharedItems/>
    </cacheField>
    <cacheField name="Qty" numFmtId="0">
      <sharedItems containsSemiMixedTypes="0" containsString="0" containsNumber="1" containsInteger="1" minValue="0" maxValue="15"/>
    </cacheField>
    <cacheField name="currency" numFmtId="0">
      <sharedItems containsBlank="1"/>
    </cacheField>
    <cacheField name="Amount" numFmtId="0">
      <sharedItems containsString="0" containsBlank="1" containsNumber="1" minValue="0" maxValue="2224"/>
    </cacheField>
    <cacheField name="ship-city" numFmtId="0">
      <sharedItems count="332">
        <s v="MUMBAI"/>
        <s v="BENGALURU"/>
        <s v="NAVI MUMBAI"/>
        <s v="PUDUCHERRY"/>
        <s v="CHENNAI"/>
        <s v="GHAZIABAD"/>
        <s v="CHANDIGARH"/>
        <s v="HYDERABAD"/>
        <s v="NOIDA"/>
        <s v="Amravati."/>
        <s v="GUNTAKAL"/>
        <s v="JAIPUR"/>
        <s v="NEW DELHI"/>
        <s v="Gurgaon"/>
        <s v="TIRUCHIRAPPALLI"/>
        <s v="pune"/>
        <s v="TEZPUR"/>
        <s v="RANCHI"/>
        <s v="BILASPUR"/>
        <s v="GUWAHATI"/>
        <s v="THIRUVARUR"/>
        <s v="LUCKNOW"/>
        <s v="VISAKHAPATNAM"/>
        <s v="JEYPUR"/>
        <s v="THIRUVANANTHAPURAM"/>
        <s v="GREATER NOIDA"/>
        <s v="JABALPUR"/>
        <s v="KOLKATA"/>
        <s v="ONGOLE"/>
        <s v="SECUNDERABAD"/>
        <s v="KEWALPUR"/>
        <s v="CUTTACK"/>
        <s v="BADLAPUR"/>
        <s v="dimapur"/>
        <s v="WARANGAL"/>
        <s v="DHAULPUR"/>
        <s v="NAGPUR"/>
        <s v="THANE"/>
        <s v="Dahod"/>
        <s v="VIJAPURA"/>
        <s v="bangalore"/>
        <s v="BERHAMPUR"/>
        <s v="HIMMATNAGAR"/>
        <s v="DEHRADUN"/>
        <s v="DHARMAPURI"/>
        <s v="VADODARA"/>
        <s v="CHAVAKKAD"/>
        <s v="PATNA"/>
        <s v="Jammu"/>
        <s v="NARNAUND"/>
        <s v="Ahmedabad"/>
        <s v="AMBARNATH"/>
        <s v="GWALIOR"/>
        <s v="ROHTAK"/>
        <s v="RAMAGUNDAM"/>
        <s v="PITHORAGARH"/>
        <s v="GUWAHATI, KAMRUP (M)"/>
        <s v="KOLAR"/>
        <s v="PATIALA"/>
        <s v="REWA"/>
        <s v="BONGAIGAON"/>
        <s v="Chengalpattu"/>
        <s v="PERAMBALUR"/>
        <s v="VARANASI"/>
        <s v="COIMBATORE"/>
        <s v="CHIRMIRI"/>
        <s v="AZAMGARH"/>
        <s v="KALYAN"/>
        <s v="MYSORE"/>
        <s v="BARABANKI"/>
        <s v="AMILA"/>
        <s v="VIJAYAWADA"/>
        <s v="RAWAN AMBUJA CEMENT PLANT"/>
        <s v="HERBERTPUR"/>
        <s v="KALAMASSERY"/>
        <s v="Puri-2"/>
        <s v="TIKABALI"/>
        <s v="BIHARSHARIF"/>
        <s v="PARAVUR"/>
        <s v="BASTI"/>
        <s v="WALAJAPET"/>
        <s v="Mahendragarh"/>
        <s v="GURUGRAM"/>
        <s v="BIJNOR"/>
        <s v="ALLAHABAD"/>
        <s v="VASAI VIRAR"/>
        <s v="MANGALURU"/>
        <s v="NEW TOWN"/>
        <s v="SAMBHAL"/>
        <s v="ELAVANASURKOTTAI"/>
        <s v="SANGLI MIRAJ KUPWAD"/>
        <s v="MYSURU"/>
        <s v="ANKLESHWR"/>
        <s v="Greater Noida West"/>
        <s v="ITANAGAR"/>
        <s v="KARANJA"/>
        <s v="NIMBAHERA"/>
        <s v="Imphal East"/>
        <s v="BIDHAN NAGAR"/>
        <s v="BHUBANESWAR"/>
        <s v="ALIGARH"/>
        <s v="KOCHI"/>
        <s v="MALAPPURAM"/>
        <s v="SIBSAGAR"/>
        <s v="GAYA"/>
        <s v="KOLLAM"/>
        <s v="PERALASSERI"/>
        <s v="UDUPI"/>
        <s v="MARIANI"/>
        <s v="COOCH BEHAR"/>
        <s v="JHARIA KHAS"/>
        <s v="UDAIPUR"/>
        <s v="BHAGALPUR"/>
        <s v="BERHAMPORE"/>
        <s v="SEONI"/>
        <s v="Agra"/>
        <s v="Nermand"/>
        <s v="KAMAREDDY"/>
        <s v="SRINAGAR"/>
        <s v="MUDDEBIHAL"/>
        <s v="SANTHAMAGULURU MANDAL"/>
        <s v="KOLKATA 700034"/>
        <s v="BARUIPUR"/>
        <s v="KENDRAPARA"/>
        <s v="NASHIK"/>
        <s v="HOSHIARPUR"/>
        <s v="BARSHI"/>
        <s v="CHANDI MANDIR"/>
        <s v="ujjain"/>
        <s v="Haldwani"/>
        <s v="Uttarkashi"/>
        <s v="Old Goa"/>
        <s v="MAHESHWAR"/>
        <s v="HARDOI"/>
        <s v="SHILLONG"/>
        <s v="DHAMNOD DHAR DISTRICT"/>
        <s v="CHAKDAHA"/>
        <s v="CHIKKAMAGALURU"/>
        <s v="MALDA"/>
        <s v="Nellore"/>
        <s v="CUNCOLIM"/>
        <s v="trivandrum"/>
        <s v="KANPUR"/>
        <s v="CHINNALAPATTI"/>
        <s v="BAGESHWAR"/>
        <s v="BARRACKPORE"/>
        <s v="Dombivali  east"/>
        <s v="Pathanapuram"/>
        <s v="JAUNPUR"/>
        <s v="SOLAPUR"/>
        <s v="MAHBUBNAGAR"/>
        <s v="Nk sweets Vikasnagar"/>
        <s v="DARJEELING"/>
        <s v="LUDHIANA"/>
        <s v="MUZAFFARPUR"/>
        <s v="Sonbhadra"/>
        <s v="KAKINADA"/>
        <s v="HALDIA"/>
        <s v="Tivim"/>
        <s v="MANDVI KACHCHH DISTRICT"/>
        <s v="SAMBALPUR"/>
        <s v="KANNIYAKUMARI"/>
        <s v="Chinchwad ,Pune"/>
        <s v="PURNIA"/>
        <s v="TADEPALLIGUDEM"/>
        <s v="AKOLA"/>
        <s v="JORHAT"/>
        <s v="RAMANAGARA"/>
        <s v="Vijayapur"/>
        <s v="BOKARO STEEL CITY"/>
        <s v="KHAMMAM"/>
        <s v="AURANGABAD"/>
        <s v="GADARWARA"/>
        <s v="SHIRDI"/>
        <s v="VELLORE"/>
        <s v="SINGRAULI"/>
        <s v="THRIPPUNITHURA"/>
        <s v="KENDUJHAR"/>
        <s v="Nerul"/>
        <s v="IMPHAL"/>
        <s v="PALASBARI"/>
        <s v="Chikkaballapur"/>
        <s v="Andul near maya stores"/>
        <s v="SURAT"/>
        <s v="CHITTOOR"/>
        <s v="KADUR"/>
        <s v="SURATGARH"/>
        <s v="MIRA ROAD"/>
        <s v="DINANAGAR"/>
        <s v="ARAKANDANALLUR"/>
        <s v="BHOPAL"/>
        <s v="Bhatgaon"/>
        <s v="BHANJANAGAR"/>
        <s v="MADHURAWADA"/>
        <s v="ALMORA"/>
        <s v="PRODDATUR"/>
        <s v="SHRIGONDA"/>
        <s v="FAIZABAD"/>
        <s v="BHIWADI"/>
        <s v="GUNTUR"/>
        <s v="ROORKEE"/>
        <s v="Golabandha"/>
        <s v="BHATPARA"/>
        <s v="Palampur"/>
        <s v="PICHHORE SHIVPURI DISTRICT"/>
        <s v="SIKANDARABAD INDUSTRIAL AREA"/>
        <s v="MAVELIKKARA"/>
        <s v="QADIAN"/>
        <s v="KALABURGI"/>
        <s v="Rangareddy"/>
        <s v="DHARMANAGAR"/>
        <s v="Jhajjar"/>
        <s v="JAMSHEDPUR"/>
        <s v="MEERUT"/>
        <s v="GORAKHPUR"/>
        <s v="MUDBIDRI"/>
        <s v="VASCO DA GAMA"/>
        <s v="NADIAD"/>
        <s v="Janipur"/>
        <s v="KANPURKanpur"/>
        <s v="Hamirpur"/>
        <s v="AMRITSAR"/>
        <s v="PALI"/>
        <s v="BASSEIN"/>
        <s v="THIRUVALLA"/>
        <s v="AMBASAMUDRAM"/>
        <s v="Pathanamthitta"/>
        <s v="Vizianagaram"/>
        <s v="CHITTOOR district"/>
        <s v="RAE BARELI"/>
        <s v="Benipur"/>
        <s v="KHATIMA"/>
        <s v="ERODE"/>
        <s v="Ulhasnagar"/>
        <s v="INDORE"/>
        <s v="HALWARA"/>
        <s v="Neelakudi, Thiruvarur"/>
        <s v="SHIMLA"/>
        <s v="DARBHANGA"/>
        <s v="BURDWAN"/>
        <s v="MIHAN"/>
        <s v="KHURJA"/>
        <s v="Choglamsar"/>
        <s v="YAVATMAL"/>
        <s v="REDHAKHOL"/>
        <s v="FARIDABAD"/>
        <s v="FARIDPUR BAREILLY DISTRICT"/>
        <s v="Rourkela"/>
        <s v="DHARWAD"/>
        <s v="DAULATPUR"/>
        <s v="JALNA"/>
        <s v="KARIMNAGAR"/>
        <s v="ARVI,Dist- wardha"/>
        <s v="Kurseong"/>
        <s v="NANDURA"/>
        <s v="DIU"/>
        <s v="MUMBAI 400101"/>
        <s v="PONNERI"/>
        <s v="SERAMPORE"/>
        <s v="Kinnigoli"/>
        <s v="MIRZAPUR CUM VINDHYACHAL"/>
        <s v="DIBRUGARH"/>
        <s v="Deganga"/>
        <s v="KARIMGANJ"/>
        <s v="ALATHUR"/>
        <s v="Aluva"/>
        <s v="CHENGAMANAD"/>
        <s v="NIZAMABAD"/>
        <s v="LONI KALBHOR"/>
        <s v="KHELARI"/>
        <s v="GHAZIPUR"/>
        <s v="KATIHAR"/>
        <s v="NAGERCOIL"/>
        <s v="KOTHAGUDEM"/>
        <s v="BHINDER"/>
        <s v="JALANDHAR"/>
        <s v="NARASAPUR"/>
        <s v="PALAKKAD"/>
        <s v="PARVATHIPURAM"/>
        <s v="SATNA"/>
        <s v="Padur"/>
        <s v="MADURAI"/>
        <s v="BALLIA"/>
        <s v="DEVARAKONDA"/>
        <s v="THRISSUR"/>
        <s v="DANGUWAPASI"/>
        <s v="DHEMAJI"/>
        <s v="PULGAON"/>
        <s v="AKATHIYOOR"/>
        <s v="Shakarpur"/>
        <s v="CHEBROLU"/>
        <s v="Alappuzha"/>
        <s v="AKBARPUR"/>
        <s v="NABAGRAM COLONY"/>
        <s v="KOZHIKODE"/>
        <s v="NELAMANGALA"/>
        <s v="KOTPAD, Koraput"/>
        <s v="BAREILLY"/>
        <s v="TIRORA"/>
        <s v="ZIRAKPUR"/>
        <s v="AJMER"/>
        <s v="MADIKERI"/>
        <s v="Dungarpur"/>
        <s v="PANCHKULA"/>
        <s v="DHOLKA"/>
        <s v="DALTONGANJ"/>
        <s v="BATHINDA"/>
        <s v="KAMATGI,Hunugund taluk,Bagalkot district"/>
        <s v="ARNI"/>
        <s v="MORBI"/>
        <s v="Bantwal"/>
        <s v="GANJAM"/>
        <s v="DEWAS"/>
        <s v="NAGAUR"/>
        <s v="NEYYATTINKARA"/>
        <s v="SILIGURI"/>
        <s v="KUSHALANAGARA"/>
        <s v="SIMLAPAL"/>
        <s v="NARKATIAGANJ"/>
        <s v="Wagholi, PUNE"/>
        <s v="KOHIMA"/>
        <s v="THANE (W)"/>
        <s v="PORVORIM"/>
        <s v="Vasai"/>
        <s v="SANGLI"/>
        <s v="KOTTAYAM"/>
        <s v="DHARMADOM"/>
        <s v="NATHDWARA"/>
        <s v="ULLAL"/>
        <s v="NANDED WAGHALA"/>
        <s v="Sangareddy District"/>
        <s v="BELAGAVI"/>
      </sharedItems>
    </cacheField>
    <cacheField name="ship-state" numFmtId="0">
      <sharedItems count="32">
        <s v="MAHARASHTRA"/>
        <s v="KARNATAKA"/>
        <s v="PUDUCHERRY"/>
        <s v="TAMIL NADU"/>
        <s v="UTTAR PRADESH"/>
        <s v="CHANDIGARH"/>
        <s v="TELANGANA"/>
        <s v="ANDHRA PRADESH"/>
        <s v="RAJASTHAN"/>
        <s v="DELHI"/>
        <s v="HARYANA"/>
        <s v="ASSAM"/>
        <s v="JHARKHAND"/>
        <s v="CHHATTISGARH"/>
        <s v="ODISHA"/>
        <s v="KERALA"/>
        <s v="MADHYA PRADESH"/>
        <s v="WEST BENGAL"/>
        <s v="NAGALAND"/>
        <s v="Gujarat"/>
        <s v="UTTARAKHAND"/>
        <s v="BIHAR"/>
        <s v="JAMMU &amp; KASHMIR"/>
        <s v="PUNJAB"/>
        <s v="HIMACHAL PRADESH"/>
        <s v="ARUNACHAL PRADESH"/>
        <s v="MANIPUR"/>
        <s v="Goa"/>
        <s v="MEGHALAYA"/>
        <s v="TRIPURA"/>
        <s v="LADAKH"/>
        <s v="DADRA AND NAGAR"/>
      </sharedItems>
    </cacheField>
    <cacheField name="ship-country" numFmtId="0">
      <sharedItems/>
    </cacheField>
  </cacheFields>
  <extLst>
    <ext xmlns:x14="http://schemas.microsoft.com/office/spreadsheetml/2009/9/main" uri="{725AE2AE-9491-48be-B2B4-4EB974FC3084}">
      <x14:pivotCacheDefinition pivotCacheId="2170570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09.647770138887" createdVersion="8" refreshedVersion="8" minRefreshableVersion="3" recordCount="999" xr:uid="{4350F214-1FDA-47D6-89BE-BAF29C19B7EA}">
  <cacheSource type="worksheet">
    <worksheetSource name="Table1"/>
  </cacheSource>
  <cacheFields count="18">
    <cacheField name="index" numFmtId="0">
      <sharedItems containsSemiMixedTypes="0" containsString="0" containsNumber="1" containsInteger="1" minValue="0" maxValue="998"/>
    </cacheField>
    <cacheField name="Order ID" numFmtId="0">
      <sharedItems/>
    </cacheField>
    <cacheField name="Date" numFmtId="14">
      <sharedItems containsSemiMixedTypes="0" containsNonDate="0" containsDate="1" containsString="0" minDate="2023-01-01T00:00:00" maxDate="2025-01-01T00:00:00"/>
    </cacheField>
    <cacheField name="Month" numFmtId="0">
      <sharedItems count="12">
        <s v="March"/>
        <s v="November"/>
        <s v="September"/>
        <s v="August"/>
        <s v="February"/>
        <s v="October"/>
        <s v="June"/>
        <s v="January"/>
        <s v="April"/>
        <s v="May"/>
        <s v="July"/>
        <s v="December"/>
      </sharedItems>
    </cacheField>
    <cacheField name="Status" numFmtId="0">
      <sharedItems/>
    </cacheField>
    <cacheField name="Fulfilment" numFmtId="0">
      <sharedItems/>
    </cacheField>
    <cacheField name="Gender" numFmtId="0">
      <sharedItems count="2">
        <s v="Women"/>
        <s v="Men"/>
      </sharedItems>
    </cacheField>
    <cacheField name="Sales Channel" numFmtId="0">
      <sharedItems count="3">
        <s v="Myntra"/>
        <s v="Amazon"/>
        <s v="Flipkart"/>
      </sharedItems>
    </cacheField>
    <cacheField name="Age" numFmtId="0">
      <sharedItems containsSemiMixedTypes="0" containsString="0" containsNumber="1" containsInteger="1" minValue="18" maxValue="60"/>
    </cacheField>
    <cacheField name="SKU" numFmtId="0">
      <sharedItems/>
    </cacheField>
    <cacheField name="Category" numFmtId="0">
      <sharedItems count="8">
        <s v="Set"/>
        <s v="kurta"/>
        <s v="Western Dress"/>
        <s v="Top"/>
        <s v="Ethnic Dress"/>
        <s v="Bottom"/>
        <s v="Saree"/>
        <s v="Blouse"/>
      </sharedItems>
    </cacheField>
    <cacheField name="Size" numFmtId="0">
      <sharedItems/>
    </cacheField>
    <cacheField name="Qty" numFmtId="0">
      <sharedItems containsSemiMixedTypes="0" containsString="0" containsNumber="1" containsInteger="1" minValue="0" maxValue="15"/>
    </cacheField>
    <cacheField name="currency" numFmtId="0">
      <sharedItems containsBlank="1"/>
    </cacheField>
    <cacheField name="Amount" numFmtId="0">
      <sharedItems containsString="0" containsBlank="1" containsNumber="1" minValue="0" maxValue="2224"/>
    </cacheField>
    <cacheField name="ship-city" numFmtId="0">
      <sharedItems/>
    </cacheField>
    <cacheField name="ship-state" numFmtId="0">
      <sharedItems count="32">
        <s v="MAHARASHTRA"/>
        <s v="KARNATAKA"/>
        <s v="PUDUCHERRY"/>
        <s v="TAMIL NADU"/>
        <s v="UTTAR PRADESH"/>
        <s v="CHANDIGARH"/>
        <s v="TELANGANA"/>
        <s v="ANDHRA PRADESH"/>
        <s v="RAJASTHAN"/>
        <s v="DELHI"/>
        <s v="HARYANA"/>
        <s v="ASSAM"/>
        <s v="JHARKHAND"/>
        <s v="CHHATTISGARH"/>
        <s v="ODISHA"/>
        <s v="KERALA"/>
        <s v="MADHYA PRADESH"/>
        <s v="WEST BENGAL"/>
        <s v="NAGALAND"/>
        <s v="Gujarat"/>
        <s v="UTTARAKHAND"/>
        <s v="BIHAR"/>
        <s v="JAMMU &amp; KASHMIR"/>
        <s v="PUNJAB"/>
        <s v="HIMACHAL PRADESH"/>
        <s v="ARUNACHAL PRADESH"/>
        <s v="MANIPUR"/>
        <s v="Goa"/>
        <s v="MEGHALAYA"/>
        <s v="TRIPURA"/>
        <s v="LADAKH"/>
        <s v="DADRA AND NAGAR"/>
      </sharedItems>
    </cacheField>
    <cacheField name="ship-country" numFmtId="0">
      <sharedItems/>
    </cacheField>
  </cacheFields>
  <extLst>
    <ext xmlns:x14="http://schemas.microsoft.com/office/spreadsheetml/2009/9/main" uri="{725AE2AE-9491-48be-B2B4-4EB974FC3084}">
      <x14:pivotCacheDefinition pivotCacheId="14373912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0"/>
    <x v="0"/>
    <d v="2023-11-23T00:00:00"/>
    <x v="0"/>
    <x v="0"/>
    <s v="Merchant"/>
    <x v="0"/>
    <x v="0"/>
    <x v="0"/>
    <s v="SET389-KR-NP-S"/>
    <x v="0"/>
    <s v="S"/>
    <n v="0"/>
    <s v="INR"/>
    <n v="647.62"/>
    <x v="0"/>
    <x v="0"/>
    <s v="IN"/>
  </r>
  <r>
    <n v="1"/>
    <x v="1"/>
    <d v="2023-01-25T00:00:00"/>
    <x v="1"/>
    <x v="1"/>
    <s v="Merchant"/>
    <x v="1"/>
    <x v="0"/>
    <x v="1"/>
    <s v="JNE3781-KR-XXXL"/>
    <x v="1"/>
    <s v="3XL"/>
    <n v="1"/>
    <s v="INR"/>
    <n v="406"/>
    <x v="1"/>
    <x v="1"/>
    <s v="IN"/>
  </r>
  <r>
    <n v="2"/>
    <x v="2"/>
    <d v="2024-12-06T00:00:00"/>
    <x v="2"/>
    <x v="2"/>
    <s v="Amazon"/>
    <x v="1"/>
    <x v="1"/>
    <x v="2"/>
    <s v="JNE3371-KR-XL"/>
    <x v="1"/>
    <s v="XL"/>
    <n v="1"/>
    <s v="INR"/>
    <n v="329"/>
    <x v="2"/>
    <x v="0"/>
    <s v="IN"/>
  </r>
  <r>
    <n v="3"/>
    <x v="3"/>
    <d v="2023-01-17T00:00:00"/>
    <x v="1"/>
    <x v="0"/>
    <s v="Merchant"/>
    <x v="0"/>
    <x v="0"/>
    <x v="3"/>
    <s v="J0341-DR-L"/>
    <x v="2"/>
    <s v="L"/>
    <n v="0"/>
    <s v="INR"/>
    <n v="753.33"/>
    <x v="3"/>
    <x v="2"/>
    <s v="IN"/>
  </r>
  <r>
    <n v="4"/>
    <x v="4"/>
    <d v="2023-06-18T00:00:00"/>
    <x v="3"/>
    <x v="2"/>
    <s v="Amazon"/>
    <x v="0"/>
    <x v="1"/>
    <x v="4"/>
    <s v="JNE3671-TU-XXXL"/>
    <x v="3"/>
    <s v="3XL"/>
    <n v="1"/>
    <s v="INR"/>
    <n v="574"/>
    <x v="4"/>
    <x v="3"/>
    <s v="IN"/>
  </r>
  <r>
    <n v="5"/>
    <x v="5"/>
    <d v="2024-01-04T00:00:00"/>
    <x v="1"/>
    <x v="2"/>
    <s v="Amazon"/>
    <x v="0"/>
    <x v="1"/>
    <x v="5"/>
    <s v="SET264-KR-NP-XL"/>
    <x v="0"/>
    <s v="XL"/>
    <n v="1"/>
    <s v="INR"/>
    <n v="824"/>
    <x v="5"/>
    <x v="4"/>
    <s v="IN"/>
  </r>
  <r>
    <n v="6"/>
    <x v="6"/>
    <d v="2024-06-08T00:00:00"/>
    <x v="3"/>
    <x v="2"/>
    <s v="Amazon"/>
    <x v="0"/>
    <x v="1"/>
    <x v="6"/>
    <s v="J0095-SET-L"/>
    <x v="0"/>
    <s v="L"/>
    <n v="1"/>
    <s v="INR"/>
    <n v="653"/>
    <x v="6"/>
    <x v="5"/>
    <s v="IN"/>
  </r>
  <r>
    <n v="7"/>
    <x v="7"/>
    <d v="2023-05-22T00:00:00"/>
    <x v="4"/>
    <x v="1"/>
    <s v="Merchant"/>
    <x v="1"/>
    <x v="0"/>
    <x v="7"/>
    <s v="JNE3405-KR-S"/>
    <x v="1"/>
    <s v="S"/>
    <n v="1"/>
    <s v="INR"/>
    <n v="399"/>
    <x v="7"/>
    <x v="6"/>
    <s v="IN"/>
  </r>
  <r>
    <n v="8"/>
    <x v="8"/>
    <d v="2023-02-16T00:00:00"/>
    <x v="5"/>
    <x v="0"/>
    <s v="Amazon"/>
    <x v="0"/>
    <x v="1"/>
    <x v="1"/>
    <s v="SET200-KR-NP-A-XXXL"/>
    <x v="0"/>
    <s v="3XL"/>
    <n v="0"/>
    <m/>
    <m/>
    <x v="7"/>
    <x v="6"/>
    <s v="IN"/>
  </r>
  <r>
    <n v="9"/>
    <x v="9"/>
    <d v="2024-03-29T00:00:00"/>
    <x v="6"/>
    <x v="2"/>
    <s v="Amazon"/>
    <x v="1"/>
    <x v="1"/>
    <x v="8"/>
    <s v="JNE3461-KR-XXL"/>
    <x v="1"/>
    <s v="XXL"/>
    <n v="1"/>
    <s v="INR"/>
    <n v="363"/>
    <x v="4"/>
    <x v="3"/>
    <s v="IN"/>
  </r>
  <r>
    <n v="10"/>
    <x v="10"/>
    <d v="2024-08-25T00:00:00"/>
    <x v="7"/>
    <x v="2"/>
    <s v="Amazon"/>
    <x v="1"/>
    <x v="1"/>
    <x v="9"/>
    <s v="JNE3160-KR-G-S"/>
    <x v="1"/>
    <s v="S"/>
    <n v="1"/>
    <s v="INR"/>
    <n v="685"/>
    <x v="4"/>
    <x v="3"/>
    <s v="IN"/>
  </r>
  <r>
    <n v="11"/>
    <x v="11"/>
    <d v="2023-05-31T00:00:00"/>
    <x v="4"/>
    <x v="2"/>
    <s v="Amazon"/>
    <x v="1"/>
    <x v="1"/>
    <x v="10"/>
    <s v="JNE3500-KR-XS"/>
    <x v="1"/>
    <s v="XS"/>
    <n v="1"/>
    <s v="INR"/>
    <n v="364"/>
    <x v="8"/>
    <x v="4"/>
    <s v="IN"/>
  </r>
  <r>
    <n v="12"/>
    <x v="12"/>
    <d v="2023-09-09T00:00:00"/>
    <x v="8"/>
    <x v="1"/>
    <s v="Merchant"/>
    <x v="1"/>
    <x v="2"/>
    <x v="0"/>
    <s v="JNE3405-KR-XS"/>
    <x v="1"/>
    <s v="XS"/>
    <n v="1"/>
    <s v="INR"/>
    <n v="399"/>
    <x v="9"/>
    <x v="0"/>
    <s v="IN"/>
  </r>
  <r>
    <n v="13"/>
    <x v="13"/>
    <d v="2024-03-03T00:00:00"/>
    <x v="6"/>
    <x v="2"/>
    <s v="Amazon"/>
    <x v="0"/>
    <x v="1"/>
    <x v="11"/>
    <s v="SET182-KR-DH-XS"/>
    <x v="0"/>
    <s v="XS"/>
    <n v="1"/>
    <s v="INR"/>
    <n v="657"/>
    <x v="0"/>
    <x v="0"/>
    <s v="IN"/>
  </r>
  <r>
    <n v="14"/>
    <x v="14"/>
    <d v="2023-02-04T00:00:00"/>
    <x v="5"/>
    <x v="1"/>
    <s v="Merchant"/>
    <x v="0"/>
    <x v="2"/>
    <x v="12"/>
    <s v="J0351-SET-L"/>
    <x v="0"/>
    <s v="L"/>
    <n v="1"/>
    <s v="INR"/>
    <n v="771"/>
    <x v="0"/>
    <x v="0"/>
    <s v="IN"/>
  </r>
  <r>
    <n v="15"/>
    <x v="15"/>
    <d v="2024-08-31T00:00:00"/>
    <x v="7"/>
    <x v="1"/>
    <s v="Merchant"/>
    <x v="1"/>
    <x v="0"/>
    <x v="13"/>
    <s v="PJNE3368-KR-6XL"/>
    <x v="1"/>
    <s v="6XL"/>
    <n v="1"/>
    <s v="INR"/>
    <n v="544"/>
    <x v="10"/>
    <x v="7"/>
    <s v="IN"/>
  </r>
  <r>
    <n v="16"/>
    <x v="16"/>
    <d v="2024-04-07T00:00:00"/>
    <x v="9"/>
    <x v="2"/>
    <s v="Amazon"/>
    <x v="1"/>
    <x v="1"/>
    <x v="10"/>
    <s v="JNE3721-KR-XXL"/>
    <x v="1"/>
    <s v="XXL"/>
    <n v="1"/>
    <s v="INR"/>
    <n v="329"/>
    <x v="11"/>
    <x v="8"/>
    <s v="IN"/>
  </r>
  <r>
    <n v="17"/>
    <x v="17"/>
    <d v="2024-03-12T00:00:00"/>
    <x v="6"/>
    <x v="2"/>
    <s v="Amazon"/>
    <x v="1"/>
    <x v="1"/>
    <x v="14"/>
    <s v="JNE3405-KR-XL"/>
    <x v="1"/>
    <s v="XL"/>
    <n v="1"/>
    <s v="INR"/>
    <n v="399"/>
    <x v="12"/>
    <x v="9"/>
    <s v="IN"/>
  </r>
  <r>
    <n v="18"/>
    <x v="18"/>
    <d v="2024-12-20T00:00:00"/>
    <x v="2"/>
    <x v="1"/>
    <s v="Merchant"/>
    <x v="1"/>
    <x v="0"/>
    <x v="13"/>
    <s v="JNE3697-KR-XXL"/>
    <x v="1"/>
    <s v="XXL"/>
    <n v="1"/>
    <s v="INR"/>
    <n v="458"/>
    <x v="13"/>
    <x v="10"/>
    <s v="IN"/>
  </r>
  <r>
    <n v="19"/>
    <x v="19"/>
    <d v="2024-10-06T00:00:00"/>
    <x v="10"/>
    <x v="2"/>
    <s v="Amazon"/>
    <x v="0"/>
    <x v="1"/>
    <x v="11"/>
    <s v="SET254-KR-NP-XS"/>
    <x v="0"/>
    <s v="XS"/>
    <n v="1"/>
    <s v="INR"/>
    <n v="886"/>
    <x v="1"/>
    <x v="1"/>
    <s v="IN"/>
  </r>
  <r>
    <n v="20"/>
    <x v="20"/>
    <d v="2024-11-26T00:00:00"/>
    <x v="0"/>
    <x v="2"/>
    <s v="Amazon"/>
    <x v="1"/>
    <x v="1"/>
    <x v="15"/>
    <s v="JNE3795-KR-XXXL"/>
    <x v="1"/>
    <s v="3XL"/>
    <n v="1"/>
    <s v="INR"/>
    <n v="517"/>
    <x v="14"/>
    <x v="3"/>
    <s v="IN"/>
  </r>
  <r>
    <n v="21"/>
    <x v="21"/>
    <d v="2024-07-12T00:00:00"/>
    <x v="11"/>
    <x v="2"/>
    <s v="Amazon"/>
    <x v="0"/>
    <x v="1"/>
    <x v="16"/>
    <s v="SET345-KR-NP-M"/>
    <x v="0"/>
    <s v="M"/>
    <n v="1"/>
    <s v="INR"/>
    <n v="666"/>
    <x v="1"/>
    <x v="1"/>
    <s v="IN"/>
  </r>
  <r>
    <n v="22"/>
    <x v="22"/>
    <d v="2024-03-14T00:00:00"/>
    <x v="6"/>
    <x v="2"/>
    <s v="Amazon"/>
    <x v="1"/>
    <x v="1"/>
    <x v="10"/>
    <s v="JNE3373-KR-L"/>
    <x v="1"/>
    <s v="L"/>
    <n v="1"/>
    <s v="INR"/>
    <n v="376"/>
    <x v="7"/>
    <x v="6"/>
    <s v="IN"/>
  </r>
  <r>
    <n v="23"/>
    <x v="23"/>
    <d v="2024-02-11T00:00:00"/>
    <x v="5"/>
    <x v="0"/>
    <s v="Merchant"/>
    <x v="0"/>
    <x v="0"/>
    <x v="17"/>
    <s v="SET291-KR-PP-M"/>
    <x v="0"/>
    <s v="M"/>
    <n v="0"/>
    <s v="INR"/>
    <n v="570.48"/>
    <x v="15"/>
    <x v="0"/>
    <s v="IN"/>
  </r>
  <r>
    <n v="24"/>
    <x v="24"/>
    <d v="2023-12-29T00:00:00"/>
    <x v="2"/>
    <x v="2"/>
    <s v="Amazon"/>
    <x v="1"/>
    <x v="1"/>
    <x v="15"/>
    <s v="MEN5002-KR-L"/>
    <x v="1"/>
    <s v="L"/>
    <n v="1"/>
    <s v="INR"/>
    <n v="499"/>
    <x v="16"/>
    <x v="11"/>
    <s v="IN"/>
  </r>
  <r>
    <n v="25"/>
    <x v="25"/>
    <d v="2024-06-13T00:00:00"/>
    <x v="3"/>
    <x v="1"/>
    <s v="Merchant"/>
    <x v="0"/>
    <x v="2"/>
    <x v="18"/>
    <s v="NW030-TP-PJ-XS"/>
    <x v="0"/>
    <s v="XS"/>
    <n v="1"/>
    <s v="INR"/>
    <n v="582"/>
    <x v="17"/>
    <x v="12"/>
    <s v="IN"/>
  </r>
  <r>
    <n v="26"/>
    <x v="26"/>
    <d v="2024-07-05T00:00:00"/>
    <x v="11"/>
    <x v="1"/>
    <s v="Merchant"/>
    <x v="1"/>
    <x v="0"/>
    <x v="16"/>
    <s v="JNE3415-KR-XXXL"/>
    <x v="1"/>
    <s v="3XL"/>
    <n v="1"/>
    <s v="INR"/>
    <n v="299"/>
    <x v="18"/>
    <x v="13"/>
    <s v="IN"/>
  </r>
  <r>
    <n v="27"/>
    <x v="27"/>
    <d v="2024-10-09T00:00:00"/>
    <x v="10"/>
    <x v="2"/>
    <s v="Amazon"/>
    <x v="1"/>
    <x v="1"/>
    <x v="19"/>
    <s v="PJNE2199-KR-N-4XL"/>
    <x v="1"/>
    <s v="4XL"/>
    <n v="1"/>
    <s v="INR"/>
    <n v="459"/>
    <x v="15"/>
    <x v="0"/>
    <s v="IN"/>
  </r>
  <r>
    <n v="28"/>
    <x v="28"/>
    <d v="2024-07-26T00:00:00"/>
    <x v="11"/>
    <x v="2"/>
    <s v="Amazon"/>
    <x v="1"/>
    <x v="1"/>
    <x v="16"/>
    <s v="JNE3567-KR-M"/>
    <x v="1"/>
    <s v="M"/>
    <n v="1"/>
    <s v="INR"/>
    <n v="399"/>
    <x v="1"/>
    <x v="1"/>
    <s v="IN"/>
  </r>
  <r>
    <n v="29"/>
    <x v="29"/>
    <d v="2023-12-20T00:00:00"/>
    <x v="2"/>
    <x v="0"/>
    <s v="Merchant"/>
    <x v="1"/>
    <x v="0"/>
    <x v="20"/>
    <s v="JNE2132-KR-398-XXXL"/>
    <x v="1"/>
    <s v="3XL"/>
    <n v="0"/>
    <m/>
    <m/>
    <x v="19"/>
    <x v="11"/>
    <s v="IN"/>
  </r>
  <r>
    <n v="30"/>
    <x v="30"/>
    <d v="2024-07-05T00:00:00"/>
    <x v="11"/>
    <x v="2"/>
    <s v="Amazon"/>
    <x v="0"/>
    <x v="1"/>
    <x v="11"/>
    <s v="J0341-DR-S"/>
    <x v="2"/>
    <s v="S"/>
    <n v="1"/>
    <s v="INR"/>
    <n v="791"/>
    <x v="20"/>
    <x v="3"/>
    <s v="IN"/>
  </r>
  <r>
    <n v="31"/>
    <x v="31"/>
    <d v="2023-07-17T00:00:00"/>
    <x v="11"/>
    <x v="2"/>
    <s v="Amazon"/>
    <x v="1"/>
    <x v="1"/>
    <x v="21"/>
    <s v="MEN5009-KR-XL"/>
    <x v="1"/>
    <s v="XL"/>
    <n v="1"/>
    <s v="INR"/>
    <n v="499"/>
    <x v="21"/>
    <x v="4"/>
    <s v="IN"/>
  </r>
  <r>
    <n v="32"/>
    <x v="32"/>
    <d v="2023-05-12T00:00:00"/>
    <x v="4"/>
    <x v="1"/>
    <s v="Merchant"/>
    <x v="0"/>
    <x v="0"/>
    <x v="22"/>
    <s v="J0011-LCD-M"/>
    <x v="0"/>
    <s v="M"/>
    <n v="1"/>
    <s v="INR"/>
    <n v="1233"/>
    <x v="22"/>
    <x v="7"/>
    <s v="IN"/>
  </r>
  <r>
    <n v="33"/>
    <x v="33"/>
    <d v="2023-01-03T00:00:00"/>
    <x v="1"/>
    <x v="1"/>
    <s v="Merchant"/>
    <x v="1"/>
    <x v="0"/>
    <x v="10"/>
    <s v="JNE3766-KR-M"/>
    <x v="1"/>
    <s v="M"/>
    <n v="1"/>
    <s v="INR"/>
    <n v="517"/>
    <x v="23"/>
    <x v="14"/>
    <s v="IN"/>
  </r>
  <r>
    <n v="34"/>
    <x v="34"/>
    <d v="2023-03-17T00:00:00"/>
    <x v="6"/>
    <x v="2"/>
    <s v="Amazon"/>
    <x v="1"/>
    <x v="1"/>
    <x v="12"/>
    <s v="JNE3373-KR-XL"/>
    <x v="1"/>
    <s v="XL"/>
    <n v="1"/>
    <s v="INR"/>
    <n v="376"/>
    <x v="7"/>
    <x v="6"/>
    <s v="IN"/>
  </r>
  <r>
    <n v="35"/>
    <x v="35"/>
    <d v="2024-12-11T00:00:00"/>
    <x v="2"/>
    <x v="1"/>
    <s v="Merchant"/>
    <x v="1"/>
    <x v="2"/>
    <x v="23"/>
    <s v="MEN5001-KR-XL"/>
    <x v="1"/>
    <s v="XL"/>
    <n v="1"/>
    <s v="INR"/>
    <n v="499"/>
    <x v="21"/>
    <x v="4"/>
    <s v="IN"/>
  </r>
  <r>
    <n v="36"/>
    <x v="36"/>
    <d v="2023-06-05T00:00:00"/>
    <x v="3"/>
    <x v="2"/>
    <s v="Amazon"/>
    <x v="0"/>
    <x v="1"/>
    <x v="17"/>
    <s v="SET345-KR-NP-L"/>
    <x v="0"/>
    <s v="L"/>
    <n v="1"/>
    <s v="INR"/>
    <n v="666"/>
    <x v="4"/>
    <x v="3"/>
    <s v="IN"/>
  </r>
  <r>
    <n v="37"/>
    <x v="37"/>
    <d v="2024-10-23T00:00:00"/>
    <x v="10"/>
    <x v="2"/>
    <s v="Amazon"/>
    <x v="1"/>
    <x v="1"/>
    <x v="12"/>
    <s v="JNE3787-KR-S"/>
    <x v="1"/>
    <s v="S"/>
    <n v="1"/>
    <s v="INR"/>
    <n v="487"/>
    <x v="12"/>
    <x v="9"/>
    <s v="IN"/>
  </r>
  <r>
    <n v="38"/>
    <x v="37"/>
    <d v="2024-05-28T00:00:00"/>
    <x v="4"/>
    <x v="2"/>
    <s v="Amazon"/>
    <x v="1"/>
    <x v="1"/>
    <x v="20"/>
    <s v="JNE3543-KR-S"/>
    <x v="1"/>
    <s v="S"/>
    <n v="1"/>
    <s v="INR"/>
    <n v="368"/>
    <x v="12"/>
    <x v="9"/>
    <s v="IN"/>
  </r>
  <r>
    <n v="39"/>
    <x v="38"/>
    <d v="2023-12-19T00:00:00"/>
    <x v="2"/>
    <x v="2"/>
    <s v="Amazon"/>
    <x v="1"/>
    <x v="1"/>
    <x v="24"/>
    <s v="JNE3405-KR-L"/>
    <x v="1"/>
    <s v="L"/>
    <n v="1"/>
    <s v="INR"/>
    <n v="399"/>
    <x v="24"/>
    <x v="15"/>
    <s v="IN"/>
  </r>
  <r>
    <n v="40"/>
    <x v="39"/>
    <d v="2023-10-13T00:00:00"/>
    <x v="10"/>
    <x v="2"/>
    <s v="Amazon"/>
    <x v="0"/>
    <x v="1"/>
    <x v="14"/>
    <s v="J0211-DR-XXL"/>
    <x v="4"/>
    <s v="XXL"/>
    <n v="1"/>
    <s v="INR"/>
    <n v="699"/>
    <x v="25"/>
    <x v="4"/>
    <s v="IN"/>
  </r>
  <r>
    <n v="41"/>
    <x v="40"/>
    <d v="2023-01-20T00:00:00"/>
    <x v="1"/>
    <x v="2"/>
    <s v="Amazon"/>
    <x v="0"/>
    <x v="1"/>
    <x v="25"/>
    <s v="J0401-DR-XXXL"/>
    <x v="2"/>
    <s v="3XL"/>
    <n v="1"/>
    <s v="INR"/>
    <n v="885"/>
    <x v="26"/>
    <x v="16"/>
    <s v="IN"/>
  </r>
  <r>
    <n v="42"/>
    <x v="41"/>
    <d v="2023-10-06T00:00:00"/>
    <x v="10"/>
    <x v="1"/>
    <s v="Merchant"/>
    <x v="1"/>
    <x v="0"/>
    <x v="8"/>
    <s v="JNE2153-KR-278-A-M"/>
    <x v="1"/>
    <s v="M"/>
    <n v="1"/>
    <s v="INR"/>
    <n v="424"/>
    <x v="0"/>
    <x v="0"/>
    <s v="IN"/>
  </r>
  <r>
    <n v="43"/>
    <x v="42"/>
    <d v="2024-01-27T00:00:00"/>
    <x v="1"/>
    <x v="2"/>
    <s v="Amazon"/>
    <x v="0"/>
    <x v="1"/>
    <x v="26"/>
    <s v="SET360-KR-NP-M"/>
    <x v="0"/>
    <s v="M"/>
    <n v="1"/>
    <s v="INR"/>
    <n v="1126"/>
    <x v="21"/>
    <x v="4"/>
    <s v="IN"/>
  </r>
  <r>
    <n v="44"/>
    <x v="43"/>
    <d v="2023-10-11T00:00:00"/>
    <x v="10"/>
    <x v="2"/>
    <s v="Amazon"/>
    <x v="0"/>
    <x v="1"/>
    <x v="23"/>
    <s v="SET268-KR-NP-L"/>
    <x v="0"/>
    <s v="L"/>
    <n v="1"/>
    <s v="INR"/>
    <n v="788"/>
    <x v="0"/>
    <x v="0"/>
    <s v="IN"/>
  </r>
  <r>
    <n v="45"/>
    <x v="44"/>
    <d v="2023-02-06T00:00:00"/>
    <x v="5"/>
    <x v="2"/>
    <s v="Amazon"/>
    <x v="0"/>
    <x v="1"/>
    <x v="27"/>
    <s v="SET183-KR-DH-S"/>
    <x v="0"/>
    <s v="S"/>
    <n v="1"/>
    <s v="INR"/>
    <n v="759"/>
    <x v="27"/>
    <x v="17"/>
    <s v="IN"/>
  </r>
  <r>
    <n v="46"/>
    <x v="45"/>
    <d v="2024-06-24T00:00:00"/>
    <x v="3"/>
    <x v="2"/>
    <s v="Amazon"/>
    <x v="0"/>
    <x v="1"/>
    <x v="7"/>
    <s v="J0230-SKD-L"/>
    <x v="0"/>
    <s v="L"/>
    <n v="1"/>
    <s v="INR"/>
    <n v="1146"/>
    <x v="28"/>
    <x v="7"/>
    <s v="IN"/>
  </r>
  <r>
    <n v="47"/>
    <x v="46"/>
    <d v="2024-01-04T00:00:00"/>
    <x v="1"/>
    <x v="2"/>
    <s v="Amazon"/>
    <x v="0"/>
    <x v="1"/>
    <x v="20"/>
    <s v="JNE3744-TU-S"/>
    <x v="3"/>
    <s v="S"/>
    <n v="1"/>
    <s v="INR"/>
    <n v="665"/>
    <x v="29"/>
    <x v="6"/>
    <s v="IN"/>
  </r>
  <r>
    <n v="48"/>
    <x v="47"/>
    <d v="2024-01-11T00:00:00"/>
    <x v="1"/>
    <x v="2"/>
    <s v="Amazon"/>
    <x v="1"/>
    <x v="1"/>
    <x v="28"/>
    <s v="JNE3510-KR-S"/>
    <x v="1"/>
    <s v="S"/>
    <n v="1"/>
    <s v="INR"/>
    <n v="429"/>
    <x v="7"/>
    <x v="6"/>
    <s v="IN"/>
  </r>
  <r>
    <n v="49"/>
    <x v="48"/>
    <d v="2024-02-19T00:00:00"/>
    <x v="5"/>
    <x v="1"/>
    <s v="Merchant"/>
    <x v="1"/>
    <x v="2"/>
    <x v="12"/>
    <s v="JNE3405-KR-M"/>
    <x v="1"/>
    <s v="M"/>
    <n v="1"/>
    <s v="INR"/>
    <n v="399"/>
    <x v="30"/>
    <x v="4"/>
    <s v="IN"/>
  </r>
  <r>
    <n v="50"/>
    <x v="49"/>
    <d v="2023-11-05T00:00:00"/>
    <x v="0"/>
    <x v="2"/>
    <s v="Amazon"/>
    <x v="0"/>
    <x v="1"/>
    <x v="9"/>
    <s v="J0186-SET-S"/>
    <x v="0"/>
    <s v="S"/>
    <n v="1"/>
    <s v="INR"/>
    <n v="848"/>
    <x v="31"/>
    <x v="14"/>
    <s v="IN"/>
  </r>
  <r>
    <n v="51"/>
    <x v="50"/>
    <d v="2024-04-24T00:00:00"/>
    <x v="9"/>
    <x v="2"/>
    <s v="Amazon"/>
    <x v="0"/>
    <x v="1"/>
    <x v="29"/>
    <s v="J0003-SET-M"/>
    <x v="0"/>
    <s v="M"/>
    <n v="1"/>
    <s v="INR"/>
    <n v="654"/>
    <x v="32"/>
    <x v="0"/>
    <s v="IN"/>
  </r>
  <r>
    <n v="52"/>
    <x v="51"/>
    <d v="2023-01-01T00:00:00"/>
    <x v="1"/>
    <x v="2"/>
    <s v="Amazon"/>
    <x v="0"/>
    <x v="1"/>
    <x v="5"/>
    <s v="SET282-KR-PP-M"/>
    <x v="0"/>
    <s v="M"/>
    <n v="1"/>
    <s v="INR"/>
    <n v="1033"/>
    <x v="33"/>
    <x v="18"/>
    <s v="IN"/>
  </r>
  <r>
    <n v="53"/>
    <x v="52"/>
    <d v="2023-10-04T00:00:00"/>
    <x v="10"/>
    <x v="2"/>
    <s v="Amazon"/>
    <x v="1"/>
    <x v="1"/>
    <x v="2"/>
    <s v="JNE1407-BLACK-KR-UDF18-XL"/>
    <x v="1"/>
    <s v="XL"/>
    <n v="1"/>
    <s v="INR"/>
    <n v="390"/>
    <x v="1"/>
    <x v="1"/>
    <s v="IN"/>
  </r>
  <r>
    <n v="54"/>
    <x v="53"/>
    <d v="2024-04-09T00:00:00"/>
    <x v="9"/>
    <x v="2"/>
    <s v="Amazon"/>
    <x v="0"/>
    <x v="1"/>
    <x v="30"/>
    <s v="J0301-TP-L"/>
    <x v="3"/>
    <s v="L"/>
    <n v="1"/>
    <s v="INR"/>
    <n v="493"/>
    <x v="1"/>
    <x v="1"/>
    <s v="IN"/>
  </r>
  <r>
    <n v="55"/>
    <x v="54"/>
    <d v="2024-12-04T00:00:00"/>
    <x v="2"/>
    <x v="2"/>
    <s v="Amazon"/>
    <x v="0"/>
    <x v="1"/>
    <x v="31"/>
    <s v="JNE3869-DR-S"/>
    <x v="2"/>
    <s v="S"/>
    <n v="1"/>
    <s v="INR"/>
    <n v="721"/>
    <x v="34"/>
    <x v="6"/>
    <s v="IN"/>
  </r>
  <r>
    <n v="56"/>
    <x v="55"/>
    <d v="2023-12-09T00:00:00"/>
    <x v="2"/>
    <x v="2"/>
    <s v="Amazon"/>
    <x v="0"/>
    <x v="1"/>
    <x v="28"/>
    <s v="SET324-KR-NP-XS"/>
    <x v="0"/>
    <s v="XS"/>
    <n v="1"/>
    <s v="INR"/>
    <n v="597"/>
    <x v="35"/>
    <x v="8"/>
    <s v="IN"/>
  </r>
  <r>
    <n v="57"/>
    <x v="56"/>
    <d v="2024-01-21T00:00:00"/>
    <x v="1"/>
    <x v="2"/>
    <s v="Amazon"/>
    <x v="1"/>
    <x v="1"/>
    <x v="18"/>
    <s v="JNE3405-KR-L"/>
    <x v="1"/>
    <s v="L"/>
    <n v="1"/>
    <s v="INR"/>
    <n v="399"/>
    <x v="19"/>
    <x v="11"/>
    <s v="IN"/>
  </r>
  <r>
    <n v="58"/>
    <x v="57"/>
    <d v="2023-06-16T00:00:00"/>
    <x v="3"/>
    <x v="2"/>
    <s v="Amazon"/>
    <x v="0"/>
    <x v="1"/>
    <x v="32"/>
    <s v="SET279-LC-S"/>
    <x v="0"/>
    <s v="S"/>
    <n v="1"/>
    <s v="INR"/>
    <n v="888"/>
    <x v="1"/>
    <x v="1"/>
    <s v="IN"/>
  </r>
  <r>
    <n v="59"/>
    <x v="58"/>
    <d v="2024-01-17T00:00:00"/>
    <x v="1"/>
    <x v="2"/>
    <s v="Amazon"/>
    <x v="1"/>
    <x v="1"/>
    <x v="3"/>
    <s v="JNE2014-KR-178-XXL"/>
    <x v="1"/>
    <s v="XXL"/>
    <n v="1"/>
    <s v="INR"/>
    <n v="353"/>
    <x v="7"/>
    <x v="6"/>
    <s v="IN"/>
  </r>
  <r>
    <n v="60"/>
    <x v="59"/>
    <d v="2023-04-10T00:00:00"/>
    <x v="9"/>
    <x v="1"/>
    <s v="Merchant"/>
    <x v="0"/>
    <x v="0"/>
    <x v="16"/>
    <s v="NW005-ST-PJ-XL"/>
    <x v="0"/>
    <s v="XL"/>
    <n v="1"/>
    <s v="INR"/>
    <n v="599"/>
    <x v="1"/>
    <x v="1"/>
    <s v="IN"/>
  </r>
  <r>
    <n v="61"/>
    <x v="60"/>
    <d v="2024-05-31T00:00:00"/>
    <x v="4"/>
    <x v="2"/>
    <s v="Amazon"/>
    <x v="1"/>
    <x v="1"/>
    <x v="13"/>
    <s v="JNE2270-KR-487-A-M"/>
    <x v="1"/>
    <s v="M"/>
    <n v="1"/>
    <s v="INR"/>
    <n v="518"/>
    <x v="36"/>
    <x v="0"/>
    <s v="IN"/>
  </r>
  <r>
    <n v="62"/>
    <x v="60"/>
    <d v="2024-07-29T00:00:00"/>
    <x v="11"/>
    <x v="2"/>
    <s v="Amazon"/>
    <x v="1"/>
    <x v="1"/>
    <x v="33"/>
    <s v="JNE3579-KR-M"/>
    <x v="1"/>
    <s v="M"/>
    <n v="1"/>
    <s v="INR"/>
    <n v="295"/>
    <x v="36"/>
    <x v="0"/>
    <s v="IN"/>
  </r>
  <r>
    <n v="63"/>
    <x v="61"/>
    <d v="2024-02-26T00:00:00"/>
    <x v="5"/>
    <x v="2"/>
    <s v="Amazon"/>
    <x v="0"/>
    <x v="1"/>
    <x v="15"/>
    <s v="SET347-KR-NP-XS"/>
    <x v="0"/>
    <s v="XS"/>
    <n v="1"/>
    <s v="INR"/>
    <n v="852"/>
    <x v="25"/>
    <x v="4"/>
    <s v="IN"/>
  </r>
  <r>
    <n v="64"/>
    <x v="62"/>
    <d v="2023-12-19T00:00:00"/>
    <x v="2"/>
    <x v="2"/>
    <s v="Amazon"/>
    <x v="0"/>
    <x v="1"/>
    <x v="16"/>
    <s v="SET264-KR-NP-M"/>
    <x v="0"/>
    <s v="M"/>
    <n v="1"/>
    <s v="INR"/>
    <n v="824"/>
    <x v="37"/>
    <x v="0"/>
    <s v="IN"/>
  </r>
  <r>
    <n v="65"/>
    <x v="63"/>
    <d v="2024-09-22T00:00:00"/>
    <x v="8"/>
    <x v="0"/>
    <s v="Amazon"/>
    <x v="1"/>
    <x v="1"/>
    <x v="14"/>
    <s v="JNE3373-KR-XXL"/>
    <x v="1"/>
    <s v="XXL"/>
    <n v="0"/>
    <m/>
    <m/>
    <x v="38"/>
    <x v="19"/>
    <s v="IN"/>
  </r>
  <r>
    <n v="66"/>
    <x v="64"/>
    <d v="2024-07-22T00:00:00"/>
    <x v="11"/>
    <x v="2"/>
    <s v="Amazon"/>
    <x v="0"/>
    <x v="1"/>
    <x v="26"/>
    <s v="SET333-KR-DPT-XXL"/>
    <x v="0"/>
    <s v="XXL"/>
    <n v="1"/>
    <s v="INR"/>
    <n v="909"/>
    <x v="17"/>
    <x v="12"/>
    <s v="IN"/>
  </r>
  <r>
    <n v="67"/>
    <x v="65"/>
    <d v="2024-06-09T00:00:00"/>
    <x v="3"/>
    <x v="2"/>
    <s v="Amazon"/>
    <x v="0"/>
    <x v="1"/>
    <x v="34"/>
    <s v="JNE3645-TP-N-L"/>
    <x v="3"/>
    <s v="L"/>
    <n v="1"/>
    <s v="INR"/>
    <n v="432"/>
    <x v="15"/>
    <x v="0"/>
    <s v="IN"/>
  </r>
  <r>
    <n v="68"/>
    <x v="66"/>
    <d v="2023-05-13T00:00:00"/>
    <x v="4"/>
    <x v="2"/>
    <s v="Amazon"/>
    <x v="0"/>
    <x v="1"/>
    <x v="35"/>
    <s v="SET233-KR-PP-L"/>
    <x v="0"/>
    <s v="L"/>
    <n v="1"/>
    <s v="INR"/>
    <n v="545"/>
    <x v="1"/>
    <x v="1"/>
    <s v="IN"/>
  </r>
  <r>
    <n v="69"/>
    <x v="67"/>
    <d v="2024-02-12T00:00:00"/>
    <x v="5"/>
    <x v="2"/>
    <s v="Amazon"/>
    <x v="0"/>
    <x v="1"/>
    <x v="1"/>
    <s v="J0381-SKD-XXXL"/>
    <x v="0"/>
    <s v="3XL"/>
    <n v="1"/>
    <s v="INR"/>
    <n v="1146"/>
    <x v="39"/>
    <x v="1"/>
    <s v="IN"/>
  </r>
  <r>
    <n v="70"/>
    <x v="68"/>
    <d v="2024-10-23T00:00:00"/>
    <x v="10"/>
    <x v="1"/>
    <s v="Merchant"/>
    <x v="1"/>
    <x v="2"/>
    <x v="13"/>
    <s v="JNE3068-KR-A-XL"/>
    <x v="1"/>
    <s v="XL"/>
    <n v="1"/>
    <s v="INR"/>
    <n v="696"/>
    <x v="4"/>
    <x v="3"/>
    <s v="IN"/>
  </r>
  <r>
    <n v="71"/>
    <x v="69"/>
    <d v="2024-10-23T00:00:00"/>
    <x v="10"/>
    <x v="2"/>
    <s v="Amazon"/>
    <x v="1"/>
    <x v="1"/>
    <x v="13"/>
    <s v="JNE3718-KR-M"/>
    <x v="1"/>
    <s v="M"/>
    <n v="1"/>
    <s v="INR"/>
    <n v="432"/>
    <x v="0"/>
    <x v="0"/>
    <s v="IN"/>
  </r>
  <r>
    <n v="72"/>
    <x v="70"/>
    <d v="2024-12-21T00:00:00"/>
    <x v="2"/>
    <x v="1"/>
    <s v="Merchant"/>
    <x v="0"/>
    <x v="0"/>
    <x v="3"/>
    <s v="SET386-KR-NP-S"/>
    <x v="0"/>
    <s v="S"/>
    <n v="1"/>
    <s v="INR"/>
    <n v="631"/>
    <x v="40"/>
    <x v="1"/>
    <s v="IN"/>
  </r>
  <r>
    <n v="73"/>
    <x v="71"/>
    <d v="2023-11-24T00:00:00"/>
    <x v="0"/>
    <x v="2"/>
    <s v="Amazon"/>
    <x v="1"/>
    <x v="1"/>
    <x v="24"/>
    <s v="JNE3745-KR-XXL"/>
    <x v="1"/>
    <s v="XXL"/>
    <n v="1"/>
    <s v="INR"/>
    <n v="316"/>
    <x v="1"/>
    <x v="1"/>
    <s v="IN"/>
  </r>
  <r>
    <n v="74"/>
    <x v="72"/>
    <d v="2024-10-06T00:00:00"/>
    <x v="10"/>
    <x v="1"/>
    <s v="Merchant"/>
    <x v="1"/>
    <x v="2"/>
    <x v="34"/>
    <s v="JNE3467-KR-XL"/>
    <x v="1"/>
    <s v="XL"/>
    <n v="1"/>
    <s v="INR"/>
    <n v="362"/>
    <x v="41"/>
    <x v="14"/>
    <s v="IN"/>
  </r>
  <r>
    <n v="75"/>
    <x v="73"/>
    <d v="2023-04-11T00:00:00"/>
    <x v="9"/>
    <x v="2"/>
    <s v="Amazon"/>
    <x v="1"/>
    <x v="1"/>
    <x v="36"/>
    <s v="JNE3721-KR-L"/>
    <x v="1"/>
    <s v="L"/>
    <n v="1"/>
    <s v="INR"/>
    <n v="329"/>
    <x v="7"/>
    <x v="6"/>
    <s v="IN"/>
  </r>
  <r>
    <n v="76"/>
    <x v="74"/>
    <d v="2024-02-12T00:00:00"/>
    <x v="5"/>
    <x v="2"/>
    <s v="Amazon"/>
    <x v="1"/>
    <x v="1"/>
    <x v="18"/>
    <s v="JNE3405-KR-XXL"/>
    <x v="1"/>
    <s v="XXL"/>
    <n v="1"/>
    <s v="INR"/>
    <n v="399"/>
    <x v="15"/>
    <x v="0"/>
    <s v="IN"/>
  </r>
  <r>
    <n v="77"/>
    <x v="75"/>
    <d v="2024-05-23T00:00:00"/>
    <x v="4"/>
    <x v="2"/>
    <s v="Amazon"/>
    <x v="0"/>
    <x v="1"/>
    <x v="0"/>
    <s v="SET295-KR-NP-XXXL"/>
    <x v="0"/>
    <s v="3XL"/>
    <n v="1"/>
    <s v="INR"/>
    <n v="751"/>
    <x v="16"/>
    <x v="11"/>
    <s v="IN"/>
  </r>
  <r>
    <n v="78"/>
    <x v="76"/>
    <d v="2023-06-23T00:00:00"/>
    <x v="3"/>
    <x v="2"/>
    <s v="Amazon"/>
    <x v="0"/>
    <x v="1"/>
    <x v="7"/>
    <s v="JNE3861-DR-XL"/>
    <x v="2"/>
    <s v="XL"/>
    <n v="1"/>
    <s v="INR"/>
    <n v="791"/>
    <x v="42"/>
    <x v="19"/>
    <s v="IN"/>
  </r>
  <r>
    <n v="79"/>
    <x v="77"/>
    <d v="2023-06-01T00:00:00"/>
    <x v="3"/>
    <x v="2"/>
    <s v="Amazon"/>
    <x v="0"/>
    <x v="1"/>
    <x v="13"/>
    <s v="SET288-KR-NP-XXXL"/>
    <x v="0"/>
    <s v="3XL"/>
    <n v="1"/>
    <s v="INR"/>
    <n v="684"/>
    <x v="27"/>
    <x v="17"/>
    <s v="IN"/>
  </r>
  <r>
    <n v="80"/>
    <x v="77"/>
    <d v="2023-09-30T00:00:00"/>
    <x v="8"/>
    <x v="2"/>
    <s v="Amazon"/>
    <x v="0"/>
    <x v="1"/>
    <x v="17"/>
    <s v="SET394-KR-NP-XXXL"/>
    <x v="0"/>
    <s v="3XL"/>
    <n v="1"/>
    <s v="INR"/>
    <n v="1281"/>
    <x v="27"/>
    <x v="17"/>
    <s v="IN"/>
  </r>
  <r>
    <n v="81"/>
    <x v="77"/>
    <d v="2023-09-08T00:00:00"/>
    <x v="8"/>
    <x v="2"/>
    <s v="Amazon"/>
    <x v="0"/>
    <x v="1"/>
    <x v="15"/>
    <s v="SET397-KR-NP-XXXL"/>
    <x v="0"/>
    <s v="3XL"/>
    <n v="1"/>
    <s v="INR"/>
    <n v="1186"/>
    <x v="27"/>
    <x v="17"/>
    <s v="IN"/>
  </r>
  <r>
    <n v="82"/>
    <x v="78"/>
    <d v="2024-06-25T00:00:00"/>
    <x v="3"/>
    <x v="2"/>
    <s v="Amazon"/>
    <x v="1"/>
    <x v="1"/>
    <x v="21"/>
    <s v="MEN5002-KR-XXL"/>
    <x v="1"/>
    <s v="XXL"/>
    <n v="1"/>
    <s v="INR"/>
    <n v="499"/>
    <x v="7"/>
    <x v="6"/>
    <s v="IN"/>
  </r>
  <r>
    <n v="83"/>
    <x v="79"/>
    <d v="2023-04-05T00:00:00"/>
    <x v="9"/>
    <x v="0"/>
    <s v="Merchant"/>
    <x v="0"/>
    <x v="0"/>
    <x v="6"/>
    <s v="SET377-KR-NP-M"/>
    <x v="0"/>
    <s v="M"/>
    <n v="0"/>
    <s v="INR"/>
    <n v="1105.3599999999999"/>
    <x v="43"/>
    <x v="20"/>
    <s v="IN"/>
  </r>
  <r>
    <n v="84"/>
    <x v="80"/>
    <d v="2023-10-08T00:00:00"/>
    <x v="10"/>
    <x v="0"/>
    <s v="Amazon"/>
    <x v="1"/>
    <x v="1"/>
    <x v="17"/>
    <s v="JNE3510-KR-M"/>
    <x v="1"/>
    <s v="M"/>
    <n v="0"/>
    <m/>
    <m/>
    <x v="7"/>
    <x v="6"/>
    <s v="IN"/>
  </r>
  <r>
    <n v="85"/>
    <x v="81"/>
    <d v="2023-01-29T00:00:00"/>
    <x v="1"/>
    <x v="1"/>
    <s v="Merchant"/>
    <x v="2"/>
    <x v="2"/>
    <x v="10"/>
    <s v="BTM038-PP-XXXL"/>
    <x v="5"/>
    <s v="3XL"/>
    <n v="1"/>
    <s v="INR"/>
    <n v="377"/>
    <x v="27"/>
    <x v="17"/>
    <s v="IN"/>
  </r>
  <r>
    <n v="86"/>
    <x v="82"/>
    <d v="2023-12-03T00:00:00"/>
    <x v="2"/>
    <x v="2"/>
    <s v="Amazon"/>
    <x v="0"/>
    <x v="1"/>
    <x v="6"/>
    <s v="J0343-DR-M"/>
    <x v="2"/>
    <s v="M"/>
    <n v="1"/>
    <s v="INR"/>
    <n v="744"/>
    <x v="44"/>
    <x v="3"/>
    <s v="IN"/>
  </r>
  <r>
    <n v="87"/>
    <x v="83"/>
    <d v="2023-08-06T00:00:00"/>
    <x v="7"/>
    <x v="2"/>
    <s v="Amazon"/>
    <x v="0"/>
    <x v="1"/>
    <x v="19"/>
    <s v="J0341-DR-XL"/>
    <x v="2"/>
    <s v="XL"/>
    <n v="1"/>
    <s v="INR"/>
    <n v="744"/>
    <x v="43"/>
    <x v="20"/>
    <s v="IN"/>
  </r>
  <r>
    <n v="88"/>
    <x v="84"/>
    <d v="2024-03-28T00:00:00"/>
    <x v="6"/>
    <x v="1"/>
    <s v="Merchant"/>
    <x v="0"/>
    <x v="2"/>
    <x v="32"/>
    <s v="J0295-DR-XXL"/>
    <x v="2"/>
    <s v="XXL"/>
    <n v="1"/>
    <s v="INR"/>
    <n v="859"/>
    <x v="11"/>
    <x v="8"/>
    <s v="IN"/>
  </r>
  <r>
    <n v="89"/>
    <x v="85"/>
    <d v="2024-06-13T00:00:00"/>
    <x v="3"/>
    <x v="2"/>
    <s v="Amazon"/>
    <x v="1"/>
    <x v="1"/>
    <x v="2"/>
    <s v="JNE3560-KR-M"/>
    <x v="1"/>
    <s v="M"/>
    <n v="1"/>
    <s v="INR"/>
    <n v="487"/>
    <x v="45"/>
    <x v="19"/>
    <s v="IN"/>
  </r>
  <r>
    <n v="90"/>
    <x v="86"/>
    <d v="2024-06-09T00:00:00"/>
    <x v="3"/>
    <x v="2"/>
    <s v="Amazon"/>
    <x v="0"/>
    <x v="1"/>
    <x v="24"/>
    <s v="J0333-DR-XXXL"/>
    <x v="2"/>
    <s v="3XL"/>
    <n v="1"/>
    <s v="INR"/>
    <n v="825"/>
    <x v="46"/>
    <x v="15"/>
    <s v="IN"/>
  </r>
  <r>
    <n v="91"/>
    <x v="87"/>
    <d v="2024-10-26T00:00:00"/>
    <x v="10"/>
    <x v="2"/>
    <s v="Amazon"/>
    <x v="0"/>
    <x v="1"/>
    <x v="1"/>
    <s v="SET389-KR-NP-M"/>
    <x v="0"/>
    <s v="M"/>
    <n v="1"/>
    <s v="INR"/>
    <n v="680"/>
    <x v="47"/>
    <x v="21"/>
    <s v="IN"/>
  </r>
  <r>
    <n v="92"/>
    <x v="88"/>
    <d v="2024-12-01T00:00:00"/>
    <x v="2"/>
    <x v="1"/>
    <s v="Merchant"/>
    <x v="1"/>
    <x v="0"/>
    <x v="15"/>
    <s v="JNE3801-KR-XXXL"/>
    <x v="1"/>
    <s v="3XL"/>
    <n v="1"/>
    <s v="INR"/>
    <n v="725"/>
    <x v="4"/>
    <x v="3"/>
    <s v="IN"/>
  </r>
  <r>
    <n v="93"/>
    <x v="89"/>
    <d v="2024-05-08T00:00:00"/>
    <x v="4"/>
    <x v="2"/>
    <s v="Amazon"/>
    <x v="0"/>
    <x v="1"/>
    <x v="23"/>
    <s v="SET098-KR-PP-M"/>
    <x v="0"/>
    <s v="M"/>
    <n v="1"/>
    <s v="INR"/>
    <n v="696"/>
    <x v="45"/>
    <x v="19"/>
    <s v="IN"/>
  </r>
  <r>
    <n v="94"/>
    <x v="90"/>
    <d v="2023-02-15T00:00:00"/>
    <x v="5"/>
    <x v="2"/>
    <s v="Amazon"/>
    <x v="1"/>
    <x v="1"/>
    <x v="26"/>
    <s v="MEN5013-KR-L"/>
    <x v="1"/>
    <s v="L"/>
    <n v="1"/>
    <s v="INR"/>
    <n v="499"/>
    <x v="45"/>
    <x v="19"/>
    <s v="IN"/>
  </r>
  <r>
    <n v="95"/>
    <x v="91"/>
    <d v="2024-03-18T00:00:00"/>
    <x v="6"/>
    <x v="0"/>
    <s v="Amazon"/>
    <x v="1"/>
    <x v="1"/>
    <x v="37"/>
    <s v="JNE3405-KR-L"/>
    <x v="1"/>
    <s v="L"/>
    <n v="0"/>
    <m/>
    <m/>
    <x v="15"/>
    <x v="0"/>
    <s v="IN"/>
  </r>
  <r>
    <n v="96"/>
    <x v="92"/>
    <d v="2024-12-05T00:00:00"/>
    <x v="2"/>
    <x v="2"/>
    <s v="Amazon"/>
    <x v="0"/>
    <x v="1"/>
    <x v="27"/>
    <s v="J0003-SET-L"/>
    <x v="0"/>
    <s v="L"/>
    <n v="1"/>
    <s v="INR"/>
    <n v="696"/>
    <x v="48"/>
    <x v="22"/>
    <s v="IN"/>
  </r>
  <r>
    <n v="97"/>
    <x v="93"/>
    <d v="2024-07-20T00:00:00"/>
    <x v="11"/>
    <x v="2"/>
    <s v="Amazon"/>
    <x v="1"/>
    <x v="1"/>
    <x v="29"/>
    <s v="JNE3718-KR-XXXL"/>
    <x v="1"/>
    <s v="3XL"/>
    <n v="1"/>
    <s v="INR"/>
    <n v="406"/>
    <x v="40"/>
    <x v="1"/>
    <s v="IN"/>
  </r>
  <r>
    <n v="98"/>
    <x v="94"/>
    <d v="2023-09-29T00:00:00"/>
    <x v="8"/>
    <x v="2"/>
    <s v="Amazon"/>
    <x v="0"/>
    <x v="1"/>
    <x v="38"/>
    <s v="SET347-KR-NP-S"/>
    <x v="0"/>
    <s v="S"/>
    <n v="1"/>
    <s v="INR"/>
    <n v="852"/>
    <x v="12"/>
    <x v="9"/>
    <s v="IN"/>
  </r>
  <r>
    <n v="99"/>
    <x v="95"/>
    <d v="2024-02-09T00:00:00"/>
    <x v="5"/>
    <x v="2"/>
    <s v="Amazon"/>
    <x v="1"/>
    <x v="1"/>
    <x v="30"/>
    <s v="JNE3405-KR-XXL"/>
    <x v="1"/>
    <s v="XXL"/>
    <n v="1"/>
    <s v="INR"/>
    <n v="399"/>
    <x v="49"/>
    <x v="10"/>
    <s v="IN"/>
  </r>
  <r>
    <n v="100"/>
    <x v="96"/>
    <d v="2023-07-11T00:00:00"/>
    <x v="11"/>
    <x v="2"/>
    <s v="Amazon"/>
    <x v="1"/>
    <x v="1"/>
    <x v="27"/>
    <s v="JNE3391-KR-XXL"/>
    <x v="1"/>
    <s v="XXL"/>
    <n v="1"/>
    <s v="INR"/>
    <n v="432"/>
    <x v="50"/>
    <x v="19"/>
    <s v="IN"/>
  </r>
  <r>
    <n v="101"/>
    <x v="97"/>
    <d v="2024-11-02T00:00:00"/>
    <x v="0"/>
    <x v="0"/>
    <s v="Amazon"/>
    <x v="0"/>
    <x v="1"/>
    <x v="16"/>
    <s v="SET347-KR-NP-S"/>
    <x v="0"/>
    <s v="S"/>
    <n v="0"/>
    <m/>
    <m/>
    <x v="12"/>
    <x v="9"/>
    <s v="IN"/>
  </r>
  <r>
    <n v="102"/>
    <x v="98"/>
    <d v="2023-04-23T00:00:00"/>
    <x v="9"/>
    <x v="1"/>
    <s v="Merchant"/>
    <x v="0"/>
    <x v="2"/>
    <x v="39"/>
    <s v="SET277-KR-NP-XXL"/>
    <x v="0"/>
    <s v="XXL"/>
    <n v="1"/>
    <s v="INR"/>
    <n v="1338"/>
    <x v="51"/>
    <x v="0"/>
    <s v="IN"/>
  </r>
  <r>
    <n v="103"/>
    <x v="99"/>
    <d v="2023-07-27T00:00:00"/>
    <x v="11"/>
    <x v="1"/>
    <s v="Merchant"/>
    <x v="0"/>
    <x v="2"/>
    <x v="3"/>
    <s v="J0293-DR-S"/>
    <x v="2"/>
    <s v="S"/>
    <n v="1"/>
    <s v="INR"/>
    <n v="472"/>
    <x v="52"/>
    <x v="16"/>
    <s v="IN"/>
  </r>
  <r>
    <n v="104"/>
    <x v="100"/>
    <d v="2023-10-27T00:00:00"/>
    <x v="10"/>
    <x v="2"/>
    <s v="Amazon"/>
    <x v="0"/>
    <x v="1"/>
    <x v="8"/>
    <s v="SET268-KR-NP-L"/>
    <x v="0"/>
    <s v="L"/>
    <n v="1"/>
    <s v="INR"/>
    <n v="788"/>
    <x v="12"/>
    <x v="9"/>
    <s v="IN"/>
  </r>
  <r>
    <n v="105"/>
    <x v="101"/>
    <d v="2024-03-19T00:00:00"/>
    <x v="6"/>
    <x v="1"/>
    <s v="Merchant"/>
    <x v="0"/>
    <x v="0"/>
    <x v="40"/>
    <s v="SET154-KR-NP-XL"/>
    <x v="0"/>
    <s v="XL"/>
    <n v="1"/>
    <s v="INR"/>
    <n v="832"/>
    <x v="53"/>
    <x v="10"/>
    <s v="IN"/>
  </r>
  <r>
    <n v="106"/>
    <x v="101"/>
    <d v="2023-07-04T00:00:00"/>
    <x v="11"/>
    <x v="1"/>
    <s v="Merchant"/>
    <x v="1"/>
    <x v="0"/>
    <x v="20"/>
    <s v="JNE3439-KR-XL"/>
    <x v="1"/>
    <s v="XL"/>
    <n v="1"/>
    <s v="INR"/>
    <n v="399"/>
    <x v="53"/>
    <x v="10"/>
    <s v="IN"/>
  </r>
  <r>
    <n v="107"/>
    <x v="102"/>
    <d v="2024-08-02T00:00:00"/>
    <x v="7"/>
    <x v="2"/>
    <s v="Amazon"/>
    <x v="0"/>
    <x v="1"/>
    <x v="37"/>
    <s v="SET291-KR-PP-XL"/>
    <x v="0"/>
    <s v="XL"/>
    <n v="1"/>
    <s v="INR"/>
    <n v="599"/>
    <x v="53"/>
    <x v="10"/>
    <s v="IN"/>
  </r>
  <r>
    <n v="108"/>
    <x v="103"/>
    <d v="2024-04-05T00:00:00"/>
    <x v="9"/>
    <x v="2"/>
    <s v="Amazon"/>
    <x v="0"/>
    <x v="1"/>
    <x v="32"/>
    <s v="SET293-KR-NP-M"/>
    <x v="0"/>
    <s v="M"/>
    <n v="1"/>
    <s v="INR"/>
    <n v="692"/>
    <x v="27"/>
    <x v="17"/>
    <s v="IN"/>
  </r>
  <r>
    <n v="109"/>
    <x v="104"/>
    <d v="2023-01-13T00:00:00"/>
    <x v="1"/>
    <x v="1"/>
    <s v="Merchant"/>
    <x v="0"/>
    <x v="2"/>
    <x v="3"/>
    <s v="JNE3648-TP-N-M"/>
    <x v="3"/>
    <s v="M"/>
    <n v="1"/>
    <s v="INR"/>
    <n v="518"/>
    <x v="0"/>
    <x v="0"/>
    <s v="IN"/>
  </r>
  <r>
    <n v="110"/>
    <x v="105"/>
    <d v="2023-08-15T00:00:00"/>
    <x v="7"/>
    <x v="2"/>
    <s v="Amazon"/>
    <x v="0"/>
    <x v="1"/>
    <x v="25"/>
    <s v="SET268-KR-NP-L"/>
    <x v="0"/>
    <s v="L"/>
    <n v="1"/>
    <s v="INR"/>
    <n v="788"/>
    <x v="12"/>
    <x v="9"/>
    <s v="IN"/>
  </r>
  <r>
    <n v="111"/>
    <x v="106"/>
    <d v="2024-08-01T00:00:00"/>
    <x v="7"/>
    <x v="2"/>
    <s v="Amazon"/>
    <x v="1"/>
    <x v="1"/>
    <x v="34"/>
    <s v="JNE3334-KR-M"/>
    <x v="1"/>
    <s v="M"/>
    <n v="1"/>
    <s v="INR"/>
    <n v="318"/>
    <x v="7"/>
    <x v="6"/>
    <s v="IN"/>
  </r>
  <r>
    <n v="112"/>
    <x v="107"/>
    <d v="2023-11-16T00:00:00"/>
    <x v="0"/>
    <x v="2"/>
    <s v="Amazon"/>
    <x v="0"/>
    <x v="1"/>
    <x v="18"/>
    <s v="SET331-KR-NP-XS"/>
    <x v="0"/>
    <s v="XS"/>
    <n v="1"/>
    <s v="INR"/>
    <n v="597"/>
    <x v="7"/>
    <x v="6"/>
    <s v="IN"/>
  </r>
  <r>
    <n v="113"/>
    <x v="108"/>
    <d v="2024-04-10T00:00:00"/>
    <x v="9"/>
    <x v="2"/>
    <s v="Amazon"/>
    <x v="0"/>
    <x v="1"/>
    <x v="22"/>
    <s v="SET265-KR-NP-S"/>
    <x v="0"/>
    <s v="S"/>
    <n v="1"/>
    <s v="INR"/>
    <n v="888"/>
    <x v="47"/>
    <x v="21"/>
    <s v="IN"/>
  </r>
  <r>
    <n v="114"/>
    <x v="109"/>
    <d v="2024-12-23T00:00:00"/>
    <x v="2"/>
    <x v="2"/>
    <s v="Amazon"/>
    <x v="1"/>
    <x v="1"/>
    <x v="33"/>
    <s v="JNE3718-KR-S"/>
    <x v="1"/>
    <s v="S"/>
    <n v="1"/>
    <s v="INR"/>
    <n v="406"/>
    <x v="54"/>
    <x v="6"/>
    <s v="IN"/>
  </r>
  <r>
    <n v="115"/>
    <x v="110"/>
    <d v="2024-12-19T00:00:00"/>
    <x v="2"/>
    <x v="2"/>
    <s v="Amazon"/>
    <x v="0"/>
    <x v="1"/>
    <x v="30"/>
    <s v="SET397-KR-NP  -M"/>
    <x v="0"/>
    <s v="M"/>
    <n v="1"/>
    <s v="INR"/>
    <n v="1186"/>
    <x v="55"/>
    <x v="20"/>
    <s v="IN"/>
  </r>
  <r>
    <n v="116"/>
    <x v="111"/>
    <d v="2024-10-30T00:00:00"/>
    <x v="10"/>
    <x v="0"/>
    <s v="Amazon"/>
    <x v="0"/>
    <x v="1"/>
    <x v="2"/>
    <s v="JNE3861-DR-XXL"/>
    <x v="2"/>
    <s v="XXL"/>
    <n v="1"/>
    <s v="INR"/>
    <n v="791"/>
    <x v="42"/>
    <x v="19"/>
    <s v="IN"/>
  </r>
  <r>
    <n v="117"/>
    <x v="111"/>
    <d v="2023-10-26T00:00:00"/>
    <x v="10"/>
    <x v="0"/>
    <s v="Amazon"/>
    <x v="0"/>
    <x v="1"/>
    <x v="19"/>
    <s v="J0335-DR-XL"/>
    <x v="2"/>
    <s v="XL"/>
    <n v="1"/>
    <s v="INR"/>
    <n v="807"/>
    <x v="42"/>
    <x v="19"/>
    <s v="IN"/>
  </r>
  <r>
    <n v="118"/>
    <x v="111"/>
    <d v="2023-09-29T00:00:00"/>
    <x v="8"/>
    <x v="0"/>
    <s v="Amazon"/>
    <x v="0"/>
    <x v="1"/>
    <x v="34"/>
    <s v="J0335-DR-XXL"/>
    <x v="2"/>
    <s v="XXL"/>
    <n v="1"/>
    <s v="INR"/>
    <n v="807"/>
    <x v="42"/>
    <x v="19"/>
    <s v="IN"/>
  </r>
  <r>
    <n v="119"/>
    <x v="112"/>
    <d v="2024-02-03T00:00:00"/>
    <x v="5"/>
    <x v="2"/>
    <s v="Amazon"/>
    <x v="1"/>
    <x v="1"/>
    <x v="32"/>
    <s v="JNE1525-KR-UDF19-A-S"/>
    <x v="1"/>
    <s v="S"/>
    <n v="1"/>
    <s v="INR"/>
    <n v="311"/>
    <x v="27"/>
    <x v="17"/>
    <s v="IN"/>
  </r>
  <r>
    <n v="120"/>
    <x v="113"/>
    <d v="2023-03-13T00:00:00"/>
    <x v="6"/>
    <x v="2"/>
    <s v="Amazon"/>
    <x v="0"/>
    <x v="1"/>
    <x v="30"/>
    <s v="JNE3654-TP-XL"/>
    <x v="3"/>
    <s v="XL"/>
    <n v="1"/>
    <s v="INR"/>
    <n v="387"/>
    <x v="0"/>
    <x v="0"/>
    <s v="IN"/>
  </r>
  <r>
    <n v="121"/>
    <x v="114"/>
    <d v="2024-09-23T00:00:00"/>
    <x v="8"/>
    <x v="2"/>
    <s v="Amazon"/>
    <x v="1"/>
    <x v="1"/>
    <x v="24"/>
    <s v="JNE3261-KR-S"/>
    <x v="1"/>
    <s v="S"/>
    <n v="1"/>
    <s v="INR"/>
    <n v="348"/>
    <x v="7"/>
    <x v="6"/>
    <s v="IN"/>
  </r>
  <r>
    <n v="122"/>
    <x v="115"/>
    <d v="2024-01-08T00:00:00"/>
    <x v="1"/>
    <x v="1"/>
    <s v="Merchant"/>
    <x v="0"/>
    <x v="2"/>
    <x v="3"/>
    <s v="SET324-KR-NP-S"/>
    <x v="0"/>
    <s v="S"/>
    <n v="1"/>
    <s v="INR"/>
    <n v="597"/>
    <x v="56"/>
    <x v="11"/>
    <s v="IN"/>
  </r>
  <r>
    <n v="123"/>
    <x v="115"/>
    <d v="2024-01-06T00:00:00"/>
    <x v="1"/>
    <x v="1"/>
    <s v="Merchant"/>
    <x v="0"/>
    <x v="0"/>
    <x v="25"/>
    <s v="SET332-KR-PP-S"/>
    <x v="0"/>
    <s v="S"/>
    <n v="1"/>
    <s v="INR"/>
    <n v="549"/>
    <x v="56"/>
    <x v="11"/>
    <s v="IN"/>
  </r>
  <r>
    <n v="124"/>
    <x v="116"/>
    <d v="2024-07-27T00:00:00"/>
    <x v="11"/>
    <x v="2"/>
    <s v="Amazon"/>
    <x v="0"/>
    <x v="1"/>
    <x v="17"/>
    <s v="SET324-KR-NP-XXXL"/>
    <x v="0"/>
    <s v="3XL"/>
    <n v="1"/>
    <s v="INR"/>
    <n v="635"/>
    <x v="57"/>
    <x v="1"/>
    <s v="IN"/>
  </r>
  <r>
    <n v="125"/>
    <x v="117"/>
    <d v="2023-03-29T00:00:00"/>
    <x v="6"/>
    <x v="2"/>
    <s v="Amazon"/>
    <x v="0"/>
    <x v="1"/>
    <x v="0"/>
    <s v="SET324-KR-NP-XS"/>
    <x v="0"/>
    <s v="XS"/>
    <n v="1"/>
    <s v="INR"/>
    <n v="597"/>
    <x v="58"/>
    <x v="23"/>
    <s v="IN"/>
  </r>
  <r>
    <n v="126"/>
    <x v="118"/>
    <d v="2024-09-04T00:00:00"/>
    <x v="8"/>
    <x v="2"/>
    <s v="Amazon"/>
    <x v="0"/>
    <x v="1"/>
    <x v="32"/>
    <s v="SET280-KR-PP-S"/>
    <x v="0"/>
    <s v="S"/>
    <n v="1"/>
    <s v="INR"/>
    <n v="790"/>
    <x v="59"/>
    <x v="16"/>
    <s v="IN"/>
  </r>
  <r>
    <n v="127"/>
    <x v="119"/>
    <d v="2024-05-22T00:00:00"/>
    <x v="4"/>
    <x v="2"/>
    <s v="Amazon"/>
    <x v="1"/>
    <x v="1"/>
    <x v="41"/>
    <s v="JNE3618-KR-XXL"/>
    <x v="1"/>
    <s v="XXL"/>
    <n v="1"/>
    <s v="INR"/>
    <n v="375"/>
    <x v="60"/>
    <x v="11"/>
    <s v="IN"/>
  </r>
  <r>
    <n v="128"/>
    <x v="120"/>
    <d v="2023-06-08T00:00:00"/>
    <x v="3"/>
    <x v="2"/>
    <s v="Amazon"/>
    <x v="0"/>
    <x v="1"/>
    <x v="22"/>
    <s v="SET304-KR-DPT-XS"/>
    <x v="0"/>
    <s v="XS"/>
    <n v="1"/>
    <s v="INR"/>
    <n v="1115"/>
    <x v="7"/>
    <x v="6"/>
    <s v="IN"/>
  </r>
  <r>
    <n v="129"/>
    <x v="121"/>
    <d v="2023-11-08T00:00:00"/>
    <x v="0"/>
    <x v="1"/>
    <s v="Merchant"/>
    <x v="1"/>
    <x v="2"/>
    <x v="19"/>
    <s v="MEN5032-KR-XXXL"/>
    <x v="1"/>
    <s v="3XL"/>
    <n v="1"/>
    <s v="INR"/>
    <n v="579"/>
    <x v="1"/>
    <x v="1"/>
    <s v="IN"/>
  </r>
  <r>
    <n v="130"/>
    <x v="122"/>
    <d v="2023-12-17T00:00:00"/>
    <x v="2"/>
    <x v="2"/>
    <s v="Amazon"/>
    <x v="0"/>
    <x v="1"/>
    <x v="35"/>
    <s v="SET110-KR-PP-XXL"/>
    <x v="0"/>
    <s v="XXL"/>
    <n v="1"/>
    <s v="INR"/>
    <n v="788"/>
    <x v="61"/>
    <x v="3"/>
    <s v="IN"/>
  </r>
  <r>
    <n v="131"/>
    <x v="123"/>
    <d v="2024-09-12T00:00:00"/>
    <x v="8"/>
    <x v="2"/>
    <s v="Amazon"/>
    <x v="0"/>
    <x v="1"/>
    <x v="6"/>
    <s v="SET324-KR-NP-M"/>
    <x v="0"/>
    <s v="M"/>
    <n v="1"/>
    <s v="INR"/>
    <n v="597"/>
    <x v="62"/>
    <x v="3"/>
    <s v="IN"/>
  </r>
  <r>
    <n v="132"/>
    <x v="124"/>
    <d v="2023-03-30T00:00:00"/>
    <x v="6"/>
    <x v="0"/>
    <s v="Amazon"/>
    <x v="0"/>
    <x v="1"/>
    <x v="10"/>
    <s v="SET269-KR-NP-XXXL"/>
    <x v="0"/>
    <s v="3XL"/>
    <n v="0"/>
    <m/>
    <m/>
    <x v="57"/>
    <x v="1"/>
    <s v="IN"/>
  </r>
  <r>
    <n v="133"/>
    <x v="125"/>
    <d v="2024-12-10T00:00:00"/>
    <x v="2"/>
    <x v="2"/>
    <s v="Amazon"/>
    <x v="1"/>
    <x v="1"/>
    <x v="20"/>
    <s v="JNE3794-KR-M"/>
    <x v="1"/>
    <s v="M"/>
    <n v="1"/>
    <s v="INR"/>
    <n v="517"/>
    <x v="18"/>
    <x v="24"/>
    <s v="IN"/>
  </r>
  <r>
    <n v="134"/>
    <x v="126"/>
    <d v="2024-05-03T00:00:00"/>
    <x v="4"/>
    <x v="2"/>
    <s v="Amazon"/>
    <x v="1"/>
    <x v="1"/>
    <x v="20"/>
    <s v="JNE3291-KR-XXL"/>
    <x v="1"/>
    <s v="XXL"/>
    <n v="1"/>
    <s v="INR"/>
    <n v="442"/>
    <x v="4"/>
    <x v="3"/>
    <s v="IN"/>
  </r>
  <r>
    <n v="135"/>
    <x v="127"/>
    <d v="2023-04-28T00:00:00"/>
    <x v="9"/>
    <x v="2"/>
    <s v="Amazon"/>
    <x v="1"/>
    <x v="1"/>
    <x v="31"/>
    <s v="JNE3440-KR-N-XXXL"/>
    <x v="1"/>
    <s v="3XL"/>
    <n v="1"/>
    <s v="INR"/>
    <n v="399"/>
    <x v="63"/>
    <x v="4"/>
    <s v="IN"/>
  </r>
  <r>
    <n v="136"/>
    <x v="128"/>
    <d v="2024-08-18T00:00:00"/>
    <x v="7"/>
    <x v="2"/>
    <s v="Amazon"/>
    <x v="1"/>
    <x v="1"/>
    <x v="8"/>
    <s v="JNE2270-KR-487-A-XXL"/>
    <x v="1"/>
    <s v="XXL"/>
    <n v="1"/>
    <s v="INR"/>
    <n v="518"/>
    <x v="1"/>
    <x v="1"/>
    <s v="IN"/>
  </r>
  <r>
    <n v="137"/>
    <x v="129"/>
    <d v="2023-06-03T00:00:00"/>
    <x v="3"/>
    <x v="2"/>
    <s v="Amazon"/>
    <x v="1"/>
    <x v="1"/>
    <x v="27"/>
    <s v="JNE3261-KR-M"/>
    <x v="1"/>
    <s v="M"/>
    <n v="1"/>
    <s v="INR"/>
    <n v="348"/>
    <x v="64"/>
    <x v="3"/>
    <s v="IN"/>
  </r>
  <r>
    <n v="138"/>
    <x v="130"/>
    <d v="2024-09-17T00:00:00"/>
    <x v="8"/>
    <x v="1"/>
    <s v="Merchant"/>
    <x v="0"/>
    <x v="2"/>
    <x v="42"/>
    <s v="SET110-KR-PP-M"/>
    <x v="0"/>
    <s v="M"/>
    <n v="1"/>
    <s v="INR"/>
    <n v="788"/>
    <x v="65"/>
    <x v="13"/>
    <s v="IN"/>
  </r>
  <r>
    <n v="139"/>
    <x v="131"/>
    <d v="2023-04-17T00:00:00"/>
    <x v="9"/>
    <x v="0"/>
    <s v="Amazon"/>
    <x v="0"/>
    <x v="1"/>
    <x v="18"/>
    <s v="J0300-TP-XXXL"/>
    <x v="3"/>
    <s v="3XL"/>
    <n v="0"/>
    <m/>
    <m/>
    <x v="66"/>
    <x v="4"/>
    <s v="IN"/>
  </r>
  <r>
    <n v="140"/>
    <x v="132"/>
    <d v="2024-01-07T00:00:00"/>
    <x v="1"/>
    <x v="2"/>
    <s v="Amazon"/>
    <x v="0"/>
    <x v="1"/>
    <x v="20"/>
    <s v="SET324-KR-NP-M"/>
    <x v="0"/>
    <s v="M"/>
    <n v="1"/>
    <s v="INR"/>
    <n v="597"/>
    <x v="67"/>
    <x v="0"/>
    <s v="IN"/>
  </r>
  <r>
    <n v="141"/>
    <x v="133"/>
    <d v="2023-05-27T00:00:00"/>
    <x v="4"/>
    <x v="2"/>
    <s v="Amazon"/>
    <x v="1"/>
    <x v="1"/>
    <x v="12"/>
    <s v="JNE3810-KR-S"/>
    <x v="1"/>
    <s v="S"/>
    <n v="1"/>
    <s v="INR"/>
    <n v="696"/>
    <x v="12"/>
    <x v="9"/>
    <s v="IN"/>
  </r>
  <r>
    <n v="142"/>
    <x v="134"/>
    <d v="2023-12-10T00:00:00"/>
    <x v="2"/>
    <x v="2"/>
    <s v="Amazon"/>
    <x v="1"/>
    <x v="1"/>
    <x v="19"/>
    <s v="JNE3461-KR-XL"/>
    <x v="1"/>
    <s v="XL"/>
    <n v="1"/>
    <s v="INR"/>
    <n v="363"/>
    <x v="7"/>
    <x v="6"/>
    <s v="IN"/>
  </r>
  <r>
    <n v="143"/>
    <x v="135"/>
    <d v="2024-11-17T00:00:00"/>
    <x v="0"/>
    <x v="2"/>
    <s v="Amazon"/>
    <x v="1"/>
    <x v="1"/>
    <x v="20"/>
    <s v="JNE3429-KR-XL"/>
    <x v="1"/>
    <s v="XL"/>
    <n v="1"/>
    <s v="INR"/>
    <n v="299"/>
    <x v="7"/>
    <x v="6"/>
    <s v="IN"/>
  </r>
  <r>
    <n v="144"/>
    <x v="136"/>
    <d v="2024-04-01T00:00:00"/>
    <x v="9"/>
    <x v="2"/>
    <s v="Amazon"/>
    <x v="0"/>
    <x v="1"/>
    <x v="32"/>
    <s v="JNE3710-DR-S"/>
    <x v="2"/>
    <s v="S"/>
    <n v="1"/>
    <s v="INR"/>
    <n v="690"/>
    <x v="19"/>
    <x v="11"/>
    <s v="IN"/>
  </r>
  <r>
    <n v="145"/>
    <x v="137"/>
    <d v="2023-12-05T00:00:00"/>
    <x v="2"/>
    <x v="2"/>
    <s v="Amazon"/>
    <x v="0"/>
    <x v="1"/>
    <x v="21"/>
    <s v="J0113-TP-XS"/>
    <x v="3"/>
    <s v="XS"/>
    <n v="1"/>
    <s v="INR"/>
    <n v="574"/>
    <x v="68"/>
    <x v="1"/>
    <s v="IN"/>
  </r>
  <r>
    <n v="146"/>
    <x v="138"/>
    <d v="2024-01-13T00:00:00"/>
    <x v="1"/>
    <x v="1"/>
    <s v="Merchant"/>
    <x v="0"/>
    <x v="2"/>
    <x v="0"/>
    <s v="SET355-KR-PP-M"/>
    <x v="0"/>
    <s v="M"/>
    <n v="1"/>
    <s v="INR"/>
    <n v="1399"/>
    <x v="69"/>
    <x v="4"/>
    <s v="IN"/>
  </r>
  <r>
    <n v="147"/>
    <x v="139"/>
    <d v="2023-08-29T00:00:00"/>
    <x v="7"/>
    <x v="1"/>
    <s v="Merchant"/>
    <x v="0"/>
    <x v="0"/>
    <x v="34"/>
    <s v="J0009-SKD-S"/>
    <x v="0"/>
    <s v="S"/>
    <n v="1"/>
    <s v="INR"/>
    <n v="999"/>
    <x v="70"/>
    <x v="4"/>
    <s v="IN"/>
  </r>
  <r>
    <n v="148"/>
    <x v="140"/>
    <d v="2023-11-11T00:00:00"/>
    <x v="0"/>
    <x v="2"/>
    <s v="Amazon"/>
    <x v="0"/>
    <x v="1"/>
    <x v="32"/>
    <s v="J0248-KR-DPT-XL"/>
    <x v="0"/>
    <s v="XL"/>
    <n v="1"/>
    <s v="INR"/>
    <n v="999"/>
    <x v="71"/>
    <x v="7"/>
    <s v="IN"/>
  </r>
  <r>
    <n v="149"/>
    <x v="141"/>
    <d v="2023-03-27T00:00:00"/>
    <x v="6"/>
    <x v="2"/>
    <s v="Amazon"/>
    <x v="1"/>
    <x v="1"/>
    <x v="7"/>
    <s v="JNE3560-KR-XL"/>
    <x v="1"/>
    <s v="XL"/>
    <n v="1"/>
    <s v="INR"/>
    <n v="487"/>
    <x v="72"/>
    <x v="13"/>
    <s v="IN"/>
  </r>
  <r>
    <n v="150"/>
    <x v="142"/>
    <d v="2024-10-27T00:00:00"/>
    <x v="10"/>
    <x v="1"/>
    <s v="Merchant"/>
    <x v="1"/>
    <x v="0"/>
    <x v="16"/>
    <s v="JNE3373-KR-XXXL"/>
    <x v="1"/>
    <s v="3XL"/>
    <n v="1"/>
    <s v="INR"/>
    <n v="376"/>
    <x v="14"/>
    <x v="3"/>
    <s v="IN"/>
  </r>
  <r>
    <n v="151"/>
    <x v="143"/>
    <d v="2024-08-15T00:00:00"/>
    <x v="7"/>
    <x v="2"/>
    <s v="Amazon"/>
    <x v="0"/>
    <x v="1"/>
    <x v="22"/>
    <s v="SET398-KR-PP-L"/>
    <x v="0"/>
    <s v="L"/>
    <n v="1"/>
    <s v="INR"/>
    <n v="1115"/>
    <x v="73"/>
    <x v="20"/>
    <s v="IN"/>
  </r>
  <r>
    <n v="152"/>
    <x v="144"/>
    <d v="2023-03-25T00:00:00"/>
    <x v="6"/>
    <x v="2"/>
    <s v="Amazon"/>
    <x v="0"/>
    <x v="1"/>
    <x v="11"/>
    <s v="NW032-ST-CP-XXL"/>
    <x v="0"/>
    <s v="XXL"/>
    <n v="1"/>
    <s v="INR"/>
    <n v="517"/>
    <x v="1"/>
    <x v="1"/>
    <s v="IN"/>
  </r>
  <r>
    <n v="153"/>
    <x v="145"/>
    <d v="2023-11-21T00:00:00"/>
    <x v="0"/>
    <x v="2"/>
    <s v="Amazon"/>
    <x v="0"/>
    <x v="1"/>
    <x v="30"/>
    <s v="SET361-KR-NP-S"/>
    <x v="0"/>
    <s v="S"/>
    <n v="1"/>
    <s v="INR"/>
    <n v="1126"/>
    <x v="40"/>
    <x v="1"/>
    <s v="IN"/>
  </r>
  <r>
    <n v="154"/>
    <x v="146"/>
    <d v="2024-04-28T00:00:00"/>
    <x v="9"/>
    <x v="2"/>
    <s v="Amazon"/>
    <x v="0"/>
    <x v="1"/>
    <x v="7"/>
    <s v="JNE3797-KR-L"/>
    <x v="2"/>
    <s v="L"/>
    <n v="1"/>
    <s v="INR"/>
    <n v="725"/>
    <x v="74"/>
    <x v="15"/>
    <s v="IN"/>
  </r>
  <r>
    <n v="155"/>
    <x v="147"/>
    <d v="2023-08-26T00:00:00"/>
    <x v="7"/>
    <x v="0"/>
    <s v="Amazon"/>
    <x v="1"/>
    <x v="1"/>
    <x v="30"/>
    <s v="JNE3887-KR-XL"/>
    <x v="1"/>
    <s v="XL"/>
    <n v="0"/>
    <m/>
    <m/>
    <x v="75"/>
    <x v="14"/>
    <s v="IN"/>
  </r>
  <r>
    <n v="156"/>
    <x v="148"/>
    <d v="2023-03-29T00:00:00"/>
    <x v="6"/>
    <x v="2"/>
    <s v="Amazon"/>
    <x v="0"/>
    <x v="1"/>
    <x v="2"/>
    <s v="JNE3870-DR-XXL"/>
    <x v="2"/>
    <s v="XXL"/>
    <n v="1"/>
    <s v="INR"/>
    <n v="721"/>
    <x v="76"/>
    <x v="14"/>
    <s v="IN"/>
  </r>
  <r>
    <n v="157"/>
    <x v="149"/>
    <d v="2024-06-21T00:00:00"/>
    <x v="3"/>
    <x v="2"/>
    <s v="Amazon"/>
    <x v="0"/>
    <x v="1"/>
    <x v="29"/>
    <s v="SET345-KR-NP-XS"/>
    <x v="0"/>
    <s v="XS"/>
    <n v="1"/>
    <s v="INR"/>
    <n v="666"/>
    <x v="77"/>
    <x v="21"/>
    <s v="IN"/>
  </r>
  <r>
    <n v="158"/>
    <x v="150"/>
    <d v="2023-11-07T00:00:00"/>
    <x v="0"/>
    <x v="2"/>
    <s v="Amazon"/>
    <x v="0"/>
    <x v="1"/>
    <x v="7"/>
    <s v="NW013-ST-SR-L"/>
    <x v="0"/>
    <s v="L"/>
    <n v="1"/>
    <s v="INR"/>
    <n v="496"/>
    <x v="7"/>
    <x v="6"/>
    <s v="IN"/>
  </r>
  <r>
    <n v="159"/>
    <x v="151"/>
    <d v="2024-02-12T00:00:00"/>
    <x v="5"/>
    <x v="1"/>
    <s v="Merchant"/>
    <x v="1"/>
    <x v="0"/>
    <x v="22"/>
    <s v="JNE2014-KR-178-XL"/>
    <x v="1"/>
    <s v="XL"/>
    <n v="1"/>
    <s v="INR"/>
    <n v="353"/>
    <x v="78"/>
    <x v="15"/>
    <s v="IN"/>
  </r>
  <r>
    <n v="160"/>
    <x v="152"/>
    <d v="2024-06-19T00:00:00"/>
    <x v="3"/>
    <x v="1"/>
    <s v="Merchant"/>
    <x v="1"/>
    <x v="0"/>
    <x v="11"/>
    <s v="JNE3612-KR-S"/>
    <x v="1"/>
    <s v="S"/>
    <n v="1"/>
    <s v="INR"/>
    <n v="399"/>
    <x v="79"/>
    <x v="4"/>
    <s v="IN"/>
  </r>
  <r>
    <n v="161"/>
    <x v="153"/>
    <d v="2024-12-23T00:00:00"/>
    <x v="2"/>
    <x v="2"/>
    <s v="Amazon"/>
    <x v="1"/>
    <x v="1"/>
    <x v="3"/>
    <s v="PJNE2100-KR-N-6XL"/>
    <x v="1"/>
    <s v="6XL"/>
    <n v="1"/>
    <s v="INR"/>
    <n v="458"/>
    <x v="80"/>
    <x v="3"/>
    <s v="IN"/>
  </r>
  <r>
    <n v="162"/>
    <x v="154"/>
    <d v="2023-02-04T00:00:00"/>
    <x v="5"/>
    <x v="2"/>
    <s v="Amazon"/>
    <x v="0"/>
    <x v="1"/>
    <x v="39"/>
    <s v="SET398-KR-PP-XXXL"/>
    <x v="0"/>
    <s v="3XL"/>
    <n v="1"/>
    <s v="INR"/>
    <n v="1115"/>
    <x v="33"/>
    <x v="18"/>
    <s v="IN"/>
  </r>
  <r>
    <n v="163"/>
    <x v="155"/>
    <d v="2023-12-17T00:00:00"/>
    <x v="2"/>
    <x v="2"/>
    <s v="Amazon"/>
    <x v="0"/>
    <x v="1"/>
    <x v="37"/>
    <s v="J0006-SET-M"/>
    <x v="4"/>
    <s v="M"/>
    <n v="1"/>
    <s v="INR"/>
    <n v="845"/>
    <x v="1"/>
    <x v="1"/>
    <s v="IN"/>
  </r>
  <r>
    <n v="164"/>
    <x v="156"/>
    <d v="2024-06-16T00:00:00"/>
    <x v="3"/>
    <x v="1"/>
    <s v="Merchant"/>
    <x v="1"/>
    <x v="2"/>
    <x v="37"/>
    <s v="JNE3405-KR-S"/>
    <x v="1"/>
    <s v="S"/>
    <n v="1"/>
    <s v="INR"/>
    <n v="399"/>
    <x v="81"/>
    <x v="10"/>
    <s v="IN"/>
  </r>
  <r>
    <n v="165"/>
    <x v="157"/>
    <d v="2024-05-28T00:00:00"/>
    <x v="4"/>
    <x v="0"/>
    <s v="Amazon"/>
    <x v="1"/>
    <x v="1"/>
    <x v="10"/>
    <s v="PJNE2100-KR-N-6XL"/>
    <x v="1"/>
    <s v="6XL"/>
    <n v="0"/>
    <m/>
    <m/>
    <x v="80"/>
    <x v="3"/>
    <s v="IN"/>
  </r>
  <r>
    <n v="166"/>
    <x v="158"/>
    <d v="2023-04-13T00:00:00"/>
    <x v="9"/>
    <x v="2"/>
    <s v="Amazon"/>
    <x v="1"/>
    <x v="1"/>
    <x v="3"/>
    <s v="JNE3437-KR-S"/>
    <x v="1"/>
    <s v="S"/>
    <n v="1"/>
    <s v="INR"/>
    <n v="517"/>
    <x v="7"/>
    <x v="6"/>
    <s v="IN"/>
  </r>
  <r>
    <n v="167"/>
    <x v="158"/>
    <d v="2024-10-09T00:00:00"/>
    <x v="10"/>
    <x v="2"/>
    <s v="Amazon"/>
    <x v="1"/>
    <x v="1"/>
    <x v="14"/>
    <s v="JNE3465-KR-S"/>
    <x v="1"/>
    <s v="S"/>
    <n v="1"/>
    <s v="INR"/>
    <n v="517"/>
    <x v="7"/>
    <x v="6"/>
    <s v="IN"/>
  </r>
  <r>
    <n v="168"/>
    <x v="159"/>
    <d v="2024-07-03T00:00:00"/>
    <x v="11"/>
    <x v="2"/>
    <s v="Amazon"/>
    <x v="1"/>
    <x v="1"/>
    <x v="0"/>
    <s v="J0373-KR-XXXL"/>
    <x v="1"/>
    <s v="3XL"/>
    <n v="1"/>
    <s v="INR"/>
    <n v="599"/>
    <x v="25"/>
    <x v="4"/>
    <s v="IN"/>
  </r>
  <r>
    <n v="169"/>
    <x v="160"/>
    <d v="2024-12-03T00:00:00"/>
    <x v="2"/>
    <x v="2"/>
    <s v="Amazon"/>
    <x v="0"/>
    <x v="1"/>
    <x v="12"/>
    <s v="J0344-TP-XXXL"/>
    <x v="3"/>
    <s v="3XL"/>
    <n v="1"/>
    <s v="INR"/>
    <n v="487"/>
    <x v="12"/>
    <x v="9"/>
    <s v="IN"/>
  </r>
  <r>
    <n v="170"/>
    <x v="161"/>
    <d v="2023-02-28T00:00:00"/>
    <x v="5"/>
    <x v="2"/>
    <s v="Amazon"/>
    <x v="0"/>
    <x v="1"/>
    <x v="13"/>
    <s v="J0118-TP-XXL"/>
    <x v="3"/>
    <s v="XXL"/>
    <n v="1"/>
    <s v="INR"/>
    <n v="487"/>
    <x v="82"/>
    <x v="10"/>
    <s v="IN"/>
  </r>
  <r>
    <n v="171"/>
    <x v="162"/>
    <d v="2024-11-13T00:00:00"/>
    <x v="0"/>
    <x v="2"/>
    <s v="Amazon"/>
    <x v="0"/>
    <x v="1"/>
    <x v="40"/>
    <s v="SET200-KR-NP-A-XS"/>
    <x v="0"/>
    <s v="XS"/>
    <n v="1"/>
    <s v="INR"/>
    <n v="568"/>
    <x v="1"/>
    <x v="1"/>
    <s v="IN"/>
  </r>
  <r>
    <n v="172"/>
    <x v="163"/>
    <d v="2024-08-09T00:00:00"/>
    <x v="7"/>
    <x v="1"/>
    <s v="Merchant"/>
    <x v="1"/>
    <x v="0"/>
    <x v="32"/>
    <s v="JNE3405-KR-M"/>
    <x v="1"/>
    <s v="M"/>
    <n v="1"/>
    <s v="INR"/>
    <n v="399"/>
    <x v="1"/>
    <x v="1"/>
    <s v="IN"/>
  </r>
  <r>
    <n v="173"/>
    <x v="164"/>
    <d v="2023-12-26T00:00:00"/>
    <x v="2"/>
    <x v="2"/>
    <s v="Amazon"/>
    <x v="1"/>
    <x v="1"/>
    <x v="9"/>
    <s v="JNE1998-KR-311-XXL"/>
    <x v="1"/>
    <s v="XXL"/>
    <n v="1"/>
    <s v="INR"/>
    <n v="295"/>
    <x v="0"/>
    <x v="0"/>
    <s v="IN"/>
  </r>
  <r>
    <n v="174"/>
    <x v="165"/>
    <d v="2023-02-01T00:00:00"/>
    <x v="5"/>
    <x v="2"/>
    <s v="Amazon"/>
    <x v="1"/>
    <x v="1"/>
    <x v="27"/>
    <s v="MEN5004-KR-XXXL"/>
    <x v="1"/>
    <s v="3XL"/>
    <n v="1"/>
    <s v="INR"/>
    <n v="484"/>
    <x v="83"/>
    <x v="4"/>
    <s v="IN"/>
  </r>
  <r>
    <n v="175"/>
    <x v="166"/>
    <d v="2024-12-02T00:00:00"/>
    <x v="2"/>
    <x v="2"/>
    <s v="Amazon"/>
    <x v="0"/>
    <x v="1"/>
    <x v="38"/>
    <s v="SET345-KR-NP-XXL"/>
    <x v="0"/>
    <s v="XXL"/>
    <n v="1"/>
    <s v="INR"/>
    <n v="626"/>
    <x v="0"/>
    <x v="0"/>
    <s v="IN"/>
  </r>
  <r>
    <n v="176"/>
    <x v="167"/>
    <d v="2023-06-19T00:00:00"/>
    <x v="3"/>
    <x v="2"/>
    <s v="Amazon"/>
    <x v="0"/>
    <x v="1"/>
    <x v="29"/>
    <s v="SET291-KR-PP-M"/>
    <x v="0"/>
    <s v="M"/>
    <n v="1"/>
    <s v="INR"/>
    <n v="563"/>
    <x v="84"/>
    <x v="4"/>
    <s v="IN"/>
  </r>
  <r>
    <n v="177"/>
    <x v="168"/>
    <d v="2023-02-06T00:00:00"/>
    <x v="5"/>
    <x v="1"/>
    <s v="Merchant"/>
    <x v="0"/>
    <x v="0"/>
    <x v="10"/>
    <s v="JNE3654-TP-L"/>
    <x v="3"/>
    <s v="L"/>
    <n v="1"/>
    <s v="INR"/>
    <n v="387"/>
    <x v="85"/>
    <x v="0"/>
    <s v="IN"/>
  </r>
  <r>
    <n v="178"/>
    <x v="169"/>
    <d v="2023-01-23T00:00:00"/>
    <x v="1"/>
    <x v="0"/>
    <s v="Merchant"/>
    <x v="0"/>
    <x v="0"/>
    <x v="31"/>
    <s v="J0344-TP-L"/>
    <x v="3"/>
    <s v="L"/>
    <n v="0"/>
    <s v="INR"/>
    <n v="463.81"/>
    <x v="1"/>
    <x v="1"/>
    <s v="IN"/>
  </r>
  <r>
    <n v="179"/>
    <x v="170"/>
    <d v="2024-07-01T00:00:00"/>
    <x v="11"/>
    <x v="2"/>
    <s v="Amazon"/>
    <x v="0"/>
    <x v="1"/>
    <x v="4"/>
    <s v="J0334-TP-L"/>
    <x v="3"/>
    <s v="L"/>
    <n v="1"/>
    <s v="INR"/>
    <n v="512"/>
    <x v="83"/>
    <x v="4"/>
    <s v="IN"/>
  </r>
  <r>
    <n v="180"/>
    <x v="171"/>
    <d v="2023-01-12T00:00:00"/>
    <x v="1"/>
    <x v="2"/>
    <s v="Amazon"/>
    <x v="0"/>
    <x v="1"/>
    <x v="3"/>
    <s v="J0230-SKD-S"/>
    <x v="0"/>
    <s v="S"/>
    <n v="1"/>
    <s v="INR"/>
    <n v="1112"/>
    <x v="7"/>
    <x v="6"/>
    <s v="IN"/>
  </r>
  <r>
    <n v="181"/>
    <x v="172"/>
    <d v="2024-10-28T00:00:00"/>
    <x v="10"/>
    <x v="0"/>
    <s v="Amazon"/>
    <x v="0"/>
    <x v="1"/>
    <x v="30"/>
    <s v="SET345-KR-NP-M"/>
    <x v="0"/>
    <s v="M"/>
    <n v="1"/>
    <s v="INR"/>
    <n v="626"/>
    <x v="1"/>
    <x v="1"/>
    <s v="IN"/>
  </r>
  <r>
    <n v="182"/>
    <x v="173"/>
    <d v="2024-04-25T00:00:00"/>
    <x v="9"/>
    <x v="2"/>
    <s v="Amazon"/>
    <x v="1"/>
    <x v="1"/>
    <x v="25"/>
    <s v="JNE1233-BLUE-KR-031-XXL"/>
    <x v="1"/>
    <s v="XXL"/>
    <n v="1"/>
    <s v="INR"/>
    <n v="376"/>
    <x v="7"/>
    <x v="6"/>
    <s v="IN"/>
  </r>
  <r>
    <n v="183"/>
    <x v="174"/>
    <d v="2024-03-08T00:00:00"/>
    <x v="6"/>
    <x v="2"/>
    <s v="Amazon"/>
    <x v="0"/>
    <x v="1"/>
    <x v="24"/>
    <s v="J0295-DR-M"/>
    <x v="2"/>
    <s v="M"/>
    <n v="1"/>
    <s v="INR"/>
    <n v="859"/>
    <x v="1"/>
    <x v="1"/>
    <s v="IN"/>
  </r>
  <r>
    <n v="184"/>
    <x v="175"/>
    <d v="2023-01-31T00:00:00"/>
    <x v="1"/>
    <x v="2"/>
    <s v="Amazon"/>
    <x v="0"/>
    <x v="1"/>
    <x v="2"/>
    <s v="SET324-KR-NP-L"/>
    <x v="0"/>
    <s v="L"/>
    <n v="1"/>
    <s v="INR"/>
    <n v="597"/>
    <x v="86"/>
    <x v="1"/>
    <s v="IN"/>
  </r>
  <r>
    <n v="185"/>
    <x v="176"/>
    <d v="2023-03-01T00:00:00"/>
    <x v="6"/>
    <x v="2"/>
    <s v="Amazon"/>
    <x v="1"/>
    <x v="1"/>
    <x v="21"/>
    <s v="JNE3371-KR-XL"/>
    <x v="1"/>
    <s v="XL"/>
    <n v="1"/>
    <s v="INR"/>
    <n v="329"/>
    <x v="7"/>
    <x v="6"/>
    <s v="IN"/>
  </r>
  <r>
    <n v="186"/>
    <x v="177"/>
    <d v="2024-11-30T00:00:00"/>
    <x v="0"/>
    <x v="1"/>
    <s v="Merchant"/>
    <x v="0"/>
    <x v="2"/>
    <x v="0"/>
    <s v="J0147-SET-XL"/>
    <x v="0"/>
    <s v="XL"/>
    <n v="1"/>
    <s v="INR"/>
    <n v="583"/>
    <x v="87"/>
    <x v="17"/>
    <s v="IN"/>
  </r>
  <r>
    <n v="187"/>
    <x v="178"/>
    <d v="2024-11-21T00:00:00"/>
    <x v="0"/>
    <x v="2"/>
    <s v="Amazon"/>
    <x v="0"/>
    <x v="1"/>
    <x v="29"/>
    <s v="J0308-DR-L"/>
    <x v="2"/>
    <s v="L"/>
    <n v="1"/>
    <s v="INR"/>
    <n v="665"/>
    <x v="0"/>
    <x v="0"/>
    <s v="IN"/>
  </r>
  <r>
    <n v="188"/>
    <x v="179"/>
    <d v="2023-11-02T00:00:00"/>
    <x v="0"/>
    <x v="2"/>
    <s v="Amazon"/>
    <x v="0"/>
    <x v="1"/>
    <x v="41"/>
    <s v="NW030-TP-PJ-L"/>
    <x v="0"/>
    <s v="L"/>
    <n v="1"/>
    <s v="INR"/>
    <n v="582"/>
    <x v="0"/>
    <x v="0"/>
    <s v="IN"/>
  </r>
  <r>
    <n v="189"/>
    <x v="180"/>
    <d v="2023-09-26T00:00:00"/>
    <x v="8"/>
    <x v="2"/>
    <s v="Amazon"/>
    <x v="0"/>
    <x v="1"/>
    <x v="29"/>
    <s v="SET360-KR-NP-XL"/>
    <x v="0"/>
    <s v="XL"/>
    <n v="1"/>
    <s v="INR"/>
    <n v="1126"/>
    <x v="88"/>
    <x v="4"/>
    <s v="IN"/>
  </r>
  <r>
    <n v="190"/>
    <x v="181"/>
    <d v="2023-11-14T00:00:00"/>
    <x v="0"/>
    <x v="2"/>
    <s v="Amazon"/>
    <x v="1"/>
    <x v="1"/>
    <x v="18"/>
    <s v="PJNE3373-KR-N-6XL"/>
    <x v="1"/>
    <s v="6XL"/>
    <n v="1"/>
    <s v="INR"/>
    <n v="534"/>
    <x v="36"/>
    <x v="0"/>
    <s v="IN"/>
  </r>
  <r>
    <n v="191"/>
    <x v="182"/>
    <d v="2024-04-08T00:00:00"/>
    <x v="9"/>
    <x v="2"/>
    <s v="Amazon"/>
    <x v="1"/>
    <x v="1"/>
    <x v="29"/>
    <s v="JNE3449-KR-XXL"/>
    <x v="1"/>
    <s v="XXL"/>
    <n v="1"/>
    <s v="INR"/>
    <n v="319"/>
    <x v="89"/>
    <x v="3"/>
    <s v="IN"/>
  </r>
  <r>
    <n v="192"/>
    <x v="183"/>
    <d v="2023-04-08T00:00:00"/>
    <x v="9"/>
    <x v="2"/>
    <s v="Amazon"/>
    <x v="1"/>
    <x v="1"/>
    <x v="26"/>
    <s v="JNE3786-KR-S"/>
    <x v="1"/>
    <s v="S"/>
    <n v="1"/>
    <s v="INR"/>
    <n v="368"/>
    <x v="90"/>
    <x v="0"/>
    <s v="IN"/>
  </r>
  <r>
    <n v="193"/>
    <x v="184"/>
    <d v="2023-09-29T00:00:00"/>
    <x v="8"/>
    <x v="0"/>
    <s v="Amazon"/>
    <x v="0"/>
    <x v="1"/>
    <x v="0"/>
    <s v="SET324-KR-NP-M"/>
    <x v="0"/>
    <s v="M"/>
    <n v="1"/>
    <s v="INR"/>
    <n v="597"/>
    <x v="67"/>
    <x v="0"/>
    <s v="IN"/>
  </r>
  <r>
    <n v="194"/>
    <x v="185"/>
    <d v="2024-12-31T00:00:00"/>
    <x v="2"/>
    <x v="0"/>
    <s v="Amazon"/>
    <x v="0"/>
    <x v="1"/>
    <x v="19"/>
    <s v="J0003-SET-XXL"/>
    <x v="0"/>
    <s v="XXL"/>
    <n v="1"/>
    <s v="INR"/>
    <n v="654"/>
    <x v="91"/>
    <x v="1"/>
    <s v="IN"/>
  </r>
  <r>
    <n v="195"/>
    <x v="186"/>
    <d v="2023-09-14T00:00:00"/>
    <x v="8"/>
    <x v="2"/>
    <s v="Amazon"/>
    <x v="1"/>
    <x v="1"/>
    <x v="5"/>
    <s v="J0314-KR-M"/>
    <x v="1"/>
    <s v="M"/>
    <n v="1"/>
    <s v="INR"/>
    <n v="795"/>
    <x v="92"/>
    <x v="19"/>
    <s v="IN"/>
  </r>
  <r>
    <n v="196"/>
    <x v="187"/>
    <d v="2024-01-13T00:00:00"/>
    <x v="1"/>
    <x v="1"/>
    <s v="Merchant"/>
    <x v="0"/>
    <x v="2"/>
    <x v="25"/>
    <s v="J0341-DR-M"/>
    <x v="2"/>
    <s v="M"/>
    <n v="1"/>
    <s v="INR"/>
    <n v="744"/>
    <x v="4"/>
    <x v="3"/>
    <s v="IN"/>
  </r>
  <r>
    <n v="197"/>
    <x v="188"/>
    <d v="2023-01-14T00:00:00"/>
    <x v="1"/>
    <x v="2"/>
    <s v="Amazon"/>
    <x v="1"/>
    <x v="1"/>
    <x v="18"/>
    <s v="PJNE3068-KR-4XL"/>
    <x v="1"/>
    <s v="4XL"/>
    <n v="1"/>
    <s v="INR"/>
    <n v="692"/>
    <x v="93"/>
    <x v="4"/>
    <s v="IN"/>
  </r>
  <r>
    <n v="198"/>
    <x v="189"/>
    <d v="2024-12-17T00:00:00"/>
    <x v="2"/>
    <x v="2"/>
    <s v="Amazon"/>
    <x v="0"/>
    <x v="1"/>
    <x v="41"/>
    <s v="J0340-TP-M"/>
    <x v="3"/>
    <s v="M"/>
    <n v="1"/>
    <s v="INR"/>
    <n v="563"/>
    <x v="48"/>
    <x v="22"/>
    <s v="IN"/>
  </r>
  <r>
    <n v="199"/>
    <x v="190"/>
    <d v="2024-12-15T00:00:00"/>
    <x v="2"/>
    <x v="2"/>
    <s v="Amazon"/>
    <x v="0"/>
    <x v="1"/>
    <x v="6"/>
    <s v="JNE3687-TU-M"/>
    <x v="3"/>
    <s v="M"/>
    <n v="1"/>
    <s v="INR"/>
    <n v="545"/>
    <x v="1"/>
    <x v="1"/>
    <s v="IN"/>
  </r>
  <r>
    <n v="200"/>
    <x v="191"/>
    <d v="2023-07-23T00:00:00"/>
    <x v="11"/>
    <x v="2"/>
    <s v="Amazon"/>
    <x v="0"/>
    <x v="1"/>
    <x v="26"/>
    <s v="J0376-SKD-L"/>
    <x v="0"/>
    <s v="L"/>
    <n v="1"/>
    <s v="INR"/>
    <n v="999"/>
    <x v="94"/>
    <x v="25"/>
    <s v="IN"/>
  </r>
  <r>
    <n v="201"/>
    <x v="192"/>
    <d v="2024-02-26T00:00:00"/>
    <x v="5"/>
    <x v="2"/>
    <s v="Amazon"/>
    <x v="0"/>
    <x v="1"/>
    <x v="11"/>
    <s v="J0003-SET-M"/>
    <x v="0"/>
    <s v="M"/>
    <n v="1"/>
    <s v="INR"/>
    <n v="654"/>
    <x v="27"/>
    <x v="17"/>
    <s v="IN"/>
  </r>
  <r>
    <n v="202"/>
    <x v="193"/>
    <d v="2023-04-24T00:00:00"/>
    <x v="9"/>
    <x v="2"/>
    <s v="Amazon"/>
    <x v="0"/>
    <x v="1"/>
    <x v="3"/>
    <s v="J0198-TP-S"/>
    <x v="3"/>
    <s v="S"/>
    <n v="1"/>
    <s v="INR"/>
    <n v="588"/>
    <x v="95"/>
    <x v="0"/>
    <s v="IN"/>
  </r>
  <r>
    <n v="203"/>
    <x v="194"/>
    <d v="2023-04-14T00:00:00"/>
    <x v="9"/>
    <x v="1"/>
    <s v="Merchant"/>
    <x v="1"/>
    <x v="2"/>
    <x v="24"/>
    <s v="JNE3453-KR-S"/>
    <x v="1"/>
    <s v="S"/>
    <n v="1"/>
    <s v="INR"/>
    <n v="497"/>
    <x v="12"/>
    <x v="9"/>
    <s v="IN"/>
  </r>
  <r>
    <n v="204"/>
    <x v="195"/>
    <d v="2024-09-20T00:00:00"/>
    <x v="8"/>
    <x v="2"/>
    <s v="Amazon"/>
    <x v="1"/>
    <x v="1"/>
    <x v="18"/>
    <s v="JNE3795-KR-XXXL"/>
    <x v="1"/>
    <s v="3XL"/>
    <n v="1"/>
    <s v="INR"/>
    <n v="517"/>
    <x v="96"/>
    <x v="8"/>
    <s v="IN"/>
  </r>
  <r>
    <n v="205"/>
    <x v="196"/>
    <d v="2023-08-01T00:00:00"/>
    <x v="7"/>
    <x v="0"/>
    <s v="Amazon"/>
    <x v="0"/>
    <x v="1"/>
    <x v="20"/>
    <s v="J0340-TP-M"/>
    <x v="3"/>
    <s v="M"/>
    <n v="0"/>
    <m/>
    <m/>
    <x v="48"/>
    <x v="22"/>
    <s v="IN"/>
  </r>
  <r>
    <n v="206"/>
    <x v="197"/>
    <d v="2024-07-08T00:00:00"/>
    <x v="11"/>
    <x v="2"/>
    <s v="Amazon"/>
    <x v="0"/>
    <x v="1"/>
    <x v="18"/>
    <s v="SET398-KR-PP-M"/>
    <x v="0"/>
    <s v="M"/>
    <n v="1"/>
    <s v="INR"/>
    <n v="1115"/>
    <x v="97"/>
    <x v="26"/>
    <s v="IN"/>
  </r>
  <r>
    <n v="207"/>
    <x v="198"/>
    <d v="2024-09-10T00:00:00"/>
    <x v="8"/>
    <x v="2"/>
    <s v="Amazon"/>
    <x v="0"/>
    <x v="1"/>
    <x v="5"/>
    <s v="NW033-ST-CP-XXXL"/>
    <x v="0"/>
    <s v="3XL"/>
    <n v="1"/>
    <s v="INR"/>
    <n v="582"/>
    <x v="98"/>
    <x v="17"/>
    <s v="IN"/>
  </r>
  <r>
    <n v="208"/>
    <x v="199"/>
    <d v="2024-11-01T00:00:00"/>
    <x v="0"/>
    <x v="2"/>
    <s v="Amazon"/>
    <x v="0"/>
    <x v="1"/>
    <x v="39"/>
    <s v="NW037-TP-SR-XXXL"/>
    <x v="0"/>
    <s v="3XL"/>
    <n v="1"/>
    <s v="INR"/>
    <n v="449"/>
    <x v="98"/>
    <x v="17"/>
    <s v="IN"/>
  </r>
  <r>
    <n v="209"/>
    <x v="200"/>
    <d v="2024-07-26T00:00:00"/>
    <x v="11"/>
    <x v="2"/>
    <s v="Amazon"/>
    <x v="1"/>
    <x v="1"/>
    <x v="30"/>
    <s v="JNE3618-KR-M"/>
    <x v="1"/>
    <s v="M"/>
    <n v="1"/>
    <s v="INR"/>
    <n v="375"/>
    <x v="1"/>
    <x v="1"/>
    <s v="IN"/>
  </r>
  <r>
    <n v="210"/>
    <x v="201"/>
    <d v="2023-05-23T00:00:00"/>
    <x v="4"/>
    <x v="2"/>
    <s v="Amazon"/>
    <x v="0"/>
    <x v="1"/>
    <x v="27"/>
    <s v="SET290-KR-DPT-M"/>
    <x v="0"/>
    <s v="M"/>
    <n v="1"/>
    <s v="INR"/>
    <n v="771"/>
    <x v="50"/>
    <x v="19"/>
    <s v="IN"/>
  </r>
  <r>
    <n v="211"/>
    <x v="202"/>
    <d v="2023-09-28T00:00:00"/>
    <x v="8"/>
    <x v="2"/>
    <s v="Amazon"/>
    <x v="1"/>
    <x v="1"/>
    <x v="7"/>
    <s v="JNE3405-KR-L"/>
    <x v="1"/>
    <s v="L"/>
    <n v="1"/>
    <s v="INR"/>
    <n v="399"/>
    <x v="14"/>
    <x v="3"/>
    <s v="IN"/>
  </r>
  <r>
    <n v="212"/>
    <x v="203"/>
    <d v="2023-05-15T00:00:00"/>
    <x v="4"/>
    <x v="1"/>
    <s v="Merchant"/>
    <x v="1"/>
    <x v="0"/>
    <x v="41"/>
    <s v="JNE3568-KR-XXL"/>
    <x v="1"/>
    <s v="XXL"/>
    <n v="1"/>
    <s v="INR"/>
    <n v="0"/>
    <x v="99"/>
    <x v="14"/>
    <s v="IN"/>
  </r>
  <r>
    <n v="213"/>
    <x v="204"/>
    <d v="2023-04-18T00:00:00"/>
    <x v="9"/>
    <x v="2"/>
    <s v="Amazon"/>
    <x v="0"/>
    <x v="1"/>
    <x v="26"/>
    <s v="J0003-SET-XXXL"/>
    <x v="0"/>
    <s v="3XL"/>
    <n v="1"/>
    <s v="INR"/>
    <n v="654"/>
    <x v="100"/>
    <x v="4"/>
    <s v="IN"/>
  </r>
  <r>
    <n v="214"/>
    <x v="205"/>
    <d v="2024-05-04T00:00:00"/>
    <x v="4"/>
    <x v="2"/>
    <s v="Amazon"/>
    <x v="1"/>
    <x v="1"/>
    <x v="0"/>
    <s v="JNE2153-KR-278-A-S"/>
    <x v="1"/>
    <s v="S"/>
    <n v="1"/>
    <s v="INR"/>
    <n v="424"/>
    <x v="101"/>
    <x v="15"/>
    <s v="IN"/>
  </r>
  <r>
    <n v="215"/>
    <x v="206"/>
    <d v="2024-05-17T00:00:00"/>
    <x v="4"/>
    <x v="0"/>
    <s v="Amazon"/>
    <x v="0"/>
    <x v="1"/>
    <x v="14"/>
    <s v="JNE3861-DR-XL"/>
    <x v="2"/>
    <s v="XL"/>
    <n v="0"/>
    <m/>
    <m/>
    <x v="5"/>
    <x v="4"/>
    <s v="IN"/>
  </r>
  <r>
    <n v="216"/>
    <x v="207"/>
    <d v="2024-07-18T00:00:00"/>
    <x v="11"/>
    <x v="2"/>
    <s v="Amazon"/>
    <x v="0"/>
    <x v="1"/>
    <x v="2"/>
    <s v="JNE3645-TP-N-XS"/>
    <x v="3"/>
    <s v="XS"/>
    <n v="1"/>
    <s v="INR"/>
    <n v="432"/>
    <x v="15"/>
    <x v="0"/>
    <s v="IN"/>
  </r>
  <r>
    <n v="217"/>
    <x v="208"/>
    <d v="2024-12-20T00:00:00"/>
    <x v="2"/>
    <x v="1"/>
    <s v="Merchant"/>
    <x v="0"/>
    <x v="2"/>
    <x v="9"/>
    <s v="JNE3662-TP-XS"/>
    <x v="3"/>
    <s v="XS"/>
    <n v="1"/>
    <s v="INR"/>
    <n v="399"/>
    <x v="15"/>
    <x v="0"/>
    <s v="IN"/>
  </r>
  <r>
    <n v="218"/>
    <x v="209"/>
    <d v="2024-05-21T00:00:00"/>
    <x v="4"/>
    <x v="2"/>
    <s v="Amazon"/>
    <x v="1"/>
    <x v="1"/>
    <x v="42"/>
    <s v="JNE3440-KR-N-L"/>
    <x v="1"/>
    <s v="L"/>
    <n v="1"/>
    <s v="INR"/>
    <n v="399"/>
    <x v="40"/>
    <x v="1"/>
    <s v="IN"/>
  </r>
  <r>
    <n v="219"/>
    <x v="210"/>
    <d v="2024-11-18T00:00:00"/>
    <x v="0"/>
    <x v="2"/>
    <s v="Amazon"/>
    <x v="0"/>
    <x v="1"/>
    <x v="36"/>
    <s v="SET331-KR-NP-S"/>
    <x v="0"/>
    <s v="S"/>
    <n v="1"/>
    <s v="INR"/>
    <n v="597"/>
    <x v="102"/>
    <x v="15"/>
    <s v="IN"/>
  </r>
  <r>
    <n v="220"/>
    <x v="211"/>
    <d v="2023-07-14T00:00:00"/>
    <x v="11"/>
    <x v="2"/>
    <s v="Amazon"/>
    <x v="0"/>
    <x v="1"/>
    <x v="3"/>
    <s v="J0301-TP-M"/>
    <x v="3"/>
    <s v="M"/>
    <n v="1"/>
    <s v="INR"/>
    <n v="463"/>
    <x v="8"/>
    <x v="4"/>
    <s v="IN"/>
  </r>
  <r>
    <n v="221"/>
    <x v="212"/>
    <d v="2024-05-04T00:00:00"/>
    <x v="4"/>
    <x v="2"/>
    <s v="Amazon"/>
    <x v="1"/>
    <x v="1"/>
    <x v="21"/>
    <s v="MEN5004-KR-XL"/>
    <x v="1"/>
    <s v="XL"/>
    <n v="1"/>
    <s v="INR"/>
    <n v="484"/>
    <x v="25"/>
    <x v="4"/>
    <s v="IN"/>
  </r>
  <r>
    <n v="222"/>
    <x v="213"/>
    <d v="2023-07-31T00:00:00"/>
    <x v="11"/>
    <x v="2"/>
    <s v="Amazon"/>
    <x v="1"/>
    <x v="1"/>
    <x v="1"/>
    <s v="J0352-KR-S"/>
    <x v="1"/>
    <s v="S"/>
    <n v="1"/>
    <s v="INR"/>
    <n v="635"/>
    <x v="47"/>
    <x v="21"/>
    <s v="IN"/>
  </r>
  <r>
    <n v="223"/>
    <x v="214"/>
    <d v="2024-07-31T00:00:00"/>
    <x v="11"/>
    <x v="2"/>
    <s v="Amazon"/>
    <x v="1"/>
    <x v="1"/>
    <x v="14"/>
    <s v="JNE3160-KR-G-XXL"/>
    <x v="1"/>
    <s v="XXL"/>
    <n v="1"/>
    <s v="INR"/>
    <n v="685"/>
    <x v="103"/>
    <x v="11"/>
    <s v="IN"/>
  </r>
  <r>
    <n v="224"/>
    <x v="215"/>
    <d v="2024-05-18T00:00:00"/>
    <x v="4"/>
    <x v="1"/>
    <s v="Merchant"/>
    <x v="0"/>
    <x v="2"/>
    <x v="31"/>
    <s v="JNE3798-KR-M"/>
    <x v="2"/>
    <s v="M"/>
    <n v="1"/>
    <s v="INR"/>
    <n v="725"/>
    <x v="104"/>
    <x v="21"/>
    <s v="IN"/>
  </r>
  <r>
    <n v="225"/>
    <x v="216"/>
    <d v="2024-07-24T00:00:00"/>
    <x v="11"/>
    <x v="2"/>
    <s v="Amazon"/>
    <x v="0"/>
    <x v="1"/>
    <x v="25"/>
    <s v="JNE3690-TU-XL"/>
    <x v="3"/>
    <s v="XL"/>
    <n v="1"/>
    <s v="INR"/>
    <n v="487"/>
    <x v="1"/>
    <x v="1"/>
    <s v="IN"/>
  </r>
  <r>
    <n v="226"/>
    <x v="217"/>
    <d v="2023-07-11T00:00:00"/>
    <x v="11"/>
    <x v="0"/>
    <s v="Merchant"/>
    <x v="0"/>
    <x v="2"/>
    <x v="3"/>
    <s v="SET355-KR-PP-XXL"/>
    <x v="0"/>
    <s v="XXL"/>
    <n v="0"/>
    <s v="INR"/>
    <n v="1249.1099999999999"/>
    <x v="82"/>
    <x v="10"/>
    <s v="IN"/>
  </r>
  <r>
    <n v="227"/>
    <x v="217"/>
    <d v="2024-02-19T00:00:00"/>
    <x v="5"/>
    <x v="0"/>
    <s v="Merchant"/>
    <x v="0"/>
    <x v="2"/>
    <x v="32"/>
    <s v="SET317-KR-PP-XXL"/>
    <x v="0"/>
    <s v="XXL"/>
    <n v="0"/>
    <s v="INR"/>
    <n v="1058.93"/>
    <x v="82"/>
    <x v="10"/>
    <s v="IN"/>
  </r>
  <r>
    <n v="228"/>
    <x v="218"/>
    <d v="2023-02-27T00:00:00"/>
    <x v="5"/>
    <x v="2"/>
    <s v="Amazon"/>
    <x v="0"/>
    <x v="1"/>
    <x v="22"/>
    <s v="SET375-KR-NP-XL"/>
    <x v="0"/>
    <s v="XL"/>
    <n v="1"/>
    <s v="INR"/>
    <n v="696"/>
    <x v="105"/>
    <x v="15"/>
    <s v="IN"/>
  </r>
  <r>
    <n v="229"/>
    <x v="219"/>
    <d v="2023-03-16T00:00:00"/>
    <x v="6"/>
    <x v="2"/>
    <s v="Amazon"/>
    <x v="1"/>
    <x v="1"/>
    <x v="19"/>
    <s v="JNE3371-KR-M"/>
    <x v="1"/>
    <s v="M"/>
    <n v="1"/>
    <s v="INR"/>
    <n v="329"/>
    <x v="7"/>
    <x v="6"/>
    <s v="IN"/>
  </r>
  <r>
    <n v="230"/>
    <x v="220"/>
    <d v="2023-12-13T00:00:00"/>
    <x v="2"/>
    <x v="2"/>
    <s v="Amazon"/>
    <x v="1"/>
    <x v="1"/>
    <x v="11"/>
    <s v="JNE3465-KR-S"/>
    <x v="1"/>
    <s v="S"/>
    <n v="1"/>
    <s v="INR"/>
    <n v="517"/>
    <x v="15"/>
    <x v="0"/>
    <s v="IN"/>
  </r>
  <r>
    <n v="231"/>
    <x v="221"/>
    <d v="2023-04-29T00:00:00"/>
    <x v="9"/>
    <x v="2"/>
    <s v="Amazon"/>
    <x v="0"/>
    <x v="1"/>
    <x v="4"/>
    <s v="SET116-KR-NP-XL"/>
    <x v="0"/>
    <s v="XL"/>
    <n v="1"/>
    <s v="INR"/>
    <n v="591"/>
    <x v="15"/>
    <x v="0"/>
    <s v="IN"/>
  </r>
  <r>
    <n v="232"/>
    <x v="222"/>
    <d v="2024-05-25T00:00:00"/>
    <x v="4"/>
    <x v="2"/>
    <s v="Amazon"/>
    <x v="1"/>
    <x v="1"/>
    <x v="34"/>
    <s v="JNE3781-KR-XXXL"/>
    <x v="1"/>
    <s v="3XL"/>
    <n v="1"/>
    <s v="INR"/>
    <n v="406"/>
    <x v="106"/>
    <x v="15"/>
    <s v="IN"/>
  </r>
  <r>
    <n v="233"/>
    <x v="223"/>
    <d v="2024-05-25T00:00:00"/>
    <x v="4"/>
    <x v="2"/>
    <s v="Amazon"/>
    <x v="0"/>
    <x v="1"/>
    <x v="2"/>
    <s v="SET147-KR-NP-XL"/>
    <x v="0"/>
    <s v="XL"/>
    <n v="1"/>
    <s v="INR"/>
    <n v="684"/>
    <x v="1"/>
    <x v="1"/>
    <s v="IN"/>
  </r>
  <r>
    <n v="234"/>
    <x v="223"/>
    <d v="2024-11-03T00:00:00"/>
    <x v="0"/>
    <x v="2"/>
    <s v="Amazon"/>
    <x v="0"/>
    <x v="1"/>
    <x v="18"/>
    <s v="SET397-KR-NP-XL"/>
    <x v="0"/>
    <s v="XL"/>
    <n v="1"/>
    <s v="INR"/>
    <n v="1115"/>
    <x v="1"/>
    <x v="1"/>
    <s v="IN"/>
  </r>
  <r>
    <n v="235"/>
    <x v="224"/>
    <d v="2024-10-16T00:00:00"/>
    <x v="10"/>
    <x v="1"/>
    <s v="Merchant"/>
    <x v="0"/>
    <x v="2"/>
    <x v="37"/>
    <s v="SET300-KR-NP-L"/>
    <x v="0"/>
    <s v="L"/>
    <n v="1"/>
    <s v="INR"/>
    <n v="999"/>
    <x v="1"/>
    <x v="1"/>
    <s v="IN"/>
  </r>
  <r>
    <n v="236"/>
    <x v="225"/>
    <d v="2023-11-04T00:00:00"/>
    <x v="0"/>
    <x v="1"/>
    <s v="Merchant"/>
    <x v="1"/>
    <x v="0"/>
    <x v="17"/>
    <s v="JNE3384-KR-M"/>
    <x v="1"/>
    <s v="M"/>
    <n v="1"/>
    <s v="INR"/>
    <n v="295"/>
    <x v="1"/>
    <x v="1"/>
    <s v="IN"/>
  </r>
  <r>
    <n v="237"/>
    <x v="226"/>
    <d v="2024-07-09T00:00:00"/>
    <x v="11"/>
    <x v="2"/>
    <s v="Amazon"/>
    <x v="1"/>
    <x v="1"/>
    <x v="26"/>
    <s v="JNE3291-KR-XL"/>
    <x v="1"/>
    <s v="XL"/>
    <n v="1"/>
    <s v="INR"/>
    <n v="442"/>
    <x v="107"/>
    <x v="1"/>
    <s v="IN"/>
  </r>
  <r>
    <n v="238"/>
    <x v="227"/>
    <d v="2023-10-03T00:00:00"/>
    <x v="10"/>
    <x v="2"/>
    <s v="Amazon"/>
    <x v="0"/>
    <x v="1"/>
    <x v="32"/>
    <s v="SET291-KR-PP-L"/>
    <x v="0"/>
    <s v="L"/>
    <n v="1"/>
    <s v="INR"/>
    <n v="563"/>
    <x v="108"/>
    <x v="11"/>
    <s v="IN"/>
  </r>
  <r>
    <n v="239"/>
    <x v="228"/>
    <d v="2024-06-12T00:00:00"/>
    <x v="3"/>
    <x v="2"/>
    <s v="Amazon"/>
    <x v="1"/>
    <x v="1"/>
    <x v="24"/>
    <s v="JNE3399-KR-L"/>
    <x v="1"/>
    <s v="L"/>
    <n v="1"/>
    <s v="INR"/>
    <n v="435"/>
    <x v="12"/>
    <x v="9"/>
    <s v="IN"/>
  </r>
  <r>
    <n v="240"/>
    <x v="229"/>
    <d v="2023-07-09T00:00:00"/>
    <x v="11"/>
    <x v="2"/>
    <s v="Amazon"/>
    <x v="0"/>
    <x v="1"/>
    <x v="15"/>
    <s v="SET291-KR-PP-M"/>
    <x v="0"/>
    <s v="M"/>
    <n v="1"/>
    <s v="INR"/>
    <n v="563"/>
    <x v="86"/>
    <x v="1"/>
    <s v="IN"/>
  </r>
  <r>
    <n v="241"/>
    <x v="230"/>
    <d v="2024-06-16T00:00:00"/>
    <x v="3"/>
    <x v="2"/>
    <s v="Amazon"/>
    <x v="1"/>
    <x v="1"/>
    <x v="16"/>
    <s v="JNE3440-KR-N-XS"/>
    <x v="1"/>
    <s v="XS"/>
    <n v="1"/>
    <s v="INR"/>
    <n v="399"/>
    <x v="50"/>
    <x v="19"/>
    <s v="IN"/>
  </r>
  <r>
    <n v="242"/>
    <x v="231"/>
    <d v="2024-06-11T00:00:00"/>
    <x v="3"/>
    <x v="0"/>
    <s v="Amazon"/>
    <x v="0"/>
    <x v="1"/>
    <x v="28"/>
    <s v="J0198-TP-S"/>
    <x v="3"/>
    <s v="S"/>
    <n v="0"/>
    <m/>
    <m/>
    <x v="95"/>
    <x v="0"/>
    <s v="IN"/>
  </r>
  <r>
    <n v="243"/>
    <x v="232"/>
    <d v="2024-01-29T00:00:00"/>
    <x v="1"/>
    <x v="2"/>
    <s v="Amazon"/>
    <x v="0"/>
    <x v="1"/>
    <x v="26"/>
    <s v="SET363-KR-NP-XXL"/>
    <x v="0"/>
    <s v="XXL"/>
    <n v="1"/>
    <s v="INR"/>
    <n v="1338"/>
    <x v="27"/>
    <x v="17"/>
    <s v="IN"/>
  </r>
  <r>
    <n v="244"/>
    <x v="233"/>
    <d v="2023-10-23T00:00:00"/>
    <x v="10"/>
    <x v="3"/>
    <s v="Merchant"/>
    <x v="0"/>
    <x v="0"/>
    <x v="6"/>
    <s v="SET304-KR-DPT-XS"/>
    <x v="0"/>
    <s v="XS"/>
    <n v="1"/>
    <s v="INR"/>
    <n v="1115"/>
    <x v="109"/>
    <x v="17"/>
    <s v="IN"/>
  </r>
  <r>
    <n v="245"/>
    <x v="234"/>
    <d v="2023-07-14T00:00:00"/>
    <x v="11"/>
    <x v="2"/>
    <s v="Amazon"/>
    <x v="1"/>
    <x v="1"/>
    <x v="26"/>
    <s v="JNE3405-KR-XL"/>
    <x v="1"/>
    <s v="XL"/>
    <n v="1"/>
    <s v="INR"/>
    <n v="399"/>
    <x v="1"/>
    <x v="1"/>
    <s v="IN"/>
  </r>
  <r>
    <n v="246"/>
    <x v="235"/>
    <d v="2023-09-08T00:00:00"/>
    <x v="8"/>
    <x v="1"/>
    <s v="Merchant"/>
    <x v="0"/>
    <x v="0"/>
    <x v="42"/>
    <s v="J0348-SET-S"/>
    <x v="0"/>
    <s v="S"/>
    <n v="1"/>
    <s v="INR"/>
    <n v="499"/>
    <x v="15"/>
    <x v="0"/>
    <s v="IN"/>
  </r>
  <r>
    <n v="247"/>
    <x v="236"/>
    <d v="2024-06-23T00:00:00"/>
    <x v="3"/>
    <x v="1"/>
    <s v="Merchant"/>
    <x v="0"/>
    <x v="0"/>
    <x v="14"/>
    <s v="J0399-DR-M"/>
    <x v="2"/>
    <s v="M"/>
    <n v="1"/>
    <s v="INR"/>
    <n v="791"/>
    <x v="43"/>
    <x v="20"/>
    <s v="IN"/>
  </r>
  <r>
    <n v="248"/>
    <x v="237"/>
    <d v="2023-06-10T00:00:00"/>
    <x v="3"/>
    <x v="2"/>
    <s v="Amazon"/>
    <x v="0"/>
    <x v="1"/>
    <x v="13"/>
    <s v="JNE3797-KR-M"/>
    <x v="2"/>
    <s v="M"/>
    <n v="1"/>
    <s v="INR"/>
    <n v="725"/>
    <x v="104"/>
    <x v="21"/>
    <s v="IN"/>
  </r>
  <r>
    <n v="249"/>
    <x v="238"/>
    <d v="2023-12-07T00:00:00"/>
    <x v="2"/>
    <x v="0"/>
    <s v="Amazon"/>
    <x v="1"/>
    <x v="1"/>
    <x v="25"/>
    <s v="JNE3440-KR-N-M"/>
    <x v="1"/>
    <s v="M"/>
    <n v="0"/>
    <m/>
    <m/>
    <x v="1"/>
    <x v="1"/>
    <s v="IN"/>
  </r>
  <r>
    <n v="250"/>
    <x v="239"/>
    <d v="2024-02-20T00:00:00"/>
    <x v="5"/>
    <x v="0"/>
    <s v="Merchant"/>
    <x v="1"/>
    <x v="2"/>
    <x v="27"/>
    <s v="JNE3802-KR-M"/>
    <x v="1"/>
    <s v="M"/>
    <n v="0"/>
    <m/>
    <m/>
    <x v="1"/>
    <x v="1"/>
    <s v="IN"/>
  </r>
  <r>
    <n v="251"/>
    <x v="240"/>
    <d v="2023-02-23T00:00:00"/>
    <x v="5"/>
    <x v="0"/>
    <s v="Merchant"/>
    <x v="0"/>
    <x v="2"/>
    <x v="14"/>
    <s v="J0285-SKD-M"/>
    <x v="0"/>
    <s v="M"/>
    <n v="0"/>
    <s v="INR"/>
    <n v="1278.57"/>
    <x v="110"/>
    <x v="12"/>
    <s v="IN"/>
  </r>
  <r>
    <n v="252"/>
    <x v="241"/>
    <d v="2024-07-20T00:00:00"/>
    <x v="11"/>
    <x v="2"/>
    <s v="Amazon"/>
    <x v="0"/>
    <x v="1"/>
    <x v="16"/>
    <s v="SET322-KR-SHA-XL"/>
    <x v="0"/>
    <s v="XL"/>
    <n v="1"/>
    <s v="INR"/>
    <n v="1099"/>
    <x v="27"/>
    <x v="17"/>
    <s v="IN"/>
  </r>
  <r>
    <n v="253"/>
    <x v="242"/>
    <d v="2024-05-20T00:00:00"/>
    <x v="4"/>
    <x v="1"/>
    <s v="Merchant"/>
    <x v="1"/>
    <x v="2"/>
    <x v="36"/>
    <s v="MEN5021-KR-XL"/>
    <x v="1"/>
    <s v="XL"/>
    <n v="1"/>
    <s v="INR"/>
    <n v="533"/>
    <x v="29"/>
    <x v="6"/>
    <s v="IN"/>
  </r>
  <r>
    <n v="254"/>
    <x v="243"/>
    <d v="2023-04-03T00:00:00"/>
    <x v="9"/>
    <x v="2"/>
    <s v="Amazon"/>
    <x v="1"/>
    <x v="1"/>
    <x v="24"/>
    <s v="PJ0096-KR-N-5XL"/>
    <x v="1"/>
    <s v="5XL"/>
    <n v="1"/>
    <s v="INR"/>
    <n v="696"/>
    <x v="111"/>
    <x v="8"/>
    <s v="IN"/>
  </r>
  <r>
    <n v="255"/>
    <x v="244"/>
    <d v="2024-10-04T00:00:00"/>
    <x v="10"/>
    <x v="2"/>
    <s v="Amazon"/>
    <x v="1"/>
    <x v="1"/>
    <x v="16"/>
    <s v="JNE3461-KR-M"/>
    <x v="1"/>
    <s v="M"/>
    <n v="1"/>
    <s v="INR"/>
    <n v="363"/>
    <x v="64"/>
    <x v="3"/>
    <s v="IN"/>
  </r>
  <r>
    <n v="256"/>
    <x v="245"/>
    <d v="2023-04-03T00:00:00"/>
    <x v="9"/>
    <x v="2"/>
    <s v="Amazon"/>
    <x v="0"/>
    <x v="1"/>
    <x v="35"/>
    <s v="SET383-KR-NP-L"/>
    <x v="0"/>
    <s v="L"/>
    <n v="1"/>
    <s v="INR"/>
    <n v="631"/>
    <x v="99"/>
    <x v="14"/>
    <s v="IN"/>
  </r>
  <r>
    <n v="257"/>
    <x v="246"/>
    <d v="2024-01-20T00:00:00"/>
    <x v="1"/>
    <x v="2"/>
    <s v="Amazon"/>
    <x v="0"/>
    <x v="1"/>
    <x v="34"/>
    <s v="J0002-SKD-XXXL"/>
    <x v="0"/>
    <s v="3XL"/>
    <n v="1"/>
    <s v="INR"/>
    <n v="1115"/>
    <x v="112"/>
    <x v="21"/>
    <s v="IN"/>
  </r>
  <r>
    <n v="258"/>
    <x v="246"/>
    <d v="2023-11-03T00:00:00"/>
    <x v="0"/>
    <x v="2"/>
    <s v="Amazon"/>
    <x v="0"/>
    <x v="1"/>
    <x v="8"/>
    <s v="SET344-KR-NP-XXXL"/>
    <x v="0"/>
    <s v="3XL"/>
    <n v="1"/>
    <s v="INR"/>
    <n v="968"/>
    <x v="112"/>
    <x v="21"/>
    <s v="IN"/>
  </r>
  <r>
    <n v="259"/>
    <x v="247"/>
    <d v="2023-02-25T00:00:00"/>
    <x v="5"/>
    <x v="2"/>
    <s v="Amazon"/>
    <x v="1"/>
    <x v="1"/>
    <x v="14"/>
    <s v="JNE3465-KR-XXL"/>
    <x v="1"/>
    <s v="XXL"/>
    <n v="1"/>
    <s v="INR"/>
    <n v="486"/>
    <x v="36"/>
    <x v="0"/>
    <s v="IN"/>
  </r>
  <r>
    <n v="260"/>
    <x v="247"/>
    <d v="2023-04-25T00:00:00"/>
    <x v="9"/>
    <x v="2"/>
    <s v="Amazon"/>
    <x v="0"/>
    <x v="1"/>
    <x v="2"/>
    <s v="SET324-KR-NP-XXL"/>
    <x v="0"/>
    <s v="XXL"/>
    <n v="1"/>
    <s v="INR"/>
    <n v="597"/>
    <x v="36"/>
    <x v="0"/>
    <s v="IN"/>
  </r>
  <r>
    <n v="261"/>
    <x v="248"/>
    <d v="2023-01-06T00:00:00"/>
    <x v="1"/>
    <x v="1"/>
    <s v="Merchant"/>
    <x v="0"/>
    <x v="0"/>
    <x v="18"/>
    <s v="SET184-KR-PP-XXXL"/>
    <x v="0"/>
    <s v="3XL"/>
    <n v="1"/>
    <s v="INR"/>
    <n v="563"/>
    <x v="36"/>
    <x v="0"/>
    <s v="IN"/>
  </r>
  <r>
    <n v="262"/>
    <x v="249"/>
    <d v="2023-11-05T00:00:00"/>
    <x v="0"/>
    <x v="2"/>
    <s v="Amazon"/>
    <x v="0"/>
    <x v="1"/>
    <x v="26"/>
    <s v="SET324-KR-NP-L"/>
    <x v="0"/>
    <s v="L"/>
    <n v="1"/>
    <s v="INR"/>
    <n v="597"/>
    <x v="4"/>
    <x v="3"/>
    <s v="IN"/>
  </r>
  <r>
    <n v="263"/>
    <x v="250"/>
    <d v="2024-03-17T00:00:00"/>
    <x v="6"/>
    <x v="1"/>
    <s v="Merchant"/>
    <x v="1"/>
    <x v="2"/>
    <x v="42"/>
    <s v="JNE3697-KR-XXL"/>
    <x v="1"/>
    <s v="XXL"/>
    <n v="1"/>
    <s v="INR"/>
    <n v="458"/>
    <x v="113"/>
    <x v="17"/>
    <s v="IN"/>
  </r>
  <r>
    <n v="264"/>
    <x v="251"/>
    <d v="2024-10-27T00:00:00"/>
    <x v="10"/>
    <x v="2"/>
    <s v="Amazon"/>
    <x v="0"/>
    <x v="1"/>
    <x v="27"/>
    <s v="J0008-SKD-S"/>
    <x v="0"/>
    <s v="S"/>
    <n v="1"/>
    <s v="INR"/>
    <n v="1065"/>
    <x v="43"/>
    <x v="20"/>
    <s v="IN"/>
  </r>
  <r>
    <n v="265"/>
    <x v="252"/>
    <d v="2023-02-13T00:00:00"/>
    <x v="5"/>
    <x v="2"/>
    <s v="Amazon"/>
    <x v="0"/>
    <x v="1"/>
    <x v="7"/>
    <s v="J0008-SKD-XXL"/>
    <x v="0"/>
    <s v="XXL"/>
    <n v="2"/>
    <s v="INR"/>
    <n v="2130"/>
    <x v="0"/>
    <x v="0"/>
    <s v="IN"/>
  </r>
  <r>
    <n v="266"/>
    <x v="253"/>
    <d v="2023-09-16T00:00:00"/>
    <x v="8"/>
    <x v="1"/>
    <s v="Merchant"/>
    <x v="0"/>
    <x v="0"/>
    <x v="11"/>
    <s v="J0013-SKD-XXL"/>
    <x v="0"/>
    <s v="XXL"/>
    <n v="1"/>
    <s v="INR"/>
    <n v="1099"/>
    <x v="0"/>
    <x v="0"/>
    <s v="IN"/>
  </r>
  <r>
    <n v="267"/>
    <x v="254"/>
    <d v="2024-07-27T00:00:00"/>
    <x v="11"/>
    <x v="2"/>
    <s v="Amazon"/>
    <x v="0"/>
    <x v="1"/>
    <x v="35"/>
    <s v="J0208-DR-S"/>
    <x v="2"/>
    <s v="S"/>
    <n v="1"/>
    <s v="INR"/>
    <n v="721"/>
    <x v="114"/>
    <x v="16"/>
    <s v="IN"/>
  </r>
  <r>
    <n v="268"/>
    <x v="255"/>
    <d v="2023-11-09T00:00:00"/>
    <x v="0"/>
    <x v="2"/>
    <s v="Amazon"/>
    <x v="0"/>
    <x v="1"/>
    <x v="28"/>
    <s v="SET344-KR-NP-XL"/>
    <x v="0"/>
    <s v="XL"/>
    <n v="1"/>
    <s v="INR"/>
    <n v="968"/>
    <x v="115"/>
    <x v="4"/>
    <s v="IN"/>
  </r>
  <r>
    <n v="269"/>
    <x v="256"/>
    <d v="2024-11-24T00:00:00"/>
    <x v="0"/>
    <x v="2"/>
    <s v="Amazon"/>
    <x v="0"/>
    <x v="1"/>
    <x v="30"/>
    <s v="NW001-TP-PJ-XXL"/>
    <x v="0"/>
    <s v="XXL"/>
    <n v="1"/>
    <s v="INR"/>
    <n v="563"/>
    <x v="21"/>
    <x v="4"/>
    <s v="IN"/>
  </r>
  <r>
    <n v="270"/>
    <x v="257"/>
    <d v="2023-11-07T00:00:00"/>
    <x v="0"/>
    <x v="0"/>
    <s v="Merchant"/>
    <x v="0"/>
    <x v="0"/>
    <x v="40"/>
    <s v="SET304-KR-DPT-S"/>
    <x v="0"/>
    <s v="S"/>
    <n v="0"/>
    <s v="INR"/>
    <n v="995.54"/>
    <x v="1"/>
    <x v="1"/>
    <s v="IN"/>
  </r>
  <r>
    <n v="271"/>
    <x v="258"/>
    <d v="2024-12-14T00:00:00"/>
    <x v="2"/>
    <x v="0"/>
    <s v="Amazon"/>
    <x v="0"/>
    <x v="1"/>
    <x v="42"/>
    <s v="SET265-KR-NP-XL"/>
    <x v="0"/>
    <s v="XL"/>
    <n v="0"/>
    <m/>
    <m/>
    <x v="47"/>
    <x v="21"/>
    <s v="IN"/>
  </r>
  <r>
    <n v="272"/>
    <x v="259"/>
    <d v="2024-04-24T00:00:00"/>
    <x v="9"/>
    <x v="2"/>
    <s v="Amazon"/>
    <x v="0"/>
    <x v="1"/>
    <x v="3"/>
    <s v="SET004-KR-SP-A-S"/>
    <x v="0"/>
    <s v="S"/>
    <n v="1"/>
    <s v="INR"/>
    <n v="682"/>
    <x v="5"/>
    <x v="4"/>
    <s v="IN"/>
  </r>
  <r>
    <n v="273"/>
    <x v="260"/>
    <d v="2024-01-22T00:00:00"/>
    <x v="1"/>
    <x v="2"/>
    <s v="Amazon"/>
    <x v="1"/>
    <x v="1"/>
    <x v="42"/>
    <s v="JNE3405-KR-XL"/>
    <x v="1"/>
    <s v="XL"/>
    <n v="1"/>
    <s v="INR"/>
    <n v="399"/>
    <x v="116"/>
    <x v="24"/>
    <s v="IN"/>
  </r>
  <r>
    <n v="274"/>
    <x v="261"/>
    <d v="2024-11-17T00:00:00"/>
    <x v="0"/>
    <x v="2"/>
    <s v="Amazon"/>
    <x v="0"/>
    <x v="1"/>
    <x v="32"/>
    <s v="SET345-KR-NP-M"/>
    <x v="0"/>
    <s v="M"/>
    <n v="1"/>
    <s v="INR"/>
    <n v="626"/>
    <x v="4"/>
    <x v="3"/>
    <s v="IN"/>
  </r>
  <r>
    <n v="275"/>
    <x v="262"/>
    <d v="2024-10-14T00:00:00"/>
    <x v="10"/>
    <x v="2"/>
    <s v="Amazon"/>
    <x v="0"/>
    <x v="1"/>
    <x v="17"/>
    <s v="J0012-SKD-M"/>
    <x v="0"/>
    <s v="M"/>
    <n v="1"/>
    <s v="INR"/>
    <n v="1140"/>
    <x v="117"/>
    <x v="6"/>
    <s v="IN"/>
  </r>
  <r>
    <n v="276"/>
    <x v="263"/>
    <d v="2023-10-13T00:00:00"/>
    <x v="10"/>
    <x v="2"/>
    <s v="Amazon"/>
    <x v="1"/>
    <x v="1"/>
    <x v="0"/>
    <s v="JNE3465-KR-M"/>
    <x v="1"/>
    <s v="M"/>
    <n v="1"/>
    <s v="INR"/>
    <n v="486"/>
    <x v="118"/>
    <x v="22"/>
    <s v="IN"/>
  </r>
  <r>
    <n v="277"/>
    <x v="264"/>
    <d v="2023-11-21T00:00:00"/>
    <x v="0"/>
    <x v="2"/>
    <s v="Amazon"/>
    <x v="0"/>
    <x v="1"/>
    <x v="37"/>
    <s v="SET374-KR-NP-XS"/>
    <x v="0"/>
    <s v="XS"/>
    <n v="1"/>
    <s v="INR"/>
    <n v="597"/>
    <x v="1"/>
    <x v="1"/>
    <s v="IN"/>
  </r>
  <r>
    <n v="278"/>
    <x v="265"/>
    <d v="2024-06-14T00:00:00"/>
    <x v="3"/>
    <x v="2"/>
    <s v="Amazon"/>
    <x v="1"/>
    <x v="1"/>
    <x v="6"/>
    <s v="JNE3567-KR-XL"/>
    <x v="1"/>
    <s v="XL"/>
    <n v="1"/>
    <s v="INR"/>
    <n v="399"/>
    <x v="119"/>
    <x v="1"/>
    <s v="IN"/>
  </r>
  <r>
    <n v="279"/>
    <x v="266"/>
    <d v="2023-12-04T00:00:00"/>
    <x v="2"/>
    <x v="2"/>
    <s v="Amazon"/>
    <x v="0"/>
    <x v="1"/>
    <x v="24"/>
    <s v="J0041-SET-M"/>
    <x v="0"/>
    <s v="M"/>
    <n v="1"/>
    <s v="INR"/>
    <n v="660"/>
    <x v="120"/>
    <x v="7"/>
    <s v="IN"/>
  </r>
  <r>
    <n v="280"/>
    <x v="267"/>
    <d v="2024-03-09T00:00:00"/>
    <x v="6"/>
    <x v="2"/>
    <s v="Amazon"/>
    <x v="1"/>
    <x v="1"/>
    <x v="26"/>
    <s v="JNE3611-KR-XL"/>
    <x v="1"/>
    <s v="XL"/>
    <n v="1"/>
    <s v="INR"/>
    <n v="459"/>
    <x v="7"/>
    <x v="6"/>
    <s v="IN"/>
  </r>
  <r>
    <n v="281"/>
    <x v="268"/>
    <d v="2023-03-10T00:00:00"/>
    <x v="6"/>
    <x v="2"/>
    <s v="Amazon"/>
    <x v="0"/>
    <x v="1"/>
    <x v="37"/>
    <s v="SET384-KR-NP-XS"/>
    <x v="0"/>
    <s v="XS"/>
    <n v="1"/>
    <s v="INR"/>
    <n v="631"/>
    <x v="12"/>
    <x v="9"/>
    <s v="IN"/>
  </r>
  <r>
    <n v="282"/>
    <x v="269"/>
    <d v="2024-05-26T00:00:00"/>
    <x v="4"/>
    <x v="1"/>
    <s v="Merchant"/>
    <x v="1"/>
    <x v="2"/>
    <x v="23"/>
    <s v="JNE3802-KR-M"/>
    <x v="1"/>
    <s v="M"/>
    <n v="1"/>
    <s v="INR"/>
    <n v="459"/>
    <x v="21"/>
    <x v="4"/>
    <s v="IN"/>
  </r>
  <r>
    <n v="283"/>
    <x v="270"/>
    <d v="2023-04-28T00:00:00"/>
    <x v="9"/>
    <x v="0"/>
    <s v="Amazon"/>
    <x v="0"/>
    <x v="1"/>
    <x v="10"/>
    <s v="SET374-KR-NP-XS"/>
    <x v="0"/>
    <s v="XS"/>
    <n v="1"/>
    <s v="INR"/>
    <n v="597"/>
    <x v="1"/>
    <x v="1"/>
    <s v="IN"/>
  </r>
  <r>
    <n v="284"/>
    <x v="271"/>
    <d v="2024-06-09T00:00:00"/>
    <x v="3"/>
    <x v="2"/>
    <s v="Amazon"/>
    <x v="0"/>
    <x v="1"/>
    <x v="19"/>
    <s v="SET347-KR-NP-S"/>
    <x v="0"/>
    <s v="S"/>
    <n v="1"/>
    <s v="INR"/>
    <n v="852"/>
    <x v="1"/>
    <x v="1"/>
    <s v="IN"/>
  </r>
  <r>
    <n v="285"/>
    <x v="272"/>
    <d v="2024-05-04T00:00:00"/>
    <x v="4"/>
    <x v="2"/>
    <s v="Amazon"/>
    <x v="1"/>
    <x v="1"/>
    <x v="24"/>
    <s v="JNE2014-KR-178-XL"/>
    <x v="1"/>
    <s v="XL"/>
    <n v="1"/>
    <s v="INR"/>
    <n v="353"/>
    <x v="7"/>
    <x v="6"/>
    <s v="IN"/>
  </r>
  <r>
    <n v="286"/>
    <x v="273"/>
    <d v="2023-12-09T00:00:00"/>
    <x v="2"/>
    <x v="2"/>
    <s v="Amazon"/>
    <x v="1"/>
    <x v="1"/>
    <x v="6"/>
    <s v="JNE3635-KR-L"/>
    <x v="1"/>
    <s v="L"/>
    <n v="1"/>
    <s v="INR"/>
    <n v="345"/>
    <x v="1"/>
    <x v="1"/>
    <s v="IN"/>
  </r>
  <r>
    <n v="287"/>
    <x v="273"/>
    <d v="2024-05-28T00:00:00"/>
    <x v="4"/>
    <x v="2"/>
    <s v="Amazon"/>
    <x v="1"/>
    <x v="1"/>
    <x v="9"/>
    <s v="JNE3721-KR-L"/>
    <x v="1"/>
    <s v="L"/>
    <n v="1"/>
    <s v="INR"/>
    <n v="329"/>
    <x v="1"/>
    <x v="1"/>
    <s v="IN"/>
  </r>
  <r>
    <n v="288"/>
    <x v="274"/>
    <d v="2023-04-22T00:00:00"/>
    <x v="9"/>
    <x v="2"/>
    <s v="Amazon"/>
    <x v="0"/>
    <x v="1"/>
    <x v="19"/>
    <s v="J0118-TP-XXXL"/>
    <x v="3"/>
    <s v="3XL"/>
    <n v="1"/>
    <s v="INR"/>
    <n v="518"/>
    <x v="121"/>
    <x v="17"/>
    <s v="IN"/>
  </r>
  <r>
    <n v="289"/>
    <x v="275"/>
    <d v="2024-06-04T00:00:00"/>
    <x v="3"/>
    <x v="2"/>
    <s v="Amazon"/>
    <x v="0"/>
    <x v="1"/>
    <x v="2"/>
    <s v="JNE3654-TP-XS"/>
    <x v="3"/>
    <s v="XS"/>
    <n v="1"/>
    <s v="INR"/>
    <n v="387"/>
    <x v="27"/>
    <x v="17"/>
    <s v="IN"/>
  </r>
  <r>
    <n v="290"/>
    <x v="276"/>
    <d v="2024-10-26T00:00:00"/>
    <x v="10"/>
    <x v="1"/>
    <s v="Merchant"/>
    <x v="0"/>
    <x v="0"/>
    <x v="12"/>
    <s v="JNE3652-TP-N-XL"/>
    <x v="3"/>
    <s v="XL"/>
    <n v="1"/>
    <s v="INR"/>
    <n v="339"/>
    <x v="7"/>
    <x v="6"/>
    <s v="IN"/>
  </r>
  <r>
    <n v="291"/>
    <x v="277"/>
    <d v="2023-12-25T00:00:00"/>
    <x v="2"/>
    <x v="2"/>
    <s v="Amazon"/>
    <x v="0"/>
    <x v="1"/>
    <x v="36"/>
    <s v="J0339-DR-L"/>
    <x v="2"/>
    <s v="L"/>
    <n v="1"/>
    <s v="INR"/>
    <n v="744"/>
    <x v="114"/>
    <x v="16"/>
    <s v="IN"/>
  </r>
  <r>
    <n v="292"/>
    <x v="278"/>
    <d v="2024-05-21T00:00:00"/>
    <x v="4"/>
    <x v="1"/>
    <s v="Merchant"/>
    <x v="0"/>
    <x v="2"/>
    <x v="32"/>
    <s v="SET303-KR-NP-XL"/>
    <x v="0"/>
    <s v="XL"/>
    <n v="1"/>
    <s v="INR"/>
    <n v="888"/>
    <x v="122"/>
    <x v="17"/>
    <s v="IN"/>
  </r>
  <r>
    <n v="293"/>
    <x v="279"/>
    <d v="2023-10-18T00:00:00"/>
    <x v="10"/>
    <x v="2"/>
    <s v="Amazon"/>
    <x v="1"/>
    <x v="1"/>
    <x v="36"/>
    <s v="JNE3396-KR-XXXL"/>
    <x v="1"/>
    <s v="3XL"/>
    <n v="1"/>
    <s v="INR"/>
    <n v="487"/>
    <x v="123"/>
    <x v="14"/>
    <s v="IN"/>
  </r>
  <r>
    <n v="294"/>
    <x v="280"/>
    <d v="2023-04-05T00:00:00"/>
    <x v="9"/>
    <x v="1"/>
    <s v="Merchant"/>
    <x v="1"/>
    <x v="2"/>
    <x v="26"/>
    <s v="JNE3256-KR-XXXL"/>
    <x v="1"/>
    <s v="3XL"/>
    <n v="1"/>
    <s v="INR"/>
    <n v="487"/>
    <x v="123"/>
    <x v="14"/>
    <s v="IN"/>
  </r>
  <r>
    <n v="295"/>
    <x v="281"/>
    <d v="2024-05-20T00:00:00"/>
    <x v="4"/>
    <x v="2"/>
    <s v="Amazon"/>
    <x v="0"/>
    <x v="1"/>
    <x v="41"/>
    <s v="J0340-TP-XS"/>
    <x v="3"/>
    <s v="XS"/>
    <n v="1"/>
    <s v="INR"/>
    <n v="563"/>
    <x v="82"/>
    <x v="10"/>
    <s v="IN"/>
  </r>
  <r>
    <n v="296"/>
    <x v="282"/>
    <d v="2023-03-20T00:00:00"/>
    <x v="6"/>
    <x v="2"/>
    <s v="Amazon"/>
    <x v="0"/>
    <x v="1"/>
    <x v="10"/>
    <s v="J0335-DR-S"/>
    <x v="2"/>
    <s v="S"/>
    <n v="1"/>
    <s v="INR"/>
    <n v="859"/>
    <x v="71"/>
    <x v="7"/>
    <s v="IN"/>
  </r>
  <r>
    <n v="297"/>
    <x v="283"/>
    <d v="2023-04-22T00:00:00"/>
    <x v="9"/>
    <x v="2"/>
    <s v="Amazon"/>
    <x v="0"/>
    <x v="1"/>
    <x v="11"/>
    <s v="J0008-SKD-L"/>
    <x v="0"/>
    <s v="L"/>
    <n v="1"/>
    <s v="INR"/>
    <n v="1133"/>
    <x v="0"/>
    <x v="0"/>
    <s v="IN"/>
  </r>
  <r>
    <n v="298"/>
    <x v="284"/>
    <d v="2023-04-30T00:00:00"/>
    <x v="9"/>
    <x v="2"/>
    <s v="Amazon"/>
    <x v="0"/>
    <x v="1"/>
    <x v="19"/>
    <s v="SET268-KR-NP-XS"/>
    <x v="0"/>
    <s v="XS"/>
    <n v="1"/>
    <s v="INR"/>
    <n v="788"/>
    <x v="124"/>
    <x v="0"/>
    <s v="IN"/>
  </r>
  <r>
    <n v="299"/>
    <x v="285"/>
    <d v="2023-08-31T00:00:00"/>
    <x v="7"/>
    <x v="2"/>
    <s v="Amazon"/>
    <x v="0"/>
    <x v="1"/>
    <x v="27"/>
    <s v="J0280-SKD-S"/>
    <x v="0"/>
    <s v="S"/>
    <n v="1"/>
    <s v="INR"/>
    <n v="1463"/>
    <x v="37"/>
    <x v="0"/>
    <s v="IN"/>
  </r>
  <r>
    <n v="300"/>
    <x v="286"/>
    <d v="2024-03-17T00:00:00"/>
    <x v="6"/>
    <x v="2"/>
    <s v="Amazon"/>
    <x v="1"/>
    <x v="1"/>
    <x v="38"/>
    <s v="JNE3405-KR-L"/>
    <x v="1"/>
    <s v="L"/>
    <n v="1"/>
    <s v="INR"/>
    <n v="399"/>
    <x v="125"/>
    <x v="23"/>
    <s v="IN"/>
  </r>
  <r>
    <n v="301"/>
    <x v="287"/>
    <d v="2024-07-03T00:00:00"/>
    <x v="11"/>
    <x v="0"/>
    <s v="Amazon"/>
    <x v="0"/>
    <x v="1"/>
    <x v="0"/>
    <s v="J0339-DR-M"/>
    <x v="2"/>
    <s v="M"/>
    <n v="1"/>
    <s v="INR"/>
    <n v="744"/>
    <x v="114"/>
    <x v="16"/>
    <s v="IN"/>
  </r>
  <r>
    <n v="302"/>
    <x v="288"/>
    <d v="2024-03-19T00:00:00"/>
    <x v="6"/>
    <x v="1"/>
    <s v="Merchant"/>
    <x v="1"/>
    <x v="0"/>
    <x v="29"/>
    <s v="JNE3564-KR-XXXL"/>
    <x v="1"/>
    <s v="3XL"/>
    <n v="1"/>
    <s v="INR"/>
    <n v="487"/>
    <x v="1"/>
    <x v="1"/>
    <s v="IN"/>
  </r>
  <r>
    <n v="303"/>
    <x v="289"/>
    <d v="2024-12-24T00:00:00"/>
    <x v="2"/>
    <x v="2"/>
    <s v="Amazon"/>
    <x v="0"/>
    <x v="1"/>
    <x v="12"/>
    <s v="SET182-KR-DH-L"/>
    <x v="0"/>
    <s v="L"/>
    <n v="1"/>
    <s v="INR"/>
    <n v="657"/>
    <x v="1"/>
    <x v="1"/>
    <s v="IN"/>
  </r>
  <r>
    <n v="304"/>
    <x v="290"/>
    <d v="2023-03-11T00:00:00"/>
    <x v="6"/>
    <x v="2"/>
    <s v="Amazon"/>
    <x v="0"/>
    <x v="1"/>
    <x v="29"/>
    <s v="SET128-KR-DH-M"/>
    <x v="0"/>
    <s v="M"/>
    <n v="1"/>
    <s v="INR"/>
    <n v="1133"/>
    <x v="126"/>
    <x v="0"/>
    <s v="IN"/>
  </r>
  <r>
    <n v="305"/>
    <x v="291"/>
    <d v="2023-11-17T00:00:00"/>
    <x v="0"/>
    <x v="2"/>
    <s v="Amazon"/>
    <x v="1"/>
    <x v="1"/>
    <x v="32"/>
    <s v="JNE3567-KR-XXL"/>
    <x v="1"/>
    <s v="XXL"/>
    <n v="1"/>
    <s v="INR"/>
    <n v="399"/>
    <x v="0"/>
    <x v="0"/>
    <s v="IN"/>
  </r>
  <r>
    <n v="306"/>
    <x v="292"/>
    <d v="2024-11-28T00:00:00"/>
    <x v="0"/>
    <x v="2"/>
    <s v="Amazon"/>
    <x v="1"/>
    <x v="1"/>
    <x v="42"/>
    <s v="JNE3568-KR-L"/>
    <x v="1"/>
    <s v="L"/>
    <n v="1"/>
    <s v="INR"/>
    <n v="399"/>
    <x v="43"/>
    <x v="20"/>
    <s v="IN"/>
  </r>
  <r>
    <n v="307"/>
    <x v="292"/>
    <d v="2024-12-16T00:00:00"/>
    <x v="2"/>
    <x v="2"/>
    <s v="Amazon"/>
    <x v="1"/>
    <x v="1"/>
    <x v="41"/>
    <s v="JNE3405-KR-L"/>
    <x v="1"/>
    <s v="L"/>
    <n v="1"/>
    <s v="INR"/>
    <n v="399"/>
    <x v="43"/>
    <x v="20"/>
    <s v="IN"/>
  </r>
  <r>
    <n v="308"/>
    <x v="293"/>
    <d v="2023-05-01T00:00:00"/>
    <x v="4"/>
    <x v="1"/>
    <s v="Merchant"/>
    <x v="0"/>
    <x v="2"/>
    <x v="25"/>
    <s v="J0011-LCD-M"/>
    <x v="0"/>
    <s v="M"/>
    <n v="1"/>
    <s v="INR"/>
    <n v="1233"/>
    <x v="7"/>
    <x v="6"/>
    <s v="IN"/>
  </r>
  <r>
    <n v="309"/>
    <x v="294"/>
    <d v="2024-08-01T00:00:00"/>
    <x v="7"/>
    <x v="1"/>
    <s v="Merchant"/>
    <x v="0"/>
    <x v="0"/>
    <x v="13"/>
    <s v="JNE3881-DR-XXXL"/>
    <x v="2"/>
    <s v="3XL"/>
    <n v="1"/>
    <s v="INR"/>
    <n v="825"/>
    <x v="1"/>
    <x v="1"/>
    <s v="IN"/>
  </r>
  <r>
    <n v="310"/>
    <x v="295"/>
    <d v="2023-09-06T00:00:00"/>
    <x v="8"/>
    <x v="2"/>
    <s v="Amazon"/>
    <x v="0"/>
    <x v="1"/>
    <x v="14"/>
    <s v="JNE3639-TP-N-XXL"/>
    <x v="3"/>
    <s v="XXL"/>
    <n v="1"/>
    <s v="INR"/>
    <n v="487"/>
    <x v="4"/>
    <x v="3"/>
    <s v="IN"/>
  </r>
  <r>
    <n v="311"/>
    <x v="296"/>
    <d v="2024-05-31T00:00:00"/>
    <x v="4"/>
    <x v="2"/>
    <s v="Amazon"/>
    <x v="0"/>
    <x v="1"/>
    <x v="30"/>
    <s v="SET291-KR-PP-XXL"/>
    <x v="0"/>
    <s v="XXL"/>
    <n v="1"/>
    <s v="INR"/>
    <n v="563"/>
    <x v="7"/>
    <x v="6"/>
    <s v="IN"/>
  </r>
  <r>
    <n v="312"/>
    <x v="297"/>
    <d v="2023-02-26T00:00:00"/>
    <x v="5"/>
    <x v="2"/>
    <s v="Amazon"/>
    <x v="1"/>
    <x v="1"/>
    <x v="3"/>
    <s v="JNE3613-KR-XXL"/>
    <x v="1"/>
    <s v="XXL"/>
    <n v="1"/>
    <s v="INR"/>
    <n v="399"/>
    <x v="7"/>
    <x v="6"/>
    <s v="IN"/>
  </r>
  <r>
    <n v="313"/>
    <x v="298"/>
    <d v="2023-08-17T00:00:00"/>
    <x v="7"/>
    <x v="1"/>
    <s v="Merchant"/>
    <x v="1"/>
    <x v="0"/>
    <x v="14"/>
    <s v="JNE3368-KR-XXXL"/>
    <x v="1"/>
    <s v="3XL"/>
    <n v="1"/>
    <s v="INR"/>
    <n v="471"/>
    <x v="127"/>
    <x v="10"/>
    <s v="IN"/>
  </r>
  <r>
    <n v="314"/>
    <x v="299"/>
    <d v="2024-02-06T00:00:00"/>
    <x v="5"/>
    <x v="1"/>
    <s v="Merchant"/>
    <x v="1"/>
    <x v="2"/>
    <x v="40"/>
    <s v="JNE3522-KR-XXL"/>
    <x v="1"/>
    <s v="XXL"/>
    <n v="1"/>
    <s v="INR"/>
    <n v="342"/>
    <x v="128"/>
    <x v="16"/>
    <s v="IN"/>
  </r>
  <r>
    <n v="315"/>
    <x v="300"/>
    <d v="2023-01-14T00:00:00"/>
    <x v="1"/>
    <x v="2"/>
    <s v="Amazon"/>
    <x v="1"/>
    <x v="1"/>
    <x v="13"/>
    <s v="JNE3741-KR-XXL"/>
    <x v="1"/>
    <s v="XXL"/>
    <n v="1"/>
    <s v="INR"/>
    <n v="432"/>
    <x v="128"/>
    <x v="16"/>
    <s v="IN"/>
  </r>
  <r>
    <n v="316"/>
    <x v="301"/>
    <d v="2024-09-04T00:00:00"/>
    <x v="8"/>
    <x v="2"/>
    <s v="Amazon"/>
    <x v="1"/>
    <x v="1"/>
    <x v="3"/>
    <s v="JNE3405-KR-L"/>
    <x v="1"/>
    <s v="L"/>
    <n v="1"/>
    <s v="INR"/>
    <n v="399"/>
    <x v="129"/>
    <x v="20"/>
    <s v="IN"/>
  </r>
  <r>
    <n v="317"/>
    <x v="302"/>
    <d v="2023-11-30T00:00:00"/>
    <x v="0"/>
    <x v="2"/>
    <s v="Amazon"/>
    <x v="0"/>
    <x v="1"/>
    <x v="9"/>
    <s v="SET293-KR-NP-S"/>
    <x v="0"/>
    <s v="S"/>
    <n v="1"/>
    <s v="INR"/>
    <n v="736"/>
    <x v="4"/>
    <x v="3"/>
    <s v="IN"/>
  </r>
  <r>
    <n v="318"/>
    <x v="303"/>
    <d v="2023-12-05T00:00:00"/>
    <x v="2"/>
    <x v="2"/>
    <s v="Amazon"/>
    <x v="0"/>
    <x v="1"/>
    <x v="27"/>
    <s v="SET388-KR-NP-L"/>
    <x v="0"/>
    <s v="L"/>
    <n v="1"/>
    <s v="INR"/>
    <n v="1260"/>
    <x v="0"/>
    <x v="0"/>
    <s v="IN"/>
  </r>
  <r>
    <n v="319"/>
    <x v="304"/>
    <d v="2024-05-15T00:00:00"/>
    <x v="4"/>
    <x v="2"/>
    <s v="Amazon"/>
    <x v="1"/>
    <x v="1"/>
    <x v="13"/>
    <s v="JNE3405-KR-L"/>
    <x v="1"/>
    <s v="L"/>
    <n v="1"/>
    <s v="INR"/>
    <n v="399"/>
    <x v="130"/>
    <x v="20"/>
    <s v="IN"/>
  </r>
  <r>
    <n v="320"/>
    <x v="305"/>
    <d v="2023-12-19T00:00:00"/>
    <x v="2"/>
    <x v="2"/>
    <s v="Amazon"/>
    <x v="0"/>
    <x v="1"/>
    <x v="34"/>
    <s v="J0008-SKD-XS"/>
    <x v="0"/>
    <s v="XS"/>
    <n v="1"/>
    <s v="INR"/>
    <n v="1133"/>
    <x v="99"/>
    <x v="14"/>
    <s v="IN"/>
  </r>
  <r>
    <n v="321"/>
    <x v="306"/>
    <d v="2024-10-17T00:00:00"/>
    <x v="10"/>
    <x v="2"/>
    <s v="Amazon"/>
    <x v="0"/>
    <x v="1"/>
    <x v="31"/>
    <s v="SET197-KR-NP-L"/>
    <x v="0"/>
    <s v="L"/>
    <n v="1"/>
    <s v="INR"/>
    <n v="759"/>
    <x v="131"/>
    <x v="27"/>
    <s v="IN"/>
  </r>
  <r>
    <n v="322"/>
    <x v="307"/>
    <d v="2023-04-26T00:00:00"/>
    <x v="9"/>
    <x v="0"/>
    <s v="Amazon"/>
    <x v="1"/>
    <x v="1"/>
    <x v="17"/>
    <s v="MEN5029-KR-M"/>
    <x v="1"/>
    <s v="M"/>
    <n v="1"/>
    <s v="INR"/>
    <n v="475"/>
    <x v="132"/>
    <x v="16"/>
    <s v="IN"/>
  </r>
  <r>
    <n v="323"/>
    <x v="308"/>
    <d v="2023-07-19T00:00:00"/>
    <x v="11"/>
    <x v="2"/>
    <s v="Amazon"/>
    <x v="0"/>
    <x v="1"/>
    <x v="7"/>
    <s v="J0341-DR-XS"/>
    <x v="2"/>
    <s v="XS"/>
    <n v="1"/>
    <s v="INR"/>
    <n v="744"/>
    <x v="1"/>
    <x v="1"/>
    <s v="IN"/>
  </r>
  <r>
    <n v="324"/>
    <x v="309"/>
    <d v="2024-01-07T00:00:00"/>
    <x v="1"/>
    <x v="0"/>
    <s v="Merchant"/>
    <x v="0"/>
    <x v="0"/>
    <x v="11"/>
    <s v="J0010-LCD-L"/>
    <x v="0"/>
    <s v="L"/>
    <n v="0"/>
    <s v="INR"/>
    <n v="1902.86"/>
    <x v="133"/>
    <x v="4"/>
    <s v="IN"/>
  </r>
  <r>
    <n v="325"/>
    <x v="310"/>
    <d v="2023-11-05T00:00:00"/>
    <x v="0"/>
    <x v="2"/>
    <s v="Amazon"/>
    <x v="0"/>
    <x v="1"/>
    <x v="30"/>
    <s v="JNE3800-KR-M"/>
    <x v="2"/>
    <s v="M"/>
    <n v="1"/>
    <s v="INR"/>
    <n v="771"/>
    <x v="7"/>
    <x v="6"/>
    <s v="IN"/>
  </r>
  <r>
    <n v="326"/>
    <x v="311"/>
    <d v="2024-09-15T00:00:00"/>
    <x v="8"/>
    <x v="1"/>
    <s v="Merchant"/>
    <x v="0"/>
    <x v="2"/>
    <x v="1"/>
    <s v="JNE3798-KR-M"/>
    <x v="2"/>
    <s v="M"/>
    <n v="1"/>
    <s v="INR"/>
    <n v="725"/>
    <x v="7"/>
    <x v="6"/>
    <s v="IN"/>
  </r>
  <r>
    <n v="327"/>
    <x v="312"/>
    <d v="2023-09-02T00:00:00"/>
    <x v="8"/>
    <x v="0"/>
    <s v="Merchant"/>
    <x v="1"/>
    <x v="2"/>
    <x v="28"/>
    <s v="JNE3453-KR-S"/>
    <x v="1"/>
    <s v="S"/>
    <n v="0"/>
    <s v="INR"/>
    <n v="473.33"/>
    <x v="12"/>
    <x v="9"/>
    <s v="IN"/>
  </r>
  <r>
    <n v="328"/>
    <x v="313"/>
    <d v="2023-06-19T00:00:00"/>
    <x v="3"/>
    <x v="0"/>
    <s v="Amazon"/>
    <x v="0"/>
    <x v="1"/>
    <x v="28"/>
    <s v="J0012-SKD-M"/>
    <x v="0"/>
    <s v="M"/>
    <n v="0"/>
    <m/>
    <m/>
    <x v="117"/>
    <x v="6"/>
    <s v="IN"/>
  </r>
  <r>
    <n v="329"/>
    <x v="314"/>
    <d v="2023-03-08T00:00:00"/>
    <x v="6"/>
    <x v="1"/>
    <s v="Merchant"/>
    <x v="0"/>
    <x v="2"/>
    <x v="7"/>
    <s v="SET183-KR-DH-M"/>
    <x v="0"/>
    <s v="M"/>
    <n v="1"/>
    <s v="INR"/>
    <n v="759"/>
    <x v="134"/>
    <x v="28"/>
    <s v="IN"/>
  </r>
  <r>
    <n v="330"/>
    <x v="315"/>
    <d v="2024-08-24T00:00:00"/>
    <x v="7"/>
    <x v="0"/>
    <s v="Amazon"/>
    <x v="1"/>
    <x v="1"/>
    <x v="12"/>
    <s v="MEN5029-KR-M"/>
    <x v="1"/>
    <s v="M"/>
    <n v="1"/>
    <s v="INR"/>
    <n v="475"/>
    <x v="135"/>
    <x v="16"/>
    <s v="IN"/>
  </r>
  <r>
    <n v="331"/>
    <x v="316"/>
    <d v="2024-01-12T00:00:00"/>
    <x v="1"/>
    <x v="0"/>
    <s v="Amazon"/>
    <x v="0"/>
    <x v="1"/>
    <x v="34"/>
    <s v="J0003-SET-XXL"/>
    <x v="0"/>
    <s v="XXL"/>
    <n v="1"/>
    <s v="INR"/>
    <n v="654"/>
    <x v="91"/>
    <x v="1"/>
    <s v="IN"/>
  </r>
  <r>
    <n v="332"/>
    <x v="317"/>
    <d v="2024-09-12T00:00:00"/>
    <x v="8"/>
    <x v="0"/>
    <s v="Amazon"/>
    <x v="0"/>
    <x v="1"/>
    <x v="37"/>
    <s v="J0341-DR-XXL"/>
    <x v="2"/>
    <s v="XXL"/>
    <n v="1"/>
    <s v="INR"/>
    <n v="791"/>
    <x v="1"/>
    <x v="1"/>
    <s v="IN"/>
  </r>
  <r>
    <n v="333"/>
    <x v="318"/>
    <d v="2023-03-15T00:00:00"/>
    <x v="6"/>
    <x v="2"/>
    <s v="Amazon"/>
    <x v="0"/>
    <x v="1"/>
    <x v="39"/>
    <s v="J0341-DR-XXXL"/>
    <x v="2"/>
    <s v="3XL"/>
    <n v="1"/>
    <s v="INR"/>
    <n v="744"/>
    <x v="1"/>
    <x v="1"/>
    <s v="IN"/>
  </r>
  <r>
    <n v="334"/>
    <x v="319"/>
    <d v="2023-01-23T00:00:00"/>
    <x v="1"/>
    <x v="2"/>
    <s v="Amazon"/>
    <x v="1"/>
    <x v="1"/>
    <x v="8"/>
    <s v="JNE3373-KR-XXXL"/>
    <x v="1"/>
    <s v="3XL"/>
    <n v="1"/>
    <s v="INR"/>
    <n v="376"/>
    <x v="136"/>
    <x v="17"/>
    <s v="IN"/>
  </r>
  <r>
    <n v="335"/>
    <x v="320"/>
    <d v="2023-07-19T00:00:00"/>
    <x v="11"/>
    <x v="2"/>
    <s v="Amazon"/>
    <x v="1"/>
    <x v="1"/>
    <x v="42"/>
    <s v="JNE3405-KR-XL"/>
    <x v="1"/>
    <s v="XL"/>
    <n v="1"/>
    <s v="INR"/>
    <n v="399"/>
    <x v="4"/>
    <x v="3"/>
    <s v="IN"/>
  </r>
  <r>
    <n v="336"/>
    <x v="321"/>
    <d v="2024-07-12T00:00:00"/>
    <x v="11"/>
    <x v="2"/>
    <s v="Amazon"/>
    <x v="0"/>
    <x v="1"/>
    <x v="19"/>
    <s v="SET291-KR-PP-XL"/>
    <x v="0"/>
    <s v="XL"/>
    <n v="1"/>
    <s v="INR"/>
    <n v="599"/>
    <x v="27"/>
    <x v="17"/>
    <s v="IN"/>
  </r>
  <r>
    <n v="337"/>
    <x v="322"/>
    <d v="2023-12-13T00:00:00"/>
    <x v="2"/>
    <x v="2"/>
    <s v="Amazon"/>
    <x v="1"/>
    <x v="1"/>
    <x v="16"/>
    <s v="J0331-KR-XXXL"/>
    <x v="1"/>
    <s v="3XL"/>
    <n v="1"/>
    <s v="INR"/>
    <n v="782"/>
    <x v="137"/>
    <x v="1"/>
    <s v="IN"/>
  </r>
  <r>
    <n v="338"/>
    <x v="322"/>
    <d v="2024-01-07T00:00:00"/>
    <x v="1"/>
    <x v="2"/>
    <s v="Amazon"/>
    <x v="1"/>
    <x v="1"/>
    <x v="19"/>
    <s v="JNE3752-KR-XXXL"/>
    <x v="1"/>
    <s v="3XL"/>
    <n v="1"/>
    <s v="INR"/>
    <n v="362"/>
    <x v="137"/>
    <x v="1"/>
    <s v="IN"/>
  </r>
  <r>
    <n v="339"/>
    <x v="323"/>
    <d v="2024-08-13T00:00:00"/>
    <x v="7"/>
    <x v="2"/>
    <s v="Amazon"/>
    <x v="0"/>
    <x v="1"/>
    <x v="37"/>
    <s v="SET369-KR-NP-XXL"/>
    <x v="0"/>
    <s v="XXL"/>
    <n v="1"/>
    <s v="INR"/>
    <n v="1173"/>
    <x v="99"/>
    <x v="14"/>
    <s v="IN"/>
  </r>
  <r>
    <n v="340"/>
    <x v="324"/>
    <d v="2024-08-10T00:00:00"/>
    <x v="7"/>
    <x v="1"/>
    <s v="Merchant"/>
    <x v="0"/>
    <x v="2"/>
    <x v="4"/>
    <s v="J0341-DR-M"/>
    <x v="2"/>
    <s v="M"/>
    <n v="1"/>
    <s v="INR"/>
    <n v="744"/>
    <x v="82"/>
    <x v="10"/>
    <s v="IN"/>
  </r>
  <r>
    <n v="341"/>
    <x v="325"/>
    <d v="2024-04-15T00:00:00"/>
    <x v="9"/>
    <x v="2"/>
    <s v="Amazon"/>
    <x v="0"/>
    <x v="1"/>
    <x v="6"/>
    <s v="JNE3797-KR-M"/>
    <x v="2"/>
    <s v="M"/>
    <n v="1"/>
    <s v="INR"/>
    <n v="725"/>
    <x v="27"/>
    <x v="17"/>
    <s v="IN"/>
  </r>
  <r>
    <n v="342"/>
    <x v="326"/>
    <d v="2024-06-12T00:00:00"/>
    <x v="3"/>
    <x v="2"/>
    <s v="Amazon"/>
    <x v="1"/>
    <x v="1"/>
    <x v="12"/>
    <s v="JNE3373-KR-XS"/>
    <x v="1"/>
    <s v="XS"/>
    <n v="1"/>
    <s v="INR"/>
    <n v="376"/>
    <x v="22"/>
    <x v="7"/>
    <s v="IN"/>
  </r>
  <r>
    <n v="343"/>
    <x v="327"/>
    <d v="2024-03-26T00:00:00"/>
    <x v="6"/>
    <x v="1"/>
    <s v="Merchant"/>
    <x v="1"/>
    <x v="2"/>
    <x v="39"/>
    <s v="JNE3805-KR-L"/>
    <x v="1"/>
    <s v="L"/>
    <n v="1"/>
    <s v="INR"/>
    <n v="459"/>
    <x v="84"/>
    <x v="4"/>
    <s v="IN"/>
  </r>
  <r>
    <n v="344"/>
    <x v="328"/>
    <d v="2023-09-21T00:00:00"/>
    <x v="8"/>
    <x v="0"/>
    <s v="Amazon"/>
    <x v="0"/>
    <x v="1"/>
    <x v="10"/>
    <s v="J0003-SET-XXL"/>
    <x v="0"/>
    <s v="XXL"/>
    <n v="1"/>
    <s v="INR"/>
    <n v="654"/>
    <x v="91"/>
    <x v="1"/>
    <s v="IN"/>
  </r>
  <r>
    <n v="345"/>
    <x v="329"/>
    <d v="2024-03-18T00:00:00"/>
    <x v="6"/>
    <x v="2"/>
    <s v="Amazon"/>
    <x v="1"/>
    <x v="1"/>
    <x v="11"/>
    <s v="JNE3537-KR-M"/>
    <x v="1"/>
    <s v="M"/>
    <n v="1"/>
    <s v="INR"/>
    <n v="379"/>
    <x v="21"/>
    <x v="4"/>
    <s v="IN"/>
  </r>
  <r>
    <n v="346"/>
    <x v="330"/>
    <d v="2024-02-28T00:00:00"/>
    <x v="5"/>
    <x v="2"/>
    <s v="Amazon"/>
    <x v="0"/>
    <x v="1"/>
    <x v="5"/>
    <s v="J0003-SET-XL"/>
    <x v="0"/>
    <s v="XL"/>
    <n v="1"/>
    <s v="INR"/>
    <n v="696"/>
    <x v="27"/>
    <x v="17"/>
    <s v="IN"/>
  </r>
  <r>
    <n v="347"/>
    <x v="331"/>
    <d v="2023-03-01T00:00:00"/>
    <x v="6"/>
    <x v="2"/>
    <s v="Amazon"/>
    <x v="0"/>
    <x v="1"/>
    <x v="36"/>
    <s v="SET324-KR-NP-M"/>
    <x v="0"/>
    <s v="M"/>
    <n v="1"/>
    <s v="INR"/>
    <n v="597"/>
    <x v="138"/>
    <x v="17"/>
    <s v="IN"/>
  </r>
  <r>
    <n v="348"/>
    <x v="332"/>
    <d v="2024-08-31T00:00:00"/>
    <x v="7"/>
    <x v="2"/>
    <s v="Amazon"/>
    <x v="0"/>
    <x v="1"/>
    <x v="28"/>
    <s v="SET293-KR-NP-M"/>
    <x v="0"/>
    <s v="M"/>
    <n v="1"/>
    <s v="INR"/>
    <n v="692"/>
    <x v="33"/>
    <x v="18"/>
    <s v="IN"/>
  </r>
  <r>
    <n v="349"/>
    <x v="333"/>
    <d v="2024-01-22T00:00:00"/>
    <x v="1"/>
    <x v="2"/>
    <s v="Amazon"/>
    <x v="0"/>
    <x v="1"/>
    <x v="19"/>
    <s v="SET436-KR-NP-XXXL"/>
    <x v="0"/>
    <s v="3XL"/>
    <n v="1"/>
    <s v="INR"/>
    <n v="1999"/>
    <x v="139"/>
    <x v="7"/>
    <s v="IN"/>
  </r>
  <r>
    <n v="350"/>
    <x v="334"/>
    <d v="2023-06-01T00:00:00"/>
    <x v="3"/>
    <x v="2"/>
    <s v="Amazon"/>
    <x v="0"/>
    <x v="1"/>
    <x v="32"/>
    <s v="SET264-KR-NP-XXL"/>
    <x v="0"/>
    <s v="XXL"/>
    <n v="1"/>
    <s v="INR"/>
    <n v="824"/>
    <x v="3"/>
    <x v="2"/>
    <s v="IN"/>
  </r>
  <r>
    <n v="351"/>
    <x v="335"/>
    <d v="2023-09-24T00:00:00"/>
    <x v="8"/>
    <x v="2"/>
    <s v="Amazon"/>
    <x v="1"/>
    <x v="1"/>
    <x v="29"/>
    <s v="JNE3567-KR-XS"/>
    <x v="1"/>
    <s v="XS"/>
    <n v="1"/>
    <s v="INR"/>
    <n v="399"/>
    <x v="140"/>
    <x v="27"/>
    <s v="IN"/>
  </r>
  <r>
    <n v="352"/>
    <x v="336"/>
    <d v="2024-06-20T00:00:00"/>
    <x v="3"/>
    <x v="2"/>
    <s v="Amazon"/>
    <x v="1"/>
    <x v="1"/>
    <x v="24"/>
    <s v="J0329-KR-XXXL"/>
    <x v="1"/>
    <s v="3XL"/>
    <n v="1"/>
    <s v="INR"/>
    <n v="737"/>
    <x v="137"/>
    <x v="1"/>
    <s v="IN"/>
  </r>
  <r>
    <n v="353"/>
    <x v="337"/>
    <d v="2024-03-25T00:00:00"/>
    <x v="6"/>
    <x v="2"/>
    <s v="Amazon"/>
    <x v="1"/>
    <x v="1"/>
    <x v="2"/>
    <s v="JNE3568-KR-XL"/>
    <x v="1"/>
    <s v="XL"/>
    <n v="1"/>
    <s v="INR"/>
    <n v="399"/>
    <x v="7"/>
    <x v="6"/>
    <s v="IN"/>
  </r>
  <r>
    <n v="354"/>
    <x v="338"/>
    <d v="2024-04-10T00:00:00"/>
    <x v="9"/>
    <x v="0"/>
    <s v="Amazon"/>
    <x v="0"/>
    <x v="1"/>
    <x v="10"/>
    <s v="SET341-KR-NP-L"/>
    <x v="0"/>
    <s v="L"/>
    <n v="1"/>
    <s v="INR"/>
    <n v="899"/>
    <x v="8"/>
    <x v="4"/>
    <s v="IN"/>
  </r>
  <r>
    <n v="355"/>
    <x v="339"/>
    <d v="2024-08-20T00:00:00"/>
    <x v="7"/>
    <x v="2"/>
    <s v="Amazon"/>
    <x v="1"/>
    <x v="1"/>
    <x v="20"/>
    <s v="JNE3543-KR-M"/>
    <x v="1"/>
    <s v="M"/>
    <n v="1"/>
    <s v="INR"/>
    <n v="368"/>
    <x v="15"/>
    <x v="0"/>
    <s v="IN"/>
  </r>
  <r>
    <n v="356"/>
    <x v="340"/>
    <d v="2024-03-29T00:00:00"/>
    <x v="6"/>
    <x v="1"/>
    <s v="Merchant"/>
    <x v="1"/>
    <x v="0"/>
    <x v="31"/>
    <s v="JNE3368-KR-XXXL"/>
    <x v="1"/>
    <s v="3XL"/>
    <n v="1"/>
    <s v="INR"/>
    <n v="471"/>
    <x v="141"/>
    <x v="15"/>
    <s v="IN"/>
  </r>
  <r>
    <n v="357"/>
    <x v="341"/>
    <d v="2024-05-15T00:00:00"/>
    <x v="4"/>
    <x v="2"/>
    <s v="Amazon"/>
    <x v="1"/>
    <x v="1"/>
    <x v="34"/>
    <s v="JNE3405-KR-L"/>
    <x v="1"/>
    <s v="L"/>
    <n v="1"/>
    <s v="INR"/>
    <n v="399"/>
    <x v="142"/>
    <x v="4"/>
    <s v="IN"/>
  </r>
  <r>
    <n v="358"/>
    <x v="342"/>
    <d v="2024-06-06T00:00:00"/>
    <x v="3"/>
    <x v="2"/>
    <s v="Amazon"/>
    <x v="1"/>
    <x v="1"/>
    <x v="19"/>
    <s v="JNE3365-KR-1052-A-S"/>
    <x v="1"/>
    <s v="S"/>
    <n v="1"/>
    <s v="INR"/>
    <n v="376"/>
    <x v="143"/>
    <x v="3"/>
    <s v="IN"/>
  </r>
  <r>
    <n v="359"/>
    <x v="343"/>
    <d v="2024-01-29T00:00:00"/>
    <x v="1"/>
    <x v="1"/>
    <s v="Merchant"/>
    <x v="1"/>
    <x v="0"/>
    <x v="2"/>
    <s v="JNE3759-KR-XL"/>
    <x v="1"/>
    <s v="XL"/>
    <n v="1"/>
    <s v="INR"/>
    <n v="544"/>
    <x v="1"/>
    <x v="1"/>
    <s v="IN"/>
  </r>
  <r>
    <n v="360"/>
    <x v="344"/>
    <d v="2023-09-25T00:00:00"/>
    <x v="8"/>
    <x v="2"/>
    <s v="Amazon"/>
    <x v="1"/>
    <x v="1"/>
    <x v="12"/>
    <s v="MEN5001-KR-L"/>
    <x v="1"/>
    <s v="L"/>
    <n v="1"/>
    <s v="INR"/>
    <n v="499"/>
    <x v="7"/>
    <x v="6"/>
    <s v="IN"/>
  </r>
  <r>
    <n v="361"/>
    <x v="345"/>
    <d v="2023-10-19T00:00:00"/>
    <x v="10"/>
    <x v="2"/>
    <s v="Amazon"/>
    <x v="0"/>
    <x v="1"/>
    <x v="36"/>
    <s v="J0098-TP-XS"/>
    <x v="3"/>
    <s v="XS"/>
    <n v="1"/>
    <s v="INR"/>
    <n v="426"/>
    <x v="1"/>
    <x v="1"/>
    <s v="IN"/>
  </r>
  <r>
    <n v="362"/>
    <x v="346"/>
    <d v="2024-07-27T00:00:00"/>
    <x v="11"/>
    <x v="2"/>
    <s v="Amazon"/>
    <x v="1"/>
    <x v="1"/>
    <x v="24"/>
    <s v="JNE3567-KR-XL"/>
    <x v="1"/>
    <s v="XL"/>
    <n v="1"/>
    <s v="INR"/>
    <n v="399"/>
    <x v="1"/>
    <x v="1"/>
    <s v="IN"/>
  </r>
  <r>
    <n v="363"/>
    <x v="347"/>
    <d v="2023-04-08T00:00:00"/>
    <x v="9"/>
    <x v="0"/>
    <s v="Amazon"/>
    <x v="0"/>
    <x v="1"/>
    <x v="15"/>
    <s v="SET226-KR-PP-L"/>
    <x v="0"/>
    <s v="L"/>
    <n v="0"/>
    <m/>
    <m/>
    <x v="144"/>
    <x v="20"/>
    <s v="IN"/>
  </r>
  <r>
    <n v="364"/>
    <x v="348"/>
    <d v="2023-11-04T00:00:00"/>
    <x v="0"/>
    <x v="2"/>
    <s v="Amazon"/>
    <x v="0"/>
    <x v="1"/>
    <x v="31"/>
    <s v="SET380-KR-NP-XXXL"/>
    <x v="0"/>
    <s v="3XL"/>
    <n v="1"/>
    <s v="INR"/>
    <n v="995"/>
    <x v="12"/>
    <x v="9"/>
    <s v="IN"/>
  </r>
  <r>
    <n v="365"/>
    <x v="349"/>
    <d v="2023-07-26T00:00:00"/>
    <x v="11"/>
    <x v="2"/>
    <s v="Amazon"/>
    <x v="1"/>
    <x v="1"/>
    <x v="27"/>
    <s v="MEN5009-KR-M"/>
    <x v="1"/>
    <s v="M"/>
    <n v="1"/>
    <s v="INR"/>
    <n v="499"/>
    <x v="145"/>
    <x v="17"/>
    <s v="IN"/>
  </r>
  <r>
    <n v="366"/>
    <x v="349"/>
    <d v="2023-06-26T00:00:00"/>
    <x v="3"/>
    <x v="2"/>
    <s v="Amazon"/>
    <x v="1"/>
    <x v="1"/>
    <x v="39"/>
    <s v="MEN5011-KR-M"/>
    <x v="1"/>
    <s v="M"/>
    <n v="1"/>
    <s v="INR"/>
    <n v="499"/>
    <x v="145"/>
    <x v="17"/>
    <s v="IN"/>
  </r>
  <r>
    <n v="367"/>
    <x v="350"/>
    <d v="2024-04-06T00:00:00"/>
    <x v="9"/>
    <x v="2"/>
    <s v="Amazon"/>
    <x v="0"/>
    <x v="1"/>
    <x v="41"/>
    <s v="SET324-KR-NP-M"/>
    <x v="0"/>
    <s v="M"/>
    <n v="1"/>
    <s v="INR"/>
    <n v="597"/>
    <x v="146"/>
    <x v="0"/>
    <s v="IN"/>
  </r>
  <r>
    <n v="368"/>
    <x v="351"/>
    <d v="2023-07-21T00:00:00"/>
    <x v="11"/>
    <x v="2"/>
    <s v="Amazon"/>
    <x v="1"/>
    <x v="1"/>
    <x v="25"/>
    <s v="MEN5032-KR-S"/>
    <x v="1"/>
    <s v="S"/>
    <n v="1"/>
    <s v="INR"/>
    <n v="562"/>
    <x v="12"/>
    <x v="9"/>
    <s v="IN"/>
  </r>
  <r>
    <n v="369"/>
    <x v="352"/>
    <d v="2024-05-22T00:00:00"/>
    <x v="4"/>
    <x v="2"/>
    <s v="Amazon"/>
    <x v="1"/>
    <x v="1"/>
    <x v="36"/>
    <s v="PJ0096-KR-N-5XL"/>
    <x v="1"/>
    <s v="5XL"/>
    <n v="1"/>
    <s v="INR"/>
    <n v="696"/>
    <x v="47"/>
    <x v="21"/>
    <s v="IN"/>
  </r>
  <r>
    <n v="370"/>
    <x v="353"/>
    <d v="2023-07-12T00:00:00"/>
    <x v="11"/>
    <x v="2"/>
    <s v="Amazon"/>
    <x v="0"/>
    <x v="1"/>
    <x v="36"/>
    <s v="SET268-KR-NP-L"/>
    <x v="0"/>
    <s v="L"/>
    <n v="1"/>
    <s v="INR"/>
    <n v="788"/>
    <x v="7"/>
    <x v="6"/>
    <s v="IN"/>
  </r>
  <r>
    <n v="371"/>
    <x v="354"/>
    <d v="2023-11-28T00:00:00"/>
    <x v="0"/>
    <x v="2"/>
    <s v="Amazon"/>
    <x v="1"/>
    <x v="1"/>
    <x v="20"/>
    <s v="JNE3567-KR-M"/>
    <x v="1"/>
    <s v="M"/>
    <n v="1"/>
    <s v="INR"/>
    <n v="399"/>
    <x v="12"/>
    <x v="9"/>
    <s v="IN"/>
  </r>
  <r>
    <n v="372"/>
    <x v="355"/>
    <d v="2023-03-30T00:00:00"/>
    <x v="6"/>
    <x v="2"/>
    <s v="Amazon"/>
    <x v="0"/>
    <x v="1"/>
    <x v="4"/>
    <s v="SET359-KR-NP-XXL"/>
    <x v="0"/>
    <s v="XXL"/>
    <n v="1"/>
    <s v="INR"/>
    <n v="1099"/>
    <x v="87"/>
    <x v="17"/>
    <s v="IN"/>
  </r>
  <r>
    <n v="373"/>
    <x v="356"/>
    <d v="2023-09-11T00:00:00"/>
    <x v="8"/>
    <x v="2"/>
    <s v="Amazon"/>
    <x v="0"/>
    <x v="1"/>
    <x v="38"/>
    <s v="J0199-SET-XXXL"/>
    <x v="0"/>
    <s v="3XL"/>
    <n v="1"/>
    <s v="INR"/>
    <n v="476"/>
    <x v="7"/>
    <x v="6"/>
    <s v="IN"/>
  </r>
  <r>
    <n v="374"/>
    <x v="357"/>
    <d v="2023-09-29T00:00:00"/>
    <x v="8"/>
    <x v="3"/>
    <s v="Merchant"/>
    <x v="0"/>
    <x v="2"/>
    <x v="18"/>
    <s v="JNE3798-KR-M"/>
    <x v="2"/>
    <s v="M"/>
    <n v="1"/>
    <s v="INR"/>
    <n v="0"/>
    <x v="12"/>
    <x v="9"/>
    <s v="IN"/>
  </r>
  <r>
    <n v="375"/>
    <x v="358"/>
    <d v="2024-02-22T00:00:00"/>
    <x v="5"/>
    <x v="1"/>
    <s v="Merchant"/>
    <x v="0"/>
    <x v="0"/>
    <x v="19"/>
    <s v="J0401-DR-L"/>
    <x v="2"/>
    <s v="L"/>
    <n v="1"/>
    <s v="INR"/>
    <n v="885"/>
    <x v="103"/>
    <x v="11"/>
    <s v="IN"/>
  </r>
  <r>
    <n v="376"/>
    <x v="359"/>
    <d v="2024-04-05T00:00:00"/>
    <x v="9"/>
    <x v="2"/>
    <s v="Amazon"/>
    <x v="0"/>
    <x v="1"/>
    <x v="22"/>
    <s v="J0003-SET-XS"/>
    <x v="0"/>
    <s v="XS"/>
    <n v="1"/>
    <s v="INR"/>
    <n v="654"/>
    <x v="48"/>
    <x v="22"/>
    <s v="IN"/>
  </r>
  <r>
    <n v="377"/>
    <x v="360"/>
    <d v="2024-02-22T00:00:00"/>
    <x v="5"/>
    <x v="2"/>
    <s v="Amazon"/>
    <x v="0"/>
    <x v="1"/>
    <x v="20"/>
    <s v="J0308-DR-XL"/>
    <x v="2"/>
    <s v="XL"/>
    <n v="1"/>
    <s v="INR"/>
    <n v="625"/>
    <x v="15"/>
    <x v="0"/>
    <s v="IN"/>
  </r>
  <r>
    <n v="378"/>
    <x v="361"/>
    <d v="2023-09-12T00:00:00"/>
    <x v="8"/>
    <x v="1"/>
    <s v="Merchant"/>
    <x v="1"/>
    <x v="0"/>
    <x v="19"/>
    <s v="PJNE3368-KR-6XL"/>
    <x v="1"/>
    <s v="6XL"/>
    <n v="1"/>
    <s v="INR"/>
    <n v="505"/>
    <x v="147"/>
    <x v="15"/>
    <s v="IN"/>
  </r>
  <r>
    <n v="379"/>
    <x v="362"/>
    <d v="2023-11-09T00:00:00"/>
    <x v="0"/>
    <x v="2"/>
    <s v="Amazon"/>
    <x v="1"/>
    <x v="1"/>
    <x v="24"/>
    <s v="PJNE3252-KR-N-6XL"/>
    <x v="1"/>
    <s v="6XL"/>
    <n v="1"/>
    <s v="INR"/>
    <n v="563"/>
    <x v="147"/>
    <x v="15"/>
    <s v="IN"/>
  </r>
  <r>
    <n v="380"/>
    <x v="363"/>
    <d v="2024-10-17T00:00:00"/>
    <x v="10"/>
    <x v="0"/>
    <s v="Merchant"/>
    <x v="1"/>
    <x v="2"/>
    <x v="5"/>
    <s v="JNE3752-KR-M"/>
    <x v="1"/>
    <s v="M"/>
    <n v="0"/>
    <s v="INR"/>
    <n v="344.76"/>
    <x v="148"/>
    <x v="4"/>
    <s v="IN"/>
  </r>
  <r>
    <n v="381"/>
    <x v="364"/>
    <d v="2023-01-06T00:00:00"/>
    <x v="1"/>
    <x v="0"/>
    <s v="Amazon"/>
    <x v="0"/>
    <x v="1"/>
    <x v="14"/>
    <s v="SET217-KR-PP-XXXL"/>
    <x v="0"/>
    <s v="3XL"/>
    <n v="0"/>
    <m/>
    <m/>
    <x v="149"/>
    <x v="0"/>
    <s v="IN"/>
  </r>
  <r>
    <n v="382"/>
    <x v="365"/>
    <d v="2024-07-19T00:00:00"/>
    <x v="11"/>
    <x v="1"/>
    <s v="Merchant"/>
    <x v="1"/>
    <x v="2"/>
    <x v="19"/>
    <s v="JNE3799-KR-XL"/>
    <x v="1"/>
    <s v="XL"/>
    <n v="1"/>
    <s v="INR"/>
    <n v="666"/>
    <x v="15"/>
    <x v="0"/>
    <s v="IN"/>
  </r>
  <r>
    <n v="383"/>
    <x v="366"/>
    <d v="2024-03-23T00:00:00"/>
    <x v="6"/>
    <x v="1"/>
    <s v="Merchant"/>
    <x v="1"/>
    <x v="2"/>
    <x v="39"/>
    <s v="JNE3405-KR-S"/>
    <x v="1"/>
    <s v="S"/>
    <n v="1"/>
    <s v="INR"/>
    <n v="399"/>
    <x v="150"/>
    <x v="6"/>
    <s v="IN"/>
  </r>
  <r>
    <n v="384"/>
    <x v="367"/>
    <d v="2024-09-17T00:00:00"/>
    <x v="8"/>
    <x v="1"/>
    <s v="Merchant"/>
    <x v="1"/>
    <x v="2"/>
    <x v="12"/>
    <s v="JNE3294-KR-S"/>
    <x v="1"/>
    <s v="S"/>
    <n v="1"/>
    <s v="INR"/>
    <n v="432"/>
    <x v="151"/>
    <x v="20"/>
    <s v="IN"/>
  </r>
  <r>
    <n v="385"/>
    <x v="368"/>
    <d v="2024-12-13T00:00:00"/>
    <x v="2"/>
    <x v="2"/>
    <s v="Amazon"/>
    <x v="1"/>
    <x v="1"/>
    <x v="13"/>
    <s v="JNE3405-KR-L"/>
    <x v="1"/>
    <s v="L"/>
    <n v="1"/>
    <s v="INR"/>
    <n v="0"/>
    <x v="152"/>
    <x v="17"/>
    <s v="IN"/>
  </r>
  <r>
    <n v="386"/>
    <x v="369"/>
    <d v="2023-11-30T00:00:00"/>
    <x v="0"/>
    <x v="2"/>
    <s v="Amazon"/>
    <x v="0"/>
    <x v="1"/>
    <x v="34"/>
    <s v="SET356-KR-NP-XXXL"/>
    <x v="0"/>
    <s v="3XL"/>
    <n v="1"/>
    <s v="INR"/>
    <n v="1099"/>
    <x v="17"/>
    <x v="12"/>
    <s v="IN"/>
  </r>
  <r>
    <n v="387"/>
    <x v="370"/>
    <d v="2024-02-10T00:00:00"/>
    <x v="5"/>
    <x v="2"/>
    <s v="Amazon"/>
    <x v="1"/>
    <x v="1"/>
    <x v="0"/>
    <s v="JNE2014-KR-178-XXXL"/>
    <x v="1"/>
    <s v="3XL"/>
    <n v="1"/>
    <s v="INR"/>
    <n v="353"/>
    <x v="1"/>
    <x v="1"/>
    <s v="IN"/>
  </r>
  <r>
    <n v="388"/>
    <x v="371"/>
    <d v="2023-07-08T00:00:00"/>
    <x v="11"/>
    <x v="1"/>
    <s v="Merchant"/>
    <x v="0"/>
    <x v="0"/>
    <x v="29"/>
    <s v="J0401-DR-XS"/>
    <x v="2"/>
    <s v="XS"/>
    <n v="1"/>
    <s v="INR"/>
    <n v="0"/>
    <x v="153"/>
    <x v="23"/>
    <s v="IN"/>
  </r>
  <r>
    <n v="389"/>
    <x v="372"/>
    <d v="2024-08-22T00:00:00"/>
    <x v="7"/>
    <x v="2"/>
    <s v="Amazon"/>
    <x v="0"/>
    <x v="1"/>
    <x v="19"/>
    <s v="SET291-KR-PP-M"/>
    <x v="0"/>
    <s v="M"/>
    <n v="1"/>
    <s v="INR"/>
    <n v="563"/>
    <x v="1"/>
    <x v="1"/>
    <s v="IN"/>
  </r>
  <r>
    <n v="390"/>
    <x v="373"/>
    <d v="2023-04-08T00:00:00"/>
    <x v="9"/>
    <x v="2"/>
    <s v="Amazon"/>
    <x v="0"/>
    <x v="1"/>
    <x v="16"/>
    <s v="SET110-KR-PP-XXL"/>
    <x v="0"/>
    <s v="XXL"/>
    <n v="1"/>
    <s v="INR"/>
    <n v="788"/>
    <x v="7"/>
    <x v="6"/>
    <s v="IN"/>
  </r>
  <r>
    <n v="391"/>
    <x v="374"/>
    <d v="2024-06-07T00:00:00"/>
    <x v="3"/>
    <x v="2"/>
    <s v="Amazon"/>
    <x v="0"/>
    <x v="1"/>
    <x v="34"/>
    <s v="J0003-SET-M"/>
    <x v="0"/>
    <s v="M"/>
    <n v="1"/>
    <s v="INR"/>
    <n v="654"/>
    <x v="154"/>
    <x v="21"/>
    <s v="IN"/>
  </r>
  <r>
    <n v="392"/>
    <x v="375"/>
    <d v="2024-11-12T00:00:00"/>
    <x v="0"/>
    <x v="2"/>
    <s v="Amazon"/>
    <x v="0"/>
    <x v="1"/>
    <x v="20"/>
    <s v="SET365-KR-NP-L"/>
    <x v="0"/>
    <s v="L"/>
    <n v="1"/>
    <s v="INR"/>
    <n v="0"/>
    <x v="0"/>
    <x v="0"/>
    <s v="IN"/>
  </r>
  <r>
    <n v="393"/>
    <x v="376"/>
    <d v="2024-12-27T00:00:00"/>
    <x v="2"/>
    <x v="2"/>
    <s v="Amazon"/>
    <x v="1"/>
    <x v="1"/>
    <x v="2"/>
    <s v="JNE3405-KR-XXXL"/>
    <x v="1"/>
    <s v="3XL"/>
    <n v="1"/>
    <s v="INR"/>
    <n v="399"/>
    <x v="29"/>
    <x v="6"/>
    <s v="IN"/>
  </r>
  <r>
    <n v="394"/>
    <x v="377"/>
    <d v="2024-04-12T00:00:00"/>
    <x v="9"/>
    <x v="2"/>
    <s v="Amazon"/>
    <x v="0"/>
    <x v="1"/>
    <x v="11"/>
    <s v="J0003-SET-L"/>
    <x v="0"/>
    <s v="L"/>
    <n v="1"/>
    <s v="INR"/>
    <n v="696"/>
    <x v="155"/>
    <x v="4"/>
    <s v="IN"/>
  </r>
  <r>
    <n v="395"/>
    <x v="378"/>
    <d v="2024-12-23T00:00:00"/>
    <x v="2"/>
    <x v="2"/>
    <s v="Amazon"/>
    <x v="0"/>
    <x v="1"/>
    <x v="38"/>
    <s v="J0230-SKD-XXL"/>
    <x v="0"/>
    <s v="XXL"/>
    <n v="1"/>
    <s v="INR"/>
    <n v="1112"/>
    <x v="21"/>
    <x v="4"/>
    <s v="IN"/>
  </r>
  <r>
    <n v="396"/>
    <x v="379"/>
    <d v="2023-01-22T00:00:00"/>
    <x v="1"/>
    <x v="2"/>
    <s v="Amazon"/>
    <x v="1"/>
    <x v="1"/>
    <x v="23"/>
    <s v="JNE3465-KR-XXXL"/>
    <x v="1"/>
    <s v="3XL"/>
    <n v="1"/>
    <s v="INR"/>
    <n v="517"/>
    <x v="156"/>
    <x v="7"/>
    <s v="IN"/>
  </r>
  <r>
    <n v="397"/>
    <x v="380"/>
    <d v="2023-08-14T00:00:00"/>
    <x v="7"/>
    <x v="2"/>
    <s v="Amazon"/>
    <x v="0"/>
    <x v="1"/>
    <x v="33"/>
    <s v="SET265-KR-NP-M"/>
    <x v="0"/>
    <s v="M"/>
    <n v="1"/>
    <s v="INR"/>
    <n v="888"/>
    <x v="156"/>
    <x v="7"/>
    <s v="IN"/>
  </r>
  <r>
    <n v="398"/>
    <x v="380"/>
    <d v="2024-12-21T00:00:00"/>
    <x v="2"/>
    <x v="2"/>
    <s v="Amazon"/>
    <x v="0"/>
    <x v="1"/>
    <x v="17"/>
    <s v="J0280-SKD-S"/>
    <x v="0"/>
    <s v="S"/>
    <n v="1"/>
    <s v="INR"/>
    <n v="1463"/>
    <x v="156"/>
    <x v="7"/>
    <s v="IN"/>
  </r>
  <r>
    <n v="399"/>
    <x v="380"/>
    <d v="2024-04-17T00:00:00"/>
    <x v="9"/>
    <x v="2"/>
    <s v="Amazon"/>
    <x v="1"/>
    <x v="1"/>
    <x v="1"/>
    <s v="JNE3405-KR-XXXL"/>
    <x v="1"/>
    <s v="3XL"/>
    <n v="1"/>
    <s v="INR"/>
    <n v="399"/>
    <x v="156"/>
    <x v="7"/>
    <s v="IN"/>
  </r>
  <r>
    <n v="400"/>
    <x v="380"/>
    <d v="2024-05-13T00:00:00"/>
    <x v="4"/>
    <x v="2"/>
    <s v="Amazon"/>
    <x v="1"/>
    <x v="1"/>
    <x v="8"/>
    <s v="JNE3288-KR-M"/>
    <x v="1"/>
    <s v="M"/>
    <n v="1"/>
    <s v="INR"/>
    <n v="442"/>
    <x v="156"/>
    <x v="7"/>
    <s v="IN"/>
  </r>
  <r>
    <n v="401"/>
    <x v="380"/>
    <d v="2024-06-28T00:00:00"/>
    <x v="3"/>
    <x v="2"/>
    <s v="Amazon"/>
    <x v="0"/>
    <x v="1"/>
    <x v="1"/>
    <s v="SET316-KR-DPT-M"/>
    <x v="0"/>
    <s v="M"/>
    <n v="1"/>
    <s v="INR"/>
    <n v="1149"/>
    <x v="156"/>
    <x v="7"/>
    <s v="IN"/>
  </r>
  <r>
    <n v="402"/>
    <x v="380"/>
    <d v="2023-03-19T00:00:00"/>
    <x v="6"/>
    <x v="2"/>
    <s v="Amazon"/>
    <x v="0"/>
    <x v="1"/>
    <x v="12"/>
    <s v="J0006-SET-M"/>
    <x v="4"/>
    <s v="M"/>
    <n v="1"/>
    <s v="INR"/>
    <n v="845"/>
    <x v="156"/>
    <x v="7"/>
    <s v="IN"/>
  </r>
  <r>
    <n v="403"/>
    <x v="381"/>
    <d v="2023-12-08T00:00:00"/>
    <x v="2"/>
    <x v="2"/>
    <s v="Amazon"/>
    <x v="0"/>
    <x v="1"/>
    <x v="24"/>
    <s v="SET268-KR-NP-S"/>
    <x v="0"/>
    <s v="S"/>
    <n v="1"/>
    <s v="INR"/>
    <n v="788"/>
    <x v="157"/>
    <x v="17"/>
    <s v="IN"/>
  </r>
  <r>
    <n v="404"/>
    <x v="382"/>
    <d v="2024-02-05T00:00:00"/>
    <x v="5"/>
    <x v="0"/>
    <s v="Merchant"/>
    <x v="0"/>
    <x v="2"/>
    <x v="26"/>
    <s v="JNE3800-KR-XXL"/>
    <x v="2"/>
    <s v="XXL"/>
    <n v="0"/>
    <s v="INR"/>
    <n v="734.29"/>
    <x v="7"/>
    <x v="6"/>
    <s v="IN"/>
  </r>
  <r>
    <n v="405"/>
    <x v="383"/>
    <d v="2023-11-20T00:00:00"/>
    <x v="0"/>
    <x v="2"/>
    <s v="Amazon"/>
    <x v="0"/>
    <x v="1"/>
    <x v="20"/>
    <s v="SET268-KR-NP-S"/>
    <x v="0"/>
    <s v="S"/>
    <n v="1"/>
    <s v="INR"/>
    <n v="788"/>
    <x v="12"/>
    <x v="9"/>
    <s v="IN"/>
  </r>
  <r>
    <n v="406"/>
    <x v="384"/>
    <d v="2024-10-20T00:00:00"/>
    <x v="10"/>
    <x v="2"/>
    <s v="Amazon"/>
    <x v="0"/>
    <x v="1"/>
    <x v="26"/>
    <s v="J0003-SET-M"/>
    <x v="0"/>
    <s v="M"/>
    <n v="1"/>
    <s v="INR"/>
    <n v="654"/>
    <x v="158"/>
    <x v="27"/>
    <s v="IN"/>
  </r>
  <r>
    <n v="407"/>
    <x v="385"/>
    <d v="2023-07-05T00:00:00"/>
    <x v="11"/>
    <x v="2"/>
    <s v="Amazon"/>
    <x v="1"/>
    <x v="1"/>
    <x v="10"/>
    <s v="JNE2270-KR-487-A-L"/>
    <x v="1"/>
    <s v="L"/>
    <n v="1"/>
    <s v="INR"/>
    <n v="518"/>
    <x v="4"/>
    <x v="3"/>
    <s v="IN"/>
  </r>
  <r>
    <n v="408"/>
    <x v="386"/>
    <d v="2024-12-27T00:00:00"/>
    <x v="2"/>
    <x v="2"/>
    <s v="Amazon"/>
    <x v="0"/>
    <x v="1"/>
    <x v="36"/>
    <s v="SET345-KR-NP-XXL"/>
    <x v="0"/>
    <s v="XXL"/>
    <n v="1"/>
    <s v="INR"/>
    <n v="626"/>
    <x v="7"/>
    <x v="6"/>
    <s v="IN"/>
  </r>
  <r>
    <n v="409"/>
    <x v="387"/>
    <d v="2024-01-30T00:00:00"/>
    <x v="1"/>
    <x v="2"/>
    <s v="Amazon"/>
    <x v="1"/>
    <x v="1"/>
    <x v="41"/>
    <s v="PJNE3373-KR-N-6XL"/>
    <x v="1"/>
    <s v="6XL"/>
    <n v="1"/>
    <s v="INR"/>
    <n v="534"/>
    <x v="115"/>
    <x v="4"/>
    <s v="IN"/>
  </r>
  <r>
    <n v="410"/>
    <x v="388"/>
    <d v="2023-02-19T00:00:00"/>
    <x v="5"/>
    <x v="2"/>
    <s v="Amazon"/>
    <x v="1"/>
    <x v="1"/>
    <x v="0"/>
    <s v="MEN5024-KR-M"/>
    <x v="1"/>
    <s v="M"/>
    <n v="1"/>
    <s v="INR"/>
    <n v="475"/>
    <x v="159"/>
    <x v="19"/>
    <s v="IN"/>
  </r>
  <r>
    <n v="411"/>
    <x v="389"/>
    <d v="2024-01-25T00:00:00"/>
    <x v="1"/>
    <x v="2"/>
    <s v="Amazon"/>
    <x v="1"/>
    <x v="1"/>
    <x v="33"/>
    <s v="MEN5023-KR-XL"/>
    <x v="1"/>
    <s v="XL"/>
    <n v="1"/>
    <s v="INR"/>
    <n v="549"/>
    <x v="160"/>
    <x v="14"/>
    <s v="IN"/>
  </r>
  <r>
    <n v="412"/>
    <x v="390"/>
    <d v="2023-11-04T00:00:00"/>
    <x v="0"/>
    <x v="2"/>
    <s v="Amazon"/>
    <x v="1"/>
    <x v="1"/>
    <x v="35"/>
    <s v="JNE2270-KR-487-A-L"/>
    <x v="1"/>
    <s v="L"/>
    <n v="1"/>
    <s v="INR"/>
    <n v="518"/>
    <x v="161"/>
    <x v="3"/>
    <s v="IN"/>
  </r>
  <r>
    <n v="413"/>
    <x v="391"/>
    <d v="2024-06-09T00:00:00"/>
    <x v="3"/>
    <x v="0"/>
    <s v="Amazon"/>
    <x v="0"/>
    <x v="1"/>
    <x v="41"/>
    <s v="J0308-DR-XL"/>
    <x v="2"/>
    <s v="XL"/>
    <n v="0"/>
    <m/>
    <m/>
    <x v="162"/>
    <x v="0"/>
    <s v="IN"/>
  </r>
  <r>
    <n v="414"/>
    <x v="392"/>
    <d v="2023-12-31T00:00:00"/>
    <x v="2"/>
    <x v="1"/>
    <s v="Merchant"/>
    <x v="0"/>
    <x v="2"/>
    <x v="28"/>
    <s v="JNE3797-KR-XS"/>
    <x v="2"/>
    <s v="XS"/>
    <n v="1"/>
    <s v="INR"/>
    <n v="725"/>
    <x v="7"/>
    <x v="6"/>
    <s v="IN"/>
  </r>
  <r>
    <n v="415"/>
    <x v="393"/>
    <d v="2024-04-22T00:00:00"/>
    <x v="9"/>
    <x v="0"/>
    <s v="Merchant"/>
    <x v="1"/>
    <x v="0"/>
    <x v="26"/>
    <s v="JNE3515-KR-XL"/>
    <x v="1"/>
    <s v="XL"/>
    <n v="0"/>
    <s v="INR"/>
    <n v="437.14"/>
    <x v="4"/>
    <x v="3"/>
    <s v="IN"/>
  </r>
  <r>
    <n v="416"/>
    <x v="394"/>
    <d v="2023-12-08T00:00:00"/>
    <x v="2"/>
    <x v="2"/>
    <s v="Amazon"/>
    <x v="0"/>
    <x v="1"/>
    <x v="1"/>
    <s v="J0225-SKD-XXL"/>
    <x v="0"/>
    <s v="XXL"/>
    <n v="1"/>
    <s v="INR"/>
    <n v="1499"/>
    <x v="7"/>
    <x v="6"/>
    <s v="IN"/>
  </r>
  <r>
    <n v="417"/>
    <x v="395"/>
    <d v="2023-11-10T00:00:00"/>
    <x v="0"/>
    <x v="2"/>
    <s v="Amazon"/>
    <x v="1"/>
    <x v="1"/>
    <x v="1"/>
    <s v="JNE3461-KR-L"/>
    <x v="1"/>
    <s v="L"/>
    <n v="1"/>
    <s v="INR"/>
    <n v="363"/>
    <x v="1"/>
    <x v="1"/>
    <s v="IN"/>
  </r>
  <r>
    <n v="418"/>
    <x v="396"/>
    <d v="2024-07-23T00:00:00"/>
    <x v="11"/>
    <x v="2"/>
    <s v="Amazon"/>
    <x v="1"/>
    <x v="1"/>
    <x v="3"/>
    <s v="JNE3618-KR-XS"/>
    <x v="1"/>
    <s v="XS"/>
    <n v="1"/>
    <s v="INR"/>
    <n v="399"/>
    <x v="163"/>
    <x v="21"/>
    <s v="IN"/>
  </r>
  <r>
    <n v="419"/>
    <x v="397"/>
    <d v="2024-03-14T00:00:00"/>
    <x v="6"/>
    <x v="2"/>
    <s v="Amazon"/>
    <x v="1"/>
    <x v="1"/>
    <x v="35"/>
    <s v="PJNE3405-KR-N-5XL"/>
    <x v="1"/>
    <s v="5XL"/>
    <n v="1"/>
    <s v="INR"/>
    <n v="487"/>
    <x v="27"/>
    <x v="17"/>
    <s v="IN"/>
  </r>
  <r>
    <n v="420"/>
    <x v="398"/>
    <d v="2024-08-20T00:00:00"/>
    <x v="7"/>
    <x v="0"/>
    <s v="Amazon"/>
    <x v="0"/>
    <x v="1"/>
    <x v="1"/>
    <s v="SET264-KR-NP-XXL"/>
    <x v="0"/>
    <s v="XXL"/>
    <n v="1"/>
    <s v="INR"/>
    <n v="824"/>
    <x v="3"/>
    <x v="2"/>
    <s v="IN"/>
  </r>
  <r>
    <n v="421"/>
    <x v="399"/>
    <d v="2024-07-04T00:00:00"/>
    <x v="11"/>
    <x v="1"/>
    <s v="Merchant"/>
    <x v="1"/>
    <x v="0"/>
    <x v="37"/>
    <s v="JNE3500-KR-S"/>
    <x v="1"/>
    <s v="S"/>
    <n v="1"/>
    <s v="INR"/>
    <n v="353"/>
    <x v="134"/>
    <x v="28"/>
    <s v="IN"/>
  </r>
  <r>
    <n v="422"/>
    <x v="400"/>
    <d v="2023-08-19T00:00:00"/>
    <x v="7"/>
    <x v="2"/>
    <s v="Amazon"/>
    <x v="0"/>
    <x v="1"/>
    <x v="7"/>
    <s v="JNE3690-TU-XL"/>
    <x v="3"/>
    <s v="XL"/>
    <n v="1"/>
    <s v="INR"/>
    <n v="487"/>
    <x v="15"/>
    <x v="0"/>
    <s v="IN"/>
  </r>
  <r>
    <n v="423"/>
    <x v="401"/>
    <d v="2024-04-30T00:00:00"/>
    <x v="9"/>
    <x v="2"/>
    <s v="Amazon"/>
    <x v="0"/>
    <x v="1"/>
    <x v="7"/>
    <s v="SET374-KR-NP-XS"/>
    <x v="0"/>
    <s v="XS"/>
    <n v="1"/>
    <s v="INR"/>
    <n v="597"/>
    <x v="164"/>
    <x v="7"/>
    <s v="IN"/>
  </r>
  <r>
    <n v="424"/>
    <x v="402"/>
    <d v="2024-04-20T00:00:00"/>
    <x v="9"/>
    <x v="2"/>
    <s v="Amazon"/>
    <x v="0"/>
    <x v="1"/>
    <x v="12"/>
    <s v="J0003-SET-XXL"/>
    <x v="0"/>
    <s v="XXL"/>
    <n v="1"/>
    <s v="INR"/>
    <n v="654"/>
    <x v="5"/>
    <x v="4"/>
    <s v="IN"/>
  </r>
  <r>
    <n v="425"/>
    <x v="403"/>
    <d v="2023-04-16T00:00:00"/>
    <x v="9"/>
    <x v="2"/>
    <s v="Amazon"/>
    <x v="0"/>
    <x v="1"/>
    <x v="26"/>
    <s v="SET324-KR-NP-XXL"/>
    <x v="0"/>
    <s v="XXL"/>
    <n v="1"/>
    <s v="INR"/>
    <n v="597"/>
    <x v="7"/>
    <x v="6"/>
    <s v="IN"/>
  </r>
  <r>
    <n v="426"/>
    <x v="404"/>
    <d v="2024-12-16T00:00:00"/>
    <x v="2"/>
    <x v="0"/>
    <s v="Amazon"/>
    <x v="1"/>
    <x v="1"/>
    <x v="35"/>
    <s v="JNE3461-KR-L"/>
    <x v="1"/>
    <s v="L"/>
    <n v="1"/>
    <s v="INR"/>
    <n v="363"/>
    <x v="1"/>
    <x v="1"/>
    <s v="IN"/>
  </r>
  <r>
    <n v="427"/>
    <x v="405"/>
    <d v="2023-12-08T00:00:00"/>
    <x v="2"/>
    <x v="2"/>
    <s v="Amazon"/>
    <x v="1"/>
    <x v="1"/>
    <x v="17"/>
    <s v="JNE3368-KR-XXL"/>
    <x v="1"/>
    <s v="XXL"/>
    <n v="1"/>
    <s v="INR"/>
    <n v="471"/>
    <x v="52"/>
    <x v="16"/>
    <s v="IN"/>
  </r>
  <r>
    <n v="428"/>
    <x v="406"/>
    <d v="2024-05-05T00:00:00"/>
    <x v="4"/>
    <x v="0"/>
    <s v="Amazon"/>
    <x v="1"/>
    <x v="1"/>
    <x v="29"/>
    <s v="JNE2270-KR-487-A-XL"/>
    <x v="1"/>
    <s v="XL"/>
    <n v="0"/>
    <m/>
    <m/>
    <x v="165"/>
    <x v="0"/>
    <s v="IN"/>
  </r>
  <r>
    <n v="429"/>
    <x v="407"/>
    <d v="2024-10-06T00:00:00"/>
    <x v="10"/>
    <x v="2"/>
    <s v="Amazon"/>
    <x v="0"/>
    <x v="1"/>
    <x v="16"/>
    <s v="J0341-DR-M"/>
    <x v="2"/>
    <s v="M"/>
    <n v="1"/>
    <s v="INR"/>
    <n v="744"/>
    <x v="166"/>
    <x v="11"/>
    <s v="IN"/>
  </r>
  <r>
    <n v="430"/>
    <x v="408"/>
    <d v="2023-02-10T00:00:00"/>
    <x v="5"/>
    <x v="2"/>
    <s v="Amazon"/>
    <x v="1"/>
    <x v="1"/>
    <x v="13"/>
    <s v="JNE3568-KR-S"/>
    <x v="1"/>
    <s v="S"/>
    <n v="1"/>
    <s v="INR"/>
    <n v="399"/>
    <x v="4"/>
    <x v="3"/>
    <s v="IN"/>
  </r>
  <r>
    <n v="431"/>
    <x v="409"/>
    <d v="2024-05-07T00:00:00"/>
    <x v="4"/>
    <x v="1"/>
    <s v="Merchant"/>
    <x v="1"/>
    <x v="2"/>
    <x v="15"/>
    <s v="J0096-KR-S"/>
    <x v="1"/>
    <s v="S"/>
    <n v="1"/>
    <s v="INR"/>
    <n v="568"/>
    <x v="167"/>
    <x v="1"/>
    <s v="IN"/>
  </r>
  <r>
    <n v="432"/>
    <x v="410"/>
    <d v="2024-06-17T00:00:00"/>
    <x v="3"/>
    <x v="2"/>
    <s v="Amazon"/>
    <x v="0"/>
    <x v="1"/>
    <x v="17"/>
    <s v="SET319-KR-NP-S"/>
    <x v="0"/>
    <s v="S"/>
    <n v="1"/>
    <s v="INR"/>
    <n v="835"/>
    <x v="168"/>
    <x v="1"/>
    <s v="IN"/>
  </r>
  <r>
    <n v="433"/>
    <x v="411"/>
    <d v="2024-04-09T00:00:00"/>
    <x v="9"/>
    <x v="4"/>
    <s v="Merchant"/>
    <x v="1"/>
    <x v="0"/>
    <x v="30"/>
    <s v="J0096-KR-S"/>
    <x v="1"/>
    <s v="S"/>
    <n v="1"/>
    <s v="INR"/>
    <n v="568"/>
    <x v="167"/>
    <x v="1"/>
    <s v="IN"/>
  </r>
  <r>
    <n v="434"/>
    <x v="412"/>
    <d v="2023-11-06T00:00:00"/>
    <x v="0"/>
    <x v="2"/>
    <s v="Amazon"/>
    <x v="0"/>
    <x v="1"/>
    <x v="6"/>
    <s v="J0415-DR-L"/>
    <x v="2"/>
    <s v="L"/>
    <n v="1"/>
    <s v="INR"/>
    <n v="899"/>
    <x v="169"/>
    <x v="12"/>
    <s v="IN"/>
  </r>
  <r>
    <n v="435"/>
    <x v="413"/>
    <d v="2023-04-06T00:00:00"/>
    <x v="9"/>
    <x v="2"/>
    <s v="Amazon"/>
    <x v="1"/>
    <x v="1"/>
    <x v="21"/>
    <s v="JNE3718-KR-XXL"/>
    <x v="1"/>
    <s v="XXL"/>
    <n v="1"/>
    <s v="INR"/>
    <n v="406"/>
    <x v="1"/>
    <x v="1"/>
    <s v="IN"/>
  </r>
  <r>
    <n v="436"/>
    <x v="414"/>
    <d v="2024-09-05T00:00:00"/>
    <x v="8"/>
    <x v="2"/>
    <s v="Amazon"/>
    <x v="0"/>
    <x v="1"/>
    <x v="10"/>
    <s v="SET014-KR-PP-XXL"/>
    <x v="0"/>
    <s v="XXL"/>
    <n v="1"/>
    <s v="INR"/>
    <n v="0"/>
    <x v="21"/>
    <x v="4"/>
    <s v="IN"/>
  </r>
  <r>
    <n v="437"/>
    <x v="415"/>
    <d v="2024-04-20T00:00:00"/>
    <x v="9"/>
    <x v="0"/>
    <s v="Merchant"/>
    <x v="0"/>
    <x v="0"/>
    <x v="13"/>
    <s v="SET408-KR-NP-XXL"/>
    <x v="0"/>
    <s v="XXL"/>
    <n v="0"/>
    <s v="INR"/>
    <n v="570.48"/>
    <x v="0"/>
    <x v="0"/>
    <s v="IN"/>
  </r>
  <r>
    <n v="438"/>
    <x v="416"/>
    <d v="2024-05-10T00:00:00"/>
    <x v="4"/>
    <x v="1"/>
    <s v="Merchant"/>
    <x v="1"/>
    <x v="0"/>
    <x v="8"/>
    <s v="JNE3405-KR-M"/>
    <x v="1"/>
    <s v="M"/>
    <n v="1"/>
    <s v="INR"/>
    <n v="399"/>
    <x v="170"/>
    <x v="6"/>
    <s v="IN"/>
  </r>
  <r>
    <n v="439"/>
    <x v="417"/>
    <d v="2024-07-18T00:00:00"/>
    <x v="11"/>
    <x v="2"/>
    <s v="Amazon"/>
    <x v="0"/>
    <x v="1"/>
    <x v="3"/>
    <s v="J0254-SKD-XS"/>
    <x v="0"/>
    <s v="XS"/>
    <n v="1"/>
    <s v="INR"/>
    <n v="789"/>
    <x v="4"/>
    <x v="3"/>
    <s v="IN"/>
  </r>
  <r>
    <n v="440"/>
    <x v="418"/>
    <d v="2024-08-29T00:00:00"/>
    <x v="7"/>
    <x v="2"/>
    <s v="Amazon"/>
    <x v="0"/>
    <x v="1"/>
    <x v="35"/>
    <s v="SAR114"/>
    <x v="6"/>
    <s v="Free"/>
    <n v="1"/>
    <s v="INR"/>
    <n v="620"/>
    <x v="12"/>
    <x v="9"/>
    <s v="IN"/>
  </r>
  <r>
    <n v="441"/>
    <x v="419"/>
    <d v="2023-12-09T00:00:00"/>
    <x v="2"/>
    <x v="1"/>
    <s v="Merchant"/>
    <x v="0"/>
    <x v="2"/>
    <x v="17"/>
    <s v="J0010-LCD-XS"/>
    <x v="0"/>
    <s v="XS"/>
    <n v="1"/>
    <s v="INR"/>
    <n v="0"/>
    <x v="171"/>
    <x v="0"/>
    <s v="IN"/>
  </r>
  <r>
    <n v="442"/>
    <x v="420"/>
    <d v="2023-06-19T00:00:00"/>
    <x v="3"/>
    <x v="1"/>
    <s v="Merchant"/>
    <x v="0"/>
    <x v="2"/>
    <x v="35"/>
    <s v="SET186-KR-DH-K-M"/>
    <x v="0"/>
    <s v="M"/>
    <n v="1"/>
    <s v="INR"/>
    <n v="631"/>
    <x v="15"/>
    <x v="0"/>
    <s v="IN"/>
  </r>
  <r>
    <n v="443"/>
    <x v="421"/>
    <d v="2023-04-13T00:00:00"/>
    <x v="9"/>
    <x v="2"/>
    <s v="Amazon"/>
    <x v="1"/>
    <x v="1"/>
    <x v="6"/>
    <s v="JNE3819-KR-L"/>
    <x v="1"/>
    <s v="L"/>
    <n v="1"/>
    <s v="INR"/>
    <n v="499"/>
    <x v="172"/>
    <x v="16"/>
    <s v="IN"/>
  </r>
  <r>
    <n v="444"/>
    <x v="422"/>
    <d v="2023-04-22T00:00:00"/>
    <x v="9"/>
    <x v="2"/>
    <s v="Amazon"/>
    <x v="0"/>
    <x v="1"/>
    <x v="9"/>
    <s v="J0335-DR-L"/>
    <x v="2"/>
    <s v="L"/>
    <n v="1"/>
    <s v="INR"/>
    <n v="807"/>
    <x v="7"/>
    <x v="6"/>
    <s v="IN"/>
  </r>
  <r>
    <n v="445"/>
    <x v="423"/>
    <d v="2023-06-11T00:00:00"/>
    <x v="3"/>
    <x v="2"/>
    <s v="Amazon"/>
    <x v="0"/>
    <x v="1"/>
    <x v="42"/>
    <s v="SET334-KR-NP-XXL"/>
    <x v="0"/>
    <s v="XXL"/>
    <n v="1"/>
    <s v="INR"/>
    <n v="666"/>
    <x v="3"/>
    <x v="2"/>
    <s v="IN"/>
  </r>
  <r>
    <n v="446"/>
    <x v="424"/>
    <d v="2023-06-23T00:00:00"/>
    <x v="3"/>
    <x v="2"/>
    <s v="Amazon"/>
    <x v="0"/>
    <x v="1"/>
    <x v="37"/>
    <s v="SET324-KR-NP-L"/>
    <x v="0"/>
    <s v="L"/>
    <n v="1"/>
    <s v="INR"/>
    <n v="0"/>
    <x v="173"/>
    <x v="0"/>
    <s v="IN"/>
  </r>
  <r>
    <n v="447"/>
    <x v="425"/>
    <d v="2023-04-26T00:00:00"/>
    <x v="9"/>
    <x v="2"/>
    <s v="Amazon"/>
    <x v="1"/>
    <x v="1"/>
    <x v="21"/>
    <s v="JNE3470-KR-XS"/>
    <x v="1"/>
    <s v="XS"/>
    <n v="1"/>
    <s v="INR"/>
    <n v="329"/>
    <x v="174"/>
    <x v="3"/>
    <s v="IN"/>
  </r>
  <r>
    <n v="448"/>
    <x v="426"/>
    <d v="2024-07-29T00:00:00"/>
    <x v="11"/>
    <x v="0"/>
    <s v="Amazon"/>
    <x v="1"/>
    <x v="1"/>
    <x v="1"/>
    <s v="JNE3619-KR-XS"/>
    <x v="1"/>
    <s v="XS"/>
    <n v="0"/>
    <m/>
    <m/>
    <x v="174"/>
    <x v="3"/>
    <s v="IN"/>
  </r>
  <r>
    <n v="449"/>
    <x v="427"/>
    <d v="2024-02-23T00:00:00"/>
    <x v="5"/>
    <x v="2"/>
    <s v="Amazon"/>
    <x v="0"/>
    <x v="1"/>
    <x v="3"/>
    <s v="J0283-SET-XL"/>
    <x v="0"/>
    <s v="XL"/>
    <n v="1"/>
    <s v="INR"/>
    <n v="0"/>
    <x v="17"/>
    <x v="12"/>
    <s v="IN"/>
  </r>
  <r>
    <n v="450"/>
    <x v="428"/>
    <d v="2023-04-22T00:00:00"/>
    <x v="9"/>
    <x v="1"/>
    <s v="Merchant"/>
    <x v="1"/>
    <x v="0"/>
    <x v="5"/>
    <s v="JNE3440-KR-N-XL"/>
    <x v="1"/>
    <s v="XL"/>
    <n v="1"/>
    <s v="INR"/>
    <n v="399"/>
    <x v="8"/>
    <x v="4"/>
    <s v="IN"/>
  </r>
  <r>
    <n v="451"/>
    <x v="429"/>
    <d v="2024-03-05T00:00:00"/>
    <x v="6"/>
    <x v="2"/>
    <s v="Amazon"/>
    <x v="1"/>
    <x v="1"/>
    <x v="20"/>
    <s v="JNE3567-KR-M"/>
    <x v="1"/>
    <s v="M"/>
    <n v="1"/>
    <s v="INR"/>
    <n v="399"/>
    <x v="86"/>
    <x v="1"/>
    <s v="IN"/>
  </r>
  <r>
    <n v="452"/>
    <x v="430"/>
    <d v="2023-09-12T00:00:00"/>
    <x v="8"/>
    <x v="2"/>
    <s v="Amazon"/>
    <x v="1"/>
    <x v="1"/>
    <x v="31"/>
    <s v="JNE3787-KR-XXL"/>
    <x v="1"/>
    <s v="XXL"/>
    <n v="1"/>
    <s v="INR"/>
    <n v="487"/>
    <x v="175"/>
    <x v="16"/>
    <s v="IN"/>
  </r>
  <r>
    <n v="453"/>
    <x v="431"/>
    <d v="2024-02-17T00:00:00"/>
    <x v="5"/>
    <x v="2"/>
    <s v="Amazon"/>
    <x v="0"/>
    <x v="1"/>
    <x v="37"/>
    <s v="SET282-KR-PP-XXL"/>
    <x v="0"/>
    <s v="XXL"/>
    <n v="1"/>
    <s v="INR"/>
    <n v="1033"/>
    <x v="12"/>
    <x v="9"/>
    <s v="IN"/>
  </r>
  <r>
    <n v="454"/>
    <x v="432"/>
    <d v="2023-08-01T00:00:00"/>
    <x v="7"/>
    <x v="2"/>
    <s v="Amazon"/>
    <x v="0"/>
    <x v="1"/>
    <x v="6"/>
    <s v="JNE3691-TU-L"/>
    <x v="3"/>
    <s v="L"/>
    <n v="1"/>
    <s v="INR"/>
    <n v="625"/>
    <x v="1"/>
    <x v="1"/>
    <s v="IN"/>
  </r>
  <r>
    <n v="455"/>
    <x v="433"/>
    <d v="2023-11-26T00:00:00"/>
    <x v="0"/>
    <x v="2"/>
    <s v="Amazon"/>
    <x v="0"/>
    <x v="1"/>
    <x v="37"/>
    <s v="JNE3645-TP-N-L"/>
    <x v="3"/>
    <s v="L"/>
    <n v="1"/>
    <s v="INR"/>
    <n v="432"/>
    <x v="0"/>
    <x v="0"/>
    <s v="IN"/>
  </r>
  <r>
    <n v="456"/>
    <x v="434"/>
    <d v="2024-01-17T00:00:00"/>
    <x v="1"/>
    <x v="0"/>
    <s v="Amazon"/>
    <x v="1"/>
    <x v="1"/>
    <x v="42"/>
    <s v="JNE3727-KR-XXL"/>
    <x v="1"/>
    <s v="XXL"/>
    <n v="0"/>
    <m/>
    <m/>
    <x v="176"/>
    <x v="15"/>
    <s v="IN"/>
  </r>
  <r>
    <n v="457"/>
    <x v="435"/>
    <d v="2024-03-24T00:00:00"/>
    <x v="6"/>
    <x v="2"/>
    <s v="Amazon"/>
    <x v="0"/>
    <x v="1"/>
    <x v="13"/>
    <s v="SET398-KR-PP-M"/>
    <x v="0"/>
    <s v="M"/>
    <n v="1"/>
    <s v="INR"/>
    <n v="1115"/>
    <x v="12"/>
    <x v="9"/>
    <s v="IN"/>
  </r>
  <r>
    <n v="458"/>
    <x v="436"/>
    <d v="2024-06-23T00:00:00"/>
    <x v="3"/>
    <x v="2"/>
    <s v="Amazon"/>
    <x v="1"/>
    <x v="1"/>
    <x v="6"/>
    <s v="JNE3634-KR-XL"/>
    <x v="1"/>
    <s v="XL"/>
    <n v="1"/>
    <s v="INR"/>
    <n v="511"/>
    <x v="5"/>
    <x v="4"/>
    <s v="IN"/>
  </r>
  <r>
    <n v="459"/>
    <x v="437"/>
    <d v="2024-08-12T00:00:00"/>
    <x v="7"/>
    <x v="2"/>
    <s v="Amazon"/>
    <x v="0"/>
    <x v="1"/>
    <x v="12"/>
    <s v="SET291-KR-PP-XL"/>
    <x v="0"/>
    <s v="XL"/>
    <n v="1"/>
    <s v="INR"/>
    <n v="599"/>
    <x v="177"/>
    <x v="14"/>
    <s v="IN"/>
  </r>
  <r>
    <n v="460"/>
    <x v="438"/>
    <d v="2023-06-04T00:00:00"/>
    <x v="3"/>
    <x v="2"/>
    <s v="Amazon"/>
    <x v="0"/>
    <x v="1"/>
    <x v="18"/>
    <s v="JNE3675-TU-L"/>
    <x v="3"/>
    <s v="L"/>
    <n v="1"/>
    <s v="INR"/>
    <n v="545"/>
    <x v="0"/>
    <x v="0"/>
    <s v="IN"/>
  </r>
  <r>
    <n v="461"/>
    <x v="439"/>
    <d v="2023-01-03T00:00:00"/>
    <x v="1"/>
    <x v="2"/>
    <s v="Amazon"/>
    <x v="1"/>
    <x v="1"/>
    <x v="8"/>
    <s v="JNE2199-KR-411-A-XXL"/>
    <x v="1"/>
    <s v="XXL"/>
    <n v="1"/>
    <s v="INR"/>
    <n v="353"/>
    <x v="37"/>
    <x v="0"/>
    <s v="IN"/>
  </r>
  <r>
    <n v="462"/>
    <x v="440"/>
    <d v="2024-07-10T00:00:00"/>
    <x v="11"/>
    <x v="2"/>
    <s v="Amazon"/>
    <x v="0"/>
    <x v="1"/>
    <x v="19"/>
    <s v="SET184-KR-PP-XXL"/>
    <x v="0"/>
    <s v="XXL"/>
    <n v="1"/>
    <s v="INR"/>
    <n v="563"/>
    <x v="37"/>
    <x v="0"/>
    <s v="IN"/>
  </r>
  <r>
    <n v="463"/>
    <x v="441"/>
    <d v="2023-01-18T00:00:00"/>
    <x v="1"/>
    <x v="2"/>
    <s v="Amazon"/>
    <x v="0"/>
    <x v="1"/>
    <x v="11"/>
    <s v="JNE3639-TP-N-XXL"/>
    <x v="3"/>
    <s v="XXL"/>
    <n v="1"/>
    <s v="INR"/>
    <n v="487"/>
    <x v="67"/>
    <x v="0"/>
    <s v="IN"/>
  </r>
  <r>
    <n v="464"/>
    <x v="442"/>
    <d v="2023-07-28T00:00:00"/>
    <x v="11"/>
    <x v="2"/>
    <s v="Amazon"/>
    <x v="1"/>
    <x v="1"/>
    <x v="41"/>
    <s v="JNE3468-KR-L"/>
    <x v="1"/>
    <s v="L"/>
    <n v="1"/>
    <s v="INR"/>
    <n v="352"/>
    <x v="4"/>
    <x v="3"/>
    <s v="IN"/>
  </r>
  <r>
    <n v="465"/>
    <x v="443"/>
    <d v="2023-10-04T00:00:00"/>
    <x v="10"/>
    <x v="2"/>
    <s v="Amazon"/>
    <x v="1"/>
    <x v="1"/>
    <x v="41"/>
    <s v="JNE3373-KR-L"/>
    <x v="1"/>
    <s v="L"/>
    <n v="1"/>
    <s v="INR"/>
    <n v="376"/>
    <x v="4"/>
    <x v="3"/>
    <s v="IN"/>
  </r>
  <r>
    <n v="466"/>
    <x v="444"/>
    <d v="2024-11-09T00:00:00"/>
    <x v="0"/>
    <x v="3"/>
    <s v="Merchant"/>
    <x v="0"/>
    <x v="0"/>
    <x v="17"/>
    <s v="J0213-TP-L"/>
    <x v="3"/>
    <s v="L"/>
    <n v="1"/>
    <s v="INR"/>
    <n v="599"/>
    <x v="82"/>
    <x v="10"/>
    <s v="IN"/>
  </r>
  <r>
    <n v="467"/>
    <x v="445"/>
    <d v="2023-03-14T00:00:00"/>
    <x v="6"/>
    <x v="1"/>
    <s v="Merchant"/>
    <x v="2"/>
    <x v="2"/>
    <x v="5"/>
    <s v="BL110-XL"/>
    <x v="7"/>
    <s v="XL"/>
    <n v="1"/>
    <s v="INR"/>
    <n v="329"/>
    <x v="153"/>
    <x v="23"/>
    <s v="IN"/>
  </r>
  <r>
    <n v="468"/>
    <x v="446"/>
    <d v="2024-10-06T00:00:00"/>
    <x v="10"/>
    <x v="2"/>
    <s v="Amazon"/>
    <x v="0"/>
    <x v="1"/>
    <x v="35"/>
    <s v="J0008-SKD-XL"/>
    <x v="0"/>
    <s v="XL"/>
    <n v="1"/>
    <s v="INR"/>
    <n v="1133"/>
    <x v="178"/>
    <x v="27"/>
    <s v="IN"/>
  </r>
  <r>
    <n v="469"/>
    <x v="447"/>
    <d v="2024-08-04T00:00:00"/>
    <x v="7"/>
    <x v="2"/>
    <s v="Amazon"/>
    <x v="0"/>
    <x v="1"/>
    <x v="15"/>
    <s v="SET288-KR-NP-XXL"/>
    <x v="0"/>
    <s v="XXL"/>
    <n v="1"/>
    <s v="INR"/>
    <n v="684"/>
    <x v="179"/>
    <x v="26"/>
    <s v="IN"/>
  </r>
  <r>
    <n v="470"/>
    <x v="448"/>
    <d v="2023-08-06T00:00:00"/>
    <x v="7"/>
    <x v="0"/>
    <s v="Amazon"/>
    <x v="0"/>
    <x v="1"/>
    <x v="2"/>
    <s v="SET374-KR-NP-XS"/>
    <x v="0"/>
    <s v="XS"/>
    <n v="0"/>
    <m/>
    <m/>
    <x v="180"/>
    <x v="11"/>
    <s v="IN"/>
  </r>
  <r>
    <n v="471"/>
    <x v="449"/>
    <d v="2023-11-25T00:00:00"/>
    <x v="0"/>
    <x v="0"/>
    <s v="Amazon"/>
    <x v="1"/>
    <x v="1"/>
    <x v="18"/>
    <s v="JNE3399-KR-L"/>
    <x v="1"/>
    <s v="L"/>
    <n v="1"/>
    <s v="INR"/>
    <n v="435"/>
    <x v="7"/>
    <x v="6"/>
    <s v="IN"/>
  </r>
  <r>
    <n v="472"/>
    <x v="450"/>
    <d v="2023-11-18T00:00:00"/>
    <x v="0"/>
    <x v="2"/>
    <s v="Amazon"/>
    <x v="1"/>
    <x v="1"/>
    <x v="3"/>
    <s v="JNE3405-KR-XL"/>
    <x v="1"/>
    <s v="XL"/>
    <n v="1"/>
    <s v="INR"/>
    <n v="399"/>
    <x v="15"/>
    <x v="0"/>
    <s v="IN"/>
  </r>
  <r>
    <n v="473"/>
    <x v="450"/>
    <d v="2024-11-19T00:00:00"/>
    <x v="0"/>
    <x v="2"/>
    <s v="Amazon"/>
    <x v="1"/>
    <x v="1"/>
    <x v="5"/>
    <s v="JNE3567-KR-XL"/>
    <x v="1"/>
    <s v="XL"/>
    <n v="1"/>
    <s v="INR"/>
    <n v="399"/>
    <x v="15"/>
    <x v="0"/>
    <s v="IN"/>
  </r>
  <r>
    <n v="474"/>
    <x v="451"/>
    <d v="2024-10-11T00:00:00"/>
    <x v="10"/>
    <x v="0"/>
    <s v="Amazon"/>
    <x v="1"/>
    <x v="1"/>
    <x v="31"/>
    <s v="JNE3405-KR-XL"/>
    <x v="1"/>
    <s v="XL"/>
    <n v="1"/>
    <s v="INR"/>
    <n v="399"/>
    <x v="181"/>
    <x v="1"/>
    <s v="IN"/>
  </r>
  <r>
    <n v="475"/>
    <x v="452"/>
    <d v="2024-11-17T00:00:00"/>
    <x v="0"/>
    <x v="2"/>
    <s v="Amazon"/>
    <x v="0"/>
    <x v="1"/>
    <x v="34"/>
    <s v="SET110-KR-PP-L"/>
    <x v="0"/>
    <s v="L"/>
    <n v="1"/>
    <s v="INR"/>
    <n v="788"/>
    <x v="182"/>
    <x v="17"/>
    <s v="IN"/>
  </r>
  <r>
    <n v="476"/>
    <x v="453"/>
    <d v="2024-12-23T00:00:00"/>
    <x v="2"/>
    <x v="1"/>
    <s v="Merchant"/>
    <x v="1"/>
    <x v="0"/>
    <x v="29"/>
    <s v="MEN5031-KR-XXXL"/>
    <x v="1"/>
    <s v="3XL"/>
    <n v="1"/>
    <s v="INR"/>
    <n v="549"/>
    <x v="1"/>
    <x v="1"/>
    <s v="IN"/>
  </r>
  <r>
    <n v="477"/>
    <x v="454"/>
    <d v="2023-12-03T00:00:00"/>
    <x v="2"/>
    <x v="2"/>
    <s v="Amazon"/>
    <x v="0"/>
    <x v="1"/>
    <x v="27"/>
    <s v="J0003-SET-XS"/>
    <x v="0"/>
    <s v="XS"/>
    <n v="1"/>
    <s v="INR"/>
    <n v="654"/>
    <x v="0"/>
    <x v="0"/>
    <s v="IN"/>
  </r>
  <r>
    <n v="478"/>
    <x v="455"/>
    <d v="2024-06-10T00:00:00"/>
    <x v="3"/>
    <x v="2"/>
    <s v="Amazon"/>
    <x v="1"/>
    <x v="1"/>
    <x v="19"/>
    <s v="JNE3421-KR-N-M"/>
    <x v="1"/>
    <s v="M"/>
    <n v="1"/>
    <s v="INR"/>
    <n v="399"/>
    <x v="0"/>
    <x v="0"/>
    <s v="IN"/>
  </r>
  <r>
    <n v="479"/>
    <x v="456"/>
    <d v="2023-10-16T00:00:00"/>
    <x v="10"/>
    <x v="1"/>
    <s v="Merchant"/>
    <x v="0"/>
    <x v="2"/>
    <x v="29"/>
    <s v="SET351-KR-NP-L"/>
    <x v="0"/>
    <s v="L"/>
    <n v="1"/>
    <s v="INR"/>
    <n v="599"/>
    <x v="7"/>
    <x v="6"/>
    <s v="IN"/>
  </r>
  <r>
    <n v="480"/>
    <x v="457"/>
    <d v="2023-05-04T00:00:00"/>
    <x v="4"/>
    <x v="2"/>
    <s v="Amazon"/>
    <x v="0"/>
    <x v="1"/>
    <x v="21"/>
    <s v="SET337-KR-NP-L"/>
    <x v="0"/>
    <s v="L"/>
    <n v="1"/>
    <s v="INR"/>
    <n v="874"/>
    <x v="7"/>
    <x v="6"/>
    <s v="IN"/>
  </r>
  <r>
    <n v="481"/>
    <x v="458"/>
    <d v="2024-10-26T00:00:00"/>
    <x v="10"/>
    <x v="1"/>
    <s v="Merchant"/>
    <x v="1"/>
    <x v="0"/>
    <x v="26"/>
    <s v="MEN5021-KR-XXL"/>
    <x v="1"/>
    <s v="XXL"/>
    <n v="1"/>
    <s v="INR"/>
    <n v="533"/>
    <x v="7"/>
    <x v="6"/>
    <s v="IN"/>
  </r>
  <r>
    <n v="482"/>
    <x v="459"/>
    <d v="2023-11-19T00:00:00"/>
    <x v="0"/>
    <x v="2"/>
    <s v="Amazon"/>
    <x v="1"/>
    <x v="1"/>
    <x v="30"/>
    <s v="JNE3567-KR-XXL"/>
    <x v="1"/>
    <s v="XXL"/>
    <n v="1"/>
    <s v="INR"/>
    <n v="399"/>
    <x v="1"/>
    <x v="1"/>
    <s v="IN"/>
  </r>
  <r>
    <n v="483"/>
    <x v="460"/>
    <d v="2023-11-16T00:00:00"/>
    <x v="0"/>
    <x v="2"/>
    <s v="Amazon"/>
    <x v="0"/>
    <x v="1"/>
    <x v="20"/>
    <s v="J0338-DR-L"/>
    <x v="2"/>
    <s v="L"/>
    <n v="1"/>
    <s v="INR"/>
    <n v="744"/>
    <x v="1"/>
    <x v="1"/>
    <s v="IN"/>
  </r>
  <r>
    <n v="484"/>
    <x v="461"/>
    <d v="2024-01-01T00:00:00"/>
    <x v="1"/>
    <x v="2"/>
    <s v="Amazon"/>
    <x v="1"/>
    <x v="1"/>
    <x v="0"/>
    <s v="MEN5009-KR-M"/>
    <x v="1"/>
    <s v="M"/>
    <n v="1"/>
    <s v="INR"/>
    <n v="499"/>
    <x v="183"/>
    <x v="19"/>
    <s v="IN"/>
  </r>
  <r>
    <n v="485"/>
    <x v="462"/>
    <d v="2023-05-13T00:00:00"/>
    <x v="4"/>
    <x v="0"/>
    <s v="Amazon"/>
    <x v="1"/>
    <x v="1"/>
    <x v="20"/>
    <s v="JNE3421-KR-N-M"/>
    <x v="1"/>
    <s v="M"/>
    <n v="1"/>
    <s v="INR"/>
    <n v="399"/>
    <x v="0"/>
    <x v="0"/>
    <s v="IN"/>
  </r>
  <r>
    <n v="486"/>
    <x v="463"/>
    <d v="2023-11-15T00:00:00"/>
    <x v="0"/>
    <x v="2"/>
    <s v="Amazon"/>
    <x v="1"/>
    <x v="1"/>
    <x v="29"/>
    <s v="JNE3364-KR-1051-A-L"/>
    <x v="1"/>
    <s v="L"/>
    <n v="1"/>
    <s v="INR"/>
    <n v="376"/>
    <x v="184"/>
    <x v="7"/>
    <s v="IN"/>
  </r>
  <r>
    <n v="487"/>
    <x v="464"/>
    <d v="2024-06-24T00:00:00"/>
    <x v="3"/>
    <x v="2"/>
    <s v="Amazon"/>
    <x v="1"/>
    <x v="1"/>
    <x v="30"/>
    <s v="JNE3465-KR-XXL"/>
    <x v="1"/>
    <s v="XXL"/>
    <n v="1"/>
    <s v="INR"/>
    <n v="486"/>
    <x v="185"/>
    <x v="1"/>
    <s v="IN"/>
  </r>
  <r>
    <n v="488"/>
    <x v="465"/>
    <d v="2023-04-13T00:00:00"/>
    <x v="9"/>
    <x v="2"/>
    <s v="Amazon"/>
    <x v="1"/>
    <x v="1"/>
    <x v="16"/>
    <s v="JNE3568-KR-XXL"/>
    <x v="1"/>
    <s v="XXL"/>
    <n v="1"/>
    <s v="INR"/>
    <n v="399"/>
    <x v="186"/>
    <x v="8"/>
    <s v="IN"/>
  </r>
  <r>
    <n v="489"/>
    <x v="466"/>
    <d v="2023-09-17T00:00:00"/>
    <x v="8"/>
    <x v="0"/>
    <s v="Amazon"/>
    <x v="1"/>
    <x v="1"/>
    <x v="38"/>
    <s v="JNE3781-KR-XXXL"/>
    <x v="1"/>
    <s v="3XL"/>
    <n v="0"/>
    <m/>
    <m/>
    <x v="187"/>
    <x v="0"/>
    <s v="IN"/>
  </r>
  <r>
    <n v="490"/>
    <x v="467"/>
    <d v="2023-12-14T00:00:00"/>
    <x v="2"/>
    <x v="2"/>
    <s v="Amazon"/>
    <x v="1"/>
    <x v="1"/>
    <x v="30"/>
    <s v="JNE2153-KR-278-A-XL"/>
    <x v="1"/>
    <s v="XL"/>
    <n v="1"/>
    <s v="INR"/>
    <n v="424"/>
    <x v="0"/>
    <x v="0"/>
    <s v="IN"/>
  </r>
  <r>
    <n v="491"/>
    <x v="468"/>
    <d v="2023-08-16T00:00:00"/>
    <x v="7"/>
    <x v="1"/>
    <s v="Merchant"/>
    <x v="1"/>
    <x v="2"/>
    <x v="32"/>
    <s v="JNE3487-KR-XXL"/>
    <x v="1"/>
    <s v="XXL"/>
    <n v="1"/>
    <s v="INR"/>
    <n v="362"/>
    <x v="0"/>
    <x v="0"/>
    <s v="IN"/>
  </r>
  <r>
    <n v="492"/>
    <x v="469"/>
    <d v="2023-04-16T00:00:00"/>
    <x v="9"/>
    <x v="2"/>
    <s v="Amazon"/>
    <x v="0"/>
    <x v="1"/>
    <x v="42"/>
    <s v="JNE3865-TP-XXXL"/>
    <x v="3"/>
    <s v="3XL"/>
    <n v="1"/>
    <s v="INR"/>
    <n v="599"/>
    <x v="188"/>
    <x v="23"/>
    <s v="IN"/>
  </r>
  <r>
    <n v="493"/>
    <x v="470"/>
    <d v="2023-02-01T00:00:00"/>
    <x v="5"/>
    <x v="2"/>
    <s v="Amazon"/>
    <x v="0"/>
    <x v="1"/>
    <x v="11"/>
    <s v="SET324-KR-NP-L"/>
    <x v="0"/>
    <s v="L"/>
    <n v="1"/>
    <s v="INR"/>
    <n v="597"/>
    <x v="27"/>
    <x v="17"/>
    <s v="IN"/>
  </r>
  <r>
    <n v="494"/>
    <x v="471"/>
    <d v="2024-03-17T00:00:00"/>
    <x v="6"/>
    <x v="2"/>
    <s v="Amazon"/>
    <x v="0"/>
    <x v="1"/>
    <x v="24"/>
    <s v="J0118-TP-XXL"/>
    <x v="3"/>
    <s v="XXL"/>
    <n v="1"/>
    <s v="INR"/>
    <n v="487"/>
    <x v="29"/>
    <x v="6"/>
    <s v="IN"/>
  </r>
  <r>
    <n v="495"/>
    <x v="472"/>
    <d v="2023-03-06T00:00:00"/>
    <x v="6"/>
    <x v="1"/>
    <s v="Merchant"/>
    <x v="0"/>
    <x v="2"/>
    <x v="20"/>
    <s v="SET291-KR-PP-XXXL"/>
    <x v="0"/>
    <s v="3XL"/>
    <n v="1"/>
    <s v="INR"/>
    <n v="563"/>
    <x v="67"/>
    <x v="0"/>
    <s v="IN"/>
  </r>
  <r>
    <n v="496"/>
    <x v="473"/>
    <d v="2023-09-07T00:00:00"/>
    <x v="8"/>
    <x v="2"/>
    <s v="Amazon"/>
    <x v="1"/>
    <x v="1"/>
    <x v="2"/>
    <s v="JNE3704-KR-L"/>
    <x v="1"/>
    <s v="L"/>
    <n v="1"/>
    <s v="INR"/>
    <n v="487"/>
    <x v="189"/>
    <x v="3"/>
    <s v="IN"/>
  </r>
  <r>
    <n v="497"/>
    <x v="474"/>
    <d v="2023-04-29T00:00:00"/>
    <x v="9"/>
    <x v="2"/>
    <s v="Amazon"/>
    <x v="0"/>
    <x v="1"/>
    <x v="30"/>
    <s v="J0378-SKD-XXL"/>
    <x v="0"/>
    <s v="XXL"/>
    <n v="1"/>
    <s v="INR"/>
    <n v="1099"/>
    <x v="190"/>
    <x v="16"/>
    <s v="IN"/>
  </r>
  <r>
    <n v="498"/>
    <x v="475"/>
    <d v="2023-10-26T00:00:00"/>
    <x v="10"/>
    <x v="2"/>
    <s v="Amazon"/>
    <x v="0"/>
    <x v="1"/>
    <x v="0"/>
    <s v="J0003-SET-M"/>
    <x v="0"/>
    <s v="M"/>
    <n v="1"/>
    <s v="INR"/>
    <n v="654"/>
    <x v="13"/>
    <x v="10"/>
    <s v="IN"/>
  </r>
  <r>
    <n v="499"/>
    <x v="476"/>
    <d v="2023-10-04T00:00:00"/>
    <x v="10"/>
    <x v="2"/>
    <s v="Amazon"/>
    <x v="1"/>
    <x v="1"/>
    <x v="13"/>
    <s v="JNE3721-KR-XL"/>
    <x v="1"/>
    <s v="XL"/>
    <n v="1"/>
    <s v="INR"/>
    <n v="329"/>
    <x v="7"/>
    <x v="6"/>
    <s v="IN"/>
  </r>
  <r>
    <n v="500"/>
    <x v="477"/>
    <d v="2024-10-11T00:00:00"/>
    <x v="10"/>
    <x v="0"/>
    <s v="Amazon"/>
    <x v="0"/>
    <x v="1"/>
    <x v="16"/>
    <s v="J0308-DR-XXL"/>
    <x v="2"/>
    <s v="XXL"/>
    <n v="0"/>
    <m/>
    <m/>
    <x v="191"/>
    <x v="13"/>
    <s v="IN"/>
  </r>
  <r>
    <n v="501"/>
    <x v="478"/>
    <d v="2024-07-17T00:00:00"/>
    <x v="11"/>
    <x v="2"/>
    <s v="Amazon"/>
    <x v="0"/>
    <x v="1"/>
    <x v="1"/>
    <s v="SET398-KR-PP-XXL"/>
    <x v="0"/>
    <s v="XXL"/>
    <n v="1"/>
    <s v="INR"/>
    <n v="1186"/>
    <x v="192"/>
    <x v="14"/>
    <s v="IN"/>
  </r>
  <r>
    <n v="502"/>
    <x v="479"/>
    <d v="2024-07-03T00:00:00"/>
    <x v="11"/>
    <x v="2"/>
    <s v="Amazon"/>
    <x v="0"/>
    <x v="1"/>
    <x v="18"/>
    <s v="J0157-DR-S"/>
    <x v="2"/>
    <s v="S"/>
    <n v="1"/>
    <s v="INR"/>
    <n v="588"/>
    <x v="22"/>
    <x v="7"/>
    <s v="IN"/>
  </r>
  <r>
    <n v="503"/>
    <x v="480"/>
    <d v="2023-11-15T00:00:00"/>
    <x v="0"/>
    <x v="0"/>
    <s v="Amazon"/>
    <x v="1"/>
    <x v="1"/>
    <x v="32"/>
    <s v="JNE3799-KR-S"/>
    <x v="1"/>
    <s v="S"/>
    <n v="0"/>
    <m/>
    <m/>
    <x v="5"/>
    <x v="4"/>
    <s v="IN"/>
  </r>
  <r>
    <n v="504"/>
    <x v="481"/>
    <d v="2023-06-21T00:00:00"/>
    <x v="3"/>
    <x v="2"/>
    <s v="Amazon"/>
    <x v="1"/>
    <x v="1"/>
    <x v="20"/>
    <s v="JNE2265-KR-501-S"/>
    <x v="1"/>
    <s v="S"/>
    <n v="1"/>
    <s v="INR"/>
    <n v="329"/>
    <x v="22"/>
    <x v="7"/>
    <s v="IN"/>
  </r>
  <r>
    <n v="505"/>
    <x v="481"/>
    <d v="2023-03-17T00:00:00"/>
    <x v="6"/>
    <x v="2"/>
    <s v="Amazon"/>
    <x v="1"/>
    <x v="1"/>
    <x v="19"/>
    <s v="JNE3401-KR-M"/>
    <x v="1"/>
    <s v="M"/>
    <n v="1"/>
    <s v="INR"/>
    <n v="259"/>
    <x v="22"/>
    <x v="7"/>
    <s v="IN"/>
  </r>
  <r>
    <n v="506"/>
    <x v="482"/>
    <d v="2024-05-29T00:00:00"/>
    <x v="4"/>
    <x v="2"/>
    <s v="Amazon"/>
    <x v="1"/>
    <x v="1"/>
    <x v="24"/>
    <s v="JNE3787-KR-XXL"/>
    <x v="1"/>
    <s v="XXL"/>
    <n v="1"/>
    <s v="INR"/>
    <n v="487"/>
    <x v="193"/>
    <x v="7"/>
    <s v="IN"/>
  </r>
  <r>
    <n v="507"/>
    <x v="483"/>
    <d v="2024-12-22T00:00:00"/>
    <x v="2"/>
    <x v="1"/>
    <s v="Merchant"/>
    <x v="0"/>
    <x v="2"/>
    <x v="40"/>
    <s v="SET332-KR-PP-L"/>
    <x v="0"/>
    <s v="L"/>
    <n v="1"/>
    <s v="INR"/>
    <n v="549"/>
    <x v="194"/>
    <x v="20"/>
    <s v="IN"/>
  </r>
  <r>
    <n v="508"/>
    <x v="484"/>
    <d v="2023-08-24T00:00:00"/>
    <x v="7"/>
    <x v="2"/>
    <s v="Amazon"/>
    <x v="0"/>
    <x v="1"/>
    <x v="38"/>
    <s v="SET345-KR-NP-XL"/>
    <x v="0"/>
    <s v="XL"/>
    <n v="1"/>
    <s v="INR"/>
    <n v="626"/>
    <x v="195"/>
    <x v="7"/>
    <s v="IN"/>
  </r>
  <r>
    <n v="509"/>
    <x v="485"/>
    <d v="2024-07-23T00:00:00"/>
    <x v="11"/>
    <x v="0"/>
    <s v="Amazon"/>
    <x v="1"/>
    <x v="1"/>
    <x v="22"/>
    <s v="JNE1525-KR-UDF19-A-XL"/>
    <x v="1"/>
    <s v="XL"/>
    <n v="0"/>
    <m/>
    <m/>
    <x v="196"/>
    <x v="0"/>
    <s v="IN"/>
  </r>
  <r>
    <n v="510"/>
    <x v="486"/>
    <d v="2023-08-24T00:00:00"/>
    <x v="7"/>
    <x v="0"/>
    <s v="Merchant"/>
    <x v="1"/>
    <x v="0"/>
    <x v="9"/>
    <s v="J0373-KR-M"/>
    <x v="1"/>
    <s v="M"/>
    <n v="0"/>
    <s v="INR"/>
    <n v="570.48"/>
    <x v="34"/>
    <x v="6"/>
    <s v="IN"/>
  </r>
  <r>
    <n v="511"/>
    <x v="487"/>
    <d v="2024-05-14T00:00:00"/>
    <x v="4"/>
    <x v="1"/>
    <s v="Merchant"/>
    <x v="1"/>
    <x v="2"/>
    <x v="17"/>
    <s v="JNE3449-KR-XXXL"/>
    <x v="1"/>
    <s v="3XL"/>
    <n v="1"/>
    <s v="INR"/>
    <n v="319"/>
    <x v="4"/>
    <x v="3"/>
    <s v="IN"/>
  </r>
  <r>
    <n v="512"/>
    <x v="488"/>
    <d v="2024-10-06T00:00:00"/>
    <x v="10"/>
    <x v="2"/>
    <s v="Amazon"/>
    <x v="0"/>
    <x v="1"/>
    <x v="37"/>
    <s v="J0118-TP-XXXL"/>
    <x v="3"/>
    <s v="3XL"/>
    <n v="1"/>
    <s v="INR"/>
    <n v="518"/>
    <x v="197"/>
    <x v="4"/>
    <s v="IN"/>
  </r>
  <r>
    <n v="513"/>
    <x v="489"/>
    <d v="2023-08-30T00:00:00"/>
    <x v="7"/>
    <x v="2"/>
    <s v="Amazon"/>
    <x v="0"/>
    <x v="1"/>
    <x v="10"/>
    <s v="J0006-SET-L"/>
    <x v="4"/>
    <s v="L"/>
    <n v="1"/>
    <s v="INR"/>
    <n v="899"/>
    <x v="198"/>
    <x v="8"/>
    <s v="IN"/>
  </r>
  <r>
    <n v="514"/>
    <x v="490"/>
    <d v="2024-02-19T00:00:00"/>
    <x v="5"/>
    <x v="2"/>
    <s v="Amazon"/>
    <x v="0"/>
    <x v="1"/>
    <x v="11"/>
    <s v="J0335-DR-XL"/>
    <x v="2"/>
    <s v="XL"/>
    <n v="1"/>
    <s v="INR"/>
    <n v="807"/>
    <x v="8"/>
    <x v="4"/>
    <s v="IN"/>
  </r>
  <r>
    <n v="515"/>
    <x v="491"/>
    <d v="2024-10-01T00:00:00"/>
    <x v="10"/>
    <x v="1"/>
    <s v="Merchant"/>
    <x v="0"/>
    <x v="2"/>
    <x v="33"/>
    <s v="J0301-TP-M"/>
    <x v="3"/>
    <s v="M"/>
    <n v="1"/>
    <s v="INR"/>
    <n v="463"/>
    <x v="34"/>
    <x v="6"/>
    <s v="IN"/>
  </r>
  <r>
    <n v="516"/>
    <x v="492"/>
    <d v="2023-05-07T00:00:00"/>
    <x v="4"/>
    <x v="2"/>
    <s v="Amazon"/>
    <x v="0"/>
    <x v="1"/>
    <x v="37"/>
    <s v="SET228-KR-PP-A-XXXL"/>
    <x v="0"/>
    <s v="3XL"/>
    <n v="1"/>
    <s v="INR"/>
    <n v="653"/>
    <x v="40"/>
    <x v="1"/>
    <s v="IN"/>
  </r>
  <r>
    <n v="517"/>
    <x v="493"/>
    <d v="2023-12-09T00:00:00"/>
    <x v="2"/>
    <x v="2"/>
    <s v="Amazon"/>
    <x v="0"/>
    <x v="1"/>
    <x v="36"/>
    <s v="J0012-SKD-M"/>
    <x v="0"/>
    <s v="M"/>
    <n v="1"/>
    <s v="INR"/>
    <n v="1140"/>
    <x v="12"/>
    <x v="9"/>
    <s v="IN"/>
  </r>
  <r>
    <n v="518"/>
    <x v="494"/>
    <d v="2024-08-02T00:00:00"/>
    <x v="7"/>
    <x v="0"/>
    <s v="Amazon"/>
    <x v="1"/>
    <x v="1"/>
    <x v="35"/>
    <s v="MEN5023-KR-S"/>
    <x v="1"/>
    <s v="S"/>
    <n v="0"/>
    <m/>
    <m/>
    <x v="160"/>
    <x v="14"/>
    <s v="IN"/>
  </r>
  <r>
    <n v="519"/>
    <x v="495"/>
    <d v="2023-05-21T00:00:00"/>
    <x v="4"/>
    <x v="2"/>
    <s v="Amazon"/>
    <x v="0"/>
    <x v="1"/>
    <x v="23"/>
    <s v="SET388-KR-NP-S"/>
    <x v="0"/>
    <s v="S"/>
    <n v="1"/>
    <s v="INR"/>
    <n v="1260"/>
    <x v="84"/>
    <x v="4"/>
    <s v="IN"/>
  </r>
  <r>
    <n v="520"/>
    <x v="496"/>
    <d v="2023-06-10T00:00:00"/>
    <x v="3"/>
    <x v="2"/>
    <s v="Amazon"/>
    <x v="0"/>
    <x v="1"/>
    <x v="18"/>
    <s v="SET333-KR-DPT-XL"/>
    <x v="0"/>
    <s v="XL"/>
    <n v="1"/>
    <s v="INR"/>
    <n v="909"/>
    <x v="34"/>
    <x v="6"/>
    <s v="IN"/>
  </r>
  <r>
    <n v="521"/>
    <x v="497"/>
    <d v="2023-09-24T00:00:00"/>
    <x v="8"/>
    <x v="0"/>
    <s v="Amazon"/>
    <x v="1"/>
    <x v="1"/>
    <x v="42"/>
    <s v="MEN5002-KR-XXL"/>
    <x v="1"/>
    <s v="XXL"/>
    <n v="0"/>
    <m/>
    <m/>
    <x v="45"/>
    <x v="19"/>
    <s v="IN"/>
  </r>
  <r>
    <n v="522"/>
    <x v="498"/>
    <d v="2023-04-26T00:00:00"/>
    <x v="9"/>
    <x v="2"/>
    <s v="Amazon"/>
    <x v="0"/>
    <x v="1"/>
    <x v="29"/>
    <s v="SET172-KR-PP-B-M"/>
    <x v="0"/>
    <s v="M"/>
    <n v="1"/>
    <s v="INR"/>
    <n v="968"/>
    <x v="12"/>
    <x v="9"/>
    <s v="IN"/>
  </r>
  <r>
    <n v="523"/>
    <x v="499"/>
    <d v="2024-09-02T00:00:00"/>
    <x v="8"/>
    <x v="2"/>
    <s v="Amazon"/>
    <x v="0"/>
    <x v="1"/>
    <x v="16"/>
    <s v="SET268-KR-NP-XL"/>
    <x v="0"/>
    <s v="XL"/>
    <n v="1"/>
    <s v="INR"/>
    <n v="788"/>
    <x v="124"/>
    <x v="0"/>
    <s v="IN"/>
  </r>
  <r>
    <n v="524"/>
    <x v="500"/>
    <d v="2023-12-30T00:00:00"/>
    <x v="2"/>
    <x v="2"/>
    <s v="Amazon"/>
    <x v="0"/>
    <x v="1"/>
    <x v="26"/>
    <s v="JNE3800-KR-M"/>
    <x v="2"/>
    <s v="M"/>
    <n v="1"/>
    <s v="INR"/>
    <n v="771"/>
    <x v="138"/>
    <x v="17"/>
    <s v="IN"/>
  </r>
  <r>
    <n v="525"/>
    <x v="501"/>
    <d v="2023-03-24T00:00:00"/>
    <x v="6"/>
    <x v="2"/>
    <s v="Amazon"/>
    <x v="1"/>
    <x v="1"/>
    <x v="20"/>
    <s v="JNE3405-KR-XXXL"/>
    <x v="1"/>
    <s v="3XL"/>
    <n v="1"/>
    <s v="INR"/>
    <n v="399"/>
    <x v="67"/>
    <x v="0"/>
    <s v="IN"/>
  </r>
  <r>
    <n v="526"/>
    <x v="502"/>
    <d v="2024-11-21T00:00:00"/>
    <x v="0"/>
    <x v="2"/>
    <s v="Amazon"/>
    <x v="0"/>
    <x v="1"/>
    <x v="14"/>
    <s v="SET319-KR-NP-XL"/>
    <x v="0"/>
    <s v="XL"/>
    <n v="1"/>
    <s v="INR"/>
    <n v="888"/>
    <x v="22"/>
    <x v="7"/>
    <s v="IN"/>
  </r>
  <r>
    <n v="527"/>
    <x v="502"/>
    <d v="2023-01-25T00:00:00"/>
    <x v="1"/>
    <x v="2"/>
    <s v="Amazon"/>
    <x v="0"/>
    <x v="1"/>
    <x v="9"/>
    <s v="SET378-KR-NP-XS"/>
    <x v="0"/>
    <s v="XS"/>
    <n v="1"/>
    <s v="INR"/>
    <n v="1221"/>
    <x v="22"/>
    <x v="7"/>
    <s v="IN"/>
  </r>
  <r>
    <n v="528"/>
    <x v="503"/>
    <d v="2024-10-04T00:00:00"/>
    <x v="10"/>
    <x v="2"/>
    <s v="Amazon"/>
    <x v="1"/>
    <x v="1"/>
    <x v="36"/>
    <s v="JNE3405-KR-XL"/>
    <x v="1"/>
    <s v="XL"/>
    <n v="1"/>
    <s v="INR"/>
    <n v="399"/>
    <x v="105"/>
    <x v="15"/>
    <s v="IN"/>
  </r>
  <r>
    <n v="529"/>
    <x v="504"/>
    <d v="2024-05-12T00:00:00"/>
    <x v="4"/>
    <x v="1"/>
    <s v="Merchant"/>
    <x v="1"/>
    <x v="0"/>
    <x v="22"/>
    <s v="JNE3368-KR-XXXL"/>
    <x v="1"/>
    <s v="3XL"/>
    <n v="1"/>
    <s v="INR"/>
    <n v="471"/>
    <x v="1"/>
    <x v="1"/>
    <s v="IN"/>
  </r>
  <r>
    <n v="530"/>
    <x v="505"/>
    <d v="2024-05-18T00:00:00"/>
    <x v="4"/>
    <x v="2"/>
    <s v="Amazon"/>
    <x v="0"/>
    <x v="1"/>
    <x v="23"/>
    <s v="SET233-KR-PP-L"/>
    <x v="0"/>
    <s v="L"/>
    <n v="1"/>
    <s v="INR"/>
    <n v="545"/>
    <x v="0"/>
    <x v="0"/>
    <s v="IN"/>
  </r>
  <r>
    <n v="531"/>
    <x v="506"/>
    <d v="2024-12-18T00:00:00"/>
    <x v="2"/>
    <x v="2"/>
    <s v="Amazon"/>
    <x v="0"/>
    <x v="1"/>
    <x v="2"/>
    <s v="SET344-KR-NP-S"/>
    <x v="0"/>
    <s v="S"/>
    <n v="1"/>
    <s v="INR"/>
    <n v="968"/>
    <x v="84"/>
    <x v="4"/>
    <s v="IN"/>
  </r>
  <r>
    <n v="532"/>
    <x v="507"/>
    <d v="2024-08-30T00:00:00"/>
    <x v="7"/>
    <x v="2"/>
    <s v="Amazon"/>
    <x v="1"/>
    <x v="1"/>
    <x v="10"/>
    <s v="MEN5002-KR-M"/>
    <x v="1"/>
    <s v="M"/>
    <n v="1"/>
    <s v="INR"/>
    <n v="499"/>
    <x v="183"/>
    <x v="19"/>
    <s v="IN"/>
  </r>
  <r>
    <n v="533"/>
    <x v="508"/>
    <d v="2023-09-29T00:00:00"/>
    <x v="8"/>
    <x v="2"/>
    <s v="Amazon"/>
    <x v="1"/>
    <x v="1"/>
    <x v="15"/>
    <s v="JNE3405-KR-L"/>
    <x v="1"/>
    <s v="L"/>
    <n v="1"/>
    <s v="INR"/>
    <n v="399"/>
    <x v="199"/>
    <x v="7"/>
    <s v="IN"/>
  </r>
  <r>
    <n v="534"/>
    <x v="509"/>
    <d v="2023-10-13T00:00:00"/>
    <x v="10"/>
    <x v="2"/>
    <s v="Amazon"/>
    <x v="1"/>
    <x v="1"/>
    <x v="19"/>
    <s v="JNE3405-KR-XL"/>
    <x v="1"/>
    <s v="XL"/>
    <n v="1"/>
    <s v="INR"/>
    <n v="399"/>
    <x v="50"/>
    <x v="19"/>
    <s v="IN"/>
  </r>
  <r>
    <n v="535"/>
    <x v="510"/>
    <d v="2023-03-25T00:00:00"/>
    <x v="6"/>
    <x v="0"/>
    <s v="Amazon"/>
    <x v="0"/>
    <x v="1"/>
    <x v="7"/>
    <s v="SET319-KR-NP-S"/>
    <x v="0"/>
    <s v="S"/>
    <n v="0"/>
    <m/>
    <m/>
    <x v="86"/>
    <x v="1"/>
    <s v="IN"/>
  </r>
  <r>
    <n v="536"/>
    <x v="511"/>
    <d v="2024-04-08T00:00:00"/>
    <x v="9"/>
    <x v="0"/>
    <s v="Amazon"/>
    <x v="1"/>
    <x v="1"/>
    <x v="9"/>
    <s v="JNE3368-KR-XXL"/>
    <x v="1"/>
    <s v="XXL"/>
    <n v="1"/>
    <s v="INR"/>
    <n v="471"/>
    <x v="1"/>
    <x v="1"/>
    <s v="IN"/>
  </r>
  <r>
    <n v="537"/>
    <x v="512"/>
    <d v="2023-08-26T00:00:00"/>
    <x v="7"/>
    <x v="0"/>
    <s v="Merchant"/>
    <x v="1"/>
    <x v="0"/>
    <x v="19"/>
    <s v="JNE3718-KR-XXL"/>
    <x v="1"/>
    <s v="XXL"/>
    <n v="0"/>
    <s v="INR"/>
    <n v="386.67"/>
    <x v="1"/>
    <x v="1"/>
    <s v="IN"/>
  </r>
  <r>
    <n v="538"/>
    <x v="513"/>
    <d v="2024-09-15T00:00:00"/>
    <x v="8"/>
    <x v="0"/>
    <s v="Merchant"/>
    <x v="1"/>
    <x v="2"/>
    <x v="7"/>
    <s v="MEN5006-KR-XXL"/>
    <x v="1"/>
    <s v="XXL"/>
    <n v="0"/>
    <s v="INR"/>
    <n v="452.38"/>
    <x v="47"/>
    <x v="21"/>
    <s v="IN"/>
  </r>
  <r>
    <n v="539"/>
    <x v="514"/>
    <d v="2023-12-15T00:00:00"/>
    <x v="2"/>
    <x v="2"/>
    <s v="Amazon"/>
    <x v="0"/>
    <x v="1"/>
    <x v="1"/>
    <s v="J0230-SKD-L"/>
    <x v="0"/>
    <s v="L"/>
    <n v="1"/>
    <s v="INR"/>
    <n v="1112"/>
    <x v="15"/>
    <x v="0"/>
    <s v="IN"/>
  </r>
  <r>
    <n v="540"/>
    <x v="515"/>
    <d v="2023-05-27T00:00:00"/>
    <x v="4"/>
    <x v="0"/>
    <s v="Amazon"/>
    <x v="0"/>
    <x v="1"/>
    <x v="9"/>
    <s v="SET233-KR-PP-L"/>
    <x v="0"/>
    <s v="L"/>
    <n v="0"/>
    <m/>
    <m/>
    <x v="0"/>
    <x v="0"/>
    <s v="IN"/>
  </r>
  <r>
    <n v="541"/>
    <x v="516"/>
    <d v="2024-12-14T00:00:00"/>
    <x v="2"/>
    <x v="2"/>
    <s v="Amazon"/>
    <x v="0"/>
    <x v="1"/>
    <x v="21"/>
    <s v="SET363-KR-NP-XL"/>
    <x v="0"/>
    <s v="XL"/>
    <n v="1"/>
    <s v="INR"/>
    <n v="1338"/>
    <x v="200"/>
    <x v="20"/>
    <s v="IN"/>
  </r>
  <r>
    <n v="542"/>
    <x v="517"/>
    <d v="2023-12-31T00:00:00"/>
    <x v="2"/>
    <x v="2"/>
    <s v="Amazon"/>
    <x v="1"/>
    <x v="1"/>
    <x v="3"/>
    <s v="JNE3794-KR-XXXL"/>
    <x v="1"/>
    <s v="3XL"/>
    <n v="1"/>
    <s v="INR"/>
    <n v="517"/>
    <x v="86"/>
    <x v="1"/>
    <s v="IN"/>
  </r>
  <r>
    <n v="543"/>
    <x v="518"/>
    <d v="2023-05-10T00:00:00"/>
    <x v="4"/>
    <x v="2"/>
    <s v="Amazon"/>
    <x v="1"/>
    <x v="1"/>
    <x v="21"/>
    <s v="JNE3721-KR-XL"/>
    <x v="1"/>
    <s v="XL"/>
    <n v="1"/>
    <s v="INR"/>
    <n v="329"/>
    <x v="36"/>
    <x v="0"/>
    <s v="IN"/>
  </r>
  <r>
    <n v="544"/>
    <x v="519"/>
    <d v="2024-08-21T00:00:00"/>
    <x v="7"/>
    <x v="2"/>
    <s v="Amazon"/>
    <x v="0"/>
    <x v="1"/>
    <x v="2"/>
    <s v="JNE3797-KR-L"/>
    <x v="2"/>
    <s v="L"/>
    <n v="1"/>
    <s v="INR"/>
    <n v="725"/>
    <x v="8"/>
    <x v="4"/>
    <s v="IN"/>
  </r>
  <r>
    <n v="545"/>
    <x v="520"/>
    <d v="2023-04-04T00:00:00"/>
    <x v="9"/>
    <x v="2"/>
    <s v="Amazon"/>
    <x v="1"/>
    <x v="1"/>
    <x v="26"/>
    <s v="JNE3461-KR-XXL"/>
    <x v="1"/>
    <s v="XXL"/>
    <n v="1"/>
    <s v="INR"/>
    <n v="363"/>
    <x v="11"/>
    <x v="8"/>
    <s v="IN"/>
  </r>
  <r>
    <n v="546"/>
    <x v="521"/>
    <d v="2023-06-08T00:00:00"/>
    <x v="3"/>
    <x v="2"/>
    <s v="Amazon"/>
    <x v="0"/>
    <x v="1"/>
    <x v="21"/>
    <s v="SET345-KR-NP-L"/>
    <x v="0"/>
    <s v="L"/>
    <n v="1"/>
    <s v="INR"/>
    <n v="666"/>
    <x v="201"/>
    <x v="14"/>
    <s v="IN"/>
  </r>
  <r>
    <n v="547"/>
    <x v="522"/>
    <d v="2024-05-06T00:00:00"/>
    <x v="4"/>
    <x v="0"/>
    <s v="Amazon"/>
    <x v="0"/>
    <x v="1"/>
    <x v="9"/>
    <s v="SET131-KR-NP-A-XXL"/>
    <x v="0"/>
    <s v="XXL"/>
    <n v="0"/>
    <m/>
    <m/>
    <x v="53"/>
    <x v="10"/>
    <s v="IN"/>
  </r>
  <r>
    <n v="548"/>
    <x v="523"/>
    <d v="2024-07-19T00:00:00"/>
    <x v="11"/>
    <x v="0"/>
    <s v="Amazon"/>
    <x v="0"/>
    <x v="1"/>
    <x v="24"/>
    <s v="J0157-DR-S"/>
    <x v="2"/>
    <s v="S"/>
    <n v="1"/>
    <s v="INR"/>
    <n v="588"/>
    <x v="22"/>
    <x v="7"/>
    <s v="IN"/>
  </r>
  <r>
    <n v="549"/>
    <x v="524"/>
    <d v="2023-07-22T00:00:00"/>
    <x v="11"/>
    <x v="2"/>
    <s v="Amazon"/>
    <x v="0"/>
    <x v="1"/>
    <x v="25"/>
    <s v="SET203-KR-DPT-S"/>
    <x v="0"/>
    <s v="S"/>
    <n v="1"/>
    <s v="INR"/>
    <n v="449"/>
    <x v="4"/>
    <x v="3"/>
    <s v="IN"/>
  </r>
  <r>
    <n v="550"/>
    <x v="525"/>
    <d v="2023-02-18T00:00:00"/>
    <x v="5"/>
    <x v="2"/>
    <s v="Amazon"/>
    <x v="0"/>
    <x v="1"/>
    <x v="29"/>
    <s v="SET098-KR-PP-XL"/>
    <x v="0"/>
    <s v="XL"/>
    <n v="1"/>
    <s v="INR"/>
    <n v="696"/>
    <x v="202"/>
    <x v="17"/>
    <s v="IN"/>
  </r>
  <r>
    <n v="551"/>
    <x v="526"/>
    <d v="2024-03-13T00:00:00"/>
    <x v="6"/>
    <x v="2"/>
    <s v="Amazon"/>
    <x v="1"/>
    <x v="1"/>
    <x v="29"/>
    <s v="JNE3614-KR-M"/>
    <x v="1"/>
    <s v="M"/>
    <n v="1"/>
    <s v="INR"/>
    <n v="459"/>
    <x v="203"/>
    <x v="24"/>
    <s v="IN"/>
  </r>
  <r>
    <n v="552"/>
    <x v="527"/>
    <d v="2023-02-07T00:00:00"/>
    <x v="5"/>
    <x v="1"/>
    <s v="Merchant"/>
    <x v="0"/>
    <x v="2"/>
    <x v="23"/>
    <s v="J0201-TP-L"/>
    <x v="3"/>
    <s v="L"/>
    <n v="1"/>
    <s v="INR"/>
    <n v="625"/>
    <x v="15"/>
    <x v="0"/>
    <s v="IN"/>
  </r>
  <r>
    <n v="553"/>
    <x v="528"/>
    <d v="2023-08-08T00:00:00"/>
    <x v="7"/>
    <x v="2"/>
    <s v="Amazon"/>
    <x v="0"/>
    <x v="1"/>
    <x v="29"/>
    <s v="J0003-SET-XXXL"/>
    <x v="0"/>
    <s v="3XL"/>
    <n v="1"/>
    <s v="INR"/>
    <n v="654"/>
    <x v="142"/>
    <x v="4"/>
    <s v="IN"/>
  </r>
  <r>
    <n v="554"/>
    <x v="529"/>
    <d v="2023-05-16T00:00:00"/>
    <x v="4"/>
    <x v="2"/>
    <s v="Amazon"/>
    <x v="1"/>
    <x v="1"/>
    <x v="35"/>
    <s v="JNE3405-KR-XL"/>
    <x v="1"/>
    <s v="XL"/>
    <n v="1"/>
    <s v="INR"/>
    <n v="399"/>
    <x v="0"/>
    <x v="0"/>
    <s v="IN"/>
  </r>
  <r>
    <n v="555"/>
    <x v="530"/>
    <d v="2024-01-12T00:00:00"/>
    <x v="1"/>
    <x v="2"/>
    <s v="Amazon"/>
    <x v="0"/>
    <x v="1"/>
    <x v="31"/>
    <s v="SET201-KR-NP-A-XXL"/>
    <x v="0"/>
    <s v="XXL"/>
    <n v="1"/>
    <s v="INR"/>
    <n v="595"/>
    <x v="4"/>
    <x v="3"/>
    <s v="IN"/>
  </r>
  <r>
    <n v="556"/>
    <x v="531"/>
    <d v="2024-08-30T00:00:00"/>
    <x v="7"/>
    <x v="2"/>
    <s v="Amazon"/>
    <x v="0"/>
    <x v="1"/>
    <x v="28"/>
    <s v="SET324-KR-NP-L"/>
    <x v="0"/>
    <s v="L"/>
    <n v="1"/>
    <s v="INR"/>
    <n v="597"/>
    <x v="124"/>
    <x v="0"/>
    <s v="IN"/>
  </r>
  <r>
    <n v="557"/>
    <x v="532"/>
    <d v="2024-01-11T00:00:00"/>
    <x v="1"/>
    <x v="2"/>
    <s v="Amazon"/>
    <x v="0"/>
    <x v="1"/>
    <x v="3"/>
    <s v="NW030-TP-PJ-XXL"/>
    <x v="0"/>
    <s v="XXL"/>
    <n v="1"/>
    <s v="INR"/>
    <n v="582"/>
    <x v="12"/>
    <x v="9"/>
    <s v="IN"/>
  </r>
  <r>
    <n v="558"/>
    <x v="533"/>
    <d v="2024-12-24T00:00:00"/>
    <x v="2"/>
    <x v="2"/>
    <s v="Amazon"/>
    <x v="0"/>
    <x v="1"/>
    <x v="1"/>
    <s v="SET273-KR-NP-XXXL"/>
    <x v="0"/>
    <s v="3XL"/>
    <n v="1"/>
    <s v="INR"/>
    <n v="612"/>
    <x v="0"/>
    <x v="0"/>
    <s v="IN"/>
  </r>
  <r>
    <n v="559"/>
    <x v="534"/>
    <d v="2024-06-18T00:00:00"/>
    <x v="3"/>
    <x v="2"/>
    <s v="Amazon"/>
    <x v="0"/>
    <x v="1"/>
    <x v="30"/>
    <s v="J0003-SET-M"/>
    <x v="0"/>
    <s v="M"/>
    <n v="1"/>
    <s v="INR"/>
    <n v="654"/>
    <x v="25"/>
    <x v="4"/>
    <s v="IN"/>
  </r>
  <r>
    <n v="560"/>
    <x v="535"/>
    <d v="2024-09-01T00:00:00"/>
    <x v="8"/>
    <x v="1"/>
    <s v="Merchant"/>
    <x v="0"/>
    <x v="2"/>
    <x v="40"/>
    <s v="JNE3690-TU-L"/>
    <x v="3"/>
    <s v="L"/>
    <n v="1"/>
    <s v="INR"/>
    <n v="518"/>
    <x v="12"/>
    <x v="9"/>
    <s v="IN"/>
  </r>
  <r>
    <n v="561"/>
    <x v="536"/>
    <d v="2023-10-17T00:00:00"/>
    <x v="10"/>
    <x v="2"/>
    <s v="Amazon"/>
    <x v="0"/>
    <x v="1"/>
    <x v="31"/>
    <s v="J0247-SKD-S"/>
    <x v="0"/>
    <s v="S"/>
    <n v="1"/>
    <s v="INR"/>
    <n v="820"/>
    <x v="204"/>
    <x v="16"/>
    <s v="IN"/>
  </r>
  <r>
    <n v="562"/>
    <x v="537"/>
    <d v="2023-12-30T00:00:00"/>
    <x v="2"/>
    <x v="2"/>
    <s v="Amazon"/>
    <x v="0"/>
    <x v="1"/>
    <x v="6"/>
    <s v="SET347-KR-NP-XXXL"/>
    <x v="0"/>
    <s v="3XL"/>
    <n v="1"/>
    <s v="INR"/>
    <n v="801"/>
    <x v="21"/>
    <x v="4"/>
    <s v="IN"/>
  </r>
  <r>
    <n v="563"/>
    <x v="538"/>
    <d v="2023-04-18T00:00:00"/>
    <x v="9"/>
    <x v="0"/>
    <s v="Merchant"/>
    <x v="1"/>
    <x v="0"/>
    <x v="40"/>
    <s v="J0386-KR-XXXL"/>
    <x v="1"/>
    <s v="3XL"/>
    <n v="0"/>
    <m/>
    <m/>
    <x v="205"/>
    <x v="4"/>
    <s v="IN"/>
  </r>
  <r>
    <n v="564"/>
    <x v="539"/>
    <d v="2023-12-18T00:00:00"/>
    <x v="2"/>
    <x v="2"/>
    <s v="Amazon"/>
    <x v="1"/>
    <x v="1"/>
    <x v="19"/>
    <s v="JNE3405-KR-XL"/>
    <x v="1"/>
    <s v="XL"/>
    <n v="1"/>
    <s v="INR"/>
    <n v="399"/>
    <x v="0"/>
    <x v="0"/>
    <s v="IN"/>
  </r>
  <r>
    <n v="565"/>
    <x v="540"/>
    <d v="2024-04-03T00:00:00"/>
    <x v="9"/>
    <x v="2"/>
    <s v="Amazon"/>
    <x v="0"/>
    <x v="1"/>
    <x v="35"/>
    <s v="J0342-TP-L"/>
    <x v="3"/>
    <s v="L"/>
    <n v="1"/>
    <s v="INR"/>
    <n v="540"/>
    <x v="24"/>
    <x v="15"/>
    <s v="IN"/>
  </r>
  <r>
    <n v="566"/>
    <x v="541"/>
    <d v="2023-04-02T00:00:00"/>
    <x v="9"/>
    <x v="2"/>
    <s v="Amazon"/>
    <x v="0"/>
    <x v="1"/>
    <x v="27"/>
    <s v="SET363-KR-NP-L"/>
    <x v="0"/>
    <s v="L"/>
    <n v="1"/>
    <s v="INR"/>
    <n v="1338"/>
    <x v="206"/>
    <x v="15"/>
    <s v="IN"/>
  </r>
  <r>
    <n v="567"/>
    <x v="542"/>
    <d v="2023-04-07T00:00:00"/>
    <x v="9"/>
    <x v="2"/>
    <s v="Amazon"/>
    <x v="0"/>
    <x v="1"/>
    <x v="2"/>
    <s v="J0342-TP-M"/>
    <x v="3"/>
    <s v="M"/>
    <n v="1"/>
    <s v="INR"/>
    <n v="540"/>
    <x v="27"/>
    <x v="17"/>
    <s v="IN"/>
  </r>
  <r>
    <n v="568"/>
    <x v="543"/>
    <d v="2024-01-17T00:00:00"/>
    <x v="1"/>
    <x v="2"/>
    <s v="Amazon"/>
    <x v="0"/>
    <x v="1"/>
    <x v="42"/>
    <s v="J0198-TP-XXXL"/>
    <x v="3"/>
    <s v="3XL"/>
    <n v="1"/>
    <s v="INR"/>
    <n v="625"/>
    <x v="7"/>
    <x v="6"/>
    <s v="IN"/>
  </r>
  <r>
    <n v="569"/>
    <x v="544"/>
    <d v="2023-05-17T00:00:00"/>
    <x v="4"/>
    <x v="1"/>
    <s v="Merchant"/>
    <x v="1"/>
    <x v="0"/>
    <x v="0"/>
    <s v="JNE3500-KR-XXL"/>
    <x v="1"/>
    <s v="XXL"/>
    <n v="1"/>
    <s v="INR"/>
    <n v="364"/>
    <x v="37"/>
    <x v="0"/>
    <s v="IN"/>
  </r>
  <r>
    <n v="570"/>
    <x v="545"/>
    <d v="2023-04-15T00:00:00"/>
    <x v="9"/>
    <x v="2"/>
    <s v="Amazon"/>
    <x v="1"/>
    <x v="1"/>
    <x v="10"/>
    <s v="JNE3510-KR-XL"/>
    <x v="1"/>
    <s v="XL"/>
    <n v="1"/>
    <s v="INR"/>
    <n v="429"/>
    <x v="18"/>
    <x v="13"/>
    <s v="IN"/>
  </r>
  <r>
    <n v="571"/>
    <x v="546"/>
    <d v="2024-12-06T00:00:00"/>
    <x v="2"/>
    <x v="0"/>
    <s v="Amazon"/>
    <x v="0"/>
    <x v="1"/>
    <x v="29"/>
    <s v="J0005-DR-XXL"/>
    <x v="2"/>
    <s v="XXL"/>
    <n v="1"/>
    <s v="INR"/>
    <n v="899"/>
    <x v="91"/>
    <x v="1"/>
    <s v="IN"/>
  </r>
  <r>
    <n v="572"/>
    <x v="547"/>
    <d v="2023-12-03T00:00:00"/>
    <x v="2"/>
    <x v="0"/>
    <s v="Amazon"/>
    <x v="0"/>
    <x v="1"/>
    <x v="34"/>
    <s v="J0003-SET-XXL"/>
    <x v="0"/>
    <s v="XXL"/>
    <n v="0"/>
    <m/>
    <m/>
    <x v="207"/>
    <x v="23"/>
    <s v="IN"/>
  </r>
  <r>
    <n v="573"/>
    <x v="548"/>
    <d v="2023-01-08T00:00:00"/>
    <x v="1"/>
    <x v="2"/>
    <s v="Amazon"/>
    <x v="0"/>
    <x v="1"/>
    <x v="36"/>
    <s v="SET360-KR-NP-XXL"/>
    <x v="0"/>
    <s v="XXL"/>
    <n v="1"/>
    <s v="INR"/>
    <n v="1126"/>
    <x v="99"/>
    <x v="14"/>
    <s v="IN"/>
  </r>
  <r>
    <n v="574"/>
    <x v="549"/>
    <d v="2024-07-22T00:00:00"/>
    <x v="11"/>
    <x v="2"/>
    <s v="Amazon"/>
    <x v="0"/>
    <x v="1"/>
    <x v="1"/>
    <s v="SET110-KR-PP-S"/>
    <x v="0"/>
    <s v="S"/>
    <n v="1"/>
    <s v="INR"/>
    <n v="788"/>
    <x v="208"/>
    <x v="1"/>
    <s v="IN"/>
  </r>
  <r>
    <n v="575"/>
    <x v="550"/>
    <d v="2024-05-16T00:00:00"/>
    <x v="4"/>
    <x v="2"/>
    <s v="Amazon"/>
    <x v="0"/>
    <x v="1"/>
    <x v="6"/>
    <s v="JNE3645-TP-N-XS"/>
    <x v="3"/>
    <s v="XS"/>
    <n v="1"/>
    <s v="INR"/>
    <n v="432"/>
    <x v="36"/>
    <x v="0"/>
    <s v="IN"/>
  </r>
  <r>
    <n v="576"/>
    <x v="551"/>
    <d v="2024-08-15T00:00:00"/>
    <x v="7"/>
    <x v="2"/>
    <s v="Amazon"/>
    <x v="1"/>
    <x v="1"/>
    <x v="39"/>
    <s v="JNE3373-KR-XXL"/>
    <x v="1"/>
    <s v="XXL"/>
    <n v="1"/>
    <s v="INR"/>
    <n v="376"/>
    <x v="209"/>
    <x v="6"/>
    <s v="IN"/>
  </r>
  <r>
    <n v="577"/>
    <x v="552"/>
    <d v="2024-11-28T00:00:00"/>
    <x v="0"/>
    <x v="2"/>
    <s v="Amazon"/>
    <x v="0"/>
    <x v="1"/>
    <x v="35"/>
    <s v="JNE3797-KR-M"/>
    <x v="2"/>
    <s v="M"/>
    <n v="1"/>
    <s v="INR"/>
    <n v="725"/>
    <x v="7"/>
    <x v="6"/>
    <s v="IN"/>
  </r>
  <r>
    <n v="578"/>
    <x v="553"/>
    <d v="2024-03-11T00:00:00"/>
    <x v="6"/>
    <x v="2"/>
    <s v="Amazon"/>
    <x v="0"/>
    <x v="1"/>
    <x v="22"/>
    <s v="J0341-DR-S"/>
    <x v="2"/>
    <s v="S"/>
    <n v="1"/>
    <s v="INR"/>
    <n v="744"/>
    <x v="7"/>
    <x v="6"/>
    <s v="IN"/>
  </r>
  <r>
    <n v="579"/>
    <x v="554"/>
    <d v="2024-03-24T00:00:00"/>
    <x v="6"/>
    <x v="1"/>
    <s v="Merchant"/>
    <x v="0"/>
    <x v="0"/>
    <x v="30"/>
    <s v="J0416-DR-S"/>
    <x v="2"/>
    <s v="S"/>
    <n v="1"/>
    <s v="INR"/>
    <n v="825"/>
    <x v="50"/>
    <x v="19"/>
    <s v="IN"/>
  </r>
  <r>
    <n v="580"/>
    <x v="555"/>
    <d v="2023-02-04T00:00:00"/>
    <x v="5"/>
    <x v="2"/>
    <s v="Amazon"/>
    <x v="1"/>
    <x v="1"/>
    <x v="21"/>
    <s v="JNE3405-KR-XL"/>
    <x v="1"/>
    <s v="XL"/>
    <n v="1"/>
    <s v="INR"/>
    <n v="399"/>
    <x v="4"/>
    <x v="3"/>
    <s v="IN"/>
  </r>
  <r>
    <n v="581"/>
    <x v="556"/>
    <d v="2023-12-06T00:00:00"/>
    <x v="2"/>
    <x v="2"/>
    <s v="Amazon"/>
    <x v="0"/>
    <x v="1"/>
    <x v="1"/>
    <s v="SET310-KR-NP-XXL"/>
    <x v="0"/>
    <s v="XXL"/>
    <n v="1"/>
    <s v="INR"/>
    <n v="1213"/>
    <x v="210"/>
    <x v="29"/>
    <s v="IN"/>
  </r>
  <r>
    <n v="582"/>
    <x v="557"/>
    <d v="2023-08-01T00:00:00"/>
    <x v="7"/>
    <x v="2"/>
    <s v="Amazon"/>
    <x v="0"/>
    <x v="1"/>
    <x v="27"/>
    <s v="SET188-KR-NP-XS"/>
    <x v="0"/>
    <s v="XS"/>
    <n v="1"/>
    <s v="INR"/>
    <n v="680"/>
    <x v="11"/>
    <x v="8"/>
    <s v="IN"/>
  </r>
  <r>
    <n v="583"/>
    <x v="558"/>
    <d v="2024-12-06T00:00:00"/>
    <x v="2"/>
    <x v="1"/>
    <s v="Merchant"/>
    <x v="1"/>
    <x v="2"/>
    <x v="26"/>
    <s v="J0096-KR-XS"/>
    <x v="1"/>
    <s v="XS"/>
    <n v="1"/>
    <s v="INR"/>
    <n v="568"/>
    <x v="211"/>
    <x v="10"/>
    <s v="IN"/>
  </r>
  <r>
    <n v="584"/>
    <x v="559"/>
    <d v="2023-07-31T00:00:00"/>
    <x v="11"/>
    <x v="2"/>
    <s v="Amazon"/>
    <x v="0"/>
    <x v="1"/>
    <x v="30"/>
    <s v="SET323-KR-NP-XXL"/>
    <x v="0"/>
    <s v="XXL"/>
    <n v="1"/>
    <s v="INR"/>
    <n v="939"/>
    <x v="7"/>
    <x v="6"/>
    <s v="IN"/>
  </r>
  <r>
    <n v="585"/>
    <x v="560"/>
    <d v="2024-12-28T00:00:00"/>
    <x v="2"/>
    <x v="2"/>
    <s v="Amazon"/>
    <x v="0"/>
    <x v="1"/>
    <x v="11"/>
    <s v="J0300-TP-XXXL"/>
    <x v="3"/>
    <s v="3XL"/>
    <n v="1"/>
    <s v="INR"/>
    <n v="279"/>
    <x v="1"/>
    <x v="1"/>
    <s v="IN"/>
  </r>
  <r>
    <n v="586"/>
    <x v="561"/>
    <d v="2023-05-05T00:00:00"/>
    <x v="4"/>
    <x v="2"/>
    <s v="Amazon"/>
    <x v="1"/>
    <x v="1"/>
    <x v="36"/>
    <s v="PJNE3405-KR-N-5XL"/>
    <x v="1"/>
    <s v="5XL"/>
    <n v="1"/>
    <s v="INR"/>
    <n v="487"/>
    <x v="212"/>
    <x v="12"/>
    <s v="IN"/>
  </r>
  <r>
    <n v="587"/>
    <x v="562"/>
    <d v="2023-02-28T00:00:00"/>
    <x v="5"/>
    <x v="2"/>
    <s v="Amazon"/>
    <x v="1"/>
    <x v="1"/>
    <x v="13"/>
    <s v="PJNE2100-KR-N-5XL"/>
    <x v="1"/>
    <s v="5XL"/>
    <n v="1"/>
    <s v="INR"/>
    <n v="458"/>
    <x v="45"/>
    <x v="19"/>
    <s v="IN"/>
  </r>
  <r>
    <n v="588"/>
    <x v="563"/>
    <d v="2024-06-06T00:00:00"/>
    <x v="3"/>
    <x v="2"/>
    <s v="Amazon"/>
    <x v="1"/>
    <x v="1"/>
    <x v="28"/>
    <s v="PJNE3068-KR-5XL"/>
    <x v="1"/>
    <s v="5XL"/>
    <n v="1"/>
    <s v="INR"/>
    <n v="692"/>
    <x v="213"/>
    <x v="4"/>
    <s v="IN"/>
  </r>
  <r>
    <n v="589"/>
    <x v="564"/>
    <d v="2024-08-27T00:00:00"/>
    <x v="7"/>
    <x v="2"/>
    <s v="Amazon"/>
    <x v="0"/>
    <x v="1"/>
    <x v="36"/>
    <s v="J0196-TP-XXL"/>
    <x v="3"/>
    <s v="XXL"/>
    <n v="1"/>
    <s v="INR"/>
    <n v="469"/>
    <x v="7"/>
    <x v="6"/>
    <s v="IN"/>
  </r>
  <r>
    <n v="590"/>
    <x v="565"/>
    <d v="2024-01-19T00:00:00"/>
    <x v="1"/>
    <x v="2"/>
    <s v="Amazon"/>
    <x v="1"/>
    <x v="1"/>
    <x v="6"/>
    <s v="JNE3405-KR-XXXL"/>
    <x v="1"/>
    <s v="3XL"/>
    <n v="1"/>
    <s v="INR"/>
    <n v="399"/>
    <x v="5"/>
    <x v="4"/>
    <s v="IN"/>
  </r>
  <r>
    <n v="591"/>
    <x v="566"/>
    <d v="2023-03-04T00:00:00"/>
    <x v="6"/>
    <x v="2"/>
    <s v="Amazon"/>
    <x v="0"/>
    <x v="1"/>
    <x v="16"/>
    <s v="SET187-KR-DH-XL"/>
    <x v="0"/>
    <s v="XL"/>
    <n v="1"/>
    <s v="INR"/>
    <n v="599"/>
    <x v="214"/>
    <x v="4"/>
    <s v="IN"/>
  </r>
  <r>
    <n v="592"/>
    <x v="567"/>
    <d v="2024-11-20T00:00:00"/>
    <x v="0"/>
    <x v="2"/>
    <s v="Amazon"/>
    <x v="0"/>
    <x v="1"/>
    <x v="20"/>
    <s v="SET389-KR-NP-XL"/>
    <x v="0"/>
    <s v="XL"/>
    <n v="1"/>
    <s v="INR"/>
    <n v="680"/>
    <x v="215"/>
    <x v="1"/>
    <s v="IN"/>
  </r>
  <r>
    <n v="593"/>
    <x v="568"/>
    <d v="2024-11-14T00:00:00"/>
    <x v="0"/>
    <x v="0"/>
    <s v="Amazon"/>
    <x v="0"/>
    <x v="1"/>
    <x v="11"/>
    <s v="J0008-SKD-XL"/>
    <x v="0"/>
    <s v="XL"/>
    <n v="0"/>
    <m/>
    <m/>
    <x v="216"/>
    <x v="27"/>
    <s v="IN"/>
  </r>
  <r>
    <n v="594"/>
    <x v="569"/>
    <d v="2024-11-20T00:00:00"/>
    <x v="0"/>
    <x v="2"/>
    <s v="Amazon"/>
    <x v="0"/>
    <x v="1"/>
    <x v="8"/>
    <s v="SAR040"/>
    <x v="6"/>
    <s v="Free"/>
    <n v="1"/>
    <s v="INR"/>
    <n v="989"/>
    <x v="217"/>
    <x v="19"/>
    <s v="IN"/>
  </r>
  <r>
    <n v="595"/>
    <x v="570"/>
    <d v="2023-07-14T00:00:00"/>
    <x v="11"/>
    <x v="1"/>
    <s v="Merchant"/>
    <x v="0"/>
    <x v="0"/>
    <x v="18"/>
    <s v="J0372-SKD-L"/>
    <x v="0"/>
    <s v="L"/>
    <n v="1"/>
    <s v="INR"/>
    <n v="1099"/>
    <x v="218"/>
    <x v="22"/>
    <s v="IN"/>
  </r>
  <r>
    <n v="596"/>
    <x v="571"/>
    <d v="2024-09-28T00:00:00"/>
    <x v="8"/>
    <x v="2"/>
    <s v="Amazon"/>
    <x v="0"/>
    <x v="1"/>
    <x v="23"/>
    <s v="J0157-DR-S"/>
    <x v="2"/>
    <s v="S"/>
    <n v="1"/>
    <s v="INR"/>
    <n v="588"/>
    <x v="36"/>
    <x v="0"/>
    <s v="IN"/>
  </r>
  <r>
    <n v="597"/>
    <x v="572"/>
    <d v="2023-07-03T00:00:00"/>
    <x v="11"/>
    <x v="0"/>
    <s v="Amazon"/>
    <x v="0"/>
    <x v="1"/>
    <x v="27"/>
    <s v="J0376-SKD-S"/>
    <x v="0"/>
    <s v="S"/>
    <n v="1"/>
    <s v="INR"/>
    <n v="999"/>
    <x v="5"/>
    <x v="4"/>
    <s v="IN"/>
  </r>
  <r>
    <n v="598"/>
    <x v="573"/>
    <d v="2023-06-18T00:00:00"/>
    <x v="3"/>
    <x v="2"/>
    <s v="Amazon"/>
    <x v="1"/>
    <x v="1"/>
    <x v="15"/>
    <s v="JNE3518-KR-M"/>
    <x v="1"/>
    <s v="M"/>
    <n v="1"/>
    <s v="INR"/>
    <n v="487"/>
    <x v="7"/>
    <x v="6"/>
    <s v="IN"/>
  </r>
  <r>
    <n v="599"/>
    <x v="574"/>
    <d v="2023-07-17T00:00:00"/>
    <x v="11"/>
    <x v="2"/>
    <s v="Amazon"/>
    <x v="0"/>
    <x v="1"/>
    <x v="13"/>
    <s v="J0095-SET-XXXL"/>
    <x v="0"/>
    <s v="3XL"/>
    <n v="1"/>
    <s v="INR"/>
    <n v="653"/>
    <x v="22"/>
    <x v="7"/>
    <s v="IN"/>
  </r>
  <r>
    <n v="600"/>
    <x v="574"/>
    <d v="2023-11-13T00:00:00"/>
    <x v="0"/>
    <x v="2"/>
    <s v="Amazon"/>
    <x v="0"/>
    <x v="1"/>
    <x v="3"/>
    <s v="NW004-TP-PJ-XXXL"/>
    <x v="0"/>
    <s v="3XL"/>
    <n v="1"/>
    <s v="INR"/>
    <n v="496"/>
    <x v="22"/>
    <x v="7"/>
    <s v="IN"/>
  </r>
  <r>
    <n v="601"/>
    <x v="575"/>
    <d v="2024-09-28T00:00:00"/>
    <x v="8"/>
    <x v="2"/>
    <s v="Amazon"/>
    <x v="1"/>
    <x v="1"/>
    <x v="23"/>
    <s v="J0167-KR-S"/>
    <x v="1"/>
    <s v="S"/>
    <n v="1"/>
    <s v="INR"/>
    <n v="319"/>
    <x v="219"/>
    <x v="4"/>
    <s v="IN"/>
  </r>
  <r>
    <n v="602"/>
    <x v="576"/>
    <d v="2023-05-18T00:00:00"/>
    <x v="4"/>
    <x v="0"/>
    <s v="Amazon"/>
    <x v="0"/>
    <x v="1"/>
    <x v="14"/>
    <s v="SET374-KR-NP-XXXL"/>
    <x v="0"/>
    <s v="3XL"/>
    <n v="0"/>
    <m/>
    <m/>
    <x v="7"/>
    <x v="6"/>
    <s v="IN"/>
  </r>
  <r>
    <n v="603"/>
    <x v="577"/>
    <d v="2023-07-23T00:00:00"/>
    <x v="11"/>
    <x v="2"/>
    <s v="Amazon"/>
    <x v="0"/>
    <x v="1"/>
    <x v="34"/>
    <s v="J0230-SKD-S"/>
    <x v="0"/>
    <s v="S"/>
    <n v="1"/>
    <s v="INR"/>
    <n v="1112"/>
    <x v="1"/>
    <x v="1"/>
    <s v="IN"/>
  </r>
  <r>
    <n v="604"/>
    <x v="578"/>
    <d v="2023-05-30T00:00:00"/>
    <x v="4"/>
    <x v="2"/>
    <s v="Amazon"/>
    <x v="1"/>
    <x v="1"/>
    <x v="20"/>
    <s v="JNE3465-KR-S"/>
    <x v="1"/>
    <s v="S"/>
    <n v="1"/>
    <s v="INR"/>
    <n v="517"/>
    <x v="220"/>
    <x v="4"/>
    <s v="IN"/>
  </r>
  <r>
    <n v="605"/>
    <x v="579"/>
    <d v="2023-01-02T00:00:00"/>
    <x v="1"/>
    <x v="2"/>
    <s v="Amazon"/>
    <x v="0"/>
    <x v="1"/>
    <x v="8"/>
    <s v="SET331-KR-NP-M"/>
    <x v="0"/>
    <s v="M"/>
    <n v="1"/>
    <s v="INR"/>
    <n v="597"/>
    <x v="4"/>
    <x v="3"/>
    <s v="IN"/>
  </r>
  <r>
    <n v="606"/>
    <x v="580"/>
    <d v="2023-09-12T00:00:00"/>
    <x v="8"/>
    <x v="2"/>
    <s v="Amazon"/>
    <x v="0"/>
    <x v="1"/>
    <x v="20"/>
    <s v="SET356-KR-NP-L"/>
    <x v="0"/>
    <s v="L"/>
    <n v="1"/>
    <s v="INR"/>
    <n v="1099"/>
    <x v="221"/>
    <x v="23"/>
    <s v="IN"/>
  </r>
  <r>
    <n v="607"/>
    <x v="581"/>
    <d v="2024-03-30T00:00:00"/>
    <x v="6"/>
    <x v="2"/>
    <s v="Amazon"/>
    <x v="1"/>
    <x v="1"/>
    <x v="39"/>
    <s v="JNE3618-KR-M"/>
    <x v="1"/>
    <s v="M"/>
    <n v="1"/>
    <s v="INR"/>
    <n v="375"/>
    <x v="12"/>
    <x v="9"/>
    <s v="IN"/>
  </r>
  <r>
    <n v="608"/>
    <x v="582"/>
    <d v="2024-02-26T00:00:00"/>
    <x v="5"/>
    <x v="2"/>
    <s v="Amazon"/>
    <x v="1"/>
    <x v="1"/>
    <x v="10"/>
    <s v="JNE3465-KR-XXXL"/>
    <x v="1"/>
    <s v="3XL"/>
    <n v="1"/>
    <s v="INR"/>
    <n v="517"/>
    <x v="64"/>
    <x v="3"/>
    <s v="IN"/>
  </r>
  <r>
    <n v="609"/>
    <x v="583"/>
    <d v="2024-12-11T00:00:00"/>
    <x v="2"/>
    <x v="2"/>
    <s v="Amazon"/>
    <x v="0"/>
    <x v="1"/>
    <x v="9"/>
    <s v="SET293-KR-NP-XXL"/>
    <x v="0"/>
    <s v="XXL"/>
    <n v="1"/>
    <s v="INR"/>
    <n v="692"/>
    <x v="222"/>
    <x v="8"/>
    <s v="IN"/>
  </r>
  <r>
    <n v="610"/>
    <x v="584"/>
    <d v="2024-05-25T00:00:00"/>
    <x v="4"/>
    <x v="2"/>
    <s v="Amazon"/>
    <x v="1"/>
    <x v="1"/>
    <x v="15"/>
    <s v="JNE3465-KR-XXL"/>
    <x v="1"/>
    <s v="XXL"/>
    <n v="1"/>
    <s v="INR"/>
    <n v="486"/>
    <x v="223"/>
    <x v="0"/>
    <s v="IN"/>
  </r>
  <r>
    <n v="611"/>
    <x v="585"/>
    <d v="2023-10-14T00:00:00"/>
    <x v="10"/>
    <x v="1"/>
    <s v="Merchant"/>
    <x v="0"/>
    <x v="2"/>
    <x v="28"/>
    <s v="SET375-KR-NP-XXL"/>
    <x v="0"/>
    <s v="XXL"/>
    <n v="1"/>
    <s v="INR"/>
    <n v="696"/>
    <x v="223"/>
    <x v="0"/>
    <s v="IN"/>
  </r>
  <r>
    <n v="612"/>
    <x v="586"/>
    <d v="2023-06-03T00:00:00"/>
    <x v="3"/>
    <x v="2"/>
    <s v="Amazon"/>
    <x v="0"/>
    <x v="1"/>
    <x v="15"/>
    <s v="SET398-KR-PP-M"/>
    <x v="0"/>
    <s v="M"/>
    <n v="1"/>
    <s v="INR"/>
    <n v="1115"/>
    <x v="224"/>
    <x v="15"/>
    <s v="IN"/>
  </r>
  <r>
    <n v="613"/>
    <x v="587"/>
    <d v="2023-01-15T00:00:00"/>
    <x v="1"/>
    <x v="2"/>
    <s v="Amazon"/>
    <x v="0"/>
    <x v="1"/>
    <x v="16"/>
    <s v="SET324-KR-NP-S"/>
    <x v="0"/>
    <s v="S"/>
    <n v="1"/>
    <s v="INR"/>
    <n v="597"/>
    <x v="214"/>
    <x v="4"/>
    <s v="IN"/>
  </r>
  <r>
    <n v="614"/>
    <x v="588"/>
    <d v="2023-04-12T00:00:00"/>
    <x v="9"/>
    <x v="2"/>
    <s v="Amazon"/>
    <x v="0"/>
    <x v="1"/>
    <x v="41"/>
    <s v="SET398-KR-PP-M"/>
    <x v="0"/>
    <s v="M"/>
    <n v="1"/>
    <s v="INR"/>
    <n v="1115"/>
    <x v="179"/>
    <x v="26"/>
    <s v="IN"/>
  </r>
  <r>
    <n v="615"/>
    <x v="589"/>
    <d v="2024-03-16T00:00:00"/>
    <x v="6"/>
    <x v="0"/>
    <s v="Amazon"/>
    <x v="1"/>
    <x v="1"/>
    <x v="32"/>
    <s v="JNE3470-KR-XS"/>
    <x v="1"/>
    <s v="XS"/>
    <n v="1"/>
    <s v="INR"/>
    <n v="329"/>
    <x v="174"/>
    <x v="3"/>
    <s v="IN"/>
  </r>
  <r>
    <n v="616"/>
    <x v="590"/>
    <d v="2024-05-03T00:00:00"/>
    <x v="4"/>
    <x v="0"/>
    <s v="Amazon"/>
    <x v="1"/>
    <x v="1"/>
    <x v="25"/>
    <s v="JNE3619-KR-XS"/>
    <x v="1"/>
    <s v="XS"/>
    <n v="1"/>
    <s v="INR"/>
    <n v="318"/>
    <x v="174"/>
    <x v="3"/>
    <s v="IN"/>
  </r>
  <r>
    <n v="617"/>
    <x v="591"/>
    <d v="2023-04-16T00:00:00"/>
    <x v="9"/>
    <x v="1"/>
    <s v="Merchant"/>
    <x v="1"/>
    <x v="2"/>
    <x v="9"/>
    <s v="JNE3273-KR-XXL"/>
    <x v="1"/>
    <s v="XXL"/>
    <n v="1"/>
    <s v="INR"/>
    <n v="499"/>
    <x v="225"/>
    <x v="3"/>
    <s v="IN"/>
  </r>
  <r>
    <n v="618"/>
    <x v="592"/>
    <d v="2024-01-25T00:00:00"/>
    <x v="1"/>
    <x v="0"/>
    <s v="Amazon"/>
    <x v="0"/>
    <x v="1"/>
    <x v="6"/>
    <s v="SET331-KR-NP-L"/>
    <x v="0"/>
    <s v="L"/>
    <n v="1"/>
    <s v="INR"/>
    <n v="597"/>
    <x v="226"/>
    <x v="15"/>
    <s v="IN"/>
  </r>
  <r>
    <n v="619"/>
    <x v="593"/>
    <d v="2024-12-07T00:00:00"/>
    <x v="2"/>
    <x v="1"/>
    <s v="Merchant"/>
    <x v="1"/>
    <x v="2"/>
    <x v="31"/>
    <s v="JNE3518-KR-XL"/>
    <x v="1"/>
    <s v="XL"/>
    <n v="1"/>
    <s v="INR"/>
    <n v="487"/>
    <x v="4"/>
    <x v="3"/>
    <s v="IN"/>
  </r>
  <r>
    <n v="620"/>
    <x v="593"/>
    <d v="2024-06-14T00:00:00"/>
    <x v="3"/>
    <x v="1"/>
    <s v="Merchant"/>
    <x v="1"/>
    <x v="2"/>
    <x v="3"/>
    <s v="JNE3476-KR-XL"/>
    <x v="1"/>
    <s v="XL"/>
    <n v="1"/>
    <s v="INR"/>
    <n v="363"/>
    <x v="4"/>
    <x v="3"/>
    <s v="IN"/>
  </r>
  <r>
    <n v="621"/>
    <x v="594"/>
    <d v="2023-12-05T00:00:00"/>
    <x v="2"/>
    <x v="2"/>
    <s v="Amazon"/>
    <x v="1"/>
    <x v="1"/>
    <x v="0"/>
    <s v="JNE3738-KR-XXXL"/>
    <x v="1"/>
    <s v="3XL"/>
    <n v="1"/>
    <s v="INR"/>
    <n v="459"/>
    <x v="12"/>
    <x v="9"/>
    <s v="IN"/>
  </r>
  <r>
    <n v="622"/>
    <x v="595"/>
    <d v="2023-03-02T00:00:00"/>
    <x v="6"/>
    <x v="2"/>
    <s v="Amazon"/>
    <x v="1"/>
    <x v="1"/>
    <x v="16"/>
    <s v="JNE3465-KR-XS"/>
    <x v="1"/>
    <s v="XS"/>
    <n v="1"/>
    <s v="INR"/>
    <n v="486"/>
    <x v="227"/>
    <x v="7"/>
    <s v="IN"/>
  </r>
  <r>
    <n v="623"/>
    <x v="596"/>
    <d v="2023-07-13T00:00:00"/>
    <x v="11"/>
    <x v="2"/>
    <s v="Amazon"/>
    <x v="1"/>
    <x v="1"/>
    <x v="13"/>
    <s v="JNE3463-KR-XXXL"/>
    <x v="1"/>
    <s v="3XL"/>
    <n v="1"/>
    <s v="INR"/>
    <n v="568"/>
    <x v="228"/>
    <x v="7"/>
    <s v="IN"/>
  </r>
  <r>
    <n v="624"/>
    <x v="597"/>
    <d v="2024-09-25T00:00:00"/>
    <x v="8"/>
    <x v="1"/>
    <s v="Merchant"/>
    <x v="1"/>
    <x v="2"/>
    <x v="24"/>
    <s v="MEN5032-KR-XXL"/>
    <x v="1"/>
    <s v="XXL"/>
    <n v="1"/>
    <s v="INR"/>
    <n v="562"/>
    <x v="1"/>
    <x v="1"/>
    <s v="IN"/>
  </r>
  <r>
    <n v="625"/>
    <x v="598"/>
    <d v="2023-05-21T00:00:00"/>
    <x v="4"/>
    <x v="2"/>
    <s v="Amazon"/>
    <x v="0"/>
    <x v="1"/>
    <x v="5"/>
    <s v="SET380-KR-NP-L"/>
    <x v="0"/>
    <s v="L"/>
    <n v="1"/>
    <s v="INR"/>
    <n v="995"/>
    <x v="229"/>
    <x v="4"/>
    <s v="IN"/>
  </r>
  <r>
    <n v="626"/>
    <x v="599"/>
    <d v="2024-08-11T00:00:00"/>
    <x v="7"/>
    <x v="0"/>
    <s v="Amazon"/>
    <x v="0"/>
    <x v="1"/>
    <x v="28"/>
    <s v="J0230-SKD-M"/>
    <x v="0"/>
    <s v="M"/>
    <n v="1"/>
    <s v="INR"/>
    <n v="1112"/>
    <x v="230"/>
    <x v="21"/>
    <s v="IN"/>
  </r>
  <r>
    <n v="627"/>
    <x v="600"/>
    <d v="2024-12-26T00:00:00"/>
    <x v="2"/>
    <x v="2"/>
    <s v="Amazon"/>
    <x v="0"/>
    <x v="1"/>
    <x v="22"/>
    <s v="SET324-KR-NP-XXXL"/>
    <x v="0"/>
    <s v="3XL"/>
    <n v="1"/>
    <s v="INR"/>
    <n v="635"/>
    <x v="12"/>
    <x v="9"/>
    <s v="IN"/>
  </r>
  <r>
    <n v="628"/>
    <x v="601"/>
    <d v="2024-10-29T00:00:00"/>
    <x v="10"/>
    <x v="2"/>
    <s v="Amazon"/>
    <x v="1"/>
    <x v="1"/>
    <x v="41"/>
    <s v="JNE3405-KR-L"/>
    <x v="1"/>
    <s v="L"/>
    <n v="1"/>
    <s v="INR"/>
    <n v="399"/>
    <x v="231"/>
    <x v="20"/>
    <s v="IN"/>
  </r>
  <r>
    <n v="629"/>
    <x v="602"/>
    <d v="2024-11-15T00:00:00"/>
    <x v="0"/>
    <x v="2"/>
    <s v="Amazon"/>
    <x v="1"/>
    <x v="1"/>
    <x v="42"/>
    <s v="JNE3461-KR-XL"/>
    <x v="1"/>
    <s v="XL"/>
    <n v="1"/>
    <s v="INR"/>
    <n v="363"/>
    <x v="232"/>
    <x v="3"/>
    <s v="IN"/>
  </r>
  <r>
    <n v="630"/>
    <x v="603"/>
    <d v="2023-09-28T00:00:00"/>
    <x v="8"/>
    <x v="0"/>
    <s v="Amazon"/>
    <x v="0"/>
    <x v="1"/>
    <x v="5"/>
    <s v="SET324-KR-NP-XS"/>
    <x v="0"/>
    <s v="XS"/>
    <n v="0"/>
    <m/>
    <m/>
    <x v="169"/>
    <x v="12"/>
    <s v="IN"/>
  </r>
  <r>
    <n v="631"/>
    <x v="604"/>
    <d v="2024-01-28T00:00:00"/>
    <x v="1"/>
    <x v="0"/>
    <s v="Amazon"/>
    <x v="1"/>
    <x v="1"/>
    <x v="32"/>
    <s v="JNE3611-KR-XXXL"/>
    <x v="1"/>
    <s v="3XL"/>
    <n v="0"/>
    <m/>
    <m/>
    <x v="11"/>
    <x v="8"/>
    <s v="IN"/>
  </r>
  <r>
    <n v="632"/>
    <x v="604"/>
    <d v="2023-10-12T00:00:00"/>
    <x v="10"/>
    <x v="0"/>
    <s v="Amazon"/>
    <x v="1"/>
    <x v="1"/>
    <x v="41"/>
    <s v="JNE3461-KR-XXL"/>
    <x v="1"/>
    <s v="XXL"/>
    <n v="0"/>
    <m/>
    <m/>
    <x v="11"/>
    <x v="8"/>
    <s v="IN"/>
  </r>
  <r>
    <n v="633"/>
    <x v="605"/>
    <d v="2023-12-27T00:00:00"/>
    <x v="2"/>
    <x v="0"/>
    <s v="Amazon"/>
    <x v="0"/>
    <x v="1"/>
    <x v="11"/>
    <s v="SET388-KR-NP-L"/>
    <x v="0"/>
    <s v="L"/>
    <n v="0"/>
    <m/>
    <m/>
    <x v="82"/>
    <x v="10"/>
    <s v="IN"/>
  </r>
  <r>
    <n v="634"/>
    <x v="606"/>
    <d v="2024-03-27T00:00:00"/>
    <x v="6"/>
    <x v="2"/>
    <s v="Amazon"/>
    <x v="1"/>
    <x v="1"/>
    <x v="9"/>
    <s v="JNE3784-KR-M"/>
    <x v="1"/>
    <s v="M"/>
    <n v="1"/>
    <s v="INR"/>
    <n v="458"/>
    <x v="1"/>
    <x v="1"/>
    <s v="IN"/>
  </r>
  <r>
    <n v="635"/>
    <x v="607"/>
    <d v="2024-04-29T00:00:00"/>
    <x v="9"/>
    <x v="2"/>
    <s v="Amazon"/>
    <x v="0"/>
    <x v="1"/>
    <x v="15"/>
    <s v="SET114-KR-PP-XS"/>
    <x v="0"/>
    <s v="XS"/>
    <n v="1"/>
    <s v="INR"/>
    <n v="597"/>
    <x v="233"/>
    <x v="0"/>
    <s v="IN"/>
  </r>
  <r>
    <n v="636"/>
    <x v="608"/>
    <d v="2023-01-31T00:00:00"/>
    <x v="1"/>
    <x v="2"/>
    <s v="Amazon"/>
    <x v="0"/>
    <x v="1"/>
    <x v="2"/>
    <s v="SET331-KR-NP-L"/>
    <x v="0"/>
    <s v="L"/>
    <n v="1"/>
    <s v="INR"/>
    <n v="597"/>
    <x v="1"/>
    <x v="1"/>
    <s v="IN"/>
  </r>
  <r>
    <n v="637"/>
    <x v="609"/>
    <d v="2023-05-27T00:00:00"/>
    <x v="4"/>
    <x v="1"/>
    <s v="Merchant"/>
    <x v="1"/>
    <x v="2"/>
    <x v="3"/>
    <s v="J0385-KR-M"/>
    <x v="1"/>
    <s v="M"/>
    <n v="1"/>
    <s v="INR"/>
    <n v="1249"/>
    <x v="234"/>
    <x v="16"/>
    <s v="IN"/>
  </r>
  <r>
    <n v="638"/>
    <x v="610"/>
    <d v="2024-01-18T00:00:00"/>
    <x v="1"/>
    <x v="2"/>
    <s v="Amazon"/>
    <x v="0"/>
    <x v="1"/>
    <x v="25"/>
    <s v="SET347-KR-NP-L"/>
    <x v="0"/>
    <s v="L"/>
    <n v="1"/>
    <s v="INR"/>
    <n v="801"/>
    <x v="235"/>
    <x v="23"/>
    <s v="IN"/>
  </r>
  <r>
    <n v="639"/>
    <x v="611"/>
    <d v="2024-08-24T00:00:00"/>
    <x v="7"/>
    <x v="0"/>
    <s v="Amazon"/>
    <x v="1"/>
    <x v="1"/>
    <x v="30"/>
    <s v="JNE3437-KR-XXL"/>
    <x v="1"/>
    <s v="XXL"/>
    <n v="0"/>
    <m/>
    <m/>
    <x v="37"/>
    <x v="0"/>
    <s v="IN"/>
  </r>
  <r>
    <n v="640"/>
    <x v="612"/>
    <d v="2023-11-27T00:00:00"/>
    <x v="0"/>
    <x v="2"/>
    <s v="Amazon"/>
    <x v="1"/>
    <x v="1"/>
    <x v="8"/>
    <s v="JNE3065-KR-XXL"/>
    <x v="1"/>
    <s v="XXL"/>
    <n v="1"/>
    <s v="INR"/>
    <n v="393"/>
    <x v="1"/>
    <x v="1"/>
    <s v="IN"/>
  </r>
  <r>
    <n v="641"/>
    <x v="613"/>
    <d v="2024-02-08T00:00:00"/>
    <x v="5"/>
    <x v="2"/>
    <s v="Amazon"/>
    <x v="0"/>
    <x v="1"/>
    <x v="2"/>
    <s v="J0343-DR-XXL"/>
    <x v="2"/>
    <s v="XXL"/>
    <n v="1"/>
    <s v="INR"/>
    <n v="744"/>
    <x v="236"/>
    <x v="3"/>
    <s v="IN"/>
  </r>
  <r>
    <n v="642"/>
    <x v="614"/>
    <d v="2023-09-04T00:00:00"/>
    <x v="8"/>
    <x v="2"/>
    <s v="Amazon"/>
    <x v="0"/>
    <x v="1"/>
    <x v="10"/>
    <s v="J0119-TP-XL"/>
    <x v="3"/>
    <s v="XL"/>
    <n v="1"/>
    <s v="INR"/>
    <n v="540"/>
    <x v="11"/>
    <x v="8"/>
    <s v="IN"/>
  </r>
  <r>
    <n v="643"/>
    <x v="615"/>
    <d v="2024-07-18T00:00:00"/>
    <x v="11"/>
    <x v="2"/>
    <s v="Amazon"/>
    <x v="0"/>
    <x v="1"/>
    <x v="25"/>
    <s v="J0003-SET-L"/>
    <x v="0"/>
    <s v="L"/>
    <n v="1"/>
    <s v="INR"/>
    <n v="696"/>
    <x v="31"/>
    <x v="14"/>
    <s v="IN"/>
  </r>
  <r>
    <n v="644"/>
    <x v="616"/>
    <d v="2024-06-12T00:00:00"/>
    <x v="3"/>
    <x v="2"/>
    <s v="Amazon"/>
    <x v="0"/>
    <x v="1"/>
    <x v="8"/>
    <s v="J0334-TP-XL"/>
    <x v="3"/>
    <s v="XL"/>
    <n v="1"/>
    <s v="INR"/>
    <n v="512"/>
    <x v="27"/>
    <x v="17"/>
    <s v="IN"/>
  </r>
  <r>
    <n v="645"/>
    <x v="617"/>
    <d v="2023-02-08T00:00:00"/>
    <x v="5"/>
    <x v="2"/>
    <s v="Amazon"/>
    <x v="0"/>
    <x v="1"/>
    <x v="27"/>
    <s v="J0236-SKD-XXL"/>
    <x v="0"/>
    <s v="XXL"/>
    <n v="1"/>
    <s v="INR"/>
    <n v="922"/>
    <x v="0"/>
    <x v="0"/>
    <s v="IN"/>
  </r>
  <r>
    <n v="646"/>
    <x v="618"/>
    <d v="2024-08-08T00:00:00"/>
    <x v="7"/>
    <x v="2"/>
    <s v="Amazon"/>
    <x v="0"/>
    <x v="1"/>
    <x v="33"/>
    <s v="J0126-SKD-XXXL"/>
    <x v="0"/>
    <s v="3XL"/>
    <n v="1"/>
    <s v="INR"/>
    <n v="818"/>
    <x v="71"/>
    <x v="7"/>
    <s v="IN"/>
  </r>
  <r>
    <n v="647"/>
    <x v="619"/>
    <d v="2023-01-16T00:00:00"/>
    <x v="1"/>
    <x v="2"/>
    <s v="Amazon"/>
    <x v="0"/>
    <x v="1"/>
    <x v="41"/>
    <s v="J0230-SKD-S"/>
    <x v="0"/>
    <s v="S"/>
    <n v="2"/>
    <s v="INR"/>
    <n v="2224"/>
    <x v="85"/>
    <x v="0"/>
    <s v="IN"/>
  </r>
  <r>
    <n v="648"/>
    <x v="620"/>
    <d v="2023-10-17T00:00:00"/>
    <x v="10"/>
    <x v="2"/>
    <s v="Amazon"/>
    <x v="0"/>
    <x v="1"/>
    <x v="17"/>
    <s v="J0230-SKD-XL"/>
    <x v="0"/>
    <s v="XL"/>
    <n v="1"/>
    <s v="INR"/>
    <n v="1112"/>
    <x v="27"/>
    <x v="17"/>
    <s v="IN"/>
  </r>
  <r>
    <n v="649"/>
    <x v="621"/>
    <d v="2024-02-16T00:00:00"/>
    <x v="5"/>
    <x v="2"/>
    <s v="Amazon"/>
    <x v="0"/>
    <x v="1"/>
    <x v="22"/>
    <s v="SET171-KR-NP-M"/>
    <x v="0"/>
    <s v="M"/>
    <n v="1"/>
    <s v="INR"/>
    <n v="792"/>
    <x v="237"/>
    <x v="24"/>
    <s v="IN"/>
  </r>
  <r>
    <n v="650"/>
    <x v="622"/>
    <d v="2023-11-16T00:00:00"/>
    <x v="0"/>
    <x v="2"/>
    <s v="Amazon"/>
    <x v="0"/>
    <x v="1"/>
    <x v="10"/>
    <s v="SET264-KR-NP-XXL"/>
    <x v="0"/>
    <s v="XXL"/>
    <n v="1"/>
    <s v="INR"/>
    <n v="824"/>
    <x v="12"/>
    <x v="9"/>
    <s v="IN"/>
  </r>
  <r>
    <n v="651"/>
    <x v="623"/>
    <d v="2023-02-21T00:00:00"/>
    <x v="5"/>
    <x v="0"/>
    <s v="Merchant"/>
    <x v="1"/>
    <x v="0"/>
    <x v="14"/>
    <s v="JNE3365-KR-1052-A-XXXL"/>
    <x v="1"/>
    <s v="3XL"/>
    <n v="0"/>
    <s v="INR"/>
    <n v="358.1"/>
    <x v="64"/>
    <x v="3"/>
    <s v="IN"/>
  </r>
  <r>
    <n v="652"/>
    <x v="624"/>
    <d v="2023-09-30T00:00:00"/>
    <x v="8"/>
    <x v="0"/>
    <s v="Amazon"/>
    <x v="0"/>
    <x v="1"/>
    <x v="13"/>
    <s v="J0230-SKD-M"/>
    <x v="0"/>
    <s v="M"/>
    <n v="0"/>
    <m/>
    <m/>
    <x v="238"/>
    <x v="21"/>
    <s v="IN"/>
  </r>
  <r>
    <n v="653"/>
    <x v="625"/>
    <d v="2024-06-22T00:00:00"/>
    <x v="3"/>
    <x v="2"/>
    <s v="Amazon"/>
    <x v="0"/>
    <x v="1"/>
    <x v="11"/>
    <s v="SET197-KR-NP-L"/>
    <x v="0"/>
    <s v="L"/>
    <n v="1"/>
    <s v="INR"/>
    <n v="759"/>
    <x v="239"/>
    <x v="17"/>
    <s v="IN"/>
  </r>
  <r>
    <n v="654"/>
    <x v="626"/>
    <d v="2023-04-17T00:00:00"/>
    <x v="9"/>
    <x v="2"/>
    <s v="Amazon"/>
    <x v="0"/>
    <x v="1"/>
    <x v="0"/>
    <s v="J0341-DR-S"/>
    <x v="2"/>
    <s v="S"/>
    <n v="1"/>
    <s v="INR"/>
    <n v="744"/>
    <x v="7"/>
    <x v="6"/>
    <s v="IN"/>
  </r>
  <r>
    <n v="655"/>
    <x v="627"/>
    <d v="2023-03-09T00:00:00"/>
    <x v="6"/>
    <x v="2"/>
    <s v="Amazon"/>
    <x v="0"/>
    <x v="1"/>
    <x v="2"/>
    <s v="J0012-SKD-XXL"/>
    <x v="0"/>
    <s v="XXL"/>
    <n v="1"/>
    <s v="INR"/>
    <n v="1140"/>
    <x v="27"/>
    <x v="17"/>
    <s v="IN"/>
  </r>
  <r>
    <n v="656"/>
    <x v="628"/>
    <d v="2023-04-17T00:00:00"/>
    <x v="9"/>
    <x v="2"/>
    <s v="Amazon"/>
    <x v="0"/>
    <x v="1"/>
    <x v="39"/>
    <s v="J0308-DR-M"/>
    <x v="2"/>
    <s v="M"/>
    <n v="1"/>
    <s v="INR"/>
    <n v="625"/>
    <x v="29"/>
    <x v="6"/>
    <s v="IN"/>
  </r>
  <r>
    <n v="657"/>
    <x v="629"/>
    <d v="2024-01-22T00:00:00"/>
    <x v="1"/>
    <x v="1"/>
    <s v="Merchant"/>
    <x v="0"/>
    <x v="0"/>
    <x v="7"/>
    <s v="J0117-TP-XXL"/>
    <x v="3"/>
    <s v="XXL"/>
    <n v="1"/>
    <s v="INR"/>
    <n v="518"/>
    <x v="240"/>
    <x v="0"/>
    <s v="IN"/>
  </r>
  <r>
    <n v="658"/>
    <x v="630"/>
    <d v="2024-09-01T00:00:00"/>
    <x v="8"/>
    <x v="1"/>
    <s v="Merchant"/>
    <x v="0"/>
    <x v="0"/>
    <x v="3"/>
    <s v="SET183-KR-DH-M"/>
    <x v="0"/>
    <s v="M"/>
    <n v="1"/>
    <s v="INR"/>
    <n v="759"/>
    <x v="12"/>
    <x v="9"/>
    <s v="IN"/>
  </r>
  <r>
    <n v="659"/>
    <x v="631"/>
    <d v="2024-11-18T00:00:00"/>
    <x v="0"/>
    <x v="2"/>
    <s v="Amazon"/>
    <x v="0"/>
    <x v="1"/>
    <x v="5"/>
    <s v="J0341-DR-M"/>
    <x v="2"/>
    <s v="M"/>
    <n v="1"/>
    <s v="INR"/>
    <n v="744"/>
    <x v="7"/>
    <x v="6"/>
    <s v="IN"/>
  </r>
  <r>
    <n v="660"/>
    <x v="632"/>
    <d v="2023-06-23T00:00:00"/>
    <x v="3"/>
    <x v="2"/>
    <s v="Amazon"/>
    <x v="0"/>
    <x v="1"/>
    <x v="25"/>
    <s v="J0230-SKD-S"/>
    <x v="0"/>
    <s v="S"/>
    <n v="1"/>
    <s v="INR"/>
    <n v="1112"/>
    <x v="241"/>
    <x v="4"/>
    <s v="IN"/>
  </r>
  <r>
    <n v="661"/>
    <x v="633"/>
    <d v="2024-04-30T00:00:00"/>
    <x v="9"/>
    <x v="2"/>
    <s v="Amazon"/>
    <x v="0"/>
    <x v="1"/>
    <x v="25"/>
    <s v="J0012-SKD-XXL"/>
    <x v="0"/>
    <s v="XXL"/>
    <n v="1"/>
    <s v="INR"/>
    <n v="1140"/>
    <x v="27"/>
    <x v="17"/>
    <s v="IN"/>
  </r>
  <r>
    <n v="662"/>
    <x v="634"/>
    <d v="2024-10-06T00:00:00"/>
    <x v="10"/>
    <x v="2"/>
    <s v="Amazon"/>
    <x v="1"/>
    <x v="1"/>
    <x v="31"/>
    <s v="JNE3465-KR-M"/>
    <x v="1"/>
    <s v="M"/>
    <n v="1"/>
    <s v="INR"/>
    <n v="486"/>
    <x v="12"/>
    <x v="9"/>
    <s v="IN"/>
  </r>
  <r>
    <n v="663"/>
    <x v="635"/>
    <d v="2023-04-08T00:00:00"/>
    <x v="9"/>
    <x v="1"/>
    <s v="Merchant"/>
    <x v="0"/>
    <x v="2"/>
    <x v="1"/>
    <s v="SET265-KR-NP-XS"/>
    <x v="0"/>
    <s v="XS"/>
    <n v="1"/>
    <s v="INR"/>
    <n v="888"/>
    <x v="8"/>
    <x v="4"/>
    <s v="IN"/>
  </r>
  <r>
    <n v="664"/>
    <x v="636"/>
    <d v="2023-11-21T00:00:00"/>
    <x v="0"/>
    <x v="2"/>
    <s v="Amazon"/>
    <x v="0"/>
    <x v="1"/>
    <x v="11"/>
    <s v="SET433-KR-NP-XL"/>
    <x v="0"/>
    <s v="XL"/>
    <n v="1"/>
    <s v="INR"/>
    <n v="666"/>
    <x v="242"/>
    <x v="30"/>
    <s v="IN"/>
  </r>
  <r>
    <n v="665"/>
    <x v="637"/>
    <d v="2023-09-19T00:00:00"/>
    <x v="8"/>
    <x v="1"/>
    <s v="Merchant"/>
    <x v="1"/>
    <x v="2"/>
    <x v="16"/>
    <s v="JNE3769-KR-L"/>
    <x v="1"/>
    <s v="L"/>
    <n v="1"/>
    <s v="INR"/>
    <n v="487"/>
    <x v="7"/>
    <x v="6"/>
    <s v="IN"/>
  </r>
  <r>
    <n v="666"/>
    <x v="637"/>
    <d v="2024-07-01T00:00:00"/>
    <x v="11"/>
    <x v="1"/>
    <s v="Merchant"/>
    <x v="0"/>
    <x v="2"/>
    <x v="4"/>
    <s v="SET324-KR-NP-L"/>
    <x v="0"/>
    <s v="L"/>
    <n v="1"/>
    <s v="INR"/>
    <n v="597"/>
    <x v="7"/>
    <x v="6"/>
    <s v="IN"/>
  </r>
  <r>
    <n v="667"/>
    <x v="638"/>
    <d v="2024-07-21T00:00:00"/>
    <x v="11"/>
    <x v="1"/>
    <s v="Merchant"/>
    <x v="1"/>
    <x v="2"/>
    <x v="11"/>
    <s v="JNE3468-KR-XXXL"/>
    <x v="1"/>
    <s v="3XL"/>
    <n v="1"/>
    <s v="INR"/>
    <n v="363"/>
    <x v="1"/>
    <x v="1"/>
    <s v="IN"/>
  </r>
  <r>
    <n v="668"/>
    <x v="639"/>
    <d v="2023-04-17T00:00:00"/>
    <x v="9"/>
    <x v="2"/>
    <s v="Amazon"/>
    <x v="0"/>
    <x v="1"/>
    <x v="7"/>
    <s v="J0334-TP-L"/>
    <x v="3"/>
    <s v="L"/>
    <n v="1"/>
    <s v="INR"/>
    <n v="512"/>
    <x v="243"/>
    <x v="0"/>
    <s v="IN"/>
  </r>
  <r>
    <n v="669"/>
    <x v="640"/>
    <d v="2024-11-08T00:00:00"/>
    <x v="0"/>
    <x v="2"/>
    <s v="Amazon"/>
    <x v="0"/>
    <x v="1"/>
    <x v="33"/>
    <s v="J0154-DR-XXL"/>
    <x v="2"/>
    <s v="XXL"/>
    <n v="1"/>
    <s v="INR"/>
    <n v="377"/>
    <x v="84"/>
    <x v="4"/>
    <s v="IN"/>
  </r>
  <r>
    <n v="670"/>
    <x v="640"/>
    <d v="2024-10-05T00:00:00"/>
    <x v="10"/>
    <x v="2"/>
    <s v="Amazon"/>
    <x v="0"/>
    <x v="1"/>
    <x v="14"/>
    <s v="J0154-DR-XS"/>
    <x v="2"/>
    <s v="XS"/>
    <n v="1"/>
    <s v="INR"/>
    <n v="377"/>
    <x v="84"/>
    <x v="4"/>
    <s v="IN"/>
  </r>
  <r>
    <n v="671"/>
    <x v="641"/>
    <d v="2024-10-05T00:00:00"/>
    <x v="10"/>
    <x v="0"/>
    <s v="Amazon"/>
    <x v="0"/>
    <x v="1"/>
    <x v="31"/>
    <s v="SET268-KR-NP-M"/>
    <x v="0"/>
    <s v="M"/>
    <n v="0"/>
    <m/>
    <m/>
    <x v="244"/>
    <x v="14"/>
    <s v="IN"/>
  </r>
  <r>
    <n v="672"/>
    <x v="642"/>
    <d v="2023-07-07T00:00:00"/>
    <x v="11"/>
    <x v="0"/>
    <s v="Merchant"/>
    <x v="1"/>
    <x v="0"/>
    <x v="38"/>
    <s v="MEN5019-KR-XXXL"/>
    <x v="1"/>
    <s v="3XL"/>
    <n v="0"/>
    <m/>
    <m/>
    <x v="245"/>
    <x v="10"/>
    <s v="IN"/>
  </r>
  <r>
    <n v="673"/>
    <x v="643"/>
    <d v="2024-10-28T00:00:00"/>
    <x v="10"/>
    <x v="2"/>
    <s v="Amazon"/>
    <x v="0"/>
    <x v="1"/>
    <x v="37"/>
    <s v="SET333-KR-DPT-XS"/>
    <x v="0"/>
    <s v="XS"/>
    <n v="1"/>
    <s v="INR"/>
    <n v="967"/>
    <x v="4"/>
    <x v="3"/>
    <s v="IN"/>
  </r>
  <r>
    <n v="674"/>
    <x v="644"/>
    <d v="2024-10-27T00:00:00"/>
    <x v="10"/>
    <x v="1"/>
    <s v="Merchant"/>
    <x v="0"/>
    <x v="0"/>
    <x v="34"/>
    <s v="SET110-KR-PP-XXXL"/>
    <x v="0"/>
    <s v="3XL"/>
    <n v="1"/>
    <s v="INR"/>
    <n v="788"/>
    <x v="134"/>
    <x v="28"/>
    <s v="IN"/>
  </r>
  <r>
    <n v="675"/>
    <x v="645"/>
    <d v="2024-03-10T00:00:00"/>
    <x v="6"/>
    <x v="0"/>
    <s v="Amazon"/>
    <x v="0"/>
    <x v="1"/>
    <x v="0"/>
    <s v="SET293-KR-NP-XXL"/>
    <x v="0"/>
    <s v="XXL"/>
    <n v="0"/>
    <m/>
    <m/>
    <x v="82"/>
    <x v="10"/>
    <s v="IN"/>
  </r>
  <r>
    <n v="676"/>
    <x v="646"/>
    <d v="2024-04-01T00:00:00"/>
    <x v="9"/>
    <x v="0"/>
    <s v="Merchant"/>
    <x v="0"/>
    <x v="2"/>
    <x v="4"/>
    <s v="SET317-KR-PP-XXL"/>
    <x v="0"/>
    <s v="XXL"/>
    <n v="0"/>
    <s v="INR"/>
    <n v="1058.93"/>
    <x v="82"/>
    <x v="10"/>
    <s v="IN"/>
  </r>
  <r>
    <n v="677"/>
    <x v="646"/>
    <d v="2024-12-25T00:00:00"/>
    <x v="2"/>
    <x v="0"/>
    <s v="Merchant"/>
    <x v="0"/>
    <x v="2"/>
    <x v="40"/>
    <s v="SET355-KR-PP-XXL"/>
    <x v="0"/>
    <s v="XXL"/>
    <n v="0"/>
    <s v="INR"/>
    <n v="1249.1099999999999"/>
    <x v="82"/>
    <x v="10"/>
    <s v="IN"/>
  </r>
  <r>
    <n v="678"/>
    <x v="647"/>
    <d v="2023-01-17T00:00:00"/>
    <x v="1"/>
    <x v="2"/>
    <s v="Amazon"/>
    <x v="0"/>
    <x v="1"/>
    <x v="24"/>
    <s v="SET324-KR-NP-XS"/>
    <x v="0"/>
    <s v="XS"/>
    <n v="1"/>
    <s v="INR"/>
    <n v="597"/>
    <x v="7"/>
    <x v="6"/>
    <s v="IN"/>
  </r>
  <r>
    <n v="679"/>
    <x v="648"/>
    <d v="2024-11-05T00:00:00"/>
    <x v="0"/>
    <x v="2"/>
    <s v="Amazon"/>
    <x v="0"/>
    <x v="1"/>
    <x v="31"/>
    <s v="J0230-SKD-S"/>
    <x v="0"/>
    <s v="S"/>
    <n v="1"/>
    <s v="INR"/>
    <n v="1112"/>
    <x v="7"/>
    <x v="6"/>
    <s v="IN"/>
  </r>
  <r>
    <n v="680"/>
    <x v="649"/>
    <d v="2024-12-19T00:00:00"/>
    <x v="2"/>
    <x v="0"/>
    <s v="Merchant"/>
    <x v="1"/>
    <x v="2"/>
    <x v="24"/>
    <s v="PJNE2171-KR-N-5XL"/>
    <x v="1"/>
    <s v="5XL"/>
    <n v="0"/>
    <s v="INR"/>
    <n v="700.96"/>
    <x v="50"/>
    <x v="19"/>
    <s v="IN"/>
  </r>
  <r>
    <n v="681"/>
    <x v="650"/>
    <d v="2023-07-31T00:00:00"/>
    <x v="11"/>
    <x v="2"/>
    <s v="Amazon"/>
    <x v="0"/>
    <x v="1"/>
    <x v="18"/>
    <s v="SET310-KR-NP-S"/>
    <x v="0"/>
    <s v="S"/>
    <n v="1"/>
    <s v="INR"/>
    <n v="1213"/>
    <x v="246"/>
    <x v="4"/>
    <s v="IN"/>
  </r>
  <r>
    <n v="682"/>
    <x v="651"/>
    <d v="2023-05-14T00:00:00"/>
    <x v="4"/>
    <x v="2"/>
    <s v="Amazon"/>
    <x v="1"/>
    <x v="1"/>
    <x v="25"/>
    <s v="JNE3794-KR-M"/>
    <x v="1"/>
    <s v="M"/>
    <n v="1"/>
    <s v="INR"/>
    <n v="517"/>
    <x v="247"/>
    <x v="14"/>
    <s v="IN"/>
  </r>
  <r>
    <n v="683"/>
    <x v="652"/>
    <d v="2024-04-28T00:00:00"/>
    <x v="9"/>
    <x v="1"/>
    <s v="Merchant"/>
    <x v="0"/>
    <x v="2"/>
    <x v="19"/>
    <s v="SET219-KR-PP-XXXL"/>
    <x v="0"/>
    <s v="3XL"/>
    <n v="1"/>
    <s v="INR"/>
    <n v="662"/>
    <x v="71"/>
    <x v="7"/>
    <s v="IN"/>
  </r>
  <r>
    <n v="684"/>
    <x v="653"/>
    <d v="2024-02-22T00:00:00"/>
    <x v="5"/>
    <x v="2"/>
    <s v="Amazon"/>
    <x v="1"/>
    <x v="1"/>
    <x v="39"/>
    <s v="J0096-KR-XL"/>
    <x v="1"/>
    <s v="XL"/>
    <n v="1"/>
    <s v="INR"/>
    <n v="568"/>
    <x v="227"/>
    <x v="7"/>
    <s v="IN"/>
  </r>
  <r>
    <n v="685"/>
    <x v="654"/>
    <d v="2023-08-27T00:00:00"/>
    <x v="7"/>
    <x v="2"/>
    <s v="Amazon"/>
    <x v="1"/>
    <x v="1"/>
    <x v="41"/>
    <s v="JNE3562-KR-XXL"/>
    <x v="1"/>
    <s v="XXL"/>
    <n v="1"/>
    <s v="INR"/>
    <n v="476"/>
    <x v="11"/>
    <x v="8"/>
    <s v="IN"/>
  </r>
  <r>
    <n v="686"/>
    <x v="655"/>
    <d v="2023-01-27T00:00:00"/>
    <x v="1"/>
    <x v="1"/>
    <s v="Merchant"/>
    <x v="1"/>
    <x v="2"/>
    <x v="20"/>
    <s v="JNE3745-KR-S"/>
    <x v="1"/>
    <s v="S"/>
    <n v="1"/>
    <s v="INR"/>
    <n v="316"/>
    <x v="248"/>
    <x v="1"/>
    <s v="IN"/>
  </r>
  <r>
    <n v="687"/>
    <x v="656"/>
    <d v="2023-01-04T00:00:00"/>
    <x v="1"/>
    <x v="2"/>
    <s v="Amazon"/>
    <x v="1"/>
    <x v="1"/>
    <x v="35"/>
    <s v="JNE3465-KR-XS"/>
    <x v="1"/>
    <s v="XS"/>
    <n v="1"/>
    <s v="INR"/>
    <n v="486"/>
    <x v="249"/>
    <x v="24"/>
    <s v="IN"/>
  </r>
  <r>
    <n v="688"/>
    <x v="657"/>
    <d v="2023-03-04T00:00:00"/>
    <x v="6"/>
    <x v="2"/>
    <s v="Amazon"/>
    <x v="1"/>
    <x v="1"/>
    <x v="16"/>
    <s v="JNE3795-KR-XS"/>
    <x v="1"/>
    <s v="XS"/>
    <n v="1"/>
    <s v="INR"/>
    <n v="517"/>
    <x v="7"/>
    <x v="6"/>
    <s v="IN"/>
  </r>
  <r>
    <n v="689"/>
    <x v="658"/>
    <d v="2024-06-03T00:00:00"/>
    <x v="3"/>
    <x v="0"/>
    <s v="Amazon"/>
    <x v="0"/>
    <x v="1"/>
    <x v="41"/>
    <s v="SET397-KR-NP-XXL"/>
    <x v="0"/>
    <s v="XXL"/>
    <n v="1"/>
    <s v="INR"/>
    <n v="1186"/>
    <x v="250"/>
    <x v="0"/>
    <s v="IN"/>
  </r>
  <r>
    <n v="690"/>
    <x v="659"/>
    <d v="2024-03-24T00:00:00"/>
    <x v="6"/>
    <x v="2"/>
    <s v="Amazon"/>
    <x v="1"/>
    <x v="1"/>
    <x v="31"/>
    <s v="JNE3365-KR-1052-A-M"/>
    <x v="1"/>
    <s v="M"/>
    <n v="1"/>
    <s v="INR"/>
    <n v="376"/>
    <x v="251"/>
    <x v="6"/>
    <s v="IN"/>
  </r>
  <r>
    <n v="691"/>
    <x v="660"/>
    <d v="2024-03-26T00:00:00"/>
    <x v="6"/>
    <x v="0"/>
    <s v="Amazon"/>
    <x v="0"/>
    <x v="1"/>
    <x v="37"/>
    <s v="JNE3691-TU-L"/>
    <x v="3"/>
    <s v="L"/>
    <n v="0"/>
    <m/>
    <m/>
    <x v="18"/>
    <x v="13"/>
    <s v="IN"/>
  </r>
  <r>
    <n v="692"/>
    <x v="661"/>
    <d v="2023-06-12T00:00:00"/>
    <x v="3"/>
    <x v="2"/>
    <s v="Amazon"/>
    <x v="0"/>
    <x v="1"/>
    <x v="30"/>
    <s v="SET145-KR-NP-S"/>
    <x v="0"/>
    <s v="S"/>
    <n v="1"/>
    <s v="INR"/>
    <n v="715"/>
    <x v="12"/>
    <x v="9"/>
    <s v="IN"/>
  </r>
  <r>
    <n v="693"/>
    <x v="662"/>
    <d v="2023-04-28T00:00:00"/>
    <x v="9"/>
    <x v="2"/>
    <s v="Amazon"/>
    <x v="0"/>
    <x v="1"/>
    <x v="2"/>
    <s v="J0008-SKD-S"/>
    <x v="0"/>
    <s v="S"/>
    <n v="1"/>
    <s v="INR"/>
    <n v="1065"/>
    <x v="252"/>
    <x v="0"/>
    <s v="IN"/>
  </r>
  <r>
    <n v="694"/>
    <x v="663"/>
    <d v="2024-05-05T00:00:00"/>
    <x v="4"/>
    <x v="2"/>
    <s v="Amazon"/>
    <x v="0"/>
    <x v="1"/>
    <x v="35"/>
    <s v="J0341-DR-S"/>
    <x v="2"/>
    <s v="S"/>
    <n v="1"/>
    <s v="INR"/>
    <n v="744"/>
    <x v="5"/>
    <x v="4"/>
    <s v="IN"/>
  </r>
  <r>
    <n v="695"/>
    <x v="664"/>
    <d v="2024-12-02T00:00:00"/>
    <x v="2"/>
    <x v="2"/>
    <s v="Amazon"/>
    <x v="1"/>
    <x v="1"/>
    <x v="39"/>
    <s v="JNE3405-KR-L"/>
    <x v="1"/>
    <s v="L"/>
    <n v="1"/>
    <s v="INR"/>
    <n v="399"/>
    <x v="253"/>
    <x v="17"/>
    <s v="IN"/>
  </r>
  <r>
    <n v="696"/>
    <x v="665"/>
    <d v="2024-02-25T00:00:00"/>
    <x v="5"/>
    <x v="1"/>
    <s v="Merchant"/>
    <x v="0"/>
    <x v="0"/>
    <x v="16"/>
    <s v="SET220-KR-PP-XL"/>
    <x v="0"/>
    <s v="XL"/>
    <n v="1"/>
    <s v="INR"/>
    <n v="1099"/>
    <x v="7"/>
    <x v="6"/>
    <s v="IN"/>
  </r>
  <r>
    <n v="697"/>
    <x v="666"/>
    <d v="2024-06-14T00:00:00"/>
    <x v="3"/>
    <x v="2"/>
    <s v="Amazon"/>
    <x v="0"/>
    <x v="1"/>
    <x v="13"/>
    <s v="J0341-DR-M"/>
    <x v="2"/>
    <s v="M"/>
    <n v="1"/>
    <s v="INR"/>
    <n v="744"/>
    <x v="254"/>
    <x v="0"/>
    <s v="IN"/>
  </r>
  <r>
    <n v="698"/>
    <x v="667"/>
    <d v="2023-04-25T00:00:00"/>
    <x v="9"/>
    <x v="2"/>
    <s v="Amazon"/>
    <x v="1"/>
    <x v="1"/>
    <x v="30"/>
    <s v="JNE3371-KR-XXXL"/>
    <x v="1"/>
    <s v="3XL"/>
    <n v="1"/>
    <s v="INR"/>
    <n v="329"/>
    <x v="255"/>
    <x v="31"/>
    <s v="IN"/>
  </r>
  <r>
    <n v="699"/>
    <x v="668"/>
    <d v="2023-04-06T00:00:00"/>
    <x v="9"/>
    <x v="1"/>
    <s v="Merchant"/>
    <x v="1"/>
    <x v="2"/>
    <x v="20"/>
    <s v="JNE3487-KR-XXXL"/>
    <x v="1"/>
    <s v="3XL"/>
    <n v="1"/>
    <s v="INR"/>
    <n v="362"/>
    <x v="255"/>
    <x v="31"/>
    <s v="IN"/>
  </r>
  <r>
    <n v="700"/>
    <x v="668"/>
    <d v="2023-10-07T00:00:00"/>
    <x v="10"/>
    <x v="1"/>
    <s v="Merchant"/>
    <x v="1"/>
    <x v="2"/>
    <x v="2"/>
    <s v="JNE3702-KR-XXXL"/>
    <x v="1"/>
    <s v="3XL"/>
    <n v="1"/>
    <s v="INR"/>
    <n v="342"/>
    <x v="255"/>
    <x v="31"/>
    <s v="IN"/>
  </r>
  <r>
    <n v="701"/>
    <x v="668"/>
    <d v="2024-01-21T00:00:00"/>
    <x v="1"/>
    <x v="1"/>
    <s v="Merchant"/>
    <x v="1"/>
    <x v="2"/>
    <x v="39"/>
    <s v="JNE3461-KR-XXXL"/>
    <x v="1"/>
    <s v="3XL"/>
    <n v="1"/>
    <s v="INR"/>
    <n v="363"/>
    <x v="255"/>
    <x v="31"/>
    <s v="IN"/>
  </r>
  <r>
    <n v="702"/>
    <x v="669"/>
    <d v="2024-08-08T00:00:00"/>
    <x v="7"/>
    <x v="2"/>
    <s v="Amazon"/>
    <x v="1"/>
    <x v="1"/>
    <x v="20"/>
    <s v="JNE3739-KR-L"/>
    <x v="1"/>
    <s v="L"/>
    <n v="1"/>
    <s v="INR"/>
    <n v="459"/>
    <x v="256"/>
    <x v="0"/>
    <s v="IN"/>
  </r>
  <r>
    <n v="703"/>
    <x v="670"/>
    <d v="2023-03-28T00:00:00"/>
    <x v="6"/>
    <x v="2"/>
    <s v="Amazon"/>
    <x v="0"/>
    <x v="1"/>
    <x v="38"/>
    <s v="SET265-KR-NP-L"/>
    <x v="0"/>
    <s v="L"/>
    <n v="1"/>
    <s v="INR"/>
    <n v="888"/>
    <x v="5"/>
    <x v="4"/>
    <s v="IN"/>
  </r>
  <r>
    <n v="704"/>
    <x v="671"/>
    <d v="2024-08-05T00:00:00"/>
    <x v="7"/>
    <x v="2"/>
    <s v="Amazon"/>
    <x v="1"/>
    <x v="1"/>
    <x v="8"/>
    <s v="JNE3373-KR-XXXL"/>
    <x v="1"/>
    <s v="3XL"/>
    <n v="1"/>
    <s v="INR"/>
    <n v="376"/>
    <x v="12"/>
    <x v="9"/>
    <s v="IN"/>
  </r>
  <r>
    <n v="705"/>
    <x v="672"/>
    <d v="2023-02-26T00:00:00"/>
    <x v="5"/>
    <x v="2"/>
    <s v="Amazon"/>
    <x v="0"/>
    <x v="1"/>
    <x v="19"/>
    <s v="SET291-KR-PP-XL"/>
    <x v="0"/>
    <s v="XL"/>
    <n v="1"/>
    <s v="INR"/>
    <n v="599"/>
    <x v="67"/>
    <x v="0"/>
    <s v="IN"/>
  </r>
  <r>
    <n v="706"/>
    <x v="673"/>
    <d v="2023-08-09T00:00:00"/>
    <x v="7"/>
    <x v="2"/>
    <s v="Amazon"/>
    <x v="0"/>
    <x v="1"/>
    <x v="10"/>
    <s v="SET343-KR-NP-XXL"/>
    <x v="0"/>
    <s v="XXL"/>
    <n v="1"/>
    <s v="INR"/>
    <n v="916"/>
    <x v="4"/>
    <x v="3"/>
    <s v="IN"/>
  </r>
  <r>
    <n v="707"/>
    <x v="674"/>
    <d v="2023-06-17T00:00:00"/>
    <x v="3"/>
    <x v="2"/>
    <s v="Amazon"/>
    <x v="1"/>
    <x v="1"/>
    <x v="15"/>
    <s v="JNE3534-KR-XS"/>
    <x v="1"/>
    <s v="XS"/>
    <n v="1"/>
    <s v="INR"/>
    <n v="329"/>
    <x v="257"/>
    <x v="3"/>
    <s v="IN"/>
  </r>
  <r>
    <n v="708"/>
    <x v="675"/>
    <d v="2023-12-05T00:00:00"/>
    <x v="2"/>
    <x v="0"/>
    <s v="Amazon"/>
    <x v="1"/>
    <x v="1"/>
    <x v="24"/>
    <s v="JNE3373-KR-XXXL"/>
    <x v="1"/>
    <s v="3XL"/>
    <n v="0"/>
    <m/>
    <m/>
    <x v="7"/>
    <x v="6"/>
    <s v="IN"/>
  </r>
  <r>
    <n v="709"/>
    <x v="676"/>
    <d v="2023-10-14T00:00:00"/>
    <x v="10"/>
    <x v="2"/>
    <s v="Amazon"/>
    <x v="0"/>
    <x v="1"/>
    <x v="21"/>
    <s v="SET345-KR-NP-XL"/>
    <x v="0"/>
    <s v="XL"/>
    <n v="1"/>
    <s v="INR"/>
    <n v="626"/>
    <x v="249"/>
    <x v="24"/>
    <s v="IN"/>
  </r>
  <r>
    <n v="710"/>
    <x v="677"/>
    <d v="2023-09-29T00:00:00"/>
    <x v="8"/>
    <x v="2"/>
    <s v="Amazon"/>
    <x v="0"/>
    <x v="1"/>
    <x v="6"/>
    <s v="JNE3797-KR-L"/>
    <x v="2"/>
    <s v="L"/>
    <n v="1"/>
    <s v="INR"/>
    <n v="725"/>
    <x v="258"/>
    <x v="17"/>
    <s v="IN"/>
  </r>
  <r>
    <n v="711"/>
    <x v="678"/>
    <d v="2024-10-31T00:00:00"/>
    <x v="10"/>
    <x v="0"/>
    <s v="Amazon"/>
    <x v="1"/>
    <x v="1"/>
    <x v="10"/>
    <s v="J0094-KR-M"/>
    <x v="1"/>
    <s v="M"/>
    <n v="0"/>
    <m/>
    <m/>
    <x v="259"/>
    <x v="1"/>
    <s v="IN"/>
  </r>
  <r>
    <n v="712"/>
    <x v="679"/>
    <d v="2023-10-08T00:00:00"/>
    <x v="10"/>
    <x v="2"/>
    <s v="Amazon"/>
    <x v="0"/>
    <x v="1"/>
    <x v="10"/>
    <s v="J0230-SKD-L"/>
    <x v="0"/>
    <s v="L"/>
    <n v="1"/>
    <s v="INR"/>
    <n v="1112"/>
    <x v="11"/>
    <x v="8"/>
    <s v="IN"/>
  </r>
  <r>
    <n v="713"/>
    <x v="680"/>
    <d v="2024-07-05T00:00:00"/>
    <x v="11"/>
    <x v="0"/>
    <s v="Amazon"/>
    <x v="0"/>
    <x v="1"/>
    <x v="8"/>
    <s v="SET364-KR-NP-XXL"/>
    <x v="0"/>
    <s v="XXL"/>
    <n v="0"/>
    <m/>
    <m/>
    <x v="260"/>
    <x v="4"/>
    <s v="IN"/>
  </r>
  <r>
    <n v="714"/>
    <x v="681"/>
    <d v="2024-09-27T00:00:00"/>
    <x v="8"/>
    <x v="1"/>
    <s v="Merchant"/>
    <x v="1"/>
    <x v="0"/>
    <x v="28"/>
    <s v="JNE2265-KR-501-XL"/>
    <x v="1"/>
    <s v="XL"/>
    <n v="1"/>
    <s v="INR"/>
    <n v="329"/>
    <x v="12"/>
    <x v="9"/>
    <s v="IN"/>
  </r>
  <r>
    <n v="715"/>
    <x v="682"/>
    <d v="2023-09-16T00:00:00"/>
    <x v="8"/>
    <x v="2"/>
    <s v="Amazon"/>
    <x v="0"/>
    <x v="1"/>
    <x v="25"/>
    <s v="JNE3690-TU-S"/>
    <x v="3"/>
    <s v="S"/>
    <n v="1"/>
    <s v="INR"/>
    <n v="487"/>
    <x v="7"/>
    <x v="6"/>
    <s v="IN"/>
  </r>
  <r>
    <n v="716"/>
    <x v="683"/>
    <d v="2024-12-15T00:00:00"/>
    <x v="2"/>
    <x v="2"/>
    <s v="Amazon"/>
    <x v="0"/>
    <x v="1"/>
    <x v="20"/>
    <s v="SET347-KR-NP-XL"/>
    <x v="0"/>
    <s v="XL"/>
    <n v="1"/>
    <s v="INR"/>
    <n v="801"/>
    <x v="234"/>
    <x v="16"/>
    <s v="IN"/>
  </r>
  <r>
    <n v="717"/>
    <x v="684"/>
    <d v="2024-03-01T00:00:00"/>
    <x v="6"/>
    <x v="2"/>
    <s v="Amazon"/>
    <x v="1"/>
    <x v="1"/>
    <x v="23"/>
    <s v="JNE3468-KR-L"/>
    <x v="1"/>
    <s v="L"/>
    <n v="1"/>
    <s v="INR"/>
    <n v="352"/>
    <x v="1"/>
    <x v="1"/>
    <s v="IN"/>
  </r>
  <r>
    <n v="718"/>
    <x v="684"/>
    <d v="2024-10-22T00:00:00"/>
    <x v="10"/>
    <x v="2"/>
    <s v="Amazon"/>
    <x v="1"/>
    <x v="1"/>
    <x v="29"/>
    <s v="JNE3291-KR-XL"/>
    <x v="1"/>
    <s v="XL"/>
    <n v="1"/>
    <s v="INR"/>
    <n v="442"/>
    <x v="1"/>
    <x v="1"/>
    <s v="IN"/>
  </r>
  <r>
    <n v="719"/>
    <x v="685"/>
    <d v="2024-09-04T00:00:00"/>
    <x v="8"/>
    <x v="0"/>
    <s v="Merchant"/>
    <x v="1"/>
    <x v="0"/>
    <x v="19"/>
    <s v="JNE1998-KR-311-S"/>
    <x v="1"/>
    <s v="S"/>
    <n v="0"/>
    <s v="INR"/>
    <n v="280.95"/>
    <x v="257"/>
    <x v="3"/>
    <s v="IN"/>
  </r>
  <r>
    <n v="720"/>
    <x v="686"/>
    <d v="2024-01-14T00:00:00"/>
    <x v="1"/>
    <x v="0"/>
    <s v="Amazon"/>
    <x v="1"/>
    <x v="1"/>
    <x v="25"/>
    <s v="JNE3715-KR-S"/>
    <x v="1"/>
    <s v="S"/>
    <n v="1"/>
    <s v="INR"/>
    <n v="283"/>
    <x v="257"/>
    <x v="3"/>
    <s v="IN"/>
  </r>
  <r>
    <n v="721"/>
    <x v="687"/>
    <d v="2024-03-22T00:00:00"/>
    <x v="6"/>
    <x v="2"/>
    <s v="Amazon"/>
    <x v="0"/>
    <x v="1"/>
    <x v="14"/>
    <s v="J0003-SET-XXXL"/>
    <x v="0"/>
    <s v="3XL"/>
    <n v="1"/>
    <s v="INR"/>
    <n v="654"/>
    <x v="71"/>
    <x v="7"/>
    <s v="IN"/>
  </r>
  <r>
    <n v="722"/>
    <x v="688"/>
    <d v="2024-01-06T00:00:00"/>
    <x v="1"/>
    <x v="2"/>
    <s v="Amazon"/>
    <x v="1"/>
    <x v="1"/>
    <x v="9"/>
    <s v="JNE3405-KR-L"/>
    <x v="1"/>
    <s v="L"/>
    <n v="1"/>
    <s v="INR"/>
    <n v="399"/>
    <x v="261"/>
    <x v="11"/>
    <s v="IN"/>
  </r>
  <r>
    <n v="723"/>
    <x v="689"/>
    <d v="2023-08-14T00:00:00"/>
    <x v="7"/>
    <x v="2"/>
    <s v="Amazon"/>
    <x v="0"/>
    <x v="1"/>
    <x v="30"/>
    <s v="BL003-50BLACK"/>
    <x v="7"/>
    <s v="Free"/>
    <n v="1"/>
    <s v="INR"/>
    <n v="419"/>
    <x v="7"/>
    <x v="6"/>
    <s v="IN"/>
  </r>
  <r>
    <n v="724"/>
    <x v="690"/>
    <d v="2023-07-16T00:00:00"/>
    <x v="11"/>
    <x v="2"/>
    <s v="Amazon"/>
    <x v="0"/>
    <x v="1"/>
    <x v="8"/>
    <s v="J0003-SET-XXXL"/>
    <x v="0"/>
    <s v="3XL"/>
    <n v="1"/>
    <s v="INR"/>
    <n v="654"/>
    <x v="37"/>
    <x v="0"/>
    <s v="IN"/>
  </r>
  <r>
    <n v="725"/>
    <x v="691"/>
    <d v="2023-08-30T00:00:00"/>
    <x v="7"/>
    <x v="2"/>
    <s v="Amazon"/>
    <x v="0"/>
    <x v="1"/>
    <x v="31"/>
    <s v="J0341-DR-S"/>
    <x v="2"/>
    <s v="S"/>
    <n v="1"/>
    <s v="INR"/>
    <n v="744"/>
    <x v="1"/>
    <x v="1"/>
    <s v="IN"/>
  </r>
  <r>
    <n v="726"/>
    <x v="692"/>
    <d v="2023-04-28T00:00:00"/>
    <x v="9"/>
    <x v="1"/>
    <s v="Merchant"/>
    <x v="1"/>
    <x v="2"/>
    <x v="38"/>
    <s v="JNE3405-KR-S"/>
    <x v="1"/>
    <s v="S"/>
    <n v="1"/>
    <s v="INR"/>
    <n v="399"/>
    <x v="262"/>
    <x v="17"/>
    <s v="IN"/>
  </r>
  <r>
    <n v="727"/>
    <x v="693"/>
    <d v="2024-05-12T00:00:00"/>
    <x v="4"/>
    <x v="2"/>
    <s v="Amazon"/>
    <x v="1"/>
    <x v="1"/>
    <x v="32"/>
    <s v="MEN5005-KR-XXXL"/>
    <x v="1"/>
    <s v="3XL"/>
    <n v="1"/>
    <s v="INR"/>
    <n v="452"/>
    <x v="27"/>
    <x v="17"/>
    <s v="IN"/>
  </r>
  <r>
    <n v="728"/>
    <x v="693"/>
    <d v="2024-03-20T00:00:00"/>
    <x v="6"/>
    <x v="2"/>
    <s v="Amazon"/>
    <x v="1"/>
    <x v="1"/>
    <x v="40"/>
    <s v="MEN5028-KR-XXL"/>
    <x v="1"/>
    <s v="XXL"/>
    <n v="1"/>
    <s v="INR"/>
    <n v="499"/>
    <x v="27"/>
    <x v="17"/>
    <s v="IN"/>
  </r>
  <r>
    <n v="729"/>
    <x v="694"/>
    <d v="2023-02-17T00:00:00"/>
    <x v="5"/>
    <x v="1"/>
    <s v="Merchant"/>
    <x v="0"/>
    <x v="0"/>
    <x v="35"/>
    <s v="J0215-BL-L"/>
    <x v="7"/>
    <s v="L"/>
    <n v="1"/>
    <s v="INR"/>
    <n v="0"/>
    <x v="263"/>
    <x v="11"/>
    <s v="IN"/>
  </r>
  <r>
    <n v="730"/>
    <x v="695"/>
    <d v="2024-04-09T00:00:00"/>
    <x v="9"/>
    <x v="1"/>
    <s v="Merchant"/>
    <x v="1"/>
    <x v="2"/>
    <x v="30"/>
    <s v="JNE3368-KR-XXXL"/>
    <x v="1"/>
    <s v="3XL"/>
    <n v="1"/>
    <s v="INR"/>
    <n v="471"/>
    <x v="50"/>
    <x v="19"/>
    <s v="IN"/>
  </r>
  <r>
    <n v="731"/>
    <x v="696"/>
    <d v="2023-07-09T00:00:00"/>
    <x v="11"/>
    <x v="3"/>
    <s v="Merchant"/>
    <x v="1"/>
    <x v="2"/>
    <x v="2"/>
    <s v="JNE3714-KR-L"/>
    <x v="1"/>
    <s v="L"/>
    <n v="1"/>
    <s v="INR"/>
    <n v="0"/>
    <x v="1"/>
    <x v="1"/>
    <s v="IN"/>
  </r>
  <r>
    <n v="732"/>
    <x v="697"/>
    <d v="2023-06-26T00:00:00"/>
    <x v="3"/>
    <x v="2"/>
    <s v="Amazon"/>
    <x v="1"/>
    <x v="1"/>
    <x v="11"/>
    <s v="PJNE2199-KR-N-6XL"/>
    <x v="1"/>
    <s v="6XL"/>
    <n v="1"/>
    <s v="INR"/>
    <n v="431"/>
    <x v="264"/>
    <x v="15"/>
    <s v="IN"/>
  </r>
  <r>
    <n v="733"/>
    <x v="698"/>
    <d v="2023-09-24T00:00:00"/>
    <x v="8"/>
    <x v="2"/>
    <s v="Amazon"/>
    <x v="1"/>
    <x v="1"/>
    <x v="5"/>
    <s v="JNE3634-KR-M"/>
    <x v="1"/>
    <s v="M"/>
    <n v="1"/>
    <s v="INR"/>
    <n v="511"/>
    <x v="265"/>
    <x v="15"/>
    <s v="IN"/>
  </r>
  <r>
    <n v="734"/>
    <x v="699"/>
    <d v="2024-05-13T00:00:00"/>
    <x v="4"/>
    <x v="2"/>
    <s v="Amazon"/>
    <x v="0"/>
    <x v="1"/>
    <x v="20"/>
    <s v="J0280-SKD-S"/>
    <x v="0"/>
    <s v="S"/>
    <n v="1"/>
    <s v="INR"/>
    <n v="1463"/>
    <x v="4"/>
    <x v="3"/>
    <s v="IN"/>
  </r>
  <r>
    <n v="735"/>
    <x v="700"/>
    <d v="2024-07-17T00:00:00"/>
    <x v="11"/>
    <x v="2"/>
    <s v="Amazon"/>
    <x v="1"/>
    <x v="1"/>
    <x v="23"/>
    <s v="JNE3794-KR-M"/>
    <x v="1"/>
    <s v="M"/>
    <n v="1"/>
    <s v="INR"/>
    <n v="517"/>
    <x v="66"/>
    <x v="4"/>
    <s v="IN"/>
  </r>
  <r>
    <n v="736"/>
    <x v="701"/>
    <d v="2023-07-11T00:00:00"/>
    <x v="11"/>
    <x v="2"/>
    <s v="Amazon"/>
    <x v="1"/>
    <x v="1"/>
    <x v="20"/>
    <s v="JNE3421-KR-N-L"/>
    <x v="1"/>
    <s v="L"/>
    <n v="1"/>
    <s v="INR"/>
    <n v="399"/>
    <x v="7"/>
    <x v="6"/>
    <s v="IN"/>
  </r>
  <r>
    <n v="737"/>
    <x v="702"/>
    <d v="2023-10-31T00:00:00"/>
    <x v="10"/>
    <x v="0"/>
    <s v="Amazon"/>
    <x v="1"/>
    <x v="1"/>
    <x v="37"/>
    <s v="JNE3634-KR-M"/>
    <x v="1"/>
    <s v="M"/>
    <n v="0"/>
    <m/>
    <m/>
    <x v="266"/>
    <x v="15"/>
    <s v="IN"/>
  </r>
  <r>
    <n v="738"/>
    <x v="703"/>
    <d v="2023-08-03T00:00:00"/>
    <x v="7"/>
    <x v="1"/>
    <s v="Merchant"/>
    <x v="1"/>
    <x v="2"/>
    <x v="25"/>
    <s v="JNE3405-KR-S"/>
    <x v="1"/>
    <s v="S"/>
    <n v="1"/>
    <s v="INR"/>
    <n v="399"/>
    <x v="7"/>
    <x v="6"/>
    <s v="IN"/>
  </r>
  <r>
    <n v="739"/>
    <x v="704"/>
    <d v="2024-04-18T00:00:00"/>
    <x v="9"/>
    <x v="2"/>
    <s v="Amazon"/>
    <x v="0"/>
    <x v="1"/>
    <x v="22"/>
    <s v="SET110-KR-PP-S"/>
    <x v="0"/>
    <s v="S"/>
    <n v="1"/>
    <s v="INR"/>
    <n v="788"/>
    <x v="12"/>
    <x v="9"/>
    <s v="IN"/>
  </r>
  <r>
    <n v="740"/>
    <x v="705"/>
    <d v="2024-07-20T00:00:00"/>
    <x v="11"/>
    <x v="0"/>
    <s v="Merchant"/>
    <x v="0"/>
    <x v="2"/>
    <x v="5"/>
    <s v="J0117-TP-XXL"/>
    <x v="3"/>
    <s v="XXL"/>
    <n v="0"/>
    <s v="INR"/>
    <n v="493.33"/>
    <x v="36"/>
    <x v="0"/>
    <s v="IN"/>
  </r>
  <r>
    <n v="741"/>
    <x v="706"/>
    <d v="2023-05-19T00:00:00"/>
    <x v="4"/>
    <x v="2"/>
    <s v="Amazon"/>
    <x v="0"/>
    <x v="1"/>
    <x v="35"/>
    <s v="SET374-KR-NP-XS"/>
    <x v="0"/>
    <s v="XS"/>
    <n v="1"/>
    <s v="INR"/>
    <n v="597"/>
    <x v="267"/>
    <x v="6"/>
    <s v="IN"/>
  </r>
  <r>
    <n v="742"/>
    <x v="707"/>
    <d v="2023-06-23T00:00:00"/>
    <x v="3"/>
    <x v="1"/>
    <s v="Merchant"/>
    <x v="0"/>
    <x v="2"/>
    <x v="5"/>
    <s v="SET345-KR-NP-L"/>
    <x v="0"/>
    <s v="L"/>
    <n v="1"/>
    <s v="INR"/>
    <n v="666"/>
    <x v="268"/>
    <x v="0"/>
    <s v="IN"/>
  </r>
  <r>
    <n v="743"/>
    <x v="708"/>
    <d v="2023-04-11T00:00:00"/>
    <x v="9"/>
    <x v="2"/>
    <s v="Amazon"/>
    <x v="0"/>
    <x v="1"/>
    <x v="14"/>
    <s v="J0230-SKD-XL"/>
    <x v="0"/>
    <s v="XL"/>
    <n v="1"/>
    <s v="INR"/>
    <n v="1112"/>
    <x v="269"/>
    <x v="12"/>
    <s v="IN"/>
  </r>
  <r>
    <n v="744"/>
    <x v="708"/>
    <d v="2023-08-08T00:00:00"/>
    <x v="7"/>
    <x v="2"/>
    <s v="Amazon"/>
    <x v="0"/>
    <x v="1"/>
    <x v="35"/>
    <s v="J0003-SET-XL"/>
    <x v="0"/>
    <s v="XL"/>
    <n v="1"/>
    <s v="INR"/>
    <n v="696"/>
    <x v="269"/>
    <x v="12"/>
    <s v="IN"/>
  </r>
  <r>
    <n v="745"/>
    <x v="709"/>
    <d v="2023-11-12T00:00:00"/>
    <x v="0"/>
    <x v="2"/>
    <s v="Amazon"/>
    <x v="0"/>
    <x v="1"/>
    <x v="8"/>
    <s v="SET285-KR-SHA-XS"/>
    <x v="0"/>
    <s v="XS"/>
    <n v="1"/>
    <s v="INR"/>
    <n v="499"/>
    <x v="187"/>
    <x v="0"/>
    <s v="IN"/>
  </r>
  <r>
    <n v="746"/>
    <x v="710"/>
    <d v="2023-08-23T00:00:00"/>
    <x v="7"/>
    <x v="2"/>
    <s v="Amazon"/>
    <x v="1"/>
    <x v="1"/>
    <x v="7"/>
    <s v="JNE3394-KR-A-XL"/>
    <x v="1"/>
    <s v="XL"/>
    <n v="1"/>
    <s v="INR"/>
    <n v="414"/>
    <x v="1"/>
    <x v="1"/>
    <s v="IN"/>
  </r>
  <r>
    <n v="747"/>
    <x v="711"/>
    <d v="2023-01-24T00:00:00"/>
    <x v="1"/>
    <x v="2"/>
    <s v="Amazon"/>
    <x v="0"/>
    <x v="1"/>
    <x v="21"/>
    <s v="SET356-KR-NP-XL"/>
    <x v="0"/>
    <s v="XL"/>
    <n v="1"/>
    <s v="INR"/>
    <n v="1099"/>
    <x v="270"/>
    <x v="4"/>
    <s v="IN"/>
  </r>
  <r>
    <n v="748"/>
    <x v="712"/>
    <d v="2023-10-30T00:00:00"/>
    <x v="10"/>
    <x v="0"/>
    <s v="Amazon"/>
    <x v="0"/>
    <x v="1"/>
    <x v="37"/>
    <s v="SET324-KR-NP-M"/>
    <x v="0"/>
    <s v="M"/>
    <n v="0"/>
    <m/>
    <m/>
    <x v="27"/>
    <x v="17"/>
    <s v="IN"/>
  </r>
  <r>
    <n v="749"/>
    <x v="713"/>
    <d v="2024-08-18T00:00:00"/>
    <x v="7"/>
    <x v="2"/>
    <s v="Amazon"/>
    <x v="0"/>
    <x v="1"/>
    <x v="0"/>
    <s v="J0095-SET-XXXL"/>
    <x v="0"/>
    <s v="3XL"/>
    <n v="1"/>
    <s v="INR"/>
    <n v="653"/>
    <x v="15"/>
    <x v="0"/>
    <s v="IN"/>
  </r>
  <r>
    <n v="750"/>
    <x v="714"/>
    <d v="2023-01-23T00:00:00"/>
    <x v="1"/>
    <x v="2"/>
    <s v="Amazon"/>
    <x v="1"/>
    <x v="1"/>
    <x v="21"/>
    <s v="JNE3468-KR-XXL"/>
    <x v="1"/>
    <s v="XXL"/>
    <n v="1"/>
    <s v="INR"/>
    <n v="352"/>
    <x v="31"/>
    <x v="14"/>
    <s v="IN"/>
  </r>
  <r>
    <n v="751"/>
    <x v="715"/>
    <d v="2023-04-20T00:00:00"/>
    <x v="9"/>
    <x v="2"/>
    <s v="Amazon"/>
    <x v="0"/>
    <x v="1"/>
    <x v="41"/>
    <s v="J0343-DR-XXXL"/>
    <x v="2"/>
    <s v="3XL"/>
    <n v="1"/>
    <s v="INR"/>
    <n v="744"/>
    <x v="208"/>
    <x v="1"/>
    <s v="IN"/>
  </r>
  <r>
    <n v="752"/>
    <x v="716"/>
    <d v="2023-02-19T00:00:00"/>
    <x v="5"/>
    <x v="2"/>
    <s v="Amazon"/>
    <x v="1"/>
    <x v="1"/>
    <x v="22"/>
    <s v="JNE3405-KR-XL"/>
    <x v="1"/>
    <s v="XL"/>
    <n v="1"/>
    <s v="INR"/>
    <n v="399"/>
    <x v="12"/>
    <x v="9"/>
    <s v="IN"/>
  </r>
  <r>
    <n v="753"/>
    <x v="717"/>
    <d v="2024-10-20T00:00:00"/>
    <x v="10"/>
    <x v="2"/>
    <s v="Amazon"/>
    <x v="0"/>
    <x v="1"/>
    <x v="29"/>
    <s v="J0380-SKD-XXXL"/>
    <x v="0"/>
    <s v="3XL"/>
    <n v="1"/>
    <s v="INR"/>
    <n v="1438"/>
    <x v="271"/>
    <x v="21"/>
    <s v="IN"/>
  </r>
  <r>
    <n v="754"/>
    <x v="718"/>
    <d v="2024-11-10T00:00:00"/>
    <x v="0"/>
    <x v="1"/>
    <s v="Merchant"/>
    <x v="0"/>
    <x v="2"/>
    <x v="32"/>
    <s v="J0382-SKD-XL"/>
    <x v="0"/>
    <s v="XL"/>
    <n v="1"/>
    <s v="INR"/>
    <n v="1173"/>
    <x v="271"/>
    <x v="21"/>
    <s v="IN"/>
  </r>
  <r>
    <n v="755"/>
    <x v="719"/>
    <d v="2023-01-23T00:00:00"/>
    <x v="1"/>
    <x v="1"/>
    <s v="Merchant"/>
    <x v="1"/>
    <x v="0"/>
    <x v="9"/>
    <s v="JNE3802-KR-M"/>
    <x v="1"/>
    <s v="M"/>
    <n v="1"/>
    <s v="INR"/>
    <n v="459"/>
    <x v="1"/>
    <x v="1"/>
    <s v="IN"/>
  </r>
  <r>
    <n v="756"/>
    <x v="720"/>
    <d v="2023-06-28T00:00:00"/>
    <x v="3"/>
    <x v="2"/>
    <s v="Amazon"/>
    <x v="0"/>
    <x v="1"/>
    <x v="28"/>
    <s v="J0236-SKD-XXL"/>
    <x v="0"/>
    <s v="XXL"/>
    <n v="1"/>
    <s v="INR"/>
    <n v="922"/>
    <x v="272"/>
    <x v="3"/>
    <s v="IN"/>
  </r>
  <r>
    <n v="757"/>
    <x v="721"/>
    <d v="2023-09-05T00:00:00"/>
    <x v="8"/>
    <x v="2"/>
    <s v="Amazon"/>
    <x v="0"/>
    <x v="1"/>
    <x v="28"/>
    <s v="J0095-SET-XXXL"/>
    <x v="0"/>
    <s v="3XL"/>
    <n v="1"/>
    <s v="INR"/>
    <n v="653"/>
    <x v="0"/>
    <x v="0"/>
    <s v="IN"/>
  </r>
  <r>
    <n v="758"/>
    <x v="722"/>
    <d v="2023-03-20T00:00:00"/>
    <x v="6"/>
    <x v="0"/>
    <s v="Amazon"/>
    <x v="1"/>
    <x v="1"/>
    <x v="31"/>
    <s v="JNE3461-KR-XL"/>
    <x v="1"/>
    <s v="XL"/>
    <n v="1"/>
    <s v="INR"/>
    <n v="363"/>
    <x v="273"/>
    <x v="6"/>
    <s v="IN"/>
  </r>
  <r>
    <n v="759"/>
    <x v="723"/>
    <d v="2023-07-03T00:00:00"/>
    <x v="11"/>
    <x v="2"/>
    <s v="Amazon"/>
    <x v="1"/>
    <x v="1"/>
    <x v="39"/>
    <s v="MEN5009-KR-M"/>
    <x v="1"/>
    <s v="M"/>
    <n v="1"/>
    <s v="INR"/>
    <n v="499"/>
    <x v="274"/>
    <x v="8"/>
    <s v="IN"/>
  </r>
  <r>
    <n v="760"/>
    <x v="724"/>
    <d v="2024-03-06T00:00:00"/>
    <x v="6"/>
    <x v="2"/>
    <s v="Amazon"/>
    <x v="1"/>
    <x v="1"/>
    <x v="7"/>
    <s v="PJNE3399-KR-N-6XL"/>
    <x v="1"/>
    <s v="6XL"/>
    <n v="1"/>
    <s v="INR"/>
    <n v="486"/>
    <x v="50"/>
    <x v="19"/>
    <s v="IN"/>
  </r>
  <r>
    <n v="761"/>
    <x v="725"/>
    <d v="2024-08-04T00:00:00"/>
    <x v="7"/>
    <x v="1"/>
    <s v="Merchant"/>
    <x v="1"/>
    <x v="0"/>
    <x v="15"/>
    <s v="PJNE3068-KR-6XL"/>
    <x v="1"/>
    <s v="6XL"/>
    <n v="1"/>
    <s v="INR"/>
    <n v="692"/>
    <x v="50"/>
    <x v="19"/>
    <s v="IN"/>
  </r>
  <r>
    <n v="762"/>
    <x v="726"/>
    <d v="2024-05-04T00:00:00"/>
    <x v="4"/>
    <x v="2"/>
    <s v="Amazon"/>
    <x v="1"/>
    <x v="1"/>
    <x v="39"/>
    <s v="JNE1998-KR-311-XXL"/>
    <x v="1"/>
    <s v="XXL"/>
    <n v="1"/>
    <s v="INR"/>
    <n v="295"/>
    <x v="4"/>
    <x v="3"/>
    <s v="IN"/>
  </r>
  <r>
    <n v="763"/>
    <x v="727"/>
    <d v="2023-12-10T00:00:00"/>
    <x v="2"/>
    <x v="1"/>
    <s v="Merchant"/>
    <x v="1"/>
    <x v="0"/>
    <x v="29"/>
    <s v="JNE3468-KR-XL"/>
    <x v="1"/>
    <s v="XL"/>
    <n v="1"/>
    <s v="INR"/>
    <n v="363"/>
    <x v="4"/>
    <x v="3"/>
    <s v="IN"/>
  </r>
  <r>
    <n v="764"/>
    <x v="728"/>
    <d v="2023-05-25T00:00:00"/>
    <x v="4"/>
    <x v="2"/>
    <s v="Amazon"/>
    <x v="1"/>
    <x v="1"/>
    <x v="0"/>
    <s v="JNE3405-KR-XXL"/>
    <x v="1"/>
    <s v="XXL"/>
    <n v="1"/>
    <s v="INR"/>
    <n v="399"/>
    <x v="275"/>
    <x v="23"/>
    <s v="IN"/>
  </r>
  <r>
    <n v="765"/>
    <x v="729"/>
    <d v="2023-05-14T00:00:00"/>
    <x v="4"/>
    <x v="2"/>
    <s v="Amazon"/>
    <x v="0"/>
    <x v="1"/>
    <x v="28"/>
    <s v="J0236-SKD-S"/>
    <x v="0"/>
    <s v="S"/>
    <n v="1"/>
    <s v="INR"/>
    <n v="950"/>
    <x v="276"/>
    <x v="7"/>
    <s v="IN"/>
  </r>
  <r>
    <n v="766"/>
    <x v="730"/>
    <d v="2023-12-31T00:00:00"/>
    <x v="2"/>
    <x v="2"/>
    <s v="Amazon"/>
    <x v="1"/>
    <x v="1"/>
    <x v="7"/>
    <s v="JNE3440-KR-N-XS"/>
    <x v="1"/>
    <s v="XS"/>
    <n v="1"/>
    <s v="INR"/>
    <n v="399"/>
    <x v="277"/>
    <x v="15"/>
    <s v="IN"/>
  </r>
  <r>
    <n v="767"/>
    <x v="731"/>
    <d v="2024-03-05T00:00:00"/>
    <x v="6"/>
    <x v="2"/>
    <s v="Amazon"/>
    <x v="0"/>
    <x v="1"/>
    <x v="12"/>
    <s v="J0308-DR-M"/>
    <x v="2"/>
    <s v="M"/>
    <n v="1"/>
    <s v="INR"/>
    <n v="625"/>
    <x v="278"/>
    <x v="7"/>
    <s v="IN"/>
  </r>
  <r>
    <n v="768"/>
    <x v="732"/>
    <d v="2024-02-28T00:00:00"/>
    <x v="5"/>
    <x v="2"/>
    <s v="Amazon"/>
    <x v="0"/>
    <x v="1"/>
    <x v="2"/>
    <s v="SET398-KR-PP-L"/>
    <x v="0"/>
    <s v="L"/>
    <n v="1"/>
    <s v="INR"/>
    <n v="1115"/>
    <x v="98"/>
    <x v="17"/>
    <s v="IN"/>
  </r>
  <r>
    <n v="769"/>
    <x v="733"/>
    <d v="2023-04-12T00:00:00"/>
    <x v="9"/>
    <x v="1"/>
    <s v="Merchant"/>
    <x v="1"/>
    <x v="0"/>
    <x v="17"/>
    <s v="JNE3799-KR-XS"/>
    <x v="1"/>
    <s v="XS"/>
    <n v="1"/>
    <s v="INR"/>
    <n v="666"/>
    <x v="15"/>
    <x v="0"/>
    <s v="IN"/>
  </r>
  <r>
    <n v="770"/>
    <x v="734"/>
    <d v="2023-11-06T00:00:00"/>
    <x v="0"/>
    <x v="0"/>
    <s v="Amazon"/>
    <x v="0"/>
    <x v="1"/>
    <x v="28"/>
    <s v="SET121-KR-NP-XS"/>
    <x v="0"/>
    <s v="XS"/>
    <n v="0"/>
    <m/>
    <m/>
    <x v="0"/>
    <x v="0"/>
    <s v="IN"/>
  </r>
  <r>
    <n v="771"/>
    <x v="735"/>
    <d v="2023-02-24T00:00:00"/>
    <x v="5"/>
    <x v="1"/>
    <s v="Merchant"/>
    <x v="0"/>
    <x v="2"/>
    <x v="42"/>
    <s v="J0003-SET-L"/>
    <x v="0"/>
    <s v="L"/>
    <n v="1"/>
    <s v="INR"/>
    <n v="696"/>
    <x v="7"/>
    <x v="6"/>
    <s v="IN"/>
  </r>
  <r>
    <n v="772"/>
    <x v="736"/>
    <d v="2024-05-09T00:00:00"/>
    <x v="4"/>
    <x v="2"/>
    <s v="Amazon"/>
    <x v="0"/>
    <x v="1"/>
    <x v="20"/>
    <s v="J0202-TP-XXL"/>
    <x v="3"/>
    <s v="XXL"/>
    <n v="1"/>
    <s v="INR"/>
    <n v="519"/>
    <x v="7"/>
    <x v="6"/>
    <s v="IN"/>
  </r>
  <r>
    <n v="773"/>
    <x v="737"/>
    <d v="2023-04-21T00:00:00"/>
    <x v="9"/>
    <x v="1"/>
    <s v="Merchant"/>
    <x v="0"/>
    <x v="0"/>
    <x v="29"/>
    <s v="J0014-LCD-S"/>
    <x v="0"/>
    <s v="S"/>
    <n v="1"/>
    <s v="INR"/>
    <n v="1199"/>
    <x v="279"/>
    <x v="16"/>
    <s v="IN"/>
  </r>
  <r>
    <n v="774"/>
    <x v="738"/>
    <d v="2023-08-22T00:00:00"/>
    <x v="7"/>
    <x v="2"/>
    <s v="Amazon"/>
    <x v="0"/>
    <x v="1"/>
    <x v="33"/>
    <s v="SET291-KR-PP-XXL"/>
    <x v="0"/>
    <s v="XXL"/>
    <n v="1"/>
    <s v="INR"/>
    <n v="563"/>
    <x v="280"/>
    <x v="3"/>
    <s v="IN"/>
  </r>
  <r>
    <n v="775"/>
    <x v="738"/>
    <d v="2023-05-16T00:00:00"/>
    <x v="4"/>
    <x v="2"/>
    <s v="Amazon"/>
    <x v="1"/>
    <x v="1"/>
    <x v="31"/>
    <s v="JNE3405-KR-XXL"/>
    <x v="1"/>
    <s v="XXL"/>
    <n v="1"/>
    <s v="INR"/>
    <n v="399"/>
    <x v="280"/>
    <x v="3"/>
    <s v="IN"/>
  </r>
  <r>
    <n v="776"/>
    <x v="738"/>
    <d v="2024-12-09T00:00:00"/>
    <x v="2"/>
    <x v="2"/>
    <s v="Amazon"/>
    <x v="1"/>
    <x v="1"/>
    <x v="6"/>
    <s v="JNE3396-KR-XL"/>
    <x v="1"/>
    <s v="XL"/>
    <n v="1"/>
    <s v="INR"/>
    <n v="487"/>
    <x v="280"/>
    <x v="3"/>
    <s v="IN"/>
  </r>
  <r>
    <n v="777"/>
    <x v="739"/>
    <d v="2024-05-17T00:00:00"/>
    <x v="4"/>
    <x v="1"/>
    <s v="Merchant"/>
    <x v="1"/>
    <x v="2"/>
    <x v="25"/>
    <s v="JNE3609-KR-XXL"/>
    <x v="1"/>
    <s v="XXL"/>
    <n v="1"/>
    <s v="INR"/>
    <n v="568"/>
    <x v="281"/>
    <x v="3"/>
    <s v="IN"/>
  </r>
  <r>
    <n v="778"/>
    <x v="740"/>
    <d v="2024-03-29T00:00:00"/>
    <x v="6"/>
    <x v="2"/>
    <s v="Amazon"/>
    <x v="1"/>
    <x v="1"/>
    <x v="13"/>
    <s v="JNE3405-KR-XXL"/>
    <x v="1"/>
    <s v="XXL"/>
    <n v="1"/>
    <s v="INR"/>
    <n v="399"/>
    <x v="0"/>
    <x v="0"/>
    <s v="IN"/>
  </r>
  <r>
    <n v="779"/>
    <x v="741"/>
    <d v="2024-11-03T00:00:00"/>
    <x v="0"/>
    <x v="2"/>
    <s v="Amazon"/>
    <x v="1"/>
    <x v="1"/>
    <x v="6"/>
    <s v="JNE3775-KR-S"/>
    <x v="1"/>
    <s v="S"/>
    <n v="1"/>
    <s v="INR"/>
    <n v="291"/>
    <x v="12"/>
    <x v="9"/>
    <s v="IN"/>
  </r>
  <r>
    <n v="780"/>
    <x v="742"/>
    <d v="2023-11-15T00:00:00"/>
    <x v="0"/>
    <x v="2"/>
    <s v="Amazon"/>
    <x v="0"/>
    <x v="1"/>
    <x v="3"/>
    <s v="J0341-DR-L"/>
    <x v="2"/>
    <s v="L"/>
    <n v="1"/>
    <s v="INR"/>
    <n v="744"/>
    <x v="282"/>
    <x v="4"/>
    <s v="IN"/>
  </r>
  <r>
    <n v="781"/>
    <x v="743"/>
    <d v="2024-10-28T00:00:00"/>
    <x v="10"/>
    <x v="2"/>
    <s v="Amazon"/>
    <x v="0"/>
    <x v="1"/>
    <x v="4"/>
    <s v="J0003-SET-XL"/>
    <x v="0"/>
    <s v="XL"/>
    <n v="1"/>
    <s v="INR"/>
    <n v="696"/>
    <x v="15"/>
    <x v="0"/>
    <s v="IN"/>
  </r>
  <r>
    <n v="782"/>
    <x v="744"/>
    <d v="2024-07-15T00:00:00"/>
    <x v="11"/>
    <x v="2"/>
    <s v="Amazon"/>
    <x v="0"/>
    <x v="1"/>
    <x v="2"/>
    <s v="J0301-TP-XXL"/>
    <x v="3"/>
    <s v="XXL"/>
    <n v="1"/>
    <s v="INR"/>
    <n v="463"/>
    <x v="245"/>
    <x v="10"/>
    <s v="IN"/>
  </r>
  <r>
    <n v="783"/>
    <x v="745"/>
    <d v="2024-05-27T00:00:00"/>
    <x v="4"/>
    <x v="0"/>
    <s v="Merchant"/>
    <x v="0"/>
    <x v="0"/>
    <x v="32"/>
    <s v="JNE3659-TP-N-L"/>
    <x v="3"/>
    <s v="L"/>
    <n v="0"/>
    <s v="INR"/>
    <n v="469.52"/>
    <x v="67"/>
    <x v="0"/>
    <s v="IN"/>
  </r>
  <r>
    <n v="784"/>
    <x v="746"/>
    <d v="2023-06-10T00:00:00"/>
    <x v="3"/>
    <x v="2"/>
    <s v="Amazon"/>
    <x v="0"/>
    <x v="1"/>
    <x v="15"/>
    <s v="JNE3652-TP-N-L"/>
    <x v="3"/>
    <s v="L"/>
    <n v="1"/>
    <s v="INR"/>
    <n v="339"/>
    <x v="67"/>
    <x v="0"/>
    <s v="IN"/>
  </r>
  <r>
    <n v="785"/>
    <x v="747"/>
    <d v="2024-08-20T00:00:00"/>
    <x v="7"/>
    <x v="1"/>
    <s v="Merchant"/>
    <x v="0"/>
    <x v="2"/>
    <x v="21"/>
    <s v="SET192-KR-NP-XXXL"/>
    <x v="0"/>
    <s v="3XL"/>
    <n v="1"/>
    <s v="INR"/>
    <n v="680"/>
    <x v="283"/>
    <x v="6"/>
    <s v="IN"/>
  </r>
  <r>
    <n v="786"/>
    <x v="748"/>
    <d v="2024-11-06T00:00:00"/>
    <x v="0"/>
    <x v="2"/>
    <s v="Amazon"/>
    <x v="0"/>
    <x v="1"/>
    <x v="9"/>
    <s v="SET183-KR-DH-S"/>
    <x v="0"/>
    <s v="S"/>
    <n v="1"/>
    <s v="INR"/>
    <n v="759"/>
    <x v="82"/>
    <x v="10"/>
    <s v="IN"/>
  </r>
  <r>
    <n v="787"/>
    <x v="749"/>
    <d v="2023-01-06T00:00:00"/>
    <x v="1"/>
    <x v="2"/>
    <s v="Amazon"/>
    <x v="0"/>
    <x v="1"/>
    <x v="3"/>
    <s v="SET345-KR-NP-M"/>
    <x v="0"/>
    <s v="M"/>
    <n v="1"/>
    <s v="INR"/>
    <n v="626"/>
    <x v="284"/>
    <x v="15"/>
    <s v="IN"/>
  </r>
  <r>
    <n v="788"/>
    <x v="750"/>
    <d v="2023-03-15T00:00:00"/>
    <x v="6"/>
    <x v="1"/>
    <s v="Merchant"/>
    <x v="1"/>
    <x v="2"/>
    <x v="16"/>
    <s v="JNE3440-KR-N-L"/>
    <x v="1"/>
    <s v="L"/>
    <n v="1"/>
    <s v="INR"/>
    <n v="399"/>
    <x v="43"/>
    <x v="20"/>
    <s v="IN"/>
  </r>
  <r>
    <n v="789"/>
    <x v="751"/>
    <d v="2023-02-27T00:00:00"/>
    <x v="5"/>
    <x v="2"/>
    <s v="Amazon"/>
    <x v="0"/>
    <x v="1"/>
    <x v="22"/>
    <s v="J0336-TP-XXXL"/>
    <x v="3"/>
    <s v="3XL"/>
    <n v="1"/>
    <s v="INR"/>
    <n v="599"/>
    <x v="0"/>
    <x v="0"/>
    <s v="IN"/>
  </r>
  <r>
    <n v="790"/>
    <x v="752"/>
    <d v="2024-12-11T00:00:00"/>
    <x v="2"/>
    <x v="2"/>
    <s v="Amazon"/>
    <x v="1"/>
    <x v="1"/>
    <x v="7"/>
    <s v="JNE3405-KR-XXXL"/>
    <x v="1"/>
    <s v="3XL"/>
    <n v="1"/>
    <s v="INR"/>
    <n v="399"/>
    <x v="12"/>
    <x v="9"/>
    <s v="IN"/>
  </r>
  <r>
    <n v="791"/>
    <x v="753"/>
    <d v="2023-08-16T00:00:00"/>
    <x v="7"/>
    <x v="2"/>
    <s v="Amazon"/>
    <x v="0"/>
    <x v="1"/>
    <x v="3"/>
    <s v="SET187-KR-DH-M"/>
    <x v="0"/>
    <s v="M"/>
    <n v="1"/>
    <s v="INR"/>
    <n v="599"/>
    <x v="40"/>
    <x v="1"/>
    <s v="IN"/>
  </r>
  <r>
    <n v="792"/>
    <x v="754"/>
    <d v="2024-05-10T00:00:00"/>
    <x v="4"/>
    <x v="2"/>
    <s v="Amazon"/>
    <x v="1"/>
    <x v="1"/>
    <x v="27"/>
    <s v="JNE3775-KR-S"/>
    <x v="1"/>
    <s v="S"/>
    <n v="1"/>
    <s v="INR"/>
    <n v="291"/>
    <x v="1"/>
    <x v="1"/>
    <s v="IN"/>
  </r>
  <r>
    <n v="793"/>
    <x v="754"/>
    <d v="2024-04-17T00:00:00"/>
    <x v="9"/>
    <x v="2"/>
    <s v="Amazon"/>
    <x v="1"/>
    <x v="1"/>
    <x v="33"/>
    <s v="JNE3409-KR-S"/>
    <x v="1"/>
    <s v="S"/>
    <n v="1"/>
    <s v="INR"/>
    <n v="276"/>
    <x v="1"/>
    <x v="1"/>
    <s v="IN"/>
  </r>
  <r>
    <n v="794"/>
    <x v="754"/>
    <d v="2023-06-17T00:00:00"/>
    <x v="3"/>
    <x v="2"/>
    <s v="Amazon"/>
    <x v="0"/>
    <x v="1"/>
    <x v="26"/>
    <s v="SET345-KR-NP-S"/>
    <x v="0"/>
    <s v="S"/>
    <n v="1"/>
    <s v="INR"/>
    <n v="626"/>
    <x v="1"/>
    <x v="1"/>
    <s v="IN"/>
  </r>
  <r>
    <n v="795"/>
    <x v="754"/>
    <d v="2023-11-02T00:00:00"/>
    <x v="0"/>
    <x v="2"/>
    <s v="Amazon"/>
    <x v="1"/>
    <x v="1"/>
    <x v="1"/>
    <s v="JNE3715-KR-S"/>
    <x v="1"/>
    <s v="S"/>
    <n v="1"/>
    <s v="INR"/>
    <n v="283"/>
    <x v="1"/>
    <x v="1"/>
    <s v="IN"/>
  </r>
  <r>
    <n v="796"/>
    <x v="755"/>
    <d v="2024-03-13T00:00:00"/>
    <x v="6"/>
    <x v="1"/>
    <s v="Merchant"/>
    <x v="0"/>
    <x v="0"/>
    <x v="28"/>
    <s v="JNE3797-KR-XS"/>
    <x v="2"/>
    <s v="XS"/>
    <n v="1"/>
    <s v="INR"/>
    <n v="725"/>
    <x v="1"/>
    <x v="1"/>
    <s v="IN"/>
  </r>
  <r>
    <n v="797"/>
    <x v="755"/>
    <d v="2024-05-07T00:00:00"/>
    <x v="4"/>
    <x v="1"/>
    <s v="Merchant"/>
    <x v="1"/>
    <x v="0"/>
    <x v="36"/>
    <s v="JNE1998-KR-311-S"/>
    <x v="1"/>
    <s v="S"/>
    <n v="1"/>
    <s v="INR"/>
    <n v="295"/>
    <x v="1"/>
    <x v="1"/>
    <s v="IN"/>
  </r>
  <r>
    <n v="798"/>
    <x v="756"/>
    <d v="2024-07-29T00:00:00"/>
    <x v="11"/>
    <x v="2"/>
    <s v="Amazon"/>
    <x v="1"/>
    <x v="1"/>
    <x v="3"/>
    <s v="JNE2270-KR-487-A-XL"/>
    <x v="1"/>
    <s v="XL"/>
    <n v="1"/>
    <s v="INR"/>
    <n v="518"/>
    <x v="1"/>
    <x v="1"/>
    <s v="IN"/>
  </r>
  <r>
    <n v="799"/>
    <x v="757"/>
    <d v="2024-10-11T00:00:00"/>
    <x v="10"/>
    <x v="2"/>
    <s v="Amazon"/>
    <x v="1"/>
    <x v="1"/>
    <x v="40"/>
    <s v="JNE3405-KR-L"/>
    <x v="1"/>
    <s v="L"/>
    <n v="1"/>
    <s v="INR"/>
    <n v="399"/>
    <x v="21"/>
    <x v="4"/>
    <s v="IN"/>
  </r>
  <r>
    <n v="800"/>
    <x v="758"/>
    <d v="2023-01-17T00:00:00"/>
    <x v="1"/>
    <x v="2"/>
    <s v="Amazon"/>
    <x v="0"/>
    <x v="1"/>
    <x v="14"/>
    <s v="SET347-KR-NP-XS"/>
    <x v="0"/>
    <s v="XS"/>
    <n v="1"/>
    <s v="INR"/>
    <n v="852"/>
    <x v="44"/>
    <x v="3"/>
    <s v="IN"/>
  </r>
  <r>
    <n v="801"/>
    <x v="759"/>
    <d v="2023-05-25T00:00:00"/>
    <x v="4"/>
    <x v="2"/>
    <s v="Amazon"/>
    <x v="0"/>
    <x v="1"/>
    <x v="16"/>
    <s v="SET200-KR-NP-A-XXXL"/>
    <x v="0"/>
    <s v="3XL"/>
    <n v="1"/>
    <s v="INR"/>
    <n v="568"/>
    <x v="213"/>
    <x v="4"/>
    <s v="IN"/>
  </r>
  <r>
    <n v="802"/>
    <x v="760"/>
    <d v="2024-07-22T00:00:00"/>
    <x v="11"/>
    <x v="2"/>
    <s v="Amazon"/>
    <x v="0"/>
    <x v="1"/>
    <x v="0"/>
    <s v="JNE3800-KR-XL"/>
    <x v="2"/>
    <s v="XL"/>
    <n v="1"/>
    <s v="INR"/>
    <n v="771"/>
    <x v="29"/>
    <x v="6"/>
    <s v="IN"/>
  </r>
  <r>
    <n v="803"/>
    <x v="761"/>
    <d v="2024-11-02T00:00:00"/>
    <x v="0"/>
    <x v="2"/>
    <s v="Amazon"/>
    <x v="0"/>
    <x v="1"/>
    <x v="29"/>
    <s v="J0228-SKD-S"/>
    <x v="0"/>
    <s v="S"/>
    <n v="1"/>
    <s v="INR"/>
    <n v="1669"/>
    <x v="8"/>
    <x v="4"/>
    <s v="IN"/>
  </r>
  <r>
    <n v="804"/>
    <x v="762"/>
    <d v="2024-12-28T00:00:00"/>
    <x v="2"/>
    <x v="2"/>
    <s v="Amazon"/>
    <x v="0"/>
    <x v="1"/>
    <x v="17"/>
    <s v="J0119-TP-XXL"/>
    <x v="3"/>
    <s v="XXL"/>
    <n v="1"/>
    <s v="INR"/>
    <n v="540"/>
    <x v="285"/>
    <x v="12"/>
    <s v="IN"/>
  </r>
  <r>
    <n v="805"/>
    <x v="763"/>
    <d v="2024-12-20T00:00:00"/>
    <x v="2"/>
    <x v="2"/>
    <s v="Amazon"/>
    <x v="0"/>
    <x v="1"/>
    <x v="11"/>
    <s v="J0230-SKD-M"/>
    <x v="0"/>
    <s v="M"/>
    <n v="1"/>
    <s v="INR"/>
    <n v="1112"/>
    <x v="286"/>
    <x v="11"/>
    <s v="IN"/>
  </r>
  <r>
    <n v="806"/>
    <x v="763"/>
    <d v="2024-01-17T00:00:00"/>
    <x v="1"/>
    <x v="2"/>
    <s v="Amazon"/>
    <x v="1"/>
    <x v="1"/>
    <x v="22"/>
    <s v="JNE2270-KR-487-A-M"/>
    <x v="1"/>
    <s v="M"/>
    <n v="1"/>
    <s v="INR"/>
    <n v="518"/>
    <x v="286"/>
    <x v="11"/>
    <s v="IN"/>
  </r>
  <r>
    <n v="807"/>
    <x v="764"/>
    <d v="2023-12-26T00:00:00"/>
    <x v="2"/>
    <x v="2"/>
    <s v="Amazon"/>
    <x v="0"/>
    <x v="1"/>
    <x v="8"/>
    <s v="SET398-KR-PP-XXXL"/>
    <x v="0"/>
    <s v="3XL"/>
    <n v="1"/>
    <s v="INR"/>
    <n v="1115"/>
    <x v="287"/>
    <x v="0"/>
    <s v="IN"/>
  </r>
  <r>
    <n v="808"/>
    <x v="764"/>
    <d v="2024-12-17T00:00:00"/>
    <x v="2"/>
    <x v="2"/>
    <s v="Amazon"/>
    <x v="0"/>
    <x v="1"/>
    <x v="38"/>
    <s v="J0230-SKD-XXL"/>
    <x v="0"/>
    <s v="XXL"/>
    <n v="1"/>
    <s v="INR"/>
    <n v="1112"/>
    <x v="287"/>
    <x v="0"/>
    <s v="IN"/>
  </r>
  <r>
    <n v="809"/>
    <x v="764"/>
    <d v="2024-05-29T00:00:00"/>
    <x v="4"/>
    <x v="2"/>
    <s v="Amazon"/>
    <x v="1"/>
    <x v="1"/>
    <x v="38"/>
    <s v="JNE3405-KR-XXXL"/>
    <x v="1"/>
    <s v="3XL"/>
    <n v="1"/>
    <s v="INR"/>
    <n v="399"/>
    <x v="287"/>
    <x v="0"/>
    <s v="IN"/>
  </r>
  <r>
    <n v="810"/>
    <x v="765"/>
    <d v="2024-06-23T00:00:00"/>
    <x v="3"/>
    <x v="2"/>
    <s v="Amazon"/>
    <x v="1"/>
    <x v="1"/>
    <x v="14"/>
    <s v="JNE3562-KR-XL"/>
    <x v="1"/>
    <s v="XL"/>
    <n v="1"/>
    <s v="INR"/>
    <n v="476"/>
    <x v="288"/>
    <x v="15"/>
    <s v="IN"/>
  </r>
  <r>
    <n v="811"/>
    <x v="766"/>
    <d v="2024-09-13T00:00:00"/>
    <x v="8"/>
    <x v="1"/>
    <s v="Merchant"/>
    <x v="1"/>
    <x v="2"/>
    <x v="41"/>
    <s v="JNE3818-KR-M"/>
    <x v="1"/>
    <s v="M"/>
    <n v="1"/>
    <s v="INR"/>
    <n v="499"/>
    <x v="289"/>
    <x v="9"/>
    <s v="IN"/>
  </r>
  <r>
    <n v="812"/>
    <x v="766"/>
    <d v="2024-10-12T00:00:00"/>
    <x v="10"/>
    <x v="1"/>
    <s v="Merchant"/>
    <x v="0"/>
    <x v="2"/>
    <x v="27"/>
    <s v="JNE3712-TP-N-M"/>
    <x v="3"/>
    <s v="M"/>
    <n v="1"/>
    <s v="INR"/>
    <n v="518"/>
    <x v="289"/>
    <x v="9"/>
    <s v="IN"/>
  </r>
  <r>
    <n v="813"/>
    <x v="767"/>
    <d v="2023-07-08T00:00:00"/>
    <x v="11"/>
    <x v="2"/>
    <s v="Amazon"/>
    <x v="1"/>
    <x v="1"/>
    <x v="10"/>
    <s v="JNE3465-KR-XXL"/>
    <x v="1"/>
    <s v="XXL"/>
    <n v="1"/>
    <s v="INR"/>
    <n v="486"/>
    <x v="12"/>
    <x v="9"/>
    <s v="IN"/>
  </r>
  <r>
    <n v="814"/>
    <x v="768"/>
    <d v="2024-10-22T00:00:00"/>
    <x v="10"/>
    <x v="2"/>
    <s v="Amazon"/>
    <x v="1"/>
    <x v="1"/>
    <x v="4"/>
    <s v="JNE3423-KR-XL"/>
    <x v="1"/>
    <s v="XL"/>
    <n v="1"/>
    <s v="INR"/>
    <n v="399"/>
    <x v="27"/>
    <x v="17"/>
    <s v="IN"/>
  </r>
  <r>
    <n v="815"/>
    <x v="769"/>
    <d v="2023-11-28T00:00:00"/>
    <x v="0"/>
    <x v="2"/>
    <s v="Amazon"/>
    <x v="0"/>
    <x v="1"/>
    <x v="0"/>
    <s v="SET388-KR-NP-L"/>
    <x v="0"/>
    <s v="L"/>
    <n v="1"/>
    <s v="INR"/>
    <n v="1260"/>
    <x v="97"/>
    <x v="26"/>
    <s v="IN"/>
  </r>
  <r>
    <n v="816"/>
    <x v="770"/>
    <d v="2023-05-31T00:00:00"/>
    <x v="4"/>
    <x v="2"/>
    <s v="Amazon"/>
    <x v="0"/>
    <x v="1"/>
    <x v="23"/>
    <s v="J0023-TP-XXL"/>
    <x v="3"/>
    <s v="XXL"/>
    <n v="1"/>
    <s v="INR"/>
    <n v="399"/>
    <x v="21"/>
    <x v="4"/>
    <s v="IN"/>
  </r>
  <r>
    <n v="817"/>
    <x v="771"/>
    <d v="2024-05-21T00:00:00"/>
    <x v="4"/>
    <x v="2"/>
    <s v="Amazon"/>
    <x v="0"/>
    <x v="1"/>
    <x v="23"/>
    <s v="SET347-KR-NP-S"/>
    <x v="0"/>
    <s v="S"/>
    <n v="1"/>
    <s v="INR"/>
    <n v="852"/>
    <x v="290"/>
    <x v="7"/>
    <s v="IN"/>
  </r>
  <r>
    <n v="818"/>
    <x v="772"/>
    <d v="2024-11-27T00:00:00"/>
    <x v="0"/>
    <x v="0"/>
    <s v="Merchant"/>
    <x v="1"/>
    <x v="2"/>
    <x v="14"/>
    <s v="JNE2032-KR-205-XXXL"/>
    <x v="1"/>
    <s v="3XL"/>
    <n v="0"/>
    <m/>
    <m/>
    <x v="1"/>
    <x v="1"/>
    <s v="IN"/>
  </r>
  <r>
    <n v="819"/>
    <x v="773"/>
    <d v="2023-08-14T00:00:00"/>
    <x v="7"/>
    <x v="2"/>
    <s v="Amazon"/>
    <x v="1"/>
    <x v="1"/>
    <x v="36"/>
    <s v="JNE3560-KR-L"/>
    <x v="1"/>
    <s v="L"/>
    <n v="1"/>
    <s v="INR"/>
    <n v="487"/>
    <x v="291"/>
    <x v="15"/>
    <s v="IN"/>
  </r>
  <r>
    <n v="820"/>
    <x v="774"/>
    <d v="2024-01-18T00:00:00"/>
    <x v="1"/>
    <x v="0"/>
    <s v="Amazon"/>
    <x v="0"/>
    <x v="1"/>
    <x v="30"/>
    <s v="J0230-SKD-L"/>
    <x v="0"/>
    <s v="L"/>
    <n v="0"/>
    <m/>
    <m/>
    <x v="292"/>
    <x v="4"/>
    <s v="IN"/>
  </r>
  <r>
    <n v="821"/>
    <x v="775"/>
    <d v="2023-04-11T00:00:00"/>
    <x v="9"/>
    <x v="1"/>
    <s v="Merchant"/>
    <x v="0"/>
    <x v="2"/>
    <x v="35"/>
    <s v="JNE3706-DR-L"/>
    <x v="2"/>
    <s v="L"/>
    <n v="1"/>
    <s v="INR"/>
    <n v="413"/>
    <x v="36"/>
    <x v="0"/>
    <s v="IN"/>
  </r>
  <r>
    <n v="822"/>
    <x v="776"/>
    <d v="2023-10-05T00:00:00"/>
    <x v="10"/>
    <x v="2"/>
    <s v="Amazon"/>
    <x v="0"/>
    <x v="1"/>
    <x v="4"/>
    <s v="SET268-KR-NP-L"/>
    <x v="0"/>
    <s v="L"/>
    <n v="1"/>
    <s v="INR"/>
    <n v="788"/>
    <x v="293"/>
    <x v="17"/>
    <s v="IN"/>
  </r>
  <r>
    <n v="823"/>
    <x v="777"/>
    <d v="2023-10-16T00:00:00"/>
    <x v="10"/>
    <x v="1"/>
    <s v="Merchant"/>
    <x v="0"/>
    <x v="0"/>
    <x v="24"/>
    <s v="SET398-KR-PP-XS"/>
    <x v="0"/>
    <s v="XS"/>
    <n v="1"/>
    <s v="INR"/>
    <n v="1186"/>
    <x v="27"/>
    <x v="17"/>
    <s v="IN"/>
  </r>
  <r>
    <n v="824"/>
    <x v="778"/>
    <d v="2024-04-04T00:00:00"/>
    <x v="9"/>
    <x v="2"/>
    <s v="Amazon"/>
    <x v="0"/>
    <x v="1"/>
    <x v="19"/>
    <s v="J0294-TP-XS"/>
    <x v="3"/>
    <s v="XS"/>
    <n v="1"/>
    <s v="INR"/>
    <n v="396"/>
    <x v="27"/>
    <x v="17"/>
    <s v="IN"/>
  </r>
  <r>
    <n v="825"/>
    <x v="779"/>
    <d v="2023-04-03T00:00:00"/>
    <x v="9"/>
    <x v="0"/>
    <s v="Merchant"/>
    <x v="1"/>
    <x v="0"/>
    <x v="15"/>
    <s v="PJNE3068-KR-6XL"/>
    <x v="1"/>
    <s v="6XL"/>
    <n v="0"/>
    <s v="INR"/>
    <n v="659.05"/>
    <x v="37"/>
    <x v="0"/>
    <s v="IN"/>
  </r>
  <r>
    <n v="826"/>
    <x v="780"/>
    <d v="2024-10-05T00:00:00"/>
    <x v="10"/>
    <x v="2"/>
    <s v="Amazon"/>
    <x v="0"/>
    <x v="1"/>
    <x v="16"/>
    <s v="J0095-SET-XXL"/>
    <x v="0"/>
    <s v="XXL"/>
    <n v="1"/>
    <s v="INR"/>
    <n v="653"/>
    <x v="294"/>
    <x v="15"/>
    <s v="IN"/>
  </r>
  <r>
    <n v="827"/>
    <x v="781"/>
    <d v="2024-08-21T00:00:00"/>
    <x v="7"/>
    <x v="2"/>
    <s v="Amazon"/>
    <x v="1"/>
    <x v="1"/>
    <x v="5"/>
    <s v="JNE3463-KR-L"/>
    <x v="1"/>
    <s v="L"/>
    <n v="1"/>
    <s v="INR"/>
    <n v="0"/>
    <x v="3"/>
    <x v="2"/>
    <s v="IN"/>
  </r>
  <r>
    <n v="828"/>
    <x v="782"/>
    <d v="2024-09-04T00:00:00"/>
    <x v="8"/>
    <x v="2"/>
    <s v="Amazon"/>
    <x v="1"/>
    <x v="1"/>
    <x v="18"/>
    <s v="JNE3546-KR-L"/>
    <x v="1"/>
    <s v="L"/>
    <n v="1"/>
    <s v="INR"/>
    <n v="458"/>
    <x v="12"/>
    <x v="9"/>
    <s v="IN"/>
  </r>
  <r>
    <n v="829"/>
    <x v="783"/>
    <d v="2024-11-22T00:00:00"/>
    <x v="0"/>
    <x v="2"/>
    <s v="Amazon"/>
    <x v="1"/>
    <x v="1"/>
    <x v="27"/>
    <s v="JNE3764-KR-XL"/>
    <x v="1"/>
    <s v="XL"/>
    <n v="1"/>
    <s v="INR"/>
    <n v="487"/>
    <x v="87"/>
    <x v="17"/>
    <s v="IN"/>
  </r>
  <r>
    <n v="830"/>
    <x v="784"/>
    <d v="2024-05-02T00:00:00"/>
    <x v="4"/>
    <x v="2"/>
    <s v="Amazon"/>
    <x v="0"/>
    <x v="1"/>
    <x v="27"/>
    <s v="SET331-KR-NP-XXXL"/>
    <x v="0"/>
    <s v="3XL"/>
    <n v="1"/>
    <s v="INR"/>
    <n v="597"/>
    <x v="295"/>
    <x v="1"/>
    <s v="IN"/>
  </r>
  <r>
    <n v="831"/>
    <x v="785"/>
    <d v="2023-11-26T00:00:00"/>
    <x v="0"/>
    <x v="2"/>
    <s v="Amazon"/>
    <x v="0"/>
    <x v="1"/>
    <x v="41"/>
    <s v="J0278-SET-XXXL"/>
    <x v="0"/>
    <s v="3XL"/>
    <n v="1"/>
    <s v="INR"/>
    <n v="761"/>
    <x v="295"/>
    <x v="1"/>
    <s v="IN"/>
  </r>
  <r>
    <n v="832"/>
    <x v="785"/>
    <d v="2024-08-23T00:00:00"/>
    <x v="7"/>
    <x v="2"/>
    <s v="Amazon"/>
    <x v="0"/>
    <x v="1"/>
    <x v="22"/>
    <s v="SET319-KR-NP-XXXL"/>
    <x v="0"/>
    <s v="3XL"/>
    <n v="1"/>
    <s v="INR"/>
    <n v="835"/>
    <x v="295"/>
    <x v="1"/>
    <s v="IN"/>
  </r>
  <r>
    <n v="833"/>
    <x v="786"/>
    <d v="2024-05-27T00:00:00"/>
    <x v="4"/>
    <x v="3"/>
    <s v="Merchant"/>
    <x v="0"/>
    <x v="0"/>
    <x v="11"/>
    <s v="J0117-TP-S"/>
    <x v="3"/>
    <s v="S"/>
    <n v="1"/>
    <s v="INR"/>
    <n v="518"/>
    <x v="296"/>
    <x v="14"/>
    <s v="IN"/>
  </r>
  <r>
    <n v="834"/>
    <x v="787"/>
    <d v="2024-06-25T00:00:00"/>
    <x v="3"/>
    <x v="0"/>
    <s v="Amazon"/>
    <x v="1"/>
    <x v="1"/>
    <x v="31"/>
    <s v="JNE2153-KR-278-A-XL"/>
    <x v="1"/>
    <s v="XL"/>
    <n v="0"/>
    <m/>
    <m/>
    <x v="99"/>
    <x v="14"/>
    <s v="IN"/>
  </r>
  <r>
    <n v="835"/>
    <x v="788"/>
    <d v="2023-04-11T00:00:00"/>
    <x v="9"/>
    <x v="2"/>
    <s v="Amazon"/>
    <x v="0"/>
    <x v="1"/>
    <x v="41"/>
    <s v="JNE3870-DR-XL"/>
    <x v="2"/>
    <s v="XL"/>
    <n v="1"/>
    <s v="INR"/>
    <n v="721"/>
    <x v="21"/>
    <x v="4"/>
    <s v="IN"/>
  </r>
  <r>
    <n v="836"/>
    <x v="789"/>
    <d v="2024-07-24T00:00:00"/>
    <x v="11"/>
    <x v="2"/>
    <s v="Amazon"/>
    <x v="1"/>
    <x v="1"/>
    <x v="2"/>
    <s v="JNE3784-KR-L"/>
    <x v="1"/>
    <s v="L"/>
    <n v="1"/>
    <s v="INR"/>
    <n v="458"/>
    <x v="1"/>
    <x v="1"/>
    <s v="IN"/>
  </r>
  <r>
    <n v="837"/>
    <x v="790"/>
    <d v="2023-06-05T00:00:00"/>
    <x v="3"/>
    <x v="2"/>
    <s v="Amazon"/>
    <x v="0"/>
    <x v="1"/>
    <x v="0"/>
    <s v="SET287-KR-NP-M"/>
    <x v="0"/>
    <s v="M"/>
    <n v="1"/>
    <s v="INR"/>
    <n v="666"/>
    <x v="124"/>
    <x v="0"/>
    <s v="IN"/>
  </r>
  <r>
    <n v="838"/>
    <x v="791"/>
    <d v="2023-10-24T00:00:00"/>
    <x v="10"/>
    <x v="2"/>
    <s v="Amazon"/>
    <x v="1"/>
    <x v="1"/>
    <x v="42"/>
    <s v="JNE3567-KR-L"/>
    <x v="1"/>
    <s v="L"/>
    <n v="1"/>
    <s v="INR"/>
    <n v="399"/>
    <x v="271"/>
    <x v="21"/>
    <s v="IN"/>
  </r>
  <r>
    <n v="839"/>
    <x v="792"/>
    <d v="2024-03-31T00:00:00"/>
    <x v="6"/>
    <x v="1"/>
    <s v="Merchant"/>
    <x v="0"/>
    <x v="0"/>
    <x v="40"/>
    <s v="J0372-SKD-M"/>
    <x v="0"/>
    <s v="M"/>
    <n v="1"/>
    <s v="INR"/>
    <n v="1099"/>
    <x v="27"/>
    <x v="17"/>
    <s v="IN"/>
  </r>
  <r>
    <n v="840"/>
    <x v="793"/>
    <d v="2023-10-24T00:00:00"/>
    <x v="10"/>
    <x v="2"/>
    <s v="Amazon"/>
    <x v="1"/>
    <x v="1"/>
    <x v="30"/>
    <s v="JNE2014-KR-178-XL"/>
    <x v="1"/>
    <s v="XL"/>
    <n v="1"/>
    <s v="INR"/>
    <n v="353"/>
    <x v="291"/>
    <x v="15"/>
    <s v="IN"/>
  </r>
  <r>
    <n v="841"/>
    <x v="794"/>
    <d v="2023-07-19T00:00:00"/>
    <x v="11"/>
    <x v="2"/>
    <s v="Amazon"/>
    <x v="1"/>
    <x v="1"/>
    <x v="25"/>
    <s v="J0139-KR-XXXL"/>
    <x v="1"/>
    <s v="3XL"/>
    <n v="1"/>
    <s v="INR"/>
    <n v="399"/>
    <x v="0"/>
    <x v="0"/>
    <s v="IN"/>
  </r>
  <r>
    <n v="842"/>
    <x v="795"/>
    <d v="2024-01-03T00:00:00"/>
    <x v="1"/>
    <x v="1"/>
    <s v="Merchant"/>
    <x v="1"/>
    <x v="2"/>
    <x v="24"/>
    <s v="J0097-KR-XXXL"/>
    <x v="1"/>
    <s v="3XL"/>
    <n v="1"/>
    <s v="INR"/>
    <n v="534"/>
    <x v="0"/>
    <x v="0"/>
    <s v="IN"/>
  </r>
  <r>
    <n v="843"/>
    <x v="796"/>
    <d v="2023-04-15T00:00:00"/>
    <x v="9"/>
    <x v="0"/>
    <s v="Merchant"/>
    <x v="0"/>
    <x v="2"/>
    <x v="34"/>
    <s v="J0372-SKD-M"/>
    <x v="0"/>
    <s v="M"/>
    <n v="0"/>
    <s v="INR"/>
    <n v="981.25"/>
    <x v="12"/>
    <x v="9"/>
    <s v="IN"/>
  </r>
  <r>
    <n v="844"/>
    <x v="797"/>
    <d v="2023-05-06T00:00:00"/>
    <x v="4"/>
    <x v="2"/>
    <s v="Amazon"/>
    <x v="1"/>
    <x v="1"/>
    <x v="9"/>
    <s v="JNE3399-KR-XL"/>
    <x v="1"/>
    <s v="XL"/>
    <n v="1"/>
    <s v="INR"/>
    <n v="0"/>
    <x v="7"/>
    <x v="6"/>
    <s v="IN"/>
  </r>
  <r>
    <n v="845"/>
    <x v="798"/>
    <d v="2023-01-24T00:00:00"/>
    <x v="1"/>
    <x v="2"/>
    <s v="Amazon"/>
    <x v="0"/>
    <x v="1"/>
    <x v="7"/>
    <s v="SET182-KR-DH-XXXL"/>
    <x v="0"/>
    <s v="3XL"/>
    <n v="1"/>
    <s v="INR"/>
    <n v="657"/>
    <x v="297"/>
    <x v="4"/>
    <s v="IN"/>
  </r>
  <r>
    <n v="846"/>
    <x v="799"/>
    <d v="2024-03-27T00:00:00"/>
    <x v="6"/>
    <x v="2"/>
    <s v="Amazon"/>
    <x v="0"/>
    <x v="1"/>
    <x v="30"/>
    <s v="SET345-KR-NP-M"/>
    <x v="0"/>
    <s v="M"/>
    <n v="1"/>
    <s v="INR"/>
    <n v="626"/>
    <x v="12"/>
    <x v="9"/>
    <s v="IN"/>
  </r>
  <r>
    <n v="847"/>
    <x v="800"/>
    <d v="2023-06-13T00:00:00"/>
    <x v="3"/>
    <x v="0"/>
    <s v="Merchant"/>
    <x v="0"/>
    <x v="2"/>
    <x v="24"/>
    <s v="J0372-SKD-M"/>
    <x v="0"/>
    <s v="M"/>
    <n v="0"/>
    <s v="INR"/>
    <n v="981.25"/>
    <x v="27"/>
    <x v="17"/>
    <s v="IN"/>
  </r>
  <r>
    <n v="848"/>
    <x v="801"/>
    <d v="2024-02-01T00:00:00"/>
    <x v="5"/>
    <x v="2"/>
    <s v="Amazon"/>
    <x v="0"/>
    <x v="1"/>
    <x v="37"/>
    <s v="J0415-DR-L"/>
    <x v="2"/>
    <s v="L"/>
    <n v="1"/>
    <s v="INR"/>
    <n v="899"/>
    <x v="27"/>
    <x v="17"/>
    <s v="IN"/>
  </r>
  <r>
    <n v="849"/>
    <x v="802"/>
    <d v="2023-12-06T00:00:00"/>
    <x v="2"/>
    <x v="0"/>
    <s v="Amazon"/>
    <x v="0"/>
    <x v="1"/>
    <x v="0"/>
    <s v="SET304-KR-DPT-XL"/>
    <x v="0"/>
    <s v="XL"/>
    <n v="0"/>
    <m/>
    <m/>
    <x v="4"/>
    <x v="3"/>
    <s v="IN"/>
  </r>
  <r>
    <n v="850"/>
    <x v="803"/>
    <d v="2024-12-18T00:00:00"/>
    <x v="2"/>
    <x v="2"/>
    <s v="Amazon"/>
    <x v="0"/>
    <x v="1"/>
    <x v="11"/>
    <s v="SET331-KR-NP-M"/>
    <x v="0"/>
    <s v="M"/>
    <n v="1"/>
    <s v="INR"/>
    <n v="597"/>
    <x v="4"/>
    <x v="3"/>
    <s v="IN"/>
  </r>
  <r>
    <n v="851"/>
    <x v="804"/>
    <d v="2024-08-18T00:00:00"/>
    <x v="7"/>
    <x v="2"/>
    <s v="Amazon"/>
    <x v="0"/>
    <x v="1"/>
    <x v="35"/>
    <s v="SET356-KR-NP-XXL"/>
    <x v="0"/>
    <s v="XXL"/>
    <n v="1"/>
    <s v="INR"/>
    <n v="1099"/>
    <x v="82"/>
    <x v="10"/>
    <s v="IN"/>
  </r>
  <r>
    <n v="852"/>
    <x v="805"/>
    <d v="2023-04-19T00:00:00"/>
    <x v="9"/>
    <x v="2"/>
    <s v="Amazon"/>
    <x v="0"/>
    <x v="1"/>
    <x v="22"/>
    <s v="SET110-KR-PP-XS"/>
    <x v="0"/>
    <s v="XS"/>
    <n v="1"/>
    <s v="INR"/>
    <n v="788"/>
    <x v="298"/>
    <x v="0"/>
    <s v="IN"/>
  </r>
  <r>
    <n v="853"/>
    <x v="806"/>
    <d v="2024-09-28T00:00:00"/>
    <x v="8"/>
    <x v="2"/>
    <s v="Amazon"/>
    <x v="1"/>
    <x v="1"/>
    <x v="17"/>
    <s v="JNE3614-KR-M"/>
    <x v="1"/>
    <s v="M"/>
    <n v="1"/>
    <s v="INR"/>
    <n v="459"/>
    <x v="299"/>
    <x v="23"/>
    <s v="IN"/>
  </r>
  <r>
    <n v="854"/>
    <x v="807"/>
    <d v="2023-09-06T00:00:00"/>
    <x v="8"/>
    <x v="2"/>
    <s v="Amazon"/>
    <x v="0"/>
    <x v="1"/>
    <x v="40"/>
    <s v="SET397-KR-NP  -M"/>
    <x v="0"/>
    <s v="M"/>
    <n v="1"/>
    <s v="INR"/>
    <n v="1186"/>
    <x v="45"/>
    <x v="19"/>
    <s v="IN"/>
  </r>
  <r>
    <n v="855"/>
    <x v="808"/>
    <d v="2024-04-24T00:00:00"/>
    <x v="9"/>
    <x v="0"/>
    <s v="Amazon"/>
    <x v="0"/>
    <x v="1"/>
    <x v="30"/>
    <s v="SET345-KR-NP-XXL"/>
    <x v="0"/>
    <s v="XXL"/>
    <n v="1"/>
    <s v="INR"/>
    <n v="626"/>
    <x v="4"/>
    <x v="3"/>
    <s v="IN"/>
  </r>
  <r>
    <n v="856"/>
    <x v="809"/>
    <d v="2023-10-07T00:00:00"/>
    <x v="10"/>
    <x v="0"/>
    <s v="Amazon"/>
    <x v="0"/>
    <x v="1"/>
    <x v="2"/>
    <s v="J0343-DR-XXL"/>
    <x v="2"/>
    <s v="XXL"/>
    <n v="0"/>
    <m/>
    <m/>
    <x v="7"/>
    <x v="6"/>
    <s v="IN"/>
  </r>
  <r>
    <n v="857"/>
    <x v="810"/>
    <d v="2023-04-29T00:00:00"/>
    <x v="9"/>
    <x v="0"/>
    <s v="Amazon"/>
    <x v="1"/>
    <x v="1"/>
    <x v="36"/>
    <s v="JNE3614-KR-M"/>
    <x v="1"/>
    <s v="M"/>
    <n v="0"/>
    <m/>
    <m/>
    <x v="299"/>
    <x v="23"/>
    <s v="IN"/>
  </r>
  <r>
    <n v="858"/>
    <x v="811"/>
    <d v="2024-12-02T00:00:00"/>
    <x v="2"/>
    <x v="2"/>
    <s v="Amazon"/>
    <x v="1"/>
    <x v="1"/>
    <x v="39"/>
    <s v="JNE3721-KR-XXL"/>
    <x v="1"/>
    <s v="XXL"/>
    <n v="1"/>
    <s v="INR"/>
    <n v="329"/>
    <x v="300"/>
    <x v="8"/>
    <s v="IN"/>
  </r>
  <r>
    <n v="859"/>
    <x v="812"/>
    <d v="2023-06-28T00:00:00"/>
    <x v="3"/>
    <x v="1"/>
    <s v="Merchant"/>
    <x v="1"/>
    <x v="0"/>
    <x v="15"/>
    <s v="JNE3722-KR-L"/>
    <x v="1"/>
    <s v="L"/>
    <n v="1"/>
    <s v="INR"/>
    <n v="280"/>
    <x v="301"/>
    <x v="1"/>
    <s v="IN"/>
  </r>
  <r>
    <n v="860"/>
    <x v="813"/>
    <d v="2024-07-07T00:00:00"/>
    <x v="11"/>
    <x v="2"/>
    <s v="Amazon"/>
    <x v="1"/>
    <x v="1"/>
    <x v="29"/>
    <s v="JNE3480-KR-M"/>
    <x v="1"/>
    <s v="M"/>
    <n v="1"/>
    <s v="INR"/>
    <n v="249"/>
    <x v="301"/>
    <x v="1"/>
    <s v="IN"/>
  </r>
  <r>
    <n v="861"/>
    <x v="814"/>
    <d v="2023-08-10T00:00:00"/>
    <x v="7"/>
    <x v="2"/>
    <s v="Amazon"/>
    <x v="0"/>
    <x v="1"/>
    <x v="2"/>
    <s v="SET014-KR-PP-M"/>
    <x v="0"/>
    <s v="M"/>
    <n v="1"/>
    <s v="INR"/>
    <n v="818"/>
    <x v="5"/>
    <x v="4"/>
    <s v="IN"/>
  </r>
  <r>
    <n v="862"/>
    <x v="815"/>
    <d v="2024-09-21T00:00:00"/>
    <x v="8"/>
    <x v="2"/>
    <s v="Amazon"/>
    <x v="1"/>
    <x v="1"/>
    <x v="41"/>
    <s v="JNE3510-KR-XL"/>
    <x v="1"/>
    <s v="XL"/>
    <n v="1"/>
    <s v="INR"/>
    <n v="429"/>
    <x v="284"/>
    <x v="15"/>
    <s v="IN"/>
  </r>
  <r>
    <n v="863"/>
    <x v="815"/>
    <d v="2023-01-20T00:00:00"/>
    <x v="1"/>
    <x v="2"/>
    <s v="Amazon"/>
    <x v="1"/>
    <x v="1"/>
    <x v="30"/>
    <s v="JNE3784-KR-L"/>
    <x v="1"/>
    <s v="L"/>
    <n v="1"/>
    <s v="INR"/>
    <n v="458"/>
    <x v="284"/>
    <x v="15"/>
    <s v="IN"/>
  </r>
  <r>
    <n v="864"/>
    <x v="816"/>
    <d v="2024-11-16T00:00:00"/>
    <x v="0"/>
    <x v="0"/>
    <s v="Amazon"/>
    <x v="0"/>
    <x v="1"/>
    <x v="32"/>
    <s v="JNE3800-KR-M"/>
    <x v="2"/>
    <s v="M"/>
    <n v="0"/>
    <m/>
    <m/>
    <x v="7"/>
    <x v="6"/>
    <s v="IN"/>
  </r>
  <r>
    <n v="865"/>
    <x v="817"/>
    <d v="2023-01-14T00:00:00"/>
    <x v="1"/>
    <x v="1"/>
    <s v="Merchant"/>
    <x v="1"/>
    <x v="0"/>
    <x v="33"/>
    <s v="MEN5007-KR-M"/>
    <x v="1"/>
    <s v="M"/>
    <n v="1"/>
    <s v="INR"/>
    <n v="475"/>
    <x v="15"/>
    <x v="0"/>
    <s v="IN"/>
  </r>
  <r>
    <n v="866"/>
    <x v="818"/>
    <d v="2024-02-14T00:00:00"/>
    <x v="5"/>
    <x v="2"/>
    <s v="Amazon"/>
    <x v="0"/>
    <x v="1"/>
    <x v="19"/>
    <s v="SET110-KR-PP-S"/>
    <x v="0"/>
    <s v="S"/>
    <n v="1"/>
    <s v="INR"/>
    <n v="788"/>
    <x v="17"/>
    <x v="12"/>
    <s v="IN"/>
  </r>
  <r>
    <n v="867"/>
    <x v="819"/>
    <d v="2023-04-17T00:00:00"/>
    <x v="9"/>
    <x v="2"/>
    <s v="Amazon"/>
    <x v="0"/>
    <x v="1"/>
    <x v="32"/>
    <s v="J0339-DR-XL"/>
    <x v="2"/>
    <s v="XL"/>
    <n v="1"/>
    <s v="INR"/>
    <n v="744"/>
    <x v="1"/>
    <x v="1"/>
    <s v="IN"/>
  </r>
  <r>
    <n v="868"/>
    <x v="820"/>
    <d v="2023-08-28T00:00:00"/>
    <x v="7"/>
    <x v="2"/>
    <s v="Amazon"/>
    <x v="1"/>
    <x v="1"/>
    <x v="36"/>
    <s v="JNE3784-KR-XXXL"/>
    <x v="1"/>
    <s v="3XL"/>
    <n v="1"/>
    <s v="INR"/>
    <n v="458"/>
    <x v="82"/>
    <x v="10"/>
    <s v="IN"/>
  </r>
  <r>
    <n v="869"/>
    <x v="821"/>
    <d v="2023-02-07T00:00:00"/>
    <x v="5"/>
    <x v="2"/>
    <s v="Amazon"/>
    <x v="1"/>
    <x v="1"/>
    <x v="17"/>
    <s v="PJNE3368-KR-6XL"/>
    <x v="1"/>
    <s v="6XL"/>
    <n v="1"/>
    <s v="INR"/>
    <n v="505"/>
    <x v="4"/>
    <x v="3"/>
    <s v="IN"/>
  </r>
  <r>
    <n v="870"/>
    <x v="822"/>
    <d v="2024-04-29T00:00:00"/>
    <x v="9"/>
    <x v="2"/>
    <s v="Amazon"/>
    <x v="0"/>
    <x v="1"/>
    <x v="38"/>
    <s v="SET398-KR-PP-XXL"/>
    <x v="0"/>
    <s v="XXL"/>
    <n v="1"/>
    <s v="INR"/>
    <n v="1186"/>
    <x v="48"/>
    <x v="22"/>
    <s v="IN"/>
  </r>
  <r>
    <n v="871"/>
    <x v="823"/>
    <d v="2023-11-19T00:00:00"/>
    <x v="0"/>
    <x v="2"/>
    <s v="Amazon"/>
    <x v="0"/>
    <x v="1"/>
    <x v="9"/>
    <s v="SET331-KR-NP-L"/>
    <x v="0"/>
    <s v="L"/>
    <n v="1"/>
    <s v="INR"/>
    <n v="597"/>
    <x v="302"/>
    <x v="8"/>
    <s v="IN"/>
  </r>
  <r>
    <n v="872"/>
    <x v="824"/>
    <d v="2023-06-12T00:00:00"/>
    <x v="3"/>
    <x v="2"/>
    <s v="Amazon"/>
    <x v="0"/>
    <x v="1"/>
    <x v="41"/>
    <s v="J0301-TP-M"/>
    <x v="3"/>
    <s v="M"/>
    <n v="1"/>
    <s v="INR"/>
    <n v="463"/>
    <x v="303"/>
    <x v="10"/>
    <s v="IN"/>
  </r>
  <r>
    <n v="873"/>
    <x v="825"/>
    <d v="2023-12-26T00:00:00"/>
    <x v="2"/>
    <x v="2"/>
    <s v="Amazon"/>
    <x v="1"/>
    <x v="1"/>
    <x v="7"/>
    <s v="JNE3368-KR-XXXL"/>
    <x v="1"/>
    <s v="3XL"/>
    <n v="1"/>
    <s v="INR"/>
    <n v="471"/>
    <x v="7"/>
    <x v="6"/>
    <s v="IN"/>
  </r>
  <r>
    <n v="874"/>
    <x v="826"/>
    <d v="2024-11-16T00:00:00"/>
    <x v="0"/>
    <x v="2"/>
    <s v="Amazon"/>
    <x v="0"/>
    <x v="1"/>
    <x v="0"/>
    <s v="SET345-KR-NP-M"/>
    <x v="0"/>
    <s v="M"/>
    <n v="1"/>
    <s v="INR"/>
    <n v="626"/>
    <x v="304"/>
    <x v="19"/>
    <s v="IN"/>
  </r>
  <r>
    <n v="875"/>
    <x v="827"/>
    <d v="2023-04-03T00:00:00"/>
    <x v="9"/>
    <x v="2"/>
    <s v="Amazon"/>
    <x v="1"/>
    <x v="1"/>
    <x v="24"/>
    <s v="JNE3405-KR-XL"/>
    <x v="1"/>
    <s v="XL"/>
    <n v="1"/>
    <s v="INR"/>
    <n v="399"/>
    <x v="305"/>
    <x v="12"/>
    <s v="IN"/>
  </r>
  <r>
    <n v="876"/>
    <x v="828"/>
    <d v="2024-01-06T00:00:00"/>
    <x v="1"/>
    <x v="2"/>
    <s v="Amazon"/>
    <x v="0"/>
    <x v="1"/>
    <x v="14"/>
    <s v="SET110-KR-PP-L"/>
    <x v="0"/>
    <s v="L"/>
    <n v="1"/>
    <s v="INR"/>
    <n v="788"/>
    <x v="1"/>
    <x v="1"/>
    <s v="IN"/>
  </r>
  <r>
    <n v="877"/>
    <x v="829"/>
    <d v="2024-02-01T00:00:00"/>
    <x v="5"/>
    <x v="2"/>
    <s v="Amazon"/>
    <x v="0"/>
    <x v="1"/>
    <x v="12"/>
    <s v="JNE3894-TP-M"/>
    <x v="3"/>
    <s v="M"/>
    <n v="1"/>
    <s v="INR"/>
    <n v="751"/>
    <x v="306"/>
    <x v="23"/>
    <s v="IN"/>
  </r>
  <r>
    <n v="878"/>
    <x v="830"/>
    <d v="2023-08-05T00:00:00"/>
    <x v="7"/>
    <x v="0"/>
    <s v="Amazon"/>
    <x v="1"/>
    <x v="1"/>
    <x v="32"/>
    <s v="JNE3543-KR-XL"/>
    <x v="1"/>
    <s v="XL"/>
    <n v="1"/>
    <s v="INR"/>
    <n v="368"/>
    <x v="21"/>
    <x v="4"/>
    <s v="IN"/>
  </r>
  <r>
    <n v="879"/>
    <x v="831"/>
    <d v="2023-05-14T00:00:00"/>
    <x v="4"/>
    <x v="2"/>
    <s v="Amazon"/>
    <x v="0"/>
    <x v="1"/>
    <x v="6"/>
    <s v="J0341-DR-M"/>
    <x v="2"/>
    <s v="M"/>
    <n v="1"/>
    <s v="INR"/>
    <n v="744"/>
    <x v="7"/>
    <x v="6"/>
    <s v="IN"/>
  </r>
  <r>
    <n v="880"/>
    <x v="832"/>
    <d v="2023-11-01T00:00:00"/>
    <x v="0"/>
    <x v="2"/>
    <s v="Amazon"/>
    <x v="1"/>
    <x v="1"/>
    <x v="2"/>
    <s v="JNE3405-KR-L"/>
    <x v="1"/>
    <s v="L"/>
    <n v="1"/>
    <s v="INR"/>
    <n v="399"/>
    <x v="36"/>
    <x v="0"/>
    <s v="IN"/>
  </r>
  <r>
    <n v="881"/>
    <x v="833"/>
    <d v="2023-12-11T00:00:00"/>
    <x v="2"/>
    <x v="2"/>
    <s v="Amazon"/>
    <x v="1"/>
    <x v="1"/>
    <x v="9"/>
    <s v="MEN5027-KR-XL"/>
    <x v="1"/>
    <s v="XL"/>
    <n v="1"/>
    <s v="INR"/>
    <n v="475"/>
    <x v="4"/>
    <x v="3"/>
    <s v="IN"/>
  </r>
  <r>
    <n v="882"/>
    <x v="834"/>
    <d v="2024-06-23T00:00:00"/>
    <x v="3"/>
    <x v="2"/>
    <s v="Amazon"/>
    <x v="1"/>
    <x v="1"/>
    <x v="3"/>
    <s v="MEN5006-KR-XL"/>
    <x v="1"/>
    <s v="XL"/>
    <n v="1"/>
    <s v="INR"/>
    <n v="475"/>
    <x v="4"/>
    <x v="3"/>
    <s v="IN"/>
  </r>
  <r>
    <n v="883"/>
    <x v="835"/>
    <d v="2023-06-27T00:00:00"/>
    <x v="3"/>
    <x v="2"/>
    <s v="Amazon"/>
    <x v="1"/>
    <x v="1"/>
    <x v="15"/>
    <s v="JNE3806-KR-L"/>
    <x v="1"/>
    <s v="L"/>
    <n v="1"/>
    <s v="INR"/>
    <n v="521"/>
    <x v="17"/>
    <x v="12"/>
    <s v="IN"/>
  </r>
  <r>
    <n v="884"/>
    <x v="836"/>
    <d v="2023-05-14T00:00:00"/>
    <x v="4"/>
    <x v="2"/>
    <s v="Amazon"/>
    <x v="0"/>
    <x v="1"/>
    <x v="7"/>
    <s v="JNE3870-DR-XXXL"/>
    <x v="2"/>
    <s v="3XL"/>
    <n v="1"/>
    <s v="INR"/>
    <n v="721"/>
    <x v="47"/>
    <x v="21"/>
    <s v="IN"/>
  </r>
  <r>
    <n v="885"/>
    <x v="837"/>
    <d v="2023-06-17T00:00:00"/>
    <x v="3"/>
    <x v="2"/>
    <s v="Amazon"/>
    <x v="0"/>
    <x v="1"/>
    <x v="42"/>
    <s v="SET268-KR-NP-XS"/>
    <x v="0"/>
    <s v="XS"/>
    <n v="1"/>
    <s v="INR"/>
    <n v="788"/>
    <x v="86"/>
    <x v="1"/>
    <s v="IN"/>
  </r>
  <r>
    <n v="886"/>
    <x v="838"/>
    <d v="2023-10-10T00:00:00"/>
    <x v="10"/>
    <x v="2"/>
    <s v="Amazon"/>
    <x v="1"/>
    <x v="1"/>
    <x v="31"/>
    <s v="JNE3465-KR-XXL"/>
    <x v="1"/>
    <s v="XXL"/>
    <n v="1"/>
    <s v="INR"/>
    <n v="486"/>
    <x v="307"/>
    <x v="1"/>
    <s v="IN"/>
  </r>
  <r>
    <n v="887"/>
    <x v="839"/>
    <d v="2024-11-01T00:00:00"/>
    <x v="0"/>
    <x v="2"/>
    <s v="Amazon"/>
    <x v="0"/>
    <x v="1"/>
    <x v="42"/>
    <s v="SET324-KR-NP-L"/>
    <x v="0"/>
    <s v="L"/>
    <n v="1"/>
    <s v="INR"/>
    <n v="597"/>
    <x v="19"/>
    <x v="11"/>
    <s v="IN"/>
  </r>
  <r>
    <n v="888"/>
    <x v="840"/>
    <d v="2023-12-18T00:00:00"/>
    <x v="2"/>
    <x v="2"/>
    <s v="Amazon"/>
    <x v="0"/>
    <x v="1"/>
    <x v="25"/>
    <s v="J0341-DR-M"/>
    <x v="2"/>
    <s v="M"/>
    <n v="1"/>
    <s v="INR"/>
    <n v="744"/>
    <x v="19"/>
    <x v="11"/>
    <s v="IN"/>
  </r>
  <r>
    <n v="889"/>
    <x v="841"/>
    <d v="2024-08-03T00:00:00"/>
    <x v="7"/>
    <x v="2"/>
    <s v="Amazon"/>
    <x v="0"/>
    <x v="1"/>
    <x v="3"/>
    <s v="SET349-KR-NP-XS"/>
    <x v="0"/>
    <s v="XS"/>
    <n v="1"/>
    <s v="INR"/>
    <n v="939"/>
    <x v="1"/>
    <x v="1"/>
    <s v="IN"/>
  </r>
  <r>
    <n v="890"/>
    <x v="842"/>
    <d v="2024-10-16T00:00:00"/>
    <x v="10"/>
    <x v="2"/>
    <s v="Amazon"/>
    <x v="1"/>
    <x v="1"/>
    <x v="5"/>
    <s v="JNE3465-KR-XL"/>
    <x v="1"/>
    <s v="XL"/>
    <n v="1"/>
    <s v="INR"/>
    <n v="517"/>
    <x v="17"/>
    <x v="12"/>
    <s v="IN"/>
  </r>
  <r>
    <n v="891"/>
    <x v="843"/>
    <d v="2024-05-19T00:00:00"/>
    <x v="4"/>
    <x v="1"/>
    <s v="Merchant"/>
    <x v="0"/>
    <x v="0"/>
    <x v="11"/>
    <s v="J0343-DR-XL"/>
    <x v="2"/>
    <s v="XL"/>
    <n v="1"/>
    <s v="INR"/>
    <n v="744"/>
    <x v="4"/>
    <x v="3"/>
    <s v="IN"/>
  </r>
  <r>
    <n v="892"/>
    <x v="844"/>
    <d v="2024-02-27T00:00:00"/>
    <x v="5"/>
    <x v="0"/>
    <s v="Amazon"/>
    <x v="1"/>
    <x v="1"/>
    <x v="27"/>
    <s v="J0167-KR-S"/>
    <x v="1"/>
    <s v="S"/>
    <n v="0"/>
    <m/>
    <m/>
    <x v="219"/>
    <x v="4"/>
    <s v="IN"/>
  </r>
  <r>
    <n v="893"/>
    <x v="845"/>
    <d v="2023-08-02T00:00:00"/>
    <x v="7"/>
    <x v="2"/>
    <s v="Amazon"/>
    <x v="1"/>
    <x v="1"/>
    <x v="37"/>
    <s v="MEN5021-KR-M"/>
    <x v="1"/>
    <s v="M"/>
    <n v="1"/>
    <s v="INR"/>
    <n v="533"/>
    <x v="99"/>
    <x v="14"/>
    <s v="IN"/>
  </r>
  <r>
    <n v="894"/>
    <x v="846"/>
    <d v="2024-08-07T00:00:00"/>
    <x v="7"/>
    <x v="2"/>
    <s v="Amazon"/>
    <x v="0"/>
    <x v="1"/>
    <x v="0"/>
    <s v="SET291-KR-PP-M"/>
    <x v="0"/>
    <s v="M"/>
    <n v="1"/>
    <s v="INR"/>
    <n v="563"/>
    <x v="12"/>
    <x v="9"/>
    <s v="IN"/>
  </r>
  <r>
    <n v="895"/>
    <x v="847"/>
    <d v="2024-07-20T00:00:00"/>
    <x v="11"/>
    <x v="2"/>
    <s v="Amazon"/>
    <x v="1"/>
    <x v="1"/>
    <x v="31"/>
    <s v="MEN5031-KR-S"/>
    <x v="1"/>
    <s v="S"/>
    <n v="1"/>
    <s v="INR"/>
    <n v="549"/>
    <x v="1"/>
    <x v="1"/>
    <s v="IN"/>
  </r>
  <r>
    <n v="896"/>
    <x v="848"/>
    <d v="2023-12-16T00:00:00"/>
    <x v="2"/>
    <x v="1"/>
    <s v="Merchant"/>
    <x v="0"/>
    <x v="0"/>
    <x v="19"/>
    <s v="SET345-KR-NP-XL"/>
    <x v="0"/>
    <s v="XL"/>
    <n v="1"/>
    <s v="INR"/>
    <n v="626"/>
    <x v="36"/>
    <x v="0"/>
    <s v="IN"/>
  </r>
  <r>
    <n v="897"/>
    <x v="849"/>
    <d v="2023-09-28T00:00:00"/>
    <x v="8"/>
    <x v="2"/>
    <s v="Amazon"/>
    <x v="0"/>
    <x v="1"/>
    <x v="34"/>
    <s v="SET356-KR-NP-XXXL"/>
    <x v="0"/>
    <s v="3XL"/>
    <n v="1"/>
    <s v="INR"/>
    <n v="1099"/>
    <x v="308"/>
    <x v="0"/>
    <s v="IN"/>
  </r>
  <r>
    <n v="898"/>
    <x v="850"/>
    <d v="2024-11-09T00:00:00"/>
    <x v="0"/>
    <x v="0"/>
    <s v="Merchant"/>
    <x v="0"/>
    <x v="2"/>
    <x v="13"/>
    <s v="J0343-DR-XL"/>
    <x v="2"/>
    <s v="XL"/>
    <n v="0"/>
    <m/>
    <m/>
    <x v="4"/>
    <x v="3"/>
    <s v="IN"/>
  </r>
  <r>
    <n v="899"/>
    <x v="851"/>
    <d v="2024-07-27T00:00:00"/>
    <x v="11"/>
    <x v="2"/>
    <s v="Amazon"/>
    <x v="0"/>
    <x v="1"/>
    <x v="5"/>
    <s v="SET098-KR-PP-S"/>
    <x v="0"/>
    <s v="S"/>
    <n v="1"/>
    <s v="INR"/>
    <n v="696"/>
    <x v="7"/>
    <x v="6"/>
    <s v="IN"/>
  </r>
  <r>
    <n v="900"/>
    <x v="852"/>
    <d v="2024-09-14T00:00:00"/>
    <x v="8"/>
    <x v="2"/>
    <s v="Amazon"/>
    <x v="0"/>
    <x v="1"/>
    <x v="1"/>
    <s v="SET278-KR-NP-S"/>
    <x v="0"/>
    <s v="S"/>
    <n v="1"/>
    <s v="INR"/>
    <n v="1432"/>
    <x v="309"/>
    <x v="19"/>
    <s v="IN"/>
  </r>
  <r>
    <n v="901"/>
    <x v="853"/>
    <d v="2023-07-18T00:00:00"/>
    <x v="11"/>
    <x v="2"/>
    <s v="Amazon"/>
    <x v="1"/>
    <x v="1"/>
    <x v="27"/>
    <s v="JNE3294-KR-XXL"/>
    <x v="1"/>
    <s v="XXL"/>
    <n v="1"/>
    <s v="INR"/>
    <n v="432"/>
    <x v="4"/>
    <x v="3"/>
    <s v="IN"/>
  </r>
  <r>
    <n v="902"/>
    <x v="854"/>
    <d v="2023-11-29T00:00:00"/>
    <x v="0"/>
    <x v="2"/>
    <s v="Amazon"/>
    <x v="0"/>
    <x v="1"/>
    <x v="15"/>
    <s v="SET363-KR-NP-M"/>
    <x v="0"/>
    <s v="M"/>
    <n v="1"/>
    <s v="INR"/>
    <n v="1338"/>
    <x v="166"/>
    <x v="11"/>
    <s v="IN"/>
  </r>
  <r>
    <n v="903"/>
    <x v="855"/>
    <d v="2023-12-23T00:00:00"/>
    <x v="2"/>
    <x v="2"/>
    <s v="Amazon"/>
    <x v="0"/>
    <x v="1"/>
    <x v="33"/>
    <s v="SET324-KR-NP-XS"/>
    <x v="0"/>
    <s v="XS"/>
    <n v="1"/>
    <s v="INR"/>
    <n v="597"/>
    <x v="310"/>
    <x v="1"/>
    <s v="IN"/>
  </r>
  <r>
    <n v="904"/>
    <x v="855"/>
    <d v="2023-04-29T00:00:00"/>
    <x v="9"/>
    <x v="2"/>
    <s v="Amazon"/>
    <x v="0"/>
    <x v="1"/>
    <x v="40"/>
    <s v="SET265-KR-NP-XS"/>
    <x v="0"/>
    <s v="XS"/>
    <n v="1"/>
    <s v="INR"/>
    <n v="888"/>
    <x v="310"/>
    <x v="1"/>
    <s v="IN"/>
  </r>
  <r>
    <n v="905"/>
    <x v="856"/>
    <d v="2024-07-17T00:00:00"/>
    <x v="11"/>
    <x v="2"/>
    <s v="Amazon"/>
    <x v="0"/>
    <x v="1"/>
    <x v="31"/>
    <s v="SET282-KR-PP-XXXL"/>
    <x v="0"/>
    <s v="3XL"/>
    <n v="1"/>
    <s v="INR"/>
    <n v="1033"/>
    <x v="29"/>
    <x v="6"/>
    <s v="IN"/>
  </r>
  <r>
    <n v="906"/>
    <x v="857"/>
    <d v="2024-02-09T00:00:00"/>
    <x v="5"/>
    <x v="2"/>
    <s v="Amazon"/>
    <x v="1"/>
    <x v="1"/>
    <x v="38"/>
    <s v="JNE3373-KR-XXL"/>
    <x v="1"/>
    <s v="XXL"/>
    <n v="1"/>
    <s v="INR"/>
    <n v="376"/>
    <x v="19"/>
    <x v="11"/>
    <s v="IN"/>
  </r>
  <r>
    <n v="907"/>
    <x v="858"/>
    <d v="2024-12-07T00:00:00"/>
    <x v="2"/>
    <x v="2"/>
    <s v="Amazon"/>
    <x v="0"/>
    <x v="1"/>
    <x v="29"/>
    <s v="J0414-DR-XXXL"/>
    <x v="2"/>
    <s v="3XL"/>
    <n v="1"/>
    <s v="INR"/>
    <n v="885"/>
    <x v="8"/>
    <x v="4"/>
    <s v="IN"/>
  </r>
  <r>
    <n v="908"/>
    <x v="859"/>
    <d v="2023-06-13T00:00:00"/>
    <x v="3"/>
    <x v="2"/>
    <s v="Amazon"/>
    <x v="1"/>
    <x v="1"/>
    <x v="28"/>
    <s v="JNE3506-KR-XXL"/>
    <x v="1"/>
    <s v="XXL"/>
    <n v="1"/>
    <s v="INR"/>
    <n v="635"/>
    <x v="311"/>
    <x v="14"/>
    <s v="IN"/>
  </r>
  <r>
    <n v="909"/>
    <x v="860"/>
    <d v="2023-03-12T00:00:00"/>
    <x v="6"/>
    <x v="0"/>
    <s v="Amazon"/>
    <x v="0"/>
    <x v="1"/>
    <x v="5"/>
    <s v="SET324-KR-NP-M"/>
    <x v="0"/>
    <s v="M"/>
    <n v="1"/>
    <s v="INR"/>
    <n v="597"/>
    <x v="312"/>
    <x v="16"/>
    <s v="IN"/>
  </r>
  <r>
    <n v="910"/>
    <x v="861"/>
    <d v="2024-08-24T00:00:00"/>
    <x v="7"/>
    <x v="2"/>
    <s v="Amazon"/>
    <x v="1"/>
    <x v="1"/>
    <x v="33"/>
    <s v="PJNE3252-KR-N-6XL"/>
    <x v="1"/>
    <s v="6XL"/>
    <n v="1"/>
    <s v="INR"/>
    <n v="563"/>
    <x v="15"/>
    <x v="0"/>
    <s v="IN"/>
  </r>
  <r>
    <n v="911"/>
    <x v="862"/>
    <d v="2023-08-21T00:00:00"/>
    <x v="7"/>
    <x v="2"/>
    <s v="Amazon"/>
    <x v="1"/>
    <x v="1"/>
    <x v="40"/>
    <s v="MEN5001-KR-M"/>
    <x v="1"/>
    <s v="M"/>
    <n v="1"/>
    <s v="INR"/>
    <n v="499"/>
    <x v="47"/>
    <x v="21"/>
    <s v="IN"/>
  </r>
  <r>
    <n v="912"/>
    <x v="862"/>
    <d v="2024-01-10T00:00:00"/>
    <x v="1"/>
    <x v="2"/>
    <s v="Amazon"/>
    <x v="1"/>
    <x v="1"/>
    <x v="12"/>
    <s v="MEN5022-KR-M"/>
    <x v="1"/>
    <s v="M"/>
    <n v="1"/>
    <s v="INR"/>
    <n v="549"/>
    <x v="47"/>
    <x v="21"/>
    <s v="IN"/>
  </r>
  <r>
    <n v="913"/>
    <x v="862"/>
    <d v="2024-12-08T00:00:00"/>
    <x v="2"/>
    <x v="2"/>
    <s v="Amazon"/>
    <x v="1"/>
    <x v="1"/>
    <x v="27"/>
    <s v="MEN5023-KR-M"/>
    <x v="1"/>
    <s v="M"/>
    <n v="1"/>
    <s v="INR"/>
    <n v="549"/>
    <x v="47"/>
    <x v="21"/>
    <s v="IN"/>
  </r>
  <r>
    <n v="914"/>
    <x v="862"/>
    <d v="2024-10-21T00:00:00"/>
    <x v="10"/>
    <x v="2"/>
    <s v="Amazon"/>
    <x v="1"/>
    <x v="1"/>
    <x v="42"/>
    <s v="MEN5030-KR-M"/>
    <x v="1"/>
    <s v="M"/>
    <n v="1"/>
    <s v="INR"/>
    <n v="452"/>
    <x v="47"/>
    <x v="21"/>
    <s v="IN"/>
  </r>
  <r>
    <n v="915"/>
    <x v="863"/>
    <d v="2023-04-21T00:00:00"/>
    <x v="9"/>
    <x v="1"/>
    <s v="Merchant"/>
    <x v="1"/>
    <x v="2"/>
    <x v="17"/>
    <s v="MEN5003-KR-XXXL"/>
    <x v="1"/>
    <s v="3XL"/>
    <n v="1"/>
    <s v="INR"/>
    <n v="449"/>
    <x v="313"/>
    <x v="8"/>
    <s v="IN"/>
  </r>
  <r>
    <n v="916"/>
    <x v="864"/>
    <d v="2024-06-07T00:00:00"/>
    <x v="3"/>
    <x v="2"/>
    <s v="Amazon"/>
    <x v="1"/>
    <x v="1"/>
    <x v="33"/>
    <s v="JNE3160-KR-G-XXL"/>
    <x v="1"/>
    <s v="XXL"/>
    <n v="1"/>
    <s v="INR"/>
    <n v="685"/>
    <x v="142"/>
    <x v="4"/>
    <s v="IN"/>
  </r>
  <r>
    <n v="917"/>
    <x v="865"/>
    <d v="2023-01-10T00:00:00"/>
    <x v="1"/>
    <x v="1"/>
    <s v="Merchant"/>
    <x v="0"/>
    <x v="2"/>
    <x v="14"/>
    <s v="JNE3660-TP-N-S"/>
    <x v="3"/>
    <s v="S"/>
    <n v="1"/>
    <s v="INR"/>
    <n v="391"/>
    <x v="314"/>
    <x v="15"/>
    <s v="IN"/>
  </r>
  <r>
    <n v="918"/>
    <x v="866"/>
    <d v="2023-09-05T00:00:00"/>
    <x v="8"/>
    <x v="1"/>
    <s v="Merchant"/>
    <x v="1"/>
    <x v="0"/>
    <x v="28"/>
    <s v="JNE3405-KR-S"/>
    <x v="1"/>
    <s v="S"/>
    <n v="1"/>
    <s v="INR"/>
    <n v="399"/>
    <x v="184"/>
    <x v="7"/>
    <s v="IN"/>
  </r>
  <r>
    <n v="919"/>
    <x v="867"/>
    <d v="2024-08-23T00:00:00"/>
    <x v="7"/>
    <x v="2"/>
    <s v="Amazon"/>
    <x v="0"/>
    <x v="1"/>
    <x v="16"/>
    <s v="SET324-KR-NP-M"/>
    <x v="0"/>
    <s v="M"/>
    <n v="1"/>
    <s v="INR"/>
    <n v="597"/>
    <x v="1"/>
    <x v="1"/>
    <s v="IN"/>
  </r>
  <r>
    <n v="920"/>
    <x v="868"/>
    <d v="2024-12-23T00:00:00"/>
    <x v="2"/>
    <x v="1"/>
    <s v="Merchant"/>
    <x v="1"/>
    <x v="0"/>
    <x v="17"/>
    <s v="JNE3407-KR-S"/>
    <x v="1"/>
    <s v="S"/>
    <n v="1"/>
    <s v="INR"/>
    <n v="249"/>
    <x v="64"/>
    <x v="3"/>
    <s v="IN"/>
  </r>
  <r>
    <n v="921"/>
    <x v="869"/>
    <d v="2023-11-11T00:00:00"/>
    <x v="0"/>
    <x v="1"/>
    <s v="Merchant"/>
    <x v="0"/>
    <x v="2"/>
    <x v="32"/>
    <s v="SET359-KR-NP-L"/>
    <x v="0"/>
    <s v="L"/>
    <n v="1"/>
    <s v="INR"/>
    <n v="1099"/>
    <x v="0"/>
    <x v="0"/>
    <s v="IN"/>
  </r>
  <r>
    <n v="922"/>
    <x v="870"/>
    <d v="2023-03-19T00:00:00"/>
    <x v="6"/>
    <x v="2"/>
    <s v="Amazon"/>
    <x v="0"/>
    <x v="1"/>
    <x v="28"/>
    <s v="J0377-SKD-XXXL"/>
    <x v="0"/>
    <s v="3XL"/>
    <n v="1"/>
    <s v="INR"/>
    <n v="1099"/>
    <x v="315"/>
    <x v="17"/>
    <s v="IN"/>
  </r>
  <r>
    <n v="923"/>
    <x v="871"/>
    <d v="2023-11-11T00:00:00"/>
    <x v="0"/>
    <x v="2"/>
    <s v="Amazon"/>
    <x v="1"/>
    <x v="1"/>
    <x v="20"/>
    <s v="JNE3818-KR-XXL"/>
    <x v="1"/>
    <s v="XXL"/>
    <n v="1"/>
    <s v="INR"/>
    <n v="499"/>
    <x v="316"/>
    <x v="1"/>
    <s v="IN"/>
  </r>
  <r>
    <n v="924"/>
    <x v="872"/>
    <d v="2023-02-13T00:00:00"/>
    <x v="5"/>
    <x v="2"/>
    <s v="Amazon"/>
    <x v="0"/>
    <x v="1"/>
    <x v="22"/>
    <s v="J0341-DR-L"/>
    <x v="2"/>
    <s v="L"/>
    <n v="1"/>
    <s v="INR"/>
    <n v="744"/>
    <x v="27"/>
    <x v="17"/>
    <s v="IN"/>
  </r>
  <r>
    <n v="925"/>
    <x v="873"/>
    <d v="2023-02-04T00:00:00"/>
    <x v="5"/>
    <x v="0"/>
    <s v="Merchant"/>
    <x v="1"/>
    <x v="2"/>
    <x v="1"/>
    <s v="JNE3412-KR-XXL"/>
    <x v="1"/>
    <s v="XXL"/>
    <n v="0"/>
    <s v="INR"/>
    <n v="399.05"/>
    <x v="4"/>
    <x v="3"/>
    <s v="IN"/>
  </r>
  <r>
    <n v="926"/>
    <x v="873"/>
    <d v="2023-08-16T00:00:00"/>
    <x v="7"/>
    <x v="0"/>
    <s v="Merchant"/>
    <x v="1"/>
    <x v="0"/>
    <x v="2"/>
    <s v="JNE3757-KR-XXL"/>
    <x v="1"/>
    <s v="XXL"/>
    <n v="0"/>
    <s v="INR"/>
    <n v="463.81"/>
    <x v="4"/>
    <x v="3"/>
    <s v="IN"/>
  </r>
  <r>
    <n v="927"/>
    <x v="874"/>
    <d v="2023-05-16T00:00:00"/>
    <x v="4"/>
    <x v="2"/>
    <s v="Amazon"/>
    <x v="1"/>
    <x v="1"/>
    <x v="33"/>
    <s v="JNE3741-KR-XXL"/>
    <x v="1"/>
    <s v="XXL"/>
    <n v="1"/>
    <s v="INR"/>
    <n v="432"/>
    <x v="4"/>
    <x v="3"/>
    <s v="IN"/>
  </r>
  <r>
    <n v="928"/>
    <x v="875"/>
    <d v="2023-01-16T00:00:00"/>
    <x v="1"/>
    <x v="2"/>
    <s v="Amazon"/>
    <x v="0"/>
    <x v="1"/>
    <x v="13"/>
    <s v="J0301-TP-M"/>
    <x v="3"/>
    <s v="M"/>
    <n v="1"/>
    <s v="INR"/>
    <n v="463"/>
    <x v="317"/>
    <x v="17"/>
    <s v="IN"/>
  </r>
  <r>
    <n v="929"/>
    <x v="876"/>
    <d v="2023-03-05T00:00:00"/>
    <x v="6"/>
    <x v="0"/>
    <s v="Amazon"/>
    <x v="0"/>
    <x v="1"/>
    <x v="10"/>
    <s v="JNE3660-TP-N-S"/>
    <x v="3"/>
    <s v="S"/>
    <n v="0"/>
    <m/>
    <m/>
    <x v="314"/>
    <x v="15"/>
    <s v="IN"/>
  </r>
  <r>
    <n v="930"/>
    <x v="877"/>
    <d v="2023-08-30T00:00:00"/>
    <x v="7"/>
    <x v="2"/>
    <s v="Amazon"/>
    <x v="1"/>
    <x v="1"/>
    <x v="23"/>
    <s v="JNE3805-KR-S"/>
    <x v="1"/>
    <s v="S"/>
    <n v="1"/>
    <s v="INR"/>
    <n v="0"/>
    <x v="318"/>
    <x v="21"/>
    <s v="IN"/>
  </r>
  <r>
    <n v="931"/>
    <x v="878"/>
    <d v="2024-05-18T00:00:00"/>
    <x v="4"/>
    <x v="0"/>
    <s v="Merchant"/>
    <x v="0"/>
    <x v="0"/>
    <x v="16"/>
    <s v="J0341-DR-XL"/>
    <x v="2"/>
    <s v="XL"/>
    <n v="0"/>
    <m/>
    <m/>
    <x v="124"/>
    <x v="0"/>
    <s v="IN"/>
  </r>
  <r>
    <n v="932"/>
    <x v="879"/>
    <d v="2024-09-10T00:00:00"/>
    <x v="8"/>
    <x v="2"/>
    <s v="Amazon"/>
    <x v="0"/>
    <x v="1"/>
    <x v="31"/>
    <s v="J0308-DR-XXXL"/>
    <x v="2"/>
    <s v="3XL"/>
    <n v="1"/>
    <s v="INR"/>
    <n v="665"/>
    <x v="319"/>
    <x v="0"/>
    <s v="IN"/>
  </r>
  <r>
    <n v="933"/>
    <x v="880"/>
    <d v="2024-04-02T00:00:00"/>
    <x v="9"/>
    <x v="2"/>
    <s v="Amazon"/>
    <x v="0"/>
    <x v="1"/>
    <x v="12"/>
    <s v="SET184-KR-PP-S"/>
    <x v="0"/>
    <s v="S"/>
    <n v="1"/>
    <s v="INR"/>
    <n v="563"/>
    <x v="320"/>
    <x v="18"/>
    <s v="IN"/>
  </r>
  <r>
    <n v="934"/>
    <x v="881"/>
    <d v="2023-07-10T00:00:00"/>
    <x v="11"/>
    <x v="2"/>
    <s v="Amazon"/>
    <x v="1"/>
    <x v="1"/>
    <x v="25"/>
    <s v="JNE3568-KR-XL"/>
    <x v="1"/>
    <s v="XL"/>
    <n v="1"/>
    <s v="INR"/>
    <n v="399"/>
    <x v="275"/>
    <x v="23"/>
    <s v="IN"/>
  </r>
  <r>
    <n v="935"/>
    <x v="882"/>
    <d v="2024-03-10T00:00:00"/>
    <x v="6"/>
    <x v="2"/>
    <s v="Amazon"/>
    <x v="0"/>
    <x v="1"/>
    <x v="33"/>
    <s v="SET344-KR-NP-XL"/>
    <x v="0"/>
    <s v="XL"/>
    <n v="1"/>
    <s v="INR"/>
    <n v="968"/>
    <x v="5"/>
    <x v="4"/>
    <s v="IN"/>
  </r>
  <r>
    <n v="936"/>
    <x v="883"/>
    <d v="2024-12-16T00:00:00"/>
    <x v="2"/>
    <x v="1"/>
    <s v="Merchant"/>
    <x v="1"/>
    <x v="2"/>
    <x v="8"/>
    <s v="JNE3825-KR-M"/>
    <x v="1"/>
    <s v="M"/>
    <n v="1"/>
    <s v="INR"/>
    <n v="474"/>
    <x v="1"/>
    <x v="1"/>
    <s v="IN"/>
  </r>
  <r>
    <n v="937"/>
    <x v="884"/>
    <d v="2024-11-17T00:00:00"/>
    <x v="0"/>
    <x v="2"/>
    <s v="Amazon"/>
    <x v="0"/>
    <x v="1"/>
    <x v="31"/>
    <s v="BL017-63BLACK"/>
    <x v="7"/>
    <s v="Free"/>
    <n v="15"/>
    <m/>
    <m/>
    <x v="183"/>
    <x v="19"/>
    <s v="IN"/>
  </r>
  <r>
    <n v="938"/>
    <x v="885"/>
    <d v="2024-10-24T00:00:00"/>
    <x v="10"/>
    <x v="0"/>
    <s v="Merchant"/>
    <x v="1"/>
    <x v="0"/>
    <x v="10"/>
    <s v="PJNE3068-KR-6XL"/>
    <x v="1"/>
    <s v="6XL"/>
    <n v="0"/>
    <s v="INR"/>
    <n v="659.05"/>
    <x v="15"/>
    <x v="0"/>
    <s v="IN"/>
  </r>
  <r>
    <n v="939"/>
    <x v="886"/>
    <d v="2024-08-16T00:00:00"/>
    <x v="7"/>
    <x v="1"/>
    <s v="Merchant"/>
    <x v="0"/>
    <x v="0"/>
    <x v="21"/>
    <s v="J0098-TP-XXL"/>
    <x v="3"/>
    <s v="XXL"/>
    <n v="1"/>
    <s v="INR"/>
    <n v="413"/>
    <x v="321"/>
    <x v="0"/>
    <s v="IN"/>
  </r>
  <r>
    <n v="940"/>
    <x v="887"/>
    <d v="2023-06-21T00:00:00"/>
    <x v="3"/>
    <x v="1"/>
    <s v="Merchant"/>
    <x v="1"/>
    <x v="2"/>
    <x v="38"/>
    <s v="JNE2171-KR-437-S"/>
    <x v="1"/>
    <s v="S"/>
    <n v="1"/>
    <s v="INR"/>
    <n v="495"/>
    <x v="4"/>
    <x v="3"/>
    <s v="IN"/>
  </r>
  <r>
    <n v="941"/>
    <x v="888"/>
    <d v="2023-05-06T00:00:00"/>
    <x v="4"/>
    <x v="1"/>
    <s v="Merchant"/>
    <x v="1"/>
    <x v="2"/>
    <x v="5"/>
    <s v="JNE3802-KR-L"/>
    <x v="1"/>
    <s v="L"/>
    <n v="1"/>
    <s v="INR"/>
    <n v="459"/>
    <x v="91"/>
    <x v="1"/>
    <s v="IN"/>
  </r>
  <r>
    <n v="942"/>
    <x v="889"/>
    <d v="2023-03-28T00:00:00"/>
    <x v="6"/>
    <x v="2"/>
    <s v="Amazon"/>
    <x v="1"/>
    <x v="1"/>
    <x v="42"/>
    <s v="PJNE3399-KR-N-4XL"/>
    <x v="1"/>
    <s v="4XL"/>
    <n v="1"/>
    <s v="INR"/>
    <n v="486"/>
    <x v="15"/>
    <x v="0"/>
    <s v="IN"/>
  </r>
  <r>
    <n v="943"/>
    <x v="890"/>
    <d v="2023-06-24T00:00:00"/>
    <x v="3"/>
    <x v="1"/>
    <s v="Merchant"/>
    <x v="0"/>
    <x v="2"/>
    <x v="23"/>
    <s v="SET377-KR-NP-M"/>
    <x v="0"/>
    <s v="M"/>
    <n v="1"/>
    <s v="INR"/>
    <n v="1238"/>
    <x v="12"/>
    <x v="9"/>
    <s v="IN"/>
  </r>
  <r>
    <n v="944"/>
    <x v="891"/>
    <d v="2024-02-27T00:00:00"/>
    <x v="5"/>
    <x v="2"/>
    <s v="Amazon"/>
    <x v="0"/>
    <x v="1"/>
    <x v="22"/>
    <s v="J0349-SET-XL"/>
    <x v="0"/>
    <s v="XL"/>
    <n v="1"/>
    <s v="INR"/>
    <n v="801"/>
    <x v="322"/>
    <x v="27"/>
    <s v="IN"/>
  </r>
  <r>
    <n v="945"/>
    <x v="892"/>
    <d v="2023-12-10T00:00:00"/>
    <x v="2"/>
    <x v="2"/>
    <s v="Amazon"/>
    <x v="1"/>
    <x v="1"/>
    <x v="32"/>
    <s v="PJNE3440-KR-N-5XL"/>
    <x v="1"/>
    <s v="5XL"/>
    <n v="1"/>
    <s v="INR"/>
    <n v="527"/>
    <x v="15"/>
    <x v="0"/>
    <s v="IN"/>
  </r>
  <r>
    <n v="946"/>
    <x v="893"/>
    <d v="2023-11-05T00:00:00"/>
    <x v="0"/>
    <x v="2"/>
    <s v="Amazon"/>
    <x v="0"/>
    <x v="1"/>
    <x v="9"/>
    <s v="J0301-TP-L"/>
    <x v="3"/>
    <s v="L"/>
    <n v="1"/>
    <s v="INR"/>
    <n v="493"/>
    <x v="50"/>
    <x v="19"/>
    <s v="IN"/>
  </r>
  <r>
    <n v="947"/>
    <x v="894"/>
    <d v="2023-04-12T00:00:00"/>
    <x v="9"/>
    <x v="1"/>
    <s v="Merchant"/>
    <x v="1"/>
    <x v="0"/>
    <x v="6"/>
    <s v="MEN5004-KR-XL"/>
    <x v="1"/>
    <s v="XL"/>
    <n v="1"/>
    <s v="INR"/>
    <n v="0"/>
    <x v="8"/>
    <x v="4"/>
    <s v="IN"/>
  </r>
  <r>
    <n v="948"/>
    <x v="895"/>
    <d v="2023-04-10T00:00:00"/>
    <x v="9"/>
    <x v="0"/>
    <s v="Merchant"/>
    <x v="1"/>
    <x v="0"/>
    <x v="22"/>
    <s v="JNE3579-KR-L"/>
    <x v="1"/>
    <s v="L"/>
    <n v="0"/>
    <s v="INR"/>
    <n v="280.95"/>
    <x v="7"/>
    <x v="6"/>
    <s v="IN"/>
  </r>
  <r>
    <n v="949"/>
    <x v="896"/>
    <d v="2024-12-29T00:00:00"/>
    <x v="2"/>
    <x v="2"/>
    <s v="Amazon"/>
    <x v="0"/>
    <x v="1"/>
    <x v="19"/>
    <s v="SET268-KR-NP-XL"/>
    <x v="0"/>
    <s v="XL"/>
    <n v="1"/>
    <s v="INR"/>
    <n v="788"/>
    <x v="323"/>
    <x v="0"/>
    <s v="IN"/>
  </r>
  <r>
    <n v="950"/>
    <x v="897"/>
    <d v="2024-02-12T00:00:00"/>
    <x v="5"/>
    <x v="0"/>
    <s v="Amazon"/>
    <x v="0"/>
    <x v="1"/>
    <x v="30"/>
    <s v="SET345-KR-NP-M"/>
    <x v="0"/>
    <s v="M"/>
    <n v="1"/>
    <s v="INR"/>
    <n v="626"/>
    <x v="5"/>
    <x v="4"/>
    <s v="IN"/>
  </r>
  <r>
    <n v="951"/>
    <x v="898"/>
    <d v="2023-01-29T00:00:00"/>
    <x v="1"/>
    <x v="2"/>
    <s v="Amazon"/>
    <x v="1"/>
    <x v="1"/>
    <x v="22"/>
    <s v="JNE3373-KR-M"/>
    <x v="1"/>
    <s v="M"/>
    <n v="1"/>
    <s v="INR"/>
    <n v="376"/>
    <x v="19"/>
    <x v="11"/>
    <s v="IN"/>
  </r>
  <r>
    <n v="952"/>
    <x v="899"/>
    <d v="2024-05-19T00:00:00"/>
    <x v="4"/>
    <x v="2"/>
    <s v="Amazon"/>
    <x v="1"/>
    <x v="1"/>
    <x v="12"/>
    <s v="JNE3368-KR-XXXL"/>
    <x v="1"/>
    <s v="3XL"/>
    <n v="1"/>
    <s v="INR"/>
    <n v="471"/>
    <x v="324"/>
    <x v="0"/>
    <s v="IN"/>
  </r>
  <r>
    <n v="953"/>
    <x v="900"/>
    <d v="2024-06-15T00:00:00"/>
    <x v="3"/>
    <x v="2"/>
    <s v="Amazon"/>
    <x v="1"/>
    <x v="1"/>
    <x v="22"/>
    <s v="J0139-KR-XXL"/>
    <x v="1"/>
    <s v="XXL"/>
    <n v="1"/>
    <s v="INR"/>
    <n v="399"/>
    <x v="45"/>
    <x v="19"/>
    <s v="IN"/>
  </r>
  <r>
    <n v="954"/>
    <x v="901"/>
    <d v="2023-02-20T00:00:00"/>
    <x v="5"/>
    <x v="0"/>
    <s v="Merchant"/>
    <x v="1"/>
    <x v="2"/>
    <x v="30"/>
    <s v="MEN5006-KR-L"/>
    <x v="1"/>
    <s v="L"/>
    <n v="0"/>
    <s v="INR"/>
    <n v="452.38"/>
    <x v="64"/>
    <x v="3"/>
    <s v="IN"/>
  </r>
  <r>
    <n v="955"/>
    <x v="902"/>
    <d v="2023-06-23T00:00:00"/>
    <x v="3"/>
    <x v="1"/>
    <s v="Merchant"/>
    <x v="0"/>
    <x v="0"/>
    <x v="5"/>
    <s v="J0285-SKD-S"/>
    <x v="0"/>
    <s v="S"/>
    <n v="1"/>
    <s v="INR"/>
    <n v="1432"/>
    <x v="325"/>
    <x v="15"/>
    <s v="IN"/>
  </r>
  <r>
    <n v="956"/>
    <x v="903"/>
    <d v="2023-08-21T00:00:00"/>
    <x v="7"/>
    <x v="0"/>
    <s v="Amazon"/>
    <x v="0"/>
    <x v="1"/>
    <x v="32"/>
    <s v="SET331-KR-NP-L"/>
    <x v="0"/>
    <s v="L"/>
    <n v="0"/>
    <m/>
    <m/>
    <x v="1"/>
    <x v="1"/>
    <s v="IN"/>
  </r>
  <r>
    <n v="957"/>
    <x v="904"/>
    <d v="2023-08-27T00:00:00"/>
    <x v="7"/>
    <x v="1"/>
    <s v="Merchant"/>
    <x v="0"/>
    <x v="2"/>
    <x v="22"/>
    <s v="JNE3797-KR-XS"/>
    <x v="2"/>
    <s v="XS"/>
    <n v="1"/>
    <s v="INR"/>
    <n v="725"/>
    <x v="326"/>
    <x v="15"/>
    <s v="IN"/>
  </r>
  <r>
    <n v="958"/>
    <x v="905"/>
    <d v="2023-05-02T00:00:00"/>
    <x v="4"/>
    <x v="2"/>
    <s v="Amazon"/>
    <x v="1"/>
    <x v="1"/>
    <x v="11"/>
    <s v="JNE3724-KR-XL"/>
    <x v="1"/>
    <s v="XL"/>
    <n v="1"/>
    <s v="INR"/>
    <n v="499"/>
    <x v="0"/>
    <x v="0"/>
    <s v="IN"/>
  </r>
  <r>
    <n v="959"/>
    <x v="906"/>
    <d v="2024-06-19T00:00:00"/>
    <x v="3"/>
    <x v="2"/>
    <s v="Amazon"/>
    <x v="1"/>
    <x v="1"/>
    <x v="29"/>
    <s v="JNE3368-KR-XXXL"/>
    <x v="1"/>
    <s v="3XL"/>
    <n v="1"/>
    <s v="INR"/>
    <n v="471"/>
    <x v="12"/>
    <x v="9"/>
    <s v="IN"/>
  </r>
  <r>
    <n v="960"/>
    <x v="907"/>
    <d v="2024-07-21T00:00:00"/>
    <x v="11"/>
    <x v="0"/>
    <s v="Amazon"/>
    <x v="1"/>
    <x v="1"/>
    <x v="17"/>
    <s v="JNE3510-KR-XL"/>
    <x v="1"/>
    <s v="XL"/>
    <n v="0"/>
    <m/>
    <m/>
    <x v="85"/>
    <x v="0"/>
    <s v="IN"/>
  </r>
  <r>
    <n v="961"/>
    <x v="908"/>
    <d v="2023-09-20T00:00:00"/>
    <x v="8"/>
    <x v="0"/>
    <s v="Amazon"/>
    <x v="0"/>
    <x v="1"/>
    <x v="4"/>
    <s v="NW037-TP-SR-L"/>
    <x v="0"/>
    <s v="L"/>
    <n v="1"/>
    <s v="INR"/>
    <n v="449"/>
    <x v="15"/>
    <x v="0"/>
    <s v="IN"/>
  </r>
  <r>
    <n v="962"/>
    <x v="909"/>
    <d v="2023-02-17T00:00:00"/>
    <x v="5"/>
    <x v="2"/>
    <s v="Amazon"/>
    <x v="0"/>
    <x v="1"/>
    <x v="36"/>
    <s v="SET288-KR-NP-XXXL"/>
    <x v="0"/>
    <s v="3XL"/>
    <n v="1"/>
    <s v="INR"/>
    <n v="684"/>
    <x v="52"/>
    <x v="16"/>
    <s v="IN"/>
  </r>
  <r>
    <n v="963"/>
    <x v="910"/>
    <d v="2024-11-01T00:00:00"/>
    <x v="0"/>
    <x v="2"/>
    <s v="Amazon"/>
    <x v="0"/>
    <x v="1"/>
    <x v="31"/>
    <s v="J0334-TP-S"/>
    <x v="3"/>
    <s v="S"/>
    <n v="1"/>
    <s v="INR"/>
    <n v="545"/>
    <x v="153"/>
    <x v="23"/>
    <s v="IN"/>
  </r>
  <r>
    <n v="964"/>
    <x v="911"/>
    <d v="2023-05-24T00:00:00"/>
    <x v="4"/>
    <x v="2"/>
    <s v="Amazon"/>
    <x v="0"/>
    <x v="1"/>
    <x v="39"/>
    <s v="J0334-TP-S"/>
    <x v="3"/>
    <s v="S"/>
    <n v="1"/>
    <s v="INR"/>
    <n v="545"/>
    <x v="327"/>
    <x v="8"/>
    <s v="IN"/>
  </r>
  <r>
    <n v="965"/>
    <x v="912"/>
    <d v="2024-04-13T00:00:00"/>
    <x v="9"/>
    <x v="2"/>
    <s v="Amazon"/>
    <x v="2"/>
    <x v="1"/>
    <x v="11"/>
    <s v="BL001-50PINK"/>
    <x v="7"/>
    <s v="Free"/>
    <n v="1"/>
    <s v="INR"/>
    <n v="419"/>
    <x v="63"/>
    <x v="4"/>
    <s v="IN"/>
  </r>
  <r>
    <n v="966"/>
    <x v="913"/>
    <d v="2023-07-02T00:00:00"/>
    <x v="11"/>
    <x v="0"/>
    <s v="Amazon"/>
    <x v="1"/>
    <x v="1"/>
    <x v="0"/>
    <s v="JNE3373-KR-M"/>
    <x v="1"/>
    <s v="M"/>
    <n v="0"/>
    <m/>
    <m/>
    <x v="19"/>
    <x v="11"/>
    <s v="IN"/>
  </r>
  <r>
    <n v="967"/>
    <x v="914"/>
    <d v="2023-02-16T00:00:00"/>
    <x v="5"/>
    <x v="2"/>
    <s v="Amazon"/>
    <x v="0"/>
    <x v="1"/>
    <x v="23"/>
    <s v="SET098-KR-PP-XXL"/>
    <x v="0"/>
    <s v="XXL"/>
    <n v="1"/>
    <s v="INR"/>
    <n v="696"/>
    <x v="328"/>
    <x v="1"/>
    <s v="IN"/>
  </r>
  <r>
    <n v="968"/>
    <x v="915"/>
    <d v="2024-05-29T00:00:00"/>
    <x v="4"/>
    <x v="0"/>
    <s v="Amazon"/>
    <x v="0"/>
    <x v="1"/>
    <x v="23"/>
    <s v="J0334-TP-S"/>
    <x v="3"/>
    <s v="S"/>
    <n v="0"/>
    <m/>
    <m/>
    <x v="153"/>
    <x v="23"/>
    <s v="IN"/>
  </r>
  <r>
    <n v="969"/>
    <x v="916"/>
    <d v="2024-07-14T00:00:00"/>
    <x v="11"/>
    <x v="0"/>
    <s v="Amazon"/>
    <x v="0"/>
    <x v="1"/>
    <x v="39"/>
    <s v="SET388-KR-NP-XXXL"/>
    <x v="0"/>
    <s v="3XL"/>
    <n v="0"/>
    <m/>
    <m/>
    <x v="129"/>
    <x v="20"/>
    <s v="IN"/>
  </r>
  <r>
    <n v="970"/>
    <x v="917"/>
    <d v="2023-03-11T00:00:00"/>
    <x v="6"/>
    <x v="2"/>
    <s v="Amazon"/>
    <x v="1"/>
    <x v="1"/>
    <x v="37"/>
    <s v="JNE3440-KR-N-XS"/>
    <x v="1"/>
    <s v="XS"/>
    <n v="1"/>
    <s v="INR"/>
    <n v="399"/>
    <x v="329"/>
    <x v="0"/>
    <s v="IN"/>
  </r>
  <r>
    <n v="971"/>
    <x v="918"/>
    <d v="2023-09-18T00:00:00"/>
    <x v="8"/>
    <x v="3"/>
    <s v="Merchant"/>
    <x v="0"/>
    <x v="0"/>
    <x v="26"/>
    <s v="NW034-TP-PJ-XXXL"/>
    <x v="0"/>
    <s v="3XL"/>
    <n v="1"/>
    <s v="INR"/>
    <n v="613"/>
    <x v="12"/>
    <x v="9"/>
    <s v="IN"/>
  </r>
  <r>
    <n v="972"/>
    <x v="919"/>
    <d v="2024-09-17T00:00:00"/>
    <x v="8"/>
    <x v="2"/>
    <s v="Amazon"/>
    <x v="0"/>
    <x v="1"/>
    <x v="3"/>
    <s v="J0003-SET-XXXL"/>
    <x v="0"/>
    <s v="3XL"/>
    <n v="1"/>
    <s v="INR"/>
    <n v="654"/>
    <x v="1"/>
    <x v="1"/>
    <s v="IN"/>
  </r>
  <r>
    <n v="973"/>
    <x v="920"/>
    <d v="2023-06-30T00:00:00"/>
    <x v="3"/>
    <x v="2"/>
    <s v="Amazon"/>
    <x v="0"/>
    <x v="1"/>
    <x v="40"/>
    <s v="JNE3639-TP-N-XL"/>
    <x v="3"/>
    <s v="XL"/>
    <n v="1"/>
    <s v="INR"/>
    <n v="487"/>
    <x v="12"/>
    <x v="9"/>
    <s v="IN"/>
  </r>
  <r>
    <n v="974"/>
    <x v="921"/>
    <d v="2024-03-03T00:00:00"/>
    <x v="6"/>
    <x v="2"/>
    <s v="Amazon"/>
    <x v="0"/>
    <x v="1"/>
    <x v="8"/>
    <s v="J0343-DR-XXL"/>
    <x v="2"/>
    <s v="XXL"/>
    <n v="1"/>
    <s v="INR"/>
    <n v="744"/>
    <x v="330"/>
    <x v="6"/>
    <s v="IN"/>
  </r>
  <r>
    <n v="975"/>
    <x v="922"/>
    <d v="2023-05-12T00:00:00"/>
    <x v="4"/>
    <x v="1"/>
    <s v="Merchant"/>
    <x v="1"/>
    <x v="2"/>
    <x v="19"/>
    <s v="MEN5028-KR-XL"/>
    <x v="1"/>
    <s v="XL"/>
    <n v="1"/>
    <s v="INR"/>
    <n v="499"/>
    <x v="36"/>
    <x v="0"/>
    <s v="IN"/>
  </r>
  <r>
    <n v="976"/>
    <x v="922"/>
    <d v="2024-11-25T00:00:00"/>
    <x v="0"/>
    <x v="1"/>
    <s v="Merchant"/>
    <x v="1"/>
    <x v="2"/>
    <x v="29"/>
    <s v="MEN5011-KR-XL"/>
    <x v="1"/>
    <s v="XL"/>
    <n v="1"/>
    <s v="INR"/>
    <n v="499"/>
    <x v="36"/>
    <x v="0"/>
    <s v="IN"/>
  </r>
  <r>
    <n v="977"/>
    <x v="923"/>
    <d v="2024-11-18T00:00:00"/>
    <x v="0"/>
    <x v="2"/>
    <s v="Amazon"/>
    <x v="1"/>
    <x v="1"/>
    <x v="2"/>
    <s v="JNE3718-KR-L"/>
    <x v="1"/>
    <s v="L"/>
    <n v="1"/>
    <s v="INR"/>
    <n v="406"/>
    <x v="7"/>
    <x v="6"/>
    <s v="IN"/>
  </r>
  <r>
    <n v="978"/>
    <x v="923"/>
    <d v="2024-11-30T00:00:00"/>
    <x v="0"/>
    <x v="2"/>
    <s v="Amazon"/>
    <x v="0"/>
    <x v="1"/>
    <x v="28"/>
    <s v="SET266-KR-NP-L"/>
    <x v="0"/>
    <s v="L"/>
    <n v="1"/>
    <s v="INR"/>
    <n v="737"/>
    <x v="7"/>
    <x v="6"/>
    <s v="IN"/>
  </r>
  <r>
    <n v="979"/>
    <x v="924"/>
    <d v="2024-04-19T00:00:00"/>
    <x v="9"/>
    <x v="2"/>
    <s v="Amazon"/>
    <x v="0"/>
    <x v="1"/>
    <x v="38"/>
    <s v="SET048-KR-NP-L"/>
    <x v="0"/>
    <s v="L"/>
    <n v="1"/>
    <s v="INR"/>
    <n v="648"/>
    <x v="7"/>
    <x v="6"/>
    <s v="IN"/>
  </r>
  <r>
    <n v="980"/>
    <x v="925"/>
    <d v="2023-03-25T00:00:00"/>
    <x v="6"/>
    <x v="1"/>
    <s v="Merchant"/>
    <x v="0"/>
    <x v="0"/>
    <x v="34"/>
    <s v="J0210-DR-XL"/>
    <x v="4"/>
    <s v="XL"/>
    <n v="1"/>
    <s v="INR"/>
    <n v="783"/>
    <x v="7"/>
    <x v="6"/>
    <s v="IN"/>
  </r>
  <r>
    <n v="981"/>
    <x v="926"/>
    <d v="2024-02-26T00:00:00"/>
    <x v="5"/>
    <x v="2"/>
    <s v="Amazon"/>
    <x v="0"/>
    <x v="1"/>
    <x v="39"/>
    <s v="J0341-DR-XL"/>
    <x v="2"/>
    <s v="XL"/>
    <n v="1"/>
    <s v="INR"/>
    <n v="744"/>
    <x v="7"/>
    <x v="6"/>
    <s v="IN"/>
  </r>
  <r>
    <n v="982"/>
    <x v="927"/>
    <d v="2024-09-06T00:00:00"/>
    <x v="8"/>
    <x v="2"/>
    <s v="Amazon"/>
    <x v="0"/>
    <x v="1"/>
    <x v="28"/>
    <s v="J0341-DR-XS"/>
    <x v="2"/>
    <s v="XS"/>
    <n v="1"/>
    <s v="INR"/>
    <n v="744"/>
    <x v="281"/>
    <x v="3"/>
    <s v="IN"/>
  </r>
  <r>
    <n v="983"/>
    <x v="928"/>
    <d v="2024-08-28T00:00:00"/>
    <x v="7"/>
    <x v="1"/>
    <s v="Merchant"/>
    <x v="0"/>
    <x v="2"/>
    <x v="28"/>
    <s v="J0095-SET-XL"/>
    <x v="0"/>
    <s v="XL"/>
    <n v="1"/>
    <s v="INR"/>
    <n v="653"/>
    <x v="64"/>
    <x v="3"/>
    <s v="IN"/>
  </r>
  <r>
    <n v="984"/>
    <x v="929"/>
    <d v="2023-02-07T00:00:00"/>
    <x v="5"/>
    <x v="2"/>
    <s v="Amazon"/>
    <x v="0"/>
    <x v="1"/>
    <x v="14"/>
    <s v="SET110-KR-PP-S"/>
    <x v="0"/>
    <s v="S"/>
    <n v="1"/>
    <s v="INR"/>
    <n v="788"/>
    <x v="37"/>
    <x v="0"/>
    <s v="IN"/>
  </r>
  <r>
    <n v="985"/>
    <x v="930"/>
    <d v="2024-09-23T00:00:00"/>
    <x v="8"/>
    <x v="2"/>
    <s v="Amazon"/>
    <x v="0"/>
    <x v="1"/>
    <x v="9"/>
    <s v="SET378-KR-NP-XS"/>
    <x v="0"/>
    <s v="XS"/>
    <n v="1"/>
    <s v="INR"/>
    <n v="1221"/>
    <x v="7"/>
    <x v="6"/>
    <s v="IN"/>
  </r>
  <r>
    <n v="986"/>
    <x v="931"/>
    <d v="2023-07-03T00:00:00"/>
    <x v="11"/>
    <x v="1"/>
    <s v="Merchant"/>
    <x v="0"/>
    <x v="0"/>
    <x v="13"/>
    <s v="SET342-KR-NP-N-XXL"/>
    <x v="0"/>
    <s v="XXL"/>
    <n v="1"/>
    <s v="INR"/>
    <n v="0"/>
    <x v="331"/>
    <x v="1"/>
    <s v="IN"/>
  </r>
  <r>
    <n v="987"/>
    <x v="932"/>
    <d v="2023-05-18T00:00:00"/>
    <x v="4"/>
    <x v="2"/>
    <s v="Amazon"/>
    <x v="0"/>
    <x v="1"/>
    <x v="31"/>
    <s v="J0230-SKD-S"/>
    <x v="0"/>
    <s v="S"/>
    <n v="1"/>
    <s v="INR"/>
    <n v="1112"/>
    <x v="82"/>
    <x v="10"/>
    <s v="IN"/>
  </r>
  <r>
    <n v="988"/>
    <x v="933"/>
    <d v="2023-01-09T00:00:00"/>
    <x v="1"/>
    <x v="1"/>
    <s v="Merchant"/>
    <x v="0"/>
    <x v="0"/>
    <x v="15"/>
    <s v="SET398-KR-PP-XS"/>
    <x v="0"/>
    <s v="XS"/>
    <n v="1"/>
    <s v="INR"/>
    <n v="1186"/>
    <x v="82"/>
    <x v="10"/>
    <s v="IN"/>
  </r>
  <r>
    <n v="989"/>
    <x v="934"/>
    <d v="2023-05-31T00:00:00"/>
    <x v="4"/>
    <x v="1"/>
    <s v="Merchant"/>
    <x v="1"/>
    <x v="2"/>
    <x v="5"/>
    <s v="JNE3487-KR-L"/>
    <x v="1"/>
    <s v="L"/>
    <n v="1"/>
    <s v="INR"/>
    <n v="362"/>
    <x v="7"/>
    <x v="6"/>
    <s v="IN"/>
  </r>
  <r>
    <n v="990"/>
    <x v="935"/>
    <d v="2024-04-23T00:00:00"/>
    <x v="9"/>
    <x v="2"/>
    <s v="Amazon"/>
    <x v="1"/>
    <x v="1"/>
    <x v="22"/>
    <s v="JNE3294-KR-XXL"/>
    <x v="1"/>
    <s v="XXL"/>
    <n v="1"/>
    <s v="INR"/>
    <n v="432"/>
    <x v="4"/>
    <x v="3"/>
    <s v="IN"/>
  </r>
  <r>
    <n v="991"/>
    <x v="936"/>
    <d v="2024-08-15T00:00:00"/>
    <x v="7"/>
    <x v="2"/>
    <s v="Amazon"/>
    <x v="0"/>
    <x v="1"/>
    <x v="18"/>
    <s v="SET324-KR-NP-L"/>
    <x v="0"/>
    <s v="L"/>
    <n v="1"/>
    <s v="INR"/>
    <n v="597"/>
    <x v="7"/>
    <x v="6"/>
    <s v="IN"/>
  </r>
  <r>
    <n v="992"/>
    <x v="937"/>
    <d v="2024-06-08T00:00:00"/>
    <x v="3"/>
    <x v="2"/>
    <s v="Amazon"/>
    <x v="0"/>
    <x v="1"/>
    <x v="19"/>
    <s v="J0003-SET-XXXL"/>
    <x v="0"/>
    <s v="3XL"/>
    <n v="1"/>
    <s v="INR"/>
    <n v="654"/>
    <x v="47"/>
    <x v="21"/>
    <s v="IN"/>
  </r>
  <r>
    <n v="993"/>
    <x v="938"/>
    <d v="2024-12-09T00:00:00"/>
    <x v="2"/>
    <x v="2"/>
    <s v="Amazon"/>
    <x v="0"/>
    <x v="1"/>
    <x v="27"/>
    <s v="JNE3651-TP-N-M"/>
    <x v="3"/>
    <s v="M"/>
    <n v="1"/>
    <s v="INR"/>
    <n v="518"/>
    <x v="0"/>
    <x v="0"/>
    <s v="IN"/>
  </r>
  <r>
    <n v="994"/>
    <x v="939"/>
    <d v="2023-02-13T00:00:00"/>
    <x v="5"/>
    <x v="2"/>
    <s v="Amazon"/>
    <x v="0"/>
    <x v="1"/>
    <x v="11"/>
    <s v="SET345-KR-NP-M"/>
    <x v="0"/>
    <s v="M"/>
    <n v="1"/>
    <s v="INR"/>
    <n v="626"/>
    <x v="161"/>
    <x v="3"/>
    <s v="IN"/>
  </r>
  <r>
    <n v="995"/>
    <x v="940"/>
    <d v="2024-07-01T00:00:00"/>
    <x v="11"/>
    <x v="2"/>
    <s v="Amazon"/>
    <x v="0"/>
    <x v="1"/>
    <x v="22"/>
    <s v="J0278-SET-XXXL"/>
    <x v="0"/>
    <s v="3XL"/>
    <n v="1"/>
    <s v="INR"/>
    <n v="761"/>
    <x v="7"/>
    <x v="6"/>
    <s v="IN"/>
  </r>
  <r>
    <n v="996"/>
    <x v="941"/>
    <d v="2023-03-16T00:00:00"/>
    <x v="6"/>
    <x v="2"/>
    <s v="Amazon"/>
    <x v="0"/>
    <x v="1"/>
    <x v="0"/>
    <s v="J0002-SKD-XL"/>
    <x v="0"/>
    <s v="XL"/>
    <n v="1"/>
    <s v="INR"/>
    <n v="1186"/>
    <x v="7"/>
    <x v="6"/>
    <s v="IN"/>
  </r>
  <r>
    <n v="997"/>
    <x v="942"/>
    <d v="2023-10-15T00:00:00"/>
    <x v="10"/>
    <x v="1"/>
    <s v="Merchant"/>
    <x v="0"/>
    <x v="0"/>
    <x v="12"/>
    <s v="J0004-SKD-XL"/>
    <x v="0"/>
    <s v="XL"/>
    <n v="1"/>
    <s v="INR"/>
    <n v="1186"/>
    <x v="7"/>
    <x v="6"/>
    <s v="IN"/>
  </r>
  <r>
    <n v="998"/>
    <x v="942"/>
    <d v="2023-02-13T00:00:00"/>
    <x v="5"/>
    <x v="1"/>
    <s v="Merchant"/>
    <x v="0"/>
    <x v="0"/>
    <x v="4"/>
    <s v="J0234-SKD-L"/>
    <x v="0"/>
    <s v="L"/>
    <n v="1"/>
    <s v="INR"/>
    <n v="1213"/>
    <x v="7"/>
    <x v="6"/>
    <s v="I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0"/>
    <s v="405-8078784-5731545"/>
    <d v="2023-03-29T00:00:00"/>
    <x v="0"/>
    <s v="Cancelled"/>
    <s v="Merchant"/>
    <x v="0"/>
    <x v="0"/>
    <n v="46"/>
    <s v="SET389-KR-NP-S"/>
    <x v="0"/>
    <s v="S"/>
    <n v="0"/>
    <s v="INR"/>
    <n v="647.62"/>
    <s v="MUMBAI"/>
    <x v="0"/>
    <s v="IN"/>
  </r>
  <r>
    <n v="1"/>
    <s v="171-9198151-1101146"/>
    <d v="2024-11-19T00:00:00"/>
    <x v="1"/>
    <s v="Shipped - Delivered to Buyer"/>
    <s v="Merchant"/>
    <x v="1"/>
    <x v="0"/>
    <n v="24"/>
    <s v="JNE3781-KR-XXXL"/>
    <x v="1"/>
    <s v="3XL"/>
    <n v="1"/>
    <s v="INR"/>
    <n v="406"/>
    <s v="BENGALURU"/>
    <x v="1"/>
    <s v="IN"/>
  </r>
  <r>
    <n v="2"/>
    <s v="404-0687676-7273146"/>
    <d v="2023-09-05T00:00:00"/>
    <x v="2"/>
    <s v="Shipped"/>
    <s v="Amazon"/>
    <x v="1"/>
    <x v="1"/>
    <n v="57"/>
    <s v="JNE3371-KR-XL"/>
    <x v="1"/>
    <s v="XL"/>
    <n v="1"/>
    <s v="INR"/>
    <n v="329"/>
    <s v="NAVI MUMBAI"/>
    <x v="0"/>
    <s v="IN"/>
  </r>
  <r>
    <n v="3"/>
    <s v="403-9615377-8133951"/>
    <d v="2024-08-21T00:00:00"/>
    <x v="3"/>
    <s v="Cancelled"/>
    <s v="Merchant"/>
    <x v="0"/>
    <x v="2"/>
    <n v="45"/>
    <s v="J0341-DR-L"/>
    <x v="2"/>
    <s v="L"/>
    <n v="0"/>
    <s v="INR"/>
    <n v="753.33"/>
    <s v="PUDUCHERRY"/>
    <x v="2"/>
    <s v="IN"/>
  </r>
  <r>
    <n v="4"/>
    <s v="407-1069790-7240320"/>
    <d v="2023-02-03T00:00:00"/>
    <x v="4"/>
    <s v="Shipped"/>
    <s v="Amazon"/>
    <x v="0"/>
    <x v="1"/>
    <n v="28"/>
    <s v="JNE3671-TU-XXXL"/>
    <x v="3"/>
    <s v="3XL"/>
    <n v="1"/>
    <s v="INR"/>
    <n v="574"/>
    <s v="CHENNAI"/>
    <x v="3"/>
    <s v="IN"/>
  </r>
  <r>
    <n v="5"/>
    <s v="404-1490984-4578765"/>
    <d v="2023-10-20T00:00:00"/>
    <x v="5"/>
    <s v="Shipped"/>
    <s v="Amazon"/>
    <x v="0"/>
    <x v="1"/>
    <n v="33"/>
    <s v="SET264-KR-NP-XL"/>
    <x v="0"/>
    <s v="XL"/>
    <n v="1"/>
    <s v="INR"/>
    <n v="824"/>
    <s v="GHAZIABAD"/>
    <x v="4"/>
    <s v="IN"/>
  </r>
  <r>
    <n v="6"/>
    <s v="408-5748499-6859555"/>
    <d v="2024-06-09T00:00:00"/>
    <x v="6"/>
    <s v="Shipped"/>
    <s v="Amazon"/>
    <x v="0"/>
    <x v="1"/>
    <n v="42"/>
    <s v="J0095-SET-L"/>
    <x v="0"/>
    <s v="L"/>
    <n v="1"/>
    <s v="INR"/>
    <n v="653"/>
    <s v="CHANDIGARH"/>
    <x v="5"/>
    <s v="IN"/>
  </r>
  <r>
    <n v="7"/>
    <s v="406-7807733-3785945"/>
    <d v="2024-01-14T00:00:00"/>
    <x v="7"/>
    <s v="Shipped - Delivered to Buyer"/>
    <s v="Merchant"/>
    <x v="1"/>
    <x v="2"/>
    <n v="46"/>
    <s v="JNE3405-KR-S"/>
    <x v="1"/>
    <s v="S"/>
    <n v="1"/>
    <s v="INR"/>
    <n v="399"/>
    <s v="HYDERABAD"/>
    <x v="6"/>
    <s v="IN"/>
  </r>
  <r>
    <n v="8"/>
    <s v="407-5443024-5233168"/>
    <d v="2023-04-04T00:00:00"/>
    <x v="8"/>
    <s v="Cancelled"/>
    <s v="Amazon"/>
    <x v="0"/>
    <x v="1"/>
    <n v="29"/>
    <s v="SET200-KR-NP-A-XXXL"/>
    <x v="0"/>
    <s v="3XL"/>
    <n v="0"/>
    <m/>
    <m/>
    <s v="HYDERABAD"/>
    <x v="6"/>
    <s v="IN"/>
  </r>
  <r>
    <n v="9"/>
    <s v="402-4393761-0311520"/>
    <d v="2024-09-12T00:00:00"/>
    <x v="2"/>
    <s v="Shipped"/>
    <s v="Amazon"/>
    <x v="1"/>
    <x v="1"/>
    <n v="47"/>
    <s v="JNE3461-KR-XXL"/>
    <x v="1"/>
    <s v="XXL"/>
    <n v="1"/>
    <s v="INR"/>
    <n v="363"/>
    <s v="CHENNAI"/>
    <x v="3"/>
    <s v="IN"/>
  </r>
  <r>
    <n v="10"/>
    <s v="407-5633625-6970741"/>
    <d v="2023-05-30T00:00:00"/>
    <x v="9"/>
    <s v="Shipped"/>
    <s v="Amazon"/>
    <x v="1"/>
    <x v="1"/>
    <n v="35"/>
    <s v="JNE3160-KR-G-S"/>
    <x v="1"/>
    <s v="S"/>
    <n v="1"/>
    <s v="INR"/>
    <n v="685"/>
    <s v="CHENNAI"/>
    <x v="3"/>
    <s v="IN"/>
  </r>
  <r>
    <n v="11"/>
    <s v="171-4638481-6326716"/>
    <d v="2024-10-13T00:00:00"/>
    <x v="5"/>
    <s v="Shipped"/>
    <s v="Amazon"/>
    <x v="1"/>
    <x v="1"/>
    <n v="48"/>
    <s v="JNE3500-KR-XS"/>
    <x v="1"/>
    <s v="XS"/>
    <n v="1"/>
    <s v="INR"/>
    <n v="364"/>
    <s v="NOIDA"/>
    <x v="4"/>
    <s v="IN"/>
  </r>
  <r>
    <n v="12"/>
    <s v="405-5513694-8146768"/>
    <d v="2024-01-16T00:00:00"/>
    <x v="7"/>
    <s v="Shipped - Delivered to Buyer"/>
    <s v="Merchant"/>
    <x v="1"/>
    <x v="2"/>
    <n v="47"/>
    <s v="JNE3405-KR-XS"/>
    <x v="1"/>
    <s v="XS"/>
    <n v="1"/>
    <s v="INR"/>
    <n v="399"/>
    <s v="Amravati."/>
    <x v="0"/>
    <s v="IN"/>
  </r>
  <r>
    <n v="13"/>
    <s v="408-7955685-3083534"/>
    <d v="2024-03-28T00:00:00"/>
    <x v="0"/>
    <s v="Shipped"/>
    <s v="Amazon"/>
    <x v="0"/>
    <x v="1"/>
    <n v="20"/>
    <s v="SET182-KR-DH-XS"/>
    <x v="0"/>
    <s v="XS"/>
    <n v="1"/>
    <s v="INR"/>
    <n v="657"/>
    <s v="MUMBAI"/>
    <x v="0"/>
    <s v="IN"/>
  </r>
  <r>
    <n v="14"/>
    <s v="408-1298370-1920302"/>
    <d v="2024-06-12T00:00:00"/>
    <x v="6"/>
    <s v="Shipped - Delivered to Buyer"/>
    <s v="Merchant"/>
    <x v="0"/>
    <x v="2"/>
    <n v="39"/>
    <s v="J0351-SET-L"/>
    <x v="0"/>
    <s v="L"/>
    <n v="1"/>
    <s v="INR"/>
    <n v="771"/>
    <s v="MUMBAI"/>
    <x v="0"/>
    <s v="IN"/>
  </r>
  <r>
    <n v="15"/>
    <s v="403-4965581-9520319"/>
    <d v="2024-02-03T00:00:00"/>
    <x v="4"/>
    <s v="Shipped - Delivered to Buyer"/>
    <s v="Merchant"/>
    <x v="1"/>
    <x v="2"/>
    <n v="51"/>
    <s v="PJNE3368-KR-6XL"/>
    <x v="1"/>
    <s v="6XL"/>
    <n v="1"/>
    <s v="INR"/>
    <n v="544"/>
    <s v="GUNTAKAL"/>
    <x v="7"/>
    <s v="IN"/>
  </r>
  <r>
    <n v="16"/>
    <s v="406-9379318-6555504"/>
    <d v="2024-10-10T00:00:00"/>
    <x v="5"/>
    <s v="Shipped"/>
    <s v="Amazon"/>
    <x v="1"/>
    <x v="1"/>
    <n v="19"/>
    <s v="JNE3721-KR-XXL"/>
    <x v="1"/>
    <s v="XXL"/>
    <n v="1"/>
    <s v="INR"/>
    <n v="329"/>
    <s v="JAIPUR"/>
    <x v="8"/>
    <s v="IN"/>
  </r>
  <r>
    <n v="17"/>
    <s v="405-9013803-8009918"/>
    <d v="2023-03-29T00:00:00"/>
    <x v="0"/>
    <s v="Shipped"/>
    <s v="Amazon"/>
    <x v="1"/>
    <x v="1"/>
    <n v="44"/>
    <s v="JNE3405-KR-XL"/>
    <x v="1"/>
    <s v="XL"/>
    <n v="1"/>
    <s v="INR"/>
    <n v="399"/>
    <s v="NEW DELHI"/>
    <x v="9"/>
    <s v="IN"/>
  </r>
  <r>
    <n v="18"/>
    <s v="402-4030358-5835511"/>
    <d v="2024-10-01T00:00:00"/>
    <x v="5"/>
    <s v="Shipped - Delivered to Buyer"/>
    <s v="Merchant"/>
    <x v="1"/>
    <x v="0"/>
    <n v="19"/>
    <s v="JNE3697-KR-XXL"/>
    <x v="1"/>
    <s v="XXL"/>
    <n v="1"/>
    <s v="INR"/>
    <n v="458"/>
    <s v="Gurgaon"/>
    <x v="10"/>
    <s v="IN"/>
  </r>
  <r>
    <n v="19"/>
    <s v="405-5957858-1051546"/>
    <d v="2023-06-25T00:00:00"/>
    <x v="6"/>
    <s v="Shipped"/>
    <s v="Amazon"/>
    <x v="0"/>
    <x v="1"/>
    <n v="42"/>
    <s v="SET254-KR-NP-XS"/>
    <x v="0"/>
    <s v="XS"/>
    <n v="1"/>
    <s v="INR"/>
    <n v="886"/>
    <s v="BENGALURU"/>
    <x v="1"/>
    <s v="IN"/>
  </r>
  <r>
    <n v="20"/>
    <s v="405-0607769-0716360"/>
    <d v="2024-07-04T00:00:00"/>
    <x v="10"/>
    <s v="Shipped"/>
    <s v="Amazon"/>
    <x v="1"/>
    <x v="1"/>
    <n v="37"/>
    <s v="JNE3795-KR-XXXL"/>
    <x v="1"/>
    <s v="3XL"/>
    <n v="1"/>
    <s v="INR"/>
    <n v="517"/>
    <s v="TIRUCHIRAPPALLI"/>
    <x v="3"/>
    <s v="IN"/>
  </r>
  <r>
    <n v="21"/>
    <s v="404-8494550-5860325"/>
    <d v="2023-12-13T00:00:00"/>
    <x v="11"/>
    <s v="Shipped"/>
    <s v="Amazon"/>
    <x v="0"/>
    <x v="1"/>
    <n v="55"/>
    <s v="SET345-KR-NP-M"/>
    <x v="0"/>
    <s v="M"/>
    <n v="1"/>
    <s v="INR"/>
    <n v="666"/>
    <s v="BENGALURU"/>
    <x v="1"/>
    <s v="IN"/>
  </r>
  <r>
    <n v="22"/>
    <s v="171-1305077-2813934"/>
    <d v="2024-03-17T00:00:00"/>
    <x v="0"/>
    <s v="Shipped"/>
    <s v="Amazon"/>
    <x v="1"/>
    <x v="1"/>
    <n v="58"/>
    <s v="JNE3373-KR-L"/>
    <x v="1"/>
    <s v="L"/>
    <n v="1"/>
    <s v="INR"/>
    <n v="376"/>
    <s v="HYDERABAD"/>
    <x v="6"/>
    <s v="IN"/>
  </r>
  <r>
    <n v="23"/>
    <s v="404-6019946-2909948"/>
    <d v="2023-04-23T00:00:00"/>
    <x v="8"/>
    <s v="Cancelled"/>
    <s v="Merchant"/>
    <x v="0"/>
    <x v="2"/>
    <n v="57"/>
    <s v="SET291-KR-PP-M"/>
    <x v="0"/>
    <s v="M"/>
    <n v="0"/>
    <s v="INR"/>
    <n v="570.48"/>
    <s v="pune"/>
    <x v="0"/>
    <s v="IN"/>
  </r>
  <r>
    <n v="24"/>
    <s v="402-3384087-4005164"/>
    <d v="2023-04-08T00:00:00"/>
    <x v="8"/>
    <s v="Shipped"/>
    <s v="Amazon"/>
    <x v="1"/>
    <x v="1"/>
    <n v="37"/>
    <s v="MEN5002-KR-L"/>
    <x v="1"/>
    <s v="L"/>
    <n v="1"/>
    <s v="INR"/>
    <n v="499"/>
    <s v="TEZPUR"/>
    <x v="11"/>
    <s v="IN"/>
  </r>
  <r>
    <n v="25"/>
    <s v="405-8191138-5176316"/>
    <d v="2023-01-17T00:00:00"/>
    <x v="7"/>
    <s v="Shipped - Delivered to Buyer"/>
    <s v="Merchant"/>
    <x v="0"/>
    <x v="2"/>
    <n v="56"/>
    <s v="NW030-TP-PJ-XS"/>
    <x v="0"/>
    <s v="XS"/>
    <n v="1"/>
    <s v="INR"/>
    <n v="582"/>
    <s v="RANCHI"/>
    <x v="12"/>
    <s v="IN"/>
  </r>
  <r>
    <n v="26"/>
    <s v="403-9230474-9657916"/>
    <d v="2023-02-11T00:00:00"/>
    <x v="4"/>
    <s v="Shipped - Delivered to Buyer"/>
    <s v="Merchant"/>
    <x v="1"/>
    <x v="0"/>
    <n v="31"/>
    <s v="JNE3415-KR-XXXL"/>
    <x v="1"/>
    <s v="3XL"/>
    <n v="1"/>
    <s v="INR"/>
    <n v="299"/>
    <s v="BILASPUR"/>
    <x v="13"/>
    <s v="IN"/>
  </r>
  <r>
    <n v="27"/>
    <s v="408-3484251-6901959"/>
    <d v="2024-02-09T00:00:00"/>
    <x v="4"/>
    <s v="Shipped"/>
    <s v="Amazon"/>
    <x v="1"/>
    <x v="1"/>
    <n v="24"/>
    <s v="PJNE2199-KR-N-4XL"/>
    <x v="1"/>
    <s v="4XL"/>
    <n v="1"/>
    <s v="INR"/>
    <n v="459"/>
    <s v="pune"/>
    <x v="0"/>
    <s v="IN"/>
  </r>
  <r>
    <n v="28"/>
    <s v="405-7755803-4729935"/>
    <d v="2023-08-29T00:00:00"/>
    <x v="3"/>
    <s v="Shipped"/>
    <s v="Amazon"/>
    <x v="1"/>
    <x v="1"/>
    <n v="21"/>
    <s v="JNE3567-KR-M"/>
    <x v="1"/>
    <s v="M"/>
    <n v="1"/>
    <s v="INR"/>
    <n v="399"/>
    <s v="BENGALURU"/>
    <x v="1"/>
    <s v="IN"/>
  </r>
  <r>
    <n v="29"/>
    <s v="404-5933402-8801952"/>
    <d v="2023-12-22T00:00:00"/>
    <x v="11"/>
    <s v="Cancelled"/>
    <s v="Merchant"/>
    <x v="1"/>
    <x v="0"/>
    <n v="51"/>
    <s v="JNE2132-KR-398-XXXL"/>
    <x v="1"/>
    <s v="3XL"/>
    <n v="0"/>
    <m/>
    <m/>
    <s v="GUWAHATI"/>
    <x v="11"/>
    <s v="IN"/>
  </r>
  <r>
    <n v="30"/>
    <s v="171-9040274-9291563"/>
    <d v="2024-12-10T00:00:00"/>
    <x v="11"/>
    <s v="Shipped"/>
    <s v="Amazon"/>
    <x v="0"/>
    <x v="1"/>
    <n v="19"/>
    <s v="J0341-DR-S"/>
    <x v="2"/>
    <s v="S"/>
    <n v="1"/>
    <s v="INR"/>
    <n v="791"/>
    <s v="THIRUVARUR"/>
    <x v="3"/>
    <s v="IN"/>
  </r>
  <r>
    <n v="31"/>
    <s v="403-7056319-0979561"/>
    <d v="2023-09-04T00:00:00"/>
    <x v="2"/>
    <s v="Shipped"/>
    <s v="Amazon"/>
    <x v="1"/>
    <x v="1"/>
    <n v="53"/>
    <s v="MEN5009-KR-XL"/>
    <x v="1"/>
    <s v="XL"/>
    <n v="1"/>
    <s v="INR"/>
    <n v="499"/>
    <s v="LUCKNOW"/>
    <x v="4"/>
    <s v="IN"/>
  </r>
  <r>
    <n v="32"/>
    <s v="404-9632124-1107550"/>
    <d v="2023-01-16T00:00:00"/>
    <x v="7"/>
    <s v="Shipped - Delivered to Buyer"/>
    <s v="Merchant"/>
    <x v="0"/>
    <x v="0"/>
    <n v="26"/>
    <s v="J0011-LCD-M"/>
    <x v="0"/>
    <s v="M"/>
    <n v="1"/>
    <s v="INR"/>
    <n v="1233"/>
    <s v="VISAKHAPATNAM"/>
    <x v="7"/>
    <s v="IN"/>
  </r>
  <r>
    <n v="33"/>
    <s v="402-1465437-0579556"/>
    <d v="2024-12-14T00:00:00"/>
    <x v="11"/>
    <s v="Shipped - Delivered to Buyer"/>
    <s v="Merchant"/>
    <x v="1"/>
    <x v="0"/>
    <n v="29"/>
    <s v="JNE3766-KR-M"/>
    <x v="1"/>
    <s v="M"/>
    <n v="1"/>
    <s v="INR"/>
    <n v="517"/>
    <s v="JEYPUR"/>
    <x v="14"/>
    <s v="IN"/>
  </r>
  <r>
    <n v="34"/>
    <s v="404-7774085-3780319"/>
    <d v="2023-02-03T00:00:00"/>
    <x v="4"/>
    <s v="Shipped"/>
    <s v="Amazon"/>
    <x v="1"/>
    <x v="1"/>
    <n v="59"/>
    <s v="JNE3373-KR-XL"/>
    <x v="1"/>
    <s v="XL"/>
    <n v="1"/>
    <s v="INR"/>
    <n v="376"/>
    <s v="HYDERABAD"/>
    <x v="6"/>
    <s v="IN"/>
  </r>
  <r>
    <n v="35"/>
    <s v="402-2764952-1492318"/>
    <d v="2023-06-25T00:00:00"/>
    <x v="6"/>
    <s v="Shipped - Delivered to Buyer"/>
    <s v="Merchant"/>
    <x v="1"/>
    <x v="0"/>
    <n v="25"/>
    <s v="MEN5001-KR-XL"/>
    <x v="1"/>
    <s v="XL"/>
    <n v="1"/>
    <s v="INR"/>
    <n v="499"/>
    <s v="LUCKNOW"/>
    <x v="4"/>
    <s v="IN"/>
  </r>
  <r>
    <n v="36"/>
    <s v="406-0272200-7784379"/>
    <d v="2024-09-16T00:00:00"/>
    <x v="2"/>
    <s v="Shipped"/>
    <s v="Amazon"/>
    <x v="0"/>
    <x v="1"/>
    <n v="22"/>
    <s v="SET345-KR-NP-L"/>
    <x v="0"/>
    <s v="L"/>
    <n v="1"/>
    <s v="INR"/>
    <n v="666"/>
    <s v="CHENNAI"/>
    <x v="3"/>
    <s v="IN"/>
  </r>
  <r>
    <n v="37"/>
    <s v="403-4367956-2849158"/>
    <d v="2023-10-10T00:00:00"/>
    <x v="5"/>
    <s v="Shipped"/>
    <s v="Amazon"/>
    <x v="1"/>
    <x v="1"/>
    <n v="37"/>
    <s v="JNE3787-KR-S"/>
    <x v="1"/>
    <s v="S"/>
    <n v="1"/>
    <s v="INR"/>
    <n v="487"/>
    <s v="NEW DELHI"/>
    <x v="9"/>
    <s v="IN"/>
  </r>
  <r>
    <n v="38"/>
    <s v="403-4367956-2849158"/>
    <d v="2024-10-06T00:00:00"/>
    <x v="5"/>
    <s v="Shipped"/>
    <s v="Amazon"/>
    <x v="1"/>
    <x v="1"/>
    <n v="52"/>
    <s v="JNE3543-KR-S"/>
    <x v="1"/>
    <s v="S"/>
    <n v="1"/>
    <s v="INR"/>
    <n v="368"/>
    <s v="NEW DELHI"/>
    <x v="9"/>
    <s v="IN"/>
  </r>
  <r>
    <n v="39"/>
    <s v="403-4242957-8599555"/>
    <d v="2024-12-06T00:00:00"/>
    <x v="11"/>
    <s v="Shipped"/>
    <s v="Amazon"/>
    <x v="1"/>
    <x v="1"/>
    <n v="53"/>
    <s v="JNE3405-KR-L"/>
    <x v="1"/>
    <s v="L"/>
    <n v="1"/>
    <s v="INR"/>
    <n v="399"/>
    <s v="THIRUVANANTHAPURAM"/>
    <x v="15"/>
    <s v="IN"/>
  </r>
  <r>
    <n v="40"/>
    <s v="408-7165704-5643524"/>
    <d v="2024-03-28T00:00:00"/>
    <x v="0"/>
    <s v="Shipped"/>
    <s v="Amazon"/>
    <x v="0"/>
    <x v="1"/>
    <n v="19"/>
    <s v="J0211-DR-XXL"/>
    <x v="4"/>
    <s v="XXL"/>
    <n v="1"/>
    <s v="INR"/>
    <n v="699"/>
    <s v="GREATER NOIDA"/>
    <x v="4"/>
    <s v="IN"/>
  </r>
  <r>
    <n v="41"/>
    <s v="402-8210765-3935569"/>
    <d v="2024-04-01T00:00:00"/>
    <x v="8"/>
    <s v="Shipped"/>
    <s v="Amazon"/>
    <x v="0"/>
    <x v="1"/>
    <n v="57"/>
    <s v="J0401-DR-XXXL"/>
    <x v="2"/>
    <s v="3XL"/>
    <n v="1"/>
    <s v="INR"/>
    <n v="885"/>
    <s v="JABALPUR"/>
    <x v="16"/>
    <s v="IN"/>
  </r>
  <r>
    <n v="42"/>
    <s v="406-7398201-3869914"/>
    <d v="2024-01-15T00:00:00"/>
    <x v="7"/>
    <s v="Shipped - Delivered to Buyer"/>
    <s v="Merchant"/>
    <x v="1"/>
    <x v="2"/>
    <n v="58"/>
    <s v="JNE2153-KR-278-A-M"/>
    <x v="1"/>
    <s v="M"/>
    <n v="1"/>
    <s v="INR"/>
    <n v="424"/>
    <s v="MUMBAI"/>
    <x v="0"/>
    <s v="IN"/>
  </r>
  <r>
    <n v="43"/>
    <s v="408-3478480-0881162"/>
    <d v="2023-08-02T00:00:00"/>
    <x v="3"/>
    <s v="Shipped"/>
    <s v="Amazon"/>
    <x v="0"/>
    <x v="1"/>
    <n v="48"/>
    <s v="SET360-KR-NP-M"/>
    <x v="0"/>
    <s v="M"/>
    <n v="1"/>
    <s v="INR"/>
    <n v="1126"/>
    <s v="LUCKNOW"/>
    <x v="4"/>
    <s v="IN"/>
  </r>
  <r>
    <n v="44"/>
    <s v="402-7595162-9129931"/>
    <d v="2024-04-30T00:00:00"/>
    <x v="8"/>
    <s v="Shipped"/>
    <s v="Amazon"/>
    <x v="0"/>
    <x v="1"/>
    <n v="46"/>
    <s v="SET268-KR-NP-L"/>
    <x v="0"/>
    <s v="L"/>
    <n v="1"/>
    <s v="INR"/>
    <n v="788"/>
    <s v="MUMBAI"/>
    <x v="0"/>
    <s v="IN"/>
  </r>
  <r>
    <n v="45"/>
    <s v="171-6876154-6233146"/>
    <d v="2024-03-22T00:00:00"/>
    <x v="0"/>
    <s v="Shipped"/>
    <s v="Amazon"/>
    <x v="0"/>
    <x v="1"/>
    <n v="32"/>
    <s v="SET183-KR-DH-S"/>
    <x v="0"/>
    <s v="S"/>
    <n v="1"/>
    <s v="INR"/>
    <n v="759"/>
    <s v="KOLKATA"/>
    <x v="17"/>
    <s v="IN"/>
  </r>
  <r>
    <n v="46"/>
    <s v="408-3917043-5314763"/>
    <d v="2024-09-22T00:00:00"/>
    <x v="2"/>
    <s v="Shipped"/>
    <s v="Amazon"/>
    <x v="0"/>
    <x v="1"/>
    <n v="50"/>
    <s v="J0230-SKD-L"/>
    <x v="0"/>
    <s v="L"/>
    <n v="1"/>
    <s v="INR"/>
    <n v="1146"/>
    <s v="ONGOLE"/>
    <x v="7"/>
    <s v="IN"/>
  </r>
  <r>
    <n v="47"/>
    <s v="408-9281152-6213100"/>
    <d v="2023-06-20T00:00:00"/>
    <x v="6"/>
    <s v="Shipped"/>
    <s v="Amazon"/>
    <x v="0"/>
    <x v="1"/>
    <n v="49"/>
    <s v="JNE3744-TU-S"/>
    <x v="3"/>
    <s v="S"/>
    <n v="1"/>
    <s v="INR"/>
    <n v="665"/>
    <s v="SECUNDERABAD"/>
    <x v="6"/>
    <s v="IN"/>
  </r>
  <r>
    <n v="48"/>
    <s v="403-3496411-3082707"/>
    <d v="2023-11-10T00:00:00"/>
    <x v="1"/>
    <s v="Shipped"/>
    <s v="Amazon"/>
    <x v="1"/>
    <x v="1"/>
    <n v="34"/>
    <s v="JNE3510-KR-S"/>
    <x v="1"/>
    <s v="S"/>
    <n v="1"/>
    <s v="INR"/>
    <n v="429"/>
    <s v="HYDERABAD"/>
    <x v="6"/>
    <s v="IN"/>
  </r>
  <r>
    <n v="49"/>
    <s v="171-9208368-0157156"/>
    <d v="2023-05-26T00:00:00"/>
    <x v="9"/>
    <s v="Shipped - Delivered to Buyer"/>
    <s v="Merchant"/>
    <x v="1"/>
    <x v="2"/>
    <n v="50"/>
    <s v="JNE3405-KR-M"/>
    <x v="1"/>
    <s v="M"/>
    <n v="1"/>
    <s v="INR"/>
    <n v="399"/>
    <s v="KEWALPUR"/>
    <x v="4"/>
    <s v="IN"/>
  </r>
  <r>
    <n v="50"/>
    <s v="408-2137113-0982751"/>
    <d v="2023-07-17T00:00:00"/>
    <x v="10"/>
    <s v="Shipped"/>
    <s v="Amazon"/>
    <x v="0"/>
    <x v="1"/>
    <n v="25"/>
    <s v="J0186-SET-S"/>
    <x v="0"/>
    <s v="S"/>
    <n v="1"/>
    <s v="INR"/>
    <n v="848"/>
    <s v="CUTTACK"/>
    <x v="14"/>
    <s v="IN"/>
  </r>
  <r>
    <n v="51"/>
    <s v="402-3628566-9688333"/>
    <d v="2023-12-02T00:00:00"/>
    <x v="11"/>
    <s v="Shipped"/>
    <s v="Amazon"/>
    <x v="0"/>
    <x v="1"/>
    <n v="45"/>
    <s v="J0003-SET-M"/>
    <x v="0"/>
    <s v="M"/>
    <n v="1"/>
    <s v="INR"/>
    <n v="654"/>
    <s v="BADLAPUR"/>
    <x v="0"/>
    <s v="IN"/>
  </r>
  <r>
    <n v="52"/>
    <s v="408-7138000-9728362"/>
    <d v="2023-05-02T00:00:00"/>
    <x v="9"/>
    <s v="Shipped"/>
    <s v="Amazon"/>
    <x v="0"/>
    <x v="1"/>
    <n v="19"/>
    <s v="SET282-KR-PP-M"/>
    <x v="0"/>
    <s v="M"/>
    <n v="1"/>
    <s v="INR"/>
    <n v="1033"/>
    <s v="dimapur"/>
    <x v="18"/>
    <s v="IN"/>
  </r>
  <r>
    <n v="53"/>
    <s v="402-1752649-2274748"/>
    <d v="2024-09-21T00:00:00"/>
    <x v="2"/>
    <s v="Shipped"/>
    <s v="Amazon"/>
    <x v="1"/>
    <x v="1"/>
    <n v="24"/>
    <s v="JNE1407-BLACK-KR-UDF18-XL"/>
    <x v="1"/>
    <s v="XL"/>
    <n v="1"/>
    <s v="INR"/>
    <n v="390"/>
    <s v="BENGALURU"/>
    <x v="1"/>
    <s v="IN"/>
  </r>
  <r>
    <n v="54"/>
    <s v="402-7944191-1869101"/>
    <d v="2023-08-23T00:00:00"/>
    <x v="3"/>
    <s v="Shipped"/>
    <s v="Amazon"/>
    <x v="0"/>
    <x v="1"/>
    <n v="55"/>
    <s v="J0301-TP-L"/>
    <x v="3"/>
    <s v="L"/>
    <n v="1"/>
    <s v="INR"/>
    <n v="493"/>
    <s v="BENGALURU"/>
    <x v="1"/>
    <s v="IN"/>
  </r>
  <r>
    <n v="55"/>
    <s v="407-4063876-9566742"/>
    <d v="2024-10-20T00:00:00"/>
    <x v="5"/>
    <s v="Shipped"/>
    <s v="Amazon"/>
    <x v="0"/>
    <x v="1"/>
    <n v="58"/>
    <s v="JNE3869-DR-S"/>
    <x v="2"/>
    <s v="S"/>
    <n v="1"/>
    <s v="INR"/>
    <n v="721"/>
    <s v="WARANGAL"/>
    <x v="6"/>
    <s v="IN"/>
  </r>
  <r>
    <n v="56"/>
    <s v="403-0752752-4656334"/>
    <d v="2024-03-20T00:00:00"/>
    <x v="0"/>
    <s v="Shipped"/>
    <s v="Amazon"/>
    <x v="0"/>
    <x v="1"/>
    <n v="35"/>
    <s v="SET324-KR-NP-XS"/>
    <x v="0"/>
    <s v="XS"/>
    <n v="1"/>
    <s v="INR"/>
    <n v="597"/>
    <s v="DHAULPUR"/>
    <x v="8"/>
    <s v="IN"/>
  </r>
  <r>
    <n v="57"/>
    <s v="406-8879861-2081117"/>
    <d v="2024-07-24T00:00:00"/>
    <x v="10"/>
    <s v="Shipped"/>
    <s v="Amazon"/>
    <x v="1"/>
    <x v="1"/>
    <n v="55"/>
    <s v="JNE3405-KR-L"/>
    <x v="1"/>
    <s v="L"/>
    <n v="1"/>
    <s v="INR"/>
    <n v="399"/>
    <s v="GUWAHATI"/>
    <x v="11"/>
    <s v="IN"/>
  </r>
  <r>
    <n v="58"/>
    <s v="406-8089333-7941903"/>
    <d v="2023-12-06T00:00:00"/>
    <x v="11"/>
    <s v="Shipped"/>
    <s v="Amazon"/>
    <x v="0"/>
    <x v="1"/>
    <n v="18"/>
    <s v="SET279-LC-S"/>
    <x v="0"/>
    <s v="S"/>
    <n v="1"/>
    <s v="INR"/>
    <n v="888"/>
    <s v="Bengaluru"/>
    <x v="1"/>
    <s v="IN"/>
  </r>
  <r>
    <n v="59"/>
    <s v="171-3072652-6805159"/>
    <d v="2024-03-04T00:00:00"/>
    <x v="0"/>
    <s v="Shipped"/>
    <s v="Amazon"/>
    <x v="1"/>
    <x v="1"/>
    <n v="37"/>
    <s v="JNE2014-KR-178-XXL"/>
    <x v="1"/>
    <s v="XXL"/>
    <n v="1"/>
    <s v="INR"/>
    <n v="353"/>
    <s v="HYDERABAD"/>
    <x v="6"/>
    <s v="IN"/>
  </r>
  <r>
    <n v="60"/>
    <s v="171-2592464-6846743"/>
    <d v="2024-01-31T00:00:00"/>
    <x v="7"/>
    <s v="Shipped - Delivered to Buyer"/>
    <s v="Merchant"/>
    <x v="0"/>
    <x v="2"/>
    <n v="22"/>
    <s v="NW005-ST-PJ-XL"/>
    <x v="0"/>
    <s v="XL"/>
    <n v="1"/>
    <s v="INR"/>
    <n v="599"/>
    <s v="BENGALURU"/>
    <x v="1"/>
    <s v="IN"/>
  </r>
  <r>
    <n v="61"/>
    <s v="404-2262140-4696366"/>
    <d v="2023-03-20T00:00:00"/>
    <x v="0"/>
    <s v="Shipped"/>
    <s v="Amazon"/>
    <x v="1"/>
    <x v="1"/>
    <n v="20"/>
    <s v="JNE2270-KR-487-A-M"/>
    <x v="1"/>
    <s v="M"/>
    <n v="1"/>
    <s v="INR"/>
    <n v="518"/>
    <s v="NAGPUR"/>
    <x v="0"/>
    <s v="IN"/>
  </r>
  <r>
    <n v="62"/>
    <s v="404-2262140-4696366"/>
    <d v="2024-01-07T00:00:00"/>
    <x v="7"/>
    <s v="Shipped"/>
    <s v="Amazon"/>
    <x v="1"/>
    <x v="1"/>
    <n v="38"/>
    <s v="JNE3579-KR-M"/>
    <x v="1"/>
    <s v="M"/>
    <n v="1"/>
    <s v="INR"/>
    <n v="295"/>
    <s v="NAGPUR"/>
    <x v="0"/>
    <s v="IN"/>
  </r>
  <r>
    <n v="63"/>
    <s v="405-3594372-1614709"/>
    <d v="2024-12-01T00:00:00"/>
    <x v="11"/>
    <s v="Shipped"/>
    <s v="Amazon"/>
    <x v="0"/>
    <x v="1"/>
    <n v="51"/>
    <s v="SET347-KR-NP-XS"/>
    <x v="0"/>
    <s v="XS"/>
    <n v="1"/>
    <s v="INR"/>
    <n v="852"/>
    <s v="GREATER NOIDA"/>
    <x v="4"/>
    <s v="IN"/>
  </r>
  <r>
    <n v="64"/>
    <s v="407-2974257-4781134"/>
    <d v="2023-03-05T00:00:00"/>
    <x v="0"/>
    <s v="Shipped"/>
    <s v="Amazon"/>
    <x v="0"/>
    <x v="1"/>
    <n v="46"/>
    <s v="SET264-KR-NP-M"/>
    <x v="0"/>
    <s v="M"/>
    <n v="1"/>
    <s v="INR"/>
    <n v="824"/>
    <s v="THANE"/>
    <x v="0"/>
    <s v="IN"/>
  </r>
  <r>
    <n v="65"/>
    <s v="171-4137548-0481151"/>
    <d v="2023-04-19T00:00:00"/>
    <x v="8"/>
    <s v="Cancelled"/>
    <s v="Amazon"/>
    <x v="1"/>
    <x v="1"/>
    <n v="24"/>
    <s v="JNE3373-KR-XXL"/>
    <x v="1"/>
    <s v="XXL"/>
    <n v="0"/>
    <m/>
    <m/>
    <s v="Dahod"/>
    <x v="19"/>
    <s v="IN"/>
  </r>
  <r>
    <n v="66"/>
    <s v="405-4461562-9113959"/>
    <d v="2024-10-05T00:00:00"/>
    <x v="5"/>
    <s v="Shipped"/>
    <s v="Amazon"/>
    <x v="0"/>
    <x v="1"/>
    <n v="47"/>
    <s v="SET333-KR-DPT-XXL"/>
    <x v="0"/>
    <s v="XXL"/>
    <n v="1"/>
    <s v="INR"/>
    <n v="909"/>
    <s v="RANCHI"/>
    <x v="12"/>
    <s v="IN"/>
  </r>
  <r>
    <n v="67"/>
    <s v="404-4535078-5241919"/>
    <d v="2024-07-20T00:00:00"/>
    <x v="10"/>
    <s v="Shipped"/>
    <s v="Amazon"/>
    <x v="0"/>
    <x v="1"/>
    <n v="57"/>
    <s v="JNE3645-TP-N-L"/>
    <x v="3"/>
    <s v="L"/>
    <n v="1"/>
    <s v="INR"/>
    <n v="432"/>
    <s v="PUNE"/>
    <x v="0"/>
    <s v="IN"/>
  </r>
  <r>
    <n v="68"/>
    <s v="405-8387725-2971512"/>
    <d v="2023-07-25T00:00:00"/>
    <x v="10"/>
    <s v="Shipped"/>
    <s v="Amazon"/>
    <x v="0"/>
    <x v="1"/>
    <n v="42"/>
    <s v="SET233-KR-PP-L"/>
    <x v="0"/>
    <s v="L"/>
    <n v="1"/>
    <s v="INR"/>
    <n v="545"/>
    <s v="BENGALURU"/>
    <x v="1"/>
    <s v="IN"/>
  </r>
  <r>
    <n v="69"/>
    <s v="405-6480932-8759528"/>
    <d v="2024-04-08T00:00:00"/>
    <x v="8"/>
    <s v="Shipped"/>
    <s v="Amazon"/>
    <x v="0"/>
    <x v="1"/>
    <n v="33"/>
    <s v="J0381-SKD-XXXL"/>
    <x v="0"/>
    <s v="3XL"/>
    <n v="1"/>
    <s v="INR"/>
    <n v="1146"/>
    <s v="VIJAPURA"/>
    <x v="1"/>
    <s v="IN"/>
  </r>
  <r>
    <n v="70"/>
    <s v="405-9966506-3155561"/>
    <d v="2024-11-01T00:00:00"/>
    <x v="1"/>
    <s v="Shipped - Delivered to Buyer"/>
    <s v="Merchant"/>
    <x v="1"/>
    <x v="0"/>
    <n v="30"/>
    <s v="JNE3068-KR-A-XL"/>
    <x v="1"/>
    <s v="XL"/>
    <n v="1"/>
    <s v="INR"/>
    <n v="696"/>
    <s v="CHENNAI"/>
    <x v="3"/>
    <s v="IN"/>
  </r>
  <r>
    <n v="71"/>
    <s v="408-7029737-8028367"/>
    <d v="2023-01-29T00:00:00"/>
    <x v="7"/>
    <s v="Shipped"/>
    <s v="Amazon"/>
    <x v="1"/>
    <x v="1"/>
    <n v="37"/>
    <s v="JNE3718-KR-M"/>
    <x v="1"/>
    <s v="M"/>
    <n v="1"/>
    <s v="INR"/>
    <n v="432"/>
    <s v="MUMBAI"/>
    <x v="0"/>
    <s v="IN"/>
  </r>
  <r>
    <n v="72"/>
    <s v="407-2189901-7515567"/>
    <d v="2024-02-21T00:00:00"/>
    <x v="4"/>
    <s v="Shipped - Delivered to Buyer"/>
    <s v="Merchant"/>
    <x v="0"/>
    <x v="0"/>
    <n v="22"/>
    <s v="SET386-KR-NP-S"/>
    <x v="0"/>
    <s v="S"/>
    <n v="1"/>
    <s v="INR"/>
    <n v="631"/>
    <s v="bangalore"/>
    <x v="1"/>
    <s v="IN"/>
  </r>
  <r>
    <n v="73"/>
    <s v="402-2105657-2899562"/>
    <d v="2024-07-20T00:00:00"/>
    <x v="10"/>
    <s v="Shipped"/>
    <s v="Amazon"/>
    <x v="1"/>
    <x v="1"/>
    <n v="19"/>
    <s v="JNE3745-KR-XXL"/>
    <x v="1"/>
    <s v="XXL"/>
    <n v="1"/>
    <s v="INR"/>
    <n v="316"/>
    <s v="BENGALURU"/>
    <x v="1"/>
    <s v="IN"/>
  </r>
  <r>
    <n v="74"/>
    <s v="406-1326801-8886709"/>
    <d v="2023-10-26T00:00:00"/>
    <x v="5"/>
    <s v="Shipped - Delivered to Buyer"/>
    <s v="Merchant"/>
    <x v="1"/>
    <x v="0"/>
    <n v="45"/>
    <s v="JNE3467-KR-XL"/>
    <x v="1"/>
    <s v="XL"/>
    <n v="1"/>
    <s v="INR"/>
    <n v="362"/>
    <s v="BERHAMPUR"/>
    <x v="14"/>
    <s v="IN"/>
  </r>
  <r>
    <n v="75"/>
    <s v="408-7760667-5809130"/>
    <d v="2024-07-01T00:00:00"/>
    <x v="10"/>
    <s v="Shipped"/>
    <s v="Amazon"/>
    <x v="1"/>
    <x v="1"/>
    <n v="33"/>
    <s v="JNE3721-KR-L"/>
    <x v="1"/>
    <s v="L"/>
    <n v="1"/>
    <s v="INR"/>
    <n v="329"/>
    <s v="HYDERABAD"/>
    <x v="6"/>
    <s v="IN"/>
  </r>
  <r>
    <n v="76"/>
    <s v="405-8457623-9269955"/>
    <d v="2024-12-08T00:00:00"/>
    <x v="11"/>
    <s v="Shipped"/>
    <s v="Amazon"/>
    <x v="1"/>
    <x v="1"/>
    <n v="31"/>
    <s v="JNE3405-KR-XXL"/>
    <x v="1"/>
    <s v="XXL"/>
    <n v="1"/>
    <s v="INR"/>
    <n v="399"/>
    <s v="PUNE"/>
    <x v="0"/>
    <s v="IN"/>
  </r>
  <r>
    <n v="77"/>
    <s v="408-6820155-3521913"/>
    <d v="2024-10-11T00:00:00"/>
    <x v="5"/>
    <s v="Shipped"/>
    <s v="Amazon"/>
    <x v="0"/>
    <x v="1"/>
    <n v="43"/>
    <s v="SET295-KR-NP-XXXL"/>
    <x v="0"/>
    <s v="3XL"/>
    <n v="1"/>
    <s v="INR"/>
    <n v="751"/>
    <s v="TEZPUR"/>
    <x v="11"/>
    <s v="IN"/>
  </r>
  <r>
    <n v="78"/>
    <s v="403-6190683-2687538"/>
    <d v="2023-12-20T00:00:00"/>
    <x v="11"/>
    <s v="Shipped"/>
    <s v="Amazon"/>
    <x v="0"/>
    <x v="1"/>
    <n v="28"/>
    <s v="JNE3861-DR-XL"/>
    <x v="2"/>
    <s v="XL"/>
    <n v="1"/>
    <s v="INR"/>
    <n v="791"/>
    <s v="HIMMATNAGAR"/>
    <x v="19"/>
    <s v="IN"/>
  </r>
  <r>
    <n v="79"/>
    <s v="408-4069830-3819562"/>
    <d v="2023-01-22T00:00:00"/>
    <x v="7"/>
    <s v="Shipped"/>
    <s v="Amazon"/>
    <x v="0"/>
    <x v="1"/>
    <n v="24"/>
    <s v="SET288-KR-NP-XXXL"/>
    <x v="0"/>
    <s v="3XL"/>
    <n v="1"/>
    <s v="INR"/>
    <n v="684"/>
    <s v="Kolkata"/>
    <x v="17"/>
    <s v="IN"/>
  </r>
  <r>
    <n v="80"/>
    <s v="408-4069830-3819562"/>
    <d v="2024-04-15T00:00:00"/>
    <x v="8"/>
    <s v="Shipped"/>
    <s v="Amazon"/>
    <x v="0"/>
    <x v="1"/>
    <n v="37"/>
    <s v="SET394-KR-NP-XXXL"/>
    <x v="0"/>
    <s v="3XL"/>
    <n v="1"/>
    <s v="INR"/>
    <n v="1281"/>
    <s v="Kolkata"/>
    <x v="17"/>
    <s v="IN"/>
  </r>
  <r>
    <n v="81"/>
    <s v="408-4069830-3819562"/>
    <d v="2024-09-29T00:00:00"/>
    <x v="2"/>
    <s v="Shipped"/>
    <s v="Amazon"/>
    <x v="0"/>
    <x v="1"/>
    <n v="23"/>
    <s v="SET397-KR-NP-XXXL"/>
    <x v="0"/>
    <s v="3XL"/>
    <n v="1"/>
    <s v="INR"/>
    <n v="1186"/>
    <s v="Kolkata"/>
    <x v="17"/>
    <s v="IN"/>
  </r>
  <r>
    <n v="82"/>
    <s v="171-7367545-7081126"/>
    <d v="2024-06-26T00:00:00"/>
    <x v="6"/>
    <s v="Shipped"/>
    <s v="Amazon"/>
    <x v="1"/>
    <x v="1"/>
    <n v="27"/>
    <s v="MEN5002-KR-XXL"/>
    <x v="1"/>
    <s v="XXL"/>
    <n v="1"/>
    <s v="INR"/>
    <n v="499"/>
    <s v="HYDERABAD"/>
    <x v="6"/>
    <s v="IN"/>
  </r>
  <r>
    <n v="83"/>
    <s v="404-6522553-9345930"/>
    <d v="2024-08-12T00:00:00"/>
    <x v="3"/>
    <s v="Cancelled"/>
    <s v="Merchant"/>
    <x v="0"/>
    <x v="2"/>
    <n v="57"/>
    <s v="SET377-KR-NP-M"/>
    <x v="0"/>
    <s v="M"/>
    <n v="0"/>
    <s v="INR"/>
    <n v="1105.3599999999999"/>
    <s v="DEHRADUN"/>
    <x v="20"/>
    <s v="IN"/>
  </r>
  <r>
    <n v="84"/>
    <s v="403-9950518-0349133"/>
    <d v="2024-05-13T00:00:00"/>
    <x v="9"/>
    <s v="Cancelled"/>
    <s v="Amazon"/>
    <x v="1"/>
    <x v="1"/>
    <n v="33"/>
    <s v="JNE3510-KR-M"/>
    <x v="1"/>
    <s v="M"/>
    <n v="0"/>
    <m/>
    <m/>
    <s v="HYDERABAD"/>
    <x v="6"/>
    <s v="IN"/>
  </r>
  <r>
    <n v="85"/>
    <s v="407-6599093-6553153"/>
    <d v="2024-12-22T00:00:00"/>
    <x v="11"/>
    <s v="Shipped - Delivered to Buyer"/>
    <s v="Merchant"/>
    <x v="0"/>
    <x v="0"/>
    <n v="53"/>
    <s v="BTM038-PP-XXXL"/>
    <x v="5"/>
    <s v="3XL"/>
    <n v="1"/>
    <s v="INR"/>
    <n v="377"/>
    <s v="KOLKATA"/>
    <x v="17"/>
    <s v="IN"/>
  </r>
  <r>
    <n v="86"/>
    <s v="403-3763475-2237125"/>
    <d v="2023-11-23T00:00:00"/>
    <x v="1"/>
    <s v="Shipped"/>
    <s v="Amazon"/>
    <x v="0"/>
    <x v="1"/>
    <n v="28"/>
    <s v="J0343-DR-M"/>
    <x v="2"/>
    <s v="M"/>
    <n v="1"/>
    <s v="INR"/>
    <n v="744"/>
    <s v="DHARMAPURI"/>
    <x v="3"/>
    <s v="IN"/>
  </r>
  <r>
    <n v="87"/>
    <s v="405-1492294-0323520"/>
    <d v="2023-02-21T00:00:00"/>
    <x v="4"/>
    <s v="Shipped"/>
    <s v="Amazon"/>
    <x v="0"/>
    <x v="1"/>
    <n v="42"/>
    <s v="J0341-DR-XL"/>
    <x v="2"/>
    <s v="XL"/>
    <n v="1"/>
    <s v="INR"/>
    <n v="744"/>
    <s v="DEHRADUN"/>
    <x v="20"/>
    <s v="IN"/>
  </r>
  <r>
    <n v="88"/>
    <s v="403-1162895-2484367"/>
    <d v="2023-06-13T00:00:00"/>
    <x v="6"/>
    <s v="Shipped - Delivered to Buyer"/>
    <s v="Merchant"/>
    <x v="0"/>
    <x v="2"/>
    <n v="22"/>
    <s v="J0295-DR-XXL"/>
    <x v="2"/>
    <s v="XXL"/>
    <n v="1"/>
    <s v="INR"/>
    <n v="859"/>
    <s v="JAIPUR"/>
    <x v="8"/>
    <s v="IN"/>
  </r>
  <r>
    <n v="89"/>
    <s v="171-6833843-5473114"/>
    <d v="2023-06-23T00:00:00"/>
    <x v="6"/>
    <s v="Shipped"/>
    <s v="Amazon"/>
    <x v="1"/>
    <x v="1"/>
    <n v="25"/>
    <s v="JNE3560-KR-M"/>
    <x v="1"/>
    <s v="M"/>
    <n v="1"/>
    <s v="INR"/>
    <n v="487"/>
    <s v="VADODARA"/>
    <x v="19"/>
    <s v="IN"/>
  </r>
  <r>
    <n v="90"/>
    <s v="403-1477057-8253913"/>
    <d v="2024-06-07T00:00:00"/>
    <x v="6"/>
    <s v="Shipped"/>
    <s v="Amazon"/>
    <x v="0"/>
    <x v="1"/>
    <n v="45"/>
    <s v="J0333-DR-XXXL"/>
    <x v="2"/>
    <s v="3XL"/>
    <n v="1"/>
    <s v="INR"/>
    <n v="825"/>
    <s v="CHAVAKKAD"/>
    <x v="15"/>
    <s v="IN"/>
  </r>
  <r>
    <n v="91"/>
    <s v="408-2114413-6089906"/>
    <d v="2023-06-22T00:00:00"/>
    <x v="6"/>
    <s v="Shipped"/>
    <s v="Amazon"/>
    <x v="0"/>
    <x v="1"/>
    <n v="28"/>
    <s v="SET389-KR-NP-M"/>
    <x v="0"/>
    <s v="M"/>
    <n v="1"/>
    <s v="INR"/>
    <n v="680"/>
    <s v="PATNA"/>
    <x v="21"/>
    <s v="IN"/>
  </r>
  <r>
    <n v="92"/>
    <s v="405-1879750-2639521"/>
    <d v="2024-02-12T00:00:00"/>
    <x v="4"/>
    <s v="Shipped - Delivered to Buyer"/>
    <s v="Merchant"/>
    <x v="1"/>
    <x v="2"/>
    <n v="30"/>
    <s v="JNE3801-KR-XXXL"/>
    <x v="1"/>
    <s v="3XL"/>
    <n v="1"/>
    <s v="INR"/>
    <n v="725"/>
    <s v="CHENNAI"/>
    <x v="3"/>
    <s v="IN"/>
  </r>
  <r>
    <n v="93"/>
    <s v="406-5727754-5302723"/>
    <d v="2024-01-13T00:00:00"/>
    <x v="7"/>
    <s v="Shipped"/>
    <s v="Amazon"/>
    <x v="0"/>
    <x v="1"/>
    <n v="42"/>
    <s v="SET098-KR-PP-M"/>
    <x v="0"/>
    <s v="M"/>
    <n v="1"/>
    <s v="INR"/>
    <n v="696"/>
    <s v="VADODARA"/>
    <x v="19"/>
    <s v="IN"/>
  </r>
  <r>
    <n v="94"/>
    <s v="405-0901744-8270705"/>
    <d v="2024-02-29T00:00:00"/>
    <x v="4"/>
    <s v="Shipped"/>
    <s v="Amazon"/>
    <x v="1"/>
    <x v="1"/>
    <n v="43"/>
    <s v="MEN5013-KR-L"/>
    <x v="1"/>
    <s v="L"/>
    <n v="1"/>
    <s v="INR"/>
    <n v="499"/>
    <s v="VADODARA"/>
    <x v="19"/>
    <s v="IN"/>
  </r>
  <r>
    <n v="95"/>
    <s v="405-9112089-3379536"/>
    <d v="2023-04-18T00:00:00"/>
    <x v="8"/>
    <s v="Cancelled"/>
    <s v="Amazon"/>
    <x v="1"/>
    <x v="1"/>
    <n v="42"/>
    <s v="JNE3405-KR-L"/>
    <x v="1"/>
    <s v="L"/>
    <n v="0"/>
    <m/>
    <m/>
    <s v="PUNE"/>
    <x v="0"/>
    <s v="IN"/>
  </r>
  <r>
    <n v="96"/>
    <s v="408-6357132-2310703"/>
    <d v="2023-05-22T00:00:00"/>
    <x v="9"/>
    <s v="Shipped"/>
    <s v="Amazon"/>
    <x v="0"/>
    <x v="1"/>
    <n v="57"/>
    <s v="J0003-SET-L"/>
    <x v="0"/>
    <s v="L"/>
    <n v="1"/>
    <s v="INR"/>
    <n v="696"/>
    <s v="Jammu"/>
    <x v="22"/>
    <s v="IN"/>
  </r>
  <r>
    <n v="97"/>
    <s v="406-5334922-9670748"/>
    <d v="2023-09-20T00:00:00"/>
    <x v="2"/>
    <s v="Shipped"/>
    <s v="Amazon"/>
    <x v="1"/>
    <x v="1"/>
    <n v="31"/>
    <s v="JNE3718-KR-XXXL"/>
    <x v="1"/>
    <s v="3XL"/>
    <n v="1"/>
    <s v="INR"/>
    <n v="406"/>
    <s v="bangalore"/>
    <x v="1"/>
    <s v="IN"/>
  </r>
  <r>
    <n v="98"/>
    <s v="402-8519791-3706738"/>
    <d v="2023-08-24T00:00:00"/>
    <x v="3"/>
    <s v="Shipped"/>
    <s v="Amazon"/>
    <x v="0"/>
    <x v="1"/>
    <n v="35"/>
    <s v="SET347-KR-NP-S"/>
    <x v="0"/>
    <s v="S"/>
    <n v="1"/>
    <s v="INR"/>
    <n v="852"/>
    <s v="NEW DELHI"/>
    <x v="9"/>
    <s v="IN"/>
  </r>
  <r>
    <n v="99"/>
    <s v="408-1830318-0357940"/>
    <d v="2024-05-29T00:00:00"/>
    <x v="9"/>
    <s v="Shipped"/>
    <s v="Amazon"/>
    <x v="1"/>
    <x v="1"/>
    <n v="18"/>
    <s v="JNE3405-KR-XXL"/>
    <x v="1"/>
    <s v="XXL"/>
    <n v="1"/>
    <s v="INR"/>
    <n v="399"/>
    <s v="NARNAUND"/>
    <x v="10"/>
    <s v="IN"/>
  </r>
  <r>
    <n v="100"/>
    <s v="406-5103760-7326749"/>
    <d v="2024-08-04T00:00:00"/>
    <x v="3"/>
    <s v="Shipped"/>
    <s v="Amazon"/>
    <x v="1"/>
    <x v="1"/>
    <n v="52"/>
    <s v="JNE3391-KR-XXL"/>
    <x v="1"/>
    <s v="XXL"/>
    <n v="1"/>
    <s v="INR"/>
    <n v="432"/>
    <s v="Ahmedabad"/>
    <x v="19"/>
    <s v="IN"/>
  </r>
  <r>
    <n v="101"/>
    <s v="402-7841951-1872363"/>
    <d v="2023-09-13T00:00:00"/>
    <x v="2"/>
    <s v="Cancelled"/>
    <s v="Amazon"/>
    <x v="0"/>
    <x v="1"/>
    <n v="49"/>
    <s v="SET347-KR-NP-S"/>
    <x v="0"/>
    <s v="S"/>
    <n v="0"/>
    <m/>
    <m/>
    <s v="NEW DELHI"/>
    <x v="9"/>
    <s v="IN"/>
  </r>
  <r>
    <n v="102"/>
    <s v="408-7698765-2294756"/>
    <d v="2023-10-01T00:00:00"/>
    <x v="5"/>
    <s v="Shipped - Delivered to Buyer"/>
    <s v="Merchant"/>
    <x v="0"/>
    <x v="2"/>
    <n v="46"/>
    <s v="SET277-KR-NP-XXL"/>
    <x v="0"/>
    <s v="XXL"/>
    <n v="1"/>
    <s v="INR"/>
    <n v="1338"/>
    <s v="AMBARNATH"/>
    <x v="0"/>
    <s v="IN"/>
  </r>
  <r>
    <n v="103"/>
    <s v="404-1856281-9996319"/>
    <d v="2023-12-09T00:00:00"/>
    <x v="11"/>
    <s v="Shipped - Delivered to Buyer"/>
    <s v="Merchant"/>
    <x v="0"/>
    <x v="2"/>
    <n v="22"/>
    <s v="J0293-DR-S"/>
    <x v="2"/>
    <s v="S"/>
    <n v="1"/>
    <s v="INR"/>
    <n v="472"/>
    <s v="GWALIOR"/>
    <x v="16"/>
    <s v="IN"/>
  </r>
  <r>
    <n v="104"/>
    <s v="406-5406738-7113145"/>
    <d v="2023-07-29T00:00:00"/>
    <x v="10"/>
    <s v="Shipped"/>
    <s v="Amazon"/>
    <x v="0"/>
    <x v="1"/>
    <n v="36"/>
    <s v="SET268-KR-NP-L"/>
    <x v="0"/>
    <s v="L"/>
    <n v="1"/>
    <s v="INR"/>
    <n v="788"/>
    <s v="NEW DELHI"/>
    <x v="9"/>
    <s v="IN"/>
  </r>
  <r>
    <n v="105"/>
    <s v="405-5257740-5301158"/>
    <d v="2023-06-07T00:00:00"/>
    <x v="6"/>
    <s v="Shipped - Delivered to Buyer"/>
    <s v="Merchant"/>
    <x v="0"/>
    <x v="0"/>
    <n v="31"/>
    <s v="SET154-KR-NP-XL"/>
    <x v="0"/>
    <s v="XL"/>
    <n v="1"/>
    <s v="INR"/>
    <n v="832"/>
    <s v="ROHTAK"/>
    <x v="10"/>
    <s v="IN"/>
  </r>
  <r>
    <n v="106"/>
    <s v="405-5257740-5301158"/>
    <d v="2024-12-29T00:00:00"/>
    <x v="11"/>
    <s v="Shipped - Delivered to Buyer"/>
    <s v="Merchant"/>
    <x v="1"/>
    <x v="0"/>
    <n v="51"/>
    <s v="JNE3439-KR-XL"/>
    <x v="1"/>
    <s v="XL"/>
    <n v="1"/>
    <s v="INR"/>
    <n v="399"/>
    <s v="ROHTAK"/>
    <x v="10"/>
    <s v="IN"/>
  </r>
  <r>
    <n v="107"/>
    <s v="405-2072502-4089911"/>
    <d v="2024-06-18T00:00:00"/>
    <x v="6"/>
    <s v="Shipped"/>
    <s v="Amazon"/>
    <x v="0"/>
    <x v="1"/>
    <n v="53"/>
    <s v="SET291-KR-PP-XL"/>
    <x v="0"/>
    <s v="XL"/>
    <n v="1"/>
    <s v="INR"/>
    <n v="599"/>
    <s v="ROHTAK"/>
    <x v="10"/>
    <s v="IN"/>
  </r>
  <r>
    <n v="108"/>
    <s v="405-0882561-5952340"/>
    <d v="2024-10-29T00:00:00"/>
    <x v="5"/>
    <s v="Shipped"/>
    <s v="Amazon"/>
    <x v="0"/>
    <x v="1"/>
    <n v="44"/>
    <s v="SET293-KR-NP-M"/>
    <x v="0"/>
    <s v="M"/>
    <n v="1"/>
    <s v="INR"/>
    <n v="692"/>
    <s v="Kolkata"/>
    <x v="17"/>
    <s v="IN"/>
  </r>
  <r>
    <n v="109"/>
    <s v="403-7266170-1163500"/>
    <d v="2024-10-04T00:00:00"/>
    <x v="5"/>
    <s v="Shipped - Delivered to Buyer"/>
    <s v="Merchant"/>
    <x v="0"/>
    <x v="0"/>
    <n v="57"/>
    <s v="JNE3648-TP-N-M"/>
    <x v="3"/>
    <s v="M"/>
    <n v="1"/>
    <s v="INR"/>
    <n v="518"/>
    <s v="MUMBAI"/>
    <x v="0"/>
    <s v="IN"/>
  </r>
  <r>
    <n v="110"/>
    <s v="405-8114272-1687512"/>
    <d v="2024-09-26T00:00:00"/>
    <x v="2"/>
    <s v="Shipped"/>
    <s v="Amazon"/>
    <x v="0"/>
    <x v="1"/>
    <n v="39"/>
    <s v="SET268-KR-NP-L"/>
    <x v="0"/>
    <s v="L"/>
    <n v="1"/>
    <s v="INR"/>
    <n v="788"/>
    <s v="NEW DELHI"/>
    <x v="9"/>
    <s v="IN"/>
  </r>
  <r>
    <n v="111"/>
    <s v="171-6138639-1478731"/>
    <d v="2024-03-08T00:00:00"/>
    <x v="0"/>
    <s v="Shipped"/>
    <s v="Amazon"/>
    <x v="1"/>
    <x v="1"/>
    <n v="59"/>
    <s v="JNE3334-KR-M"/>
    <x v="1"/>
    <s v="M"/>
    <n v="1"/>
    <s v="INR"/>
    <n v="318"/>
    <s v="HYDERABAD"/>
    <x v="6"/>
    <s v="IN"/>
  </r>
  <r>
    <n v="112"/>
    <s v="405-4059216-4541150"/>
    <d v="2024-12-01T00:00:00"/>
    <x v="11"/>
    <s v="Shipped"/>
    <s v="Amazon"/>
    <x v="0"/>
    <x v="1"/>
    <n v="36"/>
    <s v="SET331-KR-NP-XS"/>
    <x v="0"/>
    <s v="XS"/>
    <n v="1"/>
    <s v="INR"/>
    <n v="597"/>
    <s v="HYDERABAD"/>
    <x v="6"/>
    <s v="IN"/>
  </r>
  <r>
    <n v="113"/>
    <s v="405-1152015-7333945"/>
    <d v="2024-04-11T00:00:00"/>
    <x v="8"/>
    <s v="Shipped"/>
    <s v="Amazon"/>
    <x v="0"/>
    <x v="1"/>
    <n v="60"/>
    <s v="SET265-KR-NP-S"/>
    <x v="0"/>
    <s v="S"/>
    <n v="1"/>
    <s v="INR"/>
    <n v="888"/>
    <s v="PATNA"/>
    <x v="21"/>
    <s v="IN"/>
  </r>
  <r>
    <n v="114"/>
    <s v="406-0177436-6731556"/>
    <d v="2024-11-30T00:00:00"/>
    <x v="1"/>
    <s v="Shipped"/>
    <s v="Amazon"/>
    <x v="1"/>
    <x v="1"/>
    <n v="21"/>
    <s v="JNE3718-KR-S"/>
    <x v="1"/>
    <s v="S"/>
    <n v="1"/>
    <s v="INR"/>
    <n v="406"/>
    <s v="RAMAGUNDAM"/>
    <x v="6"/>
    <s v="IN"/>
  </r>
  <r>
    <n v="115"/>
    <s v="406-0715107-8168308"/>
    <d v="2024-06-29T00:00:00"/>
    <x v="6"/>
    <s v="Shipped"/>
    <s v="Amazon"/>
    <x v="0"/>
    <x v="1"/>
    <n v="26"/>
    <s v="SET397-KR-NP  -M"/>
    <x v="0"/>
    <s v="M"/>
    <n v="1"/>
    <s v="INR"/>
    <n v="1186"/>
    <s v="PITHORAGARH"/>
    <x v="20"/>
    <s v="IN"/>
  </r>
  <r>
    <n v="116"/>
    <s v="403-0104882-7373900"/>
    <d v="2023-12-10T00:00:00"/>
    <x v="11"/>
    <s v="Cancelled"/>
    <s v="Amazon"/>
    <x v="0"/>
    <x v="1"/>
    <n v="50"/>
    <s v="JNE3861-DR-XXL"/>
    <x v="2"/>
    <s v="XXL"/>
    <n v="1"/>
    <s v="INR"/>
    <n v="791"/>
    <s v="HIMMATNAGAR"/>
    <x v="19"/>
    <s v="IN"/>
  </r>
  <r>
    <n v="117"/>
    <s v="403-0104882-7373900"/>
    <d v="2024-03-19T00:00:00"/>
    <x v="0"/>
    <s v="Cancelled"/>
    <s v="Amazon"/>
    <x v="0"/>
    <x v="1"/>
    <n v="54"/>
    <s v="J0335-DR-XL"/>
    <x v="2"/>
    <s v="XL"/>
    <n v="1"/>
    <s v="INR"/>
    <n v="807"/>
    <s v="HIMMATNAGAR"/>
    <x v="19"/>
    <s v="IN"/>
  </r>
  <r>
    <n v="118"/>
    <s v="403-0104882-7373900"/>
    <d v="2024-02-10T00:00:00"/>
    <x v="4"/>
    <s v="Cancelled"/>
    <s v="Amazon"/>
    <x v="0"/>
    <x v="1"/>
    <n v="44"/>
    <s v="J0335-DR-XXL"/>
    <x v="2"/>
    <s v="XXL"/>
    <n v="1"/>
    <s v="INR"/>
    <n v="807"/>
    <s v="HIMMATNAGAR"/>
    <x v="19"/>
    <s v="IN"/>
  </r>
  <r>
    <n v="119"/>
    <s v="405-3002282-6797102"/>
    <d v="2024-07-22T00:00:00"/>
    <x v="10"/>
    <s v="Shipped"/>
    <s v="Amazon"/>
    <x v="1"/>
    <x v="1"/>
    <n v="18"/>
    <s v="JNE1525-KR-UDF19-A-S"/>
    <x v="1"/>
    <s v="S"/>
    <n v="1"/>
    <s v="INR"/>
    <n v="311"/>
    <s v="KOLKATA"/>
    <x v="17"/>
    <s v="IN"/>
  </r>
  <r>
    <n v="120"/>
    <s v="407-8466904-3461908"/>
    <d v="2024-09-01T00:00:00"/>
    <x v="2"/>
    <s v="Shipped"/>
    <s v="Amazon"/>
    <x v="0"/>
    <x v="1"/>
    <n v="59"/>
    <s v="JNE3654-TP-XL"/>
    <x v="3"/>
    <s v="XL"/>
    <n v="1"/>
    <s v="INR"/>
    <n v="387"/>
    <s v="MUMBAI"/>
    <x v="0"/>
    <s v="IN"/>
  </r>
  <r>
    <n v="121"/>
    <s v="171-3305587-5364338"/>
    <d v="2024-05-25T00:00:00"/>
    <x v="9"/>
    <s v="Shipped"/>
    <s v="Amazon"/>
    <x v="1"/>
    <x v="1"/>
    <n v="30"/>
    <s v="JNE3261-KR-S"/>
    <x v="1"/>
    <s v="S"/>
    <n v="1"/>
    <s v="INR"/>
    <n v="348"/>
    <s v="HYDERABAD"/>
    <x v="6"/>
    <s v="IN"/>
  </r>
  <r>
    <n v="122"/>
    <s v="406-8961316-8137943"/>
    <d v="2023-12-09T00:00:00"/>
    <x v="11"/>
    <s v="Shipped - Delivered to Buyer"/>
    <s v="Merchant"/>
    <x v="0"/>
    <x v="0"/>
    <n v="23"/>
    <s v="SET324-KR-NP-S"/>
    <x v="0"/>
    <s v="S"/>
    <n v="1"/>
    <s v="INR"/>
    <n v="597"/>
    <s v="GUWAHATI, KAMRUP (M)"/>
    <x v="11"/>
    <s v="IN"/>
  </r>
  <r>
    <n v="123"/>
    <s v="406-8961316-8137943"/>
    <d v="2023-12-09T00:00:00"/>
    <x v="11"/>
    <s v="Shipped - Delivered to Buyer"/>
    <s v="Merchant"/>
    <x v="0"/>
    <x v="0"/>
    <n v="58"/>
    <s v="SET332-KR-PP-S"/>
    <x v="0"/>
    <s v="S"/>
    <n v="1"/>
    <s v="INR"/>
    <n v="549"/>
    <s v="GUWAHATI, KAMRUP (M)"/>
    <x v="11"/>
    <s v="IN"/>
  </r>
  <r>
    <n v="124"/>
    <s v="171-2813040-8296320"/>
    <d v="2024-11-14T00:00:00"/>
    <x v="1"/>
    <s v="Shipped"/>
    <s v="Amazon"/>
    <x v="0"/>
    <x v="1"/>
    <n v="53"/>
    <s v="SET324-KR-NP-XXXL"/>
    <x v="0"/>
    <s v="3XL"/>
    <n v="1"/>
    <s v="INR"/>
    <n v="635"/>
    <s v="KOLAR"/>
    <x v="1"/>
    <s v="IN"/>
  </r>
  <r>
    <n v="125"/>
    <s v="408-9845791-1393151"/>
    <d v="2024-07-28T00:00:00"/>
    <x v="10"/>
    <s v="Shipped"/>
    <s v="Amazon"/>
    <x v="0"/>
    <x v="1"/>
    <n v="18"/>
    <s v="SET324-KR-NP-XS"/>
    <x v="0"/>
    <s v="XS"/>
    <n v="1"/>
    <s v="INR"/>
    <n v="597"/>
    <s v="PATIALA"/>
    <x v="23"/>
    <s v="IN"/>
  </r>
  <r>
    <n v="126"/>
    <s v="402-4277204-2348328"/>
    <d v="2024-06-20T00:00:00"/>
    <x v="6"/>
    <s v="Shipped"/>
    <s v="Amazon"/>
    <x v="0"/>
    <x v="1"/>
    <n v="28"/>
    <s v="SET280-KR-PP-S"/>
    <x v="0"/>
    <s v="S"/>
    <n v="1"/>
    <s v="INR"/>
    <n v="790"/>
    <s v="REWA"/>
    <x v="16"/>
    <s v="IN"/>
  </r>
  <r>
    <n v="127"/>
    <s v="171-3049339-2085136"/>
    <d v="2024-01-12T00:00:00"/>
    <x v="7"/>
    <s v="Shipped"/>
    <s v="Amazon"/>
    <x v="1"/>
    <x v="1"/>
    <n v="27"/>
    <s v="JNE3618-KR-XXL"/>
    <x v="1"/>
    <s v="XXL"/>
    <n v="1"/>
    <s v="INR"/>
    <n v="375"/>
    <s v="BONGAIGAON"/>
    <x v="11"/>
    <s v="IN"/>
  </r>
  <r>
    <n v="128"/>
    <s v="405-9928526-2470747"/>
    <d v="2024-06-20T00:00:00"/>
    <x v="6"/>
    <s v="Shipped"/>
    <s v="Amazon"/>
    <x v="0"/>
    <x v="1"/>
    <n v="27"/>
    <s v="SET304-KR-DPT-XS"/>
    <x v="0"/>
    <s v="XS"/>
    <n v="1"/>
    <s v="INR"/>
    <n v="1115"/>
    <s v="HYDERABAD"/>
    <x v="6"/>
    <s v="IN"/>
  </r>
  <r>
    <n v="129"/>
    <s v="405-4908072-0260360"/>
    <d v="2023-03-02T00:00:00"/>
    <x v="0"/>
    <s v="Shipped - Delivered to Buyer"/>
    <s v="Merchant"/>
    <x v="1"/>
    <x v="2"/>
    <n v="26"/>
    <s v="MEN5032-KR-XXXL"/>
    <x v="1"/>
    <s v="3XL"/>
    <n v="1"/>
    <s v="INR"/>
    <n v="579"/>
    <s v="BENGALURU"/>
    <x v="1"/>
    <s v="IN"/>
  </r>
  <r>
    <n v="130"/>
    <s v="406-3984186-5973150"/>
    <d v="2024-01-14T00:00:00"/>
    <x v="7"/>
    <s v="Shipped"/>
    <s v="Amazon"/>
    <x v="0"/>
    <x v="1"/>
    <n v="21"/>
    <s v="SET110-KR-PP-XXL"/>
    <x v="0"/>
    <s v="XXL"/>
    <n v="1"/>
    <s v="INR"/>
    <n v="788"/>
    <s v="Chengalpattu"/>
    <x v="3"/>
    <s v="IN"/>
  </r>
  <r>
    <n v="131"/>
    <s v="171-8635309-7508346"/>
    <d v="2023-01-08T00:00:00"/>
    <x v="7"/>
    <s v="Shipped"/>
    <s v="Amazon"/>
    <x v="0"/>
    <x v="1"/>
    <n v="55"/>
    <s v="SET324-KR-NP-M"/>
    <x v="0"/>
    <s v="M"/>
    <n v="1"/>
    <s v="INR"/>
    <n v="597"/>
    <s v="PERAMBALUR"/>
    <x v="3"/>
    <s v="IN"/>
  </r>
  <r>
    <n v="132"/>
    <s v="171-0293372-4913973"/>
    <d v="2023-05-08T00:00:00"/>
    <x v="9"/>
    <s v="Cancelled"/>
    <s v="Amazon"/>
    <x v="0"/>
    <x v="1"/>
    <n v="60"/>
    <s v="SET269-KR-NP-XXXL"/>
    <x v="0"/>
    <s v="3XL"/>
    <n v="0"/>
    <m/>
    <m/>
    <s v="KOLAR"/>
    <x v="1"/>
    <s v="IN"/>
  </r>
  <r>
    <n v="133"/>
    <s v="402-8288606-4313118"/>
    <d v="2023-10-24T00:00:00"/>
    <x v="5"/>
    <s v="Shipped"/>
    <s v="Amazon"/>
    <x v="1"/>
    <x v="1"/>
    <n v="36"/>
    <s v="JNE3794-KR-M"/>
    <x v="1"/>
    <s v="M"/>
    <n v="1"/>
    <s v="INR"/>
    <n v="517"/>
    <s v="BILASPUR"/>
    <x v="24"/>
    <s v="IN"/>
  </r>
  <r>
    <n v="134"/>
    <s v="402-8746990-6412346"/>
    <d v="2023-09-17T00:00:00"/>
    <x v="2"/>
    <s v="Shipped"/>
    <s v="Amazon"/>
    <x v="1"/>
    <x v="1"/>
    <n v="42"/>
    <s v="JNE3291-KR-XXL"/>
    <x v="1"/>
    <s v="XXL"/>
    <n v="1"/>
    <s v="INR"/>
    <n v="442"/>
    <s v="CHENNAI"/>
    <x v="3"/>
    <s v="IN"/>
  </r>
  <r>
    <n v="135"/>
    <s v="402-0294212-5431551"/>
    <d v="2023-03-28T00:00:00"/>
    <x v="0"/>
    <s v="Shipped"/>
    <s v="Amazon"/>
    <x v="1"/>
    <x v="1"/>
    <n v="59"/>
    <s v="JNE3440-KR-N-XXXL"/>
    <x v="1"/>
    <s v="3XL"/>
    <n v="1"/>
    <s v="INR"/>
    <n v="399"/>
    <s v="VARANASI"/>
    <x v="4"/>
    <s v="IN"/>
  </r>
  <r>
    <n v="136"/>
    <s v="406-1530134-2105912"/>
    <d v="2024-07-07T00:00:00"/>
    <x v="10"/>
    <s v="Shipped"/>
    <s v="Amazon"/>
    <x v="1"/>
    <x v="1"/>
    <n v="23"/>
    <s v="JNE2270-KR-487-A-XXL"/>
    <x v="1"/>
    <s v="XXL"/>
    <n v="1"/>
    <s v="INR"/>
    <n v="518"/>
    <s v="BENGALURU"/>
    <x v="1"/>
    <s v="IN"/>
  </r>
  <r>
    <n v="137"/>
    <s v="403-5222550-4437140"/>
    <d v="2023-02-10T00:00:00"/>
    <x v="4"/>
    <s v="Shipped"/>
    <s v="Amazon"/>
    <x v="1"/>
    <x v="1"/>
    <n v="42"/>
    <s v="JNE3261-KR-M"/>
    <x v="1"/>
    <s v="M"/>
    <n v="1"/>
    <s v="INR"/>
    <n v="348"/>
    <s v="COIMBATORE"/>
    <x v="3"/>
    <s v="IN"/>
  </r>
  <r>
    <n v="138"/>
    <s v="408-1482435-5202714"/>
    <d v="2023-12-27T00:00:00"/>
    <x v="11"/>
    <s v="Shipped - Delivered to Buyer"/>
    <s v="Merchant"/>
    <x v="0"/>
    <x v="2"/>
    <n v="39"/>
    <s v="SET110-KR-PP-M"/>
    <x v="0"/>
    <s v="M"/>
    <n v="1"/>
    <s v="INR"/>
    <n v="788"/>
    <s v="CHIRMIRI"/>
    <x v="13"/>
    <s v="IN"/>
  </r>
  <r>
    <n v="139"/>
    <s v="403-6442534-2769112"/>
    <d v="2024-05-26T00:00:00"/>
    <x v="9"/>
    <s v="Cancelled"/>
    <s v="Amazon"/>
    <x v="0"/>
    <x v="1"/>
    <n v="48"/>
    <s v="J0300-TP-XXXL"/>
    <x v="3"/>
    <s v="3XL"/>
    <n v="0"/>
    <m/>
    <m/>
    <s v="AZAMGARH"/>
    <x v="4"/>
    <s v="IN"/>
  </r>
  <r>
    <n v="140"/>
    <s v="408-3113070-0750756"/>
    <d v="2024-07-20T00:00:00"/>
    <x v="10"/>
    <s v="Shipped"/>
    <s v="Amazon"/>
    <x v="0"/>
    <x v="1"/>
    <n v="34"/>
    <s v="SET324-KR-NP-M"/>
    <x v="0"/>
    <s v="M"/>
    <n v="1"/>
    <s v="INR"/>
    <n v="597"/>
    <s v="KALYAN"/>
    <x v="0"/>
    <s v="IN"/>
  </r>
  <r>
    <n v="141"/>
    <s v="404-7796841-1880317"/>
    <d v="2024-11-08T00:00:00"/>
    <x v="1"/>
    <s v="Shipped"/>
    <s v="Amazon"/>
    <x v="1"/>
    <x v="1"/>
    <n v="30"/>
    <s v="JNE3810-KR-S"/>
    <x v="1"/>
    <s v="S"/>
    <n v="1"/>
    <s v="INR"/>
    <n v="696"/>
    <s v="NEW DELHI"/>
    <x v="9"/>
    <s v="IN"/>
  </r>
  <r>
    <n v="142"/>
    <s v="405-2142542-0941949"/>
    <d v="2024-11-29T00:00:00"/>
    <x v="1"/>
    <s v="Shipped"/>
    <s v="Amazon"/>
    <x v="1"/>
    <x v="1"/>
    <n v="18"/>
    <s v="JNE3461-KR-XL"/>
    <x v="1"/>
    <s v="XL"/>
    <n v="1"/>
    <s v="INR"/>
    <n v="363"/>
    <s v="HYDERABAD"/>
    <x v="6"/>
    <s v="IN"/>
  </r>
  <r>
    <n v="143"/>
    <s v="405-0286717-7761132"/>
    <d v="2023-05-10T00:00:00"/>
    <x v="9"/>
    <s v="Shipped"/>
    <s v="Amazon"/>
    <x v="1"/>
    <x v="1"/>
    <n v="43"/>
    <s v="JNE3429-KR-XL"/>
    <x v="1"/>
    <s v="XL"/>
    <n v="1"/>
    <s v="INR"/>
    <n v="299"/>
    <s v="HYDERABAD"/>
    <x v="6"/>
    <s v="IN"/>
  </r>
  <r>
    <n v="144"/>
    <s v="406-9021273-9221106"/>
    <d v="2024-09-09T00:00:00"/>
    <x v="2"/>
    <s v="Shipped"/>
    <s v="Amazon"/>
    <x v="0"/>
    <x v="1"/>
    <n v="46"/>
    <s v="JNE3710-DR-S"/>
    <x v="2"/>
    <s v="S"/>
    <n v="1"/>
    <s v="INR"/>
    <n v="690"/>
    <s v="GUWAHATI"/>
    <x v="11"/>
    <s v="IN"/>
  </r>
  <r>
    <n v="145"/>
    <s v="404-5381335-4577925"/>
    <d v="2024-03-13T00:00:00"/>
    <x v="0"/>
    <s v="Shipped"/>
    <s v="Amazon"/>
    <x v="0"/>
    <x v="1"/>
    <n v="27"/>
    <s v="J0113-TP-XS"/>
    <x v="3"/>
    <s v="XS"/>
    <n v="1"/>
    <s v="INR"/>
    <n v="574"/>
    <s v="MYSORE"/>
    <x v="1"/>
    <s v="IN"/>
  </r>
  <r>
    <n v="146"/>
    <s v="171-0131752-2560336"/>
    <d v="2023-12-11T00:00:00"/>
    <x v="11"/>
    <s v="Shipped - Delivered to Buyer"/>
    <s v="Merchant"/>
    <x v="0"/>
    <x v="2"/>
    <n v="41"/>
    <s v="SET355-KR-PP-M"/>
    <x v="0"/>
    <s v="M"/>
    <n v="1"/>
    <s v="INR"/>
    <n v="1399"/>
    <s v="BARABANKI"/>
    <x v="4"/>
    <s v="IN"/>
  </r>
  <r>
    <n v="147"/>
    <s v="407-4235449-1353916"/>
    <d v="2023-08-11T00:00:00"/>
    <x v="3"/>
    <s v="Shipped - Delivered to Buyer"/>
    <s v="Merchant"/>
    <x v="0"/>
    <x v="2"/>
    <n v="39"/>
    <s v="J0009-SKD-S"/>
    <x v="0"/>
    <s v="S"/>
    <n v="1"/>
    <s v="INR"/>
    <n v="999"/>
    <s v="AMILA"/>
    <x v="4"/>
    <s v="IN"/>
  </r>
  <r>
    <n v="148"/>
    <s v="171-8061614-5688327"/>
    <d v="2024-09-15T00:00:00"/>
    <x v="2"/>
    <s v="Shipped"/>
    <s v="Amazon"/>
    <x v="0"/>
    <x v="1"/>
    <n v="34"/>
    <s v="J0248-KR-DPT-XL"/>
    <x v="0"/>
    <s v="XL"/>
    <n v="1"/>
    <s v="INR"/>
    <n v="999"/>
    <s v="VIJAYAWADA"/>
    <x v="7"/>
    <s v="IN"/>
  </r>
  <r>
    <n v="149"/>
    <s v="407-8248783-4261958"/>
    <d v="2024-07-02T00:00:00"/>
    <x v="10"/>
    <s v="Shipped"/>
    <s v="Amazon"/>
    <x v="1"/>
    <x v="1"/>
    <n v="24"/>
    <s v="JNE3560-KR-XL"/>
    <x v="1"/>
    <s v="XL"/>
    <n v="1"/>
    <s v="INR"/>
    <n v="487"/>
    <s v="RAWAN AMBUJA CEMENT PLANT"/>
    <x v="13"/>
    <s v="IN"/>
  </r>
  <r>
    <n v="150"/>
    <s v="404-6513062-3876305"/>
    <d v="2024-01-21T00:00:00"/>
    <x v="7"/>
    <s v="Shipped - Delivered to Buyer"/>
    <s v="Merchant"/>
    <x v="1"/>
    <x v="2"/>
    <n v="37"/>
    <s v="JNE3373-KR-XXXL"/>
    <x v="1"/>
    <s v="3XL"/>
    <n v="1"/>
    <s v="INR"/>
    <n v="376"/>
    <s v="TIRUCHIRAPPALLI"/>
    <x v="3"/>
    <s v="IN"/>
  </r>
  <r>
    <n v="151"/>
    <s v="406-7779874-9136347"/>
    <d v="2023-03-04T00:00:00"/>
    <x v="0"/>
    <s v="Shipped"/>
    <s v="Amazon"/>
    <x v="0"/>
    <x v="1"/>
    <n v="35"/>
    <s v="SET398-KR-PP-L"/>
    <x v="0"/>
    <s v="L"/>
    <n v="1"/>
    <s v="INR"/>
    <n v="1115"/>
    <s v="HERBERTPUR"/>
    <x v="20"/>
    <s v="IN"/>
  </r>
  <r>
    <n v="152"/>
    <s v="406-9638549-1733961"/>
    <d v="2023-09-25T00:00:00"/>
    <x v="2"/>
    <s v="Shipped"/>
    <s v="Amazon"/>
    <x v="0"/>
    <x v="1"/>
    <n v="53"/>
    <s v="NW032-ST-CP-XXL"/>
    <x v="0"/>
    <s v="XXL"/>
    <n v="1"/>
    <s v="INR"/>
    <n v="517"/>
    <s v="BENGALURU"/>
    <x v="1"/>
    <s v="IN"/>
  </r>
  <r>
    <n v="153"/>
    <s v="407-8801185-0134713"/>
    <d v="2024-08-05T00:00:00"/>
    <x v="3"/>
    <s v="Shipped"/>
    <s v="Amazon"/>
    <x v="0"/>
    <x v="1"/>
    <n v="57"/>
    <s v="SET361-KR-NP-S"/>
    <x v="0"/>
    <s v="S"/>
    <n v="1"/>
    <s v="INR"/>
    <n v="1126"/>
    <s v="bangalore"/>
    <x v="1"/>
    <s v="IN"/>
  </r>
  <r>
    <n v="154"/>
    <s v="171-3625443-6505905"/>
    <d v="2024-07-02T00:00:00"/>
    <x v="10"/>
    <s v="Shipped"/>
    <s v="Amazon"/>
    <x v="0"/>
    <x v="1"/>
    <n v="43"/>
    <s v="JNE3797-KR-L"/>
    <x v="2"/>
    <s v="L"/>
    <n v="1"/>
    <s v="INR"/>
    <n v="725"/>
    <s v="KALAMASSERY"/>
    <x v="15"/>
    <s v="IN"/>
  </r>
  <r>
    <n v="155"/>
    <s v="402-8078642-8565124"/>
    <d v="2024-01-16T00:00:00"/>
    <x v="7"/>
    <s v="Cancelled"/>
    <s v="Amazon"/>
    <x v="1"/>
    <x v="1"/>
    <n v="20"/>
    <s v="JNE3887-KR-XL"/>
    <x v="1"/>
    <s v="XL"/>
    <n v="0"/>
    <m/>
    <m/>
    <s v="Puri-2"/>
    <x v="14"/>
    <s v="IN"/>
  </r>
  <r>
    <n v="156"/>
    <s v="402-2820441-9623566"/>
    <d v="2024-01-27T00:00:00"/>
    <x v="7"/>
    <s v="Shipped"/>
    <s v="Amazon"/>
    <x v="0"/>
    <x v="1"/>
    <n v="47"/>
    <s v="JNE3870-DR-XXL"/>
    <x v="2"/>
    <s v="XXL"/>
    <n v="1"/>
    <s v="INR"/>
    <n v="721"/>
    <s v="TIKABALI"/>
    <x v="14"/>
    <s v="IN"/>
  </r>
  <r>
    <n v="157"/>
    <s v="171-4312987-5366767"/>
    <d v="2024-01-21T00:00:00"/>
    <x v="7"/>
    <s v="Shipped"/>
    <s v="Amazon"/>
    <x v="0"/>
    <x v="1"/>
    <n v="58"/>
    <s v="SET345-KR-NP-XS"/>
    <x v="0"/>
    <s v="XS"/>
    <n v="1"/>
    <s v="INR"/>
    <n v="666"/>
    <s v="BIHARSHARIF"/>
    <x v="21"/>
    <s v="IN"/>
  </r>
  <r>
    <n v="158"/>
    <s v="403-5189998-9343503"/>
    <d v="2023-01-28T00:00:00"/>
    <x v="7"/>
    <s v="Shipped"/>
    <s v="Amazon"/>
    <x v="0"/>
    <x v="1"/>
    <n v="51"/>
    <s v="NW013-ST-SR-L"/>
    <x v="0"/>
    <s v="L"/>
    <n v="1"/>
    <s v="INR"/>
    <n v="496"/>
    <s v="HYDERABAD"/>
    <x v="6"/>
    <s v="IN"/>
  </r>
  <r>
    <n v="159"/>
    <s v="407-9863928-5979501"/>
    <d v="2023-06-24T00:00:00"/>
    <x v="6"/>
    <s v="Shipped - Delivered to Buyer"/>
    <s v="Merchant"/>
    <x v="1"/>
    <x v="0"/>
    <n v="58"/>
    <s v="JNE2014-KR-178-XL"/>
    <x v="1"/>
    <s v="XL"/>
    <n v="1"/>
    <s v="INR"/>
    <n v="353"/>
    <s v="PARAVUR"/>
    <x v="15"/>
    <s v="IN"/>
  </r>
  <r>
    <n v="160"/>
    <s v="171-4644162-9093116"/>
    <d v="2024-05-04T00:00:00"/>
    <x v="9"/>
    <s v="Shipped - Delivered to Buyer"/>
    <s v="Merchant"/>
    <x v="1"/>
    <x v="0"/>
    <n v="30"/>
    <s v="JNE3612-KR-S"/>
    <x v="1"/>
    <s v="S"/>
    <n v="1"/>
    <s v="INR"/>
    <n v="399"/>
    <s v="BASTI"/>
    <x v="4"/>
    <s v="IN"/>
  </r>
  <r>
    <n v="161"/>
    <s v="406-0974406-3179521"/>
    <d v="2024-07-16T00:00:00"/>
    <x v="10"/>
    <s v="Shipped"/>
    <s v="Amazon"/>
    <x v="1"/>
    <x v="1"/>
    <n v="46"/>
    <s v="PJNE2100-KR-N-6XL"/>
    <x v="1"/>
    <s v="6XL"/>
    <n v="1"/>
    <s v="INR"/>
    <n v="458"/>
    <s v="WALAJAPET"/>
    <x v="3"/>
    <s v="IN"/>
  </r>
  <r>
    <n v="162"/>
    <s v="402-0048138-1845122"/>
    <d v="2024-09-16T00:00:00"/>
    <x v="2"/>
    <s v="Shipped"/>
    <s v="Amazon"/>
    <x v="0"/>
    <x v="1"/>
    <n v="59"/>
    <s v="SET398-KR-PP-XXXL"/>
    <x v="0"/>
    <s v="3XL"/>
    <n v="1"/>
    <s v="INR"/>
    <n v="1115"/>
    <s v="Dimapur"/>
    <x v="18"/>
    <s v="IN"/>
  </r>
  <r>
    <n v="163"/>
    <s v="407-6283946-7749133"/>
    <d v="2023-03-28T00:00:00"/>
    <x v="0"/>
    <s v="Shipped"/>
    <s v="Amazon"/>
    <x v="0"/>
    <x v="1"/>
    <n v="22"/>
    <s v="J0006-SET-M"/>
    <x v="4"/>
    <s v="M"/>
    <n v="1"/>
    <s v="INR"/>
    <n v="845"/>
    <s v="Bengaluru"/>
    <x v="1"/>
    <s v="IN"/>
  </r>
  <r>
    <n v="164"/>
    <s v="407-0542879-1795554"/>
    <d v="2024-07-30T00:00:00"/>
    <x v="10"/>
    <s v="Shipped - Delivered to Buyer"/>
    <s v="Merchant"/>
    <x v="1"/>
    <x v="2"/>
    <n v="29"/>
    <s v="JNE3405-KR-S"/>
    <x v="1"/>
    <s v="S"/>
    <n v="1"/>
    <s v="INR"/>
    <n v="399"/>
    <s v="Mahendragarh"/>
    <x v="10"/>
    <s v="IN"/>
  </r>
  <r>
    <n v="165"/>
    <s v="406-0218328-1773963"/>
    <d v="2024-08-11T00:00:00"/>
    <x v="3"/>
    <s v="Cancelled"/>
    <s v="Amazon"/>
    <x v="1"/>
    <x v="1"/>
    <n v="41"/>
    <s v="PJNE2100-KR-N-6XL"/>
    <x v="1"/>
    <s v="6XL"/>
    <n v="0"/>
    <m/>
    <m/>
    <s v="WALAJAPET"/>
    <x v="3"/>
    <s v="IN"/>
  </r>
  <r>
    <n v="166"/>
    <s v="407-3742007-3242711"/>
    <d v="2024-10-29T00:00:00"/>
    <x v="5"/>
    <s v="Shipped"/>
    <s v="Amazon"/>
    <x v="1"/>
    <x v="1"/>
    <n v="53"/>
    <s v="JNE3437-KR-S"/>
    <x v="1"/>
    <s v="S"/>
    <n v="1"/>
    <s v="INR"/>
    <n v="517"/>
    <s v="HYDERABAD"/>
    <x v="6"/>
    <s v="IN"/>
  </r>
  <r>
    <n v="167"/>
    <s v="407-3742007-3242711"/>
    <d v="2023-11-05T00:00:00"/>
    <x v="1"/>
    <s v="Shipped"/>
    <s v="Amazon"/>
    <x v="1"/>
    <x v="1"/>
    <n v="44"/>
    <s v="JNE3465-KR-S"/>
    <x v="1"/>
    <s v="S"/>
    <n v="1"/>
    <s v="INR"/>
    <n v="517"/>
    <s v="HYDERABAD"/>
    <x v="6"/>
    <s v="IN"/>
  </r>
  <r>
    <n v="168"/>
    <s v="405-3067317-3360344"/>
    <d v="2024-04-04T00:00:00"/>
    <x v="8"/>
    <s v="Shipped"/>
    <s v="Amazon"/>
    <x v="1"/>
    <x v="1"/>
    <n v="49"/>
    <s v="J0373-KR-XXXL"/>
    <x v="1"/>
    <s v="3XL"/>
    <n v="1"/>
    <s v="INR"/>
    <n v="599"/>
    <s v="GREATER NOIDA"/>
    <x v="4"/>
    <s v="IN"/>
  </r>
  <r>
    <n v="169"/>
    <s v="406-5648244-8317954"/>
    <d v="2024-01-23T00:00:00"/>
    <x v="7"/>
    <s v="Shipped"/>
    <s v="Amazon"/>
    <x v="0"/>
    <x v="1"/>
    <n v="27"/>
    <s v="J0344-TP-XXXL"/>
    <x v="3"/>
    <s v="3XL"/>
    <n v="1"/>
    <s v="INR"/>
    <n v="487"/>
    <s v="New Delhi"/>
    <x v="9"/>
    <s v="IN"/>
  </r>
  <r>
    <n v="170"/>
    <s v="171-3460653-0171519"/>
    <d v="2023-10-19T00:00:00"/>
    <x v="5"/>
    <s v="Shipped"/>
    <s v="Amazon"/>
    <x v="0"/>
    <x v="1"/>
    <n v="31"/>
    <s v="J0118-TP-XXL"/>
    <x v="3"/>
    <s v="XXL"/>
    <n v="1"/>
    <s v="INR"/>
    <n v="487"/>
    <s v="GURUGRAM"/>
    <x v="10"/>
    <s v="IN"/>
  </r>
  <r>
    <n v="171"/>
    <s v="404-5337874-2284337"/>
    <d v="2023-08-25T00:00:00"/>
    <x v="3"/>
    <s v="Shipped"/>
    <s v="Amazon"/>
    <x v="0"/>
    <x v="1"/>
    <n v="37"/>
    <s v="SET200-KR-NP-A-XS"/>
    <x v="0"/>
    <s v="XS"/>
    <n v="1"/>
    <s v="INR"/>
    <n v="568"/>
    <s v="BENGALURU"/>
    <x v="1"/>
    <s v="IN"/>
  </r>
  <r>
    <n v="172"/>
    <s v="405-2660443-4165145"/>
    <d v="2024-12-02T00:00:00"/>
    <x v="11"/>
    <s v="Shipped - Delivered to Buyer"/>
    <s v="Merchant"/>
    <x v="1"/>
    <x v="0"/>
    <n v="51"/>
    <s v="JNE3405-KR-M"/>
    <x v="1"/>
    <s v="M"/>
    <n v="1"/>
    <s v="INR"/>
    <n v="399"/>
    <s v="BENGALURU"/>
    <x v="1"/>
    <s v="IN"/>
  </r>
  <r>
    <n v="173"/>
    <s v="402-3329522-2367566"/>
    <d v="2023-11-05T00:00:00"/>
    <x v="1"/>
    <s v="Shipped"/>
    <s v="Amazon"/>
    <x v="1"/>
    <x v="1"/>
    <n v="35"/>
    <s v="JNE1998-KR-311-XXL"/>
    <x v="1"/>
    <s v="XXL"/>
    <n v="1"/>
    <s v="INR"/>
    <n v="295"/>
    <s v="MUMBAI"/>
    <x v="0"/>
    <s v="IN"/>
  </r>
  <r>
    <n v="174"/>
    <s v="406-3078054-1755513"/>
    <d v="2024-03-05T00:00:00"/>
    <x v="0"/>
    <s v="Shipped"/>
    <s v="Amazon"/>
    <x v="1"/>
    <x v="1"/>
    <n v="60"/>
    <s v="MEN5004-KR-XXXL"/>
    <x v="1"/>
    <s v="3XL"/>
    <n v="1"/>
    <s v="INR"/>
    <n v="484"/>
    <s v="BIJNOR"/>
    <x v="4"/>
    <s v="IN"/>
  </r>
  <r>
    <n v="175"/>
    <s v="171-4647176-6456305"/>
    <d v="2023-10-15T00:00:00"/>
    <x v="5"/>
    <s v="Shipped"/>
    <s v="Amazon"/>
    <x v="0"/>
    <x v="1"/>
    <n v="31"/>
    <s v="SET345-KR-NP-XXL"/>
    <x v="0"/>
    <s v="XXL"/>
    <n v="1"/>
    <s v="INR"/>
    <n v="626"/>
    <s v="MUMBAI"/>
    <x v="0"/>
    <s v="IN"/>
  </r>
  <r>
    <n v="176"/>
    <s v="408-5011528-8276347"/>
    <d v="2023-12-11T00:00:00"/>
    <x v="11"/>
    <s v="Shipped"/>
    <s v="Amazon"/>
    <x v="0"/>
    <x v="1"/>
    <n v="58"/>
    <s v="SET291-KR-PP-M"/>
    <x v="0"/>
    <s v="M"/>
    <n v="1"/>
    <s v="INR"/>
    <n v="563"/>
    <s v="ALLAHABAD"/>
    <x v="4"/>
    <s v="IN"/>
  </r>
  <r>
    <n v="177"/>
    <s v="407-4097885-3129958"/>
    <d v="2024-06-25T00:00:00"/>
    <x v="6"/>
    <s v="Shipped - Delivered to Buyer"/>
    <s v="Merchant"/>
    <x v="0"/>
    <x v="0"/>
    <n v="32"/>
    <s v="JNE3654-TP-L"/>
    <x v="3"/>
    <s v="L"/>
    <n v="1"/>
    <s v="INR"/>
    <n v="387"/>
    <s v="VASAI VIRAR"/>
    <x v="0"/>
    <s v="IN"/>
  </r>
  <r>
    <n v="178"/>
    <s v="171-1224053-5752314"/>
    <d v="2023-10-26T00:00:00"/>
    <x v="5"/>
    <s v="Cancelled"/>
    <s v="Merchant"/>
    <x v="0"/>
    <x v="0"/>
    <n v="54"/>
    <s v="J0344-TP-L"/>
    <x v="3"/>
    <s v="L"/>
    <n v="0"/>
    <s v="INR"/>
    <n v="463.81"/>
    <s v="BENGALURU"/>
    <x v="1"/>
    <s v="IN"/>
  </r>
  <r>
    <n v="179"/>
    <s v="406-2849582-6531553"/>
    <d v="2024-08-14T00:00:00"/>
    <x v="3"/>
    <s v="Shipped"/>
    <s v="Amazon"/>
    <x v="0"/>
    <x v="1"/>
    <n v="28"/>
    <s v="J0334-TP-L"/>
    <x v="3"/>
    <s v="L"/>
    <n v="1"/>
    <s v="INR"/>
    <n v="512"/>
    <s v="BIJNOR"/>
    <x v="4"/>
    <s v="IN"/>
  </r>
  <r>
    <n v="180"/>
    <s v="407-5875767-6399551"/>
    <d v="2023-01-01T00:00:00"/>
    <x v="7"/>
    <s v="Shipped"/>
    <s v="Amazon"/>
    <x v="0"/>
    <x v="1"/>
    <n v="30"/>
    <s v="J0230-SKD-S"/>
    <x v="0"/>
    <s v="S"/>
    <n v="1"/>
    <s v="INR"/>
    <n v="1112"/>
    <s v="HYDERABAD"/>
    <x v="6"/>
    <s v="IN"/>
  </r>
  <r>
    <n v="181"/>
    <s v="171-6336729-6763536"/>
    <d v="2024-11-04T00:00:00"/>
    <x v="1"/>
    <s v="Cancelled"/>
    <s v="Amazon"/>
    <x v="0"/>
    <x v="1"/>
    <n v="41"/>
    <s v="SET345-KR-NP-M"/>
    <x v="0"/>
    <s v="M"/>
    <n v="1"/>
    <s v="INR"/>
    <n v="626"/>
    <s v="BENGALURU"/>
    <x v="1"/>
    <s v="IN"/>
  </r>
  <r>
    <n v="182"/>
    <s v="404-3907920-5281963"/>
    <d v="2024-09-12T00:00:00"/>
    <x v="2"/>
    <s v="Shipped"/>
    <s v="Amazon"/>
    <x v="1"/>
    <x v="1"/>
    <n v="41"/>
    <s v="JNE1233-BLUE-KR-031-XXL"/>
    <x v="1"/>
    <s v="XXL"/>
    <n v="1"/>
    <s v="INR"/>
    <n v="376"/>
    <s v="HYDERABAD"/>
    <x v="6"/>
    <s v="IN"/>
  </r>
  <r>
    <n v="183"/>
    <s v="408-7310428-6047538"/>
    <d v="2023-03-09T00:00:00"/>
    <x v="0"/>
    <s v="Shipped"/>
    <s v="Amazon"/>
    <x v="0"/>
    <x v="1"/>
    <n v="21"/>
    <s v="J0295-DR-M"/>
    <x v="2"/>
    <s v="M"/>
    <n v="1"/>
    <s v="INR"/>
    <n v="859"/>
    <s v="BENGALURU"/>
    <x v="1"/>
    <s v="IN"/>
  </r>
  <r>
    <n v="184"/>
    <s v="403-2608092-6065935"/>
    <d v="2023-04-03T00:00:00"/>
    <x v="8"/>
    <s v="Shipped"/>
    <s v="Amazon"/>
    <x v="0"/>
    <x v="1"/>
    <n v="55"/>
    <s v="SET324-KR-NP-L"/>
    <x v="0"/>
    <s v="L"/>
    <n v="1"/>
    <s v="INR"/>
    <n v="597"/>
    <s v="MANGALURU"/>
    <x v="1"/>
    <s v="IN"/>
  </r>
  <r>
    <n v="185"/>
    <s v="404-9760385-9109154"/>
    <d v="2023-02-12T00:00:00"/>
    <x v="4"/>
    <s v="Shipped"/>
    <s v="Amazon"/>
    <x v="1"/>
    <x v="1"/>
    <n v="34"/>
    <s v="JNE3371-KR-XL"/>
    <x v="1"/>
    <s v="XL"/>
    <n v="1"/>
    <s v="INR"/>
    <n v="329"/>
    <s v="HYDERABAD"/>
    <x v="6"/>
    <s v="IN"/>
  </r>
  <r>
    <n v="186"/>
    <s v="405-0732969-3941948"/>
    <d v="2024-02-03T00:00:00"/>
    <x v="4"/>
    <s v="Shipped - Delivered to Buyer"/>
    <s v="Merchant"/>
    <x v="0"/>
    <x v="0"/>
    <n v="44"/>
    <s v="J0147-SET-XL"/>
    <x v="0"/>
    <s v="XL"/>
    <n v="1"/>
    <s v="INR"/>
    <n v="583"/>
    <s v="NEW TOWN"/>
    <x v="17"/>
    <s v="IN"/>
  </r>
  <r>
    <n v="187"/>
    <s v="402-2720308-2560327"/>
    <d v="2023-11-11T00:00:00"/>
    <x v="1"/>
    <s v="Shipped"/>
    <s v="Amazon"/>
    <x v="0"/>
    <x v="1"/>
    <n v="32"/>
    <s v="J0308-DR-L"/>
    <x v="2"/>
    <s v="L"/>
    <n v="1"/>
    <s v="INR"/>
    <n v="665"/>
    <s v="MUMBAI"/>
    <x v="0"/>
    <s v="IN"/>
  </r>
  <r>
    <n v="188"/>
    <s v="402-0589123-6183541"/>
    <d v="2024-03-26T00:00:00"/>
    <x v="0"/>
    <s v="Shipped"/>
    <s v="Amazon"/>
    <x v="0"/>
    <x v="1"/>
    <n v="51"/>
    <s v="NW030-TP-PJ-L"/>
    <x v="0"/>
    <s v="L"/>
    <n v="1"/>
    <s v="INR"/>
    <n v="582"/>
    <s v="MUMBAI"/>
    <x v="0"/>
    <s v="IN"/>
  </r>
  <r>
    <n v="189"/>
    <s v="408-3874942-9917143"/>
    <d v="2024-05-23T00:00:00"/>
    <x v="9"/>
    <s v="Shipped"/>
    <s v="Amazon"/>
    <x v="0"/>
    <x v="1"/>
    <n v="59"/>
    <s v="SET360-KR-NP-XL"/>
    <x v="0"/>
    <s v="XL"/>
    <n v="1"/>
    <s v="INR"/>
    <n v="1126"/>
    <s v="SAMBHAL"/>
    <x v="4"/>
    <s v="IN"/>
  </r>
  <r>
    <n v="190"/>
    <s v="402-1706149-0949104"/>
    <d v="2023-10-21T00:00:00"/>
    <x v="5"/>
    <s v="Shipped"/>
    <s v="Amazon"/>
    <x v="1"/>
    <x v="1"/>
    <n v="31"/>
    <s v="PJNE3373-KR-N-6XL"/>
    <x v="1"/>
    <s v="6XL"/>
    <n v="1"/>
    <s v="INR"/>
    <n v="534"/>
    <s v="NAGPUR"/>
    <x v="0"/>
    <s v="IN"/>
  </r>
  <r>
    <n v="191"/>
    <s v="407-1672316-3245939"/>
    <d v="2023-10-23T00:00:00"/>
    <x v="5"/>
    <s v="Shipped"/>
    <s v="Amazon"/>
    <x v="1"/>
    <x v="1"/>
    <n v="56"/>
    <s v="JNE3449-KR-XXL"/>
    <x v="1"/>
    <s v="XXL"/>
    <n v="1"/>
    <s v="INR"/>
    <n v="319"/>
    <s v="ELAVANASURKOTTAI"/>
    <x v="3"/>
    <s v="IN"/>
  </r>
  <r>
    <n v="192"/>
    <s v="405-1832646-7988329"/>
    <d v="2024-09-01T00:00:00"/>
    <x v="2"/>
    <s v="Shipped"/>
    <s v="Amazon"/>
    <x v="1"/>
    <x v="1"/>
    <n v="50"/>
    <s v="JNE3786-KR-S"/>
    <x v="1"/>
    <s v="S"/>
    <n v="1"/>
    <s v="INR"/>
    <n v="368"/>
    <s v="SANGLI MIRAJ KUPWAD"/>
    <x v="0"/>
    <s v="IN"/>
  </r>
  <r>
    <n v="193"/>
    <s v="408-9692204-9817146"/>
    <d v="2023-08-26T00:00:00"/>
    <x v="3"/>
    <s v="Cancelled"/>
    <s v="Amazon"/>
    <x v="0"/>
    <x v="1"/>
    <n v="50"/>
    <s v="SET324-KR-NP-M"/>
    <x v="0"/>
    <s v="M"/>
    <n v="1"/>
    <s v="INR"/>
    <n v="597"/>
    <s v="KALYAN"/>
    <x v="0"/>
    <s v="IN"/>
  </r>
  <r>
    <n v="194"/>
    <s v="402-9339129-6219537"/>
    <d v="2024-09-25T00:00:00"/>
    <x v="2"/>
    <s v="Cancelled"/>
    <s v="Amazon"/>
    <x v="0"/>
    <x v="1"/>
    <n v="50"/>
    <s v="J0003-SET-XXL"/>
    <x v="0"/>
    <s v="XXL"/>
    <n v="1"/>
    <s v="INR"/>
    <n v="654"/>
    <s v="MYSURU"/>
    <x v="1"/>
    <s v="IN"/>
  </r>
  <r>
    <n v="195"/>
    <s v="405-3036350-8089120"/>
    <d v="2024-07-10T00:00:00"/>
    <x v="10"/>
    <s v="Shipped"/>
    <s v="Amazon"/>
    <x v="1"/>
    <x v="1"/>
    <n v="18"/>
    <s v="J0314-KR-M"/>
    <x v="1"/>
    <s v="M"/>
    <n v="1"/>
    <s v="INR"/>
    <n v="795"/>
    <s v="ANKLESHWR"/>
    <x v="19"/>
    <s v="IN"/>
  </r>
  <r>
    <n v="196"/>
    <s v="404-6680046-0839536"/>
    <d v="2023-07-30T00:00:00"/>
    <x v="10"/>
    <s v="Shipped - Delivered to Buyer"/>
    <s v="Merchant"/>
    <x v="0"/>
    <x v="2"/>
    <n v="19"/>
    <s v="J0341-DR-M"/>
    <x v="2"/>
    <s v="M"/>
    <n v="1"/>
    <s v="INR"/>
    <n v="744"/>
    <s v="Chennai"/>
    <x v="3"/>
    <s v="IN"/>
  </r>
  <r>
    <n v="197"/>
    <s v="406-2966654-4672325"/>
    <d v="2023-10-31T00:00:00"/>
    <x v="5"/>
    <s v="Shipped"/>
    <s v="Amazon"/>
    <x v="1"/>
    <x v="1"/>
    <n v="24"/>
    <s v="PJNE3068-KR-4XL"/>
    <x v="1"/>
    <s v="4XL"/>
    <n v="1"/>
    <s v="INR"/>
    <n v="692"/>
    <s v="Greater Noida West"/>
    <x v="4"/>
    <s v="IN"/>
  </r>
  <r>
    <n v="198"/>
    <s v="403-4845285-4565113"/>
    <d v="2024-07-12T00:00:00"/>
    <x v="10"/>
    <s v="Shipped"/>
    <s v="Amazon"/>
    <x v="0"/>
    <x v="1"/>
    <n v="18"/>
    <s v="J0340-TP-M"/>
    <x v="3"/>
    <s v="M"/>
    <n v="1"/>
    <s v="INR"/>
    <n v="563"/>
    <s v="JAMMU"/>
    <x v="22"/>
    <s v="IN"/>
  </r>
  <r>
    <n v="199"/>
    <s v="171-4496851-5319548"/>
    <d v="2024-08-21T00:00:00"/>
    <x v="3"/>
    <s v="Shipped"/>
    <s v="Amazon"/>
    <x v="0"/>
    <x v="1"/>
    <n v="37"/>
    <s v="JNE3687-TU-M"/>
    <x v="3"/>
    <s v="M"/>
    <n v="1"/>
    <s v="INR"/>
    <n v="545"/>
    <s v="BENGALURU"/>
    <x v="1"/>
    <s v="IN"/>
  </r>
  <r>
    <n v="200"/>
    <s v="408-3416118-1167564"/>
    <d v="2024-03-01T00:00:00"/>
    <x v="0"/>
    <s v="Shipped"/>
    <s v="Amazon"/>
    <x v="0"/>
    <x v="1"/>
    <n v="40"/>
    <s v="J0376-SKD-L"/>
    <x v="0"/>
    <s v="L"/>
    <n v="1"/>
    <s v="INR"/>
    <n v="999"/>
    <s v="ITANAGAR"/>
    <x v="25"/>
    <s v="IN"/>
  </r>
  <r>
    <n v="201"/>
    <s v="406-1590113-9193914"/>
    <d v="2023-02-08T00:00:00"/>
    <x v="4"/>
    <s v="Shipped"/>
    <s v="Amazon"/>
    <x v="0"/>
    <x v="1"/>
    <n v="35"/>
    <s v="J0003-SET-M"/>
    <x v="0"/>
    <s v="M"/>
    <n v="1"/>
    <s v="INR"/>
    <n v="654"/>
    <s v="KOLKATA"/>
    <x v="17"/>
    <s v="IN"/>
  </r>
  <r>
    <n v="202"/>
    <s v="404-0363929-8015528"/>
    <d v="2023-07-02T00:00:00"/>
    <x v="10"/>
    <s v="Shipped"/>
    <s v="Amazon"/>
    <x v="0"/>
    <x v="1"/>
    <n v="32"/>
    <s v="J0198-TP-S"/>
    <x v="3"/>
    <s v="S"/>
    <n v="1"/>
    <s v="INR"/>
    <n v="588"/>
    <s v="KARANJA"/>
    <x v="0"/>
    <s v="IN"/>
  </r>
  <r>
    <n v="203"/>
    <s v="407-7173744-5333154"/>
    <d v="2023-04-22T00:00:00"/>
    <x v="8"/>
    <s v="Shipped - Delivered to Buyer"/>
    <s v="Merchant"/>
    <x v="1"/>
    <x v="0"/>
    <n v="49"/>
    <s v="JNE3453-KR-S"/>
    <x v="1"/>
    <s v="S"/>
    <n v="1"/>
    <s v="INR"/>
    <n v="497"/>
    <s v="NEW DELHI"/>
    <x v="9"/>
    <s v="IN"/>
  </r>
  <r>
    <n v="204"/>
    <s v="405-6880044-2861120"/>
    <d v="2023-04-30T00:00:00"/>
    <x v="8"/>
    <s v="Shipped"/>
    <s v="Amazon"/>
    <x v="1"/>
    <x v="1"/>
    <n v="50"/>
    <s v="JNE3795-KR-XXXL"/>
    <x v="1"/>
    <s v="3XL"/>
    <n v="1"/>
    <s v="INR"/>
    <n v="517"/>
    <s v="NIMBAHERA"/>
    <x v="8"/>
    <s v="IN"/>
  </r>
  <r>
    <n v="205"/>
    <s v="403-4337144-0984323"/>
    <d v="2023-05-17T00:00:00"/>
    <x v="9"/>
    <s v="Cancelled"/>
    <s v="Amazon"/>
    <x v="0"/>
    <x v="1"/>
    <n v="34"/>
    <s v="J0340-TP-M"/>
    <x v="3"/>
    <s v="M"/>
    <n v="0"/>
    <m/>
    <m/>
    <s v="JAMMU"/>
    <x v="22"/>
    <s v="IN"/>
  </r>
  <r>
    <n v="206"/>
    <s v="171-1851948-5476361"/>
    <d v="2024-06-30T00:00:00"/>
    <x v="6"/>
    <s v="Shipped"/>
    <s v="Amazon"/>
    <x v="0"/>
    <x v="1"/>
    <n v="22"/>
    <s v="SET398-KR-PP-M"/>
    <x v="0"/>
    <s v="M"/>
    <n v="1"/>
    <s v="INR"/>
    <n v="1115"/>
    <s v="Imphal East"/>
    <x v="26"/>
    <s v="IN"/>
  </r>
  <r>
    <n v="207"/>
    <s v="171-5810429-4493110"/>
    <d v="2024-11-09T00:00:00"/>
    <x v="1"/>
    <s v="Shipped"/>
    <s v="Amazon"/>
    <x v="0"/>
    <x v="1"/>
    <n v="18"/>
    <s v="NW033-ST-CP-XXXL"/>
    <x v="0"/>
    <s v="3XL"/>
    <n v="1"/>
    <s v="INR"/>
    <n v="582"/>
    <s v="BIDHAN NAGAR"/>
    <x v="17"/>
    <s v="IN"/>
  </r>
  <r>
    <n v="208"/>
    <s v="171-1068229-1581965"/>
    <d v="2024-06-23T00:00:00"/>
    <x v="6"/>
    <s v="Shipped"/>
    <s v="Amazon"/>
    <x v="0"/>
    <x v="1"/>
    <n v="25"/>
    <s v="NW037-TP-SR-XXXL"/>
    <x v="0"/>
    <s v="3XL"/>
    <n v="1"/>
    <s v="INR"/>
    <n v="449"/>
    <s v="BIDHAN NAGAR"/>
    <x v="17"/>
    <s v="IN"/>
  </r>
  <r>
    <n v="209"/>
    <s v="402-2105140-3584364"/>
    <d v="2024-03-31T00:00:00"/>
    <x v="0"/>
    <s v="Shipped"/>
    <s v="Amazon"/>
    <x v="1"/>
    <x v="1"/>
    <n v="35"/>
    <s v="JNE3618-KR-M"/>
    <x v="1"/>
    <s v="M"/>
    <n v="1"/>
    <s v="INR"/>
    <n v="375"/>
    <s v="BENGALURU"/>
    <x v="1"/>
    <s v="IN"/>
  </r>
  <r>
    <n v="210"/>
    <s v="403-3561336-3563535"/>
    <d v="2024-10-18T00:00:00"/>
    <x v="5"/>
    <s v="Shipped"/>
    <s v="Amazon"/>
    <x v="0"/>
    <x v="1"/>
    <n v="38"/>
    <s v="SET290-KR-DPT-M"/>
    <x v="0"/>
    <s v="M"/>
    <n v="1"/>
    <s v="INR"/>
    <n v="771"/>
    <s v="AHMEDABAD"/>
    <x v="19"/>
    <s v="IN"/>
  </r>
  <r>
    <n v="211"/>
    <s v="402-9532672-5385917"/>
    <d v="2024-06-18T00:00:00"/>
    <x v="6"/>
    <s v="Shipped"/>
    <s v="Amazon"/>
    <x v="1"/>
    <x v="1"/>
    <n v="36"/>
    <s v="JNE3405-KR-L"/>
    <x v="1"/>
    <s v="L"/>
    <n v="1"/>
    <s v="INR"/>
    <n v="399"/>
    <s v="TIRUCHIRAPPALLI"/>
    <x v="3"/>
    <s v="IN"/>
  </r>
  <r>
    <n v="212"/>
    <s v="408-4547464-4180323"/>
    <d v="2023-08-07T00:00:00"/>
    <x v="3"/>
    <s v="Shipped - Delivered to Buyer"/>
    <s v="Merchant"/>
    <x v="1"/>
    <x v="2"/>
    <n v="50"/>
    <s v="JNE3568-KR-XXL"/>
    <x v="1"/>
    <s v="XXL"/>
    <n v="1"/>
    <s v="INR"/>
    <n v="0"/>
    <s v="BHUBANESWAR"/>
    <x v="14"/>
    <s v="IN"/>
  </r>
  <r>
    <n v="213"/>
    <s v="402-2211107-5096323"/>
    <d v="2024-07-02T00:00:00"/>
    <x v="10"/>
    <s v="Shipped"/>
    <s v="Amazon"/>
    <x v="0"/>
    <x v="1"/>
    <n v="59"/>
    <s v="J0003-SET-XXXL"/>
    <x v="0"/>
    <s v="3XL"/>
    <n v="1"/>
    <s v="INR"/>
    <n v="654"/>
    <s v="ALIGARH"/>
    <x v="4"/>
    <s v="IN"/>
  </r>
  <r>
    <n v="214"/>
    <s v="403-9412025-7537140"/>
    <d v="2024-09-30T00:00:00"/>
    <x v="2"/>
    <s v="Shipped"/>
    <s v="Amazon"/>
    <x v="1"/>
    <x v="1"/>
    <n v="60"/>
    <s v="JNE2153-KR-278-A-S"/>
    <x v="1"/>
    <s v="S"/>
    <n v="1"/>
    <s v="INR"/>
    <n v="424"/>
    <s v="KOCHI"/>
    <x v="15"/>
    <s v="IN"/>
  </r>
  <r>
    <n v="215"/>
    <s v="403-5456917-5571511"/>
    <d v="2024-02-04T00:00:00"/>
    <x v="4"/>
    <s v="Cancelled"/>
    <s v="Amazon"/>
    <x v="0"/>
    <x v="1"/>
    <n v="25"/>
    <s v="JNE3861-DR-XL"/>
    <x v="2"/>
    <s v="XL"/>
    <n v="0"/>
    <m/>
    <m/>
    <s v="GHAZIABAD"/>
    <x v="4"/>
    <s v="IN"/>
  </r>
  <r>
    <n v="216"/>
    <s v="171-8452330-4756317"/>
    <d v="2024-08-27T00:00:00"/>
    <x v="3"/>
    <s v="Shipped"/>
    <s v="Amazon"/>
    <x v="0"/>
    <x v="1"/>
    <n v="45"/>
    <s v="JNE3645-TP-N-XS"/>
    <x v="3"/>
    <s v="XS"/>
    <n v="1"/>
    <s v="INR"/>
    <n v="432"/>
    <s v="PUNE"/>
    <x v="0"/>
    <s v="IN"/>
  </r>
  <r>
    <n v="217"/>
    <s v="171-4350114-4299568"/>
    <d v="2023-01-28T00:00:00"/>
    <x v="7"/>
    <s v="Shipped - Delivered to Buyer"/>
    <s v="Merchant"/>
    <x v="0"/>
    <x v="0"/>
    <n v="34"/>
    <s v="JNE3662-TP-XS"/>
    <x v="3"/>
    <s v="XS"/>
    <n v="1"/>
    <s v="INR"/>
    <n v="399"/>
    <s v="PUNE"/>
    <x v="0"/>
    <s v="IN"/>
  </r>
  <r>
    <n v="218"/>
    <s v="405-8692900-3888310"/>
    <d v="2024-12-24T00:00:00"/>
    <x v="11"/>
    <s v="Shipped"/>
    <s v="Amazon"/>
    <x v="1"/>
    <x v="1"/>
    <n v="26"/>
    <s v="JNE3440-KR-N-L"/>
    <x v="1"/>
    <s v="L"/>
    <n v="1"/>
    <s v="INR"/>
    <n v="399"/>
    <s v="Bangalore"/>
    <x v="1"/>
    <s v="IN"/>
  </r>
  <r>
    <n v="219"/>
    <s v="402-6750101-3923558"/>
    <d v="2023-10-06T00:00:00"/>
    <x v="5"/>
    <s v="Shipped"/>
    <s v="Amazon"/>
    <x v="0"/>
    <x v="1"/>
    <n v="18"/>
    <s v="SET331-KR-NP-S"/>
    <x v="0"/>
    <s v="S"/>
    <n v="1"/>
    <s v="INR"/>
    <n v="597"/>
    <s v="MALAPPURAM"/>
    <x v="15"/>
    <s v="IN"/>
  </r>
  <r>
    <n v="220"/>
    <s v="403-5725327-6264327"/>
    <d v="2024-04-06T00:00:00"/>
    <x v="8"/>
    <s v="Shipped"/>
    <s v="Amazon"/>
    <x v="0"/>
    <x v="1"/>
    <n v="52"/>
    <s v="J0301-TP-M"/>
    <x v="3"/>
    <s v="M"/>
    <n v="1"/>
    <s v="INR"/>
    <n v="463"/>
    <s v="NOIDA"/>
    <x v="4"/>
    <s v="IN"/>
  </r>
  <r>
    <n v="221"/>
    <s v="403-5209693-1173944"/>
    <d v="2023-10-13T00:00:00"/>
    <x v="5"/>
    <s v="Shipped"/>
    <s v="Amazon"/>
    <x v="1"/>
    <x v="1"/>
    <n v="24"/>
    <s v="MEN5004-KR-XL"/>
    <x v="1"/>
    <s v="XL"/>
    <n v="1"/>
    <s v="INR"/>
    <n v="484"/>
    <s v="GREATER NOIDA"/>
    <x v="4"/>
    <s v="IN"/>
  </r>
  <r>
    <n v="222"/>
    <s v="403-8255889-7526765"/>
    <d v="2024-10-19T00:00:00"/>
    <x v="5"/>
    <s v="Shipped"/>
    <s v="Amazon"/>
    <x v="1"/>
    <x v="1"/>
    <n v="25"/>
    <s v="J0352-KR-S"/>
    <x v="1"/>
    <s v="S"/>
    <n v="1"/>
    <s v="INR"/>
    <n v="635"/>
    <s v="PATNA"/>
    <x v="21"/>
    <s v="IN"/>
  </r>
  <r>
    <n v="223"/>
    <s v="407-3554912-7244363"/>
    <d v="2024-01-13T00:00:00"/>
    <x v="7"/>
    <s v="Shipped"/>
    <s v="Amazon"/>
    <x v="1"/>
    <x v="1"/>
    <n v="26"/>
    <s v="JNE3160-KR-G-XXL"/>
    <x v="1"/>
    <s v="XXL"/>
    <n v="1"/>
    <s v="INR"/>
    <n v="685"/>
    <s v="SIBSAGAR"/>
    <x v="11"/>
    <s v="IN"/>
  </r>
  <r>
    <n v="224"/>
    <s v="407-4737202-9096304"/>
    <d v="2024-05-26T00:00:00"/>
    <x v="9"/>
    <s v="Shipped - Delivered to Buyer"/>
    <s v="Merchant"/>
    <x v="0"/>
    <x v="2"/>
    <n v="29"/>
    <s v="JNE3798-KR-M"/>
    <x v="2"/>
    <s v="M"/>
    <n v="1"/>
    <s v="INR"/>
    <n v="725"/>
    <s v="GAYA"/>
    <x v="21"/>
    <s v="IN"/>
  </r>
  <r>
    <n v="225"/>
    <s v="171-2842936-5423534"/>
    <d v="2024-03-02T00:00:00"/>
    <x v="0"/>
    <s v="Shipped"/>
    <s v="Amazon"/>
    <x v="0"/>
    <x v="1"/>
    <n v="57"/>
    <s v="JNE3690-TU-XL"/>
    <x v="3"/>
    <s v="XL"/>
    <n v="1"/>
    <s v="INR"/>
    <n v="487"/>
    <s v="BENGALURU"/>
    <x v="1"/>
    <s v="IN"/>
  </r>
  <r>
    <n v="226"/>
    <s v="407-4936046-5852304"/>
    <d v="2024-10-27T00:00:00"/>
    <x v="5"/>
    <s v="Cancelled"/>
    <s v="Merchant"/>
    <x v="0"/>
    <x v="0"/>
    <n v="56"/>
    <s v="SET355-KR-PP-XXL"/>
    <x v="0"/>
    <s v="XXL"/>
    <n v="0"/>
    <s v="INR"/>
    <n v="1249.1099999999999"/>
    <s v="GURUGRAM"/>
    <x v="10"/>
    <s v="IN"/>
  </r>
  <r>
    <n v="227"/>
    <s v="407-4936046-5852304"/>
    <d v="2024-12-26T00:00:00"/>
    <x v="11"/>
    <s v="Cancelled"/>
    <s v="Merchant"/>
    <x v="0"/>
    <x v="0"/>
    <n v="60"/>
    <s v="SET317-KR-PP-XXL"/>
    <x v="0"/>
    <s v="XXL"/>
    <n v="0"/>
    <s v="INR"/>
    <n v="1058.93"/>
    <s v="GURUGRAM"/>
    <x v="10"/>
    <s v="IN"/>
  </r>
  <r>
    <n v="228"/>
    <s v="402-9580874-3525948"/>
    <d v="2024-10-27T00:00:00"/>
    <x v="5"/>
    <s v="Shipped"/>
    <s v="Amazon"/>
    <x v="0"/>
    <x v="1"/>
    <n v="58"/>
    <s v="SET375-KR-NP-XL"/>
    <x v="0"/>
    <s v="XL"/>
    <n v="1"/>
    <s v="INR"/>
    <n v="696"/>
    <s v="KOLLAM"/>
    <x v="15"/>
    <s v="IN"/>
  </r>
  <r>
    <n v="229"/>
    <s v="404-7426070-1355530"/>
    <d v="2023-03-03T00:00:00"/>
    <x v="0"/>
    <s v="Shipped"/>
    <s v="Amazon"/>
    <x v="1"/>
    <x v="1"/>
    <n v="26"/>
    <s v="JNE3371-KR-M"/>
    <x v="1"/>
    <s v="M"/>
    <n v="1"/>
    <s v="INR"/>
    <n v="329"/>
    <s v="HYDERABAD"/>
    <x v="6"/>
    <s v="IN"/>
  </r>
  <r>
    <n v="230"/>
    <s v="406-4878137-1126707"/>
    <d v="2023-08-04T00:00:00"/>
    <x v="3"/>
    <s v="Shipped"/>
    <s v="Amazon"/>
    <x v="1"/>
    <x v="1"/>
    <n v="29"/>
    <s v="JNE3465-KR-S"/>
    <x v="1"/>
    <s v="S"/>
    <n v="1"/>
    <s v="INR"/>
    <n v="517"/>
    <s v="PUNE"/>
    <x v="0"/>
    <s v="IN"/>
  </r>
  <r>
    <n v="231"/>
    <s v="171-3505516-3505949"/>
    <d v="2024-03-12T00:00:00"/>
    <x v="0"/>
    <s v="Shipped"/>
    <s v="Amazon"/>
    <x v="0"/>
    <x v="1"/>
    <n v="21"/>
    <s v="SET116-KR-NP-XL"/>
    <x v="0"/>
    <s v="XL"/>
    <n v="1"/>
    <s v="INR"/>
    <n v="591"/>
    <s v="PUNE"/>
    <x v="0"/>
    <s v="IN"/>
  </r>
  <r>
    <n v="232"/>
    <s v="406-6199849-7523514"/>
    <d v="2024-06-02T00:00:00"/>
    <x v="6"/>
    <s v="Shipped"/>
    <s v="Amazon"/>
    <x v="1"/>
    <x v="1"/>
    <n v="50"/>
    <s v="JNE3781-KR-XXXL"/>
    <x v="1"/>
    <s v="3XL"/>
    <n v="1"/>
    <s v="INR"/>
    <n v="406"/>
    <s v="PERALASSERI"/>
    <x v="15"/>
    <s v="IN"/>
  </r>
  <r>
    <n v="233"/>
    <s v="406-6180074-2350757"/>
    <d v="2024-08-24T00:00:00"/>
    <x v="3"/>
    <s v="Shipped"/>
    <s v="Amazon"/>
    <x v="0"/>
    <x v="1"/>
    <n v="46"/>
    <s v="SET147-KR-NP-XL"/>
    <x v="0"/>
    <s v="XL"/>
    <n v="1"/>
    <s v="INR"/>
    <n v="684"/>
    <s v="BENGALURU"/>
    <x v="1"/>
    <s v="IN"/>
  </r>
  <r>
    <n v="234"/>
    <s v="406-6180074-2350757"/>
    <d v="2024-02-13T00:00:00"/>
    <x v="4"/>
    <s v="Shipped"/>
    <s v="Amazon"/>
    <x v="0"/>
    <x v="1"/>
    <n v="33"/>
    <s v="SET397-KR-NP-XL"/>
    <x v="0"/>
    <s v="XL"/>
    <n v="1"/>
    <s v="INR"/>
    <n v="1115"/>
    <s v="BENGALURU"/>
    <x v="1"/>
    <s v="IN"/>
  </r>
  <r>
    <n v="235"/>
    <s v="406-2403215-8361103"/>
    <d v="2023-05-01T00:00:00"/>
    <x v="9"/>
    <s v="Shipped - Delivered to Buyer"/>
    <s v="Merchant"/>
    <x v="0"/>
    <x v="0"/>
    <n v="57"/>
    <s v="SET300-KR-NP-L"/>
    <x v="0"/>
    <s v="L"/>
    <n v="1"/>
    <s v="INR"/>
    <n v="999"/>
    <s v="BENGALURU"/>
    <x v="1"/>
    <s v="IN"/>
  </r>
  <r>
    <n v="236"/>
    <s v="404-6578109-5618751"/>
    <d v="2023-09-19T00:00:00"/>
    <x v="2"/>
    <s v="Shipped - Delivered to Buyer"/>
    <s v="Merchant"/>
    <x v="1"/>
    <x v="2"/>
    <n v="33"/>
    <s v="JNE3384-KR-M"/>
    <x v="1"/>
    <s v="M"/>
    <n v="1"/>
    <s v="INR"/>
    <n v="295"/>
    <s v="BENGALURU"/>
    <x v="1"/>
    <s v="IN"/>
  </r>
  <r>
    <n v="237"/>
    <s v="407-2307966-4961113"/>
    <d v="2024-12-01T00:00:00"/>
    <x v="11"/>
    <s v="Shipped"/>
    <s v="Amazon"/>
    <x v="1"/>
    <x v="1"/>
    <n v="47"/>
    <s v="JNE3291-KR-XL"/>
    <x v="1"/>
    <s v="XL"/>
    <n v="1"/>
    <s v="INR"/>
    <n v="442"/>
    <s v="UDUPI"/>
    <x v="1"/>
    <s v="IN"/>
  </r>
  <r>
    <n v="238"/>
    <s v="404-5539778-0029904"/>
    <d v="2024-12-14T00:00:00"/>
    <x v="11"/>
    <s v="Shipped"/>
    <s v="Amazon"/>
    <x v="0"/>
    <x v="1"/>
    <n v="56"/>
    <s v="SET291-KR-PP-L"/>
    <x v="0"/>
    <s v="L"/>
    <n v="1"/>
    <s v="INR"/>
    <n v="563"/>
    <s v="MARIANI"/>
    <x v="11"/>
    <s v="IN"/>
  </r>
  <r>
    <n v="239"/>
    <s v="171-6222676-0740318"/>
    <d v="2024-08-09T00:00:00"/>
    <x v="3"/>
    <s v="Shipped"/>
    <s v="Amazon"/>
    <x v="1"/>
    <x v="1"/>
    <n v="22"/>
    <s v="JNE3399-KR-L"/>
    <x v="1"/>
    <s v="L"/>
    <n v="1"/>
    <s v="INR"/>
    <n v="435"/>
    <s v="NEW DELHI"/>
    <x v="9"/>
    <s v="IN"/>
  </r>
  <r>
    <n v="240"/>
    <s v="403-2166075-2254703"/>
    <d v="2024-08-27T00:00:00"/>
    <x v="3"/>
    <s v="Shipped"/>
    <s v="Amazon"/>
    <x v="0"/>
    <x v="1"/>
    <n v="60"/>
    <s v="SET291-KR-PP-M"/>
    <x v="0"/>
    <s v="M"/>
    <n v="1"/>
    <s v="INR"/>
    <n v="563"/>
    <s v="MANGALURU"/>
    <x v="1"/>
    <s v="IN"/>
  </r>
  <r>
    <n v="241"/>
    <s v="407-5766340-7411567"/>
    <d v="2023-12-03T00:00:00"/>
    <x v="11"/>
    <s v="Shipped"/>
    <s v="Amazon"/>
    <x v="1"/>
    <x v="1"/>
    <n v="60"/>
    <s v="JNE3440-KR-N-XS"/>
    <x v="1"/>
    <s v="XS"/>
    <n v="1"/>
    <s v="INR"/>
    <n v="399"/>
    <s v="AHMEDABAD"/>
    <x v="19"/>
    <s v="IN"/>
  </r>
  <r>
    <n v="242"/>
    <s v="404-0634392-1837110"/>
    <d v="2024-03-31T00:00:00"/>
    <x v="0"/>
    <s v="Cancelled"/>
    <s v="Amazon"/>
    <x v="0"/>
    <x v="1"/>
    <n v="22"/>
    <s v="J0198-TP-S"/>
    <x v="3"/>
    <s v="S"/>
    <n v="0"/>
    <m/>
    <m/>
    <s v="KARANJA"/>
    <x v="0"/>
    <s v="IN"/>
  </r>
  <r>
    <n v="243"/>
    <s v="408-2759943-9849959"/>
    <d v="2023-11-24T00:00:00"/>
    <x v="1"/>
    <s v="Shipped"/>
    <s v="Amazon"/>
    <x v="0"/>
    <x v="1"/>
    <n v="54"/>
    <s v="SET363-KR-NP-XXL"/>
    <x v="0"/>
    <s v="XXL"/>
    <n v="1"/>
    <s v="INR"/>
    <n v="1338"/>
    <s v="KOLKATA"/>
    <x v="17"/>
    <s v="IN"/>
  </r>
  <r>
    <n v="244"/>
    <s v="403-5977671-8855508"/>
    <d v="2024-07-04T00:00:00"/>
    <x v="10"/>
    <s v="Shipped - Returned to Seller"/>
    <s v="Merchant"/>
    <x v="0"/>
    <x v="0"/>
    <n v="19"/>
    <s v="SET304-KR-DPT-XS"/>
    <x v="0"/>
    <s v="XS"/>
    <n v="1"/>
    <s v="INR"/>
    <n v="1115"/>
    <s v="COOCH BEHAR"/>
    <x v="17"/>
    <s v="IN"/>
  </r>
  <r>
    <n v="245"/>
    <s v="408-9321153-0591557"/>
    <d v="2024-03-17T00:00:00"/>
    <x v="0"/>
    <s v="Shipped"/>
    <s v="Amazon"/>
    <x v="1"/>
    <x v="1"/>
    <n v="27"/>
    <s v="JNE3405-KR-XL"/>
    <x v="1"/>
    <s v="XL"/>
    <n v="1"/>
    <s v="INR"/>
    <n v="399"/>
    <s v="BENGALURU"/>
    <x v="1"/>
    <s v="IN"/>
  </r>
  <r>
    <n v="246"/>
    <s v="404-0696150-3898703"/>
    <d v="2023-04-30T00:00:00"/>
    <x v="8"/>
    <s v="Shipped - Delivered to Buyer"/>
    <s v="Merchant"/>
    <x v="0"/>
    <x v="0"/>
    <n v="47"/>
    <s v="J0348-SET-S"/>
    <x v="0"/>
    <s v="S"/>
    <n v="1"/>
    <s v="INR"/>
    <n v="499"/>
    <s v="PUNE"/>
    <x v="0"/>
    <s v="IN"/>
  </r>
  <r>
    <n v="247"/>
    <s v="406-7586136-6520337"/>
    <d v="2024-06-21T00:00:00"/>
    <x v="6"/>
    <s v="Shipped - Delivered to Buyer"/>
    <s v="Merchant"/>
    <x v="0"/>
    <x v="2"/>
    <n v="48"/>
    <s v="J0399-DR-M"/>
    <x v="2"/>
    <s v="M"/>
    <n v="1"/>
    <s v="INR"/>
    <n v="791"/>
    <s v="DEHRADUN"/>
    <x v="20"/>
    <s v="IN"/>
  </r>
  <r>
    <n v="248"/>
    <s v="407-6146457-8788352"/>
    <d v="2024-05-18T00:00:00"/>
    <x v="9"/>
    <s v="Shipped"/>
    <s v="Amazon"/>
    <x v="0"/>
    <x v="1"/>
    <n v="20"/>
    <s v="JNE3797-KR-M"/>
    <x v="2"/>
    <s v="M"/>
    <n v="1"/>
    <s v="INR"/>
    <n v="725"/>
    <s v="GAYA"/>
    <x v="21"/>
    <s v="IN"/>
  </r>
  <r>
    <n v="249"/>
    <s v="404-8514200-3544346"/>
    <d v="2023-04-03T00:00:00"/>
    <x v="8"/>
    <s v="Cancelled"/>
    <s v="Amazon"/>
    <x v="1"/>
    <x v="1"/>
    <n v="49"/>
    <s v="JNE3440-KR-N-M"/>
    <x v="1"/>
    <s v="M"/>
    <n v="0"/>
    <m/>
    <m/>
    <s v="BENGALURU"/>
    <x v="1"/>
    <s v="IN"/>
  </r>
  <r>
    <n v="250"/>
    <s v="404-7452877-2137949"/>
    <d v="2023-05-29T00:00:00"/>
    <x v="9"/>
    <s v="Cancelled"/>
    <s v="Merchant"/>
    <x v="1"/>
    <x v="0"/>
    <n v="54"/>
    <s v="JNE3802-KR-M"/>
    <x v="1"/>
    <s v="M"/>
    <n v="0"/>
    <m/>
    <m/>
    <s v="BENGALURU"/>
    <x v="1"/>
    <s v="IN"/>
  </r>
  <r>
    <n v="251"/>
    <s v="402-2703790-2816329"/>
    <d v="2024-09-24T00:00:00"/>
    <x v="2"/>
    <s v="Cancelled"/>
    <s v="Merchant"/>
    <x v="0"/>
    <x v="0"/>
    <n v="37"/>
    <s v="J0285-SKD-M"/>
    <x v="0"/>
    <s v="M"/>
    <n v="0"/>
    <s v="INR"/>
    <n v="1278.57"/>
    <s v="JHARIA KHAS"/>
    <x v="12"/>
    <s v="IN"/>
  </r>
  <r>
    <n v="252"/>
    <s v="407-1515930-8661921"/>
    <d v="2024-11-06T00:00:00"/>
    <x v="1"/>
    <s v="Shipped"/>
    <s v="Amazon"/>
    <x v="0"/>
    <x v="1"/>
    <n v="36"/>
    <s v="SET322-KR-SHA-XL"/>
    <x v="0"/>
    <s v="XL"/>
    <n v="1"/>
    <s v="INR"/>
    <n v="1099"/>
    <s v="KOLKATA"/>
    <x v="17"/>
    <s v="IN"/>
  </r>
  <r>
    <n v="253"/>
    <s v="405-9144614-1601126"/>
    <d v="2024-06-12T00:00:00"/>
    <x v="6"/>
    <s v="Shipped - Delivered to Buyer"/>
    <s v="Merchant"/>
    <x v="1"/>
    <x v="2"/>
    <n v="19"/>
    <s v="MEN5021-KR-XL"/>
    <x v="1"/>
    <s v="XL"/>
    <n v="1"/>
    <s v="INR"/>
    <n v="533"/>
    <s v="Secunderabad"/>
    <x v="6"/>
    <s v="IN"/>
  </r>
  <r>
    <n v="254"/>
    <s v="407-0994909-4122733"/>
    <d v="2023-10-25T00:00:00"/>
    <x v="5"/>
    <s v="Shipped"/>
    <s v="Amazon"/>
    <x v="1"/>
    <x v="1"/>
    <n v="36"/>
    <s v="PJ0096-KR-N-5XL"/>
    <x v="1"/>
    <s v="5XL"/>
    <n v="1"/>
    <s v="INR"/>
    <n v="696"/>
    <s v="UDAIPUR"/>
    <x v="8"/>
    <s v="IN"/>
  </r>
  <r>
    <n v="255"/>
    <s v="402-7042386-5486768"/>
    <d v="2024-04-10T00:00:00"/>
    <x v="8"/>
    <s v="Shipped"/>
    <s v="Amazon"/>
    <x v="1"/>
    <x v="1"/>
    <n v="23"/>
    <s v="JNE3461-KR-M"/>
    <x v="1"/>
    <s v="M"/>
    <n v="1"/>
    <s v="INR"/>
    <n v="363"/>
    <s v="COIMBATORE"/>
    <x v="3"/>
    <s v="IN"/>
  </r>
  <r>
    <n v="256"/>
    <s v="403-7652993-1507525"/>
    <d v="2024-10-09T00:00:00"/>
    <x v="5"/>
    <s v="Shipped"/>
    <s v="Amazon"/>
    <x v="0"/>
    <x v="1"/>
    <n v="29"/>
    <s v="SET383-KR-NP-L"/>
    <x v="0"/>
    <s v="L"/>
    <n v="1"/>
    <s v="INR"/>
    <n v="631"/>
    <s v="BHUBANESWAR"/>
    <x v="14"/>
    <s v="IN"/>
  </r>
  <r>
    <n v="257"/>
    <s v="407-3847456-6656309"/>
    <d v="2023-02-26T00:00:00"/>
    <x v="4"/>
    <s v="Shipped"/>
    <s v="Amazon"/>
    <x v="0"/>
    <x v="1"/>
    <n v="58"/>
    <s v="J0002-SKD-XXXL"/>
    <x v="0"/>
    <s v="3XL"/>
    <n v="1"/>
    <s v="INR"/>
    <n v="1115"/>
    <s v="BHAGALPUR"/>
    <x v="21"/>
    <s v="IN"/>
  </r>
  <r>
    <n v="258"/>
    <s v="407-3847456-6656309"/>
    <d v="2023-10-19T00:00:00"/>
    <x v="5"/>
    <s v="Shipped"/>
    <s v="Amazon"/>
    <x v="0"/>
    <x v="1"/>
    <n v="51"/>
    <s v="SET344-KR-NP-XXXL"/>
    <x v="0"/>
    <s v="3XL"/>
    <n v="1"/>
    <s v="INR"/>
    <n v="968"/>
    <s v="BHAGALPUR"/>
    <x v="21"/>
    <s v="IN"/>
  </r>
  <r>
    <n v="259"/>
    <s v="171-7623384-8040337"/>
    <d v="2024-05-18T00:00:00"/>
    <x v="9"/>
    <s v="Shipped"/>
    <s v="Amazon"/>
    <x v="1"/>
    <x v="1"/>
    <n v="32"/>
    <s v="JNE3465-KR-XXL"/>
    <x v="1"/>
    <s v="XXL"/>
    <n v="1"/>
    <s v="INR"/>
    <n v="486"/>
    <s v="NAGPUR"/>
    <x v="0"/>
    <s v="IN"/>
  </r>
  <r>
    <n v="260"/>
    <s v="171-7623384-8040337"/>
    <d v="2024-06-22T00:00:00"/>
    <x v="6"/>
    <s v="Shipped"/>
    <s v="Amazon"/>
    <x v="0"/>
    <x v="1"/>
    <n v="29"/>
    <s v="SET324-KR-NP-XXL"/>
    <x v="0"/>
    <s v="XXL"/>
    <n v="1"/>
    <s v="INR"/>
    <n v="597"/>
    <s v="NAGPUR"/>
    <x v="0"/>
    <s v="IN"/>
  </r>
  <r>
    <n v="261"/>
    <s v="171-4607096-6413920"/>
    <d v="2024-08-25T00:00:00"/>
    <x v="3"/>
    <s v="Shipped - Delivered to Buyer"/>
    <s v="Merchant"/>
    <x v="0"/>
    <x v="2"/>
    <n v="29"/>
    <s v="SET184-KR-PP-XXXL"/>
    <x v="0"/>
    <s v="3XL"/>
    <n v="1"/>
    <s v="INR"/>
    <n v="563"/>
    <s v="NAGPUR"/>
    <x v="0"/>
    <s v="IN"/>
  </r>
  <r>
    <n v="262"/>
    <s v="404-6783988-2006729"/>
    <d v="2024-10-10T00:00:00"/>
    <x v="5"/>
    <s v="Shipped"/>
    <s v="Amazon"/>
    <x v="0"/>
    <x v="1"/>
    <n v="26"/>
    <s v="SET324-KR-NP-L"/>
    <x v="0"/>
    <s v="L"/>
    <n v="1"/>
    <s v="INR"/>
    <n v="597"/>
    <s v="CHENNAI"/>
    <x v="3"/>
    <s v="IN"/>
  </r>
  <r>
    <n v="263"/>
    <s v="404-6975277-1927553"/>
    <d v="2023-07-05T00:00:00"/>
    <x v="10"/>
    <s v="Shipped - Delivered to Buyer"/>
    <s v="Merchant"/>
    <x v="1"/>
    <x v="0"/>
    <n v="18"/>
    <s v="JNE3697-KR-XXL"/>
    <x v="1"/>
    <s v="XXL"/>
    <n v="1"/>
    <s v="INR"/>
    <n v="458"/>
    <s v="BERHAMPORE"/>
    <x v="17"/>
    <s v="IN"/>
  </r>
  <r>
    <n v="264"/>
    <s v="402-5586272-3646748"/>
    <d v="2023-03-04T00:00:00"/>
    <x v="0"/>
    <s v="Shipped"/>
    <s v="Amazon"/>
    <x v="0"/>
    <x v="1"/>
    <n v="48"/>
    <s v="J0008-SKD-S"/>
    <x v="0"/>
    <s v="S"/>
    <n v="1"/>
    <s v="INR"/>
    <n v="1065"/>
    <s v="Dehradun"/>
    <x v="20"/>
    <s v="IN"/>
  </r>
  <r>
    <n v="265"/>
    <s v="171-6655820-6440356"/>
    <d v="2023-09-28T00:00:00"/>
    <x v="2"/>
    <s v="Shipped"/>
    <s v="Amazon"/>
    <x v="0"/>
    <x v="1"/>
    <n v="22"/>
    <s v="J0008-SKD-XXL"/>
    <x v="0"/>
    <s v="XXL"/>
    <n v="2"/>
    <s v="INR"/>
    <n v="2130"/>
    <s v="MUMBAI"/>
    <x v="0"/>
    <s v="IN"/>
  </r>
  <r>
    <n v="266"/>
    <s v="171-1584788-8864335"/>
    <d v="2024-01-01T00:00:00"/>
    <x v="7"/>
    <s v="Shipped - Delivered to Buyer"/>
    <s v="Merchant"/>
    <x v="0"/>
    <x v="2"/>
    <n v="19"/>
    <s v="J0013-SKD-XXL"/>
    <x v="0"/>
    <s v="XXL"/>
    <n v="1"/>
    <s v="INR"/>
    <n v="1099"/>
    <s v="MUMBAI"/>
    <x v="0"/>
    <s v="IN"/>
  </r>
  <r>
    <n v="267"/>
    <s v="402-0150402-0900371"/>
    <d v="2023-04-12T00:00:00"/>
    <x v="8"/>
    <s v="Shipped"/>
    <s v="Amazon"/>
    <x v="0"/>
    <x v="1"/>
    <n v="38"/>
    <s v="J0208-DR-S"/>
    <x v="2"/>
    <s v="S"/>
    <n v="1"/>
    <s v="INR"/>
    <n v="721"/>
    <s v="SEONI"/>
    <x v="16"/>
    <s v="IN"/>
  </r>
  <r>
    <n v="268"/>
    <s v="408-6791822-5493964"/>
    <d v="2024-11-18T00:00:00"/>
    <x v="1"/>
    <s v="Shipped"/>
    <s v="Amazon"/>
    <x v="0"/>
    <x v="1"/>
    <n v="40"/>
    <s v="SET344-KR-NP-XL"/>
    <x v="0"/>
    <s v="XL"/>
    <n v="1"/>
    <s v="INR"/>
    <n v="968"/>
    <s v="Agra"/>
    <x v="4"/>
    <s v="IN"/>
  </r>
  <r>
    <n v="269"/>
    <s v="405-0483874-0889137"/>
    <d v="2024-09-05T00:00:00"/>
    <x v="2"/>
    <s v="Shipped"/>
    <s v="Amazon"/>
    <x v="0"/>
    <x v="1"/>
    <n v="53"/>
    <s v="NW001-TP-PJ-XXL"/>
    <x v="0"/>
    <s v="XXL"/>
    <n v="1"/>
    <s v="INR"/>
    <n v="563"/>
    <s v="LUCKNOW"/>
    <x v="4"/>
    <s v="IN"/>
  </r>
  <r>
    <n v="270"/>
    <s v="407-5600921-2143569"/>
    <d v="2023-05-24T00:00:00"/>
    <x v="9"/>
    <s v="Cancelled"/>
    <s v="Merchant"/>
    <x v="0"/>
    <x v="2"/>
    <n v="58"/>
    <s v="SET304-KR-DPT-S"/>
    <x v="0"/>
    <s v="S"/>
    <n v="0"/>
    <s v="INR"/>
    <n v="995.54"/>
    <s v="BENGALURU"/>
    <x v="1"/>
    <s v="IN"/>
  </r>
  <r>
    <n v="271"/>
    <s v="404-1607808-0769930"/>
    <d v="2023-08-23T00:00:00"/>
    <x v="3"/>
    <s v="Cancelled"/>
    <s v="Amazon"/>
    <x v="0"/>
    <x v="1"/>
    <n v="43"/>
    <s v="SET265-KR-NP-XL"/>
    <x v="0"/>
    <s v="XL"/>
    <n v="0"/>
    <m/>
    <m/>
    <s v="PATNA"/>
    <x v="21"/>
    <s v="IN"/>
  </r>
  <r>
    <n v="272"/>
    <s v="407-5124083-2725136"/>
    <d v="2023-08-12T00:00:00"/>
    <x v="3"/>
    <s v="Shipped"/>
    <s v="Amazon"/>
    <x v="0"/>
    <x v="1"/>
    <n v="55"/>
    <s v="SET004-KR-SP-A-S"/>
    <x v="0"/>
    <s v="S"/>
    <n v="1"/>
    <s v="INR"/>
    <n v="682"/>
    <s v="GHAZIABAD"/>
    <x v="4"/>
    <s v="IN"/>
  </r>
  <r>
    <n v="273"/>
    <s v="407-4766116-5412325"/>
    <d v="2024-10-02T00:00:00"/>
    <x v="5"/>
    <s v="Shipped"/>
    <s v="Amazon"/>
    <x v="1"/>
    <x v="1"/>
    <n v="42"/>
    <s v="JNE3405-KR-XL"/>
    <x v="1"/>
    <s v="XL"/>
    <n v="1"/>
    <s v="INR"/>
    <n v="399"/>
    <s v="Nermand"/>
    <x v="24"/>
    <s v="IN"/>
  </r>
  <r>
    <n v="274"/>
    <s v="402-6885004-6990731"/>
    <d v="2024-06-03T00:00:00"/>
    <x v="6"/>
    <s v="Shipped"/>
    <s v="Amazon"/>
    <x v="0"/>
    <x v="1"/>
    <n v="53"/>
    <s v="SET345-KR-NP-M"/>
    <x v="0"/>
    <s v="M"/>
    <n v="1"/>
    <s v="INR"/>
    <n v="626"/>
    <s v="CHENNAI"/>
    <x v="3"/>
    <s v="IN"/>
  </r>
  <r>
    <n v="275"/>
    <s v="402-2207276-9869933"/>
    <d v="2024-09-15T00:00:00"/>
    <x v="2"/>
    <s v="Shipped"/>
    <s v="Amazon"/>
    <x v="0"/>
    <x v="1"/>
    <n v="38"/>
    <s v="J0012-SKD-M"/>
    <x v="0"/>
    <s v="M"/>
    <n v="1"/>
    <s v="INR"/>
    <n v="1140"/>
    <s v="KAMAREDDY"/>
    <x v="6"/>
    <s v="IN"/>
  </r>
  <r>
    <n v="276"/>
    <s v="407-9494293-9423561"/>
    <d v="2023-09-22T00:00:00"/>
    <x v="2"/>
    <s v="Shipped"/>
    <s v="Amazon"/>
    <x v="1"/>
    <x v="1"/>
    <n v="32"/>
    <s v="JNE3465-KR-M"/>
    <x v="1"/>
    <s v="M"/>
    <n v="1"/>
    <s v="INR"/>
    <n v="486"/>
    <s v="SRINAGAR"/>
    <x v="22"/>
    <s v="IN"/>
  </r>
  <r>
    <n v="277"/>
    <s v="171-6867266-8495534"/>
    <d v="2024-07-17T00:00:00"/>
    <x v="10"/>
    <s v="Shipped"/>
    <s v="Amazon"/>
    <x v="0"/>
    <x v="1"/>
    <n v="31"/>
    <s v="SET374-KR-NP-XS"/>
    <x v="0"/>
    <s v="XS"/>
    <n v="1"/>
    <s v="INR"/>
    <n v="597"/>
    <s v="BENGALURU"/>
    <x v="1"/>
    <s v="IN"/>
  </r>
  <r>
    <n v="278"/>
    <s v="408-3475592-6193128"/>
    <d v="2023-03-23T00:00:00"/>
    <x v="0"/>
    <s v="Shipped"/>
    <s v="Amazon"/>
    <x v="1"/>
    <x v="1"/>
    <n v="22"/>
    <s v="JNE3567-KR-XL"/>
    <x v="1"/>
    <s v="XL"/>
    <n v="1"/>
    <s v="INR"/>
    <n v="399"/>
    <s v="MUDDEBIHAL"/>
    <x v="1"/>
    <s v="IN"/>
  </r>
  <r>
    <n v="279"/>
    <s v="171-1987024-2709164"/>
    <d v="2024-12-16T00:00:00"/>
    <x v="11"/>
    <s v="Shipped"/>
    <s v="Amazon"/>
    <x v="0"/>
    <x v="1"/>
    <n v="56"/>
    <s v="J0041-SET-M"/>
    <x v="0"/>
    <s v="M"/>
    <n v="1"/>
    <s v="INR"/>
    <n v="660"/>
    <s v="SANTHAMAGULURU MANDAL"/>
    <x v="7"/>
    <s v="IN"/>
  </r>
  <r>
    <n v="280"/>
    <s v="406-1522425-5387565"/>
    <d v="2023-07-07T00:00:00"/>
    <x v="10"/>
    <s v="Shipped"/>
    <s v="Amazon"/>
    <x v="1"/>
    <x v="1"/>
    <n v="33"/>
    <s v="JNE3611-KR-XL"/>
    <x v="1"/>
    <s v="XL"/>
    <n v="1"/>
    <s v="INR"/>
    <n v="459"/>
    <s v="HYDERABAD"/>
    <x v="6"/>
    <s v="IN"/>
  </r>
  <r>
    <n v="281"/>
    <s v="171-3270734-5045130"/>
    <d v="2024-09-21T00:00:00"/>
    <x v="2"/>
    <s v="Shipped"/>
    <s v="Amazon"/>
    <x v="0"/>
    <x v="1"/>
    <n v="28"/>
    <s v="SET384-KR-NP-XS"/>
    <x v="0"/>
    <s v="XS"/>
    <n v="1"/>
    <s v="INR"/>
    <n v="631"/>
    <s v="NEW DELHI"/>
    <x v="9"/>
    <s v="IN"/>
  </r>
  <r>
    <n v="282"/>
    <s v="408-4101226-7217932"/>
    <d v="2023-05-07T00:00:00"/>
    <x v="9"/>
    <s v="Shipped - Delivered to Buyer"/>
    <s v="Merchant"/>
    <x v="1"/>
    <x v="2"/>
    <n v="21"/>
    <s v="JNE3802-KR-M"/>
    <x v="1"/>
    <s v="M"/>
    <n v="1"/>
    <s v="INR"/>
    <n v="459"/>
    <s v="LUCKNOW"/>
    <x v="4"/>
    <s v="IN"/>
  </r>
  <r>
    <n v="283"/>
    <s v="171-5719664-5449151"/>
    <d v="2024-01-28T00:00:00"/>
    <x v="7"/>
    <s v="Cancelled"/>
    <s v="Amazon"/>
    <x v="0"/>
    <x v="1"/>
    <n v="25"/>
    <s v="SET374-KR-NP-XS"/>
    <x v="0"/>
    <s v="XS"/>
    <n v="1"/>
    <s v="INR"/>
    <n v="597"/>
    <s v="BENGALURU"/>
    <x v="1"/>
    <s v="IN"/>
  </r>
  <r>
    <n v="284"/>
    <s v="403-9400764-4029123"/>
    <d v="2024-04-25T00:00:00"/>
    <x v="8"/>
    <s v="Shipped"/>
    <s v="Amazon"/>
    <x v="0"/>
    <x v="1"/>
    <n v="23"/>
    <s v="SET347-KR-NP-S"/>
    <x v="0"/>
    <s v="S"/>
    <n v="1"/>
    <s v="INR"/>
    <n v="852"/>
    <s v="BENGALURU"/>
    <x v="1"/>
    <s v="IN"/>
  </r>
  <r>
    <n v="285"/>
    <s v="406-8413944-2634744"/>
    <d v="2024-09-08T00:00:00"/>
    <x v="2"/>
    <s v="Shipped"/>
    <s v="Amazon"/>
    <x v="1"/>
    <x v="1"/>
    <n v="21"/>
    <s v="JNE2014-KR-178-XL"/>
    <x v="1"/>
    <s v="XL"/>
    <n v="1"/>
    <s v="INR"/>
    <n v="353"/>
    <s v="Hyderabad"/>
    <x v="6"/>
    <s v="IN"/>
  </r>
  <r>
    <n v="286"/>
    <s v="406-8271099-5133911"/>
    <d v="2024-07-31T00:00:00"/>
    <x v="10"/>
    <s v="Shipped"/>
    <s v="Amazon"/>
    <x v="1"/>
    <x v="1"/>
    <n v="45"/>
    <s v="JNE3635-KR-L"/>
    <x v="1"/>
    <s v="L"/>
    <n v="1"/>
    <s v="INR"/>
    <n v="345"/>
    <s v="BENGALURU"/>
    <x v="1"/>
    <s v="IN"/>
  </r>
  <r>
    <n v="287"/>
    <s v="406-8271099-5133911"/>
    <d v="2023-11-16T00:00:00"/>
    <x v="1"/>
    <s v="Shipped"/>
    <s v="Amazon"/>
    <x v="1"/>
    <x v="1"/>
    <n v="56"/>
    <s v="JNE3721-KR-L"/>
    <x v="1"/>
    <s v="L"/>
    <n v="1"/>
    <s v="INR"/>
    <n v="329"/>
    <s v="BENGALURU"/>
    <x v="1"/>
    <s v="IN"/>
  </r>
  <r>
    <n v="288"/>
    <s v="405-3441326-1516368"/>
    <d v="2023-11-28T00:00:00"/>
    <x v="1"/>
    <s v="Shipped"/>
    <s v="Amazon"/>
    <x v="0"/>
    <x v="1"/>
    <n v="31"/>
    <s v="J0118-TP-XXXL"/>
    <x v="3"/>
    <s v="3XL"/>
    <n v="1"/>
    <s v="INR"/>
    <n v="518"/>
    <s v="KOLKATA 700034"/>
    <x v="17"/>
    <s v="IN"/>
  </r>
  <r>
    <n v="289"/>
    <s v="408-8009772-6580317"/>
    <d v="2023-07-22T00:00:00"/>
    <x v="10"/>
    <s v="Shipped"/>
    <s v="Amazon"/>
    <x v="0"/>
    <x v="1"/>
    <n v="51"/>
    <s v="JNE3654-TP-XS"/>
    <x v="3"/>
    <s v="XS"/>
    <n v="1"/>
    <s v="INR"/>
    <n v="387"/>
    <s v="kolkata"/>
    <x v="17"/>
    <s v="IN"/>
  </r>
  <r>
    <n v="290"/>
    <s v="402-4774686-7773937"/>
    <d v="2024-05-12T00:00:00"/>
    <x v="9"/>
    <s v="Shipped - Delivered to Buyer"/>
    <s v="Merchant"/>
    <x v="0"/>
    <x v="2"/>
    <n v="34"/>
    <s v="JNE3652-TP-N-XL"/>
    <x v="3"/>
    <s v="XL"/>
    <n v="1"/>
    <s v="INR"/>
    <n v="339"/>
    <s v="HYDERABAD"/>
    <x v="6"/>
    <s v="IN"/>
  </r>
  <r>
    <n v="291"/>
    <s v="402-2860689-5652319"/>
    <d v="2023-06-28T00:00:00"/>
    <x v="6"/>
    <s v="Shipped"/>
    <s v="Amazon"/>
    <x v="0"/>
    <x v="1"/>
    <n v="57"/>
    <s v="J0339-DR-L"/>
    <x v="2"/>
    <s v="L"/>
    <n v="1"/>
    <s v="INR"/>
    <n v="744"/>
    <s v="SEONI"/>
    <x v="16"/>
    <s v="IN"/>
  </r>
  <r>
    <n v="292"/>
    <s v="406-6386989-1689108"/>
    <d v="2023-07-16T00:00:00"/>
    <x v="10"/>
    <s v="Shipped - Delivered to Buyer"/>
    <s v="Merchant"/>
    <x v="0"/>
    <x v="2"/>
    <n v="56"/>
    <s v="SET303-KR-NP-XL"/>
    <x v="0"/>
    <s v="XL"/>
    <n v="1"/>
    <s v="INR"/>
    <n v="888"/>
    <s v="BARUIPUR"/>
    <x v="17"/>
    <s v="IN"/>
  </r>
  <r>
    <n v="293"/>
    <s v="408-9720884-9553122"/>
    <d v="2023-07-27T00:00:00"/>
    <x v="10"/>
    <s v="Shipped"/>
    <s v="Amazon"/>
    <x v="1"/>
    <x v="1"/>
    <n v="30"/>
    <s v="JNE3396-KR-XXXL"/>
    <x v="1"/>
    <s v="3XL"/>
    <n v="1"/>
    <s v="INR"/>
    <n v="487"/>
    <s v="KENDRAPARA"/>
    <x v="14"/>
    <s v="IN"/>
  </r>
  <r>
    <n v="294"/>
    <s v="408-6428766-2839536"/>
    <d v="2024-05-30T00:00:00"/>
    <x v="9"/>
    <s v="Shipped - Delivered to Buyer"/>
    <s v="Merchant"/>
    <x v="1"/>
    <x v="0"/>
    <n v="60"/>
    <s v="JNE3256-KR-XXXL"/>
    <x v="1"/>
    <s v="3XL"/>
    <n v="1"/>
    <s v="INR"/>
    <n v="487"/>
    <s v="KENDRAPARA"/>
    <x v="14"/>
    <s v="IN"/>
  </r>
  <r>
    <n v="295"/>
    <s v="408-8641795-6914711"/>
    <d v="2023-02-18T00:00:00"/>
    <x v="4"/>
    <s v="Shipped"/>
    <s v="Amazon"/>
    <x v="0"/>
    <x v="1"/>
    <n v="60"/>
    <s v="J0340-TP-XS"/>
    <x v="3"/>
    <s v="XS"/>
    <n v="1"/>
    <s v="INR"/>
    <n v="563"/>
    <s v="GURUGRAM"/>
    <x v="10"/>
    <s v="IN"/>
  </r>
  <r>
    <n v="296"/>
    <s v="402-9475978-1434754"/>
    <d v="2024-04-13T00:00:00"/>
    <x v="8"/>
    <s v="Shipped"/>
    <s v="Amazon"/>
    <x v="0"/>
    <x v="1"/>
    <n v="41"/>
    <s v="J0335-DR-S"/>
    <x v="2"/>
    <s v="S"/>
    <n v="1"/>
    <s v="INR"/>
    <n v="859"/>
    <s v="VIJAYAWADA"/>
    <x v="7"/>
    <s v="IN"/>
  </r>
  <r>
    <n v="297"/>
    <s v="407-5776821-9327552"/>
    <d v="2024-05-09T00:00:00"/>
    <x v="9"/>
    <s v="Shipped"/>
    <s v="Amazon"/>
    <x v="0"/>
    <x v="1"/>
    <n v="45"/>
    <s v="J0008-SKD-L"/>
    <x v="0"/>
    <s v="L"/>
    <n v="1"/>
    <s v="INR"/>
    <n v="1133"/>
    <s v="MUMBAI"/>
    <x v="0"/>
    <s v="IN"/>
  </r>
  <r>
    <n v="298"/>
    <s v="171-6845071-0336346"/>
    <d v="2023-09-27T00:00:00"/>
    <x v="2"/>
    <s v="Shipped"/>
    <s v="Amazon"/>
    <x v="0"/>
    <x v="1"/>
    <n v="60"/>
    <s v="SET268-KR-NP-XS"/>
    <x v="0"/>
    <s v="XS"/>
    <n v="1"/>
    <s v="INR"/>
    <n v="788"/>
    <s v="NASHIK"/>
    <x v="0"/>
    <s v="IN"/>
  </r>
  <r>
    <n v="299"/>
    <s v="404-7491342-1035558"/>
    <d v="2023-01-21T00:00:00"/>
    <x v="7"/>
    <s v="Shipped"/>
    <s v="Amazon"/>
    <x v="0"/>
    <x v="1"/>
    <n v="22"/>
    <s v="J0280-SKD-S"/>
    <x v="0"/>
    <s v="S"/>
    <n v="1"/>
    <s v="INR"/>
    <n v="1463"/>
    <s v="THANE"/>
    <x v="0"/>
    <s v="IN"/>
  </r>
  <r>
    <n v="300"/>
    <s v="171-6783343-9758701"/>
    <d v="2024-01-25T00:00:00"/>
    <x v="7"/>
    <s v="Shipped"/>
    <s v="Amazon"/>
    <x v="1"/>
    <x v="1"/>
    <n v="31"/>
    <s v="JNE3405-KR-L"/>
    <x v="1"/>
    <s v="L"/>
    <n v="1"/>
    <s v="INR"/>
    <n v="399"/>
    <s v="HOSHIARPUR"/>
    <x v="23"/>
    <s v="IN"/>
  </r>
  <r>
    <n v="301"/>
    <s v="402-0043314-1059527"/>
    <d v="2023-10-01T00:00:00"/>
    <x v="5"/>
    <s v="Cancelled"/>
    <s v="Amazon"/>
    <x v="0"/>
    <x v="1"/>
    <n v="23"/>
    <s v="J0339-DR-M"/>
    <x v="2"/>
    <s v="M"/>
    <n v="1"/>
    <s v="INR"/>
    <n v="744"/>
    <s v="SEONI"/>
    <x v="16"/>
    <s v="IN"/>
  </r>
  <r>
    <n v="302"/>
    <s v="406-6586654-6641140"/>
    <d v="2023-08-13T00:00:00"/>
    <x v="3"/>
    <s v="Shipped - Delivered to Buyer"/>
    <s v="Merchant"/>
    <x v="1"/>
    <x v="0"/>
    <n v="44"/>
    <s v="JNE3564-KR-XXXL"/>
    <x v="1"/>
    <s v="3XL"/>
    <n v="1"/>
    <s v="INR"/>
    <n v="487"/>
    <s v="BENGALURU"/>
    <x v="1"/>
    <s v="IN"/>
  </r>
  <r>
    <n v="303"/>
    <s v="405-6120626-0941135"/>
    <d v="2023-07-01T00:00:00"/>
    <x v="10"/>
    <s v="Shipped"/>
    <s v="Amazon"/>
    <x v="0"/>
    <x v="1"/>
    <n v="37"/>
    <s v="SET182-KR-DH-L"/>
    <x v="0"/>
    <s v="L"/>
    <n v="1"/>
    <s v="INR"/>
    <n v="657"/>
    <s v="Bengaluru"/>
    <x v="1"/>
    <s v="IN"/>
  </r>
  <r>
    <n v="304"/>
    <s v="408-9255314-3102740"/>
    <d v="2023-04-14T00:00:00"/>
    <x v="8"/>
    <s v="Shipped"/>
    <s v="Amazon"/>
    <x v="0"/>
    <x v="1"/>
    <n v="45"/>
    <s v="SET128-KR-DH-M"/>
    <x v="0"/>
    <s v="M"/>
    <n v="1"/>
    <s v="INR"/>
    <n v="1133"/>
    <s v="BARSHI"/>
    <x v="0"/>
    <s v="IN"/>
  </r>
  <r>
    <n v="305"/>
    <s v="408-3436456-9893130"/>
    <d v="2024-11-30T00:00:00"/>
    <x v="1"/>
    <s v="Shipped"/>
    <s v="Amazon"/>
    <x v="1"/>
    <x v="1"/>
    <n v="48"/>
    <s v="JNE3567-KR-XXL"/>
    <x v="1"/>
    <s v="XXL"/>
    <n v="1"/>
    <s v="INR"/>
    <n v="399"/>
    <s v="MUMBAI"/>
    <x v="0"/>
    <s v="IN"/>
  </r>
  <r>
    <n v="306"/>
    <s v="408-3870331-6287517"/>
    <d v="2023-07-17T00:00:00"/>
    <x v="10"/>
    <s v="Shipped"/>
    <s v="Amazon"/>
    <x v="1"/>
    <x v="1"/>
    <n v="43"/>
    <s v="JNE3568-KR-L"/>
    <x v="1"/>
    <s v="L"/>
    <n v="1"/>
    <s v="INR"/>
    <n v="399"/>
    <s v="Dehradun"/>
    <x v="20"/>
    <s v="IN"/>
  </r>
  <r>
    <n v="307"/>
    <s v="408-3870331-6287517"/>
    <d v="2023-07-24T00:00:00"/>
    <x v="10"/>
    <s v="Shipped"/>
    <s v="Amazon"/>
    <x v="1"/>
    <x v="1"/>
    <n v="57"/>
    <s v="JNE3405-KR-L"/>
    <x v="1"/>
    <s v="L"/>
    <n v="1"/>
    <s v="INR"/>
    <n v="399"/>
    <s v="Dehradun"/>
    <x v="20"/>
    <s v="IN"/>
  </r>
  <r>
    <n v="308"/>
    <s v="407-2882576-2777135"/>
    <d v="2023-10-04T00:00:00"/>
    <x v="5"/>
    <s v="Shipped - Delivered to Buyer"/>
    <s v="Merchant"/>
    <x v="0"/>
    <x v="0"/>
    <n v="20"/>
    <s v="J0011-LCD-M"/>
    <x v="0"/>
    <s v="M"/>
    <n v="1"/>
    <s v="INR"/>
    <n v="1233"/>
    <s v="HYDERABAD"/>
    <x v="6"/>
    <s v="IN"/>
  </r>
  <r>
    <n v="309"/>
    <s v="403-2256919-4846738"/>
    <d v="2023-07-22T00:00:00"/>
    <x v="10"/>
    <s v="Shipped - Delivered to Buyer"/>
    <s v="Merchant"/>
    <x v="0"/>
    <x v="0"/>
    <n v="33"/>
    <s v="JNE3881-DR-XXXL"/>
    <x v="2"/>
    <s v="3XL"/>
    <n v="1"/>
    <s v="INR"/>
    <n v="825"/>
    <s v="BENGALURU"/>
    <x v="1"/>
    <s v="IN"/>
  </r>
  <r>
    <n v="310"/>
    <s v="403-2920089-2403567"/>
    <d v="2024-03-23T00:00:00"/>
    <x v="0"/>
    <s v="Shipped"/>
    <s v="Amazon"/>
    <x v="0"/>
    <x v="1"/>
    <n v="34"/>
    <s v="JNE3639-TP-N-XXL"/>
    <x v="3"/>
    <s v="XXL"/>
    <n v="1"/>
    <s v="INR"/>
    <n v="487"/>
    <s v="CHENNAI"/>
    <x v="3"/>
    <s v="IN"/>
  </r>
  <r>
    <n v="311"/>
    <s v="406-7792526-4685142"/>
    <d v="2023-01-06T00:00:00"/>
    <x v="7"/>
    <s v="Shipped"/>
    <s v="Amazon"/>
    <x v="0"/>
    <x v="1"/>
    <n v="43"/>
    <s v="SET291-KR-PP-XXL"/>
    <x v="0"/>
    <s v="XXL"/>
    <n v="1"/>
    <s v="INR"/>
    <n v="563"/>
    <s v="HYDERABAD"/>
    <x v="6"/>
    <s v="IN"/>
  </r>
  <r>
    <n v="312"/>
    <s v="406-7680255-6117120"/>
    <d v="2024-07-24T00:00:00"/>
    <x v="10"/>
    <s v="Shipped"/>
    <s v="Amazon"/>
    <x v="1"/>
    <x v="1"/>
    <n v="39"/>
    <s v="JNE3613-KR-XXL"/>
    <x v="1"/>
    <s v="XXL"/>
    <n v="1"/>
    <s v="INR"/>
    <n v="399"/>
    <s v="HYDERABAD"/>
    <x v="6"/>
    <s v="IN"/>
  </r>
  <r>
    <n v="313"/>
    <s v="402-4646784-8411501"/>
    <d v="2023-12-09T00:00:00"/>
    <x v="11"/>
    <s v="Shipped - Delivered to Buyer"/>
    <s v="Merchant"/>
    <x v="1"/>
    <x v="2"/>
    <n v="27"/>
    <s v="JNE3368-KR-XXXL"/>
    <x v="1"/>
    <s v="3XL"/>
    <n v="1"/>
    <s v="INR"/>
    <n v="471"/>
    <s v="CHANDI MANDIR"/>
    <x v="10"/>
    <s v="IN"/>
  </r>
  <r>
    <n v="314"/>
    <s v="405-2788163-4515521"/>
    <d v="2023-02-13T00:00:00"/>
    <x v="4"/>
    <s v="Shipped - Delivered to Buyer"/>
    <s v="Merchant"/>
    <x v="1"/>
    <x v="2"/>
    <n v="34"/>
    <s v="JNE3522-KR-XXL"/>
    <x v="1"/>
    <s v="XXL"/>
    <n v="1"/>
    <s v="INR"/>
    <n v="342"/>
    <s v="ujjain"/>
    <x v="16"/>
    <s v="IN"/>
  </r>
  <r>
    <n v="315"/>
    <s v="405-1757140-2025918"/>
    <d v="2024-01-11T00:00:00"/>
    <x v="7"/>
    <s v="Shipped"/>
    <s v="Amazon"/>
    <x v="1"/>
    <x v="1"/>
    <n v="35"/>
    <s v="JNE3741-KR-XXL"/>
    <x v="1"/>
    <s v="XXL"/>
    <n v="1"/>
    <s v="INR"/>
    <n v="432"/>
    <s v="ujjain"/>
    <x v="16"/>
    <s v="IN"/>
  </r>
  <r>
    <n v="316"/>
    <s v="403-9105351-8453114"/>
    <d v="2024-12-31T00:00:00"/>
    <x v="11"/>
    <s v="Shipped"/>
    <s v="Amazon"/>
    <x v="1"/>
    <x v="1"/>
    <n v="26"/>
    <s v="JNE3405-KR-L"/>
    <x v="1"/>
    <s v="L"/>
    <n v="1"/>
    <s v="INR"/>
    <n v="399"/>
    <s v="Haldwani"/>
    <x v="20"/>
    <s v="IN"/>
  </r>
  <r>
    <n v="317"/>
    <s v="402-0503400-6235514"/>
    <d v="2024-08-15T00:00:00"/>
    <x v="3"/>
    <s v="Shipped"/>
    <s v="Amazon"/>
    <x v="0"/>
    <x v="1"/>
    <n v="56"/>
    <s v="SET293-KR-NP-S"/>
    <x v="0"/>
    <s v="S"/>
    <n v="1"/>
    <s v="INR"/>
    <n v="736"/>
    <s v="CHENNAI"/>
    <x v="3"/>
    <s v="IN"/>
  </r>
  <r>
    <n v="318"/>
    <s v="408-3201739-2676310"/>
    <d v="2024-07-09T00:00:00"/>
    <x v="10"/>
    <s v="Shipped"/>
    <s v="Amazon"/>
    <x v="0"/>
    <x v="1"/>
    <n v="51"/>
    <s v="SET388-KR-NP-L"/>
    <x v="0"/>
    <s v="L"/>
    <n v="1"/>
    <s v="INR"/>
    <n v="1260"/>
    <s v="MUMBAI"/>
    <x v="0"/>
    <s v="IN"/>
  </r>
  <r>
    <n v="319"/>
    <s v="171-8027093-8553945"/>
    <d v="2023-10-17T00:00:00"/>
    <x v="5"/>
    <s v="Shipped"/>
    <s v="Amazon"/>
    <x v="1"/>
    <x v="1"/>
    <n v="24"/>
    <s v="JNE3405-KR-L"/>
    <x v="1"/>
    <s v="L"/>
    <n v="1"/>
    <s v="INR"/>
    <n v="399"/>
    <s v="Uttarkashi"/>
    <x v="20"/>
    <s v="IN"/>
  </r>
  <r>
    <n v="320"/>
    <s v="403-3331597-7637100"/>
    <d v="2024-11-27T00:00:00"/>
    <x v="1"/>
    <s v="Shipped"/>
    <s v="Amazon"/>
    <x v="0"/>
    <x v="1"/>
    <n v="38"/>
    <s v="J0008-SKD-XS"/>
    <x v="0"/>
    <s v="XS"/>
    <n v="1"/>
    <s v="INR"/>
    <n v="1133"/>
    <s v="BHUBANESWAR"/>
    <x v="14"/>
    <s v="IN"/>
  </r>
  <r>
    <n v="321"/>
    <s v="403-4424319-6635501"/>
    <d v="2024-02-10T00:00:00"/>
    <x v="4"/>
    <s v="Shipped"/>
    <s v="Amazon"/>
    <x v="0"/>
    <x v="1"/>
    <n v="48"/>
    <s v="SET197-KR-NP-L"/>
    <x v="0"/>
    <s v="L"/>
    <n v="1"/>
    <s v="INR"/>
    <n v="759"/>
    <s v="Old Goa"/>
    <x v="27"/>
    <s v="IN"/>
  </r>
  <r>
    <n v="322"/>
    <s v="403-0906375-2269150"/>
    <d v="2024-11-30T00:00:00"/>
    <x v="1"/>
    <s v="Cancelled"/>
    <s v="Amazon"/>
    <x v="1"/>
    <x v="1"/>
    <n v="31"/>
    <s v="MEN5029-KR-M"/>
    <x v="1"/>
    <s v="M"/>
    <n v="1"/>
    <s v="INR"/>
    <n v="475"/>
    <s v="MAHESHWAR"/>
    <x v="16"/>
    <s v="IN"/>
  </r>
  <r>
    <n v="323"/>
    <s v="406-7261451-5682727"/>
    <d v="2024-08-02T00:00:00"/>
    <x v="3"/>
    <s v="Shipped"/>
    <s v="Amazon"/>
    <x v="0"/>
    <x v="1"/>
    <n v="37"/>
    <s v="J0341-DR-XS"/>
    <x v="2"/>
    <s v="XS"/>
    <n v="1"/>
    <s v="INR"/>
    <n v="744"/>
    <s v="BENGALURU"/>
    <x v="1"/>
    <s v="IN"/>
  </r>
  <r>
    <n v="324"/>
    <s v="407-5096970-7475550"/>
    <d v="2024-04-06T00:00:00"/>
    <x v="8"/>
    <s v="Cancelled"/>
    <s v="Merchant"/>
    <x v="0"/>
    <x v="0"/>
    <n v="37"/>
    <s v="J0010-LCD-L"/>
    <x v="0"/>
    <s v="L"/>
    <n v="0"/>
    <s v="INR"/>
    <n v="1902.86"/>
    <s v="HARDOI"/>
    <x v="4"/>
    <s v="IN"/>
  </r>
  <r>
    <n v="325"/>
    <s v="402-6566640-5417947"/>
    <d v="2023-04-20T00:00:00"/>
    <x v="8"/>
    <s v="Shipped"/>
    <s v="Amazon"/>
    <x v="0"/>
    <x v="1"/>
    <n v="44"/>
    <s v="JNE3800-KR-M"/>
    <x v="2"/>
    <s v="M"/>
    <n v="1"/>
    <s v="INR"/>
    <n v="771"/>
    <s v="HYDERABAD"/>
    <x v="6"/>
    <s v="IN"/>
  </r>
  <r>
    <n v="326"/>
    <s v="402-5302912-6805151"/>
    <d v="2023-12-25T00:00:00"/>
    <x v="11"/>
    <s v="Shipped - Delivered to Buyer"/>
    <s v="Merchant"/>
    <x v="0"/>
    <x v="0"/>
    <n v="44"/>
    <s v="JNE3798-KR-M"/>
    <x v="2"/>
    <s v="M"/>
    <n v="1"/>
    <s v="INR"/>
    <n v="725"/>
    <s v="HYDERABAD"/>
    <x v="6"/>
    <s v="IN"/>
  </r>
  <r>
    <n v="327"/>
    <s v="407-9707366-3029944"/>
    <d v="2024-03-09T00:00:00"/>
    <x v="0"/>
    <s v="Cancelled"/>
    <s v="Merchant"/>
    <x v="1"/>
    <x v="0"/>
    <n v="49"/>
    <s v="JNE3453-KR-S"/>
    <x v="1"/>
    <s v="S"/>
    <n v="0"/>
    <s v="INR"/>
    <n v="473.33"/>
    <s v="NEW DELHI"/>
    <x v="9"/>
    <s v="IN"/>
  </r>
  <r>
    <n v="328"/>
    <s v="402-1365379-0131533"/>
    <d v="2023-10-12T00:00:00"/>
    <x v="5"/>
    <s v="Cancelled"/>
    <s v="Amazon"/>
    <x v="0"/>
    <x v="1"/>
    <n v="59"/>
    <s v="J0012-SKD-M"/>
    <x v="0"/>
    <s v="M"/>
    <n v="0"/>
    <m/>
    <m/>
    <s v="KAMAREDDY"/>
    <x v="6"/>
    <s v="IN"/>
  </r>
  <r>
    <n v="329"/>
    <s v="408-5540360-9479519"/>
    <d v="2023-08-23T00:00:00"/>
    <x v="3"/>
    <s v="Shipped - Delivered to Buyer"/>
    <s v="Merchant"/>
    <x v="0"/>
    <x v="2"/>
    <n v="36"/>
    <s v="SET183-KR-DH-M"/>
    <x v="0"/>
    <s v="M"/>
    <n v="1"/>
    <s v="INR"/>
    <n v="759"/>
    <s v="SHILLONG"/>
    <x v="28"/>
    <s v="IN"/>
  </r>
  <r>
    <n v="330"/>
    <s v="403-2079921-1244300"/>
    <d v="2024-02-22T00:00:00"/>
    <x v="4"/>
    <s v="Cancelled"/>
    <s v="Amazon"/>
    <x v="1"/>
    <x v="1"/>
    <n v="59"/>
    <s v="MEN5029-KR-M"/>
    <x v="1"/>
    <s v="M"/>
    <n v="1"/>
    <s v="INR"/>
    <n v="475"/>
    <s v="DHAMNOD DHAR DISTRICT"/>
    <x v="16"/>
    <s v="IN"/>
  </r>
  <r>
    <n v="331"/>
    <s v="402-8019936-6115500"/>
    <d v="2023-06-16T00:00:00"/>
    <x v="6"/>
    <s v="Cancelled"/>
    <s v="Amazon"/>
    <x v="0"/>
    <x v="1"/>
    <n v="27"/>
    <s v="J0003-SET-XXL"/>
    <x v="0"/>
    <s v="XXL"/>
    <n v="1"/>
    <s v="INR"/>
    <n v="654"/>
    <s v="MYSURU"/>
    <x v="1"/>
    <s v="IN"/>
  </r>
  <r>
    <n v="332"/>
    <s v="406-6711228-7576354"/>
    <d v="2024-03-05T00:00:00"/>
    <x v="0"/>
    <s v="Cancelled"/>
    <s v="Amazon"/>
    <x v="0"/>
    <x v="1"/>
    <n v="59"/>
    <s v="J0341-DR-XXL"/>
    <x v="2"/>
    <s v="XXL"/>
    <n v="1"/>
    <s v="INR"/>
    <n v="791"/>
    <s v="BENGALURU"/>
    <x v="1"/>
    <s v="IN"/>
  </r>
  <r>
    <n v="333"/>
    <s v="171-1425554-3718756"/>
    <d v="2024-07-07T00:00:00"/>
    <x v="10"/>
    <s v="Shipped"/>
    <s v="Amazon"/>
    <x v="0"/>
    <x v="1"/>
    <n v="41"/>
    <s v="J0341-DR-XXXL"/>
    <x v="2"/>
    <s v="3XL"/>
    <n v="1"/>
    <s v="INR"/>
    <n v="744"/>
    <s v="BENGALURU"/>
    <x v="1"/>
    <s v="IN"/>
  </r>
  <r>
    <n v="334"/>
    <s v="407-9906412-0889129"/>
    <d v="2023-04-14T00:00:00"/>
    <x v="8"/>
    <s v="Shipped"/>
    <s v="Amazon"/>
    <x v="1"/>
    <x v="1"/>
    <n v="48"/>
    <s v="JNE3373-KR-XXXL"/>
    <x v="1"/>
    <s v="3XL"/>
    <n v="1"/>
    <s v="INR"/>
    <n v="376"/>
    <s v="CHAKDAHA"/>
    <x v="17"/>
    <s v="IN"/>
  </r>
  <r>
    <n v="335"/>
    <s v="408-8991303-6559523"/>
    <d v="2023-09-07T00:00:00"/>
    <x v="2"/>
    <s v="Shipped"/>
    <s v="Amazon"/>
    <x v="1"/>
    <x v="1"/>
    <n v="39"/>
    <s v="JNE3405-KR-XL"/>
    <x v="1"/>
    <s v="XL"/>
    <n v="1"/>
    <s v="INR"/>
    <n v="399"/>
    <s v="CHENNAI"/>
    <x v="3"/>
    <s v="IN"/>
  </r>
  <r>
    <n v="336"/>
    <s v="408-6046797-8945127"/>
    <d v="2023-07-18T00:00:00"/>
    <x v="10"/>
    <s v="Shipped"/>
    <s v="Amazon"/>
    <x v="0"/>
    <x v="1"/>
    <n v="27"/>
    <s v="SET291-KR-PP-XL"/>
    <x v="0"/>
    <s v="XL"/>
    <n v="1"/>
    <s v="INR"/>
    <n v="599"/>
    <s v="KOLKATA"/>
    <x v="17"/>
    <s v="IN"/>
  </r>
  <r>
    <n v="337"/>
    <s v="171-2134173-5385136"/>
    <d v="2023-05-02T00:00:00"/>
    <x v="9"/>
    <s v="Shipped"/>
    <s v="Amazon"/>
    <x v="1"/>
    <x v="1"/>
    <n v="36"/>
    <s v="J0331-KR-XXXL"/>
    <x v="1"/>
    <s v="3XL"/>
    <n v="1"/>
    <s v="INR"/>
    <n v="782"/>
    <s v="CHIKKAMAGALURU"/>
    <x v="1"/>
    <s v="IN"/>
  </r>
  <r>
    <n v="338"/>
    <s v="171-2134173-5385136"/>
    <d v="2023-07-25T00:00:00"/>
    <x v="10"/>
    <s v="Shipped"/>
    <s v="Amazon"/>
    <x v="1"/>
    <x v="1"/>
    <n v="36"/>
    <s v="JNE3752-KR-XXXL"/>
    <x v="1"/>
    <s v="3XL"/>
    <n v="1"/>
    <s v="INR"/>
    <n v="362"/>
    <s v="CHIKKAMAGALURU"/>
    <x v="1"/>
    <s v="IN"/>
  </r>
  <r>
    <n v="339"/>
    <s v="402-2155477-9353103"/>
    <d v="2023-09-09T00:00:00"/>
    <x v="2"/>
    <s v="Shipped"/>
    <s v="Amazon"/>
    <x v="0"/>
    <x v="1"/>
    <n v="28"/>
    <s v="SET369-KR-NP-XXL"/>
    <x v="0"/>
    <s v="XXL"/>
    <n v="1"/>
    <s v="INR"/>
    <n v="1173"/>
    <s v="BHUBANESWAR"/>
    <x v="14"/>
    <s v="IN"/>
  </r>
  <r>
    <n v="340"/>
    <s v="407-8580022-5578715"/>
    <d v="2023-07-17T00:00:00"/>
    <x v="10"/>
    <s v="Shipped - Delivered to Buyer"/>
    <s v="Merchant"/>
    <x v="0"/>
    <x v="2"/>
    <n v="48"/>
    <s v="J0341-DR-M"/>
    <x v="2"/>
    <s v="M"/>
    <n v="1"/>
    <s v="INR"/>
    <n v="744"/>
    <s v="GURUGRAM"/>
    <x v="10"/>
    <s v="IN"/>
  </r>
  <r>
    <n v="341"/>
    <s v="402-1572540-8678700"/>
    <d v="2024-03-23T00:00:00"/>
    <x v="0"/>
    <s v="Shipped"/>
    <s v="Amazon"/>
    <x v="0"/>
    <x v="1"/>
    <n v="60"/>
    <s v="JNE3797-KR-M"/>
    <x v="2"/>
    <s v="M"/>
    <n v="1"/>
    <s v="INR"/>
    <n v="725"/>
    <s v="KOLKATA"/>
    <x v="17"/>
    <s v="IN"/>
  </r>
  <r>
    <n v="342"/>
    <s v="171-1887627-9813158"/>
    <d v="2023-06-07T00:00:00"/>
    <x v="6"/>
    <s v="Shipped"/>
    <s v="Amazon"/>
    <x v="1"/>
    <x v="1"/>
    <n v="36"/>
    <s v="JNE3373-KR-XS"/>
    <x v="1"/>
    <s v="XS"/>
    <n v="1"/>
    <s v="INR"/>
    <n v="376"/>
    <s v="VISAKHAPATNAM"/>
    <x v="7"/>
    <s v="IN"/>
  </r>
  <r>
    <n v="343"/>
    <s v="408-7712483-3825907"/>
    <d v="2024-08-23T00:00:00"/>
    <x v="3"/>
    <s v="Shipped - Delivered to Buyer"/>
    <s v="Merchant"/>
    <x v="1"/>
    <x v="2"/>
    <n v="21"/>
    <s v="JNE3805-KR-L"/>
    <x v="1"/>
    <s v="L"/>
    <n v="1"/>
    <s v="INR"/>
    <n v="459"/>
    <s v="ALLAHABAD"/>
    <x v="4"/>
    <s v="IN"/>
  </r>
  <r>
    <n v="344"/>
    <s v="402-3621298-2630741"/>
    <d v="2024-10-13T00:00:00"/>
    <x v="5"/>
    <s v="Cancelled"/>
    <s v="Amazon"/>
    <x v="0"/>
    <x v="1"/>
    <n v="52"/>
    <s v="J0003-SET-XXL"/>
    <x v="0"/>
    <s v="XXL"/>
    <n v="1"/>
    <s v="INR"/>
    <n v="654"/>
    <s v="MYSURU"/>
    <x v="1"/>
    <s v="IN"/>
  </r>
  <r>
    <n v="345"/>
    <s v="404-8745561-3169903"/>
    <d v="2023-08-08T00:00:00"/>
    <x v="3"/>
    <s v="Shipped"/>
    <s v="Amazon"/>
    <x v="1"/>
    <x v="1"/>
    <n v="20"/>
    <s v="JNE3537-KR-M"/>
    <x v="1"/>
    <s v="M"/>
    <n v="1"/>
    <s v="INR"/>
    <n v="379"/>
    <s v="LUCKNOW"/>
    <x v="4"/>
    <s v="IN"/>
  </r>
  <r>
    <n v="346"/>
    <s v="404-1508602-9433941"/>
    <d v="2024-06-09T00:00:00"/>
    <x v="6"/>
    <s v="Shipped"/>
    <s v="Amazon"/>
    <x v="0"/>
    <x v="1"/>
    <n v="29"/>
    <s v="J0003-SET-XL"/>
    <x v="0"/>
    <s v="XL"/>
    <n v="1"/>
    <s v="INR"/>
    <n v="696"/>
    <s v="KOLKATA"/>
    <x v="17"/>
    <s v="IN"/>
  </r>
  <r>
    <n v="347"/>
    <s v="171-9371949-6030721"/>
    <d v="2024-12-25T00:00:00"/>
    <x v="11"/>
    <s v="Shipped"/>
    <s v="Amazon"/>
    <x v="0"/>
    <x v="1"/>
    <n v="21"/>
    <s v="SET324-KR-NP-M"/>
    <x v="0"/>
    <s v="M"/>
    <n v="1"/>
    <s v="INR"/>
    <n v="597"/>
    <s v="MALDA"/>
    <x v="17"/>
    <s v="IN"/>
  </r>
  <r>
    <n v="348"/>
    <s v="171-2705563-6985105"/>
    <d v="2024-11-08T00:00:00"/>
    <x v="1"/>
    <s v="Shipped"/>
    <s v="Amazon"/>
    <x v="0"/>
    <x v="1"/>
    <n v="26"/>
    <s v="SET293-KR-NP-M"/>
    <x v="0"/>
    <s v="M"/>
    <n v="1"/>
    <s v="INR"/>
    <n v="692"/>
    <s v="DIMAPUR"/>
    <x v="18"/>
    <s v="IN"/>
  </r>
  <r>
    <n v="349"/>
    <s v="171-3537751-4007556"/>
    <d v="2024-07-08T00:00:00"/>
    <x v="10"/>
    <s v="Shipped"/>
    <s v="Amazon"/>
    <x v="0"/>
    <x v="1"/>
    <n v="56"/>
    <s v="SET436-KR-NP-XXXL"/>
    <x v="0"/>
    <s v="3XL"/>
    <n v="1"/>
    <s v="INR"/>
    <n v="1999"/>
    <s v="Nellore"/>
    <x v="7"/>
    <s v="IN"/>
  </r>
  <r>
    <n v="350"/>
    <s v="408-5990312-3581165"/>
    <d v="2023-04-21T00:00:00"/>
    <x v="8"/>
    <s v="Shipped"/>
    <s v="Amazon"/>
    <x v="0"/>
    <x v="1"/>
    <n v="44"/>
    <s v="SET264-KR-NP-XXL"/>
    <x v="0"/>
    <s v="XXL"/>
    <n v="1"/>
    <s v="INR"/>
    <n v="824"/>
    <s v="PUDUCHERRY"/>
    <x v="2"/>
    <s v="IN"/>
  </r>
  <r>
    <n v="351"/>
    <s v="403-6062596-1220349"/>
    <d v="2023-12-22T00:00:00"/>
    <x v="11"/>
    <s v="Shipped"/>
    <s v="Amazon"/>
    <x v="1"/>
    <x v="1"/>
    <n v="22"/>
    <s v="JNE3567-KR-XS"/>
    <x v="1"/>
    <s v="XS"/>
    <n v="1"/>
    <s v="INR"/>
    <n v="399"/>
    <s v="CUNCOLIM"/>
    <x v="27"/>
    <s v="IN"/>
  </r>
  <r>
    <n v="352"/>
    <s v="171-8220241-5105927"/>
    <d v="2024-05-21T00:00:00"/>
    <x v="9"/>
    <s v="Shipped"/>
    <s v="Amazon"/>
    <x v="1"/>
    <x v="1"/>
    <n v="56"/>
    <s v="J0329-KR-XXXL"/>
    <x v="1"/>
    <s v="3XL"/>
    <n v="1"/>
    <s v="INR"/>
    <n v="737"/>
    <s v="CHIKKAMAGALURU"/>
    <x v="1"/>
    <s v="IN"/>
  </r>
  <r>
    <n v="353"/>
    <s v="408-9405529-3743511"/>
    <d v="2024-03-24T00:00:00"/>
    <x v="0"/>
    <s v="Shipped"/>
    <s v="Amazon"/>
    <x v="1"/>
    <x v="1"/>
    <n v="35"/>
    <s v="JNE3568-KR-XL"/>
    <x v="1"/>
    <s v="XL"/>
    <n v="1"/>
    <s v="INR"/>
    <n v="399"/>
    <s v="Hyderabad"/>
    <x v="6"/>
    <s v="IN"/>
  </r>
  <r>
    <n v="354"/>
    <s v="402-3595365-1666728"/>
    <d v="2023-10-13T00:00:00"/>
    <x v="5"/>
    <s v="Cancelled"/>
    <s v="Amazon"/>
    <x v="0"/>
    <x v="1"/>
    <n v="20"/>
    <s v="SET341-KR-NP-L"/>
    <x v="0"/>
    <s v="L"/>
    <n v="1"/>
    <s v="INR"/>
    <n v="899"/>
    <s v="NOIDA"/>
    <x v="4"/>
    <s v="IN"/>
  </r>
  <r>
    <n v="355"/>
    <s v="407-3271219-3762757"/>
    <d v="2023-09-15T00:00:00"/>
    <x v="2"/>
    <s v="Shipped"/>
    <s v="Amazon"/>
    <x v="1"/>
    <x v="1"/>
    <n v="52"/>
    <s v="JNE3543-KR-M"/>
    <x v="1"/>
    <s v="M"/>
    <n v="1"/>
    <s v="INR"/>
    <n v="368"/>
    <s v="PUNE"/>
    <x v="0"/>
    <s v="IN"/>
  </r>
  <r>
    <n v="356"/>
    <s v="402-3660716-8589107"/>
    <d v="2023-12-19T00:00:00"/>
    <x v="11"/>
    <s v="Shipped - Delivered to Buyer"/>
    <s v="Merchant"/>
    <x v="1"/>
    <x v="0"/>
    <n v="32"/>
    <s v="JNE3368-KR-XXXL"/>
    <x v="1"/>
    <s v="3XL"/>
    <n v="1"/>
    <s v="INR"/>
    <n v="471"/>
    <s v="trivandrum"/>
    <x v="15"/>
    <s v="IN"/>
  </r>
  <r>
    <n v="357"/>
    <s v="171-3953233-6135505"/>
    <d v="2023-03-09T00:00:00"/>
    <x v="0"/>
    <s v="Shipped"/>
    <s v="Amazon"/>
    <x v="1"/>
    <x v="1"/>
    <n v="54"/>
    <s v="JNE3405-KR-L"/>
    <x v="1"/>
    <s v="L"/>
    <n v="1"/>
    <s v="INR"/>
    <n v="399"/>
    <s v="KANPUR"/>
    <x v="4"/>
    <s v="IN"/>
  </r>
  <r>
    <n v="358"/>
    <s v="402-5525660-2118707"/>
    <d v="2023-01-25T00:00:00"/>
    <x v="7"/>
    <s v="Shipped"/>
    <s v="Amazon"/>
    <x v="1"/>
    <x v="1"/>
    <n v="35"/>
    <s v="JNE3365-KR-1052-A-S"/>
    <x v="1"/>
    <s v="S"/>
    <n v="1"/>
    <s v="INR"/>
    <n v="376"/>
    <s v="CHINNALAPATTI"/>
    <x v="3"/>
    <s v="IN"/>
  </r>
  <r>
    <n v="359"/>
    <s v="406-9941718-1734719"/>
    <d v="2024-04-08T00:00:00"/>
    <x v="8"/>
    <s v="Shipped - Delivered to Buyer"/>
    <s v="Merchant"/>
    <x v="1"/>
    <x v="2"/>
    <n v="26"/>
    <s v="JNE3759-KR-XL"/>
    <x v="1"/>
    <s v="XL"/>
    <n v="1"/>
    <s v="INR"/>
    <n v="544"/>
    <s v="BENGALURU"/>
    <x v="1"/>
    <s v="IN"/>
  </r>
  <r>
    <n v="360"/>
    <s v="171-1297873-2176339"/>
    <d v="2023-12-02T00:00:00"/>
    <x v="11"/>
    <s v="Shipped"/>
    <s v="Amazon"/>
    <x v="1"/>
    <x v="1"/>
    <n v="48"/>
    <s v="MEN5001-KR-L"/>
    <x v="1"/>
    <s v="L"/>
    <n v="1"/>
    <s v="INR"/>
    <n v="499"/>
    <s v="HYDERABAD"/>
    <x v="6"/>
    <s v="IN"/>
  </r>
  <r>
    <n v="361"/>
    <s v="407-6401192-4057954"/>
    <d v="2024-12-08T00:00:00"/>
    <x v="11"/>
    <s v="Shipped"/>
    <s v="Amazon"/>
    <x v="0"/>
    <x v="1"/>
    <n v="59"/>
    <s v="J0098-TP-XS"/>
    <x v="3"/>
    <s v="XS"/>
    <n v="1"/>
    <s v="INR"/>
    <n v="426"/>
    <s v="BENGALURU"/>
    <x v="1"/>
    <s v="IN"/>
  </r>
  <r>
    <n v="362"/>
    <s v="406-3397500-8084361"/>
    <d v="2024-06-29T00:00:00"/>
    <x v="6"/>
    <s v="Shipped"/>
    <s v="Amazon"/>
    <x v="1"/>
    <x v="1"/>
    <n v="29"/>
    <s v="JNE3567-KR-XL"/>
    <x v="1"/>
    <s v="XL"/>
    <n v="1"/>
    <s v="INR"/>
    <n v="399"/>
    <s v="BENGALURU"/>
    <x v="1"/>
    <s v="IN"/>
  </r>
  <r>
    <n v="363"/>
    <s v="171-9620288-8918704"/>
    <d v="2023-04-02T00:00:00"/>
    <x v="8"/>
    <s v="Cancelled"/>
    <s v="Amazon"/>
    <x v="0"/>
    <x v="1"/>
    <n v="46"/>
    <s v="SET226-KR-PP-L"/>
    <x v="0"/>
    <s v="L"/>
    <n v="0"/>
    <m/>
    <m/>
    <s v="BAGESHWAR"/>
    <x v="20"/>
    <s v="IN"/>
  </r>
  <r>
    <n v="364"/>
    <s v="402-8089760-1132331"/>
    <d v="2023-05-27T00:00:00"/>
    <x v="9"/>
    <s v="Shipped"/>
    <s v="Amazon"/>
    <x v="0"/>
    <x v="1"/>
    <n v="22"/>
    <s v="SET380-KR-NP-XXXL"/>
    <x v="0"/>
    <s v="3XL"/>
    <n v="1"/>
    <s v="INR"/>
    <n v="995"/>
    <s v="NEW DELHI"/>
    <x v="9"/>
    <s v="IN"/>
  </r>
  <r>
    <n v="365"/>
    <s v="403-7042175-3905937"/>
    <d v="2023-01-31T00:00:00"/>
    <x v="7"/>
    <s v="Shipped"/>
    <s v="Amazon"/>
    <x v="1"/>
    <x v="1"/>
    <n v="60"/>
    <s v="MEN5009-KR-M"/>
    <x v="1"/>
    <s v="M"/>
    <n v="1"/>
    <s v="INR"/>
    <n v="499"/>
    <s v="BARRACKPORE"/>
    <x v="17"/>
    <s v="IN"/>
  </r>
  <r>
    <n v="366"/>
    <s v="403-7042175-3905937"/>
    <d v="2024-01-09T00:00:00"/>
    <x v="7"/>
    <s v="Shipped"/>
    <s v="Amazon"/>
    <x v="1"/>
    <x v="1"/>
    <n v="58"/>
    <s v="MEN5011-KR-M"/>
    <x v="1"/>
    <s v="M"/>
    <n v="1"/>
    <s v="INR"/>
    <n v="499"/>
    <s v="BARRACKPORE"/>
    <x v="17"/>
    <s v="IN"/>
  </r>
  <r>
    <n v="367"/>
    <s v="407-4629176-4141949"/>
    <d v="2024-05-26T00:00:00"/>
    <x v="9"/>
    <s v="Shipped"/>
    <s v="Amazon"/>
    <x v="0"/>
    <x v="1"/>
    <n v="28"/>
    <s v="SET324-KR-NP-M"/>
    <x v="0"/>
    <s v="M"/>
    <n v="1"/>
    <s v="INR"/>
    <n v="597"/>
    <s v="Dombivali  east"/>
    <x v="0"/>
    <s v="IN"/>
  </r>
  <r>
    <n v="368"/>
    <s v="171-7306449-0588335"/>
    <d v="2023-06-05T00:00:00"/>
    <x v="6"/>
    <s v="Shipped"/>
    <s v="Amazon"/>
    <x v="1"/>
    <x v="1"/>
    <n v="38"/>
    <s v="MEN5032-KR-S"/>
    <x v="1"/>
    <s v="S"/>
    <n v="1"/>
    <s v="INR"/>
    <n v="562"/>
    <s v="NEW DELHI"/>
    <x v="9"/>
    <s v="IN"/>
  </r>
  <r>
    <n v="369"/>
    <s v="407-1396965-6726703"/>
    <d v="2023-08-17T00:00:00"/>
    <x v="3"/>
    <s v="Shipped"/>
    <s v="Amazon"/>
    <x v="1"/>
    <x v="1"/>
    <n v="59"/>
    <s v="PJ0096-KR-N-5XL"/>
    <x v="1"/>
    <s v="5XL"/>
    <n v="1"/>
    <s v="INR"/>
    <n v="696"/>
    <s v="PATNA"/>
    <x v="21"/>
    <s v="IN"/>
  </r>
  <r>
    <n v="370"/>
    <s v="407-0624641-6557144"/>
    <d v="2023-05-15T00:00:00"/>
    <x v="9"/>
    <s v="Shipped"/>
    <s v="Amazon"/>
    <x v="0"/>
    <x v="1"/>
    <n v="59"/>
    <s v="SET268-KR-NP-L"/>
    <x v="0"/>
    <s v="L"/>
    <n v="1"/>
    <s v="INR"/>
    <n v="788"/>
    <s v="Hyderabad"/>
    <x v="6"/>
    <s v="IN"/>
  </r>
  <r>
    <n v="371"/>
    <s v="405-8444009-8723509"/>
    <d v="2023-11-26T00:00:00"/>
    <x v="1"/>
    <s v="Shipped"/>
    <s v="Amazon"/>
    <x v="1"/>
    <x v="1"/>
    <n v="23"/>
    <s v="JNE3567-KR-M"/>
    <x v="1"/>
    <s v="M"/>
    <n v="1"/>
    <s v="INR"/>
    <n v="399"/>
    <s v="New delhi"/>
    <x v="9"/>
    <s v="IN"/>
  </r>
  <r>
    <n v="372"/>
    <s v="406-5729580-2175565"/>
    <d v="2023-04-29T00:00:00"/>
    <x v="8"/>
    <s v="Shipped"/>
    <s v="Amazon"/>
    <x v="0"/>
    <x v="1"/>
    <n v="26"/>
    <s v="SET359-KR-NP-XXL"/>
    <x v="0"/>
    <s v="XXL"/>
    <n v="1"/>
    <s v="INR"/>
    <n v="1099"/>
    <s v="NEW TOWN"/>
    <x v="17"/>
    <s v="IN"/>
  </r>
  <r>
    <n v="373"/>
    <s v="404-2255967-5457950"/>
    <d v="2023-06-20T00:00:00"/>
    <x v="6"/>
    <s v="Shipped"/>
    <s v="Amazon"/>
    <x v="0"/>
    <x v="1"/>
    <n v="43"/>
    <s v="J0199-SET-XXXL"/>
    <x v="0"/>
    <s v="3XL"/>
    <n v="1"/>
    <s v="INR"/>
    <n v="476"/>
    <s v="HYDERABAD"/>
    <x v="6"/>
    <s v="IN"/>
  </r>
  <r>
    <n v="374"/>
    <s v="408-5020509-5674715"/>
    <d v="2024-06-25T00:00:00"/>
    <x v="6"/>
    <s v="Shipped - Returned to Seller"/>
    <s v="Merchant"/>
    <x v="0"/>
    <x v="0"/>
    <n v="36"/>
    <s v="JNE3798-KR-M"/>
    <x v="2"/>
    <s v="M"/>
    <n v="1"/>
    <s v="INR"/>
    <n v="0"/>
    <s v="NEW DELHI"/>
    <x v="9"/>
    <s v="IN"/>
  </r>
  <r>
    <n v="375"/>
    <s v="407-7642883-3094732"/>
    <d v="2024-05-03T00:00:00"/>
    <x v="9"/>
    <s v="Shipped - Delivered to Buyer"/>
    <s v="Merchant"/>
    <x v="0"/>
    <x v="2"/>
    <n v="52"/>
    <s v="J0401-DR-L"/>
    <x v="2"/>
    <s v="L"/>
    <n v="1"/>
    <s v="INR"/>
    <n v="885"/>
    <s v="SIBSAGAR"/>
    <x v="11"/>
    <s v="IN"/>
  </r>
  <r>
    <n v="376"/>
    <s v="404-7608918-0571517"/>
    <d v="2024-06-26T00:00:00"/>
    <x v="6"/>
    <s v="Shipped"/>
    <s v="Amazon"/>
    <x v="0"/>
    <x v="1"/>
    <n v="31"/>
    <s v="J0003-SET-XS"/>
    <x v="0"/>
    <s v="XS"/>
    <n v="1"/>
    <s v="INR"/>
    <n v="654"/>
    <s v="JAMMU"/>
    <x v="22"/>
    <s v="IN"/>
  </r>
  <r>
    <n v="377"/>
    <s v="171-6589781-2209965"/>
    <d v="2024-08-30T00:00:00"/>
    <x v="3"/>
    <s v="Shipped"/>
    <s v="Amazon"/>
    <x v="0"/>
    <x v="1"/>
    <n v="22"/>
    <s v="J0308-DR-XL"/>
    <x v="2"/>
    <s v="XL"/>
    <n v="1"/>
    <s v="INR"/>
    <n v="625"/>
    <s v="Pune"/>
    <x v="0"/>
    <s v="IN"/>
  </r>
  <r>
    <n v="378"/>
    <s v="405-9442254-2207515"/>
    <d v="2024-10-18T00:00:00"/>
    <x v="5"/>
    <s v="Shipped - Delivered to Buyer"/>
    <s v="Merchant"/>
    <x v="1"/>
    <x v="2"/>
    <n v="18"/>
    <s v="PJNE3368-KR-6XL"/>
    <x v="1"/>
    <s v="6XL"/>
    <n v="1"/>
    <s v="INR"/>
    <n v="505"/>
    <s v="Pathanapuram"/>
    <x v="15"/>
    <s v="IN"/>
  </r>
  <r>
    <n v="379"/>
    <s v="405-3071731-6600369"/>
    <d v="2023-07-07T00:00:00"/>
    <x v="10"/>
    <s v="Shipped"/>
    <s v="Amazon"/>
    <x v="1"/>
    <x v="1"/>
    <n v="28"/>
    <s v="PJNE3252-KR-N-6XL"/>
    <x v="1"/>
    <s v="6XL"/>
    <n v="1"/>
    <s v="INR"/>
    <n v="563"/>
    <s v="Pathanapuram"/>
    <x v="15"/>
    <s v="IN"/>
  </r>
  <r>
    <n v="380"/>
    <s v="404-6026001-1717923"/>
    <d v="2023-11-15T00:00:00"/>
    <x v="1"/>
    <s v="Cancelled"/>
    <s v="Merchant"/>
    <x v="1"/>
    <x v="2"/>
    <n v="26"/>
    <s v="JNE3752-KR-M"/>
    <x v="1"/>
    <s v="M"/>
    <n v="0"/>
    <s v="INR"/>
    <n v="344.76"/>
    <s v="JAUNPUR"/>
    <x v="4"/>
    <s v="IN"/>
  </r>
  <r>
    <n v="381"/>
    <s v="404-4026534-0431517"/>
    <d v="2024-02-27T00:00:00"/>
    <x v="4"/>
    <s v="Cancelled"/>
    <s v="Amazon"/>
    <x v="0"/>
    <x v="1"/>
    <n v="25"/>
    <s v="SET217-KR-PP-XXXL"/>
    <x v="0"/>
    <s v="3XL"/>
    <n v="0"/>
    <m/>
    <m/>
    <s v="SOLAPUR"/>
    <x v="0"/>
    <s v="IN"/>
  </r>
  <r>
    <n v="382"/>
    <s v="406-4970885-3273941"/>
    <d v="2024-07-02T00:00:00"/>
    <x v="10"/>
    <s v="Shipped - Delivered to Buyer"/>
    <s v="Merchant"/>
    <x v="1"/>
    <x v="2"/>
    <n v="39"/>
    <s v="JNE3799-KR-XL"/>
    <x v="1"/>
    <s v="XL"/>
    <n v="1"/>
    <s v="INR"/>
    <n v="666"/>
    <s v="PUNE"/>
    <x v="0"/>
    <s v="IN"/>
  </r>
  <r>
    <n v="383"/>
    <s v="406-2942566-8263534"/>
    <d v="2023-10-12T00:00:00"/>
    <x v="5"/>
    <s v="Shipped - Delivered to Buyer"/>
    <s v="Merchant"/>
    <x v="1"/>
    <x v="0"/>
    <n v="31"/>
    <s v="JNE3405-KR-S"/>
    <x v="1"/>
    <s v="S"/>
    <n v="1"/>
    <s v="INR"/>
    <n v="399"/>
    <s v="MAHBUBNAGAR"/>
    <x v="6"/>
    <s v="IN"/>
  </r>
  <r>
    <n v="384"/>
    <s v="406-7501816-7391539"/>
    <d v="2023-08-26T00:00:00"/>
    <x v="3"/>
    <s v="Shipped - Delivered to Buyer"/>
    <s v="Merchant"/>
    <x v="1"/>
    <x v="2"/>
    <n v="58"/>
    <s v="JNE3294-KR-S"/>
    <x v="1"/>
    <s v="S"/>
    <n v="1"/>
    <s v="INR"/>
    <n v="432"/>
    <s v="Nk sweets Vikasnagar"/>
    <x v="20"/>
    <s v="IN"/>
  </r>
  <r>
    <n v="385"/>
    <s v="408-3137526-3167563"/>
    <d v="2023-10-23T00:00:00"/>
    <x v="5"/>
    <s v="Shipped"/>
    <s v="Amazon"/>
    <x v="1"/>
    <x v="1"/>
    <n v="24"/>
    <s v="JNE3405-KR-L"/>
    <x v="1"/>
    <s v="L"/>
    <n v="1"/>
    <s v="INR"/>
    <n v="0"/>
    <s v="DARJEELING"/>
    <x v="17"/>
    <s v="IN"/>
  </r>
  <r>
    <n v="386"/>
    <s v="408-5211576-2061139"/>
    <d v="2023-12-23T00:00:00"/>
    <x v="11"/>
    <s v="Shipped"/>
    <s v="Amazon"/>
    <x v="0"/>
    <x v="1"/>
    <n v="26"/>
    <s v="SET356-KR-NP-XXXL"/>
    <x v="0"/>
    <s v="3XL"/>
    <n v="1"/>
    <s v="INR"/>
    <n v="1099"/>
    <s v="RANCHI"/>
    <x v="12"/>
    <s v="IN"/>
  </r>
  <r>
    <n v="387"/>
    <s v="406-9632792-8869139"/>
    <d v="2024-01-14T00:00:00"/>
    <x v="7"/>
    <s v="Shipped"/>
    <s v="Amazon"/>
    <x v="1"/>
    <x v="1"/>
    <n v="57"/>
    <s v="JNE2014-KR-178-XXXL"/>
    <x v="1"/>
    <s v="3XL"/>
    <n v="1"/>
    <s v="INR"/>
    <n v="353"/>
    <s v="BENGALURU"/>
    <x v="1"/>
    <s v="IN"/>
  </r>
  <r>
    <n v="388"/>
    <s v="408-7971979-8745937"/>
    <d v="2024-07-12T00:00:00"/>
    <x v="10"/>
    <s v="Shipped - Delivered to Buyer"/>
    <s v="Merchant"/>
    <x v="0"/>
    <x v="0"/>
    <n v="40"/>
    <s v="J0401-DR-XS"/>
    <x v="2"/>
    <s v="XS"/>
    <n v="1"/>
    <s v="INR"/>
    <n v="0"/>
    <s v="LUDHIANA"/>
    <x v="23"/>
    <s v="IN"/>
  </r>
  <r>
    <n v="389"/>
    <s v="405-5166820-2566738"/>
    <d v="2023-07-27T00:00:00"/>
    <x v="10"/>
    <s v="Shipped"/>
    <s v="Amazon"/>
    <x v="0"/>
    <x v="1"/>
    <n v="32"/>
    <s v="SET291-KR-PP-M"/>
    <x v="0"/>
    <s v="M"/>
    <n v="1"/>
    <s v="INR"/>
    <n v="563"/>
    <s v="BENGALURU"/>
    <x v="1"/>
    <s v="IN"/>
  </r>
  <r>
    <n v="390"/>
    <s v="405-8932002-4271522"/>
    <d v="2024-12-26T00:00:00"/>
    <x v="11"/>
    <s v="Shipped"/>
    <s v="Amazon"/>
    <x v="0"/>
    <x v="1"/>
    <n v="35"/>
    <s v="SET110-KR-PP-XXL"/>
    <x v="0"/>
    <s v="XXL"/>
    <n v="1"/>
    <s v="INR"/>
    <n v="788"/>
    <s v="HYDERABAD"/>
    <x v="6"/>
    <s v="IN"/>
  </r>
  <r>
    <n v="391"/>
    <s v="404-1855398-2642751"/>
    <d v="2023-06-05T00:00:00"/>
    <x v="6"/>
    <s v="Shipped"/>
    <s v="Amazon"/>
    <x v="0"/>
    <x v="1"/>
    <n v="40"/>
    <s v="J0003-SET-M"/>
    <x v="0"/>
    <s v="M"/>
    <n v="1"/>
    <s v="INR"/>
    <n v="654"/>
    <s v="MUZAFFARPUR"/>
    <x v="21"/>
    <s v="IN"/>
  </r>
  <r>
    <n v="392"/>
    <s v="408-0912805-7526753"/>
    <d v="2024-03-10T00:00:00"/>
    <x v="0"/>
    <s v="Shipped"/>
    <s v="Amazon"/>
    <x v="0"/>
    <x v="1"/>
    <n v="53"/>
    <s v="SET365-KR-NP-L"/>
    <x v="0"/>
    <s v="L"/>
    <n v="1"/>
    <s v="INR"/>
    <n v="0"/>
    <s v="MUMBAI"/>
    <x v="0"/>
    <s v="IN"/>
  </r>
  <r>
    <n v="393"/>
    <s v="402-2403704-9667560"/>
    <d v="2024-06-10T00:00:00"/>
    <x v="6"/>
    <s v="Shipped"/>
    <s v="Amazon"/>
    <x v="1"/>
    <x v="1"/>
    <n v="40"/>
    <s v="JNE3405-KR-XXXL"/>
    <x v="1"/>
    <s v="3XL"/>
    <n v="1"/>
    <s v="INR"/>
    <n v="399"/>
    <s v="SECUNDERABAD"/>
    <x v="6"/>
    <s v="IN"/>
  </r>
  <r>
    <n v="394"/>
    <s v="405-2569549-3466719"/>
    <d v="2023-09-07T00:00:00"/>
    <x v="2"/>
    <s v="Shipped"/>
    <s v="Amazon"/>
    <x v="0"/>
    <x v="1"/>
    <n v="27"/>
    <s v="J0003-SET-L"/>
    <x v="0"/>
    <s v="L"/>
    <n v="1"/>
    <s v="INR"/>
    <n v="696"/>
    <s v="Sonbhadra"/>
    <x v="4"/>
    <s v="IN"/>
  </r>
  <r>
    <n v="395"/>
    <s v="405-2822825-3877133"/>
    <d v="2024-06-11T00:00:00"/>
    <x v="6"/>
    <s v="Shipped"/>
    <s v="Amazon"/>
    <x v="0"/>
    <x v="1"/>
    <n v="36"/>
    <s v="J0230-SKD-XXL"/>
    <x v="0"/>
    <s v="XXL"/>
    <n v="1"/>
    <s v="INR"/>
    <n v="1112"/>
    <s v="LUCKNOW"/>
    <x v="4"/>
    <s v="IN"/>
  </r>
  <r>
    <n v="396"/>
    <s v="171-5222377-4501935"/>
    <d v="2023-06-11T00:00:00"/>
    <x v="6"/>
    <s v="Shipped"/>
    <s v="Amazon"/>
    <x v="1"/>
    <x v="1"/>
    <n v="54"/>
    <s v="JNE3465-KR-XXXL"/>
    <x v="1"/>
    <s v="3XL"/>
    <n v="1"/>
    <s v="INR"/>
    <n v="517"/>
    <s v="KAKINADA"/>
    <x v="7"/>
    <s v="IN"/>
  </r>
  <r>
    <n v="397"/>
    <s v="171-2644368-7969167"/>
    <d v="2023-10-20T00:00:00"/>
    <x v="5"/>
    <s v="Shipped"/>
    <s v="Amazon"/>
    <x v="0"/>
    <x v="1"/>
    <n v="21"/>
    <s v="SET265-KR-NP-M"/>
    <x v="0"/>
    <s v="M"/>
    <n v="1"/>
    <s v="INR"/>
    <n v="888"/>
    <s v="KAKINADA"/>
    <x v="7"/>
    <s v="IN"/>
  </r>
  <r>
    <n v="398"/>
    <s v="171-2644368-7969167"/>
    <d v="2024-06-05T00:00:00"/>
    <x v="6"/>
    <s v="Shipped"/>
    <s v="Amazon"/>
    <x v="0"/>
    <x v="1"/>
    <n v="54"/>
    <s v="J0280-SKD-S"/>
    <x v="0"/>
    <s v="S"/>
    <n v="1"/>
    <s v="INR"/>
    <n v="1463"/>
    <s v="KAKINADA"/>
    <x v="7"/>
    <s v="IN"/>
  </r>
  <r>
    <n v="399"/>
    <s v="171-2644368-7969167"/>
    <d v="2023-04-28T00:00:00"/>
    <x v="8"/>
    <s v="Shipped"/>
    <s v="Amazon"/>
    <x v="1"/>
    <x v="1"/>
    <n v="53"/>
    <s v="JNE3405-KR-XXXL"/>
    <x v="1"/>
    <s v="3XL"/>
    <n v="1"/>
    <s v="INR"/>
    <n v="399"/>
    <s v="KAKINADA"/>
    <x v="7"/>
    <s v="IN"/>
  </r>
  <r>
    <n v="400"/>
    <s v="171-2644368-7969167"/>
    <d v="2023-05-01T00:00:00"/>
    <x v="9"/>
    <s v="Shipped"/>
    <s v="Amazon"/>
    <x v="1"/>
    <x v="1"/>
    <n v="47"/>
    <s v="JNE3288-KR-M"/>
    <x v="1"/>
    <s v="M"/>
    <n v="1"/>
    <s v="INR"/>
    <n v="442"/>
    <s v="KAKINADA"/>
    <x v="7"/>
    <s v="IN"/>
  </r>
  <r>
    <n v="401"/>
    <s v="171-2644368-7969167"/>
    <d v="2023-09-20T00:00:00"/>
    <x v="2"/>
    <s v="Shipped"/>
    <s v="Amazon"/>
    <x v="0"/>
    <x v="1"/>
    <n v="42"/>
    <s v="SET316-KR-DPT-M"/>
    <x v="0"/>
    <s v="M"/>
    <n v="1"/>
    <s v="INR"/>
    <n v="1149"/>
    <s v="KAKINADA"/>
    <x v="7"/>
    <s v="IN"/>
  </r>
  <r>
    <n v="402"/>
    <s v="171-2644368-7969167"/>
    <d v="2024-07-20T00:00:00"/>
    <x v="10"/>
    <s v="Shipped"/>
    <s v="Amazon"/>
    <x v="0"/>
    <x v="1"/>
    <n v="56"/>
    <s v="J0006-SET-M"/>
    <x v="4"/>
    <s v="M"/>
    <n v="1"/>
    <s v="INR"/>
    <n v="845"/>
    <s v="KAKINADA"/>
    <x v="7"/>
    <s v="IN"/>
  </r>
  <r>
    <n v="403"/>
    <s v="171-1758807-7455529"/>
    <d v="2023-07-14T00:00:00"/>
    <x v="10"/>
    <s v="Shipped"/>
    <s v="Amazon"/>
    <x v="0"/>
    <x v="1"/>
    <n v="43"/>
    <s v="SET268-KR-NP-S"/>
    <x v="0"/>
    <s v="S"/>
    <n v="1"/>
    <s v="INR"/>
    <n v="788"/>
    <s v="HALDIA"/>
    <x v="17"/>
    <s v="IN"/>
  </r>
  <r>
    <n v="404"/>
    <s v="404-5848202-7366725"/>
    <d v="2023-01-30T00:00:00"/>
    <x v="7"/>
    <s v="Cancelled"/>
    <s v="Merchant"/>
    <x v="0"/>
    <x v="2"/>
    <n v="22"/>
    <s v="JNE3800-KR-XXL"/>
    <x v="2"/>
    <s v="XXL"/>
    <n v="0"/>
    <s v="INR"/>
    <n v="734.29"/>
    <s v="HYDERABAD"/>
    <x v="6"/>
    <s v="IN"/>
  </r>
  <r>
    <n v="405"/>
    <s v="408-8224264-0017161"/>
    <d v="2023-08-05T00:00:00"/>
    <x v="3"/>
    <s v="Shipped"/>
    <s v="Amazon"/>
    <x v="0"/>
    <x v="1"/>
    <n v="53"/>
    <s v="SET268-KR-NP-S"/>
    <x v="0"/>
    <s v="S"/>
    <n v="1"/>
    <s v="INR"/>
    <n v="788"/>
    <s v="NEW DELHI"/>
    <x v="9"/>
    <s v="IN"/>
  </r>
  <r>
    <n v="406"/>
    <s v="408-6529937-6381928"/>
    <d v="2024-05-20T00:00:00"/>
    <x v="9"/>
    <s v="Shipped"/>
    <s v="Amazon"/>
    <x v="0"/>
    <x v="1"/>
    <n v="57"/>
    <s v="J0003-SET-M"/>
    <x v="0"/>
    <s v="M"/>
    <n v="1"/>
    <s v="INR"/>
    <n v="654"/>
    <s v="Tivim"/>
    <x v="27"/>
    <s v="IN"/>
  </r>
  <r>
    <n v="407"/>
    <s v="407-2028379-9672355"/>
    <d v="2023-07-09T00:00:00"/>
    <x v="10"/>
    <s v="Shipped"/>
    <s v="Amazon"/>
    <x v="1"/>
    <x v="1"/>
    <n v="49"/>
    <s v="JNE2270-KR-487-A-L"/>
    <x v="1"/>
    <s v="L"/>
    <n v="1"/>
    <s v="INR"/>
    <n v="518"/>
    <s v="CHENNAI"/>
    <x v="3"/>
    <s v="IN"/>
  </r>
  <r>
    <n v="408"/>
    <s v="402-9221687-4573915"/>
    <d v="2023-01-06T00:00:00"/>
    <x v="7"/>
    <s v="Shipped"/>
    <s v="Amazon"/>
    <x v="0"/>
    <x v="1"/>
    <n v="49"/>
    <s v="SET345-KR-NP-XXL"/>
    <x v="0"/>
    <s v="XXL"/>
    <n v="1"/>
    <s v="INR"/>
    <n v="626"/>
    <s v="HYDERABAD"/>
    <x v="6"/>
    <s v="IN"/>
  </r>
  <r>
    <n v="409"/>
    <s v="405-2668017-2013957"/>
    <d v="2023-11-07T00:00:00"/>
    <x v="1"/>
    <s v="Shipped"/>
    <s v="Amazon"/>
    <x v="1"/>
    <x v="1"/>
    <n v="27"/>
    <s v="PJNE3373-KR-N-6XL"/>
    <x v="1"/>
    <s v="6XL"/>
    <n v="1"/>
    <s v="INR"/>
    <n v="534"/>
    <s v="Agra"/>
    <x v="4"/>
    <s v="IN"/>
  </r>
  <r>
    <n v="410"/>
    <s v="408-3337319-8990747"/>
    <d v="2023-06-08T00:00:00"/>
    <x v="6"/>
    <s v="Shipped"/>
    <s v="Amazon"/>
    <x v="1"/>
    <x v="1"/>
    <n v="34"/>
    <s v="MEN5024-KR-M"/>
    <x v="1"/>
    <s v="M"/>
    <n v="1"/>
    <s v="INR"/>
    <n v="475"/>
    <s v="MANDVI KACHCHH DISTRICT"/>
    <x v="19"/>
    <s v="IN"/>
  </r>
  <r>
    <n v="411"/>
    <s v="407-1256885-2004349"/>
    <d v="2024-12-05T00:00:00"/>
    <x v="11"/>
    <s v="Shipped"/>
    <s v="Amazon"/>
    <x v="1"/>
    <x v="1"/>
    <n v="31"/>
    <s v="MEN5023-KR-XL"/>
    <x v="1"/>
    <s v="XL"/>
    <n v="1"/>
    <s v="INR"/>
    <n v="549"/>
    <s v="SAMBALPUR"/>
    <x v="14"/>
    <s v="IN"/>
  </r>
  <r>
    <n v="412"/>
    <s v="404-3723311-1030756"/>
    <d v="2023-11-01T00:00:00"/>
    <x v="1"/>
    <s v="Shipped"/>
    <s v="Amazon"/>
    <x v="1"/>
    <x v="1"/>
    <n v="56"/>
    <s v="JNE2270-KR-487-A-L"/>
    <x v="1"/>
    <s v="L"/>
    <n v="1"/>
    <s v="INR"/>
    <n v="518"/>
    <s v="KANNIYAKUMARI"/>
    <x v="3"/>
    <s v="IN"/>
  </r>
  <r>
    <n v="413"/>
    <s v="171-5542306-9306709"/>
    <d v="2023-05-15T00:00:00"/>
    <x v="9"/>
    <s v="Cancelled"/>
    <s v="Amazon"/>
    <x v="0"/>
    <x v="1"/>
    <n v="50"/>
    <s v="J0308-DR-XL"/>
    <x v="2"/>
    <s v="XL"/>
    <n v="0"/>
    <m/>
    <m/>
    <s v="Chinchwad ,Pune"/>
    <x v="0"/>
    <s v="IN"/>
  </r>
  <r>
    <n v="414"/>
    <s v="406-3702147-1800341"/>
    <d v="2023-01-07T00:00:00"/>
    <x v="7"/>
    <s v="Shipped - Delivered to Buyer"/>
    <s v="Merchant"/>
    <x v="0"/>
    <x v="2"/>
    <n v="54"/>
    <s v="JNE3797-KR-XS"/>
    <x v="2"/>
    <s v="XS"/>
    <n v="1"/>
    <s v="INR"/>
    <n v="725"/>
    <s v="HYDERABAD"/>
    <x v="6"/>
    <s v="IN"/>
  </r>
  <r>
    <n v="415"/>
    <s v="404-5867260-9073129"/>
    <d v="2023-05-19T00:00:00"/>
    <x v="9"/>
    <s v="Cancelled"/>
    <s v="Merchant"/>
    <x v="1"/>
    <x v="2"/>
    <n v="25"/>
    <s v="JNE3515-KR-XL"/>
    <x v="1"/>
    <s v="XL"/>
    <n v="0"/>
    <s v="INR"/>
    <n v="437.14"/>
    <s v="CHENNAI"/>
    <x v="3"/>
    <s v="IN"/>
  </r>
  <r>
    <n v="416"/>
    <s v="404-0532727-2082745"/>
    <d v="2024-09-06T00:00:00"/>
    <x v="2"/>
    <s v="Shipped"/>
    <s v="Amazon"/>
    <x v="0"/>
    <x v="1"/>
    <n v="26"/>
    <s v="J0225-SKD-XXL"/>
    <x v="0"/>
    <s v="XXL"/>
    <n v="1"/>
    <s v="INR"/>
    <n v="1499"/>
    <s v="Hyderabad"/>
    <x v="6"/>
    <s v="IN"/>
  </r>
  <r>
    <n v="417"/>
    <s v="403-8966287-7773106"/>
    <d v="2023-07-23T00:00:00"/>
    <x v="10"/>
    <s v="Shipped"/>
    <s v="Amazon"/>
    <x v="1"/>
    <x v="1"/>
    <n v="39"/>
    <s v="JNE3461-KR-L"/>
    <x v="1"/>
    <s v="L"/>
    <n v="1"/>
    <s v="INR"/>
    <n v="363"/>
    <s v="BENGALURU"/>
    <x v="1"/>
    <s v="IN"/>
  </r>
  <r>
    <n v="418"/>
    <s v="408-1512444-4965152"/>
    <d v="2023-02-11T00:00:00"/>
    <x v="4"/>
    <s v="Shipped"/>
    <s v="Amazon"/>
    <x v="1"/>
    <x v="1"/>
    <n v="31"/>
    <s v="JNE3618-KR-XS"/>
    <x v="1"/>
    <s v="XS"/>
    <n v="1"/>
    <s v="INR"/>
    <n v="399"/>
    <s v="PURNIA"/>
    <x v="21"/>
    <s v="IN"/>
  </r>
  <r>
    <n v="419"/>
    <s v="171-9451879-3651542"/>
    <d v="2023-07-16T00:00:00"/>
    <x v="10"/>
    <s v="Shipped"/>
    <s v="Amazon"/>
    <x v="1"/>
    <x v="1"/>
    <n v="37"/>
    <s v="PJNE3405-KR-N-5XL"/>
    <x v="1"/>
    <s v="5XL"/>
    <n v="1"/>
    <s v="INR"/>
    <n v="487"/>
    <s v="kolkata"/>
    <x v="17"/>
    <s v="IN"/>
  </r>
  <r>
    <n v="420"/>
    <s v="408-8501185-0578768"/>
    <d v="2024-05-22T00:00:00"/>
    <x v="9"/>
    <s v="Cancelled"/>
    <s v="Amazon"/>
    <x v="0"/>
    <x v="1"/>
    <n v="51"/>
    <s v="SET264-KR-NP-XXL"/>
    <x v="0"/>
    <s v="XXL"/>
    <n v="1"/>
    <s v="INR"/>
    <n v="824"/>
    <s v="PUDUCHERRY"/>
    <x v="2"/>
    <s v="IN"/>
  </r>
  <r>
    <n v="421"/>
    <s v="402-0251823-0845133"/>
    <d v="2024-04-25T00:00:00"/>
    <x v="8"/>
    <s v="Shipped - Delivered to Buyer"/>
    <s v="Merchant"/>
    <x v="1"/>
    <x v="2"/>
    <n v="59"/>
    <s v="JNE3500-KR-S"/>
    <x v="1"/>
    <s v="S"/>
    <n v="1"/>
    <s v="INR"/>
    <n v="353"/>
    <s v="SHILLONG"/>
    <x v="28"/>
    <s v="IN"/>
  </r>
  <r>
    <n v="422"/>
    <s v="408-5190897-8781155"/>
    <d v="2024-05-09T00:00:00"/>
    <x v="9"/>
    <s v="Shipped"/>
    <s v="Amazon"/>
    <x v="0"/>
    <x v="1"/>
    <n v="33"/>
    <s v="JNE3690-TU-XL"/>
    <x v="3"/>
    <s v="XL"/>
    <n v="1"/>
    <s v="INR"/>
    <n v="487"/>
    <s v="PUNE"/>
    <x v="0"/>
    <s v="IN"/>
  </r>
  <r>
    <n v="423"/>
    <s v="403-3109934-4911514"/>
    <d v="2024-12-12T00:00:00"/>
    <x v="11"/>
    <s v="Shipped"/>
    <s v="Amazon"/>
    <x v="0"/>
    <x v="1"/>
    <n v="51"/>
    <s v="SET374-KR-NP-XS"/>
    <x v="0"/>
    <s v="XS"/>
    <n v="1"/>
    <s v="INR"/>
    <n v="597"/>
    <s v="TADEPALLIGUDEM"/>
    <x v="7"/>
    <s v="IN"/>
  </r>
  <r>
    <n v="424"/>
    <s v="407-0718034-7893108"/>
    <d v="2024-09-23T00:00:00"/>
    <x v="2"/>
    <s v="Shipped"/>
    <s v="Amazon"/>
    <x v="0"/>
    <x v="1"/>
    <n v="39"/>
    <s v="J0003-SET-XXL"/>
    <x v="0"/>
    <s v="XXL"/>
    <n v="1"/>
    <s v="INR"/>
    <n v="654"/>
    <s v="Ghaziabad"/>
    <x v="4"/>
    <s v="IN"/>
  </r>
  <r>
    <n v="425"/>
    <s v="404-0752237-5721965"/>
    <d v="2023-07-06T00:00:00"/>
    <x v="10"/>
    <s v="Shipped"/>
    <s v="Amazon"/>
    <x v="0"/>
    <x v="1"/>
    <n v="54"/>
    <s v="SET324-KR-NP-XXL"/>
    <x v="0"/>
    <s v="XXL"/>
    <n v="1"/>
    <s v="INR"/>
    <n v="597"/>
    <s v="HYDERABAD"/>
    <x v="6"/>
    <s v="IN"/>
  </r>
  <r>
    <n v="426"/>
    <s v="403-6818986-3510737"/>
    <d v="2023-08-06T00:00:00"/>
    <x v="3"/>
    <s v="Cancelled"/>
    <s v="Amazon"/>
    <x v="1"/>
    <x v="1"/>
    <n v="22"/>
    <s v="JNE3461-KR-L"/>
    <x v="1"/>
    <s v="L"/>
    <n v="1"/>
    <s v="INR"/>
    <n v="363"/>
    <s v="BENGALURU"/>
    <x v="1"/>
    <s v="IN"/>
  </r>
  <r>
    <n v="427"/>
    <s v="403-4673019-6572340"/>
    <d v="2024-05-17T00:00:00"/>
    <x v="9"/>
    <s v="Shipped"/>
    <s v="Amazon"/>
    <x v="1"/>
    <x v="1"/>
    <n v="41"/>
    <s v="JNE3368-KR-XXL"/>
    <x v="1"/>
    <s v="XXL"/>
    <n v="1"/>
    <s v="INR"/>
    <n v="471"/>
    <s v="GWALIOR"/>
    <x v="16"/>
    <s v="IN"/>
  </r>
  <r>
    <n v="428"/>
    <s v="171-4549643-0067500"/>
    <d v="2024-09-13T00:00:00"/>
    <x v="2"/>
    <s v="Cancelled"/>
    <s v="Amazon"/>
    <x v="1"/>
    <x v="1"/>
    <n v="27"/>
    <s v="JNE2270-KR-487-A-XL"/>
    <x v="1"/>
    <s v="XL"/>
    <n v="0"/>
    <m/>
    <m/>
    <s v="AKOLA"/>
    <x v="0"/>
    <s v="IN"/>
  </r>
  <r>
    <n v="429"/>
    <s v="404-3622512-3887551"/>
    <d v="2024-04-09T00:00:00"/>
    <x v="8"/>
    <s v="Shipped"/>
    <s v="Amazon"/>
    <x v="0"/>
    <x v="1"/>
    <n v="53"/>
    <s v="J0341-DR-M"/>
    <x v="2"/>
    <s v="M"/>
    <n v="1"/>
    <s v="INR"/>
    <n v="744"/>
    <s v="JORHAT"/>
    <x v="11"/>
    <s v="IN"/>
  </r>
  <r>
    <n v="430"/>
    <s v="406-6906315-9570765"/>
    <d v="2024-08-09T00:00:00"/>
    <x v="3"/>
    <s v="Shipped"/>
    <s v="Amazon"/>
    <x v="1"/>
    <x v="1"/>
    <n v="60"/>
    <s v="JNE3568-KR-S"/>
    <x v="1"/>
    <s v="S"/>
    <n v="1"/>
    <s v="INR"/>
    <n v="399"/>
    <s v="CHENNAI"/>
    <x v="3"/>
    <s v="IN"/>
  </r>
  <r>
    <n v="431"/>
    <s v="407-3562449-1962729"/>
    <d v="2024-10-07T00:00:00"/>
    <x v="5"/>
    <s v="Shipped - Delivered to Buyer"/>
    <s v="Merchant"/>
    <x v="1"/>
    <x v="0"/>
    <n v="41"/>
    <s v="J0096-KR-S"/>
    <x v="1"/>
    <s v="S"/>
    <n v="1"/>
    <s v="INR"/>
    <n v="568"/>
    <s v="RAMANAGARA"/>
    <x v="1"/>
    <s v="IN"/>
  </r>
  <r>
    <n v="432"/>
    <s v="408-2593644-6317933"/>
    <d v="2023-04-10T00:00:00"/>
    <x v="8"/>
    <s v="Shipped"/>
    <s v="Amazon"/>
    <x v="0"/>
    <x v="1"/>
    <n v="35"/>
    <s v="SET319-KR-NP-S"/>
    <x v="0"/>
    <s v="S"/>
    <n v="1"/>
    <s v="INR"/>
    <n v="835"/>
    <s v="Vijayapur"/>
    <x v="1"/>
    <s v="IN"/>
  </r>
  <r>
    <n v="433"/>
    <s v="407-7607527-1189964"/>
    <d v="2023-11-25T00:00:00"/>
    <x v="1"/>
    <s v="Shipped - Rejected by Buyer"/>
    <s v="Merchant"/>
    <x v="1"/>
    <x v="2"/>
    <n v="42"/>
    <s v="J0096-KR-S"/>
    <x v="1"/>
    <s v="S"/>
    <n v="1"/>
    <s v="INR"/>
    <n v="568"/>
    <s v="RAMANAGARA"/>
    <x v="1"/>
    <s v="IN"/>
  </r>
  <r>
    <n v="434"/>
    <s v="405-7398388-2654744"/>
    <d v="2023-03-22T00:00:00"/>
    <x v="0"/>
    <s v="Shipped"/>
    <s v="Amazon"/>
    <x v="0"/>
    <x v="1"/>
    <n v="33"/>
    <s v="J0415-DR-L"/>
    <x v="2"/>
    <s v="L"/>
    <n v="1"/>
    <s v="INR"/>
    <n v="899"/>
    <s v="BOKARO STEEL CITY"/>
    <x v="12"/>
    <s v="IN"/>
  </r>
  <r>
    <n v="435"/>
    <s v="405-5066690-4132337"/>
    <d v="2024-10-20T00:00:00"/>
    <x v="5"/>
    <s v="Shipped"/>
    <s v="Amazon"/>
    <x v="1"/>
    <x v="1"/>
    <n v="57"/>
    <s v="JNE3718-KR-XXL"/>
    <x v="1"/>
    <s v="XXL"/>
    <n v="1"/>
    <s v="INR"/>
    <n v="406"/>
    <s v="BENGALURU"/>
    <x v="1"/>
    <s v="IN"/>
  </r>
  <r>
    <n v="436"/>
    <s v="408-6466311-6949931"/>
    <d v="2023-02-09T00:00:00"/>
    <x v="4"/>
    <s v="Shipped"/>
    <s v="Amazon"/>
    <x v="0"/>
    <x v="1"/>
    <n v="25"/>
    <s v="SET014-KR-PP-XXL"/>
    <x v="0"/>
    <s v="XXL"/>
    <n v="1"/>
    <s v="INR"/>
    <n v="0"/>
    <s v="LUCKNOW"/>
    <x v="4"/>
    <s v="IN"/>
  </r>
  <r>
    <n v="437"/>
    <s v="171-4643830-2345965"/>
    <d v="2023-07-27T00:00:00"/>
    <x v="10"/>
    <s v="Cancelled"/>
    <s v="Merchant"/>
    <x v="0"/>
    <x v="2"/>
    <n v="44"/>
    <s v="SET408-KR-NP-XXL"/>
    <x v="0"/>
    <s v="XXL"/>
    <n v="0"/>
    <s v="INR"/>
    <n v="570.48"/>
    <s v="MUMBAI"/>
    <x v="0"/>
    <s v="IN"/>
  </r>
  <r>
    <n v="438"/>
    <s v="404-1051549-5381167"/>
    <d v="2024-06-30T00:00:00"/>
    <x v="6"/>
    <s v="Shipped - Delivered to Buyer"/>
    <s v="Merchant"/>
    <x v="1"/>
    <x v="2"/>
    <n v="40"/>
    <s v="JNE3405-KR-M"/>
    <x v="1"/>
    <s v="M"/>
    <n v="1"/>
    <s v="INR"/>
    <n v="399"/>
    <s v="KHAMMAM"/>
    <x v="6"/>
    <s v="IN"/>
  </r>
  <r>
    <n v="439"/>
    <s v="406-7625210-8793109"/>
    <d v="2024-11-27T00:00:00"/>
    <x v="1"/>
    <s v="Shipped"/>
    <s v="Amazon"/>
    <x v="0"/>
    <x v="1"/>
    <n v="53"/>
    <s v="J0254-SKD-XS"/>
    <x v="0"/>
    <s v="XS"/>
    <n v="1"/>
    <s v="INR"/>
    <n v="789"/>
    <s v="CHENNAI"/>
    <x v="3"/>
    <s v="IN"/>
  </r>
  <r>
    <n v="440"/>
    <s v="406-8665288-2025908"/>
    <d v="2024-01-20T00:00:00"/>
    <x v="7"/>
    <s v="Shipped"/>
    <s v="Amazon"/>
    <x v="0"/>
    <x v="1"/>
    <n v="38"/>
    <s v="SAR114"/>
    <x v="6"/>
    <s v="Free"/>
    <n v="1"/>
    <s v="INR"/>
    <n v="620"/>
    <s v="NEW DELHI"/>
    <x v="9"/>
    <s v="IN"/>
  </r>
  <r>
    <n v="441"/>
    <s v="408-6732772-4525113"/>
    <d v="2024-01-25T00:00:00"/>
    <x v="7"/>
    <s v="Shipped - Delivered to Buyer"/>
    <s v="Merchant"/>
    <x v="0"/>
    <x v="2"/>
    <n v="24"/>
    <s v="J0010-LCD-XS"/>
    <x v="0"/>
    <s v="XS"/>
    <n v="1"/>
    <s v="INR"/>
    <n v="0"/>
    <s v="AURANGABAD"/>
    <x v="0"/>
    <s v="IN"/>
  </r>
  <r>
    <n v="442"/>
    <s v="171-7068385-2777168"/>
    <d v="2024-11-17T00:00:00"/>
    <x v="1"/>
    <s v="Shipped - Delivered to Buyer"/>
    <s v="Merchant"/>
    <x v="0"/>
    <x v="0"/>
    <n v="38"/>
    <s v="SET186-KR-DH-K-M"/>
    <x v="0"/>
    <s v="M"/>
    <n v="1"/>
    <s v="INR"/>
    <n v="631"/>
    <s v="Pune"/>
    <x v="0"/>
    <s v="IN"/>
  </r>
  <r>
    <n v="443"/>
    <s v="405-9930530-1209919"/>
    <d v="2023-06-13T00:00:00"/>
    <x v="6"/>
    <s v="Shipped"/>
    <s v="Amazon"/>
    <x v="1"/>
    <x v="1"/>
    <n v="53"/>
    <s v="JNE3819-KR-L"/>
    <x v="1"/>
    <s v="L"/>
    <n v="1"/>
    <s v="INR"/>
    <n v="499"/>
    <s v="GADARWARA"/>
    <x v="16"/>
    <s v="IN"/>
  </r>
  <r>
    <n v="444"/>
    <s v="407-0288006-5535531"/>
    <d v="2023-08-22T00:00:00"/>
    <x v="3"/>
    <s v="Shipped"/>
    <s v="Amazon"/>
    <x v="0"/>
    <x v="1"/>
    <n v="32"/>
    <s v="J0335-DR-L"/>
    <x v="2"/>
    <s v="L"/>
    <n v="1"/>
    <s v="INR"/>
    <n v="807"/>
    <s v="HYDERABAD"/>
    <x v="6"/>
    <s v="IN"/>
  </r>
  <r>
    <n v="445"/>
    <s v="403-6363820-3080315"/>
    <d v="2024-09-04T00:00:00"/>
    <x v="2"/>
    <s v="Shipped"/>
    <s v="Amazon"/>
    <x v="0"/>
    <x v="1"/>
    <n v="25"/>
    <s v="SET334-KR-NP-XXL"/>
    <x v="0"/>
    <s v="XXL"/>
    <n v="1"/>
    <s v="INR"/>
    <n v="666"/>
    <s v="PUDUCHERRY"/>
    <x v="2"/>
    <s v="IN"/>
  </r>
  <r>
    <n v="446"/>
    <s v="408-7937211-8974712"/>
    <d v="2024-04-15T00:00:00"/>
    <x v="8"/>
    <s v="Shipped"/>
    <s v="Amazon"/>
    <x v="0"/>
    <x v="1"/>
    <n v="47"/>
    <s v="SET324-KR-NP-L"/>
    <x v="0"/>
    <s v="L"/>
    <n v="1"/>
    <s v="INR"/>
    <n v="0"/>
    <s v="SHIRDI"/>
    <x v="0"/>
    <s v="IN"/>
  </r>
  <r>
    <n v="447"/>
    <s v="407-4283259-6933941"/>
    <d v="2024-08-31T00:00:00"/>
    <x v="3"/>
    <s v="Shipped"/>
    <s v="Amazon"/>
    <x v="1"/>
    <x v="1"/>
    <n v="30"/>
    <s v="JNE3470-KR-XS"/>
    <x v="1"/>
    <s v="XS"/>
    <n v="1"/>
    <s v="INR"/>
    <n v="329"/>
    <s v="VELLORE"/>
    <x v="3"/>
    <s v="IN"/>
  </r>
  <r>
    <n v="448"/>
    <s v="407-3630361-4581152"/>
    <d v="2023-07-15T00:00:00"/>
    <x v="10"/>
    <s v="Cancelled"/>
    <s v="Amazon"/>
    <x v="1"/>
    <x v="1"/>
    <n v="60"/>
    <s v="JNE3619-KR-XS"/>
    <x v="1"/>
    <s v="XS"/>
    <n v="0"/>
    <m/>
    <m/>
    <s v="VELLORE"/>
    <x v="3"/>
    <s v="IN"/>
  </r>
  <r>
    <n v="449"/>
    <s v="408-6348199-2089932"/>
    <d v="2023-12-25T00:00:00"/>
    <x v="11"/>
    <s v="Shipped"/>
    <s v="Amazon"/>
    <x v="0"/>
    <x v="1"/>
    <n v="44"/>
    <s v="J0283-SET-XL"/>
    <x v="0"/>
    <s v="XL"/>
    <n v="1"/>
    <s v="INR"/>
    <n v="0"/>
    <s v="RANCHI"/>
    <x v="12"/>
    <s v="IN"/>
  </r>
  <r>
    <n v="450"/>
    <s v="408-5824761-8505932"/>
    <d v="2024-04-04T00:00:00"/>
    <x v="8"/>
    <s v="Shipped - Delivered to Buyer"/>
    <s v="Merchant"/>
    <x v="1"/>
    <x v="0"/>
    <n v="47"/>
    <s v="JNE3440-KR-N-XL"/>
    <x v="1"/>
    <s v="XL"/>
    <n v="1"/>
    <s v="INR"/>
    <n v="399"/>
    <s v="noida"/>
    <x v="4"/>
    <s v="IN"/>
  </r>
  <r>
    <n v="451"/>
    <s v="406-0673842-3693910"/>
    <d v="2024-03-09T00:00:00"/>
    <x v="0"/>
    <s v="Shipped"/>
    <s v="Amazon"/>
    <x v="1"/>
    <x v="1"/>
    <n v="34"/>
    <s v="JNE3567-KR-M"/>
    <x v="1"/>
    <s v="M"/>
    <n v="1"/>
    <s v="INR"/>
    <n v="399"/>
    <s v="Mangaluru"/>
    <x v="1"/>
    <s v="IN"/>
  </r>
  <r>
    <n v="452"/>
    <s v="405-0722232-7258752"/>
    <d v="2024-02-10T00:00:00"/>
    <x v="4"/>
    <s v="Shipped"/>
    <s v="Amazon"/>
    <x v="1"/>
    <x v="1"/>
    <n v="23"/>
    <s v="JNE3787-KR-XXL"/>
    <x v="1"/>
    <s v="XXL"/>
    <n v="1"/>
    <s v="INR"/>
    <n v="487"/>
    <s v="SINGRAULI"/>
    <x v="16"/>
    <s v="IN"/>
  </r>
  <r>
    <n v="453"/>
    <s v="408-0224364-7467540"/>
    <d v="2023-07-12T00:00:00"/>
    <x v="10"/>
    <s v="Shipped"/>
    <s v="Amazon"/>
    <x v="0"/>
    <x v="1"/>
    <n v="21"/>
    <s v="SET282-KR-PP-XXL"/>
    <x v="0"/>
    <s v="XXL"/>
    <n v="1"/>
    <s v="INR"/>
    <n v="1033"/>
    <s v="NEW DELHI"/>
    <x v="9"/>
    <s v="IN"/>
  </r>
  <r>
    <n v="454"/>
    <s v="408-2445040-0957913"/>
    <d v="2024-03-10T00:00:00"/>
    <x v="0"/>
    <s v="Shipped"/>
    <s v="Amazon"/>
    <x v="0"/>
    <x v="1"/>
    <n v="29"/>
    <s v="JNE3691-TU-L"/>
    <x v="3"/>
    <s v="L"/>
    <n v="1"/>
    <s v="INR"/>
    <n v="625"/>
    <s v="BENGALURU"/>
    <x v="1"/>
    <s v="IN"/>
  </r>
  <r>
    <n v="455"/>
    <s v="406-8412164-3153129"/>
    <d v="2024-02-14T00:00:00"/>
    <x v="4"/>
    <s v="Shipped"/>
    <s v="Amazon"/>
    <x v="0"/>
    <x v="1"/>
    <n v="30"/>
    <s v="JNE3645-TP-N-L"/>
    <x v="3"/>
    <s v="L"/>
    <n v="1"/>
    <s v="INR"/>
    <n v="432"/>
    <s v="MUMBAI"/>
    <x v="0"/>
    <s v="IN"/>
  </r>
  <r>
    <n v="456"/>
    <s v="407-5524319-6977912"/>
    <d v="2024-04-16T00:00:00"/>
    <x v="8"/>
    <s v="Cancelled"/>
    <s v="Amazon"/>
    <x v="1"/>
    <x v="1"/>
    <n v="39"/>
    <s v="JNE3727-KR-XXL"/>
    <x v="1"/>
    <s v="XXL"/>
    <n v="0"/>
    <m/>
    <m/>
    <s v="THRIPPUNITHURA"/>
    <x v="15"/>
    <s v="IN"/>
  </r>
  <r>
    <n v="457"/>
    <s v="407-7757868-6086759"/>
    <d v="2024-06-28T00:00:00"/>
    <x v="6"/>
    <s v="Shipped"/>
    <s v="Amazon"/>
    <x v="0"/>
    <x v="1"/>
    <n v="34"/>
    <s v="SET398-KR-PP-M"/>
    <x v="0"/>
    <s v="M"/>
    <n v="1"/>
    <s v="INR"/>
    <n v="1115"/>
    <s v="NEW DELHI"/>
    <x v="9"/>
    <s v="IN"/>
  </r>
  <r>
    <n v="458"/>
    <s v="171-5065107-7793119"/>
    <d v="2023-08-24T00:00:00"/>
    <x v="3"/>
    <s v="Shipped"/>
    <s v="Amazon"/>
    <x v="1"/>
    <x v="1"/>
    <n v="45"/>
    <s v="JNE3634-KR-XL"/>
    <x v="1"/>
    <s v="XL"/>
    <n v="1"/>
    <s v="INR"/>
    <n v="511"/>
    <s v="GHAZIABAD"/>
    <x v="4"/>
    <s v="IN"/>
  </r>
  <r>
    <n v="459"/>
    <s v="403-0216195-8439543"/>
    <d v="2023-06-03T00:00:00"/>
    <x v="6"/>
    <s v="Shipped"/>
    <s v="Amazon"/>
    <x v="0"/>
    <x v="1"/>
    <n v="58"/>
    <s v="SET291-KR-PP-XL"/>
    <x v="0"/>
    <s v="XL"/>
    <n v="1"/>
    <s v="INR"/>
    <n v="599"/>
    <s v="KENDUJHAR"/>
    <x v="14"/>
    <s v="IN"/>
  </r>
  <r>
    <n v="460"/>
    <s v="402-9874837-4557125"/>
    <d v="2024-02-05T00:00:00"/>
    <x v="4"/>
    <s v="Shipped"/>
    <s v="Amazon"/>
    <x v="0"/>
    <x v="1"/>
    <n v="54"/>
    <s v="JNE3675-TU-L"/>
    <x v="3"/>
    <s v="L"/>
    <n v="1"/>
    <s v="INR"/>
    <n v="545"/>
    <s v="MUMBAI"/>
    <x v="0"/>
    <s v="IN"/>
  </r>
  <r>
    <n v="461"/>
    <s v="408-8892348-9765950"/>
    <d v="2023-10-29T00:00:00"/>
    <x v="5"/>
    <s v="Shipped"/>
    <s v="Amazon"/>
    <x v="1"/>
    <x v="1"/>
    <n v="56"/>
    <s v="JNE2199-KR-411-A-XXL"/>
    <x v="1"/>
    <s v="XXL"/>
    <n v="1"/>
    <s v="INR"/>
    <n v="353"/>
    <s v="THANE"/>
    <x v="0"/>
    <s v="IN"/>
  </r>
  <r>
    <n v="462"/>
    <s v="408-6417023-0253911"/>
    <d v="2024-05-05T00:00:00"/>
    <x v="9"/>
    <s v="Shipped"/>
    <s v="Amazon"/>
    <x v="0"/>
    <x v="1"/>
    <n v="42"/>
    <s v="SET184-KR-PP-XXL"/>
    <x v="0"/>
    <s v="XXL"/>
    <n v="1"/>
    <s v="INR"/>
    <n v="563"/>
    <s v="THANE"/>
    <x v="0"/>
    <s v="IN"/>
  </r>
  <r>
    <n v="463"/>
    <s v="407-4004149-2857161"/>
    <d v="2024-03-25T00:00:00"/>
    <x v="0"/>
    <s v="Shipped"/>
    <s v="Amazon"/>
    <x v="0"/>
    <x v="1"/>
    <n v="48"/>
    <s v="JNE3639-TP-N-XXL"/>
    <x v="3"/>
    <s v="XXL"/>
    <n v="1"/>
    <s v="INR"/>
    <n v="487"/>
    <s v="KALYAN"/>
    <x v="0"/>
    <s v="IN"/>
  </r>
  <r>
    <n v="464"/>
    <s v="404-6408992-6781106"/>
    <d v="2024-07-04T00:00:00"/>
    <x v="10"/>
    <s v="Shipped"/>
    <s v="Amazon"/>
    <x v="1"/>
    <x v="1"/>
    <n v="50"/>
    <s v="JNE3468-KR-L"/>
    <x v="1"/>
    <s v="L"/>
    <n v="1"/>
    <s v="INR"/>
    <n v="352"/>
    <s v="CHENNAI"/>
    <x v="3"/>
    <s v="IN"/>
  </r>
  <r>
    <n v="465"/>
    <s v="407-9345273-2408359"/>
    <d v="2023-09-30T00:00:00"/>
    <x v="2"/>
    <s v="Shipped"/>
    <s v="Amazon"/>
    <x v="1"/>
    <x v="1"/>
    <n v="24"/>
    <s v="JNE3373-KR-L"/>
    <x v="1"/>
    <s v="L"/>
    <n v="1"/>
    <s v="INR"/>
    <n v="376"/>
    <s v="CHENNAI"/>
    <x v="3"/>
    <s v="IN"/>
  </r>
  <r>
    <n v="466"/>
    <s v="408-0266080-9401113"/>
    <d v="2024-05-04T00:00:00"/>
    <x v="9"/>
    <s v="Shipped - Returned to Seller"/>
    <s v="Merchant"/>
    <x v="0"/>
    <x v="2"/>
    <n v="58"/>
    <s v="J0213-TP-L"/>
    <x v="3"/>
    <s v="L"/>
    <n v="1"/>
    <s v="INR"/>
    <n v="599"/>
    <s v="GURUGRAM"/>
    <x v="10"/>
    <s v="IN"/>
  </r>
  <r>
    <n v="467"/>
    <s v="404-6096382-3389133"/>
    <d v="2023-06-07T00:00:00"/>
    <x v="6"/>
    <s v="Shipped - Delivered to Buyer"/>
    <s v="Merchant"/>
    <x v="0"/>
    <x v="0"/>
    <n v="38"/>
    <s v="BL110-XL"/>
    <x v="7"/>
    <s v="XL"/>
    <n v="1"/>
    <s v="INR"/>
    <n v="329"/>
    <s v="LUDHIANA"/>
    <x v="23"/>
    <s v="IN"/>
  </r>
  <r>
    <n v="468"/>
    <s v="405-9737320-3923530"/>
    <d v="2023-07-15T00:00:00"/>
    <x v="10"/>
    <s v="Shipped"/>
    <s v="Amazon"/>
    <x v="0"/>
    <x v="1"/>
    <n v="43"/>
    <s v="J0008-SKD-XL"/>
    <x v="0"/>
    <s v="XL"/>
    <n v="1"/>
    <s v="INR"/>
    <n v="1133"/>
    <s v="Nerul"/>
    <x v="27"/>
    <s v="IN"/>
  </r>
  <r>
    <n v="469"/>
    <s v="402-7908398-5262750"/>
    <d v="2024-02-13T00:00:00"/>
    <x v="4"/>
    <s v="Shipped"/>
    <s v="Amazon"/>
    <x v="0"/>
    <x v="1"/>
    <n v="60"/>
    <s v="SET288-KR-NP-XXL"/>
    <x v="0"/>
    <s v="XXL"/>
    <n v="1"/>
    <s v="INR"/>
    <n v="684"/>
    <s v="IMPHAL"/>
    <x v="26"/>
    <s v="IN"/>
  </r>
  <r>
    <n v="470"/>
    <s v="407-6861831-9368312"/>
    <d v="2024-01-04T00:00:00"/>
    <x v="7"/>
    <s v="Cancelled"/>
    <s v="Amazon"/>
    <x v="0"/>
    <x v="1"/>
    <n v="48"/>
    <s v="SET374-KR-NP-XS"/>
    <x v="0"/>
    <s v="XS"/>
    <n v="0"/>
    <m/>
    <m/>
    <s v="PALASBARI"/>
    <x v="11"/>
    <s v="IN"/>
  </r>
  <r>
    <n v="471"/>
    <s v="406-4290163-4557960"/>
    <d v="2024-02-09T00:00:00"/>
    <x v="4"/>
    <s v="Cancelled"/>
    <s v="Amazon"/>
    <x v="1"/>
    <x v="1"/>
    <n v="22"/>
    <s v="JNE3399-KR-L"/>
    <x v="1"/>
    <s v="L"/>
    <n v="1"/>
    <s v="INR"/>
    <n v="435"/>
    <s v="HYDERABAD"/>
    <x v="6"/>
    <s v="IN"/>
  </r>
  <r>
    <n v="472"/>
    <s v="405-9000587-4386763"/>
    <d v="2023-05-18T00:00:00"/>
    <x v="9"/>
    <s v="Shipped"/>
    <s v="Amazon"/>
    <x v="1"/>
    <x v="1"/>
    <n v="37"/>
    <s v="JNE3405-KR-XL"/>
    <x v="1"/>
    <s v="XL"/>
    <n v="1"/>
    <s v="INR"/>
    <n v="399"/>
    <s v="PUNE"/>
    <x v="0"/>
    <s v="IN"/>
  </r>
  <r>
    <n v="473"/>
    <s v="405-9000587-4386763"/>
    <d v="2023-11-02T00:00:00"/>
    <x v="1"/>
    <s v="Shipped"/>
    <s v="Amazon"/>
    <x v="1"/>
    <x v="1"/>
    <n v="50"/>
    <s v="JNE3567-KR-XL"/>
    <x v="1"/>
    <s v="XL"/>
    <n v="1"/>
    <s v="INR"/>
    <n v="399"/>
    <s v="PUNE"/>
    <x v="0"/>
    <s v="IN"/>
  </r>
  <r>
    <n v="474"/>
    <s v="404-7760595-7490722"/>
    <d v="2023-11-17T00:00:00"/>
    <x v="1"/>
    <s v="Cancelled"/>
    <s v="Amazon"/>
    <x v="1"/>
    <x v="1"/>
    <n v="58"/>
    <s v="JNE3405-KR-XL"/>
    <x v="1"/>
    <s v="XL"/>
    <n v="1"/>
    <s v="INR"/>
    <n v="399"/>
    <s v="Chikkaballapur"/>
    <x v="1"/>
    <s v="IN"/>
  </r>
  <r>
    <n v="475"/>
    <s v="403-8206114-6438765"/>
    <d v="2023-07-31T00:00:00"/>
    <x v="10"/>
    <s v="Shipped"/>
    <s v="Amazon"/>
    <x v="0"/>
    <x v="1"/>
    <n v="23"/>
    <s v="SET110-KR-PP-L"/>
    <x v="0"/>
    <s v="L"/>
    <n v="1"/>
    <s v="INR"/>
    <n v="788"/>
    <s v="Andul near maya stores"/>
    <x v="17"/>
    <s v="IN"/>
  </r>
  <r>
    <n v="476"/>
    <s v="404-6734371-2217151"/>
    <d v="2023-07-28T00:00:00"/>
    <x v="10"/>
    <s v="Shipped - Delivered to Buyer"/>
    <s v="Merchant"/>
    <x v="1"/>
    <x v="2"/>
    <n v="49"/>
    <s v="MEN5031-KR-XXXL"/>
    <x v="1"/>
    <s v="3XL"/>
    <n v="1"/>
    <s v="INR"/>
    <n v="549"/>
    <s v="BENGALURU"/>
    <x v="1"/>
    <s v="IN"/>
  </r>
  <r>
    <n v="477"/>
    <s v="403-9844758-9663515"/>
    <d v="2024-04-23T00:00:00"/>
    <x v="8"/>
    <s v="Shipped"/>
    <s v="Amazon"/>
    <x v="0"/>
    <x v="1"/>
    <n v="42"/>
    <s v="J0003-SET-XS"/>
    <x v="0"/>
    <s v="XS"/>
    <n v="1"/>
    <s v="INR"/>
    <n v="654"/>
    <s v="MUMBAI"/>
    <x v="0"/>
    <s v="IN"/>
  </r>
  <r>
    <n v="478"/>
    <s v="402-1037282-5400318"/>
    <d v="2024-02-14T00:00:00"/>
    <x v="4"/>
    <s v="Shipped"/>
    <s v="Amazon"/>
    <x v="1"/>
    <x v="1"/>
    <n v="49"/>
    <s v="JNE3421-KR-N-M"/>
    <x v="1"/>
    <s v="M"/>
    <n v="1"/>
    <s v="INR"/>
    <n v="399"/>
    <s v="Mumbai"/>
    <x v="0"/>
    <s v="IN"/>
  </r>
  <r>
    <n v="479"/>
    <s v="408-6497115-2636366"/>
    <d v="2024-06-01T00:00:00"/>
    <x v="6"/>
    <s v="Shipped - Delivered to Buyer"/>
    <s v="Merchant"/>
    <x v="0"/>
    <x v="2"/>
    <n v="56"/>
    <s v="SET351-KR-NP-L"/>
    <x v="0"/>
    <s v="L"/>
    <n v="1"/>
    <s v="INR"/>
    <n v="599"/>
    <s v="HYDERABAD"/>
    <x v="6"/>
    <s v="IN"/>
  </r>
  <r>
    <n v="480"/>
    <s v="408-2311178-4563550"/>
    <d v="2023-12-02T00:00:00"/>
    <x v="11"/>
    <s v="Shipped"/>
    <s v="Amazon"/>
    <x v="0"/>
    <x v="1"/>
    <n v="25"/>
    <s v="SET337-KR-NP-L"/>
    <x v="0"/>
    <s v="L"/>
    <n v="1"/>
    <s v="INR"/>
    <n v="874"/>
    <s v="HYDERABAD"/>
    <x v="6"/>
    <s v="IN"/>
  </r>
  <r>
    <n v="481"/>
    <s v="171-7904830-1900363"/>
    <d v="2024-02-29T00:00:00"/>
    <x v="4"/>
    <s v="Shipped - Delivered to Buyer"/>
    <s v="Merchant"/>
    <x v="1"/>
    <x v="0"/>
    <n v="54"/>
    <s v="MEN5021-KR-XXL"/>
    <x v="1"/>
    <s v="XXL"/>
    <n v="1"/>
    <s v="INR"/>
    <n v="533"/>
    <s v="HYDERABAD"/>
    <x v="6"/>
    <s v="IN"/>
  </r>
  <r>
    <n v="482"/>
    <s v="406-9476969-2801163"/>
    <d v="2024-04-21T00:00:00"/>
    <x v="8"/>
    <s v="Shipped"/>
    <s v="Amazon"/>
    <x v="1"/>
    <x v="1"/>
    <n v="43"/>
    <s v="JNE3567-KR-XXL"/>
    <x v="1"/>
    <s v="XXL"/>
    <n v="1"/>
    <s v="INR"/>
    <n v="399"/>
    <s v="BENGALURU"/>
    <x v="1"/>
    <s v="IN"/>
  </r>
  <r>
    <n v="483"/>
    <s v="403-2867551-8904322"/>
    <d v="2024-02-25T00:00:00"/>
    <x v="4"/>
    <s v="Shipped"/>
    <s v="Amazon"/>
    <x v="0"/>
    <x v="1"/>
    <n v="36"/>
    <s v="J0338-DR-L"/>
    <x v="2"/>
    <s v="L"/>
    <n v="1"/>
    <s v="INR"/>
    <n v="744"/>
    <s v="BENGALURU"/>
    <x v="1"/>
    <s v="IN"/>
  </r>
  <r>
    <n v="484"/>
    <s v="407-0133690-8157926"/>
    <d v="2023-11-15T00:00:00"/>
    <x v="1"/>
    <s v="Shipped"/>
    <s v="Amazon"/>
    <x v="1"/>
    <x v="1"/>
    <n v="26"/>
    <s v="MEN5009-KR-M"/>
    <x v="1"/>
    <s v="M"/>
    <n v="1"/>
    <s v="INR"/>
    <n v="499"/>
    <s v="SURAT"/>
    <x v="19"/>
    <s v="IN"/>
  </r>
  <r>
    <n v="485"/>
    <s v="402-2892726-4411563"/>
    <d v="2023-03-27T00:00:00"/>
    <x v="0"/>
    <s v="Cancelled"/>
    <s v="Amazon"/>
    <x v="1"/>
    <x v="1"/>
    <n v="48"/>
    <s v="JNE3421-KR-N-M"/>
    <x v="1"/>
    <s v="M"/>
    <n v="1"/>
    <s v="INR"/>
    <n v="399"/>
    <s v="Mumbai"/>
    <x v="0"/>
    <s v="IN"/>
  </r>
  <r>
    <n v="486"/>
    <s v="402-9688522-2179563"/>
    <d v="2023-02-05T00:00:00"/>
    <x v="4"/>
    <s v="Shipped"/>
    <s v="Amazon"/>
    <x v="1"/>
    <x v="1"/>
    <n v="34"/>
    <s v="JNE3364-KR-1051-A-L"/>
    <x v="1"/>
    <s v="L"/>
    <n v="1"/>
    <s v="INR"/>
    <n v="376"/>
    <s v="CHITTOOR"/>
    <x v="7"/>
    <s v="IN"/>
  </r>
  <r>
    <n v="487"/>
    <s v="404-7977517-7125147"/>
    <d v="2024-07-06T00:00:00"/>
    <x v="10"/>
    <s v="Shipped"/>
    <s v="Amazon"/>
    <x v="1"/>
    <x v="1"/>
    <n v="44"/>
    <s v="JNE3465-KR-XXL"/>
    <x v="1"/>
    <s v="XXL"/>
    <n v="1"/>
    <s v="INR"/>
    <n v="486"/>
    <s v="KADUR"/>
    <x v="1"/>
    <s v="IN"/>
  </r>
  <r>
    <n v="488"/>
    <s v="403-4009455-2766717"/>
    <d v="2023-12-16T00:00:00"/>
    <x v="11"/>
    <s v="Shipped"/>
    <s v="Amazon"/>
    <x v="1"/>
    <x v="1"/>
    <n v="55"/>
    <s v="JNE3568-KR-XXL"/>
    <x v="1"/>
    <s v="XXL"/>
    <n v="1"/>
    <s v="INR"/>
    <n v="399"/>
    <s v="SURATGARH"/>
    <x v="8"/>
    <s v="IN"/>
  </r>
  <r>
    <n v="489"/>
    <s v="408-8960391-6097167"/>
    <d v="2024-12-14T00:00:00"/>
    <x v="11"/>
    <s v="Cancelled"/>
    <s v="Amazon"/>
    <x v="1"/>
    <x v="1"/>
    <n v="48"/>
    <s v="JNE3781-KR-XXXL"/>
    <x v="1"/>
    <s v="3XL"/>
    <n v="0"/>
    <m/>
    <m/>
    <s v="MIRA ROAD"/>
    <x v="0"/>
    <s v="IN"/>
  </r>
  <r>
    <n v="490"/>
    <s v="406-9811989-3946709"/>
    <d v="2024-09-13T00:00:00"/>
    <x v="2"/>
    <s v="Shipped"/>
    <s v="Amazon"/>
    <x v="1"/>
    <x v="1"/>
    <n v="50"/>
    <s v="JNE2153-KR-278-A-XL"/>
    <x v="1"/>
    <s v="XL"/>
    <n v="1"/>
    <s v="INR"/>
    <n v="424"/>
    <s v="MUMBAI"/>
    <x v="0"/>
    <s v="IN"/>
  </r>
  <r>
    <n v="491"/>
    <s v="406-0361691-7797129"/>
    <d v="2023-10-08T00:00:00"/>
    <x v="5"/>
    <s v="Shipped - Delivered to Buyer"/>
    <s v="Merchant"/>
    <x v="1"/>
    <x v="0"/>
    <n v="51"/>
    <s v="JNE3487-KR-XXL"/>
    <x v="1"/>
    <s v="XXL"/>
    <n v="1"/>
    <s v="INR"/>
    <n v="362"/>
    <s v="MUMBAI"/>
    <x v="0"/>
    <s v="IN"/>
  </r>
  <r>
    <n v="492"/>
    <s v="408-9628391-5712365"/>
    <d v="2024-09-13T00:00:00"/>
    <x v="2"/>
    <s v="Shipped"/>
    <s v="Amazon"/>
    <x v="0"/>
    <x v="1"/>
    <n v="26"/>
    <s v="JNE3865-TP-XXXL"/>
    <x v="3"/>
    <s v="3XL"/>
    <n v="1"/>
    <s v="INR"/>
    <n v="599"/>
    <s v="DINANAGAR"/>
    <x v="23"/>
    <s v="IN"/>
  </r>
  <r>
    <n v="493"/>
    <s v="408-1587720-2667552"/>
    <d v="2023-01-11T00:00:00"/>
    <x v="7"/>
    <s v="Shipped"/>
    <s v="Amazon"/>
    <x v="0"/>
    <x v="1"/>
    <n v="36"/>
    <s v="SET324-KR-NP-L"/>
    <x v="0"/>
    <s v="L"/>
    <n v="1"/>
    <s v="INR"/>
    <n v="597"/>
    <s v="KOLKATA"/>
    <x v="17"/>
    <s v="IN"/>
  </r>
  <r>
    <n v="494"/>
    <s v="171-5980259-5726757"/>
    <d v="2023-03-02T00:00:00"/>
    <x v="0"/>
    <s v="Shipped"/>
    <s v="Amazon"/>
    <x v="0"/>
    <x v="1"/>
    <n v="23"/>
    <s v="J0118-TP-XXL"/>
    <x v="3"/>
    <s v="XXL"/>
    <n v="1"/>
    <s v="INR"/>
    <n v="487"/>
    <s v="SECUNDERABAD"/>
    <x v="6"/>
    <s v="IN"/>
  </r>
  <r>
    <n v="495"/>
    <s v="405-2266530-9531500"/>
    <d v="2024-02-28T00:00:00"/>
    <x v="4"/>
    <s v="Shipped - Delivered to Buyer"/>
    <s v="Merchant"/>
    <x v="0"/>
    <x v="0"/>
    <n v="24"/>
    <s v="SET291-KR-PP-XXXL"/>
    <x v="0"/>
    <s v="3XL"/>
    <n v="1"/>
    <s v="INR"/>
    <n v="563"/>
    <s v="KALYAN"/>
    <x v="0"/>
    <s v="IN"/>
  </r>
  <r>
    <n v="496"/>
    <s v="408-3468189-1632369"/>
    <d v="2024-04-16T00:00:00"/>
    <x v="8"/>
    <s v="Shipped"/>
    <s v="Amazon"/>
    <x v="1"/>
    <x v="1"/>
    <n v="18"/>
    <s v="JNE3704-KR-L"/>
    <x v="1"/>
    <s v="L"/>
    <n v="1"/>
    <s v="INR"/>
    <n v="487"/>
    <s v="ARAKANDANALLUR"/>
    <x v="3"/>
    <s v="IN"/>
  </r>
  <r>
    <n v="497"/>
    <s v="402-8199412-5613164"/>
    <d v="2023-11-02T00:00:00"/>
    <x v="1"/>
    <s v="Shipped"/>
    <s v="Amazon"/>
    <x v="0"/>
    <x v="1"/>
    <n v="20"/>
    <s v="J0378-SKD-XXL"/>
    <x v="0"/>
    <s v="XXL"/>
    <n v="1"/>
    <s v="INR"/>
    <n v="1099"/>
    <s v="BHOPAL"/>
    <x v="16"/>
    <s v="IN"/>
  </r>
  <r>
    <n v="498"/>
    <s v="406-8049367-7383569"/>
    <d v="2023-06-13T00:00:00"/>
    <x v="6"/>
    <s v="Shipped"/>
    <s v="Amazon"/>
    <x v="0"/>
    <x v="1"/>
    <n v="28"/>
    <s v="J0003-SET-M"/>
    <x v="0"/>
    <s v="M"/>
    <n v="1"/>
    <s v="INR"/>
    <n v="654"/>
    <s v="GURGAON"/>
    <x v="10"/>
    <s v="IN"/>
  </r>
  <r>
    <n v="499"/>
    <s v="404-4084311-5014713"/>
    <d v="2024-12-12T00:00:00"/>
    <x v="11"/>
    <s v="Shipped"/>
    <s v="Amazon"/>
    <x v="1"/>
    <x v="1"/>
    <n v="59"/>
    <s v="JNE3721-KR-XL"/>
    <x v="1"/>
    <s v="XL"/>
    <n v="1"/>
    <s v="INR"/>
    <n v="329"/>
    <s v="HYDERABAD"/>
    <x v="6"/>
    <s v="IN"/>
  </r>
  <r>
    <n v="500"/>
    <s v="405-4491602-9761902"/>
    <d v="2024-07-11T00:00:00"/>
    <x v="10"/>
    <s v="Cancelled"/>
    <s v="Amazon"/>
    <x v="0"/>
    <x v="1"/>
    <n v="28"/>
    <s v="J0308-DR-XXL"/>
    <x v="2"/>
    <s v="XXL"/>
    <n v="0"/>
    <m/>
    <m/>
    <s v="Bhatgaon"/>
    <x v="13"/>
    <s v="IN"/>
  </r>
  <r>
    <n v="501"/>
    <s v="404-3973098-9107502"/>
    <d v="2024-09-19T00:00:00"/>
    <x v="2"/>
    <s v="Shipped"/>
    <s v="Amazon"/>
    <x v="0"/>
    <x v="1"/>
    <n v="28"/>
    <s v="SET398-KR-PP-XXL"/>
    <x v="0"/>
    <s v="XXL"/>
    <n v="1"/>
    <s v="INR"/>
    <n v="1186"/>
    <s v="BHANJANAGAR"/>
    <x v="14"/>
    <s v="IN"/>
  </r>
  <r>
    <n v="502"/>
    <s v="404-8364446-3952321"/>
    <d v="2023-06-24T00:00:00"/>
    <x v="6"/>
    <s v="Shipped"/>
    <s v="Amazon"/>
    <x v="0"/>
    <x v="1"/>
    <n v="44"/>
    <s v="J0157-DR-S"/>
    <x v="2"/>
    <s v="S"/>
    <n v="1"/>
    <s v="INR"/>
    <n v="588"/>
    <s v="VISAKHAPATNAM"/>
    <x v="7"/>
    <s v="IN"/>
  </r>
  <r>
    <n v="503"/>
    <s v="408-4378624-3886712"/>
    <d v="2024-08-03T00:00:00"/>
    <x v="3"/>
    <s v="Cancelled"/>
    <s v="Amazon"/>
    <x v="1"/>
    <x v="1"/>
    <n v="45"/>
    <s v="JNE3799-KR-S"/>
    <x v="1"/>
    <s v="S"/>
    <n v="0"/>
    <m/>
    <m/>
    <s v="GHAZIABAD"/>
    <x v="4"/>
    <s v="IN"/>
  </r>
  <r>
    <n v="504"/>
    <s v="408-2058872-0942730"/>
    <d v="2024-12-28T00:00:00"/>
    <x v="11"/>
    <s v="Shipped"/>
    <s v="Amazon"/>
    <x v="1"/>
    <x v="1"/>
    <n v="40"/>
    <s v="JNE2265-KR-501-S"/>
    <x v="1"/>
    <s v="S"/>
    <n v="1"/>
    <s v="INR"/>
    <n v="329"/>
    <s v="VISAKHAPATNAM"/>
    <x v="7"/>
    <s v="IN"/>
  </r>
  <r>
    <n v="505"/>
    <s v="408-2058872-0942730"/>
    <d v="2024-01-31T00:00:00"/>
    <x v="7"/>
    <s v="Shipped"/>
    <s v="Amazon"/>
    <x v="1"/>
    <x v="1"/>
    <n v="50"/>
    <s v="JNE3401-KR-M"/>
    <x v="1"/>
    <s v="M"/>
    <n v="1"/>
    <s v="INR"/>
    <n v="259"/>
    <s v="VISAKHAPATNAM"/>
    <x v="7"/>
    <s v="IN"/>
  </r>
  <r>
    <n v="506"/>
    <s v="404-5141245-7726736"/>
    <d v="2023-01-16T00:00:00"/>
    <x v="7"/>
    <s v="Shipped"/>
    <s v="Amazon"/>
    <x v="1"/>
    <x v="1"/>
    <n v="21"/>
    <s v="JNE3787-KR-XXL"/>
    <x v="1"/>
    <s v="XXL"/>
    <n v="1"/>
    <s v="INR"/>
    <n v="487"/>
    <s v="MADHURAWADA"/>
    <x v="7"/>
    <s v="IN"/>
  </r>
  <r>
    <n v="507"/>
    <s v="405-5489495-6651552"/>
    <d v="2024-02-27T00:00:00"/>
    <x v="4"/>
    <s v="Shipped - Delivered to Buyer"/>
    <s v="Merchant"/>
    <x v="0"/>
    <x v="2"/>
    <n v="59"/>
    <s v="SET332-KR-PP-L"/>
    <x v="0"/>
    <s v="L"/>
    <n v="1"/>
    <s v="INR"/>
    <n v="549"/>
    <s v="ALMORA"/>
    <x v="20"/>
    <s v="IN"/>
  </r>
  <r>
    <n v="508"/>
    <s v="171-6816175-3049154"/>
    <d v="2024-03-05T00:00:00"/>
    <x v="0"/>
    <s v="Shipped"/>
    <s v="Amazon"/>
    <x v="0"/>
    <x v="1"/>
    <n v="40"/>
    <s v="SET345-KR-NP-XL"/>
    <x v="0"/>
    <s v="XL"/>
    <n v="1"/>
    <s v="INR"/>
    <n v="626"/>
    <s v="PRODDATUR"/>
    <x v="7"/>
    <s v="IN"/>
  </r>
  <r>
    <n v="509"/>
    <s v="408-7342331-1733136"/>
    <d v="2023-05-31T00:00:00"/>
    <x v="9"/>
    <s v="Cancelled"/>
    <s v="Amazon"/>
    <x v="1"/>
    <x v="1"/>
    <n v="28"/>
    <s v="JNE1525-KR-UDF19-A-XL"/>
    <x v="1"/>
    <s v="XL"/>
    <n v="0"/>
    <m/>
    <m/>
    <s v="SHRIGONDA"/>
    <x v="0"/>
    <s v="IN"/>
  </r>
  <r>
    <n v="510"/>
    <s v="402-1721558-6618710"/>
    <d v="2023-01-11T00:00:00"/>
    <x v="7"/>
    <s v="Cancelled"/>
    <s v="Merchant"/>
    <x v="1"/>
    <x v="2"/>
    <n v="49"/>
    <s v="J0373-KR-M"/>
    <x v="1"/>
    <s v="M"/>
    <n v="0"/>
    <s v="INR"/>
    <n v="570.48"/>
    <s v="WARANGAL"/>
    <x v="6"/>
    <s v="IN"/>
  </r>
  <r>
    <n v="511"/>
    <s v="406-2138801-8731538"/>
    <d v="2024-11-14T00:00:00"/>
    <x v="1"/>
    <s v="Shipped - Delivered to Buyer"/>
    <s v="Merchant"/>
    <x v="1"/>
    <x v="0"/>
    <n v="53"/>
    <s v="JNE3449-KR-XXXL"/>
    <x v="1"/>
    <s v="3XL"/>
    <n v="1"/>
    <s v="INR"/>
    <n v="319"/>
    <s v="CHENNAI"/>
    <x v="3"/>
    <s v="IN"/>
  </r>
  <r>
    <n v="512"/>
    <s v="407-1271803-1705135"/>
    <d v="2023-01-09T00:00:00"/>
    <x v="7"/>
    <s v="Shipped"/>
    <s v="Amazon"/>
    <x v="0"/>
    <x v="1"/>
    <n v="49"/>
    <s v="J0118-TP-XXXL"/>
    <x v="3"/>
    <s v="3XL"/>
    <n v="1"/>
    <s v="INR"/>
    <n v="518"/>
    <s v="FAIZABAD"/>
    <x v="4"/>
    <s v="IN"/>
  </r>
  <r>
    <n v="513"/>
    <s v="408-0666162-2209142"/>
    <d v="2024-05-21T00:00:00"/>
    <x v="9"/>
    <s v="Shipped"/>
    <s v="Amazon"/>
    <x v="0"/>
    <x v="1"/>
    <n v="57"/>
    <s v="J0006-SET-L"/>
    <x v="4"/>
    <s v="L"/>
    <n v="1"/>
    <s v="INR"/>
    <n v="899"/>
    <s v="BHIWADI"/>
    <x v="8"/>
    <s v="IN"/>
  </r>
  <r>
    <n v="514"/>
    <s v="404-8344681-3468344"/>
    <d v="2023-09-28T00:00:00"/>
    <x v="2"/>
    <s v="Shipped"/>
    <s v="Amazon"/>
    <x v="0"/>
    <x v="1"/>
    <n v="40"/>
    <s v="J0335-DR-XL"/>
    <x v="2"/>
    <s v="XL"/>
    <n v="1"/>
    <s v="INR"/>
    <n v="807"/>
    <s v="NOIDA"/>
    <x v="4"/>
    <s v="IN"/>
  </r>
  <r>
    <n v="515"/>
    <s v="405-5365766-8023559"/>
    <d v="2024-04-24T00:00:00"/>
    <x v="8"/>
    <s v="Shipped - Delivered to Buyer"/>
    <s v="Merchant"/>
    <x v="0"/>
    <x v="0"/>
    <n v="47"/>
    <s v="J0301-TP-M"/>
    <x v="3"/>
    <s v="M"/>
    <n v="1"/>
    <s v="INR"/>
    <n v="463"/>
    <s v="WARANGAL"/>
    <x v="6"/>
    <s v="IN"/>
  </r>
  <r>
    <n v="516"/>
    <s v="405-2729845-2846741"/>
    <d v="2024-04-22T00:00:00"/>
    <x v="8"/>
    <s v="Shipped"/>
    <s v="Amazon"/>
    <x v="0"/>
    <x v="1"/>
    <n v="32"/>
    <s v="SET228-KR-PP-A-XXXL"/>
    <x v="0"/>
    <s v="3XL"/>
    <n v="1"/>
    <s v="INR"/>
    <n v="653"/>
    <s v="BANGALORE"/>
    <x v="1"/>
    <s v="IN"/>
  </r>
  <r>
    <n v="517"/>
    <s v="407-7312276-7007540"/>
    <d v="2023-10-18T00:00:00"/>
    <x v="5"/>
    <s v="Shipped"/>
    <s v="Amazon"/>
    <x v="0"/>
    <x v="1"/>
    <n v="41"/>
    <s v="J0012-SKD-M"/>
    <x v="0"/>
    <s v="M"/>
    <n v="1"/>
    <s v="INR"/>
    <n v="1140"/>
    <s v="NEW DELHI"/>
    <x v="9"/>
    <s v="IN"/>
  </r>
  <r>
    <n v="518"/>
    <s v="407-6910434-1793162"/>
    <d v="2023-01-24T00:00:00"/>
    <x v="7"/>
    <s v="Cancelled"/>
    <s v="Amazon"/>
    <x v="1"/>
    <x v="1"/>
    <n v="57"/>
    <s v="MEN5023-KR-S"/>
    <x v="1"/>
    <s v="S"/>
    <n v="0"/>
    <m/>
    <m/>
    <s v="SAMBALPUR"/>
    <x v="14"/>
    <s v="IN"/>
  </r>
  <r>
    <n v="519"/>
    <s v="407-7361111-8973957"/>
    <d v="2024-01-21T00:00:00"/>
    <x v="7"/>
    <s v="Shipped"/>
    <s v="Amazon"/>
    <x v="0"/>
    <x v="1"/>
    <n v="30"/>
    <s v="SET388-KR-NP-S"/>
    <x v="0"/>
    <s v="S"/>
    <n v="1"/>
    <s v="INR"/>
    <n v="1260"/>
    <s v="ALLAHABAD"/>
    <x v="4"/>
    <s v="IN"/>
  </r>
  <r>
    <n v="520"/>
    <s v="406-2349830-7633129"/>
    <d v="2023-10-04T00:00:00"/>
    <x v="5"/>
    <s v="Shipped"/>
    <s v="Amazon"/>
    <x v="0"/>
    <x v="1"/>
    <n v="60"/>
    <s v="SET333-KR-DPT-XL"/>
    <x v="0"/>
    <s v="XL"/>
    <n v="1"/>
    <s v="INR"/>
    <n v="909"/>
    <s v="WARANGAL"/>
    <x v="6"/>
    <s v="IN"/>
  </r>
  <r>
    <n v="521"/>
    <s v="404-0553710-6997951"/>
    <d v="2024-11-30T00:00:00"/>
    <x v="1"/>
    <s v="Cancelled"/>
    <s v="Amazon"/>
    <x v="1"/>
    <x v="1"/>
    <n v="35"/>
    <s v="MEN5002-KR-XXL"/>
    <x v="1"/>
    <s v="XXL"/>
    <n v="0"/>
    <m/>
    <m/>
    <s v="Vadodara"/>
    <x v="19"/>
    <s v="IN"/>
  </r>
  <r>
    <n v="522"/>
    <s v="404-5682813-1706729"/>
    <d v="2023-04-24T00:00:00"/>
    <x v="8"/>
    <s v="Shipped"/>
    <s v="Amazon"/>
    <x v="0"/>
    <x v="1"/>
    <n v="45"/>
    <s v="SET172-KR-PP-B-M"/>
    <x v="0"/>
    <s v="M"/>
    <n v="1"/>
    <s v="INR"/>
    <n v="968"/>
    <s v="NEW DELHI"/>
    <x v="9"/>
    <s v="IN"/>
  </r>
  <r>
    <n v="523"/>
    <s v="171-0355946-6502712"/>
    <d v="2024-12-04T00:00:00"/>
    <x v="11"/>
    <s v="Shipped"/>
    <s v="Amazon"/>
    <x v="0"/>
    <x v="1"/>
    <n v="58"/>
    <s v="SET268-KR-NP-XL"/>
    <x v="0"/>
    <s v="XL"/>
    <n v="1"/>
    <s v="INR"/>
    <n v="788"/>
    <s v="NASHIK"/>
    <x v="0"/>
    <s v="IN"/>
  </r>
  <r>
    <n v="524"/>
    <s v="405-5141255-1451535"/>
    <d v="2024-03-25T00:00:00"/>
    <x v="0"/>
    <s v="Shipped"/>
    <s v="Amazon"/>
    <x v="0"/>
    <x v="1"/>
    <n v="57"/>
    <s v="JNE3800-KR-M"/>
    <x v="2"/>
    <s v="M"/>
    <n v="1"/>
    <s v="INR"/>
    <n v="771"/>
    <s v="Malda"/>
    <x v="17"/>
    <s v="IN"/>
  </r>
  <r>
    <n v="525"/>
    <s v="402-4712282-7084353"/>
    <d v="2024-11-19T00:00:00"/>
    <x v="1"/>
    <s v="Shipped"/>
    <s v="Amazon"/>
    <x v="1"/>
    <x v="1"/>
    <n v="27"/>
    <s v="JNE3405-KR-XXXL"/>
    <x v="1"/>
    <s v="3XL"/>
    <n v="1"/>
    <s v="INR"/>
    <n v="399"/>
    <s v="KALYAN"/>
    <x v="0"/>
    <s v="IN"/>
  </r>
  <r>
    <n v="526"/>
    <s v="408-4929717-0247504"/>
    <d v="2024-09-25T00:00:00"/>
    <x v="2"/>
    <s v="Shipped"/>
    <s v="Amazon"/>
    <x v="0"/>
    <x v="1"/>
    <n v="56"/>
    <s v="SET319-KR-NP-XL"/>
    <x v="0"/>
    <s v="XL"/>
    <n v="1"/>
    <s v="INR"/>
    <n v="888"/>
    <s v="VISAKHAPATNAM"/>
    <x v="7"/>
    <s v="IN"/>
  </r>
  <r>
    <n v="527"/>
    <s v="408-4929717-0247504"/>
    <d v="2023-09-18T00:00:00"/>
    <x v="2"/>
    <s v="Shipped"/>
    <s v="Amazon"/>
    <x v="0"/>
    <x v="1"/>
    <n v="35"/>
    <s v="SET378-KR-NP-XS"/>
    <x v="0"/>
    <s v="XS"/>
    <n v="1"/>
    <s v="INR"/>
    <n v="1221"/>
    <s v="VISAKHAPATNAM"/>
    <x v="7"/>
    <s v="IN"/>
  </r>
  <r>
    <n v="528"/>
    <s v="407-0903946-2097158"/>
    <d v="2024-03-18T00:00:00"/>
    <x v="0"/>
    <s v="Shipped"/>
    <s v="Amazon"/>
    <x v="1"/>
    <x v="1"/>
    <n v="53"/>
    <s v="JNE3405-KR-XL"/>
    <x v="1"/>
    <s v="XL"/>
    <n v="1"/>
    <s v="INR"/>
    <n v="399"/>
    <s v="KOLLAM"/>
    <x v="15"/>
    <s v="IN"/>
  </r>
  <r>
    <n v="529"/>
    <s v="403-3362230-0094739"/>
    <d v="2023-04-17T00:00:00"/>
    <x v="8"/>
    <s v="Shipped - Delivered to Buyer"/>
    <s v="Merchant"/>
    <x v="1"/>
    <x v="2"/>
    <n v="36"/>
    <s v="JNE3368-KR-XXXL"/>
    <x v="1"/>
    <s v="3XL"/>
    <n v="1"/>
    <s v="INR"/>
    <n v="471"/>
    <s v="BENGALURU"/>
    <x v="1"/>
    <s v="IN"/>
  </r>
  <r>
    <n v="530"/>
    <s v="404-2227887-7441969"/>
    <d v="2024-11-30T00:00:00"/>
    <x v="1"/>
    <s v="Shipped"/>
    <s v="Amazon"/>
    <x v="0"/>
    <x v="1"/>
    <n v="34"/>
    <s v="SET233-KR-PP-L"/>
    <x v="0"/>
    <s v="L"/>
    <n v="1"/>
    <s v="INR"/>
    <n v="545"/>
    <s v="MUMBAI"/>
    <x v="0"/>
    <s v="IN"/>
  </r>
  <r>
    <n v="531"/>
    <s v="407-8016372-7101131"/>
    <d v="2024-10-24T00:00:00"/>
    <x v="5"/>
    <s v="Shipped"/>
    <s v="Amazon"/>
    <x v="0"/>
    <x v="1"/>
    <n v="36"/>
    <s v="SET344-KR-NP-S"/>
    <x v="0"/>
    <s v="S"/>
    <n v="1"/>
    <s v="INR"/>
    <n v="968"/>
    <s v="ALLAHABAD"/>
    <x v="4"/>
    <s v="IN"/>
  </r>
  <r>
    <n v="532"/>
    <s v="407-2520173-9985116"/>
    <d v="2023-12-25T00:00:00"/>
    <x v="11"/>
    <s v="Shipped"/>
    <s v="Amazon"/>
    <x v="1"/>
    <x v="1"/>
    <n v="34"/>
    <s v="MEN5002-KR-M"/>
    <x v="1"/>
    <s v="M"/>
    <n v="1"/>
    <s v="INR"/>
    <n v="499"/>
    <s v="SURAT"/>
    <x v="19"/>
    <s v="IN"/>
  </r>
  <r>
    <n v="533"/>
    <s v="407-3257788-4892350"/>
    <d v="2023-12-26T00:00:00"/>
    <x v="11"/>
    <s v="Shipped"/>
    <s v="Amazon"/>
    <x v="1"/>
    <x v="1"/>
    <n v="50"/>
    <s v="JNE3405-KR-L"/>
    <x v="1"/>
    <s v="L"/>
    <n v="1"/>
    <s v="INR"/>
    <n v="399"/>
    <s v="GUNTUR"/>
    <x v="7"/>
    <s v="IN"/>
  </r>
  <r>
    <n v="534"/>
    <s v="408-7201398-0382766"/>
    <d v="2024-03-20T00:00:00"/>
    <x v="0"/>
    <s v="Shipped"/>
    <s v="Amazon"/>
    <x v="1"/>
    <x v="1"/>
    <n v="25"/>
    <s v="JNE3405-KR-XL"/>
    <x v="1"/>
    <s v="XL"/>
    <n v="1"/>
    <s v="INR"/>
    <n v="399"/>
    <s v="AHMEDABAD"/>
    <x v="19"/>
    <s v="IN"/>
  </r>
  <r>
    <n v="535"/>
    <s v="407-1181422-6183500"/>
    <d v="2024-03-01T00:00:00"/>
    <x v="0"/>
    <s v="Cancelled"/>
    <s v="Amazon"/>
    <x v="0"/>
    <x v="1"/>
    <n v="57"/>
    <s v="SET319-KR-NP-S"/>
    <x v="0"/>
    <s v="S"/>
    <n v="0"/>
    <m/>
    <m/>
    <s v="MANGALURU"/>
    <x v="1"/>
    <s v="IN"/>
  </r>
  <r>
    <n v="536"/>
    <s v="408-6235816-9261123"/>
    <d v="2023-02-01T00:00:00"/>
    <x v="4"/>
    <s v="Cancelled"/>
    <s v="Amazon"/>
    <x v="1"/>
    <x v="1"/>
    <n v="19"/>
    <s v="JNE3368-KR-XXL"/>
    <x v="1"/>
    <s v="XXL"/>
    <n v="1"/>
    <s v="INR"/>
    <n v="471"/>
    <s v="BENGALURU"/>
    <x v="1"/>
    <s v="IN"/>
  </r>
  <r>
    <n v="537"/>
    <s v="408-5823964-2421167"/>
    <d v="2024-06-26T00:00:00"/>
    <x v="6"/>
    <s v="Cancelled"/>
    <s v="Merchant"/>
    <x v="1"/>
    <x v="2"/>
    <n v="39"/>
    <s v="JNE3718-KR-XXL"/>
    <x v="1"/>
    <s v="XXL"/>
    <n v="0"/>
    <s v="INR"/>
    <n v="386.67"/>
    <s v="BENGALURU"/>
    <x v="1"/>
    <s v="IN"/>
  </r>
  <r>
    <n v="538"/>
    <s v="408-2752424-0976355"/>
    <d v="2024-12-02T00:00:00"/>
    <x v="11"/>
    <s v="Cancelled"/>
    <s v="Merchant"/>
    <x v="1"/>
    <x v="0"/>
    <n v="57"/>
    <s v="MEN5006-KR-XXL"/>
    <x v="1"/>
    <s v="XXL"/>
    <n v="0"/>
    <s v="INR"/>
    <n v="452.38"/>
    <s v="PATNA"/>
    <x v="21"/>
    <s v="IN"/>
  </r>
  <r>
    <n v="539"/>
    <s v="408-1221783-1443515"/>
    <d v="2024-09-25T00:00:00"/>
    <x v="2"/>
    <s v="Shipped"/>
    <s v="Amazon"/>
    <x v="0"/>
    <x v="1"/>
    <n v="19"/>
    <s v="J0230-SKD-L"/>
    <x v="0"/>
    <s v="L"/>
    <n v="1"/>
    <s v="INR"/>
    <n v="1112"/>
    <s v="Pune"/>
    <x v="0"/>
    <s v="IN"/>
  </r>
  <r>
    <n v="540"/>
    <s v="404-3977029-4836363"/>
    <d v="2023-02-10T00:00:00"/>
    <x v="4"/>
    <s v="Cancelled"/>
    <s v="Amazon"/>
    <x v="0"/>
    <x v="1"/>
    <n v="18"/>
    <s v="SET233-KR-PP-L"/>
    <x v="0"/>
    <s v="L"/>
    <n v="0"/>
    <m/>
    <m/>
    <s v="MUMBAI"/>
    <x v="0"/>
    <s v="IN"/>
  </r>
  <r>
    <n v="541"/>
    <s v="406-6993846-8855562"/>
    <d v="2023-08-18T00:00:00"/>
    <x v="3"/>
    <s v="Shipped"/>
    <s v="Amazon"/>
    <x v="0"/>
    <x v="1"/>
    <n v="27"/>
    <s v="SET363-KR-NP-XL"/>
    <x v="0"/>
    <s v="XL"/>
    <n v="1"/>
    <s v="INR"/>
    <n v="1338"/>
    <s v="ROORKEE"/>
    <x v="20"/>
    <s v="IN"/>
  </r>
  <r>
    <n v="542"/>
    <s v="405-5018129-4536368"/>
    <d v="2024-03-19T00:00:00"/>
    <x v="0"/>
    <s v="Shipped"/>
    <s v="Amazon"/>
    <x v="1"/>
    <x v="1"/>
    <n v="28"/>
    <s v="JNE3794-KR-XXXL"/>
    <x v="1"/>
    <s v="3XL"/>
    <n v="1"/>
    <s v="INR"/>
    <n v="517"/>
    <s v="MANGALURU"/>
    <x v="1"/>
    <s v="IN"/>
  </r>
  <r>
    <n v="543"/>
    <s v="406-3787864-1268330"/>
    <d v="2024-05-01T00:00:00"/>
    <x v="9"/>
    <s v="Shipped"/>
    <s v="Amazon"/>
    <x v="1"/>
    <x v="1"/>
    <n v="34"/>
    <s v="JNE3721-KR-XL"/>
    <x v="1"/>
    <s v="XL"/>
    <n v="1"/>
    <s v="INR"/>
    <n v="329"/>
    <s v="NAGPUR"/>
    <x v="0"/>
    <s v="IN"/>
  </r>
  <r>
    <n v="544"/>
    <s v="171-8504713-0689107"/>
    <d v="2023-07-29T00:00:00"/>
    <x v="10"/>
    <s v="Shipped"/>
    <s v="Amazon"/>
    <x v="0"/>
    <x v="1"/>
    <n v="47"/>
    <s v="JNE3797-KR-L"/>
    <x v="2"/>
    <s v="L"/>
    <n v="1"/>
    <s v="INR"/>
    <n v="725"/>
    <s v="NOIDA"/>
    <x v="4"/>
    <s v="IN"/>
  </r>
  <r>
    <n v="545"/>
    <s v="402-9564773-1029157"/>
    <d v="2023-01-02T00:00:00"/>
    <x v="7"/>
    <s v="Shipped"/>
    <s v="Amazon"/>
    <x v="1"/>
    <x v="1"/>
    <n v="59"/>
    <s v="JNE3461-KR-XXL"/>
    <x v="1"/>
    <s v="XXL"/>
    <n v="1"/>
    <s v="INR"/>
    <n v="363"/>
    <s v="JAIPUR"/>
    <x v="8"/>
    <s v="IN"/>
  </r>
  <r>
    <n v="546"/>
    <s v="405-4930362-9342759"/>
    <d v="2024-01-07T00:00:00"/>
    <x v="7"/>
    <s v="Shipped"/>
    <s v="Amazon"/>
    <x v="0"/>
    <x v="1"/>
    <n v="56"/>
    <s v="SET345-KR-NP-L"/>
    <x v="0"/>
    <s v="L"/>
    <n v="1"/>
    <s v="INR"/>
    <n v="666"/>
    <s v="Golabandha"/>
    <x v="14"/>
    <s v="IN"/>
  </r>
  <r>
    <n v="547"/>
    <s v="402-4976284-7401969"/>
    <d v="2023-07-12T00:00:00"/>
    <x v="10"/>
    <s v="Cancelled"/>
    <s v="Amazon"/>
    <x v="0"/>
    <x v="1"/>
    <n v="57"/>
    <s v="SET131-KR-NP-A-XXL"/>
    <x v="0"/>
    <s v="XXL"/>
    <n v="0"/>
    <m/>
    <m/>
    <s v="ROHTAK"/>
    <x v="10"/>
    <s v="IN"/>
  </r>
  <r>
    <n v="548"/>
    <s v="404-7724638-9574745"/>
    <d v="2024-11-30T00:00:00"/>
    <x v="1"/>
    <s v="Cancelled"/>
    <s v="Amazon"/>
    <x v="0"/>
    <x v="1"/>
    <n v="50"/>
    <s v="J0157-DR-S"/>
    <x v="2"/>
    <s v="S"/>
    <n v="1"/>
    <s v="INR"/>
    <n v="588"/>
    <s v="VISAKHAPATNAM"/>
    <x v="7"/>
    <s v="IN"/>
  </r>
  <r>
    <n v="549"/>
    <s v="408-9182064-6638723"/>
    <d v="2023-06-16T00:00:00"/>
    <x v="6"/>
    <s v="Shipped"/>
    <s v="Amazon"/>
    <x v="0"/>
    <x v="1"/>
    <n v="59"/>
    <s v="SET203-KR-DPT-S"/>
    <x v="0"/>
    <s v="S"/>
    <n v="1"/>
    <s v="INR"/>
    <n v="449"/>
    <s v="CHENNAI"/>
    <x v="3"/>
    <s v="IN"/>
  </r>
  <r>
    <n v="550"/>
    <s v="171-9163388-0505130"/>
    <d v="2024-03-21T00:00:00"/>
    <x v="0"/>
    <s v="Shipped"/>
    <s v="Amazon"/>
    <x v="0"/>
    <x v="1"/>
    <n v="36"/>
    <s v="SET098-KR-PP-XL"/>
    <x v="0"/>
    <s v="XL"/>
    <n v="1"/>
    <s v="INR"/>
    <n v="696"/>
    <s v="BHATPARA"/>
    <x v="17"/>
    <s v="IN"/>
  </r>
  <r>
    <n v="551"/>
    <s v="171-4737030-9245958"/>
    <d v="2023-08-24T00:00:00"/>
    <x v="3"/>
    <s v="Shipped"/>
    <s v="Amazon"/>
    <x v="1"/>
    <x v="1"/>
    <n v="41"/>
    <s v="JNE3614-KR-M"/>
    <x v="1"/>
    <s v="M"/>
    <n v="1"/>
    <s v="INR"/>
    <n v="459"/>
    <s v="Palampur"/>
    <x v="24"/>
    <s v="IN"/>
  </r>
  <r>
    <n v="552"/>
    <s v="402-3889665-2309117"/>
    <d v="2024-03-07T00:00:00"/>
    <x v="0"/>
    <s v="Shipped - Delivered to Buyer"/>
    <s v="Merchant"/>
    <x v="0"/>
    <x v="0"/>
    <n v="52"/>
    <s v="J0201-TP-L"/>
    <x v="3"/>
    <s v="L"/>
    <n v="1"/>
    <s v="INR"/>
    <n v="625"/>
    <s v="PUNE"/>
    <x v="0"/>
    <s v="IN"/>
  </r>
  <r>
    <n v="553"/>
    <s v="404-0489249-5004350"/>
    <d v="2023-03-12T00:00:00"/>
    <x v="0"/>
    <s v="Shipped"/>
    <s v="Amazon"/>
    <x v="0"/>
    <x v="1"/>
    <n v="26"/>
    <s v="J0003-SET-XXXL"/>
    <x v="0"/>
    <s v="3XL"/>
    <n v="1"/>
    <s v="INR"/>
    <n v="654"/>
    <s v="KANPUR"/>
    <x v="4"/>
    <s v="IN"/>
  </r>
  <r>
    <n v="554"/>
    <s v="402-5795462-7785129"/>
    <d v="2023-02-25T00:00:00"/>
    <x v="4"/>
    <s v="Shipped"/>
    <s v="Amazon"/>
    <x v="1"/>
    <x v="1"/>
    <n v="28"/>
    <s v="JNE3405-KR-XL"/>
    <x v="1"/>
    <s v="XL"/>
    <n v="1"/>
    <s v="INR"/>
    <n v="399"/>
    <s v="MUMBAI"/>
    <x v="0"/>
    <s v="IN"/>
  </r>
  <r>
    <n v="555"/>
    <s v="402-1771710-8988341"/>
    <d v="2023-05-28T00:00:00"/>
    <x v="9"/>
    <s v="Shipped"/>
    <s v="Amazon"/>
    <x v="0"/>
    <x v="1"/>
    <n v="47"/>
    <s v="SET201-KR-NP-A-XXL"/>
    <x v="0"/>
    <s v="XXL"/>
    <n v="1"/>
    <s v="INR"/>
    <n v="595"/>
    <s v="CHENNAI"/>
    <x v="3"/>
    <s v="IN"/>
  </r>
  <r>
    <n v="556"/>
    <s v="407-8782240-5186712"/>
    <d v="2024-07-04T00:00:00"/>
    <x v="10"/>
    <s v="Shipped"/>
    <s v="Amazon"/>
    <x v="0"/>
    <x v="1"/>
    <n v="28"/>
    <s v="SET324-KR-NP-L"/>
    <x v="0"/>
    <s v="L"/>
    <n v="1"/>
    <s v="INR"/>
    <n v="597"/>
    <s v="NASHIK"/>
    <x v="0"/>
    <s v="IN"/>
  </r>
  <r>
    <n v="557"/>
    <s v="406-1146171-5116306"/>
    <d v="2024-06-10T00:00:00"/>
    <x v="6"/>
    <s v="Shipped"/>
    <s v="Amazon"/>
    <x v="0"/>
    <x v="1"/>
    <n v="25"/>
    <s v="NW030-TP-PJ-XXL"/>
    <x v="0"/>
    <s v="XXL"/>
    <n v="1"/>
    <s v="INR"/>
    <n v="582"/>
    <s v="NEW DELHI"/>
    <x v="9"/>
    <s v="IN"/>
  </r>
  <r>
    <n v="558"/>
    <s v="405-4454054-5598720"/>
    <d v="2023-08-20T00:00:00"/>
    <x v="3"/>
    <s v="Shipped"/>
    <s v="Amazon"/>
    <x v="0"/>
    <x v="1"/>
    <n v="29"/>
    <s v="SET273-KR-NP-XXXL"/>
    <x v="0"/>
    <s v="3XL"/>
    <n v="1"/>
    <s v="INR"/>
    <n v="612"/>
    <s v="MUMBAI"/>
    <x v="0"/>
    <s v="IN"/>
  </r>
  <r>
    <n v="559"/>
    <s v="405-0904566-9930731"/>
    <d v="2023-04-08T00:00:00"/>
    <x v="8"/>
    <s v="Shipped"/>
    <s v="Amazon"/>
    <x v="0"/>
    <x v="1"/>
    <n v="20"/>
    <s v="J0003-SET-M"/>
    <x v="0"/>
    <s v="M"/>
    <n v="1"/>
    <s v="INR"/>
    <n v="654"/>
    <s v="GREATER NOIDA"/>
    <x v="4"/>
    <s v="IN"/>
  </r>
  <r>
    <n v="560"/>
    <s v="405-2826187-6916328"/>
    <d v="2024-10-30T00:00:00"/>
    <x v="5"/>
    <s v="Shipped - Delivered to Buyer"/>
    <s v="Merchant"/>
    <x v="0"/>
    <x v="0"/>
    <n v="60"/>
    <s v="JNE3690-TU-L"/>
    <x v="3"/>
    <s v="L"/>
    <n v="1"/>
    <s v="INR"/>
    <n v="518"/>
    <s v="NEW DELHI"/>
    <x v="9"/>
    <s v="IN"/>
  </r>
  <r>
    <n v="561"/>
    <s v="404-5926144-0737167"/>
    <d v="2024-12-02T00:00:00"/>
    <x v="11"/>
    <s v="Shipped"/>
    <s v="Amazon"/>
    <x v="0"/>
    <x v="1"/>
    <n v="39"/>
    <s v="J0247-SKD-S"/>
    <x v="0"/>
    <s v="S"/>
    <n v="1"/>
    <s v="INR"/>
    <n v="820"/>
    <s v="PICHHORE SHIVPURI DISTRICT"/>
    <x v="16"/>
    <s v="IN"/>
  </r>
  <r>
    <n v="562"/>
    <s v="407-0010438-9058746"/>
    <d v="2023-11-15T00:00:00"/>
    <x v="1"/>
    <s v="Shipped"/>
    <s v="Amazon"/>
    <x v="0"/>
    <x v="1"/>
    <n v="55"/>
    <s v="SET347-KR-NP-XXXL"/>
    <x v="0"/>
    <s v="3XL"/>
    <n v="1"/>
    <s v="INR"/>
    <n v="801"/>
    <s v="LUCKNOW"/>
    <x v="4"/>
    <s v="IN"/>
  </r>
  <r>
    <n v="563"/>
    <s v="405-7730926-6032325"/>
    <d v="2024-08-13T00:00:00"/>
    <x v="3"/>
    <s v="Cancelled"/>
    <s v="Merchant"/>
    <x v="1"/>
    <x v="2"/>
    <n v="57"/>
    <s v="J0386-KR-XXXL"/>
    <x v="1"/>
    <s v="3XL"/>
    <n v="0"/>
    <m/>
    <m/>
    <s v="SIKANDARABAD INDUSTRIAL AREA"/>
    <x v="4"/>
    <s v="IN"/>
  </r>
  <r>
    <n v="564"/>
    <s v="171-6907664-7672347"/>
    <d v="2023-05-18T00:00:00"/>
    <x v="9"/>
    <s v="Shipped"/>
    <s v="Amazon"/>
    <x v="1"/>
    <x v="1"/>
    <n v="25"/>
    <s v="JNE3405-KR-XL"/>
    <x v="1"/>
    <s v="XL"/>
    <n v="1"/>
    <s v="INR"/>
    <n v="399"/>
    <s v="MUMBAI"/>
    <x v="0"/>
    <s v="IN"/>
  </r>
  <r>
    <n v="565"/>
    <s v="404-0072596-3665116"/>
    <d v="2023-03-30T00:00:00"/>
    <x v="0"/>
    <s v="Shipped"/>
    <s v="Amazon"/>
    <x v="0"/>
    <x v="1"/>
    <n v="60"/>
    <s v="J0342-TP-L"/>
    <x v="3"/>
    <s v="L"/>
    <n v="1"/>
    <s v="INR"/>
    <n v="540"/>
    <s v="THIRUVANANTHAPURAM"/>
    <x v="15"/>
    <s v="IN"/>
  </r>
  <r>
    <n v="566"/>
    <s v="406-8833813-9606757"/>
    <d v="2024-10-24T00:00:00"/>
    <x v="5"/>
    <s v="Shipped"/>
    <s v="Amazon"/>
    <x v="0"/>
    <x v="1"/>
    <n v="31"/>
    <s v="SET363-KR-NP-L"/>
    <x v="0"/>
    <s v="L"/>
    <n v="1"/>
    <s v="INR"/>
    <n v="1338"/>
    <s v="MAVELIKKARA"/>
    <x v="15"/>
    <s v="IN"/>
  </r>
  <r>
    <n v="567"/>
    <s v="408-3892272-6235562"/>
    <d v="2024-06-05T00:00:00"/>
    <x v="6"/>
    <s v="Shipped"/>
    <s v="Amazon"/>
    <x v="0"/>
    <x v="1"/>
    <n v="39"/>
    <s v="J0342-TP-M"/>
    <x v="3"/>
    <s v="M"/>
    <n v="1"/>
    <s v="INR"/>
    <n v="540"/>
    <s v="KOLKATA"/>
    <x v="17"/>
    <s v="IN"/>
  </r>
  <r>
    <n v="568"/>
    <s v="171-9584070-4172351"/>
    <d v="2023-01-17T00:00:00"/>
    <x v="7"/>
    <s v="Shipped"/>
    <s v="Amazon"/>
    <x v="0"/>
    <x v="1"/>
    <n v="44"/>
    <s v="J0198-TP-XXXL"/>
    <x v="3"/>
    <s v="3XL"/>
    <n v="1"/>
    <s v="INR"/>
    <n v="625"/>
    <s v="HYDERABAD"/>
    <x v="6"/>
    <s v="IN"/>
  </r>
  <r>
    <n v="569"/>
    <s v="402-1220435-6391519"/>
    <d v="2024-05-23T00:00:00"/>
    <x v="9"/>
    <s v="Shipped - Delivered to Buyer"/>
    <s v="Merchant"/>
    <x v="1"/>
    <x v="0"/>
    <n v="30"/>
    <s v="JNE3500-KR-XXL"/>
    <x v="1"/>
    <s v="XXL"/>
    <n v="1"/>
    <s v="INR"/>
    <n v="364"/>
    <s v="THANE"/>
    <x v="0"/>
    <s v="IN"/>
  </r>
  <r>
    <n v="570"/>
    <s v="404-5137687-4471546"/>
    <d v="2024-01-21T00:00:00"/>
    <x v="7"/>
    <s v="Shipped"/>
    <s v="Amazon"/>
    <x v="1"/>
    <x v="1"/>
    <n v="38"/>
    <s v="JNE3510-KR-XL"/>
    <x v="1"/>
    <s v="XL"/>
    <n v="1"/>
    <s v="INR"/>
    <n v="429"/>
    <s v="BILASPUR"/>
    <x v="13"/>
    <s v="IN"/>
  </r>
  <r>
    <n v="571"/>
    <s v="171-0065908-0641927"/>
    <d v="2023-01-17T00:00:00"/>
    <x v="7"/>
    <s v="Cancelled"/>
    <s v="Amazon"/>
    <x v="0"/>
    <x v="1"/>
    <n v="25"/>
    <s v="J0005-DR-XXL"/>
    <x v="2"/>
    <s v="XXL"/>
    <n v="1"/>
    <s v="INR"/>
    <n v="899"/>
    <s v="MYSURU"/>
    <x v="1"/>
    <s v="IN"/>
  </r>
  <r>
    <n v="572"/>
    <s v="403-3416641-9569165"/>
    <d v="2023-08-13T00:00:00"/>
    <x v="3"/>
    <s v="Cancelled"/>
    <s v="Amazon"/>
    <x v="0"/>
    <x v="1"/>
    <n v="56"/>
    <s v="J0003-SET-XXL"/>
    <x v="0"/>
    <s v="XXL"/>
    <n v="0"/>
    <m/>
    <m/>
    <s v="QADIAN"/>
    <x v="23"/>
    <s v="IN"/>
  </r>
  <r>
    <n v="573"/>
    <s v="404-1694926-5861958"/>
    <d v="2024-03-10T00:00:00"/>
    <x v="0"/>
    <s v="Shipped"/>
    <s v="Amazon"/>
    <x v="0"/>
    <x v="1"/>
    <n v="32"/>
    <s v="SET360-KR-NP-XXL"/>
    <x v="0"/>
    <s v="XXL"/>
    <n v="1"/>
    <s v="INR"/>
    <n v="1126"/>
    <s v="BHUBANESWAR"/>
    <x v="14"/>
    <s v="IN"/>
  </r>
  <r>
    <n v="574"/>
    <s v="402-5767256-6281114"/>
    <d v="2024-05-08T00:00:00"/>
    <x v="9"/>
    <s v="Shipped"/>
    <s v="Amazon"/>
    <x v="0"/>
    <x v="1"/>
    <n v="35"/>
    <s v="SET110-KR-PP-S"/>
    <x v="0"/>
    <s v="S"/>
    <n v="1"/>
    <s v="INR"/>
    <n v="788"/>
    <s v="KALABURGI"/>
    <x v="1"/>
    <s v="IN"/>
  </r>
  <r>
    <n v="575"/>
    <s v="403-3410267-0750719"/>
    <d v="2024-08-26T00:00:00"/>
    <x v="3"/>
    <s v="Shipped"/>
    <s v="Amazon"/>
    <x v="0"/>
    <x v="1"/>
    <n v="58"/>
    <s v="JNE3645-TP-N-XS"/>
    <x v="3"/>
    <s v="XS"/>
    <n v="1"/>
    <s v="INR"/>
    <n v="432"/>
    <s v="NAGPUR"/>
    <x v="0"/>
    <s v="IN"/>
  </r>
  <r>
    <n v="576"/>
    <s v="403-9122678-2549117"/>
    <d v="2023-10-02T00:00:00"/>
    <x v="5"/>
    <s v="Shipped"/>
    <s v="Amazon"/>
    <x v="1"/>
    <x v="1"/>
    <n v="60"/>
    <s v="JNE3373-KR-XXL"/>
    <x v="1"/>
    <s v="XXL"/>
    <n v="1"/>
    <s v="INR"/>
    <n v="376"/>
    <s v="Rangareddy"/>
    <x v="6"/>
    <s v="IN"/>
  </r>
  <r>
    <n v="577"/>
    <s v="402-7676083-2016323"/>
    <d v="2023-12-17T00:00:00"/>
    <x v="11"/>
    <s v="Shipped"/>
    <s v="Amazon"/>
    <x v="0"/>
    <x v="1"/>
    <n v="48"/>
    <s v="JNE3797-KR-M"/>
    <x v="2"/>
    <s v="M"/>
    <n v="1"/>
    <s v="INR"/>
    <n v="725"/>
    <s v="HYDERABAD"/>
    <x v="6"/>
    <s v="IN"/>
  </r>
  <r>
    <n v="578"/>
    <s v="404-7830524-8312347"/>
    <d v="2024-11-15T00:00:00"/>
    <x v="1"/>
    <s v="Shipped"/>
    <s v="Amazon"/>
    <x v="0"/>
    <x v="1"/>
    <n v="51"/>
    <s v="J0341-DR-S"/>
    <x v="2"/>
    <s v="S"/>
    <n v="1"/>
    <s v="INR"/>
    <n v="744"/>
    <s v="HYDERABAD"/>
    <x v="6"/>
    <s v="IN"/>
  </r>
  <r>
    <n v="579"/>
    <s v="402-5917367-0340362"/>
    <d v="2023-11-06T00:00:00"/>
    <x v="1"/>
    <s v="Shipped - Delivered to Buyer"/>
    <s v="Merchant"/>
    <x v="0"/>
    <x v="2"/>
    <n v="34"/>
    <s v="J0416-DR-S"/>
    <x v="2"/>
    <s v="S"/>
    <n v="1"/>
    <s v="INR"/>
    <n v="825"/>
    <s v="Ahmedabad"/>
    <x v="19"/>
    <s v="IN"/>
  </r>
  <r>
    <n v="580"/>
    <s v="408-7154712-8009957"/>
    <d v="2024-07-17T00:00:00"/>
    <x v="10"/>
    <s v="Shipped"/>
    <s v="Amazon"/>
    <x v="1"/>
    <x v="1"/>
    <n v="39"/>
    <s v="JNE3405-KR-XL"/>
    <x v="1"/>
    <s v="XL"/>
    <n v="1"/>
    <s v="INR"/>
    <n v="399"/>
    <s v="CHENNAI"/>
    <x v="3"/>
    <s v="IN"/>
  </r>
  <r>
    <n v="581"/>
    <s v="402-6250862-8853945"/>
    <d v="2023-09-07T00:00:00"/>
    <x v="2"/>
    <s v="Shipped"/>
    <s v="Amazon"/>
    <x v="0"/>
    <x v="1"/>
    <n v="44"/>
    <s v="SET310-KR-NP-XXL"/>
    <x v="0"/>
    <s v="XXL"/>
    <n v="1"/>
    <s v="INR"/>
    <n v="1213"/>
    <s v="DHARMANAGAR"/>
    <x v="29"/>
    <s v="IN"/>
  </r>
  <r>
    <n v="582"/>
    <s v="406-0002738-2742749"/>
    <d v="2024-09-21T00:00:00"/>
    <x v="2"/>
    <s v="Shipped"/>
    <s v="Amazon"/>
    <x v="0"/>
    <x v="1"/>
    <n v="58"/>
    <s v="SET188-KR-NP-XS"/>
    <x v="0"/>
    <s v="XS"/>
    <n v="1"/>
    <s v="INR"/>
    <n v="680"/>
    <s v="JAIPUR"/>
    <x v="8"/>
    <s v="IN"/>
  </r>
  <r>
    <n v="583"/>
    <s v="403-6658095-6765934"/>
    <d v="2023-04-11T00:00:00"/>
    <x v="8"/>
    <s v="Shipped - Delivered to Buyer"/>
    <s v="Merchant"/>
    <x v="1"/>
    <x v="2"/>
    <n v="59"/>
    <s v="J0096-KR-XS"/>
    <x v="1"/>
    <s v="XS"/>
    <n v="1"/>
    <s v="INR"/>
    <n v="568"/>
    <s v="Jhajjar"/>
    <x v="10"/>
    <s v="IN"/>
  </r>
  <r>
    <n v="584"/>
    <s v="402-7304691-3952343"/>
    <d v="2024-11-21T00:00:00"/>
    <x v="1"/>
    <s v="Shipped"/>
    <s v="Amazon"/>
    <x v="0"/>
    <x v="1"/>
    <n v="34"/>
    <s v="SET323-KR-NP-XXL"/>
    <x v="0"/>
    <s v="XXL"/>
    <n v="1"/>
    <s v="INR"/>
    <n v="939"/>
    <s v="HYDERABAD"/>
    <x v="6"/>
    <s v="IN"/>
  </r>
  <r>
    <n v="585"/>
    <s v="407-6959497-7065133"/>
    <d v="2024-11-24T00:00:00"/>
    <x v="1"/>
    <s v="Shipped"/>
    <s v="Amazon"/>
    <x v="0"/>
    <x v="1"/>
    <n v="34"/>
    <s v="J0300-TP-XXXL"/>
    <x v="3"/>
    <s v="3XL"/>
    <n v="1"/>
    <s v="INR"/>
    <n v="279"/>
    <s v="BENGALURU"/>
    <x v="1"/>
    <s v="IN"/>
  </r>
  <r>
    <n v="586"/>
    <s v="406-0117804-3287554"/>
    <d v="2024-09-03T00:00:00"/>
    <x v="2"/>
    <s v="Shipped"/>
    <s v="Amazon"/>
    <x v="1"/>
    <x v="1"/>
    <n v="56"/>
    <s v="PJNE3405-KR-N-5XL"/>
    <x v="1"/>
    <s v="5XL"/>
    <n v="1"/>
    <s v="INR"/>
    <n v="487"/>
    <s v="JAMSHEDPUR"/>
    <x v="12"/>
    <s v="IN"/>
  </r>
  <r>
    <n v="587"/>
    <s v="407-9183800-1013951"/>
    <d v="2024-12-17T00:00:00"/>
    <x v="11"/>
    <s v="Shipped"/>
    <s v="Amazon"/>
    <x v="1"/>
    <x v="1"/>
    <n v="58"/>
    <s v="PJNE2100-KR-N-5XL"/>
    <x v="1"/>
    <s v="5XL"/>
    <n v="1"/>
    <s v="INR"/>
    <n v="458"/>
    <s v="VADODARA"/>
    <x v="19"/>
    <s v="IN"/>
  </r>
  <r>
    <n v="588"/>
    <s v="405-0930056-6437111"/>
    <d v="2023-11-19T00:00:00"/>
    <x v="1"/>
    <s v="Shipped"/>
    <s v="Amazon"/>
    <x v="1"/>
    <x v="1"/>
    <n v="26"/>
    <s v="PJNE3068-KR-5XL"/>
    <x v="1"/>
    <s v="5XL"/>
    <n v="1"/>
    <s v="INR"/>
    <n v="692"/>
    <s v="MEERUT"/>
    <x v="4"/>
    <s v="IN"/>
  </r>
  <r>
    <n v="589"/>
    <s v="405-7472210-7516334"/>
    <d v="2023-12-28T00:00:00"/>
    <x v="11"/>
    <s v="Shipped"/>
    <s v="Amazon"/>
    <x v="0"/>
    <x v="1"/>
    <n v="54"/>
    <s v="J0196-TP-XXL"/>
    <x v="3"/>
    <s v="XXL"/>
    <n v="1"/>
    <s v="INR"/>
    <n v="469"/>
    <s v="HYDERABAD"/>
    <x v="6"/>
    <s v="IN"/>
  </r>
  <r>
    <n v="590"/>
    <s v="408-4366006-6437145"/>
    <d v="2023-10-16T00:00:00"/>
    <x v="5"/>
    <s v="Shipped"/>
    <s v="Amazon"/>
    <x v="1"/>
    <x v="1"/>
    <n v="24"/>
    <s v="JNE3405-KR-XXXL"/>
    <x v="1"/>
    <s v="3XL"/>
    <n v="1"/>
    <s v="INR"/>
    <n v="399"/>
    <s v="GHAZIABAD"/>
    <x v="4"/>
    <s v="IN"/>
  </r>
  <r>
    <n v="591"/>
    <s v="403-3676854-5721945"/>
    <d v="2023-07-29T00:00:00"/>
    <x v="10"/>
    <s v="Shipped"/>
    <s v="Amazon"/>
    <x v="0"/>
    <x v="1"/>
    <n v="38"/>
    <s v="SET187-KR-DH-XL"/>
    <x v="0"/>
    <s v="XL"/>
    <n v="1"/>
    <s v="INR"/>
    <n v="599"/>
    <s v="GORAKHPUR"/>
    <x v="4"/>
    <s v="IN"/>
  </r>
  <r>
    <n v="592"/>
    <s v="408-6618566-0057120"/>
    <d v="2024-05-13T00:00:00"/>
    <x v="9"/>
    <s v="Shipped"/>
    <s v="Amazon"/>
    <x v="0"/>
    <x v="1"/>
    <n v="60"/>
    <s v="SET389-KR-NP-XL"/>
    <x v="0"/>
    <s v="XL"/>
    <n v="1"/>
    <s v="INR"/>
    <n v="680"/>
    <s v="MUDBIDRI"/>
    <x v="1"/>
    <s v="IN"/>
  </r>
  <r>
    <n v="593"/>
    <s v="171-7822891-4076363"/>
    <d v="2024-05-30T00:00:00"/>
    <x v="9"/>
    <s v="Cancelled"/>
    <s v="Amazon"/>
    <x v="0"/>
    <x v="1"/>
    <n v="21"/>
    <s v="J0008-SKD-XL"/>
    <x v="0"/>
    <s v="XL"/>
    <n v="0"/>
    <m/>
    <m/>
    <s v="VASCO DA GAMA"/>
    <x v="27"/>
    <s v="IN"/>
  </r>
  <r>
    <n v="594"/>
    <s v="406-3015774-3032307"/>
    <d v="2023-11-17T00:00:00"/>
    <x v="1"/>
    <s v="Shipped"/>
    <s v="Amazon"/>
    <x v="0"/>
    <x v="1"/>
    <n v="57"/>
    <s v="SAR040"/>
    <x v="6"/>
    <s v="Free"/>
    <n v="1"/>
    <s v="INR"/>
    <n v="989"/>
    <s v="NADIAD"/>
    <x v="19"/>
    <s v="IN"/>
  </r>
  <r>
    <n v="595"/>
    <s v="407-8925293-2306747"/>
    <d v="2023-08-23T00:00:00"/>
    <x v="3"/>
    <s v="Shipped - Delivered to Buyer"/>
    <s v="Merchant"/>
    <x v="0"/>
    <x v="0"/>
    <n v="29"/>
    <s v="J0372-SKD-L"/>
    <x v="0"/>
    <s v="L"/>
    <n v="1"/>
    <s v="INR"/>
    <n v="1099"/>
    <s v="Janipur"/>
    <x v="22"/>
    <s v="IN"/>
  </r>
  <r>
    <n v="596"/>
    <s v="402-7386453-2621962"/>
    <d v="2023-07-13T00:00:00"/>
    <x v="10"/>
    <s v="Shipped"/>
    <s v="Amazon"/>
    <x v="0"/>
    <x v="1"/>
    <n v="47"/>
    <s v="J0157-DR-S"/>
    <x v="2"/>
    <s v="S"/>
    <n v="1"/>
    <s v="INR"/>
    <n v="588"/>
    <s v="Nagpur"/>
    <x v="0"/>
    <s v="IN"/>
  </r>
  <r>
    <n v="597"/>
    <s v="405-7939580-3974740"/>
    <d v="2024-08-22T00:00:00"/>
    <x v="3"/>
    <s v="Cancelled"/>
    <s v="Amazon"/>
    <x v="0"/>
    <x v="1"/>
    <n v="28"/>
    <s v="J0376-SKD-S"/>
    <x v="0"/>
    <s v="S"/>
    <n v="1"/>
    <s v="INR"/>
    <n v="999"/>
    <s v="GHAZIABAD"/>
    <x v="4"/>
    <s v="IN"/>
  </r>
  <r>
    <n v="598"/>
    <s v="402-1304000-3677964"/>
    <d v="2023-05-26T00:00:00"/>
    <x v="9"/>
    <s v="Shipped"/>
    <s v="Amazon"/>
    <x v="1"/>
    <x v="1"/>
    <n v="34"/>
    <s v="JNE3518-KR-M"/>
    <x v="1"/>
    <s v="M"/>
    <n v="1"/>
    <s v="INR"/>
    <n v="487"/>
    <s v="HYDERABAD"/>
    <x v="6"/>
    <s v="IN"/>
  </r>
  <r>
    <n v="599"/>
    <s v="403-7294367-8346767"/>
    <d v="2024-02-03T00:00:00"/>
    <x v="4"/>
    <s v="Shipped"/>
    <s v="Amazon"/>
    <x v="0"/>
    <x v="1"/>
    <n v="54"/>
    <s v="J0095-SET-XXXL"/>
    <x v="0"/>
    <s v="3XL"/>
    <n v="1"/>
    <s v="INR"/>
    <n v="653"/>
    <s v="VISAKHAPATNAM"/>
    <x v="7"/>
    <s v="IN"/>
  </r>
  <r>
    <n v="600"/>
    <s v="403-7294367-8346767"/>
    <d v="2023-02-09T00:00:00"/>
    <x v="4"/>
    <s v="Shipped"/>
    <s v="Amazon"/>
    <x v="0"/>
    <x v="1"/>
    <n v="52"/>
    <s v="NW004-TP-PJ-XXXL"/>
    <x v="0"/>
    <s v="3XL"/>
    <n v="1"/>
    <s v="INR"/>
    <n v="496"/>
    <s v="VISAKHAPATNAM"/>
    <x v="7"/>
    <s v="IN"/>
  </r>
  <r>
    <n v="601"/>
    <s v="406-3069661-8992322"/>
    <d v="2023-01-16T00:00:00"/>
    <x v="7"/>
    <s v="Shipped"/>
    <s v="Amazon"/>
    <x v="1"/>
    <x v="1"/>
    <n v="45"/>
    <s v="J0167-KR-S"/>
    <x v="1"/>
    <s v="S"/>
    <n v="1"/>
    <s v="INR"/>
    <n v="319"/>
    <s v="KANPURKanpur"/>
    <x v="4"/>
    <s v="IN"/>
  </r>
  <r>
    <n v="602"/>
    <s v="405-6917473-7822701"/>
    <d v="2023-11-17T00:00:00"/>
    <x v="1"/>
    <s v="Cancelled"/>
    <s v="Amazon"/>
    <x v="0"/>
    <x v="1"/>
    <n v="44"/>
    <s v="SET374-KR-NP-XXXL"/>
    <x v="0"/>
    <s v="3XL"/>
    <n v="0"/>
    <m/>
    <m/>
    <s v="HYDERABAD"/>
    <x v="6"/>
    <s v="IN"/>
  </r>
  <r>
    <n v="603"/>
    <s v="405-2853362-9249968"/>
    <d v="2024-01-10T00:00:00"/>
    <x v="7"/>
    <s v="Shipped"/>
    <s v="Amazon"/>
    <x v="0"/>
    <x v="1"/>
    <n v="21"/>
    <s v="J0230-SKD-S"/>
    <x v="0"/>
    <s v="S"/>
    <n v="1"/>
    <s v="INR"/>
    <n v="1112"/>
    <s v="BENGALURU"/>
    <x v="1"/>
    <s v="IN"/>
  </r>
  <r>
    <n v="604"/>
    <s v="408-5685967-2798764"/>
    <d v="2024-03-25T00:00:00"/>
    <x v="0"/>
    <s v="Shipped"/>
    <s v="Amazon"/>
    <x v="1"/>
    <x v="1"/>
    <n v="44"/>
    <s v="JNE3465-KR-S"/>
    <x v="1"/>
    <s v="S"/>
    <n v="1"/>
    <s v="INR"/>
    <n v="517"/>
    <s v="Hamirpur"/>
    <x v="4"/>
    <s v="IN"/>
  </r>
  <r>
    <n v="605"/>
    <s v="407-1521483-6236364"/>
    <d v="2023-06-06T00:00:00"/>
    <x v="6"/>
    <s v="Shipped"/>
    <s v="Amazon"/>
    <x v="0"/>
    <x v="1"/>
    <n v="43"/>
    <s v="SET331-KR-NP-M"/>
    <x v="0"/>
    <s v="M"/>
    <n v="1"/>
    <s v="INR"/>
    <n v="597"/>
    <s v="CHENNAI"/>
    <x v="3"/>
    <s v="IN"/>
  </r>
  <r>
    <n v="606"/>
    <s v="407-3192826-3199543"/>
    <d v="2024-12-03T00:00:00"/>
    <x v="11"/>
    <s v="Shipped"/>
    <s v="Amazon"/>
    <x v="0"/>
    <x v="1"/>
    <n v="41"/>
    <s v="SET356-KR-NP-L"/>
    <x v="0"/>
    <s v="L"/>
    <n v="1"/>
    <s v="INR"/>
    <n v="1099"/>
    <s v="AMRITSAR"/>
    <x v="23"/>
    <s v="IN"/>
  </r>
  <r>
    <n v="607"/>
    <s v="405-6680529-6046716"/>
    <d v="2024-04-06T00:00:00"/>
    <x v="8"/>
    <s v="Shipped"/>
    <s v="Amazon"/>
    <x v="1"/>
    <x v="1"/>
    <n v="53"/>
    <s v="JNE3618-KR-M"/>
    <x v="1"/>
    <s v="M"/>
    <n v="1"/>
    <s v="INR"/>
    <n v="375"/>
    <s v="NEW DELHI"/>
    <x v="9"/>
    <s v="IN"/>
  </r>
  <r>
    <n v="608"/>
    <s v="407-3789221-2643524"/>
    <d v="2024-04-30T00:00:00"/>
    <x v="8"/>
    <s v="Shipped"/>
    <s v="Amazon"/>
    <x v="1"/>
    <x v="1"/>
    <n v="19"/>
    <s v="JNE3465-KR-XXXL"/>
    <x v="1"/>
    <s v="3XL"/>
    <n v="1"/>
    <s v="INR"/>
    <n v="517"/>
    <s v="COIMBATORE"/>
    <x v="3"/>
    <s v="IN"/>
  </r>
  <r>
    <n v="609"/>
    <s v="171-0201364-0214715"/>
    <d v="2024-05-25T00:00:00"/>
    <x v="9"/>
    <s v="Shipped"/>
    <s v="Amazon"/>
    <x v="0"/>
    <x v="1"/>
    <n v="52"/>
    <s v="SET293-KR-NP-XXL"/>
    <x v="0"/>
    <s v="XXL"/>
    <n v="1"/>
    <s v="INR"/>
    <n v="692"/>
    <s v="PALI"/>
    <x v="8"/>
    <s v="IN"/>
  </r>
  <r>
    <n v="610"/>
    <s v="404-5782230-8762723"/>
    <d v="2023-08-09T00:00:00"/>
    <x v="3"/>
    <s v="Shipped"/>
    <s v="Amazon"/>
    <x v="1"/>
    <x v="1"/>
    <n v="21"/>
    <s v="JNE3465-KR-XXL"/>
    <x v="1"/>
    <s v="XXL"/>
    <n v="1"/>
    <s v="INR"/>
    <n v="486"/>
    <s v="BASSEIN"/>
    <x v="0"/>
    <s v="IN"/>
  </r>
  <r>
    <n v="611"/>
    <s v="404-2222453-6739538"/>
    <d v="2023-12-31T00:00:00"/>
    <x v="11"/>
    <s v="Shipped - Delivered to Buyer"/>
    <s v="Merchant"/>
    <x v="0"/>
    <x v="0"/>
    <n v="38"/>
    <s v="SET375-KR-NP-XXL"/>
    <x v="0"/>
    <s v="XXL"/>
    <n v="1"/>
    <s v="INR"/>
    <n v="696"/>
    <s v="BASSEIN"/>
    <x v="0"/>
    <s v="IN"/>
  </r>
  <r>
    <n v="612"/>
    <s v="408-7009060-8830716"/>
    <d v="2024-04-22T00:00:00"/>
    <x v="8"/>
    <s v="Shipped"/>
    <s v="Amazon"/>
    <x v="0"/>
    <x v="1"/>
    <n v="53"/>
    <s v="SET398-KR-PP-M"/>
    <x v="0"/>
    <s v="M"/>
    <n v="1"/>
    <s v="INR"/>
    <n v="1115"/>
    <s v="THIRUVALLA"/>
    <x v="15"/>
    <s v="IN"/>
  </r>
  <r>
    <n v="613"/>
    <s v="402-3663529-2350713"/>
    <d v="2023-12-24T00:00:00"/>
    <x v="11"/>
    <s v="Shipped"/>
    <s v="Amazon"/>
    <x v="0"/>
    <x v="1"/>
    <n v="59"/>
    <s v="SET324-KR-NP-S"/>
    <x v="0"/>
    <s v="S"/>
    <n v="1"/>
    <s v="INR"/>
    <n v="597"/>
    <s v="GORAKHPUR"/>
    <x v="4"/>
    <s v="IN"/>
  </r>
  <r>
    <n v="614"/>
    <s v="406-6439645-8186752"/>
    <d v="2023-10-31T00:00:00"/>
    <x v="5"/>
    <s v="Shipped"/>
    <s v="Amazon"/>
    <x v="0"/>
    <x v="1"/>
    <n v="39"/>
    <s v="SET398-KR-PP-M"/>
    <x v="0"/>
    <s v="M"/>
    <n v="1"/>
    <s v="INR"/>
    <n v="1115"/>
    <s v="IMPHAL"/>
    <x v="26"/>
    <s v="IN"/>
  </r>
  <r>
    <n v="615"/>
    <s v="407-1487637-6585969"/>
    <d v="2024-07-12T00:00:00"/>
    <x v="10"/>
    <s v="Cancelled"/>
    <s v="Amazon"/>
    <x v="1"/>
    <x v="1"/>
    <n v="47"/>
    <s v="JNE3470-KR-XS"/>
    <x v="1"/>
    <s v="XS"/>
    <n v="1"/>
    <s v="INR"/>
    <n v="329"/>
    <s v="VELLORE"/>
    <x v="3"/>
    <s v="IN"/>
  </r>
  <r>
    <n v="616"/>
    <s v="407-0632004-8093157"/>
    <d v="2023-08-09T00:00:00"/>
    <x v="3"/>
    <s v="Cancelled"/>
    <s v="Amazon"/>
    <x v="1"/>
    <x v="1"/>
    <n v="39"/>
    <s v="JNE3619-KR-XS"/>
    <x v="1"/>
    <s v="XS"/>
    <n v="1"/>
    <s v="INR"/>
    <n v="318"/>
    <s v="VELLORE"/>
    <x v="3"/>
    <s v="IN"/>
  </r>
  <r>
    <n v="617"/>
    <s v="402-9211704-8331565"/>
    <d v="2023-07-14T00:00:00"/>
    <x v="10"/>
    <s v="Shipped - Delivered to Buyer"/>
    <s v="Merchant"/>
    <x v="1"/>
    <x v="2"/>
    <n v="30"/>
    <s v="JNE3273-KR-XXL"/>
    <x v="1"/>
    <s v="XXL"/>
    <n v="1"/>
    <s v="INR"/>
    <n v="499"/>
    <s v="AMBASAMUDRAM"/>
    <x v="3"/>
    <s v="IN"/>
  </r>
  <r>
    <n v="618"/>
    <s v="402-3020801-9225151"/>
    <d v="2023-06-17T00:00:00"/>
    <x v="6"/>
    <s v="Cancelled"/>
    <s v="Amazon"/>
    <x v="0"/>
    <x v="1"/>
    <n v="22"/>
    <s v="SET331-KR-NP-L"/>
    <x v="0"/>
    <s v="L"/>
    <n v="1"/>
    <s v="INR"/>
    <n v="597"/>
    <s v="Pathanamthitta"/>
    <x v="15"/>
    <s v="IN"/>
  </r>
  <r>
    <n v="619"/>
    <s v="403-3917470-4280308"/>
    <d v="2024-10-26T00:00:00"/>
    <x v="5"/>
    <s v="Shipped - Delivered to Buyer"/>
    <s v="Merchant"/>
    <x v="1"/>
    <x v="2"/>
    <n v="57"/>
    <s v="JNE3518-KR-XL"/>
    <x v="1"/>
    <s v="XL"/>
    <n v="1"/>
    <s v="INR"/>
    <n v="487"/>
    <s v="Chennai"/>
    <x v="3"/>
    <s v="IN"/>
  </r>
  <r>
    <n v="620"/>
    <s v="403-3917470-4280308"/>
    <d v="2024-09-17T00:00:00"/>
    <x v="2"/>
    <s v="Shipped - Delivered to Buyer"/>
    <s v="Merchant"/>
    <x v="1"/>
    <x v="2"/>
    <n v="24"/>
    <s v="JNE3476-KR-XL"/>
    <x v="1"/>
    <s v="XL"/>
    <n v="1"/>
    <s v="INR"/>
    <n v="363"/>
    <s v="Chennai"/>
    <x v="3"/>
    <s v="IN"/>
  </r>
  <r>
    <n v="621"/>
    <s v="171-2628906-0061939"/>
    <d v="2024-09-18T00:00:00"/>
    <x v="2"/>
    <s v="Shipped"/>
    <s v="Amazon"/>
    <x v="1"/>
    <x v="1"/>
    <n v="37"/>
    <s v="JNE3738-KR-XXXL"/>
    <x v="1"/>
    <s v="3XL"/>
    <n v="1"/>
    <s v="INR"/>
    <n v="459"/>
    <s v="NEW DELHI"/>
    <x v="9"/>
    <s v="IN"/>
  </r>
  <r>
    <n v="622"/>
    <s v="406-3009249-7653118"/>
    <d v="2023-03-10T00:00:00"/>
    <x v="0"/>
    <s v="Shipped"/>
    <s v="Amazon"/>
    <x v="1"/>
    <x v="1"/>
    <n v="55"/>
    <s v="JNE3465-KR-XS"/>
    <x v="1"/>
    <s v="XS"/>
    <n v="1"/>
    <s v="INR"/>
    <n v="486"/>
    <s v="Vizianagaram"/>
    <x v="7"/>
    <s v="IN"/>
  </r>
  <r>
    <n v="623"/>
    <s v="171-6395980-8828309"/>
    <d v="2023-04-03T00:00:00"/>
    <x v="8"/>
    <s v="Shipped"/>
    <s v="Amazon"/>
    <x v="1"/>
    <x v="1"/>
    <n v="43"/>
    <s v="JNE3463-KR-XXXL"/>
    <x v="1"/>
    <s v="3XL"/>
    <n v="1"/>
    <s v="INR"/>
    <n v="568"/>
    <s v="CHITTOOR district"/>
    <x v="7"/>
    <s v="IN"/>
  </r>
  <r>
    <n v="624"/>
    <s v="404-1435490-1121140"/>
    <d v="2023-09-29T00:00:00"/>
    <x v="2"/>
    <s v="Shipped - Delivered to Buyer"/>
    <s v="Merchant"/>
    <x v="1"/>
    <x v="2"/>
    <n v="51"/>
    <s v="MEN5032-KR-XXL"/>
    <x v="1"/>
    <s v="XXL"/>
    <n v="1"/>
    <s v="INR"/>
    <n v="562"/>
    <s v="BENGALURU"/>
    <x v="1"/>
    <s v="IN"/>
  </r>
  <r>
    <n v="625"/>
    <s v="402-7913336-9467565"/>
    <d v="2024-06-22T00:00:00"/>
    <x v="6"/>
    <s v="Shipped"/>
    <s v="Amazon"/>
    <x v="0"/>
    <x v="1"/>
    <n v="38"/>
    <s v="SET380-KR-NP-L"/>
    <x v="0"/>
    <s v="L"/>
    <n v="1"/>
    <s v="INR"/>
    <n v="995"/>
    <s v="RAE BARELI"/>
    <x v="4"/>
    <s v="IN"/>
  </r>
  <r>
    <n v="626"/>
    <s v="408-7264030-5002700"/>
    <d v="2023-05-25T00:00:00"/>
    <x v="9"/>
    <s v="Cancelled"/>
    <s v="Amazon"/>
    <x v="0"/>
    <x v="1"/>
    <n v="27"/>
    <s v="J0230-SKD-M"/>
    <x v="0"/>
    <s v="M"/>
    <n v="1"/>
    <s v="INR"/>
    <n v="1112"/>
    <s v="Benipur"/>
    <x v="21"/>
    <s v="IN"/>
  </r>
  <r>
    <n v="627"/>
    <s v="408-9019983-8862750"/>
    <d v="2023-12-26T00:00:00"/>
    <x v="11"/>
    <s v="Shipped"/>
    <s v="Amazon"/>
    <x v="0"/>
    <x v="1"/>
    <n v="42"/>
    <s v="SET324-KR-NP-XXXL"/>
    <x v="0"/>
    <s v="3XL"/>
    <n v="1"/>
    <s v="INR"/>
    <n v="635"/>
    <s v="NEW DELHI"/>
    <x v="9"/>
    <s v="IN"/>
  </r>
  <r>
    <n v="628"/>
    <s v="405-1990663-9192363"/>
    <d v="2023-09-06T00:00:00"/>
    <x v="2"/>
    <s v="Shipped"/>
    <s v="Amazon"/>
    <x v="1"/>
    <x v="1"/>
    <n v="60"/>
    <s v="JNE3405-KR-L"/>
    <x v="1"/>
    <s v="L"/>
    <n v="1"/>
    <s v="INR"/>
    <n v="399"/>
    <s v="KHATIMA"/>
    <x v="20"/>
    <s v="IN"/>
  </r>
  <r>
    <n v="629"/>
    <s v="403-5876876-0701925"/>
    <d v="2023-09-09T00:00:00"/>
    <x v="2"/>
    <s v="Shipped"/>
    <s v="Amazon"/>
    <x v="1"/>
    <x v="1"/>
    <n v="35"/>
    <s v="JNE3461-KR-XL"/>
    <x v="1"/>
    <s v="XL"/>
    <n v="1"/>
    <s v="INR"/>
    <n v="363"/>
    <s v="ERODE"/>
    <x v="3"/>
    <s v="IN"/>
  </r>
  <r>
    <n v="630"/>
    <s v="405-1437048-4974713"/>
    <d v="2023-06-02T00:00:00"/>
    <x v="6"/>
    <s v="Cancelled"/>
    <s v="Amazon"/>
    <x v="0"/>
    <x v="1"/>
    <n v="36"/>
    <s v="SET324-KR-NP-XS"/>
    <x v="0"/>
    <s v="XS"/>
    <n v="0"/>
    <m/>
    <m/>
    <s v="BOKARO STEEL CITY"/>
    <x v="12"/>
    <s v="IN"/>
  </r>
  <r>
    <n v="631"/>
    <s v="402-9348518-5984354"/>
    <d v="2024-05-10T00:00:00"/>
    <x v="9"/>
    <s v="Cancelled"/>
    <s v="Amazon"/>
    <x v="1"/>
    <x v="1"/>
    <n v="22"/>
    <s v="JNE3611-KR-XXXL"/>
    <x v="1"/>
    <s v="3XL"/>
    <n v="0"/>
    <m/>
    <m/>
    <s v="JAIPUR"/>
    <x v="8"/>
    <s v="IN"/>
  </r>
  <r>
    <n v="632"/>
    <s v="402-9348518-5984354"/>
    <d v="2024-11-05T00:00:00"/>
    <x v="1"/>
    <s v="Cancelled"/>
    <s v="Amazon"/>
    <x v="1"/>
    <x v="1"/>
    <n v="39"/>
    <s v="JNE3461-KR-XXL"/>
    <x v="1"/>
    <s v="XXL"/>
    <n v="0"/>
    <m/>
    <m/>
    <s v="JAIPUR"/>
    <x v="8"/>
    <s v="IN"/>
  </r>
  <r>
    <n v="633"/>
    <s v="406-8892825-4377127"/>
    <d v="2023-12-08T00:00:00"/>
    <x v="11"/>
    <s v="Cancelled"/>
    <s v="Amazon"/>
    <x v="0"/>
    <x v="1"/>
    <n v="44"/>
    <s v="SET388-KR-NP-L"/>
    <x v="0"/>
    <s v="L"/>
    <n v="0"/>
    <m/>
    <m/>
    <s v="GURUGRAM"/>
    <x v="10"/>
    <s v="IN"/>
  </r>
  <r>
    <n v="634"/>
    <s v="406-7955475-7819507"/>
    <d v="2024-06-14T00:00:00"/>
    <x v="6"/>
    <s v="Shipped"/>
    <s v="Amazon"/>
    <x v="1"/>
    <x v="1"/>
    <n v="18"/>
    <s v="JNE3784-KR-M"/>
    <x v="1"/>
    <s v="M"/>
    <n v="1"/>
    <s v="INR"/>
    <n v="458"/>
    <s v="BENGALURU"/>
    <x v="1"/>
    <s v="IN"/>
  </r>
  <r>
    <n v="635"/>
    <s v="405-6675358-3715504"/>
    <d v="2024-10-03T00:00:00"/>
    <x v="5"/>
    <s v="Shipped"/>
    <s v="Amazon"/>
    <x v="0"/>
    <x v="1"/>
    <n v="46"/>
    <s v="SET114-KR-PP-XS"/>
    <x v="0"/>
    <s v="XS"/>
    <n v="1"/>
    <s v="INR"/>
    <n v="597"/>
    <s v="Ulhasnagar"/>
    <x v="0"/>
    <s v="IN"/>
  </r>
  <r>
    <n v="636"/>
    <s v="171-7920358-6691543"/>
    <d v="2024-03-01T00:00:00"/>
    <x v="0"/>
    <s v="Shipped"/>
    <s v="Amazon"/>
    <x v="0"/>
    <x v="1"/>
    <n v="59"/>
    <s v="SET331-KR-NP-L"/>
    <x v="0"/>
    <s v="L"/>
    <n v="1"/>
    <s v="INR"/>
    <n v="597"/>
    <s v="BENGALURU"/>
    <x v="1"/>
    <s v="IN"/>
  </r>
  <r>
    <n v="637"/>
    <s v="406-7722012-4093964"/>
    <d v="2024-05-23T00:00:00"/>
    <x v="9"/>
    <s v="Shipped - Delivered to Buyer"/>
    <s v="Merchant"/>
    <x v="1"/>
    <x v="0"/>
    <n v="29"/>
    <s v="J0385-KR-M"/>
    <x v="1"/>
    <s v="M"/>
    <n v="1"/>
    <s v="INR"/>
    <n v="1249"/>
    <s v="INDORE"/>
    <x v="16"/>
    <s v="IN"/>
  </r>
  <r>
    <n v="638"/>
    <s v="408-7616878-8551517"/>
    <d v="2024-05-15T00:00:00"/>
    <x v="9"/>
    <s v="Shipped"/>
    <s v="Amazon"/>
    <x v="0"/>
    <x v="1"/>
    <n v="39"/>
    <s v="SET347-KR-NP-L"/>
    <x v="0"/>
    <s v="L"/>
    <n v="1"/>
    <s v="INR"/>
    <n v="801"/>
    <s v="HALWARA"/>
    <x v="23"/>
    <s v="IN"/>
  </r>
  <r>
    <n v="639"/>
    <s v="408-8068196-8707526"/>
    <d v="2024-12-26T00:00:00"/>
    <x v="11"/>
    <s v="Cancelled"/>
    <s v="Amazon"/>
    <x v="1"/>
    <x v="1"/>
    <n v="30"/>
    <s v="JNE3437-KR-XXL"/>
    <x v="1"/>
    <s v="XXL"/>
    <n v="0"/>
    <m/>
    <m/>
    <s v="THANE"/>
    <x v="0"/>
    <s v="IN"/>
  </r>
  <r>
    <n v="640"/>
    <s v="407-2512537-5717124"/>
    <d v="2023-01-17T00:00:00"/>
    <x v="7"/>
    <s v="Shipped"/>
    <s v="Amazon"/>
    <x v="1"/>
    <x v="1"/>
    <n v="56"/>
    <s v="JNE3065-KR-XXL"/>
    <x v="1"/>
    <s v="XXL"/>
    <n v="1"/>
    <s v="INR"/>
    <n v="393"/>
    <s v="BENGALURU"/>
    <x v="1"/>
    <s v="IN"/>
  </r>
  <r>
    <n v="641"/>
    <s v="406-3257301-5556318"/>
    <d v="2024-05-19T00:00:00"/>
    <x v="9"/>
    <s v="Shipped"/>
    <s v="Amazon"/>
    <x v="0"/>
    <x v="1"/>
    <n v="59"/>
    <s v="J0343-DR-XXL"/>
    <x v="2"/>
    <s v="XXL"/>
    <n v="1"/>
    <s v="INR"/>
    <n v="744"/>
    <s v="Neelakudi, Thiruvarur"/>
    <x v="3"/>
    <s v="IN"/>
  </r>
  <r>
    <n v="642"/>
    <s v="402-7784273-3159533"/>
    <d v="2023-08-02T00:00:00"/>
    <x v="3"/>
    <s v="Shipped"/>
    <s v="Amazon"/>
    <x v="0"/>
    <x v="1"/>
    <n v="47"/>
    <s v="J0119-TP-XL"/>
    <x v="3"/>
    <s v="XL"/>
    <n v="1"/>
    <s v="INR"/>
    <n v="540"/>
    <s v="JAIPUR"/>
    <x v="8"/>
    <s v="IN"/>
  </r>
  <r>
    <n v="643"/>
    <s v="403-9745522-7408318"/>
    <d v="2024-11-15T00:00:00"/>
    <x v="1"/>
    <s v="Shipped"/>
    <s v="Amazon"/>
    <x v="0"/>
    <x v="1"/>
    <n v="31"/>
    <s v="J0003-SET-L"/>
    <x v="0"/>
    <s v="L"/>
    <n v="1"/>
    <s v="INR"/>
    <n v="696"/>
    <s v="CUTTACK"/>
    <x v="14"/>
    <s v="IN"/>
  </r>
  <r>
    <n v="644"/>
    <s v="405-7523500-6097912"/>
    <d v="2023-11-09T00:00:00"/>
    <x v="1"/>
    <s v="Shipped"/>
    <s v="Amazon"/>
    <x v="0"/>
    <x v="1"/>
    <n v="44"/>
    <s v="J0334-TP-XL"/>
    <x v="3"/>
    <s v="XL"/>
    <n v="1"/>
    <s v="INR"/>
    <n v="512"/>
    <s v="KOLKATA"/>
    <x v="17"/>
    <s v="IN"/>
  </r>
  <r>
    <n v="645"/>
    <s v="171-0947491-1860302"/>
    <d v="2023-01-12T00:00:00"/>
    <x v="7"/>
    <s v="Shipped"/>
    <s v="Amazon"/>
    <x v="0"/>
    <x v="1"/>
    <n v="57"/>
    <s v="J0236-SKD-XXL"/>
    <x v="0"/>
    <s v="XXL"/>
    <n v="1"/>
    <s v="INR"/>
    <n v="922"/>
    <s v="MUMBAI"/>
    <x v="0"/>
    <s v="IN"/>
  </r>
  <r>
    <n v="646"/>
    <s v="407-9614308-2636322"/>
    <d v="2023-12-20T00:00:00"/>
    <x v="11"/>
    <s v="Shipped"/>
    <s v="Amazon"/>
    <x v="0"/>
    <x v="1"/>
    <n v="53"/>
    <s v="J0126-SKD-XXXL"/>
    <x v="0"/>
    <s v="3XL"/>
    <n v="1"/>
    <s v="INR"/>
    <n v="818"/>
    <s v="VIJAYAWADA"/>
    <x v="7"/>
    <s v="IN"/>
  </r>
  <r>
    <n v="647"/>
    <s v="171-6153595-4758722"/>
    <d v="2023-08-12T00:00:00"/>
    <x v="3"/>
    <s v="Shipped"/>
    <s v="Amazon"/>
    <x v="0"/>
    <x v="1"/>
    <n v="54"/>
    <s v="J0230-SKD-S"/>
    <x v="0"/>
    <s v="S"/>
    <n v="2"/>
    <s v="INR"/>
    <n v="2224"/>
    <s v="VASAI VIRAR"/>
    <x v="0"/>
    <s v="IN"/>
  </r>
  <r>
    <n v="648"/>
    <s v="402-0721169-8180327"/>
    <d v="2024-10-16T00:00:00"/>
    <x v="5"/>
    <s v="Shipped"/>
    <s v="Amazon"/>
    <x v="0"/>
    <x v="1"/>
    <n v="23"/>
    <s v="J0230-SKD-XL"/>
    <x v="0"/>
    <s v="XL"/>
    <n v="1"/>
    <s v="INR"/>
    <n v="1112"/>
    <s v="KOLKATA"/>
    <x v="17"/>
    <s v="IN"/>
  </r>
  <r>
    <n v="649"/>
    <s v="406-9129776-9779513"/>
    <d v="2023-10-27T00:00:00"/>
    <x v="5"/>
    <s v="Shipped"/>
    <s v="Amazon"/>
    <x v="0"/>
    <x v="1"/>
    <n v="50"/>
    <s v="SET171-KR-NP-M"/>
    <x v="0"/>
    <s v="M"/>
    <n v="1"/>
    <s v="INR"/>
    <n v="792"/>
    <s v="SHIMLA"/>
    <x v="24"/>
    <s v="IN"/>
  </r>
  <r>
    <n v="650"/>
    <s v="406-4276465-0364334"/>
    <d v="2024-08-01T00:00:00"/>
    <x v="3"/>
    <s v="Shipped"/>
    <s v="Amazon"/>
    <x v="0"/>
    <x v="1"/>
    <n v="30"/>
    <s v="SET264-KR-NP-XXL"/>
    <x v="0"/>
    <s v="XXL"/>
    <n v="1"/>
    <s v="INR"/>
    <n v="824"/>
    <s v="NEW DELHI"/>
    <x v="9"/>
    <s v="IN"/>
  </r>
  <r>
    <n v="651"/>
    <s v="402-8123545-4535558"/>
    <d v="2024-04-30T00:00:00"/>
    <x v="8"/>
    <s v="Cancelled"/>
    <s v="Merchant"/>
    <x v="1"/>
    <x v="0"/>
    <n v="55"/>
    <s v="JNE3365-KR-1052-A-XXXL"/>
    <x v="1"/>
    <s v="3XL"/>
    <n v="0"/>
    <s v="INR"/>
    <n v="358.1"/>
    <s v="COIMBATORE"/>
    <x v="3"/>
    <s v="IN"/>
  </r>
  <r>
    <n v="652"/>
    <s v="408-0987613-5525924"/>
    <d v="2023-11-26T00:00:00"/>
    <x v="1"/>
    <s v="Cancelled"/>
    <s v="Amazon"/>
    <x v="0"/>
    <x v="1"/>
    <n v="58"/>
    <s v="J0230-SKD-M"/>
    <x v="0"/>
    <s v="M"/>
    <n v="0"/>
    <m/>
    <m/>
    <s v="DARBHANGA"/>
    <x v="21"/>
    <s v="IN"/>
  </r>
  <r>
    <n v="653"/>
    <s v="406-0038568-0852338"/>
    <d v="2023-03-03T00:00:00"/>
    <x v="0"/>
    <s v="Shipped"/>
    <s v="Amazon"/>
    <x v="0"/>
    <x v="1"/>
    <n v="33"/>
    <s v="SET197-KR-NP-L"/>
    <x v="0"/>
    <s v="L"/>
    <n v="1"/>
    <s v="INR"/>
    <n v="759"/>
    <s v="BURDWAN"/>
    <x v="17"/>
    <s v="IN"/>
  </r>
  <r>
    <n v="654"/>
    <s v="403-5684700-6277902"/>
    <d v="2024-02-10T00:00:00"/>
    <x v="4"/>
    <s v="Shipped"/>
    <s v="Amazon"/>
    <x v="0"/>
    <x v="1"/>
    <n v="23"/>
    <s v="J0341-DR-S"/>
    <x v="2"/>
    <s v="S"/>
    <n v="1"/>
    <s v="INR"/>
    <n v="744"/>
    <s v="HYDERABAD"/>
    <x v="6"/>
    <s v="IN"/>
  </r>
  <r>
    <n v="655"/>
    <s v="403-2561797-6193141"/>
    <d v="2023-12-05T00:00:00"/>
    <x v="11"/>
    <s v="Shipped"/>
    <s v="Amazon"/>
    <x v="0"/>
    <x v="1"/>
    <n v="47"/>
    <s v="J0012-SKD-XXL"/>
    <x v="0"/>
    <s v="XXL"/>
    <n v="1"/>
    <s v="INR"/>
    <n v="1140"/>
    <s v="KOLKATA"/>
    <x v="17"/>
    <s v="IN"/>
  </r>
  <r>
    <n v="656"/>
    <s v="406-4980665-9833930"/>
    <d v="2023-08-05T00:00:00"/>
    <x v="3"/>
    <s v="Shipped"/>
    <s v="Amazon"/>
    <x v="0"/>
    <x v="1"/>
    <n v="32"/>
    <s v="J0308-DR-M"/>
    <x v="2"/>
    <s v="M"/>
    <n v="1"/>
    <s v="INR"/>
    <n v="625"/>
    <s v="Secunderabad"/>
    <x v="6"/>
    <s v="IN"/>
  </r>
  <r>
    <n v="657"/>
    <s v="405-9201316-2870743"/>
    <d v="2024-03-07T00:00:00"/>
    <x v="0"/>
    <s v="Shipped - Delivered to Buyer"/>
    <s v="Merchant"/>
    <x v="0"/>
    <x v="2"/>
    <n v="38"/>
    <s v="J0117-TP-XXL"/>
    <x v="3"/>
    <s v="XXL"/>
    <n v="1"/>
    <s v="INR"/>
    <n v="518"/>
    <s v="MIHAN"/>
    <x v="0"/>
    <s v="IN"/>
  </r>
  <r>
    <n v="658"/>
    <s v="408-7966317-7457928"/>
    <d v="2024-11-28T00:00:00"/>
    <x v="1"/>
    <s v="Shipped - Delivered to Buyer"/>
    <s v="Merchant"/>
    <x v="0"/>
    <x v="0"/>
    <n v="21"/>
    <s v="SET183-KR-DH-M"/>
    <x v="0"/>
    <s v="M"/>
    <n v="1"/>
    <s v="INR"/>
    <n v="759"/>
    <s v="NEW DELHI"/>
    <x v="9"/>
    <s v="IN"/>
  </r>
  <r>
    <n v="659"/>
    <s v="171-0983521-4425145"/>
    <d v="2023-04-23T00:00:00"/>
    <x v="8"/>
    <s v="Shipped"/>
    <s v="Amazon"/>
    <x v="0"/>
    <x v="1"/>
    <n v="26"/>
    <s v="J0341-DR-M"/>
    <x v="2"/>
    <s v="M"/>
    <n v="1"/>
    <s v="INR"/>
    <n v="744"/>
    <s v="HYDERABAD"/>
    <x v="6"/>
    <s v="IN"/>
  </r>
  <r>
    <n v="660"/>
    <s v="403-5847066-2369918"/>
    <d v="2023-10-24T00:00:00"/>
    <x v="5"/>
    <s v="Shipped"/>
    <s v="Amazon"/>
    <x v="0"/>
    <x v="1"/>
    <n v="50"/>
    <s v="J0230-SKD-S"/>
    <x v="0"/>
    <s v="S"/>
    <n v="1"/>
    <s v="INR"/>
    <n v="1112"/>
    <s v="KHURJA"/>
    <x v="4"/>
    <s v="IN"/>
  </r>
  <r>
    <n v="661"/>
    <s v="404-9771516-3764302"/>
    <d v="2024-12-18T00:00:00"/>
    <x v="11"/>
    <s v="Shipped"/>
    <s v="Amazon"/>
    <x v="0"/>
    <x v="1"/>
    <n v="34"/>
    <s v="J0012-SKD-XXL"/>
    <x v="0"/>
    <s v="XXL"/>
    <n v="1"/>
    <s v="INR"/>
    <n v="1140"/>
    <s v="KOLKATA"/>
    <x v="17"/>
    <s v="IN"/>
  </r>
  <r>
    <n v="662"/>
    <s v="405-0534257-8109938"/>
    <d v="2023-05-17T00:00:00"/>
    <x v="9"/>
    <s v="Shipped"/>
    <s v="Amazon"/>
    <x v="1"/>
    <x v="1"/>
    <n v="32"/>
    <s v="JNE3465-KR-M"/>
    <x v="1"/>
    <s v="M"/>
    <n v="1"/>
    <s v="INR"/>
    <n v="486"/>
    <s v="NEW DELHI"/>
    <x v="9"/>
    <s v="IN"/>
  </r>
  <r>
    <n v="663"/>
    <s v="171-5702903-4981901"/>
    <d v="2024-07-14T00:00:00"/>
    <x v="10"/>
    <s v="Shipped - Delivered to Buyer"/>
    <s v="Merchant"/>
    <x v="0"/>
    <x v="2"/>
    <n v="40"/>
    <s v="SET265-KR-NP-XS"/>
    <x v="0"/>
    <s v="XS"/>
    <n v="1"/>
    <s v="INR"/>
    <n v="888"/>
    <s v="NOIDA"/>
    <x v="4"/>
    <s v="IN"/>
  </r>
  <r>
    <n v="664"/>
    <s v="406-6474243-1265115"/>
    <d v="2024-05-27T00:00:00"/>
    <x v="9"/>
    <s v="Shipped"/>
    <s v="Amazon"/>
    <x v="0"/>
    <x v="1"/>
    <n v="26"/>
    <s v="SET433-KR-NP-XL"/>
    <x v="0"/>
    <s v="XL"/>
    <n v="1"/>
    <s v="INR"/>
    <n v="666"/>
    <s v="Choglamsar"/>
    <x v="30"/>
    <s v="IN"/>
  </r>
  <r>
    <n v="665"/>
    <s v="405-3523941-5355524"/>
    <d v="2024-11-02T00:00:00"/>
    <x v="1"/>
    <s v="Shipped - Delivered to Buyer"/>
    <s v="Merchant"/>
    <x v="1"/>
    <x v="2"/>
    <n v="35"/>
    <s v="JNE3769-KR-L"/>
    <x v="1"/>
    <s v="L"/>
    <n v="1"/>
    <s v="INR"/>
    <n v="487"/>
    <s v="HYDERABAD"/>
    <x v="6"/>
    <s v="IN"/>
  </r>
  <r>
    <n v="666"/>
    <s v="405-3523941-5355524"/>
    <d v="2024-03-10T00:00:00"/>
    <x v="0"/>
    <s v="Shipped - Delivered to Buyer"/>
    <s v="Merchant"/>
    <x v="0"/>
    <x v="2"/>
    <n v="26"/>
    <s v="SET324-KR-NP-L"/>
    <x v="0"/>
    <s v="L"/>
    <n v="1"/>
    <s v="INR"/>
    <n v="597"/>
    <s v="HYDERABAD"/>
    <x v="6"/>
    <s v="IN"/>
  </r>
  <r>
    <n v="667"/>
    <s v="403-5082537-8368348"/>
    <d v="2023-03-16T00:00:00"/>
    <x v="0"/>
    <s v="Shipped - Delivered to Buyer"/>
    <s v="Merchant"/>
    <x v="1"/>
    <x v="0"/>
    <n v="40"/>
    <s v="JNE3468-KR-XXXL"/>
    <x v="1"/>
    <s v="3XL"/>
    <n v="1"/>
    <s v="INR"/>
    <n v="363"/>
    <s v="BENGALURU"/>
    <x v="1"/>
    <s v="IN"/>
  </r>
  <r>
    <n v="668"/>
    <s v="408-5947919-3506726"/>
    <d v="2023-03-27T00:00:00"/>
    <x v="0"/>
    <s v="Shipped"/>
    <s v="Amazon"/>
    <x v="0"/>
    <x v="1"/>
    <n v="27"/>
    <s v="J0334-TP-L"/>
    <x v="3"/>
    <s v="L"/>
    <n v="1"/>
    <s v="INR"/>
    <n v="512"/>
    <s v="YAVATMAL"/>
    <x v="0"/>
    <s v="IN"/>
  </r>
  <r>
    <n v="669"/>
    <s v="408-6114783-6199528"/>
    <d v="2024-07-29T00:00:00"/>
    <x v="10"/>
    <s v="Shipped"/>
    <s v="Amazon"/>
    <x v="0"/>
    <x v="1"/>
    <n v="46"/>
    <s v="J0154-DR-XXL"/>
    <x v="2"/>
    <s v="XXL"/>
    <n v="1"/>
    <s v="INR"/>
    <n v="377"/>
    <s v="Allahabad"/>
    <x v="4"/>
    <s v="IN"/>
  </r>
  <r>
    <n v="670"/>
    <s v="408-6114783-6199528"/>
    <d v="2023-01-09T00:00:00"/>
    <x v="7"/>
    <s v="Shipped"/>
    <s v="Amazon"/>
    <x v="0"/>
    <x v="1"/>
    <n v="44"/>
    <s v="J0154-DR-XS"/>
    <x v="2"/>
    <s v="XS"/>
    <n v="1"/>
    <s v="INR"/>
    <n v="377"/>
    <s v="Allahabad"/>
    <x v="4"/>
    <s v="IN"/>
  </r>
  <r>
    <n v="671"/>
    <s v="408-9630926-2785104"/>
    <d v="2023-10-31T00:00:00"/>
    <x v="5"/>
    <s v="Cancelled"/>
    <s v="Amazon"/>
    <x v="0"/>
    <x v="1"/>
    <n v="31"/>
    <s v="SET268-KR-NP-M"/>
    <x v="0"/>
    <s v="M"/>
    <n v="0"/>
    <m/>
    <m/>
    <s v="REDHAKHOL"/>
    <x v="14"/>
    <s v="IN"/>
  </r>
  <r>
    <n v="672"/>
    <s v="403-5342526-7867558"/>
    <d v="2023-10-19T00:00:00"/>
    <x v="5"/>
    <s v="Cancelled"/>
    <s v="Merchant"/>
    <x v="1"/>
    <x v="2"/>
    <n v="33"/>
    <s v="MEN5019-KR-XXXL"/>
    <x v="1"/>
    <s v="3XL"/>
    <n v="0"/>
    <m/>
    <m/>
    <s v="FARIDABAD"/>
    <x v="10"/>
    <s v="IN"/>
  </r>
  <r>
    <n v="673"/>
    <s v="404-2255125-4533134"/>
    <d v="2024-03-26T00:00:00"/>
    <x v="0"/>
    <s v="Shipped"/>
    <s v="Amazon"/>
    <x v="0"/>
    <x v="1"/>
    <n v="51"/>
    <s v="SET333-KR-DPT-XS"/>
    <x v="0"/>
    <s v="XS"/>
    <n v="1"/>
    <s v="INR"/>
    <n v="967"/>
    <s v="CHENNAI"/>
    <x v="3"/>
    <s v="IN"/>
  </r>
  <r>
    <n v="674"/>
    <s v="171-5594281-0212357"/>
    <d v="2023-11-25T00:00:00"/>
    <x v="1"/>
    <s v="Shipped - Delivered to Buyer"/>
    <s v="Merchant"/>
    <x v="0"/>
    <x v="2"/>
    <n v="54"/>
    <s v="SET110-KR-PP-XXXL"/>
    <x v="0"/>
    <s v="3XL"/>
    <n v="1"/>
    <s v="INR"/>
    <n v="788"/>
    <s v="SHILLONG"/>
    <x v="28"/>
    <s v="IN"/>
  </r>
  <r>
    <n v="675"/>
    <s v="405-6041428-1576346"/>
    <d v="2024-05-23T00:00:00"/>
    <x v="9"/>
    <s v="Cancelled"/>
    <s v="Amazon"/>
    <x v="0"/>
    <x v="1"/>
    <n v="56"/>
    <s v="SET293-KR-NP-XXL"/>
    <x v="0"/>
    <s v="XXL"/>
    <n v="0"/>
    <m/>
    <m/>
    <s v="GURUGRAM"/>
    <x v="10"/>
    <s v="IN"/>
  </r>
  <r>
    <n v="676"/>
    <s v="405-5933927-3375545"/>
    <d v="2024-07-25T00:00:00"/>
    <x v="10"/>
    <s v="Cancelled"/>
    <s v="Merchant"/>
    <x v="0"/>
    <x v="2"/>
    <n v="21"/>
    <s v="SET317-KR-PP-XXL"/>
    <x v="0"/>
    <s v="XXL"/>
    <n v="0"/>
    <s v="INR"/>
    <n v="1058.93"/>
    <s v="GURUGRAM"/>
    <x v="10"/>
    <s v="IN"/>
  </r>
  <r>
    <n v="677"/>
    <s v="405-5933927-3375545"/>
    <d v="2023-08-15T00:00:00"/>
    <x v="3"/>
    <s v="Cancelled"/>
    <s v="Merchant"/>
    <x v="0"/>
    <x v="0"/>
    <n v="39"/>
    <s v="SET355-KR-PP-XXL"/>
    <x v="0"/>
    <s v="XXL"/>
    <n v="0"/>
    <s v="INR"/>
    <n v="1249.1099999999999"/>
    <s v="GURUGRAM"/>
    <x v="10"/>
    <s v="IN"/>
  </r>
  <r>
    <n v="678"/>
    <s v="405-3785331-3948333"/>
    <d v="2024-04-17T00:00:00"/>
    <x v="8"/>
    <s v="Shipped"/>
    <s v="Amazon"/>
    <x v="0"/>
    <x v="1"/>
    <n v="30"/>
    <s v="SET324-KR-NP-XS"/>
    <x v="0"/>
    <s v="XS"/>
    <n v="1"/>
    <s v="INR"/>
    <n v="597"/>
    <s v="HYDERABAD"/>
    <x v="6"/>
    <s v="IN"/>
  </r>
  <r>
    <n v="679"/>
    <s v="404-8711304-7038702"/>
    <d v="2023-02-17T00:00:00"/>
    <x v="4"/>
    <s v="Shipped"/>
    <s v="Amazon"/>
    <x v="0"/>
    <x v="1"/>
    <n v="32"/>
    <s v="J0230-SKD-S"/>
    <x v="0"/>
    <s v="S"/>
    <n v="1"/>
    <s v="INR"/>
    <n v="1112"/>
    <s v="HYDERABAD"/>
    <x v="6"/>
    <s v="IN"/>
  </r>
  <r>
    <n v="680"/>
    <s v="405-2872303-9941933"/>
    <d v="2023-03-28T00:00:00"/>
    <x v="0"/>
    <s v="Cancelled"/>
    <s v="Merchant"/>
    <x v="1"/>
    <x v="0"/>
    <n v="28"/>
    <s v="PJNE2171-KR-N-5XL"/>
    <x v="1"/>
    <s v="5XL"/>
    <n v="0"/>
    <s v="INR"/>
    <n v="700.96"/>
    <s v="AHMEDABAD"/>
    <x v="19"/>
    <s v="IN"/>
  </r>
  <r>
    <n v="681"/>
    <s v="402-6464284-9643538"/>
    <d v="2023-05-18T00:00:00"/>
    <x v="9"/>
    <s v="Shipped"/>
    <s v="Amazon"/>
    <x v="0"/>
    <x v="1"/>
    <n v="50"/>
    <s v="SET310-KR-NP-S"/>
    <x v="0"/>
    <s v="S"/>
    <n v="1"/>
    <s v="INR"/>
    <n v="1213"/>
    <s v="FARIDPUR BAREILLY DISTRICT"/>
    <x v="4"/>
    <s v="IN"/>
  </r>
  <r>
    <n v="682"/>
    <s v="405-7534473-2900341"/>
    <d v="2024-10-24T00:00:00"/>
    <x v="5"/>
    <s v="Shipped"/>
    <s v="Amazon"/>
    <x v="1"/>
    <x v="1"/>
    <n v="18"/>
    <s v="JNE3794-KR-M"/>
    <x v="1"/>
    <s v="M"/>
    <n v="1"/>
    <s v="INR"/>
    <n v="517"/>
    <s v="Rourkela"/>
    <x v="14"/>
    <s v="IN"/>
  </r>
  <r>
    <n v="683"/>
    <s v="407-2944929-6438702"/>
    <d v="2024-08-07T00:00:00"/>
    <x v="3"/>
    <s v="Shipped - Delivered to Buyer"/>
    <s v="Merchant"/>
    <x v="0"/>
    <x v="0"/>
    <n v="33"/>
    <s v="SET219-KR-PP-XXXL"/>
    <x v="0"/>
    <s v="3XL"/>
    <n v="1"/>
    <s v="INR"/>
    <n v="662"/>
    <s v="VIJAYAWADA"/>
    <x v="7"/>
    <s v="IN"/>
  </r>
  <r>
    <n v="684"/>
    <s v="171-0362861-1228360"/>
    <d v="2024-07-12T00:00:00"/>
    <x v="10"/>
    <s v="Shipped"/>
    <s v="Amazon"/>
    <x v="1"/>
    <x v="1"/>
    <n v="46"/>
    <s v="J0096-KR-XL"/>
    <x v="1"/>
    <s v="XL"/>
    <n v="1"/>
    <s v="INR"/>
    <n v="568"/>
    <s v="VIZIANAGARAM"/>
    <x v="7"/>
    <s v="IN"/>
  </r>
  <r>
    <n v="685"/>
    <s v="404-5775216-5570767"/>
    <d v="2024-01-08T00:00:00"/>
    <x v="7"/>
    <s v="Shipped"/>
    <s v="Amazon"/>
    <x v="1"/>
    <x v="1"/>
    <n v="42"/>
    <s v="JNE3562-KR-XXL"/>
    <x v="1"/>
    <s v="XXL"/>
    <n v="1"/>
    <s v="INR"/>
    <n v="476"/>
    <s v="JAIPUR"/>
    <x v="8"/>
    <s v="IN"/>
  </r>
  <r>
    <n v="686"/>
    <s v="171-2754000-1881907"/>
    <d v="2024-10-13T00:00:00"/>
    <x v="5"/>
    <s v="Shipped - Delivered to Buyer"/>
    <s v="Merchant"/>
    <x v="1"/>
    <x v="0"/>
    <n v="55"/>
    <s v="JNE3745-KR-S"/>
    <x v="1"/>
    <s v="S"/>
    <n v="1"/>
    <s v="INR"/>
    <n v="316"/>
    <s v="DHARWAD"/>
    <x v="1"/>
    <s v="IN"/>
  </r>
  <r>
    <n v="687"/>
    <s v="408-2784061-1695540"/>
    <d v="2024-09-24T00:00:00"/>
    <x v="2"/>
    <s v="Shipped"/>
    <s v="Amazon"/>
    <x v="1"/>
    <x v="1"/>
    <n v="43"/>
    <s v="JNE3465-KR-XS"/>
    <x v="1"/>
    <s v="XS"/>
    <n v="1"/>
    <s v="INR"/>
    <n v="486"/>
    <s v="DAULATPUR"/>
    <x v="24"/>
    <s v="IN"/>
  </r>
  <r>
    <n v="688"/>
    <s v="403-8794854-0523518"/>
    <d v="2024-02-06T00:00:00"/>
    <x v="4"/>
    <s v="Shipped"/>
    <s v="Amazon"/>
    <x v="1"/>
    <x v="1"/>
    <n v="18"/>
    <s v="JNE3795-KR-XS"/>
    <x v="1"/>
    <s v="XS"/>
    <n v="1"/>
    <s v="INR"/>
    <n v="517"/>
    <s v="HYDERABAD"/>
    <x v="6"/>
    <s v="IN"/>
  </r>
  <r>
    <n v="689"/>
    <s v="404-4680896-8003501"/>
    <d v="2023-03-19T00:00:00"/>
    <x v="0"/>
    <s v="Cancelled"/>
    <s v="Amazon"/>
    <x v="0"/>
    <x v="1"/>
    <n v="38"/>
    <s v="SET397-KR-NP-XXL"/>
    <x v="0"/>
    <s v="XXL"/>
    <n v="1"/>
    <s v="INR"/>
    <n v="1186"/>
    <s v="JALNA"/>
    <x v="0"/>
    <s v="IN"/>
  </r>
  <r>
    <n v="690"/>
    <s v="405-8314081-3929157"/>
    <d v="2023-06-15T00:00:00"/>
    <x v="6"/>
    <s v="Shipped"/>
    <s v="Amazon"/>
    <x v="1"/>
    <x v="1"/>
    <n v="52"/>
    <s v="JNE3365-KR-1052-A-M"/>
    <x v="1"/>
    <s v="M"/>
    <n v="1"/>
    <s v="INR"/>
    <n v="376"/>
    <s v="KARIMNAGAR"/>
    <x v="6"/>
    <s v="IN"/>
  </r>
  <r>
    <n v="691"/>
    <s v="406-1694518-5618746"/>
    <d v="2024-12-18T00:00:00"/>
    <x v="11"/>
    <s v="Cancelled"/>
    <s v="Amazon"/>
    <x v="0"/>
    <x v="1"/>
    <n v="53"/>
    <s v="JNE3691-TU-L"/>
    <x v="3"/>
    <s v="L"/>
    <n v="0"/>
    <m/>
    <m/>
    <s v="BILASPUR"/>
    <x v="13"/>
    <s v="IN"/>
  </r>
  <r>
    <n v="692"/>
    <s v="408-5094125-1397968"/>
    <d v="2023-05-04T00:00:00"/>
    <x v="9"/>
    <s v="Shipped"/>
    <s v="Amazon"/>
    <x v="0"/>
    <x v="1"/>
    <n v="20"/>
    <s v="SET145-KR-NP-S"/>
    <x v="0"/>
    <s v="S"/>
    <n v="1"/>
    <s v="INR"/>
    <n v="715"/>
    <s v="NEW DELHI"/>
    <x v="9"/>
    <s v="IN"/>
  </r>
  <r>
    <n v="693"/>
    <s v="402-6569321-5308311"/>
    <d v="2024-12-06T00:00:00"/>
    <x v="11"/>
    <s v="Shipped"/>
    <s v="Amazon"/>
    <x v="0"/>
    <x v="1"/>
    <n v="39"/>
    <s v="J0008-SKD-S"/>
    <x v="0"/>
    <s v="S"/>
    <n v="1"/>
    <s v="INR"/>
    <n v="1065"/>
    <s v="ARVI,Dist- wardha"/>
    <x v="0"/>
    <s v="IN"/>
  </r>
  <r>
    <n v="694"/>
    <s v="406-5828889-4813915"/>
    <d v="2024-01-11T00:00:00"/>
    <x v="7"/>
    <s v="Shipped"/>
    <s v="Amazon"/>
    <x v="0"/>
    <x v="1"/>
    <n v="38"/>
    <s v="J0341-DR-S"/>
    <x v="2"/>
    <s v="S"/>
    <n v="1"/>
    <s v="INR"/>
    <n v="744"/>
    <s v="GHAZIABAD"/>
    <x v="4"/>
    <s v="IN"/>
  </r>
  <r>
    <n v="695"/>
    <s v="402-4832715-9188334"/>
    <d v="2023-10-01T00:00:00"/>
    <x v="5"/>
    <s v="Shipped"/>
    <s v="Amazon"/>
    <x v="1"/>
    <x v="1"/>
    <n v="21"/>
    <s v="JNE3405-KR-L"/>
    <x v="1"/>
    <s v="L"/>
    <n v="1"/>
    <s v="INR"/>
    <n v="399"/>
    <s v="Kurseong"/>
    <x v="17"/>
    <s v="IN"/>
  </r>
  <r>
    <n v="696"/>
    <s v="408-9898972-5365901"/>
    <d v="2023-07-10T00:00:00"/>
    <x v="10"/>
    <s v="Shipped - Delivered to Buyer"/>
    <s v="Merchant"/>
    <x v="0"/>
    <x v="0"/>
    <n v="43"/>
    <s v="SET220-KR-PP-XL"/>
    <x v="0"/>
    <s v="XL"/>
    <n v="1"/>
    <s v="INR"/>
    <n v="1099"/>
    <s v="HYDERABAD"/>
    <x v="6"/>
    <s v="IN"/>
  </r>
  <r>
    <n v="697"/>
    <s v="408-7275140-3593905"/>
    <d v="2023-12-06T00:00:00"/>
    <x v="11"/>
    <s v="Shipped"/>
    <s v="Amazon"/>
    <x v="0"/>
    <x v="1"/>
    <n v="39"/>
    <s v="J0341-DR-M"/>
    <x v="2"/>
    <s v="M"/>
    <n v="1"/>
    <s v="INR"/>
    <n v="744"/>
    <s v="NANDURA"/>
    <x v="0"/>
    <s v="IN"/>
  </r>
  <r>
    <n v="698"/>
    <s v="405-7907546-1330739"/>
    <d v="2023-02-03T00:00:00"/>
    <x v="4"/>
    <s v="Shipped"/>
    <s v="Amazon"/>
    <x v="1"/>
    <x v="1"/>
    <n v="52"/>
    <s v="JNE3371-KR-XXXL"/>
    <x v="1"/>
    <s v="3XL"/>
    <n v="1"/>
    <s v="INR"/>
    <n v="329"/>
    <s v="DIU"/>
    <x v="31"/>
    <s v="IN"/>
  </r>
  <r>
    <n v="699"/>
    <s v="405-7732656-4733913"/>
    <d v="2023-12-20T00:00:00"/>
    <x v="11"/>
    <s v="Shipped - Delivered to Buyer"/>
    <s v="Merchant"/>
    <x v="1"/>
    <x v="2"/>
    <n v="48"/>
    <s v="JNE3487-KR-XXXL"/>
    <x v="1"/>
    <s v="3XL"/>
    <n v="1"/>
    <s v="INR"/>
    <n v="362"/>
    <s v="DIU"/>
    <x v="31"/>
    <s v="IN"/>
  </r>
  <r>
    <n v="700"/>
    <s v="405-7732656-4733913"/>
    <d v="2023-11-10T00:00:00"/>
    <x v="1"/>
    <s v="Shipped - Delivered to Buyer"/>
    <s v="Merchant"/>
    <x v="1"/>
    <x v="0"/>
    <n v="40"/>
    <s v="JNE3702-KR-XXXL"/>
    <x v="1"/>
    <s v="3XL"/>
    <n v="1"/>
    <s v="INR"/>
    <n v="342"/>
    <s v="DIU"/>
    <x v="31"/>
    <s v="IN"/>
  </r>
  <r>
    <n v="701"/>
    <s v="405-7732656-4733913"/>
    <d v="2024-08-22T00:00:00"/>
    <x v="3"/>
    <s v="Shipped - Delivered to Buyer"/>
    <s v="Merchant"/>
    <x v="1"/>
    <x v="2"/>
    <n v="53"/>
    <s v="JNE3461-KR-XXXL"/>
    <x v="1"/>
    <s v="3XL"/>
    <n v="1"/>
    <s v="INR"/>
    <n v="363"/>
    <s v="DIU"/>
    <x v="31"/>
    <s v="IN"/>
  </r>
  <r>
    <n v="702"/>
    <s v="171-5431988-8713937"/>
    <d v="2024-08-29T00:00:00"/>
    <x v="3"/>
    <s v="Shipped"/>
    <s v="Amazon"/>
    <x v="1"/>
    <x v="1"/>
    <n v="34"/>
    <s v="JNE3739-KR-L"/>
    <x v="1"/>
    <s v="L"/>
    <n v="1"/>
    <s v="INR"/>
    <n v="459"/>
    <s v="MUMBAI 400101"/>
    <x v="0"/>
    <s v="IN"/>
  </r>
  <r>
    <n v="703"/>
    <s v="171-6687746-4020351"/>
    <d v="2023-05-20T00:00:00"/>
    <x v="9"/>
    <s v="Shipped"/>
    <s v="Amazon"/>
    <x v="0"/>
    <x v="1"/>
    <n v="26"/>
    <s v="SET265-KR-NP-L"/>
    <x v="0"/>
    <s v="L"/>
    <n v="1"/>
    <s v="INR"/>
    <n v="888"/>
    <s v="GHAZIABAD"/>
    <x v="4"/>
    <s v="IN"/>
  </r>
  <r>
    <n v="704"/>
    <s v="403-3045245-2207560"/>
    <d v="2024-01-26T00:00:00"/>
    <x v="7"/>
    <s v="Shipped"/>
    <s v="Amazon"/>
    <x v="1"/>
    <x v="1"/>
    <n v="58"/>
    <s v="JNE3373-KR-XXXL"/>
    <x v="1"/>
    <s v="3XL"/>
    <n v="1"/>
    <s v="INR"/>
    <n v="376"/>
    <s v="NEW DELHI"/>
    <x v="9"/>
    <s v="IN"/>
  </r>
  <r>
    <n v="705"/>
    <s v="405-4991185-1773106"/>
    <d v="2023-02-22T00:00:00"/>
    <x v="4"/>
    <s v="Shipped"/>
    <s v="Amazon"/>
    <x v="0"/>
    <x v="1"/>
    <n v="40"/>
    <s v="SET291-KR-PP-XL"/>
    <x v="0"/>
    <s v="XL"/>
    <n v="1"/>
    <s v="INR"/>
    <n v="599"/>
    <s v="KALYAN"/>
    <x v="0"/>
    <s v="IN"/>
  </r>
  <r>
    <n v="706"/>
    <s v="403-6782192-8968326"/>
    <d v="2024-12-08T00:00:00"/>
    <x v="11"/>
    <s v="Shipped"/>
    <s v="Amazon"/>
    <x v="0"/>
    <x v="1"/>
    <n v="54"/>
    <s v="SET343-KR-NP-XXL"/>
    <x v="0"/>
    <s v="XXL"/>
    <n v="1"/>
    <s v="INR"/>
    <n v="916"/>
    <s v="Chennai"/>
    <x v="3"/>
    <s v="IN"/>
  </r>
  <r>
    <n v="707"/>
    <s v="171-6640050-9516349"/>
    <d v="2024-09-29T00:00:00"/>
    <x v="2"/>
    <s v="Shipped"/>
    <s v="Amazon"/>
    <x v="1"/>
    <x v="1"/>
    <n v="33"/>
    <s v="JNE3534-KR-XS"/>
    <x v="1"/>
    <s v="XS"/>
    <n v="1"/>
    <s v="INR"/>
    <n v="329"/>
    <s v="PONNERI"/>
    <x v="3"/>
    <s v="IN"/>
  </r>
  <r>
    <n v="708"/>
    <s v="402-5014156-9264316"/>
    <d v="2024-07-11T00:00:00"/>
    <x v="10"/>
    <s v="Cancelled"/>
    <s v="Amazon"/>
    <x v="1"/>
    <x v="1"/>
    <n v="22"/>
    <s v="JNE3373-KR-XXXL"/>
    <x v="1"/>
    <s v="3XL"/>
    <n v="0"/>
    <m/>
    <m/>
    <s v="HYDERABAD"/>
    <x v="6"/>
    <s v="IN"/>
  </r>
  <r>
    <n v="709"/>
    <s v="408-8342548-5107567"/>
    <d v="2024-04-07T00:00:00"/>
    <x v="8"/>
    <s v="Shipped"/>
    <s v="Amazon"/>
    <x v="0"/>
    <x v="1"/>
    <n v="47"/>
    <s v="SET345-KR-NP-XL"/>
    <x v="0"/>
    <s v="XL"/>
    <n v="1"/>
    <s v="INR"/>
    <n v="626"/>
    <s v="DAULATPUR"/>
    <x v="24"/>
    <s v="IN"/>
  </r>
  <r>
    <n v="710"/>
    <s v="404-7769149-3935539"/>
    <d v="2023-04-06T00:00:00"/>
    <x v="8"/>
    <s v="Shipped"/>
    <s v="Amazon"/>
    <x v="0"/>
    <x v="1"/>
    <n v="58"/>
    <s v="JNE3797-KR-L"/>
    <x v="2"/>
    <s v="L"/>
    <n v="1"/>
    <s v="INR"/>
    <n v="725"/>
    <s v="SERAMPORE"/>
    <x v="17"/>
    <s v="IN"/>
  </r>
  <r>
    <n v="711"/>
    <s v="402-5903377-6817119"/>
    <d v="2024-08-29T00:00:00"/>
    <x v="3"/>
    <s v="Cancelled"/>
    <s v="Amazon"/>
    <x v="1"/>
    <x v="1"/>
    <n v="59"/>
    <s v="J0094-KR-M"/>
    <x v="1"/>
    <s v="M"/>
    <n v="0"/>
    <m/>
    <m/>
    <s v="Kinnigoli"/>
    <x v="1"/>
    <s v="IN"/>
  </r>
  <r>
    <n v="712"/>
    <s v="405-6584819-2669165"/>
    <d v="2024-11-12T00:00:00"/>
    <x v="1"/>
    <s v="Shipped"/>
    <s v="Amazon"/>
    <x v="0"/>
    <x v="1"/>
    <n v="43"/>
    <s v="J0230-SKD-L"/>
    <x v="0"/>
    <s v="L"/>
    <n v="1"/>
    <s v="INR"/>
    <n v="1112"/>
    <s v="JAIPUR"/>
    <x v="8"/>
    <s v="IN"/>
  </r>
  <r>
    <n v="713"/>
    <s v="405-9099443-7445111"/>
    <d v="2023-05-29T00:00:00"/>
    <x v="9"/>
    <s v="Cancelled"/>
    <s v="Amazon"/>
    <x v="0"/>
    <x v="1"/>
    <n v="49"/>
    <s v="SET364-KR-NP-XXL"/>
    <x v="0"/>
    <s v="XXL"/>
    <n v="0"/>
    <m/>
    <m/>
    <s v="MIRZAPUR CUM VINDHYACHAL"/>
    <x v="4"/>
    <s v="IN"/>
  </r>
  <r>
    <n v="714"/>
    <s v="408-3810333-4165930"/>
    <d v="2024-11-24T00:00:00"/>
    <x v="1"/>
    <s v="Shipped - Delivered to Buyer"/>
    <s v="Merchant"/>
    <x v="1"/>
    <x v="0"/>
    <n v="50"/>
    <s v="JNE2265-KR-501-XL"/>
    <x v="1"/>
    <s v="XL"/>
    <n v="1"/>
    <s v="INR"/>
    <n v="329"/>
    <s v="NEW DELHI"/>
    <x v="9"/>
    <s v="IN"/>
  </r>
  <r>
    <n v="715"/>
    <s v="405-0881145-7742744"/>
    <d v="2024-09-20T00:00:00"/>
    <x v="2"/>
    <s v="Shipped"/>
    <s v="Amazon"/>
    <x v="0"/>
    <x v="1"/>
    <n v="47"/>
    <s v="JNE3690-TU-S"/>
    <x v="3"/>
    <s v="S"/>
    <n v="1"/>
    <s v="INR"/>
    <n v="487"/>
    <s v="HYDERABAD"/>
    <x v="6"/>
    <s v="IN"/>
  </r>
  <r>
    <n v="716"/>
    <s v="403-7153786-2898705"/>
    <d v="2024-12-18T00:00:00"/>
    <x v="11"/>
    <s v="Shipped"/>
    <s v="Amazon"/>
    <x v="0"/>
    <x v="1"/>
    <n v="46"/>
    <s v="SET347-KR-NP-XL"/>
    <x v="0"/>
    <s v="XL"/>
    <n v="1"/>
    <s v="INR"/>
    <n v="801"/>
    <s v="INDORE"/>
    <x v="16"/>
    <s v="IN"/>
  </r>
  <r>
    <n v="717"/>
    <s v="408-2042136-9817130"/>
    <d v="2023-07-27T00:00:00"/>
    <x v="10"/>
    <s v="Shipped"/>
    <s v="Amazon"/>
    <x v="1"/>
    <x v="1"/>
    <n v="59"/>
    <s v="JNE3468-KR-L"/>
    <x v="1"/>
    <s v="L"/>
    <n v="1"/>
    <s v="INR"/>
    <n v="352"/>
    <s v="BENGALURU"/>
    <x v="1"/>
    <s v="IN"/>
  </r>
  <r>
    <n v="718"/>
    <s v="408-2042136-9817130"/>
    <d v="2024-11-23T00:00:00"/>
    <x v="1"/>
    <s v="Shipped"/>
    <s v="Amazon"/>
    <x v="1"/>
    <x v="1"/>
    <n v="31"/>
    <s v="JNE3291-KR-XL"/>
    <x v="1"/>
    <s v="XL"/>
    <n v="1"/>
    <s v="INR"/>
    <n v="442"/>
    <s v="BENGALURU"/>
    <x v="1"/>
    <s v="IN"/>
  </r>
  <r>
    <n v="719"/>
    <s v="407-8176931-5052349"/>
    <d v="2023-08-29T00:00:00"/>
    <x v="3"/>
    <s v="Cancelled"/>
    <s v="Merchant"/>
    <x v="1"/>
    <x v="2"/>
    <n v="46"/>
    <s v="JNE1998-KR-311-S"/>
    <x v="1"/>
    <s v="S"/>
    <n v="0"/>
    <s v="INR"/>
    <n v="280.95"/>
    <s v="PONNERI"/>
    <x v="3"/>
    <s v="IN"/>
  </r>
  <r>
    <n v="720"/>
    <s v="407-3305249-3442711"/>
    <d v="2023-11-08T00:00:00"/>
    <x v="1"/>
    <s v="Cancelled"/>
    <s v="Amazon"/>
    <x v="1"/>
    <x v="1"/>
    <n v="35"/>
    <s v="JNE3715-KR-S"/>
    <x v="1"/>
    <s v="S"/>
    <n v="1"/>
    <s v="INR"/>
    <n v="283"/>
    <s v="PONNERI"/>
    <x v="3"/>
    <s v="IN"/>
  </r>
  <r>
    <n v="721"/>
    <s v="403-5215681-9527524"/>
    <d v="2024-09-03T00:00:00"/>
    <x v="2"/>
    <s v="Shipped"/>
    <s v="Amazon"/>
    <x v="0"/>
    <x v="1"/>
    <n v="39"/>
    <s v="J0003-SET-XXXL"/>
    <x v="0"/>
    <s v="3XL"/>
    <n v="1"/>
    <s v="INR"/>
    <n v="654"/>
    <s v="VIJAYAWADA"/>
    <x v="7"/>
    <s v="IN"/>
  </r>
  <r>
    <n v="722"/>
    <s v="408-3749874-2210712"/>
    <d v="2024-02-07T00:00:00"/>
    <x v="4"/>
    <s v="Shipped"/>
    <s v="Amazon"/>
    <x v="1"/>
    <x v="1"/>
    <n v="43"/>
    <s v="JNE3405-KR-L"/>
    <x v="1"/>
    <s v="L"/>
    <n v="1"/>
    <s v="INR"/>
    <n v="399"/>
    <s v="DIBRUGARH"/>
    <x v="11"/>
    <s v="IN"/>
  </r>
  <r>
    <n v="723"/>
    <s v="406-6143137-4946754"/>
    <d v="2024-10-20T00:00:00"/>
    <x v="5"/>
    <s v="Shipped"/>
    <s v="Amazon"/>
    <x v="0"/>
    <x v="1"/>
    <n v="44"/>
    <s v="BL003-50BLACK"/>
    <x v="7"/>
    <s v="Free"/>
    <n v="1"/>
    <s v="INR"/>
    <n v="419"/>
    <s v="HYDERABAD"/>
    <x v="6"/>
    <s v="IN"/>
  </r>
  <r>
    <n v="724"/>
    <s v="403-3797724-0896348"/>
    <d v="2024-04-30T00:00:00"/>
    <x v="8"/>
    <s v="Shipped"/>
    <s v="Amazon"/>
    <x v="0"/>
    <x v="1"/>
    <n v="50"/>
    <s v="J0003-SET-XXXL"/>
    <x v="0"/>
    <s v="3XL"/>
    <n v="1"/>
    <s v="INR"/>
    <n v="654"/>
    <s v="THANE"/>
    <x v="0"/>
    <s v="IN"/>
  </r>
  <r>
    <n v="725"/>
    <s v="407-3778695-8884327"/>
    <d v="2023-12-14T00:00:00"/>
    <x v="11"/>
    <s v="Shipped"/>
    <s v="Amazon"/>
    <x v="0"/>
    <x v="1"/>
    <n v="27"/>
    <s v="J0341-DR-S"/>
    <x v="2"/>
    <s v="S"/>
    <n v="1"/>
    <s v="INR"/>
    <n v="744"/>
    <s v="BENGALURU"/>
    <x v="1"/>
    <s v="IN"/>
  </r>
  <r>
    <n v="726"/>
    <s v="402-6454286-3321909"/>
    <d v="2023-05-20T00:00:00"/>
    <x v="9"/>
    <s v="Shipped - Delivered to Buyer"/>
    <s v="Merchant"/>
    <x v="1"/>
    <x v="2"/>
    <n v="19"/>
    <s v="JNE3405-KR-S"/>
    <x v="1"/>
    <s v="S"/>
    <n v="1"/>
    <s v="INR"/>
    <n v="399"/>
    <s v="Deganga"/>
    <x v="17"/>
    <s v="IN"/>
  </r>
  <r>
    <n v="727"/>
    <s v="402-9138974-2250726"/>
    <d v="2023-02-21T00:00:00"/>
    <x v="4"/>
    <s v="Shipped"/>
    <s v="Amazon"/>
    <x v="1"/>
    <x v="1"/>
    <n v="38"/>
    <s v="MEN5005-KR-XXXL"/>
    <x v="1"/>
    <s v="3XL"/>
    <n v="1"/>
    <s v="INR"/>
    <n v="452"/>
    <s v="KOLKATA"/>
    <x v="17"/>
    <s v="IN"/>
  </r>
  <r>
    <n v="728"/>
    <s v="402-9138974-2250726"/>
    <d v="2023-08-11T00:00:00"/>
    <x v="3"/>
    <s v="Shipped"/>
    <s v="Amazon"/>
    <x v="1"/>
    <x v="1"/>
    <n v="25"/>
    <s v="MEN5028-KR-XXL"/>
    <x v="1"/>
    <s v="XXL"/>
    <n v="1"/>
    <s v="INR"/>
    <n v="499"/>
    <s v="KOLKATA"/>
    <x v="17"/>
    <s v="IN"/>
  </r>
  <r>
    <n v="729"/>
    <s v="408-4193711-8156307"/>
    <d v="2024-08-19T00:00:00"/>
    <x v="3"/>
    <s v="Shipped - Delivered to Buyer"/>
    <s v="Merchant"/>
    <x v="0"/>
    <x v="2"/>
    <n v="18"/>
    <s v="J0215-BL-L"/>
    <x v="7"/>
    <s v="L"/>
    <n v="1"/>
    <s v="INR"/>
    <n v="0"/>
    <s v="KARIMGANJ"/>
    <x v="11"/>
    <s v="IN"/>
  </r>
  <r>
    <n v="730"/>
    <s v="404-5546156-4947565"/>
    <d v="2023-07-08T00:00:00"/>
    <x v="10"/>
    <s v="Shipped - Delivered to Buyer"/>
    <s v="Merchant"/>
    <x v="1"/>
    <x v="0"/>
    <n v="24"/>
    <s v="JNE3368-KR-XXXL"/>
    <x v="1"/>
    <s v="3XL"/>
    <n v="1"/>
    <s v="INR"/>
    <n v="471"/>
    <s v="AHMEDABAD"/>
    <x v="19"/>
    <s v="IN"/>
  </r>
  <r>
    <n v="731"/>
    <s v="408-0902233-8069950"/>
    <d v="2024-02-22T00:00:00"/>
    <x v="4"/>
    <s v="Shipped - Returned to Seller"/>
    <s v="Merchant"/>
    <x v="1"/>
    <x v="2"/>
    <n v="23"/>
    <s v="JNE3714-KR-L"/>
    <x v="1"/>
    <s v="L"/>
    <n v="1"/>
    <s v="INR"/>
    <n v="0"/>
    <s v="BENGALURU"/>
    <x v="1"/>
    <s v="IN"/>
  </r>
  <r>
    <n v="732"/>
    <s v="171-7821391-2118700"/>
    <d v="2023-06-12T00:00:00"/>
    <x v="6"/>
    <s v="Shipped"/>
    <s v="Amazon"/>
    <x v="1"/>
    <x v="1"/>
    <n v="55"/>
    <s v="PJNE2199-KR-N-6XL"/>
    <x v="1"/>
    <s v="6XL"/>
    <n v="1"/>
    <s v="INR"/>
    <n v="431"/>
    <s v="ALATHUR"/>
    <x v="15"/>
    <s v="IN"/>
  </r>
  <r>
    <n v="733"/>
    <s v="171-3764328-7297105"/>
    <d v="2024-02-12T00:00:00"/>
    <x v="4"/>
    <s v="Shipped"/>
    <s v="Amazon"/>
    <x v="1"/>
    <x v="1"/>
    <n v="54"/>
    <s v="JNE3634-KR-M"/>
    <x v="1"/>
    <s v="M"/>
    <n v="1"/>
    <s v="INR"/>
    <n v="511"/>
    <s v="Aluva"/>
    <x v="15"/>
    <s v="IN"/>
  </r>
  <r>
    <n v="734"/>
    <s v="406-5700980-4110708"/>
    <d v="2023-12-29T00:00:00"/>
    <x v="11"/>
    <s v="Shipped"/>
    <s v="Amazon"/>
    <x v="0"/>
    <x v="1"/>
    <n v="28"/>
    <s v="J0280-SKD-S"/>
    <x v="0"/>
    <s v="S"/>
    <n v="1"/>
    <s v="INR"/>
    <n v="1463"/>
    <s v="CHENNAI"/>
    <x v="3"/>
    <s v="IN"/>
  </r>
  <r>
    <n v="735"/>
    <s v="406-4317049-7021127"/>
    <d v="2024-12-05T00:00:00"/>
    <x v="11"/>
    <s v="Shipped"/>
    <s v="Amazon"/>
    <x v="1"/>
    <x v="1"/>
    <n v="37"/>
    <s v="JNE3794-KR-M"/>
    <x v="1"/>
    <s v="M"/>
    <n v="1"/>
    <s v="INR"/>
    <n v="517"/>
    <s v="AZAMGARH"/>
    <x v="4"/>
    <s v="IN"/>
  </r>
  <r>
    <n v="736"/>
    <s v="408-0738576-5377963"/>
    <d v="2024-06-24T00:00:00"/>
    <x v="6"/>
    <s v="Shipped"/>
    <s v="Amazon"/>
    <x v="1"/>
    <x v="1"/>
    <n v="23"/>
    <s v="JNE3421-KR-N-L"/>
    <x v="1"/>
    <s v="L"/>
    <n v="1"/>
    <s v="INR"/>
    <n v="399"/>
    <s v="HYDERABAD"/>
    <x v="6"/>
    <s v="IN"/>
  </r>
  <r>
    <n v="737"/>
    <s v="171-6112262-4294731"/>
    <d v="2023-01-02T00:00:00"/>
    <x v="7"/>
    <s v="Cancelled"/>
    <s v="Amazon"/>
    <x v="1"/>
    <x v="1"/>
    <n v="53"/>
    <s v="JNE3634-KR-M"/>
    <x v="1"/>
    <s v="M"/>
    <n v="0"/>
    <m/>
    <m/>
    <s v="CHENGAMANAD"/>
    <x v="15"/>
    <s v="IN"/>
  </r>
  <r>
    <n v="738"/>
    <s v="402-0069978-7444377"/>
    <d v="2024-06-30T00:00:00"/>
    <x v="6"/>
    <s v="Shipped - Delivered to Buyer"/>
    <s v="Merchant"/>
    <x v="1"/>
    <x v="2"/>
    <n v="32"/>
    <s v="JNE3405-KR-S"/>
    <x v="1"/>
    <s v="S"/>
    <n v="1"/>
    <s v="INR"/>
    <n v="399"/>
    <s v="HYDERABAD"/>
    <x v="6"/>
    <s v="IN"/>
  </r>
  <r>
    <n v="739"/>
    <s v="407-6451607-8520320"/>
    <d v="2023-01-04T00:00:00"/>
    <x v="7"/>
    <s v="Shipped"/>
    <s v="Amazon"/>
    <x v="0"/>
    <x v="1"/>
    <n v="52"/>
    <s v="SET110-KR-PP-S"/>
    <x v="0"/>
    <s v="S"/>
    <n v="1"/>
    <s v="INR"/>
    <n v="788"/>
    <s v="NEW DELHI"/>
    <x v="9"/>
    <s v="IN"/>
  </r>
  <r>
    <n v="740"/>
    <s v="407-6825420-7253915"/>
    <d v="2023-08-18T00:00:00"/>
    <x v="3"/>
    <s v="Cancelled"/>
    <s v="Merchant"/>
    <x v="0"/>
    <x v="0"/>
    <n v="40"/>
    <s v="J0117-TP-XXL"/>
    <x v="3"/>
    <s v="XXL"/>
    <n v="0"/>
    <s v="INR"/>
    <n v="493.33"/>
    <s v="NAGPUR"/>
    <x v="0"/>
    <s v="IN"/>
  </r>
  <r>
    <n v="741"/>
    <s v="171-2497796-8649164"/>
    <d v="2024-08-11T00:00:00"/>
    <x v="3"/>
    <s v="Shipped"/>
    <s v="Amazon"/>
    <x v="0"/>
    <x v="1"/>
    <n v="51"/>
    <s v="SET374-KR-NP-XS"/>
    <x v="0"/>
    <s v="XS"/>
    <n v="1"/>
    <s v="INR"/>
    <n v="597"/>
    <s v="NIZAMABAD"/>
    <x v="6"/>
    <s v="IN"/>
  </r>
  <r>
    <n v="742"/>
    <s v="405-3921640-0927553"/>
    <d v="2024-06-14T00:00:00"/>
    <x v="6"/>
    <s v="Shipped - Delivered to Buyer"/>
    <s v="Merchant"/>
    <x v="0"/>
    <x v="2"/>
    <n v="23"/>
    <s v="SET345-KR-NP-L"/>
    <x v="0"/>
    <s v="L"/>
    <n v="1"/>
    <s v="INR"/>
    <n v="666"/>
    <s v="LONI KALBHOR"/>
    <x v="0"/>
    <s v="IN"/>
  </r>
  <r>
    <n v="743"/>
    <s v="402-8291421-3780342"/>
    <d v="2024-09-13T00:00:00"/>
    <x v="2"/>
    <s v="Shipped"/>
    <s v="Amazon"/>
    <x v="0"/>
    <x v="1"/>
    <n v="43"/>
    <s v="J0230-SKD-XL"/>
    <x v="0"/>
    <s v="XL"/>
    <n v="1"/>
    <s v="INR"/>
    <n v="1112"/>
    <s v="KHELARI"/>
    <x v="12"/>
    <s v="IN"/>
  </r>
  <r>
    <n v="744"/>
    <s v="402-8291421-3780342"/>
    <d v="2023-12-02T00:00:00"/>
    <x v="11"/>
    <s v="Shipped"/>
    <s v="Amazon"/>
    <x v="0"/>
    <x v="1"/>
    <n v="60"/>
    <s v="J0003-SET-XL"/>
    <x v="0"/>
    <s v="XL"/>
    <n v="1"/>
    <s v="INR"/>
    <n v="696"/>
    <s v="KHELARI"/>
    <x v="12"/>
    <s v="IN"/>
  </r>
  <r>
    <n v="745"/>
    <s v="407-4549939-3485945"/>
    <d v="2023-04-09T00:00:00"/>
    <x v="8"/>
    <s v="Shipped"/>
    <s v="Amazon"/>
    <x v="0"/>
    <x v="1"/>
    <n v="54"/>
    <s v="SET285-KR-SHA-XS"/>
    <x v="0"/>
    <s v="XS"/>
    <n v="1"/>
    <s v="INR"/>
    <n v="499"/>
    <s v="Mira road"/>
    <x v="0"/>
    <s v="IN"/>
  </r>
  <r>
    <n v="746"/>
    <s v="403-3597087-4521139"/>
    <d v="2023-06-30T00:00:00"/>
    <x v="6"/>
    <s v="Shipped"/>
    <s v="Amazon"/>
    <x v="1"/>
    <x v="1"/>
    <n v="55"/>
    <s v="JNE3394-KR-A-XL"/>
    <x v="1"/>
    <s v="XL"/>
    <n v="1"/>
    <s v="INR"/>
    <n v="414"/>
    <s v="BENGALURU"/>
    <x v="1"/>
    <s v="IN"/>
  </r>
  <r>
    <n v="747"/>
    <s v="171-9016873-6719541"/>
    <d v="2023-07-14T00:00:00"/>
    <x v="10"/>
    <s v="Shipped"/>
    <s v="Amazon"/>
    <x v="0"/>
    <x v="1"/>
    <n v="31"/>
    <s v="SET356-KR-NP-XL"/>
    <x v="0"/>
    <s v="XL"/>
    <n v="1"/>
    <s v="INR"/>
    <n v="1099"/>
    <s v="GHAZIPUR"/>
    <x v="4"/>
    <s v="IN"/>
  </r>
  <r>
    <n v="748"/>
    <s v="171-3693730-4530754"/>
    <d v="2024-03-21T00:00:00"/>
    <x v="0"/>
    <s v="Cancelled"/>
    <s v="Amazon"/>
    <x v="0"/>
    <x v="1"/>
    <n v="41"/>
    <s v="SET324-KR-NP-M"/>
    <x v="0"/>
    <s v="M"/>
    <n v="0"/>
    <m/>
    <m/>
    <s v="KOLKATA"/>
    <x v="17"/>
    <s v="IN"/>
  </r>
  <r>
    <n v="749"/>
    <s v="404-0541321-3023502"/>
    <d v="2024-08-07T00:00:00"/>
    <x v="3"/>
    <s v="Shipped"/>
    <s v="Amazon"/>
    <x v="0"/>
    <x v="1"/>
    <n v="28"/>
    <s v="J0095-SET-XXXL"/>
    <x v="0"/>
    <s v="3XL"/>
    <n v="1"/>
    <s v="INR"/>
    <n v="653"/>
    <s v="PUNE"/>
    <x v="0"/>
    <s v="IN"/>
  </r>
  <r>
    <n v="750"/>
    <s v="402-1600884-0332308"/>
    <d v="2024-03-14T00:00:00"/>
    <x v="0"/>
    <s v="Shipped"/>
    <s v="Amazon"/>
    <x v="1"/>
    <x v="1"/>
    <n v="57"/>
    <s v="JNE3468-KR-XXL"/>
    <x v="1"/>
    <s v="XXL"/>
    <n v="1"/>
    <s v="INR"/>
    <n v="352"/>
    <s v="CUTTACK"/>
    <x v="14"/>
    <s v="IN"/>
  </r>
  <r>
    <n v="751"/>
    <s v="402-0229417-2609936"/>
    <d v="2024-08-24T00:00:00"/>
    <x v="3"/>
    <s v="Shipped"/>
    <s v="Amazon"/>
    <x v="0"/>
    <x v="1"/>
    <n v="20"/>
    <s v="J0343-DR-XXXL"/>
    <x v="2"/>
    <s v="3XL"/>
    <n v="1"/>
    <s v="INR"/>
    <n v="744"/>
    <s v="KALABURGI"/>
    <x v="1"/>
    <s v="IN"/>
  </r>
  <r>
    <n v="752"/>
    <s v="403-0131049-2132337"/>
    <d v="2023-08-19T00:00:00"/>
    <x v="3"/>
    <s v="Shipped"/>
    <s v="Amazon"/>
    <x v="1"/>
    <x v="1"/>
    <n v="34"/>
    <s v="JNE3405-KR-XL"/>
    <x v="1"/>
    <s v="XL"/>
    <n v="1"/>
    <s v="INR"/>
    <n v="399"/>
    <s v="NEW DELHI"/>
    <x v="9"/>
    <s v="IN"/>
  </r>
  <r>
    <n v="753"/>
    <s v="171-4573948-3966741"/>
    <d v="2023-10-14T00:00:00"/>
    <x v="5"/>
    <s v="Shipped"/>
    <s v="Amazon"/>
    <x v="0"/>
    <x v="1"/>
    <n v="57"/>
    <s v="J0380-SKD-XXXL"/>
    <x v="0"/>
    <s v="3XL"/>
    <n v="1"/>
    <s v="INR"/>
    <n v="1438"/>
    <s v="KATIHAR"/>
    <x v="21"/>
    <s v="IN"/>
  </r>
  <r>
    <n v="754"/>
    <s v="171-0211853-1251554"/>
    <d v="2023-09-13T00:00:00"/>
    <x v="2"/>
    <s v="Shipped - Delivered to Buyer"/>
    <s v="Merchant"/>
    <x v="0"/>
    <x v="2"/>
    <n v="57"/>
    <s v="J0382-SKD-XL"/>
    <x v="0"/>
    <s v="XL"/>
    <n v="1"/>
    <s v="INR"/>
    <n v="1173"/>
    <s v="KATIHAR"/>
    <x v="21"/>
    <s v="IN"/>
  </r>
  <r>
    <n v="755"/>
    <s v="404-3699924-2837921"/>
    <d v="2024-05-07T00:00:00"/>
    <x v="9"/>
    <s v="Shipped - Delivered to Buyer"/>
    <s v="Merchant"/>
    <x v="1"/>
    <x v="0"/>
    <n v="54"/>
    <s v="JNE3802-KR-M"/>
    <x v="1"/>
    <s v="M"/>
    <n v="1"/>
    <s v="INR"/>
    <n v="459"/>
    <s v="BENGALURU"/>
    <x v="1"/>
    <s v="IN"/>
  </r>
  <r>
    <n v="756"/>
    <s v="405-0457160-2123517"/>
    <d v="2024-01-10T00:00:00"/>
    <x v="7"/>
    <s v="Shipped"/>
    <s v="Amazon"/>
    <x v="0"/>
    <x v="1"/>
    <n v="35"/>
    <s v="J0236-SKD-XXL"/>
    <x v="0"/>
    <s v="XXL"/>
    <n v="1"/>
    <s v="INR"/>
    <n v="922"/>
    <s v="NAGERCOIL"/>
    <x v="3"/>
    <s v="IN"/>
  </r>
  <r>
    <n v="757"/>
    <s v="408-6862973-4520309"/>
    <d v="2024-10-12T00:00:00"/>
    <x v="5"/>
    <s v="Shipped"/>
    <s v="Amazon"/>
    <x v="0"/>
    <x v="1"/>
    <n v="28"/>
    <s v="J0095-SET-XXXL"/>
    <x v="0"/>
    <s v="3XL"/>
    <n v="1"/>
    <s v="INR"/>
    <n v="653"/>
    <s v="MUMBAI"/>
    <x v="0"/>
    <s v="IN"/>
  </r>
  <r>
    <n v="758"/>
    <s v="171-7679971-0310752"/>
    <d v="2024-12-19T00:00:00"/>
    <x v="11"/>
    <s v="Cancelled"/>
    <s v="Amazon"/>
    <x v="1"/>
    <x v="1"/>
    <n v="32"/>
    <s v="JNE3461-KR-XL"/>
    <x v="1"/>
    <s v="XL"/>
    <n v="1"/>
    <s v="INR"/>
    <n v="363"/>
    <s v="KOTHAGUDEM"/>
    <x v="6"/>
    <s v="IN"/>
  </r>
  <r>
    <n v="759"/>
    <s v="171-3669717-3172330"/>
    <d v="2023-12-11T00:00:00"/>
    <x v="11"/>
    <s v="Shipped"/>
    <s v="Amazon"/>
    <x v="1"/>
    <x v="1"/>
    <n v="30"/>
    <s v="MEN5009-KR-M"/>
    <x v="1"/>
    <s v="M"/>
    <n v="1"/>
    <s v="INR"/>
    <n v="499"/>
    <s v="BHINDER"/>
    <x v="8"/>
    <s v="IN"/>
  </r>
  <r>
    <n v="760"/>
    <s v="403-9724686-7777903"/>
    <d v="2023-07-15T00:00:00"/>
    <x v="10"/>
    <s v="Shipped"/>
    <s v="Amazon"/>
    <x v="1"/>
    <x v="1"/>
    <n v="29"/>
    <s v="PJNE3399-KR-N-6XL"/>
    <x v="1"/>
    <s v="6XL"/>
    <n v="1"/>
    <s v="INR"/>
    <n v="486"/>
    <s v="AHMEDABAD"/>
    <x v="19"/>
    <s v="IN"/>
  </r>
  <r>
    <n v="761"/>
    <s v="403-8306900-1833930"/>
    <d v="2023-06-27T00:00:00"/>
    <x v="6"/>
    <s v="Shipped - Delivered to Buyer"/>
    <s v="Merchant"/>
    <x v="1"/>
    <x v="2"/>
    <n v="29"/>
    <s v="PJNE3068-KR-6XL"/>
    <x v="1"/>
    <s v="6XL"/>
    <n v="1"/>
    <s v="INR"/>
    <n v="692"/>
    <s v="AHMEDABAD"/>
    <x v="19"/>
    <s v="IN"/>
  </r>
  <r>
    <n v="762"/>
    <s v="403-1962150-0618711"/>
    <d v="2024-03-11T00:00:00"/>
    <x v="0"/>
    <s v="Shipped"/>
    <s v="Amazon"/>
    <x v="1"/>
    <x v="1"/>
    <n v="48"/>
    <s v="JNE1998-KR-311-XXL"/>
    <x v="1"/>
    <s v="XXL"/>
    <n v="1"/>
    <s v="INR"/>
    <n v="295"/>
    <s v="CHENNAI"/>
    <x v="3"/>
    <s v="IN"/>
  </r>
  <r>
    <n v="763"/>
    <s v="403-1632972-2861963"/>
    <d v="2023-01-21T00:00:00"/>
    <x v="7"/>
    <s v="Shipped - Delivered to Buyer"/>
    <s v="Merchant"/>
    <x v="1"/>
    <x v="2"/>
    <n v="39"/>
    <s v="JNE3468-KR-XL"/>
    <x v="1"/>
    <s v="XL"/>
    <n v="1"/>
    <s v="INR"/>
    <n v="363"/>
    <s v="CHENNAI"/>
    <x v="3"/>
    <s v="IN"/>
  </r>
  <r>
    <n v="764"/>
    <s v="403-9533906-1728355"/>
    <d v="2024-02-25T00:00:00"/>
    <x v="4"/>
    <s v="Shipped"/>
    <s v="Amazon"/>
    <x v="1"/>
    <x v="1"/>
    <n v="30"/>
    <s v="JNE3405-KR-XXL"/>
    <x v="1"/>
    <s v="XXL"/>
    <n v="1"/>
    <s v="INR"/>
    <n v="399"/>
    <s v="JALANDHAR"/>
    <x v="23"/>
    <s v="IN"/>
  </r>
  <r>
    <n v="765"/>
    <s v="171-1269122-8425943"/>
    <d v="2024-11-04T00:00:00"/>
    <x v="1"/>
    <s v="Shipped"/>
    <s v="Amazon"/>
    <x v="0"/>
    <x v="1"/>
    <n v="50"/>
    <s v="J0236-SKD-S"/>
    <x v="0"/>
    <s v="S"/>
    <n v="1"/>
    <s v="INR"/>
    <n v="950"/>
    <s v="NARASAPUR"/>
    <x v="7"/>
    <s v="IN"/>
  </r>
  <r>
    <n v="766"/>
    <s v="171-2937341-8703561"/>
    <d v="2024-03-23T00:00:00"/>
    <x v="0"/>
    <s v="Shipped"/>
    <s v="Amazon"/>
    <x v="1"/>
    <x v="1"/>
    <n v="53"/>
    <s v="JNE3440-KR-N-XS"/>
    <x v="1"/>
    <s v="XS"/>
    <n v="1"/>
    <s v="INR"/>
    <n v="399"/>
    <s v="PALAKKAD"/>
    <x v="15"/>
    <s v="IN"/>
  </r>
  <r>
    <n v="767"/>
    <s v="406-5206188-8892351"/>
    <d v="2024-03-18T00:00:00"/>
    <x v="0"/>
    <s v="Shipped"/>
    <s v="Amazon"/>
    <x v="0"/>
    <x v="1"/>
    <n v="42"/>
    <s v="J0308-DR-M"/>
    <x v="2"/>
    <s v="M"/>
    <n v="1"/>
    <s v="INR"/>
    <n v="625"/>
    <s v="PARVATHIPURAM"/>
    <x v="7"/>
    <s v="IN"/>
  </r>
  <r>
    <n v="768"/>
    <s v="405-5228379-1065951"/>
    <d v="2023-10-13T00:00:00"/>
    <x v="5"/>
    <s v="Shipped"/>
    <s v="Amazon"/>
    <x v="0"/>
    <x v="1"/>
    <n v="24"/>
    <s v="SET398-KR-PP-L"/>
    <x v="0"/>
    <s v="L"/>
    <n v="1"/>
    <s v="INR"/>
    <n v="1115"/>
    <s v="BIDHAN NAGAR"/>
    <x v="17"/>
    <s v="IN"/>
  </r>
  <r>
    <n v="769"/>
    <s v="406-3236326-4964331"/>
    <d v="2024-05-11T00:00:00"/>
    <x v="9"/>
    <s v="Shipped - Delivered to Buyer"/>
    <s v="Merchant"/>
    <x v="1"/>
    <x v="0"/>
    <n v="30"/>
    <s v="JNE3799-KR-XS"/>
    <x v="1"/>
    <s v="XS"/>
    <n v="1"/>
    <s v="INR"/>
    <n v="666"/>
    <s v="PUNE"/>
    <x v="0"/>
    <s v="IN"/>
  </r>
  <r>
    <n v="770"/>
    <s v="408-3364449-3401947"/>
    <d v="2024-03-10T00:00:00"/>
    <x v="0"/>
    <s v="Cancelled"/>
    <s v="Amazon"/>
    <x v="0"/>
    <x v="1"/>
    <n v="54"/>
    <s v="SET121-KR-NP-XS"/>
    <x v="0"/>
    <s v="XS"/>
    <n v="0"/>
    <m/>
    <m/>
    <s v="Mumbai"/>
    <x v="0"/>
    <s v="IN"/>
  </r>
  <r>
    <n v="771"/>
    <s v="402-7682157-9147503"/>
    <d v="2024-11-13T00:00:00"/>
    <x v="1"/>
    <s v="Shipped - Delivered to Buyer"/>
    <s v="Merchant"/>
    <x v="0"/>
    <x v="0"/>
    <n v="43"/>
    <s v="J0003-SET-L"/>
    <x v="0"/>
    <s v="L"/>
    <n v="1"/>
    <s v="INR"/>
    <n v="696"/>
    <s v="HYDERABAD"/>
    <x v="6"/>
    <s v="IN"/>
  </r>
  <r>
    <n v="772"/>
    <s v="405-1515003-2007535"/>
    <d v="2023-12-20T00:00:00"/>
    <x v="11"/>
    <s v="Shipped"/>
    <s v="Amazon"/>
    <x v="0"/>
    <x v="1"/>
    <n v="23"/>
    <s v="J0202-TP-XXL"/>
    <x v="3"/>
    <s v="XXL"/>
    <n v="1"/>
    <s v="INR"/>
    <n v="519"/>
    <s v="HYDERABAD"/>
    <x v="6"/>
    <s v="IN"/>
  </r>
  <r>
    <n v="773"/>
    <s v="408-8569813-9288333"/>
    <d v="2023-02-02T00:00:00"/>
    <x v="4"/>
    <s v="Shipped - Delivered to Buyer"/>
    <s v="Merchant"/>
    <x v="0"/>
    <x v="0"/>
    <n v="35"/>
    <s v="J0014-LCD-S"/>
    <x v="0"/>
    <s v="S"/>
    <n v="1"/>
    <s v="INR"/>
    <n v="1199"/>
    <s v="SATNA"/>
    <x v="16"/>
    <s v="IN"/>
  </r>
  <r>
    <n v="774"/>
    <s v="404-0867714-0772302"/>
    <d v="2023-01-22T00:00:00"/>
    <x v="7"/>
    <s v="Shipped"/>
    <s v="Amazon"/>
    <x v="0"/>
    <x v="1"/>
    <n v="27"/>
    <s v="SET291-KR-PP-XXL"/>
    <x v="0"/>
    <s v="XXL"/>
    <n v="1"/>
    <s v="INR"/>
    <n v="563"/>
    <s v="Padur"/>
    <x v="3"/>
    <s v="IN"/>
  </r>
  <r>
    <n v="775"/>
    <s v="404-0867714-0772302"/>
    <d v="2024-08-07T00:00:00"/>
    <x v="3"/>
    <s v="Shipped"/>
    <s v="Amazon"/>
    <x v="1"/>
    <x v="1"/>
    <n v="41"/>
    <s v="JNE3405-KR-XXL"/>
    <x v="1"/>
    <s v="XXL"/>
    <n v="1"/>
    <s v="INR"/>
    <n v="399"/>
    <s v="Padur"/>
    <x v="3"/>
    <s v="IN"/>
  </r>
  <r>
    <n v="776"/>
    <s v="404-0867714-0772302"/>
    <d v="2023-02-12T00:00:00"/>
    <x v="4"/>
    <s v="Shipped"/>
    <s v="Amazon"/>
    <x v="1"/>
    <x v="1"/>
    <n v="46"/>
    <s v="JNE3396-KR-XL"/>
    <x v="1"/>
    <s v="XL"/>
    <n v="1"/>
    <s v="INR"/>
    <n v="487"/>
    <s v="Padur"/>
    <x v="3"/>
    <s v="IN"/>
  </r>
  <r>
    <n v="777"/>
    <s v="402-1704468-7240327"/>
    <d v="2023-08-14T00:00:00"/>
    <x v="3"/>
    <s v="Shipped - Delivered to Buyer"/>
    <s v="Merchant"/>
    <x v="1"/>
    <x v="0"/>
    <n v="54"/>
    <s v="JNE3609-KR-XXL"/>
    <x v="1"/>
    <s v="XXL"/>
    <n v="1"/>
    <s v="INR"/>
    <n v="568"/>
    <s v="MADURAI"/>
    <x v="3"/>
    <s v="IN"/>
  </r>
  <r>
    <n v="778"/>
    <s v="406-5757669-2996307"/>
    <d v="2024-06-17T00:00:00"/>
    <x v="6"/>
    <s v="Shipped"/>
    <s v="Amazon"/>
    <x v="1"/>
    <x v="1"/>
    <n v="38"/>
    <s v="JNE3405-KR-XXL"/>
    <x v="1"/>
    <s v="XXL"/>
    <n v="1"/>
    <s v="INR"/>
    <n v="399"/>
    <s v="MUMBAI"/>
    <x v="0"/>
    <s v="IN"/>
  </r>
  <r>
    <n v="779"/>
    <s v="407-1492215-2982709"/>
    <d v="2024-05-15T00:00:00"/>
    <x v="9"/>
    <s v="Shipped"/>
    <s v="Amazon"/>
    <x v="1"/>
    <x v="1"/>
    <n v="40"/>
    <s v="JNE3775-KR-S"/>
    <x v="1"/>
    <s v="S"/>
    <n v="1"/>
    <s v="INR"/>
    <n v="291"/>
    <s v="NEW DELHI"/>
    <x v="9"/>
    <s v="IN"/>
  </r>
  <r>
    <n v="780"/>
    <s v="171-2119982-7294757"/>
    <d v="2024-03-06T00:00:00"/>
    <x v="0"/>
    <s v="Shipped"/>
    <s v="Amazon"/>
    <x v="0"/>
    <x v="1"/>
    <n v="55"/>
    <s v="J0341-DR-L"/>
    <x v="2"/>
    <s v="L"/>
    <n v="1"/>
    <s v="INR"/>
    <n v="744"/>
    <s v="BALLIA"/>
    <x v="4"/>
    <s v="IN"/>
  </r>
  <r>
    <n v="781"/>
    <s v="407-1684475-5197113"/>
    <d v="2023-09-13T00:00:00"/>
    <x v="2"/>
    <s v="Shipped"/>
    <s v="Amazon"/>
    <x v="0"/>
    <x v="1"/>
    <n v="58"/>
    <s v="J0003-SET-XL"/>
    <x v="0"/>
    <s v="XL"/>
    <n v="1"/>
    <s v="INR"/>
    <n v="696"/>
    <s v="PUNE"/>
    <x v="0"/>
    <s v="IN"/>
  </r>
  <r>
    <n v="782"/>
    <s v="404-4568279-0273125"/>
    <d v="2023-01-28T00:00:00"/>
    <x v="7"/>
    <s v="Shipped"/>
    <s v="Amazon"/>
    <x v="0"/>
    <x v="1"/>
    <n v="49"/>
    <s v="J0301-TP-XXL"/>
    <x v="3"/>
    <s v="XXL"/>
    <n v="1"/>
    <s v="INR"/>
    <n v="463"/>
    <s v="FARIDABAD"/>
    <x v="10"/>
    <s v="IN"/>
  </r>
  <r>
    <n v="783"/>
    <s v="403-9752008-2541919"/>
    <d v="2023-11-19T00:00:00"/>
    <x v="1"/>
    <s v="Cancelled"/>
    <s v="Merchant"/>
    <x v="0"/>
    <x v="0"/>
    <n v="39"/>
    <s v="JNE3659-TP-N-L"/>
    <x v="3"/>
    <s v="L"/>
    <n v="0"/>
    <s v="INR"/>
    <n v="469.52"/>
    <s v="KALYAN"/>
    <x v="0"/>
    <s v="IN"/>
  </r>
  <r>
    <n v="784"/>
    <s v="403-3896686-3972343"/>
    <d v="2024-01-06T00:00:00"/>
    <x v="7"/>
    <s v="Shipped"/>
    <s v="Amazon"/>
    <x v="0"/>
    <x v="1"/>
    <n v="42"/>
    <s v="JNE3652-TP-N-L"/>
    <x v="3"/>
    <s v="L"/>
    <n v="1"/>
    <s v="INR"/>
    <n v="339"/>
    <s v="KALYAN"/>
    <x v="0"/>
    <s v="IN"/>
  </r>
  <r>
    <n v="785"/>
    <s v="408-5238024-3207538"/>
    <d v="2024-11-23T00:00:00"/>
    <x v="1"/>
    <s v="Shipped - Delivered to Buyer"/>
    <s v="Merchant"/>
    <x v="0"/>
    <x v="2"/>
    <n v="39"/>
    <s v="SET192-KR-NP-XXXL"/>
    <x v="0"/>
    <s v="3XL"/>
    <n v="1"/>
    <s v="INR"/>
    <n v="680"/>
    <s v="DEVARAKONDA"/>
    <x v="6"/>
    <s v="IN"/>
  </r>
  <r>
    <n v="786"/>
    <s v="403-9336057-8075519"/>
    <d v="2024-01-22T00:00:00"/>
    <x v="7"/>
    <s v="Shipped"/>
    <s v="Amazon"/>
    <x v="0"/>
    <x v="1"/>
    <n v="27"/>
    <s v="SET183-KR-DH-S"/>
    <x v="0"/>
    <s v="S"/>
    <n v="1"/>
    <s v="INR"/>
    <n v="759"/>
    <s v="GURUGRAM"/>
    <x v="10"/>
    <s v="IN"/>
  </r>
  <r>
    <n v="787"/>
    <s v="406-6070472-3313109"/>
    <d v="2024-08-02T00:00:00"/>
    <x v="3"/>
    <s v="Shipped"/>
    <s v="Amazon"/>
    <x v="0"/>
    <x v="1"/>
    <n v="28"/>
    <s v="SET345-KR-NP-M"/>
    <x v="0"/>
    <s v="M"/>
    <n v="1"/>
    <s v="INR"/>
    <n v="626"/>
    <s v="THRISSUR"/>
    <x v="15"/>
    <s v="IN"/>
  </r>
  <r>
    <n v="788"/>
    <s v="407-0828621-5564309"/>
    <d v="2023-09-25T00:00:00"/>
    <x v="2"/>
    <s v="Shipped - Delivered to Buyer"/>
    <s v="Merchant"/>
    <x v="1"/>
    <x v="2"/>
    <n v="26"/>
    <s v="JNE3440-KR-N-L"/>
    <x v="1"/>
    <s v="L"/>
    <n v="1"/>
    <s v="INR"/>
    <n v="399"/>
    <s v="DEHRADUN"/>
    <x v="20"/>
    <s v="IN"/>
  </r>
  <r>
    <n v="789"/>
    <s v="402-7281943-2634753"/>
    <d v="2024-01-31T00:00:00"/>
    <x v="7"/>
    <s v="Shipped"/>
    <s v="Amazon"/>
    <x v="0"/>
    <x v="1"/>
    <n v="50"/>
    <s v="J0336-TP-XXXL"/>
    <x v="3"/>
    <s v="3XL"/>
    <n v="1"/>
    <s v="INR"/>
    <n v="599"/>
    <s v="MUMBAI"/>
    <x v="0"/>
    <s v="IN"/>
  </r>
  <r>
    <n v="790"/>
    <s v="408-3364643-8111517"/>
    <d v="2023-05-30T00:00:00"/>
    <x v="9"/>
    <s v="Shipped"/>
    <s v="Amazon"/>
    <x v="1"/>
    <x v="1"/>
    <n v="43"/>
    <s v="JNE3405-KR-XXXL"/>
    <x v="1"/>
    <s v="3XL"/>
    <n v="1"/>
    <s v="INR"/>
    <n v="399"/>
    <s v="NEW DELHI"/>
    <x v="9"/>
    <s v="IN"/>
  </r>
  <r>
    <n v="791"/>
    <s v="402-9327280-6831502"/>
    <d v="2024-06-10T00:00:00"/>
    <x v="6"/>
    <s v="Shipped"/>
    <s v="Amazon"/>
    <x v="0"/>
    <x v="1"/>
    <n v="49"/>
    <s v="SET187-KR-DH-M"/>
    <x v="0"/>
    <s v="M"/>
    <n v="1"/>
    <s v="INR"/>
    <n v="599"/>
    <s v="Bangalore"/>
    <x v="1"/>
    <s v="IN"/>
  </r>
  <r>
    <n v="792"/>
    <s v="405-8803159-2662729"/>
    <d v="2023-07-05T00:00:00"/>
    <x v="10"/>
    <s v="Shipped"/>
    <s v="Amazon"/>
    <x v="1"/>
    <x v="1"/>
    <n v="39"/>
    <s v="JNE3775-KR-S"/>
    <x v="1"/>
    <s v="S"/>
    <n v="1"/>
    <s v="INR"/>
    <n v="291"/>
    <s v="BENGALURU"/>
    <x v="1"/>
    <s v="IN"/>
  </r>
  <r>
    <n v="793"/>
    <s v="405-8803159-2662729"/>
    <d v="2023-11-13T00:00:00"/>
    <x v="1"/>
    <s v="Shipped"/>
    <s v="Amazon"/>
    <x v="1"/>
    <x v="1"/>
    <n v="31"/>
    <s v="JNE3409-KR-S"/>
    <x v="1"/>
    <s v="S"/>
    <n v="1"/>
    <s v="INR"/>
    <n v="276"/>
    <s v="BENGALURU"/>
    <x v="1"/>
    <s v="IN"/>
  </r>
  <r>
    <n v="794"/>
    <s v="405-8803159-2662729"/>
    <d v="2024-03-06T00:00:00"/>
    <x v="0"/>
    <s v="Shipped"/>
    <s v="Amazon"/>
    <x v="0"/>
    <x v="1"/>
    <n v="42"/>
    <s v="SET345-KR-NP-S"/>
    <x v="0"/>
    <s v="S"/>
    <n v="1"/>
    <s v="INR"/>
    <n v="626"/>
    <s v="BENGALURU"/>
    <x v="1"/>
    <s v="IN"/>
  </r>
  <r>
    <n v="795"/>
    <s v="405-8803159-2662729"/>
    <d v="2024-07-01T00:00:00"/>
    <x v="10"/>
    <s v="Shipped"/>
    <s v="Amazon"/>
    <x v="1"/>
    <x v="1"/>
    <n v="41"/>
    <s v="JNE3715-KR-S"/>
    <x v="1"/>
    <s v="S"/>
    <n v="1"/>
    <s v="INR"/>
    <n v="283"/>
    <s v="BENGALURU"/>
    <x v="1"/>
    <s v="IN"/>
  </r>
  <r>
    <n v="796"/>
    <s v="405-3441275-4039543"/>
    <d v="2023-10-08T00:00:00"/>
    <x v="5"/>
    <s v="Shipped - Delivered to Buyer"/>
    <s v="Merchant"/>
    <x v="0"/>
    <x v="0"/>
    <n v="47"/>
    <s v="JNE3797-KR-XS"/>
    <x v="2"/>
    <s v="XS"/>
    <n v="1"/>
    <s v="INR"/>
    <n v="725"/>
    <s v="BENGALURU"/>
    <x v="1"/>
    <s v="IN"/>
  </r>
  <r>
    <n v="797"/>
    <s v="405-3441275-4039543"/>
    <d v="2023-05-11T00:00:00"/>
    <x v="9"/>
    <s v="Shipped - Delivered to Buyer"/>
    <s v="Merchant"/>
    <x v="1"/>
    <x v="2"/>
    <n v="50"/>
    <s v="JNE1998-KR-311-S"/>
    <x v="1"/>
    <s v="S"/>
    <n v="1"/>
    <s v="INR"/>
    <n v="295"/>
    <s v="BENGALURU"/>
    <x v="1"/>
    <s v="IN"/>
  </r>
  <r>
    <n v="798"/>
    <s v="406-2890663-9523509"/>
    <d v="2023-11-21T00:00:00"/>
    <x v="1"/>
    <s v="Shipped"/>
    <s v="Amazon"/>
    <x v="1"/>
    <x v="1"/>
    <n v="48"/>
    <s v="JNE2270-KR-487-A-XL"/>
    <x v="1"/>
    <s v="XL"/>
    <n v="1"/>
    <s v="INR"/>
    <n v="518"/>
    <s v="BENGALURU"/>
    <x v="1"/>
    <s v="IN"/>
  </r>
  <r>
    <n v="799"/>
    <s v="402-1430516-9436331"/>
    <d v="2024-01-13T00:00:00"/>
    <x v="7"/>
    <s v="Shipped"/>
    <s v="Amazon"/>
    <x v="1"/>
    <x v="1"/>
    <n v="40"/>
    <s v="JNE3405-KR-L"/>
    <x v="1"/>
    <s v="L"/>
    <n v="1"/>
    <s v="INR"/>
    <n v="399"/>
    <s v="LUCKNOW"/>
    <x v="4"/>
    <s v="IN"/>
  </r>
  <r>
    <n v="800"/>
    <s v="171-7949350-6828319"/>
    <d v="2024-02-06T00:00:00"/>
    <x v="4"/>
    <s v="Shipped"/>
    <s v="Amazon"/>
    <x v="0"/>
    <x v="1"/>
    <n v="59"/>
    <s v="SET347-KR-NP-XS"/>
    <x v="0"/>
    <s v="XS"/>
    <n v="1"/>
    <s v="INR"/>
    <n v="852"/>
    <s v="DHARMAPURI"/>
    <x v="3"/>
    <s v="IN"/>
  </r>
  <r>
    <n v="801"/>
    <s v="171-2964083-5815566"/>
    <d v="2023-07-26T00:00:00"/>
    <x v="10"/>
    <s v="Shipped"/>
    <s v="Amazon"/>
    <x v="0"/>
    <x v="1"/>
    <n v="33"/>
    <s v="SET200-KR-NP-A-XXXL"/>
    <x v="0"/>
    <s v="3XL"/>
    <n v="1"/>
    <s v="INR"/>
    <n v="568"/>
    <s v="MEERUT"/>
    <x v="4"/>
    <s v="IN"/>
  </r>
  <r>
    <n v="802"/>
    <s v="406-9789934-2845967"/>
    <d v="2024-06-03T00:00:00"/>
    <x v="6"/>
    <s v="Shipped"/>
    <s v="Amazon"/>
    <x v="0"/>
    <x v="1"/>
    <n v="38"/>
    <s v="JNE3800-KR-XL"/>
    <x v="2"/>
    <s v="XL"/>
    <n v="1"/>
    <s v="INR"/>
    <n v="771"/>
    <s v="SECUNDERABAD"/>
    <x v="6"/>
    <s v="IN"/>
  </r>
  <r>
    <n v="803"/>
    <s v="405-9399780-0313164"/>
    <d v="2024-08-02T00:00:00"/>
    <x v="3"/>
    <s v="Shipped"/>
    <s v="Amazon"/>
    <x v="0"/>
    <x v="1"/>
    <n v="34"/>
    <s v="J0228-SKD-S"/>
    <x v="0"/>
    <s v="S"/>
    <n v="1"/>
    <s v="INR"/>
    <n v="1669"/>
    <s v="NOIDA"/>
    <x v="4"/>
    <s v="IN"/>
  </r>
  <r>
    <n v="804"/>
    <s v="404-9635079-7600310"/>
    <d v="2023-02-12T00:00:00"/>
    <x v="4"/>
    <s v="Shipped"/>
    <s v="Amazon"/>
    <x v="0"/>
    <x v="1"/>
    <n v="35"/>
    <s v="J0119-TP-XXL"/>
    <x v="3"/>
    <s v="XXL"/>
    <n v="1"/>
    <s v="INR"/>
    <n v="540"/>
    <s v="DANGUWAPASI"/>
    <x v="12"/>
    <s v="IN"/>
  </r>
  <r>
    <n v="805"/>
    <s v="171-6983189-6050757"/>
    <d v="2023-03-19T00:00:00"/>
    <x v="0"/>
    <s v="Shipped"/>
    <s v="Amazon"/>
    <x v="0"/>
    <x v="1"/>
    <n v="38"/>
    <s v="J0230-SKD-M"/>
    <x v="0"/>
    <s v="M"/>
    <n v="1"/>
    <s v="INR"/>
    <n v="1112"/>
    <s v="DHEMAJI"/>
    <x v="11"/>
    <s v="IN"/>
  </r>
  <r>
    <n v="806"/>
    <s v="171-6983189-6050757"/>
    <d v="2024-11-10T00:00:00"/>
    <x v="1"/>
    <s v="Shipped"/>
    <s v="Amazon"/>
    <x v="1"/>
    <x v="1"/>
    <n v="51"/>
    <s v="JNE2270-KR-487-A-M"/>
    <x v="1"/>
    <s v="M"/>
    <n v="1"/>
    <s v="INR"/>
    <n v="518"/>
    <s v="DHEMAJI"/>
    <x v="11"/>
    <s v="IN"/>
  </r>
  <r>
    <n v="807"/>
    <s v="171-3884714-3945906"/>
    <d v="2024-01-26T00:00:00"/>
    <x v="7"/>
    <s v="Shipped"/>
    <s v="Amazon"/>
    <x v="0"/>
    <x v="1"/>
    <n v="57"/>
    <s v="SET398-KR-PP-XXXL"/>
    <x v="0"/>
    <s v="3XL"/>
    <n v="1"/>
    <s v="INR"/>
    <n v="1115"/>
    <s v="PULGAON"/>
    <x v="0"/>
    <s v="IN"/>
  </r>
  <r>
    <n v="808"/>
    <s v="171-3884714-3945906"/>
    <d v="2023-03-18T00:00:00"/>
    <x v="0"/>
    <s v="Shipped"/>
    <s v="Amazon"/>
    <x v="0"/>
    <x v="1"/>
    <n v="42"/>
    <s v="J0230-SKD-XXL"/>
    <x v="0"/>
    <s v="XXL"/>
    <n v="1"/>
    <s v="INR"/>
    <n v="1112"/>
    <s v="PULGAON"/>
    <x v="0"/>
    <s v="IN"/>
  </r>
  <r>
    <n v="809"/>
    <s v="171-3884714-3945906"/>
    <d v="2024-07-16T00:00:00"/>
    <x v="10"/>
    <s v="Shipped"/>
    <s v="Amazon"/>
    <x v="1"/>
    <x v="1"/>
    <n v="46"/>
    <s v="JNE3405-KR-XXXL"/>
    <x v="1"/>
    <s v="3XL"/>
    <n v="1"/>
    <s v="INR"/>
    <n v="399"/>
    <s v="PULGAON"/>
    <x v="0"/>
    <s v="IN"/>
  </r>
  <r>
    <n v="810"/>
    <s v="405-1693679-3068331"/>
    <d v="2024-07-15T00:00:00"/>
    <x v="10"/>
    <s v="Shipped"/>
    <s v="Amazon"/>
    <x v="1"/>
    <x v="1"/>
    <n v="24"/>
    <s v="JNE3562-KR-XL"/>
    <x v="1"/>
    <s v="XL"/>
    <n v="1"/>
    <s v="INR"/>
    <n v="476"/>
    <s v="AKATHIYOOR"/>
    <x v="15"/>
    <s v="IN"/>
  </r>
  <r>
    <n v="811"/>
    <s v="402-4804971-8591532"/>
    <d v="2023-12-01T00:00:00"/>
    <x v="11"/>
    <s v="Shipped - Delivered to Buyer"/>
    <s v="Merchant"/>
    <x v="1"/>
    <x v="2"/>
    <n v="48"/>
    <s v="JNE3818-KR-M"/>
    <x v="1"/>
    <s v="M"/>
    <n v="1"/>
    <s v="INR"/>
    <n v="499"/>
    <s v="Shakarpur"/>
    <x v="9"/>
    <s v="IN"/>
  </r>
  <r>
    <n v="812"/>
    <s v="402-4804971-8591532"/>
    <d v="2024-10-18T00:00:00"/>
    <x v="5"/>
    <s v="Shipped - Delivered to Buyer"/>
    <s v="Merchant"/>
    <x v="0"/>
    <x v="0"/>
    <n v="26"/>
    <s v="JNE3712-TP-N-M"/>
    <x v="3"/>
    <s v="M"/>
    <n v="1"/>
    <s v="INR"/>
    <n v="518"/>
    <s v="Shakarpur"/>
    <x v="9"/>
    <s v="IN"/>
  </r>
  <r>
    <n v="813"/>
    <s v="405-1597244-8205967"/>
    <d v="2023-11-20T00:00:00"/>
    <x v="1"/>
    <s v="Shipped"/>
    <s v="Amazon"/>
    <x v="1"/>
    <x v="1"/>
    <n v="26"/>
    <s v="JNE3465-KR-XXL"/>
    <x v="1"/>
    <s v="XXL"/>
    <n v="1"/>
    <s v="INR"/>
    <n v="486"/>
    <s v="NEW DELHI"/>
    <x v="9"/>
    <s v="IN"/>
  </r>
  <r>
    <n v="814"/>
    <s v="403-9610979-2949958"/>
    <d v="2023-11-02T00:00:00"/>
    <x v="1"/>
    <s v="Shipped"/>
    <s v="Amazon"/>
    <x v="1"/>
    <x v="1"/>
    <n v="23"/>
    <s v="JNE3423-KR-XL"/>
    <x v="1"/>
    <s v="XL"/>
    <n v="1"/>
    <s v="INR"/>
    <n v="399"/>
    <s v="KOLKATA"/>
    <x v="17"/>
    <s v="IN"/>
  </r>
  <r>
    <n v="815"/>
    <s v="405-1911317-3604322"/>
    <d v="2023-03-27T00:00:00"/>
    <x v="0"/>
    <s v="Shipped"/>
    <s v="Amazon"/>
    <x v="0"/>
    <x v="1"/>
    <n v="33"/>
    <s v="SET388-KR-NP-L"/>
    <x v="0"/>
    <s v="L"/>
    <n v="1"/>
    <s v="INR"/>
    <n v="1260"/>
    <s v="Imphal east"/>
    <x v="26"/>
    <s v="IN"/>
  </r>
  <r>
    <n v="816"/>
    <s v="404-7251284-9387528"/>
    <d v="2023-01-15T00:00:00"/>
    <x v="7"/>
    <s v="Shipped"/>
    <s v="Amazon"/>
    <x v="0"/>
    <x v="1"/>
    <n v="55"/>
    <s v="J0023-TP-XXL"/>
    <x v="3"/>
    <s v="XXL"/>
    <n v="1"/>
    <s v="INR"/>
    <n v="399"/>
    <s v="LUCKNOW"/>
    <x v="4"/>
    <s v="IN"/>
  </r>
  <r>
    <n v="817"/>
    <s v="403-4512253-4789948"/>
    <d v="2023-07-30T00:00:00"/>
    <x v="10"/>
    <s v="Shipped"/>
    <s v="Amazon"/>
    <x v="0"/>
    <x v="1"/>
    <n v="31"/>
    <s v="SET347-KR-NP-S"/>
    <x v="0"/>
    <s v="S"/>
    <n v="1"/>
    <s v="INR"/>
    <n v="852"/>
    <s v="CHEBROLU"/>
    <x v="7"/>
    <s v="IN"/>
  </r>
  <r>
    <n v="818"/>
    <s v="408-1348466-1321955"/>
    <d v="2023-11-14T00:00:00"/>
    <x v="1"/>
    <s v="Cancelled"/>
    <s v="Merchant"/>
    <x v="1"/>
    <x v="0"/>
    <n v="20"/>
    <s v="JNE2032-KR-205-XXXL"/>
    <x v="1"/>
    <s v="3XL"/>
    <n v="0"/>
    <m/>
    <m/>
    <s v="BENGALURU"/>
    <x v="1"/>
    <s v="IN"/>
  </r>
  <r>
    <n v="819"/>
    <s v="171-0490216-5028364"/>
    <d v="2024-08-11T00:00:00"/>
    <x v="3"/>
    <s v="Shipped"/>
    <s v="Amazon"/>
    <x v="1"/>
    <x v="1"/>
    <n v="39"/>
    <s v="JNE3560-KR-L"/>
    <x v="1"/>
    <s v="L"/>
    <n v="1"/>
    <s v="INR"/>
    <n v="487"/>
    <s v="Alappuzha"/>
    <x v="15"/>
    <s v="IN"/>
  </r>
  <r>
    <n v="820"/>
    <s v="406-5421335-3440327"/>
    <d v="2023-07-16T00:00:00"/>
    <x v="10"/>
    <s v="Cancelled"/>
    <s v="Amazon"/>
    <x v="0"/>
    <x v="1"/>
    <n v="19"/>
    <s v="J0230-SKD-L"/>
    <x v="0"/>
    <s v="L"/>
    <n v="0"/>
    <m/>
    <m/>
    <s v="AKBARPUR"/>
    <x v="4"/>
    <s v="IN"/>
  </r>
  <r>
    <n v="821"/>
    <s v="405-6836135-6312327"/>
    <d v="2024-10-27T00:00:00"/>
    <x v="5"/>
    <s v="Shipped - Delivered to Buyer"/>
    <s v="Merchant"/>
    <x v="0"/>
    <x v="0"/>
    <n v="29"/>
    <s v="JNE3706-DR-L"/>
    <x v="2"/>
    <s v="L"/>
    <n v="1"/>
    <s v="INR"/>
    <n v="413"/>
    <s v="NAGPUR"/>
    <x v="0"/>
    <s v="IN"/>
  </r>
  <r>
    <n v="822"/>
    <s v="171-0689935-4850722"/>
    <d v="2024-04-13T00:00:00"/>
    <x v="8"/>
    <s v="Shipped"/>
    <s v="Amazon"/>
    <x v="0"/>
    <x v="1"/>
    <n v="27"/>
    <s v="SET268-KR-NP-L"/>
    <x v="0"/>
    <s v="L"/>
    <n v="1"/>
    <s v="INR"/>
    <n v="788"/>
    <s v="NABAGRAM COLONY"/>
    <x v="17"/>
    <s v="IN"/>
  </r>
  <r>
    <n v="823"/>
    <s v="403-9835374-1565102"/>
    <d v="2024-11-20T00:00:00"/>
    <x v="1"/>
    <s v="Shipped - Delivered to Buyer"/>
    <s v="Merchant"/>
    <x v="0"/>
    <x v="2"/>
    <n v="53"/>
    <s v="SET398-KR-PP-XS"/>
    <x v="0"/>
    <s v="XS"/>
    <n v="1"/>
    <s v="INR"/>
    <n v="1186"/>
    <s v="KOLKATA"/>
    <x v="17"/>
    <s v="IN"/>
  </r>
  <r>
    <n v="824"/>
    <s v="403-8625708-2309901"/>
    <d v="2024-12-04T00:00:00"/>
    <x v="11"/>
    <s v="Shipped"/>
    <s v="Amazon"/>
    <x v="0"/>
    <x v="1"/>
    <n v="52"/>
    <s v="J0294-TP-XS"/>
    <x v="3"/>
    <s v="XS"/>
    <n v="1"/>
    <s v="INR"/>
    <n v="396"/>
    <s v="KOLKATA"/>
    <x v="17"/>
    <s v="IN"/>
  </r>
  <r>
    <n v="825"/>
    <s v="403-6616419-0658741"/>
    <d v="2023-07-26T00:00:00"/>
    <x v="10"/>
    <s v="Cancelled"/>
    <s v="Merchant"/>
    <x v="1"/>
    <x v="2"/>
    <n v="55"/>
    <s v="PJNE3068-KR-6XL"/>
    <x v="1"/>
    <s v="6XL"/>
    <n v="0"/>
    <s v="INR"/>
    <n v="659.05"/>
    <s v="THANE"/>
    <x v="0"/>
    <s v="IN"/>
  </r>
  <r>
    <n v="826"/>
    <s v="171-5550949-7914705"/>
    <d v="2024-08-04T00:00:00"/>
    <x v="3"/>
    <s v="Shipped"/>
    <s v="Amazon"/>
    <x v="0"/>
    <x v="1"/>
    <n v="28"/>
    <s v="J0095-SET-XXL"/>
    <x v="0"/>
    <s v="XXL"/>
    <n v="1"/>
    <s v="INR"/>
    <n v="653"/>
    <s v="KOZHIKODE"/>
    <x v="15"/>
    <s v="IN"/>
  </r>
  <r>
    <n v="827"/>
    <s v="408-9407260-0749114"/>
    <d v="2024-10-27T00:00:00"/>
    <x v="5"/>
    <s v="Shipped"/>
    <s v="Amazon"/>
    <x v="1"/>
    <x v="1"/>
    <n v="43"/>
    <s v="JNE3463-KR-L"/>
    <x v="1"/>
    <s v="L"/>
    <n v="1"/>
    <s v="INR"/>
    <n v="0"/>
    <s v="PUDUCHERRY"/>
    <x v="2"/>
    <s v="IN"/>
  </r>
  <r>
    <n v="828"/>
    <s v="408-4453138-1209128"/>
    <d v="2023-08-15T00:00:00"/>
    <x v="3"/>
    <s v="Shipped"/>
    <s v="Amazon"/>
    <x v="1"/>
    <x v="1"/>
    <n v="59"/>
    <s v="JNE3546-KR-L"/>
    <x v="1"/>
    <s v="L"/>
    <n v="1"/>
    <s v="INR"/>
    <n v="458"/>
    <s v="NEW DELHI"/>
    <x v="9"/>
    <s v="IN"/>
  </r>
  <r>
    <n v="829"/>
    <s v="402-4934568-7802706"/>
    <d v="2024-09-09T00:00:00"/>
    <x v="2"/>
    <s v="Shipped"/>
    <s v="Amazon"/>
    <x v="1"/>
    <x v="1"/>
    <n v="56"/>
    <s v="JNE3764-KR-XL"/>
    <x v="1"/>
    <s v="XL"/>
    <n v="1"/>
    <s v="INR"/>
    <n v="487"/>
    <s v="NEW TOWN"/>
    <x v="17"/>
    <s v="IN"/>
  </r>
  <r>
    <n v="830"/>
    <s v="405-9862364-7636347"/>
    <d v="2024-06-02T00:00:00"/>
    <x v="6"/>
    <s v="Shipped"/>
    <s v="Amazon"/>
    <x v="0"/>
    <x v="1"/>
    <n v="18"/>
    <s v="SET331-KR-NP-XXXL"/>
    <x v="0"/>
    <s v="3XL"/>
    <n v="1"/>
    <s v="INR"/>
    <n v="597"/>
    <s v="NELAMANGALA"/>
    <x v="1"/>
    <s v="IN"/>
  </r>
  <r>
    <n v="831"/>
    <s v="405-7713713-9002732"/>
    <d v="2024-12-30T00:00:00"/>
    <x v="11"/>
    <s v="Shipped"/>
    <s v="Amazon"/>
    <x v="0"/>
    <x v="1"/>
    <n v="30"/>
    <s v="J0278-SET-XXXL"/>
    <x v="0"/>
    <s v="3XL"/>
    <n v="1"/>
    <s v="INR"/>
    <n v="761"/>
    <s v="NELAMANGALA"/>
    <x v="1"/>
    <s v="IN"/>
  </r>
  <r>
    <n v="832"/>
    <s v="405-7713713-9002732"/>
    <d v="2023-10-29T00:00:00"/>
    <x v="5"/>
    <s v="Shipped"/>
    <s v="Amazon"/>
    <x v="0"/>
    <x v="1"/>
    <n v="28"/>
    <s v="SET319-KR-NP-XXXL"/>
    <x v="0"/>
    <s v="3XL"/>
    <n v="1"/>
    <s v="INR"/>
    <n v="835"/>
    <s v="NELAMANGALA"/>
    <x v="1"/>
    <s v="IN"/>
  </r>
  <r>
    <n v="833"/>
    <s v="406-8536478-4581952"/>
    <d v="2023-07-29T00:00:00"/>
    <x v="10"/>
    <s v="Shipped - Returned to Seller"/>
    <s v="Merchant"/>
    <x v="0"/>
    <x v="2"/>
    <n v="48"/>
    <s v="J0117-TP-S"/>
    <x v="3"/>
    <s v="S"/>
    <n v="1"/>
    <s v="INR"/>
    <n v="518"/>
    <s v="KOTPAD, Koraput"/>
    <x v="14"/>
    <s v="IN"/>
  </r>
  <r>
    <n v="834"/>
    <s v="407-0533151-5470709"/>
    <d v="2024-10-23T00:00:00"/>
    <x v="5"/>
    <s v="Cancelled"/>
    <s v="Amazon"/>
    <x v="1"/>
    <x v="1"/>
    <n v="43"/>
    <s v="JNE2153-KR-278-A-XL"/>
    <x v="1"/>
    <s v="XL"/>
    <n v="0"/>
    <m/>
    <m/>
    <s v="BHUBANESWAR"/>
    <x v="14"/>
    <s v="IN"/>
  </r>
  <r>
    <n v="835"/>
    <s v="404-6783850-0597940"/>
    <d v="2023-11-06T00:00:00"/>
    <x v="1"/>
    <s v="Shipped"/>
    <s v="Amazon"/>
    <x v="0"/>
    <x v="1"/>
    <n v="22"/>
    <s v="JNE3870-DR-XL"/>
    <x v="2"/>
    <s v="XL"/>
    <n v="1"/>
    <s v="INR"/>
    <n v="721"/>
    <s v="LUCKNOW"/>
    <x v="4"/>
    <s v="IN"/>
  </r>
  <r>
    <n v="836"/>
    <s v="407-3030317-4521947"/>
    <d v="2023-11-17T00:00:00"/>
    <x v="1"/>
    <s v="Shipped"/>
    <s v="Amazon"/>
    <x v="1"/>
    <x v="1"/>
    <n v="23"/>
    <s v="JNE3784-KR-L"/>
    <x v="1"/>
    <s v="L"/>
    <n v="1"/>
    <s v="INR"/>
    <n v="458"/>
    <s v="BENGALURU"/>
    <x v="1"/>
    <s v="IN"/>
  </r>
  <r>
    <n v="837"/>
    <s v="402-0093786-0156303"/>
    <d v="2023-06-30T00:00:00"/>
    <x v="6"/>
    <s v="Shipped"/>
    <s v="Amazon"/>
    <x v="0"/>
    <x v="1"/>
    <n v="56"/>
    <s v="SET287-KR-NP-M"/>
    <x v="0"/>
    <s v="M"/>
    <n v="1"/>
    <s v="INR"/>
    <n v="666"/>
    <s v="NASHIK"/>
    <x v="0"/>
    <s v="IN"/>
  </r>
  <r>
    <n v="838"/>
    <s v="171-3705534-0250736"/>
    <d v="2023-04-28T00:00:00"/>
    <x v="8"/>
    <s v="Shipped"/>
    <s v="Amazon"/>
    <x v="1"/>
    <x v="1"/>
    <n v="43"/>
    <s v="JNE3567-KR-L"/>
    <x v="1"/>
    <s v="L"/>
    <n v="1"/>
    <s v="INR"/>
    <n v="399"/>
    <s v="KATIHAR"/>
    <x v="21"/>
    <s v="IN"/>
  </r>
  <r>
    <n v="839"/>
    <s v="408-9408562-5254749"/>
    <d v="2024-02-23T00:00:00"/>
    <x v="4"/>
    <s v="Shipped - Delivered to Buyer"/>
    <s v="Merchant"/>
    <x v="0"/>
    <x v="0"/>
    <n v="60"/>
    <s v="J0372-SKD-M"/>
    <x v="0"/>
    <s v="M"/>
    <n v="1"/>
    <s v="INR"/>
    <n v="1099"/>
    <s v="KOLKATA"/>
    <x v="17"/>
    <s v="IN"/>
  </r>
  <r>
    <n v="840"/>
    <s v="403-4739886-5496325"/>
    <d v="2023-06-11T00:00:00"/>
    <x v="6"/>
    <s v="Shipped"/>
    <s v="Amazon"/>
    <x v="1"/>
    <x v="1"/>
    <n v="46"/>
    <s v="JNE2014-KR-178-XL"/>
    <x v="1"/>
    <s v="XL"/>
    <n v="1"/>
    <s v="INR"/>
    <n v="353"/>
    <s v="ALAPPUZHA"/>
    <x v="15"/>
    <s v="IN"/>
  </r>
  <r>
    <n v="841"/>
    <s v="171-9312177-9903551"/>
    <d v="2024-07-16T00:00:00"/>
    <x v="10"/>
    <s v="Shipped"/>
    <s v="Amazon"/>
    <x v="1"/>
    <x v="1"/>
    <n v="39"/>
    <s v="J0139-KR-XXXL"/>
    <x v="1"/>
    <s v="3XL"/>
    <n v="1"/>
    <s v="INR"/>
    <n v="399"/>
    <s v="MUMBAI"/>
    <x v="0"/>
    <s v="IN"/>
  </r>
  <r>
    <n v="842"/>
    <s v="171-3255381-0489121"/>
    <d v="2023-12-12T00:00:00"/>
    <x v="11"/>
    <s v="Shipped - Delivered to Buyer"/>
    <s v="Merchant"/>
    <x v="1"/>
    <x v="0"/>
    <n v="31"/>
    <s v="J0097-KR-XXXL"/>
    <x v="1"/>
    <s v="3XL"/>
    <n v="1"/>
    <s v="INR"/>
    <n v="534"/>
    <s v="MUMBAI"/>
    <x v="0"/>
    <s v="IN"/>
  </r>
  <r>
    <n v="843"/>
    <s v="408-4584840-2787538"/>
    <d v="2024-05-18T00:00:00"/>
    <x v="9"/>
    <s v="Cancelled"/>
    <s v="Merchant"/>
    <x v="0"/>
    <x v="2"/>
    <n v="36"/>
    <s v="J0372-SKD-M"/>
    <x v="0"/>
    <s v="M"/>
    <n v="0"/>
    <s v="INR"/>
    <n v="981.25"/>
    <s v="NEW DELHI"/>
    <x v="9"/>
    <s v="IN"/>
  </r>
  <r>
    <n v="844"/>
    <s v="408-5118229-6373917"/>
    <d v="2023-03-07T00:00:00"/>
    <x v="0"/>
    <s v="Shipped"/>
    <s v="Amazon"/>
    <x v="1"/>
    <x v="1"/>
    <n v="42"/>
    <s v="JNE3399-KR-XL"/>
    <x v="1"/>
    <s v="XL"/>
    <n v="1"/>
    <s v="INR"/>
    <n v="0"/>
    <s v="Hyderabad"/>
    <x v="6"/>
    <s v="IN"/>
  </r>
  <r>
    <n v="845"/>
    <s v="403-0707216-6170737"/>
    <d v="2024-06-17T00:00:00"/>
    <x v="6"/>
    <s v="Shipped"/>
    <s v="Amazon"/>
    <x v="0"/>
    <x v="1"/>
    <n v="24"/>
    <s v="SET182-KR-DH-XXXL"/>
    <x v="0"/>
    <s v="3XL"/>
    <n v="1"/>
    <s v="INR"/>
    <n v="657"/>
    <s v="BAREILLY"/>
    <x v="4"/>
    <s v="IN"/>
  </r>
  <r>
    <n v="846"/>
    <s v="403-3258819-8018763"/>
    <d v="2024-12-17T00:00:00"/>
    <x v="11"/>
    <s v="Shipped"/>
    <s v="Amazon"/>
    <x v="0"/>
    <x v="1"/>
    <n v="20"/>
    <s v="SET345-KR-NP-M"/>
    <x v="0"/>
    <s v="M"/>
    <n v="1"/>
    <s v="INR"/>
    <n v="626"/>
    <s v="NEW DELHI"/>
    <x v="9"/>
    <s v="IN"/>
  </r>
  <r>
    <n v="847"/>
    <s v="408-2491878-4865146"/>
    <d v="2024-07-30T00:00:00"/>
    <x v="10"/>
    <s v="Cancelled"/>
    <s v="Merchant"/>
    <x v="0"/>
    <x v="2"/>
    <n v="18"/>
    <s v="J0372-SKD-M"/>
    <x v="0"/>
    <s v="M"/>
    <n v="0"/>
    <s v="INR"/>
    <n v="981.25"/>
    <s v="KOLKATA"/>
    <x v="17"/>
    <s v="IN"/>
  </r>
  <r>
    <n v="848"/>
    <s v="405-7190860-0329952"/>
    <d v="2024-06-15T00:00:00"/>
    <x v="6"/>
    <s v="Shipped"/>
    <s v="Amazon"/>
    <x v="0"/>
    <x v="1"/>
    <n v="18"/>
    <s v="J0415-DR-L"/>
    <x v="2"/>
    <s v="L"/>
    <n v="1"/>
    <s v="INR"/>
    <n v="899"/>
    <s v="KOLKATA"/>
    <x v="17"/>
    <s v="IN"/>
  </r>
  <r>
    <n v="849"/>
    <s v="402-0164950-5496362"/>
    <d v="2023-08-08T00:00:00"/>
    <x v="3"/>
    <s v="Cancelled"/>
    <s v="Amazon"/>
    <x v="0"/>
    <x v="1"/>
    <n v="54"/>
    <s v="SET304-KR-DPT-XL"/>
    <x v="0"/>
    <s v="XL"/>
    <n v="0"/>
    <m/>
    <m/>
    <s v="CHENNAI"/>
    <x v="3"/>
    <s v="IN"/>
  </r>
  <r>
    <n v="850"/>
    <s v="404-3821323-1636305"/>
    <d v="2024-06-06T00:00:00"/>
    <x v="6"/>
    <s v="Shipped"/>
    <s v="Amazon"/>
    <x v="0"/>
    <x v="1"/>
    <n v="52"/>
    <s v="SET331-KR-NP-M"/>
    <x v="0"/>
    <s v="M"/>
    <n v="1"/>
    <s v="INR"/>
    <n v="597"/>
    <s v="CHENNAI"/>
    <x v="3"/>
    <s v="IN"/>
  </r>
  <r>
    <n v="851"/>
    <s v="408-3649698-8803541"/>
    <d v="2023-06-17T00:00:00"/>
    <x v="6"/>
    <s v="Shipped"/>
    <s v="Amazon"/>
    <x v="0"/>
    <x v="1"/>
    <n v="58"/>
    <s v="SET356-KR-NP-XXL"/>
    <x v="0"/>
    <s v="XXL"/>
    <n v="1"/>
    <s v="INR"/>
    <n v="1099"/>
    <s v="GURUGRAM"/>
    <x v="10"/>
    <s v="IN"/>
  </r>
  <r>
    <n v="852"/>
    <s v="405-3694403-2551528"/>
    <d v="2023-10-15T00:00:00"/>
    <x v="5"/>
    <s v="Shipped"/>
    <s v="Amazon"/>
    <x v="0"/>
    <x v="1"/>
    <n v="20"/>
    <s v="SET110-KR-PP-XS"/>
    <x v="0"/>
    <s v="XS"/>
    <n v="1"/>
    <s v="INR"/>
    <n v="788"/>
    <s v="TIRORA"/>
    <x v="0"/>
    <s v="IN"/>
  </r>
  <r>
    <n v="853"/>
    <s v="405-6593194-1742748"/>
    <d v="2023-11-29T00:00:00"/>
    <x v="1"/>
    <s v="Shipped"/>
    <s v="Amazon"/>
    <x v="1"/>
    <x v="1"/>
    <n v="52"/>
    <s v="JNE3614-KR-M"/>
    <x v="1"/>
    <s v="M"/>
    <n v="1"/>
    <s v="INR"/>
    <n v="459"/>
    <s v="ZIRAKPUR"/>
    <x v="23"/>
    <s v="IN"/>
  </r>
  <r>
    <n v="854"/>
    <s v="403-7086967-7558701"/>
    <d v="2023-11-14T00:00:00"/>
    <x v="1"/>
    <s v="Shipped"/>
    <s v="Amazon"/>
    <x v="0"/>
    <x v="1"/>
    <n v="18"/>
    <s v="SET397-KR-NP  -M"/>
    <x v="0"/>
    <s v="M"/>
    <n v="1"/>
    <s v="INR"/>
    <n v="1186"/>
    <s v="VADODARA"/>
    <x v="19"/>
    <s v="IN"/>
  </r>
  <r>
    <n v="855"/>
    <s v="171-5927080-9153924"/>
    <d v="2024-01-23T00:00:00"/>
    <x v="7"/>
    <s v="Cancelled"/>
    <s v="Amazon"/>
    <x v="0"/>
    <x v="1"/>
    <n v="32"/>
    <s v="SET345-KR-NP-XXL"/>
    <x v="0"/>
    <s v="XXL"/>
    <n v="1"/>
    <s v="INR"/>
    <n v="626"/>
    <s v="Chennai"/>
    <x v="3"/>
    <s v="IN"/>
  </r>
  <r>
    <n v="856"/>
    <s v="406-5651070-7367520"/>
    <d v="2024-07-09T00:00:00"/>
    <x v="10"/>
    <s v="Cancelled"/>
    <s v="Amazon"/>
    <x v="0"/>
    <x v="1"/>
    <n v="33"/>
    <s v="J0343-DR-XXL"/>
    <x v="2"/>
    <s v="XXL"/>
    <n v="0"/>
    <m/>
    <m/>
    <s v="HYDERABAD"/>
    <x v="6"/>
    <s v="IN"/>
  </r>
  <r>
    <n v="857"/>
    <s v="405-1952513-5416327"/>
    <d v="2023-12-01T00:00:00"/>
    <x v="11"/>
    <s v="Cancelled"/>
    <s v="Amazon"/>
    <x v="1"/>
    <x v="1"/>
    <n v="20"/>
    <s v="JNE3614-KR-M"/>
    <x v="1"/>
    <s v="M"/>
    <n v="0"/>
    <m/>
    <m/>
    <s v="ZIRAKPUR"/>
    <x v="23"/>
    <s v="IN"/>
  </r>
  <r>
    <n v="858"/>
    <s v="406-8112035-0609144"/>
    <d v="2023-06-24T00:00:00"/>
    <x v="6"/>
    <s v="Shipped"/>
    <s v="Amazon"/>
    <x v="1"/>
    <x v="1"/>
    <n v="55"/>
    <s v="JNE3721-KR-XXL"/>
    <x v="1"/>
    <s v="XXL"/>
    <n v="1"/>
    <s v="INR"/>
    <n v="329"/>
    <s v="AJMER"/>
    <x v="8"/>
    <s v="IN"/>
  </r>
  <r>
    <n v="859"/>
    <s v="407-6114533-2816312"/>
    <d v="2023-10-02T00:00:00"/>
    <x v="5"/>
    <s v="Shipped - Delivered to Buyer"/>
    <s v="Merchant"/>
    <x v="1"/>
    <x v="0"/>
    <n v="53"/>
    <s v="JNE3722-KR-L"/>
    <x v="1"/>
    <s v="L"/>
    <n v="1"/>
    <s v="INR"/>
    <n v="280"/>
    <s v="MADIKERI"/>
    <x v="1"/>
    <s v="IN"/>
  </r>
  <r>
    <n v="860"/>
    <s v="407-6002733-2903540"/>
    <d v="2023-03-05T00:00:00"/>
    <x v="0"/>
    <s v="Shipped"/>
    <s v="Amazon"/>
    <x v="1"/>
    <x v="1"/>
    <n v="47"/>
    <s v="JNE3480-KR-M"/>
    <x v="1"/>
    <s v="M"/>
    <n v="1"/>
    <s v="INR"/>
    <n v="249"/>
    <s v="MADIKERI"/>
    <x v="1"/>
    <s v="IN"/>
  </r>
  <r>
    <n v="861"/>
    <s v="403-1068845-1092310"/>
    <d v="2023-08-28T00:00:00"/>
    <x v="3"/>
    <s v="Shipped"/>
    <s v="Amazon"/>
    <x v="0"/>
    <x v="1"/>
    <n v="27"/>
    <s v="SET014-KR-PP-M"/>
    <x v="0"/>
    <s v="M"/>
    <n v="1"/>
    <s v="INR"/>
    <n v="818"/>
    <s v="GHAZIABAD"/>
    <x v="4"/>
    <s v="IN"/>
  </r>
  <r>
    <n v="862"/>
    <s v="407-3001310-2482707"/>
    <d v="2024-10-17T00:00:00"/>
    <x v="5"/>
    <s v="Shipped"/>
    <s v="Amazon"/>
    <x v="1"/>
    <x v="1"/>
    <n v="55"/>
    <s v="JNE3510-KR-XL"/>
    <x v="1"/>
    <s v="XL"/>
    <n v="1"/>
    <s v="INR"/>
    <n v="429"/>
    <s v="Thrissur"/>
    <x v="15"/>
    <s v="IN"/>
  </r>
  <r>
    <n v="863"/>
    <s v="407-3001310-2482707"/>
    <d v="2023-12-04T00:00:00"/>
    <x v="11"/>
    <s v="Shipped"/>
    <s v="Amazon"/>
    <x v="1"/>
    <x v="1"/>
    <n v="29"/>
    <s v="JNE3784-KR-L"/>
    <x v="1"/>
    <s v="L"/>
    <n v="1"/>
    <s v="INR"/>
    <n v="458"/>
    <s v="Thrissur"/>
    <x v="15"/>
    <s v="IN"/>
  </r>
  <r>
    <n v="864"/>
    <s v="402-9024954-3597923"/>
    <d v="2023-10-16T00:00:00"/>
    <x v="5"/>
    <s v="Cancelled"/>
    <s v="Amazon"/>
    <x v="0"/>
    <x v="1"/>
    <n v="28"/>
    <s v="JNE3800-KR-M"/>
    <x v="2"/>
    <s v="M"/>
    <n v="0"/>
    <m/>
    <m/>
    <s v="HYDERABAD"/>
    <x v="6"/>
    <s v="IN"/>
  </r>
  <r>
    <n v="865"/>
    <s v="404-6763777-8680366"/>
    <d v="2023-01-23T00:00:00"/>
    <x v="7"/>
    <s v="Shipped - Delivered to Buyer"/>
    <s v="Merchant"/>
    <x v="1"/>
    <x v="0"/>
    <n v="56"/>
    <s v="MEN5007-KR-M"/>
    <x v="1"/>
    <s v="M"/>
    <n v="1"/>
    <s v="INR"/>
    <n v="475"/>
    <s v="PUNE"/>
    <x v="0"/>
    <s v="IN"/>
  </r>
  <r>
    <n v="866"/>
    <s v="405-6167247-7769908"/>
    <d v="2024-02-11T00:00:00"/>
    <x v="4"/>
    <s v="Shipped"/>
    <s v="Amazon"/>
    <x v="0"/>
    <x v="1"/>
    <n v="24"/>
    <s v="SET110-KR-PP-S"/>
    <x v="0"/>
    <s v="S"/>
    <n v="1"/>
    <s v="INR"/>
    <n v="788"/>
    <s v="RANCHI"/>
    <x v="12"/>
    <s v="IN"/>
  </r>
  <r>
    <n v="867"/>
    <s v="404-3190952-7345128"/>
    <d v="2024-01-13T00:00:00"/>
    <x v="7"/>
    <s v="Shipped"/>
    <s v="Amazon"/>
    <x v="0"/>
    <x v="1"/>
    <n v="18"/>
    <s v="J0339-DR-XL"/>
    <x v="2"/>
    <s v="XL"/>
    <n v="1"/>
    <s v="INR"/>
    <n v="744"/>
    <s v="Bengaluru"/>
    <x v="1"/>
    <s v="IN"/>
  </r>
  <r>
    <n v="868"/>
    <s v="407-4179560-9885921"/>
    <d v="2024-06-25T00:00:00"/>
    <x v="6"/>
    <s v="Shipped"/>
    <s v="Amazon"/>
    <x v="1"/>
    <x v="1"/>
    <n v="34"/>
    <s v="JNE3784-KR-XXXL"/>
    <x v="1"/>
    <s v="3XL"/>
    <n v="1"/>
    <s v="INR"/>
    <n v="458"/>
    <s v="GURUGRAM"/>
    <x v="10"/>
    <s v="IN"/>
  </r>
  <r>
    <n v="869"/>
    <s v="405-4515494-3244302"/>
    <d v="2023-05-18T00:00:00"/>
    <x v="9"/>
    <s v="Shipped"/>
    <s v="Amazon"/>
    <x v="1"/>
    <x v="1"/>
    <n v="40"/>
    <s v="PJNE3368-KR-6XL"/>
    <x v="1"/>
    <s v="6XL"/>
    <n v="1"/>
    <s v="INR"/>
    <n v="505"/>
    <s v="CHENNAI"/>
    <x v="3"/>
    <s v="IN"/>
  </r>
  <r>
    <n v="870"/>
    <s v="404-0812833-5129124"/>
    <d v="2023-06-25T00:00:00"/>
    <x v="6"/>
    <s v="Shipped"/>
    <s v="Amazon"/>
    <x v="0"/>
    <x v="1"/>
    <n v="20"/>
    <s v="SET398-KR-PP-XXL"/>
    <x v="0"/>
    <s v="XXL"/>
    <n v="1"/>
    <s v="INR"/>
    <n v="1186"/>
    <s v="JAMMU"/>
    <x v="22"/>
    <s v="IN"/>
  </r>
  <r>
    <n v="871"/>
    <s v="403-9928712-6587519"/>
    <d v="2023-07-13T00:00:00"/>
    <x v="10"/>
    <s v="Shipped"/>
    <s v="Amazon"/>
    <x v="0"/>
    <x v="1"/>
    <n v="33"/>
    <s v="SET331-KR-NP-L"/>
    <x v="0"/>
    <s v="L"/>
    <n v="1"/>
    <s v="INR"/>
    <n v="597"/>
    <s v="Dungarpur"/>
    <x v="8"/>
    <s v="IN"/>
  </r>
  <r>
    <n v="872"/>
    <s v="404-5314568-1043519"/>
    <d v="2023-01-10T00:00:00"/>
    <x v="7"/>
    <s v="Shipped"/>
    <s v="Amazon"/>
    <x v="0"/>
    <x v="1"/>
    <n v="58"/>
    <s v="J0301-TP-M"/>
    <x v="3"/>
    <s v="M"/>
    <n v="1"/>
    <s v="INR"/>
    <n v="463"/>
    <s v="PANCHKULA"/>
    <x v="10"/>
    <s v="IN"/>
  </r>
  <r>
    <n v="873"/>
    <s v="402-8207665-7247536"/>
    <d v="2024-02-06T00:00:00"/>
    <x v="4"/>
    <s v="Shipped"/>
    <s v="Amazon"/>
    <x v="1"/>
    <x v="1"/>
    <n v="44"/>
    <s v="JNE3368-KR-XXXL"/>
    <x v="1"/>
    <s v="3XL"/>
    <n v="1"/>
    <s v="INR"/>
    <n v="471"/>
    <s v="HYDERABAD"/>
    <x v="6"/>
    <s v="IN"/>
  </r>
  <r>
    <n v="874"/>
    <s v="403-3814019-1141952"/>
    <d v="2024-10-09T00:00:00"/>
    <x v="5"/>
    <s v="Shipped"/>
    <s v="Amazon"/>
    <x v="0"/>
    <x v="1"/>
    <n v="30"/>
    <s v="SET345-KR-NP-M"/>
    <x v="0"/>
    <s v="M"/>
    <n v="1"/>
    <s v="INR"/>
    <n v="626"/>
    <s v="DHOLKA"/>
    <x v="19"/>
    <s v="IN"/>
  </r>
  <r>
    <n v="875"/>
    <s v="403-5049239-4135545"/>
    <d v="2024-12-19T00:00:00"/>
    <x v="11"/>
    <s v="Shipped"/>
    <s v="Amazon"/>
    <x v="1"/>
    <x v="1"/>
    <n v="33"/>
    <s v="JNE3405-KR-XL"/>
    <x v="1"/>
    <s v="XL"/>
    <n v="1"/>
    <s v="INR"/>
    <n v="399"/>
    <s v="DALTONGANJ"/>
    <x v="12"/>
    <s v="IN"/>
  </r>
  <r>
    <n v="876"/>
    <s v="405-6344744-8777959"/>
    <d v="2023-01-25T00:00:00"/>
    <x v="7"/>
    <s v="Shipped"/>
    <s v="Amazon"/>
    <x v="0"/>
    <x v="1"/>
    <n v="46"/>
    <s v="SET110-KR-PP-L"/>
    <x v="0"/>
    <s v="L"/>
    <n v="1"/>
    <s v="INR"/>
    <n v="788"/>
    <s v="BENGALURU"/>
    <x v="1"/>
    <s v="IN"/>
  </r>
  <r>
    <n v="877"/>
    <s v="405-0654626-6276321"/>
    <d v="2023-12-14T00:00:00"/>
    <x v="11"/>
    <s v="Shipped"/>
    <s v="Amazon"/>
    <x v="0"/>
    <x v="1"/>
    <n v="47"/>
    <s v="JNE3894-TP-M"/>
    <x v="3"/>
    <s v="M"/>
    <n v="1"/>
    <s v="INR"/>
    <n v="751"/>
    <s v="BATHINDA"/>
    <x v="23"/>
    <s v="IN"/>
  </r>
  <r>
    <n v="878"/>
    <s v="403-9647049-8100304"/>
    <d v="2024-02-29T00:00:00"/>
    <x v="4"/>
    <s v="Cancelled"/>
    <s v="Amazon"/>
    <x v="1"/>
    <x v="1"/>
    <n v="25"/>
    <s v="JNE3543-KR-XL"/>
    <x v="1"/>
    <s v="XL"/>
    <n v="1"/>
    <s v="INR"/>
    <n v="368"/>
    <s v="LUCKNOW"/>
    <x v="4"/>
    <s v="IN"/>
  </r>
  <r>
    <n v="879"/>
    <s v="407-3546546-1957155"/>
    <d v="2023-05-27T00:00:00"/>
    <x v="9"/>
    <s v="Shipped"/>
    <s v="Amazon"/>
    <x v="0"/>
    <x v="1"/>
    <n v="51"/>
    <s v="J0341-DR-M"/>
    <x v="2"/>
    <s v="M"/>
    <n v="1"/>
    <s v="INR"/>
    <n v="744"/>
    <s v="HYDERABAD"/>
    <x v="6"/>
    <s v="IN"/>
  </r>
  <r>
    <n v="880"/>
    <s v="404-4807357-2693108"/>
    <d v="2024-11-25T00:00:00"/>
    <x v="1"/>
    <s v="Shipped"/>
    <s v="Amazon"/>
    <x v="1"/>
    <x v="1"/>
    <n v="21"/>
    <s v="JNE3405-KR-L"/>
    <x v="1"/>
    <s v="L"/>
    <n v="1"/>
    <s v="INR"/>
    <n v="399"/>
    <s v="Nagpur"/>
    <x v="0"/>
    <s v="IN"/>
  </r>
  <r>
    <n v="881"/>
    <s v="404-4911741-3341902"/>
    <d v="2024-11-30T00:00:00"/>
    <x v="1"/>
    <s v="Shipped"/>
    <s v="Amazon"/>
    <x v="1"/>
    <x v="1"/>
    <n v="18"/>
    <s v="MEN5027-KR-XL"/>
    <x v="1"/>
    <s v="XL"/>
    <n v="1"/>
    <s v="INR"/>
    <n v="475"/>
    <s v="CHENNAI"/>
    <x v="3"/>
    <s v="IN"/>
  </r>
  <r>
    <n v="882"/>
    <s v="404-1580706-8406729"/>
    <d v="2023-05-26T00:00:00"/>
    <x v="9"/>
    <s v="Shipped"/>
    <s v="Amazon"/>
    <x v="1"/>
    <x v="1"/>
    <n v="31"/>
    <s v="MEN5006-KR-XL"/>
    <x v="1"/>
    <s v="XL"/>
    <n v="1"/>
    <s v="INR"/>
    <n v="475"/>
    <s v="CHENNAI"/>
    <x v="3"/>
    <s v="IN"/>
  </r>
  <r>
    <n v="883"/>
    <s v="404-6525036-6681154"/>
    <d v="2024-11-28T00:00:00"/>
    <x v="1"/>
    <s v="Shipped"/>
    <s v="Amazon"/>
    <x v="1"/>
    <x v="1"/>
    <n v="47"/>
    <s v="JNE3806-KR-L"/>
    <x v="1"/>
    <s v="L"/>
    <n v="1"/>
    <s v="INR"/>
    <n v="521"/>
    <s v="RANCHI"/>
    <x v="12"/>
    <s v="IN"/>
  </r>
  <r>
    <n v="884"/>
    <s v="408-6862949-2369917"/>
    <d v="2023-02-17T00:00:00"/>
    <x v="4"/>
    <s v="Shipped"/>
    <s v="Amazon"/>
    <x v="0"/>
    <x v="1"/>
    <n v="30"/>
    <s v="JNE3870-DR-XXXL"/>
    <x v="2"/>
    <s v="3XL"/>
    <n v="1"/>
    <s v="INR"/>
    <n v="721"/>
    <s v="PATNA"/>
    <x v="21"/>
    <s v="IN"/>
  </r>
  <r>
    <n v="885"/>
    <s v="403-4522038-5418732"/>
    <d v="2024-02-01T00:00:00"/>
    <x v="4"/>
    <s v="Shipped"/>
    <s v="Amazon"/>
    <x v="0"/>
    <x v="1"/>
    <n v="31"/>
    <s v="SET268-KR-NP-XS"/>
    <x v="0"/>
    <s v="XS"/>
    <n v="1"/>
    <s v="INR"/>
    <n v="788"/>
    <s v="MANGALURU"/>
    <x v="1"/>
    <s v="IN"/>
  </r>
  <r>
    <n v="886"/>
    <s v="405-9510649-7934734"/>
    <d v="2023-08-02T00:00:00"/>
    <x v="3"/>
    <s v="Shipped"/>
    <s v="Amazon"/>
    <x v="1"/>
    <x v="1"/>
    <n v="32"/>
    <s v="JNE3465-KR-XXL"/>
    <x v="1"/>
    <s v="XXL"/>
    <n v="1"/>
    <s v="INR"/>
    <n v="486"/>
    <s v="KAMATGI,Hunugund taluk,Bagalkot district"/>
    <x v="1"/>
    <s v="IN"/>
  </r>
  <r>
    <n v="887"/>
    <s v="408-2170248-9556321"/>
    <d v="2023-07-27T00:00:00"/>
    <x v="10"/>
    <s v="Shipped"/>
    <s v="Amazon"/>
    <x v="0"/>
    <x v="1"/>
    <n v="58"/>
    <s v="SET324-KR-NP-L"/>
    <x v="0"/>
    <s v="L"/>
    <n v="1"/>
    <s v="INR"/>
    <n v="597"/>
    <s v="GUWAHATI"/>
    <x v="11"/>
    <s v="IN"/>
  </r>
  <r>
    <n v="888"/>
    <s v="171-1747399-1165911"/>
    <d v="2024-08-09T00:00:00"/>
    <x v="3"/>
    <s v="Shipped"/>
    <s v="Amazon"/>
    <x v="0"/>
    <x v="1"/>
    <n v="38"/>
    <s v="J0341-DR-M"/>
    <x v="2"/>
    <s v="M"/>
    <n v="1"/>
    <s v="INR"/>
    <n v="744"/>
    <s v="GUWAHATI"/>
    <x v="11"/>
    <s v="IN"/>
  </r>
  <r>
    <n v="889"/>
    <s v="408-1752203-1767518"/>
    <d v="2023-07-11T00:00:00"/>
    <x v="10"/>
    <s v="Shipped"/>
    <s v="Amazon"/>
    <x v="0"/>
    <x v="1"/>
    <n v="45"/>
    <s v="SET349-KR-NP-XS"/>
    <x v="0"/>
    <s v="XS"/>
    <n v="1"/>
    <s v="INR"/>
    <n v="939"/>
    <s v="BENGALURU"/>
    <x v="1"/>
    <s v="IN"/>
  </r>
  <r>
    <n v="890"/>
    <s v="402-6953218-8797919"/>
    <d v="2023-02-20T00:00:00"/>
    <x v="4"/>
    <s v="Shipped"/>
    <s v="Amazon"/>
    <x v="1"/>
    <x v="1"/>
    <n v="28"/>
    <s v="JNE3465-KR-XL"/>
    <x v="1"/>
    <s v="XL"/>
    <n v="1"/>
    <s v="INR"/>
    <n v="517"/>
    <s v="RANCHI"/>
    <x v="12"/>
    <s v="IN"/>
  </r>
  <r>
    <n v="891"/>
    <s v="407-3644990-7729144"/>
    <d v="2023-04-22T00:00:00"/>
    <x v="8"/>
    <s v="Shipped - Delivered to Buyer"/>
    <s v="Merchant"/>
    <x v="0"/>
    <x v="2"/>
    <n v="48"/>
    <s v="J0343-DR-XL"/>
    <x v="2"/>
    <s v="XL"/>
    <n v="1"/>
    <s v="INR"/>
    <n v="744"/>
    <s v="CHENNAI"/>
    <x v="3"/>
    <s v="IN"/>
  </r>
  <r>
    <n v="892"/>
    <s v="406-9906656-5128304"/>
    <d v="2024-05-13T00:00:00"/>
    <x v="9"/>
    <s v="Cancelled"/>
    <s v="Amazon"/>
    <x v="1"/>
    <x v="1"/>
    <n v="57"/>
    <s v="J0167-KR-S"/>
    <x v="1"/>
    <s v="S"/>
    <n v="0"/>
    <m/>
    <m/>
    <s v="KANPURKanpur"/>
    <x v="4"/>
    <s v="IN"/>
  </r>
  <r>
    <n v="893"/>
    <s v="171-8345794-3569957"/>
    <d v="2023-07-05T00:00:00"/>
    <x v="10"/>
    <s v="Shipped"/>
    <s v="Amazon"/>
    <x v="1"/>
    <x v="1"/>
    <n v="57"/>
    <s v="MEN5021-KR-M"/>
    <x v="1"/>
    <s v="M"/>
    <n v="1"/>
    <s v="INR"/>
    <n v="533"/>
    <s v="BHUBANESWAR"/>
    <x v="14"/>
    <s v="IN"/>
  </r>
  <r>
    <n v="894"/>
    <s v="403-9545828-0603523"/>
    <d v="2024-02-12T00:00:00"/>
    <x v="4"/>
    <s v="Shipped"/>
    <s v="Amazon"/>
    <x v="0"/>
    <x v="1"/>
    <n v="33"/>
    <s v="SET291-KR-PP-M"/>
    <x v="0"/>
    <s v="M"/>
    <n v="1"/>
    <s v="INR"/>
    <n v="563"/>
    <s v="NEW DELHI"/>
    <x v="9"/>
    <s v="IN"/>
  </r>
  <r>
    <n v="895"/>
    <s v="408-8140052-8753913"/>
    <d v="2023-03-22T00:00:00"/>
    <x v="0"/>
    <s v="Shipped"/>
    <s v="Amazon"/>
    <x v="1"/>
    <x v="1"/>
    <n v="20"/>
    <s v="MEN5031-KR-S"/>
    <x v="1"/>
    <s v="S"/>
    <n v="1"/>
    <s v="INR"/>
    <n v="549"/>
    <s v="Bengaluru"/>
    <x v="1"/>
    <s v="IN"/>
  </r>
  <r>
    <n v="896"/>
    <s v="406-7221225-8921144"/>
    <d v="2024-11-16T00:00:00"/>
    <x v="1"/>
    <s v="Shipped - Delivered to Buyer"/>
    <s v="Merchant"/>
    <x v="0"/>
    <x v="0"/>
    <n v="28"/>
    <s v="SET345-KR-NP-XL"/>
    <x v="0"/>
    <s v="XL"/>
    <n v="1"/>
    <s v="INR"/>
    <n v="626"/>
    <s v="NAGPUR"/>
    <x v="0"/>
    <s v="IN"/>
  </r>
  <r>
    <n v="897"/>
    <s v="406-4803324-2221109"/>
    <d v="2024-07-09T00:00:00"/>
    <x v="10"/>
    <s v="Shipped"/>
    <s v="Amazon"/>
    <x v="0"/>
    <x v="1"/>
    <n v="59"/>
    <s v="SET356-KR-NP-XXXL"/>
    <x v="0"/>
    <s v="3XL"/>
    <n v="1"/>
    <s v="INR"/>
    <n v="1099"/>
    <s v="ARNI"/>
    <x v="0"/>
    <s v="IN"/>
  </r>
  <r>
    <n v="898"/>
    <s v="407-5470882-4765942"/>
    <d v="2023-12-23T00:00:00"/>
    <x v="11"/>
    <s v="Cancelled"/>
    <s v="Merchant"/>
    <x v="0"/>
    <x v="0"/>
    <n v="44"/>
    <s v="J0343-DR-XL"/>
    <x v="2"/>
    <s v="XL"/>
    <n v="0"/>
    <m/>
    <m/>
    <s v="CHENNAI"/>
    <x v="3"/>
    <s v="IN"/>
  </r>
  <r>
    <n v="899"/>
    <s v="403-0373263-7181928"/>
    <d v="2024-09-07T00:00:00"/>
    <x v="2"/>
    <s v="Shipped"/>
    <s v="Amazon"/>
    <x v="0"/>
    <x v="1"/>
    <n v="25"/>
    <s v="SET098-KR-PP-S"/>
    <x v="0"/>
    <s v="S"/>
    <n v="1"/>
    <s v="INR"/>
    <n v="696"/>
    <s v="HYDERABAD"/>
    <x v="6"/>
    <s v="IN"/>
  </r>
  <r>
    <n v="900"/>
    <s v="405-3139781-4240349"/>
    <d v="2023-11-05T00:00:00"/>
    <x v="1"/>
    <s v="Shipped"/>
    <s v="Amazon"/>
    <x v="0"/>
    <x v="1"/>
    <n v="21"/>
    <s v="SET278-KR-NP-S"/>
    <x v="0"/>
    <s v="S"/>
    <n v="1"/>
    <s v="INR"/>
    <n v="1432"/>
    <s v="MORBI"/>
    <x v="19"/>
    <s v="IN"/>
  </r>
  <r>
    <n v="901"/>
    <s v="404-4771108-9660348"/>
    <d v="2023-09-14T00:00:00"/>
    <x v="2"/>
    <s v="Shipped"/>
    <s v="Amazon"/>
    <x v="1"/>
    <x v="1"/>
    <n v="44"/>
    <s v="JNE3294-KR-XXL"/>
    <x v="1"/>
    <s v="XXL"/>
    <n v="1"/>
    <s v="INR"/>
    <n v="432"/>
    <s v="CHENNAI"/>
    <x v="3"/>
    <s v="IN"/>
  </r>
  <r>
    <n v="902"/>
    <s v="407-4616863-5212363"/>
    <d v="2023-10-03T00:00:00"/>
    <x v="5"/>
    <s v="Shipped"/>
    <s v="Amazon"/>
    <x v="0"/>
    <x v="1"/>
    <n v="22"/>
    <s v="SET363-KR-NP-M"/>
    <x v="0"/>
    <s v="M"/>
    <n v="1"/>
    <s v="INR"/>
    <n v="1338"/>
    <s v="Jorhat"/>
    <x v="11"/>
    <s v="IN"/>
  </r>
  <r>
    <n v="903"/>
    <s v="405-5863149-6577918"/>
    <d v="2024-10-24T00:00:00"/>
    <x v="5"/>
    <s v="Shipped"/>
    <s v="Amazon"/>
    <x v="0"/>
    <x v="1"/>
    <n v="29"/>
    <s v="SET324-KR-NP-XS"/>
    <x v="0"/>
    <s v="XS"/>
    <n v="1"/>
    <s v="INR"/>
    <n v="597"/>
    <s v="Bantwal"/>
    <x v="1"/>
    <s v="IN"/>
  </r>
  <r>
    <n v="904"/>
    <s v="405-5863149-6577918"/>
    <d v="2023-01-06T00:00:00"/>
    <x v="7"/>
    <s v="Shipped"/>
    <s v="Amazon"/>
    <x v="0"/>
    <x v="1"/>
    <n v="38"/>
    <s v="SET265-KR-NP-XS"/>
    <x v="0"/>
    <s v="XS"/>
    <n v="1"/>
    <s v="INR"/>
    <n v="888"/>
    <s v="Bantwal"/>
    <x v="1"/>
    <s v="IN"/>
  </r>
  <r>
    <n v="905"/>
    <s v="406-7524766-1454768"/>
    <d v="2024-02-17T00:00:00"/>
    <x v="4"/>
    <s v="Shipped"/>
    <s v="Amazon"/>
    <x v="0"/>
    <x v="1"/>
    <n v="58"/>
    <s v="SET282-KR-PP-XXXL"/>
    <x v="0"/>
    <s v="3XL"/>
    <n v="1"/>
    <s v="INR"/>
    <n v="1033"/>
    <s v="SECUNDERABAD"/>
    <x v="6"/>
    <s v="IN"/>
  </r>
  <r>
    <n v="906"/>
    <s v="408-6818789-4965132"/>
    <d v="2023-10-25T00:00:00"/>
    <x v="5"/>
    <s v="Shipped"/>
    <s v="Amazon"/>
    <x v="1"/>
    <x v="1"/>
    <n v="46"/>
    <s v="JNE3373-KR-XXL"/>
    <x v="1"/>
    <s v="XXL"/>
    <n v="1"/>
    <s v="INR"/>
    <n v="376"/>
    <s v="GUWAHATI"/>
    <x v="11"/>
    <s v="IN"/>
  </r>
  <r>
    <n v="907"/>
    <s v="402-1038454-4297969"/>
    <d v="2023-08-25T00:00:00"/>
    <x v="3"/>
    <s v="Shipped"/>
    <s v="Amazon"/>
    <x v="0"/>
    <x v="1"/>
    <n v="27"/>
    <s v="J0414-DR-XXXL"/>
    <x v="2"/>
    <s v="3XL"/>
    <n v="1"/>
    <s v="INR"/>
    <n v="885"/>
    <s v="NOIDA"/>
    <x v="4"/>
    <s v="IN"/>
  </r>
  <r>
    <n v="908"/>
    <s v="408-8100357-3585904"/>
    <d v="2023-03-22T00:00:00"/>
    <x v="0"/>
    <s v="Shipped"/>
    <s v="Amazon"/>
    <x v="1"/>
    <x v="1"/>
    <n v="45"/>
    <s v="JNE3506-KR-XXL"/>
    <x v="1"/>
    <s v="XXL"/>
    <n v="1"/>
    <s v="INR"/>
    <n v="635"/>
    <s v="GANJAM"/>
    <x v="14"/>
    <s v="IN"/>
  </r>
  <r>
    <n v="909"/>
    <s v="402-4372312-4448367"/>
    <d v="2023-05-06T00:00:00"/>
    <x v="9"/>
    <s v="Cancelled"/>
    <s v="Amazon"/>
    <x v="0"/>
    <x v="1"/>
    <n v="53"/>
    <s v="SET324-KR-NP-M"/>
    <x v="0"/>
    <s v="M"/>
    <n v="1"/>
    <s v="INR"/>
    <n v="597"/>
    <s v="DEWAS"/>
    <x v="16"/>
    <s v="IN"/>
  </r>
  <r>
    <n v="910"/>
    <s v="406-3745473-8633147"/>
    <d v="2024-05-23T00:00:00"/>
    <x v="9"/>
    <s v="Shipped"/>
    <s v="Amazon"/>
    <x v="1"/>
    <x v="1"/>
    <n v="21"/>
    <s v="PJNE3252-KR-N-6XL"/>
    <x v="1"/>
    <s v="6XL"/>
    <n v="1"/>
    <s v="INR"/>
    <n v="563"/>
    <s v="PUNE"/>
    <x v="0"/>
    <s v="IN"/>
  </r>
  <r>
    <n v="911"/>
    <s v="403-1140011-7398736"/>
    <d v="2024-08-19T00:00:00"/>
    <x v="3"/>
    <s v="Shipped"/>
    <s v="Amazon"/>
    <x v="1"/>
    <x v="1"/>
    <n v="28"/>
    <s v="MEN5001-KR-M"/>
    <x v="1"/>
    <s v="M"/>
    <n v="1"/>
    <s v="INR"/>
    <n v="499"/>
    <s v="PATNA"/>
    <x v="21"/>
    <s v="IN"/>
  </r>
  <r>
    <n v="912"/>
    <s v="403-1140011-7398736"/>
    <d v="2023-02-01T00:00:00"/>
    <x v="4"/>
    <s v="Shipped"/>
    <s v="Amazon"/>
    <x v="1"/>
    <x v="1"/>
    <n v="40"/>
    <s v="MEN5022-KR-M"/>
    <x v="1"/>
    <s v="M"/>
    <n v="1"/>
    <s v="INR"/>
    <n v="549"/>
    <s v="PATNA"/>
    <x v="21"/>
    <s v="IN"/>
  </r>
  <r>
    <n v="913"/>
    <s v="403-1140011-7398736"/>
    <d v="2024-09-16T00:00:00"/>
    <x v="2"/>
    <s v="Shipped"/>
    <s v="Amazon"/>
    <x v="1"/>
    <x v="1"/>
    <n v="21"/>
    <s v="MEN5023-KR-M"/>
    <x v="1"/>
    <s v="M"/>
    <n v="1"/>
    <s v="INR"/>
    <n v="549"/>
    <s v="PATNA"/>
    <x v="21"/>
    <s v="IN"/>
  </r>
  <r>
    <n v="914"/>
    <s v="403-1140011-7398736"/>
    <d v="2023-09-12T00:00:00"/>
    <x v="2"/>
    <s v="Shipped"/>
    <s v="Amazon"/>
    <x v="1"/>
    <x v="1"/>
    <n v="26"/>
    <s v="MEN5030-KR-M"/>
    <x v="1"/>
    <s v="M"/>
    <n v="1"/>
    <s v="INR"/>
    <n v="452"/>
    <s v="PATNA"/>
    <x v="21"/>
    <s v="IN"/>
  </r>
  <r>
    <n v="915"/>
    <s v="171-2789156-5817163"/>
    <d v="2024-02-09T00:00:00"/>
    <x v="4"/>
    <s v="Shipped - Delivered to Buyer"/>
    <s v="Merchant"/>
    <x v="1"/>
    <x v="0"/>
    <n v="24"/>
    <s v="MEN5003-KR-XXXL"/>
    <x v="1"/>
    <s v="3XL"/>
    <n v="1"/>
    <s v="INR"/>
    <n v="449"/>
    <s v="NAGAUR"/>
    <x v="8"/>
    <s v="IN"/>
  </r>
  <r>
    <n v="916"/>
    <s v="404-9605291-9790766"/>
    <d v="2023-12-02T00:00:00"/>
    <x v="11"/>
    <s v="Shipped"/>
    <s v="Amazon"/>
    <x v="1"/>
    <x v="1"/>
    <n v="24"/>
    <s v="JNE3160-KR-G-XXL"/>
    <x v="1"/>
    <s v="XXL"/>
    <n v="1"/>
    <s v="INR"/>
    <n v="685"/>
    <s v="KANPUR"/>
    <x v="4"/>
    <s v="IN"/>
  </r>
  <r>
    <n v="917"/>
    <s v="408-9259634-7565152"/>
    <d v="2024-11-12T00:00:00"/>
    <x v="1"/>
    <s v="Shipped - Delivered to Buyer"/>
    <s v="Merchant"/>
    <x v="0"/>
    <x v="2"/>
    <n v="30"/>
    <s v="JNE3660-TP-N-S"/>
    <x v="3"/>
    <s v="S"/>
    <n v="1"/>
    <s v="INR"/>
    <n v="391"/>
    <s v="NEYYATTINKARA"/>
    <x v="15"/>
    <s v="IN"/>
  </r>
  <r>
    <n v="918"/>
    <s v="171-2120512-6643534"/>
    <d v="2023-09-20T00:00:00"/>
    <x v="2"/>
    <s v="Shipped - Delivered to Buyer"/>
    <s v="Merchant"/>
    <x v="1"/>
    <x v="0"/>
    <n v="32"/>
    <s v="JNE3405-KR-S"/>
    <x v="1"/>
    <s v="S"/>
    <n v="1"/>
    <s v="INR"/>
    <n v="399"/>
    <s v="CHITTOOR"/>
    <x v="7"/>
    <s v="IN"/>
  </r>
  <r>
    <n v="919"/>
    <s v="408-7767023-9733103"/>
    <d v="2023-11-25T00:00:00"/>
    <x v="1"/>
    <s v="Shipped"/>
    <s v="Amazon"/>
    <x v="0"/>
    <x v="1"/>
    <n v="19"/>
    <s v="SET324-KR-NP-M"/>
    <x v="0"/>
    <s v="M"/>
    <n v="1"/>
    <s v="INR"/>
    <n v="597"/>
    <s v="BENGALURU"/>
    <x v="1"/>
    <s v="IN"/>
  </r>
  <r>
    <n v="920"/>
    <s v="402-6159360-3192305"/>
    <d v="2024-06-02T00:00:00"/>
    <x v="6"/>
    <s v="Shipped - Delivered to Buyer"/>
    <s v="Merchant"/>
    <x v="1"/>
    <x v="2"/>
    <n v="39"/>
    <s v="JNE3407-KR-S"/>
    <x v="1"/>
    <s v="S"/>
    <n v="1"/>
    <s v="INR"/>
    <n v="249"/>
    <s v="COIMBATORE"/>
    <x v="3"/>
    <s v="IN"/>
  </r>
  <r>
    <n v="921"/>
    <s v="406-4919920-0965963"/>
    <d v="2024-04-16T00:00:00"/>
    <x v="8"/>
    <s v="Shipped - Delivered to Buyer"/>
    <s v="Merchant"/>
    <x v="0"/>
    <x v="0"/>
    <n v="50"/>
    <s v="SET359-KR-NP-L"/>
    <x v="0"/>
    <s v="L"/>
    <n v="1"/>
    <s v="INR"/>
    <n v="1099"/>
    <s v="MUMBAI"/>
    <x v="0"/>
    <s v="IN"/>
  </r>
  <r>
    <n v="922"/>
    <s v="402-5821417-6985934"/>
    <d v="2023-11-25T00:00:00"/>
    <x v="1"/>
    <s v="Shipped"/>
    <s v="Amazon"/>
    <x v="0"/>
    <x v="1"/>
    <n v="25"/>
    <s v="J0377-SKD-XXXL"/>
    <x v="0"/>
    <s v="3XL"/>
    <n v="1"/>
    <s v="INR"/>
    <n v="1099"/>
    <s v="SILIGURI"/>
    <x v="17"/>
    <s v="IN"/>
  </r>
  <r>
    <n v="923"/>
    <s v="406-7489606-3781934"/>
    <d v="2023-12-08T00:00:00"/>
    <x v="11"/>
    <s v="Shipped"/>
    <s v="Amazon"/>
    <x v="1"/>
    <x v="1"/>
    <n v="23"/>
    <s v="JNE3818-KR-XXL"/>
    <x v="1"/>
    <s v="XXL"/>
    <n v="1"/>
    <s v="INR"/>
    <n v="499"/>
    <s v="KUSHALANAGARA"/>
    <x v="1"/>
    <s v="IN"/>
  </r>
  <r>
    <n v="924"/>
    <s v="408-4543593-8672326"/>
    <d v="2024-08-23T00:00:00"/>
    <x v="3"/>
    <s v="Shipped"/>
    <s v="Amazon"/>
    <x v="0"/>
    <x v="1"/>
    <n v="31"/>
    <s v="J0341-DR-L"/>
    <x v="2"/>
    <s v="L"/>
    <n v="1"/>
    <s v="INR"/>
    <n v="744"/>
    <s v="kolkata"/>
    <x v="17"/>
    <s v="IN"/>
  </r>
  <r>
    <n v="925"/>
    <s v="404-3628070-0647500"/>
    <d v="2024-06-17T00:00:00"/>
    <x v="6"/>
    <s v="Cancelled"/>
    <s v="Merchant"/>
    <x v="1"/>
    <x v="0"/>
    <n v="59"/>
    <s v="JNE3412-KR-XXL"/>
    <x v="1"/>
    <s v="XXL"/>
    <n v="0"/>
    <s v="INR"/>
    <n v="399.05"/>
    <s v="Chennai"/>
    <x v="3"/>
    <s v="IN"/>
  </r>
  <r>
    <n v="926"/>
    <s v="404-3628070-0647500"/>
    <d v="2024-09-20T00:00:00"/>
    <x v="2"/>
    <s v="Cancelled"/>
    <s v="Merchant"/>
    <x v="1"/>
    <x v="2"/>
    <n v="35"/>
    <s v="JNE3757-KR-XXL"/>
    <x v="1"/>
    <s v="XXL"/>
    <n v="0"/>
    <s v="INR"/>
    <n v="463.81"/>
    <s v="Chennai"/>
    <x v="3"/>
    <s v="IN"/>
  </r>
  <r>
    <n v="927"/>
    <s v="404-0691443-7069131"/>
    <d v="2023-02-17T00:00:00"/>
    <x v="4"/>
    <s v="Shipped"/>
    <s v="Amazon"/>
    <x v="1"/>
    <x v="1"/>
    <n v="60"/>
    <s v="JNE3741-KR-XXL"/>
    <x v="1"/>
    <s v="XXL"/>
    <n v="1"/>
    <s v="INR"/>
    <n v="432"/>
    <s v="Chennai"/>
    <x v="3"/>
    <s v="IN"/>
  </r>
  <r>
    <n v="928"/>
    <s v="403-0467296-2575536"/>
    <d v="2023-10-13T00:00:00"/>
    <x v="5"/>
    <s v="Shipped"/>
    <s v="Amazon"/>
    <x v="0"/>
    <x v="1"/>
    <n v="28"/>
    <s v="J0301-TP-M"/>
    <x v="3"/>
    <s v="M"/>
    <n v="1"/>
    <s v="INR"/>
    <n v="463"/>
    <s v="SIMLAPAL"/>
    <x v="17"/>
    <s v="IN"/>
  </r>
  <r>
    <n v="929"/>
    <s v="408-3531277-4885962"/>
    <d v="2024-05-17T00:00:00"/>
    <x v="9"/>
    <s v="Cancelled"/>
    <s v="Amazon"/>
    <x v="0"/>
    <x v="1"/>
    <n v="42"/>
    <s v="JNE3660-TP-N-S"/>
    <x v="3"/>
    <s v="S"/>
    <n v="0"/>
    <m/>
    <m/>
    <s v="NEYYATTINKARA"/>
    <x v="15"/>
    <s v="IN"/>
  </r>
  <r>
    <n v="930"/>
    <s v="408-6069754-7397924"/>
    <d v="2023-06-02T00:00:00"/>
    <x v="6"/>
    <s v="Shipped"/>
    <s v="Amazon"/>
    <x v="1"/>
    <x v="1"/>
    <n v="20"/>
    <s v="JNE3805-KR-S"/>
    <x v="1"/>
    <s v="S"/>
    <n v="1"/>
    <s v="INR"/>
    <n v="0"/>
    <s v="NARKATIAGANJ"/>
    <x v="21"/>
    <s v="IN"/>
  </r>
  <r>
    <n v="931"/>
    <s v="408-0391714-9281921"/>
    <d v="2024-07-01T00:00:00"/>
    <x v="10"/>
    <s v="Cancelled"/>
    <s v="Merchant"/>
    <x v="0"/>
    <x v="0"/>
    <n v="56"/>
    <s v="J0341-DR-XL"/>
    <x v="2"/>
    <s v="XL"/>
    <n v="0"/>
    <m/>
    <m/>
    <s v="NASHIK"/>
    <x v="0"/>
    <s v="IN"/>
  </r>
  <r>
    <n v="932"/>
    <s v="408-3692922-9946738"/>
    <d v="2023-04-09T00:00:00"/>
    <x v="8"/>
    <s v="Shipped"/>
    <s v="Amazon"/>
    <x v="0"/>
    <x v="1"/>
    <n v="23"/>
    <s v="J0308-DR-XXXL"/>
    <x v="2"/>
    <s v="3XL"/>
    <n v="1"/>
    <s v="INR"/>
    <n v="665"/>
    <s v="Wagholi, PUNE"/>
    <x v="0"/>
    <s v="IN"/>
  </r>
  <r>
    <n v="933"/>
    <s v="171-7935921-7575568"/>
    <d v="2023-03-02T00:00:00"/>
    <x v="0"/>
    <s v="Shipped"/>
    <s v="Amazon"/>
    <x v="0"/>
    <x v="1"/>
    <n v="31"/>
    <s v="SET184-KR-PP-S"/>
    <x v="0"/>
    <s v="S"/>
    <n v="1"/>
    <s v="INR"/>
    <n v="563"/>
    <s v="KOHIMA"/>
    <x v="18"/>
    <s v="IN"/>
  </r>
  <r>
    <n v="934"/>
    <s v="408-2026538-7845958"/>
    <d v="2023-09-08T00:00:00"/>
    <x v="2"/>
    <s v="Shipped"/>
    <s v="Amazon"/>
    <x v="1"/>
    <x v="1"/>
    <n v="36"/>
    <s v="JNE3568-KR-XL"/>
    <x v="1"/>
    <s v="XL"/>
    <n v="1"/>
    <s v="INR"/>
    <n v="399"/>
    <s v="JALANDHAR"/>
    <x v="23"/>
    <s v="IN"/>
  </r>
  <r>
    <n v="935"/>
    <s v="403-2026715-3949910"/>
    <d v="2023-11-08T00:00:00"/>
    <x v="1"/>
    <s v="Shipped"/>
    <s v="Amazon"/>
    <x v="0"/>
    <x v="1"/>
    <n v="34"/>
    <s v="SET344-KR-NP-XL"/>
    <x v="0"/>
    <s v="XL"/>
    <n v="1"/>
    <s v="INR"/>
    <n v="968"/>
    <s v="Ghaziabad"/>
    <x v="4"/>
    <s v="IN"/>
  </r>
  <r>
    <n v="936"/>
    <s v="404-4599488-8213952"/>
    <d v="2024-10-30T00:00:00"/>
    <x v="5"/>
    <s v="Shipped - Delivered to Buyer"/>
    <s v="Merchant"/>
    <x v="1"/>
    <x v="0"/>
    <n v="58"/>
    <s v="JNE3825-KR-M"/>
    <x v="1"/>
    <s v="M"/>
    <n v="1"/>
    <s v="INR"/>
    <n v="474"/>
    <s v="BENGALURU"/>
    <x v="1"/>
    <s v="IN"/>
  </r>
  <r>
    <n v="937"/>
    <s v="S02-5278980-4327051"/>
    <d v="2023-11-06T00:00:00"/>
    <x v="1"/>
    <s v="Shipped"/>
    <s v="Amazon"/>
    <x v="0"/>
    <x v="1"/>
    <n v="38"/>
    <s v="BL017-63BLACK"/>
    <x v="7"/>
    <s v="Free"/>
    <n v="15"/>
    <m/>
    <m/>
    <s v="Surat"/>
    <x v="19"/>
    <s v="IN"/>
  </r>
  <r>
    <n v="938"/>
    <s v="171-5599779-6322751"/>
    <d v="2023-05-24T00:00:00"/>
    <x v="9"/>
    <s v="Cancelled"/>
    <s v="Merchant"/>
    <x v="1"/>
    <x v="0"/>
    <n v="21"/>
    <s v="PJNE3068-KR-6XL"/>
    <x v="1"/>
    <s v="6XL"/>
    <n v="0"/>
    <s v="INR"/>
    <n v="659.05"/>
    <s v="PUNE"/>
    <x v="0"/>
    <s v="IN"/>
  </r>
  <r>
    <n v="939"/>
    <s v="171-2550230-3805124"/>
    <d v="2024-12-08T00:00:00"/>
    <x v="11"/>
    <s v="Shipped - Delivered to Buyer"/>
    <s v="Merchant"/>
    <x v="0"/>
    <x v="0"/>
    <n v="40"/>
    <s v="J0098-TP-XXL"/>
    <x v="3"/>
    <s v="XXL"/>
    <n v="1"/>
    <s v="INR"/>
    <n v="413"/>
    <s v="THANE (W)"/>
    <x v="0"/>
    <s v="IN"/>
  </r>
  <r>
    <n v="940"/>
    <s v="402-5852450-2129941"/>
    <d v="2023-07-01T00:00:00"/>
    <x v="10"/>
    <s v="Shipped - Delivered to Buyer"/>
    <s v="Merchant"/>
    <x v="1"/>
    <x v="2"/>
    <n v="50"/>
    <s v="JNE2171-KR-437-S"/>
    <x v="1"/>
    <s v="S"/>
    <n v="1"/>
    <s v="INR"/>
    <n v="495"/>
    <s v="CHENNAI"/>
    <x v="3"/>
    <s v="IN"/>
  </r>
  <r>
    <n v="941"/>
    <s v="405-3054995-4312360"/>
    <d v="2023-11-24T00:00:00"/>
    <x v="1"/>
    <s v="Shipped - Delivered to Buyer"/>
    <s v="Merchant"/>
    <x v="1"/>
    <x v="0"/>
    <n v="23"/>
    <s v="JNE3802-KR-L"/>
    <x v="1"/>
    <s v="L"/>
    <n v="1"/>
    <s v="INR"/>
    <n v="459"/>
    <s v="MYSURU"/>
    <x v="1"/>
    <s v="IN"/>
  </r>
  <r>
    <n v="942"/>
    <s v="407-2538775-7502719"/>
    <d v="2023-11-26T00:00:00"/>
    <x v="1"/>
    <s v="Shipped"/>
    <s v="Amazon"/>
    <x v="1"/>
    <x v="1"/>
    <n v="60"/>
    <s v="PJNE3399-KR-N-4XL"/>
    <x v="1"/>
    <s v="4XL"/>
    <n v="1"/>
    <s v="INR"/>
    <n v="486"/>
    <s v="PUNE"/>
    <x v="0"/>
    <s v="IN"/>
  </r>
  <r>
    <n v="943"/>
    <s v="406-1981446-7471514"/>
    <d v="2024-08-03T00:00:00"/>
    <x v="3"/>
    <s v="Shipped - Delivered to Buyer"/>
    <s v="Merchant"/>
    <x v="0"/>
    <x v="2"/>
    <n v="37"/>
    <s v="SET377-KR-NP-M"/>
    <x v="0"/>
    <s v="M"/>
    <n v="1"/>
    <s v="INR"/>
    <n v="1238"/>
    <s v="NEW DELHI"/>
    <x v="9"/>
    <s v="IN"/>
  </r>
  <r>
    <n v="944"/>
    <s v="408-4235910-6012362"/>
    <d v="2024-05-06T00:00:00"/>
    <x v="9"/>
    <s v="Shipped"/>
    <s v="Amazon"/>
    <x v="0"/>
    <x v="1"/>
    <n v="46"/>
    <s v="J0349-SET-XL"/>
    <x v="0"/>
    <s v="XL"/>
    <n v="1"/>
    <s v="INR"/>
    <n v="801"/>
    <s v="PORVORIM"/>
    <x v="27"/>
    <s v="IN"/>
  </r>
  <r>
    <n v="945"/>
    <s v="171-9839922-3832357"/>
    <d v="2024-10-14T00:00:00"/>
    <x v="5"/>
    <s v="Shipped"/>
    <s v="Amazon"/>
    <x v="1"/>
    <x v="1"/>
    <n v="31"/>
    <s v="PJNE3440-KR-N-5XL"/>
    <x v="1"/>
    <s v="5XL"/>
    <n v="1"/>
    <s v="INR"/>
    <n v="527"/>
    <s v="PUNE"/>
    <x v="0"/>
    <s v="IN"/>
  </r>
  <r>
    <n v="946"/>
    <s v="405-9808686-6294763"/>
    <d v="2023-06-27T00:00:00"/>
    <x v="6"/>
    <s v="Shipped"/>
    <s v="Amazon"/>
    <x v="0"/>
    <x v="1"/>
    <n v="39"/>
    <s v="J0301-TP-L"/>
    <x v="3"/>
    <s v="L"/>
    <n v="1"/>
    <s v="INR"/>
    <n v="493"/>
    <s v="AHMEDABAD"/>
    <x v="19"/>
    <s v="IN"/>
  </r>
  <r>
    <n v="947"/>
    <s v="408-8489677-5577933"/>
    <d v="2023-07-20T00:00:00"/>
    <x v="10"/>
    <s v="Shipped - Delivered to Buyer"/>
    <s v="Merchant"/>
    <x v="1"/>
    <x v="0"/>
    <n v="47"/>
    <s v="MEN5004-KR-XL"/>
    <x v="1"/>
    <s v="XL"/>
    <n v="1"/>
    <s v="INR"/>
    <n v="0"/>
    <s v="NOIDA"/>
    <x v="4"/>
    <s v="IN"/>
  </r>
  <r>
    <n v="948"/>
    <s v="402-5550488-9916304"/>
    <d v="2023-10-17T00:00:00"/>
    <x v="5"/>
    <s v="Cancelled"/>
    <s v="Merchant"/>
    <x v="1"/>
    <x v="0"/>
    <n v="19"/>
    <s v="JNE3579-KR-L"/>
    <x v="1"/>
    <s v="L"/>
    <n v="0"/>
    <s v="INR"/>
    <n v="280.95"/>
    <s v="Hyderabad"/>
    <x v="6"/>
    <s v="IN"/>
  </r>
  <r>
    <n v="949"/>
    <s v="408-6369127-2887567"/>
    <d v="2024-05-03T00:00:00"/>
    <x v="9"/>
    <s v="Shipped"/>
    <s v="Amazon"/>
    <x v="0"/>
    <x v="1"/>
    <n v="35"/>
    <s v="SET268-KR-NP-XL"/>
    <x v="0"/>
    <s v="XL"/>
    <n v="1"/>
    <s v="INR"/>
    <n v="788"/>
    <s v="Vasai"/>
    <x v="0"/>
    <s v="IN"/>
  </r>
  <r>
    <n v="950"/>
    <s v="171-0113406-2293163"/>
    <d v="2024-12-14T00:00:00"/>
    <x v="11"/>
    <s v="Cancelled"/>
    <s v="Amazon"/>
    <x v="0"/>
    <x v="1"/>
    <n v="56"/>
    <s v="SET345-KR-NP-M"/>
    <x v="0"/>
    <s v="M"/>
    <n v="1"/>
    <s v="INR"/>
    <n v="626"/>
    <s v="GHAZIABAD"/>
    <x v="4"/>
    <s v="IN"/>
  </r>
  <r>
    <n v="951"/>
    <s v="403-8565647-0953102"/>
    <d v="2024-08-13T00:00:00"/>
    <x v="3"/>
    <s v="Shipped"/>
    <s v="Amazon"/>
    <x v="1"/>
    <x v="1"/>
    <n v="43"/>
    <s v="JNE3373-KR-M"/>
    <x v="1"/>
    <s v="M"/>
    <n v="1"/>
    <s v="INR"/>
    <n v="376"/>
    <s v="GUWAHATI"/>
    <x v="11"/>
    <s v="IN"/>
  </r>
  <r>
    <n v="952"/>
    <s v="406-9957971-2569147"/>
    <d v="2024-03-28T00:00:00"/>
    <x v="0"/>
    <s v="Shipped"/>
    <s v="Amazon"/>
    <x v="1"/>
    <x v="1"/>
    <n v="34"/>
    <s v="JNE3368-KR-XXXL"/>
    <x v="1"/>
    <s v="3XL"/>
    <n v="1"/>
    <s v="INR"/>
    <n v="471"/>
    <s v="SANGLI"/>
    <x v="0"/>
    <s v="IN"/>
  </r>
  <r>
    <n v="953"/>
    <s v="406-1092108-2639512"/>
    <d v="2024-11-20T00:00:00"/>
    <x v="1"/>
    <s v="Shipped"/>
    <s v="Amazon"/>
    <x v="1"/>
    <x v="1"/>
    <n v="44"/>
    <s v="J0139-KR-XXL"/>
    <x v="1"/>
    <s v="XXL"/>
    <n v="1"/>
    <s v="INR"/>
    <n v="399"/>
    <s v="VADODARA"/>
    <x v="19"/>
    <s v="IN"/>
  </r>
  <r>
    <n v="954"/>
    <s v="402-3270101-7657904"/>
    <d v="2023-01-08T00:00:00"/>
    <x v="7"/>
    <s v="Cancelled"/>
    <s v="Merchant"/>
    <x v="1"/>
    <x v="2"/>
    <n v="50"/>
    <s v="MEN5006-KR-L"/>
    <x v="1"/>
    <s v="L"/>
    <n v="0"/>
    <s v="INR"/>
    <n v="452.38"/>
    <s v="COIMBATORE"/>
    <x v="3"/>
    <s v="IN"/>
  </r>
  <r>
    <n v="955"/>
    <s v="402-7078622-5609155"/>
    <d v="2024-12-06T00:00:00"/>
    <x v="11"/>
    <s v="Shipped - Delivered to Buyer"/>
    <s v="Merchant"/>
    <x v="0"/>
    <x v="2"/>
    <n v="50"/>
    <s v="J0285-SKD-S"/>
    <x v="0"/>
    <s v="S"/>
    <n v="1"/>
    <s v="INR"/>
    <n v="1432"/>
    <s v="KOTTAYAM"/>
    <x v="15"/>
    <s v="IN"/>
  </r>
  <r>
    <n v="956"/>
    <s v="171-7678731-3568339"/>
    <d v="2023-05-10T00:00:00"/>
    <x v="9"/>
    <s v="Cancelled"/>
    <s v="Amazon"/>
    <x v="0"/>
    <x v="1"/>
    <n v="42"/>
    <s v="SET331-KR-NP-L"/>
    <x v="0"/>
    <s v="L"/>
    <n v="0"/>
    <m/>
    <m/>
    <s v="BENGALURU"/>
    <x v="1"/>
    <s v="IN"/>
  </r>
  <r>
    <n v="957"/>
    <s v="408-7206307-2384358"/>
    <d v="2023-09-18T00:00:00"/>
    <x v="2"/>
    <s v="Shipped - Delivered to Buyer"/>
    <s v="Merchant"/>
    <x v="0"/>
    <x v="2"/>
    <n v="48"/>
    <s v="JNE3797-KR-XS"/>
    <x v="2"/>
    <s v="XS"/>
    <n v="1"/>
    <s v="INR"/>
    <n v="725"/>
    <s v="DHARMADOM"/>
    <x v="15"/>
    <s v="IN"/>
  </r>
  <r>
    <n v="958"/>
    <s v="407-5830946-0458753"/>
    <d v="2024-12-27T00:00:00"/>
    <x v="11"/>
    <s v="Shipped"/>
    <s v="Amazon"/>
    <x v="1"/>
    <x v="1"/>
    <n v="28"/>
    <s v="JNE3724-KR-XL"/>
    <x v="1"/>
    <s v="XL"/>
    <n v="1"/>
    <s v="INR"/>
    <n v="499"/>
    <s v="MUMBAI"/>
    <x v="0"/>
    <s v="IN"/>
  </r>
  <r>
    <n v="959"/>
    <s v="171-3016563-0593956"/>
    <d v="2024-01-24T00:00:00"/>
    <x v="7"/>
    <s v="Shipped"/>
    <s v="Amazon"/>
    <x v="1"/>
    <x v="1"/>
    <n v="34"/>
    <s v="JNE3368-KR-XXXL"/>
    <x v="1"/>
    <s v="3XL"/>
    <n v="1"/>
    <s v="INR"/>
    <n v="471"/>
    <s v="NEW DELHI"/>
    <x v="9"/>
    <s v="IN"/>
  </r>
  <r>
    <n v="960"/>
    <s v="404-3252605-4011545"/>
    <d v="2023-09-20T00:00:00"/>
    <x v="2"/>
    <s v="Cancelled"/>
    <s v="Amazon"/>
    <x v="1"/>
    <x v="1"/>
    <n v="38"/>
    <s v="JNE3510-KR-XL"/>
    <x v="1"/>
    <s v="XL"/>
    <n v="0"/>
    <m/>
    <m/>
    <s v="VASAI VIRAR"/>
    <x v="0"/>
    <s v="IN"/>
  </r>
  <r>
    <n v="961"/>
    <s v="171-1148440-5117161"/>
    <d v="2024-11-13T00:00:00"/>
    <x v="1"/>
    <s v="Cancelled"/>
    <s v="Amazon"/>
    <x v="0"/>
    <x v="1"/>
    <n v="23"/>
    <s v="NW037-TP-SR-L"/>
    <x v="0"/>
    <s v="L"/>
    <n v="1"/>
    <s v="INR"/>
    <n v="449"/>
    <s v="PUNE"/>
    <x v="0"/>
    <s v="IN"/>
  </r>
  <r>
    <n v="962"/>
    <s v="171-7636697-5689908"/>
    <d v="2024-03-24T00:00:00"/>
    <x v="0"/>
    <s v="Shipped"/>
    <s v="Amazon"/>
    <x v="0"/>
    <x v="1"/>
    <n v="54"/>
    <s v="SET288-KR-NP-XXXL"/>
    <x v="0"/>
    <s v="3XL"/>
    <n v="1"/>
    <s v="INR"/>
    <n v="684"/>
    <s v="GWALIOR"/>
    <x v="16"/>
    <s v="IN"/>
  </r>
  <r>
    <n v="963"/>
    <s v="408-1336273-5938748"/>
    <d v="2024-01-22T00:00:00"/>
    <x v="7"/>
    <s v="Shipped"/>
    <s v="Amazon"/>
    <x v="0"/>
    <x v="1"/>
    <n v="57"/>
    <s v="J0334-TP-S"/>
    <x v="3"/>
    <s v="S"/>
    <n v="1"/>
    <s v="INR"/>
    <n v="545"/>
    <s v="LUDHIANA"/>
    <x v="23"/>
    <s v="IN"/>
  </r>
  <r>
    <n v="964"/>
    <s v="406-3815399-6450709"/>
    <d v="2024-01-17T00:00:00"/>
    <x v="7"/>
    <s v="Shipped"/>
    <s v="Amazon"/>
    <x v="0"/>
    <x v="1"/>
    <n v="59"/>
    <s v="J0334-TP-S"/>
    <x v="3"/>
    <s v="S"/>
    <n v="1"/>
    <s v="INR"/>
    <n v="545"/>
    <s v="NATHDWARA"/>
    <x v="8"/>
    <s v="IN"/>
  </r>
  <r>
    <n v="965"/>
    <s v="171-9638653-2292340"/>
    <d v="2023-05-23T00:00:00"/>
    <x v="9"/>
    <s v="Shipped"/>
    <s v="Amazon"/>
    <x v="0"/>
    <x v="1"/>
    <n v="29"/>
    <s v="BL001-50PINK"/>
    <x v="7"/>
    <s v="Free"/>
    <n v="1"/>
    <s v="INR"/>
    <n v="419"/>
    <s v="Varanasi"/>
    <x v="4"/>
    <s v="IN"/>
  </r>
  <r>
    <n v="966"/>
    <s v="403-7879236-4794741"/>
    <d v="2024-06-27T00:00:00"/>
    <x v="6"/>
    <s v="Cancelled"/>
    <s v="Amazon"/>
    <x v="1"/>
    <x v="1"/>
    <n v="51"/>
    <s v="JNE3373-KR-M"/>
    <x v="1"/>
    <s v="M"/>
    <n v="0"/>
    <m/>
    <m/>
    <s v="GUWAHATI"/>
    <x v="11"/>
    <s v="IN"/>
  </r>
  <r>
    <n v="967"/>
    <s v="406-4110471-9710751"/>
    <d v="2024-05-21T00:00:00"/>
    <x v="9"/>
    <s v="Shipped"/>
    <s v="Amazon"/>
    <x v="0"/>
    <x v="1"/>
    <n v="44"/>
    <s v="SET098-KR-PP-XXL"/>
    <x v="0"/>
    <s v="XXL"/>
    <n v="1"/>
    <s v="INR"/>
    <n v="696"/>
    <s v="ULLAL"/>
    <x v="1"/>
    <s v="IN"/>
  </r>
  <r>
    <n v="968"/>
    <s v="408-5598612-8613920"/>
    <d v="2023-01-11T00:00:00"/>
    <x v="7"/>
    <s v="Cancelled"/>
    <s v="Amazon"/>
    <x v="0"/>
    <x v="1"/>
    <n v="31"/>
    <s v="J0334-TP-S"/>
    <x v="3"/>
    <s v="S"/>
    <n v="0"/>
    <m/>
    <m/>
    <s v="LUDHIANA"/>
    <x v="23"/>
    <s v="IN"/>
  </r>
  <r>
    <n v="969"/>
    <s v="404-3475672-0623516"/>
    <d v="2024-07-21T00:00:00"/>
    <x v="10"/>
    <s v="Cancelled"/>
    <s v="Amazon"/>
    <x v="0"/>
    <x v="1"/>
    <n v="54"/>
    <s v="SET388-KR-NP-XXXL"/>
    <x v="0"/>
    <s v="3XL"/>
    <n v="0"/>
    <m/>
    <m/>
    <s v="Haldwani"/>
    <x v="20"/>
    <s v="IN"/>
  </r>
  <r>
    <n v="970"/>
    <s v="403-0708193-0609948"/>
    <d v="2023-05-09T00:00:00"/>
    <x v="9"/>
    <s v="Shipped"/>
    <s v="Amazon"/>
    <x v="1"/>
    <x v="1"/>
    <n v="32"/>
    <s v="JNE3440-KR-N-XS"/>
    <x v="1"/>
    <s v="XS"/>
    <n v="1"/>
    <s v="INR"/>
    <n v="399"/>
    <s v="NANDED WAGHALA"/>
    <x v="0"/>
    <s v="IN"/>
  </r>
  <r>
    <n v="971"/>
    <s v="402-6638943-7023558"/>
    <d v="2024-09-10T00:00:00"/>
    <x v="2"/>
    <s v="Shipped - Returned to Seller"/>
    <s v="Merchant"/>
    <x v="0"/>
    <x v="2"/>
    <n v="48"/>
    <s v="NW034-TP-PJ-XXXL"/>
    <x v="0"/>
    <s v="3XL"/>
    <n v="1"/>
    <s v="INR"/>
    <n v="613"/>
    <s v="NEW DELHI"/>
    <x v="9"/>
    <s v="IN"/>
  </r>
  <r>
    <n v="972"/>
    <s v="405-1047044-2461167"/>
    <d v="2024-05-20T00:00:00"/>
    <x v="9"/>
    <s v="Shipped"/>
    <s v="Amazon"/>
    <x v="0"/>
    <x v="1"/>
    <n v="44"/>
    <s v="J0003-SET-XXXL"/>
    <x v="0"/>
    <s v="3XL"/>
    <n v="1"/>
    <s v="INR"/>
    <n v="654"/>
    <s v="BENGALURU"/>
    <x v="1"/>
    <s v="IN"/>
  </r>
  <r>
    <n v="973"/>
    <s v="403-4121872-9661935"/>
    <d v="2023-09-05T00:00:00"/>
    <x v="2"/>
    <s v="Shipped"/>
    <s v="Amazon"/>
    <x v="0"/>
    <x v="1"/>
    <n v="30"/>
    <s v="JNE3639-TP-N-XL"/>
    <x v="3"/>
    <s v="XL"/>
    <n v="1"/>
    <s v="INR"/>
    <n v="487"/>
    <s v="NEW DELHI"/>
    <x v="9"/>
    <s v="IN"/>
  </r>
  <r>
    <n v="974"/>
    <s v="407-0341499-2477170"/>
    <d v="2024-08-19T00:00:00"/>
    <x v="3"/>
    <s v="Shipped"/>
    <s v="Amazon"/>
    <x v="0"/>
    <x v="1"/>
    <n v="30"/>
    <s v="J0343-DR-XXL"/>
    <x v="2"/>
    <s v="XXL"/>
    <n v="1"/>
    <s v="INR"/>
    <n v="744"/>
    <s v="Sangareddy District"/>
    <x v="6"/>
    <s v="IN"/>
  </r>
  <r>
    <n v="975"/>
    <s v="402-7081372-1053905"/>
    <d v="2024-07-21T00:00:00"/>
    <x v="10"/>
    <s v="Shipped - Delivered to Buyer"/>
    <s v="Merchant"/>
    <x v="1"/>
    <x v="2"/>
    <n v="56"/>
    <s v="MEN5028-KR-XL"/>
    <x v="1"/>
    <s v="XL"/>
    <n v="1"/>
    <s v="INR"/>
    <n v="499"/>
    <s v="NAGPUR"/>
    <x v="0"/>
    <s v="IN"/>
  </r>
  <r>
    <n v="976"/>
    <s v="402-7081372-1053905"/>
    <d v="2023-05-23T00:00:00"/>
    <x v="9"/>
    <s v="Shipped - Delivered to Buyer"/>
    <s v="Merchant"/>
    <x v="1"/>
    <x v="0"/>
    <n v="58"/>
    <s v="MEN5011-KR-XL"/>
    <x v="1"/>
    <s v="XL"/>
    <n v="1"/>
    <s v="INR"/>
    <n v="499"/>
    <s v="NAGPUR"/>
    <x v="0"/>
    <s v="IN"/>
  </r>
  <r>
    <n v="977"/>
    <s v="403-8349155-2308363"/>
    <d v="2023-06-07T00:00:00"/>
    <x v="6"/>
    <s v="Shipped"/>
    <s v="Amazon"/>
    <x v="1"/>
    <x v="1"/>
    <n v="43"/>
    <s v="JNE3718-KR-L"/>
    <x v="1"/>
    <s v="L"/>
    <n v="1"/>
    <s v="INR"/>
    <n v="406"/>
    <s v="HYDERABAD"/>
    <x v="6"/>
    <s v="IN"/>
  </r>
  <r>
    <n v="978"/>
    <s v="403-8349155-2308363"/>
    <d v="2024-08-03T00:00:00"/>
    <x v="3"/>
    <s v="Shipped"/>
    <s v="Amazon"/>
    <x v="0"/>
    <x v="1"/>
    <n v="40"/>
    <s v="SET266-KR-NP-L"/>
    <x v="0"/>
    <s v="L"/>
    <n v="1"/>
    <s v="INR"/>
    <n v="737"/>
    <s v="HYDERABAD"/>
    <x v="6"/>
    <s v="IN"/>
  </r>
  <r>
    <n v="979"/>
    <s v="403-3794902-2627533"/>
    <d v="2024-12-03T00:00:00"/>
    <x v="11"/>
    <s v="Shipped"/>
    <s v="Amazon"/>
    <x v="0"/>
    <x v="1"/>
    <n v="41"/>
    <s v="SET048-KR-NP-L"/>
    <x v="0"/>
    <s v="L"/>
    <n v="1"/>
    <s v="INR"/>
    <n v="648"/>
    <s v="HYDERABAD"/>
    <x v="6"/>
    <s v="IN"/>
  </r>
  <r>
    <n v="980"/>
    <s v="403-8342497-0727510"/>
    <d v="2023-11-24T00:00:00"/>
    <x v="1"/>
    <s v="Shipped - Delivered to Buyer"/>
    <s v="Merchant"/>
    <x v="0"/>
    <x v="2"/>
    <n v="20"/>
    <s v="J0210-DR-XL"/>
    <x v="4"/>
    <s v="XL"/>
    <n v="1"/>
    <s v="INR"/>
    <n v="783"/>
    <s v="HYDERABAD"/>
    <x v="6"/>
    <s v="IN"/>
  </r>
  <r>
    <n v="981"/>
    <s v="403-5686295-0611519"/>
    <d v="2023-05-19T00:00:00"/>
    <x v="9"/>
    <s v="Shipped"/>
    <s v="Amazon"/>
    <x v="0"/>
    <x v="1"/>
    <n v="29"/>
    <s v="J0341-DR-XL"/>
    <x v="2"/>
    <s v="XL"/>
    <n v="1"/>
    <s v="INR"/>
    <n v="744"/>
    <s v="HYDERABAD"/>
    <x v="6"/>
    <s v="IN"/>
  </r>
  <r>
    <n v="982"/>
    <s v="404-9773937-7060345"/>
    <d v="2024-04-28T00:00:00"/>
    <x v="8"/>
    <s v="Shipped"/>
    <s v="Amazon"/>
    <x v="0"/>
    <x v="1"/>
    <n v="26"/>
    <s v="J0341-DR-XS"/>
    <x v="2"/>
    <s v="XS"/>
    <n v="1"/>
    <s v="INR"/>
    <n v="744"/>
    <s v="Madurai"/>
    <x v="3"/>
    <s v="IN"/>
  </r>
  <r>
    <n v="983"/>
    <s v="407-3205298-5473103"/>
    <d v="2024-08-09T00:00:00"/>
    <x v="3"/>
    <s v="Shipped - Delivered to Buyer"/>
    <s v="Merchant"/>
    <x v="0"/>
    <x v="0"/>
    <n v="53"/>
    <s v="J0095-SET-XL"/>
    <x v="0"/>
    <s v="XL"/>
    <n v="1"/>
    <s v="INR"/>
    <n v="653"/>
    <s v="COIMBATORE"/>
    <x v="3"/>
    <s v="IN"/>
  </r>
  <r>
    <n v="984"/>
    <s v="403-3741687-4048344"/>
    <d v="2023-09-14T00:00:00"/>
    <x v="2"/>
    <s v="Shipped"/>
    <s v="Amazon"/>
    <x v="0"/>
    <x v="1"/>
    <n v="58"/>
    <s v="SET110-KR-PP-S"/>
    <x v="0"/>
    <s v="S"/>
    <n v="1"/>
    <s v="INR"/>
    <n v="788"/>
    <s v="thane"/>
    <x v="0"/>
    <s v="IN"/>
  </r>
  <r>
    <n v="985"/>
    <s v="406-4889947-7806746"/>
    <d v="2023-02-14T00:00:00"/>
    <x v="4"/>
    <s v="Shipped"/>
    <s v="Amazon"/>
    <x v="0"/>
    <x v="1"/>
    <n v="41"/>
    <s v="SET378-KR-NP-XS"/>
    <x v="0"/>
    <s v="XS"/>
    <n v="1"/>
    <s v="INR"/>
    <n v="1221"/>
    <s v="Hyderabad"/>
    <x v="6"/>
    <s v="IN"/>
  </r>
  <r>
    <n v="986"/>
    <s v="408-2548158-8811519"/>
    <d v="2024-12-03T00:00:00"/>
    <x v="11"/>
    <s v="Shipped - Delivered to Buyer"/>
    <s v="Merchant"/>
    <x v="0"/>
    <x v="0"/>
    <n v="49"/>
    <s v="SET342-KR-NP-N-XXL"/>
    <x v="0"/>
    <s v="XXL"/>
    <n v="1"/>
    <s v="INR"/>
    <n v="0"/>
    <s v="BELAGAVI"/>
    <x v="1"/>
    <s v="IN"/>
  </r>
  <r>
    <n v="987"/>
    <s v="402-4612397-6796307"/>
    <d v="2023-12-12T00:00:00"/>
    <x v="11"/>
    <s v="Shipped"/>
    <s v="Amazon"/>
    <x v="0"/>
    <x v="1"/>
    <n v="30"/>
    <s v="J0230-SKD-S"/>
    <x v="0"/>
    <s v="S"/>
    <n v="1"/>
    <s v="INR"/>
    <n v="1112"/>
    <s v="GURUGRAM"/>
    <x v="10"/>
    <s v="IN"/>
  </r>
  <r>
    <n v="988"/>
    <s v="402-2375582-5673132"/>
    <d v="2023-10-30T00:00:00"/>
    <x v="5"/>
    <s v="Shipped - Delivered to Buyer"/>
    <s v="Merchant"/>
    <x v="0"/>
    <x v="0"/>
    <n v="37"/>
    <s v="SET398-KR-PP-XS"/>
    <x v="0"/>
    <s v="XS"/>
    <n v="1"/>
    <s v="INR"/>
    <n v="1186"/>
    <s v="GURUGRAM"/>
    <x v="10"/>
    <s v="IN"/>
  </r>
  <r>
    <n v="989"/>
    <s v="402-7355260-1275513"/>
    <d v="2024-07-07T00:00:00"/>
    <x v="10"/>
    <s v="Shipped - Delivered to Buyer"/>
    <s v="Merchant"/>
    <x v="1"/>
    <x v="2"/>
    <n v="34"/>
    <s v="JNE3487-KR-L"/>
    <x v="1"/>
    <s v="L"/>
    <n v="1"/>
    <s v="INR"/>
    <n v="362"/>
    <s v="HYDERABAD"/>
    <x v="6"/>
    <s v="IN"/>
  </r>
  <r>
    <n v="990"/>
    <s v="171-6613108-2363511"/>
    <d v="2023-01-18T00:00:00"/>
    <x v="7"/>
    <s v="Shipped"/>
    <s v="Amazon"/>
    <x v="1"/>
    <x v="1"/>
    <n v="51"/>
    <s v="JNE3294-KR-XXL"/>
    <x v="1"/>
    <s v="XXL"/>
    <n v="1"/>
    <s v="INR"/>
    <n v="432"/>
    <s v="CHENNAI"/>
    <x v="3"/>
    <s v="IN"/>
  </r>
  <r>
    <n v="991"/>
    <s v="406-5961574-4441901"/>
    <d v="2024-02-07T00:00:00"/>
    <x v="4"/>
    <s v="Shipped"/>
    <s v="Amazon"/>
    <x v="0"/>
    <x v="1"/>
    <n v="20"/>
    <s v="SET324-KR-NP-L"/>
    <x v="0"/>
    <s v="L"/>
    <n v="1"/>
    <s v="INR"/>
    <n v="597"/>
    <s v="HYDERABAD"/>
    <x v="6"/>
    <s v="IN"/>
  </r>
  <r>
    <n v="992"/>
    <s v="404-9326488-7546742"/>
    <d v="2024-07-20T00:00:00"/>
    <x v="10"/>
    <s v="Shipped"/>
    <s v="Amazon"/>
    <x v="0"/>
    <x v="1"/>
    <n v="27"/>
    <s v="J0003-SET-XXXL"/>
    <x v="0"/>
    <s v="3XL"/>
    <n v="1"/>
    <s v="INR"/>
    <n v="654"/>
    <s v="PATNA"/>
    <x v="21"/>
    <s v="IN"/>
  </r>
  <r>
    <n v="993"/>
    <s v="403-1691463-7067522"/>
    <d v="2023-05-28T00:00:00"/>
    <x v="9"/>
    <s v="Shipped"/>
    <s v="Amazon"/>
    <x v="0"/>
    <x v="1"/>
    <n v="31"/>
    <s v="JNE3651-TP-N-M"/>
    <x v="3"/>
    <s v="M"/>
    <n v="1"/>
    <s v="INR"/>
    <n v="518"/>
    <s v="MUMBAI"/>
    <x v="0"/>
    <s v="IN"/>
  </r>
  <r>
    <n v="994"/>
    <s v="171-1293566-4097166"/>
    <d v="2024-10-06T00:00:00"/>
    <x v="5"/>
    <s v="Shipped"/>
    <s v="Amazon"/>
    <x v="0"/>
    <x v="1"/>
    <n v="21"/>
    <s v="SET345-KR-NP-M"/>
    <x v="0"/>
    <s v="M"/>
    <n v="1"/>
    <s v="INR"/>
    <n v="626"/>
    <s v="Kanniyakumari"/>
    <x v="3"/>
    <s v="IN"/>
  </r>
  <r>
    <n v="995"/>
    <s v="404-6513417-3841113"/>
    <d v="2023-03-12T00:00:00"/>
    <x v="0"/>
    <s v="Shipped"/>
    <s v="Amazon"/>
    <x v="0"/>
    <x v="1"/>
    <n v="41"/>
    <s v="J0278-SET-XXXL"/>
    <x v="0"/>
    <s v="3XL"/>
    <n v="1"/>
    <s v="INR"/>
    <n v="761"/>
    <s v="HYDERABAD"/>
    <x v="6"/>
    <s v="IN"/>
  </r>
  <r>
    <n v="996"/>
    <s v="408-7484954-7860326"/>
    <d v="2023-01-15T00:00:00"/>
    <x v="7"/>
    <s v="Shipped"/>
    <s v="Amazon"/>
    <x v="0"/>
    <x v="1"/>
    <n v="40"/>
    <s v="J0002-SKD-XL"/>
    <x v="0"/>
    <s v="XL"/>
    <n v="1"/>
    <s v="INR"/>
    <n v="1186"/>
    <s v="hyderabad"/>
    <x v="6"/>
    <s v="IN"/>
  </r>
  <r>
    <n v="997"/>
    <s v="408-0027611-3047556"/>
    <d v="2023-05-24T00:00:00"/>
    <x v="9"/>
    <s v="Shipped - Delivered to Buyer"/>
    <s v="Merchant"/>
    <x v="0"/>
    <x v="0"/>
    <n v="40"/>
    <s v="J0004-SKD-XL"/>
    <x v="0"/>
    <s v="XL"/>
    <n v="1"/>
    <s v="INR"/>
    <n v="1186"/>
    <s v="hyderabad"/>
    <x v="6"/>
    <s v="IN"/>
  </r>
  <r>
    <n v="998"/>
    <s v="408-0027611-3047556"/>
    <d v="2023-12-26T00:00:00"/>
    <x v="11"/>
    <s v="Shipped - Delivered to Buyer"/>
    <s v="Merchant"/>
    <x v="0"/>
    <x v="2"/>
    <n v="44"/>
    <s v="J0234-SKD-L"/>
    <x v="0"/>
    <s v="L"/>
    <n v="1"/>
    <s v="INR"/>
    <n v="1213"/>
    <s v="hyderabad"/>
    <x v="6"/>
    <s v="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9B91BE-529A-4158-BF5C-9BDD78CC30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V15:AW21" firstHeaderRow="1" firstDataRow="1" firstDataCol="1"/>
  <pivotFields count="18">
    <pivotField showAll="0"/>
    <pivotField showAll="0"/>
    <pivotField numFmtId="14" showAll="0"/>
    <pivotField showAll="0">
      <items count="13">
        <item x="1"/>
        <item x="5"/>
        <item x="6"/>
        <item x="9"/>
        <item x="4"/>
        <item x="3"/>
        <item x="11"/>
        <item x="7"/>
        <item x="8"/>
        <item x="10"/>
        <item x="0"/>
        <item x="2"/>
        <item t="default"/>
      </items>
    </pivotField>
    <pivotField showAll="0"/>
    <pivotField showAll="0"/>
    <pivotField showAll="0">
      <items count="4">
        <item x="2"/>
        <item x="1"/>
        <item x="0"/>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showAll="0">
      <items count="333">
        <item x="15"/>
        <item x="0"/>
        <item x="36"/>
        <item x="124"/>
        <item x="171"/>
        <item x="149"/>
        <item x="324"/>
        <item x="115"/>
        <item x="50"/>
        <item x="300"/>
        <item x="288"/>
        <item x="292"/>
        <item x="165"/>
        <item x="291"/>
        <item x="264"/>
        <item x="100"/>
        <item x="84"/>
        <item x="194"/>
        <item x="265"/>
        <item x="51"/>
        <item x="225"/>
        <item x="70"/>
        <item x="9"/>
        <item x="221"/>
        <item x="182"/>
        <item x="92"/>
        <item x="189"/>
        <item x="308"/>
        <item x="252"/>
        <item x="66"/>
        <item x="32"/>
        <item x="144"/>
        <item x="282"/>
        <item x="40"/>
        <item x="310"/>
        <item x="69"/>
        <item x="297"/>
        <item x="145"/>
        <item x="126"/>
        <item x="122"/>
        <item x="223"/>
        <item x="79"/>
        <item x="306"/>
        <item x="331"/>
        <item x="1"/>
        <item x="230"/>
        <item x="113"/>
        <item x="41"/>
        <item x="112"/>
        <item x="192"/>
        <item x="191"/>
        <item x="202"/>
        <item x="274"/>
        <item x="198"/>
        <item x="190"/>
        <item x="99"/>
        <item x="98"/>
        <item x="77"/>
        <item x="83"/>
        <item x="18"/>
        <item x="169"/>
        <item x="60"/>
        <item x="239"/>
        <item x="136"/>
        <item x="127"/>
        <item x="6"/>
        <item x="46"/>
        <item x="290"/>
        <item x="61"/>
        <item x="266"/>
        <item x="4"/>
        <item x="181"/>
        <item x="137"/>
        <item x="162"/>
        <item x="143"/>
        <item x="65"/>
        <item x="184"/>
        <item x="228"/>
        <item x="242"/>
        <item x="64"/>
        <item x="109"/>
        <item x="140"/>
        <item x="31"/>
        <item x="38"/>
        <item x="305"/>
        <item x="285"/>
        <item x="238"/>
        <item x="152"/>
        <item x="249"/>
        <item x="262"/>
        <item x="43"/>
        <item x="283"/>
        <item x="312"/>
        <item x="135"/>
        <item x="326"/>
        <item x="210"/>
        <item x="44"/>
        <item x="248"/>
        <item x="35"/>
        <item x="286"/>
        <item x="304"/>
        <item x="261"/>
        <item x="33"/>
        <item x="188"/>
        <item x="255"/>
        <item x="146"/>
        <item x="302"/>
        <item x="89"/>
        <item x="232"/>
        <item x="197"/>
        <item x="245"/>
        <item x="246"/>
        <item x="172"/>
        <item x="311"/>
        <item x="104"/>
        <item x="5"/>
        <item x="270"/>
        <item x="201"/>
        <item x="214"/>
        <item x="25"/>
        <item x="93"/>
        <item x="10"/>
        <item x="199"/>
        <item x="13"/>
        <item x="82"/>
        <item x="19"/>
        <item x="56"/>
        <item x="52"/>
        <item x="157"/>
        <item x="129"/>
        <item x="235"/>
        <item x="220"/>
        <item x="133"/>
        <item x="73"/>
        <item x="42"/>
        <item x="125"/>
        <item x="7"/>
        <item x="179"/>
        <item x="97"/>
        <item x="234"/>
        <item x="94"/>
        <item x="26"/>
        <item x="11"/>
        <item x="275"/>
        <item x="250"/>
        <item x="48"/>
        <item x="212"/>
        <item x="218"/>
        <item x="148"/>
        <item x="23"/>
        <item x="211"/>
        <item x="110"/>
        <item x="166"/>
        <item x="185"/>
        <item x="156"/>
        <item x="208"/>
        <item x="74"/>
        <item x="67"/>
        <item x="117"/>
        <item x="307"/>
        <item x="161"/>
        <item x="142"/>
        <item x="219"/>
        <item x="95"/>
        <item x="263"/>
        <item x="251"/>
        <item x="271"/>
        <item x="123"/>
        <item x="177"/>
        <item x="30"/>
        <item x="170"/>
        <item x="231"/>
        <item x="269"/>
        <item x="241"/>
        <item x="259"/>
        <item x="101"/>
        <item x="320"/>
        <item x="57"/>
        <item x="27"/>
        <item x="121"/>
        <item x="105"/>
        <item x="273"/>
        <item x="296"/>
        <item x="325"/>
        <item x="294"/>
        <item x="253"/>
        <item x="316"/>
        <item x="268"/>
        <item x="21"/>
        <item x="153"/>
        <item x="193"/>
        <item x="301"/>
        <item x="281"/>
        <item x="150"/>
        <item x="81"/>
        <item x="132"/>
        <item x="102"/>
        <item x="138"/>
        <item x="159"/>
        <item x="86"/>
        <item x="108"/>
        <item x="206"/>
        <item x="213"/>
        <item x="240"/>
        <item x="187"/>
        <item x="260"/>
        <item x="309"/>
        <item x="215"/>
        <item x="119"/>
        <item x="256"/>
        <item x="154"/>
        <item x="68"/>
        <item x="91"/>
        <item x="293"/>
        <item x="217"/>
        <item x="313"/>
        <item x="272"/>
        <item x="329"/>
        <item x="254"/>
        <item x="276"/>
        <item x="318"/>
        <item x="49"/>
        <item x="327"/>
        <item x="2"/>
        <item x="236"/>
        <item x="295"/>
        <item x="139"/>
        <item x="116"/>
        <item x="178"/>
        <item x="12"/>
        <item x="87"/>
        <item x="314"/>
        <item x="96"/>
        <item x="267"/>
        <item x="151"/>
        <item x="8"/>
        <item x="131"/>
        <item x="28"/>
        <item x="280"/>
        <item x="277"/>
        <item x="203"/>
        <item x="180"/>
        <item x="222"/>
        <item x="303"/>
        <item x="78"/>
        <item x="278"/>
        <item x="226"/>
        <item x="147"/>
        <item x="58"/>
        <item x="47"/>
        <item x="106"/>
        <item x="62"/>
        <item x="204"/>
        <item x="55"/>
        <item x="257"/>
        <item x="322"/>
        <item x="195"/>
        <item x="3"/>
        <item x="287"/>
        <item x="75"/>
        <item x="163"/>
        <item x="207"/>
        <item x="229"/>
        <item x="54"/>
        <item x="167"/>
        <item x="17"/>
        <item x="209"/>
        <item x="72"/>
        <item x="244"/>
        <item x="59"/>
        <item x="53"/>
        <item x="200"/>
        <item x="247"/>
        <item x="160"/>
        <item x="88"/>
        <item x="330"/>
        <item x="90"/>
        <item x="120"/>
        <item x="279"/>
        <item x="29"/>
        <item x="114"/>
        <item x="258"/>
        <item x="289"/>
        <item x="134"/>
        <item x="237"/>
        <item x="173"/>
        <item x="196"/>
        <item x="103"/>
        <item x="205"/>
        <item x="315"/>
        <item x="317"/>
        <item x="175"/>
        <item x="155"/>
        <item x="118"/>
        <item x="183"/>
        <item x="186"/>
        <item x="164"/>
        <item x="16"/>
        <item x="37"/>
        <item x="321"/>
        <item x="224"/>
        <item x="24"/>
        <item x="20"/>
        <item x="176"/>
        <item x="284"/>
        <item x="76"/>
        <item x="298"/>
        <item x="14"/>
        <item x="158"/>
        <item x="141"/>
        <item x="111"/>
        <item x="107"/>
        <item x="128"/>
        <item x="233"/>
        <item x="328"/>
        <item x="130"/>
        <item x="45"/>
        <item x="63"/>
        <item x="323"/>
        <item x="85"/>
        <item x="216"/>
        <item x="174"/>
        <item x="39"/>
        <item x="168"/>
        <item x="71"/>
        <item x="22"/>
        <item x="227"/>
        <item x="319"/>
        <item x="80"/>
        <item x="34"/>
        <item x="243"/>
        <item x="299"/>
        <item t="default"/>
      </items>
    </pivotField>
    <pivotField axis="axisRow" showAll="0">
      <items count="33">
        <item h="1" x="9"/>
        <item h="1" x="7"/>
        <item h="1" x="25"/>
        <item h="1" x="11"/>
        <item h="1" x="21"/>
        <item h="1" x="5"/>
        <item h="1" x="13"/>
        <item h="1" x="31"/>
        <item h="1" x="27"/>
        <item x="19"/>
        <item h="1" x="10"/>
        <item h="1" x="24"/>
        <item x="22"/>
        <item h="1" x="12"/>
        <item h="1" x="1"/>
        <item h="1" x="15"/>
        <item h="1" x="30"/>
        <item h="1" x="16"/>
        <item x="0"/>
        <item h="1" x="26"/>
        <item h="1" x="28"/>
        <item h="1" x="18"/>
        <item h="1" x="14"/>
        <item h="1" x="2"/>
        <item x="23"/>
        <item x="8"/>
        <item h="1" x="3"/>
        <item h="1" x="6"/>
        <item h="1" x="29"/>
        <item h="1" x="4"/>
        <item h="1" x="20"/>
        <item h="1" x="17"/>
        <item t="default"/>
      </items>
    </pivotField>
    <pivotField showAll="0"/>
  </pivotFields>
  <rowFields count="1">
    <field x="16"/>
  </rowFields>
  <rowItems count="6">
    <i>
      <x v="9"/>
    </i>
    <i>
      <x v="12"/>
    </i>
    <i>
      <x v="18"/>
    </i>
    <i>
      <x v="24"/>
    </i>
    <i>
      <x v="25"/>
    </i>
    <i t="grand">
      <x/>
    </i>
  </rowItems>
  <colItems count="1">
    <i/>
  </colItems>
  <dataFields count="1">
    <dataField name="Sum of Amount" fld="14" baseField="0" baseItem="0"/>
  </dataFields>
  <chartFormats count="3">
    <chartFormat chart="0"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C28DB8-4523-42DA-9C14-D75BDAF59F6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P52:AT66" firstHeaderRow="1" firstDataRow="2" firstDataCol="1"/>
  <pivotFields count="18">
    <pivotField showAll="0"/>
    <pivotField showAll="0"/>
    <pivotField numFmtId="14" showAll="0"/>
    <pivotField axis="axisRow" showAll="0">
      <items count="13">
        <item x="1"/>
        <item x="5"/>
        <item x="6"/>
        <item x="9"/>
        <item x="4"/>
        <item x="3"/>
        <item x="11"/>
        <item x="7"/>
        <item x="8"/>
        <item x="10"/>
        <item x="0"/>
        <item x="2"/>
        <item t="default"/>
      </items>
    </pivotField>
    <pivotField showAll="0"/>
    <pivotField showAll="0"/>
    <pivotField showAll="0">
      <items count="4">
        <item x="2"/>
        <item x="1"/>
        <item x="0"/>
        <item t="default"/>
      </items>
    </pivotField>
    <pivotField axis="axisCol"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showAll="0"/>
  </pivotFields>
  <rowFields count="1">
    <field x="3"/>
  </rowFields>
  <rowItems count="13">
    <i>
      <x/>
    </i>
    <i>
      <x v="1"/>
    </i>
    <i>
      <x v="2"/>
    </i>
    <i>
      <x v="3"/>
    </i>
    <i>
      <x v="4"/>
    </i>
    <i>
      <x v="5"/>
    </i>
    <i>
      <x v="6"/>
    </i>
    <i>
      <x v="7"/>
    </i>
    <i>
      <x v="8"/>
    </i>
    <i>
      <x v="9"/>
    </i>
    <i>
      <x v="10"/>
    </i>
    <i>
      <x v="11"/>
    </i>
    <i t="grand">
      <x/>
    </i>
  </rowItems>
  <colFields count="1">
    <field x="7"/>
  </colFields>
  <colItems count="4">
    <i>
      <x/>
    </i>
    <i>
      <x v="1"/>
    </i>
    <i>
      <x v="2"/>
    </i>
    <i t="grand">
      <x/>
    </i>
  </colItems>
  <dataFields count="1">
    <dataField name="Sum of Amount" fld="14" baseField="0" baseItem="0"/>
  </dataFields>
  <chartFormats count="11">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6" format="9" series="1">
      <pivotArea type="data" outline="0" fieldPosition="0">
        <references count="2">
          <reference field="4294967294" count="1" selected="0">
            <x v="0"/>
          </reference>
          <reference field="7" count="1" selected="0">
            <x v="0"/>
          </reference>
        </references>
      </pivotArea>
    </chartFormat>
    <chartFormat chart="6" format="10" series="1">
      <pivotArea type="data" outline="0" fieldPosition="0">
        <references count="2">
          <reference field="4294967294" count="1" selected="0">
            <x v="0"/>
          </reference>
          <reference field="7" count="1" selected="0">
            <x v="1"/>
          </reference>
        </references>
      </pivotArea>
    </chartFormat>
    <chartFormat chart="6" format="11" series="1">
      <pivotArea type="data" outline="0" fieldPosition="0">
        <references count="2">
          <reference field="4294967294" count="1" selected="0">
            <x v="0"/>
          </reference>
          <reference field="7" count="1" selected="0">
            <x v="2"/>
          </reference>
        </references>
      </pivotArea>
    </chartFormat>
    <chartFormat chart="6" format="1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14" format="17" series="1">
      <pivotArea type="data" outline="0" fieldPosition="0">
        <references count="2">
          <reference field="4294967294" count="1" selected="0">
            <x v="0"/>
          </reference>
          <reference field="7" count="1" selected="0">
            <x v="0"/>
          </reference>
        </references>
      </pivotArea>
    </chartFormat>
    <chartFormat chart="14" format="18" series="1">
      <pivotArea type="data" outline="0" fieldPosition="0">
        <references count="2">
          <reference field="4294967294" count="1" selected="0">
            <x v="0"/>
          </reference>
          <reference field="7" count="1" selected="0">
            <x v="1"/>
          </reference>
        </references>
      </pivotArea>
    </chartFormat>
    <chartFormat chart="14" format="19"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2833A6-AAD8-4870-90A3-71E56E4ED90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G54:BM64" firstHeaderRow="1" firstDataRow="2" firstDataCol="1"/>
  <pivotFields count="18">
    <pivotField showAll="0"/>
    <pivotField showAll="0"/>
    <pivotField numFmtId="14" showAll="0"/>
    <pivotField showAll="0">
      <items count="13">
        <item x="1"/>
        <item x="5"/>
        <item x="6"/>
        <item x="9"/>
        <item x="4"/>
        <item x="3"/>
        <item x="11"/>
        <item x="7"/>
        <item x="8"/>
        <item x="10"/>
        <item x="0"/>
        <item x="2"/>
        <item t="default"/>
      </items>
    </pivotField>
    <pivotField showAll="0"/>
    <pivotField showAll="0"/>
    <pivotField showAll="0">
      <items count="4">
        <item x="2"/>
        <item x="1"/>
        <item x="0"/>
        <item t="default"/>
      </items>
    </pivotField>
    <pivotField showAll="0">
      <items count="4">
        <item x="1"/>
        <item x="0"/>
        <item x="2"/>
        <item t="default"/>
      </items>
    </pivotField>
    <pivotField axis="axisRow" showAll="0">
      <items count="44">
        <item x="32"/>
        <item h="1" x="20"/>
        <item x="11"/>
        <item h="1" x="38"/>
        <item h="1" x="15"/>
        <item h="1" x="42"/>
        <item h="1" x="33"/>
        <item x="8"/>
        <item h="1" x="24"/>
        <item h="1" x="31"/>
        <item h="1" x="36"/>
        <item h="1" x="22"/>
        <item x="10"/>
        <item h="1" x="7"/>
        <item h="1" x="23"/>
        <item h="1" x="14"/>
        <item h="1" x="27"/>
        <item x="30"/>
        <item h="1" x="25"/>
        <item h="1" x="18"/>
        <item h="1" x="34"/>
        <item h="1" x="37"/>
        <item x="39"/>
        <item h="1" x="29"/>
        <item h="1" x="6"/>
        <item h="1" x="19"/>
        <item h="1" x="41"/>
        <item x="26"/>
        <item h="1" x="13"/>
        <item h="1" x="28"/>
        <item h="1" x="9"/>
        <item h="1" x="0"/>
        <item x="35"/>
        <item h="1" x="40"/>
        <item h="1" x="1"/>
        <item h="1" x="2"/>
        <item h="1" x="12"/>
        <item h="1" x="4"/>
        <item h="1" x="3"/>
        <item h="1" x="5"/>
        <item h="1" x="16"/>
        <item h="1" x="17"/>
        <item h="1" x="21"/>
        <item t="default"/>
      </items>
    </pivotField>
    <pivotField showAll="0"/>
    <pivotField axis="axisCol" showAll="0">
      <items count="9">
        <item h="1" x="7"/>
        <item h="1" x="5"/>
        <item h="1" x="4"/>
        <item x="1"/>
        <item x="6"/>
        <item x="0"/>
        <item x="3"/>
        <item x="2"/>
        <item t="default"/>
      </items>
    </pivotField>
    <pivotField showAll="0"/>
    <pivotField showAll="0"/>
    <pivotField showAll="0"/>
    <pivotField dataField="1" showAll="0"/>
    <pivotField showAll="0"/>
    <pivotField showAll="0"/>
    <pivotField showAll="0"/>
  </pivotFields>
  <rowFields count="1">
    <field x="8"/>
  </rowFields>
  <rowItems count="9">
    <i>
      <x/>
    </i>
    <i>
      <x v="2"/>
    </i>
    <i>
      <x v="7"/>
    </i>
    <i>
      <x v="12"/>
    </i>
    <i>
      <x v="17"/>
    </i>
    <i>
      <x v="22"/>
    </i>
    <i>
      <x v="27"/>
    </i>
    <i>
      <x v="32"/>
    </i>
    <i t="grand">
      <x/>
    </i>
  </rowItems>
  <colFields count="1">
    <field x="10"/>
  </colFields>
  <colItems count="6">
    <i>
      <x v="3"/>
    </i>
    <i>
      <x v="4"/>
    </i>
    <i>
      <x v="5"/>
    </i>
    <i>
      <x v="6"/>
    </i>
    <i>
      <x v="7"/>
    </i>
    <i t="grand">
      <x/>
    </i>
  </colItems>
  <dataFields count="1">
    <dataField name="Sum of Amount" fld="14" baseField="0" baseItem="0"/>
  </dataFields>
  <chartFormats count="21">
    <chartFormat chart="0" format="9" series="1">
      <pivotArea type="data" outline="0" fieldPosition="0">
        <references count="2">
          <reference field="4294967294" count="1" selected="0">
            <x v="0"/>
          </reference>
          <reference field="10" count="1" selected="0">
            <x v="0"/>
          </reference>
        </references>
      </pivotArea>
    </chartFormat>
    <chartFormat chart="0" format="10" series="1">
      <pivotArea type="data" outline="0" fieldPosition="0">
        <references count="2">
          <reference field="4294967294" count="1" selected="0">
            <x v="0"/>
          </reference>
          <reference field="10" count="1" selected="0">
            <x v="1"/>
          </reference>
        </references>
      </pivotArea>
    </chartFormat>
    <chartFormat chart="0" format="11" series="1">
      <pivotArea type="data" outline="0" fieldPosition="0">
        <references count="2">
          <reference field="4294967294" count="1" selected="0">
            <x v="0"/>
          </reference>
          <reference field="10" count="1" selected="0">
            <x v="2"/>
          </reference>
        </references>
      </pivotArea>
    </chartFormat>
    <chartFormat chart="0" format="12" series="1">
      <pivotArea type="data" outline="0" fieldPosition="0">
        <references count="2">
          <reference field="4294967294" count="1" selected="0">
            <x v="0"/>
          </reference>
          <reference field="10" count="1" selected="0">
            <x v="3"/>
          </reference>
        </references>
      </pivotArea>
    </chartFormat>
    <chartFormat chart="0" format="13" series="1">
      <pivotArea type="data" outline="0" fieldPosition="0">
        <references count="2">
          <reference field="4294967294" count="1" selected="0">
            <x v="0"/>
          </reference>
          <reference field="10" count="1" selected="0">
            <x v="4"/>
          </reference>
        </references>
      </pivotArea>
    </chartFormat>
    <chartFormat chart="0" format="14" series="1">
      <pivotArea type="data" outline="0" fieldPosition="0">
        <references count="2">
          <reference field="4294967294" count="1" selected="0">
            <x v="0"/>
          </reference>
          <reference field="10" count="1" selected="0">
            <x v="5"/>
          </reference>
        </references>
      </pivotArea>
    </chartFormat>
    <chartFormat chart="0" format="15" series="1">
      <pivotArea type="data" outline="0" fieldPosition="0">
        <references count="2">
          <reference field="4294967294" count="1" selected="0">
            <x v="0"/>
          </reference>
          <reference field="10" count="1" selected="0">
            <x v="6"/>
          </reference>
        </references>
      </pivotArea>
    </chartFormat>
    <chartFormat chart="0" format="16" series="1">
      <pivotArea type="data" outline="0" fieldPosition="0">
        <references count="2">
          <reference field="4294967294" count="1" selected="0">
            <x v="0"/>
          </reference>
          <reference field="10" count="1" selected="0">
            <x v="7"/>
          </reference>
        </references>
      </pivotArea>
    </chartFormat>
    <chartFormat chart="7" format="27" series="1">
      <pivotArea type="data" outline="0" fieldPosition="0">
        <references count="2">
          <reference field="4294967294" count="1" selected="0">
            <x v="0"/>
          </reference>
          <reference field="10" count="1" selected="0">
            <x v="3"/>
          </reference>
        </references>
      </pivotArea>
    </chartFormat>
    <chartFormat chart="7" format="28" series="1">
      <pivotArea type="data" outline="0" fieldPosition="0">
        <references count="2">
          <reference field="4294967294" count="1" selected="0">
            <x v="0"/>
          </reference>
          <reference field="10" count="1" selected="0">
            <x v="4"/>
          </reference>
        </references>
      </pivotArea>
    </chartFormat>
    <chartFormat chart="7" format="29" series="1">
      <pivotArea type="data" outline="0" fieldPosition="0">
        <references count="2">
          <reference field="4294967294" count="1" selected="0">
            <x v="0"/>
          </reference>
          <reference field="10" count="1" selected="0">
            <x v="5"/>
          </reference>
        </references>
      </pivotArea>
    </chartFormat>
    <chartFormat chart="7" format="30" series="1">
      <pivotArea type="data" outline="0" fieldPosition="0">
        <references count="2">
          <reference field="4294967294" count="1" selected="0">
            <x v="0"/>
          </reference>
          <reference field="10" count="1" selected="0">
            <x v="6"/>
          </reference>
        </references>
      </pivotArea>
    </chartFormat>
    <chartFormat chart="7" format="31" series="1">
      <pivotArea type="data" outline="0" fieldPosition="0">
        <references count="2">
          <reference field="4294967294" count="1" selected="0">
            <x v="0"/>
          </reference>
          <reference field="10" count="1" selected="0">
            <x v="7"/>
          </reference>
        </references>
      </pivotArea>
    </chartFormat>
    <chartFormat chart="7" format="32" series="1">
      <pivotArea type="data" outline="0" fieldPosition="0">
        <references count="1">
          <reference field="4294967294" count="1" selected="0">
            <x v="0"/>
          </reference>
        </references>
      </pivotArea>
    </chartFormat>
    <chartFormat chart="0" format="17" series="1">
      <pivotArea type="data" outline="0" fieldPosition="0">
        <references count="1">
          <reference field="4294967294" count="1" selected="0">
            <x v="0"/>
          </reference>
        </references>
      </pivotArea>
    </chartFormat>
    <chartFormat chart="9" format="36" series="1">
      <pivotArea type="data" outline="0" fieldPosition="0">
        <references count="2">
          <reference field="4294967294" count="1" selected="0">
            <x v="0"/>
          </reference>
          <reference field="10" count="1" selected="0">
            <x v="3"/>
          </reference>
        </references>
      </pivotArea>
    </chartFormat>
    <chartFormat chart="9" format="37" series="1">
      <pivotArea type="data" outline="0" fieldPosition="0">
        <references count="2">
          <reference field="4294967294" count="1" selected="0">
            <x v="0"/>
          </reference>
          <reference field="10" count="1" selected="0">
            <x v="5"/>
          </reference>
        </references>
      </pivotArea>
    </chartFormat>
    <chartFormat chart="9" format="38" series="1">
      <pivotArea type="data" outline="0" fieldPosition="0">
        <references count="2">
          <reference field="4294967294" count="1" selected="0">
            <x v="0"/>
          </reference>
          <reference field="10" count="1" selected="0">
            <x v="7"/>
          </reference>
        </references>
      </pivotArea>
    </chartFormat>
    <chartFormat chart="9" format="39" series="1">
      <pivotArea type="data" outline="0" fieldPosition="0">
        <references count="2">
          <reference field="4294967294" count="1" selected="0">
            <x v="0"/>
          </reference>
          <reference field="10" count="1" selected="0">
            <x v="6"/>
          </reference>
        </references>
      </pivotArea>
    </chartFormat>
    <chartFormat chart="9" format="40" series="1">
      <pivotArea type="data" outline="0" fieldPosition="0">
        <references count="2">
          <reference field="4294967294" count="1" selected="0">
            <x v="0"/>
          </reference>
          <reference field="10" count="1" selected="0">
            <x v="4"/>
          </reference>
        </references>
      </pivotArea>
    </chartFormat>
    <chartFormat chart="9"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36A1CC-CCFF-4C9A-8230-3E2FEE1D740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41:J74" firstHeaderRow="1" firstDataRow="1" firstDataCol="1"/>
  <pivotFields count="18">
    <pivotField showAll="0"/>
    <pivotField showAll="0"/>
    <pivotField numFmtId="14" showAll="0"/>
    <pivotField showAll="0"/>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dataField="1" showAll="0"/>
    <pivotField showAll="0"/>
    <pivotField axis="axisRow" showAll="0">
      <items count="33">
        <item x="9"/>
        <item x="7"/>
        <item x="25"/>
        <item x="11"/>
        <item x="21"/>
        <item x="5"/>
        <item x="13"/>
        <item x="31"/>
        <item x="27"/>
        <item x="19"/>
        <item x="10"/>
        <item x="24"/>
        <item x="22"/>
        <item x="12"/>
        <item x="1"/>
        <item x="15"/>
        <item x="30"/>
        <item x="16"/>
        <item x="0"/>
        <item x="26"/>
        <item x="28"/>
        <item x="18"/>
        <item x="14"/>
        <item x="2"/>
        <item x="23"/>
        <item x="8"/>
        <item x="3"/>
        <item x="6"/>
        <item x="29"/>
        <item x="4"/>
        <item x="20"/>
        <item x="17"/>
        <item t="default"/>
      </items>
    </pivotField>
    <pivotField showAll="0"/>
  </pivotFields>
  <rowFields count="1">
    <field x="16"/>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Amoun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F5373F-AFE9-45B4-9AFC-B22785ECCCB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5:B48" firstHeaderRow="1" firstDataRow="1" firstDataCol="1"/>
  <pivotFields count="18">
    <pivotField showAll="0"/>
    <pivotField dataField="1" showAll="0"/>
    <pivotField numFmtId="14" showAll="0"/>
    <pivotField showAll="0"/>
    <pivotField showAll="0"/>
    <pivotField showAll="0"/>
    <pivotField axis="axisRow" showAll="0">
      <items count="3">
        <item x="1"/>
        <item x="0"/>
        <item t="default"/>
      </items>
    </pivotField>
    <pivotField showAll="0">
      <items count="4">
        <item h="1" x="1"/>
        <item h="1" x="2"/>
        <item x="0"/>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Order ID" fld="1" subtotal="count" baseField="0" baseItem="0"/>
  </dataFields>
  <chartFormats count="9">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6" count="1" selected="0">
            <x v="0"/>
          </reference>
        </references>
      </pivotArea>
    </chartFormat>
    <chartFormat chart="7" format="3">
      <pivotArea type="data" outline="0" fieldPosition="0">
        <references count="2">
          <reference field="4294967294" count="1" selected="0">
            <x v="0"/>
          </reference>
          <reference field="6"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0"/>
          </reference>
        </references>
      </pivotArea>
    </chartFormat>
    <chartFormat chart="8"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888806-3896-4444-BA34-DD9347ECE6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F6:AG11" firstHeaderRow="1" firstDataRow="1" firstDataCol="1"/>
  <pivotFields count="18">
    <pivotField showAll="0"/>
    <pivotField dataField="1" showAll="0"/>
    <pivotField numFmtId="14" showAll="0"/>
    <pivotField showAll="0">
      <items count="13">
        <item x="1"/>
        <item x="5"/>
        <item x="6"/>
        <item x="9"/>
        <item x="4"/>
        <item x="3"/>
        <item x="11"/>
        <item x="7"/>
        <item x="8"/>
        <item x="10"/>
        <item x="0"/>
        <item x="2"/>
        <item t="default"/>
      </items>
    </pivotField>
    <pivotField axis="axisRow" showAll="0">
      <items count="6">
        <item x="0"/>
        <item x="2"/>
        <item x="1"/>
        <item x="4"/>
        <item h="1" x="3"/>
        <item t="default"/>
      </items>
    </pivotField>
    <pivotField showAll="0"/>
    <pivotField showAll="0">
      <items count="4">
        <item x="2"/>
        <item x="1"/>
        <item x="0"/>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Order ID" fld="1" subtotal="count" baseField="0" baseItem="0"/>
  </dataFields>
  <chartFormats count="7">
    <chartFormat chart="0" format="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18"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C422D2-343F-4368-A8C8-0EF3AA55DC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4:J8" firstHeaderRow="1" firstDataRow="1" firstDataCol="1"/>
  <pivotFields count="18">
    <pivotField showAll="0"/>
    <pivotField showAll="0"/>
    <pivotField numFmtId="14" showAll="0"/>
    <pivotField showAll="0">
      <items count="13">
        <item x="1"/>
        <item x="5"/>
        <item x="6"/>
        <item x="9"/>
        <item x="4"/>
        <item x="3"/>
        <item x="11"/>
        <item x="7"/>
        <item x="8"/>
        <item x="10"/>
        <item x="0"/>
        <item x="2"/>
        <item t="default"/>
      </items>
    </pivotField>
    <pivotField showAll="0"/>
    <pivotField showAll="0"/>
    <pivotField axis="axisRow" showAll="0">
      <items count="4">
        <item x="2"/>
        <item x="1"/>
        <item x="0"/>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showAll="0"/>
  </pivotFields>
  <rowFields count="1">
    <field x="6"/>
  </rowFields>
  <rowItems count="4">
    <i>
      <x/>
    </i>
    <i>
      <x v="1"/>
    </i>
    <i>
      <x v="2"/>
    </i>
    <i t="grand">
      <x/>
    </i>
  </rowItems>
  <colItems count="1">
    <i/>
  </colItems>
  <dataFields count="1">
    <dataField name="Sum of Amount" fld="14" baseField="0" baseItem="0"/>
  </dataFields>
  <chartFormats count="4">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6" count="1" selected="0">
            <x v="0"/>
          </reference>
        </references>
      </pivotArea>
    </chartFormat>
    <chartFormat chart="5"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6FF886-8441-4F3B-AA66-3EAD38ADBA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C16" firstHeaderRow="0" firstDataRow="1" firstDataCol="1"/>
  <pivotFields count="18">
    <pivotField showAll="0"/>
    <pivotField dataField="1" showAll="0">
      <items count="944">
        <item x="546"/>
        <item x="897"/>
        <item x="138"/>
        <item x="583"/>
        <item x="718"/>
        <item x="124"/>
        <item x="499"/>
        <item x="653"/>
        <item x="773"/>
        <item x="776"/>
        <item x="617"/>
        <item x="631"/>
        <item x="199"/>
        <item x="908"/>
        <item x="169"/>
        <item x="729"/>
        <item x="939"/>
        <item x="344"/>
        <item x="22"/>
        <item x="318"/>
        <item x="253"/>
        <item x="840"/>
        <item x="381"/>
        <item x="197"/>
        <item x="326"/>
        <item x="266"/>
        <item x="742"/>
        <item x="866"/>
        <item x="322"/>
        <item x="706"/>
        <item x="886"/>
        <item x="59"/>
        <item x="594"/>
        <item x="380"/>
        <item x="332"/>
        <item x="655"/>
        <item x="863"/>
        <item x="116"/>
        <item x="216"/>
        <item x="730"/>
        <item x="759"/>
        <item x="906"/>
        <item x="119"/>
        <item x="58"/>
        <item x="795"/>
        <item x="268"/>
        <item x="114"/>
        <item x="161"/>
        <item x="221"/>
        <item x="333"/>
        <item x="146"/>
        <item x="723"/>
        <item x="712"/>
        <item x="791"/>
        <item x="698"/>
        <item x="764"/>
        <item x="341"/>
        <item x="63"/>
        <item x="149"/>
        <item x="208"/>
        <item x="190"/>
        <item x="406"/>
        <item x="717"/>
        <item x="248"/>
        <item x="11"/>
        <item x="415"/>
        <item x="152"/>
        <item x="166"/>
        <item x="526"/>
        <item x="436"/>
        <item x="379"/>
        <item x="669"/>
        <item x="391"/>
        <item x="780"/>
        <item x="644"/>
        <item x="885"/>
        <item x="635"/>
        <item x="270"/>
        <item x="198"/>
        <item x="808"/>
        <item x="471"/>
        <item x="702"/>
        <item x="106"/>
        <item x="619"/>
        <item x="228"/>
        <item x="172"/>
        <item x="596"/>
        <item x="360"/>
        <item x="935"/>
        <item x="674"/>
        <item x="252"/>
        <item x="670"/>
        <item x="286"/>
        <item x="484"/>
        <item x="85"/>
        <item x="284"/>
        <item x="264"/>
        <item x="44"/>
        <item x="539"/>
        <item x="763"/>
        <item x="420"/>
        <item x="351"/>
        <item x="78"/>
        <item x="247"/>
        <item x="909"/>
        <item x="903"/>
        <item x="722"/>
        <item x="697"/>
        <item x="568"/>
        <item x="458"/>
        <item x="608"/>
        <item x="880"/>
        <item x="758"/>
        <item x="304"/>
        <item x="140"/>
        <item x="336"/>
        <item x="845"/>
        <item x="207"/>
        <item x="519"/>
        <item x="123"/>
        <item x="711"/>
        <item x="30"/>
        <item x="525"/>
        <item x="1"/>
        <item x="48"/>
        <item x="794"/>
        <item x="331"/>
        <item x="397"/>
        <item x="543"/>
        <item x="347"/>
        <item x="912"/>
        <item x="892"/>
        <item x="287"/>
        <item x="154"/>
        <item x="703"/>
        <item x="790"/>
        <item x="254"/>
        <item x="802"/>
        <item x="715"/>
        <item x="399"/>
        <item x="127"/>
        <item x="302"/>
        <item x="179"/>
        <item x="620"/>
        <item x="455"/>
        <item x="858"/>
        <item x="544"/>
        <item x="573"/>
        <item x="313"/>
        <item x="757"/>
        <item x="33"/>
        <item x="325"/>
        <item x="714"/>
        <item x="739"/>
        <item x="181"/>
        <item x="486"/>
        <item x="52"/>
        <item x="530"/>
        <item x="200"/>
        <item x="71"/>
        <item x="323"/>
        <item x="262"/>
        <item x="204"/>
        <item x="933"/>
        <item x="376"/>
        <item x="240"/>
        <item x="178"/>
        <item x="35"/>
        <item x="148"/>
        <item x="277"/>
        <item x="462"/>
        <item x="592"/>
        <item x="901"/>
        <item x="164"/>
        <item x="24"/>
        <item x="338"/>
        <item x="328"/>
        <item x="50"/>
        <item x="340"/>
        <item x="587"/>
        <item x="527"/>
        <item x="18"/>
        <item x="118"/>
        <item x="860"/>
        <item x="9"/>
        <item x="932"/>
        <item x="298"/>
        <item x="501"/>
        <item x="276"/>
        <item x="766"/>
        <item x="664"/>
        <item x="783"/>
        <item x="522"/>
        <item x="675"/>
        <item x="311"/>
        <item x="342"/>
        <item x="895"/>
        <item x="251"/>
        <item x="549"/>
        <item x="529"/>
        <item x="870"/>
        <item x="887"/>
        <item x="678"/>
        <item x="554"/>
        <item x="868"/>
        <item x="556"/>
        <item x="692"/>
        <item x="650"/>
        <item x="310"/>
        <item x="662"/>
        <item x="918"/>
        <item x="210"/>
        <item x="261"/>
        <item x="842"/>
        <item x="244"/>
        <item x="902"/>
        <item x="922"/>
        <item x="751"/>
        <item x="559"/>
        <item x="934"/>
        <item x="571"/>
        <item x="43"/>
        <item x="552"/>
        <item x="735"/>
        <item x="614"/>
        <item x="97"/>
        <item x="447"/>
        <item x="598"/>
        <item x="53"/>
        <item x="316"/>
        <item x="147"/>
        <item x="348"/>
        <item x="623"/>
        <item x="474"/>
        <item x="825"/>
        <item x="40"/>
        <item x="125"/>
        <item x="708"/>
        <item x="94"/>
        <item x="126"/>
        <item x="816"/>
        <item x="693"/>
        <item x="591"/>
        <item x="386"/>
        <item x="753"/>
        <item x="185"/>
        <item x="604"/>
        <item x="282"/>
        <item x="202"/>
        <item x="520"/>
        <item x="218"/>
        <item x="463"/>
        <item x="438"/>
        <item x="111"/>
        <item x="716"/>
        <item x="437"/>
        <item x="851"/>
        <item x="875"/>
        <item x="798"/>
        <item x="917"/>
        <item x="55"/>
        <item x="307"/>
        <item x="814"/>
        <item x="862"/>
        <item x="84"/>
        <item x="86"/>
        <item x="727"/>
        <item x="938"/>
        <item x="726"/>
        <item x="882"/>
        <item x="315"/>
        <item x="229"/>
        <item x="294"/>
        <item x="627"/>
        <item x="175"/>
        <item x="460"/>
        <item x="295"/>
        <item x="671"/>
        <item x="401"/>
        <item x="799"/>
        <item x="305"/>
        <item x="504"/>
        <item x="550"/>
        <item x="547"/>
        <item x="47"/>
        <item x="201"/>
        <item x="710"/>
        <item x="566"/>
        <item x="929"/>
        <item x="82"/>
        <item x="924"/>
        <item x="690"/>
        <item x="826"/>
        <item x="746"/>
        <item x="593"/>
        <item x="465"/>
        <item x="920"/>
        <item x="38"/>
        <item x="196"/>
        <item x="37"/>
        <item x="306"/>
        <item x="771"/>
        <item x="837"/>
        <item x="405"/>
        <item x="793"/>
        <item x="189"/>
        <item x="15"/>
        <item x="827"/>
        <item x="638"/>
        <item x="150"/>
        <item x="212"/>
        <item x="687"/>
        <item x="129"/>
        <item x="642"/>
        <item x="206"/>
        <item x="626"/>
        <item x="926"/>
        <item x="211"/>
        <item x="632"/>
        <item x="602"/>
        <item x="233"/>
        <item x="335"/>
        <item x="76"/>
        <item x="423"/>
        <item x="131"/>
        <item x="779"/>
        <item x="558"/>
        <item x="673"/>
        <item x="404"/>
        <item x="349"/>
        <item x="31"/>
        <item x="807"/>
        <item x="683"/>
        <item x="104"/>
        <item x="574"/>
        <item x="245"/>
        <item x="913"/>
        <item x="452"/>
        <item x="213"/>
        <item x="725"/>
        <item x="925"/>
        <item x="923"/>
        <item x="898"/>
        <item x="778"/>
        <item x="657"/>
        <item x="395"/>
        <item x="301"/>
        <item x="551"/>
        <item x="26"/>
        <item x="748"/>
        <item x="271"/>
        <item x="205"/>
        <item x="728"/>
        <item x="846"/>
        <item x="768"/>
        <item x="3"/>
        <item x="830"/>
        <item x="724"/>
        <item x="615"/>
        <item x="745"/>
        <item x="777"/>
        <item x="454"/>
        <item x="823"/>
        <item x="80"/>
        <item x="540"/>
        <item x="193"/>
        <item x="528"/>
        <item x="394"/>
        <item x="713"/>
        <item x="497"/>
        <item x="231"/>
        <item x="2"/>
        <item x="874"/>
        <item x="235"/>
        <item x="403"/>
        <item x="822"/>
        <item x="738"/>
        <item x="416"/>
        <item x="597"/>
        <item x="5"/>
        <item x="330"/>
        <item x="834"/>
        <item x="258"/>
        <item x="548"/>
        <item x="374"/>
        <item x="99"/>
        <item x="585"/>
        <item x="505"/>
        <item x="643"/>
        <item x="356"/>
        <item x="60"/>
        <item x="819"/>
        <item x="907"/>
        <item x="916"/>
        <item x="407"/>
        <item x="873"/>
        <item x="719"/>
        <item x="390"/>
        <item x="803"/>
        <item x="173"/>
        <item x="478"/>
        <item x="515"/>
        <item x="364"/>
        <item x="476"/>
        <item x="65"/>
        <item x="744"/>
        <item x="883"/>
        <item x="658"/>
        <item x="853"/>
        <item x="832"/>
        <item x="833"/>
        <item x="545"/>
        <item x="482"/>
        <item x="824"/>
        <item x="162"/>
        <item x="137"/>
        <item x="227"/>
        <item x="695"/>
        <item x="498"/>
        <item x="654"/>
        <item x="584"/>
        <item x="382"/>
        <item x="393"/>
        <item x="536"/>
        <item x="29"/>
        <item x="23"/>
        <item x="363"/>
        <item x="445"/>
        <item x="442"/>
        <item x="142"/>
        <item x="940"/>
        <item x="79"/>
        <item x="835"/>
        <item x="225"/>
        <item x="187"/>
        <item x="453"/>
        <item x="817"/>
        <item x="788"/>
        <item x="249"/>
        <item x="250"/>
        <item x="770"/>
        <item x="219"/>
        <item x="239"/>
        <item x="285"/>
        <item x="359"/>
        <item x="523"/>
        <item x="451"/>
        <item x="677"/>
        <item x="34"/>
        <item x="133"/>
        <item x="553"/>
        <item x="464"/>
        <item x="490"/>
        <item x="479"/>
        <item x="21"/>
        <item x="238"/>
        <item x="648"/>
        <item x="329"/>
        <item x="937"/>
        <item x="864"/>
        <item x="32"/>
        <item x="762"/>
        <item x="176"/>
        <item x="633"/>
        <item x="927"/>
        <item x="135"/>
        <item x="720"/>
        <item x="256"/>
        <item x="634"/>
        <item x="20"/>
        <item x="829"/>
        <item x="430"/>
        <item x="177"/>
        <item x="682"/>
        <item x="103"/>
        <item x="90"/>
        <item x="534"/>
        <item x="563"/>
        <item x="919"/>
        <item x="108"/>
        <item x="603"/>
        <item x="83"/>
        <item x="736"/>
        <item x="767"/>
        <item x="765"/>
        <item x="300"/>
        <item x="183"/>
        <item x="88"/>
        <item x="769"/>
        <item x="810"/>
        <item x="601"/>
        <item x="102"/>
        <item x="134"/>
        <item x="472"/>
        <item x="377"/>
        <item x="163"/>
        <item x="387"/>
        <item x="492"/>
        <item x="299"/>
        <item x="378"/>
        <item x="535"/>
        <item x="577"/>
        <item x="649"/>
        <item x="112"/>
        <item x="186"/>
        <item x="888"/>
        <item x="159"/>
        <item x="362"/>
        <item x="852"/>
        <item x="755"/>
        <item x="274"/>
        <item x="637"/>
        <item x="61"/>
        <item x="805"/>
        <item x="647"/>
        <item x="707"/>
        <item x="107"/>
        <item x="533"/>
        <item x="64"/>
        <item x="477"/>
        <item x="821"/>
        <item x="121"/>
        <item x="521"/>
        <item x="672"/>
        <item x="517"/>
        <item x="413"/>
        <item x="500"/>
        <item x="372"/>
        <item x="732"/>
        <item x="101"/>
        <item x="491"/>
        <item x="483"/>
        <item x="12"/>
        <item x="855"/>
        <item x="646"/>
        <item x="19"/>
        <item x="645"/>
        <item x="289"/>
        <item x="818"/>
        <item x="828"/>
        <item x="67"/>
        <item x="679"/>
        <item x="806"/>
        <item x="607"/>
        <item x="581"/>
        <item x="775"/>
        <item x="195"/>
        <item x="576"/>
        <item x="801"/>
        <item x="412"/>
        <item x="564"/>
        <item x="616"/>
        <item x="651"/>
        <item x="785"/>
        <item x="538"/>
        <item x="668"/>
        <item x="28"/>
        <item x="667"/>
        <item x="572"/>
        <item x="0"/>
        <item x="105"/>
        <item x="25"/>
        <item x="659"/>
        <item x="66"/>
        <item x="354"/>
        <item x="74"/>
        <item x="209"/>
        <item x="754"/>
        <item x="373"/>
        <item x="450"/>
        <item x="17"/>
        <item x="680"/>
        <item x="91"/>
        <item x="242"/>
        <item x="629"/>
        <item x="761"/>
        <item x="361"/>
        <item x="838"/>
        <item x="446"/>
        <item x="893"/>
        <item x="784"/>
        <item x="120"/>
        <item x="421"/>
        <item x="68"/>
        <item x="557"/>
        <item x="625"/>
        <item x="561"/>
        <item x="109"/>
        <item x="157"/>
        <item x="36"/>
        <item x="468"/>
        <item x="429"/>
        <item x="110"/>
        <item x="153"/>
        <item x="900"/>
        <item x="532"/>
        <item x="72"/>
        <item x="267"/>
        <item x="128"/>
        <item x="192"/>
        <item x="660"/>
        <item x="890"/>
        <item x="487"/>
        <item x="496"/>
        <item x="224"/>
        <item x="170"/>
        <item x="756"/>
        <item x="366"/>
        <item x="188"/>
        <item x="595"/>
        <item x="569"/>
        <item x="575"/>
        <item x="165"/>
        <item x="733"/>
        <item x="613"/>
        <item x="346"/>
        <item x="392"/>
        <item x="861"/>
        <item x="518"/>
        <item x="911"/>
        <item x="122"/>
        <item x="914"/>
        <item x="622"/>
        <item x="449"/>
        <item x="700"/>
        <item x="849"/>
        <item x="220"/>
        <item x="930"/>
        <item x="869"/>
        <item x="365"/>
        <item x="628"/>
        <item x="96"/>
        <item x="731"/>
        <item x="93"/>
        <item x="100"/>
        <item x="774"/>
        <item x="160"/>
        <item x="809"/>
        <item x="699"/>
        <item x="89"/>
        <item x="355"/>
        <item x="740"/>
        <item x="663"/>
        <item x="936"/>
        <item x="749"/>
        <item x="689"/>
        <item x="223"/>
        <item x="222"/>
        <item x="278"/>
        <item x="588"/>
        <item x="636"/>
        <item x="288"/>
        <item x="317"/>
        <item x="408"/>
        <item x="516"/>
        <item x="848"/>
        <item x="308"/>
        <item x="41"/>
        <item x="871"/>
        <item x="367"/>
        <item x="856"/>
        <item x="236"/>
        <item x="417"/>
        <item x="297"/>
        <item x="609"/>
        <item x="143"/>
        <item x="296"/>
        <item x="7"/>
        <item x="606"/>
        <item x="475"/>
        <item x="57"/>
        <item x="811"/>
        <item x="273"/>
        <item x="433"/>
        <item x="272"/>
        <item x="786"/>
        <item x="418"/>
        <item x="541"/>
        <item x="56"/>
        <item x="605"/>
        <item x="115"/>
        <item x="136"/>
        <item x="621"/>
        <item x="16"/>
        <item x="459"/>
        <item x="370"/>
        <item x="144"/>
        <item x="760"/>
        <item x="467"/>
        <item x="844"/>
        <item x="343"/>
        <item x="899"/>
        <item x="537"/>
        <item x="461"/>
        <item x="422"/>
        <item x="921"/>
        <item x="787"/>
        <item x="156"/>
        <item x="353"/>
        <item x="590"/>
        <item x="402"/>
        <item x="750"/>
        <item x="503"/>
        <item x="243"/>
        <item x="4"/>
        <item x="510"/>
        <item x="389"/>
        <item x="488"/>
        <item x="352"/>
        <item x="589"/>
        <item x="741"/>
        <item x="241"/>
        <item x="579"/>
        <item x="182"/>
        <item x="743"/>
        <item x="385"/>
        <item x="70"/>
        <item x="226"/>
        <item x="612"/>
        <item x="507"/>
        <item x="889"/>
        <item x="293"/>
        <item x="652"/>
        <item x="62"/>
        <item x="815"/>
        <item x="789"/>
        <item x="580"/>
        <item x="928"/>
        <item x="508"/>
        <item x="339"/>
        <item x="686"/>
        <item x="831"/>
        <item x="214"/>
        <item x="409"/>
        <item x="426"/>
        <item x="843"/>
        <item x="158"/>
        <item x="691"/>
        <item x="582"/>
        <item x="246"/>
        <item x="441"/>
        <item x="54"/>
        <item x="168"/>
        <item x="820"/>
        <item x="139"/>
        <item x="425"/>
        <item x="709"/>
        <item x="854"/>
        <item x="350"/>
        <item x="215"/>
        <item x="260"/>
        <item x="217"/>
        <item x="309"/>
        <item x="259"/>
        <item x="8"/>
        <item x="850"/>
        <item x="434"/>
        <item x="257"/>
        <item x="10"/>
        <item x="230"/>
        <item x="283"/>
        <item x="905"/>
        <item x="171"/>
        <item x="813"/>
        <item x="812"/>
        <item x="237"/>
        <item x="155"/>
        <item x="345"/>
        <item x="704"/>
        <item x="81"/>
        <item x="705"/>
        <item x="448"/>
        <item x="494"/>
        <item x="560"/>
        <item x="194"/>
        <item x="493"/>
        <item x="495"/>
        <item x="411"/>
        <item x="358"/>
        <item x="435"/>
        <item x="506"/>
        <item x="685"/>
        <item x="141"/>
        <item x="113"/>
        <item x="324"/>
        <item x="531"/>
        <item x="145"/>
        <item x="570"/>
        <item x="562"/>
        <item x="443"/>
        <item x="263"/>
        <item x="618"/>
        <item x="312"/>
        <item x="151"/>
        <item x="319"/>
        <item x="942"/>
        <item x="431"/>
        <item x="444"/>
        <item x="878"/>
        <item x="489"/>
        <item x="701"/>
        <item x="696"/>
        <item x="375"/>
        <item x="624"/>
        <item x="514"/>
        <item x="14"/>
        <item x="910"/>
        <item x="772"/>
        <item x="130"/>
        <item x="396"/>
        <item x="470"/>
        <item x="841"/>
        <item x="95"/>
        <item x="881"/>
        <item x="684"/>
        <item x="481"/>
        <item x="87"/>
        <item x="49"/>
        <item x="839"/>
        <item x="457"/>
        <item x="432"/>
        <item x="800"/>
        <item x="931"/>
        <item x="410"/>
        <item x="513"/>
        <item x="232"/>
        <item x="656"/>
        <item x="132"/>
        <item x="368"/>
        <item x="303"/>
        <item x="388"/>
        <item x="734"/>
        <item x="752"/>
        <item x="191"/>
        <item x="291"/>
        <item x="473"/>
        <item x="265"/>
        <item x="42"/>
        <item x="27"/>
        <item x="876"/>
        <item x="804"/>
        <item x="879"/>
        <item x="688"/>
        <item x="681"/>
        <item x="292"/>
        <item x="180"/>
        <item x="542"/>
        <item x="45"/>
        <item x="77"/>
        <item x="269"/>
        <item x="694"/>
        <item x="891"/>
        <item x="565"/>
        <item x="480"/>
        <item x="782"/>
        <item x="872"/>
        <item x="203"/>
        <item x="796"/>
        <item x="502"/>
        <item x="167"/>
        <item x="357"/>
        <item x="661"/>
        <item x="797"/>
        <item x="400"/>
        <item x="369"/>
        <item x="747"/>
        <item x="314"/>
        <item x="915"/>
        <item x="578"/>
        <item x="6"/>
        <item x="512"/>
        <item x="428"/>
        <item x="639"/>
        <item x="334"/>
        <item x="321"/>
        <item x="877"/>
        <item x="640"/>
        <item x="511"/>
        <item x="427"/>
        <item x="92"/>
        <item x="896"/>
        <item x="440"/>
        <item x="280"/>
        <item x="414"/>
        <item x="456"/>
        <item x="384"/>
        <item x="567"/>
        <item x="419"/>
        <item x="255"/>
        <item x="857"/>
        <item x="75"/>
        <item x="836"/>
        <item x="721"/>
        <item x="586"/>
        <item x="69"/>
        <item x="51"/>
        <item x="555"/>
        <item x="39"/>
        <item x="509"/>
        <item x="904"/>
        <item x="599"/>
        <item x="666"/>
        <item x="174"/>
        <item x="485"/>
        <item x="941"/>
        <item x="610"/>
        <item x="98"/>
        <item x="327"/>
        <item x="73"/>
        <item x="867"/>
        <item x="424"/>
        <item x="13"/>
        <item x="630"/>
        <item x="371"/>
        <item x="275"/>
        <item x="611"/>
        <item x="859"/>
        <item x="847"/>
        <item x="383"/>
        <item x="676"/>
        <item x="894"/>
        <item x="398"/>
        <item x="737"/>
        <item x="281"/>
        <item x="439"/>
        <item x="466"/>
        <item x="320"/>
        <item x="600"/>
        <item x="524"/>
        <item x="290"/>
        <item x="865"/>
        <item x="46"/>
        <item x="234"/>
        <item x="337"/>
        <item x="781"/>
        <item x="792"/>
        <item x="469"/>
        <item x="641"/>
        <item x="184"/>
        <item x="279"/>
        <item x="117"/>
        <item x="665"/>
        <item x="884"/>
        <item t="default"/>
      </items>
    </pivotField>
    <pivotField numFmtId="14" showAll="0"/>
    <pivotField axis="axisRow" showAll="0">
      <items count="13">
        <item x="1"/>
        <item x="5"/>
        <item x="6"/>
        <item x="9"/>
        <item x="4"/>
        <item x="3"/>
        <item x="11"/>
        <item x="7"/>
        <item x="8"/>
        <item x="10"/>
        <item x="0"/>
        <item x="2"/>
        <item t="default"/>
      </items>
    </pivotField>
    <pivotField showAll="0"/>
    <pivotField showAll="0"/>
    <pivotField showAll="0">
      <items count="4">
        <item x="2"/>
        <item x="1"/>
        <item x="0"/>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showAll="0"/>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 ID" fld="1" subtotal="count" baseField="0" baseItem="0"/>
    <dataField name="Sum of Amount"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27" format="10" series="1">
      <pivotArea type="data" outline="0" fieldPosition="0">
        <references count="1">
          <reference field="4294967294" count="1" selected="0">
            <x v="0"/>
          </reference>
        </references>
      </pivotArea>
    </chartFormat>
    <chartFormat chart="27"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D239E5-24F2-4AD3-9FC5-59885B9FBD4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21:F123" firstHeaderRow="1" firstDataRow="2" firstDataCol="1"/>
  <pivotFields count="18">
    <pivotField showAll="0"/>
    <pivotField showAll="0"/>
    <pivotField numFmtId="14" showAll="0"/>
    <pivotField showAll="0"/>
    <pivotField showAll="0"/>
    <pivotField showAll="0"/>
    <pivotField showAll="0"/>
    <pivotField axis="axisCol" showAll="0">
      <items count="4">
        <item x="1"/>
        <item x="2"/>
        <item x="0"/>
        <item t="default"/>
      </items>
    </pivotField>
    <pivotField showAll="0"/>
    <pivotField showAll="0"/>
    <pivotField showAll="0"/>
    <pivotField showAll="0"/>
    <pivotField showAll="0"/>
    <pivotField showAll="0"/>
    <pivotField dataField="1" showAll="0"/>
    <pivotField showAll="0"/>
    <pivotField showAll="0"/>
    <pivotField showAll="0"/>
  </pivotFields>
  <rowItems count="1">
    <i/>
  </rowItems>
  <colFields count="1">
    <field x="7"/>
  </colFields>
  <colItems count="4">
    <i>
      <x/>
    </i>
    <i>
      <x v="1"/>
    </i>
    <i>
      <x v="2"/>
    </i>
    <i t="grand">
      <x/>
    </i>
  </colItems>
  <dataFields count="1">
    <dataField name="Sum of Amount" fld="14" baseField="0" baseItem="0"/>
  </dataFields>
  <chartFormats count="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88EE8A-F34E-4277-9105-C831AA81E77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E3" firstHeaderRow="1" firstDataRow="2" firstDataCol="1"/>
  <pivotFields count="18">
    <pivotField showAll="0"/>
    <pivotField showAll="0"/>
    <pivotField numFmtId="14" showAll="0"/>
    <pivotField showAll="0">
      <items count="13">
        <item x="7"/>
        <item x="4"/>
        <item x="0"/>
        <item x="8"/>
        <item x="9"/>
        <item x="6"/>
        <item x="10"/>
        <item x="3"/>
        <item x="2"/>
        <item x="5"/>
        <item x="1"/>
        <item x="11"/>
        <item t="default"/>
      </items>
    </pivotField>
    <pivotField showAll="0"/>
    <pivotField showAll="0"/>
    <pivotField showAll="0"/>
    <pivotField axis="axisCol" showAll="0">
      <items count="4">
        <item x="1"/>
        <item x="2"/>
        <item x="0"/>
        <item t="default"/>
      </items>
    </pivotField>
    <pivotField showAll="0"/>
    <pivotField showAll="0"/>
    <pivotField showAll="0">
      <items count="9">
        <item x="7"/>
        <item x="5"/>
        <item x="4"/>
        <item x="1"/>
        <item x="6"/>
        <item x="0"/>
        <item x="3"/>
        <item x="2"/>
        <item t="default"/>
      </items>
    </pivotField>
    <pivotField showAll="0"/>
    <pivotField showAll="0"/>
    <pivotField showAll="0"/>
    <pivotField dataField="1" showAll="0"/>
    <pivotField showAll="0"/>
    <pivotField showAll="0"/>
    <pivotField showAll="0"/>
  </pivotFields>
  <rowItems count="1">
    <i/>
  </rowItems>
  <colFields count="1">
    <field x="7"/>
  </colFields>
  <colItems count="4">
    <i>
      <x/>
    </i>
    <i>
      <x v="1"/>
    </i>
    <i>
      <x v="2"/>
    </i>
    <i t="grand">
      <x/>
    </i>
  </colItems>
  <dataFields count="1">
    <dataField name="Sum of Amount" fld="14" baseField="0" baseItem="0"/>
  </dataFields>
  <chartFormats count="7">
    <chartFormat chart="0" format="16" series="1">
      <pivotArea type="data" outline="0" fieldPosition="0">
        <references count="1">
          <reference field="4294967294" count="1" selected="0">
            <x v="0"/>
          </reference>
        </references>
      </pivotArea>
    </chartFormat>
    <chartFormat chart="0" format="28" series="1">
      <pivotArea type="data" outline="0" fieldPosition="0">
        <references count="2">
          <reference field="4294967294" count="1" selected="0">
            <x v="0"/>
          </reference>
          <reference field="7" count="1" selected="0">
            <x v="1"/>
          </reference>
        </references>
      </pivotArea>
    </chartFormat>
    <chartFormat chart="0" format="29" series="1">
      <pivotArea type="data" outline="0" fieldPosition="0">
        <references count="2">
          <reference field="4294967294" count="1" selected="0">
            <x v="0"/>
          </reference>
          <reference field="7" count="1" selected="0">
            <x v="2"/>
          </reference>
        </references>
      </pivotArea>
    </chartFormat>
    <chartFormat chart="21" format="33" series="1">
      <pivotArea type="data" outline="0" fieldPosition="0">
        <references count="2">
          <reference field="4294967294" count="1" selected="0">
            <x v="0"/>
          </reference>
          <reference field="7" count="1" selected="0">
            <x v="0"/>
          </reference>
        </references>
      </pivotArea>
    </chartFormat>
    <chartFormat chart="21" format="34" series="1">
      <pivotArea type="data" outline="0" fieldPosition="0">
        <references count="2">
          <reference field="4294967294" count="1" selected="0">
            <x v="0"/>
          </reference>
          <reference field="7" count="1" selected="0">
            <x v="1"/>
          </reference>
        </references>
      </pivotArea>
    </chartFormat>
    <chartFormat chart="21" format="35" series="1">
      <pivotArea type="data" outline="0" fieldPosition="0">
        <references count="2">
          <reference field="4294967294" count="1" selected="0">
            <x v="0"/>
          </reference>
          <reference field="7" count="1" selected="0">
            <x v="2"/>
          </reference>
        </references>
      </pivotArea>
    </chartFormat>
    <chartFormat chart="0" format="31"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2F56738-1497-42A2-9E74-86D9C8B209A9}" sourceName="Month">
  <pivotTables>
    <pivotTable tabId="4" name="PivotTable1"/>
    <pivotTable tabId="4" name="PivotTable3"/>
    <pivotTable tabId="4" name="PivotTable4"/>
    <pivotTable tabId="4" name="PivotTable5"/>
    <pivotTable tabId="4" name="PivotTable6"/>
    <pivotTable tabId="4" name="PivotTable7"/>
  </pivotTables>
  <data>
    <tabular pivotCacheId="217057053">
      <items count="12">
        <i x="1" s="1"/>
        <i x="5" s="1"/>
        <i x="6" s="1"/>
        <i x="9" s="1"/>
        <i x="4" s="1"/>
        <i x="3" s="1"/>
        <i x="11" s="1"/>
        <i x="7" s="1"/>
        <i x="8" s="1"/>
        <i x="10"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E0AD3A2-2A13-4EE9-AF9B-662E34DDDAFA}" sourceName="Sales Channel">
  <pivotTables>
    <pivotTable tabId="4" name="PivotTable6"/>
    <pivotTable tabId="4" name="PivotTable1"/>
    <pivotTable tabId="4" name="PivotTable3"/>
    <pivotTable tabId="4" name="PivotTable4"/>
    <pivotTable tabId="4" name="PivotTable5"/>
    <pivotTable tabId="4" name="PivotTable7"/>
  </pivotTables>
  <data>
    <tabular pivotCacheId="21705705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76E554-9DB3-4895-8E48-47EC6D48E427}" sourceName="Gender">
  <pivotTables>
    <pivotTable tabId="4" name="PivotTable7"/>
    <pivotTable tabId="4" name="PivotTable1"/>
    <pivotTable tabId="4" name="PivotTable3"/>
    <pivotTable tabId="4" name="PivotTable4"/>
    <pivotTable tabId="4" name="PivotTable5"/>
    <pivotTable tabId="4" name="PivotTable6"/>
  </pivotTables>
  <data>
    <tabular pivotCacheId="2170570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2E65EF9F-4DF2-42CC-A32F-4EBEF9CC23FF}" sourceName="Sales Channel">
  <pivotTables>
    <pivotTable tabId="6" name="PivotTable1"/>
  </pivotTables>
  <data>
    <tabular pivotCacheId="143739122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F070261-2636-4A95-AA54-CA07447C4517}" cache="Slicer_Month" caption="Month" columnCount="2" rowHeight="241300"/>
  <slicer name="Sales Channel" xr10:uid="{C80C1645-4C70-4E6C-AF9D-A68A3AA3E088}" cache="Slicer_Sales_Channel" caption="Sales Channel" columnCount="3" rowHeight="241300"/>
  <slicer name="Gender" xr10:uid="{8DD95282-83D9-4D0F-A17A-D4CFB6E0A966}"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4FCE0141-269E-41E7-9540-A48D3E56B53C}" cache="Slicer_Month" caption="Month" columnCount="2" rowHeight="241300"/>
  <slicer name="Sales Channel 2" xr10:uid="{01224419-FF3F-4329-A000-1174D716FF71}" cache="Slicer_Sales_Channel" caption="Sales Channel" columnCoun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FF9E1A6-0F1F-4BA6-A812-F7B330432E8D}" cache="Slicer_Month" caption="Month" columnCount="9" style="SlicerStyleLight2" rowHeight="241300"/>
  <slicer name="Sales Channel 1" xr10:uid="{7640DAE3-0E97-4B7B-B6EE-4A43E5501A04}" cache="Slicer_Sales_Channel" caption="Sales Channel" columnCount="3"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3" xr10:uid="{D355E6D8-A830-45E4-A3E8-6143752DE0DF}" cache="Slicer_Sales_Channel1" caption="Sales 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4879F7-89DC-4E58-B5BC-9EA13EF65267}" name="Table1" displayName="Table1" ref="A1:R1000" totalsRowShown="0">
  <autoFilter ref="A1:R1000" xr:uid="{944879F7-89DC-4E58-B5BC-9EA13EF65267}"/>
  <tableColumns count="18">
    <tableColumn id="1" xr3:uid="{589B4B56-2235-4863-9C8A-B3FE517D4ED2}" name="index"/>
    <tableColumn id="2" xr3:uid="{374B8979-28D7-439C-938B-1DBA10DEBE93}" name="Order ID"/>
    <tableColumn id="3" xr3:uid="{E7998047-4F9D-4FC8-A9D3-A3254CF1AE55}" name="Date" dataDxfId="0">
      <calculatedColumnFormula>RANDBETWEEN(DATE(2023,1,1), DATE(2024,12,31))</calculatedColumnFormula>
    </tableColumn>
    <tableColumn id="4" xr3:uid="{642BBEEF-588D-4928-B383-674111B2D2DC}" name="Month">
      <calculatedColumnFormula>TEXT(C2, "MMMM")</calculatedColumnFormula>
    </tableColumn>
    <tableColumn id="5" xr3:uid="{93C117BA-77C4-45A3-BE64-FB062B7226D5}" name="Status"/>
    <tableColumn id="6" xr3:uid="{F8CB7D2F-63A1-487B-A58A-C77DB39D1881}" name="Fulfilment"/>
    <tableColumn id="7" xr3:uid="{720663C0-23B7-4F4E-A7A6-44780648B84F}" name="Gender">
      <calculatedColumnFormula>IF(K2="Set","Women",IF(K2="Kurta","Men",IF(K2="Top","Women",IF(K2="Western Dress","Women",IF(K2="Ethnic Dress","Women",IF(K2="Saree","Women",0))))))</calculatedColumnFormula>
    </tableColumn>
    <tableColumn id="8" xr3:uid="{ABB1F064-1CE2-4FC4-A816-ED89D6650157}" name="Sales Channel">
      <calculatedColumnFormula>IF(F2="Merchant",IF(RAND()&gt;0.5,"Myntra","Flipkart"),IF(F2="Amazon","Amazon",0))</calculatedColumnFormula>
    </tableColumn>
    <tableColumn id="9" xr3:uid="{FF6971B1-7007-41AD-8353-56101A4FB1CE}" name="Age">
      <calculatedColumnFormula>RANDBETWEEN(18, 60)</calculatedColumnFormula>
    </tableColumn>
    <tableColumn id="10" xr3:uid="{9A3D5629-B828-4C20-829A-28EB5A81359A}" name="SKU"/>
    <tableColumn id="11" xr3:uid="{75D29B30-01E5-46AC-8F3A-21DE60BDBF76}" name="Category"/>
    <tableColumn id="12" xr3:uid="{2056E259-1377-430D-B739-16C7F8F6BF2C}" name="Size"/>
    <tableColumn id="13" xr3:uid="{4D8B8FF9-06E5-41E3-B7B2-49F78A4C7DBC}" name="Qty"/>
    <tableColumn id="14" xr3:uid="{9DE7E454-5951-40DC-AD7B-1D783449733A}" name="currency"/>
    <tableColumn id="15" xr3:uid="{DF4A80F0-C269-48D5-A0DD-AAB39F5D28D9}" name="Amount"/>
    <tableColumn id="16" xr3:uid="{3168E527-A1A6-4300-83BC-D0552BBB8279}" name="ship-city"/>
    <tableColumn id="17" xr3:uid="{5C0994CC-4517-48E8-A424-C30935964151}" name="ship-state"/>
    <tableColumn id="18" xr3:uid="{29BFEFA0-D563-4F2D-BC05-4C153050FF93}" name="ship-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EADA-5118-4447-B5D0-07734831FEF9}">
  <dimension ref="A1:Y26"/>
  <sheetViews>
    <sheetView zoomScale="79" workbookViewId="0">
      <selection activeCell="AB6" sqref="AB6"/>
    </sheetView>
  </sheetViews>
  <sheetFormatPr defaultRowHeight="14.5" x14ac:dyDescent="0.35"/>
  <sheetData>
    <row r="1" spans="1:25" ht="23.5" x14ac:dyDescent="0.55000000000000004">
      <c r="A1" s="6"/>
      <c r="B1" s="6"/>
      <c r="C1" s="6"/>
      <c r="D1" s="6"/>
      <c r="E1" s="6"/>
      <c r="F1" s="6"/>
      <c r="G1" s="6"/>
      <c r="H1" s="6"/>
      <c r="I1" s="6"/>
      <c r="J1" s="6"/>
      <c r="K1" s="6"/>
      <c r="L1" s="6"/>
      <c r="M1" s="6"/>
      <c r="N1" s="6"/>
      <c r="O1" s="6"/>
      <c r="P1" s="6"/>
      <c r="Q1" s="6"/>
      <c r="R1" s="6"/>
      <c r="S1" s="6"/>
      <c r="T1" s="6"/>
      <c r="U1" s="6"/>
      <c r="V1" s="6"/>
      <c r="W1" s="6"/>
      <c r="X1" s="6"/>
      <c r="Y1" s="6"/>
    </row>
    <row r="2" spans="1:25" x14ac:dyDescent="0.35">
      <c r="A2" s="2"/>
      <c r="B2" s="2"/>
      <c r="C2" s="2"/>
      <c r="D2" s="2"/>
      <c r="E2" s="2"/>
      <c r="F2" s="2"/>
      <c r="G2" s="2"/>
      <c r="H2" s="2"/>
      <c r="I2" s="2"/>
      <c r="J2" s="2"/>
      <c r="K2" s="2"/>
      <c r="L2" s="2"/>
      <c r="M2" s="2"/>
      <c r="N2" s="2"/>
      <c r="O2" s="2"/>
      <c r="P2" s="2"/>
      <c r="Q2" s="2"/>
      <c r="R2" s="2"/>
      <c r="S2" s="2"/>
      <c r="T2" s="2"/>
      <c r="U2" s="2"/>
      <c r="V2" s="2"/>
      <c r="W2" s="2"/>
      <c r="X2" s="2"/>
      <c r="Y2" s="2"/>
    </row>
    <row r="3" spans="1:25" x14ac:dyDescent="0.35">
      <c r="A3" s="2"/>
      <c r="B3" s="2"/>
      <c r="C3" s="2"/>
      <c r="D3" s="2"/>
      <c r="E3" s="2"/>
      <c r="F3" s="2"/>
      <c r="G3" s="2"/>
      <c r="H3" s="2"/>
      <c r="I3" s="2"/>
      <c r="J3" s="2"/>
      <c r="K3" s="2"/>
      <c r="L3" s="2"/>
      <c r="M3" s="2"/>
      <c r="N3" s="2"/>
      <c r="O3" s="2"/>
      <c r="P3" s="2"/>
      <c r="Q3" s="2"/>
      <c r="R3" s="2"/>
      <c r="S3" s="2"/>
      <c r="T3" s="2"/>
      <c r="U3" s="2"/>
      <c r="V3" s="2"/>
      <c r="W3" s="2"/>
      <c r="X3" s="2"/>
      <c r="Y3" s="2"/>
    </row>
    <row r="4" spans="1:25" x14ac:dyDescent="0.35">
      <c r="A4" s="2"/>
      <c r="B4" s="2"/>
      <c r="C4" s="2"/>
      <c r="D4" s="2"/>
      <c r="E4" s="2"/>
      <c r="F4" s="2"/>
      <c r="G4" s="2"/>
      <c r="H4" s="2"/>
      <c r="I4" s="2"/>
      <c r="J4" s="2"/>
      <c r="K4" s="2"/>
      <c r="L4" s="2"/>
      <c r="M4" s="2"/>
      <c r="N4" s="2"/>
      <c r="O4" s="2"/>
      <c r="P4" s="2"/>
      <c r="Q4" s="2"/>
      <c r="R4" s="2"/>
      <c r="S4" s="2"/>
      <c r="T4" s="2"/>
      <c r="U4" s="2"/>
      <c r="V4" s="2"/>
      <c r="W4" s="2"/>
      <c r="X4" s="2"/>
      <c r="Y4" s="2"/>
    </row>
    <row r="5" spans="1:25" x14ac:dyDescent="0.35">
      <c r="A5" s="2"/>
      <c r="B5" s="2"/>
      <c r="C5" s="2"/>
      <c r="D5" s="2"/>
      <c r="E5" s="2"/>
      <c r="F5" s="2"/>
      <c r="G5" s="2"/>
      <c r="H5" s="2"/>
      <c r="I5" s="2"/>
      <c r="J5" s="2"/>
      <c r="K5" s="2"/>
      <c r="L5" s="2"/>
      <c r="M5" s="2"/>
      <c r="N5" s="2"/>
      <c r="O5" s="2"/>
      <c r="P5" s="2"/>
      <c r="Q5" s="2"/>
      <c r="R5" s="2"/>
      <c r="S5" s="2"/>
      <c r="T5" s="2"/>
      <c r="U5" s="2"/>
      <c r="V5" s="2"/>
      <c r="W5" s="2"/>
      <c r="X5" s="2"/>
      <c r="Y5" s="2"/>
    </row>
    <row r="6" spans="1:25" x14ac:dyDescent="0.35">
      <c r="A6" s="2"/>
      <c r="B6" s="2"/>
      <c r="C6" s="2"/>
      <c r="D6" s="2"/>
      <c r="E6" s="2"/>
      <c r="F6" s="2"/>
      <c r="G6" s="2"/>
      <c r="H6" s="2"/>
      <c r="I6" s="2"/>
      <c r="J6" s="2"/>
      <c r="K6" s="2"/>
      <c r="L6" s="2"/>
      <c r="M6" s="2"/>
      <c r="N6" s="2"/>
      <c r="O6" s="2"/>
      <c r="P6" s="2"/>
      <c r="Q6" s="2"/>
      <c r="R6" s="2"/>
      <c r="S6" s="2"/>
      <c r="T6" s="2"/>
      <c r="U6" s="2"/>
      <c r="V6" s="2"/>
      <c r="W6" s="2"/>
      <c r="X6" s="2"/>
      <c r="Y6" s="2"/>
    </row>
    <row r="7" spans="1:25" x14ac:dyDescent="0.35">
      <c r="A7" s="2"/>
      <c r="B7" s="2"/>
      <c r="C7" s="2"/>
      <c r="D7" s="2"/>
      <c r="E7" s="2"/>
      <c r="F7" s="2"/>
      <c r="G7" s="2"/>
      <c r="H7" s="2"/>
      <c r="I7" s="2"/>
      <c r="J7" s="2"/>
      <c r="K7" s="2"/>
      <c r="L7" s="2"/>
      <c r="M7" s="2"/>
      <c r="N7" s="2"/>
      <c r="O7" s="2"/>
      <c r="P7" s="2"/>
      <c r="Q7" s="2"/>
      <c r="R7" s="2"/>
      <c r="S7" s="2"/>
      <c r="T7" s="2"/>
      <c r="U7" s="2"/>
      <c r="V7" s="2"/>
      <c r="W7" s="2"/>
      <c r="X7" s="2"/>
      <c r="Y7" s="2"/>
    </row>
    <row r="8" spans="1:25" x14ac:dyDescent="0.35">
      <c r="A8" s="2"/>
      <c r="B8" s="2"/>
      <c r="C8" s="2"/>
      <c r="D8" s="2"/>
      <c r="E8" s="2"/>
      <c r="F8" s="2"/>
      <c r="G8" s="2"/>
      <c r="H8" s="2"/>
      <c r="I8" s="2"/>
      <c r="J8" s="2"/>
      <c r="K8" s="2"/>
      <c r="L8" s="2"/>
      <c r="M8" s="2"/>
      <c r="N8" s="2"/>
      <c r="O8" s="2"/>
      <c r="P8" s="2"/>
      <c r="Q8" s="2"/>
      <c r="R8" s="2"/>
      <c r="S8" s="2"/>
      <c r="T8" s="2"/>
      <c r="U8" s="2"/>
      <c r="V8" s="2"/>
      <c r="W8" s="2"/>
      <c r="X8" s="2"/>
      <c r="Y8" s="2"/>
    </row>
    <row r="9" spans="1:25" x14ac:dyDescent="0.35">
      <c r="A9" s="2"/>
      <c r="B9" s="2"/>
      <c r="C9" s="2"/>
      <c r="D9" s="2"/>
      <c r="E9" s="2"/>
      <c r="F9" s="2"/>
      <c r="G9" s="2"/>
      <c r="H9" s="2"/>
      <c r="I9" s="2"/>
      <c r="J9" s="2"/>
      <c r="K9" s="2"/>
      <c r="L9" s="2"/>
      <c r="M9" s="2"/>
      <c r="N9" s="2"/>
      <c r="O9" s="2"/>
      <c r="P9" s="2"/>
      <c r="Q9" s="2"/>
      <c r="R9" s="2"/>
      <c r="S9" s="2"/>
      <c r="T9" s="2"/>
      <c r="U9" s="2"/>
      <c r="V9" s="2"/>
      <c r="W9" s="2"/>
      <c r="X9" s="2"/>
      <c r="Y9" s="2"/>
    </row>
    <row r="10" spans="1:25" x14ac:dyDescent="0.35">
      <c r="A10" s="2"/>
      <c r="B10" s="2"/>
      <c r="C10" s="2"/>
      <c r="D10" s="2"/>
      <c r="E10" s="2"/>
      <c r="F10" s="2"/>
      <c r="G10" s="2"/>
      <c r="H10" s="2"/>
      <c r="I10" s="2"/>
      <c r="J10" s="2"/>
      <c r="K10" s="2"/>
      <c r="L10" s="2"/>
      <c r="M10" s="2"/>
      <c r="N10" s="2"/>
      <c r="O10" s="2"/>
      <c r="P10" s="2"/>
      <c r="Q10" s="2"/>
      <c r="R10" s="2"/>
      <c r="S10" s="2"/>
      <c r="T10" s="2"/>
      <c r="U10" s="2"/>
      <c r="V10" s="2"/>
      <c r="W10" s="2"/>
      <c r="X10" s="2"/>
      <c r="Y10" s="2"/>
    </row>
    <row r="11" spans="1:25" x14ac:dyDescent="0.35">
      <c r="A11" s="2"/>
      <c r="B11" s="2"/>
      <c r="C11" s="2"/>
      <c r="D11" s="2"/>
      <c r="E11" s="2"/>
      <c r="F11" s="2"/>
      <c r="G11" s="2"/>
      <c r="H11" s="2"/>
      <c r="I11" s="2"/>
      <c r="J11" s="2"/>
      <c r="K11" s="2"/>
      <c r="L11" s="2"/>
      <c r="M11" s="2"/>
      <c r="N11" s="2"/>
      <c r="O11" s="2"/>
      <c r="P11" s="2"/>
      <c r="Q11" s="2"/>
      <c r="R11" s="2"/>
      <c r="S11" s="2"/>
      <c r="T11" s="2"/>
      <c r="U11" s="2"/>
      <c r="V11" s="2"/>
      <c r="W11" s="2"/>
      <c r="X11" s="2"/>
      <c r="Y11" s="2"/>
    </row>
    <row r="12" spans="1:25" x14ac:dyDescent="0.35">
      <c r="A12" s="2"/>
      <c r="B12" s="2"/>
      <c r="C12" s="2"/>
      <c r="D12" s="2"/>
      <c r="E12" s="2"/>
      <c r="F12" s="2"/>
      <c r="G12" s="2"/>
      <c r="H12" s="2"/>
      <c r="I12" s="2"/>
      <c r="J12" s="2"/>
      <c r="K12" s="2"/>
      <c r="L12" s="2"/>
      <c r="M12" s="2"/>
      <c r="N12" s="2"/>
      <c r="O12" s="2"/>
      <c r="P12" s="2"/>
      <c r="Q12" s="2"/>
      <c r="R12" s="2"/>
      <c r="S12" s="2"/>
      <c r="T12" s="2"/>
      <c r="U12" s="2"/>
      <c r="V12" s="2"/>
      <c r="W12" s="2"/>
      <c r="X12" s="2"/>
      <c r="Y12" s="2"/>
    </row>
    <row r="13" spans="1:25" x14ac:dyDescent="0.35">
      <c r="A13" s="2"/>
      <c r="B13" s="2"/>
      <c r="C13" s="2"/>
      <c r="D13" s="2"/>
      <c r="E13" s="2"/>
      <c r="F13" s="2"/>
      <c r="G13" s="2"/>
      <c r="H13" s="2"/>
      <c r="I13" s="2"/>
      <c r="J13" s="2"/>
      <c r="K13" s="2"/>
      <c r="L13" s="2"/>
      <c r="M13" s="2"/>
      <c r="N13" s="2"/>
      <c r="O13" s="2"/>
      <c r="P13" s="2"/>
      <c r="Q13" s="2"/>
      <c r="R13" s="2"/>
      <c r="S13" s="2"/>
      <c r="T13" s="2"/>
      <c r="U13" s="2"/>
      <c r="V13" s="2"/>
      <c r="W13" s="2"/>
      <c r="X13" s="2"/>
      <c r="Y13" s="2"/>
    </row>
    <row r="14" spans="1:25" x14ac:dyDescent="0.35">
      <c r="A14" s="2"/>
      <c r="B14" s="2"/>
      <c r="C14" s="2"/>
      <c r="D14" s="2"/>
      <c r="E14" s="2"/>
      <c r="F14" s="2"/>
      <c r="G14" s="2"/>
      <c r="H14" s="2"/>
      <c r="I14" s="2"/>
      <c r="J14" s="2"/>
      <c r="K14" s="2"/>
      <c r="L14" s="2"/>
      <c r="M14" s="2"/>
      <c r="N14" s="2"/>
      <c r="O14" s="2"/>
      <c r="P14" s="2"/>
      <c r="Q14" s="2"/>
      <c r="R14" s="2"/>
      <c r="S14" s="2"/>
      <c r="T14" s="2"/>
      <c r="U14" s="2"/>
      <c r="V14" s="2"/>
      <c r="W14" s="2"/>
      <c r="X14" s="2"/>
      <c r="Y14" s="2"/>
    </row>
    <row r="15" spans="1:25" x14ac:dyDescent="0.35">
      <c r="A15" s="2"/>
      <c r="B15" s="2"/>
      <c r="C15" s="2"/>
      <c r="D15" s="2"/>
      <c r="E15" s="2"/>
      <c r="F15" s="2"/>
      <c r="G15" s="2"/>
      <c r="H15" s="2"/>
      <c r="I15" s="2"/>
      <c r="J15" s="2"/>
      <c r="K15" s="2"/>
      <c r="L15" s="2"/>
      <c r="M15" s="2"/>
      <c r="N15" s="2"/>
      <c r="O15" s="2"/>
      <c r="P15" s="2"/>
      <c r="Q15" s="2"/>
      <c r="R15" s="2"/>
      <c r="S15" s="2"/>
      <c r="T15" s="2"/>
      <c r="U15" s="2"/>
      <c r="V15" s="2"/>
      <c r="W15" s="2"/>
      <c r="X15" s="2"/>
      <c r="Y15" s="2"/>
    </row>
    <row r="16" spans="1:25" x14ac:dyDescent="0.35">
      <c r="A16" s="2"/>
      <c r="B16" s="2"/>
      <c r="C16" s="2"/>
      <c r="D16" s="2"/>
      <c r="E16" s="2"/>
      <c r="F16" s="2"/>
      <c r="G16" s="2"/>
      <c r="H16" s="2"/>
      <c r="I16" s="2"/>
      <c r="J16" s="2"/>
      <c r="K16" s="2"/>
      <c r="L16" s="2"/>
      <c r="M16" s="2"/>
      <c r="N16" s="2"/>
      <c r="O16" s="2"/>
      <c r="P16" s="2"/>
      <c r="Q16" s="2"/>
      <c r="R16" s="2"/>
      <c r="S16" s="2"/>
      <c r="T16" s="2"/>
      <c r="U16" s="2"/>
      <c r="V16" s="2"/>
      <c r="W16" s="2"/>
      <c r="X16" s="2"/>
      <c r="Y16" s="2"/>
    </row>
    <row r="17" spans="1:25" x14ac:dyDescent="0.35">
      <c r="A17" s="2"/>
      <c r="B17" s="2"/>
      <c r="C17" s="2"/>
      <c r="D17" s="2"/>
      <c r="E17" s="2"/>
      <c r="F17" s="2"/>
      <c r="G17" s="2"/>
      <c r="H17" s="2"/>
      <c r="I17" s="2"/>
      <c r="J17" s="2"/>
      <c r="K17" s="2"/>
      <c r="L17" s="2"/>
      <c r="M17" s="2"/>
      <c r="N17" s="2"/>
      <c r="O17" s="2"/>
      <c r="P17" s="2"/>
      <c r="Q17" s="2"/>
      <c r="R17" s="2"/>
      <c r="S17" s="2"/>
      <c r="T17" s="2"/>
      <c r="U17" s="2"/>
      <c r="V17" s="2"/>
      <c r="W17" s="2"/>
      <c r="X17" s="2"/>
      <c r="Y17" s="2"/>
    </row>
    <row r="18" spans="1:25" x14ac:dyDescent="0.35">
      <c r="A18" s="2"/>
      <c r="B18" s="2"/>
      <c r="C18" s="2"/>
      <c r="D18" s="2"/>
      <c r="E18" s="2"/>
      <c r="F18" s="2"/>
      <c r="G18" s="2"/>
      <c r="H18" s="2"/>
      <c r="I18" s="2"/>
      <c r="J18" s="2"/>
      <c r="K18" s="2"/>
      <c r="L18" s="2"/>
      <c r="M18" s="2"/>
      <c r="N18" s="2"/>
      <c r="O18" s="2"/>
      <c r="P18" s="2"/>
      <c r="Q18" s="2"/>
      <c r="R18" s="2"/>
      <c r="S18" s="2"/>
      <c r="T18" s="2"/>
      <c r="U18" s="2"/>
      <c r="V18" s="2"/>
      <c r="W18" s="2"/>
      <c r="X18" s="2"/>
      <c r="Y18" s="2"/>
    </row>
    <row r="19" spans="1:25" x14ac:dyDescent="0.35">
      <c r="A19" s="2"/>
      <c r="B19" s="2"/>
      <c r="C19" s="2"/>
      <c r="D19" s="2"/>
      <c r="E19" s="2"/>
      <c r="F19" s="2"/>
      <c r="G19" s="2"/>
      <c r="H19" s="2"/>
      <c r="I19" s="2"/>
      <c r="J19" s="2"/>
      <c r="K19" s="2"/>
      <c r="L19" s="2"/>
      <c r="M19" s="2"/>
      <c r="N19" s="2"/>
      <c r="O19" s="2"/>
      <c r="P19" s="2"/>
      <c r="Q19" s="2"/>
      <c r="R19" s="2"/>
      <c r="S19" s="2"/>
      <c r="T19" s="2"/>
      <c r="U19" s="2"/>
      <c r="V19" s="2"/>
      <c r="W19" s="2"/>
      <c r="X19" s="2"/>
      <c r="Y19" s="2"/>
    </row>
    <row r="20" spans="1:25" x14ac:dyDescent="0.35">
      <c r="A20" s="2"/>
      <c r="B20" s="2"/>
      <c r="C20" s="2"/>
      <c r="D20" s="2"/>
      <c r="E20" s="2"/>
      <c r="F20" s="2"/>
      <c r="G20" s="2"/>
      <c r="H20" s="2"/>
      <c r="I20" s="2"/>
      <c r="J20" s="2"/>
      <c r="K20" s="2"/>
      <c r="L20" s="2"/>
      <c r="M20" s="2"/>
      <c r="N20" s="2"/>
      <c r="O20" s="2"/>
      <c r="P20" s="2"/>
      <c r="Q20" s="2"/>
      <c r="R20" s="2"/>
      <c r="S20" s="2"/>
      <c r="T20" s="2"/>
      <c r="U20" s="2"/>
      <c r="V20" s="2"/>
      <c r="W20" s="2"/>
      <c r="X20" s="2"/>
      <c r="Y20" s="2"/>
    </row>
    <row r="21" spans="1:25" x14ac:dyDescent="0.35">
      <c r="A21" s="2"/>
      <c r="B21" s="2"/>
      <c r="C21" s="2"/>
      <c r="D21" s="2"/>
      <c r="E21" s="2"/>
      <c r="F21" s="2"/>
      <c r="G21" s="2"/>
      <c r="H21" s="2"/>
      <c r="I21" s="2"/>
      <c r="J21" s="2"/>
      <c r="K21" s="2"/>
      <c r="L21" s="2"/>
      <c r="M21" s="2"/>
      <c r="N21" s="2"/>
      <c r="O21" s="2"/>
      <c r="P21" s="2"/>
      <c r="Q21" s="2"/>
      <c r="R21" s="2"/>
      <c r="S21" s="2"/>
      <c r="T21" s="2"/>
      <c r="U21" s="2"/>
      <c r="V21" s="2"/>
      <c r="W21" s="2"/>
      <c r="X21" s="2"/>
      <c r="Y21" s="2"/>
    </row>
    <row r="22" spans="1:25" x14ac:dyDescent="0.35">
      <c r="A22" s="2"/>
      <c r="B22" s="2"/>
      <c r="C22" s="2"/>
      <c r="D22" s="2"/>
      <c r="E22" s="2"/>
      <c r="F22" s="2"/>
      <c r="G22" s="2"/>
      <c r="H22" s="2"/>
      <c r="I22" s="2"/>
      <c r="J22" s="2"/>
      <c r="K22" s="2"/>
      <c r="L22" s="2"/>
      <c r="M22" s="2"/>
      <c r="N22" s="2"/>
      <c r="O22" s="2"/>
      <c r="P22" s="2"/>
      <c r="Q22" s="2"/>
      <c r="R22" s="2"/>
      <c r="S22" s="2"/>
      <c r="T22" s="2"/>
      <c r="U22" s="2"/>
      <c r="V22" s="2"/>
      <c r="W22" s="2"/>
      <c r="X22" s="2"/>
      <c r="Y22" s="2"/>
    </row>
    <row r="23" spans="1:25" x14ac:dyDescent="0.35">
      <c r="A23" s="2"/>
      <c r="B23" s="2"/>
      <c r="C23" s="2"/>
      <c r="D23" s="2"/>
      <c r="E23" s="2"/>
      <c r="F23" s="2"/>
      <c r="G23" s="2"/>
      <c r="H23" s="2"/>
      <c r="I23" s="2"/>
      <c r="J23" s="2"/>
      <c r="K23" s="2"/>
      <c r="L23" s="2"/>
      <c r="M23" s="2"/>
      <c r="N23" s="2"/>
      <c r="O23" s="2"/>
      <c r="P23" s="2"/>
      <c r="Q23" s="2"/>
      <c r="R23" s="2"/>
      <c r="S23" s="2"/>
      <c r="T23" s="2"/>
      <c r="U23" s="2"/>
      <c r="V23" s="2"/>
      <c r="W23" s="2"/>
      <c r="X23" s="2"/>
      <c r="Y23" s="2"/>
    </row>
    <row r="24" spans="1:25" x14ac:dyDescent="0.35">
      <c r="A24" s="2"/>
      <c r="B24" s="2"/>
      <c r="C24" s="2"/>
      <c r="D24" s="2"/>
      <c r="E24" s="2"/>
      <c r="F24" s="2"/>
      <c r="G24" s="2"/>
      <c r="H24" s="2"/>
      <c r="I24" s="2"/>
      <c r="J24" s="2"/>
      <c r="K24" s="2"/>
      <c r="L24" s="2"/>
      <c r="M24" s="2"/>
      <c r="N24" s="2"/>
      <c r="O24" s="2"/>
      <c r="P24" s="2"/>
      <c r="Q24" s="2"/>
      <c r="R24" s="2"/>
      <c r="S24" s="2"/>
      <c r="T24" s="2"/>
      <c r="U24" s="2"/>
      <c r="V24" s="2"/>
      <c r="W24" s="2"/>
      <c r="X24" s="2"/>
      <c r="Y24" s="2"/>
    </row>
    <row r="25" spans="1:25" x14ac:dyDescent="0.35">
      <c r="A25" s="2"/>
      <c r="B25" s="2"/>
      <c r="C25" s="2"/>
      <c r="D25" s="2"/>
      <c r="E25" s="2"/>
      <c r="F25" s="2"/>
      <c r="G25" s="2"/>
      <c r="H25" s="2"/>
      <c r="I25" s="2"/>
      <c r="J25" s="2"/>
      <c r="K25" s="2"/>
      <c r="L25" s="2"/>
      <c r="M25" s="2"/>
      <c r="N25" s="2"/>
      <c r="O25" s="2"/>
      <c r="P25" s="2"/>
      <c r="Q25" s="2"/>
      <c r="R25" s="2"/>
      <c r="S25" s="2"/>
      <c r="T25" s="2"/>
      <c r="U25" s="2"/>
      <c r="V25" s="2"/>
      <c r="W25" s="2"/>
      <c r="X25" s="2"/>
      <c r="Y25" s="2"/>
    </row>
    <row r="26" spans="1:25" x14ac:dyDescent="0.35">
      <c r="A26" s="2"/>
      <c r="B26" s="2"/>
      <c r="C26" s="2"/>
      <c r="D26" s="2"/>
      <c r="E26" s="2"/>
      <c r="F26" s="2"/>
      <c r="G26" s="2"/>
      <c r="H26" s="2"/>
      <c r="I26" s="2"/>
      <c r="J26" s="2"/>
      <c r="K26" s="2"/>
      <c r="L26" s="2"/>
      <c r="M26" s="2"/>
      <c r="N26" s="2"/>
      <c r="O26" s="2"/>
      <c r="P26" s="2"/>
      <c r="Q26" s="2"/>
      <c r="R26" s="2"/>
      <c r="S26" s="2"/>
      <c r="T26" s="2"/>
      <c r="U26" s="2"/>
      <c r="V26" s="2"/>
      <c r="W26" s="2"/>
      <c r="X26" s="2"/>
      <c r="Y26" s="2"/>
    </row>
  </sheetData>
  <mergeCells count="1">
    <mergeCell ref="A1:Y1"/>
  </mergeCells>
  <phoneticPr fontId="18"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3D697-6315-4EC4-9368-36E10B9A840F}">
  <dimension ref="A3:BM123"/>
  <sheetViews>
    <sheetView topLeftCell="B112" zoomScale="81" workbookViewId="0">
      <selection activeCell="L128" sqref="L128"/>
    </sheetView>
  </sheetViews>
  <sheetFormatPr defaultRowHeight="14.5" x14ac:dyDescent="0.35"/>
  <cols>
    <col min="1" max="1" width="13.1796875" bestFit="1" customWidth="1"/>
    <col min="2" max="2" width="16" bestFit="1" customWidth="1"/>
    <col min="3" max="3" width="14.54296875" bestFit="1" customWidth="1"/>
    <col min="4" max="5" width="9.08984375" bestFit="1" customWidth="1"/>
    <col min="6" max="6" width="10.90625" bestFit="1" customWidth="1"/>
    <col min="9" max="9" width="13.1796875" bestFit="1" customWidth="1"/>
    <col min="10" max="10" width="14.54296875" bestFit="1" customWidth="1"/>
    <col min="12" max="12" width="12.1796875" customWidth="1"/>
    <col min="32" max="32" width="24.7265625" bestFit="1" customWidth="1"/>
    <col min="33" max="33" width="16" bestFit="1" customWidth="1"/>
    <col min="42" max="42" width="14.54296875" bestFit="1" customWidth="1"/>
    <col min="43" max="43" width="16.26953125" bestFit="1" customWidth="1"/>
    <col min="44" max="44" width="8.08984375" bestFit="1" customWidth="1"/>
    <col min="45" max="45" width="9.08984375" bestFit="1" customWidth="1"/>
    <col min="46" max="46" width="10.90625" bestFit="1" customWidth="1"/>
    <col min="48" max="48" width="17.6328125" bestFit="1" customWidth="1"/>
    <col min="49" max="49" width="14.54296875" bestFit="1" customWidth="1"/>
    <col min="59" max="59" width="14.54296875" bestFit="1" customWidth="1"/>
    <col min="60" max="60" width="16.26953125" bestFit="1" customWidth="1"/>
    <col min="61" max="61" width="5.7265625" bestFit="1" customWidth="1"/>
    <col min="62" max="62" width="9.08984375" bestFit="1" customWidth="1"/>
    <col min="63" max="63" width="8.08984375" bestFit="1" customWidth="1"/>
    <col min="64" max="64" width="13.1796875" bestFit="1" customWidth="1"/>
    <col min="65" max="65" width="10.90625" bestFit="1" customWidth="1"/>
    <col min="66" max="66" width="8.08984375" bestFit="1" customWidth="1"/>
    <col min="67" max="67" width="13.1796875" bestFit="1" customWidth="1"/>
    <col min="68" max="68" width="10.90625" bestFit="1" customWidth="1"/>
    <col min="69" max="69" width="9.08984375" bestFit="1" customWidth="1"/>
    <col min="70" max="70" width="13.1796875" bestFit="1" customWidth="1"/>
    <col min="71" max="71" width="12.453125" bestFit="1" customWidth="1"/>
    <col min="72" max="72" width="10.90625" bestFit="1" customWidth="1"/>
  </cols>
  <sheetData>
    <row r="3" spans="1:49" x14ac:dyDescent="0.35">
      <c r="A3" s="3" t="s">
        <v>2056</v>
      </c>
      <c r="B3" t="s">
        <v>2055</v>
      </c>
      <c r="C3" t="s">
        <v>2058</v>
      </c>
    </row>
    <row r="4" spans="1:49" x14ac:dyDescent="0.35">
      <c r="A4" s="4" t="s">
        <v>2061</v>
      </c>
      <c r="B4" s="7">
        <v>78</v>
      </c>
      <c r="C4" s="7">
        <v>50366</v>
      </c>
      <c r="I4" s="3" t="s">
        <v>2056</v>
      </c>
      <c r="J4" t="s">
        <v>2058</v>
      </c>
    </row>
    <row r="5" spans="1:49" x14ac:dyDescent="0.35">
      <c r="A5" s="4" t="s">
        <v>2064</v>
      </c>
      <c r="B5" s="7">
        <v>70</v>
      </c>
      <c r="C5" s="7">
        <v>44258.799999999996</v>
      </c>
      <c r="I5" s="4">
        <v>0</v>
      </c>
      <c r="J5" s="7">
        <v>1125</v>
      </c>
    </row>
    <row r="6" spans="1:49" x14ac:dyDescent="0.35">
      <c r="A6" s="4" t="s">
        <v>2065</v>
      </c>
      <c r="B6" s="7">
        <v>77</v>
      </c>
      <c r="C6" s="7">
        <v>42388</v>
      </c>
      <c r="I6" s="4" t="s">
        <v>2059</v>
      </c>
      <c r="J6" s="7">
        <v>169278.06</v>
      </c>
      <c r="AF6" s="3" t="s">
        <v>2056</v>
      </c>
      <c r="AG6" t="s">
        <v>2055</v>
      </c>
    </row>
    <row r="7" spans="1:49" x14ac:dyDescent="0.35">
      <c r="A7" s="4" t="s">
        <v>2066</v>
      </c>
      <c r="B7" s="7">
        <v>101</v>
      </c>
      <c r="C7" s="7">
        <v>61968.159999999996</v>
      </c>
      <c r="I7" s="4" t="s">
        <v>2051</v>
      </c>
      <c r="J7" s="7">
        <v>414946.77</v>
      </c>
      <c r="AF7" s="4" t="s">
        <v>15</v>
      </c>
      <c r="AG7" s="7">
        <v>137</v>
      </c>
    </row>
    <row r="8" spans="1:49" x14ac:dyDescent="0.35">
      <c r="A8" s="4" t="s">
        <v>2067</v>
      </c>
      <c r="B8" s="7">
        <v>91</v>
      </c>
      <c r="C8" s="7">
        <v>46567.519999999997</v>
      </c>
      <c r="I8" s="4" t="s">
        <v>2057</v>
      </c>
      <c r="J8" s="7">
        <v>585349.83000000007</v>
      </c>
      <c r="AF8" s="4" t="s">
        <v>29</v>
      </c>
      <c r="AG8" s="7">
        <v>691</v>
      </c>
    </row>
    <row r="9" spans="1:49" x14ac:dyDescent="0.35">
      <c r="A9" s="4" t="s">
        <v>2068</v>
      </c>
      <c r="B9" s="7">
        <v>81</v>
      </c>
      <c r="C9" s="7">
        <v>49095.25</v>
      </c>
      <c r="AF9" s="4" t="s">
        <v>25</v>
      </c>
      <c r="AG9" s="7">
        <v>164</v>
      </c>
    </row>
    <row r="10" spans="1:49" x14ac:dyDescent="0.35">
      <c r="A10" s="4" t="s">
        <v>2069</v>
      </c>
      <c r="B10" s="7">
        <v>86</v>
      </c>
      <c r="C10" s="7">
        <v>46965.440000000002</v>
      </c>
      <c r="AF10" s="4" t="s">
        <v>1013</v>
      </c>
      <c r="AG10" s="7">
        <v>1</v>
      </c>
    </row>
    <row r="11" spans="1:49" x14ac:dyDescent="0.35">
      <c r="A11" s="4" t="s">
        <v>2070</v>
      </c>
      <c r="B11" s="7">
        <v>79</v>
      </c>
      <c r="C11" s="7">
        <v>45680.959999999992</v>
      </c>
      <c r="AF11" s="4" t="s">
        <v>2057</v>
      </c>
      <c r="AG11" s="7">
        <v>993</v>
      </c>
    </row>
    <row r="12" spans="1:49" x14ac:dyDescent="0.35">
      <c r="A12" s="4" t="s">
        <v>2071</v>
      </c>
      <c r="B12" s="7">
        <v>68</v>
      </c>
      <c r="C12" s="7">
        <v>39280.660000000003</v>
      </c>
    </row>
    <row r="13" spans="1:49" x14ac:dyDescent="0.35">
      <c r="A13" s="4" t="s">
        <v>2072</v>
      </c>
      <c r="B13" s="7">
        <v>77</v>
      </c>
      <c r="C13" s="7">
        <v>43790.81</v>
      </c>
    </row>
    <row r="14" spans="1:49" x14ac:dyDescent="0.35">
      <c r="A14" s="4" t="s">
        <v>2073</v>
      </c>
      <c r="B14" s="7">
        <v>90</v>
      </c>
      <c r="C14" s="7">
        <v>53645.16</v>
      </c>
    </row>
    <row r="15" spans="1:49" x14ac:dyDescent="0.35">
      <c r="A15" s="4" t="s">
        <v>2074</v>
      </c>
      <c r="B15" s="7">
        <v>101</v>
      </c>
      <c r="C15" s="7">
        <v>61343.07</v>
      </c>
      <c r="AV15" s="3" t="s">
        <v>2056</v>
      </c>
      <c r="AW15" t="s">
        <v>2058</v>
      </c>
    </row>
    <row r="16" spans="1:49" x14ac:dyDescent="0.35">
      <c r="A16" s="4" t="s">
        <v>2057</v>
      </c>
      <c r="B16" s="7">
        <v>999</v>
      </c>
      <c r="C16" s="7">
        <v>585349.82999999996</v>
      </c>
      <c r="AV16" s="4" t="s">
        <v>223</v>
      </c>
      <c r="AW16" s="7">
        <v>17904.96</v>
      </c>
    </row>
    <row r="17" spans="48:49" x14ac:dyDescent="0.35">
      <c r="AV17" s="4" t="s">
        <v>297</v>
      </c>
      <c r="AW17" s="7">
        <v>4684</v>
      </c>
    </row>
    <row r="18" spans="48:49" x14ac:dyDescent="0.35">
      <c r="AV18" s="4" t="s">
        <v>22</v>
      </c>
      <c r="AW18" s="7">
        <v>81483.53</v>
      </c>
    </row>
    <row r="19" spans="48:49" x14ac:dyDescent="0.35">
      <c r="AV19" s="4" t="s">
        <v>357</v>
      </c>
      <c r="AW19" s="7">
        <v>6377</v>
      </c>
    </row>
    <row r="20" spans="48:49" x14ac:dyDescent="0.35">
      <c r="AV20" s="4" t="s">
        <v>85</v>
      </c>
      <c r="AW20" s="7">
        <v>10578</v>
      </c>
    </row>
    <row r="21" spans="48:49" x14ac:dyDescent="0.35">
      <c r="AV21" s="4" t="s">
        <v>2057</v>
      </c>
      <c r="AW21" s="7">
        <v>121027.48999999999</v>
      </c>
    </row>
    <row r="41" spans="1:15" x14ac:dyDescent="0.35">
      <c r="I41" s="3" t="s">
        <v>2056</v>
      </c>
      <c r="J41" t="s">
        <v>2058</v>
      </c>
      <c r="O41" t="str">
        <f>J41</f>
        <v>Sum of Amount</v>
      </c>
    </row>
    <row r="42" spans="1:15" x14ac:dyDescent="0.35">
      <c r="I42" s="4" t="s">
        <v>89</v>
      </c>
      <c r="J42">
        <v>29396.58</v>
      </c>
      <c r="L42" t="str">
        <f>I42</f>
        <v>DELHI</v>
      </c>
      <c r="O42">
        <f>GETPIVOTDATA("Amount",$I$41,"ship-state","DELHI")</f>
        <v>29396.58</v>
      </c>
    </row>
    <row r="43" spans="1:15" x14ac:dyDescent="0.35">
      <c r="I43" s="4" t="s">
        <v>81</v>
      </c>
      <c r="J43">
        <v>27608</v>
      </c>
      <c r="L43" t="str">
        <f t="shared" ref="L43:L73" si="0">I43</f>
        <v>ANDHRA PRADESH</v>
      </c>
      <c r="O43">
        <f t="shared" ref="O43:O73" si="1">GETPIVOTDATA("Amount",$I$41,"ship-state","DELHI")</f>
        <v>29396.58</v>
      </c>
    </row>
    <row r="44" spans="1:15" x14ac:dyDescent="0.35">
      <c r="F44" s="4" t="s">
        <v>89</v>
      </c>
      <c r="G44">
        <v>29396.58</v>
      </c>
      <c r="I44" s="4" t="s">
        <v>539</v>
      </c>
      <c r="J44">
        <v>999</v>
      </c>
      <c r="L44" t="str">
        <f t="shared" si="0"/>
        <v>ARUNACHAL PRADESH</v>
      </c>
      <c r="O44">
        <f t="shared" si="1"/>
        <v>29396.58</v>
      </c>
    </row>
    <row r="45" spans="1:15" x14ac:dyDescent="0.35">
      <c r="A45" s="3" t="s">
        <v>2056</v>
      </c>
      <c r="B45" t="s">
        <v>2055</v>
      </c>
      <c r="F45" s="4" t="s">
        <v>81</v>
      </c>
      <c r="G45">
        <v>27608</v>
      </c>
      <c r="I45" s="4" t="s">
        <v>110</v>
      </c>
      <c r="J45">
        <v>12197</v>
      </c>
      <c r="L45" t="str">
        <f t="shared" si="0"/>
        <v>ASSAM</v>
      </c>
      <c r="O45">
        <f t="shared" si="1"/>
        <v>29396.58</v>
      </c>
    </row>
    <row r="46" spans="1:15" x14ac:dyDescent="0.35">
      <c r="A46" s="4" t="s">
        <v>2059</v>
      </c>
      <c r="B46">
        <v>419</v>
      </c>
      <c r="F46" s="4" t="s">
        <v>539</v>
      </c>
      <c r="G46">
        <v>999</v>
      </c>
      <c r="I46" s="4" t="s">
        <v>286</v>
      </c>
      <c r="J46">
        <v>16149.38</v>
      </c>
      <c r="L46" t="str">
        <f t="shared" si="0"/>
        <v>BIHAR</v>
      </c>
      <c r="O46">
        <f t="shared" si="1"/>
        <v>29396.58</v>
      </c>
    </row>
    <row r="47" spans="1:15" x14ac:dyDescent="0.35">
      <c r="A47" s="4" t="s">
        <v>2051</v>
      </c>
      <c r="B47">
        <v>580</v>
      </c>
      <c r="F47" s="4" t="s">
        <v>110</v>
      </c>
      <c r="G47">
        <v>12197</v>
      </c>
      <c r="I47" s="4" t="s">
        <v>53</v>
      </c>
      <c r="J47">
        <v>653</v>
      </c>
      <c r="L47" t="str">
        <f t="shared" si="0"/>
        <v>CHANDIGARH</v>
      </c>
      <c r="O47">
        <f t="shared" si="1"/>
        <v>29396.58</v>
      </c>
    </row>
    <row r="48" spans="1:15" x14ac:dyDescent="0.35">
      <c r="A48" s="4" t="s">
        <v>2057</v>
      </c>
      <c r="B48">
        <v>999</v>
      </c>
      <c r="F48" s="4" t="s">
        <v>286</v>
      </c>
      <c r="G48">
        <v>16149.38</v>
      </c>
      <c r="I48" s="4" t="s">
        <v>118</v>
      </c>
      <c r="J48">
        <v>2003</v>
      </c>
      <c r="L48" t="str">
        <f t="shared" si="0"/>
        <v>CHHATTISGARH</v>
      </c>
      <c r="O48">
        <f t="shared" si="1"/>
        <v>29396.58</v>
      </c>
    </row>
    <row r="49" spans="6:65" x14ac:dyDescent="0.35">
      <c r="F49" s="4" t="s">
        <v>53</v>
      </c>
      <c r="G49">
        <v>653</v>
      </c>
      <c r="I49" s="4" t="s">
        <v>1533</v>
      </c>
      <c r="J49">
        <v>1396</v>
      </c>
      <c r="L49" t="str">
        <f t="shared" si="0"/>
        <v>DADRA AND NAGAR</v>
      </c>
      <c r="O49">
        <f t="shared" si="1"/>
        <v>29396.58</v>
      </c>
    </row>
    <row r="50" spans="6:65" x14ac:dyDescent="0.35">
      <c r="F50" s="4" t="s">
        <v>118</v>
      </c>
      <c r="G50">
        <v>2003</v>
      </c>
      <c r="I50" s="4" t="s">
        <v>797</v>
      </c>
      <c r="J50">
        <v>3746</v>
      </c>
      <c r="L50" t="str">
        <f t="shared" si="0"/>
        <v>Goa</v>
      </c>
      <c r="O50">
        <f t="shared" si="1"/>
        <v>29396.58</v>
      </c>
    </row>
    <row r="51" spans="6:65" x14ac:dyDescent="0.35">
      <c r="F51" s="4" t="s">
        <v>1533</v>
      </c>
      <c r="G51">
        <v>1396</v>
      </c>
      <c r="I51" s="4" t="s">
        <v>223</v>
      </c>
      <c r="J51">
        <v>17904.96</v>
      </c>
      <c r="L51" t="str">
        <f t="shared" si="0"/>
        <v>Gujarat</v>
      </c>
      <c r="O51">
        <f t="shared" si="1"/>
        <v>29396.58</v>
      </c>
    </row>
    <row r="52" spans="6:65" x14ac:dyDescent="0.35">
      <c r="F52" s="4" t="s">
        <v>797</v>
      </c>
      <c r="G52">
        <v>3746</v>
      </c>
      <c r="I52" s="4" t="s">
        <v>93</v>
      </c>
      <c r="J52">
        <v>17328.080000000002</v>
      </c>
      <c r="L52" t="str">
        <f t="shared" si="0"/>
        <v>HARYANA</v>
      </c>
      <c r="O52">
        <f t="shared" si="1"/>
        <v>29396.58</v>
      </c>
      <c r="AP52" s="3" t="s">
        <v>2058</v>
      </c>
      <c r="AQ52" s="3" t="s">
        <v>2060</v>
      </c>
    </row>
    <row r="53" spans="6:65" x14ac:dyDescent="0.35">
      <c r="F53" s="4" t="s">
        <v>223</v>
      </c>
      <c r="G53">
        <v>17904.96</v>
      </c>
      <c r="I53" s="4" t="s">
        <v>378</v>
      </c>
      <c r="J53">
        <v>3279</v>
      </c>
      <c r="L53" t="str">
        <f t="shared" si="0"/>
        <v>HIMACHAL PRADESH</v>
      </c>
      <c r="O53">
        <f t="shared" si="1"/>
        <v>29396.58</v>
      </c>
      <c r="AP53" s="3" t="s">
        <v>2056</v>
      </c>
      <c r="AQ53" t="s">
        <v>33</v>
      </c>
      <c r="AR53" t="s">
        <v>2062</v>
      </c>
      <c r="AS53" t="s">
        <v>2063</v>
      </c>
      <c r="AT53" t="s">
        <v>2057</v>
      </c>
    </row>
    <row r="54" spans="6:65" x14ac:dyDescent="0.35">
      <c r="F54" s="4" t="s">
        <v>93</v>
      </c>
      <c r="G54">
        <v>17328.080000000002</v>
      </c>
      <c r="I54" s="4" t="s">
        <v>297</v>
      </c>
      <c r="J54">
        <v>4684</v>
      </c>
      <c r="L54" t="str">
        <f t="shared" si="0"/>
        <v>JAMMU &amp; KASHMIR</v>
      </c>
      <c r="O54">
        <f t="shared" si="1"/>
        <v>29396.58</v>
      </c>
      <c r="AP54" s="4" t="s">
        <v>2061</v>
      </c>
      <c r="AQ54" s="7">
        <v>36790</v>
      </c>
      <c r="AR54" s="7">
        <v>8337</v>
      </c>
      <c r="AS54" s="7">
        <v>5239</v>
      </c>
      <c r="AT54" s="7">
        <v>50366</v>
      </c>
      <c r="BG54" s="3" t="s">
        <v>2058</v>
      </c>
      <c r="BH54" s="3" t="s">
        <v>2060</v>
      </c>
    </row>
    <row r="55" spans="6:65" x14ac:dyDescent="0.35">
      <c r="F55" s="4" t="s">
        <v>378</v>
      </c>
      <c r="G55">
        <v>3279</v>
      </c>
      <c r="I55" s="4" t="s">
        <v>114</v>
      </c>
      <c r="J55">
        <v>9827.57</v>
      </c>
      <c r="L55" t="str">
        <f t="shared" si="0"/>
        <v>JHARKHAND</v>
      </c>
      <c r="O55">
        <f t="shared" si="1"/>
        <v>29396.58</v>
      </c>
      <c r="AP55" s="4" t="s">
        <v>2064</v>
      </c>
      <c r="AQ55" s="7">
        <v>32637</v>
      </c>
      <c r="AR55" s="7">
        <v>4865.58</v>
      </c>
      <c r="AS55" s="7">
        <v>6756.22</v>
      </c>
      <c r="AT55" s="7">
        <v>44258.8</v>
      </c>
      <c r="BG55" s="3" t="s">
        <v>2056</v>
      </c>
      <c r="BH55" t="s">
        <v>27</v>
      </c>
      <c r="BI55" t="s">
        <v>1029</v>
      </c>
      <c r="BJ55" t="s">
        <v>18</v>
      </c>
      <c r="BK55" t="s">
        <v>44</v>
      </c>
      <c r="BL55" t="s">
        <v>39</v>
      </c>
      <c r="BM55" t="s">
        <v>2057</v>
      </c>
    </row>
    <row r="56" spans="6:65" x14ac:dyDescent="0.35">
      <c r="F56" s="4" t="s">
        <v>297</v>
      </c>
      <c r="G56">
        <v>4684</v>
      </c>
      <c r="I56" s="4" t="s">
        <v>31</v>
      </c>
      <c r="J56">
        <v>71627.01999999999</v>
      </c>
      <c r="L56" t="str">
        <f t="shared" si="0"/>
        <v>KARNATAKA</v>
      </c>
      <c r="O56">
        <f t="shared" si="1"/>
        <v>29396.58</v>
      </c>
      <c r="AP56" s="4" t="s">
        <v>2065</v>
      </c>
      <c r="AQ56" s="7">
        <v>32941</v>
      </c>
      <c r="AR56" s="7">
        <v>5222</v>
      </c>
      <c r="AS56" s="7">
        <v>4225</v>
      </c>
      <c r="AT56" s="7">
        <v>42388</v>
      </c>
      <c r="BG56" s="4">
        <v>18</v>
      </c>
      <c r="BH56" s="7">
        <v>3147</v>
      </c>
      <c r="BI56" s="7"/>
      <c r="BJ56" s="7">
        <v>9600.93</v>
      </c>
      <c r="BK56" s="7">
        <v>469.52</v>
      </c>
      <c r="BL56" s="7">
        <v>2293</v>
      </c>
      <c r="BM56" s="7">
        <v>15510.45</v>
      </c>
    </row>
    <row r="57" spans="6:65" x14ac:dyDescent="0.35">
      <c r="F57" s="4" t="s">
        <v>114</v>
      </c>
      <c r="G57">
        <v>9827.57</v>
      </c>
      <c r="I57" s="4" t="s">
        <v>153</v>
      </c>
      <c r="J57">
        <v>17324</v>
      </c>
      <c r="L57" t="str">
        <f t="shared" si="0"/>
        <v>KERALA</v>
      </c>
      <c r="O57">
        <f t="shared" si="1"/>
        <v>29396.58</v>
      </c>
      <c r="AP57" s="4" t="s">
        <v>2066</v>
      </c>
      <c r="AQ57" s="7">
        <v>46979</v>
      </c>
      <c r="AR57" s="7">
        <v>6483.98</v>
      </c>
      <c r="AS57" s="7">
        <v>8505.18</v>
      </c>
      <c r="AT57" s="7">
        <v>61968.159999999996</v>
      </c>
      <c r="BG57" s="4">
        <v>20</v>
      </c>
      <c r="BH57" s="7">
        <v>2588</v>
      </c>
      <c r="BI57" s="7"/>
      <c r="BJ57" s="7">
        <v>11901.86</v>
      </c>
      <c r="BK57" s="7">
        <v>1284</v>
      </c>
      <c r="BL57" s="7">
        <v>2342</v>
      </c>
      <c r="BM57" s="7">
        <v>18115.86</v>
      </c>
    </row>
    <row r="58" spans="6:65" x14ac:dyDescent="0.35">
      <c r="F58" s="4" t="s">
        <v>31</v>
      </c>
      <c r="G58">
        <v>71627.01999999999</v>
      </c>
      <c r="I58" s="4" t="s">
        <v>1466</v>
      </c>
      <c r="J58">
        <v>666</v>
      </c>
      <c r="L58" t="str">
        <f t="shared" si="0"/>
        <v>LADAKH</v>
      </c>
      <c r="O58">
        <f t="shared" si="1"/>
        <v>29396.58</v>
      </c>
      <c r="AP58" s="4" t="s">
        <v>2067</v>
      </c>
      <c r="AQ58" s="7">
        <v>33813</v>
      </c>
      <c r="AR58" s="7">
        <v>4892.5200000000004</v>
      </c>
      <c r="AS58" s="7">
        <v>7862</v>
      </c>
      <c r="AT58" s="7">
        <v>46567.520000000004</v>
      </c>
      <c r="BG58" s="4">
        <v>25</v>
      </c>
      <c r="BH58" s="7">
        <v>4118</v>
      </c>
      <c r="BI58" s="7">
        <v>989</v>
      </c>
      <c r="BJ58" s="7">
        <v>4621</v>
      </c>
      <c r="BK58" s="7">
        <v>512</v>
      </c>
      <c r="BL58" s="7">
        <v>744</v>
      </c>
      <c r="BM58" s="7">
        <v>10984</v>
      </c>
    </row>
    <row r="59" spans="6:65" x14ac:dyDescent="0.35">
      <c r="F59" s="4" t="s">
        <v>153</v>
      </c>
      <c r="G59">
        <v>17324</v>
      </c>
      <c r="I59" s="4" t="s">
        <v>161</v>
      </c>
      <c r="J59">
        <v>13986</v>
      </c>
      <c r="L59" t="str">
        <f t="shared" si="0"/>
        <v>MADHYA PRADESH</v>
      </c>
      <c r="O59">
        <f t="shared" si="1"/>
        <v>29396.58</v>
      </c>
      <c r="AP59" s="4" t="s">
        <v>2068</v>
      </c>
      <c r="AQ59" s="7">
        <v>40838</v>
      </c>
      <c r="AR59" s="7">
        <v>2902</v>
      </c>
      <c r="AS59" s="7">
        <v>5355.25</v>
      </c>
      <c r="AT59" s="7">
        <v>49095.25</v>
      </c>
      <c r="BG59" s="4">
        <v>30</v>
      </c>
      <c r="BH59" s="7">
        <v>4694.05</v>
      </c>
      <c r="BI59" s="7"/>
      <c r="BJ59" s="7">
        <v>5002</v>
      </c>
      <c r="BK59" s="7">
        <v>927</v>
      </c>
      <c r="BL59" s="7">
        <v>859</v>
      </c>
      <c r="BM59" s="7">
        <v>11482.05</v>
      </c>
    </row>
    <row r="60" spans="6:65" x14ac:dyDescent="0.35">
      <c r="F60" s="4" t="s">
        <v>1466</v>
      </c>
      <c r="G60">
        <v>666</v>
      </c>
      <c r="I60" s="4" t="s">
        <v>22</v>
      </c>
      <c r="J60">
        <v>81483.53</v>
      </c>
      <c r="L60" t="str">
        <f t="shared" si="0"/>
        <v>MAHARASHTRA</v>
      </c>
      <c r="O60">
        <f t="shared" si="1"/>
        <v>29396.58</v>
      </c>
      <c r="AP60" s="4" t="s">
        <v>2069</v>
      </c>
      <c r="AQ60" s="7">
        <v>40975</v>
      </c>
      <c r="AR60" s="7">
        <v>2150</v>
      </c>
      <c r="AS60" s="7">
        <v>3840.4399999999996</v>
      </c>
      <c r="AT60" s="7">
        <v>46965.440000000002</v>
      </c>
      <c r="BG60" s="4">
        <v>35</v>
      </c>
      <c r="BH60" s="7">
        <v>4714.38</v>
      </c>
      <c r="BI60" s="7"/>
      <c r="BJ60" s="7">
        <v>9349</v>
      </c>
      <c r="BK60" s="7">
        <v>880</v>
      </c>
      <c r="BL60" s="7">
        <v>1596</v>
      </c>
      <c r="BM60" s="7">
        <v>16539.38</v>
      </c>
    </row>
    <row r="61" spans="6:65" x14ac:dyDescent="0.35">
      <c r="F61" s="4" t="s">
        <v>161</v>
      </c>
      <c r="G61">
        <v>13986</v>
      </c>
      <c r="I61" s="4" t="s">
        <v>552</v>
      </c>
      <c r="J61">
        <v>4174</v>
      </c>
      <c r="L61" t="str">
        <f t="shared" si="0"/>
        <v>MANIPUR</v>
      </c>
      <c r="O61">
        <f t="shared" si="1"/>
        <v>29396.58</v>
      </c>
      <c r="AP61" s="4" t="s">
        <v>2070</v>
      </c>
      <c r="AQ61" s="7">
        <v>36354</v>
      </c>
      <c r="AR61" s="7">
        <v>5763.96</v>
      </c>
      <c r="AS61" s="7">
        <v>3563</v>
      </c>
      <c r="AT61" s="7">
        <v>45680.959999999999</v>
      </c>
      <c r="BG61" s="4">
        <v>40</v>
      </c>
      <c r="BH61" s="7">
        <v>4561</v>
      </c>
      <c r="BI61" s="7"/>
      <c r="BJ61" s="7">
        <v>2902</v>
      </c>
      <c r="BK61" s="7">
        <v>545</v>
      </c>
      <c r="BL61" s="7">
        <v>2113</v>
      </c>
      <c r="BM61" s="7">
        <v>10121</v>
      </c>
    </row>
    <row r="62" spans="6:65" x14ac:dyDescent="0.35">
      <c r="F62" s="4" t="s">
        <v>22</v>
      </c>
      <c r="G62">
        <v>81483.53</v>
      </c>
      <c r="I62" s="4" t="s">
        <v>814</v>
      </c>
      <c r="J62">
        <v>1900</v>
      </c>
      <c r="L62" t="str">
        <f t="shared" si="0"/>
        <v>MEGHALAYA</v>
      </c>
      <c r="O62">
        <f t="shared" si="1"/>
        <v>29396.58</v>
      </c>
      <c r="AP62" s="4" t="s">
        <v>2071</v>
      </c>
      <c r="AQ62" s="7">
        <v>29461</v>
      </c>
      <c r="AR62" s="7">
        <v>4483.95</v>
      </c>
      <c r="AS62" s="7">
        <v>5335.71</v>
      </c>
      <c r="AT62" s="7">
        <v>39280.659999999996</v>
      </c>
      <c r="BG62" s="4">
        <v>45</v>
      </c>
      <c r="BH62" s="7">
        <v>4555.1399999999994</v>
      </c>
      <c r="BI62" s="7"/>
      <c r="BJ62" s="7">
        <v>8113</v>
      </c>
      <c r="BK62" s="7"/>
      <c r="BL62" s="7">
        <v>1505.29</v>
      </c>
      <c r="BM62" s="7">
        <v>14173.43</v>
      </c>
    </row>
    <row r="63" spans="6:65" x14ac:dyDescent="0.35">
      <c r="F63" s="4" t="s">
        <v>552</v>
      </c>
      <c r="G63">
        <v>4174</v>
      </c>
      <c r="I63" s="4" t="s">
        <v>192</v>
      </c>
      <c r="J63">
        <v>3403</v>
      </c>
      <c r="L63" t="str">
        <f t="shared" si="0"/>
        <v>NAGALAND</v>
      </c>
      <c r="O63">
        <f t="shared" si="1"/>
        <v>29396.58</v>
      </c>
      <c r="AP63" s="4" t="s">
        <v>2072</v>
      </c>
      <c r="AQ63" s="7">
        <v>32165</v>
      </c>
      <c r="AR63" s="7">
        <v>6606.05</v>
      </c>
      <c r="AS63" s="7">
        <v>5019.76</v>
      </c>
      <c r="AT63" s="7">
        <v>43790.810000000005</v>
      </c>
      <c r="BG63" s="4">
        <v>50</v>
      </c>
      <c r="BH63" s="7">
        <v>2253</v>
      </c>
      <c r="BI63" s="7">
        <v>620</v>
      </c>
      <c r="BJ63" s="7">
        <v>6120</v>
      </c>
      <c r="BK63" s="7">
        <v>540</v>
      </c>
      <c r="BL63" s="7">
        <v>2603</v>
      </c>
      <c r="BM63" s="7">
        <v>12136</v>
      </c>
    </row>
    <row r="64" spans="6:65" x14ac:dyDescent="0.35">
      <c r="F64" s="4" t="s">
        <v>814</v>
      </c>
      <c r="G64">
        <v>1900</v>
      </c>
      <c r="I64" s="4" t="s">
        <v>140</v>
      </c>
      <c r="J64">
        <v>13736</v>
      </c>
      <c r="L64" t="str">
        <f t="shared" si="0"/>
        <v>ODISHA</v>
      </c>
      <c r="O64">
        <f t="shared" si="1"/>
        <v>29396.58</v>
      </c>
      <c r="AP64" s="4" t="s">
        <v>2073</v>
      </c>
      <c r="AQ64" s="7">
        <v>47175</v>
      </c>
      <c r="AR64" s="7">
        <v>2537.16</v>
      </c>
      <c r="AS64" s="7">
        <v>3933</v>
      </c>
      <c r="AT64" s="7">
        <v>53645.16</v>
      </c>
      <c r="BG64" s="4" t="s">
        <v>2057</v>
      </c>
      <c r="BH64" s="7">
        <v>30630.57</v>
      </c>
      <c r="BI64" s="7">
        <v>1609</v>
      </c>
      <c r="BJ64" s="7">
        <v>57609.79</v>
      </c>
      <c r="BK64" s="7">
        <v>5157.5200000000004</v>
      </c>
      <c r="BL64" s="7">
        <v>14055.29</v>
      </c>
      <c r="BM64" s="7">
        <v>109062.17000000001</v>
      </c>
    </row>
    <row r="65" spans="6:46" x14ac:dyDescent="0.35">
      <c r="F65" s="4" t="s">
        <v>192</v>
      </c>
      <c r="G65">
        <v>3403</v>
      </c>
      <c r="I65" s="4" t="s">
        <v>41</v>
      </c>
      <c r="J65">
        <v>3067.33</v>
      </c>
      <c r="L65" t="str">
        <f t="shared" si="0"/>
        <v>PUDUCHERRY</v>
      </c>
      <c r="O65">
        <f t="shared" si="1"/>
        <v>29396.58</v>
      </c>
      <c r="AP65" s="4" t="s">
        <v>2074</v>
      </c>
      <c r="AQ65" s="7">
        <v>52091</v>
      </c>
      <c r="AR65" s="7">
        <v>3601</v>
      </c>
      <c r="AS65" s="7">
        <v>5651.07</v>
      </c>
      <c r="AT65" s="7">
        <v>61343.07</v>
      </c>
    </row>
    <row r="66" spans="6:46" x14ac:dyDescent="0.35">
      <c r="F66" s="4" t="s">
        <v>140</v>
      </c>
      <c r="G66">
        <v>13736</v>
      </c>
      <c r="I66" s="4" t="s">
        <v>357</v>
      </c>
      <c r="J66">
        <v>6377</v>
      </c>
      <c r="L66" t="str">
        <f t="shared" si="0"/>
        <v>PUNJAB</v>
      </c>
      <c r="O66">
        <f t="shared" si="1"/>
        <v>29396.58</v>
      </c>
      <c r="AP66" s="4" t="s">
        <v>2057</v>
      </c>
      <c r="AQ66" s="7">
        <v>462219</v>
      </c>
      <c r="AR66" s="7">
        <v>57845.2</v>
      </c>
      <c r="AS66" s="7">
        <v>65285.630000000005</v>
      </c>
      <c r="AT66" s="7">
        <v>585349.82999999996</v>
      </c>
    </row>
    <row r="67" spans="6:46" x14ac:dyDescent="0.35">
      <c r="F67" s="4" t="s">
        <v>41</v>
      </c>
      <c r="G67">
        <v>3067.33</v>
      </c>
      <c r="I67" s="4" t="s">
        <v>85</v>
      </c>
      <c r="J67">
        <v>10578</v>
      </c>
      <c r="L67" t="str">
        <f t="shared" si="0"/>
        <v>RAJASTHAN</v>
      </c>
      <c r="O67">
        <f t="shared" si="1"/>
        <v>29396.58</v>
      </c>
    </row>
    <row r="68" spans="6:46" x14ac:dyDescent="0.35">
      <c r="F68" s="4" t="s">
        <v>357</v>
      </c>
      <c r="G68">
        <v>6377</v>
      </c>
      <c r="I68" s="4" t="s">
        <v>46</v>
      </c>
      <c r="J68">
        <v>41846.43</v>
      </c>
      <c r="L68" t="str">
        <f t="shared" si="0"/>
        <v>TAMIL NADU</v>
      </c>
      <c r="O68">
        <f t="shared" si="1"/>
        <v>29396.58</v>
      </c>
    </row>
    <row r="69" spans="6:46" x14ac:dyDescent="0.35">
      <c r="F69" s="4" t="s">
        <v>85</v>
      </c>
      <c r="G69">
        <v>10578</v>
      </c>
      <c r="I69" s="4" t="s">
        <v>57</v>
      </c>
      <c r="J69">
        <v>62524.72</v>
      </c>
      <c r="L69" t="str">
        <f t="shared" si="0"/>
        <v>TELANGANA</v>
      </c>
      <c r="O69">
        <f t="shared" si="1"/>
        <v>29396.58</v>
      </c>
    </row>
    <row r="70" spans="6:46" x14ac:dyDescent="0.35">
      <c r="F70" s="4" t="s">
        <v>46</v>
      </c>
      <c r="G70">
        <v>41846.43</v>
      </c>
      <c r="I70" s="4" t="s">
        <v>1302</v>
      </c>
      <c r="J70">
        <v>1213</v>
      </c>
      <c r="L70" t="str">
        <f t="shared" si="0"/>
        <v>TRIPURA</v>
      </c>
      <c r="O70">
        <f t="shared" si="1"/>
        <v>29396.58</v>
      </c>
    </row>
    <row r="71" spans="6:46" x14ac:dyDescent="0.35">
      <c r="F71" s="4" t="s">
        <v>57</v>
      </c>
      <c r="G71">
        <v>62524.72</v>
      </c>
      <c r="I71" s="4" t="s">
        <v>50</v>
      </c>
      <c r="J71">
        <v>53641.619999999995</v>
      </c>
      <c r="L71" t="str">
        <f t="shared" si="0"/>
        <v>UTTAR PRADESH</v>
      </c>
      <c r="O71">
        <f t="shared" si="1"/>
        <v>29396.58</v>
      </c>
    </row>
    <row r="72" spans="6:46" x14ac:dyDescent="0.35">
      <c r="F72" s="4" t="s">
        <v>1302</v>
      </c>
      <c r="G72">
        <v>1213</v>
      </c>
      <c r="I72" s="4" t="s">
        <v>264</v>
      </c>
      <c r="J72">
        <v>10719.36</v>
      </c>
      <c r="L72" t="str">
        <f t="shared" si="0"/>
        <v>UTTARAKHAND</v>
      </c>
      <c r="O72">
        <f t="shared" si="1"/>
        <v>29396.58</v>
      </c>
    </row>
    <row r="73" spans="6:46" x14ac:dyDescent="0.35">
      <c r="F73" s="4" t="s">
        <v>50</v>
      </c>
      <c r="G73">
        <v>53641.619999999995</v>
      </c>
      <c r="I73" s="4" t="s">
        <v>171</v>
      </c>
      <c r="J73">
        <v>39911.25</v>
      </c>
      <c r="L73" t="str">
        <f t="shared" si="0"/>
        <v>WEST BENGAL</v>
      </c>
      <c r="O73">
        <f t="shared" si="1"/>
        <v>29396.58</v>
      </c>
    </row>
    <row r="74" spans="6:46" x14ac:dyDescent="0.35">
      <c r="F74" s="4" t="s">
        <v>264</v>
      </c>
      <c r="G74">
        <v>10719.36</v>
      </c>
      <c r="I74" s="4" t="s">
        <v>2057</v>
      </c>
      <c r="J74">
        <v>585349.82999999996</v>
      </c>
    </row>
    <row r="75" spans="6:46" x14ac:dyDescent="0.35">
      <c r="F75" s="4" t="s">
        <v>171</v>
      </c>
      <c r="G75">
        <v>39911.25</v>
      </c>
    </row>
    <row r="121" spans="2:6" x14ac:dyDescent="0.35">
      <c r="C121" s="3" t="s">
        <v>2060</v>
      </c>
    </row>
    <row r="122" spans="2:6" x14ac:dyDescent="0.35">
      <c r="C122" t="s">
        <v>33</v>
      </c>
      <c r="D122" t="s">
        <v>2062</v>
      </c>
      <c r="E122" t="s">
        <v>2063</v>
      </c>
      <c r="F122" t="s">
        <v>2057</v>
      </c>
    </row>
    <row r="123" spans="2:6" x14ac:dyDescent="0.35">
      <c r="B123" t="s">
        <v>2058</v>
      </c>
      <c r="C123">
        <v>462219</v>
      </c>
      <c r="D123">
        <v>63772.149999999994</v>
      </c>
      <c r="E123">
        <v>59358.68</v>
      </c>
      <c r="F123">
        <v>585349.83000000007</v>
      </c>
    </row>
  </sheetData>
  <phoneticPr fontId="18" type="noConversion"/>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133D0-D2ED-45EB-9879-A0D25C9E6863}">
  <dimension ref="A1:Y26"/>
  <sheetViews>
    <sheetView tabSelected="1" zoomScale="80" workbookViewId="0">
      <selection activeCell="F25" sqref="F25"/>
    </sheetView>
  </sheetViews>
  <sheetFormatPr defaultRowHeight="14.5" x14ac:dyDescent="0.35"/>
  <sheetData>
    <row r="1" spans="1:25" x14ac:dyDescent="0.35">
      <c r="A1" s="5"/>
      <c r="B1" s="5"/>
      <c r="C1" s="5"/>
      <c r="D1" s="5"/>
      <c r="E1" s="5"/>
      <c r="F1" s="5"/>
      <c r="G1" s="5"/>
      <c r="H1" s="5"/>
      <c r="I1" s="5"/>
      <c r="J1" s="5"/>
      <c r="K1" s="5"/>
      <c r="L1" s="5"/>
      <c r="M1" s="5"/>
      <c r="N1" s="5"/>
      <c r="O1" s="5"/>
      <c r="P1" s="5"/>
      <c r="Q1" s="5"/>
      <c r="R1" s="5"/>
      <c r="S1" s="5"/>
      <c r="T1" s="5"/>
      <c r="U1" s="5"/>
      <c r="V1" s="5"/>
      <c r="W1" s="5"/>
      <c r="X1" s="5"/>
      <c r="Y1" s="5"/>
    </row>
    <row r="2" spans="1:25" x14ac:dyDescent="0.35">
      <c r="A2" s="5"/>
      <c r="B2" s="5"/>
      <c r="C2" s="5"/>
      <c r="D2" s="5"/>
      <c r="E2" s="5"/>
      <c r="F2" s="5"/>
      <c r="G2" s="5"/>
      <c r="H2" s="5"/>
      <c r="I2" s="5"/>
      <c r="J2" s="5"/>
      <c r="K2" s="5"/>
      <c r="L2" s="5"/>
      <c r="M2" s="5"/>
      <c r="N2" s="5"/>
      <c r="O2" s="5"/>
      <c r="P2" s="5"/>
      <c r="Q2" s="5"/>
      <c r="R2" s="5"/>
      <c r="S2" s="5"/>
      <c r="T2" s="5"/>
      <c r="U2" s="5"/>
      <c r="V2" s="5"/>
      <c r="W2" s="5"/>
      <c r="X2" s="5"/>
      <c r="Y2" s="5"/>
    </row>
    <row r="3" spans="1:25" x14ac:dyDescent="0.35">
      <c r="A3" s="5"/>
      <c r="B3" s="5"/>
      <c r="C3" s="5"/>
      <c r="D3" s="5"/>
      <c r="E3" s="5"/>
      <c r="F3" s="5"/>
      <c r="G3" s="5"/>
      <c r="H3" s="5"/>
      <c r="I3" s="5"/>
      <c r="J3" s="5"/>
      <c r="K3" s="5"/>
      <c r="L3" s="5"/>
      <c r="M3" s="5"/>
      <c r="N3" s="5"/>
      <c r="O3" s="5"/>
      <c r="P3" s="5"/>
      <c r="Q3" s="5"/>
      <c r="R3" s="5"/>
      <c r="S3" s="5"/>
      <c r="T3" s="5"/>
      <c r="U3" s="5"/>
      <c r="V3" s="5"/>
      <c r="W3" s="5"/>
      <c r="X3" s="5"/>
      <c r="Y3" s="5"/>
    </row>
    <row r="4" spans="1:25" x14ac:dyDescent="0.35">
      <c r="A4" s="5"/>
      <c r="B4" s="5"/>
      <c r="C4" s="5"/>
      <c r="D4" s="5"/>
      <c r="E4" s="5"/>
      <c r="F4" s="5"/>
      <c r="G4" s="5"/>
      <c r="H4" s="5"/>
      <c r="I4" s="5"/>
      <c r="J4" s="5"/>
      <c r="K4" s="5"/>
      <c r="L4" s="5"/>
      <c r="M4" s="5"/>
      <c r="N4" s="5"/>
      <c r="O4" s="5"/>
      <c r="P4" s="5"/>
      <c r="Q4" s="5"/>
      <c r="R4" s="5"/>
      <c r="S4" s="5"/>
      <c r="T4" s="5"/>
      <c r="U4" s="5"/>
      <c r="V4" s="5"/>
      <c r="W4" s="5"/>
      <c r="X4" s="5"/>
      <c r="Y4" s="5"/>
    </row>
    <row r="5" spans="1:25" x14ac:dyDescent="0.35">
      <c r="A5" s="5"/>
      <c r="B5" s="5"/>
      <c r="C5" s="5"/>
      <c r="D5" s="5"/>
      <c r="E5" s="5"/>
      <c r="F5" s="5"/>
      <c r="G5" s="5"/>
      <c r="H5" s="5"/>
      <c r="I5" s="5"/>
      <c r="J5" s="5"/>
      <c r="K5" s="5"/>
      <c r="L5" s="5"/>
      <c r="M5" s="5"/>
      <c r="N5" s="5"/>
      <c r="O5" s="5"/>
      <c r="P5" s="5"/>
      <c r="Q5" s="5"/>
      <c r="R5" s="5"/>
      <c r="S5" s="5"/>
      <c r="T5" s="5"/>
      <c r="U5" s="5"/>
      <c r="V5" s="5"/>
      <c r="W5" s="5"/>
      <c r="X5" s="5"/>
      <c r="Y5" s="5"/>
    </row>
    <row r="6" spans="1:25" x14ac:dyDescent="0.35">
      <c r="A6" s="5"/>
      <c r="B6" s="5"/>
      <c r="C6" s="5"/>
      <c r="D6" s="5"/>
      <c r="E6" s="5"/>
      <c r="F6" s="5"/>
      <c r="G6" s="5"/>
      <c r="H6" s="5"/>
      <c r="I6" s="5"/>
      <c r="J6" s="5"/>
      <c r="K6" s="5"/>
      <c r="L6" s="5"/>
      <c r="M6" s="5"/>
      <c r="N6" s="5"/>
      <c r="O6" s="5"/>
      <c r="P6" s="5"/>
      <c r="Q6" s="5"/>
      <c r="R6" s="5"/>
      <c r="S6" s="5"/>
      <c r="T6" s="5"/>
      <c r="U6" s="5"/>
      <c r="V6" s="5"/>
      <c r="W6" s="5"/>
      <c r="X6" s="5"/>
      <c r="Y6" s="5"/>
    </row>
    <row r="7" spans="1:25" x14ac:dyDescent="0.35">
      <c r="A7" s="5"/>
      <c r="B7" s="5"/>
      <c r="C7" s="5"/>
      <c r="D7" s="5"/>
      <c r="E7" s="5"/>
      <c r="F7" s="5"/>
      <c r="G7" s="5"/>
      <c r="H7" s="5"/>
      <c r="I7" s="5"/>
      <c r="J7" s="5"/>
      <c r="K7" s="5"/>
      <c r="L7" s="5"/>
      <c r="M7" s="5"/>
      <c r="N7" s="5"/>
      <c r="O7" s="5"/>
      <c r="P7" s="5"/>
      <c r="Q7" s="5"/>
      <c r="R7" s="5"/>
      <c r="S7" s="5"/>
      <c r="T7" s="5"/>
      <c r="U7" s="5"/>
      <c r="V7" s="5"/>
      <c r="W7" s="5"/>
      <c r="X7" s="5"/>
      <c r="Y7" s="5"/>
    </row>
    <row r="8" spans="1:25" x14ac:dyDescent="0.35">
      <c r="A8" s="5"/>
      <c r="B8" s="5"/>
      <c r="C8" s="5"/>
      <c r="D8" s="5"/>
      <c r="E8" s="5"/>
      <c r="F8" s="5"/>
      <c r="G8" s="5"/>
      <c r="H8" s="5"/>
      <c r="I8" s="5"/>
      <c r="J8" s="5"/>
      <c r="K8" s="5"/>
      <c r="L8" s="5"/>
      <c r="M8" s="5"/>
      <c r="N8" s="5"/>
      <c r="O8" s="5"/>
      <c r="P8" s="5"/>
      <c r="Q8" s="5"/>
      <c r="R8" s="5"/>
      <c r="S8" s="5"/>
      <c r="T8" s="5"/>
      <c r="U8" s="5"/>
      <c r="V8" s="5"/>
      <c r="W8" s="5"/>
      <c r="X8" s="5"/>
      <c r="Y8" s="5"/>
    </row>
    <row r="9" spans="1:25" x14ac:dyDescent="0.35">
      <c r="A9" s="5"/>
      <c r="B9" s="5"/>
      <c r="C9" s="5"/>
      <c r="D9" s="5"/>
      <c r="E9" s="5"/>
      <c r="F9" s="5"/>
      <c r="G9" s="5"/>
      <c r="H9" s="5"/>
      <c r="I9" s="5"/>
      <c r="J9" s="5"/>
      <c r="K9" s="5"/>
      <c r="L9" s="5"/>
      <c r="M9" s="5"/>
      <c r="N9" s="5"/>
      <c r="O9" s="5"/>
      <c r="P9" s="5"/>
      <c r="Q9" s="5"/>
      <c r="R9" s="5"/>
      <c r="S9" s="5"/>
      <c r="T9" s="5"/>
      <c r="U9" s="5"/>
      <c r="V9" s="5"/>
      <c r="W9" s="5"/>
      <c r="X9" s="5"/>
      <c r="Y9" s="5"/>
    </row>
    <row r="10" spans="1:25" x14ac:dyDescent="0.35">
      <c r="A10" s="5"/>
      <c r="B10" s="5"/>
      <c r="C10" s="5"/>
      <c r="D10" s="5"/>
      <c r="E10" s="5"/>
      <c r="F10" s="5"/>
      <c r="G10" s="5"/>
      <c r="H10" s="5"/>
      <c r="I10" s="5"/>
      <c r="J10" s="5"/>
      <c r="K10" s="5"/>
      <c r="L10" s="5"/>
      <c r="M10" s="5"/>
      <c r="N10" s="5"/>
      <c r="O10" s="5"/>
      <c r="P10" s="5"/>
      <c r="Q10" s="5"/>
      <c r="R10" s="5"/>
      <c r="S10" s="5"/>
      <c r="T10" s="5"/>
      <c r="U10" s="5"/>
      <c r="V10" s="5"/>
      <c r="W10" s="5"/>
      <c r="X10" s="5"/>
      <c r="Y10" s="5"/>
    </row>
    <row r="11" spans="1:25" x14ac:dyDescent="0.35">
      <c r="A11" s="5"/>
      <c r="B11" s="5"/>
      <c r="C11" s="5"/>
      <c r="D11" s="5"/>
      <c r="E11" s="5"/>
      <c r="F11" s="5"/>
      <c r="G11" s="5"/>
      <c r="H11" s="5"/>
      <c r="I11" s="5"/>
      <c r="J11" s="5"/>
      <c r="K11" s="5"/>
      <c r="L11" s="5"/>
      <c r="M11" s="5"/>
      <c r="N11" s="5"/>
      <c r="O11" s="5"/>
      <c r="P11" s="5"/>
      <c r="Q11" s="5"/>
      <c r="R11" s="5"/>
      <c r="S11" s="5"/>
      <c r="T11" s="5"/>
      <c r="U11" s="5"/>
      <c r="V11" s="5"/>
      <c r="W11" s="5"/>
      <c r="X11" s="5"/>
      <c r="Y11" s="5"/>
    </row>
    <row r="12" spans="1:25" x14ac:dyDescent="0.35">
      <c r="A12" s="5"/>
      <c r="B12" s="5"/>
      <c r="C12" s="5"/>
      <c r="D12" s="5"/>
      <c r="E12" s="5"/>
      <c r="F12" s="5"/>
      <c r="G12" s="5"/>
      <c r="H12" s="5"/>
      <c r="I12" s="5"/>
      <c r="J12" s="5"/>
      <c r="K12" s="5"/>
      <c r="L12" s="5"/>
      <c r="M12" s="5"/>
      <c r="N12" s="5"/>
      <c r="O12" s="5"/>
      <c r="P12" s="5"/>
      <c r="Q12" s="5"/>
      <c r="R12" s="5"/>
      <c r="S12" s="5"/>
      <c r="T12" s="5"/>
      <c r="U12" s="5"/>
      <c r="V12" s="5"/>
      <c r="W12" s="5"/>
      <c r="X12" s="5"/>
      <c r="Y12" s="5"/>
    </row>
    <row r="13" spans="1:25" x14ac:dyDescent="0.35">
      <c r="A13" s="5"/>
      <c r="B13" s="5"/>
      <c r="C13" s="5"/>
      <c r="D13" s="5"/>
      <c r="E13" s="5"/>
      <c r="F13" s="5"/>
      <c r="G13" s="5"/>
      <c r="H13" s="5"/>
      <c r="I13" s="5"/>
      <c r="J13" s="5"/>
      <c r="K13" s="5"/>
      <c r="L13" s="5"/>
      <c r="M13" s="5"/>
      <c r="N13" s="5"/>
      <c r="O13" s="5"/>
      <c r="P13" s="5"/>
      <c r="Q13" s="5"/>
      <c r="R13" s="5"/>
      <c r="S13" s="5"/>
      <c r="T13" s="5"/>
      <c r="U13" s="5"/>
      <c r="V13" s="5"/>
      <c r="W13" s="5"/>
      <c r="X13" s="5"/>
      <c r="Y13" s="5"/>
    </row>
    <row r="14" spans="1:25" x14ac:dyDescent="0.35">
      <c r="A14" s="5"/>
      <c r="B14" s="5"/>
      <c r="C14" s="5"/>
      <c r="D14" s="5"/>
      <c r="E14" s="5"/>
      <c r="F14" s="5"/>
      <c r="G14" s="5"/>
      <c r="H14" s="5"/>
      <c r="I14" s="5"/>
      <c r="J14" s="5"/>
      <c r="K14" s="5"/>
      <c r="L14" s="5"/>
      <c r="M14" s="5"/>
      <c r="N14" s="5"/>
      <c r="O14" s="5"/>
      <c r="P14" s="5"/>
      <c r="Q14" s="5"/>
      <c r="R14" s="5"/>
      <c r="S14" s="5"/>
      <c r="T14" s="5"/>
      <c r="U14" s="5"/>
      <c r="V14" s="5"/>
      <c r="W14" s="5"/>
      <c r="X14" s="5"/>
      <c r="Y14" s="5"/>
    </row>
    <row r="15" spans="1:25" x14ac:dyDescent="0.35">
      <c r="A15" s="5"/>
      <c r="B15" s="5"/>
      <c r="C15" s="5"/>
      <c r="D15" s="5"/>
      <c r="E15" s="5"/>
      <c r="F15" s="5"/>
      <c r="G15" s="5"/>
      <c r="H15" s="5"/>
      <c r="I15" s="5"/>
      <c r="J15" s="5"/>
      <c r="K15" s="5"/>
      <c r="L15" s="5"/>
      <c r="M15" s="5"/>
      <c r="N15" s="5"/>
      <c r="O15" s="5"/>
      <c r="P15" s="5"/>
      <c r="Q15" s="5"/>
      <c r="R15" s="5"/>
      <c r="S15" s="5"/>
      <c r="T15" s="5"/>
      <c r="U15" s="5"/>
      <c r="V15" s="5"/>
      <c r="W15" s="5"/>
      <c r="X15" s="5"/>
      <c r="Y15" s="5"/>
    </row>
    <row r="16" spans="1:25" x14ac:dyDescent="0.35">
      <c r="A16" s="5"/>
      <c r="B16" s="5"/>
      <c r="C16" s="5"/>
      <c r="D16" s="5"/>
      <c r="E16" s="5"/>
      <c r="F16" s="5"/>
      <c r="G16" s="5"/>
      <c r="H16" s="5"/>
      <c r="I16" s="5"/>
      <c r="J16" s="5"/>
      <c r="K16" s="5"/>
      <c r="L16" s="5"/>
      <c r="M16" s="5"/>
      <c r="N16" s="5"/>
      <c r="O16" s="5"/>
      <c r="P16" s="5"/>
      <c r="Q16" s="5"/>
      <c r="R16" s="5"/>
      <c r="S16" s="5"/>
      <c r="T16" s="5"/>
      <c r="U16" s="5"/>
      <c r="V16" s="5"/>
      <c r="W16" s="5"/>
      <c r="X16" s="5"/>
      <c r="Y16" s="5"/>
    </row>
    <row r="17" spans="1:25" x14ac:dyDescent="0.35">
      <c r="A17" s="5"/>
      <c r="B17" s="5"/>
      <c r="C17" s="5"/>
      <c r="D17" s="5"/>
      <c r="E17" s="5"/>
      <c r="F17" s="5"/>
      <c r="G17" s="5"/>
      <c r="H17" s="5"/>
      <c r="I17" s="5"/>
      <c r="J17" s="5"/>
      <c r="K17" s="5"/>
      <c r="L17" s="5"/>
      <c r="M17" s="5"/>
      <c r="N17" s="5"/>
      <c r="O17" s="5"/>
      <c r="P17" s="5"/>
      <c r="Q17" s="5"/>
      <c r="R17" s="5"/>
      <c r="S17" s="5"/>
      <c r="T17" s="5"/>
      <c r="U17" s="5"/>
      <c r="V17" s="5"/>
      <c r="W17" s="5"/>
      <c r="X17" s="5"/>
      <c r="Y17" s="5"/>
    </row>
    <row r="18" spans="1:25" x14ac:dyDescent="0.35">
      <c r="A18" s="5"/>
      <c r="B18" s="5"/>
      <c r="C18" s="5"/>
      <c r="D18" s="5"/>
      <c r="E18" s="5"/>
      <c r="F18" s="5"/>
      <c r="G18" s="5"/>
      <c r="H18" s="5"/>
      <c r="I18" s="5"/>
      <c r="J18" s="5"/>
      <c r="K18" s="5"/>
      <c r="L18" s="5"/>
      <c r="M18" s="5"/>
      <c r="N18" s="5"/>
      <c r="O18" s="5"/>
      <c r="P18" s="5"/>
      <c r="Q18" s="5"/>
      <c r="R18" s="5"/>
      <c r="S18" s="5"/>
      <c r="T18" s="5"/>
      <c r="U18" s="5"/>
      <c r="V18" s="5"/>
      <c r="W18" s="5"/>
      <c r="X18" s="5"/>
      <c r="Y18" s="5"/>
    </row>
    <row r="19" spans="1:25" x14ac:dyDescent="0.35">
      <c r="A19" s="5"/>
      <c r="B19" s="5"/>
      <c r="C19" s="5"/>
      <c r="D19" s="5"/>
      <c r="E19" s="5"/>
      <c r="F19" s="5"/>
      <c r="G19" s="5"/>
      <c r="H19" s="5"/>
      <c r="I19" s="5"/>
      <c r="J19" s="5"/>
      <c r="K19" s="5"/>
      <c r="L19" s="5"/>
      <c r="M19" s="5"/>
      <c r="N19" s="5"/>
      <c r="O19" s="5"/>
      <c r="P19" s="5"/>
      <c r="Q19" s="5"/>
      <c r="R19" s="5"/>
      <c r="S19" s="5"/>
      <c r="T19" s="5"/>
      <c r="U19" s="5"/>
      <c r="V19" s="5"/>
      <c r="W19" s="5"/>
      <c r="X19" s="5"/>
      <c r="Y19" s="5"/>
    </row>
    <row r="20" spans="1:25" x14ac:dyDescent="0.35">
      <c r="A20" s="5"/>
      <c r="B20" s="5"/>
      <c r="C20" s="5"/>
      <c r="D20" s="5"/>
      <c r="E20" s="5"/>
      <c r="F20" s="5"/>
      <c r="G20" s="5"/>
      <c r="H20" s="5"/>
      <c r="I20" s="5"/>
      <c r="J20" s="5"/>
      <c r="K20" s="5"/>
      <c r="L20" s="5"/>
      <c r="M20" s="5"/>
      <c r="N20" s="5"/>
      <c r="O20" s="5"/>
      <c r="P20" s="5"/>
      <c r="Q20" s="5"/>
      <c r="R20" s="5"/>
      <c r="S20" s="5"/>
      <c r="T20" s="5"/>
      <c r="U20" s="5"/>
      <c r="V20" s="5"/>
      <c r="W20" s="5"/>
      <c r="X20" s="5"/>
      <c r="Y20" s="5"/>
    </row>
    <row r="21" spans="1:25" x14ac:dyDescent="0.35">
      <c r="A21" s="5"/>
      <c r="B21" s="5"/>
      <c r="C21" s="5"/>
      <c r="D21" s="5"/>
      <c r="E21" s="5"/>
      <c r="F21" s="5"/>
      <c r="G21" s="5"/>
      <c r="H21" s="5"/>
      <c r="I21" s="5"/>
      <c r="J21" s="5"/>
      <c r="K21" s="5"/>
      <c r="L21" s="5"/>
      <c r="M21" s="5"/>
      <c r="N21" s="5"/>
      <c r="O21" s="5"/>
      <c r="P21" s="5"/>
      <c r="Q21" s="5"/>
      <c r="R21" s="5"/>
      <c r="S21" s="5"/>
      <c r="T21" s="5"/>
      <c r="U21" s="5"/>
      <c r="V21" s="5"/>
      <c r="W21" s="5"/>
      <c r="X21" s="5"/>
      <c r="Y21" s="5"/>
    </row>
    <row r="22" spans="1:25" x14ac:dyDescent="0.35">
      <c r="A22" s="5"/>
      <c r="B22" s="5"/>
      <c r="C22" s="5"/>
      <c r="D22" s="5"/>
      <c r="E22" s="5"/>
      <c r="F22" s="5"/>
      <c r="G22" s="5"/>
      <c r="H22" s="5"/>
      <c r="I22" s="5"/>
      <c r="J22" s="5"/>
      <c r="K22" s="5"/>
      <c r="L22" s="5"/>
      <c r="M22" s="5"/>
      <c r="N22" s="5"/>
      <c r="O22" s="5"/>
      <c r="P22" s="5"/>
      <c r="Q22" s="5"/>
      <c r="R22" s="5"/>
      <c r="S22" s="5"/>
      <c r="T22" s="5"/>
      <c r="U22" s="5"/>
      <c r="V22" s="5"/>
      <c r="W22" s="5"/>
      <c r="X22" s="5"/>
      <c r="Y22" s="5"/>
    </row>
    <row r="23" spans="1:25" x14ac:dyDescent="0.35">
      <c r="A23" s="5"/>
      <c r="B23" s="5"/>
      <c r="C23" s="5"/>
      <c r="D23" s="5"/>
      <c r="E23" s="5"/>
      <c r="F23" s="5"/>
      <c r="G23" s="5"/>
      <c r="H23" s="5"/>
      <c r="I23" s="5"/>
      <c r="J23" s="5"/>
      <c r="K23" s="5"/>
      <c r="L23" s="5"/>
      <c r="M23" s="5"/>
      <c r="N23" s="5"/>
      <c r="O23" s="5"/>
      <c r="P23" s="5"/>
      <c r="Q23" s="5"/>
      <c r="R23" s="5"/>
      <c r="S23" s="5"/>
      <c r="T23" s="5"/>
      <c r="U23" s="5"/>
      <c r="V23" s="5"/>
      <c r="W23" s="5"/>
      <c r="X23" s="5"/>
      <c r="Y23" s="5"/>
    </row>
    <row r="24" spans="1:25" x14ac:dyDescent="0.35">
      <c r="A24" s="5"/>
      <c r="B24" s="5"/>
      <c r="C24" s="5"/>
      <c r="D24" s="5"/>
      <c r="E24" s="5"/>
      <c r="F24" s="5"/>
      <c r="G24" s="5"/>
      <c r="H24" s="5"/>
      <c r="I24" s="5"/>
      <c r="J24" s="5"/>
      <c r="K24" s="5"/>
      <c r="L24" s="5"/>
      <c r="M24" s="5"/>
      <c r="N24" s="5"/>
      <c r="O24" s="5"/>
      <c r="P24" s="5"/>
      <c r="Q24" s="5"/>
      <c r="R24" s="5"/>
      <c r="S24" s="5"/>
      <c r="T24" s="5"/>
      <c r="U24" s="5"/>
      <c r="V24" s="5"/>
      <c r="W24" s="5"/>
      <c r="X24" s="5"/>
      <c r="Y24" s="5"/>
    </row>
    <row r="25" spans="1:25" x14ac:dyDescent="0.35">
      <c r="A25" s="5"/>
      <c r="B25" s="5"/>
      <c r="C25" s="5"/>
      <c r="D25" s="5"/>
      <c r="E25" s="5"/>
      <c r="F25" s="5"/>
      <c r="G25" s="5"/>
      <c r="H25" s="5"/>
      <c r="I25" s="5"/>
      <c r="J25" s="5"/>
      <c r="K25" s="5"/>
      <c r="L25" s="5"/>
      <c r="M25" s="5"/>
      <c r="N25" s="5"/>
      <c r="O25" s="5"/>
      <c r="P25" s="5"/>
      <c r="Q25" s="5"/>
      <c r="R25" s="5"/>
      <c r="S25" s="5"/>
      <c r="T25" s="5"/>
      <c r="U25" s="5"/>
      <c r="V25" s="5"/>
      <c r="W25" s="5"/>
      <c r="X25" s="5"/>
      <c r="Y25" s="5"/>
    </row>
    <row r="26" spans="1:25" x14ac:dyDescent="0.35">
      <c r="A26" s="5"/>
      <c r="B26" s="5"/>
      <c r="C26" s="5"/>
      <c r="D26" s="5"/>
      <c r="E26" s="5"/>
      <c r="F26" s="5"/>
      <c r="G26" s="5"/>
      <c r="H26" s="5"/>
      <c r="I26" s="5"/>
      <c r="J26" s="5"/>
      <c r="K26" s="5"/>
      <c r="L26" s="5"/>
      <c r="M26" s="5"/>
      <c r="N26" s="5"/>
      <c r="O26" s="5"/>
      <c r="P26" s="5"/>
      <c r="Q26" s="5"/>
      <c r="R26" s="5"/>
      <c r="S26" s="5"/>
      <c r="T26" s="5"/>
      <c r="U26" s="5"/>
      <c r="V26" s="5"/>
      <c r="W26" s="5"/>
      <c r="X26" s="5"/>
      <c r="Y2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B1FF-8356-4B41-A659-6F95327B6492}">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47E8A-9B45-486E-B017-9AE7D357026D}">
  <dimension ref="A1:E3"/>
  <sheetViews>
    <sheetView topLeftCell="B1" zoomScaleNormal="100" workbookViewId="0">
      <selection activeCell="K9" sqref="K9"/>
    </sheetView>
  </sheetViews>
  <sheetFormatPr defaultRowHeight="14.5" x14ac:dyDescent="0.35"/>
  <cols>
    <col min="1" max="1" width="14" bestFit="1" customWidth="1"/>
    <col min="2" max="2" width="15.26953125" bestFit="1" customWidth="1"/>
    <col min="3" max="4" width="8.81640625" bestFit="1" customWidth="1"/>
    <col min="5" max="5" width="10.7265625" bestFit="1" customWidth="1"/>
    <col min="6" max="9" width="8.81640625" bestFit="1" customWidth="1"/>
    <col min="10" max="10" width="10" bestFit="1" customWidth="1"/>
    <col min="11" max="11" width="8.81640625" bestFit="1" customWidth="1"/>
    <col min="12" max="12" width="9.54296875" bestFit="1" customWidth="1"/>
    <col min="13" max="13" width="9.36328125" bestFit="1" customWidth="1"/>
    <col min="14" max="14" width="10.7265625" bestFit="1" customWidth="1"/>
    <col min="15" max="16" width="20.1796875" bestFit="1" customWidth="1"/>
    <col min="17" max="17" width="25" bestFit="1" customWidth="1"/>
    <col min="18" max="18" width="18.81640625" bestFit="1" customWidth="1"/>
  </cols>
  <sheetData>
    <row r="1" spans="1:5" x14ac:dyDescent="0.35">
      <c r="B1" s="3" t="s">
        <v>2060</v>
      </c>
    </row>
    <row r="2" spans="1:5" x14ac:dyDescent="0.35">
      <c r="B2" t="s">
        <v>33</v>
      </c>
      <c r="C2" t="s">
        <v>2062</v>
      </c>
      <c r="D2" t="s">
        <v>2063</v>
      </c>
      <c r="E2" t="s">
        <v>2057</v>
      </c>
    </row>
    <row r="3" spans="1:5" x14ac:dyDescent="0.35">
      <c r="A3" t="s">
        <v>2058</v>
      </c>
      <c r="B3">
        <v>462219</v>
      </c>
      <c r="C3">
        <v>63772.149999999994</v>
      </c>
      <c r="D3">
        <v>59358.68</v>
      </c>
      <c r="E3">
        <v>585349.83000000007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3AD6-DBCB-41F7-A16B-215F34BE5295}">
  <dimension ref="A1:R105334"/>
  <sheetViews>
    <sheetView topLeftCell="A2" workbookViewId="0">
      <selection sqref="A1:R1000"/>
    </sheetView>
  </sheetViews>
  <sheetFormatPr defaultRowHeight="14.5" x14ac:dyDescent="0.35"/>
  <cols>
    <col min="2" max="2" width="10" customWidth="1"/>
    <col min="3" max="3" width="10.08984375" bestFit="1" customWidth="1"/>
    <col min="4" max="4" width="9.81640625" customWidth="1"/>
    <col min="6" max="6" width="11.26953125" customWidth="1"/>
    <col min="7" max="7" width="9" customWidth="1"/>
    <col min="8" max="8" width="16.81640625" customWidth="1"/>
    <col min="9" max="9" width="8.6328125" customWidth="1"/>
    <col min="11" max="11" width="10.26953125" customWidth="1"/>
    <col min="14" max="14" width="10" customWidth="1"/>
    <col min="15" max="15" width="9.6328125" customWidth="1"/>
    <col min="16" max="16" width="9.81640625" customWidth="1"/>
    <col min="17" max="17" width="11.1796875" customWidth="1"/>
    <col min="18" max="18" width="13.36328125" customWidth="1"/>
  </cols>
  <sheetData>
    <row r="1" spans="1:18" x14ac:dyDescent="0.35">
      <c r="A1" t="s">
        <v>0</v>
      </c>
      <c r="B1" t="s">
        <v>1</v>
      </c>
      <c r="C1" t="s">
        <v>2</v>
      </c>
      <c r="D1" t="s">
        <v>2054</v>
      </c>
      <c r="E1" t="s">
        <v>3</v>
      </c>
      <c r="F1" t="s">
        <v>4</v>
      </c>
      <c r="G1" t="s">
        <v>2050</v>
      </c>
      <c r="H1" t="s">
        <v>2052</v>
      </c>
      <c r="I1" t="s">
        <v>2053</v>
      </c>
      <c r="J1" t="s">
        <v>5</v>
      </c>
      <c r="K1" t="s">
        <v>6</v>
      </c>
      <c r="L1" t="s">
        <v>7</v>
      </c>
      <c r="M1" t="s">
        <v>8</v>
      </c>
      <c r="N1" t="s">
        <v>9</v>
      </c>
      <c r="O1" t="s">
        <v>10</v>
      </c>
      <c r="P1" t="s">
        <v>11</v>
      </c>
      <c r="Q1" t="s">
        <v>12</v>
      </c>
      <c r="R1" t="s">
        <v>13</v>
      </c>
    </row>
    <row r="2" spans="1:18" x14ac:dyDescent="0.35">
      <c r="A2">
        <v>0</v>
      </c>
      <c r="B2" t="s">
        <v>14</v>
      </c>
      <c r="C2" s="1">
        <f ca="1">RANDBETWEEN(DATE(2023,1,1), DATE(2024,12,31))</f>
        <v>45224</v>
      </c>
      <c r="D2" t="str">
        <f ca="1">TEXT(C2, "MMMM")</f>
        <v>October</v>
      </c>
      <c r="E2" t="s">
        <v>15</v>
      </c>
      <c r="F2" t="s">
        <v>16</v>
      </c>
      <c r="G2" t="str">
        <f>IF(K2="Set","Women",IF(K2="Kurta","Men",IF(K2="Top","Women",IF(K2="Western Dress","Women",IF(K2="Ethnic Dress","Women",IF(K2="Saree","Women",0))))))</f>
        <v>Women</v>
      </c>
      <c r="H2" t="str">
        <f ca="1">IF(F2="Merchant",IF(RAND()&gt;0.5,"Myntra","Flipkart"),IF(F2="Amazon","Amazon",0))</f>
        <v>Myntra</v>
      </c>
      <c r="I2">
        <f ca="1">RANDBETWEEN(18, 60)</f>
        <v>45</v>
      </c>
      <c r="J2" t="s">
        <v>17</v>
      </c>
      <c r="K2" t="s">
        <v>18</v>
      </c>
      <c r="L2" t="s">
        <v>19</v>
      </c>
      <c r="M2">
        <v>0</v>
      </c>
      <c r="N2" t="s">
        <v>20</v>
      </c>
      <c r="O2">
        <v>647.62</v>
      </c>
      <c r="P2" t="s">
        <v>21</v>
      </c>
      <c r="Q2" t="s">
        <v>22</v>
      </c>
      <c r="R2" t="s">
        <v>23</v>
      </c>
    </row>
    <row r="3" spans="1:18" x14ac:dyDescent="0.35">
      <c r="A3">
        <v>1</v>
      </c>
      <c r="B3" t="s">
        <v>24</v>
      </c>
      <c r="C3" s="1">
        <f t="shared" ref="C3:C66" ca="1" si="0">RANDBETWEEN(DATE(2023,1,1), DATE(2024,12,31))</f>
        <v>45569</v>
      </c>
      <c r="D3" t="str">
        <f t="shared" ref="D3:D66" ca="1" si="1">TEXT(C3, "MMMM")</f>
        <v>October</v>
      </c>
      <c r="E3" t="s">
        <v>25</v>
      </c>
      <c r="F3" t="s">
        <v>16</v>
      </c>
      <c r="G3" t="str">
        <f t="shared" ref="G3:G66" si="2">IF(K3="Set","Women",IF(K3="Kurta","Men",IF(K3="Top","Women",IF(K3="Western Dress","Women",IF(K3="Ethnic Dress","Women",IF(K3="Saree","Women",0))))))</f>
        <v>Men</v>
      </c>
      <c r="H3" t="str">
        <f t="shared" ref="H3:H66" ca="1" si="3">IF(F3="Merchant",IF(RAND()&gt;0.5,"Myntra","Flipkart"),IF(F3="Amazon","Amazon",0))</f>
        <v>Myntra</v>
      </c>
      <c r="I3">
        <f t="shared" ref="I3:I66" ca="1" si="4">RANDBETWEEN(18, 60)</f>
        <v>47</v>
      </c>
      <c r="J3" t="s">
        <v>26</v>
      </c>
      <c r="K3" t="s">
        <v>27</v>
      </c>
      <c r="L3" t="s">
        <v>28</v>
      </c>
      <c r="M3">
        <v>1</v>
      </c>
      <c r="N3" t="s">
        <v>20</v>
      </c>
      <c r="O3">
        <v>406</v>
      </c>
      <c r="P3" t="s">
        <v>30</v>
      </c>
      <c r="Q3" t="s">
        <v>31</v>
      </c>
      <c r="R3" t="s">
        <v>23</v>
      </c>
    </row>
    <row r="4" spans="1:18" x14ac:dyDescent="0.35">
      <c r="A4">
        <v>2</v>
      </c>
      <c r="B4" t="s">
        <v>32</v>
      </c>
      <c r="C4" s="1">
        <f t="shared" ca="1" si="0"/>
        <v>45630</v>
      </c>
      <c r="D4" t="str">
        <f t="shared" ca="1" si="1"/>
        <v>December</v>
      </c>
      <c r="E4" t="s">
        <v>29</v>
      </c>
      <c r="F4" t="s">
        <v>33</v>
      </c>
      <c r="G4" t="str">
        <f t="shared" si="2"/>
        <v>Men</v>
      </c>
      <c r="H4" t="str">
        <f t="shared" ca="1" si="3"/>
        <v>Amazon</v>
      </c>
      <c r="I4">
        <f t="shared" ca="1" si="4"/>
        <v>21</v>
      </c>
      <c r="J4" t="s">
        <v>34</v>
      </c>
      <c r="K4" t="s">
        <v>27</v>
      </c>
      <c r="L4" t="s">
        <v>35</v>
      </c>
      <c r="M4">
        <v>1</v>
      </c>
      <c r="N4" t="s">
        <v>20</v>
      </c>
      <c r="O4">
        <v>329</v>
      </c>
      <c r="P4" t="s">
        <v>36</v>
      </c>
      <c r="Q4" t="s">
        <v>22</v>
      </c>
      <c r="R4" t="s">
        <v>23</v>
      </c>
    </row>
    <row r="5" spans="1:18" x14ac:dyDescent="0.35">
      <c r="A5">
        <v>3</v>
      </c>
      <c r="B5" t="s">
        <v>37</v>
      </c>
      <c r="C5" s="1">
        <f t="shared" ca="1" si="0"/>
        <v>45440</v>
      </c>
      <c r="D5" t="str">
        <f t="shared" ca="1" si="1"/>
        <v>May</v>
      </c>
      <c r="E5" t="s">
        <v>15</v>
      </c>
      <c r="F5" t="s">
        <v>16</v>
      </c>
      <c r="G5" t="str">
        <f t="shared" si="2"/>
        <v>Women</v>
      </c>
      <c r="H5" t="str">
        <f t="shared" ca="1" si="3"/>
        <v>Myntra</v>
      </c>
      <c r="I5">
        <f t="shared" ca="1" si="4"/>
        <v>45</v>
      </c>
      <c r="J5" t="s">
        <v>38</v>
      </c>
      <c r="K5" t="s">
        <v>39</v>
      </c>
      <c r="L5" t="s">
        <v>40</v>
      </c>
      <c r="M5">
        <v>0</v>
      </c>
      <c r="N5" t="s">
        <v>20</v>
      </c>
      <c r="O5">
        <v>753.33</v>
      </c>
      <c r="P5" t="s">
        <v>41</v>
      </c>
      <c r="Q5" t="s">
        <v>41</v>
      </c>
      <c r="R5" t="s">
        <v>23</v>
      </c>
    </row>
    <row r="6" spans="1:18" x14ac:dyDescent="0.35">
      <c r="A6">
        <v>4</v>
      </c>
      <c r="B6" t="s">
        <v>42</v>
      </c>
      <c r="C6" s="1">
        <f t="shared" ca="1" si="0"/>
        <v>45121</v>
      </c>
      <c r="D6" t="str">
        <f t="shared" ca="1" si="1"/>
        <v>July</v>
      </c>
      <c r="E6" t="s">
        <v>29</v>
      </c>
      <c r="F6" t="s">
        <v>33</v>
      </c>
      <c r="G6" t="str">
        <f t="shared" si="2"/>
        <v>Women</v>
      </c>
      <c r="H6" t="str">
        <f t="shared" ca="1" si="3"/>
        <v>Amazon</v>
      </c>
      <c r="I6">
        <f t="shared" ca="1" si="4"/>
        <v>28</v>
      </c>
      <c r="J6" t="s">
        <v>43</v>
      </c>
      <c r="K6" t="s">
        <v>44</v>
      </c>
      <c r="L6" t="s">
        <v>28</v>
      </c>
      <c r="M6">
        <v>1</v>
      </c>
      <c r="N6" t="s">
        <v>20</v>
      </c>
      <c r="O6">
        <v>574</v>
      </c>
      <c r="P6" t="s">
        <v>45</v>
      </c>
      <c r="Q6" t="s">
        <v>46</v>
      </c>
      <c r="R6" t="s">
        <v>23</v>
      </c>
    </row>
    <row r="7" spans="1:18" x14ac:dyDescent="0.35">
      <c r="A7">
        <v>5</v>
      </c>
      <c r="B7" t="s">
        <v>47</v>
      </c>
      <c r="C7" s="1">
        <f t="shared" ca="1" si="0"/>
        <v>45099</v>
      </c>
      <c r="D7" t="str">
        <f t="shared" ca="1" si="1"/>
        <v>June</v>
      </c>
      <c r="E7" t="s">
        <v>29</v>
      </c>
      <c r="F7" t="s">
        <v>33</v>
      </c>
      <c r="G7" t="str">
        <f t="shared" si="2"/>
        <v>Women</v>
      </c>
      <c r="H7" t="str">
        <f t="shared" ca="1" si="3"/>
        <v>Amazon</v>
      </c>
      <c r="I7">
        <f t="shared" ca="1" si="4"/>
        <v>40</v>
      </c>
      <c r="J7" t="s">
        <v>48</v>
      </c>
      <c r="K7" t="s">
        <v>18</v>
      </c>
      <c r="L7" t="s">
        <v>35</v>
      </c>
      <c r="M7">
        <v>1</v>
      </c>
      <c r="N7" t="s">
        <v>20</v>
      </c>
      <c r="O7">
        <v>824</v>
      </c>
      <c r="P7" t="s">
        <v>49</v>
      </c>
      <c r="Q7" t="s">
        <v>50</v>
      </c>
      <c r="R7" t="s">
        <v>23</v>
      </c>
    </row>
    <row r="8" spans="1:18" x14ac:dyDescent="0.35">
      <c r="A8">
        <v>6</v>
      </c>
      <c r="B8" t="s">
        <v>51</v>
      </c>
      <c r="C8" s="1">
        <f t="shared" ca="1" si="0"/>
        <v>45119</v>
      </c>
      <c r="D8" t="str">
        <f t="shared" ca="1" si="1"/>
        <v>July</v>
      </c>
      <c r="E8" t="s">
        <v>29</v>
      </c>
      <c r="F8" t="s">
        <v>33</v>
      </c>
      <c r="G8" t="str">
        <f t="shared" si="2"/>
        <v>Women</v>
      </c>
      <c r="H8" t="str">
        <f t="shared" ca="1" si="3"/>
        <v>Amazon</v>
      </c>
      <c r="I8">
        <f t="shared" ca="1" si="4"/>
        <v>30</v>
      </c>
      <c r="J8" t="s">
        <v>52</v>
      </c>
      <c r="K8" t="s">
        <v>18</v>
      </c>
      <c r="L8" t="s">
        <v>40</v>
      </c>
      <c r="M8">
        <v>1</v>
      </c>
      <c r="N8" t="s">
        <v>20</v>
      </c>
      <c r="O8">
        <v>653</v>
      </c>
      <c r="P8" t="s">
        <v>53</v>
      </c>
      <c r="Q8" t="s">
        <v>53</v>
      </c>
      <c r="R8" t="s">
        <v>23</v>
      </c>
    </row>
    <row r="9" spans="1:18" x14ac:dyDescent="0.35">
      <c r="A9">
        <v>7</v>
      </c>
      <c r="B9" t="s">
        <v>54</v>
      </c>
      <c r="C9" s="1">
        <f t="shared" ca="1" si="0"/>
        <v>45028</v>
      </c>
      <c r="D9" t="str">
        <f t="shared" ca="1" si="1"/>
        <v>April</v>
      </c>
      <c r="E9" t="s">
        <v>25</v>
      </c>
      <c r="F9" t="s">
        <v>16</v>
      </c>
      <c r="G9" t="str">
        <f t="shared" si="2"/>
        <v>Men</v>
      </c>
      <c r="H9" t="str">
        <f t="shared" ca="1" si="3"/>
        <v>Flipkart</v>
      </c>
      <c r="I9">
        <f t="shared" ca="1" si="4"/>
        <v>58</v>
      </c>
      <c r="J9" t="s">
        <v>55</v>
      </c>
      <c r="K9" t="s">
        <v>27</v>
      </c>
      <c r="L9" t="s">
        <v>19</v>
      </c>
      <c r="M9">
        <v>1</v>
      </c>
      <c r="N9" t="s">
        <v>20</v>
      </c>
      <c r="O9">
        <v>399</v>
      </c>
      <c r="P9" t="s">
        <v>56</v>
      </c>
      <c r="Q9" t="s">
        <v>57</v>
      </c>
      <c r="R9" t="s">
        <v>23</v>
      </c>
    </row>
    <row r="10" spans="1:18" x14ac:dyDescent="0.35">
      <c r="A10">
        <v>8</v>
      </c>
      <c r="B10" t="s">
        <v>58</v>
      </c>
      <c r="C10" s="1">
        <f t="shared" ca="1" si="0"/>
        <v>45136</v>
      </c>
      <c r="D10" t="str">
        <f t="shared" ca="1" si="1"/>
        <v>July</v>
      </c>
      <c r="E10" t="s">
        <v>15</v>
      </c>
      <c r="F10" t="s">
        <v>33</v>
      </c>
      <c r="G10" t="str">
        <f t="shared" si="2"/>
        <v>Women</v>
      </c>
      <c r="H10" t="str">
        <f t="shared" ca="1" si="3"/>
        <v>Amazon</v>
      </c>
      <c r="I10">
        <f t="shared" ca="1" si="4"/>
        <v>57</v>
      </c>
      <c r="J10" t="s">
        <v>59</v>
      </c>
      <c r="K10" t="s">
        <v>18</v>
      </c>
      <c r="L10" t="s">
        <v>28</v>
      </c>
      <c r="M10">
        <v>0</v>
      </c>
      <c r="P10" t="s">
        <v>56</v>
      </c>
      <c r="Q10" t="s">
        <v>57</v>
      </c>
      <c r="R10" t="s">
        <v>23</v>
      </c>
    </row>
    <row r="11" spans="1:18" x14ac:dyDescent="0.35">
      <c r="A11">
        <v>9</v>
      </c>
      <c r="B11" t="s">
        <v>60</v>
      </c>
      <c r="C11" s="1">
        <f t="shared" ca="1" si="0"/>
        <v>45259</v>
      </c>
      <c r="D11" t="str">
        <f t="shared" ca="1" si="1"/>
        <v>November</v>
      </c>
      <c r="E11" t="s">
        <v>29</v>
      </c>
      <c r="F11" t="s">
        <v>33</v>
      </c>
      <c r="G11" t="str">
        <f t="shared" si="2"/>
        <v>Men</v>
      </c>
      <c r="H11" t="str">
        <f t="shared" ca="1" si="3"/>
        <v>Amazon</v>
      </c>
      <c r="I11">
        <f t="shared" ca="1" si="4"/>
        <v>28</v>
      </c>
      <c r="J11" t="s">
        <v>61</v>
      </c>
      <c r="K11" t="s">
        <v>27</v>
      </c>
      <c r="L11" t="s">
        <v>62</v>
      </c>
      <c r="M11">
        <v>1</v>
      </c>
      <c r="N11" t="s">
        <v>20</v>
      </c>
      <c r="O11">
        <v>363</v>
      </c>
      <c r="P11" t="s">
        <v>63</v>
      </c>
      <c r="Q11" t="s">
        <v>46</v>
      </c>
      <c r="R11" t="s">
        <v>23</v>
      </c>
    </row>
    <row r="12" spans="1:18" x14ac:dyDescent="0.35">
      <c r="A12">
        <v>10</v>
      </c>
      <c r="B12" t="s">
        <v>64</v>
      </c>
      <c r="C12" s="1">
        <f t="shared" ca="1" si="0"/>
        <v>44954</v>
      </c>
      <c r="D12" t="str">
        <f t="shared" ca="1" si="1"/>
        <v>January</v>
      </c>
      <c r="E12" t="s">
        <v>29</v>
      </c>
      <c r="F12" t="s">
        <v>33</v>
      </c>
      <c r="G12" t="str">
        <f t="shared" si="2"/>
        <v>Men</v>
      </c>
      <c r="H12" t="str">
        <f t="shared" ca="1" si="3"/>
        <v>Amazon</v>
      </c>
      <c r="I12">
        <f t="shared" ca="1" si="4"/>
        <v>47</v>
      </c>
      <c r="J12" t="s">
        <v>65</v>
      </c>
      <c r="K12" t="s">
        <v>27</v>
      </c>
      <c r="L12" t="s">
        <v>19</v>
      </c>
      <c r="M12">
        <v>1</v>
      </c>
      <c r="N12" t="s">
        <v>20</v>
      </c>
      <c r="O12">
        <v>685</v>
      </c>
      <c r="P12" t="s">
        <v>45</v>
      </c>
      <c r="Q12" t="s">
        <v>46</v>
      </c>
      <c r="R12" t="s">
        <v>23</v>
      </c>
    </row>
    <row r="13" spans="1:18" x14ac:dyDescent="0.35">
      <c r="A13">
        <v>11</v>
      </c>
      <c r="B13" t="s">
        <v>66</v>
      </c>
      <c r="C13" s="1">
        <f t="shared" ca="1" si="0"/>
        <v>45142</v>
      </c>
      <c r="D13" t="str">
        <f t="shared" ca="1" si="1"/>
        <v>August</v>
      </c>
      <c r="E13" t="s">
        <v>29</v>
      </c>
      <c r="F13" t="s">
        <v>33</v>
      </c>
      <c r="G13" t="str">
        <f t="shared" si="2"/>
        <v>Men</v>
      </c>
      <c r="H13" t="str">
        <f t="shared" ca="1" si="3"/>
        <v>Amazon</v>
      </c>
      <c r="I13">
        <f t="shared" ca="1" si="4"/>
        <v>30</v>
      </c>
      <c r="J13" t="s">
        <v>67</v>
      </c>
      <c r="K13" t="s">
        <v>27</v>
      </c>
      <c r="L13" t="s">
        <v>68</v>
      </c>
      <c r="M13">
        <v>1</v>
      </c>
      <c r="N13" t="s">
        <v>20</v>
      </c>
      <c r="O13">
        <v>364</v>
      </c>
      <c r="P13" t="s">
        <v>69</v>
      </c>
      <c r="Q13" t="s">
        <v>50</v>
      </c>
      <c r="R13" t="s">
        <v>23</v>
      </c>
    </row>
    <row r="14" spans="1:18" x14ac:dyDescent="0.35">
      <c r="A14">
        <v>12</v>
      </c>
      <c r="B14" t="s">
        <v>70</v>
      </c>
      <c r="C14" s="1">
        <f t="shared" ca="1" si="0"/>
        <v>45248</v>
      </c>
      <c r="D14" t="str">
        <f t="shared" ca="1" si="1"/>
        <v>November</v>
      </c>
      <c r="E14" t="s">
        <v>25</v>
      </c>
      <c r="F14" t="s">
        <v>16</v>
      </c>
      <c r="G14" t="str">
        <f t="shared" si="2"/>
        <v>Men</v>
      </c>
      <c r="H14" t="str">
        <f t="shared" ca="1" si="3"/>
        <v>Flipkart</v>
      </c>
      <c r="I14">
        <f t="shared" ca="1" si="4"/>
        <v>24</v>
      </c>
      <c r="J14" t="s">
        <v>71</v>
      </c>
      <c r="K14" t="s">
        <v>27</v>
      </c>
      <c r="L14" t="s">
        <v>68</v>
      </c>
      <c r="M14">
        <v>1</v>
      </c>
      <c r="N14" t="s">
        <v>20</v>
      </c>
      <c r="O14">
        <v>399</v>
      </c>
      <c r="P14" t="s">
        <v>72</v>
      </c>
      <c r="Q14" t="s">
        <v>22</v>
      </c>
      <c r="R14" t="s">
        <v>23</v>
      </c>
    </row>
    <row r="15" spans="1:18" x14ac:dyDescent="0.35">
      <c r="A15">
        <v>13</v>
      </c>
      <c r="B15" t="s">
        <v>73</v>
      </c>
      <c r="C15" s="1">
        <f t="shared" ca="1" si="0"/>
        <v>45651</v>
      </c>
      <c r="D15" t="str">
        <f t="shared" ca="1" si="1"/>
        <v>December</v>
      </c>
      <c r="E15" t="s">
        <v>29</v>
      </c>
      <c r="F15" t="s">
        <v>33</v>
      </c>
      <c r="G15" t="str">
        <f t="shared" si="2"/>
        <v>Women</v>
      </c>
      <c r="H15" t="str">
        <f t="shared" ca="1" si="3"/>
        <v>Amazon</v>
      </c>
      <c r="I15">
        <f t="shared" ca="1" si="4"/>
        <v>20</v>
      </c>
      <c r="J15" t="s">
        <v>74</v>
      </c>
      <c r="K15" t="s">
        <v>18</v>
      </c>
      <c r="L15" t="s">
        <v>68</v>
      </c>
      <c r="M15">
        <v>1</v>
      </c>
      <c r="N15" t="s">
        <v>20</v>
      </c>
      <c r="O15">
        <v>657</v>
      </c>
      <c r="P15" t="s">
        <v>21</v>
      </c>
      <c r="Q15" t="s">
        <v>22</v>
      </c>
      <c r="R15" t="s">
        <v>23</v>
      </c>
    </row>
    <row r="16" spans="1:18" x14ac:dyDescent="0.35">
      <c r="A16">
        <v>14</v>
      </c>
      <c r="B16" t="s">
        <v>75</v>
      </c>
      <c r="C16" s="1">
        <f t="shared" ca="1" si="0"/>
        <v>44941</v>
      </c>
      <c r="D16" t="str">
        <f t="shared" ca="1" si="1"/>
        <v>January</v>
      </c>
      <c r="E16" t="s">
        <v>25</v>
      </c>
      <c r="F16" t="s">
        <v>16</v>
      </c>
      <c r="G16" t="str">
        <f t="shared" si="2"/>
        <v>Women</v>
      </c>
      <c r="H16" t="str">
        <f t="shared" ca="1" si="3"/>
        <v>Myntra</v>
      </c>
      <c r="I16">
        <f t="shared" ca="1" si="4"/>
        <v>33</v>
      </c>
      <c r="J16" t="s">
        <v>76</v>
      </c>
      <c r="K16" t="s">
        <v>18</v>
      </c>
      <c r="L16" t="s">
        <v>40</v>
      </c>
      <c r="M16">
        <v>1</v>
      </c>
      <c r="N16" t="s">
        <v>20</v>
      </c>
      <c r="O16">
        <v>771</v>
      </c>
      <c r="P16" t="s">
        <v>21</v>
      </c>
      <c r="Q16" t="s">
        <v>22</v>
      </c>
      <c r="R16" t="s">
        <v>23</v>
      </c>
    </row>
    <row r="17" spans="1:18" x14ac:dyDescent="0.35">
      <c r="A17">
        <v>15</v>
      </c>
      <c r="B17" t="s">
        <v>77</v>
      </c>
      <c r="C17" s="1">
        <f t="shared" ca="1" si="0"/>
        <v>45091</v>
      </c>
      <c r="D17" t="str">
        <f t="shared" ca="1" si="1"/>
        <v>June</v>
      </c>
      <c r="E17" t="s">
        <v>25</v>
      </c>
      <c r="F17" t="s">
        <v>16</v>
      </c>
      <c r="G17" t="str">
        <f t="shared" si="2"/>
        <v>Men</v>
      </c>
      <c r="H17" t="str">
        <f t="shared" ca="1" si="3"/>
        <v>Flipkart</v>
      </c>
      <c r="I17">
        <f t="shared" ca="1" si="4"/>
        <v>52</v>
      </c>
      <c r="J17" t="s">
        <v>78</v>
      </c>
      <c r="K17" t="s">
        <v>27</v>
      </c>
      <c r="L17" t="s">
        <v>79</v>
      </c>
      <c r="M17">
        <v>1</v>
      </c>
      <c r="N17" t="s">
        <v>20</v>
      </c>
      <c r="O17">
        <v>544</v>
      </c>
      <c r="P17" t="s">
        <v>80</v>
      </c>
      <c r="Q17" t="s">
        <v>81</v>
      </c>
      <c r="R17" t="s">
        <v>23</v>
      </c>
    </row>
    <row r="18" spans="1:18" x14ac:dyDescent="0.35">
      <c r="A18">
        <v>16</v>
      </c>
      <c r="B18" t="s">
        <v>82</v>
      </c>
      <c r="C18" s="1">
        <f t="shared" ca="1" si="0"/>
        <v>45308</v>
      </c>
      <c r="D18" t="str">
        <f t="shared" ca="1" si="1"/>
        <v>January</v>
      </c>
      <c r="E18" t="s">
        <v>29</v>
      </c>
      <c r="F18" t="s">
        <v>33</v>
      </c>
      <c r="G18" t="str">
        <f t="shared" si="2"/>
        <v>Men</v>
      </c>
      <c r="H18" t="str">
        <f t="shared" ca="1" si="3"/>
        <v>Amazon</v>
      </c>
      <c r="I18">
        <f t="shared" ca="1" si="4"/>
        <v>56</v>
      </c>
      <c r="J18" t="s">
        <v>83</v>
      </c>
      <c r="K18" t="s">
        <v>27</v>
      </c>
      <c r="L18" t="s">
        <v>62</v>
      </c>
      <c r="M18">
        <v>1</v>
      </c>
      <c r="N18" t="s">
        <v>20</v>
      </c>
      <c r="O18">
        <v>329</v>
      </c>
      <c r="P18" t="s">
        <v>84</v>
      </c>
      <c r="Q18" t="s">
        <v>85</v>
      </c>
      <c r="R18" t="s">
        <v>23</v>
      </c>
    </row>
    <row r="19" spans="1:18" x14ac:dyDescent="0.35">
      <c r="A19">
        <v>17</v>
      </c>
      <c r="B19" t="s">
        <v>86</v>
      </c>
      <c r="C19" s="1">
        <f t="shared" ca="1" si="0"/>
        <v>45283</v>
      </c>
      <c r="D19" t="str">
        <f t="shared" ca="1" si="1"/>
        <v>December</v>
      </c>
      <c r="E19" t="s">
        <v>29</v>
      </c>
      <c r="F19" t="s">
        <v>33</v>
      </c>
      <c r="G19" t="str">
        <f t="shared" si="2"/>
        <v>Men</v>
      </c>
      <c r="H19" t="str">
        <f t="shared" ca="1" si="3"/>
        <v>Amazon</v>
      </c>
      <c r="I19">
        <f t="shared" ca="1" si="4"/>
        <v>27</v>
      </c>
      <c r="J19" t="s">
        <v>87</v>
      </c>
      <c r="K19" t="s">
        <v>27</v>
      </c>
      <c r="L19" t="s">
        <v>35</v>
      </c>
      <c r="M19">
        <v>1</v>
      </c>
      <c r="N19" t="s">
        <v>20</v>
      </c>
      <c r="O19">
        <v>399</v>
      </c>
      <c r="P19" t="s">
        <v>88</v>
      </c>
      <c r="Q19" t="s">
        <v>89</v>
      </c>
      <c r="R19" t="s">
        <v>23</v>
      </c>
    </row>
    <row r="20" spans="1:18" x14ac:dyDescent="0.35">
      <c r="A20">
        <v>18</v>
      </c>
      <c r="B20" t="s">
        <v>90</v>
      </c>
      <c r="C20" s="1">
        <f t="shared" ca="1" si="0"/>
        <v>45524</v>
      </c>
      <c r="D20" t="str">
        <f t="shared" ca="1" si="1"/>
        <v>August</v>
      </c>
      <c r="E20" t="s">
        <v>25</v>
      </c>
      <c r="F20" t="s">
        <v>16</v>
      </c>
      <c r="G20" t="str">
        <f t="shared" si="2"/>
        <v>Men</v>
      </c>
      <c r="H20" t="str">
        <f t="shared" ca="1" si="3"/>
        <v>Myntra</v>
      </c>
      <c r="I20">
        <f t="shared" ca="1" si="4"/>
        <v>37</v>
      </c>
      <c r="J20" t="s">
        <v>91</v>
      </c>
      <c r="K20" t="s">
        <v>27</v>
      </c>
      <c r="L20" t="s">
        <v>62</v>
      </c>
      <c r="M20">
        <v>1</v>
      </c>
      <c r="N20" t="s">
        <v>20</v>
      </c>
      <c r="O20">
        <v>458</v>
      </c>
      <c r="P20" t="s">
        <v>92</v>
      </c>
      <c r="Q20" t="s">
        <v>93</v>
      </c>
      <c r="R20" t="s">
        <v>23</v>
      </c>
    </row>
    <row r="21" spans="1:18" x14ac:dyDescent="0.35">
      <c r="A21">
        <v>19</v>
      </c>
      <c r="B21" t="s">
        <v>94</v>
      </c>
      <c r="C21" s="1">
        <f t="shared" ca="1" si="0"/>
        <v>45002</v>
      </c>
      <c r="D21" t="str">
        <f t="shared" ca="1" si="1"/>
        <v>March</v>
      </c>
      <c r="E21" t="s">
        <v>29</v>
      </c>
      <c r="F21" t="s">
        <v>33</v>
      </c>
      <c r="G21" t="str">
        <f t="shared" si="2"/>
        <v>Women</v>
      </c>
      <c r="H21" t="str">
        <f t="shared" ca="1" si="3"/>
        <v>Amazon</v>
      </c>
      <c r="I21">
        <f t="shared" ca="1" si="4"/>
        <v>19</v>
      </c>
      <c r="J21" t="s">
        <v>95</v>
      </c>
      <c r="K21" t="s">
        <v>18</v>
      </c>
      <c r="L21" t="s">
        <v>68</v>
      </c>
      <c r="M21">
        <v>1</v>
      </c>
      <c r="N21" t="s">
        <v>20</v>
      </c>
      <c r="O21">
        <v>886</v>
      </c>
      <c r="P21" t="s">
        <v>30</v>
      </c>
      <c r="Q21" t="s">
        <v>31</v>
      </c>
      <c r="R21" t="s">
        <v>23</v>
      </c>
    </row>
    <row r="22" spans="1:18" x14ac:dyDescent="0.35">
      <c r="A22">
        <v>20</v>
      </c>
      <c r="B22" t="s">
        <v>96</v>
      </c>
      <c r="C22" s="1">
        <f t="shared" ca="1" si="0"/>
        <v>45341</v>
      </c>
      <c r="D22" t="str">
        <f t="shared" ca="1" si="1"/>
        <v>February</v>
      </c>
      <c r="E22" t="s">
        <v>29</v>
      </c>
      <c r="F22" t="s">
        <v>33</v>
      </c>
      <c r="G22" t="str">
        <f t="shared" si="2"/>
        <v>Men</v>
      </c>
      <c r="H22" t="str">
        <f t="shared" ca="1" si="3"/>
        <v>Amazon</v>
      </c>
      <c r="I22">
        <f t="shared" ca="1" si="4"/>
        <v>56</v>
      </c>
      <c r="J22" t="s">
        <v>97</v>
      </c>
      <c r="K22" t="s">
        <v>27</v>
      </c>
      <c r="L22" t="s">
        <v>28</v>
      </c>
      <c r="M22">
        <v>1</v>
      </c>
      <c r="N22" t="s">
        <v>20</v>
      </c>
      <c r="O22">
        <v>517</v>
      </c>
      <c r="P22" t="s">
        <v>98</v>
      </c>
      <c r="Q22" t="s">
        <v>46</v>
      </c>
      <c r="R22" t="s">
        <v>23</v>
      </c>
    </row>
    <row r="23" spans="1:18" x14ac:dyDescent="0.35">
      <c r="A23">
        <v>21</v>
      </c>
      <c r="B23" t="s">
        <v>99</v>
      </c>
      <c r="C23" s="1">
        <f t="shared" ca="1" si="0"/>
        <v>45125</v>
      </c>
      <c r="D23" t="str">
        <f t="shared" ca="1" si="1"/>
        <v>July</v>
      </c>
      <c r="E23" t="s">
        <v>29</v>
      </c>
      <c r="F23" t="s">
        <v>33</v>
      </c>
      <c r="G23" t="str">
        <f t="shared" si="2"/>
        <v>Women</v>
      </c>
      <c r="H23" t="str">
        <f t="shared" ca="1" si="3"/>
        <v>Amazon</v>
      </c>
      <c r="I23">
        <f t="shared" ca="1" si="4"/>
        <v>59</v>
      </c>
      <c r="J23" t="s">
        <v>100</v>
      </c>
      <c r="K23" t="s">
        <v>18</v>
      </c>
      <c r="L23" t="s">
        <v>101</v>
      </c>
      <c r="M23">
        <v>1</v>
      </c>
      <c r="N23" t="s">
        <v>20</v>
      </c>
      <c r="O23">
        <v>666</v>
      </c>
      <c r="P23" t="s">
        <v>30</v>
      </c>
      <c r="Q23" t="s">
        <v>31</v>
      </c>
      <c r="R23" t="s">
        <v>23</v>
      </c>
    </row>
    <row r="24" spans="1:18" x14ac:dyDescent="0.35">
      <c r="A24">
        <v>22</v>
      </c>
      <c r="B24" t="s">
        <v>102</v>
      </c>
      <c r="C24" s="1">
        <f t="shared" ca="1" si="0"/>
        <v>45289</v>
      </c>
      <c r="D24" t="str">
        <f t="shared" ca="1" si="1"/>
        <v>December</v>
      </c>
      <c r="E24" t="s">
        <v>29</v>
      </c>
      <c r="F24" t="s">
        <v>33</v>
      </c>
      <c r="G24" t="str">
        <f t="shared" si="2"/>
        <v>Men</v>
      </c>
      <c r="H24" t="str">
        <f t="shared" ca="1" si="3"/>
        <v>Amazon</v>
      </c>
      <c r="I24">
        <f t="shared" ca="1" si="4"/>
        <v>52</v>
      </c>
      <c r="J24" t="s">
        <v>103</v>
      </c>
      <c r="K24" t="s">
        <v>27</v>
      </c>
      <c r="L24" t="s">
        <v>40</v>
      </c>
      <c r="M24">
        <v>1</v>
      </c>
      <c r="N24" t="s">
        <v>20</v>
      </c>
      <c r="O24">
        <v>376</v>
      </c>
      <c r="P24" t="s">
        <v>56</v>
      </c>
      <c r="Q24" t="s">
        <v>57</v>
      </c>
      <c r="R24" t="s">
        <v>23</v>
      </c>
    </row>
    <row r="25" spans="1:18" x14ac:dyDescent="0.35">
      <c r="A25">
        <v>23</v>
      </c>
      <c r="B25" t="s">
        <v>104</v>
      </c>
      <c r="C25" s="1">
        <f t="shared" ca="1" si="0"/>
        <v>45079</v>
      </c>
      <c r="D25" t="str">
        <f t="shared" ca="1" si="1"/>
        <v>June</v>
      </c>
      <c r="E25" t="s">
        <v>15</v>
      </c>
      <c r="F25" t="s">
        <v>16</v>
      </c>
      <c r="G25" t="str">
        <f t="shared" si="2"/>
        <v>Women</v>
      </c>
      <c r="H25" t="str">
        <f t="shared" ca="1" si="3"/>
        <v>Myntra</v>
      </c>
      <c r="I25">
        <f t="shared" ca="1" si="4"/>
        <v>43</v>
      </c>
      <c r="J25" t="s">
        <v>105</v>
      </c>
      <c r="K25" t="s">
        <v>18</v>
      </c>
      <c r="L25" t="s">
        <v>101</v>
      </c>
      <c r="M25">
        <v>0</v>
      </c>
      <c r="N25" t="s">
        <v>20</v>
      </c>
      <c r="O25">
        <v>570.48</v>
      </c>
      <c r="P25" t="s">
        <v>106</v>
      </c>
      <c r="Q25" t="s">
        <v>22</v>
      </c>
      <c r="R25" t="s">
        <v>23</v>
      </c>
    </row>
    <row r="26" spans="1:18" x14ac:dyDescent="0.35">
      <c r="A26">
        <v>24</v>
      </c>
      <c r="B26" t="s">
        <v>107</v>
      </c>
      <c r="C26" s="1">
        <f t="shared" ca="1" si="0"/>
        <v>45343</v>
      </c>
      <c r="D26" t="str">
        <f t="shared" ca="1" si="1"/>
        <v>February</v>
      </c>
      <c r="E26" t="s">
        <v>29</v>
      </c>
      <c r="F26" t="s">
        <v>33</v>
      </c>
      <c r="G26" t="str">
        <f t="shared" si="2"/>
        <v>Men</v>
      </c>
      <c r="H26" t="str">
        <f t="shared" ca="1" si="3"/>
        <v>Amazon</v>
      </c>
      <c r="I26">
        <f t="shared" ca="1" si="4"/>
        <v>43</v>
      </c>
      <c r="J26" t="s">
        <v>108</v>
      </c>
      <c r="K26" t="s">
        <v>27</v>
      </c>
      <c r="L26" t="s">
        <v>40</v>
      </c>
      <c r="M26">
        <v>1</v>
      </c>
      <c r="N26" t="s">
        <v>20</v>
      </c>
      <c r="O26">
        <v>499</v>
      </c>
      <c r="P26" t="s">
        <v>109</v>
      </c>
      <c r="Q26" t="s">
        <v>110</v>
      </c>
      <c r="R26" t="s">
        <v>23</v>
      </c>
    </row>
    <row r="27" spans="1:18" x14ac:dyDescent="0.35">
      <c r="A27">
        <v>25</v>
      </c>
      <c r="B27" t="s">
        <v>111</v>
      </c>
      <c r="C27" s="1">
        <f t="shared" ca="1" si="0"/>
        <v>45394</v>
      </c>
      <c r="D27" t="str">
        <f t="shared" ca="1" si="1"/>
        <v>April</v>
      </c>
      <c r="E27" t="s">
        <v>25</v>
      </c>
      <c r="F27" t="s">
        <v>16</v>
      </c>
      <c r="G27" t="str">
        <f t="shared" si="2"/>
        <v>Women</v>
      </c>
      <c r="H27" t="str">
        <f t="shared" ca="1" si="3"/>
        <v>Flipkart</v>
      </c>
      <c r="I27">
        <f t="shared" ca="1" si="4"/>
        <v>29</v>
      </c>
      <c r="J27" t="s">
        <v>112</v>
      </c>
      <c r="K27" t="s">
        <v>18</v>
      </c>
      <c r="L27" t="s">
        <v>68</v>
      </c>
      <c r="M27">
        <v>1</v>
      </c>
      <c r="N27" t="s">
        <v>20</v>
      </c>
      <c r="O27">
        <v>582</v>
      </c>
      <c r="P27" t="s">
        <v>113</v>
      </c>
      <c r="Q27" t="s">
        <v>114</v>
      </c>
      <c r="R27" t="s">
        <v>23</v>
      </c>
    </row>
    <row r="28" spans="1:18" x14ac:dyDescent="0.35">
      <c r="A28">
        <v>26</v>
      </c>
      <c r="B28" t="s">
        <v>115</v>
      </c>
      <c r="C28" s="1">
        <f t="shared" ca="1" si="0"/>
        <v>45038</v>
      </c>
      <c r="D28" t="str">
        <f t="shared" ca="1" si="1"/>
        <v>April</v>
      </c>
      <c r="E28" t="s">
        <v>25</v>
      </c>
      <c r="F28" t="s">
        <v>16</v>
      </c>
      <c r="G28" t="str">
        <f t="shared" si="2"/>
        <v>Men</v>
      </c>
      <c r="H28" t="str">
        <f t="shared" ca="1" si="3"/>
        <v>Myntra</v>
      </c>
      <c r="I28">
        <f t="shared" ca="1" si="4"/>
        <v>42</v>
      </c>
      <c r="J28" t="s">
        <v>116</v>
      </c>
      <c r="K28" t="s">
        <v>27</v>
      </c>
      <c r="L28" t="s">
        <v>28</v>
      </c>
      <c r="M28">
        <v>1</v>
      </c>
      <c r="N28" t="s">
        <v>20</v>
      </c>
      <c r="O28">
        <v>299</v>
      </c>
      <c r="P28" t="s">
        <v>117</v>
      </c>
      <c r="Q28" t="s">
        <v>118</v>
      </c>
      <c r="R28" t="s">
        <v>23</v>
      </c>
    </row>
    <row r="29" spans="1:18" x14ac:dyDescent="0.35">
      <c r="A29">
        <v>27</v>
      </c>
      <c r="B29" t="s">
        <v>119</v>
      </c>
      <c r="C29" s="1">
        <f t="shared" ca="1" si="0"/>
        <v>45215</v>
      </c>
      <c r="D29" t="str">
        <f t="shared" ca="1" si="1"/>
        <v>October</v>
      </c>
      <c r="E29" t="s">
        <v>29</v>
      </c>
      <c r="F29" t="s">
        <v>33</v>
      </c>
      <c r="G29" t="str">
        <f t="shared" si="2"/>
        <v>Men</v>
      </c>
      <c r="H29" t="str">
        <f t="shared" ca="1" si="3"/>
        <v>Amazon</v>
      </c>
      <c r="I29">
        <f t="shared" ca="1" si="4"/>
        <v>22</v>
      </c>
      <c r="J29" t="s">
        <v>120</v>
      </c>
      <c r="K29" t="s">
        <v>27</v>
      </c>
      <c r="L29" t="s">
        <v>121</v>
      </c>
      <c r="M29">
        <v>1</v>
      </c>
      <c r="N29" t="s">
        <v>20</v>
      </c>
      <c r="O29">
        <v>459</v>
      </c>
      <c r="P29" t="s">
        <v>122</v>
      </c>
      <c r="Q29" t="s">
        <v>22</v>
      </c>
      <c r="R29" t="s">
        <v>23</v>
      </c>
    </row>
    <row r="30" spans="1:18" x14ac:dyDescent="0.35">
      <c r="A30">
        <v>28</v>
      </c>
      <c r="B30" t="s">
        <v>123</v>
      </c>
      <c r="C30" s="1">
        <f t="shared" ca="1" si="0"/>
        <v>45650</v>
      </c>
      <c r="D30" t="str">
        <f t="shared" ca="1" si="1"/>
        <v>December</v>
      </c>
      <c r="E30" t="s">
        <v>29</v>
      </c>
      <c r="F30" t="s">
        <v>33</v>
      </c>
      <c r="G30" t="str">
        <f t="shared" si="2"/>
        <v>Men</v>
      </c>
      <c r="H30" t="str">
        <f t="shared" ca="1" si="3"/>
        <v>Amazon</v>
      </c>
      <c r="I30">
        <f t="shared" ca="1" si="4"/>
        <v>30</v>
      </c>
      <c r="J30" t="s">
        <v>124</v>
      </c>
      <c r="K30" t="s">
        <v>27</v>
      </c>
      <c r="L30" t="s">
        <v>101</v>
      </c>
      <c r="M30">
        <v>1</v>
      </c>
      <c r="N30" t="s">
        <v>20</v>
      </c>
      <c r="O30">
        <v>399</v>
      </c>
      <c r="P30" t="s">
        <v>30</v>
      </c>
      <c r="Q30" t="s">
        <v>31</v>
      </c>
      <c r="R30" t="s">
        <v>23</v>
      </c>
    </row>
    <row r="31" spans="1:18" x14ac:dyDescent="0.35">
      <c r="A31">
        <v>29</v>
      </c>
      <c r="B31" t="s">
        <v>125</v>
      </c>
      <c r="C31" s="1">
        <f t="shared" ca="1" si="0"/>
        <v>45115</v>
      </c>
      <c r="D31" t="str">
        <f t="shared" ca="1" si="1"/>
        <v>July</v>
      </c>
      <c r="E31" t="s">
        <v>15</v>
      </c>
      <c r="F31" t="s">
        <v>16</v>
      </c>
      <c r="G31" t="str">
        <f t="shared" si="2"/>
        <v>Men</v>
      </c>
      <c r="H31" t="str">
        <f t="shared" ca="1" si="3"/>
        <v>Flipkart</v>
      </c>
      <c r="I31">
        <f t="shared" ca="1" si="4"/>
        <v>24</v>
      </c>
      <c r="J31" t="s">
        <v>126</v>
      </c>
      <c r="K31" t="s">
        <v>27</v>
      </c>
      <c r="L31" t="s">
        <v>28</v>
      </c>
      <c r="M31">
        <v>0</v>
      </c>
      <c r="P31" t="s">
        <v>127</v>
      </c>
      <c r="Q31" t="s">
        <v>110</v>
      </c>
      <c r="R31" t="s">
        <v>23</v>
      </c>
    </row>
    <row r="32" spans="1:18" x14ac:dyDescent="0.35">
      <c r="A32">
        <v>30</v>
      </c>
      <c r="B32" t="s">
        <v>128</v>
      </c>
      <c r="C32" s="1">
        <f t="shared" ca="1" si="0"/>
        <v>45331</v>
      </c>
      <c r="D32" t="str">
        <f t="shared" ca="1" si="1"/>
        <v>February</v>
      </c>
      <c r="E32" t="s">
        <v>29</v>
      </c>
      <c r="F32" t="s">
        <v>33</v>
      </c>
      <c r="G32" t="str">
        <f t="shared" si="2"/>
        <v>Women</v>
      </c>
      <c r="H32" t="str">
        <f t="shared" ca="1" si="3"/>
        <v>Amazon</v>
      </c>
      <c r="I32">
        <f t="shared" ca="1" si="4"/>
        <v>50</v>
      </c>
      <c r="J32" t="s">
        <v>129</v>
      </c>
      <c r="K32" t="s">
        <v>39</v>
      </c>
      <c r="L32" t="s">
        <v>19</v>
      </c>
      <c r="M32">
        <v>1</v>
      </c>
      <c r="N32" t="s">
        <v>20</v>
      </c>
      <c r="O32">
        <v>791</v>
      </c>
      <c r="P32" t="s">
        <v>130</v>
      </c>
      <c r="Q32" t="s">
        <v>46</v>
      </c>
      <c r="R32" t="s">
        <v>23</v>
      </c>
    </row>
    <row r="33" spans="1:18" x14ac:dyDescent="0.35">
      <c r="A33">
        <v>31</v>
      </c>
      <c r="B33" t="s">
        <v>131</v>
      </c>
      <c r="C33" s="1">
        <f t="shared" ca="1" si="0"/>
        <v>45583</v>
      </c>
      <c r="D33" t="str">
        <f t="shared" ca="1" si="1"/>
        <v>October</v>
      </c>
      <c r="E33" t="s">
        <v>29</v>
      </c>
      <c r="F33" t="s">
        <v>33</v>
      </c>
      <c r="G33" t="str">
        <f t="shared" si="2"/>
        <v>Men</v>
      </c>
      <c r="H33" t="str">
        <f t="shared" ca="1" si="3"/>
        <v>Amazon</v>
      </c>
      <c r="I33">
        <f t="shared" ca="1" si="4"/>
        <v>52</v>
      </c>
      <c r="J33" t="s">
        <v>132</v>
      </c>
      <c r="K33" t="s">
        <v>27</v>
      </c>
      <c r="L33" t="s">
        <v>35</v>
      </c>
      <c r="M33">
        <v>1</v>
      </c>
      <c r="N33" t="s">
        <v>20</v>
      </c>
      <c r="O33">
        <v>499</v>
      </c>
      <c r="P33" t="s">
        <v>133</v>
      </c>
      <c r="Q33" t="s">
        <v>50</v>
      </c>
      <c r="R33" t="s">
        <v>23</v>
      </c>
    </row>
    <row r="34" spans="1:18" x14ac:dyDescent="0.35">
      <c r="A34">
        <v>32</v>
      </c>
      <c r="B34" t="s">
        <v>134</v>
      </c>
      <c r="C34" s="1">
        <f t="shared" ca="1" si="0"/>
        <v>45564</v>
      </c>
      <c r="D34" t="str">
        <f t="shared" ca="1" si="1"/>
        <v>September</v>
      </c>
      <c r="E34" t="s">
        <v>25</v>
      </c>
      <c r="F34" t="s">
        <v>16</v>
      </c>
      <c r="G34" t="str">
        <f t="shared" si="2"/>
        <v>Women</v>
      </c>
      <c r="H34" t="str">
        <f t="shared" ca="1" si="3"/>
        <v>Flipkart</v>
      </c>
      <c r="I34">
        <f t="shared" ca="1" si="4"/>
        <v>41</v>
      </c>
      <c r="J34" t="s">
        <v>135</v>
      </c>
      <c r="K34" t="s">
        <v>18</v>
      </c>
      <c r="L34" t="s">
        <v>101</v>
      </c>
      <c r="M34">
        <v>1</v>
      </c>
      <c r="N34" t="s">
        <v>20</v>
      </c>
      <c r="O34">
        <v>1233</v>
      </c>
      <c r="P34" t="s">
        <v>136</v>
      </c>
      <c r="Q34" t="s">
        <v>81</v>
      </c>
      <c r="R34" t="s">
        <v>23</v>
      </c>
    </row>
    <row r="35" spans="1:18" x14ac:dyDescent="0.35">
      <c r="A35">
        <v>33</v>
      </c>
      <c r="B35" t="s">
        <v>137</v>
      </c>
      <c r="C35" s="1">
        <f t="shared" ca="1" si="0"/>
        <v>45468</v>
      </c>
      <c r="D35" t="str">
        <f t="shared" ca="1" si="1"/>
        <v>June</v>
      </c>
      <c r="E35" t="s">
        <v>25</v>
      </c>
      <c r="F35" t="s">
        <v>16</v>
      </c>
      <c r="G35" t="str">
        <f t="shared" si="2"/>
        <v>Men</v>
      </c>
      <c r="H35" t="str">
        <f t="shared" ca="1" si="3"/>
        <v>Flipkart</v>
      </c>
      <c r="I35">
        <f t="shared" ca="1" si="4"/>
        <v>56</v>
      </c>
      <c r="J35" t="s">
        <v>138</v>
      </c>
      <c r="K35" t="s">
        <v>27</v>
      </c>
      <c r="L35" t="s">
        <v>101</v>
      </c>
      <c r="M35">
        <v>1</v>
      </c>
      <c r="N35" t="s">
        <v>20</v>
      </c>
      <c r="O35">
        <v>517</v>
      </c>
      <c r="P35" t="s">
        <v>139</v>
      </c>
      <c r="Q35" t="s">
        <v>140</v>
      </c>
      <c r="R35" t="s">
        <v>23</v>
      </c>
    </row>
    <row r="36" spans="1:18" x14ac:dyDescent="0.35">
      <c r="A36">
        <v>34</v>
      </c>
      <c r="B36" t="s">
        <v>141</v>
      </c>
      <c r="C36" s="1">
        <f t="shared" ca="1" si="0"/>
        <v>45434</v>
      </c>
      <c r="D36" t="str">
        <f t="shared" ca="1" si="1"/>
        <v>May</v>
      </c>
      <c r="E36" t="s">
        <v>29</v>
      </c>
      <c r="F36" t="s">
        <v>33</v>
      </c>
      <c r="G36" t="str">
        <f t="shared" si="2"/>
        <v>Men</v>
      </c>
      <c r="H36" t="str">
        <f t="shared" ca="1" si="3"/>
        <v>Amazon</v>
      </c>
      <c r="I36">
        <f t="shared" ca="1" si="4"/>
        <v>41</v>
      </c>
      <c r="J36" t="s">
        <v>142</v>
      </c>
      <c r="K36" t="s">
        <v>27</v>
      </c>
      <c r="L36" t="s">
        <v>35</v>
      </c>
      <c r="M36">
        <v>1</v>
      </c>
      <c r="N36" t="s">
        <v>20</v>
      </c>
      <c r="O36">
        <v>376</v>
      </c>
      <c r="P36" t="s">
        <v>56</v>
      </c>
      <c r="Q36" t="s">
        <v>57</v>
      </c>
      <c r="R36" t="s">
        <v>23</v>
      </c>
    </row>
    <row r="37" spans="1:18" x14ac:dyDescent="0.35">
      <c r="A37">
        <v>35</v>
      </c>
      <c r="B37" t="s">
        <v>143</v>
      </c>
      <c r="C37" s="1">
        <f t="shared" ca="1" si="0"/>
        <v>45279</v>
      </c>
      <c r="D37" t="str">
        <f t="shared" ca="1" si="1"/>
        <v>December</v>
      </c>
      <c r="E37" t="s">
        <v>25</v>
      </c>
      <c r="F37" t="s">
        <v>16</v>
      </c>
      <c r="G37" t="str">
        <f t="shared" si="2"/>
        <v>Men</v>
      </c>
      <c r="H37" t="str">
        <f t="shared" ca="1" si="3"/>
        <v>Myntra</v>
      </c>
      <c r="I37">
        <f t="shared" ca="1" si="4"/>
        <v>44</v>
      </c>
      <c r="J37" t="s">
        <v>144</v>
      </c>
      <c r="K37" t="s">
        <v>27</v>
      </c>
      <c r="L37" t="s">
        <v>35</v>
      </c>
      <c r="M37">
        <v>1</v>
      </c>
      <c r="N37" t="s">
        <v>20</v>
      </c>
      <c r="O37">
        <v>499</v>
      </c>
      <c r="P37" t="s">
        <v>133</v>
      </c>
      <c r="Q37" t="s">
        <v>50</v>
      </c>
      <c r="R37" t="s">
        <v>23</v>
      </c>
    </row>
    <row r="38" spans="1:18" x14ac:dyDescent="0.35">
      <c r="A38">
        <v>36</v>
      </c>
      <c r="B38" t="s">
        <v>145</v>
      </c>
      <c r="C38" s="1">
        <f t="shared" ca="1" si="0"/>
        <v>45489</v>
      </c>
      <c r="D38" t="str">
        <f t="shared" ca="1" si="1"/>
        <v>July</v>
      </c>
      <c r="E38" t="s">
        <v>29</v>
      </c>
      <c r="F38" t="s">
        <v>33</v>
      </c>
      <c r="G38" t="str">
        <f t="shared" si="2"/>
        <v>Women</v>
      </c>
      <c r="H38" t="str">
        <f t="shared" ca="1" si="3"/>
        <v>Amazon</v>
      </c>
      <c r="I38">
        <f t="shared" ca="1" si="4"/>
        <v>46</v>
      </c>
      <c r="J38" t="s">
        <v>146</v>
      </c>
      <c r="K38" t="s">
        <v>18</v>
      </c>
      <c r="L38" t="s">
        <v>40</v>
      </c>
      <c r="M38">
        <v>1</v>
      </c>
      <c r="N38" t="s">
        <v>20</v>
      </c>
      <c r="O38">
        <v>666</v>
      </c>
      <c r="P38" t="s">
        <v>45</v>
      </c>
      <c r="Q38" t="s">
        <v>46</v>
      </c>
      <c r="R38" t="s">
        <v>23</v>
      </c>
    </row>
    <row r="39" spans="1:18" x14ac:dyDescent="0.35">
      <c r="A39">
        <v>37</v>
      </c>
      <c r="B39" t="s">
        <v>147</v>
      </c>
      <c r="C39" s="1">
        <f t="shared" ca="1" si="0"/>
        <v>45599</v>
      </c>
      <c r="D39" t="str">
        <f t="shared" ca="1" si="1"/>
        <v>November</v>
      </c>
      <c r="E39" t="s">
        <v>29</v>
      </c>
      <c r="F39" t="s">
        <v>33</v>
      </c>
      <c r="G39" t="str">
        <f t="shared" si="2"/>
        <v>Men</v>
      </c>
      <c r="H39" t="str">
        <f t="shared" ca="1" si="3"/>
        <v>Amazon</v>
      </c>
      <c r="I39">
        <f t="shared" ca="1" si="4"/>
        <v>57</v>
      </c>
      <c r="J39" t="s">
        <v>148</v>
      </c>
      <c r="K39" t="s">
        <v>27</v>
      </c>
      <c r="L39" t="s">
        <v>19</v>
      </c>
      <c r="M39">
        <v>1</v>
      </c>
      <c r="N39" t="s">
        <v>20</v>
      </c>
      <c r="O39">
        <v>487</v>
      </c>
      <c r="P39" t="s">
        <v>88</v>
      </c>
      <c r="Q39" t="s">
        <v>89</v>
      </c>
      <c r="R39" t="s">
        <v>23</v>
      </c>
    </row>
    <row r="40" spans="1:18" x14ac:dyDescent="0.35">
      <c r="A40">
        <v>38</v>
      </c>
      <c r="B40" t="s">
        <v>147</v>
      </c>
      <c r="C40" s="1">
        <f t="shared" ca="1" si="0"/>
        <v>44958</v>
      </c>
      <c r="D40" t="str">
        <f t="shared" ca="1" si="1"/>
        <v>February</v>
      </c>
      <c r="E40" t="s">
        <v>29</v>
      </c>
      <c r="F40" t="s">
        <v>33</v>
      </c>
      <c r="G40" t="str">
        <f t="shared" si="2"/>
        <v>Men</v>
      </c>
      <c r="H40" t="str">
        <f t="shared" ca="1" si="3"/>
        <v>Amazon</v>
      </c>
      <c r="I40">
        <f t="shared" ca="1" si="4"/>
        <v>25</v>
      </c>
      <c r="J40" t="s">
        <v>149</v>
      </c>
      <c r="K40" t="s">
        <v>27</v>
      </c>
      <c r="L40" t="s">
        <v>19</v>
      </c>
      <c r="M40">
        <v>1</v>
      </c>
      <c r="N40" t="s">
        <v>20</v>
      </c>
      <c r="O40">
        <v>368</v>
      </c>
      <c r="P40" t="s">
        <v>88</v>
      </c>
      <c r="Q40" t="s">
        <v>89</v>
      </c>
      <c r="R40" t="s">
        <v>23</v>
      </c>
    </row>
    <row r="41" spans="1:18" x14ac:dyDescent="0.35">
      <c r="A41">
        <v>39</v>
      </c>
      <c r="B41" t="s">
        <v>150</v>
      </c>
      <c r="C41" s="1">
        <f t="shared" ca="1" si="0"/>
        <v>45323</v>
      </c>
      <c r="D41" t="str">
        <f t="shared" ca="1" si="1"/>
        <v>February</v>
      </c>
      <c r="E41" t="s">
        <v>29</v>
      </c>
      <c r="F41" t="s">
        <v>33</v>
      </c>
      <c r="G41" t="str">
        <f t="shared" si="2"/>
        <v>Men</v>
      </c>
      <c r="H41" t="str">
        <f t="shared" ca="1" si="3"/>
        <v>Amazon</v>
      </c>
      <c r="I41">
        <f t="shared" ca="1" si="4"/>
        <v>30</v>
      </c>
      <c r="J41" t="s">
        <v>151</v>
      </c>
      <c r="K41" t="s">
        <v>27</v>
      </c>
      <c r="L41" t="s">
        <v>40</v>
      </c>
      <c r="M41">
        <v>1</v>
      </c>
      <c r="N41" t="s">
        <v>20</v>
      </c>
      <c r="O41">
        <v>399</v>
      </c>
      <c r="P41" t="s">
        <v>152</v>
      </c>
      <c r="Q41" t="s">
        <v>153</v>
      </c>
      <c r="R41" t="s">
        <v>23</v>
      </c>
    </row>
    <row r="42" spans="1:18" x14ac:dyDescent="0.35">
      <c r="A42">
        <v>40</v>
      </c>
      <c r="B42" t="s">
        <v>154</v>
      </c>
      <c r="C42" s="1">
        <f t="shared" ca="1" si="0"/>
        <v>45296</v>
      </c>
      <c r="D42" t="str">
        <f t="shared" ca="1" si="1"/>
        <v>January</v>
      </c>
      <c r="E42" t="s">
        <v>29</v>
      </c>
      <c r="F42" t="s">
        <v>33</v>
      </c>
      <c r="G42" t="str">
        <f t="shared" si="2"/>
        <v>Women</v>
      </c>
      <c r="H42" t="str">
        <f t="shared" ca="1" si="3"/>
        <v>Amazon</v>
      </c>
      <c r="I42">
        <f t="shared" ca="1" si="4"/>
        <v>52</v>
      </c>
      <c r="J42" t="s">
        <v>155</v>
      </c>
      <c r="K42" t="s">
        <v>156</v>
      </c>
      <c r="L42" t="s">
        <v>62</v>
      </c>
      <c r="M42">
        <v>1</v>
      </c>
      <c r="N42" t="s">
        <v>20</v>
      </c>
      <c r="O42">
        <v>699</v>
      </c>
      <c r="P42" t="s">
        <v>157</v>
      </c>
      <c r="Q42" t="s">
        <v>50</v>
      </c>
      <c r="R42" t="s">
        <v>23</v>
      </c>
    </row>
    <row r="43" spans="1:18" x14ac:dyDescent="0.35">
      <c r="A43">
        <v>41</v>
      </c>
      <c r="B43" t="s">
        <v>158</v>
      </c>
      <c r="C43" s="1">
        <f t="shared" ca="1" si="0"/>
        <v>45176</v>
      </c>
      <c r="D43" t="str">
        <f t="shared" ca="1" si="1"/>
        <v>September</v>
      </c>
      <c r="E43" t="s">
        <v>29</v>
      </c>
      <c r="F43" t="s">
        <v>33</v>
      </c>
      <c r="G43" t="str">
        <f t="shared" si="2"/>
        <v>Women</v>
      </c>
      <c r="H43" t="str">
        <f t="shared" ca="1" si="3"/>
        <v>Amazon</v>
      </c>
      <c r="I43">
        <f t="shared" ca="1" si="4"/>
        <v>50</v>
      </c>
      <c r="J43" t="s">
        <v>159</v>
      </c>
      <c r="K43" t="s">
        <v>39</v>
      </c>
      <c r="L43" t="s">
        <v>28</v>
      </c>
      <c r="M43">
        <v>1</v>
      </c>
      <c r="N43" t="s">
        <v>20</v>
      </c>
      <c r="O43">
        <v>885</v>
      </c>
      <c r="P43" t="s">
        <v>160</v>
      </c>
      <c r="Q43" t="s">
        <v>161</v>
      </c>
      <c r="R43" t="s">
        <v>23</v>
      </c>
    </row>
    <row r="44" spans="1:18" x14ac:dyDescent="0.35">
      <c r="A44">
        <v>42</v>
      </c>
      <c r="B44" t="s">
        <v>162</v>
      </c>
      <c r="C44" s="1">
        <f t="shared" ca="1" si="0"/>
        <v>45456</v>
      </c>
      <c r="D44" t="str">
        <f t="shared" ca="1" si="1"/>
        <v>June</v>
      </c>
      <c r="E44" t="s">
        <v>25</v>
      </c>
      <c r="F44" t="s">
        <v>16</v>
      </c>
      <c r="G44" t="str">
        <f t="shared" si="2"/>
        <v>Men</v>
      </c>
      <c r="H44" t="str">
        <f t="shared" ca="1" si="3"/>
        <v>Flipkart</v>
      </c>
      <c r="I44">
        <f t="shared" ca="1" si="4"/>
        <v>52</v>
      </c>
      <c r="J44" t="s">
        <v>163</v>
      </c>
      <c r="K44" t="s">
        <v>27</v>
      </c>
      <c r="L44" t="s">
        <v>101</v>
      </c>
      <c r="M44">
        <v>1</v>
      </c>
      <c r="N44" t="s">
        <v>20</v>
      </c>
      <c r="O44">
        <v>424</v>
      </c>
      <c r="P44" t="s">
        <v>21</v>
      </c>
      <c r="Q44" t="s">
        <v>22</v>
      </c>
      <c r="R44" t="s">
        <v>23</v>
      </c>
    </row>
    <row r="45" spans="1:18" x14ac:dyDescent="0.35">
      <c r="A45">
        <v>43</v>
      </c>
      <c r="B45" t="s">
        <v>164</v>
      </c>
      <c r="C45" s="1">
        <f t="shared" ca="1" si="0"/>
        <v>45621</v>
      </c>
      <c r="D45" t="str">
        <f t="shared" ca="1" si="1"/>
        <v>November</v>
      </c>
      <c r="E45" t="s">
        <v>29</v>
      </c>
      <c r="F45" t="s">
        <v>33</v>
      </c>
      <c r="G45" t="str">
        <f t="shared" si="2"/>
        <v>Women</v>
      </c>
      <c r="H45" t="str">
        <f t="shared" ca="1" si="3"/>
        <v>Amazon</v>
      </c>
      <c r="I45">
        <f t="shared" ca="1" si="4"/>
        <v>53</v>
      </c>
      <c r="J45" t="s">
        <v>165</v>
      </c>
      <c r="K45" t="s">
        <v>18</v>
      </c>
      <c r="L45" t="s">
        <v>101</v>
      </c>
      <c r="M45">
        <v>1</v>
      </c>
      <c r="N45" t="s">
        <v>20</v>
      </c>
      <c r="O45">
        <v>1126</v>
      </c>
      <c r="P45" t="s">
        <v>133</v>
      </c>
      <c r="Q45" t="s">
        <v>50</v>
      </c>
      <c r="R45" t="s">
        <v>23</v>
      </c>
    </row>
    <row r="46" spans="1:18" x14ac:dyDescent="0.35">
      <c r="A46">
        <v>44</v>
      </c>
      <c r="B46" t="s">
        <v>166</v>
      </c>
      <c r="C46" s="1">
        <f t="shared" ca="1" si="0"/>
        <v>45063</v>
      </c>
      <c r="D46" t="str">
        <f t="shared" ca="1" si="1"/>
        <v>May</v>
      </c>
      <c r="E46" t="s">
        <v>29</v>
      </c>
      <c r="F46" t="s">
        <v>33</v>
      </c>
      <c r="G46" t="str">
        <f t="shared" si="2"/>
        <v>Women</v>
      </c>
      <c r="H46" t="str">
        <f t="shared" ca="1" si="3"/>
        <v>Amazon</v>
      </c>
      <c r="I46">
        <f t="shared" ca="1" si="4"/>
        <v>44</v>
      </c>
      <c r="J46" t="s">
        <v>167</v>
      </c>
      <c r="K46" t="s">
        <v>18</v>
      </c>
      <c r="L46" t="s">
        <v>40</v>
      </c>
      <c r="M46">
        <v>1</v>
      </c>
      <c r="N46" t="s">
        <v>20</v>
      </c>
      <c r="O46">
        <v>788</v>
      </c>
      <c r="P46" t="s">
        <v>21</v>
      </c>
      <c r="Q46" t="s">
        <v>22</v>
      </c>
      <c r="R46" t="s">
        <v>23</v>
      </c>
    </row>
    <row r="47" spans="1:18" x14ac:dyDescent="0.35">
      <c r="A47">
        <v>45</v>
      </c>
      <c r="B47" t="s">
        <v>168</v>
      </c>
      <c r="C47" s="1">
        <f t="shared" ca="1" si="0"/>
        <v>45268</v>
      </c>
      <c r="D47" t="str">
        <f t="shared" ca="1" si="1"/>
        <v>December</v>
      </c>
      <c r="E47" t="s">
        <v>29</v>
      </c>
      <c r="F47" t="s">
        <v>33</v>
      </c>
      <c r="G47" t="str">
        <f t="shared" si="2"/>
        <v>Women</v>
      </c>
      <c r="H47" t="str">
        <f t="shared" ca="1" si="3"/>
        <v>Amazon</v>
      </c>
      <c r="I47">
        <f t="shared" ca="1" si="4"/>
        <v>36</v>
      </c>
      <c r="J47" t="s">
        <v>169</v>
      </c>
      <c r="K47" t="s">
        <v>18</v>
      </c>
      <c r="L47" t="s">
        <v>19</v>
      </c>
      <c r="M47">
        <v>1</v>
      </c>
      <c r="N47" t="s">
        <v>20</v>
      </c>
      <c r="O47">
        <v>759</v>
      </c>
      <c r="P47" t="s">
        <v>170</v>
      </c>
      <c r="Q47" t="s">
        <v>171</v>
      </c>
      <c r="R47" t="s">
        <v>23</v>
      </c>
    </row>
    <row r="48" spans="1:18" x14ac:dyDescent="0.35">
      <c r="A48">
        <v>46</v>
      </c>
      <c r="B48" t="s">
        <v>172</v>
      </c>
      <c r="C48" s="1">
        <f t="shared" ca="1" si="0"/>
        <v>45265</v>
      </c>
      <c r="D48" t="str">
        <f t="shared" ca="1" si="1"/>
        <v>December</v>
      </c>
      <c r="E48" t="s">
        <v>29</v>
      </c>
      <c r="F48" t="s">
        <v>33</v>
      </c>
      <c r="G48" t="str">
        <f t="shared" si="2"/>
        <v>Women</v>
      </c>
      <c r="H48" t="str">
        <f t="shared" ca="1" si="3"/>
        <v>Amazon</v>
      </c>
      <c r="I48">
        <f t="shared" ca="1" si="4"/>
        <v>50</v>
      </c>
      <c r="J48" t="s">
        <v>173</v>
      </c>
      <c r="K48" t="s">
        <v>18</v>
      </c>
      <c r="L48" t="s">
        <v>40</v>
      </c>
      <c r="M48">
        <v>1</v>
      </c>
      <c r="N48" t="s">
        <v>20</v>
      </c>
      <c r="O48">
        <v>1146</v>
      </c>
      <c r="P48" t="s">
        <v>174</v>
      </c>
      <c r="Q48" t="s">
        <v>81</v>
      </c>
      <c r="R48" t="s">
        <v>23</v>
      </c>
    </row>
    <row r="49" spans="1:18" x14ac:dyDescent="0.35">
      <c r="A49">
        <v>47</v>
      </c>
      <c r="B49" t="s">
        <v>175</v>
      </c>
      <c r="C49" s="1">
        <f t="shared" ca="1" si="0"/>
        <v>45603</v>
      </c>
      <c r="D49" t="str">
        <f t="shared" ca="1" si="1"/>
        <v>November</v>
      </c>
      <c r="E49" t="s">
        <v>29</v>
      </c>
      <c r="F49" t="s">
        <v>33</v>
      </c>
      <c r="G49" t="str">
        <f t="shared" si="2"/>
        <v>Women</v>
      </c>
      <c r="H49" t="str">
        <f t="shared" ca="1" si="3"/>
        <v>Amazon</v>
      </c>
      <c r="I49">
        <f t="shared" ca="1" si="4"/>
        <v>35</v>
      </c>
      <c r="J49" t="s">
        <v>176</v>
      </c>
      <c r="K49" t="s">
        <v>44</v>
      </c>
      <c r="L49" t="s">
        <v>19</v>
      </c>
      <c r="M49">
        <v>1</v>
      </c>
      <c r="N49" t="s">
        <v>20</v>
      </c>
      <c r="O49">
        <v>665</v>
      </c>
      <c r="P49" t="s">
        <v>177</v>
      </c>
      <c r="Q49" t="s">
        <v>57</v>
      </c>
      <c r="R49" t="s">
        <v>23</v>
      </c>
    </row>
    <row r="50" spans="1:18" x14ac:dyDescent="0.35">
      <c r="A50">
        <v>48</v>
      </c>
      <c r="B50" t="s">
        <v>178</v>
      </c>
      <c r="C50" s="1">
        <f t="shared" ca="1" si="0"/>
        <v>45563</v>
      </c>
      <c r="D50" t="str">
        <f t="shared" ca="1" si="1"/>
        <v>September</v>
      </c>
      <c r="E50" t="s">
        <v>29</v>
      </c>
      <c r="F50" t="s">
        <v>33</v>
      </c>
      <c r="G50" t="str">
        <f t="shared" si="2"/>
        <v>Men</v>
      </c>
      <c r="H50" t="str">
        <f t="shared" ca="1" si="3"/>
        <v>Amazon</v>
      </c>
      <c r="I50">
        <f t="shared" ca="1" si="4"/>
        <v>23</v>
      </c>
      <c r="J50" t="s">
        <v>179</v>
      </c>
      <c r="K50" t="s">
        <v>27</v>
      </c>
      <c r="L50" t="s">
        <v>19</v>
      </c>
      <c r="M50">
        <v>1</v>
      </c>
      <c r="N50" t="s">
        <v>20</v>
      </c>
      <c r="O50">
        <v>429</v>
      </c>
      <c r="P50" t="s">
        <v>56</v>
      </c>
      <c r="Q50" t="s">
        <v>57</v>
      </c>
      <c r="R50" t="s">
        <v>23</v>
      </c>
    </row>
    <row r="51" spans="1:18" x14ac:dyDescent="0.35">
      <c r="A51">
        <v>49</v>
      </c>
      <c r="B51" t="s">
        <v>180</v>
      </c>
      <c r="C51" s="1">
        <f t="shared" ca="1" si="0"/>
        <v>44964</v>
      </c>
      <c r="D51" t="str">
        <f t="shared" ca="1" si="1"/>
        <v>February</v>
      </c>
      <c r="E51" t="s">
        <v>25</v>
      </c>
      <c r="F51" t="s">
        <v>16</v>
      </c>
      <c r="G51" t="str">
        <f t="shared" si="2"/>
        <v>Men</v>
      </c>
      <c r="H51" t="str">
        <f t="shared" ca="1" si="3"/>
        <v>Flipkart</v>
      </c>
      <c r="I51">
        <f t="shared" ca="1" si="4"/>
        <v>38</v>
      </c>
      <c r="J51" t="s">
        <v>181</v>
      </c>
      <c r="K51" t="s">
        <v>27</v>
      </c>
      <c r="L51" t="s">
        <v>101</v>
      </c>
      <c r="M51">
        <v>1</v>
      </c>
      <c r="N51" t="s">
        <v>20</v>
      </c>
      <c r="O51">
        <v>399</v>
      </c>
      <c r="P51" t="s">
        <v>182</v>
      </c>
      <c r="Q51" t="s">
        <v>50</v>
      </c>
      <c r="R51" t="s">
        <v>23</v>
      </c>
    </row>
    <row r="52" spans="1:18" x14ac:dyDescent="0.35">
      <c r="A52">
        <v>50</v>
      </c>
      <c r="B52" t="s">
        <v>183</v>
      </c>
      <c r="C52" s="1">
        <f t="shared" ca="1" si="0"/>
        <v>45429</v>
      </c>
      <c r="D52" t="str">
        <f t="shared" ca="1" si="1"/>
        <v>May</v>
      </c>
      <c r="E52" t="s">
        <v>29</v>
      </c>
      <c r="F52" t="s">
        <v>33</v>
      </c>
      <c r="G52" t="str">
        <f t="shared" si="2"/>
        <v>Women</v>
      </c>
      <c r="H52" t="str">
        <f t="shared" ca="1" si="3"/>
        <v>Amazon</v>
      </c>
      <c r="I52">
        <f t="shared" ca="1" si="4"/>
        <v>22</v>
      </c>
      <c r="J52" t="s">
        <v>184</v>
      </c>
      <c r="K52" t="s">
        <v>18</v>
      </c>
      <c r="L52" t="s">
        <v>19</v>
      </c>
      <c r="M52">
        <v>1</v>
      </c>
      <c r="N52" t="s">
        <v>20</v>
      </c>
      <c r="O52">
        <v>848</v>
      </c>
      <c r="P52" t="s">
        <v>185</v>
      </c>
      <c r="Q52" t="s">
        <v>140</v>
      </c>
      <c r="R52" t="s">
        <v>23</v>
      </c>
    </row>
    <row r="53" spans="1:18" x14ac:dyDescent="0.35">
      <c r="A53">
        <v>51</v>
      </c>
      <c r="B53" t="s">
        <v>186</v>
      </c>
      <c r="C53" s="1">
        <f t="shared" ca="1" si="0"/>
        <v>45589</v>
      </c>
      <c r="D53" t="str">
        <f t="shared" ca="1" si="1"/>
        <v>October</v>
      </c>
      <c r="E53" t="s">
        <v>29</v>
      </c>
      <c r="F53" t="s">
        <v>33</v>
      </c>
      <c r="G53" t="str">
        <f t="shared" si="2"/>
        <v>Women</v>
      </c>
      <c r="H53" t="str">
        <f t="shared" ca="1" si="3"/>
        <v>Amazon</v>
      </c>
      <c r="I53">
        <f t="shared" ca="1" si="4"/>
        <v>33</v>
      </c>
      <c r="J53" t="s">
        <v>187</v>
      </c>
      <c r="K53" t="s">
        <v>18</v>
      </c>
      <c r="L53" t="s">
        <v>101</v>
      </c>
      <c r="M53">
        <v>1</v>
      </c>
      <c r="N53" t="s">
        <v>20</v>
      </c>
      <c r="O53">
        <v>654</v>
      </c>
      <c r="P53" t="s">
        <v>188</v>
      </c>
      <c r="Q53" t="s">
        <v>22</v>
      </c>
      <c r="R53" t="s">
        <v>23</v>
      </c>
    </row>
    <row r="54" spans="1:18" x14ac:dyDescent="0.35">
      <c r="A54">
        <v>52</v>
      </c>
      <c r="B54" t="s">
        <v>189</v>
      </c>
      <c r="C54" s="1">
        <f t="shared" ca="1" si="0"/>
        <v>45457</v>
      </c>
      <c r="D54" t="str">
        <f t="shared" ca="1" si="1"/>
        <v>June</v>
      </c>
      <c r="E54" t="s">
        <v>29</v>
      </c>
      <c r="F54" t="s">
        <v>33</v>
      </c>
      <c r="G54" t="str">
        <f t="shared" si="2"/>
        <v>Women</v>
      </c>
      <c r="H54" t="str">
        <f t="shared" ca="1" si="3"/>
        <v>Amazon</v>
      </c>
      <c r="I54">
        <f t="shared" ca="1" si="4"/>
        <v>46</v>
      </c>
      <c r="J54" t="s">
        <v>190</v>
      </c>
      <c r="K54" t="s">
        <v>18</v>
      </c>
      <c r="L54" t="s">
        <v>101</v>
      </c>
      <c r="M54">
        <v>1</v>
      </c>
      <c r="N54" t="s">
        <v>20</v>
      </c>
      <c r="O54">
        <v>1033</v>
      </c>
      <c r="P54" t="s">
        <v>191</v>
      </c>
      <c r="Q54" t="s">
        <v>192</v>
      </c>
      <c r="R54" t="s">
        <v>23</v>
      </c>
    </row>
    <row r="55" spans="1:18" x14ac:dyDescent="0.35">
      <c r="A55">
        <v>53</v>
      </c>
      <c r="B55" t="s">
        <v>193</v>
      </c>
      <c r="C55" s="1">
        <f t="shared" ca="1" si="0"/>
        <v>45424</v>
      </c>
      <c r="D55" t="str">
        <f t="shared" ca="1" si="1"/>
        <v>May</v>
      </c>
      <c r="E55" t="s">
        <v>29</v>
      </c>
      <c r="F55" t="s">
        <v>33</v>
      </c>
      <c r="G55" t="str">
        <f t="shared" si="2"/>
        <v>Men</v>
      </c>
      <c r="H55" t="str">
        <f t="shared" ca="1" si="3"/>
        <v>Amazon</v>
      </c>
      <c r="I55">
        <f t="shared" ca="1" si="4"/>
        <v>26</v>
      </c>
      <c r="J55" t="s">
        <v>194</v>
      </c>
      <c r="K55" t="s">
        <v>27</v>
      </c>
      <c r="L55" t="s">
        <v>35</v>
      </c>
      <c r="M55">
        <v>1</v>
      </c>
      <c r="N55" t="s">
        <v>20</v>
      </c>
      <c r="O55">
        <v>390</v>
      </c>
      <c r="P55" t="s">
        <v>30</v>
      </c>
      <c r="Q55" t="s">
        <v>31</v>
      </c>
      <c r="R55" t="s">
        <v>23</v>
      </c>
    </row>
    <row r="56" spans="1:18" x14ac:dyDescent="0.35">
      <c r="A56">
        <v>54</v>
      </c>
      <c r="B56" t="s">
        <v>195</v>
      </c>
      <c r="C56" s="1">
        <f t="shared" ca="1" si="0"/>
        <v>45004</v>
      </c>
      <c r="D56" t="str">
        <f t="shared" ca="1" si="1"/>
        <v>March</v>
      </c>
      <c r="E56" t="s">
        <v>29</v>
      </c>
      <c r="F56" t="s">
        <v>33</v>
      </c>
      <c r="G56" t="str">
        <f t="shared" si="2"/>
        <v>Women</v>
      </c>
      <c r="H56" t="str">
        <f t="shared" ca="1" si="3"/>
        <v>Amazon</v>
      </c>
      <c r="I56">
        <f t="shared" ca="1" si="4"/>
        <v>27</v>
      </c>
      <c r="J56" t="s">
        <v>196</v>
      </c>
      <c r="K56" t="s">
        <v>44</v>
      </c>
      <c r="L56" t="s">
        <v>40</v>
      </c>
      <c r="M56">
        <v>1</v>
      </c>
      <c r="N56" t="s">
        <v>20</v>
      </c>
      <c r="O56">
        <v>493</v>
      </c>
      <c r="P56" t="s">
        <v>30</v>
      </c>
      <c r="Q56" t="s">
        <v>31</v>
      </c>
      <c r="R56" t="s">
        <v>23</v>
      </c>
    </row>
    <row r="57" spans="1:18" x14ac:dyDescent="0.35">
      <c r="A57">
        <v>55</v>
      </c>
      <c r="B57" t="s">
        <v>197</v>
      </c>
      <c r="C57" s="1">
        <f t="shared" ca="1" si="0"/>
        <v>45084</v>
      </c>
      <c r="D57" t="str">
        <f t="shared" ca="1" si="1"/>
        <v>June</v>
      </c>
      <c r="E57" t="s">
        <v>29</v>
      </c>
      <c r="F57" t="s">
        <v>33</v>
      </c>
      <c r="G57" t="str">
        <f t="shared" si="2"/>
        <v>Women</v>
      </c>
      <c r="H57" t="str">
        <f t="shared" ca="1" si="3"/>
        <v>Amazon</v>
      </c>
      <c r="I57">
        <f t="shared" ca="1" si="4"/>
        <v>52</v>
      </c>
      <c r="J57" t="s">
        <v>198</v>
      </c>
      <c r="K57" t="s">
        <v>39</v>
      </c>
      <c r="L57" t="s">
        <v>19</v>
      </c>
      <c r="M57">
        <v>1</v>
      </c>
      <c r="N57" t="s">
        <v>20</v>
      </c>
      <c r="O57">
        <v>721</v>
      </c>
      <c r="P57" t="s">
        <v>199</v>
      </c>
      <c r="Q57" t="s">
        <v>57</v>
      </c>
      <c r="R57" t="s">
        <v>23</v>
      </c>
    </row>
    <row r="58" spans="1:18" x14ac:dyDescent="0.35">
      <c r="A58">
        <v>56</v>
      </c>
      <c r="B58" t="s">
        <v>200</v>
      </c>
      <c r="C58" s="1">
        <f t="shared" ca="1" si="0"/>
        <v>45631</v>
      </c>
      <c r="D58" t="str">
        <f t="shared" ca="1" si="1"/>
        <v>December</v>
      </c>
      <c r="E58" t="s">
        <v>29</v>
      </c>
      <c r="F58" t="s">
        <v>33</v>
      </c>
      <c r="G58" t="str">
        <f t="shared" si="2"/>
        <v>Women</v>
      </c>
      <c r="H58" t="str">
        <f t="shared" ca="1" si="3"/>
        <v>Amazon</v>
      </c>
      <c r="I58">
        <f t="shared" ca="1" si="4"/>
        <v>28</v>
      </c>
      <c r="J58" t="s">
        <v>201</v>
      </c>
      <c r="K58" t="s">
        <v>18</v>
      </c>
      <c r="L58" t="s">
        <v>68</v>
      </c>
      <c r="M58">
        <v>1</v>
      </c>
      <c r="N58" t="s">
        <v>20</v>
      </c>
      <c r="O58">
        <v>597</v>
      </c>
      <c r="P58" t="s">
        <v>202</v>
      </c>
      <c r="Q58" t="s">
        <v>85</v>
      </c>
      <c r="R58" t="s">
        <v>23</v>
      </c>
    </row>
    <row r="59" spans="1:18" x14ac:dyDescent="0.35">
      <c r="A59">
        <v>57</v>
      </c>
      <c r="B59" t="s">
        <v>203</v>
      </c>
      <c r="C59" s="1">
        <f t="shared" ca="1" si="0"/>
        <v>45023</v>
      </c>
      <c r="D59" t="str">
        <f t="shared" ca="1" si="1"/>
        <v>April</v>
      </c>
      <c r="E59" t="s">
        <v>29</v>
      </c>
      <c r="F59" t="s">
        <v>33</v>
      </c>
      <c r="G59" t="str">
        <f t="shared" si="2"/>
        <v>Men</v>
      </c>
      <c r="H59" t="str">
        <f t="shared" ca="1" si="3"/>
        <v>Amazon</v>
      </c>
      <c r="I59">
        <f t="shared" ca="1" si="4"/>
        <v>57</v>
      </c>
      <c r="J59" t="s">
        <v>151</v>
      </c>
      <c r="K59" t="s">
        <v>27</v>
      </c>
      <c r="L59" t="s">
        <v>40</v>
      </c>
      <c r="M59">
        <v>1</v>
      </c>
      <c r="N59" t="s">
        <v>20</v>
      </c>
      <c r="O59">
        <v>399</v>
      </c>
      <c r="P59" t="s">
        <v>127</v>
      </c>
      <c r="Q59" t="s">
        <v>110</v>
      </c>
      <c r="R59" t="s">
        <v>23</v>
      </c>
    </row>
    <row r="60" spans="1:18" x14ac:dyDescent="0.35">
      <c r="A60">
        <v>58</v>
      </c>
      <c r="B60" t="s">
        <v>204</v>
      </c>
      <c r="C60" s="1">
        <f t="shared" ca="1" si="0"/>
        <v>45143</v>
      </c>
      <c r="D60" t="str">
        <f t="shared" ca="1" si="1"/>
        <v>August</v>
      </c>
      <c r="E60" t="s">
        <v>29</v>
      </c>
      <c r="F60" t="s">
        <v>33</v>
      </c>
      <c r="G60" t="str">
        <f t="shared" si="2"/>
        <v>Women</v>
      </c>
      <c r="H60" t="str">
        <f t="shared" ca="1" si="3"/>
        <v>Amazon</v>
      </c>
      <c r="I60">
        <f t="shared" ca="1" si="4"/>
        <v>59</v>
      </c>
      <c r="J60" t="s">
        <v>205</v>
      </c>
      <c r="K60" t="s">
        <v>18</v>
      </c>
      <c r="L60" t="s">
        <v>19</v>
      </c>
      <c r="M60">
        <v>1</v>
      </c>
      <c r="N60" t="s">
        <v>20</v>
      </c>
      <c r="O60">
        <v>888</v>
      </c>
      <c r="P60" t="s">
        <v>206</v>
      </c>
      <c r="Q60" t="s">
        <v>31</v>
      </c>
      <c r="R60" t="s">
        <v>23</v>
      </c>
    </row>
    <row r="61" spans="1:18" x14ac:dyDescent="0.35">
      <c r="A61">
        <v>59</v>
      </c>
      <c r="B61" t="s">
        <v>207</v>
      </c>
      <c r="C61" s="1">
        <f t="shared" ca="1" si="0"/>
        <v>45320</v>
      </c>
      <c r="D61" t="str">
        <f t="shared" ca="1" si="1"/>
        <v>January</v>
      </c>
      <c r="E61" t="s">
        <v>29</v>
      </c>
      <c r="F61" t="s">
        <v>33</v>
      </c>
      <c r="G61" t="str">
        <f t="shared" si="2"/>
        <v>Men</v>
      </c>
      <c r="H61" t="str">
        <f t="shared" ca="1" si="3"/>
        <v>Amazon</v>
      </c>
      <c r="I61">
        <f t="shared" ca="1" si="4"/>
        <v>44</v>
      </c>
      <c r="J61" t="s">
        <v>208</v>
      </c>
      <c r="K61" t="s">
        <v>27</v>
      </c>
      <c r="L61" t="s">
        <v>62</v>
      </c>
      <c r="M61">
        <v>1</v>
      </c>
      <c r="N61" t="s">
        <v>20</v>
      </c>
      <c r="O61">
        <v>353</v>
      </c>
      <c r="P61" t="s">
        <v>56</v>
      </c>
      <c r="Q61" t="s">
        <v>57</v>
      </c>
      <c r="R61" t="s">
        <v>23</v>
      </c>
    </row>
    <row r="62" spans="1:18" x14ac:dyDescent="0.35">
      <c r="A62">
        <v>60</v>
      </c>
      <c r="B62" t="s">
        <v>209</v>
      </c>
      <c r="C62" s="1">
        <f t="shared" ca="1" si="0"/>
        <v>45216</v>
      </c>
      <c r="D62" t="str">
        <f t="shared" ca="1" si="1"/>
        <v>October</v>
      </c>
      <c r="E62" t="s">
        <v>25</v>
      </c>
      <c r="F62" t="s">
        <v>16</v>
      </c>
      <c r="G62" t="str">
        <f t="shared" si="2"/>
        <v>Women</v>
      </c>
      <c r="H62" t="str">
        <f t="shared" ca="1" si="3"/>
        <v>Flipkart</v>
      </c>
      <c r="I62">
        <f t="shared" ca="1" si="4"/>
        <v>29</v>
      </c>
      <c r="J62" t="s">
        <v>210</v>
      </c>
      <c r="K62" t="s">
        <v>18</v>
      </c>
      <c r="L62" t="s">
        <v>35</v>
      </c>
      <c r="M62">
        <v>1</v>
      </c>
      <c r="N62" t="s">
        <v>20</v>
      </c>
      <c r="O62">
        <v>599</v>
      </c>
      <c r="P62" t="s">
        <v>30</v>
      </c>
      <c r="Q62" t="s">
        <v>31</v>
      </c>
      <c r="R62" t="s">
        <v>23</v>
      </c>
    </row>
    <row r="63" spans="1:18" x14ac:dyDescent="0.35">
      <c r="A63">
        <v>61</v>
      </c>
      <c r="B63" t="s">
        <v>211</v>
      </c>
      <c r="C63" s="1">
        <f t="shared" ca="1" si="0"/>
        <v>45470</v>
      </c>
      <c r="D63" t="str">
        <f t="shared" ca="1" si="1"/>
        <v>June</v>
      </c>
      <c r="E63" t="s">
        <v>29</v>
      </c>
      <c r="F63" t="s">
        <v>33</v>
      </c>
      <c r="G63" t="str">
        <f t="shared" si="2"/>
        <v>Men</v>
      </c>
      <c r="H63" t="str">
        <f t="shared" ca="1" si="3"/>
        <v>Amazon</v>
      </c>
      <c r="I63">
        <f t="shared" ca="1" si="4"/>
        <v>56</v>
      </c>
      <c r="J63" t="s">
        <v>212</v>
      </c>
      <c r="K63" t="s">
        <v>27</v>
      </c>
      <c r="L63" t="s">
        <v>101</v>
      </c>
      <c r="M63">
        <v>1</v>
      </c>
      <c r="N63" t="s">
        <v>20</v>
      </c>
      <c r="O63">
        <v>518</v>
      </c>
      <c r="P63" t="s">
        <v>213</v>
      </c>
      <c r="Q63" t="s">
        <v>22</v>
      </c>
      <c r="R63" t="s">
        <v>23</v>
      </c>
    </row>
    <row r="64" spans="1:18" x14ac:dyDescent="0.35">
      <c r="A64">
        <v>62</v>
      </c>
      <c r="B64" t="s">
        <v>211</v>
      </c>
      <c r="C64" s="1">
        <f t="shared" ca="1" si="0"/>
        <v>45422</v>
      </c>
      <c r="D64" t="str">
        <f t="shared" ca="1" si="1"/>
        <v>May</v>
      </c>
      <c r="E64" t="s">
        <v>29</v>
      </c>
      <c r="F64" t="s">
        <v>33</v>
      </c>
      <c r="G64" t="str">
        <f t="shared" si="2"/>
        <v>Men</v>
      </c>
      <c r="H64" t="str">
        <f t="shared" ca="1" si="3"/>
        <v>Amazon</v>
      </c>
      <c r="I64">
        <f t="shared" ca="1" si="4"/>
        <v>58</v>
      </c>
      <c r="J64" t="s">
        <v>214</v>
      </c>
      <c r="K64" t="s">
        <v>27</v>
      </c>
      <c r="L64" t="s">
        <v>101</v>
      </c>
      <c r="M64">
        <v>1</v>
      </c>
      <c r="N64" t="s">
        <v>20</v>
      </c>
      <c r="O64">
        <v>295</v>
      </c>
      <c r="P64" t="s">
        <v>213</v>
      </c>
      <c r="Q64" t="s">
        <v>22</v>
      </c>
      <c r="R64" t="s">
        <v>23</v>
      </c>
    </row>
    <row r="65" spans="1:18" x14ac:dyDescent="0.35">
      <c r="A65">
        <v>63</v>
      </c>
      <c r="B65" t="s">
        <v>215</v>
      </c>
      <c r="C65" s="1">
        <f t="shared" ca="1" si="0"/>
        <v>45501</v>
      </c>
      <c r="D65" t="str">
        <f t="shared" ca="1" si="1"/>
        <v>July</v>
      </c>
      <c r="E65" t="s">
        <v>29</v>
      </c>
      <c r="F65" t="s">
        <v>33</v>
      </c>
      <c r="G65" t="str">
        <f t="shared" si="2"/>
        <v>Women</v>
      </c>
      <c r="H65" t="str">
        <f t="shared" ca="1" si="3"/>
        <v>Amazon</v>
      </c>
      <c r="I65">
        <f t="shared" ca="1" si="4"/>
        <v>45</v>
      </c>
      <c r="J65" t="s">
        <v>216</v>
      </c>
      <c r="K65" t="s">
        <v>18</v>
      </c>
      <c r="L65" t="s">
        <v>68</v>
      </c>
      <c r="M65">
        <v>1</v>
      </c>
      <c r="N65" t="s">
        <v>20</v>
      </c>
      <c r="O65">
        <v>852</v>
      </c>
      <c r="P65" t="s">
        <v>157</v>
      </c>
      <c r="Q65" t="s">
        <v>50</v>
      </c>
      <c r="R65" t="s">
        <v>23</v>
      </c>
    </row>
    <row r="66" spans="1:18" x14ac:dyDescent="0.35">
      <c r="A66">
        <v>64</v>
      </c>
      <c r="B66" t="s">
        <v>217</v>
      </c>
      <c r="C66" s="1">
        <f t="shared" ca="1" si="0"/>
        <v>44960</v>
      </c>
      <c r="D66" t="str">
        <f t="shared" ca="1" si="1"/>
        <v>February</v>
      </c>
      <c r="E66" t="s">
        <v>29</v>
      </c>
      <c r="F66" t="s">
        <v>33</v>
      </c>
      <c r="G66" t="str">
        <f t="shared" si="2"/>
        <v>Women</v>
      </c>
      <c r="H66" t="str">
        <f t="shared" ca="1" si="3"/>
        <v>Amazon</v>
      </c>
      <c r="I66">
        <f t="shared" ca="1" si="4"/>
        <v>58</v>
      </c>
      <c r="J66" t="s">
        <v>218</v>
      </c>
      <c r="K66" t="s">
        <v>18</v>
      </c>
      <c r="L66" t="s">
        <v>101</v>
      </c>
      <c r="M66">
        <v>1</v>
      </c>
      <c r="N66" t="s">
        <v>20</v>
      </c>
      <c r="O66">
        <v>824</v>
      </c>
      <c r="P66" t="s">
        <v>219</v>
      </c>
      <c r="Q66" t="s">
        <v>22</v>
      </c>
      <c r="R66" t="s">
        <v>23</v>
      </c>
    </row>
    <row r="67" spans="1:18" x14ac:dyDescent="0.35">
      <c r="A67">
        <v>65</v>
      </c>
      <c r="B67" t="s">
        <v>220</v>
      </c>
      <c r="C67" s="1">
        <f t="shared" ref="C67:C130" ca="1" si="5">RANDBETWEEN(DATE(2023,1,1), DATE(2024,12,31))</f>
        <v>45431</v>
      </c>
      <c r="D67" t="str">
        <f t="shared" ref="D67:D130" ca="1" si="6">TEXT(C67, "MMMM")</f>
        <v>May</v>
      </c>
      <c r="E67" t="s">
        <v>15</v>
      </c>
      <c r="F67" t="s">
        <v>33</v>
      </c>
      <c r="G67" t="str">
        <f t="shared" ref="G67:G130" si="7">IF(K67="Set","Women",IF(K67="Kurta","Men",IF(K67="Top","Women",IF(K67="Western Dress","Women",IF(K67="Ethnic Dress","Women",IF(K67="Saree","Women",0))))))</f>
        <v>Men</v>
      </c>
      <c r="H67" t="str">
        <f t="shared" ref="H67:H130" ca="1" si="8">IF(F67="Merchant",IF(RAND()&gt;0.5,"Myntra","Flipkart"),IF(F67="Amazon","Amazon",0))</f>
        <v>Amazon</v>
      </c>
      <c r="I67">
        <f t="shared" ref="I67:I130" ca="1" si="9">RANDBETWEEN(18, 60)</f>
        <v>60</v>
      </c>
      <c r="J67" t="s">
        <v>221</v>
      </c>
      <c r="K67" t="s">
        <v>27</v>
      </c>
      <c r="L67" t="s">
        <v>62</v>
      </c>
      <c r="M67">
        <v>0</v>
      </c>
      <c r="P67" t="s">
        <v>222</v>
      </c>
      <c r="Q67" t="s">
        <v>223</v>
      </c>
      <c r="R67" t="s">
        <v>23</v>
      </c>
    </row>
    <row r="68" spans="1:18" x14ac:dyDescent="0.35">
      <c r="A68">
        <v>66</v>
      </c>
      <c r="B68" t="s">
        <v>224</v>
      </c>
      <c r="C68" s="1">
        <f t="shared" ca="1" si="5"/>
        <v>45183</v>
      </c>
      <c r="D68" t="str">
        <f t="shared" ca="1" si="6"/>
        <v>September</v>
      </c>
      <c r="E68" t="s">
        <v>29</v>
      </c>
      <c r="F68" t="s">
        <v>33</v>
      </c>
      <c r="G68" t="str">
        <f t="shared" si="7"/>
        <v>Women</v>
      </c>
      <c r="H68" t="str">
        <f t="shared" ca="1" si="8"/>
        <v>Amazon</v>
      </c>
      <c r="I68">
        <f t="shared" ca="1" si="9"/>
        <v>33</v>
      </c>
      <c r="J68" t="s">
        <v>225</v>
      </c>
      <c r="K68" t="s">
        <v>18</v>
      </c>
      <c r="L68" t="s">
        <v>62</v>
      </c>
      <c r="M68">
        <v>1</v>
      </c>
      <c r="N68" t="s">
        <v>20</v>
      </c>
      <c r="O68">
        <v>909</v>
      </c>
      <c r="P68" t="s">
        <v>113</v>
      </c>
      <c r="Q68" t="s">
        <v>114</v>
      </c>
      <c r="R68" t="s">
        <v>23</v>
      </c>
    </row>
    <row r="69" spans="1:18" x14ac:dyDescent="0.35">
      <c r="A69">
        <v>67</v>
      </c>
      <c r="B69" t="s">
        <v>226</v>
      </c>
      <c r="C69" s="1">
        <f t="shared" ca="1" si="5"/>
        <v>45645</v>
      </c>
      <c r="D69" t="str">
        <f t="shared" ca="1" si="6"/>
        <v>December</v>
      </c>
      <c r="E69" t="s">
        <v>29</v>
      </c>
      <c r="F69" t="s">
        <v>33</v>
      </c>
      <c r="G69" t="str">
        <f t="shared" si="7"/>
        <v>Women</v>
      </c>
      <c r="H69" t="str">
        <f t="shared" ca="1" si="8"/>
        <v>Amazon</v>
      </c>
      <c r="I69">
        <f t="shared" ca="1" si="9"/>
        <v>51</v>
      </c>
      <c r="J69" t="s">
        <v>227</v>
      </c>
      <c r="K69" t="s">
        <v>44</v>
      </c>
      <c r="L69" t="s">
        <v>40</v>
      </c>
      <c r="M69">
        <v>1</v>
      </c>
      <c r="N69" t="s">
        <v>20</v>
      </c>
      <c r="O69">
        <v>432</v>
      </c>
      <c r="P69" t="s">
        <v>122</v>
      </c>
      <c r="Q69" t="s">
        <v>22</v>
      </c>
      <c r="R69" t="s">
        <v>23</v>
      </c>
    </row>
    <row r="70" spans="1:18" x14ac:dyDescent="0.35">
      <c r="A70">
        <v>68</v>
      </c>
      <c r="B70" t="s">
        <v>228</v>
      </c>
      <c r="C70" s="1">
        <f t="shared" ca="1" si="5"/>
        <v>44990</v>
      </c>
      <c r="D70" t="str">
        <f t="shared" ca="1" si="6"/>
        <v>March</v>
      </c>
      <c r="E70" t="s">
        <v>29</v>
      </c>
      <c r="F70" t="s">
        <v>33</v>
      </c>
      <c r="G70" t="str">
        <f t="shared" si="7"/>
        <v>Women</v>
      </c>
      <c r="H70" t="str">
        <f t="shared" ca="1" si="8"/>
        <v>Amazon</v>
      </c>
      <c r="I70">
        <f t="shared" ca="1" si="9"/>
        <v>49</v>
      </c>
      <c r="J70" t="s">
        <v>229</v>
      </c>
      <c r="K70" t="s">
        <v>18</v>
      </c>
      <c r="L70" t="s">
        <v>40</v>
      </c>
      <c r="M70">
        <v>1</v>
      </c>
      <c r="N70" t="s">
        <v>20</v>
      </c>
      <c r="O70">
        <v>545</v>
      </c>
      <c r="P70" t="s">
        <v>30</v>
      </c>
      <c r="Q70" t="s">
        <v>31</v>
      </c>
      <c r="R70" t="s">
        <v>23</v>
      </c>
    </row>
    <row r="71" spans="1:18" x14ac:dyDescent="0.35">
      <c r="A71">
        <v>69</v>
      </c>
      <c r="B71" t="s">
        <v>230</v>
      </c>
      <c r="C71" s="1">
        <f t="shared" ca="1" si="5"/>
        <v>45624</v>
      </c>
      <c r="D71" t="str">
        <f t="shared" ca="1" si="6"/>
        <v>November</v>
      </c>
      <c r="E71" t="s">
        <v>29</v>
      </c>
      <c r="F71" t="s">
        <v>33</v>
      </c>
      <c r="G71" t="str">
        <f t="shared" si="7"/>
        <v>Women</v>
      </c>
      <c r="H71" t="str">
        <f t="shared" ca="1" si="8"/>
        <v>Amazon</v>
      </c>
      <c r="I71">
        <f t="shared" ca="1" si="9"/>
        <v>55</v>
      </c>
      <c r="J71" t="s">
        <v>231</v>
      </c>
      <c r="K71" t="s">
        <v>18</v>
      </c>
      <c r="L71" t="s">
        <v>28</v>
      </c>
      <c r="M71">
        <v>1</v>
      </c>
      <c r="N71" t="s">
        <v>20</v>
      </c>
      <c r="O71">
        <v>1146</v>
      </c>
      <c r="P71" t="s">
        <v>232</v>
      </c>
      <c r="Q71" t="s">
        <v>31</v>
      </c>
      <c r="R71" t="s">
        <v>23</v>
      </c>
    </row>
    <row r="72" spans="1:18" x14ac:dyDescent="0.35">
      <c r="A72">
        <v>70</v>
      </c>
      <c r="B72" t="s">
        <v>233</v>
      </c>
      <c r="C72" s="1">
        <f t="shared" ca="1" si="5"/>
        <v>45413</v>
      </c>
      <c r="D72" t="str">
        <f t="shared" ca="1" si="6"/>
        <v>May</v>
      </c>
      <c r="E72" t="s">
        <v>25</v>
      </c>
      <c r="F72" t="s">
        <v>16</v>
      </c>
      <c r="G72" t="str">
        <f t="shared" si="7"/>
        <v>Men</v>
      </c>
      <c r="H72" t="str">
        <f t="shared" ca="1" si="8"/>
        <v>Flipkart</v>
      </c>
      <c r="I72">
        <f t="shared" ca="1" si="9"/>
        <v>58</v>
      </c>
      <c r="J72" t="s">
        <v>234</v>
      </c>
      <c r="K72" t="s">
        <v>27</v>
      </c>
      <c r="L72" t="s">
        <v>35</v>
      </c>
      <c r="M72">
        <v>1</v>
      </c>
      <c r="N72" t="s">
        <v>20</v>
      </c>
      <c r="O72">
        <v>696</v>
      </c>
      <c r="P72" t="s">
        <v>45</v>
      </c>
      <c r="Q72" t="s">
        <v>46</v>
      </c>
      <c r="R72" t="s">
        <v>23</v>
      </c>
    </row>
    <row r="73" spans="1:18" x14ac:dyDescent="0.35">
      <c r="A73">
        <v>71</v>
      </c>
      <c r="B73" t="s">
        <v>235</v>
      </c>
      <c r="C73" s="1">
        <f t="shared" ca="1" si="5"/>
        <v>45315</v>
      </c>
      <c r="D73" t="str">
        <f t="shared" ca="1" si="6"/>
        <v>January</v>
      </c>
      <c r="E73" t="s">
        <v>29</v>
      </c>
      <c r="F73" t="s">
        <v>33</v>
      </c>
      <c r="G73" t="str">
        <f t="shared" si="7"/>
        <v>Men</v>
      </c>
      <c r="H73" t="str">
        <f t="shared" ca="1" si="8"/>
        <v>Amazon</v>
      </c>
      <c r="I73">
        <f t="shared" ca="1" si="9"/>
        <v>24</v>
      </c>
      <c r="J73" t="s">
        <v>236</v>
      </c>
      <c r="K73" t="s">
        <v>27</v>
      </c>
      <c r="L73" t="s">
        <v>101</v>
      </c>
      <c r="M73">
        <v>1</v>
      </c>
      <c r="N73" t="s">
        <v>20</v>
      </c>
      <c r="O73">
        <v>432</v>
      </c>
      <c r="P73" t="s">
        <v>21</v>
      </c>
      <c r="Q73" t="s">
        <v>22</v>
      </c>
      <c r="R73" t="s">
        <v>23</v>
      </c>
    </row>
    <row r="74" spans="1:18" x14ac:dyDescent="0.35">
      <c r="A74">
        <v>72</v>
      </c>
      <c r="B74" t="s">
        <v>237</v>
      </c>
      <c r="C74" s="1">
        <f t="shared" ca="1" si="5"/>
        <v>45196</v>
      </c>
      <c r="D74" t="str">
        <f t="shared" ca="1" si="6"/>
        <v>September</v>
      </c>
      <c r="E74" t="s">
        <v>25</v>
      </c>
      <c r="F74" t="s">
        <v>16</v>
      </c>
      <c r="G74" t="str">
        <f t="shared" si="7"/>
        <v>Women</v>
      </c>
      <c r="H74" t="str">
        <f t="shared" ca="1" si="8"/>
        <v>Myntra</v>
      </c>
      <c r="I74">
        <f t="shared" ca="1" si="9"/>
        <v>53</v>
      </c>
      <c r="J74" t="s">
        <v>238</v>
      </c>
      <c r="K74" t="s">
        <v>18</v>
      </c>
      <c r="L74" t="s">
        <v>19</v>
      </c>
      <c r="M74">
        <v>1</v>
      </c>
      <c r="N74" t="s">
        <v>20</v>
      </c>
      <c r="O74">
        <v>631</v>
      </c>
      <c r="P74" t="s">
        <v>239</v>
      </c>
      <c r="Q74" t="s">
        <v>31</v>
      </c>
      <c r="R74" t="s">
        <v>23</v>
      </c>
    </row>
    <row r="75" spans="1:18" x14ac:dyDescent="0.35">
      <c r="A75">
        <v>73</v>
      </c>
      <c r="B75" t="s">
        <v>240</v>
      </c>
      <c r="C75" s="1">
        <f t="shared" ca="1" si="5"/>
        <v>45246</v>
      </c>
      <c r="D75" t="str">
        <f t="shared" ca="1" si="6"/>
        <v>November</v>
      </c>
      <c r="E75" t="s">
        <v>29</v>
      </c>
      <c r="F75" t="s">
        <v>33</v>
      </c>
      <c r="G75" t="str">
        <f t="shared" si="7"/>
        <v>Men</v>
      </c>
      <c r="H75" t="str">
        <f t="shared" ca="1" si="8"/>
        <v>Amazon</v>
      </c>
      <c r="I75">
        <f t="shared" ca="1" si="9"/>
        <v>57</v>
      </c>
      <c r="J75" t="s">
        <v>241</v>
      </c>
      <c r="K75" t="s">
        <v>27</v>
      </c>
      <c r="L75" t="s">
        <v>62</v>
      </c>
      <c r="M75">
        <v>1</v>
      </c>
      <c r="N75" t="s">
        <v>20</v>
      </c>
      <c r="O75">
        <v>316</v>
      </c>
      <c r="P75" t="s">
        <v>30</v>
      </c>
      <c r="Q75" t="s">
        <v>31</v>
      </c>
      <c r="R75" t="s">
        <v>23</v>
      </c>
    </row>
    <row r="76" spans="1:18" x14ac:dyDescent="0.35">
      <c r="A76">
        <v>74</v>
      </c>
      <c r="B76" t="s">
        <v>242</v>
      </c>
      <c r="C76" s="1">
        <f t="shared" ca="1" si="5"/>
        <v>44937</v>
      </c>
      <c r="D76" t="str">
        <f t="shared" ca="1" si="6"/>
        <v>January</v>
      </c>
      <c r="E76" t="s">
        <v>25</v>
      </c>
      <c r="F76" t="s">
        <v>16</v>
      </c>
      <c r="G76" t="str">
        <f t="shared" si="7"/>
        <v>Men</v>
      </c>
      <c r="H76" t="str">
        <f t="shared" ca="1" si="8"/>
        <v>Flipkart</v>
      </c>
      <c r="I76">
        <f t="shared" ca="1" si="9"/>
        <v>58</v>
      </c>
      <c r="J76" t="s">
        <v>243</v>
      </c>
      <c r="K76" t="s">
        <v>27</v>
      </c>
      <c r="L76" t="s">
        <v>35</v>
      </c>
      <c r="M76">
        <v>1</v>
      </c>
      <c r="N76" t="s">
        <v>20</v>
      </c>
      <c r="O76">
        <v>362</v>
      </c>
      <c r="P76" t="s">
        <v>244</v>
      </c>
      <c r="Q76" t="s">
        <v>140</v>
      </c>
      <c r="R76" t="s">
        <v>23</v>
      </c>
    </row>
    <row r="77" spans="1:18" x14ac:dyDescent="0.35">
      <c r="A77">
        <v>75</v>
      </c>
      <c r="B77" t="s">
        <v>245</v>
      </c>
      <c r="C77" s="1">
        <f t="shared" ca="1" si="5"/>
        <v>45429</v>
      </c>
      <c r="D77" t="str">
        <f t="shared" ca="1" si="6"/>
        <v>May</v>
      </c>
      <c r="E77" t="s">
        <v>29</v>
      </c>
      <c r="F77" t="s">
        <v>33</v>
      </c>
      <c r="G77" t="str">
        <f t="shared" si="7"/>
        <v>Men</v>
      </c>
      <c r="H77" t="str">
        <f t="shared" ca="1" si="8"/>
        <v>Amazon</v>
      </c>
      <c r="I77">
        <f t="shared" ca="1" si="9"/>
        <v>39</v>
      </c>
      <c r="J77" t="s">
        <v>246</v>
      </c>
      <c r="K77" t="s">
        <v>27</v>
      </c>
      <c r="L77" t="s">
        <v>40</v>
      </c>
      <c r="M77">
        <v>1</v>
      </c>
      <c r="N77" t="s">
        <v>20</v>
      </c>
      <c r="O77">
        <v>329</v>
      </c>
      <c r="P77" t="s">
        <v>56</v>
      </c>
      <c r="Q77" t="s">
        <v>57</v>
      </c>
      <c r="R77" t="s">
        <v>23</v>
      </c>
    </row>
    <row r="78" spans="1:18" x14ac:dyDescent="0.35">
      <c r="A78">
        <v>76</v>
      </c>
      <c r="B78" t="s">
        <v>247</v>
      </c>
      <c r="C78" s="1">
        <f t="shared" ca="1" si="5"/>
        <v>45451</v>
      </c>
      <c r="D78" t="str">
        <f t="shared" ca="1" si="6"/>
        <v>June</v>
      </c>
      <c r="E78" t="s">
        <v>29</v>
      </c>
      <c r="F78" t="s">
        <v>33</v>
      </c>
      <c r="G78" t="str">
        <f t="shared" si="7"/>
        <v>Men</v>
      </c>
      <c r="H78" t="str">
        <f t="shared" ca="1" si="8"/>
        <v>Amazon</v>
      </c>
      <c r="I78">
        <f t="shared" ca="1" si="9"/>
        <v>59</v>
      </c>
      <c r="J78" t="s">
        <v>248</v>
      </c>
      <c r="K78" t="s">
        <v>27</v>
      </c>
      <c r="L78" t="s">
        <v>62</v>
      </c>
      <c r="M78">
        <v>1</v>
      </c>
      <c r="N78" t="s">
        <v>20</v>
      </c>
      <c r="O78">
        <v>399</v>
      </c>
      <c r="P78" t="s">
        <v>122</v>
      </c>
      <c r="Q78" t="s">
        <v>22</v>
      </c>
      <c r="R78" t="s">
        <v>23</v>
      </c>
    </row>
    <row r="79" spans="1:18" x14ac:dyDescent="0.35">
      <c r="A79">
        <v>77</v>
      </c>
      <c r="B79" t="s">
        <v>249</v>
      </c>
      <c r="C79" s="1">
        <f t="shared" ca="1" si="5"/>
        <v>45640</v>
      </c>
      <c r="D79" t="str">
        <f t="shared" ca="1" si="6"/>
        <v>December</v>
      </c>
      <c r="E79" t="s">
        <v>29</v>
      </c>
      <c r="F79" t="s">
        <v>33</v>
      </c>
      <c r="G79" t="str">
        <f t="shared" si="7"/>
        <v>Women</v>
      </c>
      <c r="H79" t="str">
        <f t="shared" ca="1" si="8"/>
        <v>Amazon</v>
      </c>
      <c r="I79">
        <f t="shared" ca="1" si="9"/>
        <v>55</v>
      </c>
      <c r="J79" t="s">
        <v>250</v>
      </c>
      <c r="K79" t="s">
        <v>18</v>
      </c>
      <c r="L79" t="s">
        <v>28</v>
      </c>
      <c r="M79">
        <v>1</v>
      </c>
      <c r="N79" t="s">
        <v>20</v>
      </c>
      <c r="O79">
        <v>751</v>
      </c>
      <c r="P79" t="s">
        <v>109</v>
      </c>
      <c r="Q79" t="s">
        <v>110</v>
      </c>
      <c r="R79" t="s">
        <v>23</v>
      </c>
    </row>
    <row r="80" spans="1:18" x14ac:dyDescent="0.35">
      <c r="A80">
        <v>78</v>
      </c>
      <c r="B80" t="s">
        <v>251</v>
      </c>
      <c r="C80" s="1">
        <f t="shared" ca="1" si="5"/>
        <v>45503</v>
      </c>
      <c r="D80" t="str">
        <f t="shared" ca="1" si="6"/>
        <v>July</v>
      </c>
      <c r="E80" t="s">
        <v>29</v>
      </c>
      <c r="F80" t="s">
        <v>33</v>
      </c>
      <c r="G80" t="str">
        <f t="shared" si="7"/>
        <v>Women</v>
      </c>
      <c r="H80" t="str">
        <f t="shared" ca="1" si="8"/>
        <v>Amazon</v>
      </c>
      <c r="I80">
        <f t="shared" ca="1" si="9"/>
        <v>29</v>
      </c>
      <c r="J80" t="s">
        <v>252</v>
      </c>
      <c r="K80" t="s">
        <v>39</v>
      </c>
      <c r="L80" t="s">
        <v>35</v>
      </c>
      <c r="M80">
        <v>1</v>
      </c>
      <c r="N80" t="s">
        <v>20</v>
      </c>
      <c r="O80">
        <v>791</v>
      </c>
      <c r="P80" t="s">
        <v>253</v>
      </c>
      <c r="Q80" t="s">
        <v>223</v>
      </c>
      <c r="R80" t="s">
        <v>23</v>
      </c>
    </row>
    <row r="81" spans="1:18" x14ac:dyDescent="0.35">
      <c r="A81">
        <v>79</v>
      </c>
      <c r="B81" t="s">
        <v>254</v>
      </c>
      <c r="C81" s="1">
        <f t="shared" ca="1" si="5"/>
        <v>45360</v>
      </c>
      <c r="D81" t="str">
        <f t="shared" ca="1" si="6"/>
        <v>March</v>
      </c>
      <c r="E81" t="s">
        <v>29</v>
      </c>
      <c r="F81" t="s">
        <v>33</v>
      </c>
      <c r="G81" t="str">
        <f t="shared" si="7"/>
        <v>Women</v>
      </c>
      <c r="H81" t="str">
        <f t="shared" ca="1" si="8"/>
        <v>Amazon</v>
      </c>
      <c r="I81">
        <f t="shared" ca="1" si="9"/>
        <v>60</v>
      </c>
      <c r="J81" t="s">
        <v>255</v>
      </c>
      <c r="K81" t="s">
        <v>18</v>
      </c>
      <c r="L81" t="s">
        <v>28</v>
      </c>
      <c r="M81">
        <v>1</v>
      </c>
      <c r="N81" t="s">
        <v>20</v>
      </c>
      <c r="O81">
        <v>684</v>
      </c>
      <c r="P81" t="s">
        <v>256</v>
      </c>
      <c r="Q81" t="s">
        <v>171</v>
      </c>
      <c r="R81" t="s">
        <v>23</v>
      </c>
    </row>
    <row r="82" spans="1:18" x14ac:dyDescent="0.35">
      <c r="A82">
        <v>80</v>
      </c>
      <c r="B82" t="s">
        <v>254</v>
      </c>
      <c r="C82" s="1">
        <f t="shared" ca="1" si="5"/>
        <v>45287</v>
      </c>
      <c r="D82" t="str">
        <f t="shared" ca="1" si="6"/>
        <v>December</v>
      </c>
      <c r="E82" t="s">
        <v>29</v>
      </c>
      <c r="F82" t="s">
        <v>33</v>
      </c>
      <c r="G82" t="str">
        <f t="shared" si="7"/>
        <v>Women</v>
      </c>
      <c r="H82" t="str">
        <f t="shared" ca="1" si="8"/>
        <v>Amazon</v>
      </c>
      <c r="I82">
        <f t="shared" ca="1" si="9"/>
        <v>23</v>
      </c>
      <c r="J82" t="s">
        <v>257</v>
      </c>
      <c r="K82" t="s">
        <v>18</v>
      </c>
      <c r="L82" t="s">
        <v>28</v>
      </c>
      <c r="M82">
        <v>1</v>
      </c>
      <c r="N82" t="s">
        <v>20</v>
      </c>
      <c r="O82">
        <v>1281</v>
      </c>
      <c r="P82" t="s">
        <v>256</v>
      </c>
      <c r="Q82" t="s">
        <v>171</v>
      </c>
      <c r="R82" t="s">
        <v>23</v>
      </c>
    </row>
    <row r="83" spans="1:18" x14ac:dyDescent="0.35">
      <c r="A83">
        <v>81</v>
      </c>
      <c r="B83" t="s">
        <v>254</v>
      </c>
      <c r="C83" s="1">
        <f t="shared" ca="1" si="5"/>
        <v>45436</v>
      </c>
      <c r="D83" t="str">
        <f t="shared" ca="1" si="6"/>
        <v>May</v>
      </c>
      <c r="E83" t="s">
        <v>29</v>
      </c>
      <c r="F83" t="s">
        <v>33</v>
      </c>
      <c r="G83" t="str">
        <f t="shared" si="7"/>
        <v>Women</v>
      </c>
      <c r="H83" t="str">
        <f t="shared" ca="1" si="8"/>
        <v>Amazon</v>
      </c>
      <c r="I83">
        <f t="shared" ca="1" si="9"/>
        <v>24</v>
      </c>
      <c r="J83" t="s">
        <v>258</v>
      </c>
      <c r="K83" t="s">
        <v>18</v>
      </c>
      <c r="L83" t="s">
        <v>28</v>
      </c>
      <c r="M83">
        <v>1</v>
      </c>
      <c r="N83" t="s">
        <v>20</v>
      </c>
      <c r="O83">
        <v>1186</v>
      </c>
      <c r="P83" t="s">
        <v>256</v>
      </c>
      <c r="Q83" t="s">
        <v>171</v>
      </c>
      <c r="R83" t="s">
        <v>23</v>
      </c>
    </row>
    <row r="84" spans="1:18" x14ac:dyDescent="0.35">
      <c r="A84">
        <v>82</v>
      </c>
      <c r="B84" t="s">
        <v>259</v>
      </c>
      <c r="C84" s="1">
        <f t="shared" ca="1" si="5"/>
        <v>44950</v>
      </c>
      <c r="D84" t="str">
        <f t="shared" ca="1" si="6"/>
        <v>January</v>
      </c>
      <c r="E84" t="s">
        <v>29</v>
      </c>
      <c r="F84" t="s">
        <v>33</v>
      </c>
      <c r="G84" t="str">
        <f t="shared" si="7"/>
        <v>Men</v>
      </c>
      <c r="H84" t="str">
        <f t="shared" ca="1" si="8"/>
        <v>Amazon</v>
      </c>
      <c r="I84">
        <f t="shared" ca="1" si="9"/>
        <v>41</v>
      </c>
      <c r="J84" t="s">
        <v>260</v>
      </c>
      <c r="K84" t="s">
        <v>27</v>
      </c>
      <c r="L84" t="s">
        <v>62</v>
      </c>
      <c r="M84">
        <v>1</v>
      </c>
      <c r="N84" t="s">
        <v>20</v>
      </c>
      <c r="O84">
        <v>499</v>
      </c>
      <c r="P84" t="s">
        <v>56</v>
      </c>
      <c r="Q84" t="s">
        <v>57</v>
      </c>
      <c r="R84" t="s">
        <v>23</v>
      </c>
    </row>
    <row r="85" spans="1:18" x14ac:dyDescent="0.35">
      <c r="A85">
        <v>83</v>
      </c>
      <c r="B85" t="s">
        <v>261</v>
      </c>
      <c r="C85" s="1">
        <f t="shared" ca="1" si="5"/>
        <v>45105</v>
      </c>
      <c r="D85" t="str">
        <f t="shared" ca="1" si="6"/>
        <v>June</v>
      </c>
      <c r="E85" t="s">
        <v>15</v>
      </c>
      <c r="F85" t="s">
        <v>16</v>
      </c>
      <c r="G85" t="str">
        <f t="shared" si="7"/>
        <v>Women</v>
      </c>
      <c r="H85" t="str">
        <f t="shared" ca="1" si="8"/>
        <v>Myntra</v>
      </c>
      <c r="I85">
        <f t="shared" ca="1" si="9"/>
        <v>48</v>
      </c>
      <c r="J85" t="s">
        <v>262</v>
      </c>
      <c r="K85" t="s">
        <v>18</v>
      </c>
      <c r="L85" t="s">
        <v>101</v>
      </c>
      <c r="M85">
        <v>0</v>
      </c>
      <c r="N85" t="s">
        <v>20</v>
      </c>
      <c r="O85">
        <v>1105.3599999999999</v>
      </c>
      <c r="P85" t="s">
        <v>263</v>
      </c>
      <c r="Q85" t="s">
        <v>264</v>
      </c>
      <c r="R85" t="s">
        <v>23</v>
      </c>
    </row>
    <row r="86" spans="1:18" x14ac:dyDescent="0.35">
      <c r="A86">
        <v>84</v>
      </c>
      <c r="B86" t="s">
        <v>265</v>
      </c>
      <c r="C86" s="1">
        <f t="shared" ca="1" si="5"/>
        <v>45240</v>
      </c>
      <c r="D86" t="str">
        <f t="shared" ca="1" si="6"/>
        <v>November</v>
      </c>
      <c r="E86" t="s">
        <v>15</v>
      </c>
      <c r="F86" t="s">
        <v>33</v>
      </c>
      <c r="G86" t="str">
        <f t="shared" si="7"/>
        <v>Men</v>
      </c>
      <c r="H86" t="str">
        <f t="shared" ca="1" si="8"/>
        <v>Amazon</v>
      </c>
      <c r="I86">
        <f t="shared" ca="1" si="9"/>
        <v>18</v>
      </c>
      <c r="J86" t="s">
        <v>266</v>
      </c>
      <c r="K86" t="s">
        <v>27</v>
      </c>
      <c r="L86" t="s">
        <v>101</v>
      </c>
      <c r="M86">
        <v>0</v>
      </c>
      <c r="P86" t="s">
        <v>56</v>
      </c>
      <c r="Q86" t="s">
        <v>57</v>
      </c>
      <c r="R86" t="s">
        <v>23</v>
      </c>
    </row>
    <row r="87" spans="1:18" x14ac:dyDescent="0.35">
      <c r="A87">
        <v>85</v>
      </c>
      <c r="B87" t="s">
        <v>267</v>
      </c>
      <c r="C87" s="1">
        <f t="shared" ca="1" si="5"/>
        <v>45550</v>
      </c>
      <c r="D87" t="str">
        <f t="shared" ca="1" si="6"/>
        <v>September</v>
      </c>
      <c r="E87" t="s">
        <v>25</v>
      </c>
      <c r="F87" t="s">
        <v>16</v>
      </c>
      <c r="G87" t="s">
        <v>2051</v>
      </c>
      <c r="H87" t="str">
        <f t="shared" ca="1" si="8"/>
        <v>Flipkart</v>
      </c>
      <c r="I87">
        <f t="shared" ca="1" si="9"/>
        <v>21</v>
      </c>
      <c r="J87" t="s">
        <v>268</v>
      </c>
      <c r="K87" t="s">
        <v>269</v>
      </c>
      <c r="L87" t="s">
        <v>28</v>
      </c>
      <c r="M87">
        <v>1</v>
      </c>
      <c r="N87" t="s">
        <v>20</v>
      </c>
      <c r="O87">
        <v>377</v>
      </c>
      <c r="P87" t="s">
        <v>170</v>
      </c>
      <c r="Q87" t="s">
        <v>171</v>
      </c>
      <c r="R87" t="s">
        <v>23</v>
      </c>
    </row>
    <row r="88" spans="1:18" x14ac:dyDescent="0.35">
      <c r="A88">
        <v>86</v>
      </c>
      <c r="B88" t="s">
        <v>270</v>
      </c>
      <c r="C88" s="1">
        <f t="shared" ca="1" si="5"/>
        <v>45133</v>
      </c>
      <c r="D88" t="str">
        <f t="shared" ca="1" si="6"/>
        <v>July</v>
      </c>
      <c r="E88" t="s">
        <v>29</v>
      </c>
      <c r="F88" t="s">
        <v>33</v>
      </c>
      <c r="G88" t="str">
        <f t="shared" si="7"/>
        <v>Women</v>
      </c>
      <c r="H88" t="str">
        <f t="shared" ca="1" si="8"/>
        <v>Amazon</v>
      </c>
      <c r="I88">
        <f t="shared" ca="1" si="9"/>
        <v>52</v>
      </c>
      <c r="J88" t="s">
        <v>271</v>
      </c>
      <c r="K88" t="s">
        <v>39</v>
      </c>
      <c r="L88" t="s">
        <v>101</v>
      </c>
      <c r="M88">
        <v>1</v>
      </c>
      <c r="N88" t="s">
        <v>20</v>
      </c>
      <c r="O88">
        <v>744</v>
      </c>
      <c r="P88" t="s">
        <v>272</v>
      </c>
      <c r="Q88" t="s">
        <v>46</v>
      </c>
      <c r="R88" t="s">
        <v>23</v>
      </c>
    </row>
    <row r="89" spans="1:18" x14ac:dyDescent="0.35">
      <c r="A89">
        <v>87</v>
      </c>
      <c r="B89" t="s">
        <v>273</v>
      </c>
      <c r="C89" s="1">
        <f t="shared" ca="1" si="5"/>
        <v>45274</v>
      </c>
      <c r="D89" t="str">
        <f t="shared" ca="1" si="6"/>
        <v>December</v>
      </c>
      <c r="E89" t="s">
        <v>29</v>
      </c>
      <c r="F89" t="s">
        <v>33</v>
      </c>
      <c r="G89" t="str">
        <f t="shared" si="7"/>
        <v>Women</v>
      </c>
      <c r="H89" t="str">
        <f t="shared" ca="1" si="8"/>
        <v>Amazon</v>
      </c>
      <c r="I89">
        <f t="shared" ca="1" si="9"/>
        <v>30</v>
      </c>
      <c r="J89" t="s">
        <v>274</v>
      </c>
      <c r="K89" t="s">
        <v>39</v>
      </c>
      <c r="L89" t="s">
        <v>35</v>
      </c>
      <c r="M89">
        <v>1</v>
      </c>
      <c r="N89" t="s">
        <v>20</v>
      </c>
      <c r="O89">
        <v>744</v>
      </c>
      <c r="P89" t="s">
        <v>263</v>
      </c>
      <c r="Q89" t="s">
        <v>264</v>
      </c>
      <c r="R89" t="s">
        <v>23</v>
      </c>
    </row>
    <row r="90" spans="1:18" x14ac:dyDescent="0.35">
      <c r="A90">
        <v>88</v>
      </c>
      <c r="B90" t="s">
        <v>275</v>
      </c>
      <c r="C90" s="1">
        <f t="shared" ca="1" si="5"/>
        <v>45316</v>
      </c>
      <c r="D90" t="str">
        <f t="shared" ca="1" si="6"/>
        <v>January</v>
      </c>
      <c r="E90" t="s">
        <v>25</v>
      </c>
      <c r="F90" t="s">
        <v>16</v>
      </c>
      <c r="G90" t="str">
        <f t="shared" si="7"/>
        <v>Women</v>
      </c>
      <c r="H90" t="str">
        <f t="shared" ca="1" si="8"/>
        <v>Flipkart</v>
      </c>
      <c r="I90">
        <f t="shared" ca="1" si="9"/>
        <v>18</v>
      </c>
      <c r="J90" t="s">
        <v>276</v>
      </c>
      <c r="K90" t="s">
        <v>39</v>
      </c>
      <c r="L90" t="s">
        <v>62</v>
      </c>
      <c r="M90">
        <v>1</v>
      </c>
      <c r="N90" t="s">
        <v>20</v>
      </c>
      <c r="O90">
        <v>859</v>
      </c>
      <c r="P90" t="s">
        <v>84</v>
      </c>
      <c r="Q90" t="s">
        <v>85</v>
      </c>
      <c r="R90" t="s">
        <v>23</v>
      </c>
    </row>
    <row r="91" spans="1:18" x14ac:dyDescent="0.35">
      <c r="A91">
        <v>89</v>
      </c>
      <c r="B91" t="s">
        <v>277</v>
      </c>
      <c r="C91" s="1">
        <f t="shared" ca="1" si="5"/>
        <v>45105</v>
      </c>
      <c r="D91" t="str">
        <f t="shared" ca="1" si="6"/>
        <v>June</v>
      </c>
      <c r="E91" t="s">
        <v>29</v>
      </c>
      <c r="F91" t="s">
        <v>33</v>
      </c>
      <c r="G91" t="str">
        <f t="shared" si="7"/>
        <v>Men</v>
      </c>
      <c r="H91" t="str">
        <f t="shared" ca="1" si="8"/>
        <v>Amazon</v>
      </c>
      <c r="I91">
        <f t="shared" ca="1" si="9"/>
        <v>50</v>
      </c>
      <c r="J91" t="s">
        <v>278</v>
      </c>
      <c r="K91" t="s">
        <v>27</v>
      </c>
      <c r="L91" t="s">
        <v>101</v>
      </c>
      <c r="M91">
        <v>1</v>
      </c>
      <c r="N91" t="s">
        <v>20</v>
      </c>
      <c r="O91">
        <v>487</v>
      </c>
      <c r="P91" t="s">
        <v>279</v>
      </c>
      <c r="Q91" t="s">
        <v>223</v>
      </c>
      <c r="R91" t="s">
        <v>23</v>
      </c>
    </row>
    <row r="92" spans="1:18" x14ac:dyDescent="0.35">
      <c r="A92">
        <v>90</v>
      </c>
      <c r="B92" t="s">
        <v>280</v>
      </c>
      <c r="C92" s="1">
        <f t="shared" ca="1" si="5"/>
        <v>45631</v>
      </c>
      <c r="D92" t="str">
        <f t="shared" ca="1" si="6"/>
        <v>December</v>
      </c>
      <c r="E92" t="s">
        <v>29</v>
      </c>
      <c r="F92" t="s">
        <v>33</v>
      </c>
      <c r="G92" t="str">
        <f t="shared" si="7"/>
        <v>Women</v>
      </c>
      <c r="H92" t="str">
        <f t="shared" ca="1" si="8"/>
        <v>Amazon</v>
      </c>
      <c r="I92">
        <f t="shared" ca="1" si="9"/>
        <v>30</v>
      </c>
      <c r="J92" t="s">
        <v>281</v>
      </c>
      <c r="K92" t="s">
        <v>39</v>
      </c>
      <c r="L92" t="s">
        <v>28</v>
      </c>
      <c r="M92">
        <v>1</v>
      </c>
      <c r="N92" t="s">
        <v>20</v>
      </c>
      <c r="O92">
        <v>825</v>
      </c>
      <c r="P92" t="s">
        <v>282</v>
      </c>
      <c r="Q92" t="s">
        <v>153</v>
      </c>
      <c r="R92" t="s">
        <v>23</v>
      </c>
    </row>
    <row r="93" spans="1:18" x14ac:dyDescent="0.35">
      <c r="A93">
        <v>91</v>
      </c>
      <c r="B93" t="s">
        <v>283</v>
      </c>
      <c r="C93" s="1">
        <f t="shared" ca="1" si="5"/>
        <v>45094</v>
      </c>
      <c r="D93" t="str">
        <f t="shared" ca="1" si="6"/>
        <v>June</v>
      </c>
      <c r="E93" t="s">
        <v>29</v>
      </c>
      <c r="F93" t="s">
        <v>33</v>
      </c>
      <c r="G93" t="str">
        <f t="shared" si="7"/>
        <v>Women</v>
      </c>
      <c r="H93" t="str">
        <f t="shared" ca="1" si="8"/>
        <v>Amazon</v>
      </c>
      <c r="I93">
        <f t="shared" ca="1" si="9"/>
        <v>44</v>
      </c>
      <c r="J93" t="s">
        <v>284</v>
      </c>
      <c r="K93" t="s">
        <v>18</v>
      </c>
      <c r="L93" t="s">
        <v>101</v>
      </c>
      <c r="M93">
        <v>1</v>
      </c>
      <c r="N93" t="s">
        <v>20</v>
      </c>
      <c r="O93">
        <v>680</v>
      </c>
      <c r="P93" t="s">
        <v>285</v>
      </c>
      <c r="Q93" t="s">
        <v>286</v>
      </c>
      <c r="R93" t="s">
        <v>23</v>
      </c>
    </row>
    <row r="94" spans="1:18" x14ac:dyDescent="0.35">
      <c r="A94">
        <v>92</v>
      </c>
      <c r="B94" t="s">
        <v>287</v>
      </c>
      <c r="C94" s="1">
        <f t="shared" ca="1" si="5"/>
        <v>45105</v>
      </c>
      <c r="D94" t="str">
        <f t="shared" ca="1" si="6"/>
        <v>June</v>
      </c>
      <c r="E94" t="s">
        <v>25</v>
      </c>
      <c r="F94" t="s">
        <v>16</v>
      </c>
      <c r="G94" t="str">
        <f t="shared" si="7"/>
        <v>Men</v>
      </c>
      <c r="H94" t="str">
        <f t="shared" ca="1" si="8"/>
        <v>Flipkart</v>
      </c>
      <c r="I94">
        <f t="shared" ca="1" si="9"/>
        <v>29</v>
      </c>
      <c r="J94" t="s">
        <v>288</v>
      </c>
      <c r="K94" t="s">
        <v>27</v>
      </c>
      <c r="L94" t="s">
        <v>28</v>
      </c>
      <c r="M94">
        <v>1</v>
      </c>
      <c r="N94" t="s">
        <v>20</v>
      </c>
      <c r="O94">
        <v>725</v>
      </c>
      <c r="P94" t="s">
        <v>45</v>
      </c>
      <c r="Q94" t="s">
        <v>46</v>
      </c>
      <c r="R94" t="s">
        <v>23</v>
      </c>
    </row>
    <row r="95" spans="1:18" x14ac:dyDescent="0.35">
      <c r="A95">
        <v>93</v>
      </c>
      <c r="B95" t="s">
        <v>289</v>
      </c>
      <c r="C95" s="1">
        <f t="shared" ca="1" si="5"/>
        <v>45175</v>
      </c>
      <c r="D95" t="str">
        <f t="shared" ca="1" si="6"/>
        <v>September</v>
      </c>
      <c r="E95" t="s">
        <v>29</v>
      </c>
      <c r="F95" t="s">
        <v>33</v>
      </c>
      <c r="G95" t="str">
        <f t="shared" si="7"/>
        <v>Women</v>
      </c>
      <c r="H95" t="str">
        <f t="shared" ca="1" si="8"/>
        <v>Amazon</v>
      </c>
      <c r="I95">
        <f t="shared" ca="1" si="9"/>
        <v>43</v>
      </c>
      <c r="J95" t="s">
        <v>290</v>
      </c>
      <c r="K95" t="s">
        <v>18</v>
      </c>
      <c r="L95" t="s">
        <v>101</v>
      </c>
      <c r="M95">
        <v>1</v>
      </c>
      <c r="N95" t="s">
        <v>20</v>
      </c>
      <c r="O95">
        <v>696</v>
      </c>
      <c r="P95" t="s">
        <v>279</v>
      </c>
      <c r="Q95" t="s">
        <v>223</v>
      </c>
      <c r="R95" t="s">
        <v>23</v>
      </c>
    </row>
    <row r="96" spans="1:18" x14ac:dyDescent="0.35">
      <c r="A96">
        <v>94</v>
      </c>
      <c r="B96" t="s">
        <v>291</v>
      </c>
      <c r="C96" s="1">
        <f t="shared" ca="1" si="5"/>
        <v>45516</v>
      </c>
      <c r="D96" t="str">
        <f t="shared" ca="1" si="6"/>
        <v>August</v>
      </c>
      <c r="E96" t="s">
        <v>29</v>
      </c>
      <c r="F96" t="s">
        <v>33</v>
      </c>
      <c r="G96" t="str">
        <f t="shared" si="7"/>
        <v>Men</v>
      </c>
      <c r="H96" t="str">
        <f t="shared" ca="1" si="8"/>
        <v>Amazon</v>
      </c>
      <c r="I96">
        <f t="shared" ca="1" si="9"/>
        <v>49</v>
      </c>
      <c r="J96" t="s">
        <v>292</v>
      </c>
      <c r="K96" t="s">
        <v>27</v>
      </c>
      <c r="L96" t="s">
        <v>40</v>
      </c>
      <c r="M96">
        <v>1</v>
      </c>
      <c r="N96" t="s">
        <v>20</v>
      </c>
      <c r="O96">
        <v>499</v>
      </c>
      <c r="P96" t="s">
        <v>279</v>
      </c>
      <c r="Q96" t="s">
        <v>223</v>
      </c>
      <c r="R96" t="s">
        <v>23</v>
      </c>
    </row>
    <row r="97" spans="1:18" x14ac:dyDescent="0.35">
      <c r="A97">
        <v>95</v>
      </c>
      <c r="B97" t="s">
        <v>293</v>
      </c>
      <c r="C97" s="1">
        <f t="shared" ca="1" si="5"/>
        <v>45183</v>
      </c>
      <c r="D97" t="str">
        <f t="shared" ca="1" si="6"/>
        <v>September</v>
      </c>
      <c r="E97" t="s">
        <v>15</v>
      </c>
      <c r="F97" t="s">
        <v>33</v>
      </c>
      <c r="G97" t="str">
        <f t="shared" si="7"/>
        <v>Men</v>
      </c>
      <c r="H97" t="str">
        <f t="shared" ca="1" si="8"/>
        <v>Amazon</v>
      </c>
      <c r="I97">
        <f t="shared" ca="1" si="9"/>
        <v>30</v>
      </c>
      <c r="J97" t="s">
        <v>151</v>
      </c>
      <c r="K97" t="s">
        <v>27</v>
      </c>
      <c r="L97" t="s">
        <v>40</v>
      </c>
      <c r="M97">
        <v>0</v>
      </c>
      <c r="P97" t="s">
        <v>122</v>
      </c>
      <c r="Q97" t="s">
        <v>22</v>
      </c>
      <c r="R97" t="s">
        <v>23</v>
      </c>
    </row>
    <row r="98" spans="1:18" x14ac:dyDescent="0.35">
      <c r="A98">
        <v>96</v>
      </c>
      <c r="B98" t="s">
        <v>294</v>
      </c>
      <c r="C98" s="1">
        <f t="shared" ca="1" si="5"/>
        <v>45348</v>
      </c>
      <c r="D98" t="str">
        <f t="shared" ca="1" si="6"/>
        <v>February</v>
      </c>
      <c r="E98" t="s">
        <v>29</v>
      </c>
      <c r="F98" t="s">
        <v>33</v>
      </c>
      <c r="G98" t="str">
        <f t="shared" si="7"/>
        <v>Women</v>
      </c>
      <c r="H98" t="str">
        <f t="shared" ca="1" si="8"/>
        <v>Amazon</v>
      </c>
      <c r="I98">
        <f t="shared" ca="1" si="9"/>
        <v>36</v>
      </c>
      <c r="J98" t="s">
        <v>295</v>
      </c>
      <c r="K98" t="s">
        <v>18</v>
      </c>
      <c r="L98" t="s">
        <v>40</v>
      </c>
      <c r="M98">
        <v>1</v>
      </c>
      <c r="N98" t="s">
        <v>20</v>
      </c>
      <c r="O98">
        <v>696</v>
      </c>
      <c r="P98" t="s">
        <v>296</v>
      </c>
      <c r="Q98" t="s">
        <v>297</v>
      </c>
      <c r="R98" t="s">
        <v>23</v>
      </c>
    </row>
    <row r="99" spans="1:18" x14ac:dyDescent="0.35">
      <c r="A99">
        <v>97</v>
      </c>
      <c r="B99" t="s">
        <v>298</v>
      </c>
      <c r="C99" s="1">
        <f t="shared" ca="1" si="5"/>
        <v>45656</v>
      </c>
      <c r="D99" t="str">
        <f t="shared" ca="1" si="6"/>
        <v>December</v>
      </c>
      <c r="E99" t="s">
        <v>29</v>
      </c>
      <c r="F99" t="s">
        <v>33</v>
      </c>
      <c r="G99" t="str">
        <f t="shared" si="7"/>
        <v>Men</v>
      </c>
      <c r="H99" t="str">
        <f t="shared" ca="1" si="8"/>
        <v>Amazon</v>
      </c>
      <c r="I99">
        <f t="shared" ca="1" si="9"/>
        <v>37</v>
      </c>
      <c r="J99" t="s">
        <v>299</v>
      </c>
      <c r="K99" t="s">
        <v>27</v>
      </c>
      <c r="L99" t="s">
        <v>28</v>
      </c>
      <c r="M99">
        <v>1</v>
      </c>
      <c r="N99" t="s">
        <v>20</v>
      </c>
      <c r="O99">
        <v>406</v>
      </c>
      <c r="P99" t="s">
        <v>239</v>
      </c>
      <c r="Q99" t="s">
        <v>31</v>
      </c>
      <c r="R99" t="s">
        <v>23</v>
      </c>
    </row>
    <row r="100" spans="1:18" x14ac:dyDescent="0.35">
      <c r="A100">
        <v>98</v>
      </c>
      <c r="B100" t="s">
        <v>300</v>
      </c>
      <c r="C100" s="1">
        <f t="shared" ca="1" si="5"/>
        <v>45051</v>
      </c>
      <c r="D100" t="str">
        <f t="shared" ca="1" si="6"/>
        <v>May</v>
      </c>
      <c r="E100" t="s">
        <v>29</v>
      </c>
      <c r="F100" t="s">
        <v>33</v>
      </c>
      <c r="G100" t="str">
        <f t="shared" si="7"/>
        <v>Women</v>
      </c>
      <c r="H100" t="str">
        <f t="shared" ca="1" si="8"/>
        <v>Amazon</v>
      </c>
      <c r="I100">
        <f t="shared" ca="1" si="9"/>
        <v>49</v>
      </c>
      <c r="J100" t="s">
        <v>301</v>
      </c>
      <c r="K100" t="s">
        <v>18</v>
      </c>
      <c r="L100" t="s">
        <v>19</v>
      </c>
      <c r="M100">
        <v>1</v>
      </c>
      <c r="N100" t="s">
        <v>20</v>
      </c>
      <c r="O100">
        <v>852</v>
      </c>
      <c r="P100" t="s">
        <v>88</v>
      </c>
      <c r="Q100" t="s">
        <v>89</v>
      </c>
      <c r="R100" t="s">
        <v>23</v>
      </c>
    </row>
    <row r="101" spans="1:18" x14ac:dyDescent="0.35">
      <c r="A101">
        <v>99</v>
      </c>
      <c r="B101" t="s">
        <v>302</v>
      </c>
      <c r="C101" s="1">
        <f t="shared" ca="1" si="5"/>
        <v>45575</v>
      </c>
      <c r="D101" t="str">
        <f t="shared" ca="1" si="6"/>
        <v>October</v>
      </c>
      <c r="E101" t="s">
        <v>29</v>
      </c>
      <c r="F101" t="s">
        <v>33</v>
      </c>
      <c r="G101" t="str">
        <f t="shared" si="7"/>
        <v>Men</v>
      </c>
      <c r="H101" t="str">
        <f t="shared" ca="1" si="8"/>
        <v>Amazon</v>
      </c>
      <c r="I101">
        <f t="shared" ca="1" si="9"/>
        <v>19</v>
      </c>
      <c r="J101" t="s">
        <v>248</v>
      </c>
      <c r="K101" t="s">
        <v>27</v>
      </c>
      <c r="L101" t="s">
        <v>62</v>
      </c>
      <c r="M101">
        <v>1</v>
      </c>
      <c r="N101" t="s">
        <v>20</v>
      </c>
      <c r="O101">
        <v>399</v>
      </c>
      <c r="P101" t="s">
        <v>303</v>
      </c>
      <c r="Q101" t="s">
        <v>93</v>
      </c>
      <c r="R101" t="s">
        <v>23</v>
      </c>
    </row>
    <row r="102" spans="1:18" x14ac:dyDescent="0.35">
      <c r="A102">
        <v>100</v>
      </c>
      <c r="B102" t="s">
        <v>304</v>
      </c>
      <c r="C102" s="1">
        <f t="shared" ca="1" si="5"/>
        <v>45638</v>
      </c>
      <c r="D102" t="str">
        <f t="shared" ca="1" si="6"/>
        <v>December</v>
      </c>
      <c r="E102" t="s">
        <v>29</v>
      </c>
      <c r="F102" t="s">
        <v>33</v>
      </c>
      <c r="G102" t="str">
        <f t="shared" si="7"/>
        <v>Men</v>
      </c>
      <c r="H102" t="str">
        <f t="shared" ca="1" si="8"/>
        <v>Amazon</v>
      </c>
      <c r="I102">
        <f t="shared" ca="1" si="9"/>
        <v>30</v>
      </c>
      <c r="J102" t="s">
        <v>305</v>
      </c>
      <c r="K102" t="s">
        <v>27</v>
      </c>
      <c r="L102" t="s">
        <v>62</v>
      </c>
      <c r="M102">
        <v>1</v>
      </c>
      <c r="N102" t="s">
        <v>20</v>
      </c>
      <c r="O102">
        <v>432</v>
      </c>
      <c r="P102" t="s">
        <v>306</v>
      </c>
      <c r="Q102" t="s">
        <v>223</v>
      </c>
      <c r="R102" t="s">
        <v>23</v>
      </c>
    </row>
    <row r="103" spans="1:18" x14ac:dyDescent="0.35">
      <c r="A103">
        <v>101</v>
      </c>
      <c r="B103" t="s">
        <v>307</v>
      </c>
      <c r="C103" s="1">
        <f t="shared" ca="1" si="5"/>
        <v>45584</v>
      </c>
      <c r="D103" t="str">
        <f t="shared" ca="1" si="6"/>
        <v>October</v>
      </c>
      <c r="E103" t="s">
        <v>15</v>
      </c>
      <c r="F103" t="s">
        <v>33</v>
      </c>
      <c r="G103" t="str">
        <f t="shared" si="7"/>
        <v>Women</v>
      </c>
      <c r="H103" t="str">
        <f t="shared" ca="1" si="8"/>
        <v>Amazon</v>
      </c>
      <c r="I103">
        <f t="shared" ca="1" si="9"/>
        <v>46</v>
      </c>
      <c r="J103" t="s">
        <v>301</v>
      </c>
      <c r="K103" t="s">
        <v>18</v>
      </c>
      <c r="L103" t="s">
        <v>19</v>
      </c>
      <c r="M103">
        <v>0</v>
      </c>
      <c r="P103" t="s">
        <v>88</v>
      </c>
      <c r="Q103" t="s">
        <v>89</v>
      </c>
      <c r="R103" t="s">
        <v>23</v>
      </c>
    </row>
    <row r="104" spans="1:18" x14ac:dyDescent="0.35">
      <c r="A104">
        <v>102</v>
      </c>
      <c r="B104" t="s">
        <v>308</v>
      </c>
      <c r="C104" s="1">
        <f t="shared" ca="1" si="5"/>
        <v>45511</v>
      </c>
      <c r="D104" t="str">
        <f t="shared" ca="1" si="6"/>
        <v>August</v>
      </c>
      <c r="E104" t="s">
        <v>25</v>
      </c>
      <c r="F104" t="s">
        <v>16</v>
      </c>
      <c r="G104" t="str">
        <f t="shared" si="7"/>
        <v>Women</v>
      </c>
      <c r="H104" t="str">
        <f t="shared" ca="1" si="8"/>
        <v>Myntra</v>
      </c>
      <c r="I104">
        <f t="shared" ca="1" si="9"/>
        <v>36</v>
      </c>
      <c r="J104" t="s">
        <v>309</v>
      </c>
      <c r="K104" t="s">
        <v>18</v>
      </c>
      <c r="L104" t="s">
        <v>62</v>
      </c>
      <c r="M104">
        <v>1</v>
      </c>
      <c r="N104" t="s">
        <v>20</v>
      </c>
      <c r="O104">
        <v>1338</v>
      </c>
      <c r="P104" t="s">
        <v>310</v>
      </c>
      <c r="Q104" t="s">
        <v>22</v>
      </c>
      <c r="R104" t="s">
        <v>23</v>
      </c>
    </row>
    <row r="105" spans="1:18" x14ac:dyDescent="0.35">
      <c r="A105">
        <v>103</v>
      </c>
      <c r="B105" t="s">
        <v>311</v>
      </c>
      <c r="C105" s="1">
        <f t="shared" ca="1" si="5"/>
        <v>45640</v>
      </c>
      <c r="D105" t="str">
        <f t="shared" ca="1" si="6"/>
        <v>December</v>
      </c>
      <c r="E105" t="s">
        <v>25</v>
      </c>
      <c r="F105" t="s">
        <v>16</v>
      </c>
      <c r="G105" t="str">
        <f t="shared" si="7"/>
        <v>Women</v>
      </c>
      <c r="H105" t="str">
        <f t="shared" ca="1" si="8"/>
        <v>Flipkart</v>
      </c>
      <c r="I105">
        <f t="shared" ca="1" si="9"/>
        <v>30</v>
      </c>
      <c r="J105" t="s">
        <v>312</v>
      </c>
      <c r="K105" t="s">
        <v>39</v>
      </c>
      <c r="L105" t="s">
        <v>19</v>
      </c>
      <c r="M105">
        <v>1</v>
      </c>
      <c r="N105" t="s">
        <v>20</v>
      </c>
      <c r="O105">
        <v>472</v>
      </c>
      <c r="P105" t="s">
        <v>313</v>
      </c>
      <c r="Q105" t="s">
        <v>161</v>
      </c>
      <c r="R105" t="s">
        <v>23</v>
      </c>
    </row>
    <row r="106" spans="1:18" x14ac:dyDescent="0.35">
      <c r="A106">
        <v>104</v>
      </c>
      <c r="B106" t="s">
        <v>314</v>
      </c>
      <c r="C106" s="1">
        <f t="shared" ca="1" si="5"/>
        <v>44940</v>
      </c>
      <c r="D106" t="str">
        <f t="shared" ca="1" si="6"/>
        <v>January</v>
      </c>
      <c r="E106" t="s">
        <v>29</v>
      </c>
      <c r="F106" t="s">
        <v>33</v>
      </c>
      <c r="G106" t="str">
        <f t="shared" si="7"/>
        <v>Women</v>
      </c>
      <c r="H106" t="str">
        <f t="shared" ca="1" si="8"/>
        <v>Amazon</v>
      </c>
      <c r="I106">
        <f t="shared" ca="1" si="9"/>
        <v>21</v>
      </c>
      <c r="J106" t="s">
        <v>167</v>
      </c>
      <c r="K106" t="s">
        <v>18</v>
      </c>
      <c r="L106" t="s">
        <v>40</v>
      </c>
      <c r="M106">
        <v>1</v>
      </c>
      <c r="N106" t="s">
        <v>20</v>
      </c>
      <c r="O106">
        <v>788</v>
      </c>
      <c r="P106" t="s">
        <v>88</v>
      </c>
      <c r="Q106" t="s">
        <v>89</v>
      </c>
      <c r="R106" t="s">
        <v>23</v>
      </c>
    </row>
    <row r="107" spans="1:18" x14ac:dyDescent="0.35">
      <c r="A107">
        <v>105</v>
      </c>
      <c r="B107" t="s">
        <v>315</v>
      </c>
      <c r="C107" s="1">
        <f t="shared" ca="1" si="5"/>
        <v>45414</v>
      </c>
      <c r="D107" t="str">
        <f t="shared" ca="1" si="6"/>
        <v>May</v>
      </c>
      <c r="E107" t="s">
        <v>25</v>
      </c>
      <c r="F107" t="s">
        <v>16</v>
      </c>
      <c r="G107" t="str">
        <f t="shared" si="7"/>
        <v>Women</v>
      </c>
      <c r="H107" t="str">
        <f t="shared" ca="1" si="8"/>
        <v>Myntra</v>
      </c>
      <c r="I107">
        <f t="shared" ca="1" si="9"/>
        <v>41</v>
      </c>
      <c r="J107" t="s">
        <v>316</v>
      </c>
      <c r="K107" t="s">
        <v>18</v>
      </c>
      <c r="L107" t="s">
        <v>35</v>
      </c>
      <c r="M107">
        <v>1</v>
      </c>
      <c r="N107" t="s">
        <v>20</v>
      </c>
      <c r="O107">
        <v>832</v>
      </c>
      <c r="P107" t="s">
        <v>317</v>
      </c>
      <c r="Q107" t="s">
        <v>93</v>
      </c>
      <c r="R107" t="s">
        <v>23</v>
      </c>
    </row>
    <row r="108" spans="1:18" x14ac:dyDescent="0.35">
      <c r="A108">
        <v>106</v>
      </c>
      <c r="B108" t="s">
        <v>315</v>
      </c>
      <c r="C108" s="1">
        <f t="shared" ca="1" si="5"/>
        <v>45632</v>
      </c>
      <c r="D108" t="str">
        <f t="shared" ca="1" si="6"/>
        <v>December</v>
      </c>
      <c r="E108" t="s">
        <v>25</v>
      </c>
      <c r="F108" t="s">
        <v>16</v>
      </c>
      <c r="G108" t="str">
        <f t="shared" si="7"/>
        <v>Men</v>
      </c>
      <c r="H108" t="str">
        <f t="shared" ca="1" si="8"/>
        <v>Myntra</v>
      </c>
      <c r="I108">
        <f t="shared" ca="1" si="9"/>
        <v>54</v>
      </c>
      <c r="J108" t="s">
        <v>318</v>
      </c>
      <c r="K108" t="s">
        <v>27</v>
      </c>
      <c r="L108" t="s">
        <v>35</v>
      </c>
      <c r="M108">
        <v>1</v>
      </c>
      <c r="N108" t="s">
        <v>20</v>
      </c>
      <c r="O108">
        <v>399</v>
      </c>
      <c r="P108" t="s">
        <v>317</v>
      </c>
      <c r="Q108" t="s">
        <v>93</v>
      </c>
      <c r="R108" t="s">
        <v>23</v>
      </c>
    </row>
    <row r="109" spans="1:18" x14ac:dyDescent="0.35">
      <c r="A109">
        <v>107</v>
      </c>
      <c r="B109" t="s">
        <v>319</v>
      </c>
      <c r="C109" s="1">
        <f t="shared" ca="1" si="5"/>
        <v>45302</v>
      </c>
      <c r="D109" t="str">
        <f t="shared" ca="1" si="6"/>
        <v>January</v>
      </c>
      <c r="E109" t="s">
        <v>29</v>
      </c>
      <c r="F109" t="s">
        <v>33</v>
      </c>
      <c r="G109" t="str">
        <f t="shared" si="7"/>
        <v>Women</v>
      </c>
      <c r="H109" t="str">
        <f t="shared" ca="1" si="8"/>
        <v>Amazon</v>
      </c>
      <c r="I109">
        <f t="shared" ca="1" si="9"/>
        <v>42</v>
      </c>
      <c r="J109" t="s">
        <v>320</v>
      </c>
      <c r="K109" t="s">
        <v>18</v>
      </c>
      <c r="L109" t="s">
        <v>35</v>
      </c>
      <c r="M109">
        <v>1</v>
      </c>
      <c r="N109" t="s">
        <v>20</v>
      </c>
      <c r="O109">
        <v>599</v>
      </c>
      <c r="P109" t="s">
        <v>317</v>
      </c>
      <c r="Q109" t="s">
        <v>93</v>
      </c>
      <c r="R109" t="s">
        <v>23</v>
      </c>
    </row>
    <row r="110" spans="1:18" x14ac:dyDescent="0.35">
      <c r="A110">
        <v>108</v>
      </c>
      <c r="B110" t="s">
        <v>321</v>
      </c>
      <c r="C110" s="1">
        <f t="shared" ca="1" si="5"/>
        <v>45600</v>
      </c>
      <c r="D110" t="str">
        <f t="shared" ca="1" si="6"/>
        <v>November</v>
      </c>
      <c r="E110" t="s">
        <v>29</v>
      </c>
      <c r="F110" t="s">
        <v>33</v>
      </c>
      <c r="G110" t="str">
        <f t="shared" si="7"/>
        <v>Women</v>
      </c>
      <c r="H110" t="str">
        <f t="shared" ca="1" si="8"/>
        <v>Amazon</v>
      </c>
      <c r="I110">
        <f t="shared" ca="1" si="9"/>
        <v>52</v>
      </c>
      <c r="J110" t="s">
        <v>322</v>
      </c>
      <c r="K110" t="s">
        <v>18</v>
      </c>
      <c r="L110" t="s">
        <v>101</v>
      </c>
      <c r="M110">
        <v>1</v>
      </c>
      <c r="N110" t="s">
        <v>20</v>
      </c>
      <c r="O110">
        <v>692</v>
      </c>
      <c r="P110" t="s">
        <v>256</v>
      </c>
      <c r="Q110" t="s">
        <v>171</v>
      </c>
      <c r="R110" t="s">
        <v>23</v>
      </c>
    </row>
    <row r="111" spans="1:18" x14ac:dyDescent="0.35">
      <c r="A111">
        <v>109</v>
      </c>
      <c r="B111" t="s">
        <v>323</v>
      </c>
      <c r="C111" s="1">
        <f t="shared" ca="1" si="5"/>
        <v>45378</v>
      </c>
      <c r="D111" t="str">
        <f t="shared" ca="1" si="6"/>
        <v>March</v>
      </c>
      <c r="E111" t="s">
        <v>25</v>
      </c>
      <c r="F111" t="s">
        <v>16</v>
      </c>
      <c r="G111" t="str">
        <f t="shared" si="7"/>
        <v>Women</v>
      </c>
      <c r="H111" t="str">
        <f t="shared" ca="1" si="8"/>
        <v>Myntra</v>
      </c>
      <c r="I111">
        <f t="shared" ca="1" si="9"/>
        <v>21</v>
      </c>
      <c r="J111" t="s">
        <v>324</v>
      </c>
      <c r="K111" t="s">
        <v>44</v>
      </c>
      <c r="L111" t="s">
        <v>101</v>
      </c>
      <c r="M111">
        <v>1</v>
      </c>
      <c r="N111" t="s">
        <v>20</v>
      </c>
      <c r="O111">
        <v>518</v>
      </c>
      <c r="P111" t="s">
        <v>21</v>
      </c>
      <c r="Q111" t="s">
        <v>22</v>
      </c>
      <c r="R111" t="s">
        <v>23</v>
      </c>
    </row>
    <row r="112" spans="1:18" x14ac:dyDescent="0.35">
      <c r="A112">
        <v>110</v>
      </c>
      <c r="B112" t="s">
        <v>325</v>
      </c>
      <c r="C112" s="1">
        <f t="shared" ca="1" si="5"/>
        <v>45460</v>
      </c>
      <c r="D112" t="str">
        <f t="shared" ca="1" si="6"/>
        <v>June</v>
      </c>
      <c r="E112" t="s">
        <v>29</v>
      </c>
      <c r="F112" t="s">
        <v>33</v>
      </c>
      <c r="G112" t="str">
        <f t="shared" si="7"/>
        <v>Women</v>
      </c>
      <c r="H112" t="str">
        <f t="shared" ca="1" si="8"/>
        <v>Amazon</v>
      </c>
      <c r="I112">
        <f t="shared" ca="1" si="9"/>
        <v>24</v>
      </c>
      <c r="J112" t="s">
        <v>167</v>
      </c>
      <c r="K112" t="s">
        <v>18</v>
      </c>
      <c r="L112" t="s">
        <v>40</v>
      </c>
      <c r="M112">
        <v>1</v>
      </c>
      <c r="N112" t="s">
        <v>20</v>
      </c>
      <c r="O112">
        <v>788</v>
      </c>
      <c r="P112" t="s">
        <v>88</v>
      </c>
      <c r="Q112" t="s">
        <v>89</v>
      </c>
      <c r="R112" t="s">
        <v>23</v>
      </c>
    </row>
    <row r="113" spans="1:18" x14ac:dyDescent="0.35">
      <c r="A113">
        <v>111</v>
      </c>
      <c r="B113" t="s">
        <v>326</v>
      </c>
      <c r="C113" s="1">
        <f t="shared" ca="1" si="5"/>
        <v>45435</v>
      </c>
      <c r="D113" t="str">
        <f t="shared" ca="1" si="6"/>
        <v>May</v>
      </c>
      <c r="E113" t="s">
        <v>29</v>
      </c>
      <c r="F113" t="s">
        <v>33</v>
      </c>
      <c r="G113" t="str">
        <f t="shared" si="7"/>
        <v>Men</v>
      </c>
      <c r="H113" t="str">
        <f t="shared" ca="1" si="8"/>
        <v>Amazon</v>
      </c>
      <c r="I113">
        <f t="shared" ca="1" si="9"/>
        <v>50</v>
      </c>
      <c r="J113" t="s">
        <v>327</v>
      </c>
      <c r="K113" t="s">
        <v>27</v>
      </c>
      <c r="L113" t="s">
        <v>101</v>
      </c>
      <c r="M113">
        <v>1</v>
      </c>
      <c r="N113" t="s">
        <v>20</v>
      </c>
      <c r="O113">
        <v>318</v>
      </c>
      <c r="P113" t="s">
        <v>56</v>
      </c>
      <c r="Q113" t="s">
        <v>57</v>
      </c>
      <c r="R113" t="s">
        <v>23</v>
      </c>
    </row>
    <row r="114" spans="1:18" x14ac:dyDescent="0.35">
      <c r="A114">
        <v>112</v>
      </c>
      <c r="B114" t="s">
        <v>328</v>
      </c>
      <c r="C114" s="1">
        <f t="shared" ca="1" si="5"/>
        <v>44944</v>
      </c>
      <c r="D114" t="str">
        <f t="shared" ca="1" si="6"/>
        <v>January</v>
      </c>
      <c r="E114" t="s">
        <v>29</v>
      </c>
      <c r="F114" t="s">
        <v>33</v>
      </c>
      <c r="G114" t="str">
        <f t="shared" si="7"/>
        <v>Women</v>
      </c>
      <c r="H114" t="str">
        <f t="shared" ca="1" si="8"/>
        <v>Amazon</v>
      </c>
      <c r="I114">
        <f t="shared" ca="1" si="9"/>
        <v>25</v>
      </c>
      <c r="J114" t="s">
        <v>329</v>
      </c>
      <c r="K114" t="s">
        <v>18</v>
      </c>
      <c r="L114" t="s">
        <v>68</v>
      </c>
      <c r="M114">
        <v>1</v>
      </c>
      <c r="N114" t="s">
        <v>20</v>
      </c>
      <c r="O114">
        <v>597</v>
      </c>
      <c r="P114" t="s">
        <v>56</v>
      </c>
      <c r="Q114" t="s">
        <v>57</v>
      </c>
      <c r="R114" t="s">
        <v>23</v>
      </c>
    </row>
    <row r="115" spans="1:18" x14ac:dyDescent="0.35">
      <c r="A115">
        <v>113</v>
      </c>
      <c r="B115" t="s">
        <v>330</v>
      </c>
      <c r="C115" s="1">
        <f t="shared" ca="1" si="5"/>
        <v>45062</v>
      </c>
      <c r="D115" t="str">
        <f t="shared" ca="1" si="6"/>
        <v>May</v>
      </c>
      <c r="E115" t="s">
        <v>29</v>
      </c>
      <c r="F115" t="s">
        <v>33</v>
      </c>
      <c r="G115" t="str">
        <f t="shared" si="7"/>
        <v>Women</v>
      </c>
      <c r="H115" t="str">
        <f t="shared" ca="1" si="8"/>
        <v>Amazon</v>
      </c>
      <c r="I115">
        <f t="shared" ca="1" si="9"/>
        <v>54</v>
      </c>
      <c r="J115" t="s">
        <v>331</v>
      </c>
      <c r="K115" t="s">
        <v>18</v>
      </c>
      <c r="L115" t="s">
        <v>19</v>
      </c>
      <c r="M115">
        <v>1</v>
      </c>
      <c r="N115" t="s">
        <v>20</v>
      </c>
      <c r="O115">
        <v>888</v>
      </c>
      <c r="P115" t="s">
        <v>285</v>
      </c>
      <c r="Q115" t="s">
        <v>286</v>
      </c>
      <c r="R115" t="s">
        <v>23</v>
      </c>
    </row>
    <row r="116" spans="1:18" x14ac:dyDescent="0.35">
      <c r="A116">
        <v>114</v>
      </c>
      <c r="B116" t="s">
        <v>332</v>
      </c>
      <c r="C116" s="1">
        <f t="shared" ca="1" si="5"/>
        <v>45576</v>
      </c>
      <c r="D116" t="str">
        <f t="shared" ca="1" si="6"/>
        <v>October</v>
      </c>
      <c r="E116" t="s">
        <v>29</v>
      </c>
      <c r="F116" t="s">
        <v>33</v>
      </c>
      <c r="G116" t="str">
        <f t="shared" si="7"/>
        <v>Men</v>
      </c>
      <c r="H116" t="str">
        <f t="shared" ca="1" si="8"/>
        <v>Amazon</v>
      </c>
      <c r="I116">
        <f t="shared" ca="1" si="9"/>
        <v>44</v>
      </c>
      <c r="J116" t="s">
        <v>333</v>
      </c>
      <c r="K116" t="s">
        <v>27</v>
      </c>
      <c r="L116" t="s">
        <v>19</v>
      </c>
      <c r="M116">
        <v>1</v>
      </c>
      <c r="N116" t="s">
        <v>20</v>
      </c>
      <c r="O116">
        <v>406</v>
      </c>
      <c r="P116" t="s">
        <v>334</v>
      </c>
      <c r="Q116" t="s">
        <v>57</v>
      </c>
      <c r="R116" t="s">
        <v>23</v>
      </c>
    </row>
    <row r="117" spans="1:18" x14ac:dyDescent="0.35">
      <c r="A117">
        <v>115</v>
      </c>
      <c r="B117" t="s">
        <v>335</v>
      </c>
      <c r="C117" s="1">
        <f t="shared" ca="1" si="5"/>
        <v>45245</v>
      </c>
      <c r="D117" t="str">
        <f t="shared" ca="1" si="6"/>
        <v>November</v>
      </c>
      <c r="E117" t="s">
        <v>29</v>
      </c>
      <c r="F117" t="s">
        <v>33</v>
      </c>
      <c r="G117" t="str">
        <f t="shared" si="7"/>
        <v>Women</v>
      </c>
      <c r="H117" t="str">
        <f t="shared" ca="1" si="8"/>
        <v>Amazon</v>
      </c>
      <c r="I117">
        <f t="shared" ca="1" si="9"/>
        <v>28</v>
      </c>
      <c r="J117" t="s">
        <v>336</v>
      </c>
      <c r="K117" t="s">
        <v>18</v>
      </c>
      <c r="L117" t="s">
        <v>101</v>
      </c>
      <c r="M117">
        <v>1</v>
      </c>
      <c r="N117" t="s">
        <v>20</v>
      </c>
      <c r="O117">
        <v>1186</v>
      </c>
      <c r="P117" t="s">
        <v>337</v>
      </c>
      <c r="Q117" t="s">
        <v>264</v>
      </c>
      <c r="R117" t="s">
        <v>23</v>
      </c>
    </row>
    <row r="118" spans="1:18" x14ac:dyDescent="0.35">
      <c r="A118">
        <v>116</v>
      </c>
      <c r="B118" t="s">
        <v>338</v>
      </c>
      <c r="C118" s="1">
        <f t="shared" ca="1" si="5"/>
        <v>45539</v>
      </c>
      <c r="D118" t="str">
        <f t="shared" ca="1" si="6"/>
        <v>September</v>
      </c>
      <c r="E118" t="s">
        <v>15</v>
      </c>
      <c r="F118" t="s">
        <v>33</v>
      </c>
      <c r="G118" t="str">
        <f t="shared" si="7"/>
        <v>Women</v>
      </c>
      <c r="H118" t="str">
        <f t="shared" ca="1" si="8"/>
        <v>Amazon</v>
      </c>
      <c r="I118">
        <f t="shared" ca="1" si="9"/>
        <v>45</v>
      </c>
      <c r="J118" t="s">
        <v>339</v>
      </c>
      <c r="K118" t="s">
        <v>39</v>
      </c>
      <c r="L118" t="s">
        <v>62</v>
      </c>
      <c r="M118">
        <v>1</v>
      </c>
      <c r="N118" t="s">
        <v>20</v>
      </c>
      <c r="O118">
        <v>791</v>
      </c>
      <c r="P118" t="s">
        <v>253</v>
      </c>
      <c r="Q118" t="s">
        <v>223</v>
      </c>
      <c r="R118" t="s">
        <v>23</v>
      </c>
    </row>
    <row r="119" spans="1:18" x14ac:dyDescent="0.35">
      <c r="A119">
        <v>117</v>
      </c>
      <c r="B119" t="s">
        <v>338</v>
      </c>
      <c r="C119" s="1">
        <f t="shared" ca="1" si="5"/>
        <v>45123</v>
      </c>
      <c r="D119" t="str">
        <f t="shared" ca="1" si="6"/>
        <v>July</v>
      </c>
      <c r="E119" t="s">
        <v>15</v>
      </c>
      <c r="F119" t="s">
        <v>33</v>
      </c>
      <c r="G119" t="str">
        <f t="shared" si="7"/>
        <v>Women</v>
      </c>
      <c r="H119" t="str">
        <f t="shared" ca="1" si="8"/>
        <v>Amazon</v>
      </c>
      <c r="I119">
        <f t="shared" ca="1" si="9"/>
        <v>20</v>
      </c>
      <c r="J119" t="s">
        <v>340</v>
      </c>
      <c r="K119" t="s">
        <v>39</v>
      </c>
      <c r="L119" t="s">
        <v>35</v>
      </c>
      <c r="M119">
        <v>1</v>
      </c>
      <c r="N119" t="s">
        <v>20</v>
      </c>
      <c r="O119">
        <v>807</v>
      </c>
      <c r="P119" t="s">
        <v>253</v>
      </c>
      <c r="Q119" t="s">
        <v>223</v>
      </c>
      <c r="R119" t="s">
        <v>23</v>
      </c>
    </row>
    <row r="120" spans="1:18" x14ac:dyDescent="0.35">
      <c r="A120">
        <v>118</v>
      </c>
      <c r="B120" t="s">
        <v>338</v>
      </c>
      <c r="C120" s="1">
        <f t="shared" ca="1" si="5"/>
        <v>45505</v>
      </c>
      <c r="D120" t="str">
        <f t="shared" ca="1" si="6"/>
        <v>August</v>
      </c>
      <c r="E120" t="s">
        <v>15</v>
      </c>
      <c r="F120" t="s">
        <v>33</v>
      </c>
      <c r="G120" t="str">
        <f t="shared" si="7"/>
        <v>Women</v>
      </c>
      <c r="H120" t="str">
        <f t="shared" ca="1" si="8"/>
        <v>Amazon</v>
      </c>
      <c r="I120">
        <f t="shared" ca="1" si="9"/>
        <v>55</v>
      </c>
      <c r="J120" t="s">
        <v>341</v>
      </c>
      <c r="K120" t="s">
        <v>39</v>
      </c>
      <c r="L120" t="s">
        <v>62</v>
      </c>
      <c r="M120">
        <v>1</v>
      </c>
      <c r="N120" t="s">
        <v>20</v>
      </c>
      <c r="O120">
        <v>807</v>
      </c>
      <c r="P120" t="s">
        <v>253</v>
      </c>
      <c r="Q120" t="s">
        <v>223</v>
      </c>
      <c r="R120" t="s">
        <v>23</v>
      </c>
    </row>
    <row r="121" spans="1:18" x14ac:dyDescent="0.35">
      <c r="A121">
        <v>119</v>
      </c>
      <c r="B121" t="s">
        <v>342</v>
      </c>
      <c r="C121" s="1">
        <f t="shared" ca="1" si="5"/>
        <v>45011</v>
      </c>
      <c r="D121" t="str">
        <f t="shared" ca="1" si="6"/>
        <v>March</v>
      </c>
      <c r="E121" t="s">
        <v>29</v>
      </c>
      <c r="F121" t="s">
        <v>33</v>
      </c>
      <c r="G121" t="str">
        <f t="shared" si="7"/>
        <v>Men</v>
      </c>
      <c r="H121" t="str">
        <f t="shared" ca="1" si="8"/>
        <v>Amazon</v>
      </c>
      <c r="I121">
        <f t="shared" ca="1" si="9"/>
        <v>18</v>
      </c>
      <c r="J121" t="s">
        <v>343</v>
      </c>
      <c r="K121" t="s">
        <v>27</v>
      </c>
      <c r="L121" t="s">
        <v>19</v>
      </c>
      <c r="M121">
        <v>1</v>
      </c>
      <c r="N121" t="s">
        <v>20</v>
      </c>
      <c r="O121">
        <v>311</v>
      </c>
      <c r="P121" t="s">
        <v>170</v>
      </c>
      <c r="Q121" t="s">
        <v>171</v>
      </c>
      <c r="R121" t="s">
        <v>23</v>
      </c>
    </row>
    <row r="122" spans="1:18" x14ac:dyDescent="0.35">
      <c r="A122">
        <v>120</v>
      </c>
      <c r="B122" t="s">
        <v>344</v>
      </c>
      <c r="C122" s="1">
        <f t="shared" ca="1" si="5"/>
        <v>45297</v>
      </c>
      <c r="D122" t="str">
        <f t="shared" ca="1" si="6"/>
        <v>January</v>
      </c>
      <c r="E122" t="s">
        <v>29</v>
      </c>
      <c r="F122" t="s">
        <v>33</v>
      </c>
      <c r="G122" t="str">
        <f t="shared" si="7"/>
        <v>Women</v>
      </c>
      <c r="H122" t="str">
        <f t="shared" ca="1" si="8"/>
        <v>Amazon</v>
      </c>
      <c r="I122">
        <f t="shared" ca="1" si="9"/>
        <v>28</v>
      </c>
      <c r="J122" t="s">
        <v>345</v>
      </c>
      <c r="K122" t="s">
        <v>44</v>
      </c>
      <c r="L122" t="s">
        <v>35</v>
      </c>
      <c r="M122">
        <v>1</v>
      </c>
      <c r="N122" t="s">
        <v>20</v>
      </c>
      <c r="O122">
        <v>387</v>
      </c>
      <c r="P122" t="s">
        <v>21</v>
      </c>
      <c r="Q122" t="s">
        <v>22</v>
      </c>
      <c r="R122" t="s">
        <v>23</v>
      </c>
    </row>
    <row r="123" spans="1:18" x14ac:dyDescent="0.35">
      <c r="A123">
        <v>121</v>
      </c>
      <c r="B123" t="s">
        <v>346</v>
      </c>
      <c r="C123" s="1">
        <f t="shared" ca="1" si="5"/>
        <v>45355</v>
      </c>
      <c r="D123" t="str">
        <f t="shared" ca="1" si="6"/>
        <v>March</v>
      </c>
      <c r="E123" t="s">
        <v>29</v>
      </c>
      <c r="F123" t="s">
        <v>33</v>
      </c>
      <c r="G123" t="str">
        <f t="shared" si="7"/>
        <v>Men</v>
      </c>
      <c r="H123" t="str">
        <f t="shared" ca="1" si="8"/>
        <v>Amazon</v>
      </c>
      <c r="I123">
        <f t="shared" ca="1" si="9"/>
        <v>48</v>
      </c>
      <c r="J123" t="s">
        <v>347</v>
      </c>
      <c r="K123" t="s">
        <v>27</v>
      </c>
      <c r="L123" t="s">
        <v>19</v>
      </c>
      <c r="M123">
        <v>1</v>
      </c>
      <c r="N123" t="s">
        <v>20</v>
      </c>
      <c r="O123">
        <v>348</v>
      </c>
      <c r="P123" t="s">
        <v>56</v>
      </c>
      <c r="Q123" t="s">
        <v>57</v>
      </c>
      <c r="R123" t="s">
        <v>23</v>
      </c>
    </row>
    <row r="124" spans="1:18" x14ac:dyDescent="0.35">
      <c r="A124">
        <v>122</v>
      </c>
      <c r="B124" t="s">
        <v>348</v>
      </c>
      <c r="C124" s="1">
        <f t="shared" ca="1" si="5"/>
        <v>45098</v>
      </c>
      <c r="D124" t="str">
        <f t="shared" ca="1" si="6"/>
        <v>June</v>
      </c>
      <c r="E124" t="s">
        <v>25</v>
      </c>
      <c r="F124" t="s">
        <v>16</v>
      </c>
      <c r="G124" t="str">
        <f t="shared" si="7"/>
        <v>Women</v>
      </c>
      <c r="H124" t="str">
        <f t="shared" ca="1" si="8"/>
        <v>Myntra</v>
      </c>
      <c r="I124">
        <f t="shared" ca="1" si="9"/>
        <v>21</v>
      </c>
      <c r="J124" t="s">
        <v>349</v>
      </c>
      <c r="K124" t="s">
        <v>18</v>
      </c>
      <c r="L124" t="s">
        <v>19</v>
      </c>
      <c r="M124">
        <v>1</v>
      </c>
      <c r="N124" t="s">
        <v>20</v>
      </c>
      <c r="O124">
        <v>597</v>
      </c>
      <c r="P124" t="s">
        <v>350</v>
      </c>
      <c r="Q124" t="s">
        <v>110</v>
      </c>
      <c r="R124" t="s">
        <v>23</v>
      </c>
    </row>
    <row r="125" spans="1:18" x14ac:dyDescent="0.35">
      <c r="A125">
        <v>123</v>
      </c>
      <c r="B125" t="s">
        <v>348</v>
      </c>
      <c r="C125" s="1">
        <f t="shared" ca="1" si="5"/>
        <v>45184</v>
      </c>
      <c r="D125" t="str">
        <f t="shared" ca="1" si="6"/>
        <v>September</v>
      </c>
      <c r="E125" t="s">
        <v>25</v>
      </c>
      <c r="F125" t="s">
        <v>16</v>
      </c>
      <c r="G125" t="str">
        <f t="shared" si="7"/>
        <v>Women</v>
      </c>
      <c r="H125" t="str">
        <f t="shared" ca="1" si="8"/>
        <v>Flipkart</v>
      </c>
      <c r="I125">
        <f t="shared" ca="1" si="9"/>
        <v>26</v>
      </c>
      <c r="J125" t="s">
        <v>351</v>
      </c>
      <c r="K125" t="s">
        <v>18</v>
      </c>
      <c r="L125" t="s">
        <v>19</v>
      </c>
      <c r="M125">
        <v>1</v>
      </c>
      <c r="N125" t="s">
        <v>20</v>
      </c>
      <c r="O125">
        <v>549</v>
      </c>
      <c r="P125" t="s">
        <v>350</v>
      </c>
      <c r="Q125" t="s">
        <v>110</v>
      </c>
      <c r="R125" t="s">
        <v>23</v>
      </c>
    </row>
    <row r="126" spans="1:18" x14ac:dyDescent="0.35">
      <c r="A126">
        <v>124</v>
      </c>
      <c r="B126" t="s">
        <v>352</v>
      </c>
      <c r="C126" s="1">
        <f t="shared" ca="1" si="5"/>
        <v>45300</v>
      </c>
      <c r="D126" t="str">
        <f t="shared" ca="1" si="6"/>
        <v>January</v>
      </c>
      <c r="E126" t="s">
        <v>29</v>
      </c>
      <c r="F126" t="s">
        <v>33</v>
      </c>
      <c r="G126" t="str">
        <f t="shared" si="7"/>
        <v>Women</v>
      </c>
      <c r="H126" t="str">
        <f t="shared" ca="1" si="8"/>
        <v>Amazon</v>
      </c>
      <c r="I126">
        <f t="shared" ca="1" si="9"/>
        <v>34</v>
      </c>
      <c r="J126" t="s">
        <v>353</v>
      </c>
      <c r="K126" t="s">
        <v>18</v>
      </c>
      <c r="L126" t="s">
        <v>28</v>
      </c>
      <c r="M126">
        <v>1</v>
      </c>
      <c r="N126" t="s">
        <v>20</v>
      </c>
      <c r="O126">
        <v>635</v>
      </c>
      <c r="P126" t="s">
        <v>354</v>
      </c>
      <c r="Q126" t="s">
        <v>31</v>
      </c>
      <c r="R126" t="s">
        <v>23</v>
      </c>
    </row>
    <row r="127" spans="1:18" x14ac:dyDescent="0.35">
      <c r="A127">
        <v>125</v>
      </c>
      <c r="B127" t="s">
        <v>355</v>
      </c>
      <c r="C127" s="1">
        <f t="shared" ca="1" si="5"/>
        <v>45027</v>
      </c>
      <c r="D127" t="str">
        <f t="shared" ca="1" si="6"/>
        <v>April</v>
      </c>
      <c r="E127" t="s">
        <v>29</v>
      </c>
      <c r="F127" t="s">
        <v>33</v>
      </c>
      <c r="G127" t="str">
        <f t="shared" si="7"/>
        <v>Women</v>
      </c>
      <c r="H127" t="str">
        <f t="shared" ca="1" si="8"/>
        <v>Amazon</v>
      </c>
      <c r="I127">
        <f t="shared" ca="1" si="9"/>
        <v>43</v>
      </c>
      <c r="J127" t="s">
        <v>201</v>
      </c>
      <c r="K127" t="s">
        <v>18</v>
      </c>
      <c r="L127" t="s">
        <v>68</v>
      </c>
      <c r="M127">
        <v>1</v>
      </c>
      <c r="N127" t="s">
        <v>20</v>
      </c>
      <c r="O127">
        <v>597</v>
      </c>
      <c r="P127" t="s">
        <v>356</v>
      </c>
      <c r="Q127" t="s">
        <v>357</v>
      </c>
      <c r="R127" t="s">
        <v>23</v>
      </c>
    </row>
    <row r="128" spans="1:18" x14ac:dyDescent="0.35">
      <c r="A128">
        <v>126</v>
      </c>
      <c r="B128" t="s">
        <v>358</v>
      </c>
      <c r="C128" s="1">
        <f t="shared" ca="1" si="5"/>
        <v>45094</v>
      </c>
      <c r="D128" t="str">
        <f t="shared" ca="1" si="6"/>
        <v>June</v>
      </c>
      <c r="E128" t="s">
        <v>29</v>
      </c>
      <c r="F128" t="s">
        <v>33</v>
      </c>
      <c r="G128" t="str">
        <f t="shared" si="7"/>
        <v>Women</v>
      </c>
      <c r="H128" t="str">
        <f t="shared" ca="1" si="8"/>
        <v>Amazon</v>
      </c>
      <c r="I128">
        <f t="shared" ca="1" si="9"/>
        <v>51</v>
      </c>
      <c r="J128" t="s">
        <v>359</v>
      </c>
      <c r="K128" t="s">
        <v>18</v>
      </c>
      <c r="L128" t="s">
        <v>19</v>
      </c>
      <c r="M128">
        <v>1</v>
      </c>
      <c r="N128" t="s">
        <v>20</v>
      </c>
      <c r="O128">
        <v>790</v>
      </c>
      <c r="P128" t="s">
        <v>360</v>
      </c>
      <c r="Q128" t="s">
        <v>161</v>
      </c>
      <c r="R128" t="s">
        <v>23</v>
      </c>
    </row>
    <row r="129" spans="1:18" x14ac:dyDescent="0.35">
      <c r="A129">
        <v>127</v>
      </c>
      <c r="B129" t="s">
        <v>361</v>
      </c>
      <c r="C129" s="1">
        <f t="shared" ca="1" si="5"/>
        <v>45002</v>
      </c>
      <c r="D129" t="str">
        <f t="shared" ca="1" si="6"/>
        <v>March</v>
      </c>
      <c r="E129" t="s">
        <v>29</v>
      </c>
      <c r="F129" t="s">
        <v>33</v>
      </c>
      <c r="G129" t="str">
        <f t="shared" si="7"/>
        <v>Men</v>
      </c>
      <c r="H129" t="str">
        <f t="shared" ca="1" si="8"/>
        <v>Amazon</v>
      </c>
      <c r="I129">
        <f t="shared" ca="1" si="9"/>
        <v>48</v>
      </c>
      <c r="J129" t="s">
        <v>362</v>
      </c>
      <c r="K129" t="s">
        <v>27</v>
      </c>
      <c r="L129" t="s">
        <v>62</v>
      </c>
      <c r="M129">
        <v>1</v>
      </c>
      <c r="N129" t="s">
        <v>20</v>
      </c>
      <c r="O129">
        <v>375</v>
      </c>
      <c r="P129" t="s">
        <v>363</v>
      </c>
      <c r="Q129" t="s">
        <v>110</v>
      </c>
      <c r="R129" t="s">
        <v>23</v>
      </c>
    </row>
    <row r="130" spans="1:18" x14ac:dyDescent="0.35">
      <c r="A130">
        <v>128</v>
      </c>
      <c r="B130" t="s">
        <v>364</v>
      </c>
      <c r="C130" s="1">
        <f t="shared" ca="1" si="5"/>
        <v>45396</v>
      </c>
      <c r="D130" t="str">
        <f t="shared" ca="1" si="6"/>
        <v>April</v>
      </c>
      <c r="E130" t="s">
        <v>29</v>
      </c>
      <c r="F130" t="s">
        <v>33</v>
      </c>
      <c r="G130" t="str">
        <f t="shared" si="7"/>
        <v>Women</v>
      </c>
      <c r="H130" t="str">
        <f t="shared" ca="1" si="8"/>
        <v>Amazon</v>
      </c>
      <c r="I130">
        <f t="shared" ca="1" si="9"/>
        <v>31</v>
      </c>
      <c r="J130" t="s">
        <v>365</v>
      </c>
      <c r="K130" t="s">
        <v>18</v>
      </c>
      <c r="L130" t="s">
        <v>68</v>
      </c>
      <c r="M130">
        <v>1</v>
      </c>
      <c r="N130" t="s">
        <v>20</v>
      </c>
      <c r="O130">
        <v>1115</v>
      </c>
      <c r="P130" t="s">
        <v>56</v>
      </c>
      <c r="Q130" t="s">
        <v>57</v>
      </c>
      <c r="R130" t="s">
        <v>23</v>
      </c>
    </row>
    <row r="131" spans="1:18" x14ac:dyDescent="0.35">
      <c r="A131">
        <v>129</v>
      </c>
      <c r="B131" t="s">
        <v>366</v>
      </c>
      <c r="C131" s="1">
        <f t="shared" ref="C131:C194" ca="1" si="10">RANDBETWEEN(DATE(2023,1,1), DATE(2024,12,31))</f>
        <v>45449</v>
      </c>
      <c r="D131" t="str">
        <f t="shared" ref="D131:D194" ca="1" si="11">TEXT(C131, "MMMM")</f>
        <v>June</v>
      </c>
      <c r="E131" t="s">
        <v>25</v>
      </c>
      <c r="F131" t="s">
        <v>16</v>
      </c>
      <c r="G131" t="str">
        <f t="shared" ref="G131:G194" si="12">IF(K131="Set","Women",IF(K131="Kurta","Men",IF(K131="Top","Women",IF(K131="Western Dress","Women",IF(K131="Ethnic Dress","Women",IF(K131="Saree","Women",0))))))</f>
        <v>Men</v>
      </c>
      <c r="H131" t="str">
        <f t="shared" ref="H131:H194" ca="1" si="13">IF(F131="Merchant",IF(RAND()&gt;0.5,"Myntra","Flipkart"),IF(F131="Amazon","Amazon",0))</f>
        <v>Myntra</v>
      </c>
      <c r="I131">
        <f t="shared" ref="I131:I194" ca="1" si="14">RANDBETWEEN(18, 60)</f>
        <v>43</v>
      </c>
      <c r="J131" t="s">
        <v>367</v>
      </c>
      <c r="K131" t="s">
        <v>27</v>
      </c>
      <c r="L131" t="s">
        <v>28</v>
      </c>
      <c r="M131">
        <v>1</v>
      </c>
      <c r="N131" t="s">
        <v>20</v>
      </c>
      <c r="O131">
        <v>579</v>
      </c>
      <c r="P131" t="s">
        <v>30</v>
      </c>
      <c r="Q131" t="s">
        <v>31</v>
      </c>
      <c r="R131" t="s">
        <v>23</v>
      </c>
    </row>
    <row r="132" spans="1:18" x14ac:dyDescent="0.35">
      <c r="A132">
        <v>130</v>
      </c>
      <c r="B132" t="s">
        <v>368</v>
      </c>
      <c r="C132" s="1">
        <f t="shared" ca="1" si="10"/>
        <v>45508</v>
      </c>
      <c r="D132" t="str">
        <f t="shared" ca="1" si="11"/>
        <v>August</v>
      </c>
      <c r="E132" t="s">
        <v>29</v>
      </c>
      <c r="F132" t="s">
        <v>33</v>
      </c>
      <c r="G132" t="str">
        <f t="shared" si="12"/>
        <v>Women</v>
      </c>
      <c r="H132" t="str">
        <f t="shared" ca="1" si="13"/>
        <v>Amazon</v>
      </c>
      <c r="I132">
        <f t="shared" ca="1" si="14"/>
        <v>22</v>
      </c>
      <c r="J132" t="s">
        <v>369</v>
      </c>
      <c r="K132" t="s">
        <v>18</v>
      </c>
      <c r="L132" t="s">
        <v>62</v>
      </c>
      <c r="M132">
        <v>1</v>
      </c>
      <c r="N132" t="s">
        <v>20</v>
      </c>
      <c r="O132">
        <v>788</v>
      </c>
      <c r="P132" t="s">
        <v>370</v>
      </c>
      <c r="Q132" t="s">
        <v>46</v>
      </c>
      <c r="R132" t="s">
        <v>23</v>
      </c>
    </row>
    <row r="133" spans="1:18" x14ac:dyDescent="0.35">
      <c r="A133">
        <v>131</v>
      </c>
      <c r="B133" t="s">
        <v>371</v>
      </c>
      <c r="C133" s="1">
        <f t="shared" ca="1" si="10"/>
        <v>45119</v>
      </c>
      <c r="D133" t="str">
        <f t="shared" ca="1" si="11"/>
        <v>July</v>
      </c>
      <c r="E133" t="s">
        <v>29</v>
      </c>
      <c r="F133" t="s">
        <v>33</v>
      </c>
      <c r="G133" t="str">
        <f t="shared" si="12"/>
        <v>Women</v>
      </c>
      <c r="H133" t="str">
        <f t="shared" ca="1" si="13"/>
        <v>Amazon</v>
      </c>
      <c r="I133">
        <f t="shared" ca="1" si="14"/>
        <v>53</v>
      </c>
      <c r="J133" t="s">
        <v>372</v>
      </c>
      <c r="K133" t="s">
        <v>18</v>
      </c>
      <c r="L133" t="s">
        <v>101</v>
      </c>
      <c r="M133">
        <v>1</v>
      </c>
      <c r="N133" t="s">
        <v>20</v>
      </c>
      <c r="O133">
        <v>597</v>
      </c>
      <c r="P133" t="s">
        <v>373</v>
      </c>
      <c r="Q133" t="s">
        <v>46</v>
      </c>
      <c r="R133" t="s">
        <v>23</v>
      </c>
    </row>
    <row r="134" spans="1:18" x14ac:dyDescent="0.35">
      <c r="A134">
        <v>132</v>
      </c>
      <c r="B134" t="s">
        <v>374</v>
      </c>
      <c r="C134" s="1">
        <f t="shared" ca="1" si="10"/>
        <v>45403</v>
      </c>
      <c r="D134" t="str">
        <f t="shared" ca="1" si="11"/>
        <v>April</v>
      </c>
      <c r="E134" t="s">
        <v>15</v>
      </c>
      <c r="F134" t="s">
        <v>33</v>
      </c>
      <c r="G134" t="str">
        <f t="shared" si="12"/>
        <v>Women</v>
      </c>
      <c r="H134" t="str">
        <f t="shared" ca="1" si="13"/>
        <v>Amazon</v>
      </c>
      <c r="I134">
        <f t="shared" ca="1" si="14"/>
        <v>37</v>
      </c>
      <c r="J134" t="s">
        <v>375</v>
      </c>
      <c r="K134" t="s">
        <v>18</v>
      </c>
      <c r="L134" t="s">
        <v>28</v>
      </c>
      <c r="M134">
        <v>0</v>
      </c>
      <c r="P134" t="s">
        <v>354</v>
      </c>
      <c r="Q134" t="s">
        <v>31</v>
      </c>
      <c r="R134" t="s">
        <v>23</v>
      </c>
    </row>
    <row r="135" spans="1:18" x14ac:dyDescent="0.35">
      <c r="A135">
        <v>133</v>
      </c>
      <c r="B135" t="s">
        <v>376</v>
      </c>
      <c r="C135" s="1">
        <f t="shared" ca="1" si="10"/>
        <v>45373</v>
      </c>
      <c r="D135" t="str">
        <f t="shared" ca="1" si="11"/>
        <v>March</v>
      </c>
      <c r="E135" t="s">
        <v>29</v>
      </c>
      <c r="F135" t="s">
        <v>33</v>
      </c>
      <c r="G135" t="str">
        <f t="shared" si="12"/>
        <v>Men</v>
      </c>
      <c r="H135" t="str">
        <f t="shared" ca="1" si="13"/>
        <v>Amazon</v>
      </c>
      <c r="I135">
        <f t="shared" ca="1" si="14"/>
        <v>26</v>
      </c>
      <c r="J135" t="s">
        <v>377</v>
      </c>
      <c r="K135" t="s">
        <v>27</v>
      </c>
      <c r="L135" t="s">
        <v>101</v>
      </c>
      <c r="M135">
        <v>1</v>
      </c>
      <c r="N135" t="s">
        <v>20</v>
      </c>
      <c r="O135">
        <v>517</v>
      </c>
      <c r="P135" t="s">
        <v>117</v>
      </c>
      <c r="Q135" t="s">
        <v>378</v>
      </c>
      <c r="R135" t="s">
        <v>23</v>
      </c>
    </row>
    <row r="136" spans="1:18" x14ac:dyDescent="0.35">
      <c r="A136">
        <v>134</v>
      </c>
      <c r="B136" t="s">
        <v>379</v>
      </c>
      <c r="C136" s="1">
        <f t="shared" ca="1" si="10"/>
        <v>44945</v>
      </c>
      <c r="D136" t="str">
        <f t="shared" ca="1" si="11"/>
        <v>January</v>
      </c>
      <c r="E136" t="s">
        <v>29</v>
      </c>
      <c r="F136" t="s">
        <v>33</v>
      </c>
      <c r="G136" t="str">
        <f t="shared" si="12"/>
        <v>Men</v>
      </c>
      <c r="H136" t="str">
        <f t="shared" ca="1" si="13"/>
        <v>Amazon</v>
      </c>
      <c r="I136">
        <f t="shared" ca="1" si="14"/>
        <v>53</v>
      </c>
      <c r="J136" t="s">
        <v>380</v>
      </c>
      <c r="K136" t="s">
        <v>27</v>
      </c>
      <c r="L136" t="s">
        <v>62</v>
      </c>
      <c r="M136">
        <v>1</v>
      </c>
      <c r="N136" t="s">
        <v>20</v>
      </c>
      <c r="O136">
        <v>442</v>
      </c>
      <c r="P136" t="s">
        <v>45</v>
      </c>
      <c r="Q136" t="s">
        <v>46</v>
      </c>
      <c r="R136" t="s">
        <v>23</v>
      </c>
    </row>
    <row r="137" spans="1:18" x14ac:dyDescent="0.35">
      <c r="A137">
        <v>135</v>
      </c>
      <c r="B137" t="s">
        <v>381</v>
      </c>
      <c r="C137" s="1">
        <f t="shared" ca="1" si="10"/>
        <v>45461</v>
      </c>
      <c r="D137" t="str">
        <f t="shared" ca="1" si="11"/>
        <v>June</v>
      </c>
      <c r="E137" t="s">
        <v>29</v>
      </c>
      <c r="F137" t="s">
        <v>33</v>
      </c>
      <c r="G137" t="str">
        <f t="shared" si="12"/>
        <v>Men</v>
      </c>
      <c r="H137" t="str">
        <f t="shared" ca="1" si="13"/>
        <v>Amazon</v>
      </c>
      <c r="I137">
        <f t="shared" ca="1" si="14"/>
        <v>37</v>
      </c>
      <c r="J137" t="s">
        <v>382</v>
      </c>
      <c r="K137" t="s">
        <v>27</v>
      </c>
      <c r="L137" t="s">
        <v>28</v>
      </c>
      <c r="M137">
        <v>1</v>
      </c>
      <c r="N137" t="s">
        <v>20</v>
      </c>
      <c r="O137">
        <v>399</v>
      </c>
      <c r="P137" t="s">
        <v>383</v>
      </c>
      <c r="Q137" t="s">
        <v>50</v>
      </c>
      <c r="R137" t="s">
        <v>23</v>
      </c>
    </row>
    <row r="138" spans="1:18" x14ac:dyDescent="0.35">
      <c r="A138">
        <v>136</v>
      </c>
      <c r="B138" t="s">
        <v>384</v>
      </c>
      <c r="C138" s="1">
        <f t="shared" ca="1" si="10"/>
        <v>45643</v>
      </c>
      <c r="D138" t="str">
        <f t="shared" ca="1" si="11"/>
        <v>December</v>
      </c>
      <c r="E138" t="s">
        <v>29</v>
      </c>
      <c r="F138" t="s">
        <v>33</v>
      </c>
      <c r="G138" t="str">
        <f t="shared" si="12"/>
        <v>Men</v>
      </c>
      <c r="H138" t="str">
        <f t="shared" ca="1" si="13"/>
        <v>Amazon</v>
      </c>
      <c r="I138">
        <f t="shared" ca="1" si="14"/>
        <v>53</v>
      </c>
      <c r="J138" t="s">
        <v>385</v>
      </c>
      <c r="K138" t="s">
        <v>27</v>
      </c>
      <c r="L138" t="s">
        <v>62</v>
      </c>
      <c r="M138">
        <v>1</v>
      </c>
      <c r="N138" t="s">
        <v>20</v>
      </c>
      <c r="O138">
        <v>518</v>
      </c>
      <c r="P138" t="s">
        <v>30</v>
      </c>
      <c r="Q138" t="s">
        <v>31</v>
      </c>
      <c r="R138" t="s">
        <v>23</v>
      </c>
    </row>
    <row r="139" spans="1:18" x14ac:dyDescent="0.35">
      <c r="A139">
        <v>137</v>
      </c>
      <c r="B139" t="s">
        <v>386</v>
      </c>
      <c r="C139" s="1">
        <f t="shared" ca="1" si="10"/>
        <v>45511</v>
      </c>
      <c r="D139" t="str">
        <f t="shared" ca="1" si="11"/>
        <v>August</v>
      </c>
      <c r="E139" t="s">
        <v>29</v>
      </c>
      <c r="F139" t="s">
        <v>33</v>
      </c>
      <c r="G139" t="str">
        <f t="shared" si="12"/>
        <v>Men</v>
      </c>
      <c r="H139" t="str">
        <f t="shared" ca="1" si="13"/>
        <v>Amazon</v>
      </c>
      <c r="I139">
        <f t="shared" ca="1" si="14"/>
        <v>31</v>
      </c>
      <c r="J139" t="s">
        <v>387</v>
      </c>
      <c r="K139" t="s">
        <v>27</v>
      </c>
      <c r="L139" t="s">
        <v>101</v>
      </c>
      <c r="M139">
        <v>1</v>
      </c>
      <c r="N139" t="s">
        <v>20</v>
      </c>
      <c r="O139">
        <v>348</v>
      </c>
      <c r="P139" t="s">
        <v>388</v>
      </c>
      <c r="Q139" t="s">
        <v>46</v>
      </c>
      <c r="R139" t="s">
        <v>23</v>
      </c>
    </row>
    <row r="140" spans="1:18" x14ac:dyDescent="0.35">
      <c r="A140">
        <v>138</v>
      </c>
      <c r="B140" t="s">
        <v>389</v>
      </c>
      <c r="C140" s="1">
        <f t="shared" ca="1" si="10"/>
        <v>45539</v>
      </c>
      <c r="D140" t="str">
        <f t="shared" ca="1" si="11"/>
        <v>September</v>
      </c>
      <c r="E140" t="s">
        <v>25</v>
      </c>
      <c r="F140" t="s">
        <v>16</v>
      </c>
      <c r="G140" t="str">
        <f t="shared" si="12"/>
        <v>Women</v>
      </c>
      <c r="H140" t="str">
        <f t="shared" ca="1" si="13"/>
        <v>Myntra</v>
      </c>
      <c r="I140">
        <f t="shared" ca="1" si="14"/>
        <v>44</v>
      </c>
      <c r="J140" t="s">
        <v>390</v>
      </c>
      <c r="K140" t="s">
        <v>18</v>
      </c>
      <c r="L140" t="s">
        <v>101</v>
      </c>
      <c r="M140">
        <v>1</v>
      </c>
      <c r="N140" t="s">
        <v>20</v>
      </c>
      <c r="O140">
        <v>788</v>
      </c>
      <c r="P140" t="s">
        <v>391</v>
      </c>
      <c r="Q140" t="s">
        <v>118</v>
      </c>
      <c r="R140" t="s">
        <v>23</v>
      </c>
    </row>
    <row r="141" spans="1:18" x14ac:dyDescent="0.35">
      <c r="A141">
        <v>139</v>
      </c>
      <c r="B141" t="s">
        <v>392</v>
      </c>
      <c r="C141" s="1">
        <f t="shared" ca="1" si="10"/>
        <v>45287</v>
      </c>
      <c r="D141" t="str">
        <f t="shared" ca="1" si="11"/>
        <v>December</v>
      </c>
      <c r="E141" t="s">
        <v>15</v>
      </c>
      <c r="F141" t="s">
        <v>33</v>
      </c>
      <c r="G141" t="str">
        <f t="shared" si="12"/>
        <v>Women</v>
      </c>
      <c r="H141" t="str">
        <f t="shared" ca="1" si="13"/>
        <v>Amazon</v>
      </c>
      <c r="I141">
        <f t="shared" ca="1" si="14"/>
        <v>60</v>
      </c>
      <c r="J141" t="s">
        <v>393</v>
      </c>
      <c r="K141" t="s">
        <v>44</v>
      </c>
      <c r="L141" t="s">
        <v>28</v>
      </c>
      <c r="M141">
        <v>0</v>
      </c>
      <c r="P141" t="s">
        <v>394</v>
      </c>
      <c r="Q141" t="s">
        <v>50</v>
      </c>
      <c r="R141" t="s">
        <v>23</v>
      </c>
    </row>
    <row r="142" spans="1:18" x14ac:dyDescent="0.35">
      <c r="A142">
        <v>140</v>
      </c>
      <c r="B142" t="s">
        <v>395</v>
      </c>
      <c r="C142" s="1">
        <f t="shared" ca="1" si="10"/>
        <v>45474</v>
      </c>
      <c r="D142" t="str">
        <f t="shared" ca="1" si="11"/>
        <v>July</v>
      </c>
      <c r="E142" t="s">
        <v>29</v>
      </c>
      <c r="F142" t="s">
        <v>33</v>
      </c>
      <c r="G142" t="str">
        <f t="shared" si="12"/>
        <v>Women</v>
      </c>
      <c r="H142" t="str">
        <f t="shared" ca="1" si="13"/>
        <v>Amazon</v>
      </c>
      <c r="I142">
        <f t="shared" ca="1" si="14"/>
        <v>36</v>
      </c>
      <c r="J142" t="s">
        <v>372</v>
      </c>
      <c r="K142" t="s">
        <v>18</v>
      </c>
      <c r="L142" t="s">
        <v>101</v>
      </c>
      <c r="M142">
        <v>1</v>
      </c>
      <c r="N142" t="s">
        <v>20</v>
      </c>
      <c r="O142">
        <v>597</v>
      </c>
      <c r="P142" t="s">
        <v>396</v>
      </c>
      <c r="Q142" t="s">
        <v>22</v>
      </c>
      <c r="R142" t="s">
        <v>23</v>
      </c>
    </row>
    <row r="143" spans="1:18" x14ac:dyDescent="0.35">
      <c r="A143">
        <v>141</v>
      </c>
      <c r="B143" t="s">
        <v>397</v>
      </c>
      <c r="C143" s="1">
        <f t="shared" ca="1" si="10"/>
        <v>45318</v>
      </c>
      <c r="D143" t="str">
        <f t="shared" ca="1" si="11"/>
        <v>January</v>
      </c>
      <c r="E143" t="s">
        <v>29</v>
      </c>
      <c r="F143" t="s">
        <v>33</v>
      </c>
      <c r="G143" t="str">
        <f t="shared" si="12"/>
        <v>Men</v>
      </c>
      <c r="H143" t="str">
        <f t="shared" ca="1" si="13"/>
        <v>Amazon</v>
      </c>
      <c r="I143">
        <f t="shared" ca="1" si="14"/>
        <v>31</v>
      </c>
      <c r="J143" t="s">
        <v>398</v>
      </c>
      <c r="K143" t="s">
        <v>27</v>
      </c>
      <c r="L143" t="s">
        <v>19</v>
      </c>
      <c r="M143">
        <v>1</v>
      </c>
      <c r="N143" t="s">
        <v>20</v>
      </c>
      <c r="O143">
        <v>696</v>
      </c>
      <c r="P143" t="s">
        <v>88</v>
      </c>
      <c r="Q143" t="s">
        <v>89</v>
      </c>
      <c r="R143" t="s">
        <v>23</v>
      </c>
    </row>
    <row r="144" spans="1:18" x14ac:dyDescent="0.35">
      <c r="A144">
        <v>142</v>
      </c>
      <c r="B144" t="s">
        <v>399</v>
      </c>
      <c r="C144" s="1">
        <f t="shared" ca="1" si="10"/>
        <v>45506</v>
      </c>
      <c r="D144" t="str">
        <f t="shared" ca="1" si="11"/>
        <v>August</v>
      </c>
      <c r="E144" t="s">
        <v>29</v>
      </c>
      <c r="F144" t="s">
        <v>33</v>
      </c>
      <c r="G144" t="str">
        <f t="shared" si="12"/>
        <v>Men</v>
      </c>
      <c r="H144" t="str">
        <f t="shared" ca="1" si="13"/>
        <v>Amazon</v>
      </c>
      <c r="I144">
        <f t="shared" ca="1" si="14"/>
        <v>37</v>
      </c>
      <c r="J144" t="s">
        <v>400</v>
      </c>
      <c r="K144" t="s">
        <v>27</v>
      </c>
      <c r="L144" t="s">
        <v>35</v>
      </c>
      <c r="M144">
        <v>1</v>
      </c>
      <c r="N144" t="s">
        <v>20</v>
      </c>
      <c r="O144">
        <v>363</v>
      </c>
      <c r="P144" t="s">
        <v>56</v>
      </c>
      <c r="Q144" t="s">
        <v>57</v>
      </c>
      <c r="R144" t="s">
        <v>23</v>
      </c>
    </row>
    <row r="145" spans="1:18" x14ac:dyDescent="0.35">
      <c r="A145">
        <v>143</v>
      </c>
      <c r="B145" t="s">
        <v>401</v>
      </c>
      <c r="C145" s="1">
        <f t="shared" ca="1" si="10"/>
        <v>45050</v>
      </c>
      <c r="D145" t="str">
        <f t="shared" ca="1" si="11"/>
        <v>May</v>
      </c>
      <c r="E145" t="s">
        <v>29</v>
      </c>
      <c r="F145" t="s">
        <v>33</v>
      </c>
      <c r="G145" t="str">
        <f t="shared" si="12"/>
        <v>Men</v>
      </c>
      <c r="H145" t="str">
        <f t="shared" ca="1" si="13"/>
        <v>Amazon</v>
      </c>
      <c r="I145">
        <f t="shared" ca="1" si="14"/>
        <v>35</v>
      </c>
      <c r="J145" t="s">
        <v>402</v>
      </c>
      <c r="K145" t="s">
        <v>27</v>
      </c>
      <c r="L145" t="s">
        <v>35</v>
      </c>
      <c r="M145">
        <v>1</v>
      </c>
      <c r="N145" t="s">
        <v>20</v>
      </c>
      <c r="O145">
        <v>299</v>
      </c>
      <c r="P145" t="s">
        <v>56</v>
      </c>
      <c r="Q145" t="s">
        <v>57</v>
      </c>
      <c r="R145" t="s">
        <v>23</v>
      </c>
    </row>
    <row r="146" spans="1:18" x14ac:dyDescent="0.35">
      <c r="A146">
        <v>144</v>
      </c>
      <c r="B146" t="s">
        <v>403</v>
      </c>
      <c r="C146" s="1">
        <f t="shared" ca="1" si="10"/>
        <v>45558</v>
      </c>
      <c r="D146" t="str">
        <f t="shared" ca="1" si="11"/>
        <v>September</v>
      </c>
      <c r="E146" t="s">
        <v>29</v>
      </c>
      <c r="F146" t="s">
        <v>33</v>
      </c>
      <c r="G146" t="str">
        <f t="shared" si="12"/>
        <v>Women</v>
      </c>
      <c r="H146" t="str">
        <f t="shared" ca="1" si="13"/>
        <v>Amazon</v>
      </c>
      <c r="I146">
        <f t="shared" ca="1" si="14"/>
        <v>33</v>
      </c>
      <c r="J146" t="s">
        <v>404</v>
      </c>
      <c r="K146" t="s">
        <v>39</v>
      </c>
      <c r="L146" t="s">
        <v>19</v>
      </c>
      <c r="M146">
        <v>1</v>
      </c>
      <c r="N146" t="s">
        <v>20</v>
      </c>
      <c r="O146">
        <v>690</v>
      </c>
      <c r="P146" t="s">
        <v>127</v>
      </c>
      <c r="Q146" t="s">
        <v>110</v>
      </c>
      <c r="R146" t="s">
        <v>23</v>
      </c>
    </row>
    <row r="147" spans="1:18" x14ac:dyDescent="0.35">
      <c r="A147">
        <v>145</v>
      </c>
      <c r="B147" t="s">
        <v>405</v>
      </c>
      <c r="C147" s="1">
        <f t="shared" ca="1" si="10"/>
        <v>44962</v>
      </c>
      <c r="D147" t="str">
        <f t="shared" ca="1" si="11"/>
        <v>February</v>
      </c>
      <c r="E147" t="s">
        <v>29</v>
      </c>
      <c r="F147" t="s">
        <v>33</v>
      </c>
      <c r="G147" t="str">
        <f t="shared" si="12"/>
        <v>Women</v>
      </c>
      <c r="H147" t="str">
        <f t="shared" ca="1" si="13"/>
        <v>Amazon</v>
      </c>
      <c r="I147">
        <f t="shared" ca="1" si="14"/>
        <v>56</v>
      </c>
      <c r="J147" t="s">
        <v>406</v>
      </c>
      <c r="K147" t="s">
        <v>44</v>
      </c>
      <c r="L147" t="s">
        <v>68</v>
      </c>
      <c r="M147">
        <v>1</v>
      </c>
      <c r="N147" t="s">
        <v>20</v>
      </c>
      <c r="O147">
        <v>574</v>
      </c>
      <c r="P147" t="s">
        <v>407</v>
      </c>
      <c r="Q147" t="s">
        <v>31</v>
      </c>
      <c r="R147" t="s">
        <v>23</v>
      </c>
    </row>
    <row r="148" spans="1:18" x14ac:dyDescent="0.35">
      <c r="A148">
        <v>146</v>
      </c>
      <c r="B148" t="s">
        <v>408</v>
      </c>
      <c r="C148" s="1">
        <f t="shared" ca="1" si="10"/>
        <v>45385</v>
      </c>
      <c r="D148" t="str">
        <f t="shared" ca="1" si="11"/>
        <v>April</v>
      </c>
      <c r="E148" t="s">
        <v>25</v>
      </c>
      <c r="F148" t="s">
        <v>16</v>
      </c>
      <c r="G148" t="str">
        <f t="shared" si="12"/>
        <v>Women</v>
      </c>
      <c r="H148" t="str">
        <f t="shared" ca="1" si="13"/>
        <v>Myntra</v>
      </c>
      <c r="I148">
        <f t="shared" ca="1" si="14"/>
        <v>23</v>
      </c>
      <c r="J148" t="s">
        <v>409</v>
      </c>
      <c r="K148" t="s">
        <v>18</v>
      </c>
      <c r="L148" t="s">
        <v>101</v>
      </c>
      <c r="M148">
        <v>1</v>
      </c>
      <c r="N148" t="s">
        <v>20</v>
      </c>
      <c r="O148">
        <v>1399</v>
      </c>
      <c r="P148" t="s">
        <v>410</v>
      </c>
      <c r="Q148" t="s">
        <v>50</v>
      </c>
      <c r="R148" t="s">
        <v>23</v>
      </c>
    </row>
    <row r="149" spans="1:18" x14ac:dyDescent="0.35">
      <c r="A149">
        <v>147</v>
      </c>
      <c r="B149" t="s">
        <v>411</v>
      </c>
      <c r="C149" s="1">
        <f t="shared" ca="1" si="10"/>
        <v>45036</v>
      </c>
      <c r="D149" t="str">
        <f t="shared" ca="1" si="11"/>
        <v>April</v>
      </c>
      <c r="E149" t="s">
        <v>25</v>
      </c>
      <c r="F149" t="s">
        <v>16</v>
      </c>
      <c r="G149" t="str">
        <f t="shared" si="12"/>
        <v>Women</v>
      </c>
      <c r="H149" t="str">
        <f t="shared" ca="1" si="13"/>
        <v>Flipkart</v>
      </c>
      <c r="I149">
        <f t="shared" ca="1" si="14"/>
        <v>25</v>
      </c>
      <c r="J149" t="s">
        <v>412</v>
      </c>
      <c r="K149" t="s">
        <v>18</v>
      </c>
      <c r="L149" t="s">
        <v>19</v>
      </c>
      <c r="M149">
        <v>1</v>
      </c>
      <c r="N149" t="s">
        <v>20</v>
      </c>
      <c r="O149">
        <v>999</v>
      </c>
      <c r="P149" t="s">
        <v>413</v>
      </c>
      <c r="Q149" t="s">
        <v>50</v>
      </c>
      <c r="R149" t="s">
        <v>23</v>
      </c>
    </row>
    <row r="150" spans="1:18" x14ac:dyDescent="0.35">
      <c r="A150">
        <v>148</v>
      </c>
      <c r="B150" t="s">
        <v>414</v>
      </c>
      <c r="C150" s="1">
        <f t="shared" ca="1" si="10"/>
        <v>45203</v>
      </c>
      <c r="D150" t="str">
        <f t="shared" ca="1" si="11"/>
        <v>October</v>
      </c>
      <c r="E150" t="s">
        <v>29</v>
      </c>
      <c r="F150" t="s">
        <v>33</v>
      </c>
      <c r="G150" t="str">
        <f t="shared" si="12"/>
        <v>Women</v>
      </c>
      <c r="H150" t="str">
        <f t="shared" ca="1" si="13"/>
        <v>Amazon</v>
      </c>
      <c r="I150">
        <f t="shared" ca="1" si="14"/>
        <v>51</v>
      </c>
      <c r="J150" t="s">
        <v>415</v>
      </c>
      <c r="K150" t="s">
        <v>18</v>
      </c>
      <c r="L150" t="s">
        <v>35</v>
      </c>
      <c r="M150">
        <v>1</v>
      </c>
      <c r="N150" t="s">
        <v>20</v>
      </c>
      <c r="O150">
        <v>999</v>
      </c>
      <c r="P150" t="s">
        <v>416</v>
      </c>
      <c r="Q150" t="s">
        <v>81</v>
      </c>
      <c r="R150" t="s">
        <v>23</v>
      </c>
    </row>
    <row r="151" spans="1:18" x14ac:dyDescent="0.35">
      <c r="A151">
        <v>149</v>
      </c>
      <c r="B151" t="s">
        <v>417</v>
      </c>
      <c r="C151" s="1">
        <f t="shared" ca="1" si="10"/>
        <v>45225</v>
      </c>
      <c r="D151" t="str">
        <f t="shared" ca="1" si="11"/>
        <v>October</v>
      </c>
      <c r="E151" t="s">
        <v>29</v>
      </c>
      <c r="F151" t="s">
        <v>33</v>
      </c>
      <c r="G151" t="str">
        <f t="shared" si="12"/>
        <v>Men</v>
      </c>
      <c r="H151" t="str">
        <f t="shared" ca="1" si="13"/>
        <v>Amazon</v>
      </c>
      <c r="I151">
        <f t="shared" ca="1" si="14"/>
        <v>36</v>
      </c>
      <c r="J151" t="s">
        <v>418</v>
      </c>
      <c r="K151" t="s">
        <v>27</v>
      </c>
      <c r="L151" t="s">
        <v>35</v>
      </c>
      <c r="M151">
        <v>1</v>
      </c>
      <c r="N151" t="s">
        <v>20</v>
      </c>
      <c r="O151">
        <v>487</v>
      </c>
      <c r="P151" t="s">
        <v>419</v>
      </c>
      <c r="Q151" t="s">
        <v>118</v>
      </c>
      <c r="R151" t="s">
        <v>23</v>
      </c>
    </row>
    <row r="152" spans="1:18" x14ac:dyDescent="0.35">
      <c r="A152">
        <v>150</v>
      </c>
      <c r="B152" t="s">
        <v>420</v>
      </c>
      <c r="C152" s="1">
        <f t="shared" ca="1" si="10"/>
        <v>45422</v>
      </c>
      <c r="D152" t="str">
        <f t="shared" ca="1" si="11"/>
        <v>May</v>
      </c>
      <c r="E152" t="s">
        <v>25</v>
      </c>
      <c r="F152" t="s">
        <v>16</v>
      </c>
      <c r="G152" t="str">
        <f t="shared" si="12"/>
        <v>Men</v>
      </c>
      <c r="H152" t="str">
        <f t="shared" ca="1" si="13"/>
        <v>Flipkart</v>
      </c>
      <c r="I152">
        <f t="shared" ca="1" si="14"/>
        <v>45</v>
      </c>
      <c r="J152" t="s">
        <v>421</v>
      </c>
      <c r="K152" t="s">
        <v>27</v>
      </c>
      <c r="L152" t="s">
        <v>28</v>
      </c>
      <c r="M152">
        <v>1</v>
      </c>
      <c r="N152" t="s">
        <v>20</v>
      </c>
      <c r="O152">
        <v>376</v>
      </c>
      <c r="P152" t="s">
        <v>98</v>
      </c>
      <c r="Q152" t="s">
        <v>46</v>
      </c>
      <c r="R152" t="s">
        <v>23</v>
      </c>
    </row>
    <row r="153" spans="1:18" x14ac:dyDescent="0.35">
      <c r="A153">
        <v>151</v>
      </c>
      <c r="B153" t="s">
        <v>422</v>
      </c>
      <c r="C153" s="1">
        <f t="shared" ca="1" si="10"/>
        <v>45467</v>
      </c>
      <c r="D153" t="str">
        <f t="shared" ca="1" si="11"/>
        <v>June</v>
      </c>
      <c r="E153" t="s">
        <v>29</v>
      </c>
      <c r="F153" t="s">
        <v>33</v>
      </c>
      <c r="G153" t="str">
        <f t="shared" si="12"/>
        <v>Women</v>
      </c>
      <c r="H153" t="str">
        <f t="shared" ca="1" si="13"/>
        <v>Amazon</v>
      </c>
      <c r="I153">
        <f t="shared" ca="1" si="14"/>
        <v>30</v>
      </c>
      <c r="J153" t="s">
        <v>423</v>
      </c>
      <c r="K153" t="s">
        <v>18</v>
      </c>
      <c r="L153" t="s">
        <v>40</v>
      </c>
      <c r="M153">
        <v>1</v>
      </c>
      <c r="N153" t="s">
        <v>20</v>
      </c>
      <c r="O153">
        <v>1115</v>
      </c>
      <c r="P153" t="s">
        <v>424</v>
      </c>
      <c r="Q153" t="s">
        <v>264</v>
      </c>
      <c r="R153" t="s">
        <v>23</v>
      </c>
    </row>
    <row r="154" spans="1:18" x14ac:dyDescent="0.35">
      <c r="A154">
        <v>152</v>
      </c>
      <c r="B154" t="s">
        <v>425</v>
      </c>
      <c r="C154" s="1">
        <f t="shared" ca="1" si="10"/>
        <v>45395</v>
      </c>
      <c r="D154" t="str">
        <f t="shared" ca="1" si="11"/>
        <v>April</v>
      </c>
      <c r="E154" t="s">
        <v>29</v>
      </c>
      <c r="F154" t="s">
        <v>33</v>
      </c>
      <c r="G154" t="str">
        <f t="shared" si="12"/>
        <v>Women</v>
      </c>
      <c r="H154" t="str">
        <f t="shared" ca="1" si="13"/>
        <v>Amazon</v>
      </c>
      <c r="I154">
        <f t="shared" ca="1" si="14"/>
        <v>60</v>
      </c>
      <c r="J154" t="s">
        <v>426</v>
      </c>
      <c r="K154" t="s">
        <v>18</v>
      </c>
      <c r="L154" t="s">
        <v>62</v>
      </c>
      <c r="M154">
        <v>1</v>
      </c>
      <c r="N154" t="s">
        <v>20</v>
      </c>
      <c r="O154">
        <v>517</v>
      </c>
      <c r="P154" t="s">
        <v>30</v>
      </c>
      <c r="Q154" t="s">
        <v>31</v>
      </c>
      <c r="R154" t="s">
        <v>23</v>
      </c>
    </row>
    <row r="155" spans="1:18" x14ac:dyDescent="0.35">
      <c r="A155">
        <v>153</v>
      </c>
      <c r="B155" t="s">
        <v>427</v>
      </c>
      <c r="C155" s="1">
        <f t="shared" ca="1" si="10"/>
        <v>45507</v>
      </c>
      <c r="D155" t="str">
        <f t="shared" ca="1" si="11"/>
        <v>August</v>
      </c>
      <c r="E155" t="s">
        <v>29</v>
      </c>
      <c r="F155" t="s">
        <v>33</v>
      </c>
      <c r="G155" t="str">
        <f t="shared" si="12"/>
        <v>Women</v>
      </c>
      <c r="H155" t="str">
        <f t="shared" ca="1" si="13"/>
        <v>Amazon</v>
      </c>
      <c r="I155">
        <f t="shared" ca="1" si="14"/>
        <v>51</v>
      </c>
      <c r="J155" t="s">
        <v>428</v>
      </c>
      <c r="K155" t="s">
        <v>18</v>
      </c>
      <c r="L155" t="s">
        <v>19</v>
      </c>
      <c r="M155">
        <v>1</v>
      </c>
      <c r="N155" t="s">
        <v>20</v>
      </c>
      <c r="O155">
        <v>1126</v>
      </c>
      <c r="P155" t="s">
        <v>239</v>
      </c>
      <c r="Q155" t="s">
        <v>31</v>
      </c>
      <c r="R155" t="s">
        <v>23</v>
      </c>
    </row>
    <row r="156" spans="1:18" x14ac:dyDescent="0.35">
      <c r="A156">
        <v>154</v>
      </c>
      <c r="B156" t="s">
        <v>429</v>
      </c>
      <c r="C156" s="1">
        <f t="shared" ca="1" si="10"/>
        <v>45636</v>
      </c>
      <c r="D156" t="str">
        <f t="shared" ca="1" si="11"/>
        <v>December</v>
      </c>
      <c r="E156" t="s">
        <v>29</v>
      </c>
      <c r="F156" t="s">
        <v>33</v>
      </c>
      <c r="G156" t="str">
        <f t="shared" si="12"/>
        <v>Women</v>
      </c>
      <c r="H156" t="str">
        <f t="shared" ca="1" si="13"/>
        <v>Amazon</v>
      </c>
      <c r="I156">
        <f t="shared" ca="1" si="14"/>
        <v>35</v>
      </c>
      <c r="J156" t="s">
        <v>430</v>
      </c>
      <c r="K156" t="s">
        <v>39</v>
      </c>
      <c r="L156" t="s">
        <v>40</v>
      </c>
      <c r="M156">
        <v>1</v>
      </c>
      <c r="N156" t="s">
        <v>20</v>
      </c>
      <c r="O156">
        <v>725</v>
      </c>
      <c r="P156" t="s">
        <v>431</v>
      </c>
      <c r="Q156" t="s">
        <v>153</v>
      </c>
      <c r="R156" t="s">
        <v>23</v>
      </c>
    </row>
    <row r="157" spans="1:18" x14ac:dyDescent="0.35">
      <c r="A157">
        <v>155</v>
      </c>
      <c r="B157" t="s">
        <v>432</v>
      </c>
      <c r="C157" s="1">
        <f t="shared" ca="1" si="10"/>
        <v>45109</v>
      </c>
      <c r="D157" t="str">
        <f t="shared" ca="1" si="11"/>
        <v>July</v>
      </c>
      <c r="E157" t="s">
        <v>15</v>
      </c>
      <c r="F157" t="s">
        <v>33</v>
      </c>
      <c r="G157" t="str">
        <f t="shared" si="12"/>
        <v>Men</v>
      </c>
      <c r="H157" t="str">
        <f t="shared" ca="1" si="13"/>
        <v>Amazon</v>
      </c>
      <c r="I157">
        <f t="shared" ca="1" si="14"/>
        <v>44</v>
      </c>
      <c r="J157" t="s">
        <v>433</v>
      </c>
      <c r="K157" t="s">
        <v>27</v>
      </c>
      <c r="L157" t="s">
        <v>35</v>
      </c>
      <c r="M157">
        <v>0</v>
      </c>
      <c r="P157" t="s">
        <v>434</v>
      </c>
      <c r="Q157" t="s">
        <v>140</v>
      </c>
      <c r="R157" t="s">
        <v>23</v>
      </c>
    </row>
    <row r="158" spans="1:18" x14ac:dyDescent="0.35">
      <c r="A158">
        <v>156</v>
      </c>
      <c r="B158" t="s">
        <v>435</v>
      </c>
      <c r="C158" s="1">
        <f t="shared" ca="1" si="10"/>
        <v>45516</v>
      </c>
      <c r="D158" t="str">
        <f t="shared" ca="1" si="11"/>
        <v>August</v>
      </c>
      <c r="E158" t="s">
        <v>29</v>
      </c>
      <c r="F158" t="s">
        <v>33</v>
      </c>
      <c r="G158" t="str">
        <f t="shared" si="12"/>
        <v>Women</v>
      </c>
      <c r="H158" t="str">
        <f t="shared" ca="1" si="13"/>
        <v>Amazon</v>
      </c>
      <c r="I158">
        <f t="shared" ca="1" si="14"/>
        <v>46</v>
      </c>
      <c r="J158" t="s">
        <v>436</v>
      </c>
      <c r="K158" t="s">
        <v>39</v>
      </c>
      <c r="L158" t="s">
        <v>62</v>
      </c>
      <c r="M158">
        <v>1</v>
      </c>
      <c r="N158" t="s">
        <v>20</v>
      </c>
      <c r="O158">
        <v>721</v>
      </c>
      <c r="P158" t="s">
        <v>437</v>
      </c>
      <c r="Q158" t="s">
        <v>140</v>
      </c>
      <c r="R158" t="s">
        <v>23</v>
      </c>
    </row>
    <row r="159" spans="1:18" x14ac:dyDescent="0.35">
      <c r="A159">
        <v>157</v>
      </c>
      <c r="B159" t="s">
        <v>438</v>
      </c>
      <c r="C159" s="1">
        <f t="shared" ca="1" si="10"/>
        <v>45184</v>
      </c>
      <c r="D159" t="str">
        <f t="shared" ca="1" si="11"/>
        <v>September</v>
      </c>
      <c r="E159" t="s">
        <v>29</v>
      </c>
      <c r="F159" t="s">
        <v>33</v>
      </c>
      <c r="G159" t="str">
        <f t="shared" si="12"/>
        <v>Women</v>
      </c>
      <c r="H159" t="str">
        <f t="shared" ca="1" si="13"/>
        <v>Amazon</v>
      </c>
      <c r="I159">
        <f t="shared" ca="1" si="14"/>
        <v>26</v>
      </c>
      <c r="J159" t="s">
        <v>439</v>
      </c>
      <c r="K159" t="s">
        <v>18</v>
      </c>
      <c r="L159" t="s">
        <v>68</v>
      </c>
      <c r="M159">
        <v>1</v>
      </c>
      <c r="N159" t="s">
        <v>20</v>
      </c>
      <c r="O159">
        <v>666</v>
      </c>
      <c r="P159" t="s">
        <v>440</v>
      </c>
      <c r="Q159" t="s">
        <v>286</v>
      </c>
      <c r="R159" t="s">
        <v>23</v>
      </c>
    </row>
    <row r="160" spans="1:18" x14ac:dyDescent="0.35">
      <c r="A160">
        <v>158</v>
      </c>
      <c r="B160" t="s">
        <v>441</v>
      </c>
      <c r="C160" s="1">
        <f t="shared" ca="1" si="10"/>
        <v>45252</v>
      </c>
      <c r="D160" t="str">
        <f t="shared" ca="1" si="11"/>
        <v>November</v>
      </c>
      <c r="E160" t="s">
        <v>29</v>
      </c>
      <c r="F160" t="s">
        <v>33</v>
      </c>
      <c r="G160" t="str">
        <f t="shared" si="12"/>
        <v>Women</v>
      </c>
      <c r="H160" t="str">
        <f t="shared" ca="1" si="13"/>
        <v>Amazon</v>
      </c>
      <c r="I160">
        <f t="shared" ca="1" si="14"/>
        <v>45</v>
      </c>
      <c r="J160" t="s">
        <v>442</v>
      </c>
      <c r="K160" t="s">
        <v>18</v>
      </c>
      <c r="L160" t="s">
        <v>40</v>
      </c>
      <c r="M160">
        <v>1</v>
      </c>
      <c r="N160" t="s">
        <v>20</v>
      </c>
      <c r="O160">
        <v>496</v>
      </c>
      <c r="P160" t="s">
        <v>56</v>
      </c>
      <c r="Q160" t="s">
        <v>57</v>
      </c>
      <c r="R160" t="s">
        <v>23</v>
      </c>
    </row>
    <row r="161" spans="1:18" x14ac:dyDescent="0.35">
      <c r="A161">
        <v>159</v>
      </c>
      <c r="B161" t="s">
        <v>443</v>
      </c>
      <c r="C161" s="1">
        <f t="shared" ca="1" si="10"/>
        <v>45208</v>
      </c>
      <c r="D161" t="str">
        <f t="shared" ca="1" si="11"/>
        <v>October</v>
      </c>
      <c r="E161" t="s">
        <v>25</v>
      </c>
      <c r="F161" t="s">
        <v>16</v>
      </c>
      <c r="G161" t="str">
        <f t="shared" si="12"/>
        <v>Men</v>
      </c>
      <c r="H161" t="str">
        <f t="shared" ca="1" si="13"/>
        <v>Flipkart</v>
      </c>
      <c r="I161">
        <f t="shared" ca="1" si="14"/>
        <v>32</v>
      </c>
      <c r="J161" t="s">
        <v>444</v>
      </c>
      <c r="K161" t="s">
        <v>27</v>
      </c>
      <c r="L161" t="s">
        <v>35</v>
      </c>
      <c r="M161">
        <v>1</v>
      </c>
      <c r="N161" t="s">
        <v>20</v>
      </c>
      <c r="O161">
        <v>353</v>
      </c>
      <c r="P161" t="s">
        <v>445</v>
      </c>
      <c r="Q161" t="s">
        <v>153</v>
      </c>
      <c r="R161" t="s">
        <v>23</v>
      </c>
    </row>
    <row r="162" spans="1:18" x14ac:dyDescent="0.35">
      <c r="A162">
        <v>160</v>
      </c>
      <c r="B162" t="s">
        <v>446</v>
      </c>
      <c r="C162" s="1">
        <f t="shared" ca="1" si="10"/>
        <v>45228</v>
      </c>
      <c r="D162" t="str">
        <f t="shared" ca="1" si="11"/>
        <v>October</v>
      </c>
      <c r="E162" t="s">
        <v>25</v>
      </c>
      <c r="F162" t="s">
        <v>16</v>
      </c>
      <c r="G162" t="str">
        <f t="shared" si="12"/>
        <v>Men</v>
      </c>
      <c r="H162" t="str">
        <f t="shared" ca="1" si="13"/>
        <v>Flipkart</v>
      </c>
      <c r="I162">
        <f t="shared" ca="1" si="14"/>
        <v>24</v>
      </c>
      <c r="J162" t="s">
        <v>447</v>
      </c>
      <c r="K162" t="s">
        <v>27</v>
      </c>
      <c r="L162" t="s">
        <v>19</v>
      </c>
      <c r="M162">
        <v>1</v>
      </c>
      <c r="N162" t="s">
        <v>20</v>
      </c>
      <c r="O162">
        <v>399</v>
      </c>
      <c r="P162" t="s">
        <v>448</v>
      </c>
      <c r="Q162" t="s">
        <v>50</v>
      </c>
      <c r="R162" t="s">
        <v>23</v>
      </c>
    </row>
    <row r="163" spans="1:18" x14ac:dyDescent="0.35">
      <c r="A163">
        <v>161</v>
      </c>
      <c r="B163" t="s">
        <v>449</v>
      </c>
      <c r="C163" s="1">
        <f t="shared" ca="1" si="10"/>
        <v>45460</v>
      </c>
      <c r="D163" t="str">
        <f t="shared" ca="1" si="11"/>
        <v>June</v>
      </c>
      <c r="E163" t="s">
        <v>29</v>
      </c>
      <c r="F163" t="s">
        <v>33</v>
      </c>
      <c r="G163" t="str">
        <f t="shared" si="12"/>
        <v>Men</v>
      </c>
      <c r="H163" t="str">
        <f t="shared" ca="1" si="13"/>
        <v>Amazon</v>
      </c>
      <c r="I163">
        <f t="shared" ca="1" si="14"/>
        <v>43</v>
      </c>
      <c r="J163" t="s">
        <v>450</v>
      </c>
      <c r="K163" t="s">
        <v>27</v>
      </c>
      <c r="L163" t="s">
        <v>79</v>
      </c>
      <c r="M163">
        <v>1</v>
      </c>
      <c r="N163" t="s">
        <v>20</v>
      </c>
      <c r="O163">
        <v>458</v>
      </c>
      <c r="P163" t="s">
        <v>451</v>
      </c>
      <c r="Q163" t="s">
        <v>46</v>
      </c>
      <c r="R163" t="s">
        <v>23</v>
      </c>
    </row>
    <row r="164" spans="1:18" x14ac:dyDescent="0.35">
      <c r="A164">
        <v>162</v>
      </c>
      <c r="B164" t="s">
        <v>452</v>
      </c>
      <c r="C164" s="1">
        <f t="shared" ca="1" si="10"/>
        <v>45377</v>
      </c>
      <c r="D164" t="str">
        <f t="shared" ca="1" si="11"/>
        <v>March</v>
      </c>
      <c r="E164" t="s">
        <v>29</v>
      </c>
      <c r="F164" t="s">
        <v>33</v>
      </c>
      <c r="G164" t="str">
        <f t="shared" si="12"/>
        <v>Women</v>
      </c>
      <c r="H164" t="str">
        <f t="shared" ca="1" si="13"/>
        <v>Amazon</v>
      </c>
      <c r="I164">
        <f t="shared" ca="1" si="14"/>
        <v>53</v>
      </c>
      <c r="J164" t="s">
        <v>453</v>
      </c>
      <c r="K164" t="s">
        <v>18</v>
      </c>
      <c r="L164" t="s">
        <v>28</v>
      </c>
      <c r="M164">
        <v>1</v>
      </c>
      <c r="N164" t="s">
        <v>20</v>
      </c>
      <c r="O164">
        <v>1115</v>
      </c>
      <c r="P164" t="s">
        <v>454</v>
      </c>
      <c r="Q164" t="s">
        <v>192</v>
      </c>
      <c r="R164" t="s">
        <v>23</v>
      </c>
    </row>
    <row r="165" spans="1:18" x14ac:dyDescent="0.35">
      <c r="A165">
        <v>163</v>
      </c>
      <c r="B165" t="s">
        <v>455</v>
      </c>
      <c r="C165" s="1">
        <f t="shared" ca="1" si="10"/>
        <v>45597</v>
      </c>
      <c r="D165" t="str">
        <f t="shared" ca="1" si="11"/>
        <v>November</v>
      </c>
      <c r="E165" t="s">
        <v>29</v>
      </c>
      <c r="F165" t="s">
        <v>33</v>
      </c>
      <c r="G165" t="str">
        <f t="shared" si="12"/>
        <v>Women</v>
      </c>
      <c r="H165" t="str">
        <f t="shared" ca="1" si="13"/>
        <v>Amazon</v>
      </c>
      <c r="I165">
        <f t="shared" ca="1" si="14"/>
        <v>56</v>
      </c>
      <c r="J165" t="s">
        <v>456</v>
      </c>
      <c r="K165" t="s">
        <v>156</v>
      </c>
      <c r="L165" t="s">
        <v>101</v>
      </c>
      <c r="M165">
        <v>1</v>
      </c>
      <c r="N165" t="s">
        <v>20</v>
      </c>
      <c r="O165">
        <v>845</v>
      </c>
      <c r="P165" t="s">
        <v>206</v>
      </c>
      <c r="Q165" t="s">
        <v>31</v>
      </c>
      <c r="R165" t="s">
        <v>23</v>
      </c>
    </row>
    <row r="166" spans="1:18" x14ac:dyDescent="0.35">
      <c r="A166">
        <v>164</v>
      </c>
      <c r="B166" t="s">
        <v>457</v>
      </c>
      <c r="C166" s="1">
        <f t="shared" ca="1" si="10"/>
        <v>45302</v>
      </c>
      <c r="D166" t="str">
        <f t="shared" ca="1" si="11"/>
        <v>January</v>
      </c>
      <c r="E166" t="s">
        <v>25</v>
      </c>
      <c r="F166" t="s">
        <v>16</v>
      </c>
      <c r="G166" t="str">
        <f t="shared" si="12"/>
        <v>Men</v>
      </c>
      <c r="H166" t="str">
        <f t="shared" ca="1" si="13"/>
        <v>Myntra</v>
      </c>
      <c r="I166">
        <f t="shared" ca="1" si="14"/>
        <v>60</v>
      </c>
      <c r="J166" t="s">
        <v>55</v>
      </c>
      <c r="K166" t="s">
        <v>27</v>
      </c>
      <c r="L166" t="s">
        <v>19</v>
      </c>
      <c r="M166">
        <v>1</v>
      </c>
      <c r="N166" t="s">
        <v>20</v>
      </c>
      <c r="O166">
        <v>399</v>
      </c>
      <c r="P166" t="s">
        <v>458</v>
      </c>
      <c r="Q166" t="s">
        <v>93</v>
      </c>
      <c r="R166" t="s">
        <v>23</v>
      </c>
    </row>
    <row r="167" spans="1:18" x14ac:dyDescent="0.35">
      <c r="A167">
        <v>165</v>
      </c>
      <c r="B167" t="s">
        <v>459</v>
      </c>
      <c r="C167" s="1">
        <f t="shared" ca="1" si="10"/>
        <v>45514</v>
      </c>
      <c r="D167" t="str">
        <f t="shared" ca="1" si="11"/>
        <v>August</v>
      </c>
      <c r="E167" t="s">
        <v>15</v>
      </c>
      <c r="F167" t="s">
        <v>33</v>
      </c>
      <c r="G167" t="str">
        <f t="shared" si="12"/>
        <v>Men</v>
      </c>
      <c r="H167" t="str">
        <f t="shared" ca="1" si="13"/>
        <v>Amazon</v>
      </c>
      <c r="I167">
        <f t="shared" ca="1" si="14"/>
        <v>56</v>
      </c>
      <c r="J167" t="s">
        <v>450</v>
      </c>
      <c r="K167" t="s">
        <v>27</v>
      </c>
      <c r="L167" t="s">
        <v>79</v>
      </c>
      <c r="M167">
        <v>0</v>
      </c>
      <c r="P167" t="s">
        <v>451</v>
      </c>
      <c r="Q167" t="s">
        <v>46</v>
      </c>
      <c r="R167" t="s">
        <v>23</v>
      </c>
    </row>
    <row r="168" spans="1:18" x14ac:dyDescent="0.35">
      <c r="A168">
        <v>166</v>
      </c>
      <c r="B168" t="s">
        <v>460</v>
      </c>
      <c r="C168" s="1">
        <f t="shared" ca="1" si="10"/>
        <v>45297</v>
      </c>
      <c r="D168" t="str">
        <f t="shared" ca="1" si="11"/>
        <v>January</v>
      </c>
      <c r="E168" t="s">
        <v>29</v>
      </c>
      <c r="F168" t="s">
        <v>33</v>
      </c>
      <c r="G168" t="str">
        <f t="shared" si="12"/>
        <v>Men</v>
      </c>
      <c r="H168" t="str">
        <f t="shared" ca="1" si="13"/>
        <v>Amazon</v>
      </c>
      <c r="I168">
        <f t="shared" ca="1" si="14"/>
        <v>21</v>
      </c>
      <c r="J168" t="s">
        <v>461</v>
      </c>
      <c r="K168" t="s">
        <v>27</v>
      </c>
      <c r="L168" t="s">
        <v>19</v>
      </c>
      <c r="M168">
        <v>1</v>
      </c>
      <c r="N168" t="s">
        <v>20</v>
      </c>
      <c r="O168">
        <v>517</v>
      </c>
      <c r="P168" t="s">
        <v>56</v>
      </c>
      <c r="Q168" t="s">
        <v>57</v>
      </c>
      <c r="R168" t="s">
        <v>23</v>
      </c>
    </row>
    <row r="169" spans="1:18" x14ac:dyDescent="0.35">
      <c r="A169">
        <v>167</v>
      </c>
      <c r="B169" t="s">
        <v>460</v>
      </c>
      <c r="C169" s="1">
        <f t="shared" ca="1" si="10"/>
        <v>45106</v>
      </c>
      <c r="D169" t="str">
        <f t="shared" ca="1" si="11"/>
        <v>June</v>
      </c>
      <c r="E169" t="s">
        <v>29</v>
      </c>
      <c r="F169" t="s">
        <v>33</v>
      </c>
      <c r="G169" t="str">
        <f t="shared" si="12"/>
        <v>Men</v>
      </c>
      <c r="H169" t="str">
        <f t="shared" ca="1" si="13"/>
        <v>Amazon</v>
      </c>
      <c r="I169">
        <f t="shared" ca="1" si="14"/>
        <v>49</v>
      </c>
      <c r="J169" t="s">
        <v>462</v>
      </c>
      <c r="K169" t="s">
        <v>27</v>
      </c>
      <c r="L169" t="s">
        <v>19</v>
      </c>
      <c r="M169">
        <v>1</v>
      </c>
      <c r="N169" t="s">
        <v>20</v>
      </c>
      <c r="O169">
        <v>517</v>
      </c>
      <c r="P169" t="s">
        <v>56</v>
      </c>
      <c r="Q169" t="s">
        <v>57</v>
      </c>
      <c r="R169" t="s">
        <v>23</v>
      </c>
    </row>
    <row r="170" spans="1:18" x14ac:dyDescent="0.35">
      <c r="A170">
        <v>168</v>
      </c>
      <c r="B170" t="s">
        <v>463</v>
      </c>
      <c r="C170" s="1">
        <f t="shared" ca="1" si="10"/>
        <v>45254</v>
      </c>
      <c r="D170" t="str">
        <f t="shared" ca="1" si="11"/>
        <v>November</v>
      </c>
      <c r="E170" t="s">
        <v>29</v>
      </c>
      <c r="F170" t="s">
        <v>33</v>
      </c>
      <c r="G170" t="str">
        <f t="shared" si="12"/>
        <v>Men</v>
      </c>
      <c r="H170" t="str">
        <f t="shared" ca="1" si="13"/>
        <v>Amazon</v>
      </c>
      <c r="I170">
        <f t="shared" ca="1" si="14"/>
        <v>23</v>
      </c>
      <c r="J170" t="s">
        <v>464</v>
      </c>
      <c r="K170" t="s">
        <v>27</v>
      </c>
      <c r="L170" t="s">
        <v>28</v>
      </c>
      <c r="M170">
        <v>1</v>
      </c>
      <c r="N170" t="s">
        <v>20</v>
      </c>
      <c r="O170">
        <v>599</v>
      </c>
      <c r="P170" t="s">
        <v>157</v>
      </c>
      <c r="Q170" t="s">
        <v>50</v>
      </c>
      <c r="R170" t="s">
        <v>23</v>
      </c>
    </row>
    <row r="171" spans="1:18" x14ac:dyDescent="0.35">
      <c r="A171">
        <v>169</v>
      </c>
      <c r="B171" t="s">
        <v>465</v>
      </c>
      <c r="C171" s="1">
        <f t="shared" ca="1" si="10"/>
        <v>45219</v>
      </c>
      <c r="D171" t="str">
        <f t="shared" ca="1" si="11"/>
        <v>October</v>
      </c>
      <c r="E171" t="s">
        <v>29</v>
      </c>
      <c r="F171" t="s">
        <v>33</v>
      </c>
      <c r="G171" t="str">
        <f t="shared" si="12"/>
        <v>Women</v>
      </c>
      <c r="H171" t="str">
        <f t="shared" ca="1" si="13"/>
        <v>Amazon</v>
      </c>
      <c r="I171">
        <f t="shared" ca="1" si="14"/>
        <v>20</v>
      </c>
      <c r="J171" t="s">
        <v>466</v>
      </c>
      <c r="K171" t="s">
        <v>44</v>
      </c>
      <c r="L171" t="s">
        <v>28</v>
      </c>
      <c r="M171">
        <v>1</v>
      </c>
      <c r="N171" t="s">
        <v>20</v>
      </c>
      <c r="O171">
        <v>487</v>
      </c>
      <c r="P171" t="s">
        <v>467</v>
      </c>
      <c r="Q171" t="s">
        <v>89</v>
      </c>
      <c r="R171" t="s">
        <v>23</v>
      </c>
    </row>
    <row r="172" spans="1:18" x14ac:dyDescent="0.35">
      <c r="A172">
        <v>170</v>
      </c>
      <c r="B172" t="s">
        <v>468</v>
      </c>
      <c r="C172" s="1">
        <f t="shared" ca="1" si="10"/>
        <v>44982</v>
      </c>
      <c r="D172" t="str">
        <f t="shared" ca="1" si="11"/>
        <v>February</v>
      </c>
      <c r="E172" t="s">
        <v>29</v>
      </c>
      <c r="F172" t="s">
        <v>33</v>
      </c>
      <c r="G172" t="str">
        <f t="shared" si="12"/>
        <v>Women</v>
      </c>
      <c r="H172" t="str">
        <f t="shared" ca="1" si="13"/>
        <v>Amazon</v>
      </c>
      <c r="I172">
        <f t="shared" ca="1" si="14"/>
        <v>50</v>
      </c>
      <c r="J172" t="s">
        <v>469</v>
      </c>
      <c r="K172" t="s">
        <v>44</v>
      </c>
      <c r="L172" t="s">
        <v>62</v>
      </c>
      <c r="M172">
        <v>1</v>
      </c>
      <c r="N172" t="s">
        <v>20</v>
      </c>
      <c r="O172">
        <v>487</v>
      </c>
      <c r="P172" t="s">
        <v>470</v>
      </c>
      <c r="Q172" t="s">
        <v>93</v>
      </c>
      <c r="R172" t="s">
        <v>23</v>
      </c>
    </row>
    <row r="173" spans="1:18" x14ac:dyDescent="0.35">
      <c r="A173">
        <v>171</v>
      </c>
      <c r="B173" t="s">
        <v>471</v>
      </c>
      <c r="C173" s="1">
        <f t="shared" ca="1" si="10"/>
        <v>45477</v>
      </c>
      <c r="D173" t="str">
        <f t="shared" ca="1" si="11"/>
        <v>July</v>
      </c>
      <c r="E173" t="s">
        <v>29</v>
      </c>
      <c r="F173" t="s">
        <v>33</v>
      </c>
      <c r="G173" t="str">
        <f t="shared" si="12"/>
        <v>Women</v>
      </c>
      <c r="H173" t="str">
        <f t="shared" ca="1" si="13"/>
        <v>Amazon</v>
      </c>
      <c r="I173">
        <f t="shared" ca="1" si="14"/>
        <v>29</v>
      </c>
      <c r="J173" t="s">
        <v>472</v>
      </c>
      <c r="K173" t="s">
        <v>18</v>
      </c>
      <c r="L173" t="s">
        <v>68</v>
      </c>
      <c r="M173">
        <v>1</v>
      </c>
      <c r="N173" t="s">
        <v>20</v>
      </c>
      <c r="O173">
        <v>568</v>
      </c>
      <c r="P173" t="s">
        <v>30</v>
      </c>
      <c r="Q173" t="s">
        <v>31</v>
      </c>
      <c r="R173" t="s">
        <v>23</v>
      </c>
    </row>
    <row r="174" spans="1:18" x14ac:dyDescent="0.35">
      <c r="A174">
        <v>172</v>
      </c>
      <c r="B174" t="s">
        <v>473</v>
      </c>
      <c r="C174" s="1">
        <f t="shared" ca="1" si="10"/>
        <v>45242</v>
      </c>
      <c r="D174" t="str">
        <f t="shared" ca="1" si="11"/>
        <v>November</v>
      </c>
      <c r="E174" t="s">
        <v>25</v>
      </c>
      <c r="F174" t="s">
        <v>16</v>
      </c>
      <c r="G174" t="str">
        <f t="shared" si="12"/>
        <v>Men</v>
      </c>
      <c r="H174" t="str">
        <f t="shared" ca="1" si="13"/>
        <v>Flipkart</v>
      </c>
      <c r="I174">
        <f t="shared" ca="1" si="14"/>
        <v>52</v>
      </c>
      <c r="J174" t="s">
        <v>181</v>
      </c>
      <c r="K174" t="s">
        <v>27</v>
      </c>
      <c r="L174" t="s">
        <v>101</v>
      </c>
      <c r="M174">
        <v>1</v>
      </c>
      <c r="N174" t="s">
        <v>20</v>
      </c>
      <c r="O174">
        <v>399</v>
      </c>
      <c r="P174" t="s">
        <v>30</v>
      </c>
      <c r="Q174" t="s">
        <v>31</v>
      </c>
      <c r="R174" t="s">
        <v>23</v>
      </c>
    </row>
    <row r="175" spans="1:18" x14ac:dyDescent="0.35">
      <c r="A175">
        <v>173</v>
      </c>
      <c r="B175" t="s">
        <v>474</v>
      </c>
      <c r="C175" s="1">
        <f t="shared" ca="1" si="10"/>
        <v>45067</v>
      </c>
      <c r="D175" t="str">
        <f t="shared" ca="1" si="11"/>
        <v>May</v>
      </c>
      <c r="E175" t="s">
        <v>29</v>
      </c>
      <c r="F175" t="s">
        <v>33</v>
      </c>
      <c r="G175" t="str">
        <f t="shared" si="12"/>
        <v>Men</v>
      </c>
      <c r="H175" t="str">
        <f t="shared" ca="1" si="13"/>
        <v>Amazon</v>
      </c>
      <c r="I175">
        <f t="shared" ca="1" si="14"/>
        <v>47</v>
      </c>
      <c r="J175" t="s">
        <v>475</v>
      </c>
      <c r="K175" t="s">
        <v>27</v>
      </c>
      <c r="L175" t="s">
        <v>62</v>
      </c>
      <c r="M175">
        <v>1</v>
      </c>
      <c r="N175" t="s">
        <v>20</v>
      </c>
      <c r="O175">
        <v>295</v>
      </c>
      <c r="P175" t="s">
        <v>21</v>
      </c>
      <c r="Q175" t="s">
        <v>22</v>
      </c>
      <c r="R175" t="s">
        <v>23</v>
      </c>
    </row>
    <row r="176" spans="1:18" x14ac:dyDescent="0.35">
      <c r="A176">
        <v>174</v>
      </c>
      <c r="B176" t="s">
        <v>476</v>
      </c>
      <c r="C176" s="1">
        <f t="shared" ca="1" si="10"/>
        <v>45454</v>
      </c>
      <c r="D176" t="str">
        <f t="shared" ca="1" si="11"/>
        <v>June</v>
      </c>
      <c r="E176" t="s">
        <v>29</v>
      </c>
      <c r="F176" t="s">
        <v>33</v>
      </c>
      <c r="G176" t="str">
        <f t="shared" si="12"/>
        <v>Men</v>
      </c>
      <c r="H176" t="str">
        <f t="shared" ca="1" si="13"/>
        <v>Amazon</v>
      </c>
      <c r="I176">
        <f t="shared" ca="1" si="14"/>
        <v>46</v>
      </c>
      <c r="J176" t="s">
        <v>477</v>
      </c>
      <c r="K176" t="s">
        <v>27</v>
      </c>
      <c r="L176" t="s">
        <v>28</v>
      </c>
      <c r="M176">
        <v>1</v>
      </c>
      <c r="N176" t="s">
        <v>20</v>
      </c>
      <c r="O176">
        <v>484</v>
      </c>
      <c r="P176" t="s">
        <v>478</v>
      </c>
      <c r="Q176" t="s">
        <v>50</v>
      </c>
      <c r="R176" t="s">
        <v>23</v>
      </c>
    </row>
    <row r="177" spans="1:18" x14ac:dyDescent="0.35">
      <c r="A177">
        <v>175</v>
      </c>
      <c r="B177" t="s">
        <v>479</v>
      </c>
      <c r="C177" s="1">
        <f t="shared" ca="1" si="10"/>
        <v>45133</v>
      </c>
      <c r="D177" t="str">
        <f t="shared" ca="1" si="11"/>
        <v>July</v>
      </c>
      <c r="E177" t="s">
        <v>29</v>
      </c>
      <c r="F177" t="s">
        <v>33</v>
      </c>
      <c r="G177" t="str">
        <f t="shared" si="12"/>
        <v>Women</v>
      </c>
      <c r="H177" t="str">
        <f t="shared" ca="1" si="13"/>
        <v>Amazon</v>
      </c>
      <c r="I177">
        <f t="shared" ca="1" si="14"/>
        <v>36</v>
      </c>
      <c r="J177" t="s">
        <v>480</v>
      </c>
      <c r="K177" t="s">
        <v>18</v>
      </c>
      <c r="L177" t="s">
        <v>62</v>
      </c>
      <c r="M177">
        <v>1</v>
      </c>
      <c r="N177" t="s">
        <v>20</v>
      </c>
      <c r="O177">
        <v>626</v>
      </c>
      <c r="P177" t="s">
        <v>21</v>
      </c>
      <c r="Q177" t="s">
        <v>22</v>
      </c>
      <c r="R177" t="s">
        <v>23</v>
      </c>
    </row>
    <row r="178" spans="1:18" x14ac:dyDescent="0.35">
      <c r="A178">
        <v>176</v>
      </c>
      <c r="B178" t="s">
        <v>481</v>
      </c>
      <c r="C178" s="1">
        <f t="shared" ca="1" si="10"/>
        <v>45609</v>
      </c>
      <c r="D178" t="str">
        <f t="shared" ca="1" si="11"/>
        <v>November</v>
      </c>
      <c r="E178" t="s">
        <v>29</v>
      </c>
      <c r="F178" t="s">
        <v>33</v>
      </c>
      <c r="G178" t="str">
        <f t="shared" si="12"/>
        <v>Women</v>
      </c>
      <c r="H178" t="str">
        <f t="shared" ca="1" si="13"/>
        <v>Amazon</v>
      </c>
      <c r="I178">
        <f t="shared" ca="1" si="14"/>
        <v>53</v>
      </c>
      <c r="J178" t="s">
        <v>105</v>
      </c>
      <c r="K178" t="s">
        <v>18</v>
      </c>
      <c r="L178" t="s">
        <v>101</v>
      </c>
      <c r="M178">
        <v>1</v>
      </c>
      <c r="N178" t="s">
        <v>20</v>
      </c>
      <c r="O178">
        <v>563</v>
      </c>
      <c r="P178" t="s">
        <v>482</v>
      </c>
      <c r="Q178" t="s">
        <v>50</v>
      </c>
      <c r="R178" t="s">
        <v>23</v>
      </c>
    </row>
    <row r="179" spans="1:18" x14ac:dyDescent="0.35">
      <c r="A179">
        <v>177</v>
      </c>
      <c r="B179" t="s">
        <v>483</v>
      </c>
      <c r="C179" s="1">
        <f t="shared" ca="1" si="10"/>
        <v>44988</v>
      </c>
      <c r="D179" t="str">
        <f t="shared" ca="1" si="11"/>
        <v>March</v>
      </c>
      <c r="E179" t="s">
        <v>25</v>
      </c>
      <c r="F179" t="s">
        <v>16</v>
      </c>
      <c r="G179" t="str">
        <f t="shared" si="12"/>
        <v>Women</v>
      </c>
      <c r="H179" t="str">
        <f t="shared" ca="1" si="13"/>
        <v>Flipkart</v>
      </c>
      <c r="I179">
        <f t="shared" ca="1" si="14"/>
        <v>59</v>
      </c>
      <c r="J179" t="s">
        <v>484</v>
      </c>
      <c r="K179" t="s">
        <v>44</v>
      </c>
      <c r="L179" t="s">
        <v>40</v>
      </c>
      <c r="M179">
        <v>1</v>
      </c>
      <c r="N179" t="s">
        <v>20</v>
      </c>
      <c r="O179">
        <v>387</v>
      </c>
      <c r="P179" t="s">
        <v>485</v>
      </c>
      <c r="Q179" t="s">
        <v>22</v>
      </c>
      <c r="R179" t="s">
        <v>23</v>
      </c>
    </row>
    <row r="180" spans="1:18" x14ac:dyDescent="0.35">
      <c r="A180">
        <v>178</v>
      </c>
      <c r="B180" t="s">
        <v>486</v>
      </c>
      <c r="C180" s="1">
        <f t="shared" ca="1" si="10"/>
        <v>45063</v>
      </c>
      <c r="D180" t="str">
        <f t="shared" ca="1" si="11"/>
        <v>May</v>
      </c>
      <c r="E180" t="s">
        <v>15</v>
      </c>
      <c r="F180" t="s">
        <v>16</v>
      </c>
      <c r="G180" t="str">
        <f t="shared" si="12"/>
        <v>Women</v>
      </c>
      <c r="H180" t="str">
        <f t="shared" ca="1" si="13"/>
        <v>Flipkart</v>
      </c>
      <c r="I180">
        <f t="shared" ca="1" si="14"/>
        <v>44</v>
      </c>
      <c r="J180" t="s">
        <v>487</v>
      </c>
      <c r="K180" t="s">
        <v>44</v>
      </c>
      <c r="L180" t="s">
        <v>40</v>
      </c>
      <c r="M180">
        <v>0</v>
      </c>
      <c r="N180" t="s">
        <v>20</v>
      </c>
      <c r="O180">
        <v>463.81</v>
      </c>
      <c r="P180" t="s">
        <v>30</v>
      </c>
      <c r="Q180" t="s">
        <v>31</v>
      </c>
      <c r="R180" t="s">
        <v>23</v>
      </c>
    </row>
    <row r="181" spans="1:18" x14ac:dyDescent="0.35">
      <c r="A181">
        <v>179</v>
      </c>
      <c r="B181" t="s">
        <v>488</v>
      </c>
      <c r="C181" s="1">
        <f t="shared" ca="1" si="10"/>
        <v>45330</v>
      </c>
      <c r="D181" t="str">
        <f t="shared" ca="1" si="11"/>
        <v>February</v>
      </c>
      <c r="E181" t="s">
        <v>29</v>
      </c>
      <c r="F181" t="s">
        <v>33</v>
      </c>
      <c r="G181" t="str">
        <f t="shared" si="12"/>
        <v>Women</v>
      </c>
      <c r="H181" t="str">
        <f t="shared" ca="1" si="13"/>
        <v>Amazon</v>
      </c>
      <c r="I181">
        <f t="shared" ca="1" si="14"/>
        <v>45</v>
      </c>
      <c r="J181" t="s">
        <v>489</v>
      </c>
      <c r="K181" t="s">
        <v>44</v>
      </c>
      <c r="L181" t="s">
        <v>40</v>
      </c>
      <c r="M181">
        <v>1</v>
      </c>
      <c r="N181" t="s">
        <v>20</v>
      </c>
      <c r="O181">
        <v>512</v>
      </c>
      <c r="P181" t="s">
        <v>478</v>
      </c>
      <c r="Q181" t="s">
        <v>50</v>
      </c>
      <c r="R181" t="s">
        <v>23</v>
      </c>
    </row>
    <row r="182" spans="1:18" x14ac:dyDescent="0.35">
      <c r="A182">
        <v>180</v>
      </c>
      <c r="B182" t="s">
        <v>490</v>
      </c>
      <c r="C182" s="1">
        <f t="shared" ca="1" si="10"/>
        <v>45213</v>
      </c>
      <c r="D182" t="str">
        <f t="shared" ca="1" si="11"/>
        <v>October</v>
      </c>
      <c r="E182" t="s">
        <v>29</v>
      </c>
      <c r="F182" t="s">
        <v>33</v>
      </c>
      <c r="G182" t="str">
        <f t="shared" si="12"/>
        <v>Women</v>
      </c>
      <c r="H182" t="str">
        <f t="shared" ca="1" si="13"/>
        <v>Amazon</v>
      </c>
      <c r="I182">
        <f t="shared" ca="1" si="14"/>
        <v>53</v>
      </c>
      <c r="J182" t="s">
        <v>491</v>
      </c>
      <c r="K182" t="s">
        <v>18</v>
      </c>
      <c r="L182" t="s">
        <v>19</v>
      </c>
      <c r="M182">
        <v>1</v>
      </c>
      <c r="N182" t="s">
        <v>20</v>
      </c>
      <c r="O182">
        <v>1112</v>
      </c>
      <c r="P182" t="s">
        <v>56</v>
      </c>
      <c r="Q182" t="s">
        <v>57</v>
      </c>
      <c r="R182" t="s">
        <v>23</v>
      </c>
    </row>
    <row r="183" spans="1:18" x14ac:dyDescent="0.35">
      <c r="A183">
        <v>181</v>
      </c>
      <c r="B183" t="s">
        <v>492</v>
      </c>
      <c r="C183" s="1">
        <f t="shared" ca="1" si="10"/>
        <v>45355</v>
      </c>
      <c r="D183" t="str">
        <f t="shared" ca="1" si="11"/>
        <v>March</v>
      </c>
      <c r="E183" t="s">
        <v>15</v>
      </c>
      <c r="F183" t="s">
        <v>33</v>
      </c>
      <c r="G183" t="str">
        <f t="shared" si="12"/>
        <v>Women</v>
      </c>
      <c r="H183" t="str">
        <f t="shared" ca="1" si="13"/>
        <v>Amazon</v>
      </c>
      <c r="I183">
        <f t="shared" ca="1" si="14"/>
        <v>60</v>
      </c>
      <c r="J183" t="s">
        <v>100</v>
      </c>
      <c r="K183" t="s">
        <v>18</v>
      </c>
      <c r="L183" t="s">
        <v>101</v>
      </c>
      <c r="M183">
        <v>1</v>
      </c>
      <c r="N183" t="s">
        <v>20</v>
      </c>
      <c r="O183">
        <v>626</v>
      </c>
      <c r="P183" t="s">
        <v>30</v>
      </c>
      <c r="Q183" t="s">
        <v>31</v>
      </c>
      <c r="R183" t="s">
        <v>23</v>
      </c>
    </row>
    <row r="184" spans="1:18" x14ac:dyDescent="0.35">
      <c r="A184">
        <v>182</v>
      </c>
      <c r="B184" t="s">
        <v>493</v>
      </c>
      <c r="C184" s="1">
        <f t="shared" ca="1" si="10"/>
        <v>45385</v>
      </c>
      <c r="D184" t="str">
        <f t="shared" ca="1" si="11"/>
        <v>April</v>
      </c>
      <c r="E184" t="s">
        <v>29</v>
      </c>
      <c r="F184" t="s">
        <v>33</v>
      </c>
      <c r="G184" t="str">
        <f t="shared" si="12"/>
        <v>Men</v>
      </c>
      <c r="H184" t="str">
        <f t="shared" ca="1" si="13"/>
        <v>Amazon</v>
      </c>
      <c r="I184">
        <f t="shared" ca="1" si="14"/>
        <v>35</v>
      </c>
      <c r="J184" t="s">
        <v>494</v>
      </c>
      <c r="K184" t="s">
        <v>27</v>
      </c>
      <c r="L184" t="s">
        <v>62</v>
      </c>
      <c r="M184">
        <v>1</v>
      </c>
      <c r="N184" t="s">
        <v>20</v>
      </c>
      <c r="O184">
        <v>376</v>
      </c>
      <c r="P184" t="s">
        <v>56</v>
      </c>
      <c r="Q184" t="s">
        <v>57</v>
      </c>
      <c r="R184" t="s">
        <v>23</v>
      </c>
    </row>
    <row r="185" spans="1:18" x14ac:dyDescent="0.35">
      <c r="A185">
        <v>183</v>
      </c>
      <c r="B185" t="s">
        <v>495</v>
      </c>
      <c r="C185" s="1">
        <f t="shared" ca="1" si="10"/>
        <v>45460</v>
      </c>
      <c r="D185" t="str">
        <f t="shared" ca="1" si="11"/>
        <v>June</v>
      </c>
      <c r="E185" t="s">
        <v>29</v>
      </c>
      <c r="F185" t="s">
        <v>33</v>
      </c>
      <c r="G185" t="str">
        <f t="shared" si="12"/>
        <v>Women</v>
      </c>
      <c r="H185" t="str">
        <f t="shared" ca="1" si="13"/>
        <v>Amazon</v>
      </c>
      <c r="I185">
        <f t="shared" ca="1" si="14"/>
        <v>26</v>
      </c>
      <c r="J185" t="s">
        <v>496</v>
      </c>
      <c r="K185" t="s">
        <v>39</v>
      </c>
      <c r="L185" t="s">
        <v>101</v>
      </c>
      <c r="M185">
        <v>1</v>
      </c>
      <c r="N185" t="s">
        <v>20</v>
      </c>
      <c r="O185">
        <v>859</v>
      </c>
      <c r="P185" t="s">
        <v>30</v>
      </c>
      <c r="Q185" t="s">
        <v>31</v>
      </c>
      <c r="R185" t="s">
        <v>23</v>
      </c>
    </row>
    <row r="186" spans="1:18" x14ac:dyDescent="0.35">
      <c r="A186">
        <v>184</v>
      </c>
      <c r="B186" t="s">
        <v>497</v>
      </c>
      <c r="C186" s="1">
        <f t="shared" ca="1" si="10"/>
        <v>45556</v>
      </c>
      <c r="D186" t="str">
        <f t="shared" ca="1" si="11"/>
        <v>September</v>
      </c>
      <c r="E186" t="s">
        <v>29</v>
      </c>
      <c r="F186" t="s">
        <v>33</v>
      </c>
      <c r="G186" t="str">
        <f t="shared" si="12"/>
        <v>Women</v>
      </c>
      <c r="H186" t="str">
        <f t="shared" ca="1" si="13"/>
        <v>Amazon</v>
      </c>
      <c r="I186">
        <f t="shared" ca="1" si="14"/>
        <v>59</v>
      </c>
      <c r="J186" t="s">
        <v>498</v>
      </c>
      <c r="K186" t="s">
        <v>18</v>
      </c>
      <c r="L186" t="s">
        <v>40</v>
      </c>
      <c r="M186">
        <v>1</v>
      </c>
      <c r="N186" t="s">
        <v>20</v>
      </c>
      <c r="O186">
        <v>597</v>
      </c>
      <c r="P186" t="s">
        <v>499</v>
      </c>
      <c r="Q186" t="s">
        <v>31</v>
      </c>
      <c r="R186" t="s">
        <v>23</v>
      </c>
    </row>
    <row r="187" spans="1:18" x14ac:dyDescent="0.35">
      <c r="A187">
        <v>185</v>
      </c>
      <c r="B187" t="s">
        <v>500</v>
      </c>
      <c r="C187" s="1">
        <f t="shared" ca="1" si="10"/>
        <v>45433</v>
      </c>
      <c r="D187" t="str">
        <f t="shared" ca="1" si="11"/>
        <v>May</v>
      </c>
      <c r="E187" t="s">
        <v>29</v>
      </c>
      <c r="F187" t="s">
        <v>33</v>
      </c>
      <c r="G187" t="str">
        <f t="shared" si="12"/>
        <v>Men</v>
      </c>
      <c r="H187" t="str">
        <f t="shared" ca="1" si="13"/>
        <v>Amazon</v>
      </c>
      <c r="I187">
        <f t="shared" ca="1" si="14"/>
        <v>54</v>
      </c>
      <c r="J187" t="s">
        <v>34</v>
      </c>
      <c r="K187" t="s">
        <v>27</v>
      </c>
      <c r="L187" t="s">
        <v>35</v>
      </c>
      <c r="M187">
        <v>1</v>
      </c>
      <c r="N187" t="s">
        <v>20</v>
      </c>
      <c r="O187">
        <v>329</v>
      </c>
      <c r="P187" t="s">
        <v>56</v>
      </c>
      <c r="Q187" t="s">
        <v>57</v>
      </c>
      <c r="R187" t="s">
        <v>23</v>
      </c>
    </row>
    <row r="188" spans="1:18" x14ac:dyDescent="0.35">
      <c r="A188">
        <v>186</v>
      </c>
      <c r="B188" t="s">
        <v>501</v>
      </c>
      <c r="C188" s="1">
        <f t="shared" ca="1" si="10"/>
        <v>45085</v>
      </c>
      <c r="D188" t="str">
        <f t="shared" ca="1" si="11"/>
        <v>June</v>
      </c>
      <c r="E188" t="s">
        <v>25</v>
      </c>
      <c r="F188" t="s">
        <v>16</v>
      </c>
      <c r="G188" t="str">
        <f t="shared" si="12"/>
        <v>Women</v>
      </c>
      <c r="H188" t="str">
        <f t="shared" ca="1" si="13"/>
        <v>Myntra</v>
      </c>
      <c r="I188">
        <f t="shared" ca="1" si="14"/>
        <v>25</v>
      </c>
      <c r="J188" t="s">
        <v>502</v>
      </c>
      <c r="K188" t="s">
        <v>18</v>
      </c>
      <c r="L188" t="s">
        <v>35</v>
      </c>
      <c r="M188">
        <v>1</v>
      </c>
      <c r="N188" t="s">
        <v>20</v>
      </c>
      <c r="O188">
        <v>583</v>
      </c>
      <c r="P188" t="s">
        <v>503</v>
      </c>
      <c r="Q188" t="s">
        <v>171</v>
      </c>
      <c r="R188" t="s">
        <v>23</v>
      </c>
    </row>
    <row r="189" spans="1:18" x14ac:dyDescent="0.35">
      <c r="A189">
        <v>187</v>
      </c>
      <c r="B189" t="s">
        <v>504</v>
      </c>
      <c r="C189" s="1">
        <f t="shared" ca="1" si="10"/>
        <v>45148</v>
      </c>
      <c r="D189" t="str">
        <f t="shared" ca="1" si="11"/>
        <v>August</v>
      </c>
      <c r="E189" t="s">
        <v>29</v>
      </c>
      <c r="F189" t="s">
        <v>33</v>
      </c>
      <c r="G189" t="str">
        <f t="shared" si="12"/>
        <v>Women</v>
      </c>
      <c r="H189" t="str">
        <f t="shared" ca="1" si="13"/>
        <v>Amazon</v>
      </c>
      <c r="I189">
        <f t="shared" ca="1" si="14"/>
        <v>24</v>
      </c>
      <c r="J189" t="s">
        <v>505</v>
      </c>
      <c r="K189" t="s">
        <v>39</v>
      </c>
      <c r="L189" t="s">
        <v>40</v>
      </c>
      <c r="M189">
        <v>1</v>
      </c>
      <c r="N189" t="s">
        <v>20</v>
      </c>
      <c r="O189">
        <v>665</v>
      </c>
      <c r="P189" t="s">
        <v>21</v>
      </c>
      <c r="Q189" t="s">
        <v>22</v>
      </c>
      <c r="R189" t="s">
        <v>23</v>
      </c>
    </row>
    <row r="190" spans="1:18" x14ac:dyDescent="0.35">
      <c r="A190">
        <v>188</v>
      </c>
      <c r="B190" t="s">
        <v>506</v>
      </c>
      <c r="C190" s="1">
        <f t="shared" ca="1" si="10"/>
        <v>45193</v>
      </c>
      <c r="D190" t="str">
        <f t="shared" ca="1" si="11"/>
        <v>September</v>
      </c>
      <c r="E190" t="s">
        <v>29</v>
      </c>
      <c r="F190" t="s">
        <v>33</v>
      </c>
      <c r="G190" t="str">
        <f t="shared" si="12"/>
        <v>Women</v>
      </c>
      <c r="H190" t="str">
        <f t="shared" ca="1" si="13"/>
        <v>Amazon</v>
      </c>
      <c r="I190">
        <f t="shared" ca="1" si="14"/>
        <v>20</v>
      </c>
      <c r="J190" t="s">
        <v>507</v>
      </c>
      <c r="K190" t="s">
        <v>18</v>
      </c>
      <c r="L190" t="s">
        <v>40</v>
      </c>
      <c r="M190">
        <v>1</v>
      </c>
      <c r="N190" t="s">
        <v>20</v>
      </c>
      <c r="O190">
        <v>582</v>
      </c>
      <c r="P190" t="s">
        <v>21</v>
      </c>
      <c r="Q190" t="s">
        <v>22</v>
      </c>
      <c r="R190" t="s">
        <v>23</v>
      </c>
    </row>
    <row r="191" spans="1:18" x14ac:dyDescent="0.35">
      <c r="A191">
        <v>189</v>
      </c>
      <c r="B191" t="s">
        <v>508</v>
      </c>
      <c r="C191" s="1">
        <f t="shared" ca="1" si="10"/>
        <v>45596</v>
      </c>
      <c r="D191" t="str">
        <f t="shared" ca="1" si="11"/>
        <v>October</v>
      </c>
      <c r="E191" t="s">
        <v>29</v>
      </c>
      <c r="F191" t="s">
        <v>33</v>
      </c>
      <c r="G191" t="str">
        <f t="shared" si="12"/>
        <v>Women</v>
      </c>
      <c r="H191" t="str">
        <f t="shared" ca="1" si="13"/>
        <v>Amazon</v>
      </c>
      <c r="I191">
        <f t="shared" ca="1" si="14"/>
        <v>49</v>
      </c>
      <c r="J191" t="s">
        <v>509</v>
      </c>
      <c r="K191" t="s">
        <v>18</v>
      </c>
      <c r="L191" t="s">
        <v>35</v>
      </c>
      <c r="M191">
        <v>1</v>
      </c>
      <c r="N191" t="s">
        <v>20</v>
      </c>
      <c r="O191">
        <v>1126</v>
      </c>
      <c r="P191" t="s">
        <v>510</v>
      </c>
      <c r="Q191" t="s">
        <v>50</v>
      </c>
      <c r="R191" t="s">
        <v>23</v>
      </c>
    </row>
    <row r="192" spans="1:18" x14ac:dyDescent="0.35">
      <c r="A192">
        <v>190</v>
      </c>
      <c r="B192" t="s">
        <v>511</v>
      </c>
      <c r="C192" s="1">
        <f t="shared" ca="1" si="10"/>
        <v>45498</v>
      </c>
      <c r="D192" t="str">
        <f t="shared" ca="1" si="11"/>
        <v>July</v>
      </c>
      <c r="E192" t="s">
        <v>29</v>
      </c>
      <c r="F192" t="s">
        <v>33</v>
      </c>
      <c r="G192" t="str">
        <f t="shared" si="12"/>
        <v>Men</v>
      </c>
      <c r="H192" t="str">
        <f t="shared" ca="1" si="13"/>
        <v>Amazon</v>
      </c>
      <c r="I192">
        <f t="shared" ca="1" si="14"/>
        <v>53</v>
      </c>
      <c r="J192" t="s">
        <v>512</v>
      </c>
      <c r="K192" t="s">
        <v>27</v>
      </c>
      <c r="L192" t="s">
        <v>79</v>
      </c>
      <c r="M192">
        <v>1</v>
      </c>
      <c r="N192" t="s">
        <v>20</v>
      </c>
      <c r="O192">
        <v>534</v>
      </c>
      <c r="P192" t="s">
        <v>213</v>
      </c>
      <c r="Q192" t="s">
        <v>22</v>
      </c>
      <c r="R192" t="s">
        <v>23</v>
      </c>
    </row>
    <row r="193" spans="1:18" x14ac:dyDescent="0.35">
      <c r="A193">
        <v>191</v>
      </c>
      <c r="B193" t="s">
        <v>513</v>
      </c>
      <c r="C193" s="1">
        <f t="shared" ca="1" si="10"/>
        <v>45083</v>
      </c>
      <c r="D193" t="str">
        <f t="shared" ca="1" si="11"/>
        <v>June</v>
      </c>
      <c r="E193" t="s">
        <v>29</v>
      </c>
      <c r="F193" t="s">
        <v>33</v>
      </c>
      <c r="G193" t="str">
        <f t="shared" si="12"/>
        <v>Men</v>
      </c>
      <c r="H193" t="str">
        <f t="shared" ca="1" si="13"/>
        <v>Amazon</v>
      </c>
      <c r="I193">
        <f t="shared" ca="1" si="14"/>
        <v>42</v>
      </c>
      <c r="J193" t="s">
        <v>514</v>
      </c>
      <c r="K193" t="s">
        <v>27</v>
      </c>
      <c r="L193" t="s">
        <v>62</v>
      </c>
      <c r="M193">
        <v>1</v>
      </c>
      <c r="N193" t="s">
        <v>20</v>
      </c>
      <c r="O193">
        <v>319</v>
      </c>
      <c r="P193" t="s">
        <v>515</v>
      </c>
      <c r="Q193" t="s">
        <v>46</v>
      </c>
      <c r="R193" t="s">
        <v>23</v>
      </c>
    </row>
    <row r="194" spans="1:18" x14ac:dyDescent="0.35">
      <c r="A194">
        <v>192</v>
      </c>
      <c r="B194" t="s">
        <v>516</v>
      </c>
      <c r="C194" s="1">
        <f t="shared" ca="1" si="10"/>
        <v>45567</v>
      </c>
      <c r="D194" t="str">
        <f t="shared" ca="1" si="11"/>
        <v>October</v>
      </c>
      <c r="E194" t="s">
        <v>29</v>
      </c>
      <c r="F194" t="s">
        <v>33</v>
      </c>
      <c r="G194" t="str">
        <f t="shared" si="12"/>
        <v>Men</v>
      </c>
      <c r="H194" t="str">
        <f t="shared" ca="1" si="13"/>
        <v>Amazon</v>
      </c>
      <c r="I194">
        <f t="shared" ca="1" si="14"/>
        <v>21</v>
      </c>
      <c r="J194" t="s">
        <v>517</v>
      </c>
      <c r="K194" t="s">
        <v>27</v>
      </c>
      <c r="L194" t="s">
        <v>19</v>
      </c>
      <c r="M194">
        <v>1</v>
      </c>
      <c r="N194" t="s">
        <v>20</v>
      </c>
      <c r="O194">
        <v>368</v>
      </c>
      <c r="P194" t="s">
        <v>518</v>
      </c>
      <c r="Q194" t="s">
        <v>22</v>
      </c>
      <c r="R194" t="s">
        <v>23</v>
      </c>
    </row>
    <row r="195" spans="1:18" x14ac:dyDescent="0.35">
      <c r="A195">
        <v>193</v>
      </c>
      <c r="B195" t="s">
        <v>519</v>
      </c>
      <c r="C195" s="1">
        <f t="shared" ref="C195:C258" ca="1" si="15">RANDBETWEEN(DATE(2023,1,1), DATE(2024,12,31))</f>
        <v>45231</v>
      </c>
      <c r="D195" t="str">
        <f t="shared" ref="D195:D258" ca="1" si="16">TEXT(C195, "MMMM")</f>
        <v>November</v>
      </c>
      <c r="E195" t="s">
        <v>15</v>
      </c>
      <c r="F195" t="s">
        <v>33</v>
      </c>
      <c r="G195" t="str">
        <f t="shared" ref="G195:G258" si="17">IF(K195="Set","Women",IF(K195="Kurta","Men",IF(K195="Top","Women",IF(K195="Western Dress","Women",IF(K195="Ethnic Dress","Women",IF(K195="Saree","Women",0))))))</f>
        <v>Women</v>
      </c>
      <c r="H195" t="str">
        <f t="shared" ref="H195:H258" ca="1" si="18">IF(F195="Merchant",IF(RAND()&gt;0.5,"Myntra","Flipkart"),IF(F195="Amazon","Amazon",0))</f>
        <v>Amazon</v>
      </c>
      <c r="I195">
        <f t="shared" ref="I195:I258" ca="1" si="19">RANDBETWEEN(18, 60)</f>
        <v>59</v>
      </c>
      <c r="J195" t="s">
        <v>372</v>
      </c>
      <c r="K195" t="s">
        <v>18</v>
      </c>
      <c r="L195" t="s">
        <v>101</v>
      </c>
      <c r="M195">
        <v>1</v>
      </c>
      <c r="N195" t="s">
        <v>20</v>
      </c>
      <c r="O195">
        <v>597</v>
      </c>
      <c r="P195" t="s">
        <v>396</v>
      </c>
      <c r="Q195" t="s">
        <v>22</v>
      </c>
      <c r="R195" t="s">
        <v>23</v>
      </c>
    </row>
    <row r="196" spans="1:18" x14ac:dyDescent="0.35">
      <c r="A196">
        <v>194</v>
      </c>
      <c r="B196" t="s">
        <v>520</v>
      </c>
      <c r="C196" s="1">
        <f t="shared" ca="1" si="15"/>
        <v>45086</v>
      </c>
      <c r="D196" t="str">
        <f t="shared" ca="1" si="16"/>
        <v>June</v>
      </c>
      <c r="E196" t="s">
        <v>15</v>
      </c>
      <c r="F196" t="s">
        <v>33</v>
      </c>
      <c r="G196" t="str">
        <f t="shared" si="17"/>
        <v>Women</v>
      </c>
      <c r="H196" t="str">
        <f t="shared" ca="1" si="18"/>
        <v>Amazon</v>
      </c>
      <c r="I196">
        <f t="shared" ca="1" si="19"/>
        <v>28</v>
      </c>
      <c r="J196" t="s">
        <v>521</v>
      </c>
      <c r="K196" t="s">
        <v>18</v>
      </c>
      <c r="L196" t="s">
        <v>62</v>
      </c>
      <c r="M196">
        <v>1</v>
      </c>
      <c r="N196" t="s">
        <v>20</v>
      </c>
      <c r="O196">
        <v>654</v>
      </c>
      <c r="P196" t="s">
        <v>522</v>
      </c>
      <c r="Q196" t="s">
        <v>31</v>
      </c>
      <c r="R196" t="s">
        <v>23</v>
      </c>
    </row>
    <row r="197" spans="1:18" x14ac:dyDescent="0.35">
      <c r="A197">
        <v>195</v>
      </c>
      <c r="B197" t="s">
        <v>523</v>
      </c>
      <c r="C197" s="1">
        <f t="shared" ca="1" si="15"/>
        <v>44967</v>
      </c>
      <c r="D197" t="str">
        <f t="shared" ca="1" si="16"/>
        <v>February</v>
      </c>
      <c r="E197" t="s">
        <v>29</v>
      </c>
      <c r="F197" t="s">
        <v>33</v>
      </c>
      <c r="G197" t="str">
        <f t="shared" si="17"/>
        <v>Men</v>
      </c>
      <c r="H197" t="str">
        <f t="shared" ca="1" si="18"/>
        <v>Amazon</v>
      </c>
      <c r="I197">
        <f t="shared" ca="1" si="19"/>
        <v>40</v>
      </c>
      <c r="J197" t="s">
        <v>524</v>
      </c>
      <c r="K197" t="s">
        <v>27</v>
      </c>
      <c r="L197" t="s">
        <v>101</v>
      </c>
      <c r="M197">
        <v>1</v>
      </c>
      <c r="N197" t="s">
        <v>20</v>
      </c>
      <c r="O197">
        <v>795</v>
      </c>
      <c r="P197" t="s">
        <v>525</v>
      </c>
      <c r="Q197" t="s">
        <v>223</v>
      </c>
      <c r="R197" t="s">
        <v>23</v>
      </c>
    </row>
    <row r="198" spans="1:18" x14ac:dyDescent="0.35">
      <c r="A198">
        <v>196</v>
      </c>
      <c r="B198" t="s">
        <v>526</v>
      </c>
      <c r="C198" s="1">
        <f t="shared" ca="1" si="15"/>
        <v>45000</v>
      </c>
      <c r="D198" t="str">
        <f t="shared" ca="1" si="16"/>
        <v>March</v>
      </c>
      <c r="E198" t="s">
        <v>25</v>
      </c>
      <c r="F198" t="s">
        <v>16</v>
      </c>
      <c r="G198" t="str">
        <f t="shared" si="17"/>
        <v>Women</v>
      </c>
      <c r="H198" t="str">
        <f t="shared" ca="1" si="18"/>
        <v>Flipkart</v>
      </c>
      <c r="I198">
        <f t="shared" ca="1" si="19"/>
        <v>23</v>
      </c>
      <c r="J198" t="s">
        <v>527</v>
      </c>
      <c r="K198" t="s">
        <v>39</v>
      </c>
      <c r="L198" t="s">
        <v>101</v>
      </c>
      <c r="M198">
        <v>1</v>
      </c>
      <c r="N198" t="s">
        <v>20</v>
      </c>
      <c r="O198">
        <v>744</v>
      </c>
      <c r="P198" t="s">
        <v>63</v>
      </c>
      <c r="Q198" t="s">
        <v>46</v>
      </c>
      <c r="R198" t="s">
        <v>23</v>
      </c>
    </row>
    <row r="199" spans="1:18" x14ac:dyDescent="0.35">
      <c r="A199">
        <v>197</v>
      </c>
      <c r="B199" t="s">
        <v>528</v>
      </c>
      <c r="C199" s="1">
        <f t="shared" ca="1" si="15"/>
        <v>45004</v>
      </c>
      <c r="D199" t="str">
        <f t="shared" ca="1" si="16"/>
        <v>March</v>
      </c>
      <c r="E199" t="s">
        <v>29</v>
      </c>
      <c r="F199" t="s">
        <v>33</v>
      </c>
      <c r="G199" t="str">
        <f t="shared" si="17"/>
        <v>Men</v>
      </c>
      <c r="H199" t="str">
        <f t="shared" ca="1" si="18"/>
        <v>Amazon</v>
      </c>
      <c r="I199">
        <f t="shared" ca="1" si="19"/>
        <v>37</v>
      </c>
      <c r="J199" t="s">
        <v>529</v>
      </c>
      <c r="K199" t="s">
        <v>27</v>
      </c>
      <c r="L199" t="s">
        <v>121</v>
      </c>
      <c r="M199">
        <v>1</v>
      </c>
      <c r="N199" t="s">
        <v>20</v>
      </c>
      <c r="O199">
        <v>692</v>
      </c>
      <c r="P199" t="s">
        <v>530</v>
      </c>
      <c r="Q199" t="s">
        <v>50</v>
      </c>
      <c r="R199" t="s">
        <v>23</v>
      </c>
    </row>
    <row r="200" spans="1:18" x14ac:dyDescent="0.35">
      <c r="A200">
        <v>198</v>
      </c>
      <c r="B200" t="s">
        <v>531</v>
      </c>
      <c r="C200" s="1">
        <f t="shared" ca="1" si="15"/>
        <v>45150</v>
      </c>
      <c r="D200" t="str">
        <f t="shared" ca="1" si="16"/>
        <v>August</v>
      </c>
      <c r="E200" t="s">
        <v>29</v>
      </c>
      <c r="F200" t="s">
        <v>33</v>
      </c>
      <c r="G200" t="str">
        <f t="shared" si="17"/>
        <v>Women</v>
      </c>
      <c r="H200" t="str">
        <f t="shared" ca="1" si="18"/>
        <v>Amazon</v>
      </c>
      <c r="I200">
        <f t="shared" ca="1" si="19"/>
        <v>23</v>
      </c>
      <c r="J200" t="s">
        <v>532</v>
      </c>
      <c r="K200" t="s">
        <v>44</v>
      </c>
      <c r="L200" t="s">
        <v>101</v>
      </c>
      <c r="M200">
        <v>1</v>
      </c>
      <c r="N200" t="s">
        <v>20</v>
      </c>
      <c r="O200">
        <v>563</v>
      </c>
      <c r="P200" t="s">
        <v>533</v>
      </c>
      <c r="Q200" t="s">
        <v>297</v>
      </c>
      <c r="R200" t="s">
        <v>23</v>
      </c>
    </row>
    <row r="201" spans="1:18" x14ac:dyDescent="0.35">
      <c r="A201">
        <v>199</v>
      </c>
      <c r="B201" t="s">
        <v>534</v>
      </c>
      <c r="C201" s="1">
        <f t="shared" ca="1" si="15"/>
        <v>45018</v>
      </c>
      <c r="D201" t="str">
        <f t="shared" ca="1" si="16"/>
        <v>April</v>
      </c>
      <c r="E201" t="s">
        <v>29</v>
      </c>
      <c r="F201" t="s">
        <v>33</v>
      </c>
      <c r="G201" t="str">
        <f t="shared" si="17"/>
        <v>Women</v>
      </c>
      <c r="H201" t="str">
        <f t="shared" ca="1" si="18"/>
        <v>Amazon</v>
      </c>
      <c r="I201">
        <f t="shared" ca="1" si="19"/>
        <v>48</v>
      </c>
      <c r="J201" t="s">
        <v>535</v>
      </c>
      <c r="K201" t="s">
        <v>44</v>
      </c>
      <c r="L201" t="s">
        <v>101</v>
      </c>
      <c r="M201">
        <v>1</v>
      </c>
      <c r="N201" t="s">
        <v>20</v>
      </c>
      <c r="O201">
        <v>545</v>
      </c>
      <c r="P201" t="s">
        <v>30</v>
      </c>
      <c r="Q201" t="s">
        <v>31</v>
      </c>
      <c r="R201" t="s">
        <v>23</v>
      </c>
    </row>
    <row r="202" spans="1:18" x14ac:dyDescent="0.35">
      <c r="A202">
        <v>200</v>
      </c>
      <c r="B202" t="s">
        <v>536</v>
      </c>
      <c r="C202" s="1">
        <f t="shared" ca="1" si="15"/>
        <v>45173</v>
      </c>
      <c r="D202" t="str">
        <f t="shared" ca="1" si="16"/>
        <v>September</v>
      </c>
      <c r="E202" t="s">
        <v>29</v>
      </c>
      <c r="F202" t="s">
        <v>33</v>
      </c>
      <c r="G202" t="str">
        <f t="shared" si="17"/>
        <v>Women</v>
      </c>
      <c r="H202" t="str">
        <f t="shared" ca="1" si="18"/>
        <v>Amazon</v>
      </c>
      <c r="I202">
        <f t="shared" ca="1" si="19"/>
        <v>59</v>
      </c>
      <c r="J202" t="s">
        <v>537</v>
      </c>
      <c r="K202" t="s">
        <v>18</v>
      </c>
      <c r="L202" t="s">
        <v>40</v>
      </c>
      <c r="M202">
        <v>1</v>
      </c>
      <c r="N202" t="s">
        <v>20</v>
      </c>
      <c r="O202">
        <v>999</v>
      </c>
      <c r="P202" t="s">
        <v>538</v>
      </c>
      <c r="Q202" t="s">
        <v>539</v>
      </c>
      <c r="R202" t="s">
        <v>23</v>
      </c>
    </row>
    <row r="203" spans="1:18" x14ac:dyDescent="0.35">
      <c r="A203">
        <v>201</v>
      </c>
      <c r="B203" t="s">
        <v>540</v>
      </c>
      <c r="C203" s="1">
        <f t="shared" ca="1" si="15"/>
        <v>45051</v>
      </c>
      <c r="D203" t="str">
        <f t="shared" ca="1" si="16"/>
        <v>May</v>
      </c>
      <c r="E203" t="s">
        <v>29</v>
      </c>
      <c r="F203" t="s">
        <v>33</v>
      </c>
      <c r="G203" t="str">
        <f t="shared" si="17"/>
        <v>Women</v>
      </c>
      <c r="H203" t="str">
        <f t="shared" ca="1" si="18"/>
        <v>Amazon</v>
      </c>
      <c r="I203">
        <f t="shared" ca="1" si="19"/>
        <v>36</v>
      </c>
      <c r="J203" t="s">
        <v>187</v>
      </c>
      <c r="K203" t="s">
        <v>18</v>
      </c>
      <c r="L203" t="s">
        <v>101</v>
      </c>
      <c r="M203">
        <v>1</v>
      </c>
      <c r="N203" t="s">
        <v>20</v>
      </c>
      <c r="O203">
        <v>654</v>
      </c>
      <c r="P203" t="s">
        <v>170</v>
      </c>
      <c r="Q203" t="s">
        <v>171</v>
      </c>
      <c r="R203" t="s">
        <v>23</v>
      </c>
    </row>
    <row r="204" spans="1:18" x14ac:dyDescent="0.35">
      <c r="A204">
        <v>202</v>
      </c>
      <c r="B204" t="s">
        <v>541</v>
      </c>
      <c r="C204" s="1">
        <f t="shared" ca="1" si="15"/>
        <v>45135</v>
      </c>
      <c r="D204" t="str">
        <f t="shared" ca="1" si="16"/>
        <v>July</v>
      </c>
      <c r="E204" t="s">
        <v>29</v>
      </c>
      <c r="F204" t="s">
        <v>33</v>
      </c>
      <c r="G204" t="str">
        <f t="shared" si="17"/>
        <v>Women</v>
      </c>
      <c r="H204" t="str">
        <f t="shared" ca="1" si="18"/>
        <v>Amazon</v>
      </c>
      <c r="I204">
        <f t="shared" ca="1" si="19"/>
        <v>36</v>
      </c>
      <c r="J204" t="s">
        <v>542</v>
      </c>
      <c r="K204" t="s">
        <v>44</v>
      </c>
      <c r="L204" t="s">
        <v>19</v>
      </c>
      <c r="M204">
        <v>1</v>
      </c>
      <c r="N204" t="s">
        <v>20</v>
      </c>
      <c r="O204">
        <v>588</v>
      </c>
      <c r="P204" t="s">
        <v>543</v>
      </c>
      <c r="Q204" t="s">
        <v>22</v>
      </c>
      <c r="R204" t="s">
        <v>23</v>
      </c>
    </row>
    <row r="205" spans="1:18" x14ac:dyDescent="0.35">
      <c r="A205">
        <v>203</v>
      </c>
      <c r="B205" t="s">
        <v>544</v>
      </c>
      <c r="C205" s="1">
        <f t="shared" ca="1" si="15"/>
        <v>45037</v>
      </c>
      <c r="D205" t="str">
        <f t="shared" ca="1" si="16"/>
        <v>April</v>
      </c>
      <c r="E205" t="s">
        <v>25</v>
      </c>
      <c r="F205" t="s">
        <v>16</v>
      </c>
      <c r="G205" t="str">
        <f t="shared" si="17"/>
        <v>Men</v>
      </c>
      <c r="H205" t="str">
        <f t="shared" ca="1" si="18"/>
        <v>Flipkart</v>
      </c>
      <c r="I205">
        <f t="shared" ca="1" si="19"/>
        <v>25</v>
      </c>
      <c r="J205" t="s">
        <v>545</v>
      </c>
      <c r="K205" t="s">
        <v>27</v>
      </c>
      <c r="L205" t="s">
        <v>19</v>
      </c>
      <c r="M205">
        <v>1</v>
      </c>
      <c r="N205" t="s">
        <v>20</v>
      </c>
      <c r="O205">
        <v>497</v>
      </c>
      <c r="P205" t="s">
        <v>88</v>
      </c>
      <c r="Q205" t="s">
        <v>89</v>
      </c>
      <c r="R205" t="s">
        <v>23</v>
      </c>
    </row>
    <row r="206" spans="1:18" x14ac:dyDescent="0.35">
      <c r="A206">
        <v>204</v>
      </c>
      <c r="B206" t="s">
        <v>546</v>
      </c>
      <c r="C206" s="1">
        <f t="shared" ca="1" si="15"/>
        <v>44990</v>
      </c>
      <c r="D206" t="str">
        <f t="shared" ca="1" si="16"/>
        <v>March</v>
      </c>
      <c r="E206" t="s">
        <v>29</v>
      </c>
      <c r="F206" t="s">
        <v>33</v>
      </c>
      <c r="G206" t="str">
        <f t="shared" si="17"/>
        <v>Men</v>
      </c>
      <c r="H206" t="str">
        <f t="shared" ca="1" si="18"/>
        <v>Amazon</v>
      </c>
      <c r="I206">
        <f t="shared" ca="1" si="19"/>
        <v>28</v>
      </c>
      <c r="J206" t="s">
        <v>97</v>
      </c>
      <c r="K206" t="s">
        <v>27</v>
      </c>
      <c r="L206" t="s">
        <v>28</v>
      </c>
      <c r="M206">
        <v>1</v>
      </c>
      <c r="N206" t="s">
        <v>20</v>
      </c>
      <c r="O206">
        <v>517</v>
      </c>
      <c r="P206" t="s">
        <v>547</v>
      </c>
      <c r="Q206" t="s">
        <v>85</v>
      </c>
      <c r="R206" t="s">
        <v>23</v>
      </c>
    </row>
    <row r="207" spans="1:18" x14ac:dyDescent="0.35">
      <c r="A207">
        <v>205</v>
      </c>
      <c r="B207" t="s">
        <v>548</v>
      </c>
      <c r="C207" s="1">
        <f t="shared" ca="1" si="15"/>
        <v>45304</v>
      </c>
      <c r="D207" t="str">
        <f t="shared" ca="1" si="16"/>
        <v>January</v>
      </c>
      <c r="E207" t="s">
        <v>15</v>
      </c>
      <c r="F207" t="s">
        <v>33</v>
      </c>
      <c r="G207" t="str">
        <f t="shared" si="17"/>
        <v>Women</v>
      </c>
      <c r="H207" t="str">
        <f t="shared" ca="1" si="18"/>
        <v>Amazon</v>
      </c>
      <c r="I207">
        <f t="shared" ca="1" si="19"/>
        <v>36</v>
      </c>
      <c r="J207" t="s">
        <v>532</v>
      </c>
      <c r="K207" t="s">
        <v>44</v>
      </c>
      <c r="L207" t="s">
        <v>101</v>
      </c>
      <c r="M207">
        <v>0</v>
      </c>
      <c r="P207" t="s">
        <v>533</v>
      </c>
      <c r="Q207" t="s">
        <v>297</v>
      </c>
      <c r="R207" t="s">
        <v>23</v>
      </c>
    </row>
    <row r="208" spans="1:18" x14ac:dyDescent="0.35">
      <c r="A208">
        <v>206</v>
      </c>
      <c r="B208" t="s">
        <v>549</v>
      </c>
      <c r="C208" s="1">
        <f t="shared" ca="1" si="15"/>
        <v>45124</v>
      </c>
      <c r="D208" t="str">
        <f t="shared" ca="1" si="16"/>
        <v>July</v>
      </c>
      <c r="E208" t="s">
        <v>29</v>
      </c>
      <c r="F208" t="s">
        <v>33</v>
      </c>
      <c r="G208" t="str">
        <f t="shared" si="17"/>
        <v>Women</v>
      </c>
      <c r="H208" t="str">
        <f t="shared" ca="1" si="18"/>
        <v>Amazon</v>
      </c>
      <c r="I208">
        <f t="shared" ca="1" si="19"/>
        <v>45</v>
      </c>
      <c r="J208" t="s">
        <v>550</v>
      </c>
      <c r="K208" t="s">
        <v>18</v>
      </c>
      <c r="L208" t="s">
        <v>101</v>
      </c>
      <c r="M208">
        <v>1</v>
      </c>
      <c r="N208" t="s">
        <v>20</v>
      </c>
      <c r="O208">
        <v>1115</v>
      </c>
      <c r="P208" t="s">
        <v>551</v>
      </c>
      <c r="Q208" t="s">
        <v>552</v>
      </c>
      <c r="R208" t="s">
        <v>23</v>
      </c>
    </row>
    <row r="209" spans="1:18" x14ac:dyDescent="0.35">
      <c r="A209">
        <v>207</v>
      </c>
      <c r="B209" t="s">
        <v>553</v>
      </c>
      <c r="C209" s="1">
        <f t="shared" ca="1" si="15"/>
        <v>45571</v>
      </c>
      <c r="D209" t="str">
        <f t="shared" ca="1" si="16"/>
        <v>October</v>
      </c>
      <c r="E209" t="s">
        <v>29</v>
      </c>
      <c r="F209" t="s">
        <v>33</v>
      </c>
      <c r="G209" t="str">
        <f t="shared" si="17"/>
        <v>Women</v>
      </c>
      <c r="H209" t="str">
        <f t="shared" ca="1" si="18"/>
        <v>Amazon</v>
      </c>
      <c r="I209">
        <f t="shared" ca="1" si="19"/>
        <v>26</v>
      </c>
      <c r="J209" t="s">
        <v>554</v>
      </c>
      <c r="K209" t="s">
        <v>18</v>
      </c>
      <c r="L209" t="s">
        <v>28</v>
      </c>
      <c r="M209">
        <v>1</v>
      </c>
      <c r="N209" t="s">
        <v>20</v>
      </c>
      <c r="O209">
        <v>582</v>
      </c>
      <c r="P209" t="s">
        <v>555</v>
      </c>
      <c r="Q209" t="s">
        <v>171</v>
      </c>
      <c r="R209" t="s">
        <v>23</v>
      </c>
    </row>
    <row r="210" spans="1:18" x14ac:dyDescent="0.35">
      <c r="A210">
        <v>208</v>
      </c>
      <c r="B210" t="s">
        <v>556</v>
      </c>
      <c r="C210" s="1">
        <f t="shared" ca="1" si="15"/>
        <v>45446</v>
      </c>
      <c r="D210" t="str">
        <f t="shared" ca="1" si="16"/>
        <v>June</v>
      </c>
      <c r="E210" t="s">
        <v>29</v>
      </c>
      <c r="F210" t="s">
        <v>33</v>
      </c>
      <c r="G210" t="str">
        <f t="shared" si="17"/>
        <v>Women</v>
      </c>
      <c r="H210" t="str">
        <f t="shared" ca="1" si="18"/>
        <v>Amazon</v>
      </c>
      <c r="I210">
        <f t="shared" ca="1" si="19"/>
        <v>58</v>
      </c>
      <c r="J210" t="s">
        <v>557</v>
      </c>
      <c r="K210" t="s">
        <v>18</v>
      </c>
      <c r="L210" t="s">
        <v>28</v>
      </c>
      <c r="M210">
        <v>1</v>
      </c>
      <c r="N210" t="s">
        <v>20</v>
      </c>
      <c r="O210">
        <v>449</v>
      </c>
      <c r="P210" t="s">
        <v>555</v>
      </c>
      <c r="Q210" t="s">
        <v>171</v>
      </c>
      <c r="R210" t="s">
        <v>23</v>
      </c>
    </row>
    <row r="211" spans="1:18" x14ac:dyDescent="0.35">
      <c r="A211">
        <v>209</v>
      </c>
      <c r="B211" t="s">
        <v>558</v>
      </c>
      <c r="C211" s="1">
        <f t="shared" ca="1" si="15"/>
        <v>45518</v>
      </c>
      <c r="D211" t="str">
        <f t="shared" ca="1" si="16"/>
        <v>August</v>
      </c>
      <c r="E211" t="s">
        <v>29</v>
      </c>
      <c r="F211" t="s">
        <v>33</v>
      </c>
      <c r="G211" t="str">
        <f t="shared" si="17"/>
        <v>Men</v>
      </c>
      <c r="H211" t="str">
        <f t="shared" ca="1" si="18"/>
        <v>Amazon</v>
      </c>
      <c r="I211">
        <f t="shared" ca="1" si="19"/>
        <v>60</v>
      </c>
      <c r="J211" t="s">
        <v>559</v>
      </c>
      <c r="K211" t="s">
        <v>27</v>
      </c>
      <c r="L211" t="s">
        <v>101</v>
      </c>
      <c r="M211">
        <v>1</v>
      </c>
      <c r="N211" t="s">
        <v>20</v>
      </c>
      <c r="O211">
        <v>375</v>
      </c>
      <c r="P211" t="s">
        <v>30</v>
      </c>
      <c r="Q211" t="s">
        <v>31</v>
      </c>
      <c r="R211" t="s">
        <v>23</v>
      </c>
    </row>
    <row r="212" spans="1:18" x14ac:dyDescent="0.35">
      <c r="A212">
        <v>210</v>
      </c>
      <c r="B212" t="s">
        <v>560</v>
      </c>
      <c r="C212" s="1">
        <f t="shared" ca="1" si="15"/>
        <v>45607</v>
      </c>
      <c r="D212" t="str">
        <f t="shared" ca="1" si="16"/>
        <v>November</v>
      </c>
      <c r="E212" t="s">
        <v>29</v>
      </c>
      <c r="F212" t="s">
        <v>33</v>
      </c>
      <c r="G212" t="str">
        <f t="shared" si="17"/>
        <v>Women</v>
      </c>
      <c r="H212" t="str">
        <f t="shared" ca="1" si="18"/>
        <v>Amazon</v>
      </c>
      <c r="I212">
        <f t="shared" ca="1" si="19"/>
        <v>55</v>
      </c>
      <c r="J212" t="s">
        <v>561</v>
      </c>
      <c r="K212" t="s">
        <v>18</v>
      </c>
      <c r="L212" t="s">
        <v>101</v>
      </c>
      <c r="M212">
        <v>1</v>
      </c>
      <c r="N212" t="s">
        <v>20</v>
      </c>
      <c r="O212">
        <v>771</v>
      </c>
      <c r="P212" t="s">
        <v>562</v>
      </c>
      <c r="Q212" t="s">
        <v>223</v>
      </c>
      <c r="R212" t="s">
        <v>23</v>
      </c>
    </row>
    <row r="213" spans="1:18" x14ac:dyDescent="0.35">
      <c r="A213">
        <v>211</v>
      </c>
      <c r="B213" t="s">
        <v>563</v>
      </c>
      <c r="C213" s="1">
        <f t="shared" ca="1" si="15"/>
        <v>45342</v>
      </c>
      <c r="D213" t="str">
        <f t="shared" ca="1" si="16"/>
        <v>February</v>
      </c>
      <c r="E213" t="s">
        <v>29</v>
      </c>
      <c r="F213" t="s">
        <v>33</v>
      </c>
      <c r="G213" t="str">
        <f t="shared" si="17"/>
        <v>Men</v>
      </c>
      <c r="H213" t="str">
        <f t="shared" ca="1" si="18"/>
        <v>Amazon</v>
      </c>
      <c r="I213">
        <f t="shared" ca="1" si="19"/>
        <v>58</v>
      </c>
      <c r="J213" t="s">
        <v>151</v>
      </c>
      <c r="K213" t="s">
        <v>27</v>
      </c>
      <c r="L213" t="s">
        <v>40</v>
      </c>
      <c r="M213">
        <v>1</v>
      </c>
      <c r="N213" t="s">
        <v>20</v>
      </c>
      <c r="O213">
        <v>399</v>
      </c>
      <c r="P213" t="s">
        <v>98</v>
      </c>
      <c r="Q213" t="s">
        <v>46</v>
      </c>
      <c r="R213" t="s">
        <v>23</v>
      </c>
    </row>
    <row r="214" spans="1:18" x14ac:dyDescent="0.35">
      <c r="A214">
        <v>212</v>
      </c>
      <c r="B214" t="s">
        <v>564</v>
      </c>
      <c r="C214" s="1">
        <f t="shared" ca="1" si="15"/>
        <v>45400</v>
      </c>
      <c r="D214" t="str">
        <f t="shared" ca="1" si="16"/>
        <v>April</v>
      </c>
      <c r="E214" t="s">
        <v>25</v>
      </c>
      <c r="F214" t="s">
        <v>16</v>
      </c>
      <c r="G214" t="str">
        <f t="shared" si="17"/>
        <v>Men</v>
      </c>
      <c r="H214" t="str">
        <f t="shared" ca="1" si="18"/>
        <v>Myntra</v>
      </c>
      <c r="I214">
        <f t="shared" ca="1" si="19"/>
        <v>43</v>
      </c>
      <c r="J214" t="s">
        <v>565</v>
      </c>
      <c r="K214" t="s">
        <v>27</v>
      </c>
      <c r="L214" t="s">
        <v>62</v>
      </c>
      <c r="M214">
        <v>1</v>
      </c>
      <c r="N214" t="s">
        <v>20</v>
      </c>
      <c r="O214">
        <v>0</v>
      </c>
      <c r="P214" t="s">
        <v>566</v>
      </c>
      <c r="Q214" t="s">
        <v>140</v>
      </c>
      <c r="R214" t="s">
        <v>23</v>
      </c>
    </row>
    <row r="215" spans="1:18" x14ac:dyDescent="0.35">
      <c r="A215">
        <v>213</v>
      </c>
      <c r="B215" t="s">
        <v>567</v>
      </c>
      <c r="C215" s="1">
        <f t="shared" ca="1" si="15"/>
        <v>45018</v>
      </c>
      <c r="D215" t="str">
        <f t="shared" ca="1" si="16"/>
        <v>April</v>
      </c>
      <c r="E215" t="s">
        <v>29</v>
      </c>
      <c r="F215" t="s">
        <v>33</v>
      </c>
      <c r="G215" t="str">
        <f t="shared" si="17"/>
        <v>Women</v>
      </c>
      <c r="H215" t="str">
        <f t="shared" ca="1" si="18"/>
        <v>Amazon</v>
      </c>
      <c r="I215">
        <f t="shared" ca="1" si="19"/>
        <v>58</v>
      </c>
      <c r="J215" t="s">
        <v>568</v>
      </c>
      <c r="K215" t="s">
        <v>18</v>
      </c>
      <c r="L215" t="s">
        <v>28</v>
      </c>
      <c r="M215">
        <v>1</v>
      </c>
      <c r="N215" t="s">
        <v>20</v>
      </c>
      <c r="O215">
        <v>654</v>
      </c>
      <c r="P215" t="s">
        <v>569</v>
      </c>
      <c r="Q215" t="s">
        <v>50</v>
      </c>
      <c r="R215" t="s">
        <v>23</v>
      </c>
    </row>
    <row r="216" spans="1:18" x14ac:dyDescent="0.35">
      <c r="A216">
        <v>214</v>
      </c>
      <c r="B216" t="s">
        <v>570</v>
      </c>
      <c r="C216" s="1">
        <f t="shared" ca="1" si="15"/>
        <v>45583</v>
      </c>
      <c r="D216" t="str">
        <f t="shared" ca="1" si="16"/>
        <v>October</v>
      </c>
      <c r="E216" t="s">
        <v>29</v>
      </c>
      <c r="F216" t="s">
        <v>33</v>
      </c>
      <c r="G216" t="str">
        <f t="shared" si="17"/>
        <v>Men</v>
      </c>
      <c r="H216" t="str">
        <f t="shared" ca="1" si="18"/>
        <v>Amazon</v>
      </c>
      <c r="I216">
        <f t="shared" ca="1" si="19"/>
        <v>25</v>
      </c>
      <c r="J216" t="s">
        <v>571</v>
      </c>
      <c r="K216" t="s">
        <v>27</v>
      </c>
      <c r="L216" t="s">
        <v>19</v>
      </c>
      <c r="M216">
        <v>1</v>
      </c>
      <c r="N216" t="s">
        <v>20</v>
      </c>
      <c r="O216">
        <v>424</v>
      </c>
      <c r="P216" t="s">
        <v>572</v>
      </c>
      <c r="Q216" t="s">
        <v>153</v>
      </c>
      <c r="R216" t="s">
        <v>23</v>
      </c>
    </row>
    <row r="217" spans="1:18" x14ac:dyDescent="0.35">
      <c r="A217">
        <v>215</v>
      </c>
      <c r="B217" t="s">
        <v>573</v>
      </c>
      <c r="C217" s="1">
        <f t="shared" ca="1" si="15"/>
        <v>45546</v>
      </c>
      <c r="D217" t="str">
        <f t="shared" ca="1" si="16"/>
        <v>September</v>
      </c>
      <c r="E217" t="s">
        <v>15</v>
      </c>
      <c r="F217" t="s">
        <v>33</v>
      </c>
      <c r="G217" t="str">
        <f t="shared" si="17"/>
        <v>Women</v>
      </c>
      <c r="H217" t="str">
        <f t="shared" ca="1" si="18"/>
        <v>Amazon</v>
      </c>
      <c r="I217">
        <f t="shared" ca="1" si="19"/>
        <v>38</v>
      </c>
      <c r="J217" t="s">
        <v>252</v>
      </c>
      <c r="K217" t="s">
        <v>39</v>
      </c>
      <c r="L217" t="s">
        <v>35</v>
      </c>
      <c r="M217">
        <v>0</v>
      </c>
      <c r="P217" t="s">
        <v>49</v>
      </c>
      <c r="Q217" t="s">
        <v>50</v>
      </c>
      <c r="R217" t="s">
        <v>23</v>
      </c>
    </row>
    <row r="218" spans="1:18" x14ac:dyDescent="0.35">
      <c r="A218">
        <v>216</v>
      </c>
      <c r="B218" t="s">
        <v>574</v>
      </c>
      <c r="C218" s="1">
        <f t="shared" ca="1" si="15"/>
        <v>45169</v>
      </c>
      <c r="D218" t="str">
        <f t="shared" ca="1" si="16"/>
        <v>August</v>
      </c>
      <c r="E218" t="s">
        <v>29</v>
      </c>
      <c r="F218" t="s">
        <v>33</v>
      </c>
      <c r="G218" t="str">
        <f t="shared" si="17"/>
        <v>Women</v>
      </c>
      <c r="H218" t="str">
        <f t="shared" ca="1" si="18"/>
        <v>Amazon</v>
      </c>
      <c r="I218">
        <f t="shared" ca="1" si="19"/>
        <v>43</v>
      </c>
      <c r="J218" t="s">
        <v>575</v>
      </c>
      <c r="K218" t="s">
        <v>44</v>
      </c>
      <c r="L218" t="s">
        <v>68</v>
      </c>
      <c r="M218">
        <v>1</v>
      </c>
      <c r="N218" t="s">
        <v>20</v>
      </c>
      <c r="O218">
        <v>432</v>
      </c>
      <c r="P218" t="s">
        <v>122</v>
      </c>
      <c r="Q218" t="s">
        <v>22</v>
      </c>
      <c r="R218" t="s">
        <v>23</v>
      </c>
    </row>
    <row r="219" spans="1:18" x14ac:dyDescent="0.35">
      <c r="A219">
        <v>217</v>
      </c>
      <c r="B219" t="s">
        <v>576</v>
      </c>
      <c r="C219" s="1">
        <f t="shared" ca="1" si="15"/>
        <v>45010</v>
      </c>
      <c r="D219" t="str">
        <f t="shared" ca="1" si="16"/>
        <v>March</v>
      </c>
      <c r="E219" t="s">
        <v>25</v>
      </c>
      <c r="F219" t="s">
        <v>16</v>
      </c>
      <c r="G219" t="str">
        <f t="shared" si="17"/>
        <v>Women</v>
      </c>
      <c r="H219" t="str">
        <f t="shared" ca="1" si="18"/>
        <v>Flipkart</v>
      </c>
      <c r="I219">
        <f t="shared" ca="1" si="19"/>
        <v>31</v>
      </c>
      <c r="J219" t="s">
        <v>577</v>
      </c>
      <c r="K219" t="s">
        <v>44</v>
      </c>
      <c r="L219" t="s">
        <v>68</v>
      </c>
      <c r="M219">
        <v>1</v>
      </c>
      <c r="N219" t="s">
        <v>20</v>
      </c>
      <c r="O219">
        <v>399</v>
      </c>
      <c r="P219" t="s">
        <v>122</v>
      </c>
      <c r="Q219" t="s">
        <v>22</v>
      </c>
      <c r="R219" t="s">
        <v>23</v>
      </c>
    </row>
    <row r="220" spans="1:18" x14ac:dyDescent="0.35">
      <c r="A220">
        <v>218</v>
      </c>
      <c r="B220" t="s">
        <v>578</v>
      </c>
      <c r="C220" s="1">
        <f t="shared" ca="1" si="15"/>
        <v>45192</v>
      </c>
      <c r="D220" t="str">
        <f t="shared" ca="1" si="16"/>
        <v>September</v>
      </c>
      <c r="E220" t="s">
        <v>29</v>
      </c>
      <c r="F220" t="s">
        <v>33</v>
      </c>
      <c r="G220" t="str">
        <f t="shared" si="17"/>
        <v>Men</v>
      </c>
      <c r="H220" t="str">
        <f t="shared" ca="1" si="18"/>
        <v>Amazon</v>
      </c>
      <c r="I220">
        <f t="shared" ca="1" si="19"/>
        <v>18</v>
      </c>
      <c r="J220" t="s">
        <v>579</v>
      </c>
      <c r="K220" t="s">
        <v>27</v>
      </c>
      <c r="L220" t="s">
        <v>40</v>
      </c>
      <c r="M220">
        <v>1</v>
      </c>
      <c r="N220" t="s">
        <v>20</v>
      </c>
      <c r="O220">
        <v>399</v>
      </c>
      <c r="P220" t="s">
        <v>580</v>
      </c>
      <c r="Q220" t="s">
        <v>31</v>
      </c>
      <c r="R220" t="s">
        <v>23</v>
      </c>
    </row>
    <row r="221" spans="1:18" x14ac:dyDescent="0.35">
      <c r="A221">
        <v>219</v>
      </c>
      <c r="B221" t="s">
        <v>581</v>
      </c>
      <c r="C221" s="1">
        <f t="shared" ca="1" si="15"/>
        <v>45538</v>
      </c>
      <c r="D221" t="str">
        <f t="shared" ca="1" si="16"/>
        <v>September</v>
      </c>
      <c r="E221" t="s">
        <v>29</v>
      </c>
      <c r="F221" t="s">
        <v>33</v>
      </c>
      <c r="G221" t="str">
        <f t="shared" si="17"/>
        <v>Women</v>
      </c>
      <c r="H221" t="str">
        <f t="shared" ca="1" si="18"/>
        <v>Amazon</v>
      </c>
      <c r="I221">
        <f t="shared" ca="1" si="19"/>
        <v>34</v>
      </c>
      <c r="J221" t="s">
        <v>582</v>
      </c>
      <c r="K221" t="s">
        <v>18</v>
      </c>
      <c r="L221" t="s">
        <v>19</v>
      </c>
      <c r="M221">
        <v>1</v>
      </c>
      <c r="N221" t="s">
        <v>20</v>
      </c>
      <c r="O221">
        <v>597</v>
      </c>
      <c r="P221" t="s">
        <v>583</v>
      </c>
      <c r="Q221" t="s">
        <v>153</v>
      </c>
      <c r="R221" t="s">
        <v>23</v>
      </c>
    </row>
    <row r="222" spans="1:18" x14ac:dyDescent="0.35">
      <c r="A222">
        <v>220</v>
      </c>
      <c r="B222" t="s">
        <v>584</v>
      </c>
      <c r="C222" s="1">
        <f t="shared" ca="1" si="15"/>
        <v>45272</v>
      </c>
      <c r="D222" t="str">
        <f t="shared" ca="1" si="16"/>
        <v>December</v>
      </c>
      <c r="E222" t="s">
        <v>29</v>
      </c>
      <c r="F222" t="s">
        <v>33</v>
      </c>
      <c r="G222" t="str">
        <f t="shared" si="17"/>
        <v>Women</v>
      </c>
      <c r="H222" t="str">
        <f t="shared" ca="1" si="18"/>
        <v>Amazon</v>
      </c>
      <c r="I222">
        <f t="shared" ca="1" si="19"/>
        <v>45</v>
      </c>
      <c r="J222" t="s">
        <v>585</v>
      </c>
      <c r="K222" t="s">
        <v>44</v>
      </c>
      <c r="L222" t="s">
        <v>101</v>
      </c>
      <c r="M222">
        <v>1</v>
      </c>
      <c r="N222" t="s">
        <v>20</v>
      </c>
      <c r="O222">
        <v>463</v>
      </c>
      <c r="P222" t="s">
        <v>69</v>
      </c>
      <c r="Q222" t="s">
        <v>50</v>
      </c>
      <c r="R222" t="s">
        <v>23</v>
      </c>
    </row>
    <row r="223" spans="1:18" x14ac:dyDescent="0.35">
      <c r="A223">
        <v>221</v>
      </c>
      <c r="B223" t="s">
        <v>586</v>
      </c>
      <c r="C223" s="1">
        <f t="shared" ca="1" si="15"/>
        <v>45225</v>
      </c>
      <c r="D223" t="str">
        <f t="shared" ca="1" si="16"/>
        <v>October</v>
      </c>
      <c r="E223" t="s">
        <v>29</v>
      </c>
      <c r="F223" t="s">
        <v>33</v>
      </c>
      <c r="G223" t="str">
        <f t="shared" si="17"/>
        <v>Men</v>
      </c>
      <c r="H223" t="str">
        <f t="shared" ca="1" si="18"/>
        <v>Amazon</v>
      </c>
      <c r="I223">
        <f t="shared" ca="1" si="19"/>
        <v>28</v>
      </c>
      <c r="J223" t="s">
        <v>587</v>
      </c>
      <c r="K223" t="s">
        <v>27</v>
      </c>
      <c r="L223" t="s">
        <v>35</v>
      </c>
      <c r="M223">
        <v>1</v>
      </c>
      <c r="N223" t="s">
        <v>20</v>
      </c>
      <c r="O223">
        <v>484</v>
      </c>
      <c r="P223" t="s">
        <v>157</v>
      </c>
      <c r="Q223" t="s">
        <v>50</v>
      </c>
      <c r="R223" t="s">
        <v>23</v>
      </c>
    </row>
    <row r="224" spans="1:18" x14ac:dyDescent="0.35">
      <c r="A224">
        <v>222</v>
      </c>
      <c r="B224" t="s">
        <v>588</v>
      </c>
      <c r="C224" s="1">
        <f t="shared" ca="1" si="15"/>
        <v>45595</v>
      </c>
      <c r="D224" t="str">
        <f t="shared" ca="1" si="16"/>
        <v>October</v>
      </c>
      <c r="E224" t="s">
        <v>29</v>
      </c>
      <c r="F224" t="s">
        <v>33</v>
      </c>
      <c r="G224" t="str">
        <f t="shared" si="17"/>
        <v>Men</v>
      </c>
      <c r="H224" t="str">
        <f t="shared" ca="1" si="18"/>
        <v>Amazon</v>
      </c>
      <c r="I224">
        <f t="shared" ca="1" si="19"/>
        <v>43</v>
      </c>
      <c r="J224" t="s">
        <v>589</v>
      </c>
      <c r="K224" t="s">
        <v>27</v>
      </c>
      <c r="L224" t="s">
        <v>19</v>
      </c>
      <c r="M224">
        <v>1</v>
      </c>
      <c r="N224" t="s">
        <v>20</v>
      </c>
      <c r="O224">
        <v>635</v>
      </c>
      <c r="P224" t="s">
        <v>285</v>
      </c>
      <c r="Q224" t="s">
        <v>286</v>
      </c>
      <c r="R224" t="s">
        <v>23</v>
      </c>
    </row>
    <row r="225" spans="1:18" x14ac:dyDescent="0.35">
      <c r="A225">
        <v>223</v>
      </c>
      <c r="B225" t="s">
        <v>590</v>
      </c>
      <c r="C225" s="1">
        <f t="shared" ca="1" si="15"/>
        <v>45613</v>
      </c>
      <c r="D225" t="str">
        <f t="shared" ca="1" si="16"/>
        <v>November</v>
      </c>
      <c r="E225" t="s">
        <v>29</v>
      </c>
      <c r="F225" t="s">
        <v>33</v>
      </c>
      <c r="G225" t="str">
        <f t="shared" si="17"/>
        <v>Men</v>
      </c>
      <c r="H225" t="str">
        <f t="shared" ca="1" si="18"/>
        <v>Amazon</v>
      </c>
      <c r="I225">
        <f t="shared" ca="1" si="19"/>
        <v>38</v>
      </c>
      <c r="J225" t="s">
        <v>591</v>
      </c>
      <c r="K225" t="s">
        <v>27</v>
      </c>
      <c r="L225" t="s">
        <v>62</v>
      </c>
      <c r="M225">
        <v>1</v>
      </c>
      <c r="N225" t="s">
        <v>20</v>
      </c>
      <c r="O225">
        <v>685</v>
      </c>
      <c r="P225" t="s">
        <v>592</v>
      </c>
      <c r="Q225" t="s">
        <v>110</v>
      </c>
      <c r="R225" t="s">
        <v>23</v>
      </c>
    </row>
    <row r="226" spans="1:18" x14ac:dyDescent="0.35">
      <c r="A226">
        <v>224</v>
      </c>
      <c r="B226" t="s">
        <v>593</v>
      </c>
      <c r="C226" s="1">
        <f t="shared" ca="1" si="15"/>
        <v>45580</v>
      </c>
      <c r="D226" t="str">
        <f t="shared" ca="1" si="16"/>
        <v>October</v>
      </c>
      <c r="E226" t="s">
        <v>25</v>
      </c>
      <c r="F226" t="s">
        <v>16</v>
      </c>
      <c r="G226" t="str">
        <f t="shared" si="17"/>
        <v>Women</v>
      </c>
      <c r="H226" t="str">
        <f t="shared" ca="1" si="18"/>
        <v>Myntra</v>
      </c>
      <c r="I226">
        <f t="shared" ca="1" si="19"/>
        <v>49</v>
      </c>
      <c r="J226" t="s">
        <v>594</v>
      </c>
      <c r="K226" t="s">
        <v>39</v>
      </c>
      <c r="L226" t="s">
        <v>101</v>
      </c>
      <c r="M226">
        <v>1</v>
      </c>
      <c r="N226" t="s">
        <v>20</v>
      </c>
      <c r="O226">
        <v>725</v>
      </c>
      <c r="P226" t="s">
        <v>595</v>
      </c>
      <c r="Q226" t="s">
        <v>286</v>
      </c>
      <c r="R226" t="s">
        <v>23</v>
      </c>
    </row>
    <row r="227" spans="1:18" x14ac:dyDescent="0.35">
      <c r="A227">
        <v>225</v>
      </c>
      <c r="B227" t="s">
        <v>596</v>
      </c>
      <c r="C227" s="1">
        <f t="shared" ca="1" si="15"/>
        <v>45648</v>
      </c>
      <c r="D227" t="str">
        <f t="shared" ca="1" si="16"/>
        <v>December</v>
      </c>
      <c r="E227" t="s">
        <v>29</v>
      </c>
      <c r="F227" t="s">
        <v>33</v>
      </c>
      <c r="G227" t="str">
        <f t="shared" si="17"/>
        <v>Women</v>
      </c>
      <c r="H227" t="str">
        <f t="shared" ca="1" si="18"/>
        <v>Amazon</v>
      </c>
      <c r="I227">
        <f t="shared" ca="1" si="19"/>
        <v>55</v>
      </c>
      <c r="J227" t="s">
        <v>597</v>
      </c>
      <c r="K227" t="s">
        <v>44</v>
      </c>
      <c r="L227" t="s">
        <v>35</v>
      </c>
      <c r="M227">
        <v>1</v>
      </c>
      <c r="N227" t="s">
        <v>20</v>
      </c>
      <c r="O227">
        <v>487</v>
      </c>
      <c r="P227" t="s">
        <v>30</v>
      </c>
      <c r="Q227" t="s">
        <v>31</v>
      </c>
      <c r="R227" t="s">
        <v>23</v>
      </c>
    </row>
    <row r="228" spans="1:18" x14ac:dyDescent="0.35">
      <c r="A228">
        <v>226</v>
      </c>
      <c r="B228" t="s">
        <v>598</v>
      </c>
      <c r="C228" s="1">
        <f t="shared" ca="1" si="15"/>
        <v>45166</v>
      </c>
      <c r="D228" t="str">
        <f t="shared" ca="1" si="16"/>
        <v>August</v>
      </c>
      <c r="E228" t="s">
        <v>15</v>
      </c>
      <c r="F228" t="s">
        <v>16</v>
      </c>
      <c r="G228" t="str">
        <f t="shared" si="17"/>
        <v>Women</v>
      </c>
      <c r="H228" t="str">
        <f t="shared" ca="1" si="18"/>
        <v>Flipkart</v>
      </c>
      <c r="I228">
        <f t="shared" ca="1" si="19"/>
        <v>32</v>
      </c>
      <c r="J228" t="s">
        <v>599</v>
      </c>
      <c r="K228" t="s">
        <v>18</v>
      </c>
      <c r="L228" t="s">
        <v>62</v>
      </c>
      <c r="M228">
        <v>0</v>
      </c>
      <c r="N228" t="s">
        <v>20</v>
      </c>
      <c r="O228">
        <v>1249.1099999999999</v>
      </c>
      <c r="P228" t="s">
        <v>470</v>
      </c>
      <c r="Q228" t="s">
        <v>93</v>
      </c>
      <c r="R228" t="s">
        <v>23</v>
      </c>
    </row>
    <row r="229" spans="1:18" x14ac:dyDescent="0.35">
      <c r="A229">
        <v>227</v>
      </c>
      <c r="B229" t="s">
        <v>598</v>
      </c>
      <c r="C229" s="1">
        <f t="shared" ca="1" si="15"/>
        <v>45207</v>
      </c>
      <c r="D229" t="str">
        <f t="shared" ca="1" si="16"/>
        <v>October</v>
      </c>
      <c r="E229" t="s">
        <v>15</v>
      </c>
      <c r="F229" t="s">
        <v>16</v>
      </c>
      <c r="G229" t="str">
        <f t="shared" si="17"/>
        <v>Women</v>
      </c>
      <c r="H229" t="str">
        <f t="shared" ca="1" si="18"/>
        <v>Myntra</v>
      </c>
      <c r="I229">
        <f t="shared" ca="1" si="19"/>
        <v>39</v>
      </c>
      <c r="J229" t="s">
        <v>600</v>
      </c>
      <c r="K229" t="s">
        <v>18</v>
      </c>
      <c r="L229" t="s">
        <v>62</v>
      </c>
      <c r="M229">
        <v>0</v>
      </c>
      <c r="N229" t="s">
        <v>20</v>
      </c>
      <c r="O229">
        <v>1058.93</v>
      </c>
      <c r="P229" t="s">
        <v>470</v>
      </c>
      <c r="Q229" t="s">
        <v>93</v>
      </c>
      <c r="R229" t="s">
        <v>23</v>
      </c>
    </row>
    <row r="230" spans="1:18" x14ac:dyDescent="0.35">
      <c r="A230">
        <v>228</v>
      </c>
      <c r="B230" t="s">
        <v>601</v>
      </c>
      <c r="C230" s="1">
        <f t="shared" ca="1" si="15"/>
        <v>45370</v>
      </c>
      <c r="D230" t="str">
        <f t="shared" ca="1" si="16"/>
        <v>March</v>
      </c>
      <c r="E230" t="s">
        <v>29</v>
      </c>
      <c r="F230" t="s">
        <v>33</v>
      </c>
      <c r="G230" t="str">
        <f t="shared" si="17"/>
        <v>Women</v>
      </c>
      <c r="H230" t="str">
        <f t="shared" ca="1" si="18"/>
        <v>Amazon</v>
      </c>
      <c r="I230">
        <f t="shared" ca="1" si="19"/>
        <v>47</v>
      </c>
      <c r="J230" t="s">
        <v>602</v>
      </c>
      <c r="K230" t="s">
        <v>18</v>
      </c>
      <c r="L230" t="s">
        <v>35</v>
      </c>
      <c r="M230">
        <v>1</v>
      </c>
      <c r="N230" t="s">
        <v>20</v>
      </c>
      <c r="O230">
        <v>696</v>
      </c>
      <c r="P230" t="s">
        <v>603</v>
      </c>
      <c r="Q230" t="s">
        <v>153</v>
      </c>
      <c r="R230" t="s">
        <v>23</v>
      </c>
    </row>
    <row r="231" spans="1:18" x14ac:dyDescent="0.35">
      <c r="A231">
        <v>229</v>
      </c>
      <c r="B231" t="s">
        <v>604</v>
      </c>
      <c r="C231" s="1">
        <f t="shared" ca="1" si="15"/>
        <v>45305</v>
      </c>
      <c r="D231" t="str">
        <f t="shared" ca="1" si="16"/>
        <v>January</v>
      </c>
      <c r="E231" t="s">
        <v>29</v>
      </c>
      <c r="F231" t="s">
        <v>33</v>
      </c>
      <c r="G231" t="str">
        <f t="shared" si="17"/>
        <v>Men</v>
      </c>
      <c r="H231" t="str">
        <f t="shared" ca="1" si="18"/>
        <v>Amazon</v>
      </c>
      <c r="I231">
        <f t="shared" ca="1" si="19"/>
        <v>31</v>
      </c>
      <c r="J231" t="s">
        <v>605</v>
      </c>
      <c r="K231" t="s">
        <v>27</v>
      </c>
      <c r="L231" t="s">
        <v>101</v>
      </c>
      <c r="M231">
        <v>1</v>
      </c>
      <c r="N231" t="s">
        <v>20</v>
      </c>
      <c r="O231">
        <v>329</v>
      </c>
      <c r="P231" t="s">
        <v>56</v>
      </c>
      <c r="Q231" t="s">
        <v>57</v>
      </c>
      <c r="R231" t="s">
        <v>23</v>
      </c>
    </row>
    <row r="232" spans="1:18" x14ac:dyDescent="0.35">
      <c r="A232">
        <v>230</v>
      </c>
      <c r="B232" t="s">
        <v>606</v>
      </c>
      <c r="C232" s="1">
        <f t="shared" ca="1" si="15"/>
        <v>45547</v>
      </c>
      <c r="D232" t="str">
        <f t="shared" ca="1" si="16"/>
        <v>September</v>
      </c>
      <c r="E232" t="s">
        <v>29</v>
      </c>
      <c r="F232" t="s">
        <v>33</v>
      </c>
      <c r="G232" t="str">
        <f t="shared" si="17"/>
        <v>Men</v>
      </c>
      <c r="H232" t="str">
        <f t="shared" ca="1" si="18"/>
        <v>Amazon</v>
      </c>
      <c r="I232">
        <f t="shared" ca="1" si="19"/>
        <v>58</v>
      </c>
      <c r="J232" t="s">
        <v>462</v>
      </c>
      <c r="K232" t="s">
        <v>27</v>
      </c>
      <c r="L232" t="s">
        <v>19</v>
      </c>
      <c r="M232">
        <v>1</v>
      </c>
      <c r="N232" t="s">
        <v>20</v>
      </c>
      <c r="O232">
        <v>517</v>
      </c>
      <c r="P232" t="s">
        <v>122</v>
      </c>
      <c r="Q232" t="s">
        <v>22</v>
      </c>
      <c r="R232" t="s">
        <v>23</v>
      </c>
    </row>
    <row r="233" spans="1:18" x14ac:dyDescent="0.35">
      <c r="A233">
        <v>231</v>
      </c>
      <c r="B233" t="s">
        <v>607</v>
      </c>
      <c r="C233" s="1">
        <f t="shared" ca="1" si="15"/>
        <v>45556</v>
      </c>
      <c r="D233" t="str">
        <f t="shared" ca="1" si="16"/>
        <v>September</v>
      </c>
      <c r="E233" t="s">
        <v>29</v>
      </c>
      <c r="F233" t="s">
        <v>33</v>
      </c>
      <c r="G233" t="str">
        <f t="shared" si="17"/>
        <v>Women</v>
      </c>
      <c r="H233" t="str">
        <f t="shared" ca="1" si="18"/>
        <v>Amazon</v>
      </c>
      <c r="I233">
        <f t="shared" ca="1" si="19"/>
        <v>48</v>
      </c>
      <c r="J233" t="s">
        <v>608</v>
      </c>
      <c r="K233" t="s">
        <v>18</v>
      </c>
      <c r="L233" t="s">
        <v>35</v>
      </c>
      <c r="M233">
        <v>1</v>
      </c>
      <c r="N233" t="s">
        <v>20</v>
      </c>
      <c r="O233">
        <v>591</v>
      </c>
      <c r="P233" t="s">
        <v>122</v>
      </c>
      <c r="Q233" t="s">
        <v>22</v>
      </c>
      <c r="R233" t="s">
        <v>23</v>
      </c>
    </row>
    <row r="234" spans="1:18" x14ac:dyDescent="0.35">
      <c r="A234">
        <v>232</v>
      </c>
      <c r="B234" t="s">
        <v>609</v>
      </c>
      <c r="C234" s="1">
        <f t="shared" ca="1" si="15"/>
        <v>45198</v>
      </c>
      <c r="D234" t="str">
        <f t="shared" ca="1" si="16"/>
        <v>September</v>
      </c>
      <c r="E234" t="s">
        <v>29</v>
      </c>
      <c r="F234" t="s">
        <v>33</v>
      </c>
      <c r="G234" t="str">
        <f t="shared" si="17"/>
        <v>Men</v>
      </c>
      <c r="H234" t="str">
        <f t="shared" ca="1" si="18"/>
        <v>Amazon</v>
      </c>
      <c r="I234">
        <f t="shared" ca="1" si="19"/>
        <v>59</v>
      </c>
      <c r="J234" t="s">
        <v>26</v>
      </c>
      <c r="K234" t="s">
        <v>27</v>
      </c>
      <c r="L234" t="s">
        <v>28</v>
      </c>
      <c r="M234">
        <v>1</v>
      </c>
      <c r="N234" t="s">
        <v>20</v>
      </c>
      <c r="O234">
        <v>406</v>
      </c>
      <c r="P234" t="s">
        <v>610</v>
      </c>
      <c r="Q234" t="s">
        <v>153</v>
      </c>
      <c r="R234" t="s">
        <v>23</v>
      </c>
    </row>
    <row r="235" spans="1:18" x14ac:dyDescent="0.35">
      <c r="A235">
        <v>233</v>
      </c>
      <c r="B235" t="s">
        <v>611</v>
      </c>
      <c r="C235" s="1">
        <f t="shared" ca="1" si="15"/>
        <v>45384</v>
      </c>
      <c r="D235" t="str">
        <f t="shared" ca="1" si="16"/>
        <v>April</v>
      </c>
      <c r="E235" t="s">
        <v>29</v>
      </c>
      <c r="F235" t="s">
        <v>33</v>
      </c>
      <c r="G235" t="str">
        <f t="shared" si="17"/>
        <v>Women</v>
      </c>
      <c r="H235" t="str">
        <f t="shared" ca="1" si="18"/>
        <v>Amazon</v>
      </c>
      <c r="I235">
        <f t="shared" ca="1" si="19"/>
        <v>30</v>
      </c>
      <c r="J235" t="s">
        <v>612</v>
      </c>
      <c r="K235" t="s">
        <v>18</v>
      </c>
      <c r="L235" t="s">
        <v>35</v>
      </c>
      <c r="M235">
        <v>1</v>
      </c>
      <c r="N235" t="s">
        <v>20</v>
      </c>
      <c r="O235">
        <v>684</v>
      </c>
      <c r="P235" t="s">
        <v>30</v>
      </c>
      <c r="Q235" t="s">
        <v>31</v>
      </c>
      <c r="R235" t="s">
        <v>23</v>
      </c>
    </row>
    <row r="236" spans="1:18" x14ac:dyDescent="0.35">
      <c r="A236">
        <v>234</v>
      </c>
      <c r="B236" t="s">
        <v>611</v>
      </c>
      <c r="C236" s="1">
        <f t="shared" ca="1" si="15"/>
        <v>45505</v>
      </c>
      <c r="D236" t="str">
        <f t="shared" ca="1" si="16"/>
        <v>August</v>
      </c>
      <c r="E236" t="s">
        <v>29</v>
      </c>
      <c r="F236" t="s">
        <v>33</v>
      </c>
      <c r="G236" t="str">
        <f t="shared" si="17"/>
        <v>Women</v>
      </c>
      <c r="H236" t="str">
        <f t="shared" ca="1" si="18"/>
        <v>Amazon</v>
      </c>
      <c r="I236">
        <f t="shared" ca="1" si="19"/>
        <v>54</v>
      </c>
      <c r="J236" t="s">
        <v>613</v>
      </c>
      <c r="K236" t="s">
        <v>18</v>
      </c>
      <c r="L236" t="s">
        <v>35</v>
      </c>
      <c r="M236">
        <v>1</v>
      </c>
      <c r="N236" t="s">
        <v>20</v>
      </c>
      <c r="O236">
        <v>1115</v>
      </c>
      <c r="P236" t="s">
        <v>30</v>
      </c>
      <c r="Q236" t="s">
        <v>31</v>
      </c>
      <c r="R236" t="s">
        <v>23</v>
      </c>
    </row>
    <row r="237" spans="1:18" x14ac:dyDescent="0.35">
      <c r="A237">
        <v>235</v>
      </c>
      <c r="B237" t="s">
        <v>614</v>
      </c>
      <c r="C237" s="1">
        <f t="shared" ca="1" si="15"/>
        <v>45170</v>
      </c>
      <c r="D237" t="str">
        <f t="shared" ca="1" si="16"/>
        <v>September</v>
      </c>
      <c r="E237" t="s">
        <v>25</v>
      </c>
      <c r="F237" t="s">
        <v>16</v>
      </c>
      <c r="G237" t="str">
        <f t="shared" si="17"/>
        <v>Women</v>
      </c>
      <c r="H237" t="str">
        <f t="shared" ca="1" si="18"/>
        <v>Flipkart</v>
      </c>
      <c r="I237">
        <f t="shared" ca="1" si="19"/>
        <v>44</v>
      </c>
      <c r="J237" t="s">
        <v>615</v>
      </c>
      <c r="K237" t="s">
        <v>18</v>
      </c>
      <c r="L237" t="s">
        <v>40</v>
      </c>
      <c r="M237">
        <v>1</v>
      </c>
      <c r="N237" t="s">
        <v>20</v>
      </c>
      <c r="O237">
        <v>999</v>
      </c>
      <c r="P237" t="s">
        <v>30</v>
      </c>
      <c r="Q237" t="s">
        <v>31</v>
      </c>
      <c r="R237" t="s">
        <v>23</v>
      </c>
    </row>
    <row r="238" spans="1:18" x14ac:dyDescent="0.35">
      <c r="A238">
        <v>236</v>
      </c>
      <c r="B238" t="s">
        <v>616</v>
      </c>
      <c r="C238" s="1">
        <f t="shared" ca="1" si="15"/>
        <v>45090</v>
      </c>
      <c r="D238" t="str">
        <f t="shared" ca="1" si="16"/>
        <v>June</v>
      </c>
      <c r="E238" t="s">
        <v>25</v>
      </c>
      <c r="F238" t="s">
        <v>16</v>
      </c>
      <c r="G238" t="str">
        <f t="shared" si="17"/>
        <v>Men</v>
      </c>
      <c r="H238" t="str">
        <f t="shared" ca="1" si="18"/>
        <v>Myntra</v>
      </c>
      <c r="I238">
        <f t="shared" ca="1" si="19"/>
        <v>54</v>
      </c>
      <c r="J238" t="s">
        <v>617</v>
      </c>
      <c r="K238" t="s">
        <v>27</v>
      </c>
      <c r="L238" t="s">
        <v>101</v>
      </c>
      <c r="M238">
        <v>1</v>
      </c>
      <c r="N238" t="s">
        <v>20</v>
      </c>
      <c r="O238">
        <v>295</v>
      </c>
      <c r="P238" t="s">
        <v>30</v>
      </c>
      <c r="Q238" t="s">
        <v>31</v>
      </c>
      <c r="R238" t="s">
        <v>23</v>
      </c>
    </row>
    <row r="239" spans="1:18" x14ac:dyDescent="0.35">
      <c r="A239">
        <v>237</v>
      </c>
      <c r="B239" t="s">
        <v>618</v>
      </c>
      <c r="C239" s="1">
        <f t="shared" ca="1" si="15"/>
        <v>45638</v>
      </c>
      <c r="D239" t="str">
        <f t="shared" ca="1" si="16"/>
        <v>December</v>
      </c>
      <c r="E239" t="s">
        <v>29</v>
      </c>
      <c r="F239" t="s">
        <v>33</v>
      </c>
      <c r="G239" t="str">
        <f t="shared" si="17"/>
        <v>Men</v>
      </c>
      <c r="H239" t="str">
        <f t="shared" ca="1" si="18"/>
        <v>Amazon</v>
      </c>
      <c r="I239">
        <f t="shared" ca="1" si="19"/>
        <v>46</v>
      </c>
      <c r="J239" t="s">
        <v>619</v>
      </c>
      <c r="K239" t="s">
        <v>27</v>
      </c>
      <c r="L239" t="s">
        <v>35</v>
      </c>
      <c r="M239">
        <v>1</v>
      </c>
      <c r="N239" t="s">
        <v>20</v>
      </c>
      <c r="O239">
        <v>442</v>
      </c>
      <c r="P239" t="s">
        <v>620</v>
      </c>
      <c r="Q239" t="s">
        <v>31</v>
      </c>
      <c r="R239" t="s">
        <v>23</v>
      </c>
    </row>
    <row r="240" spans="1:18" x14ac:dyDescent="0.35">
      <c r="A240">
        <v>238</v>
      </c>
      <c r="B240" t="s">
        <v>621</v>
      </c>
      <c r="C240" s="1">
        <f t="shared" ca="1" si="15"/>
        <v>45012</v>
      </c>
      <c r="D240" t="str">
        <f t="shared" ca="1" si="16"/>
        <v>March</v>
      </c>
      <c r="E240" t="s">
        <v>29</v>
      </c>
      <c r="F240" t="s">
        <v>33</v>
      </c>
      <c r="G240" t="str">
        <f t="shared" si="17"/>
        <v>Women</v>
      </c>
      <c r="H240" t="str">
        <f t="shared" ca="1" si="18"/>
        <v>Amazon</v>
      </c>
      <c r="I240">
        <f t="shared" ca="1" si="19"/>
        <v>30</v>
      </c>
      <c r="J240" t="s">
        <v>622</v>
      </c>
      <c r="K240" t="s">
        <v>18</v>
      </c>
      <c r="L240" t="s">
        <v>40</v>
      </c>
      <c r="M240">
        <v>1</v>
      </c>
      <c r="N240" t="s">
        <v>20</v>
      </c>
      <c r="O240">
        <v>563</v>
      </c>
      <c r="P240" t="s">
        <v>623</v>
      </c>
      <c r="Q240" t="s">
        <v>110</v>
      </c>
      <c r="R240" t="s">
        <v>23</v>
      </c>
    </row>
    <row r="241" spans="1:18" x14ac:dyDescent="0.35">
      <c r="A241">
        <v>239</v>
      </c>
      <c r="B241" t="s">
        <v>624</v>
      </c>
      <c r="C241" s="1">
        <f t="shared" ca="1" si="15"/>
        <v>45648</v>
      </c>
      <c r="D241" t="str">
        <f t="shared" ca="1" si="16"/>
        <v>December</v>
      </c>
      <c r="E241" t="s">
        <v>29</v>
      </c>
      <c r="F241" t="s">
        <v>33</v>
      </c>
      <c r="G241" t="str">
        <f t="shared" si="17"/>
        <v>Men</v>
      </c>
      <c r="H241" t="str">
        <f t="shared" ca="1" si="18"/>
        <v>Amazon</v>
      </c>
      <c r="I241">
        <f t="shared" ca="1" si="19"/>
        <v>42</v>
      </c>
      <c r="J241" t="s">
        <v>625</v>
      </c>
      <c r="K241" t="s">
        <v>27</v>
      </c>
      <c r="L241" t="s">
        <v>40</v>
      </c>
      <c r="M241">
        <v>1</v>
      </c>
      <c r="N241" t="s">
        <v>20</v>
      </c>
      <c r="O241">
        <v>435</v>
      </c>
      <c r="P241" t="s">
        <v>88</v>
      </c>
      <c r="Q241" t="s">
        <v>89</v>
      </c>
      <c r="R241" t="s">
        <v>23</v>
      </c>
    </row>
    <row r="242" spans="1:18" x14ac:dyDescent="0.35">
      <c r="A242">
        <v>240</v>
      </c>
      <c r="B242" t="s">
        <v>626</v>
      </c>
      <c r="C242" s="1">
        <f t="shared" ca="1" si="15"/>
        <v>45467</v>
      </c>
      <c r="D242" t="str">
        <f t="shared" ca="1" si="16"/>
        <v>June</v>
      </c>
      <c r="E242" t="s">
        <v>29</v>
      </c>
      <c r="F242" t="s">
        <v>33</v>
      </c>
      <c r="G242" t="str">
        <f t="shared" si="17"/>
        <v>Women</v>
      </c>
      <c r="H242" t="str">
        <f t="shared" ca="1" si="18"/>
        <v>Amazon</v>
      </c>
      <c r="I242">
        <f t="shared" ca="1" si="19"/>
        <v>41</v>
      </c>
      <c r="J242" t="s">
        <v>105</v>
      </c>
      <c r="K242" t="s">
        <v>18</v>
      </c>
      <c r="L242" t="s">
        <v>101</v>
      </c>
      <c r="M242">
        <v>1</v>
      </c>
      <c r="N242" t="s">
        <v>20</v>
      </c>
      <c r="O242">
        <v>563</v>
      </c>
      <c r="P242" t="s">
        <v>499</v>
      </c>
      <c r="Q242" t="s">
        <v>31</v>
      </c>
      <c r="R242" t="s">
        <v>23</v>
      </c>
    </row>
    <row r="243" spans="1:18" x14ac:dyDescent="0.35">
      <c r="A243">
        <v>241</v>
      </c>
      <c r="B243" t="s">
        <v>627</v>
      </c>
      <c r="C243" s="1">
        <f t="shared" ca="1" si="15"/>
        <v>45629</v>
      </c>
      <c r="D243" t="str">
        <f t="shared" ca="1" si="16"/>
        <v>December</v>
      </c>
      <c r="E243" t="s">
        <v>29</v>
      </c>
      <c r="F243" t="s">
        <v>33</v>
      </c>
      <c r="G243" t="str">
        <f t="shared" si="17"/>
        <v>Men</v>
      </c>
      <c r="H243" t="str">
        <f t="shared" ca="1" si="18"/>
        <v>Amazon</v>
      </c>
      <c r="I243">
        <f t="shared" ca="1" si="19"/>
        <v>25</v>
      </c>
      <c r="J243" t="s">
        <v>628</v>
      </c>
      <c r="K243" t="s">
        <v>27</v>
      </c>
      <c r="L243" t="s">
        <v>68</v>
      </c>
      <c r="M243">
        <v>1</v>
      </c>
      <c r="N243" t="s">
        <v>20</v>
      </c>
      <c r="O243">
        <v>399</v>
      </c>
      <c r="P243" t="s">
        <v>562</v>
      </c>
      <c r="Q243" t="s">
        <v>223</v>
      </c>
      <c r="R243" t="s">
        <v>23</v>
      </c>
    </row>
    <row r="244" spans="1:18" x14ac:dyDescent="0.35">
      <c r="A244">
        <v>242</v>
      </c>
      <c r="B244" t="s">
        <v>629</v>
      </c>
      <c r="C244" s="1">
        <f t="shared" ca="1" si="15"/>
        <v>45100</v>
      </c>
      <c r="D244" t="str">
        <f t="shared" ca="1" si="16"/>
        <v>June</v>
      </c>
      <c r="E244" t="s">
        <v>15</v>
      </c>
      <c r="F244" t="s">
        <v>33</v>
      </c>
      <c r="G244" t="str">
        <f t="shared" si="17"/>
        <v>Women</v>
      </c>
      <c r="H244" t="str">
        <f t="shared" ca="1" si="18"/>
        <v>Amazon</v>
      </c>
      <c r="I244">
        <f t="shared" ca="1" si="19"/>
        <v>42</v>
      </c>
      <c r="J244" t="s">
        <v>542</v>
      </c>
      <c r="K244" t="s">
        <v>44</v>
      </c>
      <c r="L244" t="s">
        <v>19</v>
      </c>
      <c r="M244">
        <v>0</v>
      </c>
      <c r="P244" t="s">
        <v>543</v>
      </c>
      <c r="Q244" t="s">
        <v>22</v>
      </c>
      <c r="R244" t="s">
        <v>23</v>
      </c>
    </row>
    <row r="245" spans="1:18" x14ac:dyDescent="0.35">
      <c r="A245">
        <v>243</v>
      </c>
      <c r="B245" t="s">
        <v>630</v>
      </c>
      <c r="C245" s="1">
        <f t="shared" ca="1" si="15"/>
        <v>45408</v>
      </c>
      <c r="D245" t="str">
        <f t="shared" ca="1" si="16"/>
        <v>April</v>
      </c>
      <c r="E245" t="s">
        <v>29</v>
      </c>
      <c r="F245" t="s">
        <v>33</v>
      </c>
      <c r="G245" t="str">
        <f t="shared" si="17"/>
        <v>Women</v>
      </c>
      <c r="H245" t="str">
        <f t="shared" ca="1" si="18"/>
        <v>Amazon</v>
      </c>
      <c r="I245">
        <f t="shared" ca="1" si="19"/>
        <v>44</v>
      </c>
      <c r="J245" t="s">
        <v>631</v>
      </c>
      <c r="K245" t="s">
        <v>18</v>
      </c>
      <c r="L245" t="s">
        <v>62</v>
      </c>
      <c r="M245">
        <v>1</v>
      </c>
      <c r="N245" t="s">
        <v>20</v>
      </c>
      <c r="O245">
        <v>1338</v>
      </c>
      <c r="P245" t="s">
        <v>170</v>
      </c>
      <c r="Q245" t="s">
        <v>171</v>
      </c>
      <c r="R245" t="s">
        <v>23</v>
      </c>
    </row>
    <row r="246" spans="1:18" x14ac:dyDescent="0.35">
      <c r="A246">
        <v>244</v>
      </c>
      <c r="B246" t="s">
        <v>632</v>
      </c>
      <c r="C246" s="1">
        <f t="shared" ca="1" si="15"/>
        <v>45149</v>
      </c>
      <c r="D246" t="str">
        <f t="shared" ca="1" si="16"/>
        <v>August</v>
      </c>
      <c r="E246" t="s">
        <v>633</v>
      </c>
      <c r="F246" t="s">
        <v>16</v>
      </c>
      <c r="G246" t="str">
        <f t="shared" si="17"/>
        <v>Women</v>
      </c>
      <c r="H246" t="str">
        <f t="shared" ca="1" si="18"/>
        <v>Myntra</v>
      </c>
      <c r="I246">
        <f t="shared" ca="1" si="19"/>
        <v>27</v>
      </c>
      <c r="J246" t="s">
        <v>365</v>
      </c>
      <c r="K246" t="s">
        <v>18</v>
      </c>
      <c r="L246" t="s">
        <v>68</v>
      </c>
      <c r="M246">
        <v>1</v>
      </c>
      <c r="N246" t="s">
        <v>20</v>
      </c>
      <c r="O246">
        <v>1115</v>
      </c>
      <c r="P246" t="s">
        <v>634</v>
      </c>
      <c r="Q246" t="s">
        <v>171</v>
      </c>
      <c r="R246" t="s">
        <v>23</v>
      </c>
    </row>
    <row r="247" spans="1:18" x14ac:dyDescent="0.35">
      <c r="A247">
        <v>245</v>
      </c>
      <c r="B247" t="s">
        <v>635</v>
      </c>
      <c r="C247" s="1">
        <f t="shared" ca="1" si="15"/>
        <v>44989</v>
      </c>
      <c r="D247" t="str">
        <f t="shared" ca="1" si="16"/>
        <v>March</v>
      </c>
      <c r="E247" t="s">
        <v>29</v>
      </c>
      <c r="F247" t="s">
        <v>33</v>
      </c>
      <c r="G247" t="str">
        <f t="shared" si="17"/>
        <v>Men</v>
      </c>
      <c r="H247" t="str">
        <f t="shared" ca="1" si="18"/>
        <v>Amazon</v>
      </c>
      <c r="I247">
        <f t="shared" ca="1" si="19"/>
        <v>40</v>
      </c>
      <c r="J247" t="s">
        <v>87</v>
      </c>
      <c r="K247" t="s">
        <v>27</v>
      </c>
      <c r="L247" t="s">
        <v>35</v>
      </c>
      <c r="M247">
        <v>1</v>
      </c>
      <c r="N247" t="s">
        <v>20</v>
      </c>
      <c r="O247">
        <v>399</v>
      </c>
      <c r="P247" t="s">
        <v>30</v>
      </c>
      <c r="Q247" t="s">
        <v>31</v>
      </c>
      <c r="R247" t="s">
        <v>23</v>
      </c>
    </row>
    <row r="248" spans="1:18" x14ac:dyDescent="0.35">
      <c r="A248">
        <v>246</v>
      </c>
      <c r="B248" t="s">
        <v>636</v>
      </c>
      <c r="C248" s="1">
        <f t="shared" ca="1" si="15"/>
        <v>45648</v>
      </c>
      <c r="D248" t="str">
        <f t="shared" ca="1" si="16"/>
        <v>December</v>
      </c>
      <c r="E248" t="s">
        <v>25</v>
      </c>
      <c r="F248" t="s">
        <v>16</v>
      </c>
      <c r="G248" t="str">
        <f t="shared" si="17"/>
        <v>Women</v>
      </c>
      <c r="H248" t="str">
        <f t="shared" ca="1" si="18"/>
        <v>Flipkart</v>
      </c>
      <c r="I248">
        <f t="shared" ca="1" si="19"/>
        <v>44</v>
      </c>
      <c r="J248" t="s">
        <v>637</v>
      </c>
      <c r="K248" t="s">
        <v>18</v>
      </c>
      <c r="L248" t="s">
        <v>19</v>
      </c>
      <c r="M248">
        <v>1</v>
      </c>
      <c r="N248" t="s">
        <v>20</v>
      </c>
      <c r="O248">
        <v>499</v>
      </c>
      <c r="P248" t="s">
        <v>122</v>
      </c>
      <c r="Q248" t="s">
        <v>22</v>
      </c>
      <c r="R248" t="s">
        <v>23</v>
      </c>
    </row>
    <row r="249" spans="1:18" x14ac:dyDescent="0.35">
      <c r="A249">
        <v>247</v>
      </c>
      <c r="B249" t="s">
        <v>638</v>
      </c>
      <c r="C249" s="1">
        <f t="shared" ca="1" si="15"/>
        <v>45033</v>
      </c>
      <c r="D249" t="str">
        <f t="shared" ca="1" si="16"/>
        <v>April</v>
      </c>
      <c r="E249" t="s">
        <v>25</v>
      </c>
      <c r="F249" t="s">
        <v>16</v>
      </c>
      <c r="G249" t="str">
        <f t="shared" si="17"/>
        <v>Women</v>
      </c>
      <c r="H249" t="str">
        <f t="shared" ca="1" si="18"/>
        <v>Flipkart</v>
      </c>
      <c r="I249">
        <f t="shared" ca="1" si="19"/>
        <v>32</v>
      </c>
      <c r="J249" t="s">
        <v>639</v>
      </c>
      <c r="K249" t="s">
        <v>39</v>
      </c>
      <c r="L249" t="s">
        <v>101</v>
      </c>
      <c r="M249">
        <v>1</v>
      </c>
      <c r="N249" t="s">
        <v>20</v>
      </c>
      <c r="O249">
        <v>791</v>
      </c>
      <c r="P249" t="s">
        <v>263</v>
      </c>
      <c r="Q249" t="s">
        <v>264</v>
      </c>
      <c r="R249" t="s">
        <v>23</v>
      </c>
    </row>
    <row r="250" spans="1:18" x14ac:dyDescent="0.35">
      <c r="A250">
        <v>248</v>
      </c>
      <c r="B250" t="s">
        <v>640</v>
      </c>
      <c r="C250" s="1">
        <f t="shared" ca="1" si="15"/>
        <v>45030</v>
      </c>
      <c r="D250" t="str">
        <f t="shared" ca="1" si="16"/>
        <v>April</v>
      </c>
      <c r="E250" t="s">
        <v>29</v>
      </c>
      <c r="F250" t="s">
        <v>33</v>
      </c>
      <c r="G250" t="str">
        <f t="shared" si="17"/>
        <v>Women</v>
      </c>
      <c r="H250" t="str">
        <f t="shared" ca="1" si="18"/>
        <v>Amazon</v>
      </c>
      <c r="I250">
        <f t="shared" ca="1" si="19"/>
        <v>56</v>
      </c>
      <c r="J250" t="s">
        <v>641</v>
      </c>
      <c r="K250" t="s">
        <v>39</v>
      </c>
      <c r="L250" t="s">
        <v>101</v>
      </c>
      <c r="M250">
        <v>1</v>
      </c>
      <c r="N250" t="s">
        <v>20</v>
      </c>
      <c r="O250">
        <v>725</v>
      </c>
      <c r="P250" t="s">
        <v>595</v>
      </c>
      <c r="Q250" t="s">
        <v>286</v>
      </c>
      <c r="R250" t="s">
        <v>23</v>
      </c>
    </row>
    <row r="251" spans="1:18" x14ac:dyDescent="0.35">
      <c r="A251">
        <v>249</v>
      </c>
      <c r="B251" t="s">
        <v>642</v>
      </c>
      <c r="C251" s="1">
        <f t="shared" ca="1" si="15"/>
        <v>45253</v>
      </c>
      <c r="D251" t="str">
        <f t="shared" ca="1" si="16"/>
        <v>November</v>
      </c>
      <c r="E251" t="s">
        <v>15</v>
      </c>
      <c r="F251" t="s">
        <v>33</v>
      </c>
      <c r="G251" t="str">
        <f t="shared" si="17"/>
        <v>Men</v>
      </c>
      <c r="H251" t="str">
        <f t="shared" ca="1" si="18"/>
        <v>Amazon</v>
      </c>
      <c r="I251">
        <f t="shared" ca="1" si="19"/>
        <v>36</v>
      </c>
      <c r="J251" t="s">
        <v>643</v>
      </c>
      <c r="K251" t="s">
        <v>27</v>
      </c>
      <c r="L251" t="s">
        <v>101</v>
      </c>
      <c r="M251">
        <v>0</v>
      </c>
      <c r="P251" t="s">
        <v>30</v>
      </c>
      <c r="Q251" t="s">
        <v>31</v>
      </c>
      <c r="R251" t="s">
        <v>23</v>
      </c>
    </row>
    <row r="252" spans="1:18" x14ac:dyDescent="0.35">
      <c r="A252">
        <v>250</v>
      </c>
      <c r="B252" t="s">
        <v>644</v>
      </c>
      <c r="C252" s="1">
        <f t="shared" ca="1" si="15"/>
        <v>45615</v>
      </c>
      <c r="D252" t="str">
        <f t="shared" ca="1" si="16"/>
        <v>November</v>
      </c>
      <c r="E252" t="s">
        <v>15</v>
      </c>
      <c r="F252" t="s">
        <v>16</v>
      </c>
      <c r="G252" t="str">
        <f t="shared" si="17"/>
        <v>Men</v>
      </c>
      <c r="H252" t="str">
        <f t="shared" ca="1" si="18"/>
        <v>Flipkart</v>
      </c>
      <c r="I252">
        <f t="shared" ca="1" si="19"/>
        <v>58</v>
      </c>
      <c r="J252" t="s">
        <v>645</v>
      </c>
      <c r="K252" t="s">
        <v>27</v>
      </c>
      <c r="L252" t="s">
        <v>101</v>
      </c>
      <c r="M252">
        <v>0</v>
      </c>
      <c r="P252" t="s">
        <v>30</v>
      </c>
      <c r="Q252" t="s">
        <v>31</v>
      </c>
      <c r="R252" t="s">
        <v>23</v>
      </c>
    </row>
    <row r="253" spans="1:18" x14ac:dyDescent="0.35">
      <c r="A253">
        <v>251</v>
      </c>
      <c r="B253" t="s">
        <v>646</v>
      </c>
      <c r="C253" s="1">
        <f t="shared" ca="1" si="15"/>
        <v>45330</v>
      </c>
      <c r="D253" t="str">
        <f t="shared" ca="1" si="16"/>
        <v>February</v>
      </c>
      <c r="E253" t="s">
        <v>15</v>
      </c>
      <c r="F253" t="s">
        <v>16</v>
      </c>
      <c r="G253" t="str">
        <f t="shared" si="17"/>
        <v>Women</v>
      </c>
      <c r="H253" t="str">
        <f t="shared" ca="1" si="18"/>
        <v>Flipkart</v>
      </c>
      <c r="I253">
        <f t="shared" ca="1" si="19"/>
        <v>26</v>
      </c>
      <c r="J253" t="s">
        <v>647</v>
      </c>
      <c r="K253" t="s">
        <v>18</v>
      </c>
      <c r="L253" t="s">
        <v>101</v>
      </c>
      <c r="M253">
        <v>0</v>
      </c>
      <c r="N253" t="s">
        <v>20</v>
      </c>
      <c r="O253">
        <v>1278.57</v>
      </c>
      <c r="P253" t="s">
        <v>648</v>
      </c>
      <c r="Q253" t="s">
        <v>114</v>
      </c>
      <c r="R253" t="s">
        <v>23</v>
      </c>
    </row>
    <row r="254" spans="1:18" x14ac:dyDescent="0.35">
      <c r="A254">
        <v>252</v>
      </c>
      <c r="B254" t="s">
        <v>649</v>
      </c>
      <c r="C254" s="1">
        <f t="shared" ca="1" si="15"/>
        <v>45299</v>
      </c>
      <c r="D254" t="str">
        <f t="shared" ca="1" si="16"/>
        <v>January</v>
      </c>
      <c r="E254" t="s">
        <v>29</v>
      </c>
      <c r="F254" t="s">
        <v>33</v>
      </c>
      <c r="G254" t="str">
        <f t="shared" si="17"/>
        <v>Women</v>
      </c>
      <c r="H254" t="str">
        <f t="shared" ca="1" si="18"/>
        <v>Amazon</v>
      </c>
      <c r="I254">
        <f t="shared" ca="1" si="19"/>
        <v>20</v>
      </c>
      <c r="J254" t="s">
        <v>650</v>
      </c>
      <c r="K254" t="s">
        <v>18</v>
      </c>
      <c r="L254" t="s">
        <v>35</v>
      </c>
      <c r="M254">
        <v>1</v>
      </c>
      <c r="N254" t="s">
        <v>20</v>
      </c>
      <c r="O254">
        <v>1099</v>
      </c>
      <c r="P254" t="s">
        <v>170</v>
      </c>
      <c r="Q254" t="s">
        <v>171</v>
      </c>
      <c r="R254" t="s">
        <v>23</v>
      </c>
    </row>
    <row r="255" spans="1:18" x14ac:dyDescent="0.35">
      <c r="A255">
        <v>253</v>
      </c>
      <c r="B255" t="s">
        <v>651</v>
      </c>
      <c r="C255" s="1">
        <f t="shared" ca="1" si="15"/>
        <v>45261</v>
      </c>
      <c r="D255" t="str">
        <f t="shared" ca="1" si="16"/>
        <v>December</v>
      </c>
      <c r="E255" t="s">
        <v>25</v>
      </c>
      <c r="F255" t="s">
        <v>16</v>
      </c>
      <c r="G255" t="str">
        <f t="shared" si="17"/>
        <v>Men</v>
      </c>
      <c r="H255" t="str">
        <f t="shared" ca="1" si="18"/>
        <v>Flipkart</v>
      </c>
      <c r="I255">
        <f t="shared" ca="1" si="19"/>
        <v>54</v>
      </c>
      <c r="J255" t="s">
        <v>652</v>
      </c>
      <c r="K255" t="s">
        <v>27</v>
      </c>
      <c r="L255" t="s">
        <v>35</v>
      </c>
      <c r="M255">
        <v>1</v>
      </c>
      <c r="N255" t="s">
        <v>20</v>
      </c>
      <c r="O255">
        <v>533</v>
      </c>
      <c r="P255" t="s">
        <v>653</v>
      </c>
      <c r="Q255" t="s">
        <v>57</v>
      </c>
      <c r="R255" t="s">
        <v>23</v>
      </c>
    </row>
    <row r="256" spans="1:18" x14ac:dyDescent="0.35">
      <c r="A256">
        <v>254</v>
      </c>
      <c r="B256" t="s">
        <v>654</v>
      </c>
      <c r="C256" s="1">
        <f t="shared" ca="1" si="15"/>
        <v>45335</v>
      </c>
      <c r="D256" t="str">
        <f t="shared" ca="1" si="16"/>
        <v>February</v>
      </c>
      <c r="E256" t="s">
        <v>29</v>
      </c>
      <c r="F256" t="s">
        <v>33</v>
      </c>
      <c r="G256" t="str">
        <f t="shared" si="17"/>
        <v>Men</v>
      </c>
      <c r="H256" t="str">
        <f t="shared" ca="1" si="18"/>
        <v>Amazon</v>
      </c>
      <c r="I256">
        <f t="shared" ca="1" si="19"/>
        <v>29</v>
      </c>
      <c r="J256" t="s">
        <v>655</v>
      </c>
      <c r="K256" t="s">
        <v>27</v>
      </c>
      <c r="L256" t="s">
        <v>656</v>
      </c>
      <c r="M256">
        <v>1</v>
      </c>
      <c r="N256" t="s">
        <v>20</v>
      </c>
      <c r="O256">
        <v>696</v>
      </c>
      <c r="P256" t="s">
        <v>657</v>
      </c>
      <c r="Q256" t="s">
        <v>85</v>
      </c>
      <c r="R256" t="s">
        <v>23</v>
      </c>
    </row>
    <row r="257" spans="1:18" x14ac:dyDescent="0.35">
      <c r="A257">
        <v>255</v>
      </c>
      <c r="B257" t="s">
        <v>658</v>
      </c>
      <c r="C257" s="1">
        <f t="shared" ca="1" si="15"/>
        <v>45080</v>
      </c>
      <c r="D257" t="str">
        <f t="shared" ca="1" si="16"/>
        <v>June</v>
      </c>
      <c r="E257" t="s">
        <v>29</v>
      </c>
      <c r="F257" t="s">
        <v>33</v>
      </c>
      <c r="G257" t="str">
        <f t="shared" si="17"/>
        <v>Men</v>
      </c>
      <c r="H257" t="str">
        <f t="shared" ca="1" si="18"/>
        <v>Amazon</v>
      </c>
      <c r="I257">
        <f t="shared" ca="1" si="19"/>
        <v>51</v>
      </c>
      <c r="J257" t="s">
        <v>659</v>
      </c>
      <c r="K257" t="s">
        <v>27</v>
      </c>
      <c r="L257" t="s">
        <v>101</v>
      </c>
      <c r="M257">
        <v>1</v>
      </c>
      <c r="N257" t="s">
        <v>20</v>
      </c>
      <c r="O257">
        <v>363</v>
      </c>
      <c r="P257" t="s">
        <v>388</v>
      </c>
      <c r="Q257" t="s">
        <v>46</v>
      </c>
      <c r="R257" t="s">
        <v>23</v>
      </c>
    </row>
    <row r="258" spans="1:18" x14ac:dyDescent="0.35">
      <c r="A258">
        <v>256</v>
      </c>
      <c r="B258" t="s">
        <v>660</v>
      </c>
      <c r="C258" s="1">
        <f t="shared" ca="1" si="15"/>
        <v>45042</v>
      </c>
      <c r="D258" t="str">
        <f t="shared" ca="1" si="16"/>
        <v>April</v>
      </c>
      <c r="E258" t="s">
        <v>29</v>
      </c>
      <c r="F258" t="s">
        <v>33</v>
      </c>
      <c r="G258" t="str">
        <f t="shared" si="17"/>
        <v>Women</v>
      </c>
      <c r="H258" t="str">
        <f t="shared" ca="1" si="18"/>
        <v>Amazon</v>
      </c>
      <c r="I258">
        <f t="shared" ca="1" si="19"/>
        <v>37</v>
      </c>
      <c r="J258" t="s">
        <v>661</v>
      </c>
      <c r="K258" t="s">
        <v>18</v>
      </c>
      <c r="L258" t="s">
        <v>40</v>
      </c>
      <c r="M258">
        <v>1</v>
      </c>
      <c r="N258" t="s">
        <v>20</v>
      </c>
      <c r="O258">
        <v>631</v>
      </c>
      <c r="P258" t="s">
        <v>566</v>
      </c>
      <c r="Q258" t="s">
        <v>140</v>
      </c>
      <c r="R258" t="s">
        <v>23</v>
      </c>
    </row>
    <row r="259" spans="1:18" x14ac:dyDescent="0.35">
      <c r="A259">
        <v>257</v>
      </c>
      <c r="B259" t="s">
        <v>662</v>
      </c>
      <c r="C259" s="1">
        <f t="shared" ref="C259:C322" ca="1" si="20">RANDBETWEEN(DATE(2023,1,1), DATE(2024,12,31))</f>
        <v>45414</v>
      </c>
      <c r="D259" t="str">
        <f t="shared" ref="D259:D322" ca="1" si="21">TEXT(C259, "MMMM")</f>
        <v>May</v>
      </c>
      <c r="E259" t="s">
        <v>29</v>
      </c>
      <c r="F259" t="s">
        <v>33</v>
      </c>
      <c r="G259" t="str">
        <f t="shared" ref="G259:G322" si="22">IF(K259="Set","Women",IF(K259="Kurta","Men",IF(K259="Top","Women",IF(K259="Western Dress","Women",IF(K259="Ethnic Dress","Women",IF(K259="Saree","Women",0))))))</f>
        <v>Women</v>
      </c>
      <c r="H259" t="str">
        <f t="shared" ref="H259:H322" ca="1" si="23">IF(F259="Merchant",IF(RAND()&gt;0.5,"Myntra","Flipkart"),IF(F259="Amazon","Amazon",0))</f>
        <v>Amazon</v>
      </c>
      <c r="I259">
        <f t="shared" ref="I259:I322" ca="1" si="24">RANDBETWEEN(18, 60)</f>
        <v>57</v>
      </c>
      <c r="J259" t="s">
        <v>663</v>
      </c>
      <c r="K259" t="s">
        <v>18</v>
      </c>
      <c r="L259" t="s">
        <v>28</v>
      </c>
      <c r="M259">
        <v>1</v>
      </c>
      <c r="N259" t="s">
        <v>20</v>
      </c>
      <c r="O259">
        <v>1115</v>
      </c>
      <c r="P259" t="s">
        <v>664</v>
      </c>
      <c r="Q259" t="s">
        <v>286</v>
      </c>
      <c r="R259" t="s">
        <v>23</v>
      </c>
    </row>
    <row r="260" spans="1:18" x14ac:dyDescent="0.35">
      <c r="A260">
        <v>258</v>
      </c>
      <c r="B260" t="s">
        <v>662</v>
      </c>
      <c r="C260" s="1">
        <f t="shared" ca="1" si="20"/>
        <v>45038</v>
      </c>
      <c r="D260" t="str">
        <f t="shared" ca="1" si="21"/>
        <v>April</v>
      </c>
      <c r="E260" t="s">
        <v>29</v>
      </c>
      <c r="F260" t="s">
        <v>33</v>
      </c>
      <c r="G260" t="str">
        <f t="shared" si="22"/>
        <v>Women</v>
      </c>
      <c r="H260" t="str">
        <f t="shared" ca="1" si="23"/>
        <v>Amazon</v>
      </c>
      <c r="I260">
        <f t="shared" ca="1" si="24"/>
        <v>45</v>
      </c>
      <c r="J260" t="s">
        <v>665</v>
      </c>
      <c r="K260" t="s">
        <v>18</v>
      </c>
      <c r="L260" t="s">
        <v>28</v>
      </c>
      <c r="M260">
        <v>1</v>
      </c>
      <c r="N260" t="s">
        <v>20</v>
      </c>
      <c r="O260">
        <v>968</v>
      </c>
      <c r="P260" t="s">
        <v>664</v>
      </c>
      <c r="Q260" t="s">
        <v>286</v>
      </c>
      <c r="R260" t="s">
        <v>23</v>
      </c>
    </row>
    <row r="261" spans="1:18" x14ac:dyDescent="0.35">
      <c r="A261">
        <v>259</v>
      </c>
      <c r="B261" t="s">
        <v>666</v>
      </c>
      <c r="C261" s="1">
        <f t="shared" ca="1" si="20"/>
        <v>45123</v>
      </c>
      <c r="D261" t="str">
        <f t="shared" ca="1" si="21"/>
        <v>July</v>
      </c>
      <c r="E261" t="s">
        <v>29</v>
      </c>
      <c r="F261" t="s">
        <v>33</v>
      </c>
      <c r="G261" t="str">
        <f t="shared" si="22"/>
        <v>Men</v>
      </c>
      <c r="H261" t="str">
        <f t="shared" ca="1" si="23"/>
        <v>Amazon</v>
      </c>
      <c r="I261">
        <f t="shared" ca="1" si="24"/>
        <v>30</v>
      </c>
      <c r="J261" t="s">
        <v>667</v>
      </c>
      <c r="K261" t="s">
        <v>27</v>
      </c>
      <c r="L261" t="s">
        <v>62</v>
      </c>
      <c r="M261">
        <v>1</v>
      </c>
      <c r="N261" t="s">
        <v>20</v>
      </c>
      <c r="O261">
        <v>486</v>
      </c>
      <c r="P261" t="s">
        <v>213</v>
      </c>
      <c r="Q261" t="s">
        <v>22</v>
      </c>
      <c r="R261" t="s">
        <v>23</v>
      </c>
    </row>
    <row r="262" spans="1:18" x14ac:dyDescent="0.35">
      <c r="A262">
        <v>260</v>
      </c>
      <c r="B262" t="s">
        <v>666</v>
      </c>
      <c r="C262" s="1">
        <f t="shared" ca="1" si="20"/>
        <v>45576</v>
      </c>
      <c r="D262" t="str">
        <f t="shared" ca="1" si="21"/>
        <v>October</v>
      </c>
      <c r="E262" t="s">
        <v>29</v>
      </c>
      <c r="F262" t="s">
        <v>33</v>
      </c>
      <c r="G262" t="str">
        <f t="shared" si="22"/>
        <v>Women</v>
      </c>
      <c r="H262" t="str">
        <f t="shared" ca="1" si="23"/>
        <v>Amazon</v>
      </c>
      <c r="I262">
        <f t="shared" ca="1" si="24"/>
        <v>20</v>
      </c>
      <c r="J262" t="s">
        <v>668</v>
      </c>
      <c r="K262" t="s">
        <v>18</v>
      </c>
      <c r="L262" t="s">
        <v>62</v>
      </c>
      <c r="M262">
        <v>1</v>
      </c>
      <c r="N262" t="s">
        <v>20</v>
      </c>
      <c r="O262">
        <v>597</v>
      </c>
      <c r="P262" t="s">
        <v>213</v>
      </c>
      <c r="Q262" t="s">
        <v>22</v>
      </c>
      <c r="R262" t="s">
        <v>23</v>
      </c>
    </row>
    <row r="263" spans="1:18" x14ac:dyDescent="0.35">
      <c r="A263">
        <v>261</v>
      </c>
      <c r="B263" t="s">
        <v>669</v>
      </c>
      <c r="C263" s="1">
        <f t="shared" ca="1" si="20"/>
        <v>45410</v>
      </c>
      <c r="D263" t="str">
        <f t="shared" ca="1" si="21"/>
        <v>April</v>
      </c>
      <c r="E263" t="s">
        <v>25</v>
      </c>
      <c r="F263" t="s">
        <v>16</v>
      </c>
      <c r="G263" t="str">
        <f t="shared" si="22"/>
        <v>Women</v>
      </c>
      <c r="H263" t="str">
        <f t="shared" ca="1" si="23"/>
        <v>Myntra</v>
      </c>
      <c r="I263">
        <f t="shared" ca="1" si="24"/>
        <v>22</v>
      </c>
      <c r="J263" t="s">
        <v>670</v>
      </c>
      <c r="K263" t="s">
        <v>18</v>
      </c>
      <c r="L263" t="s">
        <v>28</v>
      </c>
      <c r="M263">
        <v>1</v>
      </c>
      <c r="N263" t="s">
        <v>20</v>
      </c>
      <c r="O263">
        <v>563</v>
      </c>
      <c r="P263" t="s">
        <v>213</v>
      </c>
      <c r="Q263" t="s">
        <v>22</v>
      </c>
      <c r="R263" t="s">
        <v>23</v>
      </c>
    </row>
    <row r="264" spans="1:18" x14ac:dyDescent="0.35">
      <c r="A264">
        <v>262</v>
      </c>
      <c r="B264" t="s">
        <v>671</v>
      </c>
      <c r="C264" s="1">
        <f t="shared" ca="1" si="20"/>
        <v>45190</v>
      </c>
      <c r="D264" t="str">
        <f t="shared" ca="1" si="21"/>
        <v>September</v>
      </c>
      <c r="E264" t="s">
        <v>29</v>
      </c>
      <c r="F264" t="s">
        <v>33</v>
      </c>
      <c r="G264" t="str">
        <f t="shared" si="22"/>
        <v>Women</v>
      </c>
      <c r="H264" t="str">
        <f t="shared" ca="1" si="23"/>
        <v>Amazon</v>
      </c>
      <c r="I264">
        <f t="shared" ca="1" si="24"/>
        <v>46</v>
      </c>
      <c r="J264" t="s">
        <v>498</v>
      </c>
      <c r="K264" t="s">
        <v>18</v>
      </c>
      <c r="L264" t="s">
        <v>40</v>
      </c>
      <c r="M264">
        <v>1</v>
      </c>
      <c r="N264" t="s">
        <v>20</v>
      </c>
      <c r="O264">
        <v>597</v>
      </c>
      <c r="P264" t="s">
        <v>45</v>
      </c>
      <c r="Q264" t="s">
        <v>46</v>
      </c>
      <c r="R264" t="s">
        <v>23</v>
      </c>
    </row>
    <row r="265" spans="1:18" x14ac:dyDescent="0.35">
      <c r="A265">
        <v>263</v>
      </c>
      <c r="B265" t="s">
        <v>672</v>
      </c>
      <c r="C265" s="1">
        <f t="shared" ca="1" si="20"/>
        <v>45154</v>
      </c>
      <c r="D265" t="str">
        <f t="shared" ca="1" si="21"/>
        <v>August</v>
      </c>
      <c r="E265" t="s">
        <v>25</v>
      </c>
      <c r="F265" t="s">
        <v>16</v>
      </c>
      <c r="G265" t="str">
        <f t="shared" si="22"/>
        <v>Men</v>
      </c>
      <c r="H265" t="str">
        <f t="shared" ca="1" si="23"/>
        <v>Flipkart</v>
      </c>
      <c r="I265">
        <f t="shared" ca="1" si="24"/>
        <v>33</v>
      </c>
      <c r="J265" t="s">
        <v>91</v>
      </c>
      <c r="K265" t="s">
        <v>27</v>
      </c>
      <c r="L265" t="s">
        <v>62</v>
      </c>
      <c r="M265">
        <v>1</v>
      </c>
      <c r="N265" t="s">
        <v>20</v>
      </c>
      <c r="O265">
        <v>458</v>
      </c>
      <c r="P265" t="s">
        <v>673</v>
      </c>
      <c r="Q265" t="s">
        <v>171</v>
      </c>
      <c r="R265" t="s">
        <v>23</v>
      </c>
    </row>
    <row r="266" spans="1:18" x14ac:dyDescent="0.35">
      <c r="A266">
        <v>264</v>
      </c>
      <c r="B266" t="s">
        <v>674</v>
      </c>
      <c r="C266" s="1">
        <f t="shared" ca="1" si="20"/>
        <v>45242</v>
      </c>
      <c r="D266" t="str">
        <f t="shared" ca="1" si="21"/>
        <v>November</v>
      </c>
      <c r="E266" t="s">
        <v>29</v>
      </c>
      <c r="F266" t="s">
        <v>33</v>
      </c>
      <c r="G266" t="str">
        <f t="shared" si="22"/>
        <v>Women</v>
      </c>
      <c r="H266" t="str">
        <f t="shared" ca="1" si="23"/>
        <v>Amazon</v>
      </c>
      <c r="I266">
        <f t="shared" ca="1" si="24"/>
        <v>56</v>
      </c>
      <c r="J266" t="s">
        <v>675</v>
      </c>
      <c r="K266" t="s">
        <v>18</v>
      </c>
      <c r="L266" t="s">
        <v>19</v>
      </c>
      <c r="M266">
        <v>1</v>
      </c>
      <c r="N266" t="s">
        <v>20</v>
      </c>
      <c r="O266">
        <v>1065</v>
      </c>
      <c r="P266" t="s">
        <v>676</v>
      </c>
      <c r="Q266" t="s">
        <v>264</v>
      </c>
      <c r="R266" t="s">
        <v>23</v>
      </c>
    </row>
    <row r="267" spans="1:18" x14ac:dyDescent="0.35">
      <c r="A267">
        <v>265</v>
      </c>
      <c r="B267" t="s">
        <v>677</v>
      </c>
      <c r="C267" s="1">
        <f t="shared" ca="1" si="20"/>
        <v>45245</v>
      </c>
      <c r="D267" t="str">
        <f t="shared" ca="1" si="21"/>
        <v>November</v>
      </c>
      <c r="E267" t="s">
        <v>29</v>
      </c>
      <c r="F267" t="s">
        <v>33</v>
      </c>
      <c r="G267" t="str">
        <f t="shared" si="22"/>
        <v>Women</v>
      </c>
      <c r="H267" t="str">
        <f t="shared" ca="1" si="23"/>
        <v>Amazon</v>
      </c>
      <c r="I267">
        <f t="shared" ca="1" si="24"/>
        <v>56</v>
      </c>
      <c r="J267" t="s">
        <v>678</v>
      </c>
      <c r="K267" t="s">
        <v>18</v>
      </c>
      <c r="L267" t="s">
        <v>62</v>
      </c>
      <c r="M267">
        <v>2</v>
      </c>
      <c r="N267" t="s">
        <v>20</v>
      </c>
      <c r="O267">
        <v>2130</v>
      </c>
      <c r="P267" t="s">
        <v>21</v>
      </c>
      <c r="Q267" t="s">
        <v>22</v>
      </c>
      <c r="R267" t="s">
        <v>23</v>
      </c>
    </row>
    <row r="268" spans="1:18" x14ac:dyDescent="0.35">
      <c r="A268">
        <v>266</v>
      </c>
      <c r="B268" t="s">
        <v>679</v>
      </c>
      <c r="C268" s="1">
        <f t="shared" ca="1" si="20"/>
        <v>45411</v>
      </c>
      <c r="D268" t="str">
        <f t="shared" ca="1" si="21"/>
        <v>April</v>
      </c>
      <c r="E268" t="s">
        <v>25</v>
      </c>
      <c r="F268" t="s">
        <v>16</v>
      </c>
      <c r="G268" t="str">
        <f t="shared" si="22"/>
        <v>Women</v>
      </c>
      <c r="H268" t="str">
        <f t="shared" ca="1" si="23"/>
        <v>Myntra</v>
      </c>
      <c r="I268">
        <f t="shared" ca="1" si="24"/>
        <v>41</v>
      </c>
      <c r="J268" t="s">
        <v>680</v>
      </c>
      <c r="K268" t="s">
        <v>18</v>
      </c>
      <c r="L268" t="s">
        <v>62</v>
      </c>
      <c r="M268">
        <v>1</v>
      </c>
      <c r="N268" t="s">
        <v>20</v>
      </c>
      <c r="O268">
        <v>1099</v>
      </c>
      <c r="P268" t="s">
        <v>21</v>
      </c>
      <c r="Q268" t="s">
        <v>22</v>
      </c>
      <c r="R268" t="s">
        <v>23</v>
      </c>
    </row>
    <row r="269" spans="1:18" x14ac:dyDescent="0.35">
      <c r="A269">
        <v>267</v>
      </c>
      <c r="B269" t="s">
        <v>681</v>
      </c>
      <c r="C269" s="1">
        <f t="shared" ca="1" si="20"/>
        <v>45535</v>
      </c>
      <c r="D269" t="str">
        <f t="shared" ca="1" si="21"/>
        <v>August</v>
      </c>
      <c r="E269" t="s">
        <v>29</v>
      </c>
      <c r="F269" t="s">
        <v>33</v>
      </c>
      <c r="G269" t="str">
        <f t="shared" si="22"/>
        <v>Women</v>
      </c>
      <c r="H269" t="str">
        <f t="shared" ca="1" si="23"/>
        <v>Amazon</v>
      </c>
      <c r="I269">
        <f t="shared" ca="1" si="24"/>
        <v>47</v>
      </c>
      <c r="J269" t="s">
        <v>682</v>
      </c>
      <c r="K269" t="s">
        <v>39</v>
      </c>
      <c r="L269" t="s">
        <v>19</v>
      </c>
      <c r="M269">
        <v>1</v>
      </c>
      <c r="N269" t="s">
        <v>20</v>
      </c>
      <c r="O269">
        <v>721</v>
      </c>
      <c r="P269" t="s">
        <v>683</v>
      </c>
      <c r="Q269" t="s">
        <v>161</v>
      </c>
      <c r="R269" t="s">
        <v>23</v>
      </c>
    </row>
    <row r="270" spans="1:18" x14ac:dyDescent="0.35">
      <c r="A270">
        <v>268</v>
      </c>
      <c r="B270" t="s">
        <v>684</v>
      </c>
      <c r="C270" s="1">
        <f t="shared" ca="1" si="20"/>
        <v>45369</v>
      </c>
      <c r="D270" t="str">
        <f t="shared" ca="1" si="21"/>
        <v>March</v>
      </c>
      <c r="E270" t="s">
        <v>29</v>
      </c>
      <c r="F270" t="s">
        <v>33</v>
      </c>
      <c r="G270" t="str">
        <f t="shared" si="22"/>
        <v>Women</v>
      </c>
      <c r="H270" t="str">
        <f t="shared" ca="1" si="23"/>
        <v>Amazon</v>
      </c>
      <c r="I270">
        <f t="shared" ca="1" si="24"/>
        <v>26</v>
      </c>
      <c r="J270" t="s">
        <v>685</v>
      </c>
      <c r="K270" t="s">
        <v>18</v>
      </c>
      <c r="L270" t="s">
        <v>35</v>
      </c>
      <c r="M270">
        <v>1</v>
      </c>
      <c r="N270" t="s">
        <v>20</v>
      </c>
      <c r="O270">
        <v>968</v>
      </c>
      <c r="P270" t="s">
        <v>686</v>
      </c>
      <c r="Q270" t="s">
        <v>50</v>
      </c>
      <c r="R270" t="s">
        <v>23</v>
      </c>
    </row>
    <row r="271" spans="1:18" x14ac:dyDescent="0.35">
      <c r="A271">
        <v>269</v>
      </c>
      <c r="B271" t="s">
        <v>687</v>
      </c>
      <c r="C271" s="1">
        <f t="shared" ca="1" si="20"/>
        <v>45280</v>
      </c>
      <c r="D271" t="str">
        <f t="shared" ca="1" si="21"/>
        <v>December</v>
      </c>
      <c r="E271" t="s">
        <v>29</v>
      </c>
      <c r="F271" t="s">
        <v>33</v>
      </c>
      <c r="G271" t="str">
        <f t="shared" si="22"/>
        <v>Women</v>
      </c>
      <c r="H271" t="str">
        <f t="shared" ca="1" si="23"/>
        <v>Amazon</v>
      </c>
      <c r="I271">
        <f t="shared" ca="1" si="24"/>
        <v>49</v>
      </c>
      <c r="J271" t="s">
        <v>688</v>
      </c>
      <c r="K271" t="s">
        <v>18</v>
      </c>
      <c r="L271" t="s">
        <v>62</v>
      </c>
      <c r="M271">
        <v>1</v>
      </c>
      <c r="N271" t="s">
        <v>20</v>
      </c>
      <c r="O271">
        <v>563</v>
      </c>
      <c r="P271" t="s">
        <v>133</v>
      </c>
      <c r="Q271" t="s">
        <v>50</v>
      </c>
      <c r="R271" t="s">
        <v>23</v>
      </c>
    </row>
    <row r="272" spans="1:18" x14ac:dyDescent="0.35">
      <c r="A272">
        <v>270</v>
      </c>
      <c r="B272" t="s">
        <v>689</v>
      </c>
      <c r="C272" s="1">
        <f t="shared" ca="1" si="20"/>
        <v>45125</v>
      </c>
      <c r="D272" t="str">
        <f t="shared" ca="1" si="21"/>
        <v>July</v>
      </c>
      <c r="E272" t="s">
        <v>15</v>
      </c>
      <c r="F272" t="s">
        <v>16</v>
      </c>
      <c r="G272" t="str">
        <f t="shared" si="22"/>
        <v>Women</v>
      </c>
      <c r="H272" t="str">
        <f t="shared" ca="1" si="23"/>
        <v>Flipkart</v>
      </c>
      <c r="I272">
        <f t="shared" ca="1" si="24"/>
        <v>32</v>
      </c>
      <c r="J272" t="s">
        <v>690</v>
      </c>
      <c r="K272" t="s">
        <v>18</v>
      </c>
      <c r="L272" t="s">
        <v>19</v>
      </c>
      <c r="M272">
        <v>0</v>
      </c>
      <c r="N272" t="s">
        <v>20</v>
      </c>
      <c r="O272">
        <v>995.54</v>
      </c>
      <c r="P272" t="s">
        <v>30</v>
      </c>
      <c r="Q272" t="s">
        <v>31</v>
      </c>
      <c r="R272" t="s">
        <v>23</v>
      </c>
    </row>
    <row r="273" spans="1:18" x14ac:dyDescent="0.35">
      <c r="A273">
        <v>271</v>
      </c>
      <c r="B273" t="s">
        <v>691</v>
      </c>
      <c r="C273" s="1">
        <f t="shared" ca="1" si="20"/>
        <v>45461</v>
      </c>
      <c r="D273" t="str">
        <f t="shared" ca="1" si="21"/>
        <v>June</v>
      </c>
      <c r="E273" t="s">
        <v>15</v>
      </c>
      <c r="F273" t="s">
        <v>33</v>
      </c>
      <c r="G273" t="str">
        <f t="shared" si="22"/>
        <v>Women</v>
      </c>
      <c r="H273" t="str">
        <f t="shared" ca="1" si="23"/>
        <v>Amazon</v>
      </c>
      <c r="I273">
        <f t="shared" ca="1" si="24"/>
        <v>55</v>
      </c>
      <c r="J273" t="s">
        <v>692</v>
      </c>
      <c r="K273" t="s">
        <v>18</v>
      </c>
      <c r="L273" t="s">
        <v>35</v>
      </c>
      <c r="M273">
        <v>0</v>
      </c>
      <c r="P273" t="s">
        <v>285</v>
      </c>
      <c r="Q273" t="s">
        <v>286</v>
      </c>
      <c r="R273" t="s">
        <v>23</v>
      </c>
    </row>
    <row r="274" spans="1:18" x14ac:dyDescent="0.35">
      <c r="A274">
        <v>272</v>
      </c>
      <c r="B274" t="s">
        <v>693</v>
      </c>
      <c r="C274" s="1">
        <f t="shared" ca="1" si="20"/>
        <v>45404</v>
      </c>
      <c r="D274" t="str">
        <f t="shared" ca="1" si="21"/>
        <v>April</v>
      </c>
      <c r="E274" t="s">
        <v>29</v>
      </c>
      <c r="F274" t="s">
        <v>33</v>
      </c>
      <c r="G274" t="str">
        <f t="shared" si="22"/>
        <v>Women</v>
      </c>
      <c r="H274" t="str">
        <f t="shared" ca="1" si="23"/>
        <v>Amazon</v>
      </c>
      <c r="I274">
        <f t="shared" ca="1" si="24"/>
        <v>23</v>
      </c>
      <c r="J274" t="s">
        <v>694</v>
      </c>
      <c r="K274" t="s">
        <v>18</v>
      </c>
      <c r="L274" t="s">
        <v>19</v>
      </c>
      <c r="M274">
        <v>1</v>
      </c>
      <c r="N274" t="s">
        <v>20</v>
      </c>
      <c r="O274">
        <v>682</v>
      </c>
      <c r="P274" t="s">
        <v>49</v>
      </c>
      <c r="Q274" t="s">
        <v>50</v>
      </c>
      <c r="R274" t="s">
        <v>23</v>
      </c>
    </row>
    <row r="275" spans="1:18" x14ac:dyDescent="0.35">
      <c r="A275">
        <v>273</v>
      </c>
      <c r="B275" t="s">
        <v>695</v>
      </c>
      <c r="C275" s="1">
        <f t="shared" ca="1" si="20"/>
        <v>45422</v>
      </c>
      <c r="D275" t="str">
        <f t="shared" ca="1" si="21"/>
        <v>May</v>
      </c>
      <c r="E275" t="s">
        <v>29</v>
      </c>
      <c r="F275" t="s">
        <v>33</v>
      </c>
      <c r="G275" t="str">
        <f t="shared" si="22"/>
        <v>Men</v>
      </c>
      <c r="H275" t="str">
        <f t="shared" ca="1" si="23"/>
        <v>Amazon</v>
      </c>
      <c r="I275">
        <f t="shared" ca="1" si="24"/>
        <v>49</v>
      </c>
      <c r="J275" t="s">
        <v>87</v>
      </c>
      <c r="K275" t="s">
        <v>27</v>
      </c>
      <c r="L275" t="s">
        <v>35</v>
      </c>
      <c r="M275">
        <v>1</v>
      </c>
      <c r="N275" t="s">
        <v>20</v>
      </c>
      <c r="O275">
        <v>399</v>
      </c>
      <c r="P275" t="s">
        <v>696</v>
      </c>
      <c r="Q275" t="s">
        <v>378</v>
      </c>
      <c r="R275" t="s">
        <v>23</v>
      </c>
    </row>
    <row r="276" spans="1:18" x14ac:dyDescent="0.35">
      <c r="A276">
        <v>274</v>
      </c>
      <c r="B276" t="s">
        <v>697</v>
      </c>
      <c r="C276" s="1">
        <f t="shared" ca="1" si="20"/>
        <v>45452</v>
      </c>
      <c r="D276" t="str">
        <f t="shared" ca="1" si="21"/>
        <v>June</v>
      </c>
      <c r="E276" t="s">
        <v>29</v>
      </c>
      <c r="F276" t="s">
        <v>33</v>
      </c>
      <c r="G276" t="str">
        <f t="shared" si="22"/>
        <v>Women</v>
      </c>
      <c r="H276" t="str">
        <f t="shared" ca="1" si="23"/>
        <v>Amazon</v>
      </c>
      <c r="I276">
        <f t="shared" ca="1" si="24"/>
        <v>23</v>
      </c>
      <c r="J276" t="s">
        <v>100</v>
      </c>
      <c r="K276" t="s">
        <v>18</v>
      </c>
      <c r="L276" t="s">
        <v>101</v>
      </c>
      <c r="M276">
        <v>1</v>
      </c>
      <c r="N276" t="s">
        <v>20</v>
      </c>
      <c r="O276">
        <v>626</v>
      </c>
      <c r="P276" t="s">
        <v>45</v>
      </c>
      <c r="Q276" t="s">
        <v>46</v>
      </c>
      <c r="R276" t="s">
        <v>23</v>
      </c>
    </row>
    <row r="277" spans="1:18" x14ac:dyDescent="0.35">
      <c r="A277">
        <v>275</v>
      </c>
      <c r="B277" t="s">
        <v>698</v>
      </c>
      <c r="C277" s="1">
        <f t="shared" ca="1" si="20"/>
        <v>45340</v>
      </c>
      <c r="D277" t="str">
        <f t="shared" ca="1" si="21"/>
        <v>February</v>
      </c>
      <c r="E277" t="s">
        <v>29</v>
      </c>
      <c r="F277" t="s">
        <v>33</v>
      </c>
      <c r="G277" t="str">
        <f t="shared" si="22"/>
        <v>Women</v>
      </c>
      <c r="H277" t="str">
        <f t="shared" ca="1" si="23"/>
        <v>Amazon</v>
      </c>
      <c r="I277">
        <f t="shared" ca="1" si="24"/>
        <v>34</v>
      </c>
      <c r="J277" t="s">
        <v>699</v>
      </c>
      <c r="K277" t="s">
        <v>18</v>
      </c>
      <c r="L277" t="s">
        <v>101</v>
      </c>
      <c r="M277">
        <v>1</v>
      </c>
      <c r="N277" t="s">
        <v>20</v>
      </c>
      <c r="O277">
        <v>1140</v>
      </c>
      <c r="P277" t="s">
        <v>700</v>
      </c>
      <c r="Q277" t="s">
        <v>57</v>
      </c>
      <c r="R277" t="s">
        <v>23</v>
      </c>
    </row>
    <row r="278" spans="1:18" x14ac:dyDescent="0.35">
      <c r="A278">
        <v>276</v>
      </c>
      <c r="B278" t="s">
        <v>701</v>
      </c>
      <c r="C278" s="1">
        <f t="shared" ca="1" si="20"/>
        <v>45122</v>
      </c>
      <c r="D278" t="str">
        <f t="shared" ca="1" si="21"/>
        <v>July</v>
      </c>
      <c r="E278" t="s">
        <v>29</v>
      </c>
      <c r="F278" t="s">
        <v>33</v>
      </c>
      <c r="G278" t="str">
        <f t="shared" si="22"/>
        <v>Men</v>
      </c>
      <c r="H278" t="str">
        <f t="shared" ca="1" si="23"/>
        <v>Amazon</v>
      </c>
      <c r="I278">
        <f t="shared" ca="1" si="24"/>
        <v>23</v>
      </c>
      <c r="J278" t="s">
        <v>702</v>
      </c>
      <c r="K278" t="s">
        <v>27</v>
      </c>
      <c r="L278" t="s">
        <v>101</v>
      </c>
      <c r="M278">
        <v>1</v>
      </c>
      <c r="N278" t="s">
        <v>20</v>
      </c>
      <c r="O278">
        <v>486</v>
      </c>
      <c r="P278" t="s">
        <v>703</v>
      </c>
      <c r="Q278" t="s">
        <v>297</v>
      </c>
      <c r="R278" t="s">
        <v>23</v>
      </c>
    </row>
    <row r="279" spans="1:18" x14ac:dyDescent="0.35">
      <c r="A279">
        <v>277</v>
      </c>
      <c r="B279" t="s">
        <v>704</v>
      </c>
      <c r="C279" s="1">
        <f t="shared" ca="1" si="20"/>
        <v>45206</v>
      </c>
      <c r="D279" t="str">
        <f t="shared" ca="1" si="21"/>
        <v>October</v>
      </c>
      <c r="E279" t="s">
        <v>29</v>
      </c>
      <c r="F279" t="s">
        <v>33</v>
      </c>
      <c r="G279" t="str">
        <f t="shared" si="22"/>
        <v>Women</v>
      </c>
      <c r="H279" t="str">
        <f t="shared" ca="1" si="23"/>
        <v>Amazon</v>
      </c>
      <c r="I279">
        <f t="shared" ca="1" si="24"/>
        <v>57</v>
      </c>
      <c r="J279" t="s">
        <v>705</v>
      </c>
      <c r="K279" t="s">
        <v>18</v>
      </c>
      <c r="L279" t="s">
        <v>68</v>
      </c>
      <c r="M279">
        <v>1</v>
      </c>
      <c r="N279" t="s">
        <v>20</v>
      </c>
      <c r="O279">
        <v>597</v>
      </c>
      <c r="P279" t="s">
        <v>30</v>
      </c>
      <c r="Q279" t="s">
        <v>31</v>
      </c>
      <c r="R279" t="s">
        <v>23</v>
      </c>
    </row>
    <row r="280" spans="1:18" x14ac:dyDescent="0.35">
      <c r="A280">
        <v>278</v>
      </c>
      <c r="B280" t="s">
        <v>706</v>
      </c>
      <c r="C280" s="1">
        <f t="shared" ca="1" si="20"/>
        <v>45550</v>
      </c>
      <c r="D280" t="str">
        <f t="shared" ca="1" si="21"/>
        <v>September</v>
      </c>
      <c r="E280" t="s">
        <v>29</v>
      </c>
      <c r="F280" t="s">
        <v>33</v>
      </c>
      <c r="G280" t="str">
        <f t="shared" si="22"/>
        <v>Men</v>
      </c>
      <c r="H280" t="str">
        <f t="shared" ca="1" si="23"/>
        <v>Amazon</v>
      </c>
      <c r="I280">
        <f t="shared" ca="1" si="24"/>
        <v>39</v>
      </c>
      <c r="J280" t="s">
        <v>707</v>
      </c>
      <c r="K280" t="s">
        <v>27</v>
      </c>
      <c r="L280" t="s">
        <v>35</v>
      </c>
      <c r="M280">
        <v>1</v>
      </c>
      <c r="N280" t="s">
        <v>20</v>
      </c>
      <c r="O280">
        <v>399</v>
      </c>
      <c r="P280" t="s">
        <v>708</v>
      </c>
      <c r="Q280" t="s">
        <v>31</v>
      </c>
      <c r="R280" t="s">
        <v>23</v>
      </c>
    </row>
    <row r="281" spans="1:18" x14ac:dyDescent="0.35">
      <c r="A281">
        <v>279</v>
      </c>
      <c r="B281" t="s">
        <v>709</v>
      </c>
      <c r="C281" s="1">
        <f t="shared" ca="1" si="20"/>
        <v>45076</v>
      </c>
      <c r="D281" t="str">
        <f t="shared" ca="1" si="21"/>
        <v>May</v>
      </c>
      <c r="E281" t="s">
        <v>29</v>
      </c>
      <c r="F281" t="s">
        <v>33</v>
      </c>
      <c r="G281" t="str">
        <f t="shared" si="22"/>
        <v>Women</v>
      </c>
      <c r="H281" t="str">
        <f t="shared" ca="1" si="23"/>
        <v>Amazon</v>
      </c>
      <c r="I281">
        <f t="shared" ca="1" si="24"/>
        <v>34</v>
      </c>
      <c r="J281" t="s">
        <v>710</v>
      </c>
      <c r="K281" t="s">
        <v>18</v>
      </c>
      <c r="L281" t="s">
        <v>101</v>
      </c>
      <c r="M281">
        <v>1</v>
      </c>
      <c r="N281" t="s">
        <v>20</v>
      </c>
      <c r="O281">
        <v>660</v>
      </c>
      <c r="P281" t="s">
        <v>711</v>
      </c>
      <c r="Q281" t="s">
        <v>81</v>
      </c>
      <c r="R281" t="s">
        <v>23</v>
      </c>
    </row>
    <row r="282" spans="1:18" x14ac:dyDescent="0.35">
      <c r="A282">
        <v>280</v>
      </c>
      <c r="B282" t="s">
        <v>712</v>
      </c>
      <c r="C282" s="1">
        <f t="shared" ca="1" si="20"/>
        <v>45018</v>
      </c>
      <c r="D282" t="str">
        <f t="shared" ca="1" si="21"/>
        <v>April</v>
      </c>
      <c r="E282" t="s">
        <v>29</v>
      </c>
      <c r="F282" t="s">
        <v>33</v>
      </c>
      <c r="G282" t="str">
        <f t="shared" si="22"/>
        <v>Men</v>
      </c>
      <c r="H282" t="str">
        <f t="shared" ca="1" si="23"/>
        <v>Amazon</v>
      </c>
      <c r="I282">
        <f t="shared" ca="1" si="24"/>
        <v>38</v>
      </c>
      <c r="J282" t="s">
        <v>713</v>
      </c>
      <c r="K282" t="s">
        <v>27</v>
      </c>
      <c r="L282" t="s">
        <v>35</v>
      </c>
      <c r="M282">
        <v>1</v>
      </c>
      <c r="N282" t="s">
        <v>20</v>
      </c>
      <c r="O282">
        <v>459</v>
      </c>
      <c r="P282" t="s">
        <v>56</v>
      </c>
      <c r="Q282" t="s">
        <v>57</v>
      </c>
      <c r="R282" t="s">
        <v>23</v>
      </c>
    </row>
    <row r="283" spans="1:18" x14ac:dyDescent="0.35">
      <c r="A283">
        <v>281</v>
      </c>
      <c r="B283" t="s">
        <v>714</v>
      </c>
      <c r="C283" s="1">
        <f t="shared" ca="1" si="20"/>
        <v>44942</v>
      </c>
      <c r="D283" t="str">
        <f t="shared" ca="1" si="21"/>
        <v>January</v>
      </c>
      <c r="E283" t="s">
        <v>29</v>
      </c>
      <c r="F283" t="s">
        <v>33</v>
      </c>
      <c r="G283" t="str">
        <f t="shared" si="22"/>
        <v>Women</v>
      </c>
      <c r="H283" t="str">
        <f t="shared" ca="1" si="23"/>
        <v>Amazon</v>
      </c>
      <c r="I283">
        <f t="shared" ca="1" si="24"/>
        <v>60</v>
      </c>
      <c r="J283" t="s">
        <v>715</v>
      </c>
      <c r="K283" t="s">
        <v>18</v>
      </c>
      <c r="L283" t="s">
        <v>68</v>
      </c>
      <c r="M283">
        <v>1</v>
      </c>
      <c r="N283" t="s">
        <v>20</v>
      </c>
      <c r="O283">
        <v>631</v>
      </c>
      <c r="P283" t="s">
        <v>88</v>
      </c>
      <c r="Q283" t="s">
        <v>89</v>
      </c>
      <c r="R283" t="s">
        <v>23</v>
      </c>
    </row>
    <row r="284" spans="1:18" x14ac:dyDescent="0.35">
      <c r="A284">
        <v>282</v>
      </c>
      <c r="B284" t="s">
        <v>716</v>
      </c>
      <c r="C284" s="1">
        <f t="shared" ca="1" si="20"/>
        <v>44984</v>
      </c>
      <c r="D284" t="str">
        <f t="shared" ca="1" si="21"/>
        <v>February</v>
      </c>
      <c r="E284" t="s">
        <v>25</v>
      </c>
      <c r="F284" t="s">
        <v>16</v>
      </c>
      <c r="G284" t="str">
        <f t="shared" si="22"/>
        <v>Men</v>
      </c>
      <c r="H284" t="str">
        <f t="shared" ca="1" si="23"/>
        <v>Myntra</v>
      </c>
      <c r="I284">
        <f t="shared" ca="1" si="24"/>
        <v>40</v>
      </c>
      <c r="J284" t="s">
        <v>645</v>
      </c>
      <c r="K284" t="s">
        <v>27</v>
      </c>
      <c r="L284" t="s">
        <v>101</v>
      </c>
      <c r="M284">
        <v>1</v>
      </c>
      <c r="N284" t="s">
        <v>20</v>
      </c>
      <c r="O284">
        <v>459</v>
      </c>
      <c r="P284" t="s">
        <v>133</v>
      </c>
      <c r="Q284" t="s">
        <v>50</v>
      </c>
      <c r="R284" t="s">
        <v>23</v>
      </c>
    </row>
    <row r="285" spans="1:18" x14ac:dyDescent="0.35">
      <c r="A285">
        <v>283</v>
      </c>
      <c r="B285" t="s">
        <v>717</v>
      </c>
      <c r="C285" s="1">
        <f t="shared" ca="1" si="20"/>
        <v>45185</v>
      </c>
      <c r="D285" t="str">
        <f t="shared" ca="1" si="21"/>
        <v>September</v>
      </c>
      <c r="E285" t="s">
        <v>15</v>
      </c>
      <c r="F285" t="s">
        <v>33</v>
      </c>
      <c r="G285" t="str">
        <f t="shared" si="22"/>
        <v>Women</v>
      </c>
      <c r="H285" t="str">
        <f t="shared" ca="1" si="23"/>
        <v>Amazon</v>
      </c>
      <c r="I285">
        <f t="shared" ca="1" si="24"/>
        <v>57</v>
      </c>
      <c r="J285" t="s">
        <v>705</v>
      </c>
      <c r="K285" t="s">
        <v>18</v>
      </c>
      <c r="L285" t="s">
        <v>68</v>
      </c>
      <c r="M285">
        <v>1</v>
      </c>
      <c r="N285" t="s">
        <v>20</v>
      </c>
      <c r="O285">
        <v>597</v>
      </c>
      <c r="P285" t="s">
        <v>30</v>
      </c>
      <c r="Q285" t="s">
        <v>31</v>
      </c>
      <c r="R285" t="s">
        <v>23</v>
      </c>
    </row>
    <row r="286" spans="1:18" x14ac:dyDescent="0.35">
      <c r="A286">
        <v>284</v>
      </c>
      <c r="B286" t="s">
        <v>718</v>
      </c>
      <c r="C286" s="1">
        <f t="shared" ca="1" si="20"/>
        <v>45052</v>
      </c>
      <c r="D286" t="str">
        <f t="shared" ca="1" si="21"/>
        <v>May</v>
      </c>
      <c r="E286" t="s">
        <v>29</v>
      </c>
      <c r="F286" t="s">
        <v>33</v>
      </c>
      <c r="G286" t="str">
        <f t="shared" si="22"/>
        <v>Women</v>
      </c>
      <c r="H286" t="str">
        <f t="shared" ca="1" si="23"/>
        <v>Amazon</v>
      </c>
      <c r="I286">
        <f t="shared" ca="1" si="24"/>
        <v>49</v>
      </c>
      <c r="J286" t="s">
        <v>301</v>
      </c>
      <c r="K286" t="s">
        <v>18</v>
      </c>
      <c r="L286" t="s">
        <v>19</v>
      </c>
      <c r="M286">
        <v>1</v>
      </c>
      <c r="N286" t="s">
        <v>20</v>
      </c>
      <c r="O286">
        <v>852</v>
      </c>
      <c r="P286" t="s">
        <v>30</v>
      </c>
      <c r="Q286" t="s">
        <v>31</v>
      </c>
      <c r="R286" t="s">
        <v>23</v>
      </c>
    </row>
    <row r="287" spans="1:18" x14ac:dyDescent="0.35">
      <c r="A287">
        <v>285</v>
      </c>
      <c r="B287" t="s">
        <v>719</v>
      </c>
      <c r="C287" s="1">
        <f t="shared" ca="1" si="20"/>
        <v>45206</v>
      </c>
      <c r="D287" t="str">
        <f t="shared" ca="1" si="21"/>
        <v>October</v>
      </c>
      <c r="E287" t="s">
        <v>29</v>
      </c>
      <c r="F287" t="s">
        <v>33</v>
      </c>
      <c r="G287" t="str">
        <f t="shared" si="22"/>
        <v>Men</v>
      </c>
      <c r="H287" t="str">
        <f t="shared" ca="1" si="23"/>
        <v>Amazon</v>
      </c>
      <c r="I287">
        <f t="shared" ca="1" si="24"/>
        <v>46</v>
      </c>
      <c r="J287" t="s">
        <v>444</v>
      </c>
      <c r="K287" t="s">
        <v>27</v>
      </c>
      <c r="L287" t="s">
        <v>35</v>
      </c>
      <c r="M287">
        <v>1</v>
      </c>
      <c r="N287" t="s">
        <v>20</v>
      </c>
      <c r="O287">
        <v>353</v>
      </c>
      <c r="P287" t="s">
        <v>720</v>
      </c>
      <c r="Q287" t="s">
        <v>57</v>
      </c>
      <c r="R287" t="s">
        <v>23</v>
      </c>
    </row>
    <row r="288" spans="1:18" x14ac:dyDescent="0.35">
      <c r="A288">
        <v>286</v>
      </c>
      <c r="B288" t="s">
        <v>721</v>
      </c>
      <c r="C288" s="1">
        <f t="shared" ca="1" si="20"/>
        <v>45008</v>
      </c>
      <c r="D288" t="str">
        <f t="shared" ca="1" si="21"/>
        <v>March</v>
      </c>
      <c r="E288" t="s">
        <v>29</v>
      </c>
      <c r="F288" t="s">
        <v>33</v>
      </c>
      <c r="G288" t="str">
        <f t="shared" si="22"/>
        <v>Men</v>
      </c>
      <c r="H288" t="str">
        <f t="shared" ca="1" si="23"/>
        <v>Amazon</v>
      </c>
      <c r="I288">
        <f t="shared" ca="1" si="24"/>
        <v>48</v>
      </c>
      <c r="J288" t="s">
        <v>722</v>
      </c>
      <c r="K288" t="s">
        <v>27</v>
      </c>
      <c r="L288" t="s">
        <v>40</v>
      </c>
      <c r="M288">
        <v>1</v>
      </c>
      <c r="N288" t="s">
        <v>20</v>
      </c>
      <c r="O288">
        <v>345</v>
      </c>
      <c r="P288" t="s">
        <v>30</v>
      </c>
      <c r="Q288" t="s">
        <v>31</v>
      </c>
      <c r="R288" t="s">
        <v>23</v>
      </c>
    </row>
    <row r="289" spans="1:18" x14ac:dyDescent="0.35">
      <c r="A289">
        <v>287</v>
      </c>
      <c r="B289" t="s">
        <v>721</v>
      </c>
      <c r="C289" s="1">
        <f t="shared" ca="1" si="20"/>
        <v>45272</v>
      </c>
      <c r="D289" t="str">
        <f t="shared" ca="1" si="21"/>
        <v>December</v>
      </c>
      <c r="E289" t="s">
        <v>29</v>
      </c>
      <c r="F289" t="s">
        <v>33</v>
      </c>
      <c r="G289" t="str">
        <f t="shared" si="22"/>
        <v>Men</v>
      </c>
      <c r="H289" t="str">
        <f t="shared" ca="1" si="23"/>
        <v>Amazon</v>
      </c>
      <c r="I289">
        <f t="shared" ca="1" si="24"/>
        <v>21</v>
      </c>
      <c r="J289" t="s">
        <v>246</v>
      </c>
      <c r="K289" t="s">
        <v>27</v>
      </c>
      <c r="L289" t="s">
        <v>40</v>
      </c>
      <c r="M289">
        <v>1</v>
      </c>
      <c r="N289" t="s">
        <v>20</v>
      </c>
      <c r="O289">
        <v>329</v>
      </c>
      <c r="P289" t="s">
        <v>30</v>
      </c>
      <c r="Q289" t="s">
        <v>31</v>
      </c>
      <c r="R289" t="s">
        <v>23</v>
      </c>
    </row>
    <row r="290" spans="1:18" x14ac:dyDescent="0.35">
      <c r="A290">
        <v>288</v>
      </c>
      <c r="B290" t="s">
        <v>723</v>
      </c>
      <c r="C290" s="1">
        <f t="shared" ca="1" si="20"/>
        <v>45384</v>
      </c>
      <c r="D290" t="str">
        <f t="shared" ca="1" si="21"/>
        <v>April</v>
      </c>
      <c r="E290" t="s">
        <v>29</v>
      </c>
      <c r="F290" t="s">
        <v>33</v>
      </c>
      <c r="G290" t="str">
        <f t="shared" si="22"/>
        <v>Women</v>
      </c>
      <c r="H290" t="str">
        <f t="shared" ca="1" si="23"/>
        <v>Amazon</v>
      </c>
      <c r="I290">
        <f t="shared" ca="1" si="24"/>
        <v>19</v>
      </c>
      <c r="J290" t="s">
        <v>724</v>
      </c>
      <c r="K290" t="s">
        <v>44</v>
      </c>
      <c r="L290" t="s">
        <v>28</v>
      </c>
      <c r="M290">
        <v>1</v>
      </c>
      <c r="N290" t="s">
        <v>20</v>
      </c>
      <c r="O290">
        <v>518</v>
      </c>
      <c r="P290" t="s">
        <v>725</v>
      </c>
      <c r="Q290" t="s">
        <v>171</v>
      </c>
      <c r="R290" t="s">
        <v>23</v>
      </c>
    </row>
    <row r="291" spans="1:18" x14ac:dyDescent="0.35">
      <c r="A291">
        <v>289</v>
      </c>
      <c r="B291" t="s">
        <v>726</v>
      </c>
      <c r="C291" s="1">
        <f t="shared" ca="1" si="20"/>
        <v>45256</v>
      </c>
      <c r="D291" t="str">
        <f t="shared" ca="1" si="21"/>
        <v>November</v>
      </c>
      <c r="E291" t="s">
        <v>29</v>
      </c>
      <c r="F291" t="s">
        <v>33</v>
      </c>
      <c r="G291" t="str">
        <f t="shared" si="22"/>
        <v>Women</v>
      </c>
      <c r="H291" t="str">
        <f t="shared" ca="1" si="23"/>
        <v>Amazon</v>
      </c>
      <c r="I291">
        <f t="shared" ca="1" si="24"/>
        <v>21</v>
      </c>
      <c r="J291" t="s">
        <v>727</v>
      </c>
      <c r="K291" t="s">
        <v>44</v>
      </c>
      <c r="L291" t="s">
        <v>68</v>
      </c>
      <c r="M291">
        <v>1</v>
      </c>
      <c r="N291" t="s">
        <v>20</v>
      </c>
      <c r="O291">
        <v>387</v>
      </c>
      <c r="P291" t="s">
        <v>728</v>
      </c>
      <c r="Q291" t="s">
        <v>171</v>
      </c>
      <c r="R291" t="s">
        <v>23</v>
      </c>
    </row>
    <row r="292" spans="1:18" x14ac:dyDescent="0.35">
      <c r="A292">
        <v>290</v>
      </c>
      <c r="B292" t="s">
        <v>729</v>
      </c>
      <c r="C292" s="1">
        <f t="shared" ca="1" si="20"/>
        <v>45147</v>
      </c>
      <c r="D292" t="str">
        <f t="shared" ca="1" si="21"/>
        <v>August</v>
      </c>
      <c r="E292" t="s">
        <v>25</v>
      </c>
      <c r="F292" t="s">
        <v>16</v>
      </c>
      <c r="G292" t="str">
        <f t="shared" si="22"/>
        <v>Women</v>
      </c>
      <c r="H292" t="str">
        <f t="shared" ca="1" si="23"/>
        <v>Flipkart</v>
      </c>
      <c r="I292">
        <f t="shared" ca="1" si="24"/>
        <v>56</v>
      </c>
      <c r="J292" t="s">
        <v>730</v>
      </c>
      <c r="K292" t="s">
        <v>44</v>
      </c>
      <c r="L292" t="s">
        <v>35</v>
      </c>
      <c r="M292">
        <v>1</v>
      </c>
      <c r="N292" t="s">
        <v>20</v>
      </c>
      <c r="O292">
        <v>339</v>
      </c>
      <c r="P292" t="s">
        <v>56</v>
      </c>
      <c r="Q292" t="s">
        <v>57</v>
      </c>
      <c r="R292" t="s">
        <v>23</v>
      </c>
    </row>
    <row r="293" spans="1:18" x14ac:dyDescent="0.35">
      <c r="A293">
        <v>291</v>
      </c>
      <c r="B293" t="s">
        <v>731</v>
      </c>
      <c r="C293" s="1">
        <f t="shared" ca="1" si="20"/>
        <v>44985</v>
      </c>
      <c r="D293" t="str">
        <f t="shared" ca="1" si="21"/>
        <v>February</v>
      </c>
      <c r="E293" t="s">
        <v>29</v>
      </c>
      <c r="F293" t="s">
        <v>33</v>
      </c>
      <c r="G293" t="str">
        <f t="shared" si="22"/>
        <v>Women</v>
      </c>
      <c r="H293" t="str">
        <f t="shared" ca="1" si="23"/>
        <v>Amazon</v>
      </c>
      <c r="I293">
        <f t="shared" ca="1" si="24"/>
        <v>49</v>
      </c>
      <c r="J293" t="s">
        <v>732</v>
      </c>
      <c r="K293" t="s">
        <v>39</v>
      </c>
      <c r="L293" t="s">
        <v>40</v>
      </c>
      <c r="M293">
        <v>1</v>
      </c>
      <c r="N293" t="s">
        <v>20</v>
      </c>
      <c r="O293">
        <v>744</v>
      </c>
      <c r="P293" t="s">
        <v>683</v>
      </c>
      <c r="Q293" t="s">
        <v>161</v>
      </c>
      <c r="R293" t="s">
        <v>23</v>
      </c>
    </row>
    <row r="294" spans="1:18" x14ac:dyDescent="0.35">
      <c r="A294">
        <v>292</v>
      </c>
      <c r="B294" t="s">
        <v>733</v>
      </c>
      <c r="C294" s="1">
        <f t="shared" ca="1" si="20"/>
        <v>45043</v>
      </c>
      <c r="D294" t="str">
        <f t="shared" ca="1" si="21"/>
        <v>April</v>
      </c>
      <c r="E294" t="s">
        <v>25</v>
      </c>
      <c r="F294" t="s">
        <v>16</v>
      </c>
      <c r="G294" t="str">
        <f t="shared" si="22"/>
        <v>Women</v>
      </c>
      <c r="H294" t="str">
        <f t="shared" ca="1" si="23"/>
        <v>Myntra</v>
      </c>
      <c r="I294">
        <f t="shared" ca="1" si="24"/>
        <v>25</v>
      </c>
      <c r="J294" t="s">
        <v>734</v>
      </c>
      <c r="K294" t="s">
        <v>18</v>
      </c>
      <c r="L294" t="s">
        <v>35</v>
      </c>
      <c r="M294">
        <v>1</v>
      </c>
      <c r="N294" t="s">
        <v>20</v>
      </c>
      <c r="O294">
        <v>888</v>
      </c>
      <c r="P294" t="s">
        <v>735</v>
      </c>
      <c r="Q294" t="s">
        <v>171</v>
      </c>
      <c r="R294" t="s">
        <v>23</v>
      </c>
    </row>
    <row r="295" spans="1:18" x14ac:dyDescent="0.35">
      <c r="A295">
        <v>293</v>
      </c>
      <c r="B295" t="s">
        <v>736</v>
      </c>
      <c r="C295" s="1">
        <f t="shared" ca="1" si="20"/>
        <v>45360</v>
      </c>
      <c r="D295" t="str">
        <f t="shared" ca="1" si="21"/>
        <v>March</v>
      </c>
      <c r="E295" t="s">
        <v>29</v>
      </c>
      <c r="F295" t="s">
        <v>33</v>
      </c>
      <c r="G295" t="str">
        <f t="shared" si="22"/>
        <v>Men</v>
      </c>
      <c r="H295" t="str">
        <f t="shared" ca="1" si="23"/>
        <v>Amazon</v>
      </c>
      <c r="I295">
        <f t="shared" ca="1" si="24"/>
        <v>34</v>
      </c>
      <c r="J295" t="s">
        <v>737</v>
      </c>
      <c r="K295" t="s">
        <v>27</v>
      </c>
      <c r="L295" t="s">
        <v>28</v>
      </c>
      <c r="M295">
        <v>1</v>
      </c>
      <c r="N295" t="s">
        <v>20</v>
      </c>
      <c r="O295">
        <v>487</v>
      </c>
      <c r="P295" t="s">
        <v>738</v>
      </c>
      <c r="Q295" t="s">
        <v>140</v>
      </c>
      <c r="R295" t="s">
        <v>23</v>
      </c>
    </row>
    <row r="296" spans="1:18" x14ac:dyDescent="0.35">
      <c r="A296">
        <v>294</v>
      </c>
      <c r="B296" t="s">
        <v>739</v>
      </c>
      <c r="C296" s="1">
        <f t="shared" ca="1" si="20"/>
        <v>45532</v>
      </c>
      <c r="D296" t="str">
        <f t="shared" ca="1" si="21"/>
        <v>August</v>
      </c>
      <c r="E296" t="s">
        <v>25</v>
      </c>
      <c r="F296" t="s">
        <v>16</v>
      </c>
      <c r="G296" t="str">
        <f t="shared" si="22"/>
        <v>Men</v>
      </c>
      <c r="H296" t="str">
        <f t="shared" ca="1" si="23"/>
        <v>Flipkart</v>
      </c>
      <c r="I296">
        <f t="shared" ca="1" si="24"/>
        <v>38</v>
      </c>
      <c r="J296" t="s">
        <v>740</v>
      </c>
      <c r="K296" t="s">
        <v>27</v>
      </c>
      <c r="L296" t="s">
        <v>28</v>
      </c>
      <c r="M296">
        <v>1</v>
      </c>
      <c r="N296" t="s">
        <v>20</v>
      </c>
      <c r="O296">
        <v>487</v>
      </c>
      <c r="P296" t="s">
        <v>738</v>
      </c>
      <c r="Q296" t="s">
        <v>140</v>
      </c>
      <c r="R296" t="s">
        <v>23</v>
      </c>
    </row>
    <row r="297" spans="1:18" x14ac:dyDescent="0.35">
      <c r="A297">
        <v>295</v>
      </c>
      <c r="B297" t="s">
        <v>741</v>
      </c>
      <c r="C297" s="1">
        <f t="shared" ca="1" si="20"/>
        <v>45069</v>
      </c>
      <c r="D297" t="str">
        <f t="shared" ca="1" si="21"/>
        <v>May</v>
      </c>
      <c r="E297" t="s">
        <v>29</v>
      </c>
      <c r="F297" t="s">
        <v>33</v>
      </c>
      <c r="G297" t="str">
        <f t="shared" si="22"/>
        <v>Women</v>
      </c>
      <c r="H297" t="str">
        <f t="shared" ca="1" si="23"/>
        <v>Amazon</v>
      </c>
      <c r="I297">
        <f t="shared" ca="1" si="24"/>
        <v>43</v>
      </c>
      <c r="J297" t="s">
        <v>742</v>
      </c>
      <c r="K297" t="s">
        <v>44</v>
      </c>
      <c r="L297" t="s">
        <v>68</v>
      </c>
      <c r="M297">
        <v>1</v>
      </c>
      <c r="N297" t="s">
        <v>20</v>
      </c>
      <c r="O297">
        <v>563</v>
      </c>
      <c r="P297" t="s">
        <v>470</v>
      </c>
      <c r="Q297" t="s">
        <v>93</v>
      </c>
      <c r="R297" t="s">
        <v>23</v>
      </c>
    </row>
    <row r="298" spans="1:18" x14ac:dyDescent="0.35">
      <c r="A298">
        <v>296</v>
      </c>
      <c r="B298" t="s">
        <v>743</v>
      </c>
      <c r="C298" s="1">
        <f t="shared" ca="1" si="20"/>
        <v>45072</v>
      </c>
      <c r="D298" t="str">
        <f t="shared" ca="1" si="21"/>
        <v>May</v>
      </c>
      <c r="E298" t="s">
        <v>29</v>
      </c>
      <c r="F298" t="s">
        <v>33</v>
      </c>
      <c r="G298" t="str">
        <f t="shared" si="22"/>
        <v>Women</v>
      </c>
      <c r="H298" t="str">
        <f t="shared" ca="1" si="23"/>
        <v>Amazon</v>
      </c>
      <c r="I298">
        <f t="shared" ca="1" si="24"/>
        <v>48</v>
      </c>
      <c r="J298" t="s">
        <v>744</v>
      </c>
      <c r="K298" t="s">
        <v>39</v>
      </c>
      <c r="L298" t="s">
        <v>19</v>
      </c>
      <c r="M298">
        <v>1</v>
      </c>
      <c r="N298" t="s">
        <v>20</v>
      </c>
      <c r="O298">
        <v>859</v>
      </c>
      <c r="P298" t="s">
        <v>416</v>
      </c>
      <c r="Q298" t="s">
        <v>81</v>
      </c>
      <c r="R298" t="s">
        <v>23</v>
      </c>
    </row>
    <row r="299" spans="1:18" x14ac:dyDescent="0.35">
      <c r="A299">
        <v>297</v>
      </c>
      <c r="B299" t="s">
        <v>745</v>
      </c>
      <c r="C299" s="1">
        <f t="shared" ca="1" si="20"/>
        <v>45338</v>
      </c>
      <c r="D299" t="str">
        <f t="shared" ca="1" si="21"/>
        <v>February</v>
      </c>
      <c r="E299" t="s">
        <v>29</v>
      </c>
      <c r="F299" t="s">
        <v>33</v>
      </c>
      <c r="G299" t="str">
        <f t="shared" si="22"/>
        <v>Women</v>
      </c>
      <c r="H299" t="str">
        <f t="shared" ca="1" si="23"/>
        <v>Amazon</v>
      </c>
      <c r="I299">
        <f t="shared" ca="1" si="24"/>
        <v>40</v>
      </c>
      <c r="J299" t="s">
        <v>746</v>
      </c>
      <c r="K299" t="s">
        <v>18</v>
      </c>
      <c r="L299" t="s">
        <v>40</v>
      </c>
      <c r="M299">
        <v>1</v>
      </c>
      <c r="N299" t="s">
        <v>20</v>
      </c>
      <c r="O299">
        <v>1133</v>
      </c>
      <c r="P299" t="s">
        <v>21</v>
      </c>
      <c r="Q299" t="s">
        <v>22</v>
      </c>
      <c r="R299" t="s">
        <v>23</v>
      </c>
    </row>
    <row r="300" spans="1:18" x14ac:dyDescent="0.35">
      <c r="A300">
        <v>298</v>
      </c>
      <c r="B300" t="s">
        <v>747</v>
      </c>
      <c r="C300" s="1">
        <f t="shared" ca="1" si="20"/>
        <v>45483</v>
      </c>
      <c r="D300" t="str">
        <f t="shared" ca="1" si="21"/>
        <v>July</v>
      </c>
      <c r="E300" t="s">
        <v>29</v>
      </c>
      <c r="F300" t="s">
        <v>33</v>
      </c>
      <c r="G300" t="str">
        <f t="shared" si="22"/>
        <v>Women</v>
      </c>
      <c r="H300" t="str">
        <f t="shared" ca="1" si="23"/>
        <v>Amazon</v>
      </c>
      <c r="I300">
        <f t="shared" ca="1" si="24"/>
        <v>34</v>
      </c>
      <c r="J300" t="s">
        <v>748</v>
      </c>
      <c r="K300" t="s">
        <v>18</v>
      </c>
      <c r="L300" t="s">
        <v>68</v>
      </c>
      <c r="M300">
        <v>1</v>
      </c>
      <c r="N300" t="s">
        <v>20</v>
      </c>
      <c r="O300">
        <v>788</v>
      </c>
      <c r="P300" t="s">
        <v>749</v>
      </c>
      <c r="Q300" t="s">
        <v>22</v>
      </c>
      <c r="R300" t="s">
        <v>23</v>
      </c>
    </row>
    <row r="301" spans="1:18" x14ac:dyDescent="0.35">
      <c r="A301">
        <v>299</v>
      </c>
      <c r="B301" t="s">
        <v>750</v>
      </c>
      <c r="C301" s="1">
        <f t="shared" ca="1" si="20"/>
        <v>45253</v>
      </c>
      <c r="D301" t="str">
        <f t="shared" ca="1" si="21"/>
        <v>November</v>
      </c>
      <c r="E301" t="s">
        <v>29</v>
      </c>
      <c r="F301" t="s">
        <v>33</v>
      </c>
      <c r="G301" t="str">
        <f t="shared" si="22"/>
        <v>Women</v>
      </c>
      <c r="H301" t="str">
        <f t="shared" ca="1" si="23"/>
        <v>Amazon</v>
      </c>
      <c r="I301">
        <f t="shared" ca="1" si="24"/>
        <v>39</v>
      </c>
      <c r="J301" t="s">
        <v>751</v>
      </c>
      <c r="K301" t="s">
        <v>18</v>
      </c>
      <c r="L301" t="s">
        <v>19</v>
      </c>
      <c r="M301">
        <v>1</v>
      </c>
      <c r="N301" t="s">
        <v>20</v>
      </c>
      <c r="O301">
        <v>1463</v>
      </c>
      <c r="P301" t="s">
        <v>219</v>
      </c>
      <c r="Q301" t="s">
        <v>22</v>
      </c>
      <c r="R301" t="s">
        <v>23</v>
      </c>
    </row>
    <row r="302" spans="1:18" x14ac:dyDescent="0.35">
      <c r="A302">
        <v>300</v>
      </c>
      <c r="B302" t="s">
        <v>752</v>
      </c>
      <c r="C302" s="1">
        <f t="shared" ca="1" si="20"/>
        <v>45262</v>
      </c>
      <c r="D302" t="str">
        <f t="shared" ca="1" si="21"/>
        <v>December</v>
      </c>
      <c r="E302" t="s">
        <v>29</v>
      </c>
      <c r="F302" t="s">
        <v>33</v>
      </c>
      <c r="G302" t="str">
        <f t="shared" si="22"/>
        <v>Men</v>
      </c>
      <c r="H302" t="str">
        <f t="shared" ca="1" si="23"/>
        <v>Amazon</v>
      </c>
      <c r="I302">
        <f t="shared" ca="1" si="24"/>
        <v>49</v>
      </c>
      <c r="J302" t="s">
        <v>151</v>
      </c>
      <c r="K302" t="s">
        <v>27</v>
      </c>
      <c r="L302" t="s">
        <v>40</v>
      </c>
      <c r="M302">
        <v>1</v>
      </c>
      <c r="N302" t="s">
        <v>20</v>
      </c>
      <c r="O302">
        <v>399</v>
      </c>
      <c r="P302" t="s">
        <v>753</v>
      </c>
      <c r="Q302" t="s">
        <v>357</v>
      </c>
      <c r="R302" t="s">
        <v>23</v>
      </c>
    </row>
    <row r="303" spans="1:18" x14ac:dyDescent="0.35">
      <c r="A303">
        <v>301</v>
      </c>
      <c r="B303" t="s">
        <v>754</v>
      </c>
      <c r="C303" s="1">
        <f t="shared" ca="1" si="20"/>
        <v>45310</v>
      </c>
      <c r="D303" t="str">
        <f t="shared" ca="1" si="21"/>
        <v>January</v>
      </c>
      <c r="E303" t="s">
        <v>15</v>
      </c>
      <c r="F303" t="s">
        <v>33</v>
      </c>
      <c r="G303" t="str">
        <f t="shared" si="22"/>
        <v>Women</v>
      </c>
      <c r="H303" t="str">
        <f t="shared" ca="1" si="23"/>
        <v>Amazon</v>
      </c>
      <c r="I303">
        <f t="shared" ca="1" si="24"/>
        <v>26</v>
      </c>
      <c r="J303" t="s">
        <v>755</v>
      </c>
      <c r="K303" t="s">
        <v>39</v>
      </c>
      <c r="L303" t="s">
        <v>101</v>
      </c>
      <c r="M303">
        <v>1</v>
      </c>
      <c r="N303" t="s">
        <v>20</v>
      </c>
      <c r="O303">
        <v>744</v>
      </c>
      <c r="P303" t="s">
        <v>683</v>
      </c>
      <c r="Q303" t="s">
        <v>161</v>
      </c>
      <c r="R303" t="s">
        <v>23</v>
      </c>
    </row>
    <row r="304" spans="1:18" x14ac:dyDescent="0.35">
      <c r="A304">
        <v>302</v>
      </c>
      <c r="B304" t="s">
        <v>756</v>
      </c>
      <c r="C304" s="1">
        <f t="shared" ca="1" si="20"/>
        <v>45528</v>
      </c>
      <c r="D304" t="str">
        <f t="shared" ca="1" si="21"/>
        <v>August</v>
      </c>
      <c r="E304" t="s">
        <v>25</v>
      </c>
      <c r="F304" t="s">
        <v>16</v>
      </c>
      <c r="G304" t="str">
        <f t="shared" si="22"/>
        <v>Men</v>
      </c>
      <c r="H304" t="str">
        <f t="shared" ca="1" si="23"/>
        <v>Flipkart</v>
      </c>
      <c r="I304">
        <f t="shared" ca="1" si="24"/>
        <v>27</v>
      </c>
      <c r="J304" t="s">
        <v>757</v>
      </c>
      <c r="K304" t="s">
        <v>27</v>
      </c>
      <c r="L304" t="s">
        <v>28</v>
      </c>
      <c r="M304">
        <v>1</v>
      </c>
      <c r="N304" t="s">
        <v>20</v>
      </c>
      <c r="O304">
        <v>487</v>
      </c>
      <c r="P304" t="s">
        <v>30</v>
      </c>
      <c r="Q304" t="s">
        <v>31</v>
      </c>
      <c r="R304" t="s">
        <v>23</v>
      </c>
    </row>
    <row r="305" spans="1:18" x14ac:dyDescent="0.35">
      <c r="A305">
        <v>303</v>
      </c>
      <c r="B305" t="s">
        <v>758</v>
      </c>
      <c r="C305" s="1">
        <f t="shared" ca="1" si="20"/>
        <v>45262</v>
      </c>
      <c r="D305" t="str">
        <f t="shared" ca="1" si="21"/>
        <v>December</v>
      </c>
      <c r="E305" t="s">
        <v>29</v>
      </c>
      <c r="F305" t="s">
        <v>33</v>
      </c>
      <c r="G305" t="str">
        <f t="shared" si="22"/>
        <v>Women</v>
      </c>
      <c r="H305" t="str">
        <f t="shared" ca="1" si="23"/>
        <v>Amazon</v>
      </c>
      <c r="I305">
        <f t="shared" ca="1" si="24"/>
        <v>36</v>
      </c>
      <c r="J305" t="s">
        <v>759</v>
      </c>
      <c r="K305" t="s">
        <v>18</v>
      </c>
      <c r="L305" t="s">
        <v>40</v>
      </c>
      <c r="M305">
        <v>1</v>
      </c>
      <c r="N305" t="s">
        <v>20</v>
      </c>
      <c r="O305">
        <v>657</v>
      </c>
      <c r="P305" t="s">
        <v>206</v>
      </c>
      <c r="Q305" t="s">
        <v>31</v>
      </c>
      <c r="R305" t="s">
        <v>23</v>
      </c>
    </row>
    <row r="306" spans="1:18" x14ac:dyDescent="0.35">
      <c r="A306">
        <v>304</v>
      </c>
      <c r="B306" t="s">
        <v>760</v>
      </c>
      <c r="C306" s="1">
        <f t="shared" ca="1" si="20"/>
        <v>45263</v>
      </c>
      <c r="D306" t="str">
        <f t="shared" ca="1" si="21"/>
        <v>December</v>
      </c>
      <c r="E306" t="s">
        <v>29</v>
      </c>
      <c r="F306" t="s">
        <v>33</v>
      </c>
      <c r="G306" t="str">
        <f t="shared" si="22"/>
        <v>Women</v>
      </c>
      <c r="H306" t="str">
        <f t="shared" ca="1" si="23"/>
        <v>Amazon</v>
      </c>
      <c r="I306">
        <f t="shared" ca="1" si="24"/>
        <v>19</v>
      </c>
      <c r="J306" t="s">
        <v>761</v>
      </c>
      <c r="K306" t="s">
        <v>18</v>
      </c>
      <c r="L306" t="s">
        <v>101</v>
      </c>
      <c r="M306">
        <v>1</v>
      </c>
      <c r="N306" t="s">
        <v>20</v>
      </c>
      <c r="O306">
        <v>1133</v>
      </c>
      <c r="P306" t="s">
        <v>762</v>
      </c>
      <c r="Q306" t="s">
        <v>22</v>
      </c>
      <c r="R306" t="s">
        <v>23</v>
      </c>
    </row>
    <row r="307" spans="1:18" x14ac:dyDescent="0.35">
      <c r="A307">
        <v>305</v>
      </c>
      <c r="B307" t="s">
        <v>763</v>
      </c>
      <c r="C307" s="1">
        <f t="shared" ca="1" si="20"/>
        <v>45445</v>
      </c>
      <c r="D307" t="str">
        <f t="shared" ca="1" si="21"/>
        <v>June</v>
      </c>
      <c r="E307" t="s">
        <v>29</v>
      </c>
      <c r="F307" t="s">
        <v>33</v>
      </c>
      <c r="G307" t="str">
        <f t="shared" si="22"/>
        <v>Men</v>
      </c>
      <c r="H307" t="str">
        <f t="shared" ca="1" si="23"/>
        <v>Amazon</v>
      </c>
      <c r="I307">
        <f t="shared" ca="1" si="24"/>
        <v>22</v>
      </c>
      <c r="J307" t="s">
        <v>764</v>
      </c>
      <c r="K307" t="s">
        <v>27</v>
      </c>
      <c r="L307" t="s">
        <v>62</v>
      </c>
      <c r="M307">
        <v>1</v>
      </c>
      <c r="N307" t="s">
        <v>20</v>
      </c>
      <c r="O307">
        <v>399</v>
      </c>
      <c r="P307" t="s">
        <v>21</v>
      </c>
      <c r="Q307" t="s">
        <v>22</v>
      </c>
      <c r="R307" t="s">
        <v>23</v>
      </c>
    </row>
    <row r="308" spans="1:18" x14ac:dyDescent="0.35">
      <c r="A308">
        <v>306</v>
      </c>
      <c r="B308" t="s">
        <v>765</v>
      </c>
      <c r="C308" s="1">
        <f t="shared" ca="1" si="20"/>
        <v>45277</v>
      </c>
      <c r="D308" t="str">
        <f t="shared" ca="1" si="21"/>
        <v>December</v>
      </c>
      <c r="E308" t="s">
        <v>29</v>
      </c>
      <c r="F308" t="s">
        <v>33</v>
      </c>
      <c r="G308" t="str">
        <f t="shared" si="22"/>
        <v>Men</v>
      </c>
      <c r="H308" t="str">
        <f t="shared" ca="1" si="23"/>
        <v>Amazon</v>
      </c>
      <c r="I308">
        <f t="shared" ca="1" si="24"/>
        <v>40</v>
      </c>
      <c r="J308" t="s">
        <v>766</v>
      </c>
      <c r="K308" t="s">
        <v>27</v>
      </c>
      <c r="L308" t="s">
        <v>40</v>
      </c>
      <c r="M308">
        <v>1</v>
      </c>
      <c r="N308" t="s">
        <v>20</v>
      </c>
      <c r="O308">
        <v>399</v>
      </c>
      <c r="P308" t="s">
        <v>676</v>
      </c>
      <c r="Q308" t="s">
        <v>264</v>
      </c>
      <c r="R308" t="s">
        <v>23</v>
      </c>
    </row>
    <row r="309" spans="1:18" x14ac:dyDescent="0.35">
      <c r="A309">
        <v>307</v>
      </c>
      <c r="B309" t="s">
        <v>765</v>
      </c>
      <c r="C309" s="1">
        <f t="shared" ca="1" si="20"/>
        <v>45609</v>
      </c>
      <c r="D309" t="str">
        <f t="shared" ca="1" si="21"/>
        <v>November</v>
      </c>
      <c r="E309" t="s">
        <v>29</v>
      </c>
      <c r="F309" t="s">
        <v>33</v>
      </c>
      <c r="G309" t="str">
        <f t="shared" si="22"/>
        <v>Men</v>
      </c>
      <c r="H309" t="str">
        <f t="shared" ca="1" si="23"/>
        <v>Amazon</v>
      </c>
      <c r="I309">
        <f t="shared" ca="1" si="24"/>
        <v>42</v>
      </c>
      <c r="J309" t="s">
        <v>151</v>
      </c>
      <c r="K309" t="s">
        <v>27</v>
      </c>
      <c r="L309" t="s">
        <v>40</v>
      </c>
      <c r="M309">
        <v>1</v>
      </c>
      <c r="N309" t="s">
        <v>20</v>
      </c>
      <c r="O309">
        <v>399</v>
      </c>
      <c r="P309" t="s">
        <v>676</v>
      </c>
      <c r="Q309" t="s">
        <v>264</v>
      </c>
      <c r="R309" t="s">
        <v>23</v>
      </c>
    </row>
    <row r="310" spans="1:18" x14ac:dyDescent="0.35">
      <c r="A310">
        <v>308</v>
      </c>
      <c r="B310" t="s">
        <v>767</v>
      </c>
      <c r="C310" s="1">
        <f t="shared" ca="1" si="20"/>
        <v>45152</v>
      </c>
      <c r="D310" t="str">
        <f t="shared" ca="1" si="21"/>
        <v>August</v>
      </c>
      <c r="E310" t="s">
        <v>25</v>
      </c>
      <c r="F310" t="s">
        <v>16</v>
      </c>
      <c r="G310" t="str">
        <f t="shared" si="22"/>
        <v>Women</v>
      </c>
      <c r="H310" t="str">
        <f t="shared" ca="1" si="23"/>
        <v>Flipkart</v>
      </c>
      <c r="I310">
        <f t="shared" ca="1" si="24"/>
        <v>42</v>
      </c>
      <c r="J310" t="s">
        <v>135</v>
      </c>
      <c r="K310" t="s">
        <v>18</v>
      </c>
      <c r="L310" t="s">
        <v>101</v>
      </c>
      <c r="M310">
        <v>1</v>
      </c>
      <c r="N310" t="s">
        <v>20</v>
      </c>
      <c r="O310">
        <v>1233</v>
      </c>
      <c r="P310" t="s">
        <v>56</v>
      </c>
      <c r="Q310" t="s">
        <v>57</v>
      </c>
      <c r="R310" t="s">
        <v>23</v>
      </c>
    </row>
    <row r="311" spans="1:18" x14ac:dyDescent="0.35">
      <c r="A311">
        <v>309</v>
      </c>
      <c r="B311" t="s">
        <v>768</v>
      </c>
      <c r="C311" s="1">
        <f t="shared" ca="1" si="20"/>
        <v>44932</v>
      </c>
      <c r="D311" t="str">
        <f t="shared" ca="1" si="21"/>
        <v>January</v>
      </c>
      <c r="E311" t="s">
        <v>25</v>
      </c>
      <c r="F311" t="s">
        <v>16</v>
      </c>
      <c r="G311" t="str">
        <f t="shared" si="22"/>
        <v>Women</v>
      </c>
      <c r="H311" t="str">
        <f t="shared" ca="1" si="23"/>
        <v>Flipkart</v>
      </c>
      <c r="I311">
        <f t="shared" ca="1" si="24"/>
        <v>44</v>
      </c>
      <c r="J311" t="s">
        <v>769</v>
      </c>
      <c r="K311" t="s">
        <v>39</v>
      </c>
      <c r="L311" t="s">
        <v>28</v>
      </c>
      <c r="M311">
        <v>1</v>
      </c>
      <c r="N311" t="s">
        <v>20</v>
      </c>
      <c r="O311">
        <v>825</v>
      </c>
      <c r="P311" t="s">
        <v>30</v>
      </c>
      <c r="Q311" t="s">
        <v>31</v>
      </c>
      <c r="R311" t="s">
        <v>23</v>
      </c>
    </row>
    <row r="312" spans="1:18" x14ac:dyDescent="0.35">
      <c r="A312">
        <v>310</v>
      </c>
      <c r="B312" t="s">
        <v>770</v>
      </c>
      <c r="C312" s="1">
        <f t="shared" ca="1" si="20"/>
        <v>45101</v>
      </c>
      <c r="D312" t="str">
        <f t="shared" ca="1" si="21"/>
        <v>June</v>
      </c>
      <c r="E312" t="s">
        <v>29</v>
      </c>
      <c r="F312" t="s">
        <v>33</v>
      </c>
      <c r="G312" t="str">
        <f t="shared" si="22"/>
        <v>Women</v>
      </c>
      <c r="H312" t="str">
        <f t="shared" ca="1" si="23"/>
        <v>Amazon</v>
      </c>
      <c r="I312">
        <f t="shared" ca="1" si="24"/>
        <v>26</v>
      </c>
      <c r="J312" t="s">
        <v>771</v>
      </c>
      <c r="K312" t="s">
        <v>44</v>
      </c>
      <c r="L312" t="s">
        <v>62</v>
      </c>
      <c r="M312">
        <v>1</v>
      </c>
      <c r="N312" t="s">
        <v>20</v>
      </c>
      <c r="O312">
        <v>487</v>
      </c>
      <c r="P312" t="s">
        <v>45</v>
      </c>
      <c r="Q312" t="s">
        <v>46</v>
      </c>
      <c r="R312" t="s">
        <v>23</v>
      </c>
    </row>
    <row r="313" spans="1:18" x14ac:dyDescent="0.35">
      <c r="A313">
        <v>311</v>
      </c>
      <c r="B313" t="s">
        <v>772</v>
      </c>
      <c r="C313" s="1">
        <f t="shared" ca="1" si="20"/>
        <v>45365</v>
      </c>
      <c r="D313" t="str">
        <f t="shared" ca="1" si="21"/>
        <v>March</v>
      </c>
      <c r="E313" t="s">
        <v>29</v>
      </c>
      <c r="F313" t="s">
        <v>33</v>
      </c>
      <c r="G313" t="str">
        <f t="shared" si="22"/>
        <v>Women</v>
      </c>
      <c r="H313" t="str">
        <f t="shared" ca="1" si="23"/>
        <v>Amazon</v>
      </c>
      <c r="I313">
        <f t="shared" ca="1" si="24"/>
        <v>34</v>
      </c>
      <c r="J313" t="s">
        <v>773</v>
      </c>
      <c r="K313" t="s">
        <v>18</v>
      </c>
      <c r="L313" t="s">
        <v>62</v>
      </c>
      <c r="M313">
        <v>1</v>
      </c>
      <c r="N313" t="s">
        <v>20</v>
      </c>
      <c r="O313">
        <v>563</v>
      </c>
      <c r="P313" t="s">
        <v>56</v>
      </c>
      <c r="Q313" t="s">
        <v>57</v>
      </c>
      <c r="R313" t="s">
        <v>23</v>
      </c>
    </row>
    <row r="314" spans="1:18" x14ac:dyDescent="0.35">
      <c r="A314">
        <v>312</v>
      </c>
      <c r="B314" t="s">
        <v>774</v>
      </c>
      <c r="C314" s="1">
        <f t="shared" ca="1" si="20"/>
        <v>44945</v>
      </c>
      <c r="D314" t="str">
        <f t="shared" ca="1" si="21"/>
        <v>January</v>
      </c>
      <c r="E314" t="s">
        <v>29</v>
      </c>
      <c r="F314" t="s">
        <v>33</v>
      </c>
      <c r="G314" t="str">
        <f t="shared" si="22"/>
        <v>Men</v>
      </c>
      <c r="H314" t="str">
        <f t="shared" ca="1" si="23"/>
        <v>Amazon</v>
      </c>
      <c r="I314">
        <f t="shared" ca="1" si="24"/>
        <v>43</v>
      </c>
      <c r="J314" t="s">
        <v>775</v>
      </c>
      <c r="K314" t="s">
        <v>27</v>
      </c>
      <c r="L314" t="s">
        <v>62</v>
      </c>
      <c r="M314">
        <v>1</v>
      </c>
      <c r="N314" t="s">
        <v>20</v>
      </c>
      <c r="O314">
        <v>399</v>
      </c>
      <c r="P314" t="s">
        <v>56</v>
      </c>
      <c r="Q314" t="s">
        <v>57</v>
      </c>
      <c r="R314" t="s">
        <v>23</v>
      </c>
    </row>
    <row r="315" spans="1:18" x14ac:dyDescent="0.35">
      <c r="A315">
        <v>313</v>
      </c>
      <c r="B315" t="s">
        <v>776</v>
      </c>
      <c r="C315" s="1">
        <f t="shared" ca="1" si="20"/>
        <v>45586</v>
      </c>
      <c r="D315" t="str">
        <f t="shared" ca="1" si="21"/>
        <v>October</v>
      </c>
      <c r="E315" t="s">
        <v>25</v>
      </c>
      <c r="F315" t="s">
        <v>16</v>
      </c>
      <c r="G315" t="str">
        <f t="shared" si="22"/>
        <v>Men</v>
      </c>
      <c r="H315" t="str">
        <f t="shared" ca="1" si="23"/>
        <v>Flipkart</v>
      </c>
      <c r="I315">
        <f t="shared" ca="1" si="24"/>
        <v>52</v>
      </c>
      <c r="J315" t="s">
        <v>777</v>
      </c>
      <c r="K315" t="s">
        <v>27</v>
      </c>
      <c r="L315" t="s">
        <v>28</v>
      </c>
      <c r="M315">
        <v>1</v>
      </c>
      <c r="N315" t="s">
        <v>20</v>
      </c>
      <c r="O315">
        <v>471</v>
      </c>
      <c r="P315" t="s">
        <v>778</v>
      </c>
      <c r="Q315" t="s">
        <v>93</v>
      </c>
      <c r="R315" t="s">
        <v>23</v>
      </c>
    </row>
    <row r="316" spans="1:18" x14ac:dyDescent="0.35">
      <c r="A316">
        <v>314</v>
      </c>
      <c r="B316" t="s">
        <v>779</v>
      </c>
      <c r="C316" s="1">
        <f t="shared" ca="1" si="20"/>
        <v>44961</v>
      </c>
      <c r="D316" t="str">
        <f t="shared" ca="1" si="21"/>
        <v>February</v>
      </c>
      <c r="E316" t="s">
        <v>25</v>
      </c>
      <c r="F316" t="s">
        <v>16</v>
      </c>
      <c r="G316" t="str">
        <f t="shared" si="22"/>
        <v>Men</v>
      </c>
      <c r="H316" t="str">
        <f t="shared" ca="1" si="23"/>
        <v>Myntra</v>
      </c>
      <c r="I316">
        <f t="shared" ca="1" si="24"/>
        <v>35</v>
      </c>
      <c r="J316" t="s">
        <v>780</v>
      </c>
      <c r="K316" t="s">
        <v>27</v>
      </c>
      <c r="L316" t="s">
        <v>62</v>
      </c>
      <c r="M316">
        <v>1</v>
      </c>
      <c r="N316" t="s">
        <v>20</v>
      </c>
      <c r="O316">
        <v>342</v>
      </c>
      <c r="P316" t="s">
        <v>781</v>
      </c>
      <c r="Q316" t="s">
        <v>161</v>
      </c>
      <c r="R316" t="s">
        <v>23</v>
      </c>
    </row>
    <row r="317" spans="1:18" x14ac:dyDescent="0.35">
      <c r="A317">
        <v>315</v>
      </c>
      <c r="B317" t="s">
        <v>782</v>
      </c>
      <c r="C317" s="1">
        <f t="shared" ca="1" si="20"/>
        <v>45190</v>
      </c>
      <c r="D317" t="str">
        <f t="shared" ca="1" si="21"/>
        <v>September</v>
      </c>
      <c r="E317" t="s">
        <v>29</v>
      </c>
      <c r="F317" t="s">
        <v>33</v>
      </c>
      <c r="G317" t="str">
        <f t="shared" si="22"/>
        <v>Men</v>
      </c>
      <c r="H317" t="str">
        <f t="shared" ca="1" si="23"/>
        <v>Amazon</v>
      </c>
      <c r="I317">
        <f t="shared" ca="1" si="24"/>
        <v>33</v>
      </c>
      <c r="J317" t="s">
        <v>783</v>
      </c>
      <c r="K317" t="s">
        <v>27</v>
      </c>
      <c r="L317" t="s">
        <v>62</v>
      </c>
      <c r="M317">
        <v>1</v>
      </c>
      <c r="N317" t="s">
        <v>20</v>
      </c>
      <c r="O317">
        <v>432</v>
      </c>
      <c r="P317" t="s">
        <v>781</v>
      </c>
      <c r="Q317" t="s">
        <v>161</v>
      </c>
      <c r="R317" t="s">
        <v>23</v>
      </c>
    </row>
    <row r="318" spans="1:18" x14ac:dyDescent="0.35">
      <c r="A318">
        <v>316</v>
      </c>
      <c r="B318" t="s">
        <v>784</v>
      </c>
      <c r="C318" s="1">
        <f t="shared" ca="1" si="20"/>
        <v>44997</v>
      </c>
      <c r="D318" t="str">
        <f t="shared" ca="1" si="21"/>
        <v>March</v>
      </c>
      <c r="E318" t="s">
        <v>29</v>
      </c>
      <c r="F318" t="s">
        <v>33</v>
      </c>
      <c r="G318" t="str">
        <f t="shared" si="22"/>
        <v>Men</v>
      </c>
      <c r="H318" t="str">
        <f t="shared" ca="1" si="23"/>
        <v>Amazon</v>
      </c>
      <c r="I318">
        <f t="shared" ca="1" si="24"/>
        <v>58</v>
      </c>
      <c r="J318" t="s">
        <v>151</v>
      </c>
      <c r="K318" t="s">
        <v>27</v>
      </c>
      <c r="L318" t="s">
        <v>40</v>
      </c>
      <c r="M318">
        <v>1</v>
      </c>
      <c r="N318" t="s">
        <v>20</v>
      </c>
      <c r="O318">
        <v>399</v>
      </c>
      <c r="P318" t="s">
        <v>785</v>
      </c>
      <c r="Q318" t="s">
        <v>264</v>
      </c>
      <c r="R318" t="s">
        <v>23</v>
      </c>
    </row>
    <row r="319" spans="1:18" x14ac:dyDescent="0.35">
      <c r="A319">
        <v>317</v>
      </c>
      <c r="B319" t="s">
        <v>786</v>
      </c>
      <c r="C319" s="1">
        <f t="shared" ca="1" si="20"/>
        <v>45002</v>
      </c>
      <c r="D319" t="str">
        <f t="shared" ca="1" si="21"/>
        <v>March</v>
      </c>
      <c r="E319" t="s">
        <v>29</v>
      </c>
      <c r="F319" t="s">
        <v>33</v>
      </c>
      <c r="G319" t="str">
        <f t="shared" si="22"/>
        <v>Women</v>
      </c>
      <c r="H319" t="str">
        <f t="shared" ca="1" si="23"/>
        <v>Amazon</v>
      </c>
      <c r="I319">
        <f t="shared" ca="1" si="24"/>
        <v>22</v>
      </c>
      <c r="J319" t="s">
        <v>787</v>
      </c>
      <c r="K319" t="s">
        <v>18</v>
      </c>
      <c r="L319" t="s">
        <v>19</v>
      </c>
      <c r="M319">
        <v>1</v>
      </c>
      <c r="N319" t="s">
        <v>20</v>
      </c>
      <c r="O319">
        <v>736</v>
      </c>
      <c r="P319" t="s">
        <v>45</v>
      </c>
      <c r="Q319" t="s">
        <v>46</v>
      </c>
      <c r="R319" t="s">
        <v>23</v>
      </c>
    </row>
    <row r="320" spans="1:18" x14ac:dyDescent="0.35">
      <c r="A320">
        <v>318</v>
      </c>
      <c r="B320" t="s">
        <v>788</v>
      </c>
      <c r="C320" s="1">
        <f t="shared" ca="1" si="20"/>
        <v>44982</v>
      </c>
      <c r="D320" t="str">
        <f t="shared" ca="1" si="21"/>
        <v>February</v>
      </c>
      <c r="E320" t="s">
        <v>29</v>
      </c>
      <c r="F320" t="s">
        <v>33</v>
      </c>
      <c r="G320" t="str">
        <f t="shared" si="22"/>
        <v>Women</v>
      </c>
      <c r="H320" t="str">
        <f t="shared" ca="1" si="23"/>
        <v>Amazon</v>
      </c>
      <c r="I320">
        <f t="shared" ca="1" si="24"/>
        <v>39</v>
      </c>
      <c r="J320" t="s">
        <v>789</v>
      </c>
      <c r="K320" t="s">
        <v>18</v>
      </c>
      <c r="L320" t="s">
        <v>40</v>
      </c>
      <c r="M320">
        <v>1</v>
      </c>
      <c r="N320" t="s">
        <v>20</v>
      </c>
      <c r="O320">
        <v>1260</v>
      </c>
      <c r="P320" t="s">
        <v>21</v>
      </c>
      <c r="Q320" t="s">
        <v>22</v>
      </c>
      <c r="R320" t="s">
        <v>23</v>
      </c>
    </row>
    <row r="321" spans="1:18" x14ac:dyDescent="0.35">
      <c r="A321">
        <v>319</v>
      </c>
      <c r="B321" t="s">
        <v>790</v>
      </c>
      <c r="C321" s="1">
        <f t="shared" ca="1" si="20"/>
        <v>45142</v>
      </c>
      <c r="D321" t="str">
        <f t="shared" ca="1" si="21"/>
        <v>August</v>
      </c>
      <c r="E321" t="s">
        <v>29</v>
      </c>
      <c r="F321" t="s">
        <v>33</v>
      </c>
      <c r="G321" t="str">
        <f t="shared" si="22"/>
        <v>Men</v>
      </c>
      <c r="H321" t="str">
        <f t="shared" ca="1" si="23"/>
        <v>Amazon</v>
      </c>
      <c r="I321">
        <f t="shared" ca="1" si="24"/>
        <v>37</v>
      </c>
      <c r="J321" t="s">
        <v>151</v>
      </c>
      <c r="K321" t="s">
        <v>27</v>
      </c>
      <c r="L321" t="s">
        <v>40</v>
      </c>
      <c r="M321">
        <v>1</v>
      </c>
      <c r="N321" t="s">
        <v>20</v>
      </c>
      <c r="O321">
        <v>399</v>
      </c>
      <c r="P321" t="s">
        <v>791</v>
      </c>
      <c r="Q321" t="s">
        <v>264</v>
      </c>
      <c r="R321" t="s">
        <v>23</v>
      </c>
    </row>
    <row r="322" spans="1:18" x14ac:dyDescent="0.35">
      <c r="A322">
        <v>320</v>
      </c>
      <c r="B322" t="s">
        <v>792</v>
      </c>
      <c r="C322" s="1">
        <f t="shared" ca="1" si="20"/>
        <v>45053</v>
      </c>
      <c r="D322" t="str">
        <f t="shared" ca="1" si="21"/>
        <v>May</v>
      </c>
      <c r="E322" t="s">
        <v>29</v>
      </c>
      <c r="F322" t="s">
        <v>33</v>
      </c>
      <c r="G322" t="str">
        <f t="shared" si="22"/>
        <v>Women</v>
      </c>
      <c r="H322" t="str">
        <f t="shared" ca="1" si="23"/>
        <v>Amazon</v>
      </c>
      <c r="I322">
        <f t="shared" ca="1" si="24"/>
        <v>59</v>
      </c>
      <c r="J322" t="s">
        <v>793</v>
      </c>
      <c r="K322" t="s">
        <v>18</v>
      </c>
      <c r="L322" t="s">
        <v>68</v>
      </c>
      <c r="M322">
        <v>1</v>
      </c>
      <c r="N322" t="s">
        <v>20</v>
      </c>
      <c r="O322">
        <v>1133</v>
      </c>
      <c r="P322" t="s">
        <v>566</v>
      </c>
      <c r="Q322" t="s">
        <v>140</v>
      </c>
      <c r="R322" t="s">
        <v>23</v>
      </c>
    </row>
    <row r="323" spans="1:18" x14ac:dyDescent="0.35">
      <c r="A323">
        <v>321</v>
      </c>
      <c r="B323" t="s">
        <v>794</v>
      </c>
      <c r="C323" s="1">
        <f t="shared" ref="C323:C386" ca="1" si="25">RANDBETWEEN(DATE(2023,1,1), DATE(2024,12,31))</f>
        <v>45129</v>
      </c>
      <c r="D323" t="str">
        <f t="shared" ref="D323:D386" ca="1" si="26">TEXT(C323, "MMMM")</f>
        <v>July</v>
      </c>
      <c r="E323" t="s">
        <v>29</v>
      </c>
      <c r="F323" t="s">
        <v>33</v>
      </c>
      <c r="G323" t="str">
        <f t="shared" ref="G323:G386" si="27">IF(K323="Set","Women",IF(K323="Kurta","Men",IF(K323="Top","Women",IF(K323="Western Dress","Women",IF(K323="Ethnic Dress","Women",IF(K323="Saree","Women",0))))))</f>
        <v>Women</v>
      </c>
      <c r="H323" t="str">
        <f t="shared" ref="H323:H386" ca="1" si="28">IF(F323="Merchant",IF(RAND()&gt;0.5,"Myntra","Flipkart"),IF(F323="Amazon","Amazon",0))</f>
        <v>Amazon</v>
      </c>
      <c r="I323">
        <f t="shared" ref="I323:I386" ca="1" si="29">RANDBETWEEN(18, 60)</f>
        <v>39</v>
      </c>
      <c r="J323" t="s">
        <v>795</v>
      </c>
      <c r="K323" t="s">
        <v>18</v>
      </c>
      <c r="L323" t="s">
        <v>40</v>
      </c>
      <c r="M323">
        <v>1</v>
      </c>
      <c r="N323" t="s">
        <v>20</v>
      </c>
      <c r="O323">
        <v>759</v>
      </c>
      <c r="P323" t="s">
        <v>796</v>
      </c>
      <c r="Q323" t="s">
        <v>797</v>
      </c>
      <c r="R323" t="s">
        <v>23</v>
      </c>
    </row>
    <row r="324" spans="1:18" x14ac:dyDescent="0.35">
      <c r="A324">
        <v>322</v>
      </c>
      <c r="B324" t="s">
        <v>798</v>
      </c>
      <c r="C324" s="1">
        <f t="shared" ca="1" si="25"/>
        <v>45475</v>
      </c>
      <c r="D324" t="str">
        <f t="shared" ca="1" si="26"/>
        <v>July</v>
      </c>
      <c r="E324" t="s">
        <v>15</v>
      </c>
      <c r="F324" t="s">
        <v>33</v>
      </c>
      <c r="G324" t="str">
        <f t="shared" si="27"/>
        <v>Men</v>
      </c>
      <c r="H324" t="str">
        <f t="shared" ca="1" si="28"/>
        <v>Amazon</v>
      </c>
      <c r="I324">
        <f t="shared" ca="1" si="29"/>
        <v>42</v>
      </c>
      <c r="J324" t="s">
        <v>799</v>
      </c>
      <c r="K324" t="s">
        <v>27</v>
      </c>
      <c r="L324" t="s">
        <v>101</v>
      </c>
      <c r="M324">
        <v>1</v>
      </c>
      <c r="N324" t="s">
        <v>20</v>
      </c>
      <c r="O324">
        <v>475</v>
      </c>
      <c r="P324" t="s">
        <v>800</v>
      </c>
      <c r="Q324" t="s">
        <v>161</v>
      </c>
      <c r="R324" t="s">
        <v>23</v>
      </c>
    </row>
    <row r="325" spans="1:18" x14ac:dyDescent="0.35">
      <c r="A325">
        <v>323</v>
      </c>
      <c r="B325" t="s">
        <v>801</v>
      </c>
      <c r="C325" s="1">
        <f t="shared" ca="1" si="25"/>
        <v>45145</v>
      </c>
      <c r="D325" t="str">
        <f t="shared" ca="1" si="26"/>
        <v>August</v>
      </c>
      <c r="E325" t="s">
        <v>29</v>
      </c>
      <c r="F325" t="s">
        <v>33</v>
      </c>
      <c r="G325" t="str">
        <f t="shared" si="27"/>
        <v>Women</v>
      </c>
      <c r="H325" t="str">
        <f t="shared" ca="1" si="28"/>
        <v>Amazon</v>
      </c>
      <c r="I325">
        <f t="shared" ca="1" si="29"/>
        <v>32</v>
      </c>
      <c r="J325" t="s">
        <v>802</v>
      </c>
      <c r="K325" t="s">
        <v>39</v>
      </c>
      <c r="L325" t="s">
        <v>68</v>
      </c>
      <c r="M325">
        <v>1</v>
      </c>
      <c r="N325" t="s">
        <v>20</v>
      </c>
      <c r="O325">
        <v>744</v>
      </c>
      <c r="P325" t="s">
        <v>30</v>
      </c>
      <c r="Q325" t="s">
        <v>31</v>
      </c>
      <c r="R325" t="s">
        <v>23</v>
      </c>
    </row>
    <row r="326" spans="1:18" x14ac:dyDescent="0.35">
      <c r="A326">
        <v>324</v>
      </c>
      <c r="B326" t="s">
        <v>803</v>
      </c>
      <c r="C326" s="1">
        <f t="shared" ca="1" si="25"/>
        <v>45431</v>
      </c>
      <c r="D326" t="str">
        <f t="shared" ca="1" si="26"/>
        <v>May</v>
      </c>
      <c r="E326" t="s">
        <v>15</v>
      </c>
      <c r="F326" t="s">
        <v>16</v>
      </c>
      <c r="G326" t="str">
        <f t="shared" si="27"/>
        <v>Women</v>
      </c>
      <c r="H326" t="str">
        <f t="shared" ca="1" si="28"/>
        <v>Flipkart</v>
      </c>
      <c r="I326">
        <f t="shared" ca="1" si="29"/>
        <v>26</v>
      </c>
      <c r="J326" t="s">
        <v>804</v>
      </c>
      <c r="K326" t="s">
        <v>18</v>
      </c>
      <c r="L326" t="s">
        <v>40</v>
      </c>
      <c r="M326">
        <v>0</v>
      </c>
      <c r="N326" t="s">
        <v>20</v>
      </c>
      <c r="O326">
        <v>1902.86</v>
      </c>
      <c r="P326" t="s">
        <v>805</v>
      </c>
      <c r="Q326" t="s">
        <v>50</v>
      </c>
      <c r="R326" t="s">
        <v>23</v>
      </c>
    </row>
    <row r="327" spans="1:18" x14ac:dyDescent="0.35">
      <c r="A327">
        <v>325</v>
      </c>
      <c r="B327" t="s">
        <v>806</v>
      </c>
      <c r="C327" s="1">
        <f t="shared" ca="1" si="25"/>
        <v>44955</v>
      </c>
      <c r="D327" t="str">
        <f t="shared" ca="1" si="26"/>
        <v>January</v>
      </c>
      <c r="E327" t="s">
        <v>29</v>
      </c>
      <c r="F327" t="s">
        <v>33</v>
      </c>
      <c r="G327" t="str">
        <f t="shared" si="27"/>
        <v>Women</v>
      </c>
      <c r="H327" t="str">
        <f t="shared" ca="1" si="28"/>
        <v>Amazon</v>
      </c>
      <c r="I327">
        <f t="shared" ca="1" si="29"/>
        <v>49</v>
      </c>
      <c r="J327" t="s">
        <v>807</v>
      </c>
      <c r="K327" t="s">
        <v>39</v>
      </c>
      <c r="L327" t="s">
        <v>101</v>
      </c>
      <c r="M327">
        <v>1</v>
      </c>
      <c r="N327" t="s">
        <v>20</v>
      </c>
      <c r="O327">
        <v>771</v>
      </c>
      <c r="P327" t="s">
        <v>56</v>
      </c>
      <c r="Q327" t="s">
        <v>57</v>
      </c>
      <c r="R327" t="s">
        <v>23</v>
      </c>
    </row>
    <row r="328" spans="1:18" x14ac:dyDescent="0.35">
      <c r="A328">
        <v>326</v>
      </c>
      <c r="B328" t="s">
        <v>808</v>
      </c>
      <c r="C328" s="1">
        <f t="shared" ca="1" si="25"/>
        <v>45254</v>
      </c>
      <c r="D328" t="str">
        <f t="shared" ca="1" si="26"/>
        <v>November</v>
      </c>
      <c r="E328" t="s">
        <v>25</v>
      </c>
      <c r="F328" t="s">
        <v>16</v>
      </c>
      <c r="G328" t="str">
        <f t="shared" si="27"/>
        <v>Women</v>
      </c>
      <c r="H328" t="str">
        <f t="shared" ca="1" si="28"/>
        <v>Flipkart</v>
      </c>
      <c r="I328">
        <f t="shared" ca="1" si="29"/>
        <v>22</v>
      </c>
      <c r="J328" t="s">
        <v>594</v>
      </c>
      <c r="K328" t="s">
        <v>39</v>
      </c>
      <c r="L328" t="s">
        <v>101</v>
      </c>
      <c r="M328">
        <v>1</v>
      </c>
      <c r="N328" t="s">
        <v>20</v>
      </c>
      <c r="O328">
        <v>725</v>
      </c>
      <c r="P328" t="s">
        <v>56</v>
      </c>
      <c r="Q328" t="s">
        <v>57</v>
      </c>
      <c r="R328" t="s">
        <v>23</v>
      </c>
    </row>
    <row r="329" spans="1:18" x14ac:dyDescent="0.35">
      <c r="A329">
        <v>327</v>
      </c>
      <c r="B329" t="s">
        <v>809</v>
      </c>
      <c r="C329" s="1">
        <f t="shared" ca="1" si="25"/>
        <v>45042</v>
      </c>
      <c r="D329" t="str">
        <f t="shared" ca="1" si="26"/>
        <v>April</v>
      </c>
      <c r="E329" t="s">
        <v>15</v>
      </c>
      <c r="F329" t="s">
        <v>16</v>
      </c>
      <c r="G329" t="str">
        <f t="shared" si="27"/>
        <v>Men</v>
      </c>
      <c r="H329" t="str">
        <f t="shared" ca="1" si="28"/>
        <v>Myntra</v>
      </c>
      <c r="I329">
        <f t="shared" ca="1" si="29"/>
        <v>42</v>
      </c>
      <c r="J329" t="s">
        <v>545</v>
      </c>
      <c r="K329" t="s">
        <v>27</v>
      </c>
      <c r="L329" t="s">
        <v>19</v>
      </c>
      <c r="M329">
        <v>0</v>
      </c>
      <c r="N329" t="s">
        <v>20</v>
      </c>
      <c r="O329">
        <v>473.33</v>
      </c>
      <c r="P329" t="s">
        <v>88</v>
      </c>
      <c r="Q329" t="s">
        <v>89</v>
      </c>
      <c r="R329" t="s">
        <v>23</v>
      </c>
    </row>
    <row r="330" spans="1:18" x14ac:dyDescent="0.35">
      <c r="A330">
        <v>328</v>
      </c>
      <c r="B330" t="s">
        <v>810</v>
      </c>
      <c r="C330" s="1">
        <f t="shared" ca="1" si="25"/>
        <v>45489</v>
      </c>
      <c r="D330" t="str">
        <f t="shared" ca="1" si="26"/>
        <v>July</v>
      </c>
      <c r="E330" t="s">
        <v>15</v>
      </c>
      <c r="F330" t="s">
        <v>33</v>
      </c>
      <c r="G330" t="str">
        <f t="shared" si="27"/>
        <v>Women</v>
      </c>
      <c r="H330" t="str">
        <f t="shared" ca="1" si="28"/>
        <v>Amazon</v>
      </c>
      <c r="I330">
        <f t="shared" ca="1" si="29"/>
        <v>41</v>
      </c>
      <c r="J330" t="s">
        <v>699</v>
      </c>
      <c r="K330" t="s">
        <v>18</v>
      </c>
      <c r="L330" t="s">
        <v>101</v>
      </c>
      <c r="M330">
        <v>0</v>
      </c>
      <c r="P330" t="s">
        <v>700</v>
      </c>
      <c r="Q330" t="s">
        <v>57</v>
      </c>
      <c r="R330" t="s">
        <v>23</v>
      </c>
    </row>
    <row r="331" spans="1:18" x14ac:dyDescent="0.35">
      <c r="A331">
        <v>329</v>
      </c>
      <c r="B331" t="s">
        <v>811</v>
      </c>
      <c r="C331" s="1">
        <f t="shared" ca="1" si="25"/>
        <v>45421</v>
      </c>
      <c r="D331" t="str">
        <f t="shared" ca="1" si="26"/>
        <v>May</v>
      </c>
      <c r="E331" t="s">
        <v>25</v>
      </c>
      <c r="F331" t="s">
        <v>16</v>
      </c>
      <c r="G331" t="str">
        <f t="shared" si="27"/>
        <v>Women</v>
      </c>
      <c r="H331" t="str">
        <f t="shared" ca="1" si="28"/>
        <v>Flipkart</v>
      </c>
      <c r="I331">
        <f t="shared" ca="1" si="29"/>
        <v>41</v>
      </c>
      <c r="J331" t="s">
        <v>812</v>
      </c>
      <c r="K331" t="s">
        <v>18</v>
      </c>
      <c r="L331" t="s">
        <v>101</v>
      </c>
      <c r="M331">
        <v>1</v>
      </c>
      <c r="N331" t="s">
        <v>20</v>
      </c>
      <c r="O331">
        <v>759</v>
      </c>
      <c r="P331" t="s">
        <v>813</v>
      </c>
      <c r="Q331" t="s">
        <v>814</v>
      </c>
      <c r="R331" t="s">
        <v>23</v>
      </c>
    </row>
    <row r="332" spans="1:18" x14ac:dyDescent="0.35">
      <c r="A332">
        <v>330</v>
      </c>
      <c r="B332" t="s">
        <v>815</v>
      </c>
      <c r="C332" s="1">
        <f t="shared" ca="1" si="25"/>
        <v>45288</v>
      </c>
      <c r="D332" t="str">
        <f t="shared" ca="1" si="26"/>
        <v>December</v>
      </c>
      <c r="E332" t="s">
        <v>15</v>
      </c>
      <c r="F332" t="s">
        <v>33</v>
      </c>
      <c r="G332" t="str">
        <f t="shared" si="27"/>
        <v>Men</v>
      </c>
      <c r="H332" t="str">
        <f t="shared" ca="1" si="28"/>
        <v>Amazon</v>
      </c>
      <c r="I332">
        <f t="shared" ca="1" si="29"/>
        <v>39</v>
      </c>
      <c r="J332" t="s">
        <v>799</v>
      </c>
      <c r="K332" t="s">
        <v>27</v>
      </c>
      <c r="L332" t="s">
        <v>101</v>
      </c>
      <c r="M332">
        <v>1</v>
      </c>
      <c r="N332" t="s">
        <v>20</v>
      </c>
      <c r="O332">
        <v>475</v>
      </c>
      <c r="P332" t="s">
        <v>816</v>
      </c>
      <c r="Q332" t="s">
        <v>161</v>
      </c>
      <c r="R332" t="s">
        <v>23</v>
      </c>
    </row>
    <row r="333" spans="1:18" x14ac:dyDescent="0.35">
      <c r="A333">
        <v>331</v>
      </c>
      <c r="B333" t="s">
        <v>817</v>
      </c>
      <c r="C333" s="1">
        <f t="shared" ca="1" si="25"/>
        <v>45221</v>
      </c>
      <c r="D333" t="str">
        <f t="shared" ca="1" si="26"/>
        <v>October</v>
      </c>
      <c r="E333" t="s">
        <v>15</v>
      </c>
      <c r="F333" t="s">
        <v>33</v>
      </c>
      <c r="G333" t="str">
        <f t="shared" si="27"/>
        <v>Women</v>
      </c>
      <c r="H333" t="str">
        <f t="shared" ca="1" si="28"/>
        <v>Amazon</v>
      </c>
      <c r="I333">
        <f t="shared" ca="1" si="29"/>
        <v>55</v>
      </c>
      <c r="J333" t="s">
        <v>521</v>
      </c>
      <c r="K333" t="s">
        <v>18</v>
      </c>
      <c r="L333" t="s">
        <v>62</v>
      </c>
      <c r="M333">
        <v>1</v>
      </c>
      <c r="N333" t="s">
        <v>20</v>
      </c>
      <c r="O333">
        <v>654</v>
      </c>
      <c r="P333" t="s">
        <v>522</v>
      </c>
      <c r="Q333" t="s">
        <v>31</v>
      </c>
      <c r="R333" t="s">
        <v>23</v>
      </c>
    </row>
    <row r="334" spans="1:18" x14ac:dyDescent="0.35">
      <c r="A334">
        <v>332</v>
      </c>
      <c r="B334" t="s">
        <v>818</v>
      </c>
      <c r="C334" s="1">
        <f t="shared" ca="1" si="25"/>
        <v>44934</v>
      </c>
      <c r="D334" t="str">
        <f t="shared" ca="1" si="26"/>
        <v>January</v>
      </c>
      <c r="E334" t="s">
        <v>15</v>
      </c>
      <c r="F334" t="s">
        <v>33</v>
      </c>
      <c r="G334" t="str">
        <f t="shared" si="27"/>
        <v>Women</v>
      </c>
      <c r="H334" t="str">
        <f t="shared" ca="1" si="28"/>
        <v>Amazon</v>
      </c>
      <c r="I334">
        <f t="shared" ca="1" si="29"/>
        <v>34</v>
      </c>
      <c r="J334" t="s">
        <v>819</v>
      </c>
      <c r="K334" t="s">
        <v>39</v>
      </c>
      <c r="L334" t="s">
        <v>62</v>
      </c>
      <c r="M334">
        <v>1</v>
      </c>
      <c r="N334" t="s">
        <v>20</v>
      </c>
      <c r="O334">
        <v>791</v>
      </c>
      <c r="P334" t="s">
        <v>30</v>
      </c>
      <c r="Q334" t="s">
        <v>31</v>
      </c>
      <c r="R334" t="s">
        <v>23</v>
      </c>
    </row>
    <row r="335" spans="1:18" x14ac:dyDescent="0.35">
      <c r="A335">
        <v>333</v>
      </c>
      <c r="B335" t="s">
        <v>820</v>
      </c>
      <c r="C335" s="1">
        <f t="shared" ca="1" si="25"/>
        <v>45408</v>
      </c>
      <c r="D335" t="str">
        <f t="shared" ca="1" si="26"/>
        <v>April</v>
      </c>
      <c r="E335" t="s">
        <v>29</v>
      </c>
      <c r="F335" t="s">
        <v>33</v>
      </c>
      <c r="G335" t="str">
        <f t="shared" si="27"/>
        <v>Women</v>
      </c>
      <c r="H335" t="str">
        <f t="shared" ca="1" si="28"/>
        <v>Amazon</v>
      </c>
      <c r="I335">
        <f t="shared" ca="1" si="29"/>
        <v>20</v>
      </c>
      <c r="J335" t="s">
        <v>821</v>
      </c>
      <c r="K335" t="s">
        <v>39</v>
      </c>
      <c r="L335" t="s">
        <v>28</v>
      </c>
      <c r="M335">
        <v>1</v>
      </c>
      <c r="N335" t="s">
        <v>20</v>
      </c>
      <c r="O335">
        <v>744</v>
      </c>
      <c r="P335" t="s">
        <v>30</v>
      </c>
      <c r="Q335" t="s">
        <v>31</v>
      </c>
      <c r="R335" t="s">
        <v>23</v>
      </c>
    </row>
    <row r="336" spans="1:18" x14ac:dyDescent="0.35">
      <c r="A336">
        <v>334</v>
      </c>
      <c r="B336" t="s">
        <v>822</v>
      </c>
      <c r="C336" s="1">
        <f t="shared" ca="1" si="25"/>
        <v>45257</v>
      </c>
      <c r="D336" t="str">
        <f t="shared" ca="1" si="26"/>
        <v>November</v>
      </c>
      <c r="E336" t="s">
        <v>29</v>
      </c>
      <c r="F336" t="s">
        <v>33</v>
      </c>
      <c r="G336" t="str">
        <f t="shared" si="27"/>
        <v>Men</v>
      </c>
      <c r="H336" t="str">
        <f t="shared" ca="1" si="28"/>
        <v>Amazon</v>
      </c>
      <c r="I336">
        <f t="shared" ca="1" si="29"/>
        <v>53</v>
      </c>
      <c r="J336" t="s">
        <v>421</v>
      </c>
      <c r="K336" t="s">
        <v>27</v>
      </c>
      <c r="L336" t="s">
        <v>28</v>
      </c>
      <c r="M336">
        <v>1</v>
      </c>
      <c r="N336" t="s">
        <v>20</v>
      </c>
      <c r="O336">
        <v>376</v>
      </c>
      <c r="P336" t="s">
        <v>823</v>
      </c>
      <c r="Q336" t="s">
        <v>171</v>
      </c>
      <c r="R336" t="s">
        <v>23</v>
      </c>
    </row>
    <row r="337" spans="1:18" x14ac:dyDescent="0.35">
      <c r="A337">
        <v>335</v>
      </c>
      <c r="B337" t="s">
        <v>824</v>
      </c>
      <c r="C337" s="1">
        <f t="shared" ca="1" si="25"/>
        <v>45195</v>
      </c>
      <c r="D337" t="str">
        <f t="shared" ca="1" si="26"/>
        <v>September</v>
      </c>
      <c r="E337" t="s">
        <v>29</v>
      </c>
      <c r="F337" t="s">
        <v>33</v>
      </c>
      <c r="G337" t="str">
        <f t="shared" si="27"/>
        <v>Men</v>
      </c>
      <c r="H337" t="str">
        <f t="shared" ca="1" si="28"/>
        <v>Amazon</v>
      </c>
      <c r="I337">
        <f t="shared" ca="1" si="29"/>
        <v>19</v>
      </c>
      <c r="J337" t="s">
        <v>87</v>
      </c>
      <c r="K337" t="s">
        <v>27</v>
      </c>
      <c r="L337" t="s">
        <v>35</v>
      </c>
      <c r="M337">
        <v>1</v>
      </c>
      <c r="N337" t="s">
        <v>20</v>
      </c>
      <c r="O337">
        <v>399</v>
      </c>
      <c r="P337" t="s">
        <v>45</v>
      </c>
      <c r="Q337" t="s">
        <v>46</v>
      </c>
      <c r="R337" t="s">
        <v>23</v>
      </c>
    </row>
    <row r="338" spans="1:18" x14ac:dyDescent="0.35">
      <c r="A338">
        <v>336</v>
      </c>
      <c r="B338" t="s">
        <v>825</v>
      </c>
      <c r="C338" s="1">
        <f t="shared" ca="1" si="25"/>
        <v>45434</v>
      </c>
      <c r="D338" t="str">
        <f t="shared" ca="1" si="26"/>
        <v>May</v>
      </c>
      <c r="E338" t="s">
        <v>29</v>
      </c>
      <c r="F338" t="s">
        <v>33</v>
      </c>
      <c r="G338" t="str">
        <f t="shared" si="27"/>
        <v>Women</v>
      </c>
      <c r="H338" t="str">
        <f t="shared" ca="1" si="28"/>
        <v>Amazon</v>
      </c>
      <c r="I338">
        <f t="shared" ca="1" si="29"/>
        <v>32</v>
      </c>
      <c r="J338" t="s">
        <v>320</v>
      </c>
      <c r="K338" t="s">
        <v>18</v>
      </c>
      <c r="L338" t="s">
        <v>35</v>
      </c>
      <c r="M338">
        <v>1</v>
      </c>
      <c r="N338" t="s">
        <v>20</v>
      </c>
      <c r="O338">
        <v>599</v>
      </c>
      <c r="P338" t="s">
        <v>170</v>
      </c>
      <c r="Q338" t="s">
        <v>171</v>
      </c>
      <c r="R338" t="s">
        <v>23</v>
      </c>
    </row>
    <row r="339" spans="1:18" x14ac:dyDescent="0.35">
      <c r="A339">
        <v>337</v>
      </c>
      <c r="B339" t="s">
        <v>826</v>
      </c>
      <c r="C339" s="1">
        <f t="shared" ca="1" si="25"/>
        <v>44987</v>
      </c>
      <c r="D339" t="str">
        <f t="shared" ca="1" si="26"/>
        <v>March</v>
      </c>
      <c r="E339" t="s">
        <v>29</v>
      </c>
      <c r="F339" t="s">
        <v>33</v>
      </c>
      <c r="G339" t="str">
        <f t="shared" si="27"/>
        <v>Men</v>
      </c>
      <c r="H339" t="str">
        <f t="shared" ca="1" si="28"/>
        <v>Amazon</v>
      </c>
      <c r="I339">
        <f t="shared" ca="1" si="29"/>
        <v>43</v>
      </c>
      <c r="J339" t="s">
        <v>827</v>
      </c>
      <c r="K339" t="s">
        <v>27</v>
      </c>
      <c r="L339" t="s">
        <v>28</v>
      </c>
      <c r="M339">
        <v>1</v>
      </c>
      <c r="N339" t="s">
        <v>20</v>
      </c>
      <c r="O339">
        <v>782</v>
      </c>
      <c r="P339" t="s">
        <v>828</v>
      </c>
      <c r="Q339" t="s">
        <v>31</v>
      </c>
      <c r="R339" t="s">
        <v>23</v>
      </c>
    </row>
    <row r="340" spans="1:18" x14ac:dyDescent="0.35">
      <c r="A340">
        <v>338</v>
      </c>
      <c r="B340" t="s">
        <v>826</v>
      </c>
      <c r="C340" s="1">
        <f t="shared" ca="1" si="25"/>
        <v>45506</v>
      </c>
      <c r="D340" t="str">
        <f t="shared" ca="1" si="26"/>
        <v>August</v>
      </c>
      <c r="E340" t="s">
        <v>29</v>
      </c>
      <c r="F340" t="s">
        <v>33</v>
      </c>
      <c r="G340" t="str">
        <f t="shared" si="27"/>
        <v>Men</v>
      </c>
      <c r="H340" t="str">
        <f t="shared" ca="1" si="28"/>
        <v>Amazon</v>
      </c>
      <c r="I340">
        <f t="shared" ca="1" si="29"/>
        <v>44</v>
      </c>
      <c r="J340" t="s">
        <v>829</v>
      </c>
      <c r="K340" t="s">
        <v>27</v>
      </c>
      <c r="L340" t="s">
        <v>28</v>
      </c>
      <c r="M340">
        <v>1</v>
      </c>
      <c r="N340" t="s">
        <v>20</v>
      </c>
      <c r="O340">
        <v>362</v>
      </c>
      <c r="P340" t="s">
        <v>828</v>
      </c>
      <c r="Q340" t="s">
        <v>31</v>
      </c>
      <c r="R340" t="s">
        <v>23</v>
      </c>
    </row>
    <row r="341" spans="1:18" x14ac:dyDescent="0.35">
      <c r="A341">
        <v>339</v>
      </c>
      <c r="B341" t="s">
        <v>830</v>
      </c>
      <c r="C341" s="1">
        <f t="shared" ca="1" si="25"/>
        <v>45493</v>
      </c>
      <c r="D341" t="str">
        <f t="shared" ca="1" si="26"/>
        <v>July</v>
      </c>
      <c r="E341" t="s">
        <v>29</v>
      </c>
      <c r="F341" t="s">
        <v>33</v>
      </c>
      <c r="G341" t="str">
        <f t="shared" si="27"/>
        <v>Women</v>
      </c>
      <c r="H341" t="str">
        <f t="shared" ca="1" si="28"/>
        <v>Amazon</v>
      </c>
      <c r="I341">
        <f t="shared" ca="1" si="29"/>
        <v>44</v>
      </c>
      <c r="J341" t="s">
        <v>831</v>
      </c>
      <c r="K341" t="s">
        <v>18</v>
      </c>
      <c r="L341" t="s">
        <v>62</v>
      </c>
      <c r="M341">
        <v>1</v>
      </c>
      <c r="N341" t="s">
        <v>20</v>
      </c>
      <c r="O341">
        <v>1173</v>
      </c>
      <c r="P341" t="s">
        <v>566</v>
      </c>
      <c r="Q341" t="s">
        <v>140</v>
      </c>
      <c r="R341" t="s">
        <v>23</v>
      </c>
    </row>
    <row r="342" spans="1:18" x14ac:dyDescent="0.35">
      <c r="A342">
        <v>340</v>
      </c>
      <c r="B342" t="s">
        <v>832</v>
      </c>
      <c r="C342" s="1">
        <f t="shared" ca="1" si="25"/>
        <v>45181</v>
      </c>
      <c r="D342" t="str">
        <f t="shared" ca="1" si="26"/>
        <v>September</v>
      </c>
      <c r="E342" t="s">
        <v>25</v>
      </c>
      <c r="F342" t="s">
        <v>16</v>
      </c>
      <c r="G342" t="str">
        <f t="shared" si="27"/>
        <v>Women</v>
      </c>
      <c r="H342" t="str">
        <f t="shared" ca="1" si="28"/>
        <v>Flipkart</v>
      </c>
      <c r="I342">
        <f t="shared" ca="1" si="29"/>
        <v>49</v>
      </c>
      <c r="J342" t="s">
        <v>527</v>
      </c>
      <c r="K342" t="s">
        <v>39</v>
      </c>
      <c r="L342" t="s">
        <v>101</v>
      </c>
      <c r="M342">
        <v>1</v>
      </c>
      <c r="N342" t="s">
        <v>20</v>
      </c>
      <c r="O342">
        <v>744</v>
      </c>
      <c r="P342" t="s">
        <v>470</v>
      </c>
      <c r="Q342" t="s">
        <v>93</v>
      </c>
      <c r="R342" t="s">
        <v>23</v>
      </c>
    </row>
    <row r="343" spans="1:18" x14ac:dyDescent="0.35">
      <c r="A343">
        <v>341</v>
      </c>
      <c r="B343" t="s">
        <v>833</v>
      </c>
      <c r="C343" s="1">
        <f t="shared" ca="1" si="25"/>
        <v>45176</v>
      </c>
      <c r="D343" t="str">
        <f t="shared" ca="1" si="26"/>
        <v>September</v>
      </c>
      <c r="E343" t="s">
        <v>29</v>
      </c>
      <c r="F343" t="s">
        <v>33</v>
      </c>
      <c r="G343" t="str">
        <f t="shared" si="27"/>
        <v>Women</v>
      </c>
      <c r="H343" t="str">
        <f t="shared" ca="1" si="28"/>
        <v>Amazon</v>
      </c>
      <c r="I343">
        <f t="shared" ca="1" si="29"/>
        <v>43</v>
      </c>
      <c r="J343" t="s">
        <v>641</v>
      </c>
      <c r="K343" t="s">
        <v>39</v>
      </c>
      <c r="L343" t="s">
        <v>101</v>
      </c>
      <c r="M343">
        <v>1</v>
      </c>
      <c r="N343" t="s">
        <v>20</v>
      </c>
      <c r="O343">
        <v>725</v>
      </c>
      <c r="P343" t="s">
        <v>170</v>
      </c>
      <c r="Q343" t="s">
        <v>171</v>
      </c>
      <c r="R343" t="s">
        <v>23</v>
      </c>
    </row>
    <row r="344" spans="1:18" x14ac:dyDescent="0.35">
      <c r="A344">
        <v>342</v>
      </c>
      <c r="B344" t="s">
        <v>834</v>
      </c>
      <c r="C344" s="1">
        <f t="shared" ca="1" si="25"/>
        <v>45086</v>
      </c>
      <c r="D344" t="str">
        <f t="shared" ca="1" si="26"/>
        <v>June</v>
      </c>
      <c r="E344" t="s">
        <v>29</v>
      </c>
      <c r="F344" t="s">
        <v>33</v>
      </c>
      <c r="G344" t="str">
        <f t="shared" si="27"/>
        <v>Men</v>
      </c>
      <c r="H344" t="str">
        <f t="shared" ca="1" si="28"/>
        <v>Amazon</v>
      </c>
      <c r="I344">
        <f t="shared" ca="1" si="29"/>
        <v>51</v>
      </c>
      <c r="J344" t="s">
        <v>835</v>
      </c>
      <c r="K344" t="s">
        <v>27</v>
      </c>
      <c r="L344" t="s">
        <v>68</v>
      </c>
      <c r="M344">
        <v>1</v>
      </c>
      <c r="N344" t="s">
        <v>20</v>
      </c>
      <c r="O344">
        <v>376</v>
      </c>
      <c r="P344" t="s">
        <v>136</v>
      </c>
      <c r="Q344" t="s">
        <v>81</v>
      </c>
      <c r="R344" t="s">
        <v>23</v>
      </c>
    </row>
    <row r="345" spans="1:18" x14ac:dyDescent="0.35">
      <c r="A345">
        <v>343</v>
      </c>
      <c r="B345" t="s">
        <v>836</v>
      </c>
      <c r="C345" s="1">
        <f t="shared" ca="1" si="25"/>
        <v>45170</v>
      </c>
      <c r="D345" t="str">
        <f t="shared" ca="1" si="26"/>
        <v>September</v>
      </c>
      <c r="E345" t="s">
        <v>25</v>
      </c>
      <c r="F345" t="s">
        <v>16</v>
      </c>
      <c r="G345" t="str">
        <f t="shared" si="27"/>
        <v>Men</v>
      </c>
      <c r="H345" t="str">
        <f t="shared" ca="1" si="28"/>
        <v>Myntra</v>
      </c>
      <c r="I345">
        <f t="shared" ca="1" si="29"/>
        <v>33</v>
      </c>
      <c r="J345" t="s">
        <v>837</v>
      </c>
      <c r="K345" t="s">
        <v>27</v>
      </c>
      <c r="L345" t="s">
        <v>40</v>
      </c>
      <c r="M345">
        <v>1</v>
      </c>
      <c r="N345" t="s">
        <v>20</v>
      </c>
      <c r="O345">
        <v>459</v>
      </c>
      <c r="P345" t="s">
        <v>482</v>
      </c>
      <c r="Q345" t="s">
        <v>50</v>
      </c>
      <c r="R345" t="s">
        <v>23</v>
      </c>
    </row>
    <row r="346" spans="1:18" x14ac:dyDescent="0.35">
      <c r="A346">
        <v>344</v>
      </c>
      <c r="B346" t="s">
        <v>838</v>
      </c>
      <c r="C346" s="1">
        <f t="shared" ca="1" si="25"/>
        <v>45567</v>
      </c>
      <c r="D346" t="str">
        <f t="shared" ca="1" si="26"/>
        <v>October</v>
      </c>
      <c r="E346" t="s">
        <v>15</v>
      </c>
      <c r="F346" t="s">
        <v>33</v>
      </c>
      <c r="G346" t="str">
        <f t="shared" si="27"/>
        <v>Women</v>
      </c>
      <c r="H346" t="str">
        <f t="shared" ca="1" si="28"/>
        <v>Amazon</v>
      </c>
      <c r="I346">
        <f t="shared" ca="1" si="29"/>
        <v>38</v>
      </c>
      <c r="J346" t="s">
        <v>521</v>
      </c>
      <c r="K346" t="s">
        <v>18</v>
      </c>
      <c r="L346" t="s">
        <v>62</v>
      </c>
      <c r="M346">
        <v>1</v>
      </c>
      <c r="N346" t="s">
        <v>20</v>
      </c>
      <c r="O346">
        <v>654</v>
      </c>
      <c r="P346" t="s">
        <v>522</v>
      </c>
      <c r="Q346" t="s">
        <v>31</v>
      </c>
      <c r="R346" t="s">
        <v>23</v>
      </c>
    </row>
    <row r="347" spans="1:18" x14ac:dyDescent="0.35">
      <c r="A347">
        <v>345</v>
      </c>
      <c r="B347" t="s">
        <v>839</v>
      </c>
      <c r="C347" s="1">
        <f t="shared" ca="1" si="25"/>
        <v>45053</v>
      </c>
      <c r="D347" t="str">
        <f t="shared" ca="1" si="26"/>
        <v>May</v>
      </c>
      <c r="E347" t="s">
        <v>29</v>
      </c>
      <c r="F347" t="s">
        <v>33</v>
      </c>
      <c r="G347" t="str">
        <f t="shared" si="27"/>
        <v>Men</v>
      </c>
      <c r="H347" t="str">
        <f t="shared" ca="1" si="28"/>
        <v>Amazon</v>
      </c>
      <c r="I347">
        <f t="shared" ca="1" si="29"/>
        <v>56</v>
      </c>
      <c r="J347" t="s">
        <v>840</v>
      </c>
      <c r="K347" t="s">
        <v>27</v>
      </c>
      <c r="L347" t="s">
        <v>101</v>
      </c>
      <c r="M347">
        <v>1</v>
      </c>
      <c r="N347" t="s">
        <v>20</v>
      </c>
      <c r="O347">
        <v>379</v>
      </c>
      <c r="P347" t="s">
        <v>133</v>
      </c>
      <c r="Q347" t="s">
        <v>50</v>
      </c>
      <c r="R347" t="s">
        <v>23</v>
      </c>
    </row>
    <row r="348" spans="1:18" x14ac:dyDescent="0.35">
      <c r="A348">
        <v>346</v>
      </c>
      <c r="B348" t="s">
        <v>841</v>
      </c>
      <c r="C348" s="1">
        <f t="shared" ca="1" si="25"/>
        <v>45162</v>
      </c>
      <c r="D348" t="str">
        <f t="shared" ca="1" si="26"/>
        <v>August</v>
      </c>
      <c r="E348" t="s">
        <v>29</v>
      </c>
      <c r="F348" t="s">
        <v>33</v>
      </c>
      <c r="G348" t="str">
        <f t="shared" si="27"/>
        <v>Women</v>
      </c>
      <c r="H348" t="str">
        <f t="shared" ca="1" si="28"/>
        <v>Amazon</v>
      </c>
      <c r="I348">
        <f t="shared" ca="1" si="29"/>
        <v>41</v>
      </c>
      <c r="J348" t="s">
        <v>842</v>
      </c>
      <c r="K348" t="s">
        <v>18</v>
      </c>
      <c r="L348" t="s">
        <v>35</v>
      </c>
      <c r="M348">
        <v>1</v>
      </c>
      <c r="N348" t="s">
        <v>20</v>
      </c>
      <c r="O348">
        <v>696</v>
      </c>
      <c r="P348" t="s">
        <v>170</v>
      </c>
      <c r="Q348" t="s">
        <v>171</v>
      </c>
      <c r="R348" t="s">
        <v>23</v>
      </c>
    </row>
    <row r="349" spans="1:18" x14ac:dyDescent="0.35">
      <c r="A349">
        <v>347</v>
      </c>
      <c r="B349" t="s">
        <v>843</v>
      </c>
      <c r="C349" s="1">
        <f t="shared" ca="1" si="25"/>
        <v>45598</v>
      </c>
      <c r="D349" t="str">
        <f t="shared" ca="1" si="26"/>
        <v>November</v>
      </c>
      <c r="E349" t="s">
        <v>29</v>
      </c>
      <c r="F349" t="s">
        <v>33</v>
      </c>
      <c r="G349" t="str">
        <f t="shared" si="27"/>
        <v>Women</v>
      </c>
      <c r="H349" t="str">
        <f t="shared" ca="1" si="28"/>
        <v>Amazon</v>
      </c>
      <c r="I349">
        <f t="shared" ca="1" si="29"/>
        <v>18</v>
      </c>
      <c r="J349" t="s">
        <v>372</v>
      </c>
      <c r="K349" t="s">
        <v>18</v>
      </c>
      <c r="L349" t="s">
        <v>101</v>
      </c>
      <c r="M349">
        <v>1</v>
      </c>
      <c r="N349" t="s">
        <v>20</v>
      </c>
      <c r="O349">
        <v>597</v>
      </c>
      <c r="P349" t="s">
        <v>844</v>
      </c>
      <c r="Q349" t="s">
        <v>171</v>
      </c>
      <c r="R349" t="s">
        <v>23</v>
      </c>
    </row>
    <row r="350" spans="1:18" x14ac:dyDescent="0.35">
      <c r="A350">
        <v>348</v>
      </c>
      <c r="B350" t="s">
        <v>845</v>
      </c>
      <c r="C350" s="1">
        <f t="shared" ca="1" si="25"/>
        <v>45379</v>
      </c>
      <c r="D350" t="str">
        <f t="shared" ca="1" si="26"/>
        <v>March</v>
      </c>
      <c r="E350" t="s">
        <v>29</v>
      </c>
      <c r="F350" t="s">
        <v>33</v>
      </c>
      <c r="G350" t="str">
        <f t="shared" si="27"/>
        <v>Women</v>
      </c>
      <c r="H350" t="str">
        <f t="shared" ca="1" si="28"/>
        <v>Amazon</v>
      </c>
      <c r="I350">
        <f t="shared" ca="1" si="29"/>
        <v>48</v>
      </c>
      <c r="J350" t="s">
        <v>322</v>
      </c>
      <c r="K350" t="s">
        <v>18</v>
      </c>
      <c r="L350" t="s">
        <v>101</v>
      </c>
      <c r="M350">
        <v>1</v>
      </c>
      <c r="N350" t="s">
        <v>20</v>
      </c>
      <c r="O350">
        <v>692</v>
      </c>
      <c r="P350" t="s">
        <v>846</v>
      </c>
      <c r="Q350" t="s">
        <v>192</v>
      </c>
      <c r="R350" t="s">
        <v>23</v>
      </c>
    </row>
    <row r="351" spans="1:18" x14ac:dyDescent="0.35">
      <c r="A351">
        <v>349</v>
      </c>
      <c r="B351" t="s">
        <v>847</v>
      </c>
      <c r="C351" s="1">
        <f t="shared" ca="1" si="25"/>
        <v>45316</v>
      </c>
      <c r="D351" t="str">
        <f t="shared" ca="1" si="26"/>
        <v>January</v>
      </c>
      <c r="E351" t="s">
        <v>29</v>
      </c>
      <c r="F351" t="s">
        <v>33</v>
      </c>
      <c r="G351" t="str">
        <f t="shared" si="27"/>
        <v>Women</v>
      </c>
      <c r="H351" t="str">
        <f t="shared" ca="1" si="28"/>
        <v>Amazon</v>
      </c>
      <c r="I351">
        <f t="shared" ca="1" si="29"/>
        <v>58</v>
      </c>
      <c r="J351" t="s">
        <v>848</v>
      </c>
      <c r="K351" t="s">
        <v>18</v>
      </c>
      <c r="L351" t="s">
        <v>28</v>
      </c>
      <c r="M351">
        <v>1</v>
      </c>
      <c r="N351" t="s">
        <v>20</v>
      </c>
      <c r="O351">
        <v>1999</v>
      </c>
      <c r="P351" t="s">
        <v>849</v>
      </c>
      <c r="Q351" t="s">
        <v>81</v>
      </c>
      <c r="R351" t="s">
        <v>23</v>
      </c>
    </row>
    <row r="352" spans="1:18" x14ac:dyDescent="0.35">
      <c r="A352">
        <v>350</v>
      </c>
      <c r="B352" t="s">
        <v>850</v>
      </c>
      <c r="C352" s="1">
        <f t="shared" ca="1" si="25"/>
        <v>45402</v>
      </c>
      <c r="D352" t="str">
        <f t="shared" ca="1" si="26"/>
        <v>April</v>
      </c>
      <c r="E352" t="s">
        <v>29</v>
      </c>
      <c r="F352" t="s">
        <v>33</v>
      </c>
      <c r="G352" t="str">
        <f t="shared" si="27"/>
        <v>Women</v>
      </c>
      <c r="H352" t="str">
        <f t="shared" ca="1" si="28"/>
        <v>Amazon</v>
      </c>
      <c r="I352">
        <f t="shared" ca="1" si="29"/>
        <v>55</v>
      </c>
      <c r="J352" t="s">
        <v>851</v>
      </c>
      <c r="K352" t="s">
        <v>18</v>
      </c>
      <c r="L352" t="s">
        <v>62</v>
      </c>
      <c r="M352">
        <v>1</v>
      </c>
      <c r="N352" t="s">
        <v>20</v>
      </c>
      <c r="O352">
        <v>824</v>
      </c>
      <c r="P352" t="s">
        <v>41</v>
      </c>
      <c r="Q352" t="s">
        <v>41</v>
      </c>
      <c r="R352" t="s">
        <v>23</v>
      </c>
    </row>
    <row r="353" spans="1:18" x14ac:dyDescent="0.35">
      <c r="A353">
        <v>351</v>
      </c>
      <c r="B353" t="s">
        <v>852</v>
      </c>
      <c r="C353" s="1">
        <f t="shared" ca="1" si="25"/>
        <v>45180</v>
      </c>
      <c r="D353" t="str">
        <f t="shared" ca="1" si="26"/>
        <v>September</v>
      </c>
      <c r="E353" t="s">
        <v>29</v>
      </c>
      <c r="F353" t="s">
        <v>33</v>
      </c>
      <c r="G353" t="str">
        <f t="shared" si="27"/>
        <v>Men</v>
      </c>
      <c r="H353" t="str">
        <f t="shared" ca="1" si="28"/>
        <v>Amazon</v>
      </c>
      <c r="I353">
        <f t="shared" ca="1" si="29"/>
        <v>28</v>
      </c>
      <c r="J353" t="s">
        <v>853</v>
      </c>
      <c r="K353" t="s">
        <v>27</v>
      </c>
      <c r="L353" t="s">
        <v>68</v>
      </c>
      <c r="M353">
        <v>1</v>
      </c>
      <c r="N353" t="s">
        <v>20</v>
      </c>
      <c r="O353">
        <v>399</v>
      </c>
      <c r="P353" t="s">
        <v>854</v>
      </c>
      <c r="Q353" t="s">
        <v>855</v>
      </c>
      <c r="R353" t="s">
        <v>23</v>
      </c>
    </row>
    <row r="354" spans="1:18" x14ac:dyDescent="0.35">
      <c r="A354">
        <v>352</v>
      </c>
      <c r="B354" t="s">
        <v>856</v>
      </c>
      <c r="C354" s="1">
        <f t="shared" ca="1" si="25"/>
        <v>45635</v>
      </c>
      <c r="D354" t="str">
        <f t="shared" ca="1" si="26"/>
        <v>December</v>
      </c>
      <c r="E354" t="s">
        <v>29</v>
      </c>
      <c r="F354" t="s">
        <v>33</v>
      </c>
      <c r="G354" t="str">
        <f t="shared" si="27"/>
        <v>Men</v>
      </c>
      <c r="H354" t="str">
        <f t="shared" ca="1" si="28"/>
        <v>Amazon</v>
      </c>
      <c r="I354">
        <f t="shared" ca="1" si="29"/>
        <v>47</v>
      </c>
      <c r="J354" t="s">
        <v>857</v>
      </c>
      <c r="K354" t="s">
        <v>27</v>
      </c>
      <c r="L354" t="s">
        <v>28</v>
      </c>
      <c r="M354">
        <v>1</v>
      </c>
      <c r="N354" t="s">
        <v>20</v>
      </c>
      <c r="O354">
        <v>737</v>
      </c>
      <c r="P354" t="s">
        <v>828</v>
      </c>
      <c r="Q354" t="s">
        <v>31</v>
      </c>
      <c r="R354" t="s">
        <v>23</v>
      </c>
    </row>
    <row r="355" spans="1:18" x14ac:dyDescent="0.35">
      <c r="A355">
        <v>353</v>
      </c>
      <c r="B355" t="s">
        <v>858</v>
      </c>
      <c r="C355" s="1">
        <f t="shared" ca="1" si="25"/>
        <v>44939</v>
      </c>
      <c r="D355" t="str">
        <f t="shared" ca="1" si="26"/>
        <v>January</v>
      </c>
      <c r="E355" t="s">
        <v>29</v>
      </c>
      <c r="F355" t="s">
        <v>33</v>
      </c>
      <c r="G355" t="str">
        <f t="shared" si="27"/>
        <v>Men</v>
      </c>
      <c r="H355" t="str">
        <f t="shared" ca="1" si="28"/>
        <v>Amazon</v>
      </c>
      <c r="I355">
        <f t="shared" ca="1" si="29"/>
        <v>53</v>
      </c>
      <c r="J355" t="s">
        <v>859</v>
      </c>
      <c r="K355" t="s">
        <v>27</v>
      </c>
      <c r="L355" t="s">
        <v>35</v>
      </c>
      <c r="M355">
        <v>1</v>
      </c>
      <c r="N355" t="s">
        <v>20</v>
      </c>
      <c r="O355">
        <v>399</v>
      </c>
      <c r="P355" t="s">
        <v>720</v>
      </c>
      <c r="Q355" t="s">
        <v>57</v>
      </c>
      <c r="R355" t="s">
        <v>23</v>
      </c>
    </row>
    <row r="356" spans="1:18" x14ac:dyDescent="0.35">
      <c r="A356">
        <v>354</v>
      </c>
      <c r="B356" t="s">
        <v>860</v>
      </c>
      <c r="C356" s="1">
        <f t="shared" ca="1" si="25"/>
        <v>45134</v>
      </c>
      <c r="D356" t="str">
        <f t="shared" ca="1" si="26"/>
        <v>July</v>
      </c>
      <c r="E356" t="s">
        <v>15</v>
      </c>
      <c r="F356" t="s">
        <v>33</v>
      </c>
      <c r="G356" t="str">
        <f t="shared" si="27"/>
        <v>Women</v>
      </c>
      <c r="H356" t="str">
        <f t="shared" ca="1" si="28"/>
        <v>Amazon</v>
      </c>
      <c r="I356">
        <f t="shared" ca="1" si="29"/>
        <v>44</v>
      </c>
      <c r="J356" t="s">
        <v>861</v>
      </c>
      <c r="K356" t="s">
        <v>18</v>
      </c>
      <c r="L356" t="s">
        <v>40</v>
      </c>
      <c r="M356">
        <v>1</v>
      </c>
      <c r="N356" t="s">
        <v>20</v>
      </c>
      <c r="O356">
        <v>899</v>
      </c>
      <c r="P356" t="s">
        <v>69</v>
      </c>
      <c r="Q356" t="s">
        <v>50</v>
      </c>
      <c r="R356" t="s">
        <v>23</v>
      </c>
    </row>
    <row r="357" spans="1:18" x14ac:dyDescent="0.35">
      <c r="A357">
        <v>355</v>
      </c>
      <c r="B357" t="s">
        <v>862</v>
      </c>
      <c r="C357" s="1">
        <f t="shared" ca="1" si="25"/>
        <v>44995</v>
      </c>
      <c r="D357" t="str">
        <f t="shared" ca="1" si="26"/>
        <v>March</v>
      </c>
      <c r="E357" t="s">
        <v>29</v>
      </c>
      <c r="F357" t="s">
        <v>33</v>
      </c>
      <c r="G357" t="str">
        <f t="shared" si="27"/>
        <v>Men</v>
      </c>
      <c r="H357" t="str">
        <f t="shared" ca="1" si="28"/>
        <v>Amazon</v>
      </c>
      <c r="I357">
        <f t="shared" ca="1" si="29"/>
        <v>48</v>
      </c>
      <c r="J357" t="s">
        <v>863</v>
      </c>
      <c r="K357" t="s">
        <v>27</v>
      </c>
      <c r="L357" t="s">
        <v>101</v>
      </c>
      <c r="M357">
        <v>1</v>
      </c>
      <c r="N357" t="s">
        <v>20</v>
      </c>
      <c r="O357">
        <v>368</v>
      </c>
      <c r="P357" t="s">
        <v>122</v>
      </c>
      <c r="Q357" t="s">
        <v>22</v>
      </c>
      <c r="R357" t="s">
        <v>23</v>
      </c>
    </row>
    <row r="358" spans="1:18" x14ac:dyDescent="0.35">
      <c r="A358">
        <v>356</v>
      </c>
      <c r="B358" t="s">
        <v>864</v>
      </c>
      <c r="C358" s="1">
        <f t="shared" ca="1" si="25"/>
        <v>45225</v>
      </c>
      <c r="D358" t="str">
        <f t="shared" ca="1" si="26"/>
        <v>October</v>
      </c>
      <c r="E358" t="s">
        <v>25</v>
      </c>
      <c r="F358" t="s">
        <v>16</v>
      </c>
      <c r="G358" t="str">
        <f t="shared" si="27"/>
        <v>Men</v>
      </c>
      <c r="H358" t="str">
        <f t="shared" ca="1" si="28"/>
        <v>Flipkart</v>
      </c>
      <c r="I358">
        <f t="shared" ca="1" si="29"/>
        <v>18</v>
      </c>
      <c r="J358" t="s">
        <v>777</v>
      </c>
      <c r="K358" t="s">
        <v>27</v>
      </c>
      <c r="L358" t="s">
        <v>28</v>
      </c>
      <c r="M358">
        <v>1</v>
      </c>
      <c r="N358" t="s">
        <v>20</v>
      </c>
      <c r="O358">
        <v>471</v>
      </c>
      <c r="P358" t="s">
        <v>865</v>
      </c>
      <c r="Q358" t="s">
        <v>153</v>
      </c>
      <c r="R358" t="s">
        <v>23</v>
      </c>
    </row>
    <row r="359" spans="1:18" x14ac:dyDescent="0.35">
      <c r="A359">
        <v>357</v>
      </c>
      <c r="B359" t="s">
        <v>866</v>
      </c>
      <c r="C359" s="1">
        <f t="shared" ca="1" si="25"/>
        <v>45061</v>
      </c>
      <c r="D359" t="str">
        <f t="shared" ca="1" si="26"/>
        <v>May</v>
      </c>
      <c r="E359" t="s">
        <v>29</v>
      </c>
      <c r="F359" t="s">
        <v>33</v>
      </c>
      <c r="G359" t="str">
        <f t="shared" si="27"/>
        <v>Men</v>
      </c>
      <c r="H359" t="str">
        <f t="shared" ca="1" si="28"/>
        <v>Amazon</v>
      </c>
      <c r="I359">
        <f t="shared" ca="1" si="29"/>
        <v>26</v>
      </c>
      <c r="J359" t="s">
        <v>151</v>
      </c>
      <c r="K359" t="s">
        <v>27</v>
      </c>
      <c r="L359" t="s">
        <v>40</v>
      </c>
      <c r="M359">
        <v>1</v>
      </c>
      <c r="N359" t="s">
        <v>20</v>
      </c>
      <c r="O359">
        <v>399</v>
      </c>
      <c r="P359" t="s">
        <v>867</v>
      </c>
      <c r="Q359" t="s">
        <v>50</v>
      </c>
      <c r="R359" t="s">
        <v>23</v>
      </c>
    </row>
    <row r="360" spans="1:18" x14ac:dyDescent="0.35">
      <c r="A360">
        <v>358</v>
      </c>
      <c r="B360" t="s">
        <v>868</v>
      </c>
      <c r="C360" s="1">
        <f t="shared" ca="1" si="25"/>
        <v>45034</v>
      </c>
      <c r="D360" t="str">
        <f t="shared" ca="1" si="26"/>
        <v>April</v>
      </c>
      <c r="E360" t="s">
        <v>29</v>
      </c>
      <c r="F360" t="s">
        <v>33</v>
      </c>
      <c r="G360" t="str">
        <f t="shared" si="27"/>
        <v>Men</v>
      </c>
      <c r="H360" t="str">
        <f t="shared" ca="1" si="28"/>
        <v>Amazon</v>
      </c>
      <c r="I360">
        <f t="shared" ca="1" si="29"/>
        <v>19</v>
      </c>
      <c r="J360" t="s">
        <v>869</v>
      </c>
      <c r="K360" t="s">
        <v>27</v>
      </c>
      <c r="L360" t="s">
        <v>19</v>
      </c>
      <c r="M360">
        <v>1</v>
      </c>
      <c r="N360" t="s">
        <v>20</v>
      </c>
      <c r="O360">
        <v>376</v>
      </c>
      <c r="P360" t="s">
        <v>870</v>
      </c>
      <c r="Q360" t="s">
        <v>46</v>
      </c>
      <c r="R360" t="s">
        <v>23</v>
      </c>
    </row>
    <row r="361" spans="1:18" x14ac:dyDescent="0.35">
      <c r="A361">
        <v>359</v>
      </c>
      <c r="B361" t="s">
        <v>871</v>
      </c>
      <c r="C361" s="1">
        <f t="shared" ca="1" si="25"/>
        <v>45588</v>
      </c>
      <c r="D361" t="str">
        <f t="shared" ca="1" si="26"/>
        <v>October</v>
      </c>
      <c r="E361" t="s">
        <v>25</v>
      </c>
      <c r="F361" t="s">
        <v>16</v>
      </c>
      <c r="G361" t="str">
        <f t="shared" si="27"/>
        <v>Men</v>
      </c>
      <c r="H361" t="str">
        <f t="shared" ca="1" si="28"/>
        <v>Flipkart</v>
      </c>
      <c r="I361">
        <f t="shared" ca="1" si="29"/>
        <v>48</v>
      </c>
      <c r="J361" t="s">
        <v>872</v>
      </c>
      <c r="K361" t="s">
        <v>27</v>
      </c>
      <c r="L361" t="s">
        <v>35</v>
      </c>
      <c r="M361">
        <v>1</v>
      </c>
      <c r="N361" t="s">
        <v>20</v>
      </c>
      <c r="O361">
        <v>544</v>
      </c>
      <c r="P361" t="s">
        <v>30</v>
      </c>
      <c r="Q361" t="s">
        <v>31</v>
      </c>
      <c r="R361" t="s">
        <v>23</v>
      </c>
    </row>
    <row r="362" spans="1:18" x14ac:dyDescent="0.35">
      <c r="A362">
        <v>360</v>
      </c>
      <c r="B362" t="s">
        <v>873</v>
      </c>
      <c r="C362" s="1">
        <f t="shared" ca="1" si="25"/>
        <v>45573</v>
      </c>
      <c r="D362" t="str">
        <f t="shared" ca="1" si="26"/>
        <v>October</v>
      </c>
      <c r="E362" t="s">
        <v>29</v>
      </c>
      <c r="F362" t="s">
        <v>33</v>
      </c>
      <c r="G362" t="str">
        <f t="shared" si="27"/>
        <v>Men</v>
      </c>
      <c r="H362" t="str">
        <f t="shared" ca="1" si="28"/>
        <v>Amazon</v>
      </c>
      <c r="I362">
        <f t="shared" ca="1" si="29"/>
        <v>50</v>
      </c>
      <c r="J362" t="s">
        <v>874</v>
      </c>
      <c r="K362" t="s">
        <v>27</v>
      </c>
      <c r="L362" t="s">
        <v>40</v>
      </c>
      <c r="M362">
        <v>1</v>
      </c>
      <c r="N362" t="s">
        <v>20</v>
      </c>
      <c r="O362">
        <v>499</v>
      </c>
      <c r="P362" t="s">
        <v>56</v>
      </c>
      <c r="Q362" t="s">
        <v>57</v>
      </c>
      <c r="R362" t="s">
        <v>23</v>
      </c>
    </row>
    <row r="363" spans="1:18" x14ac:dyDescent="0.35">
      <c r="A363">
        <v>361</v>
      </c>
      <c r="B363" t="s">
        <v>875</v>
      </c>
      <c r="C363" s="1">
        <f t="shared" ca="1" si="25"/>
        <v>45636</v>
      </c>
      <c r="D363" t="str">
        <f t="shared" ca="1" si="26"/>
        <v>December</v>
      </c>
      <c r="E363" t="s">
        <v>29</v>
      </c>
      <c r="F363" t="s">
        <v>33</v>
      </c>
      <c r="G363" t="str">
        <f t="shared" si="27"/>
        <v>Women</v>
      </c>
      <c r="H363" t="str">
        <f t="shared" ca="1" si="28"/>
        <v>Amazon</v>
      </c>
      <c r="I363">
        <f t="shared" ca="1" si="29"/>
        <v>30</v>
      </c>
      <c r="J363" t="s">
        <v>876</v>
      </c>
      <c r="K363" t="s">
        <v>44</v>
      </c>
      <c r="L363" t="s">
        <v>68</v>
      </c>
      <c r="M363">
        <v>1</v>
      </c>
      <c r="N363" t="s">
        <v>20</v>
      </c>
      <c r="O363">
        <v>426</v>
      </c>
      <c r="P363" t="s">
        <v>30</v>
      </c>
      <c r="Q363" t="s">
        <v>31</v>
      </c>
      <c r="R363" t="s">
        <v>23</v>
      </c>
    </row>
    <row r="364" spans="1:18" x14ac:dyDescent="0.35">
      <c r="A364">
        <v>362</v>
      </c>
      <c r="B364" t="s">
        <v>877</v>
      </c>
      <c r="C364" s="1">
        <f t="shared" ca="1" si="25"/>
        <v>45587</v>
      </c>
      <c r="D364" t="str">
        <f t="shared" ca="1" si="26"/>
        <v>October</v>
      </c>
      <c r="E364" t="s">
        <v>29</v>
      </c>
      <c r="F364" t="s">
        <v>33</v>
      </c>
      <c r="G364" t="str">
        <f t="shared" si="27"/>
        <v>Men</v>
      </c>
      <c r="H364" t="str">
        <f t="shared" ca="1" si="28"/>
        <v>Amazon</v>
      </c>
      <c r="I364">
        <f t="shared" ca="1" si="29"/>
        <v>59</v>
      </c>
      <c r="J364" t="s">
        <v>707</v>
      </c>
      <c r="K364" t="s">
        <v>27</v>
      </c>
      <c r="L364" t="s">
        <v>35</v>
      </c>
      <c r="M364">
        <v>1</v>
      </c>
      <c r="N364" t="s">
        <v>20</v>
      </c>
      <c r="O364">
        <v>399</v>
      </c>
      <c r="P364" t="s">
        <v>30</v>
      </c>
      <c r="Q364" t="s">
        <v>31</v>
      </c>
      <c r="R364" t="s">
        <v>23</v>
      </c>
    </row>
    <row r="365" spans="1:18" x14ac:dyDescent="0.35">
      <c r="A365">
        <v>363</v>
      </c>
      <c r="B365" t="s">
        <v>878</v>
      </c>
      <c r="C365" s="1">
        <f t="shared" ca="1" si="25"/>
        <v>45469</v>
      </c>
      <c r="D365" t="str">
        <f t="shared" ca="1" si="26"/>
        <v>June</v>
      </c>
      <c r="E365" t="s">
        <v>15</v>
      </c>
      <c r="F365" t="s">
        <v>33</v>
      </c>
      <c r="G365" t="str">
        <f t="shared" si="27"/>
        <v>Women</v>
      </c>
      <c r="H365" t="str">
        <f t="shared" ca="1" si="28"/>
        <v>Amazon</v>
      </c>
      <c r="I365">
        <f t="shared" ca="1" si="29"/>
        <v>55</v>
      </c>
      <c r="J365" t="s">
        <v>879</v>
      </c>
      <c r="K365" t="s">
        <v>18</v>
      </c>
      <c r="L365" t="s">
        <v>40</v>
      </c>
      <c r="M365">
        <v>0</v>
      </c>
      <c r="P365" t="s">
        <v>880</v>
      </c>
      <c r="Q365" t="s">
        <v>264</v>
      </c>
      <c r="R365" t="s">
        <v>23</v>
      </c>
    </row>
    <row r="366" spans="1:18" x14ac:dyDescent="0.35">
      <c r="A366">
        <v>364</v>
      </c>
      <c r="B366" t="s">
        <v>881</v>
      </c>
      <c r="C366" s="1">
        <f t="shared" ca="1" si="25"/>
        <v>45087</v>
      </c>
      <c r="D366" t="str">
        <f t="shared" ca="1" si="26"/>
        <v>June</v>
      </c>
      <c r="E366" t="s">
        <v>29</v>
      </c>
      <c r="F366" t="s">
        <v>33</v>
      </c>
      <c r="G366" t="str">
        <f t="shared" si="27"/>
        <v>Women</v>
      </c>
      <c r="H366" t="str">
        <f t="shared" ca="1" si="28"/>
        <v>Amazon</v>
      </c>
      <c r="I366">
        <f t="shared" ca="1" si="29"/>
        <v>45</v>
      </c>
      <c r="J366" t="s">
        <v>882</v>
      </c>
      <c r="K366" t="s">
        <v>18</v>
      </c>
      <c r="L366" t="s">
        <v>28</v>
      </c>
      <c r="M366">
        <v>1</v>
      </c>
      <c r="N366" t="s">
        <v>20</v>
      </c>
      <c r="O366">
        <v>995</v>
      </c>
      <c r="P366" t="s">
        <v>88</v>
      </c>
      <c r="Q366" t="s">
        <v>89</v>
      </c>
      <c r="R366" t="s">
        <v>23</v>
      </c>
    </row>
    <row r="367" spans="1:18" x14ac:dyDescent="0.35">
      <c r="A367">
        <v>365</v>
      </c>
      <c r="B367" t="s">
        <v>883</v>
      </c>
      <c r="C367" s="1">
        <f t="shared" ca="1" si="25"/>
        <v>45474</v>
      </c>
      <c r="D367" t="str">
        <f t="shared" ca="1" si="26"/>
        <v>July</v>
      </c>
      <c r="E367" t="s">
        <v>29</v>
      </c>
      <c r="F367" t="s">
        <v>33</v>
      </c>
      <c r="G367" t="str">
        <f t="shared" si="27"/>
        <v>Men</v>
      </c>
      <c r="H367" t="str">
        <f t="shared" ca="1" si="28"/>
        <v>Amazon</v>
      </c>
      <c r="I367">
        <f t="shared" ca="1" si="29"/>
        <v>59</v>
      </c>
      <c r="J367" t="s">
        <v>884</v>
      </c>
      <c r="K367" t="s">
        <v>27</v>
      </c>
      <c r="L367" t="s">
        <v>101</v>
      </c>
      <c r="M367">
        <v>1</v>
      </c>
      <c r="N367" t="s">
        <v>20</v>
      </c>
      <c r="O367">
        <v>499</v>
      </c>
      <c r="P367" t="s">
        <v>885</v>
      </c>
      <c r="Q367" t="s">
        <v>171</v>
      </c>
      <c r="R367" t="s">
        <v>23</v>
      </c>
    </row>
    <row r="368" spans="1:18" x14ac:dyDescent="0.35">
      <c r="A368">
        <v>366</v>
      </c>
      <c r="B368" t="s">
        <v>883</v>
      </c>
      <c r="C368" s="1">
        <f t="shared" ca="1" si="25"/>
        <v>44995</v>
      </c>
      <c r="D368" t="str">
        <f t="shared" ca="1" si="26"/>
        <v>March</v>
      </c>
      <c r="E368" t="s">
        <v>29</v>
      </c>
      <c r="F368" t="s">
        <v>33</v>
      </c>
      <c r="G368" t="str">
        <f t="shared" si="27"/>
        <v>Men</v>
      </c>
      <c r="H368" t="str">
        <f t="shared" ca="1" si="28"/>
        <v>Amazon</v>
      </c>
      <c r="I368">
        <f t="shared" ca="1" si="29"/>
        <v>18</v>
      </c>
      <c r="J368" t="s">
        <v>886</v>
      </c>
      <c r="K368" t="s">
        <v>27</v>
      </c>
      <c r="L368" t="s">
        <v>101</v>
      </c>
      <c r="M368">
        <v>1</v>
      </c>
      <c r="N368" t="s">
        <v>20</v>
      </c>
      <c r="O368">
        <v>499</v>
      </c>
      <c r="P368" t="s">
        <v>885</v>
      </c>
      <c r="Q368" t="s">
        <v>171</v>
      </c>
      <c r="R368" t="s">
        <v>23</v>
      </c>
    </row>
    <row r="369" spans="1:18" x14ac:dyDescent="0.35">
      <c r="A369">
        <v>367</v>
      </c>
      <c r="B369" t="s">
        <v>887</v>
      </c>
      <c r="C369" s="1">
        <f t="shared" ca="1" si="25"/>
        <v>45447</v>
      </c>
      <c r="D369" t="str">
        <f t="shared" ca="1" si="26"/>
        <v>June</v>
      </c>
      <c r="E369" t="s">
        <v>29</v>
      </c>
      <c r="F369" t="s">
        <v>33</v>
      </c>
      <c r="G369" t="str">
        <f t="shared" si="27"/>
        <v>Women</v>
      </c>
      <c r="H369" t="str">
        <f t="shared" ca="1" si="28"/>
        <v>Amazon</v>
      </c>
      <c r="I369">
        <f t="shared" ca="1" si="29"/>
        <v>36</v>
      </c>
      <c r="J369" t="s">
        <v>372</v>
      </c>
      <c r="K369" t="s">
        <v>18</v>
      </c>
      <c r="L369" t="s">
        <v>101</v>
      </c>
      <c r="M369">
        <v>1</v>
      </c>
      <c r="N369" t="s">
        <v>20</v>
      </c>
      <c r="O369">
        <v>597</v>
      </c>
      <c r="P369" t="s">
        <v>888</v>
      </c>
      <c r="Q369" t="s">
        <v>22</v>
      </c>
      <c r="R369" t="s">
        <v>23</v>
      </c>
    </row>
    <row r="370" spans="1:18" x14ac:dyDescent="0.35">
      <c r="A370">
        <v>368</v>
      </c>
      <c r="B370" t="s">
        <v>889</v>
      </c>
      <c r="C370" s="1">
        <f t="shared" ca="1" si="25"/>
        <v>45524</v>
      </c>
      <c r="D370" t="str">
        <f t="shared" ca="1" si="26"/>
        <v>August</v>
      </c>
      <c r="E370" t="s">
        <v>29</v>
      </c>
      <c r="F370" t="s">
        <v>33</v>
      </c>
      <c r="G370" t="str">
        <f t="shared" si="27"/>
        <v>Men</v>
      </c>
      <c r="H370" t="str">
        <f t="shared" ca="1" si="28"/>
        <v>Amazon</v>
      </c>
      <c r="I370">
        <f t="shared" ca="1" si="29"/>
        <v>57</v>
      </c>
      <c r="J370" t="s">
        <v>890</v>
      </c>
      <c r="K370" t="s">
        <v>27</v>
      </c>
      <c r="L370" t="s">
        <v>19</v>
      </c>
      <c r="M370">
        <v>1</v>
      </c>
      <c r="N370" t="s">
        <v>20</v>
      </c>
      <c r="O370">
        <v>562</v>
      </c>
      <c r="P370" t="s">
        <v>88</v>
      </c>
      <c r="Q370" t="s">
        <v>89</v>
      </c>
      <c r="R370" t="s">
        <v>23</v>
      </c>
    </row>
    <row r="371" spans="1:18" x14ac:dyDescent="0.35">
      <c r="A371">
        <v>369</v>
      </c>
      <c r="B371" t="s">
        <v>891</v>
      </c>
      <c r="C371" s="1">
        <f t="shared" ca="1" si="25"/>
        <v>45236</v>
      </c>
      <c r="D371" t="str">
        <f t="shared" ca="1" si="26"/>
        <v>November</v>
      </c>
      <c r="E371" t="s">
        <v>29</v>
      </c>
      <c r="F371" t="s">
        <v>33</v>
      </c>
      <c r="G371" t="str">
        <f t="shared" si="27"/>
        <v>Men</v>
      </c>
      <c r="H371" t="str">
        <f t="shared" ca="1" si="28"/>
        <v>Amazon</v>
      </c>
      <c r="I371">
        <f t="shared" ca="1" si="29"/>
        <v>55</v>
      </c>
      <c r="J371" t="s">
        <v>655</v>
      </c>
      <c r="K371" t="s">
        <v>27</v>
      </c>
      <c r="L371" t="s">
        <v>656</v>
      </c>
      <c r="M371">
        <v>1</v>
      </c>
      <c r="N371" t="s">
        <v>20</v>
      </c>
      <c r="O371">
        <v>696</v>
      </c>
      <c r="P371" t="s">
        <v>285</v>
      </c>
      <c r="Q371" t="s">
        <v>286</v>
      </c>
      <c r="R371" t="s">
        <v>23</v>
      </c>
    </row>
    <row r="372" spans="1:18" x14ac:dyDescent="0.35">
      <c r="A372">
        <v>370</v>
      </c>
      <c r="B372" t="s">
        <v>892</v>
      </c>
      <c r="C372" s="1">
        <f t="shared" ca="1" si="25"/>
        <v>45094</v>
      </c>
      <c r="D372" t="str">
        <f t="shared" ca="1" si="26"/>
        <v>June</v>
      </c>
      <c r="E372" t="s">
        <v>29</v>
      </c>
      <c r="F372" t="s">
        <v>33</v>
      </c>
      <c r="G372" t="str">
        <f t="shared" si="27"/>
        <v>Women</v>
      </c>
      <c r="H372" t="str">
        <f t="shared" ca="1" si="28"/>
        <v>Amazon</v>
      </c>
      <c r="I372">
        <f t="shared" ca="1" si="29"/>
        <v>40</v>
      </c>
      <c r="J372" t="s">
        <v>167</v>
      </c>
      <c r="K372" t="s">
        <v>18</v>
      </c>
      <c r="L372" t="s">
        <v>40</v>
      </c>
      <c r="M372">
        <v>1</v>
      </c>
      <c r="N372" t="s">
        <v>20</v>
      </c>
      <c r="O372">
        <v>788</v>
      </c>
      <c r="P372" t="s">
        <v>720</v>
      </c>
      <c r="Q372" t="s">
        <v>57</v>
      </c>
      <c r="R372" t="s">
        <v>23</v>
      </c>
    </row>
    <row r="373" spans="1:18" x14ac:dyDescent="0.35">
      <c r="A373">
        <v>371</v>
      </c>
      <c r="B373" t="s">
        <v>893</v>
      </c>
      <c r="C373" s="1">
        <f t="shared" ca="1" si="25"/>
        <v>45283</v>
      </c>
      <c r="D373" t="str">
        <f t="shared" ca="1" si="26"/>
        <v>December</v>
      </c>
      <c r="E373" t="s">
        <v>29</v>
      </c>
      <c r="F373" t="s">
        <v>33</v>
      </c>
      <c r="G373" t="str">
        <f t="shared" si="27"/>
        <v>Men</v>
      </c>
      <c r="H373" t="str">
        <f t="shared" ca="1" si="28"/>
        <v>Amazon</v>
      </c>
      <c r="I373">
        <f t="shared" ca="1" si="29"/>
        <v>41</v>
      </c>
      <c r="J373" t="s">
        <v>124</v>
      </c>
      <c r="K373" t="s">
        <v>27</v>
      </c>
      <c r="L373" t="s">
        <v>101</v>
      </c>
      <c r="M373">
        <v>1</v>
      </c>
      <c r="N373" t="s">
        <v>20</v>
      </c>
      <c r="O373">
        <v>399</v>
      </c>
      <c r="P373" t="s">
        <v>894</v>
      </c>
      <c r="Q373" t="s">
        <v>89</v>
      </c>
      <c r="R373" t="s">
        <v>23</v>
      </c>
    </row>
    <row r="374" spans="1:18" x14ac:dyDescent="0.35">
      <c r="A374">
        <v>372</v>
      </c>
      <c r="B374" t="s">
        <v>895</v>
      </c>
      <c r="C374" s="1">
        <f t="shared" ca="1" si="25"/>
        <v>45390</v>
      </c>
      <c r="D374" t="str">
        <f t="shared" ca="1" si="26"/>
        <v>April</v>
      </c>
      <c r="E374" t="s">
        <v>29</v>
      </c>
      <c r="F374" t="s">
        <v>33</v>
      </c>
      <c r="G374" t="str">
        <f t="shared" si="27"/>
        <v>Women</v>
      </c>
      <c r="H374" t="str">
        <f t="shared" ca="1" si="28"/>
        <v>Amazon</v>
      </c>
      <c r="I374">
        <f t="shared" ca="1" si="29"/>
        <v>47</v>
      </c>
      <c r="J374" t="s">
        <v>896</v>
      </c>
      <c r="K374" t="s">
        <v>18</v>
      </c>
      <c r="L374" t="s">
        <v>62</v>
      </c>
      <c r="M374">
        <v>1</v>
      </c>
      <c r="N374" t="s">
        <v>20</v>
      </c>
      <c r="O374">
        <v>1099</v>
      </c>
      <c r="P374" t="s">
        <v>503</v>
      </c>
      <c r="Q374" t="s">
        <v>171</v>
      </c>
      <c r="R374" t="s">
        <v>23</v>
      </c>
    </row>
    <row r="375" spans="1:18" x14ac:dyDescent="0.35">
      <c r="A375">
        <v>373</v>
      </c>
      <c r="B375" t="s">
        <v>897</v>
      </c>
      <c r="C375" s="1">
        <f t="shared" ca="1" si="25"/>
        <v>45653</v>
      </c>
      <c r="D375" t="str">
        <f t="shared" ca="1" si="26"/>
        <v>December</v>
      </c>
      <c r="E375" t="s">
        <v>29</v>
      </c>
      <c r="F375" t="s">
        <v>33</v>
      </c>
      <c r="G375" t="str">
        <f t="shared" si="27"/>
        <v>Women</v>
      </c>
      <c r="H375" t="str">
        <f t="shared" ca="1" si="28"/>
        <v>Amazon</v>
      </c>
      <c r="I375">
        <f t="shared" ca="1" si="29"/>
        <v>44</v>
      </c>
      <c r="J375" t="s">
        <v>898</v>
      </c>
      <c r="K375" t="s">
        <v>18</v>
      </c>
      <c r="L375" t="s">
        <v>28</v>
      </c>
      <c r="M375">
        <v>1</v>
      </c>
      <c r="N375" t="s">
        <v>20</v>
      </c>
      <c r="O375">
        <v>476</v>
      </c>
      <c r="P375" t="s">
        <v>56</v>
      </c>
      <c r="Q375" t="s">
        <v>57</v>
      </c>
      <c r="R375" t="s">
        <v>23</v>
      </c>
    </row>
    <row r="376" spans="1:18" x14ac:dyDescent="0.35">
      <c r="A376">
        <v>374</v>
      </c>
      <c r="B376" t="s">
        <v>899</v>
      </c>
      <c r="C376" s="1">
        <f t="shared" ca="1" si="25"/>
        <v>45213</v>
      </c>
      <c r="D376" t="str">
        <f t="shared" ca="1" si="26"/>
        <v>October</v>
      </c>
      <c r="E376" t="s">
        <v>633</v>
      </c>
      <c r="F376" t="s">
        <v>16</v>
      </c>
      <c r="G376" t="str">
        <f t="shared" si="27"/>
        <v>Women</v>
      </c>
      <c r="H376" t="str">
        <f t="shared" ca="1" si="28"/>
        <v>Myntra</v>
      </c>
      <c r="I376">
        <f t="shared" ca="1" si="29"/>
        <v>47</v>
      </c>
      <c r="J376" t="s">
        <v>594</v>
      </c>
      <c r="K376" t="s">
        <v>39</v>
      </c>
      <c r="L376" t="s">
        <v>101</v>
      </c>
      <c r="M376">
        <v>1</v>
      </c>
      <c r="N376" t="s">
        <v>20</v>
      </c>
      <c r="O376">
        <v>0</v>
      </c>
      <c r="P376" t="s">
        <v>88</v>
      </c>
      <c r="Q376" t="s">
        <v>89</v>
      </c>
      <c r="R376" t="s">
        <v>23</v>
      </c>
    </row>
    <row r="377" spans="1:18" x14ac:dyDescent="0.35">
      <c r="A377">
        <v>375</v>
      </c>
      <c r="B377" t="s">
        <v>900</v>
      </c>
      <c r="C377" s="1">
        <f t="shared" ca="1" si="25"/>
        <v>45439</v>
      </c>
      <c r="D377" t="str">
        <f t="shared" ca="1" si="26"/>
        <v>May</v>
      </c>
      <c r="E377" t="s">
        <v>25</v>
      </c>
      <c r="F377" t="s">
        <v>16</v>
      </c>
      <c r="G377" t="str">
        <f t="shared" si="27"/>
        <v>Women</v>
      </c>
      <c r="H377" t="str">
        <f t="shared" ca="1" si="28"/>
        <v>Flipkart</v>
      </c>
      <c r="I377">
        <f t="shared" ca="1" si="29"/>
        <v>34</v>
      </c>
      <c r="J377" t="s">
        <v>901</v>
      </c>
      <c r="K377" t="s">
        <v>39</v>
      </c>
      <c r="L377" t="s">
        <v>40</v>
      </c>
      <c r="M377">
        <v>1</v>
      </c>
      <c r="N377" t="s">
        <v>20</v>
      </c>
      <c r="O377">
        <v>885</v>
      </c>
      <c r="P377" t="s">
        <v>592</v>
      </c>
      <c r="Q377" t="s">
        <v>110</v>
      </c>
      <c r="R377" t="s">
        <v>23</v>
      </c>
    </row>
    <row r="378" spans="1:18" x14ac:dyDescent="0.35">
      <c r="A378">
        <v>376</v>
      </c>
      <c r="B378" t="s">
        <v>902</v>
      </c>
      <c r="C378" s="1">
        <f t="shared" ca="1" si="25"/>
        <v>45196</v>
      </c>
      <c r="D378" t="str">
        <f t="shared" ca="1" si="26"/>
        <v>September</v>
      </c>
      <c r="E378" t="s">
        <v>29</v>
      </c>
      <c r="F378" t="s">
        <v>33</v>
      </c>
      <c r="G378" t="str">
        <f t="shared" si="27"/>
        <v>Women</v>
      </c>
      <c r="H378" t="str">
        <f t="shared" ca="1" si="28"/>
        <v>Amazon</v>
      </c>
      <c r="I378">
        <f t="shared" ca="1" si="29"/>
        <v>58</v>
      </c>
      <c r="J378" t="s">
        <v>903</v>
      </c>
      <c r="K378" t="s">
        <v>18</v>
      </c>
      <c r="L378" t="s">
        <v>68</v>
      </c>
      <c r="M378">
        <v>1</v>
      </c>
      <c r="N378" t="s">
        <v>20</v>
      </c>
      <c r="O378">
        <v>654</v>
      </c>
      <c r="P378" t="s">
        <v>533</v>
      </c>
      <c r="Q378" t="s">
        <v>297</v>
      </c>
      <c r="R378" t="s">
        <v>23</v>
      </c>
    </row>
    <row r="379" spans="1:18" x14ac:dyDescent="0.35">
      <c r="A379">
        <v>377</v>
      </c>
      <c r="B379" t="s">
        <v>904</v>
      </c>
      <c r="C379" s="1">
        <f t="shared" ca="1" si="25"/>
        <v>45185</v>
      </c>
      <c r="D379" t="str">
        <f t="shared" ca="1" si="26"/>
        <v>September</v>
      </c>
      <c r="E379" t="s">
        <v>29</v>
      </c>
      <c r="F379" t="s">
        <v>33</v>
      </c>
      <c r="G379" t="str">
        <f t="shared" si="27"/>
        <v>Women</v>
      </c>
      <c r="H379" t="str">
        <f t="shared" ca="1" si="28"/>
        <v>Amazon</v>
      </c>
      <c r="I379">
        <f t="shared" ca="1" si="29"/>
        <v>23</v>
      </c>
      <c r="J379" t="s">
        <v>905</v>
      </c>
      <c r="K379" t="s">
        <v>39</v>
      </c>
      <c r="L379" t="s">
        <v>35</v>
      </c>
      <c r="M379">
        <v>1</v>
      </c>
      <c r="N379" t="s">
        <v>20</v>
      </c>
      <c r="O379">
        <v>625</v>
      </c>
      <c r="P379" t="s">
        <v>906</v>
      </c>
      <c r="Q379" t="s">
        <v>22</v>
      </c>
      <c r="R379" t="s">
        <v>23</v>
      </c>
    </row>
    <row r="380" spans="1:18" x14ac:dyDescent="0.35">
      <c r="A380">
        <v>378</v>
      </c>
      <c r="B380" t="s">
        <v>907</v>
      </c>
      <c r="C380" s="1">
        <f t="shared" ca="1" si="25"/>
        <v>45142</v>
      </c>
      <c r="D380" t="str">
        <f t="shared" ca="1" si="26"/>
        <v>August</v>
      </c>
      <c r="E380" t="s">
        <v>25</v>
      </c>
      <c r="F380" t="s">
        <v>16</v>
      </c>
      <c r="G380" t="str">
        <f t="shared" si="27"/>
        <v>Men</v>
      </c>
      <c r="H380" t="str">
        <f t="shared" ca="1" si="28"/>
        <v>Myntra</v>
      </c>
      <c r="I380">
        <f t="shared" ca="1" si="29"/>
        <v>18</v>
      </c>
      <c r="J380" t="s">
        <v>78</v>
      </c>
      <c r="K380" t="s">
        <v>27</v>
      </c>
      <c r="L380" t="s">
        <v>79</v>
      </c>
      <c r="M380">
        <v>1</v>
      </c>
      <c r="N380" t="s">
        <v>20</v>
      </c>
      <c r="O380">
        <v>505</v>
      </c>
      <c r="P380" t="s">
        <v>908</v>
      </c>
      <c r="Q380" t="s">
        <v>153</v>
      </c>
      <c r="R380" t="s">
        <v>23</v>
      </c>
    </row>
    <row r="381" spans="1:18" x14ac:dyDescent="0.35">
      <c r="A381">
        <v>379</v>
      </c>
      <c r="B381" t="s">
        <v>909</v>
      </c>
      <c r="C381" s="1">
        <f t="shared" ca="1" si="25"/>
        <v>44932</v>
      </c>
      <c r="D381" t="str">
        <f t="shared" ca="1" si="26"/>
        <v>January</v>
      </c>
      <c r="E381" t="s">
        <v>29</v>
      </c>
      <c r="F381" t="s">
        <v>33</v>
      </c>
      <c r="G381" t="str">
        <f t="shared" si="27"/>
        <v>Men</v>
      </c>
      <c r="H381" t="str">
        <f t="shared" ca="1" si="28"/>
        <v>Amazon</v>
      </c>
      <c r="I381">
        <f t="shared" ca="1" si="29"/>
        <v>19</v>
      </c>
      <c r="J381" t="s">
        <v>910</v>
      </c>
      <c r="K381" t="s">
        <v>27</v>
      </c>
      <c r="L381" t="s">
        <v>79</v>
      </c>
      <c r="M381">
        <v>1</v>
      </c>
      <c r="N381" t="s">
        <v>20</v>
      </c>
      <c r="O381">
        <v>563</v>
      </c>
      <c r="P381" t="s">
        <v>908</v>
      </c>
      <c r="Q381" t="s">
        <v>153</v>
      </c>
      <c r="R381" t="s">
        <v>23</v>
      </c>
    </row>
    <row r="382" spans="1:18" x14ac:dyDescent="0.35">
      <c r="A382">
        <v>380</v>
      </c>
      <c r="B382" t="s">
        <v>911</v>
      </c>
      <c r="C382" s="1">
        <f t="shared" ca="1" si="25"/>
        <v>45026</v>
      </c>
      <c r="D382" t="str">
        <f t="shared" ca="1" si="26"/>
        <v>April</v>
      </c>
      <c r="E382" t="s">
        <v>15</v>
      </c>
      <c r="F382" t="s">
        <v>16</v>
      </c>
      <c r="G382" t="str">
        <f t="shared" si="27"/>
        <v>Men</v>
      </c>
      <c r="H382" t="str">
        <f t="shared" ca="1" si="28"/>
        <v>Flipkart</v>
      </c>
      <c r="I382">
        <f t="shared" ca="1" si="29"/>
        <v>29</v>
      </c>
      <c r="J382" t="s">
        <v>912</v>
      </c>
      <c r="K382" t="s">
        <v>27</v>
      </c>
      <c r="L382" t="s">
        <v>101</v>
      </c>
      <c r="M382">
        <v>0</v>
      </c>
      <c r="N382" t="s">
        <v>20</v>
      </c>
      <c r="O382">
        <v>344.76</v>
      </c>
      <c r="P382" t="s">
        <v>913</v>
      </c>
      <c r="Q382" t="s">
        <v>50</v>
      </c>
      <c r="R382" t="s">
        <v>23</v>
      </c>
    </row>
    <row r="383" spans="1:18" x14ac:dyDescent="0.35">
      <c r="A383">
        <v>381</v>
      </c>
      <c r="B383" t="s">
        <v>914</v>
      </c>
      <c r="C383" s="1">
        <f t="shared" ca="1" si="25"/>
        <v>45108</v>
      </c>
      <c r="D383" t="str">
        <f t="shared" ca="1" si="26"/>
        <v>July</v>
      </c>
      <c r="E383" t="s">
        <v>15</v>
      </c>
      <c r="F383" t="s">
        <v>33</v>
      </c>
      <c r="G383" t="str">
        <f t="shared" si="27"/>
        <v>Women</v>
      </c>
      <c r="H383" t="str">
        <f t="shared" ca="1" si="28"/>
        <v>Amazon</v>
      </c>
      <c r="I383">
        <f t="shared" ca="1" si="29"/>
        <v>58</v>
      </c>
      <c r="J383" t="s">
        <v>915</v>
      </c>
      <c r="K383" t="s">
        <v>18</v>
      </c>
      <c r="L383" t="s">
        <v>28</v>
      </c>
      <c r="M383">
        <v>0</v>
      </c>
      <c r="P383" t="s">
        <v>916</v>
      </c>
      <c r="Q383" t="s">
        <v>22</v>
      </c>
      <c r="R383" t="s">
        <v>23</v>
      </c>
    </row>
    <row r="384" spans="1:18" x14ac:dyDescent="0.35">
      <c r="A384">
        <v>382</v>
      </c>
      <c r="B384" t="s">
        <v>917</v>
      </c>
      <c r="C384" s="1">
        <f t="shared" ca="1" si="25"/>
        <v>45294</v>
      </c>
      <c r="D384" t="str">
        <f t="shared" ca="1" si="26"/>
        <v>January</v>
      </c>
      <c r="E384" t="s">
        <v>25</v>
      </c>
      <c r="F384" t="s">
        <v>16</v>
      </c>
      <c r="G384" t="str">
        <f t="shared" si="27"/>
        <v>Men</v>
      </c>
      <c r="H384" t="str">
        <f t="shared" ca="1" si="28"/>
        <v>Flipkart</v>
      </c>
      <c r="I384">
        <f t="shared" ca="1" si="29"/>
        <v>34</v>
      </c>
      <c r="J384" t="s">
        <v>918</v>
      </c>
      <c r="K384" t="s">
        <v>27</v>
      </c>
      <c r="L384" t="s">
        <v>35</v>
      </c>
      <c r="M384">
        <v>1</v>
      </c>
      <c r="N384" t="s">
        <v>20</v>
      </c>
      <c r="O384">
        <v>666</v>
      </c>
      <c r="P384" t="s">
        <v>122</v>
      </c>
      <c r="Q384" t="s">
        <v>22</v>
      </c>
      <c r="R384" t="s">
        <v>23</v>
      </c>
    </row>
    <row r="385" spans="1:18" x14ac:dyDescent="0.35">
      <c r="A385">
        <v>383</v>
      </c>
      <c r="B385" t="s">
        <v>919</v>
      </c>
      <c r="C385" s="1">
        <f t="shared" ca="1" si="25"/>
        <v>45070</v>
      </c>
      <c r="D385" t="str">
        <f t="shared" ca="1" si="26"/>
        <v>May</v>
      </c>
      <c r="E385" t="s">
        <v>25</v>
      </c>
      <c r="F385" t="s">
        <v>16</v>
      </c>
      <c r="G385" t="str">
        <f t="shared" si="27"/>
        <v>Men</v>
      </c>
      <c r="H385" t="str">
        <f t="shared" ca="1" si="28"/>
        <v>Myntra</v>
      </c>
      <c r="I385">
        <f t="shared" ca="1" si="29"/>
        <v>60</v>
      </c>
      <c r="J385" t="s">
        <v>55</v>
      </c>
      <c r="K385" t="s">
        <v>27</v>
      </c>
      <c r="L385" t="s">
        <v>19</v>
      </c>
      <c r="M385">
        <v>1</v>
      </c>
      <c r="N385" t="s">
        <v>20</v>
      </c>
      <c r="O385">
        <v>399</v>
      </c>
      <c r="P385" t="s">
        <v>920</v>
      </c>
      <c r="Q385" t="s">
        <v>57</v>
      </c>
      <c r="R385" t="s">
        <v>23</v>
      </c>
    </row>
    <row r="386" spans="1:18" x14ac:dyDescent="0.35">
      <c r="A386">
        <v>384</v>
      </c>
      <c r="B386" t="s">
        <v>921</v>
      </c>
      <c r="C386" s="1">
        <f t="shared" ca="1" si="25"/>
        <v>45019</v>
      </c>
      <c r="D386" t="str">
        <f t="shared" ca="1" si="26"/>
        <v>April</v>
      </c>
      <c r="E386" t="s">
        <v>25</v>
      </c>
      <c r="F386" t="s">
        <v>16</v>
      </c>
      <c r="G386" t="str">
        <f t="shared" si="27"/>
        <v>Men</v>
      </c>
      <c r="H386" t="str">
        <f t="shared" ca="1" si="28"/>
        <v>Myntra</v>
      </c>
      <c r="I386">
        <f t="shared" ca="1" si="29"/>
        <v>21</v>
      </c>
      <c r="J386" t="s">
        <v>922</v>
      </c>
      <c r="K386" t="s">
        <v>27</v>
      </c>
      <c r="L386" t="s">
        <v>19</v>
      </c>
      <c r="M386">
        <v>1</v>
      </c>
      <c r="N386" t="s">
        <v>20</v>
      </c>
      <c r="O386">
        <v>432</v>
      </c>
      <c r="P386" t="s">
        <v>923</v>
      </c>
      <c r="Q386" t="s">
        <v>264</v>
      </c>
      <c r="R386" t="s">
        <v>23</v>
      </c>
    </row>
    <row r="387" spans="1:18" x14ac:dyDescent="0.35">
      <c r="A387">
        <v>385</v>
      </c>
      <c r="B387" t="s">
        <v>924</v>
      </c>
      <c r="C387" s="1">
        <f t="shared" ref="C387:C450" ca="1" si="30">RANDBETWEEN(DATE(2023,1,1), DATE(2024,12,31))</f>
        <v>45622</v>
      </c>
      <c r="D387" t="str">
        <f t="shared" ref="D387:D450" ca="1" si="31">TEXT(C387, "MMMM")</f>
        <v>November</v>
      </c>
      <c r="E387" t="s">
        <v>29</v>
      </c>
      <c r="F387" t="s">
        <v>33</v>
      </c>
      <c r="G387" t="str">
        <f t="shared" ref="G387:G450" si="32">IF(K387="Set","Women",IF(K387="Kurta","Men",IF(K387="Top","Women",IF(K387="Western Dress","Women",IF(K387="Ethnic Dress","Women",IF(K387="Saree","Women",0))))))</f>
        <v>Men</v>
      </c>
      <c r="H387" t="str">
        <f t="shared" ref="H387:H450" ca="1" si="33">IF(F387="Merchant",IF(RAND()&gt;0.5,"Myntra","Flipkart"),IF(F387="Amazon","Amazon",0))</f>
        <v>Amazon</v>
      </c>
      <c r="I387">
        <f t="shared" ref="I387:I450" ca="1" si="34">RANDBETWEEN(18, 60)</f>
        <v>45</v>
      </c>
      <c r="J387" t="s">
        <v>151</v>
      </c>
      <c r="K387" t="s">
        <v>27</v>
      </c>
      <c r="L387" t="s">
        <v>40</v>
      </c>
      <c r="M387">
        <v>1</v>
      </c>
      <c r="N387" t="s">
        <v>20</v>
      </c>
      <c r="O387">
        <v>0</v>
      </c>
      <c r="P387" t="s">
        <v>925</v>
      </c>
      <c r="Q387" t="s">
        <v>171</v>
      </c>
      <c r="R387" t="s">
        <v>23</v>
      </c>
    </row>
    <row r="388" spans="1:18" x14ac:dyDescent="0.35">
      <c r="A388">
        <v>386</v>
      </c>
      <c r="B388" t="s">
        <v>926</v>
      </c>
      <c r="C388" s="1">
        <f t="shared" ca="1" si="30"/>
        <v>45031</v>
      </c>
      <c r="D388" t="str">
        <f t="shared" ca="1" si="31"/>
        <v>April</v>
      </c>
      <c r="E388" t="s">
        <v>29</v>
      </c>
      <c r="F388" t="s">
        <v>33</v>
      </c>
      <c r="G388" t="str">
        <f t="shared" si="32"/>
        <v>Women</v>
      </c>
      <c r="H388" t="str">
        <f t="shared" ca="1" si="33"/>
        <v>Amazon</v>
      </c>
      <c r="I388">
        <f t="shared" ca="1" si="34"/>
        <v>49</v>
      </c>
      <c r="J388" t="s">
        <v>927</v>
      </c>
      <c r="K388" t="s">
        <v>18</v>
      </c>
      <c r="L388" t="s">
        <v>28</v>
      </c>
      <c r="M388">
        <v>1</v>
      </c>
      <c r="N388" t="s">
        <v>20</v>
      </c>
      <c r="O388">
        <v>1099</v>
      </c>
      <c r="P388" t="s">
        <v>113</v>
      </c>
      <c r="Q388" t="s">
        <v>114</v>
      </c>
      <c r="R388" t="s">
        <v>23</v>
      </c>
    </row>
    <row r="389" spans="1:18" x14ac:dyDescent="0.35">
      <c r="A389">
        <v>387</v>
      </c>
      <c r="B389" t="s">
        <v>928</v>
      </c>
      <c r="C389" s="1">
        <f t="shared" ca="1" si="30"/>
        <v>44954</v>
      </c>
      <c r="D389" t="str">
        <f t="shared" ca="1" si="31"/>
        <v>January</v>
      </c>
      <c r="E389" t="s">
        <v>29</v>
      </c>
      <c r="F389" t="s">
        <v>33</v>
      </c>
      <c r="G389" t="str">
        <f t="shared" si="32"/>
        <v>Men</v>
      </c>
      <c r="H389" t="str">
        <f t="shared" ca="1" si="33"/>
        <v>Amazon</v>
      </c>
      <c r="I389">
        <f t="shared" ca="1" si="34"/>
        <v>42</v>
      </c>
      <c r="J389" t="s">
        <v>929</v>
      </c>
      <c r="K389" t="s">
        <v>27</v>
      </c>
      <c r="L389" t="s">
        <v>28</v>
      </c>
      <c r="M389">
        <v>1</v>
      </c>
      <c r="N389" t="s">
        <v>20</v>
      </c>
      <c r="O389">
        <v>353</v>
      </c>
      <c r="P389" t="s">
        <v>30</v>
      </c>
      <c r="Q389" t="s">
        <v>31</v>
      </c>
      <c r="R389" t="s">
        <v>23</v>
      </c>
    </row>
    <row r="390" spans="1:18" x14ac:dyDescent="0.35">
      <c r="A390">
        <v>388</v>
      </c>
      <c r="B390" t="s">
        <v>930</v>
      </c>
      <c r="C390" s="1">
        <f t="shared" ca="1" si="30"/>
        <v>45273</v>
      </c>
      <c r="D390" t="str">
        <f t="shared" ca="1" si="31"/>
        <v>December</v>
      </c>
      <c r="E390" t="s">
        <v>25</v>
      </c>
      <c r="F390" t="s">
        <v>16</v>
      </c>
      <c r="G390" t="str">
        <f t="shared" si="32"/>
        <v>Women</v>
      </c>
      <c r="H390" t="str">
        <f t="shared" ca="1" si="33"/>
        <v>Flipkart</v>
      </c>
      <c r="I390">
        <f t="shared" ca="1" si="34"/>
        <v>31</v>
      </c>
      <c r="J390" t="s">
        <v>931</v>
      </c>
      <c r="K390" t="s">
        <v>39</v>
      </c>
      <c r="L390" t="s">
        <v>68</v>
      </c>
      <c r="M390">
        <v>1</v>
      </c>
      <c r="N390" t="s">
        <v>20</v>
      </c>
      <c r="O390">
        <v>0</v>
      </c>
      <c r="P390" t="s">
        <v>932</v>
      </c>
      <c r="Q390" t="s">
        <v>357</v>
      </c>
      <c r="R390" t="s">
        <v>23</v>
      </c>
    </row>
    <row r="391" spans="1:18" x14ac:dyDescent="0.35">
      <c r="A391">
        <v>389</v>
      </c>
      <c r="B391" t="s">
        <v>933</v>
      </c>
      <c r="C391" s="1">
        <f t="shared" ca="1" si="30"/>
        <v>45394</v>
      </c>
      <c r="D391" t="str">
        <f t="shared" ca="1" si="31"/>
        <v>April</v>
      </c>
      <c r="E391" t="s">
        <v>29</v>
      </c>
      <c r="F391" t="s">
        <v>33</v>
      </c>
      <c r="G391" t="str">
        <f t="shared" si="32"/>
        <v>Women</v>
      </c>
      <c r="H391" t="str">
        <f t="shared" ca="1" si="33"/>
        <v>Amazon</v>
      </c>
      <c r="I391">
        <f t="shared" ca="1" si="34"/>
        <v>27</v>
      </c>
      <c r="J391" t="s">
        <v>105</v>
      </c>
      <c r="K391" t="s">
        <v>18</v>
      </c>
      <c r="L391" t="s">
        <v>101</v>
      </c>
      <c r="M391">
        <v>1</v>
      </c>
      <c r="N391" t="s">
        <v>20</v>
      </c>
      <c r="O391">
        <v>563</v>
      </c>
      <c r="P391" t="s">
        <v>30</v>
      </c>
      <c r="Q391" t="s">
        <v>31</v>
      </c>
      <c r="R391" t="s">
        <v>23</v>
      </c>
    </row>
    <row r="392" spans="1:18" x14ac:dyDescent="0.35">
      <c r="A392">
        <v>390</v>
      </c>
      <c r="B392" t="s">
        <v>934</v>
      </c>
      <c r="C392" s="1">
        <f t="shared" ca="1" si="30"/>
        <v>45227</v>
      </c>
      <c r="D392" t="str">
        <f t="shared" ca="1" si="31"/>
        <v>October</v>
      </c>
      <c r="E392" t="s">
        <v>29</v>
      </c>
      <c r="F392" t="s">
        <v>33</v>
      </c>
      <c r="G392" t="str">
        <f t="shared" si="32"/>
        <v>Women</v>
      </c>
      <c r="H392" t="str">
        <f t="shared" ca="1" si="33"/>
        <v>Amazon</v>
      </c>
      <c r="I392">
        <f t="shared" ca="1" si="34"/>
        <v>22</v>
      </c>
      <c r="J392" t="s">
        <v>369</v>
      </c>
      <c r="K392" t="s">
        <v>18</v>
      </c>
      <c r="L392" t="s">
        <v>62</v>
      </c>
      <c r="M392">
        <v>1</v>
      </c>
      <c r="N392" t="s">
        <v>20</v>
      </c>
      <c r="O392">
        <v>788</v>
      </c>
      <c r="P392" t="s">
        <v>56</v>
      </c>
      <c r="Q392" t="s">
        <v>57</v>
      </c>
      <c r="R392" t="s">
        <v>23</v>
      </c>
    </row>
    <row r="393" spans="1:18" x14ac:dyDescent="0.35">
      <c r="A393">
        <v>391</v>
      </c>
      <c r="B393" t="s">
        <v>935</v>
      </c>
      <c r="C393" s="1">
        <f t="shared" ca="1" si="30"/>
        <v>44969</v>
      </c>
      <c r="D393" t="str">
        <f t="shared" ca="1" si="31"/>
        <v>February</v>
      </c>
      <c r="E393" t="s">
        <v>29</v>
      </c>
      <c r="F393" t="s">
        <v>33</v>
      </c>
      <c r="G393" t="str">
        <f t="shared" si="32"/>
        <v>Women</v>
      </c>
      <c r="H393" t="str">
        <f t="shared" ca="1" si="33"/>
        <v>Amazon</v>
      </c>
      <c r="I393">
        <f t="shared" ca="1" si="34"/>
        <v>49</v>
      </c>
      <c r="J393" t="s">
        <v>187</v>
      </c>
      <c r="K393" t="s">
        <v>18</v>
      </c>
      <c r="L393" t="s">
        <v>101</v>
      </c>
      <c r="M393">
        <v>1</v>
      </c>
      <c r="N393" t="s">
        <v>20</v>
      </c>
      <c r="O393">
        <v>654</v>
      </c>
      <c r="P393" t="s">
        <v>936</v>
      </c>
      <c r="Q393" t="s">
        <v>286</v>
      </c>
      <c r="R393" t="s">
        <v>23</v>
      </c>
    </row>
    <row r="394" spans="1:18" x14ac:dyDescent="0.35">
      <c r="A394">
        <v>392</v>
      </c>
      <c r="B394" t="s">
        <v>937</v>
      </c>
      <c r="C394" s="1">
        <f t="shared" ca="1" si="30"/>
        <v>45375</v>
      </c>
      <c r="D394" t="str">
        <f t="shared" ca="1" si="31"/>
        <v>March</v>
      </c>
      <c r="E394" t="s">
        <v>29</v>
      </c>
      <c r="F394" t="s">
        <v>33</v>
      </c>
      <c r="G394" t="str">
        <f t="shared" si="32"/>
        <v>Women</v>
      </c>
      <c r="H394" t="str">
        <f t="shared" ca="1" si="33"/>
        <v>Amazon</v>
      </c>
      <c r="I394">
        <f t="shared" ca="1" si="34"/>
        <v>57</v>
      </c>
      <c r="J394" t="s">
        <v>938</v>
      </c>
      <c r="K394" t="s">
        <v>18</v>
      </c>
      <c r="L394" t="s">
        <v>40</v>
      </c>
      <c r="M394">
        <v>1</v>
      </c>
      <c r="N394" t="s">
        <v>20</v>
      </c>
      <c r="O394">
        <v>0</v>
      </c>
      <c r="P394" t="s">
        <v>21</v>
      </c>
      <c r="Q394" t="s">
        <v>22</v>
      </c>
      <c r="R394" t="s">
        <v>23</v>
      </c>
    </row>
    <row r="395" spans="1:18" x14ac:dyDescent="0.35">
      <c r="A395">
        <v>393</v>
      </c>
      <c r="B395" t="s">
        <v>939</v>
      </c>
      <c r="C395" s="1">
        <f t="shared" ca="1" si="30"/>
        <v>45271</v>
      </c>
      <c r="D395" t="str">
        <f t="shared" ca="1" si="31"/>
        <v>December</v>
      </c>
      <c r="E395" t="s">
        <v>29</v>
      </c>
      <c r="F395" t="s">
        <v>33</v>
      </c>
      <c r="G395" t="str">
        <f t="shared" si="32"/>
        <v>Men</v>
      </c>
      <c r="H395" t="str">
        <f t="shared" ca="1" si="33"/>
        <v>Amazon</v>
      </c>
      <c r="I395">
        <f t="shared" ca="1" si="34"/>
        <v>22</v>
      </c>
      <c r="J395" t="s">
        <v>940</v>
      </c>
      <c r="K395" t="s">
        <v>27</v>
      </c>
      <c r="L395" t="s">
        <v>28</v>
      </c>
      <c r="M395">
        <v>1</v>
      </c>
      <c r="N395" t="s">
        <v>20</v>
      </c>
      <c r="O395">
        <v>399</v>
      </c>
      <c r="P395" t="s">
        <v>177</v>
      </c>
      <c r="Q395" t="s">
        <v>57</v>
      </c>
      <c r="R395" t="s">
        <v>23</v>
      </c>
    </row>
    <row r="396" spans="1:18" x14ac:dyDescent="0.35">
      <c r="A396">
        <v>394</v>
      </c>
      <c r="B396" t="s">
        <v>941</v>
      </c>
      <c r="C396" s="1">
        <f t="shared" ca="1" si="30"/>
        <v>45100</v>
      </c>
      <c r="D396" t="str">
        <f t="shared" ca="1" si="31"/>
        <v>June</v>
      </c>
      <c r="E396" t="s">
        <v>29</v>
      </c>
      <c r="F396" t="s">
        <v>33</v>
      </c>
      <c r="G396" t="str">
        <f t="shared" si="32"/>
        <v>Women</v>
      </c>
      <c r="H396" t="str">
        <f t="shared" ca="1" si="33"/>
        <v>Amazon</v>
      </c>
      <c r="I396">
        <f t="shared" ca="1" si="34"/>
        <v>29</v>
      </c>
      <c r="J396" t="s">
        <v>295</v>
      </c>
      <c r="K396" t="s">
        <v>18</v>
      </c>
      <c r="L396" t="s">
        <v>40</v>
      </c>
      <c r="M396">
        <v>1</v>
      </c>
      <c r="N396" t="s">
        <v>20</v>
      </c>
      <c r="O396">
        <v>696</v>
      </c>
      <c r="P396" t="s">
        <v>942</v>
      </c>
      <c r="Q396" t="s">
        <v>50</v>
      </c>
      <c r="R396" t="s">
        <v>23</v>
      </c>
    </row>
    <row r="397" spans="1:18" x14ac:dyDescent="0.35">
      <c r="A397">
        <v>395</v>
      </c>
      <c r="B397" t="s">
        <v>943</v>
      </c>
      <c r="C397" s="1">
        <f t="shared" ca="1" si="30"/>
        <v>45342</v>
      </c>
      <c r="D397" t="str">
        <f t="shared" ca="1" si="31"/>
        <v>February</v>
      </c>
      <c r="E397" t="s">
        <v>29</v>
      </c>
      <c r="F397" t="s">
        <v>33</v>
      </c>
      <c r="G397" t="str">
        <f t="shared" si="32"/>
        <v>Women</v>
      </c>
      <c r="H397" t="str">
        <f t="shared" ca="1" si="33"/>
        <v>Amazon</v>
      </c>
      <c r="I397">
        <f t="shared" ca="1" si="34"/>
        <v>21</v>
      </c>
      <c r="J397" t="s">
        <v>944</v>
      </c>
      <c r="K397" t="s">
        <v>18</v>
      </c>
      <c r="L397" t="s">
        <v>62</v>
      </c>
      <c r="M397">
        <v>1</v>
      </c>
      <c r="N397" t="s">
        <v>20</v>
      </c>
      <c r="O397">
        <v>1112</v>
      </c>
      <c r="P397" t="s">
        <v>133</v>
      </c>
      <c r="Q397" t="s">
        <v>50</v>
      </c>
      <c r="R397" t="s">
        <v>23</v>
      </c>
    </row>
    <row r="398" spans="1:18" x14ac:dyDescent="0.35">
      <c r="A398">
        <v>396</v>
      </c>
      <c r="B398" t="s">
        <v>945</v>
      </c>
      <c r="C398" s="1">
        <f t="shared" ca="1" si="30"/>
        <v>45144</v>
      </c>
      <c r="D398" t="str">
        <f t="shared" ca="1" si="31"/>
        <v>August</v>
      </c>
      <c r="E398" t="s">
        <v>29</v>
      </c>
      <c r="F398" t="s">
        <v>33</v>
      </c>
      <c r="G398" t="str">
        <f t="shared" si="32"/>
        <v>Men</v>
      </c>
      <c r="H398" t="str">
        <f t="shared" ca="1" si="33"/>
        <v>Amazon</v>
      </c>
      <c r="I398">
        <f t="shared" ca="1" si="34"/>
        <v>25</v>
      </c>
      <c r="J398" t="s">
        <v>946</v>
      </c>
      <c r="K398" t="s">
        <v>27</v>
      </c>
      <c r="L398" t="s">
        <v>28</v>
      </c>
      <c r="M398">
        <v>1</v>
      </c>
      <c r="N398" t="s">
        <v>20</v>
      </c>
      <c r="O398">
        <v>517</v>
      </c>
      <c r="P398" t="s">
        <v>947</v>
      </c>
      <c r="Q398" t="s">
        <v>81</v>
      </c>
      <c r="R398" t="s">
        <v>23</v>
      </c>
    </row>
    <row r="399" spans="1:18" x14ac:dyDescent="0.35">
      <c r="A399">
        <v>397</v>
      </c>
      <c r="B399" t="s">
        <v>948</v>
      </c>
      <c r="C399" s="1">
        <f t="shared" ca="1" si="30"/>
        <v>45505</v>
      </c>
      <c r="D399" t="str">
        <f t="shared" ca="1" si="31"/>
        <v>August</v>
      </c>
      <c r="E399" t="s">
        <v>29</v>
      </c>
      <c r="F399" t="s">
        <v>33</v>
      </c>
      <c r="G399" t="str">
        <f t="shared" si="32"/>
        <v>Women</v>
      </c>
      <c r="H399" t="str">
        <f t="shared" ca="1" si="33"/>
        <v>Amazon</v>
      </c>
      <c r="I399">
        <f t="shared" ca="1" si="34"/>
        <v>51</v>
      </c>
      <c r="J399" t="s">
        <v>949</v>
      </c>
      <c r="K399" t="s">
        <v>18</v>
      </c>
      <c r="L399" t="s">
        <v>101</v>
      </c>
      <c r="M399">
        <v>1</v>
      </c>
      <c r="N399" t="s">
        <v>20</v>
      </c>
      <c r="O399">
        <v>888</v>
      </c>
      <c r="P399" t="s">
        <v>947</v>
      </c>
      <c r="Q399" t="s">
        <v>81</v>
      </c>
      <c r="R399" t="s">
        <v>23</v>
      </c>
    </row>
    <row r="400" spans="1:18" x14ac:dyDescent="0.35">
      <c r="A400">
        <v>398</v>
      </c>
      <c r="B400" t="s">
        <v>948</v>
      </c>
      <c r="C400" s="1">
        <f t="shared" ca="1" si="30"/>
        <v>44930</v>
      </c>
      <c r="D400" t="str">
        <f t="shared" ca="1" si="31"/>
        <v>January</v>
      </c>
      <c r="E400" t="s">
        <v>29</v>
      </c>
      <c r="F400" t="s">
        <v>33</v>
      </c>
      <c r="G400" t="str">
        <f t="shared" si="32"/>
        <v>Women</v>
      </c>
      <c r="H400" t="str">
        <f t="shared" ca="1" si="33"/>
        <v>Amazon</v>
      </c>
      <c r="I400">
        <f t="shared" ca="1" si="34"/>
        <v>56</v>
      </c>
      <c r="J400" t="s">
        <v>751</v>
      </c>
      <c r="K400" t="s">
        <v>18</v>
      </c>
      <c r="L400" t="s">
        <v>19</v>
      </c>
      <c r="M400">
        <v>1</v>
      </c>
      <c r="N400" t="s">
        <v>20</v>
      </c>
      <c r="O400">
        <v>1463</v>
      </c>
      <c r="P400" t="s">
        <v>947</v>
      </c>
      <c r="Q400" t="s">
        <v>81</v>
      </c>
      <c r="R400" t="s">
        <v>23</v>
      </c>
    </row>
    <row r="401" spans="1:18" x14ac:dyDescent="0.35">
      <c r="A401">
        <v>399</v>
      </c>
      <c r="B401" t="s">
        <v>948</v>
      </c>
      <c r="C401" s="1">
        <f t="shared" ca="1" si="30"/>
        <v>45574</v>
      </c>
      <c r="D401" t="str">
        <f t="shared" ca="1" si="31"/>
        <v>October</v>
      </c>
      <c r="E401" t="s">
        <v>29</v>
      </c>
      <c r="F401" t="s">
        <v>33</v>
      </c>
      <c r="G401" t="str">
        <f t="shared" si="32"/>
        <v>Men</v>
      </c>
      <c r="H401" t="str">
        <f t="shared" ca="1" si="33"/>
        <v>Amazon</v>
      </c>
      <c r="I401">
        <f t="shared" ca="1" si="34"/>
        <v>24</v>
      </c>
      <c r="J401" t="s">
        <v>940</v>
      </c>
      <c r="K401" t="s">
        <v>27</v>
      </c>
      <c r="L401" t="s">
        <v>28</v>
      </c>
      <c r="M401">
        <v>1</v>
      </c>
      <c r="N401" t="s">
        <v>20</v>
      </c>
      <c r="O401">
        <v>399</v>
      </c>
      <c r="P401" t="s">
        <v>947</v>
      </c>
      <c r="Q401" t="s">
        <v>81</v>
      </c>
      <c r="R401" t="s">
        <v>23</v>
      </c>
    </row>
    <row r="402" spans="1:18" x14ac:dyDescent="0.35">
      <c r="A402">
        <v>400</v>
      </c>
      <c r="B402" t="s">
        <v>948</v>
      </c>
      <c r="C402" s="1">
        <f t="shared" ca="1" si="30"/>
        <v>44995</v>
      </c>
      <c r="D402" t="str">
        <f t="shared" ca="1" si="31"/>
        <v>March</v>
      </c>
      <c r="E402" t="s">
        <v>29</v>
      </c>
      <c r="F402" t="s">
        <v>33</v>
      </c>
      <c r="G402" t="str">
        <f t="shared" si="32"/>
        <v>Men</v>
      </c>
      <c r="H402" t="str">
        <f t="shared" ca="1" si="33"/>
        <v>Amazon</v>
      </c>
      <c r="I402">
        <f t="shared" ca="1" si="34"/>
        <v>28</v>
      </c>
      <c r="J402" t="s">
        <v>950</v>
      </c>
      <c r="K402" t="s">
        <v>27</v>
      </c>
      <c r="L402" t="s">
        <v>101</v>
      </c>
      <c r="M402">
        <v>1</v>
      </c>
      <c r="N402" t="s">
        <v>20</v>
      </c>
      <c r="O402">
        <v>442</v>
      </c>
      <c r="P402" t="s">
        <v>947</v>
      </c>
      <c r="Q402" t="s">
        <v>81</v>
      </c>
      <c r="R402" t="s">
        <v>23</v>
      </c>
    </row>
    <row r="403" spans="1:18" x14ac:dyDescent="0.35">
      <c r="A403">
        <v>401</v>
      </c>
      <c r="B403" t="s">
        <v>948</v>
      </c>
      <c r="C403" s="1">
        <f t="shared" ca="1" si="30"/>
        <v>45325</v>
      </c>
      <c r="D403" t="str">
        <f t="shared" ca="1" si="31"/>
        <v>February</v>
      </c>
      <c r="E403" t="s">
        <v>29</v>
      </c>
      <c r="F403" t="s">
        <v>33</v>
      </c>
      <c r="G403" t="str">
        <f t="shared" si="32"/>
        <v>Women</v>
      </c>
      <c r="H403" t="str">
        <f t="shared" ca="1" si="33"/>
        <v>Amazon</v>
      </c>
      <c r="I403">
        <f t="shared" ca="1" si="34"/>
        <v>25</v>
      </c>
      <c r="J403" t="s">
        <v>951</v>
      </c>
      <c r="K403" t="s">
        <v>18</v>
      </c>
      <c r="L403" t="s">
        <v>101</v>
      </c>
      <c r="M403">
        <v>1</v>
      </c>
      <c r="N403" t="s">
        <v>20</v>
      </c>
      <c r="O403">
        <v>1149</v>
      </c>
      <c r="P403" t="s">
        <v>947</v>
      </c>
      <c r="Q403" t="s">
        <v>81</v>
      </c>
      <c r="R403" t="s">
        <v>23</v>
      </c>
    </row>
    <row r="404" spans="1:18" x14ac:dyDescent="0.35">
      <c r="A404">
        <v>402</v>
      </c>
      <c r="B404" t="s">
        <v>948</v>
      </c>
      <c r="C404" s="1">
        <f t="shared" ca="1" si="30"/>
        <v>45160</v>
      </c>
      <c r="D404" t="str">
        <f t="shared" ca="1" si="31"/>
        <v>August</v>
      </c>
      <c r="E404" t="s">
        <v>29</v>
      </c>
      <c r="F404" t="s">
        <v>33</v>
      </c>
      <c r="G404" t="str">
        <f t="shared" si="32"/>
        <v>Women</v>
      </c>
      <c r="H404" t="str">
        <f t="shared" ca="1" si="33"/>
        <v>Amazon</v>
      </c>
      <c r="I404">
        <f t="shared" ca="1" si="34"/>
        <v>60</v>
      </c>
      <c r="J404" t="s">
        <v>456</v>
      </c>
      <c r="K404" t="s">
        <v>156</v>
      </c>
      <c r="L404" t="s">
        <v>101</v>
      </c>
      <c r="M404">
        <v>1</v>
      </c>
      <c r="N404" t="s">
        <v>20</v>
      </c>
      <c r="O404">
        <v>845</v>
      </c>
      <c r="P404" t="s">
        <v>947</v>
      </c>
      <c r="Q404" t="s">
        <v>81</v>
      </c>
      <c r="R404" t="s">
        <v>23</v>
      </c>
    </row>
    <row r="405" spans="1:18" x14ac:dyDescent="0.35">
      <c r="A405">
        <v>403</v>
      </c>
      <c r="B405" t="s">
        <v>952</v>
      </c>
      <c r="C405" s="1">
        <f t="shared" ca="1" si="30"/>
        <v>45148</v>
      </c>
      <c r="D405" t="str">
        <f t="shared" ca="1" si="31"/>
        <v>August</v>
      </c>
      <c r="E405" t="s">
        <v>29</v>
      </c>
      <c r="F405" t="s">
        <v>33</v>
      </c>
      <c r="G405" t="str">
        <f t="shared" si="32"/>
        <v>Women</v>
      </c>
      <c r="H405" t="str">
        <f t="shared" ca="1" si="33"/>
        <v>Amazon</v>
      </c>
      <c r="I405">
        <f t="shared" ca="1" si="34"/>
        <v>39</v>
      </c>
      <c r="J405" t="s">
        <v>953</v>
      </c>
      <c r="K405" t="s">
        <v>18</v>
      </c>
      <c r="L405" t="s">
        <v>19</v>
      </c>
      <c r="M405">
        <v>1</v>
      </c>
      <c r="N405" t="s">
        <v>20</v>
      </c>
      <c r="O405">
        <v>788</v>
      </c>
      <c r="P405" t="s">
        <v>954</v>
      </c>
      <c r="Q405" t="s">
        <v>171</v>
      </c>
      <c r="R405" t="s">
        <v>23</v>
      </c>
    </row>
    <row r="406" spans="1:18" x14ac:dyDescent="0.35">
      <c r="A406">
        <v>404</v>
      </c>
      <c r="B406" t="s">
        <v>955</v>
      </c>
      <c r="C406" s="1">
        <f t="shared" ca="1" si="30"/>
        <v>45200</v>
      </c>
      <c r="D406" t="str">
        <f t="shared" ca="1" si="31"/>
        <v>October</v>
      </c>
      <c r="E406" t="s">
        <v>15</v>
      </c>
      <c r="F406" t="s">
        <v>16</v>
      </c>
      <c r="G406" t="str">
        <f t="shared" si="32"/>
        <v>Women</v>
      </c>
      <c r="H406" t="str">
        <f t="shared" ca="1" si="33"/>
        <v>Myntra</v>
      </c>
      <c r="I406">
        <f t="shared" ca="1" si="34"/>
        <v>29</v>
      </c>
      <c r="J406" t="s">
        <v>956</v>
      </c>
      <c r="K406" t="s">
        <v>39</v>
      </c>
      <c r="L406" t="s">
        <v>62</v>
      </c>
      <c r="M406">
        <v>0</v>
      </c>
      <c r="N406" t="s">
        <v>20</v>
      </c>
      <c r="O406">
        <v>734.29</v>
      </c>
      <c r="P406" t="s">
        <v>56</v>
      </c>
      <c r="Q406" t="s">
        <v>57</v>
      </c>
      <c r="R406" t="s">
        <v>23</v>
      </c>
    </row>
    <row r="407" spans="1:18" x14ac:dyDescent="0.35">
      <c r="A407">
        <v>405</v>
      </c>
      <c r="B407" t="s">
        <v>957</v>
      </c>
      <c r="C407" s="1">
        <f t="shared" ca="1" si="30"/>
        <v>45648</v>
      </c>
      <c r="D407" t="str">
        <f t="shared" ca="1" si="31"/>
        <v>December</v>
      </c>
      <c r="E407" t="s">
        <v>29</v>
      </c>
      <c r="F407" t="s">
        <v>33</v>
      </c>
      <c r="G407" t="str">
        <f t="shared" si="32"/>
        <v>Women</v>
      </c>
      <c r="H407" t="str">
        <f t="shared" ca="1" si="33"/>
        <v>Amazon</v>
      </c>
      <c r="I407">
        <f t="shared" ca="1" si="34"/>
        <v>60</v>
      </c>
      <c r="J407" t="s">
        <v>953</v>
      </c>
      <c r="K407" t="s">
        <v>18</v>
      </c>
      <c r="L407" t="s">
        <v>19</v>
      </c>
      <c r="M407">
        <v>1</v>
      </c>
      <c r="N407" t="s">
        <v>20</v>
      </c>
      <c r="O407">
        <v>788</v>
      </c>
      <c r="P407" t="s">
        <v>88</v>
      </c>
      <c r="Q407" t="s">
        <v>89</v>
      </c>
      <c r="R407" t="s">
        <v>23</v>
      </c>
    </row>
    <row r="408" spans="1:18" x14ac:dyDescent="0.35">
      <c r="A408">
        <v>406</v>
      </c>
      <c r="B408" t="s">
        <v>958</v>
      </c>
      <c r="C408" s="1">
        <f t="shared" ca="1" si="30"/>
        <v>44937</v>
      </c>
      <c r="D408" t="str">
        <f t="shared" ca="1" si="31"/>
        <v>January</v>
      </c>
      <c r="E408" t="s">
        <v>29</v>
      </c>
      <c r="F408" t="s">
        <v>33</v>
      </c>
      <c r="G408" t="str">
        <f t="shared" si="32"/>
        <v>Women</v>
      </c>
      <c r="H408" t="str">
        <f t="shared" ca="1" si="33"/>
        <v>Amazon</v>
      </c>
      <c r="I408">
        <f t="shared" ca="1" si="34"/>
        <v>38</v>
      </c>
      <c r="J408" t="s">
        <v>187</v>
      </c>
      <c r="K408" t="s">
        <v>18</v>
      </c>
      <c r="L408" t="s">
        <v>101</v>
      </c>
      <c r="M408">
        <v>1</v>
      </c>
      <c r="N408" t="s">
        <v>20</v>
      </c>
      <c r="O408">
        <v>654</v>
      </c>
      <c r="P408" t="s">
        <v>959</v>
      </c>
      <c r="Q408" t="s">
        <v>855</v>
      </c>
      <c r="R408" t="s">
        <v>23</v>
      </c>
    </row>
    <row r="409" spans="1:18" x14ac:dyDescent="0.35">
      <c r="A409">
        <v>407</v>
      </c>
      <c r="B409" t="s">
        <v>960</v>
      </c>
      <c r="C409" s="1">
        <f t="shared" ca="1" si="30"/>
        <v>45301</v>
      </c>
      <c r="D409" t="str">
        <f t="shared" ca="1" si="31"/>
        <v>January</v>
      </c>
      <c r="E409" t="s">
        <v>29</v>
      </c>
      <c r="F409" t="s">
        <v>33</v>
      </c>
      <c r="G409" t="str">
        <f t="shared" si="32"/>
        <v>Men</v>
      </c>
      <c r="H409" t="str">
        <f t="shared" ca="1" si="33"/>
        <v>Amazon</v>
      </c>
      <c r="I409">
        <f t="shared" ca="1" si="34"/>
        <v>34</v>
      </c>
      <c r="J409" t="s">
        <v>961</v>
      </c>
      <c r="K409" t="s">
        <v>27</v>
      </c>
      <c r="L409" t="s">
        <v>40</v>
      </c>
      <c r="M409">
        <v>1</v>
      </c>
      <c r="N409" t="s">
        <v>20</v>
      </c>
      <c r="O409">
        <v>518</v>
      </c>
      <c r="P409" t="s">
        <v>45</v>
      </c>
      <c r="Q409" t="s">
        <v>46</v>
      </c>
      <c r="R409" t="s">
        <v>23</v>
      </c>
    </row>
    <row r="410" spans="1:18" x14ac:dyDescent="0.35">
      <c r="A410">
        <v>408</v>
      </c>
      <c r="B410" t="s">
        <v>962</v>
      </c>
      <c r="C410" s="1">
        <f t="shared" ca="1" si="30"/>
        <v>45067</v>
      </c>
      <c r="D410" t="str">
        <f t="shared" ca="1" si="31"/>
        <v>May</v>
      </c>
      <c r="E410" t="s">
        <v>29</v>
      </c>
      <c r="F410" t="s">
        <v>33</v>
      </c>
      <c r="G410" t="str">
        <f t="shared" si="32"/>
        <v>Women</v>
      </c>
      <c r="H410" t="str">
        <f t="shared" ca="1" si="33"/>
        <v>Amazon</v>
      </c>
      <c r="I410">
        <f t="shared" ca="1" si="34"/>
        <v>46</v>
      </c>
      <c r="J410" t="s">
        <v>480</v>
      </c>
      <c r="K410" t="s">
        <v>18</v>
      </c>
      <c r="L410" t="s">
        <v>62</v>
      </c>
      <c r="M410">
        <v>1</v>
      </c>
      <c r="N410" t="s">
        <v>20</v>
      </c>
      <c r="O410">
        <v>626</v>
      </c>
      <c r="P410" t="s">
        <v>56</v>
      </c>
      <c r="Q410" t="s">
        <v>57</v>
      </c>
      <c r="R410" t="s">
        <v>23</v>
      </c>
    </row>
    <row r="411" spans="1:18" x14ac:dyDescent="0.35">
      <c r="A411">
        <v>409</v>
      </c>
      <c r="B411" t="s">
        <v>963</v>
      </c>
      <c r="C411" s="1">
        <f t="shared" ca="1" si="30"/>
        <v>45377</v>
      </c>
      <c r="D411" t="str">
        <f t="shared" ca="1" si="31"/>
        <v>March</v>
      </c>
      <c r="E411" t="s">
        <v>29</v>
      </c>
      <c r="F411" t="s">
        <v>33</v>
      </c>
      <c r="G411" t="str">
        <f t="shared" si="32"/>
        <v>Men</v>
      </c>
      <c r="H411" t="str">
        <f t="shared" ca="1" si="33"/>
        <v>Amazon</v>
      </c>
      <c r="I411">
        <f t="shared" ca="1" si="34"/>
        <v>23</v>
      </c>
      <c r="J411" t="s">
        <v>512</v>
      </c>
      <c r="K411" t="s">
        <v>27</v>
      </c>
      <c r="L411" t="s">
        <v>79</v>
      </c>
      <c r="M411">
        <v>1</v>
      </c>
      <c r="N411" t="s">
        <v>20</v>
      </c>
      <c r="O411">
        <v>534</v>
      </c>
      <c r="P411" t="s">
        <v>686</v>
      </c>
      <c r="Q411" t="s">
        <v>50</v>
      </c>
      <c r="R411" t="s">
        <v>23</v>
      </c>
    </row>
    <row r="412" spans="1:18" x14ac:dyDescent="0.35">
      <c r="A412">
        <v>410</v>
      </c>
      <c r="B412" t="s">
        <v>964</v>
      </c>
      <c r="C412" s="1">
        <f t="shared" ca="1" si="30"/>
        <v>45517</v>
      </c>
      <c r="D412" t="str">
        <f t="shared" ca="1" si="31"/>
        <v>August</v>
      </c>
      <c r="E412" t="s">
        <v>29</v>
      </c>
      <c r="F412" t="s">
        <v>33</v>
      </c>
      <c r="G412" t="str">
        <f t="shared" si="32"/>
        <v>Men</v>
      </c>
      <c r="H412" t="str">
        <f t="shared" ca="1" si="33"/>
        <v>Amazon</v>
      </c>
      <c r="I412">
        <f t="shared" ca="1" si="34"/>
        <v>49</v>
      </c>
      <c r="J412" t="s">
        <v>965</v>
      </c>
      <c r="K412" t="s">
        <v>27</v>
      </c>
      <c r="L412" t="s">
        <v>101</v>
      </c>
      <c r="M412">
        <v>1</v>
      </c>
      <c r="N412" t="s">
        <v>20</v>
      </c>
      <c r="O412">
        <v>475</v>
      </c>
      <c r="P412" t="s">
        <v>966</v>
      </c>
      <c r="Q412" t="s">
        <v>223</v>
      </c>
      <c r="R412" t="s">
        <v>23</v>
      </c>
    </row>
    <row r="413" spans="1:18" x14ac:dyDescent="0.35">
      <c r="A413">
        <v>411</v>
      </c>
      <c r="B413" t="s">
        <v>967</v>
      </c>
      <c r="C413" s="1">
        <f t="shared" ca="1" si="30"/>
        <v>45428</v>
      </c>
      <c r="D413" t="str">
        <f t="shared" ca="1" si="31"/>
        <v>May</v>
      </c>
      <c r="E413" t="s">
        <v>29</v>
      </c>
      <c r="F413" t="s">
        <v>33</v>
      </c>
      <c r="G413" t="str">
        <f t="shared" si="32"/>
        <v>Men</v>
      </c>
      <c r="H413" t="str">
        <f t="shared" ca="1" si="33"/>
        <v>Amazon</v>
      </c>
      <c r="I413">
        <f t="shared" ca="1" si="34"/>
        <v>45</v>
      </c>
      <c r="J413" t="s">
        <v>968</v>
      </c>
      <c r="K413" t="s">
        <v>27</v>
      </c>
      <c r="L413" t="s">
        <v>35</v>
      </c>
      <c r="M413">
        <v>1</v>
      </c>
      <c r="N413" t="s">
        <v>20</v>
      </c>
      <c r="O413">
        <v>549</v>
      </c>
      <c r="P413" t="s">
        <v>969</v>
      </c>
      <c r="Q413" t="s">
        <v>140</v>
      </c>
      <c r="R413" t="s">
        <v>23</v>
      </c>
    </row>
    <row r="414" spans="1:18" x14ac:dyDescent="0.35">
      <c r="A414">
        <v>412</v>
      </c>
      <c r="B414" t="s">
        <v>970</v>
      </c>
      <c r="C414" s="1">
        <f t="shared" ca="1" si="30"/>
        <v>45407</v>
      </c>
      <c r="D414" t="str">
        <f t="shared" ca="1" si="31"/>
        <v>April</v>
      </c>
      <c r="E414" t="s">
        <v>29</v>
      </c>
      <c r="F414" t="s">
        <v>33</v>
      </c>
      <c r="G414" t="str">
        <f t="shared" si="32"/>
        <v>Men</v>
      </c>
      <c r="H414" t="str">
        <f t="shared" ca="1" si="33"/>
        <v>Amazon</v>
      </c>
      <c r="I414">
        <f t="shared" ca="1" si="34"/>
        <v>36</v>
      </c>
      <c r="J414" t="s">
        <v>961</v>
      </c>
      <c r="K414" t="s">
        <v>27</v>
      </c>
      <c r="L414" t="s">
        <v>40</v>
      </c>
      <c r="M414">
        <v>1</v>
      </c>
      <c r="N414" t="s">
        <v>20</v>
      </c>
      <c r="O414">
        <v>518</v>
      </c>
      <c r="P414" t="s">
        <v>971</v>
      </c>
      <c r="Q414" t="s">
        <v>46</v>
      </c>
      <c r="R414" t="s">
        <v>23</v>
      </c>
    </row>
    <row r="415" spans="1:18" x14ac:dyDescent="0.35">
      <c r="A415">
        <v>413</v>
      </c>
      <c r="B415" t="s">
        <v>972</v>
      </c>
      <c r="C415" s="1">
        <f t="shared" ca="1" si="30"/>
        <v>45048</v>
      </c>
      <c r="D415" t="str">
        <f t="shared" ca="1" si="31"/>
        <v>May</v>
      </c>
      <c r="E415" t="s">
        <v>15</v>
      </c>
      <c r="F415" t="s">
        <v>33</v>
      </c>
      <c r="G415" t="str">
        <f t="shared" si="32"/>
        <v>Women</v>
      </c>
      <c r="H415" t="str">
        <f t="shared" ca="1" si="33"/>
        <v>Amazon</v>
      </c>
      <c r="I415">
        <f t="shared" ca="1" si="34"/>
        <v>19</v>
      </c>
      <c r="J415" t="s">
        <v>905</v>
      </c>
      <c r="K415" t="s">
        <v>39</v>
      </c>
      <c r="L415" t="s">
        <v>35</v>
      </c>
      <c r="M415">
        <v>0</v>
      </c>
      <c r="P415" t="s">
        <v>973</v>
      </c>
      <c r="Q415" t="s">
        <v>22</v>
      </c>
      <c r="R415" t="s">
        <v>23</v>
      </c>
    </row>
    <row r="416" spans="1:18" x14ac:dyDescent="0.35">
      <c r="A416">
        <v>414</v>
      </c>
      <c r="B416" t="s">
        <v>974</v>
      </c>
      <c r="C416" s="1">
        <f t="shared" ca="1" si="30"/>
        <v>45634</v>
      </c>
      <c r="D416" t="str">
        <f t="shared" ca="1" si="31"/>
        <v>December</v>
      </c>
      <c r="E416" t="s">
        <v>25</v>
      </c>
      <c r="F416" t="s">
        <v>16</v>
      </c>
      <c r="G416" t="str">
        <f t="shared" si="32"/>
        <v>Women</v>
      </c>
      <c r="H416" t="str">
        <f t="shared" ca="1" si="33"/>
        <v>Flipkart</v>
      </c>
      <c r="I416">
        <f t="shared" ca="1" si="34"/>
        <v>18</v>
      </c>
      <c r="J416" t="s">
        <v>975</v>
      </c>
      <c r="K416" t="s">
        <v>39</v>
      </c>
      <c r="L416" t="s">
        <v>68</v>
      </c>
      <c r="M416">
        <v>1</v>
      </c>
      <c r="N416" t="s">
        <v>20</v>
      </c>
      <c r="O416">
        <v>725</v>
      </c>
      <c r="P416" t="s">
        <v>56</v>
      </c>
      <c r="Q416" t="s">
        <v>57</v>
      </c>
      <c r="R416" t="s">
        <v>23</v>
      </c>
    </row>
    <row r="417" spans="1:18" x14ac:dyDescent="0.35">
      <c r="A417">
        <v>415</v>
      </c>
      <c r="B417" t="s">
        <v>976</v>
      </c>
      <c r="C417" s="1">
        <f t="shared" ca="1" si="30"/>
        <v>45388</v>
      </c>
      <c r="D417" t="str">
        <f t="shared" ca="1" si="31"/>
        <v>April</v>
      </c>
      <c r="E417" t="s">
        <v>15</v>
      </c>
      <c r="F417" t="s">
        <v>16</v>
      </c>
      <c r="G417" t="str">
        <f t="shared" si="32"/>
        <v>Men</v>
      </c>
      <c r="H417" t="str">
        <f t="shared" ca="1" si="33"/>
        <v>Myntra</v>
      </c>
      <c r="I417">
        <f t="shared" ca="1" si="34"/>
        <v>37</v>
      </c>
      <c r="J417" t="s">
        <v>977</v>
      </c>
      <c r="K417" t="s">
        <v>27</v>
      </c>
      <c r="L417" t="s">
        <v>35</v>
      </c>
      <c r="M417">
        <v>0</v>
      </c>
      <c r="N417" t="s">
        <v>20</v>
      </c>
      <c r="O417">
        <v>437.14</v>
      </c>
      <c r="P417" t="s">
        <v>45</v>
      </c>
      <c r="Q417" t="s">
        <v>46</v>
      </c>
      <c r="R417" t="s">
        <v>23</v>
      </c>
    </row>
    <row r="418" spans="1:18" x14ac:dyDescent="0.35">
      <c r="A418">
        <v>416</v>
      </c>
      <c r="B418" t="s">
        <v>978</v>
      </c>
      <c r="C418" s="1">
        <f t="shared" ca="1" si="30"/>
        <v>45608</v>
      </c>
      <c r="D418" t="str">
        <f t="shared" ca="1" si="31"/>
        <v>November</v>
      </c>
      <c r="E418" t="s">
        <v>29</v>
      </c>
      <c r="F418" t="s">
        <v>33</v>
      </c>
      <c r="G418" t="str">
        <f t="shared" si="32"/>
        <v>Women</v>
      </c>
      <c r="H418" t="str">
        <f t="shared" ca="1" si="33"/>
        <v>Amazon</v>
      </c>
      <c r="I418">
        <f t="shared" ca="1" si="34"/>
        <v>57</v>
      </c>
      <c r="J418" t="s">
        <v>979</v>
      </c>
      <c r="K418" t="s">
        <v>18</v>
      </c>
      <c r="L418" t="s">
        <v>62</v>
      </c>
      <c r="M418">
        <v>1</v>
      </c>
      <c r="N418" t="s">
        <v>20</v>
      </c>
      <c r="O418">
        <v>1499</v>
      </c>
      <c r="P418" t="s">
        <v>720</v>
      </c>
      <c r="Q418" t="s">
        <v>57</v>
      </c>
      <c r="R418" t="s">
        <v>23</v>
      </c>
    </row>
    <row r="419" spans="1:18" x14ac:dyDescent="0.35">
      <c r="A419">
        <v>417</v>
      </c>
      <c r="B419" t="s">
        <v>980</v>
      </c>
      <c r="C419" s="1">
        <f t="shared" ca="1" si="30"/>
        <v>45551</v>
      </c>
      <c r="D419" t="str">
        <f t="shared" ca="1" si="31"/>
        <v>September</v>
      </c>
      <c r="E419" t="s">
        <v>29</v>
      </c>
      <c r="F419" t="s">
        <v>33</v>
      </c>
      <c r="G419" t="str">
        <f t="shared" si="32"/>
        <v>Men</v>
      </c>
      <c r="H419" t="str">
        <f t="shared" ca="1" si="33"/>
        <v>Amazon</v>
      </c>
      <c r="I419">
        <f t="shared" ca="1" si="34"/>
        <v>29</v>
      </c>
      <c r="J419" t="s">
        <v>981</v>
      </c>
      <c r="K419" t="s">
        <v>27</v>
      </c>
      <c r="L419" t="s">
        <v>40</v>
      </c>
      <c r="M419">
        <v>1</v>
      </c>
      <c r="N419" t="s">
        <v>20</v>
      </c>
      <c r="O419">
        <v>363</v>
      </c>
      <c r="P419" t="s">
        <v>30</v>
      </c>
      <c r="Q419" t="s">
        <v>31</v>
      </c>
      <c r="R419" t="s">
        <v>23</v>
      </c>
    </row>
    <row r="420" spans="1:18" x14ac:dyDescent="0.35">
      <c r="A420">
        <v>418</v>
      </c>
      <c r="B420" t="s">
        <v>982</v>
      </c>
      <c r="C420" s="1">
        <f t="shared" ca="1" si="30"/>
        <v>45622</v>
      </c>
      <c r="D420" t="str">
        <f t="shared" ca="1" si="31"/>
        <v>November</v>
      </c>
      <c r="E420" t="s">
        <v>29</v>
      </c>
      <c r="F420" t="s">
        <v>33</v>
      </c>
      <c r="G420" t="str">
        <f t="shared" si="32"/>
        <v>Men</v>
      </c>
      <c r="H420" t="str">
        <f t="shared" ca="1" si="33"/>
        <v>Amazon</v>
      </c>
      <c r="I420">
        <f t="shared" ca="1" si="34"/>
        <v>60</v>
      </c>
      <c r="J420" t="s">
        <v>983</v>
      </c>
      <c r="K420" t="s">
        <v>27</v>
      </c>
      <c r="L420" t="s">
        <v>68</v>
      </c>
      <c r="M420">
        <v>1</v>
      </c>
      <c r="N420" t="s">
        <v>20</v>
      </c>
      <c r="O420">
        <v>399</v>
      </c>
      <c r="P420" t="s">
        <v>984</v>
      </c>
      <c r="Q420" t="s">
        <v>286</v>
      </c>
      <c r="R420" t="s">
        <v>23</v>
      </c>
    </row>
    <row r="421" spans="1:18" x14ac:dyDescent="0.35">
      <c r="A421">
        <v>419</v>
      </c>
      <c r="B421" t="s">
        <v>985</v>
      </c>
      <c r="C421" s="1">
        <f t="shared" ca="1" si="30"/>
        <v>45326</v>
      </c>
      <c r="D421" t="str">
        <f t="shared" ca="1" si="31"/>
        <v>February</v>
      </c>
      <c r="E421" t="s">
        <v>29</v>
      </c>
      <c r="F421" t="s">
        <v>33</v>
      </c>
      <c r="G421" t="str">
        <f t="shared" si="32"/>
        <v>Men</v>
      </c>
      <c r="H421" t="str">
        <f t="shared" ca="1" si="33"/>
        <v>Amazon</v>
      </c>
      <c r="I421">
        <f t="shared" ca="1" si="34"/>
        <v>54</v>
      </c>
      <c r="J421" t="s">
        <v>986</v>
      </c>
      <c r="K421" t="s">
        <v>27</v>
      </c>
      <c r="L421" t="s">
        <v>656</v>
      </c>
      <c r="M421">
        <v>1</v>
      </c>
      <c r="N421" t="s">
        <v>20</v>
      </c>
      <c r="O421">
        <v>487</v>
      </c>
      <c r="P421" t="s">
        <v>728</v>
      </c>
      <c r="Q421" t="s">
        <v>171</v>
      </c>
      <c r="R421" t="s">
        <v>23</v>
      </c>
    </row>
    <row r="422" spans="1:18" x14ac:dyDescent="0.35">
      <c r="A422">
        <v>420</v>
      </c>
      <c r="B422" t="s">
        <v>987</v>
      </c>
      <c r="C422" s="1">
        <f t="shared" ca="1" si="30"/>
        <v>45472</v>
      </c>
      <c r="D422" t="str">
        <f t="shared" ca="1" si="31"/>
        <v>June</v>
      </c>
      <c r="E422" t="s">
        <v>15</v>
      </c>
      <c r="F422" t="s">
        <v>33</v>
      </c>
      <c r="G422" t="str">
        <f t="shared" si="32"/>
        <v>Women</v>
      </c>
      <c r="H422" t="str">
        <f t="shared" ca="1" si="33"/>
        <v>Amazon</v>
      </c>
      <c r="I422">
        <f t="shared" ca="1" si="34"/>
        <v>39</v>
      </c>
      <c r="J422" t="s">
        <v>851</v>
      </c>
      <c r="K422" t="s">
        <v>18</v>
      </c>
      <c r="L422" t="s">
        <v>62</v>
      </c>
      <c r="M422">
        <v>1</v>
      </c>
      <c r="N422" t="s">
        <v>20</v>
      </c>
      <c r="O422">
        <v>824</v>
      </c>
      <c r="P422" t="s">
        <v>41</v>
      </c>
      <c r="Q422" t="s">
        <v>41</v>
      </c>
      <c r="R422" t="s">
        <v>23</v>
      </c>
    </row>
    <row r="423" spans="1:18" x14ac:dyDescent="0.35">
      <c r="A423">
        <v>421</v>
      </c>
      <c r="B423" t="s">
        <v>988</v>
      </c>
      <c r="C423" s="1">
        <f t="shared" ca="1" si="30"/>
        <v>45599</v>
      </c>
      <c r="D423" t="str">
        <f t="shared" ca="1" si="31"/>
        <v>November</v>
      </c>
      <c r="E423" t="s">
        <v>25</v>
      </c>
      <c r="F423" t="s">
        <v>16</v>
      </c>
      <c r="G423" t="str">
        <f t="shared" si="32"/>
        <v>Men</v>
      </c>
      <c r="H423" t="str">
        <f t="shared" ca="1" si="33"/>
        <v>Flipkart</v>
      </c>
      <c r="I423">
        <f t="shared" ca="1" si="34"/>
        <v>44</v>
      </c>
      <c r="J423" t="s">
        <v>989</v>
      </c>
      <c r="K423" t="s">
        <v>27</v>
      </c>
      <c r="L423" t="s">
        <v>19</v>
      </c>
      <c r="M423">
        <v>1</v>
      </c>
      <c r="N423" t="s">
        <v>20</v>
      </c>
      <c r="O423">
        <v>353</v>
      </c>
      <c r="P423" t="s">
        <v>813</v>
      </c>
      <c r="Q423" t="s">
        <v>814</v>
      </c>
      <c r="R423" t="s">
        <v>23</v>
      </c>
    </row>
    <row r="424" spans="1:18" x14ac:dyDescent="0.35">
      <c r="A424">
        <v>422</v>
      </c>
      <c r="B424" t="s">
        <v>990</v>
      </c>
      <c r="C424" s="1">
        <f t="shared" ca="1" si="30"/>
        <v>45251</v>
      </c>
      <c r="D424" t="str">
        <f t="shared" ca="1" si="31"/>
        <v>November</v>
      </c>
      <c r="E424" t="s">
        <v>29</v>
      </c>
      <c r="F424" t="s">
        <v>33</v>
      </c>
      <c r="G424" t="str">
        <f t="shared" si="32"/>
        <v>Women</v>
      </c>
      <c r="H424" t="str">
        <f t="shared" ca="1" si="33"/>
        <v>Amazon</v>
      </c>
      <c r="I424">
        <f t="shared" ca="1" si="34"/>
        <v>38</v>
      </c>
      <c r="J424" t="s">
        <v>597</v>
      </c>
      <c r="K424" t="s">
        <v>44</v>
      </c>
      <c r="L424" t="s">
        <v>35</v>
      </c>
      <c r="M424">
        <v>1</v>
      </c>
      <c r="N424" t="s">
        <v>20</v>
      </c>
      <c r="O424">
        <v>487</v>
      </c>
      <c r="P424" t="s">
        <v>122</v>
      </c>
      <c r="Q424" t="s">
        <v>22</v>
      </c>
      <c r="R424" t="s">
        <v>23</v>
      </c>
    </row>
    <row r="425" spans="1:18" x14ac:dyDescent="0.35">
      <c r="A425">
        <v>423</v>
      </c>
      <c r="B425" t="s">
        <v>991</v>
      </c>
      <c r="C425" s="1">
        <f t="shared" ca="1" si="30"/>
        <v>45301</v>
      </c>
      <c r="D425" t="str">
        <f t="shared" ca="1" si="31"/>
        <v>January</v>
      </c>
      <c r="E425" t="s">
        <v>29</v>
      </c>
      <c r="F425" t="s">
        <v>33</v>
      </c>
      <c r="G425" t="str">
        <f t="shared" si="32"/>
        <v>Women</v>
      </c>
      <c r="H425" t="str">
        <f t="shared" ca="1" si="33"/>
        <v>Amazon</v>
      </c>
      <c r="I425">
        <f t="shared" ca="1" si="34"/>
        <v>36</v>
      </c>
      <c r="J425" t="s">
        <v>705</v>
      </c>
      <c r="K425" t="s">
        <v>18</v>
      </c>
      <c r="L425" t="s">
        <v>68</v>
      </c>
      <c r="M425">
        <v>1</v>
      </c>
      <c r="N425" t="s">
        <v>20</v>
      </c>
      <c r="O425">
        <v>597</v>
      </c>
      <c r="P425" t="s">
        <v>992</v>
      </c>
      <c r="Q425" t="s">
        <v>81</v>
      </c>
      <c r="R425" t="s">
        <v>23</v>
      </c>
    </row>
    <row r="426" spans="1:18" x14ac:dyDescent="0.35">
      <c r="A426">
        <v>424</v>
      </c>
      <c r="B426" t="s">
        <v>993</v>
      </c>
      <c r="C426" s="1">
        <f t="shared" ca="1" si="30"/>
        <v>45088</v>
      </c>
      <c r="D426" t="str">
        <f t="shared" ca="1" si="31"/>
        <v>June</v>
      </c>
      <c r="E426" t="s">
        <v>29</v>
      </c>
      <c r="F426" t="s">
        <v>33</v>
      </c>
      <c r="G426" t="str">
        <f t="shared" si="32"/>
        <v>Women</v>
      </c>
      <c r="H426" t="str">
        <f t="shared" ca="1" si="33"/>
        <v>Amazon</v>
      </c>
      <c r="I426">
        <f t="shared" ca="1" si="34"/>
        <v>20</v>
      </c>
      <c r="J426" t="s">
        <v>521</v>
      </c>
      <c r="K426" t="s">
        <v>18</v>
      </c>
      <c r="L426" t="s">
        <v>62</v>
      </c>
      <c r="M426">
        <v>1</v>
      </c>
      <c r="N426" t="s">
        <v>20</v>
      </c>
      <c r="O426">
        <v>654</v>
      </c>
      <c r="P426" t="s">
        <v>994</v>
      </c>
      <c r="Q426" t="s">
        <v>50</v>
      </c>
      <c r="R426" t="s">
        <v>23</v>
      </c>
    </row>
    <row r="427" spans="1:18" x14ac:dyDescent="0.35">
      <c r="A427">
        <v>425</v>
      </c>
      <c r="B427" t="s">
        <v>995</v>
      </c>
      <c r="C427" s="1">
        <f t="shared" ca="1" si="30"/>
        <v>44963</v>
      </c>
      <c r="D427" t="str">
        <f t="shared" ca="1" si="31"/>
        <v>February</v>
      </c>
      <c r="E427" t="s">
        <v>29</v>
      </c>
      <c r="F427" t="s">
        <v>33</v>
      </c>
      <c r="G427" t="str">
        <f t="shared" si="32"/>
        <v>Women</v>
      </c>
      <c r="H427" t="str">
        <f t="shared" ca="1" si="33"/>
        <v>Amazon</v>
      </c>
      <c r="I427">
        <f t="shared" ca="1" si="34"/>
        <v>37</v>
      </c>
      <c r="J427" t="s">
        <v>668</v>
      </c>
      <c r="K427" t="s">
        <v>18</v>
      </c>
      <c r="L427" t="s">
        <v>62</v>
      </c>
      <c r="M427">
        <v>1</v>
      </c>
      <c r="N427" t="s">
        <v>20</v>
      </c>
      <c r="O427">
        <v>597</v>
      </c>
      <c r="P427" t="s">
        <v>56</v>
      </c>
      <c r="Q427" t="s">
        <v>57</v>
      </c>
      <c r="R427" t="s">
        <v>23</v>
      </c>
    </row>
    <row r="428" spans="1:18" x14ac:dyDescent="0.35">
      <c r="A428">
        <v>426</v>
      </c>
      <c r="B428" t="s">
        <v>996</v>
      </c>
      <c r="C428" s="1">
        <f t="shared" ca="1" si="30"/>
        <v>45528</v>
      </c>
      <c r="D428" t="str">
        <f t="shared" ca="1" si="31"/>
        <v>August</v>
      </c>
      <c r="E428" t="s">
        <v>15</v>
      </c>
      <c r="F428" t="s">
        <v>33</v>
      </c>
      <c r="G428" t="str">
        <f t="shared" si="32"/>
        <v>Men</v>
      </c>
      <c r="H428" t="str">
        <f t="shared" ca="1" si="33"/>
        <v>Amazon</v>
      </c>
      <c r="I428">
        <f t="shared" ca="1" si="34"/>
        <v>18</v>
      </c>
      <c r="J428" t="s">
        <v>981</v>
      </c>
      <c r="K428" t="s">
        <v>27</v>
      </c>
      <c r="L428" t="s">
        <v>40</v>
      </c>
      <c r="M428">
        <v>1</v>
      </c>
      <c r="N428" t="s">
        <v>20</v>
      </c>
      <c r="O428">
        <v>363</v>
      </c>
      <c r="P428" t="s">
        <v>30</v>
      </c>
      <c r="Q428" t="s">
        <v>31</v>
      </c>
      <c r="R428" t="s">
        <v>23</v>
      </c>
    </row>
    <row r="429" spans="1:18" x14ac:dyDescent="0.35">
      <c r="A429">
        <v>427</v>
      </c>
      <c r="B429" t="s">
        <v>997</v>
      </c>
      <c r="C429" s="1">
        <f t="shared" ca="1" si="30"/>
        <v>45657</v>
      </c>
      <c r="D429" t="str">
        <f t="shared" ca="1" si="31"/>
        <v>December</v>
      </c>
      <c r="E429" t="s">
        <v>29</v>
      </c>
      <c r="F429" t="s">
        <v>33</v>
      </c>
      <c r="G429" t="str">
        <f t="shared" si="32"/>
        <v>Men</v>
      </c>
      <c r="H429" t="str">
        <f t="shared" ca="1" si="33"/>
        <v>Amazon</v>
      </c>
      <c r="I429">
        <f t="shared" ca="1" si="34"/>
        <v>38</v>
      </c>
      <c r="J429" t="s">
        <v>998</v>
      </c>
      <c r="K429" t="s">
        <v>27</v>
      </c>
      <c r="L429" t="s">
        <v>62</v>
      </c>
      <c r="M429">
        <v>1</v>
      </c>
      <c r="N429" t="s">
        <v>20</v>
      </c>
      <c r="O429">
        <v>471</v>
      </c>
      <c r="P429" t="s">
        <v>313</v>
      </c>
      <c r="Q429" t="s">
        <v>161</v>
      </c>
      <c r="R429" t="s">
        <v>23</v>
      </c>
    </row>
    <row r="430" spans="1:18" x14ac:dyDescent="0.35">
      <c r="A430">
        <v>428</v>
      </c>
      <c r="B430" t="s">
        <v>999</v>
      </c>
      <c r="C430" s="1">
        <f t="shared" ca="1" si="30"/>
        <v>45031</v>
      </c>
      <c r="D430" t="str">
        <f t="shared" ca="1" si="31"/>
        <v>April</v>
      </c>
      <c r="E430" t="s">
        <v>15</v>
      </c>
      <c r="F430" t="s">
        <v>33</v>
      </c>
      <c r="G430" t="str">
        <f t="shared" si="32"/>
        <v>Men</v>
      </c>
      <c r="H430" t="str">
        <f t="shared" ca="1" si="33"/>
        <v>Amazon</v>
      </c>
      <c r="I430">
        <f t="shared" ca="1" si="34"/>
        <v>56</v>
      </c>
      <c r="J430" t="s">
        <v>1000</v>
      </c>
      <c r="K430" t="s">
        <v>27</v>
      </c>
      <c r="L430" t="s">
        <v>35</v>
      </c>
      <c r="M430">
        <v>0</v>
      </c>
      <c r="P430" t="s">
        <v>1001</v>
      </c>
      <c r="Q430" t="s">
        <v>22</v>
      </c>
      <c r="R430" t="s">
        <v>23</v>
      </c>
    </row>
    <row r="431" spans="1:18" x14ac:dyDescent="0.35">
      <c r="A431">
        <v>429</v>
      </c>
      <c r="B431" t="s">
        <v>1002</v>
      </c>
      <c r="C431" s="1">
        <f t="shared" ca="1" si="30"/>
        <v>45499</v>
      </c>
      <c r="D431" t="str">
        <f t="shared" ca="1" si="31"/>
        <v>July</v>
      </c>
      <c r="E431" t="s">
        <v>29</v>
      </c>
      <c r="F431" t="s">
        <v>33</v>
      </c>
      <c r="G431" t="str">
        <f t="shared" si="32"/>
        <v>Women</v>
      </c>
      <c r="H431" t="str">
        <f t="shared" ca="1" si="33"/>
        <v>Amazon</v>
      </c>
      <c r="I431">
        <f t="shared" ca="1" si="34"/>
        <v>57</v>
      </c>
      <c r="J431" t="s">
        <v>527</v>
      </c>
      <c r="K431" t="s">
        <v>39</v>
      </c>
      <c r="L431" t="s">
        <v>101</v>
      </c>
      <c r="M431">
        <v>1</v>
      </c>
      <c r="N431" t="s">
        <v>20</v>
      </c>
      <c r="O431">
        <v>744</v>
      </c>
      <c r="P431" t="s">
        <v>1003</v>
      </c>
      <c r="Q431" t="s">
        <v>110</v>
      </c>
      <c r="R431" t="s">
        <v>23</v>
      </c>
    </row>
    <row r="432" spans="1:18" x14ac:dyDescent="0.35">
      <c r="A432">
        <v>430</v>
      </c>
      <c r="B432" t="s">
        <v>1004</v>
      </c>
      <c r="C432" s="1">
        <f t="shared" ca="1" si="30"/>
        <v>45002</v>
      </c>
      <c r="D432" t="str">
        <f t="shared" ca="1" si="31"/>
        <v>March</v>
      </c>
      <c r="E432" t="s">
        <v>29</v>
      </c>
      <c r="F432" t="s">
        <v>33</v>
      </c>
      <c r="G432" t="str">
        <f t="shared" si="32"/>
        <v>Men</v>
      </c>
      <c r="H432" t="str">
        <f t="shared" ca="1" si="33"/>
        <v>Amazon</v>
      </c>
      <c r="I432">
        <f t="shared" ca="1" si="34"/>
        <v>18</v>
      </c>
      <c r="J432" t="s">
        <v>1005</v>
      </c>
      <c r="K432" t="s">
        <v>27</v>
      </c>
      <c r="L432" t="s">
        <v>19</v>
      </c>
      <c r="M432">
        <v>1</v>
      </c>
      <c r="N432" t="s">
        <v>20</v>
      </c>
      <c r="O432">
        <v>399</v>
      </c>
      <c r="P432" t="s">
        <v>45</v>
      </c>
      <c r="Q432" t="s">
        <v>46</v>
      </c>
      <c r="R432" t="s">
        <v>23</v>
      </c>
    </row>
    <row r="433" spans="1:18" x14ac:dyDescent="0.35">
      <c r="A433">
        <v>431</v>
      </c>
      <c r="B433" t="s">
        <v>1006</v>
      </c>
      <c r="C433" s="1">
        <f t="shared" ca="1" si="30"/>
        <v>45611</v>
      </c>
      <c r="D433" t="str">
        <f t="shared" ca="1" si="31"/>
        <v>November</v>
      </c>
      <c r="E433" t="s">
        <v>25</v>
      </c>
      <c r="F433" t="s">
        <v>16</v>
      </c>
      <c r="G433" t="str">
        <f t="shared" si="32"/>
        <v>Men</v>
      </c>
      <c r="H433" t="str">
        <f t="shared" ca="1" si="33"/>
        <v>Flipkart</v>
      </c>
      <c r="I433">
        <f t="shared" ca="1" si="34"/>
        <v>52</v>
      </c>
      <c r="J433" t="s">
        <v>1007</v>
      </c>
      <c r="K433" t="s">
        <v>27</v>
      </c>
      <c r="L433" t="s">
        <v>19</v>
      </c>
      <c r="M433">
        <v>1</v>
      </c>
      <c r="N433" t="s">
        <v>20</v>
      </c>
      <c r="O433">
        <v>568</v>
      </c>
      <c r="P433" t="s">
        <v>1008</v>
      </c>
      <c r="Q433" t="s">
        <v>31</v>
      </c>
      <c r="R433" t="s">
        <v>23</v>
      </c>
    </row>
    <row r="434" spans="1:18" x14ac:dyDescent="0.35">
      <c r="A434">
        <v>432</v>
      </c>
      <c r="B434" t="s">
        <v>1009</v>
      </c>
      <c r="C434" s="1">
        <f t="shared" ca="1" si="30"/>
        <v>45152</v>
      </c>
      <c r="D434" t="str">
        <f t="shared" ca="1" si="31"/>
        <v>August</v>
      </c>
      <c r="E434" t="s">
        <v>29</v>
      </c>
      <c r="F434" t="s">
        <v>33</v>
      </c>
      <c r="G434" t="str">
        <f t="shared" si="32"/>
        <v>Women</v>
      </c>
      <c r="H434" t="str">
        <f t="shared" ca="1" si="33"/>
        <v>Amazon</v>
      </c>
      <c r="I434">
        <f t="shared" ca="1" si="34"/>
        <v>56</v>
      </c>
      <c r="J434" t="s">
        <v>1010</v>
      </c>
      <c r="K434" t="s">
        <v>18</v>
      </c>
      <c r="L434" t="s">
        <v>19</v>
      </c>
      <c r="M434">
        <v>1</v>
      </c>
      <c r="N434" t="s">
        <v>20</v>
      </c>
      <c r="O434">
        <v>835</v>
      </c>
      <c r="P434" t="s">
        <v>1011</v>
      </c>
      <c r="Q434" t="s">
        <v>31</v>
      </c>
      <c r="R434" t="s">
        <v>23</v>
      </c>
    </row>
    <row r="435" spans="1:18" x14ac:dyDescent="0.35">
      <c r="A435">
        <v>433</v>
      </c>
      <c r="B435" t="s">
        <v>1012</v>
      </c>
      <c r="C435" s="1">
        <f t="shared" ca="1" si="30"/>
        <v>45545</v>
      </c>
      <c r="D435" t="str">
        <f t="shared" ca="1" si="31"/>
        <v>September</v>
      </c>
      <c r="E435" t="s">
        <v>1013</v>
      </c>
      <c r="F435" t="s">
        <v>16</v>
      </c>
      <c r="G435" t="str">
        <f t="shared" si="32"/>
        <v>Men</v>
      </c>
      <c r="H435" t="str">
        <f t="shared" ca="1" si="33"/>
        <v>Myntra</v>
      </c>
      <c r="I435">
        <f t="shared" ca="1" si="34"/>
        <v>58</v>
      </c>
      <c r="J435" t="s">
        <v>1007</v>
      </c>
      <c r="K435" t="s">
        <v>27</v>
      </c>
      <c r="L435" t="s">
        <v>19</v>
      </c>
      <c r="M435">
        <v>1</v>
      </c>
      <c r="N435" t="s">
        <v>20</v>
      </c>
      <c r="O435">
        <v>568</v>
      </c>
      <c r="P435" t="s">
        <v>1008</v>
      </c>
      <c r="Q435" t="s">
        <v>31</v>
      </c>
      <c r="R435" t="s">
        <v>23</v>
      </c>
    </row>
    <row r="436" spans="1:18" x14ac:dyDescent="0.35">
      <c r="A436">
        <v>434</v>
      </c>
      <c r="B436" t="s">
        <v>1014</v>
      </c>
      <c r="C436" s="1">
        <f t="shared" ca="1" si="30"/>
        <v>45030</v>
      </c>
      <c r="D436" t="str">
        <f t="shared" ca="1" si="31"/>
        <v>April</v>
      </c>
      <c r="E436" t="s">
        <v>29</v>
      </c>
      <c r="F436" t="s">
        <v>33</v>
      </c>
      <c r="G436" t="str">
        <f t="shared" si="32"/>
        <v>Women</v>
      </c>
      <c r="H436" t="str">
        <f t="shared" ca="1" si="33"/>
        <v>Amazon</v>
      </c>
      <c r="I436">
        <f t="shared" ca="1" si="34"/>
        <v>33</v>
      </c>
      <c r="J436" t="s">
        <v>1015</v>
      </c>
      <c r="K436" t="s">
        <v>39</v>
      </c>
      <c r="L436" t="s">
        <v>40</v>
      </c>
      <c r="M436">
        <v>1</v>
      </c>
      <c r="N436" t="s">
        <v>20</v>
      </c>
      <c r="O436">
        <v>899</v>
      </c>
      <c r="P436" t="s">
        <v>1016</v>
      </c>
      <c r="Q436" t="s">
        <v>114</v>
      </c>
      <c r="R436" t="s">
        <v>23</v>
      </c>
    </row>
    <row r="437" spans="1:18" x14ac:dyDescent="0.35">
      <c r="A437">
        <v>435</v>
      </c>
      <c r="B437" t="s">
        <v>1017</v>
      </c>
      <c r="C437" s="1">
        <f t="shared" ca="1" si="30"/>
        <v>45486</v>
      </c>
      <c r="D437" t="str">
        <f t="shared" ca="1" si="31"/>
        <v>July</v>
      </c>
      <c r="E437" t="s">
        <v>29</v>
      </c>
      <c r="F437" t="s">
        <v>33</v>
      </c>
      <c r="G437" t="str">
        <f t="shared" si="32"/>
        <v>Men</v>
      </c>
      <c r="H437" t="str">
        <f t="shared" ca="1" si="33"/>
        <v>Amazon</v>
      </c>
      <c r="I437">
        <f t="shared" ca="1" si="34"/>
        <v>28</v>
      </c>
      <c r="J437" t="s">
        <v>1018</v>
      </c>
      <c r="K437" t="s">
        <v>27</v>
      </c>
      <c r="L437" t="s">
        <v>62</v>
      </c>
      <c r="M437">
        <v>1</v>
      </c>
      <c r="N437" t="s">
        <v>20</v>
      </c>
      <c r="O437">
        <v>406</v>
      </c>
      <c r="P437" t="s">
        <v>30</v>
      </c>
      <c r="Q437" t="s">
        <v>31</v>
      </c>
      <c r="R437" t="s">
        <v>23</v>
      </c>
    </row>
    <row r="438" spans="1:18" x14ac:dyDescent="0.35">
      <c r="A438">
        <v>436</v>
      </c>
      <c r="B438" t="s">
        <v>1019</v>
      </c>
      <c r="C438" s="1">
        <f t="shared" ca="1" si="30"/>
        <v>45147</v>
      </c>
      <c r="D438" t="str">
        <f t="shared" ca="1" si="31"/>
        <v>August</v>
      </c>
      <c r="E438" t="s">
        <v>29</v>
      </c>
      <c r="F438" t="s">
        <v>33</v>
      </c>
      <c r="G438" t="str">
        <f t="shared" si="32"/>
        <v>Women</v>
      </c>
      <c r="H438" t="str">
        <f t="shared" ca="1" si="33"/>
        <v>Amazon</v>
      </c>
      <c r="I438">
        <f t="shared" ca="1" si="34"/>
        <v>38</v>
      </c>
      <c r="J438" t="s">
        <v>1020</v>
      </c>
      <c r="K438" t="s">
        <v>18</v>
      </c>
      <c r="L438" t="s">
        <v>62</v>
      </c>
      <c r="M438">
        <v>1</v>
      </c>
      <c r="N438" t="s">
        <v>20</v>
      </c>
      <c r="O438">
        <v>0</v>
      </c>
      <c r="P438" t="s">
        <v>133</v>
      </c>
      <c r="Q438" t="s">
        <v>50</v>
      </c>
      <c r="R438" t="s">
        <v>23</v>
      </c>
    </row>
    <row r="439" spans="1:18" x14ac:dyDescent="0.35">
      <c r="A439">
        <v>437</v>
      </c>
      <c r="B439" t="s">
        <v>1021</v>
      </c>
      <c r="C439" s="1">
        <f t="shared" ca="1" si="30"/>
        <v>45052</v>
      </c>
      <c r="D439" t="str">
        <f t="shared" ca="1" si="31"/>
        <v>May</v>
      </c>
      <c r="E439" t="s">
        <v>15</v>
      </c>
      <c r="F439" t="s">
        <v>16</v>
      </c>
      <c r="G439" t="str">
        <f t="shared" si="32"/>
        <v>Women</v>
      </c>
      <c r="H439" t="str">
        <f t="shared" ca="1" si="33"/>
        <v>Flipkart</v>
      </c>
      <c r="I439">
        <f t="shared" ca="1" si="34"/>
        <v>22</v>
      </c>
      <c r="J439" t="s">
        <v>1022</v>
      </c>
      <c r="K439" t="s">
        <v>18</v>
      </c>
      <c r="L439" t="s">
        <v>62</v>
      </c>
      <c r="M439">
        <v>0</v>
      </c>
      <c r="N439" t="s">
        <v>20</v>
      </c>
      <c r="O439">
        <v>570.48</v>
      </c>
      <c r="P439" t="s">
        <v>21</v>
      </c>
      <c r="Q439" t="s">
        <v>22</v>
      </c>
      <c r="R439" t="s">
        <v>23</v>
      </c>
    </row>
    <row r="440" spans="1:18" x14ac:dyDescent="0.35">
      <c r="A440">
        <v>438</v>
      </c>
      <c r="B440" t="s">
        <v>1023</v>
      </c>
      <c r="C440" s="1">
        <f t="shared" ca="1" si="30"/>
        <v>45238</v>
      </c>
      <c r="D440" t="str">
        <f t="shared" ca="1" si="31"/>
        <v>November</v>
      </c>
      <c r="E440" t="s">
        <v>25</v>
      </c>
      <c r="F440" t="s">
        <v>16</v>
      </c>
      <c r="G440" t="str">
        <f t="shared" si="32"/>
        <v>Men</v>
      </c>
      <c r="H440" t="str">
        <f t="shared" ca="1" si="33"/>
        <v>Flipkart</v>
      </c>
      <c r="I440">
        <f t="shared" ca="1" si="34"/>
        <v>52</v>
      </c>
      <c r="J440" t="s">
        <v>181</v>
      </c>
      <c r="K440" t="s">
        <v>27</v>
      </c>
      <c r="L440" t="s">
        <v>101</v>
      </c>
      <c r="M440">
        <v>1</v>
      </c>
      <c r="N440" t="s">
        <v>20</v>
      </c>
      <c r="O440">
        <v>399</v>
      </c>
      <c r="P440" t="s">
        <v>1024</v>
      </c>
      <c r="Q440" t="s">
        <v>57</v>
      </c>
      <c r="R440" t="s">
        <v>23</v>
      </c>
    </row>
    <row r="441" spans="1:18" x14ac:dyDescent="0.35">
      <c r="A441">
        <v>439</v>
      </c>
      <c r="B441" t="s">
        <v>1025</v>
      </c>
      <c r="C441" s="1">
        <f t="shared" ca="1" si="30"/>
        <v>45031</v>
      </c>
      <c r="D441" t="str">
        <f t="shared" ca="1" si="31"/>
        <v>April</v>
      </c>
      <c r="E441" t="s">
        <v>29</v>
      </c>
      <c r="F441" t="s">
        <v>33</v>
      </c>
      <c r="G441" t="str">
        <f t="shared" si="32"/>
        <v>Women</v>
      </c>
      <c r="H441" t="str">
        <f t="shared" ca="1" si="33"/>
        <v>Amazon</v>
      </c>
      <c r="I441">
        <f t="shared" ca="1" si="34"/>
        <v>21</v>
      </c>
      <c r="J441" t="s">
        <v>1026</v>
      </c>
      <c r="K441" t="s">
        <v>18</v>
      </c>
      <c r="L441" t="s">
        <v>68</v>
      </c>
      <c r="M441">
        <v>1</v>
      </c>
      <c r="N441" t="s">
        <v>20</v>
      </c>
      <c r="O441">
        <v>789</v>
      </c>
      <c r="P441" t="s">
        <v>45</v>
      </c>
      <c r="Q441" t="s">
        <v>46</v>
      </c>
      <c r="R441" t="s">
        <v>23</v>
      </c>
    </row>
    <row r="442" spans="1:18" x14ac:dyDescent="0.35">
      <c r="A442">
        <v>440</v>
      </c>
      <c r="B442" t="s">
        <v>1027</v>
      </c>
      <c r="C442" s="1">
        <f t="shared" ca="1" si="30"/>
        <v>45138</v>
      </c>
      <c r="D442" t="str">
        <f t="shared" ca="1" si="31"/>
        <v>July</v>
      </c>
      <c r="E442" t="s">
        <v>29</v>
      </c>
      <c r="F442" t="s">
        <v>33</v>
      </c>
      <c r="G442" t="str">
        <f t="shared" si="32"/>
        <v>Women</v>
      </c>
      <c r="H442" t="str">
        <f t="shared" ca="1" si="33"/>
        <v>Amazon</v>
      </c>
      <c r="I442">
        <f t="shared" ca="1" si="34"/>
        <v>29</v>
      </c>
      <c r="J442" t="s">
        <v>1028</v>
      </c>
      <c r="K442" t="s">
        <v>1029</v>
      </c>
      <c r="L442" t="s">
        <v>1030</v>
      </c>
      <c r="M442">
        <v>1</v>
      </c>
      <c r="N442" t="s">
        <v>20</v>
      </c>
      <c r="O442">
        <v>620</v>
      </c>
      <c r="P442" t="s">
        <v>88</v>
      </c>
      <c r="Q442" t="s">
        <v>89</v>
      </c>
      <c r="R442" t="s">
        <v>23</v>
      </c>
    </row>
    <row r="443" spans="1:18" x14ac:dyDescent="0.35">
      <c r="A443">
        <v>441</v>
      </c>
      <c r="B443" t="s">
        <v>1031</v>
      </c>
      <c r="C443" s="1">
        <f t="shared" ca="1" si="30"/>
        <v>44935</v>
      </c>
      <c r="D443" t="str">
        <f t="shared" ca="1" si="31"/>
        <v>January</v>
      </c>
      <c r="E443" t="s">
        <v>25</v>
      </c>
      <c r="F443" t="s">
        <v>16</v>
      </c>
      <c r="G443" t="str">
        <f t="shared" si="32"/>
        <v>Women</v>
      </c>
      <c r="H443" t="str">
        <f t="shared" ca="1" si="33"/>
        <v>Myntra</v>
      </c>
      <c r="I443">
        <f t="shared" ca="1" si="34"/>
        <v>53</v>
      </c>
      <c r="J443" t="s">
        <v>1032</v>
      </c>
      <c r="K443" t="s">
        <v>18</v>
      </c>
      <c r="L443" t="s">
        <v>68</v>
      </c>
      <c r="M443">
        <v>1</v>
      </c>
      <c r="N443" t="s">
        <v>20</v>
      </c>
      <c r="O443">
        <v>0</v>
      </c>
      <c r="P443" t="s">
        <v>1033</v>
      </c>
      <c r="Q443" t="s">
        <v>22</v>
      </c>
      <c r="R443" t="s">
        <v>23</v>
      </c>
    </row>
    <row r="444" spans="1:18" x14ac:dyDescent="0.35">
      <c r="A444">
        <v>442</v>
      </c>
      <c r="B444" t="s">
        <v>1034</v>
      </c>
      <c r="C444" s="1">
        <f t="shared" ca="1" si="30"/>
        <v>45354</v>
      </c>
      <c r="D444" t="str">
        <f t="shared" ca="1" si="31"/>
        <v>March</v>
      </c>
      <c r="E444" t="s">
        <v>25</v>
      </c>
      <c r="F444" t="s">
        <v>16</v>
      </c>
      <c r="G444" t="str">
        <f t="shared" si="32"/>
        <v>Women</v>
      </c>
      <c r="H444" t="str">
        <f t="shared" ca="1" si="33"/>
        <v>Myntra</v>
      </c>
      <c r="I444">
        <f t="shared" ca="1" si="34"/>
        <v>56</v>
      </c>
      <c r="J444" t="s">
        <v>1035</v>
      </c>
      <c r="K444" t="s">
        <v>18</v>
      </c>
      <c r="L444" t="s">
        <v>101</v>
      </c>
      <c r="M444">
        <v>1</v>
      </c>
      <c r="N444" t="s">
        <v>20</v>
      </c>
      <c r="O444">
        <v>631</v>
      </c>
      <c r="P444" t="s">
        <v>906</v>
      </c>
      <c r="Q444" t="s">
        <v>22</v>
      </c>
      <c r="R444" t="s">
        <v>23</v>
      </c>
    </row>
    <row r="445" spans="1:18" x14ac:dyDescent="0.35">
      <c r="A445">
        <v>443</v>
      </c>
      <c r="B445" t="s">
        <v>1036</v>
      </c>
      <c r="C445" s="1">
        <f t="shared" ca="1" si="30"/>
        <v>44951</v>
      </c>
      <c r="D445" t="str">
        <f t="shared" ca="1" si="31"/>
        <v>January</v>
      </c>
      <c r="E445" t="s">
        <v>29</v>
      </c>
      <c r="F445" t="s">
        <v>33</v>
      </c>
      <c r="G445" t="str">
        <f t="shared" si="32"/>
        <v>Men</v>
      </c>
      <c r="H445" t="str">
        <f t="shared" ca="1" si="33"/>
        <v>Amazon</v>
      </c>
      <c r="I445">
        <f t="shared" ca="1" si="34"/>
        <v>47</v>
      </c>
      <c r="J445" t="s">
        <v>1037</v>
      </c>
      <c r="K445" t="s">
        <v>27</v>
      </c>
      <c r="L445" t="s">
        <v>40</v>
      </c>
      <c r="M445">
        <v>1</v>
      </c>
      <c r="N445" t="s">
        <v>20</v>
      </c>
      <c r="O445">
        <v>499</v>
      </c>
      <c r="P445" t="s">
        <v>1038</v>
      </c>
      <c r="Q445" t="s">
        <v>161</v>
      </c>
      <c r="R445" t="s">
        <v>23</v>
      </c>
    </row>
    <row r="446" spans="1:18" x14ac:dyDescent="0.35">
      <c r="A446">
        <v>444</v>
      </c>
      <c r="B446" t="s">
        <v>1039</v>
      </c>
      <c r="C446" s="1">
        <f t="shared" ca="1" si="30"/>
        <v>45524</v>
      </c>
      <c r="D446" t="str">
        <f t="shared" ca="1" si="31"/>
        <v>August</v>
      </c>
      <c r="E446" t="s">
        <v>29</v>
      </c>
      <c r="F446" t="s">
        <v>33</v>
      </c>
      <c r="G446" t="str">
        <f t="shared" si="32"/>
        <v>Women</v>
      </c>
      <c r="H446" t="str">
        <f t="shared" ca="1" si="33"/>
        <v>Amazon</v>
      </c>
      <c r="I446">
        <f t="shared" ca="1" si="34"/>
        <v>40</v>
      </c>
      <c r="J446" t="s">
        <v>1040</v>
      </c>
      <c r="K446" t="s">
        <v>39</v>
      </c>
      <c r="L446" t="s">
        <v>40</v>
      </c>
      <c r="M446">
        <v>1</v>
      </c>
      <c r="N446" t="s">
        <v>20</v>
      </c>
      <c r="O446">
        <v>807</v>
      </c>
      <c r="P446" t="s">
        <v>56</v>
      </c>
      <c r="Q446" t="s">
        <v>57</v>
      </c>
      <c r="R446" t="s">
        <v>23</v>
      </c>
    </row>
    <row r="447" spans="1:18" x14ac:dyDescent="0.35">
      <c r="A447">
        <v>445</v>
      </c>
      <c r="B447" t="s">
        <v>1041</v>
      </c>
      <c r="C447" s="1">
        <f t="shared" ca="1" si="30"/>
        <v>45404</v>
      </c>
      <c r="D447" t="str">
        <f t="shared" ca="1" si="31"/>
        <v>April</v>
      </c>
      <c r="E447" t="s">
        <v>29</v>
      </c>
      <c r="F447" t="s">
        <v>33</v>
      </c>
      <c r="G447" t="str">
        <f t="shared" si="32"/>
        <v>Women</v>
      </c>
      <c r="H447" t="str">
        <f t="shared" ca="1" si="33"/>
        <v>Amazon</v>
      </c>
      <c r="I447">
        <f t="shared" ca="1" si="34"/>
        <v>26</v>
      </c>
      <c r="J447" t="s">
        <v>1042</v>
      </c>
      <c r="K447" t="s">
        <v>18</v>
      </c>
      <c r="L447" t="s">
        <v>62</v>
      </c>
      <c r="M447">
        <v>1</v>
      </c>
      <c r="N447" t="s">
        <v>20</v>
      </c>
      <c r="O447">
        <v>666</v>
      </c>
      <c r="P447" t="s">
        <v>41</v>
      </c>
      <c r="Q447" t="s">
        <v>41</v>
      </c>
      <c r="R447" t="s">
        <v>23</v>
      </c>
    </row>
    <row r="448" spans="1:18" x14ac:dyDescent="0.35">
      <c r="A448">
        <v>446</v>
      </c>
      <c r="B448" t="s">
        <v>1043</v>
      </c>
      <c r="C448" s="1">
        <f t="shared" ca="1" si="30"/>
        <v>45639</v>
      </c>
      <c r="D448" t="str">
        <f t="shared" ca="1" si="31"/>
        <v>December</v>
      </c>
      <c r="E448" t="s">
        <v>29</v>
      </c>
      <c r="F448" t="s">
        <v>33</v>
      </c>
      <c r="G448" t="str">
        <f t="shared" si="32"/>
        <v>Women</v>
      </c>
      <c r="H448" t="str">
        <f t="shared" ca="1" si="33"/>
        <v>Amazon</v>
      </c>
      <c r="I448">
        <f t="shared" ca="1" si="34"/>
        <v>47</v>
      </c>
      <c r="J448" t="s">
        <v>498</v>
      </c>
      <c r="K448" t="s">
        <v>18</v>
      </c>
      <c r="L448" t="s">
        <v>40</v>
      </c>
      <c r="M448">
        <v>1</v>
      </c>
      <c r="N448" t="s">
        <v>20</v>
      </c>
      <c r="O448">
        <v>0</v>
      </c>
      <c r="P448" t="s">
        <v>1044</v>
      </c>
      <c r="Q448" t="s">
        <v>22</v>
      </c>
      <c r="R448" t="s">
        <v>23</v>
      </c>
    </row>
    <row r="449" spans="1:18" x14ac:dyDescent="0.35">
      <c r="A449">
        <v>447</v>
      </c>
      <c r="B449" t="s">
        <v>1045</v>
      </c>
      <c r="C449" s="1">
        <f t="shared" ca="1" si="30"/>
        <v>45472</v>
      </c>
      <c r="D449" t="str">
        <f t="shared" ca="1" si="31"/>
        <v>June</v>
      </c>
      <c r="E449" t="s">
        <v>29</v>
      </c>
      <c r="F449" t="s">
        <v>33</v>
      </c>
      <c r="G449" t="str">
        <f t="shared" si="32"/>
        <v>Men</v>
      </c>
      <c r="H449" t="str">
        <f t="shared" ca="1" si="33"/>
        <v>Amazon</v>
      </c>
      <c r="I449">
        <f t="shared" ca="1" si="34"/>
        <v>39</v>
      </c>
      <c r="J449" t="s">
        <v>1046</v>
      </c>
      <c r="K449" t="s">
        <v>27</v>
      </c>
      <c r="L449" t="s">
        <v>68</v>
      </c>
      <c r="M449">
        <v>1</v>
      </c>
      <c r="N449" t="s">
        <v>20</v>
      </c>
      <c r="O449">
        <v>329</v>
      </c>
      <c r="P449" t="s">
        <v>1047</v>
      </c>
      <c r="Q449" t="s">
        <v>46</v>
      </c>
      <c r="R449" t="s">
        <v>23</v>
      </c>
    </row>
    <row r="450" spans="1:18" x14ac:dyDescent="0.35">
      <c r="A450">
        <v>448</v>
      </c>
      <c r="B450" t="s">
        <v>1048</v>
      </c>
      <c r="C450" s="1">
        <f t="shared" ca="1" si="30"/>
        <v>45221</v>
      </c>
      <c r="D450" t="str">
        <f t="shared" ca="1" si="31"/>
        <v>October</v>
      </c>
      <c r="E450" t="s">
        <v>15</v>
      </c>
      <c r="F450" t="s">
        <v>33</v>
      </c>
      <c r="G450" t="str">
        <f t="shared" si="32"/>
        <v>Men</v>
      </c>
      <c r="H450" t="str">
        <f t="shared" ca="1" si="33"/>
        <v>Amazon</v>
      </c>
      <c r="I450">
        <f t="shared" ca="1" si="34"/>
        <v>22</v>
      </c>
      <c r="J450" t="s">
        <v>1049</v>
      </c>
      <c r="K450" t="s">
        <v>27</v>
      </c>
      <c r="L450" t="s">
        <v>68</v>
      </c>
      <c r="M450">
        <v>0</v>
      </c>
      <c r="P450" t="s">
        <v>1047</v>
      </c>
      <c r="Q450" t="s">
        <v>46</v>
      </c>
      <c r="R450" t="s">
        <v>23</v>
      </c>
    </row>
    <row r="451" spans="1:18" x14ac:dyDescent="0.35">
      <c r="A451">
        <v>449</v>
      </c>
      <c r="B451" t="s">
        <v>1050</v>
      </c>
      <c r="C451" s="1">
        <f t="shared" ref="C451:C514" ca="1" si="35">RANDBETWEEN(DATE(2023,1,1), DATE(2024,12,31))</f>
        <v>45342</v>
      </c>
      <c r="D451" t="str">
        <f t="shared" ref="D451:D514" ca="1" si="36">TEXT(C451, "MMMM")</f>
        <v>February</v>
      </c>
      <c r="E451" t="s">
        <v>29</v>
      </c>
      <c r="F451" t="s">
        <v>33</v>
      </c>
      <c r="G451" t="str">
        <f t="shared" ref="G451:G514" si="37">IF(K451="Set","Women",IF(K451="Kurta","Men",IF(K451="Top","Women",IF(K451="Western Dress","Women",IF(K451="Ethnic Dress","Women",IF(K451="Saree","Women",0))))))</f>
        <v>Women</v>
      </c>
      <c r="H451" t="str">
        <f t="shared" ref="H451:H514" ca="1" si="38">IF(F451="Merchant",IF(RAND()&gt;0.5,"Myntra","Flipkart"),IF(F451="Amazon","Amazon",0))</f>
        <v>Amazon</v>
      </c>
      <c r="I451">
        <f t="shared" ref="I451:I514" ca="1" si="39">RANDBETWEEN(18, 60)</f>
        <v>60</v>
      </c>
      <c r="J451" t="s">
        <v>1051</v>
      </c>
      <c r="K451" t="s">
        <v>18</v>
      </c>
      <c r="L451" t="s">
        <v>35</v>
      </c>
      <c r="M451">
        <v>1</v>
      </c>
      <c r="N451" t="s">
        <v>20</v>
      </c>
      <c r="O451">
        <v>0</v>
      </c>
      <c r="P451" t="s">
        <v>113</v>
      </c>
      <c r="Q451" t="s">
        <v>114</v>
      </c>
      <c r="R451" t="s">
        <v>23</v>
      </c>
    </row>
    <row r="452" spans="1:18" x14ac:dyDescent="0.35">
      <c r="A452">
        <v>450</v>
      </c>
      <c r="B452" t="s">
        <v>1052</v>
      </c>
      <c r="C452" s="1">
        <f t="shared" ca="1" si="35"/>
        <v>45077</v>
      </c>
      <c r="D452" t="str">
        <f t="shared" ca="1" si="36"/>
        <v>May</v>
      </c>
      <c r="E452" t="s">
        <v>25</v>
      </c>
      <c r="F452" t="s">
        <v>16</v>
      </c>
      <c r="G452" t="str">
        <f t="shared" si="37"/>
        <v>Men</v>
      </c>
      <c r="H452" t="str">
        <f t="shared" ca="1" si="38"/>
        <v>Myntra</v>
      </c>
      <c r="I452">
        <f t="shared" ca="1" si="39"/>
        <v>35</v>
      </c>
      <c r="J452" t="s">
        <v>1053</v>
      </c>
      <c r="K452" t="s">
        <v>27</v>
      </c>
      <c r="L452" t="s">
        <v>35</v>
      </c>
      <c r="M452">
        <v>1</v>
      </c>
      <c r="N452" t="s">
        <v>20</v>
      </c>
      <c r="O452">
        <v>399</v>
      </c>
      <c r="P452" t="s">
        <v>1054</v>
      </c>
      <c r="Q452" t="s">
        <v>50</v>
      </c>
      <c r="R452" t="s">
        <v>23</v>
      </c>
    </row>
    <row r="453" spans="1:18" x14ac:dyDescent="0.35">
      <c r="A453">
        <v>451</v>
      </c>
      <c r="B453" t="s">
        <v>1055</v>
      </c>
      <c r="C453" s="1">
        <f t="shared" ca="1" si="35"/>
        <v>44942</v>
      </c>
      <c r="D453" t="str">
        <f t="shared" ca="1" si="36"/>
        <v>January</v>
      </c>
      <c r="E453" t="s">
        <v>29</v>
      </c>
      <c r="F453" t="s">
        <v>33</v>
      </c>
      <c r="G453" t="str">
        <f t="shared" si="37"/>
        <v>Men</v>
      </c>
      <c r="H453" t="str">
        <f t="shared" ca="1" si="38"/>
        <v>Amazon</v>
      </c>
      <c r="I453">
        <f t="shared" ca="1" si="39"/>
        <v>57</v>
      </c>
      <c r="J453" t="s">
        <v>124</v>
      </c>
      <c r="K453" t="s">
        <v>27</v>
      </c>
      <c r="L453" t="s">
        <v>101</v>
      </c>
      <c r="M453">
        <v>1</v>
      </c>
      <c r="N453" t="s">
        <v>20</v>
      </c>
      <c r="O453">
        <v>399</v>
      </c>
      <c r="P453" t="s">
        <v>1056</v>
      </c>
      <c r="Q453" t="s">
        <v>31</v>
      </c>
      <c r="R453" t="s">
        <v>23</v>
      </c>
    </row>
    <row r="454" spans="1:18" x14ac:dyDescent="0.35">
      <c r="A454">
        <v>452</v>
      </c>
      <c r="B454" t="s">
        <v>1057</v>
      </c>
      <c r="C454" s="1">
        <f t="shared" ca="1" si="35"/>
        <v>45040</v>
      </c>
      <c r="D454" t="str">
        <f t="shared" ca="1" si="36"/>
        <v>April</v>
      </c>
      <c r="E454" t="s">
        <v>29</v>
      </c>
      <c r="F454" t="s">
        <v>33</v>
      </c>
      <c r="G454" t="str">
        <f t="shared" si="37"/>
        <v>Men</v>
      </c>
      <c r="H454" t="str">
        <f t="shared" ca="1" si="38"/>
        <v>Amazon</v>
      </c>
      <c r="I454">
        <f t="shared" ca="1" si="39"/>
        <v>52</v>
      </c>
      <c r="J454" t="s">
        <v>1058</v>
      </c>
      <c r="K454" t="s">
        <v>27</v>
      </c>
      <c r="L454" t="s">
        <v>62</v>
      </c>
      <c r="M454">
        <v>1</v>
      </c>
      <c r="N454" t="s">
        <v>20</v>
      </c>
      <c r="O454">
        <v>487</v>
      </c>
      <c r="P454" t="s">
        <v>1059</v>
      </c>
      <c r="Q454" t="s">
        <v>161</v>
      </c>
      <c r="R454" t="s">
        <v>23</v>
      </c>
    </row>
    <row r="455" spans="1:18" x14ac:dyDescent="0.35">
      <c r="A455">
        <v>453</v>
      </c>
      <c r="B455" t="s">
        <v>1060</v>
      </c>
      <c r="C455" s="1">
        <f t="shared" ca="1" si="35"/>
        <v>45416</v>
      </c>
      <c r="D455" t="str">
        <f t="shared" ca="1" si="36"/>
        <v>May</v>
      </c>
      <c r="E455" t="s">
        <v>29</v>
      </c>
      <c r="F455" t="s">
        <v>33</v>
      </c>
      <c r="G455" t="str">
        <f t="shared" si="37"/>
        <v>Women</v>
      </c>
      <c r="H455" t="str">
        <f t="shared" ca="1" si="38"/>
        <v>Amazon</v>
      </c>
      <c r="I455">
        <f t="shared" ca="1" si="39"/>
        <v>37</v>
      </c>
      <c r="J455" t="s">
        <v>1061</v>
      </c>
      <c r="K455" t="s">
        <v>18</v>
      </c>
      <c r="L455" t="s">
        <v>62</v>
      </c>
      <c r="M455">
        <v>1</v>
      </c>
      <c r="N455" t="s">
        <v>20</v>
      </c>
      <c r="O455">
        <v>1033</v>
      </c>
      <c r="P455" t="s">
        <v>88</v>
      </c>
      <c r="Q455" t="s">
        <v>89</v>
      </c>
      <c r="R455" t="s">
        <v>23</v>
      </c>
    </row>
    <row r="456" spans="1:18" x14ac:dyDescent="0.35">
      <c r="A456">
        <v>454</v>
      </c>
      <c r="B456" t="s">
        <v>1062</v>
      </c>
      <c r="C456" s="1">
        <f t="shared" ca="1" si="35"/>
        <v>45414</v>
      </c>
      <c r="D456" t="str">
        <f t="shared" ca="1" si="36"/>
        <v>May</v>
      </c>
      <c r="E456" t="s">
        <v>29</v>
      </c>
      <c r="F456" t="s">
        <v>33</v>
      </c>
      <c r="G456" t="str">
        <f t="shared" si="37"/>
        <v>Women</v>
      </c>
      <c r="H456" t="str">
        <f t="shared" ca="1" si="38"/>
        <v>Amazon</v>
      </c>
      <c r="I456">
        <f t="shared" ca="1" si="39"/>
        <v>50</v>
      </c>
      <c r="J456" t="s">
        <v>1063</v>
      </c>
      <c r="K456" t="s">
        <v>44</v>
      </c>
      <c r="L456" t="s">
        <v>40</v>
      </c>
      <c r="M456">
        <v>1</v>
      </c>
      <c r="N456" t="s">
        <v>20</v>
      </c>
      <c r="O456">
        <v>625</v>
      </c>
      <c r="P456" t="s">
        <v>30</v>
      </c>
      <c r="Q456" t="s">
        <v>31</v>
      </c>
      <c r="R456" t="s">
        <v>23</v>
      </c>
    </row>
    <row r="457" spans="1:18" x14ac:dyDescent="0.35">
      <c r="A457">
        <v>455</v>
      </c>
      <c r="B457" t="s">
        <v>1064</v>
      </c>
      <c r="C457" s="1">
        <f t="shared" ca="1" si="35"/>
        <v>44959</v>
      </c>
      <c r="D457" t="str">
        <f t="shared" ca="1" si="36"/>
        <v>February</v>
      </c>
      <c r="E457" t="s">
        <v>29</v>
      </c>
      <c r="F457" t="s">
        <v>33</v>
      </c>
      <c r="G457" t="str">
        <f t="shared" si="37"/>
        <v>Women</v>
      </c>
      <c r="H457" t="str">
        <f t="shared" ca="1" si="38"/>
        <v>Amazon</v>
      </c>
      <c r="I457">
        <f t="shared" ca="1" si="39"/>
        <v>32</v>
      </c>
      <c r="J457" t="s">
        <v>227</v>
      </c>
      <c r="K457" t="s">
        <v>44</v>
      </c>
      <c r="L457" t="s">
        <v>40</v>
      </c>
      <c r="M457">
        <v>1</v>
      </c>
      <c r="N457" t="s">
        <v>20</v>
      </c>
      <c r="O457">
        <v>432</v>
      </c>
      <c r="P457" t="s">
        <v>21</v>
      </c>
      <c r="Q457" t="s">
        <v>22</v>
      </c>
      <c r="R457" t="s">
        <v>23</v>
      </c>
    </row>
    <row r="458" spans="1:18" x14ac:dyDescent="0.35">
      <c r="A458">
        <v>456</v>
      </c>
      <c r="B458" t="s">
        <v>1065</v>
      </c>
      <c r="C458" s="1">
        <f t="shared" ca="1" si="35"/>
        <v>45333</v>
      </c>
      <c r="D458" t="str">
        <f t="shared" ca="1" si="36"/>
        <v>February</v>
      </c>
      <c r="E458" t="s">
        <v>15</v>
      </c>
      <c r="F458" t="s">
        <v>33</v>
      </c>
      <c r="G458" t="str">
        <f t="shared" si="37"/>
        <v>Men</v>
      </c>
      <c r="H458" t="str">
        <f t="shared" ca="1" si="38"/>
        <v>Amazon</v>
      </c>
      <c r="I458">
        <f t="shared" ca="1" si="39"/>
        <v>29</v>
      </c>
      <c r="J458" t="s">
        <v>1066</v>
      </c>
      <c r="K458" t="s">
        <v>27</v>
      </c>
      <c r="L458" t="s">
        <v>62</v>
      </c>
      <c r="M458">
        <v>0</v>
      </c>
      <c r="P458" t="s">
        <v>1067</v>
      </c>
      <c r="Q458" t="s">
        <v>153</v>
      </c>
      <c r="R458" t="s">
        <v>23</v>
      </c>
    </row>
    <row r="459" spans="1:18" x14ac:dyDescent="0.35">
      <c r="A459">
        <v>457</v>
      </c>
      <c r="B459" t="s">
        <v>1068</v>
      </c>
      <c r="C459" s="1">
        <f t="shared" ca="1" si="35"/>
        <v>45283</v>
      </c>
      <c r="D459" t="str">
        <f t="shared" ca="1" si="36"/>
        <v>December</v>
      </c>
      <c r="E459" t="s">
        <v>29</v>
      </c>
      <c r="F459" t="s">
        <v>33</v>
      </c>
      <c r="G459" t="str">
        <f t="shared" si="37"/>
        <v>Women</v>
      </c>
      <c r="H459" t="str">
        <f t="shared" ca="1" si="38"/>
        <v>Amazon</v>
      </c>
      <c r="I459">
        <f t="shared" ca="1" si="39"/>
        <v>31</v>
      </c>
      <c r="J459" t="s">
        <v>550</v>
      </c>
      <c r="K459" t="s">
        <v>18</v>
      </c>
      <c r="L459" t="s">
        <v>101</v>
      </c>
      <c r="M459">
        <v>1</v>
      </c>
      <c r="N459" t="s">
        <v>20</v>
      </c>
      <c r="O459">
        <v>1115</v>
      </c>
      <c r="P459" t="s">
        <v>88</v>
      </c>
      <c r="Q459" t="s">
        <v>89</v>
      </c>
      <c r="R459" t="s">
        <v>23</v>
      </c>
    </row>
    <row r="460" spans="1:18" x14ac:dyDescent="0.35">
      <c r="A460">
        <v>458</v>
      </c>
      <c r="B460" t="s">
        <v>1069</v>
      </c>
      <c r="C460" s="1">
        <f t="shared" ca="1" si="35"/>
        <v>45202</v>
      </c>
      <c r="D460" t="str">
        <f t="shared" ca="1" si="36"/>
        <v>October</v>
      </c>
      <c r="E460" t="s">
        <v>29</v>
      </c>
      <c r="F460" t="s">
        <v>33</v>
      </c>
      <c r="G460" t="str">
        <f t="shared" si="37"/>
        <v>Men</v>
      </c>
      <c r="H460" t="str">
        <f t="shared" ca="1" si="38"/>
        <v>Amazon</v>
      </c>
      <c r="I460">
        <f t="shared" ca="1" si="39"/>
        <v>26</v>
      </c>
      <c r="J460" t="s">
        <v>1070</v>
      </c>
      <c r="K460" t="s">
        <v>27</v>
      </c>
      <c r="L460" t="s">
        <v>35</v>
      </c>
      <c r="M460">
        <v>1</v>
      </c>
      <c r="N460" t="s">
        <v>20</v>
      </c>
      <c r="O460">
        <v>511</v>
      </c>
      <c r="P460" t="s">
        <v>49</v>
      </c>
      <c r="Q460" t="s">
        <v>50</v>
      </c>
      <c r="R460" t="s">
        <v>23</v>
      </c>
    </row>
    <row r="461" spans="1:18" x14ac:dyDescent="0.35">
      <c r="A461">
        <v>459</v>
      </c>
      <c r="B461" t="s">
        <v>1071</v>
      </c>
      <c r="C461" s="1">
        <f t="shared" ca="1" si="35"/>
        <v>44970</v>
      </c>
      <c r="D461" t="str">
        <f t="shared" ca="1" si="36"/>
        <v>February</v>
      </c>
      <c r="E461" t="s">
        <v>29</v>
      </c>
      <c r="F461" t="s">
        <v>33</v>
      </c>
      <c r="G461" t="str">
        <f t="shared" si="37"/>
        <v>Women</v>
      </c>
      <c r="H461" t="str">
        <f t="shared" ca="1" si="38"/>
        <v>Amazon</v>
      </c>
      <c r="I461">
        <f t="shared" ca="1" si="39"/>
        <v>18</v>
      </c>
      <c r="J461" t="s">
        <v>320</v>
      </c>
      <c r="K461" t="s">
        <v>18</v>
      </c>
      <c r="L461" t="s">
        <v>35</v>
      </c>
      <c r="M461">
        <v>1</v>
      </c>
      <c r="N461" t="s">
        <v>20</v>
      </c>
      <c r="O461">
        <v>599</v>
      </c>
      <c r="P461" t="s">
        <v>1072</v>
      </c>
      <c r="Q461" t="s">
        <v>140</v>
      </c>
      <c r="R461" t="s">
        <v>23</v>
      </c>
    </row>
    <row r="462" spans="1:18" x14ac:dyDescent="0.35">
      <c r="A462">
        <v>460</v>
      </c>
      <c r="B462" t="s">
        <v>1073</v>
      </c>
      <c r="C462" s="1">
        <f t="shared" ca="1" si="35"/>
        <v>45324</v>
      </c>
      <c r="D462" t="str">
        <f t="shared" ca="1" si="36"/>
        <v>February</v>
      </c>
      <c r="E462" t="s">
        <v>29</v>
      </c>
      <c r="F462" t="s">
        <v>33</v>
      </c>
      <c r="G462" t="str">
        <f t="shared" si="37"/>
        <v>Women</v>
      </c>
      <c r="H462" t="str">
        <f t="shared" ca="1" si="38"/>
        <v>Amazon</v>
      </c>
      <c r="I462">
        <f t="shared" ca="1" si="39"/>
        <v>30</v>
      </c>
      <c r="J462" t="s">
        <v>1074</v>
      </c>
      <c r="K462" t="s">
        <v>44</v>
      </c>
      <c r="L462" t="s">
        <v>40</v>
      </c>
      <c r="M462">
        <v>1</v>
      </c>
      <c r="N462" t="s">
        <v>20</v>
      </c>
      <c r="O462">
        <v>545</v>
      </c>
      <c r="P462" t="s">
        <v>21</v>
      </c>
      <c r="Q462" t="s">
        <v>22</v>
      </c>
      <c r="R462" t="s">
        <v>23</v>
      </c>
    </row>
    <row r="463" spans="1:18" x14ac:dyDescent="0.35">
      <c r="A463">
        <v>461</v>
      </c>
      <c r="B463" t="s">
        <v>1075</v>
      </c>
      <c r="C463" s="1">
        <f t="shared" ca="1" si="35"/>
        <v>45315</v>
      </c>
      <c r="D463" t="str">
        <f t="shared" ca="1" si="36"/>
        <v>January</v>
      </c>
      <c r="E463" t="s">
        <v>29</v>
      </c>
      <c r="F463" t="s">
        <v>33</v>
      </c>
      <c r="G463" t="str">
        <f t="shared" si="37"/>
        <v>Men</v>
      </c>
      <c r="H463" t="str">
        <f t="shared" ca="1" si="38"/>
        <v>Amazon</v>
      </c>
      <c r="I463">
        <f t="shared" ca="1" si="39"/>
        <v>24</v>
      </c>
      <c r="J463" t="s">
        <v>1076</v>
      </c>
      <c r="K463" t="s">
        <v>27</v>
      </c>
      <c r="L463" t="s">
        <v>62</v>
      </c>
      <c r="M463">
        <v>1</v>
      </c>
      <c r="N463" t="s">
        <v>20</v>
      </c>
      <c r="O463">
        <v>353</v>
      </c>
      <c r="P463" t="s">
        <v>219</v>
      </c>
      <c r="Q463" t="s">
        <v>22</v>
      </c>
      <c r="R463" t="s">
        <v>23</v>
      </c>
    </row>
    <row r="464" spans="1:18" x14ac:dyDescent="0.35">
      <c r="A464">
        <v>462</v>
      </c>
      <c r="B464" t="s">
        <v>1077</v>
      </c>
      <c r="C464" s="1">
        <f t="shared" ca="1" si="35"/>
        <v>45141</v>
      </c>
      <c r="D464" t="str">
        <f t="shared" ca="1" si="36"/>
        <v>August</v>
      </c>
      <c r="E464" t="s">
        <v>29</v>
      </c>
      <c r="F464" t="s">
        <v>33</v>
      </c>
      <c r="G464" t="str">
        <f t="shared" si="37"/>
        <v>Women</v>
      </c>
      <c r="H464" t="str">
        <f t="shared" ca="1" si="38"/>
        <v>Amazon</v>
      </c>
      <c r="I464">
        <f t="shared" ca="1" si="39"/>
        <v>21</v>
      </c>
      <c r="J464" t="s">
        <v>1078</v>
      </c>
      <c r="K464" t="s">
        <v>18</v>
      </c>
      <c r="L464" t="s">
        <v>62</v>
      </c>
      <c r="M464">
        <v>1</v>
      </c>
      <c r="N464" t="s">
        <v>20</v>
      </c>
      <c r="O464">
        <v>563</v>
      </c>
      <c r="P464" t="s">
        <v>219</v>
      </c>
      <c r="Q464" t="s">
        <v>22</v>
      </c>
      <c r="R464" t="s">
        <v>23</v>
      </c>
    </row>
    <row r="465" spans="1:18" x14ac:dyDescent="0.35">
      <c r="A465">
        <v>463</v>
      </c>
      <c r="B465" t="s">
        <v>1079</v>
      </c>
      <c r="C465" s="1">
        <f t="shared" ca="1" si="35"/>
        <v>45387</v>
      </c>
      <c r="D465" t="str">
        <f t="shared" ca="1" si="36"/>
        <v>April</v>
      </c>
      <c r="E465" t="s">
        <v>29</v>
      </c>
      <c r="F465" t="s">
        <v>33</v>
      </c>
      <c r="G465" t="str">
        <f t="shared" si="37"/>
        <v>Women</v>
      </c>
      <c r="H465" t="str">
        <f t="shared" ca="1" si="38"/>
        <v>Amazon</v>
      </c>
      <c r="I465">
        <f t="shared" ca="1" si="39"/>
        <v>47</v>
      </c>
      <c r="J465" t="s">
        <v>771</v>
      </c>
      <c r="K465" t="s">
        <v>44</v>
      </c>
      <c r="L465" t="s">
        <v>62</v>
      </c>
      <c r="M465">
        <v>1</v>
      </c>
      <c r="N465" t="s">
        <v>20</v>
      </c>
      <c r="O465">
        <v>487</v>
      </c>
      <c r="P465" t="s">
        <v>396</v>
      </c>
      <c r="Q465" t="s">
        <v>22</v>
      </c>
      <c r="R465" t="s">
        <v>23</v>
      </c>
    </row>
    <row r="466" spans="1:18" x14ac:dyDescent="0.35">
      <c r="A466">
        <v>464</v>
      </c>
      <c r="B466" t="s">
        <v>1080</v>
      </c>
      <c r="C466" s="1">
        <f t="shared" ca="1" si="35"/>
        <v>45414</v>
      </c>
      <c r="D466" t="str">
        <f t="shared" ca="1" si="36"/>
        <v>May</v>
      </c>
      <c r="E466" t="s">
        <v>29</v>
      </c>
      <c r="F466" t="s">
        <v>33</v>
      </c>
      <c r="G466" t="str">
        <f t="shared" si="37"/>
        <v>Men</v>
      </c>
      <c r="H466" t="str">
        <f t="shared" ca="1" si="38"/>
        <v>Amazon</v>
      </c>
      <c r="I466">
        <f t="shared" ca="1" si="39"/>
        <v>22</v>
      </c>
      <c r="J466" t="s">
        <v>1081</v>
      </c>
      <c r="K466" t="s">
        <v>27</v>
      </c>
      <c r="L466" t="s">
        <v>40</v>
      </c>
      <c r="M466">
        <v>1</v>
      </c>
      <c r="N466" t="s">
        <v>20</v>
      </c>
      <c r="O466">
        <v>352</v>
      </c>
      <c r="P466" t="s">
        <v>45</v>
      </c>
      <c r="Q466" t="s">
        <v>46</v>
      </c>
      <c r="R466" t="s">
        <v>23</v>
      </c>
    </row>
    <row r="467" spans="1:18" x14ac:dyDescent="0.35">
      <c r="A467">
        <v>465</v>
      </c>
      <c r="B467" t="s">
        <v>1082</v>
      </c>
      <c r="C467" s="1">
        <f t="shared" ca="1" si="35"/>
        <v>45414</v>
      </c>
      <c r="D467" t="str">
        <f t="shared" ca="1" si="36"/>
        <v>May</v>
      </c>
      <c r="E467" t="s">
        <v>29</v>
      </c>
      <c r="F467" t="s">
        <v>33</v>
      </c>
      <c r="G467" t="str">
        <f t="shared" si="37"/>
        <v>Men</v>
      </c>
      <c r="H467" t="str">
        <f t="shared" ca="1" si="38"/>
        <v>Amazon</v>
      </c>
      <c r="I467">
        <f t="shared" ca="1" si="39"/>
        <v>33</v>
      </c>
      <c r="J467" t="s">
        <v>103</v>
      </c>
      <c r="K467" t="s">
        <v>27</v>
      </c>
      <c r="L467" t="s">
        <v>40</v>
      </c>
      <c r="M467">
        <v>1</v>
      </c>
      <c r="N467" t="s">
        <v>20</v>
      </c>
      <c r="O467">
        <v>376</v>
      </c>
      <c r="P467" t="s">
        <v>45</v>
      </c>
      <c r="Q467" t="s">
        <v>46</v>
      </c>
      <c r="R467" t="s">
        <v>23</v>
      </c>
    </row>
    <row r="468" spans="1:18" x14ac:dyDescent="0.35">
      <c r="A468">
        <v>466</v>
      </c>
      <c r="B468" t="s">
        <v>1083</v>
      </c>
      <c r="C468" s="1">
        <f t="shared" ca="1" si="35"/>
        <v>45302</v>
      </c>
      <c r="D468" t="str">
        <f t="shared" ca="1" si="36"/>
        <v>January</v>
      </c>
      <c r="E468" t="s">
        <v>633</v>
      </c>
      <c r="F468" t="s">
        <v>16</v>
      </c>
      <c r="G468" t="str">
        <f t="shared" si="37"/>
        <v>Women</v>
      </c>
      <c r="H468" t="str">
        <f t="shared" ca="1" si="38"/>
        <v>Flipkart</v>
      </c>
      <c r="I468">
        <f t="shared" ca="1" si="39"/>
        <v>52</v>
      </c>
      <c r="J468" t="s">
        <v>1084</v>
      </c>
      <c r="K468" t="s">
        <v>44</v>
      </c>
      <c r="L468" t="s">
        <v>40</v>
      </c>
      <c r="M468">
        <v>1</v>
      </c>
      <c r="N468" t="s">
        <v>20</v>
      </c>
      <c r="O468">
        <v>599</v>
      </c>
      <c r="P468" t="s">
        <v>470</v>
      </c>
      <c r="Q468" t="s">
        <v>93</v>
      </c>
      <c r="R468" t="s">
        <v>23</v>
      </c>
    </row>
    <row r="469" spans="1:18" x14ac:dyDescent="0.35">
      <c r="A469">
        <v>467</v>
      </c>
      <c r="B469" t="s">
        <v>1085</v>
      </c>
      <c r="C469" s="1">
        <f t="shared" ca="1" si="35"/>
        <v>45454</v>
      </c>
      <c r="D469" t="str">
        <f t="shared" ca="1" si="36"/>
        <v>June</v>
      </c>
      <c r="E469" t="s">
        <v>25</v>
      </c>
      <c r="F469" t="s">
        <v>16</v>
      </c>
      <c r="G469" t="str">
        <f>IF(K469="Set","Women",IF(K469="Kurta","Men",IF(K469="Top","Women",IF(K469="Western Dress","Women",IF(K469="Ethnic Dress","Women",IF(K469="Saree","Women",IF(K469="Blouse","Women",IF(K469="Bottom","Women",0))))))))</f>
        <v>Women</v>
      </c>
      <c r="H469" t="str">
        <f t="shared" ca="1" si="38"/>
        <v>Flipkart</v>
      </c>
      <c r="I469">
        <f t="shared" ca="1" si="39"/>
        <v>43</v>
      </c>
      <c r="J469" t="s">
        <v>1086</v>
      </c>
      <c r="K469" t="s">
        <v>1087</v>
      </c>
      <c r="L469" t="s">
        <v>35</v>
      </c>
      <c r="M469">
        <v>1</v>
      </c>
      <c r="N469" t="s">
        <v>20</v>
      </c>
      <c r="O469">
        <v>329</v>
      </c>
      <c r="P469" t="s">
        <v>932</v>
      </c>
      <c r="Q469" t="s">
        <v>357</v>
      </c>
      <c r="R469" t="s">
        <v>23</v>
      </c>
    </row>
    <row r="470" spans="1:18" x14ac:dyDescent="0.35">
      <c r="A470">
        <v>468</v>
      </c>
      <c r="B470" t="s">
        <v>1088</v>
      </c>
      <c r="C470" s="1">
        <f t="shared" ca="1" si="35"/>
        <v>45217</v>
      </c>
      <c r="D470" t="str">
        <f t="shared" ca="1" si="36"/>
        <v>October</v>
      </c>
      <c r="E470" t="s">
        <v>29</v>
      </c>
      <c r="F470" t="s">
        <v>33</v>
      </c>
      <c r="G470" t="str">
        <f t="shared" si="37"/>
        <v>Women</v>
      </c>
      <c r="H470" t="str">
        <f t="shared" ca="1" si="38"/>
        <v>Amazon</v>
      </c>
      <c r="I470">
        <f t="shared" ca="1" si="39"/>
        <v>47</v>
      </c>
      <c r="J470" t="s">
        <v>1089</v>
      </c>
      <c r="K470" t="s">
        <v>18</v>
      </c>
      <c r="L470" t="s">
        <v>35</v>
      </c>
      <c r="M470">
        <v>1</v>
      </c>
      <c r="N470" t="s">
        <v>20</v>
      </c>
      <c r="O470">
        <v>1133</v>
      </c>
      <c r="P470" t="s">
        <v>1090</v>
      </c>
      <c r="Q470" t="s">
        <v>855</v>
      </c>
      <c r="R470" t="s">
        <v>23</v>
      </c>
    </row>
    <row r="471" spans="1:18" x14ac:dyDescent="0.35">
      <c r="A471">
        <v>469</v>
      </c>
      <c r="B471" t="s">
        <v>1091</v>
      </c>
      <c r="C471" s="1">
        <f t="shared" ca="1" si="35"/>
        <v>45080</v>
      </c>
      <c r="D471" t="str">
        <f t="shared" ca="1" si="36"/>
        <v>June</v>
      </c>
      <c r="E471" t="s">
        <v>29</v>
      </c>
      <c r="F471" t="s">
        <v>33</v>
      </c>
      <c r="G471" t="str">
        <f t="shared" si="37"/>
        <v>Women</v>
      </c>
      <c r="H471" t="str">
        <f t="shared" ca="1" si="38"/>
        <v>Amazon</v>
      </c>
      <c r="I471">
        <f t="shared" ca="1" si="39"/>
        <v>57</v>
      </c>
      <c r="J471" t="s">
        <v>1092</v>
      </c>
      <c r="K471" t="s">
        <v>18</v>
      </c>
      <c r="L471" t="s">
        <v>62</v>
      </c>
      <c r="M471">
        <v>1</v>
      </c>
      <c r="N471" t="s">
        <v>20</v>
      </c>
      <c r="O471">
        <v>684</v>
      </c>
      <c r="P471" t="s">
        <v>1093</v>
      </c>
      <c r="Q471" t="s">
        <v>552</v>
      </c>
      <c r="R471" t="s">
        <v>23</v>
      </c>
    </row>
    <row r="472" spans="1:18" x14ac:dyDescent="0.35">
      <c r="A472">
        <v>470</v>
      </c>
      <c r="B472" t="s">
        <v>1094</v>
      </c>
      <c r="C472" s="1">
        <f t="shared" ca="1" si="35"/>
        <v>44978</v>
      </c>
      <c r="D472" t="str">
        <f t="shared" ca="1" si="36"/>
        <v>February</v>
      </c>
      <c r="E472" t="s">
        <v>15</v>
      </c>
      <c r="F472" t="s">
        <v>33</v>
      </c>
      <c r="G472" t="str">
        <f t="shared" si="37"/>
        <v>Women</v>
      </c>
      <c r="H472" t="str">
        <f t="shared" ca="1" si="38"/>
        <v>Amazon</v>
      </c>
      <c r="I472">
        <f t="shared" ca="1" si="39"/>
        <v>45</v>
      </c>
      <c r="J472" t="s">
        <v>705</v>
      </c>
      <c r="K472" t="s">
        <v>18</v>
      </c>
      <c r="L472" t="s">
        <v>68</v>
      </c>
      <c r="M472">
        <v>0</v>
      </c>
      <c r="P472" t="s">
        <v>1095</v>
      </c>
      <c r="Q472" t="s">
        <v>110</v>
      </c>
      <c r="R472" t="s">
        <v>23</v>
      </c>
    </row>
    <row r="473" spans="1:18" x14ac:dyDescent="0.35">
      <c r="A473">
        <v>471</v>
      </c>
      <c r="B473" t="s">
        <v>1096</v>
      </c>
      <c r="C473" s="1">
        <f t="shared" ca="1" si="35"/>
        <v>45572</v>
      </c>
      <c r="D473" t="str">
        <f t="shared" ca="1" si="36"/>
        <v>October</v>
      </c>
      <c r="E473" t="s">
        <v>15</v>
      </c>
      <c r="F473" t="s">
        <v>33</v>
      </c>
      <c r="G473" t="str">
        <f t="shared" si="37"/>
        <v>Men</v>
      </c>
      <c r="H473" t="str">
        <f t="shared" ca="1" si="38"/>
        <v>Amazon</v>
      </c>
      <c r="I473">
        <f t="shared" ca="1" si="39"/>
        <v>26</v>
      </c>
      <c r="J473" t="s">
        <v>625</v>
      </c>
      <c r="K473" t="s">
        <v>27</v>
      </c>
      <c r="L473" t="s">
        <v>40</v>
      </c>
      <c r="M473">
        <v>1</v>
      </c>
      <c r="N473" t="s">
        <v>20</v>
      </c>
      <c r="O473">
        <v>435</v>
      </c>
      <c r="P473" t="s">
        <v>56</v>
      </c>
      <c r="Q473" t="s">
        <v>57</v>
      </c>
      <c r="R473" t="s">
        <v>23</v>
      </c>
    </row>
    <row r="474" spans="1:18" x14ac:dyDescent="0.35">
      <c r="A474">
        <v>472</v>
      </c>
      <c r="B474" t="s">
        <v>1097</v>
      </c>
      <c r="C474" s="1">
        <f t="shared" ca="1" si="35"/>
        <v>45400</v>
      </c>
      <c r="D474" t="str">
        <f t="shared" ca="1" si="36"/>
        <v>April</v>
      </c>
      <c r="E474" t="s">
        <v>29</v>
      </c>
      <c r="F474" t="s">
        <v>33</v>
      </c>
      <c r="G474" t="str">
        <f t="shared" si="37"/>
        <v>Men</v>
      </c>
      <c r="H474" t="str">
        <f t="shared" ca="1" si="38"/>
        <v>Amazon</v>
      </c>
      <c r="I474">
        <f t="shared" ca="1" si="39"/>
        <v>34</v>
      </c>
      <c r="J474" t="s">
        <v>87</v>
      </c>
      <c r="K474" t="s">
        <v>27</v>
      </c>
      <c r="L474" t="s">
        <v>35</v>
      </c>
      <c r="M474">
        <v>1</v>
      </c>
      <c r="N474" t="s">
        <v>20</v>
      </c>
      <c r="O474">
        <v>399</v>
      </c>
      <c r="P474" t="s">
        <v>122</v>
      </c>
      <c r="Q474" t="s">
        <v>22</v>
      </c>
      <c r="R474" t="s">
        <v>23</v>
      </c>
    </row>
    <row r="475" spans="1:18" x14ac:dyDescent="0.35">
      <c r="A475">
        <v>473</v>
      </c>
      <c r="B475" t="s">
        <v>1097</v>
      </c>
      <c r="C475" s="1">
        <f t="shared" ca="1" si="35"/>
        <v>45449</v>
      </c>
      <c r="D475" t="str">
        <f t="shared" ca="1" si="36"/>
        <v>June</v>
      </c>
      <c r="E475" t="s">
        <v>29</v>
      </c>
      <c r="F475" t="s">
        <v>33</v>
      </c>
      <c r="G475" t="str">
        <f t="shared" si="37"/>
        <v>Men</v>
      </c>
      <c r="H475" t="str">
        <f t="shared" ca="1" si="38"/>
        <v>Amazon</v>
      </c>
      <c r="I475">
        <f t="shared" ca="1" si="39"/>
        <v>54</v>
      </c>
      <c r="J475" t="s">
        <v>707</v>
      </c>
      <c r="K475" t="s">
        <v>27</v>
      </c>
      <c r="L475" t="s">
        <v>35</v>
      </c>
      <c r="M475">
        <v>1</v>
      </c>
      <c r="N475" t="s">
        <v>20</v>
      </c>
      <c r="O475">
        <v>399</v>
      </c>
      <c r="P475" t="s">
        <v>122</v>
      </c>
      <c r="Q475" t="s">
        <v>22</v>
      </c>
      <c r="R475" t="s">
        <v>23</v>
      </c>
    </row>
    <row r="476" spans="1:18" x14ac:dyDescent="0.35">
      <c r="A476">
        <v>474</v>
      </c>
      <c r="B476" t="s">
        <v>1098</v>
      </c>
      <c r="C476" s="1">
        <f t="shared" ca="1" si="35"/>
        <v>45366</v>
      </c>
      <c r="D476" t="str">
        <f t="shared" ca="1" si="36"/>
        <v>March</v>
      </c>
      <c r="E476" t="s">
        <v>15</v>
      </c>
      <c r="F476" t="s">
        <v>33</v>
      </c>
      <c r="G476" t="str">
        <f t="shared" si="37"/>
        <v>Men</v>
      </c>
      <c r="H476" t="str">
        <f t="shared" ca="1" si="38"/>
        <v>Amazon</v>
      </c>
      <c r="I476">
        <f t="shared" ca="1" si="39"/>
        <v>23</v>
      </c>
      <c r="J476" t="s">
        <v>87</v>
      </c>
      <c r="K476" t="s">
        <v>27</v>
      </c>
      <c r="L476" t="s">
        <v>35</v>
      </c>
      <c r="M476">
        <v>1</v>
      </c>
      <c r="N476" t="s">
        <v>20</v>
      </c>
      <c r="O476">
        <v>399</v>
      </c>
      <c r="P476" t="s">
        <v>1099</v>
      </c>
      <c r="Q476" t="s">
        <v>31</v>
      </c>
      <c r="R476" t="s">
        <v>23</v>
      </c>
    </row>
    <row r="477" spans="1:18" x14ac:dyDescent="0.35">
      <c r="A477">
        <v>475</v>
      </c>
      <c r="B477" t="s">
        <v>1100</v>
      </c>
      <c r="C477" s="1">
        <f t="shared" ca="1" si="35"/>
        <v>44963</v>
      </c>
      <c r="D477" t="str">
        <f t="shared" ca="1" si="36"/>
        <v>February</v>
      </c>
      <c r="E477" t="s">
        <v>29</v>
      </c>
      <c r="F477" t="s">
        <v>33</v>
      </c>
      <c r="G477" t="str">
        <f t="shared" si="37"/>
        <v>Women</v>
      </c>
      <c r="H477" t="str">
        <f t="shared" ca="1" si="38"/>
        <v>Amazon</v>
      </c>
      <c r="I477">
        <f t="shared" ca="1" si="39"/>
        <v>36</v>
      </c>
      <c r="J477" t="s">
        <v>1101</v>
      </c>
      <c r="K477" t="s">
        <v>18</v>
      </c>
      <c r="L477" t="s">
        <v>40</v>
      </c>
      <c r="M477">
        <v>1</v>
      </c>
      <c r="N477" t="s">
        <v>20</v>
      </c>
      <c r="O477">
        <v>788</v>
      </c>
      <c r="P477" t="s">
        <v>1102</v>
      </c>
      <c r="Q477" t="s">
        <v>171</v>
      </c>
      <c r="R477" t="s">
        <v>23</v>
      </c>
    </row>
    <row r="478" spans="1:18" x14ac:dyDescent="0.35">
      <c r="A478">
        <v>476</v>
      </c>
      <c r="B478" t="s">
        <v>1103</v>
      </c>
      <c r="C478" s="1">
        <f t="shared" ca="1" si="35"/>
        <v>45197</v>
      </c>
      <c r="D478" t="str">
        <f t="shared" ca="1" si="36"/>
        <v>September</v>
      </c>
      <c r="E478" t="s">
        <v>25</v>
      </c>
      <c r="F478" t="s">
        <v>16</v>
      </c>
      <c r="G478" t="str">
        <f t="shared" si="37"/>
        <v>Men</v>
      </c>
      <c r="H478" t="str">
        <f t="shared" ca="1" si="38"/>
        <v>Flipkart</v>
      </c>
      <c r="I478">
        <f t="shared" ca="1" si="39"/>
        <v>27</v>
      </c>
      <c r="J478" t="s">
        <v>1104</v>
      </c>
      <c r="K478" t="s">
        <v>27</v>
      </c>
      <c r="L478" t="s">
        <v>28</v>
      </c>
      <c r="M478">
        <v>1</v>
      </c>
      <c r="N478" t="s">
        <v>20</v>
      </c>
      <c r="O478">
        <v>549</v>
      </c>
      <c r="P478" t="s">
        <v>30</v>
      </c>
      <c r="Q478" t="s">
        <v>31</v>
      </c>
      <c r="R478" t="s">
        <v>23</v>
      </c>
    </row>
    <row r="479" spans="1:18" x14ac:dyDescent="0.35">
      <c r="A479">
        <v>477</v>
      </c>
      <c r="B479" t="s">
        <v>1105</v>
      </c>
      <c r="C479" s="1">
        <f t="shared" ca="1" si="35"/>
        <v>45413</v>
      </c>
      <c r="D479" t="str">
        <f t="shared" ca="1" si="36"/>
        <v>May</v>
      </c>
      <c r="E479" t="s">
        <v>29</v>
      </c>
      <c r="F479" t="s">
        <v>33</v>
      </c>
      <c r="G479" t="str">
        <f t="shared" si="37"/>
        <v>Women</v>
      </c>
      <c r="H479" t="str">
        <f t="shared" ca="1" si="38"/>
        <v>Amazon</v>
      </c>
      <c r="I479">
        <f t="shared" ca="1" si="39"/>
        <v>27</v>
      </c>
      <c r="J479" t="s">
        <v>903</v>
      </c>
      <c r="K479" t="s">
        <v>18</v>
      </c>
      <c r="L479" t="s">
        <v>68</v>
      </c>
      <c r="M479">
        <v>1</v>
      </c>
      <c r="N479" t="s">
        <v>20</v>
      </c>
      <c r="O479">
        <v>654</v>
      </c>
      <c r="P479" t="s">
        <v>21</v>
      </c>
      <c r="Q479" t="s">
        <v>22</v>
      </c>
      <c r="R479" t="s">
        <v>23</v>
      </c>
    </row>
    <row r="480" spans="1:18" x14ac:dyDescent="0.35">
      <c r="A480">
        <v>478</v>
      </c>
      <c r="B480" t="s">
        <v>1106</v>
      </c>
      <c r="C480" s="1">
        <f t="shared" ca="1" si="35"/>
        <v>45511</v>
      </c>
      <c r="D480" t="str">
        <f t="shared" ca="1" si="36"/>
        <v>August</v>
      </c>
      <c r="E480" t="s">
        <v>29</v>
      </c>
      <c r="F480" t="s">
        <v>33</v>
      </c>
      <c r="G480" t="str">
        <f t="shared" si="37"/>
        <v>Men</v>
      </c>
      <c r="H480" t="str">
        <f t="shared" ca="1" si="38"/>
        <v>Amazon</v>
      </c>
      <c r="I480">
        <f t="shared" ca="1" si="39"/>
        <v>54</v>
      </c>
      <c r="J480" t="s">
        <v>1107</v>
      </c>
      <c r="K480" t="s">
        <v>27</v>
      </c>
      <c r="L480" t="s">
        <v>101</v>
      </c>
      <c r="M480">
        <v>1</v>
      </c>
      <c r="N480" t="s">
        <v>20</v>
      </c>
      <c r="O480">
        <v>399</v>
      </c>
      <c r="P480" t="s">
        <v>1108</v>
      </c>
      <c r="Q480" t="s">
        <v>22</v>
      </c>
      <c r="R480" t="s">
        <v>23</v>
      </c>
    </row>
    <row r="481" spans="1:18" x14ac:dyDescent="0.35">
      <c r="A481">
        <v>479</v>
      </c>
      <c r="B481" t="s">
        <v>1109</v>
      </c>
      <c r="C481" s="1">
        <f t="shared" ca="1" si="35"/>
        <v>45630</v>
      </c>
      <c r="D481" t="str">
        <f t="shared" ca="1" si="36"/>
        <v>December</v>
      </c>
      <c r="E481" t="s">
        <v>25</v>
      </c>
      <c r="F481" t="s">
        <v>16</v>
      </c>
      <c r="G481" t="str">
        <f t="shared" si="37"/>
        <v>Women</v>
      </c>
      <c r="H481" t="str">
        <f t="shared" ca="1" si="38"/>
        <v>Flipkart</v>
      </c>
      <c r="I481">
        <f t="shared" ca="1" si="39"/>
        <v>33</v>
      </c>
      <c r="J481" t="s">
        <v>1110</v>
      </c>
      <c r="K481" t="s">
        <v>18</v>
      </c>
      <c r="L481" t="s">
        <v>40</v>
      </c>
      <c r="M481">
        <v>1</v>
      </c>
      <c r="N481" t="s">
        <v>20</v>
      </c>
      <c r="O481">
        <v>599</v>
      </c>
      <c r="P481" t="s">
        <v>56</v>
      </c>
      <c r="Q481" t="s">
        <v>57</v>
      </c>
      <c r="R481" t="s">
        <v>23</v>
      </c>
    </row>
    <row r="482" spans="1:18" x14ac:dyDescent="0.35">
      <c r="A482">
        <v>480</v>
      </c>
      <c r="B482" t="s">
        <v>1111</v>
      </c>
      <c r="C482" s="1">
        <f t="shared" ca="1" si="35"/>
        <v>45610</v>
      </c>
      <c r="D482" t="str">
        <f t="shared" ca="1" si="36"/>
        <v>November</v>
      </c>
      <c r="E482" t="s">
        <v>29</v>
      </c>
      <c r="F482" t="s">
        <v>33</v>
      </c>
      <c r="G482" t="str">
        <f t="shared" si="37"/>
        <v>Women</v>
      </c>
      <c r="H482" t="str">
        <f t="shared" ca="1" si="38"/>
        <v>Amazon</v>
      </c>
      <c r="I482">
        <f t="shared" ca="1" si="39"/>
        <v>19</v>
      </c>
      <c r="J482" t="s">
        <v>1112</v>
      </c>
      <c r="K482" t="s">
        <v>18</v>
      </c>
      <c r="L482" t="s">
        <v>40</v>
      </c>
      <c r="M482">
        <v>1</v>
      </c>
      <c r="N482" t="s">
        <v>20</v>
      </c>
      <c r="O482">
        <v>874</v>
      </c>
      <c r="P482" t="s">
        <v>56</v>
      </c>
      <c r="Q482" t="s">
        <v>57</v>
      </c>
      <c r="R482" t="s">
        <v>23</v>
      </c>
    </row>
    <row r="483" spans="1:18" x14ac:dyDescent="0.35">
      <c r="A483">
        <v>481</v>
      </c>
      <c r="B483" t="s">
        <v>1113</v>
      </c>
      <c r="C483" s="1">
        <f t="shared" ca="1" si="35"/>
        <v>44948</v>
      </c>
      <c r="D483" t="str">
        <f t="shared" ca="1" si="36"/>
        <v>January</v>
      </c>
      <c r="E483" t="s">
        <v>25</v>
      </c>
      <c r="F483" t="s">
        <v>16</v>
      </c>
      <c r="G483" t="str">
        <f t="shared" si="37"/>
        <v>Men</v>
      </c>
      <c r="H483" t="str">
        <f t="shared" ca="1" si="38"/>
        <v>Flipkart</v>
      </c>
      <c r="I483">
        <f t="shared" ca="1" si="39"/>
        <v>47</v>
      </c>
      <c r="J483" t="s">
        <v>1114</v>
      </c>
      <c r="K483" t="s">
        <v>27</v>
      </c>
      <c r="L483" t="s">
        <v>62</v>
      </c>
      <c r="M483">
        <v>1</v>
      </c>
      <c r="N483" t="s">
        <v>20</v>
      </c>
      <c r="O483">
        <v>533</v>
      </c>
      <c r="P483" t="s">
        <v>56</v>
      </c>
      <c r="Q483" t="s">
        <v>57</v>
      </c>
      <c r="R483" t="s">
        <v>23</v>
      </c>
    </row>
    <row r="484" spans="1:18" x14ac:dyDescent="0.35">
      <c r="A484">
        <v>482</v>
      </c>
      <c r="B484" t="s">
        <v>1115</v>
      </c>
      <c r="C484" s="1">
        <f t="shared" ca="1" si="35"/>
        <v>45123</v>
      </c>
      <c r="D484" t="str">
        <f t="shared" ca="1" si="36"/>
        <v>July</v>
      </c>
      <c r="E484" t="s">
        <v>29</v>
      </c>
      <c r="F484" t="s">
        <v>33</v>
      </c>
      <c r="G484" t="str">
        <f t="shared" si="37"/>
        <v>Men</v>
      </c>
      <c r="H484" t="str">
        <f t="shared" ca="1" si="38"/>
        <v>Amazon</v>
      </c>
      <c r="I484">
        <f t="shared" ca="1" si="39"/>
        <v>19</v>
      </c>
      <c r="J484" t="s">
        <v>764</v>
      </c>
      <c r="K484" t="s">
        <v>27</v>
      </c>
      <c r="L484" t="s">
        <v>62</v>
      </c>
      <c r="M484">
        <v>1</v>
      </c>
      <c r="N484" t="s">
        <v>20</v>
      </c>
      <c r="O484">
        <v>399</v>
      </c>
      <c r="P484" t="s">
        <v>30</v>
      </c>
      <c r="Q484" t="s">
        <v>31</v>
      </c>
      <c r="R484" t="s">
        <v>23</v>
      </c>
    </row>
    <row r="485" spans="1:18" x14ac:dyDescent="0.35">
      <c r="A485">
        <v>483</v>
      </c>
      <c r="B485" t="s">
        <v>1116</v>
      </c>
      <c r="C485" s="1">
        <f t="shared" ca="1" si="35"/>
        <v>45002</v>
      </c>
      <c r="D485" t="str">
        <f t="shared" ca="1" si="36"/>
        <v>March</v>
      </c>
      <c r="E485" t="s">
        <v>29</v>
      </c>
      <c r="F485" t="s">
        <v>33</v>
      </c>
      <c r="G485" t="str">
        <f t="shared" si="37"/>
        <v>Women</v>
      </c>
      <c r="H485" t="str">
        <f t="shared" ca="1" si="38"/>
        <v>Amazon</v>
      </c>
      <c r="I485">
        <f t="shared" ca="1" si="39"/>
        <v>22</v>
      </c>
      <c r="J485" t="s">
        <v>1117</v>
      </c>
      <c r="K485" t="s">
        <v>39</v>
      </c>
      <c r="L485" t="s">
        <v>40</v>
      </c>
      <c r="M485">
        <v>1</v>
      </c>
      <c r="N485" t="s">
        <v>20</v>
      </c>
      <c r="O485">
        <v>744</v>
      </c>
      <c r="P485" t="s">
        <v>30</v>
      </c>
      <c r="Q485" t="s">
        <v>31</v>
      </c>
      <c r="R485" t="s">
        <v>23</v>
      </c>
    </row>
    <row r="486" spans="1:18" x14ac:dyDescent="0.35">
      <c r="A486">
        <v>484</v>
      </c>
      <c r="B486" t="s">
        <v>1118</v>
      </c>
      <c r="C486" s="1">
        <f t="shared" ca="1" si="35"/>
        <v>45187</v>
      </c>
      <c r="D486" t="str">
        <f t="shared" ca="1" si="36"/>
        <v>September</v>
      </c>
      <c r="E486" t="s">
        <v>29</v>
      </c>
      <c r="F486" t="s">
        <v>33</v>
      </c>
      <c r="G486" t="str">
        <f t="shared" si="37"/>
        <v>Men</v>
      </c>
      <c r="H486" t="str">
        <f t="shared" ca="1" si="38"/>
        <v>Amazon</v>
      </c>
      <c r="I486">
        <f t="shared" ca="1" si="39"/>
        <v>29</v>
      </c>
      <c r="J486" t="s">
        <v>884</v>
      </c>
      <c r="K486" t="s">
        <v>27</v>
      </c>
      <c r="L486" t="s">
        <v>101</v>
      </c>
      <c r="M486">
        <v>1</v>
      </c>
      <c r="N486" t="s">
        <v>20</v>
      </c>
      <c r="O486">
        <v>499</v>
      </c>
      <c r="P486" t="s">
        <v>1119</v>
      </c>
      <c r="Q486" t="s">
        <v>223</v>
      </c>
      <c r="R486" t="s">
        <v>23</v>
      </c>
    </row>
    <row r="487" spans="1:18" x14ac:dyDescent="0.35">
      <c r="A487">
        <v>485</v>
      </c>
      <c r="B487" t="s">
        <v>1120</v>
      </c>
      <c r="C487" s="1">
        <f t="shared" ca="1" si="35"/>
        <v>44936</v>
      </c>
      <c r="D487" t="str">
        <f t="shared" ca="1" si="36"/>
        <v>January</v>
      </c>
      <c r="E487" t="s">
        <v>15</v>
      </c>
      <c r="F487" t="s">
        <v>33</v>
      </c>
      <c r="G487" t="str">
        <f t="shared" si="37"/>
        <v>Men</v>
      </c>
      <c r="H487" t="str">
        <f t="shared" ca="1" si="38"/>
        <v>Amazon</v>
      </c>
      <c r="I487">
        <f t="shared" ca="1" si="39"/>
        <v>57</v>
      </c>
      <c r="J487" t="s">
        <v>1107</v>
      </c>
      <c r="K487" t="s">
        <v>27</v>
      </c>
      <c r="L487" t="s">
        <v>101</v>
      </c>
      <c r="M487">
        <v>1</v>
      </c>
      <c r="N487" t="s">
        <v>20</v>
      </c>
      <c r="O487">
        <v>399</v>
      </c>
      <c r="P487" t="s">
        <v>1108</v>
      </c>
      <c r="Q487" t="s">
        <v>22</v>
      </c>
      <c r="R487" t="s">
        <v>23</v>
      </c>
    </row>
    <row r="488" spans="1:18" x14ac:dyDescent="0.35">
      <c r="A488">
        <v>486</v>
      </c>
      <c r="B488" t="s">
        <v>1121</v>
      </c>
      <c r="C488" s="1">
        <f t="shared" ca="1" si="35"/>
        <v>45604</v>
      </c>
      <c r="D488" t="str">
        <f t="shared" ca="1" si="36"/>
        <v>November</v>
      </c>
      <c r="E488" t="s">
        <v>29</v>
      </c>
      <c r="F488" t="s">
        <v>33</v>
      </c>
      <c r="G488" t="str">
        <f t="shared" si="37"/>
        <v>Men</v>
      </c>
      <c r="H488" t="str">
        <f t="shared" ca="1" si="38"/>
        <v>Amazon</v>
      </c>
      <c r="I488">
        <f t="shared" ca="1" si="39"/>
        <v>24</v>
      </c>
      <c r="J488" t="s">
        <v>1122</v>
      </c>
      <c r="K488" t="s">
        <v>27</v>
      </c>
      <c r="L488" t="s">
        <v>40</v>
      </c>
      <c r="M488">
        <v>1</v>
      </c>
      <c r="N488" t="s">
        <v>20</v>
      </c>
      <c r="O488">
        <v>376</v>
      </c>
      <c r="P488" t="s">
        <v>1123</v>
      </c>
      <c r="Q488" t="s">
        <v>81</v>
      </c>
      <c r="R488" t="s">
        <v>23</v>
      </c>
    </row>
    <row r="489" spans="1:18" x14ac:dyDescent="0.35">
      <c r="A489">
        <v>487</v>
      </c>
      <c r="B489" t="s">
        <v>1124</v>
      </c>
      <c r="C489" s="1">
        <f t="shared" ca="1" si="35"/>
        <v>45377</v>
      </c>
      <c r="D489" t="str">
        <f t="shared" ca="1" si="36"/>
        <v>March</v>
      </c>
      <c r="E489" t="s">
        <v>29</v>
      </c>
      <c r="F489" t="s">
        <v>33</v>
      </c>
      <c r="G489" t="str">
        <f t="shared" si="37"/>
        <v>Men</v>
      </c>
      <c r="H489" t="str">
        <f t="shared" ca="1" si="38"/>
        <v>Amazon</v>
      </c>
      <c r="I489">
        <f t="shared" ca="1" si="39"/>
        <v>19</v>
      </c>
      <c r="J489" t="s">
        <v>667</v>
      </c>
      <c r="K489" t="s">
        <v>27</v>
      </c>
      <c r="L489" t="s">
        <v>62</v>
      </c>
      <c r="M489">
        <v>1</v>
      </c>
      <c r="N489" t="s">
        <v>20</v>
      </c>
      <c r="O489">
        <v>486</v>
      </c>
      <c r="P489" t="s">
        <v>1125</v>
      </c>
      <c r="Q489" t="s">
        <v>31</v>
      </c>
      <c r="R489" t="s">
        <v>23</v>
      </c>
    </row>
    <row r="490" spans="1:18" x14ac:dyDescent="0.35">
      <c r="A490">
        <v>488</v>
      </c>
      <c r="B490" t="s">
        <v>1126</v>
      </c>
      <c r="C490" s="1">
        <f t="shared" ca="1" si="35"/>
        <v>45422</v>
      </c>
      <c r="D490" t="str">
        <f t="shared" ca="1" si="36"/>
        <v>May</v>
      </c>
      <c r="E490" t="s">
        <v>29</v>
      </c>
      <c r="F490" t="s">
        <v>33</v>
      </c>
      <c r="G490" t="str">
        <f t="shared" si="37"/>
        <v>Men</v>
      </c>
      <c r="H490" t="str">
        <f t="shared" ca="1" si="38"/>
        <v>Amazon</v>
      </c>
      <c r="I490">
        <f t="shared" ca="1" si="39"/>
        <v>42</v>
      </c>
      <c r="J490" t="s">
        <v>565</v>
      </c>
      <c r="K490" t="s">
        <v>27</v>
      </c>
      <c r="L490" t="s">
        <v>62</v>
      </c>
      <c r="M490">
        <v>1</v>
      </c>
      <c r="N490" t="s">
        <v>20</v>
      </c>
      <c r="O490">
        <v>399</v>
      </c>
      <c r="P490" t="s">
        <v>1127</v>
      </c>
      <c r="Q490" t="s">
        <v>85</v>
      </c>
      <c r="R490" t="s">
        <v>23</v>
      </c>
    </row>
    <row r="491" spans="1:18" x14ac:dyDescent="0.35">
      <c r="A491">
        <v>489</v>
      </c>
      <c r="B491" t="s">
        <v>1128</v>
      </c>
      <c r="C491" s="1">
        <f t="shared" ca="1" si="35"/>
        <v>44958</v>
      </c>
      <c r="D491" t="str">
        <f t="shared" ca="1" si="36"/>
        <v>February</v>
      </c>
      <c r="E491" t="s">
        <v>15</v>
      </c>
      <c r="F491" t="s">
        <v>33</v>
      </c>
      <c r="G491" t="str">
        <f t="shared" si="37"/>
        <v>Men</v>
      </c>
      <c r="H491" t="str">
        <f t="shared" ca="1" si="38"/>
        <v>Amazon</v>
      </c>
      <c r="I491">
        <f t="shared" ca="1" si="39"/>
        <v>47</v>
      </c>
      <c r="J491" t="s">
        <v>26</v>
      </c>
      <c r="K491" t="s">
        <v>27</v>
      </c>
      <c r="L491" t="s">
        <v>28</v>
      </c>
      <c r="M491">
        <v>0</v>
      </c>
      <c r="P491" t="s">
        <v>1129</v>
      </c>
      <c r="Q491" t="s">
        <v>22</v>
      </c>
      <c r="R491" t="s">
        <v>23</v>
      </c>
    </row>
    <row r="492" spans="1:18" x14ac:dyDescent="0.35">
      <c r="A492">
        <v>490</v>
      </c>
      <c r="B492" t="s">
        <v>1130</v>
      </c>
      <c r="C492" s="1">
        <f t="shared" ca="1" si="35"/>
        <v>45483</v>
      </c>
      <c r="D492" t="str">
        <f t="shared" ca="1" si="36"/>
        <v>July</v>
      </c>
      <c r="E492" t="s">
        <v>29</v>
      </c>
      <c r="F492" t="s">
        <v>33</v>
      </c>
      <c r="G492" t="str">
        <f t="shared" si="37"/>
        <v>Men</v>
      </c>
      <c r="H492" t="str">
        <f t="shared" ca="1" si="38"/>
        <v>Amazon</v>
      </c>
      <c r="I492">
        <f t="shared" ca="1" si="39"/>
        <v>36</v>
      </c>
      <c r="J492" t="s">
        <v>1131</v>
      </c>
      <c r="K492" t="s">
        <v>27</v>
      </c>
      <c r="L492" t="s">
        <v>35</v>
      </c>
      <c r="M492">
        <v>1</v>
      </c>
      <c r="N492" t="s">
        <v>20</v>
      </c>
      <c r="O492">
        <v>424</v>
      </c>
      <c r="P492" t="s">
        <v>21</v>
      </c>
      <c r="Q492" t="s">
        <v>22</v>
      </c>
      <c r="R492" t="s">
        <v>23</v>
      </c>
    </row>
    <row r="493" spans="1:18" x14ac:dyDescent="0.35">
      <c r="A493">
        <v>491</v>
      </c>
      <c r="B493" t="s">
        <v>1132</v>
      </c>
      <c r="C493" s="1">
        <f t="shared" ca="1" si="35"/>
        <v>45088</v>
      </c>
      <c r="D493" t="str">
        <f t="shared" ca="1" si="36"/>
        <v>June</v>
      </c>
      <c r="E493" t="s">
        <v>25</v>
      </c>
      <c r="F493" t="s">
        <v>16</v>
      </c>
      <c r="G493" t="str">
        <f t="shared" si="37"/>
        <v>Men</v>
      </c>
      <c r="H493" t="str">
        <f t="shared" ca="1" si="38"/>
        <v>Myntra</v>
      </c>
      <c r="I493">
        <f t="shared" ca="1" si="39"/>
        <v>20</v>
      </c>
      <c r="J493" t="s">
        <v>1133</v>
      </c>
      <c r="K493" t="s">
        <v>27</v>
      </c>
      <c r="L493" t="s">
        <v>62</v>
      </c>
      <c r="M493">
        <v>1</v>
      </c>
      <c r="N493" t="s">
        <v>20</v>
      </c>
      <c r="O493">
        <v>362</v>
      </c>
      <c r="P493" t="s">
        <v>21</v>
      </c>
      <c r="Q493" t="s">
        <v>22</v>
      </c>
      <c r="R493" t="s">
        <v>23</v>
      </c>
    </row>
    <row r="494" spans="1:18" x14ac:dyDescent="0.35">
      <c r="A494">
        <v>492</v>
      </c>
      <c r="B494" t="s">
        <v>1134</v>
      </c>
      <c r="C494" s="1">
        <f t="shared" ca="1" si="35"/>
        <v>45205</v>
      </c>
      <c r="D494" t="str">
        <f t="shared" ca="1" si="36"/>
        <v>October</v>
      </c>
      <c r="E494" t="s">
        <v>29</v>
      </c>
      <c r="F494" t="s">
        <v>33</v>
      </c>
      <c r="G494" t="str">
        <f t="shared" si="37"/>
        <v>Women</v>
      </c>
      <c r="H494" t="str">
        <f t="shared" ca="1" si="38"/>
        <v>Amazon</v>
      </c>
      <c r="I494">
        <f t="shared" ca="1" si="39"/>
        <v>20</v>
      </c>
      <c r="J494" t="s">
        <v>1135</v>
      </c>
      <c r="K494" t="s">
        <v>44</v>
      </c>
      <c r="L494" t="s">
        <v>28</v>
      </c>
      <c r="M494">
        <v>1</v>
      </c>
      <c r="N494" t="s">
        <v>20</v>
      </c>
      <c r="O494">
        <v>599</v>
      </c>
      <c r="P494" t="s">
        <v>1136</v>
      </c>
      <c r="Q494" t="s">
        <v>357</v>
      </c>
      <c r="R494" t="s">
        <v>23</v>
      </c>
    </row>
    <row r="495" spans="1:18" x14ac:dyDescent="0.35">
      <c r="A495">
        <v>493</v>
      </c>
      <c r="B495" t="s">
        <v>1137</v>
      </c>
      <c r="C495" s="1">
        <f t="shared" ca="1" si="35"/>
        <v>45391</v>
      </c>
      <c r="D495" t="str">
        <f t="shared" ca="1" si="36"/>
        <v>April</v>
      </c>
      <c r="E495" t="s">
        <v>29</v>
      </c>
      <c r="F495" t="s">
        <v>33</v>
      </c>
      <c r="G495" t="str">
        <f t="shared" si="37"/>
        <v>Women</v>
      </c>
      <c r="H495" t="str">
        <f t="shared" ca="1" si="38"/>
        <v>Amazon</v>
      </c>
      <c r="I495">
        <f t="shared" ca="1" si="39"/>
        <v>42</v>
      </c>
      <c r="J495" t="s">
        <v>498</v>
      </c>
      <c r="K495" t="s">
        <v>18</v>
      </c>
      <c r="L495" t="s">
        <v>40</v>
      </c>
      <c r="M495">
        <v>1</v>
      </c>
      <c r="N495" t="s">
        <v>20</v>
      </c>
      <c r="O495">
        <v>597</v>
      </c>
      <c r="P495" t="s">
        <v>170</v>
      </c>
      <c r="Q495" t="s">
        <v>171</v>
      </c>
      <c r="R495" t="s">
        <v>23</v>
      </c>
    </row>
    <row r="496" spans="1:18" x14ac:dyDescent="0.35">
      <c r="A496">
        <v>494</v>
      </c>
      <c r="B496" t="s">
        <v>1138</v>
      </c>
      <c r="C496" s="1">
        <f t="shared" ca="1" si="35"/>
        <v>45648</v>
      </c>
      <c r="D496" t="str">
        <f t="shared" ca="1" si="36"/>
        <v>December</v>
      </c>
      <c r="E496" t="s">
        <v>29</v>
      </c>
      <c r="F496" t="s">
        <v>33</v>
      </c>
      <c r="G496" t="str">
        <f t="shared" si="37"/>
        <v>Women</v>
      </c>
      <c r="H496" t="str">
        <f t="shared" ca="1" si="38"/>
        <v>Amazon</v>
      </c>
      <c r="I496">
        <f t="shared" ca="1" si="39"/>
        <v>22</v>
      </c>
      <c r="J496" t="s">
        <v>469</v>
      </c>
      <c r="K496" t="s">
        <v>44</v>
      </c>
      <c r="L496" t="s">
        <v>62</v>
      </c>
      <c r="M496">
        <v>1</v>
      </c>
      <c r="N496" t="s">
        <v>20</v>
      </c>
      <c r="O496">
        <v>487</v>
      </c>
      <c r="P496" t="s">
        <v>177</v>
      </c>
      <c r="Q496" t="s">
        <v>57</v>
      </c>
      <c r="R496" t="s">
        <v>23</v>
      </c>
    </row>
    <row r="497" spans="1:18" x14ac:dyDescent="0.35">
      <c r="A497">
        <v>495</v>
      </c>
      <c r="B497" t="s">
        <v>1139</v>
      </c>
      <c r="C497" s="1">
        <f t="shared" ca="1" si="35"/>
        <v>45123</v>
      </c>
      <c r="D497" t="str">
        <f t="shared" ca="1" si="36"/>
        <v>July</v>
      </c>
      <c r="E497" t="s">
        <v>25</v>
      </c>
      <c r="F497" t="s">
        <v>16</v>
      </c>
      <c r="G497" t="str">
        <f t="shared" si="37"/>
        <v>Women</v>
      </c>
      <c r="H497" t="str">
        <f t="shared" ca="1" si="38"/>
        <v>Flipkart</v>
      </c>
      <c r="I497">
        <f t="shared" ca="1" si="39"/>
        <v>51</v>
      </c>
      <c r="J497" t="s">
        <v>1140</v>
      </c>
      <c r="K497" t="s">
        <v>18</v>
      </c>
      <c r="L497" t="s">
        <v>28</v>
      </c>
      <c r="M497">
        <v>1</v>
      </c>
      <c r="N497" t="s">
        <v>20</v>
      </c>
      <c r="O497">
        <v>563</v>
      </c>
      <c r="P497" t="s">
        <v>396</v>
      </c>
      <c r="Q497" t="s">
        <v>22</v>
      </c>
      <c r="R497" t="s">
        <v>23</v>
      </c>
    </row>
    <row r="498" spans="1:18" x14ac:dyDescent="0.35">
      <c r="A498">
        <v>496</v>
      </c>
      <c r="B498" t="s">
        <v>1141</v>
      </c>
      <c r="C498" s="1">
        <f t="shared" ca="1" si="35"/>
        <v>45397</v>
      </c>
      <c r="D498" t="str">
        <f t="shared" ca="1" si="36"/>
        <v>April</v>
      </c>
      <c r="E498" t="s">
        <v>29</v>
      </c>
      <c r="F498" t="s">
        <v>33</v>
      </c>
      <c r="G498" t="str">
        <f t="shared" si="37"/>
        <v>Men</v>
      </c>
      <c r="H498" t="str">
        <f t="shared" ca="1" si="38"/>
        <v>Amazon</v>
      </c>
      <c r="I498">
        <f t="shared" ca="1" si="39"/>
        <v>33</v>
      </c>
      <c r="J498" t="s">
        <v>1142</v>
      </c>
      <c r="K498" t="s">
        <v>27</v>
      </c>
      <c r="L498" t="s">
        <v>40</v>
      </c>
      <c r="M498">
        <v>1</v>
      </c>
      <c r="N498" t="s">
        <v>20</v>
      </c>
      <c r="O498">
        <v>487</v>
      </c>
      <c r="P498" t="s">
        <v>1143</v>
      </c>
      <c r="Q498" t="s">
        <v>46</v>
      </c>
      <c r="R498" t="s">
        <v>23</v>
      </c>
    </row>
    <row r="499" spans="1:18" x14ac:dyDescent="0.35">
      <c r="A499">
        <v>497</v>
      </c>
      <c r="B499" t="s">
        <v>1144</v>
      </c>
      <c r="C499" s="1">
        <f t="shared" ca="1" si="35"/>
        <v>45282</v>
      </c>
      <c r="D499" t="str">
        <f t="shared" ca="1" si="36"/>
        <v>December</v>
      </c>
      <c r="E499" t="s">
        <v>29</v>
      </c>
      <c r="F499" t="s">
        <v>33</v>
      </c>
      <c r="G499" t="str">
        <f t="shared" si="37"/>
        <v>Women</v>
      </c>
      <c r="H499" t="str">
        <f t="shared" ca="1" si="38"/>
        <v>Amazon</v>
      </c>
      <c r="I499">
        <f t="shared" ca="1" si="39"/>
        <v>57</v>
      </c>
      <c r="J499" t="s">
        <v>1145</v>
      </c>
      <c r="K499" t="s">
        <v>18</v>
      </c>
      <c r="L499" t="s">
        <v>62</v>
      </c>
      <c r="M499">
        <v>1</v>
      </c>
      <c r="N499" t="s">
        <v>20</v>
      </c>
      <c r="O499">
        <v>1099</v>
      </c>
      <c r="P499" t="s">
        <v>1146</v>
      </c>
      <c r="Q499" t="s">
        <v>161</v>
      </c>
      <c r="R499" t="s">
        <v>23</v>
      </c>
    </row>
    <row r="500" spans="1:18" x14ac:dyDescent="0.35">
      <c r="A500">
        <v>498</v>
      </c>
      <c r="B500" t="s">
        <v>1147</v>
      </c>
      <c r="C500" s="1">
        <f t="shared" ca="1" si="35"/>
        <v>45498</v>
      </c>
      <c r="D500" t="str">
        <f t="shared" ca="1" si="36"/>
        <v>July</v>
      </c>
      <c r="E500" t="s">
        <v>29</v>
      </c>
      <c r="F500" t="s">
        <v>33</v>
      </c>
      <c r="G500" t="str">
        <f t="shared" si="37"/>
        <v>Women</v>
      </c>
      <c r="H500" t="str">
        <f t="shared" ca="1" si="38"/>
        <v>Amazon</v>
      </c>
      <c r="I500">
        <f t="shared" ca="1" si="39"/>
        <v>19</v>
      </c>
      <c r="J500" t="s">
        <v>187</v>
      </c>
      <c r="K500" t="s">
        <v>18</v>
      </c>
      <c r="L500" t="s">
        <v>101</v>
      </c>
      <c r="M500">
        <v>1</v>
      </c>
      <c r="N500" t="s">
        <v>20</v>
      </c>
      <c r="O500">
        <v>654</v>
      </c>
      <c r="P500" t="s">
        <v>1148</v>
      </c>
      <c r="Q500" t="s">
        <v>93</v>
      </c>
      <c r="R500" t="s">
        <v>23</v>
      </c>
    </row>
    <row r="501" spans="1:18" x14ac:dyDescent="0.35">
      <c r="A501">
        <v>499</v>
      </c>
      <c r="B501" t="s">
        <v>1149</v>
      </c>
      <c r="C501" s="1">
        <f t="shared" ca="1" si="35"/>
        <v>45370</v>
      </c>
      <c r="D501" t="str">
        <f t="shared" ca="1" si="36"/>
        <v>March</v>
      </c>
      <c r="E501" t="s">
        <v>29</v>
      </c>
      <c r="F501" t="s">
        <v>33</v>
      </c>
      <c r="G501" t="str">
        <f t="shared" si="37"/>
        <v>Men</v>
      </c>
      <c r="H501" t="str">
        <f t="shared" ca="1" si="38"/>
        <v>Amazon</v>
      </c>
      <c r="I501">
        <f t="shared" ca="1" si="39"/>
        <v>34</v>
      </c>
      <c r="J501" t="s">
        <v>1150</v>
      </c>
      <c r="K501" t="s">
        <v>27</v>
      </c>
      <c r="L501" t="s">
        <v>35</v>
      </c>
      <c r="M501">
        <v>1</v>
      </c>
      <c r="N501" t="s">
        <v>20</v>
      </c>
      <c r="O501">
        <v>329</v>
      </c>
      <c r="P501" t="s">
        <v>56</v>
      </c>
      <c r="Q501" t="s">
        <v>57</v>
      </c>
      <c r="R501" t="s">
        <v>23</v>
      </c>
    </row>
    <row r="502" spans="1:18" x14ac:dyDescent="0.35">
      <c r="A502">
        <v>500</v>
      </c>
      <c r="B502" t="s">
        <v>1151</v>
      </c>
      <c r="C502" s="1">
        <f t="shared" ca="1" si="35"/>
        <v>45259</v>
      </c>
      <c r="D502" t="str">
        <f t="shared" ca="1" si="36"/>
        <v>November</v>
      </c>
      <c r="E502" t="s">
        <v>15</v>
      </c>
      <c r="F502" t="s">
        <v>33</v>
      </c>
      <c r="G502" t="str">
        <f t="shared" si="37"/>
        <v>Women</v>
      </c>
      <c r="H502" t="str">
        <f t="shared" ca="1" si="38"/>
        <v>Amazon</v>
      </c>
      <c r="I502">
        <f t="shared" ca="1" si="39"/>
        <v>41</v>
      </c>
      <c r="J502" t="s">
        <v>1152</v>
      </c>
      <c r="K502" t="s">
        <v>39</v>
      </c>
      <c r="L502" t="s">
        <v>62</v>
      </c>
      <c r="M502">
        <v>0</v>
      </c>
      <c r="P502" t="s">
        <v>1153</v>
      </c>
      <c r="Q502" t="s">
        <v>118</v>
      </c>
      <c r="R502" t="s">
        <v>23</v>
      </c>
    </row>
    <row r="503" spans="1:18" x14ac:dyDescent="0.35">
      <c r="A503">
        <v>501</v>
      </c>
      <c r="B503" t="s">
        <v>1154</v>
      </c>
      <c r="C503" s="1">
        <f t="shared" ca="1" si="35"/>
        <v>45559</v>
      </c>
      <c r="D503" t="str">
        <f t="shared" ca="1" si="36"/>
        <v>September</v>
      </c>
      <c r="E503" t="s">
        <v>29</v>
      </c>
      <c r="F503" t="s">
        <v>33</v>
      </c>
      <c r="G503" t="str">
        <f t="shared" si="37"/>
        <v>Women</v>
      </c>
      <c r="H503" t="str">
        <f t="shared" ca="1" si="38"/>
        <v>Amazon</v>
      </c>
      <c r="I503">
        <f t="shared" ca="1" si="39"/>
        <v>56</v>
      </c>
      <c r="J503" t="s">
        <v>1155</v>
      </c>
      <c r="K503" t="s">
        <v>18</v>
      </c>
      <c r="L503" t="s">
        <v>62</v>
      </c>
      <c r="M503">
        <v>1</v>
      </c>
      <c r="N503" t="s">
        <v>20</v>
      </c>
      <c r="O503">
        <v>1186</v>
      </c>
      <c r="P503" t="s">
        <v>1156</v>
      </c>
      <c r="Q503" t="s">
        <v>140</v>
      </c>
      <c r="R503" t="s">
        <v>23</v>
      </c>
    </row>
    <row r="504" spans="1:18" x14ac:dyDescent="0.35">
      <c r="A504">
        <v>502</v>
      </c>
      <c r="B504" t="s">
        <v>1157</v>
      </c>
      <c r="C504" s="1">
        <f t="shared" ca="1" si="35"/>
        <v>45317</v>
      </c>
      <c r="D504" t="str">
        <f t="shared" ca="1" si="36"/>
        <v>January</v>
      </c>
      <c r="E504" t="s">
        <v>29</v>
      </c>
      <c r="F504" t="s">
        <v>33</v>
      </c>
      <c r="G504" t="str">
        <f t="shared" si="37"/>
        <v>Women</v>
      </c>
      <c r="H504" t="str">
        <f t="shared" ca="1" si="38"/>
        <v>Amazon</v>
      </c>
      <c r="I504">
        <f t="shared" ca="1" si="39"/>
        <v>22</v>
      </c>
      <c r="J504" t="s">
        <v>1158</v>
      </c>
      <c r="K504" t="s">
        <v>39</v>
      </c>
      <c r="L504" t="s">
        <v>19</v>
      </c>
      <c r="M504">
        <v>1</v>
      </c>
      <c r="N504" t="s">
        <v>20</v>
      </c>
      <c r="O504">
        <v>588</v>
      </c>
      <c r="P504" t="s">
        <v>136</v>
      </c>
      <c r="Q504" t="s">
        <v>81</v>
      </c>
      <c r="R504" t="s">
        <v>23</v>
      </c>
    </row>
    <row r="505" spans="1:18" x14ac:dyDescent="0.35">
      <c r="A505">
        <v>503</v>
      </c>
      <c r="B505" t="s">
        <v>1159</v>
      </c>
      <c r="C505" s="1">
        <f t="shared" ca="1" si="35"/>
        <v>45067</v>
      </c>
      <c r="D505" t="str">
        <f t="shared" ca="1" si="36"/>
        <v>May</v>
      </c>
      <c r="E505" t="s">
        <v>15</v>
      </c>
      <c r="F505" t="s">
        <v>33</v>
      </c>
      <c r="G505" t="str">
        <f t="shared" si="37"/>
        <v>Men</v>
      </c>
      <c r="H505" t="str">
        <f t="shared" ca="1" si="38"/>
        <v>Amazon</v>
      </c>
      <c r="I505">
        <f t="shared" ca="1" si="39"/>
        <v>50</v>
      </c>
      <c r="J505" t="s">
        <v>1160</v>
      </c>
      <c r="K505" t="s">
        <v>27</v>
      </c>
      <c r="L505" t="s">
        <v>19</v>
      </c>
      <c r="M505">
        <v>0</v>
      </c>
      <c r="P505" t="s">
        <v>49</v>
      </c>
      <c r="Q505" t="s">
        <v>50</v>
      </c>
      <c r="R505" t="s">
        <v>23</v>
      </c>
    </row>
    <row r="506" spans="1:18" x14ac:dyDescent="0.35">
      <c r="A506">
        <v>504</v>
      </c>
      <c r="B506" t="s">
        <v>1161</v>
      </c>
      <c r="C506" s="1">
        <f t="shared" ca="1" si="35"/>
        <v>44969</v>
      </c>
      <c r="D506" t="str">
        <f t="shared" ca="1" si="36"/>
        <v>February</v>
      </c>
      <c r="E506" t="s">
        <v>29</v>
      </c>
      <c r="F506" t="s">
        <v>33</v>
      </c>
      <c r="G506" t="str">
        <f t="shared" si="37"/>
        <v>Men</v>
      </c>
      <c r="H506" t="str">
        <f t="shared" ca="1" si="38"/>
        <v>Amazon</v>
      </c>
      <c r="I506">
        <f t="shared" ca="1" si="39"/>
        <v>21</v>
      </c>
      <c r="J506" t="s">
        <v>1162</v>
      </c>
      <c r="K506" t="s">
        <v>27</v>
      </c>
      <c r="L506" t="s">
        <v>19</v>
      </c>
      <c r="M506">
        <v>1</v>
      </c>
      <c r="N506" t="s">
        <v>20</v>
      </c>
      <c r="O506">
        <v>329</v>
      </c>
      <c r="P506" t="s">
        <v>136</v>
      </c>
      <c r="Q506" t="s">
        <v>81</v>
      </c>
      <c r="R506" t="s">
        <v>23</v>
      </c>
    </row>
    <row r="507" spans="1:18" x14ac:dyDescent="0.35">
      <c r="A507">
        <v>505</v>
      </c>
      <c r="B507" t="s">
        <v>1161</v>
      </c>
      <c r="C507" s="1">
        <f t="shared" ca="1" si="35"/>
        <v>44968</v>
      </c>
      <c r="D507" t="str">
        <f t="shared" ca="1" si="36"/>
        <v>February</v>
      </c>
      <c r="E507" t="s">
        <v>29</v>
      </c>
      <c r="F507" t="s">
        <v>33</v>
      </c>
      <c r="G507" t="str">
        <f t="shared" si="37"/>
        <v>Men</v>
      </c>
      <c r="H507" t="str">
        <f t="shared" ca="1" si="38"/>
        <v>Amazon</v>
      </c>
      <c r="I507">
        <f t="shared" ca="1" si="39"/>
        <v>31</v>
      </c>
      <c r="J507" t="s">
        <v>1163</v>
      </c>
      <c r="K507" t="s">
        <v>27</v>
      </c>
      <c r="L507" t="s">
        <v>101</v>
      </c>
      <c r="M507">
        <v>1</v>
      </c>
      <c r="N507" t="s">
        <v>20</v>
      </c>
      <c r="O507">
        <v>259</v>
      </c>
      <c r="P507" t="s">
        <v>136</v>
      </c>
      <c r="Q507" t="s">
        <v>81</v>
      </c>
      <c r="R507" t="s">
        <v>23</v>
      </c>
    </row>
    <row r="508" spans="1:18" x14ac:dyDescent="0.35">
      <c r="A508">
        <v>506</v>
      </c>
      <c r="B508" t="s">
        <v>1164</v>
      </c>
      <c r="C508" s="1">
        <f t="shared" ca="1" si="35"/>
        <v>45178</v>
      </c>
      <c r="D508" t="str">
        <f t="shared" ca="1" si="36"/>
        <v>September</v>
      </c>
      <c r="E508" t="s">
        <v>29</v>
      </c>
      <c r="F508" t="s">
        <v>33</v>
      </c>
      <c r="G508" t="str">
        <f t="shared" si="37"/>
        <v>Men</v>
      </c>
      <c r="H508" t="str">
        <f t="shared" ca="1" si="38"/>
        <v>Amazon</v>
      </c>
      <c r="I508">
        <f t="shared" ca="1" si="39"/>
        <v>55</v>
      </c>
      <c r="J508" t="s">
        <v>1058</v>
      </c>
      <c r="K508" t="s">
        <v>27</v>
      </c>
      <c r="L508" t="s">
        <v>62</v>
      </c>
      <c r="M508">
        <v>1</v>
      </c>
      <c r="N508" t="s">
        <v>20</v>
      </c>
      <c r="O508">
        <v>487</v>
      </c>
      <c r="P508" t="s">
        <v>1165</v>
      </c>
      <c r="Q508" t="s">
        <v>81</v>
      </c>
      <c r="R508" t="s">
        <v>23</v>
      </c>
    </row>
    <row r="509" spans="1:18" x14ac:dyDescent="0.35">
      <c r="A509">
        <v>507</v>
      </c>
      <c r="B509" t="s">
        <v>1166</v>
      </c>
      <c r="C509" s="1">
        <f t="shared" ca="1" si="35"/>
        <v>45463</v>
      </c>
      <c r="D509" t="str">
        <f t="shared" ca="1" si="36"/>
        <v>June</v>
      </c>
      <c r="E509" t="s">
        <v>25</v>
      </c>
      <c r="F509" t="s">
        <v>16</v>
      </c>
      <c r="G509" t="str">
        <f t="shared" si="37"/>
        <v>Women</v>
      </c>
      <c r="H509" t="str">
        <f t="shared" ca="1" si="38"/>
        <v>Flipkart</v>
      </c>
      <c r="I509">
        <f t="shared" ca="1" si="39"/>
        <v>58</v>
      </c>
      <c r="J509" t="s">
        <v>1167</v>
      </c>
      <c r="K509" t="s">
        <v>18</v>
      </c>
      <c r="L509" t="s">
        <v>40</v>
      </c>
      <c r="M509">
        <v>1</v>
      </c>
      <c r="N509" t="s">
        <v>20</v>
      </c>
      <c r="O509">
        <v>549</v>
      </c>
      <c r="P509" t="s">
        <v>1168</v>
      </c>
      <c r="Q509" t="s">
        <v>264</v>
      </c>
      <c r="R509" t="s">
        <v>23</v>
      </c>
    </row>
    <row r="510" spans="1:18" x14ac:dyDescent="0.35">
      <c r="A510">
        <v>508</v>
      </c>
      <c r="B510" t="s">
        <v>1169</v>
      </c>
      <c r="C510" s="1">
        <f t="shared" ca="1" si="35"/>
        <v>45442</v>
      </c>
      <c r="D510" t="str">
        <f t="shared" ca="1" si="36"/>
        <v>May</v>
      </c>
      <c r="E510" t="s">
        <v>29</v>
      </c>
      <c r="F510" t="s">
        <v>33</v>
      </c>
      <c r="G510" t="str">
        <f t="shared" si="37"/>
        <v>Women</v>
      </c>
      <c r="H510" t="str">
        <f t="shared" ca="1" si="38"/>
        <v>Amazon</v>
      </c>
      <c r="I510">
        <f t="shared" ca="1" si="39"/>
        <v>20</v>
      </c>
      <c r="J510" t="s">
        <v>1170</v>
      </c>
      <c r="K510" t="s">
        <v>18</v>
      </c>
      <c r="L510" t="s">
        <v>35</v>
      </c>
      <c r="M510">
        <v>1</v>
      </c>
      <c r="N510" t="s">
        <v>20</v>
      </c>
      <c r="O510">
        <v>626</v>
      </c>
      <c r="P510" t="s">
        <v>1171</v>
      </c>
      <c r="Q510" t="s">
        <v>81</v>
      </c>
      <c r="R510" t="s">
        <v>23</v>
      </c>
    </row>
    <row r="511" spans="1:18" x14ac:dyDescent="0.35">
      <c r="A511">
        <v>509</v>
      </c>
      <c r="B511" t="s">
        <v>1172</v>
      </c>
      <c r="C511" s="1">
        <f t="shared" ca="1" si="35"/>
        <v>45371</v>
      </c>
      <c r="D511" t="str">
        <f t="shared" ca="1" si="36"/>
        <v>March</v>
      </c>
      <c r="E511" t="s">
        <v>15</v>
      </c>
      <c r="F511" t="s">
        <v>33</v>
      </c>
      <c r="G511" t="str">
        <f t="shared" si="37"/>
        <v>Men</v>
      </c>
      <c r="H511" t="str">
        <f t="shared" ca="1" si="38"/>
        <v>Amazon</v>
      </c>
      <c r="I511">
        <f t="shared" ca="1" si="39"/>
        <v>49</v>
      </c>
      <c r="J511" t="s">
        <v>1173</v>
      </c>
      <c r="K511" t="s">
        <v>27</v>
      </c>
      <c r="L511" t="s">
        <v>35</v>
      </c>
      <c r="M511">
        <v>0</v>
      </c>
      <c r="P511" t="s">
        <v>1174</v>
      </c>
      <c r="Q511" t="s">
        <v>22</v>
      </c>
      <c r="R511" t="s">
        <v>23</v>
      </c>
    </row>
    <row r="512" spans="1:18" x14ac:dyDescent="0.35">
      <c r="A512">
        <v>510</v>
      </c>
      <c r="B512" t="s">
        <v>1175</v>
      </c>
      <c r="C512" s="1">
        <f t="shared" ca="1" si="35"/>
        <v>45413</v>
      </c>
      <c r="D512" t="str">
        <f t="shared" ca="1" si="36"/>
        <v>May</v>
      </c>
      <c r="E512" t="s">
        <v>15</v>
      </c>
      <c r="F512" t="s">
        <v>16</v>
      </c>
      <c r="G512" t="str">
        <f t="shared" si="37"/>
        <v>Men</v>
      </c>
      <c r="H512" t="str">
        <f t="shared" ca="1" si="38"/>
        <v>Flipkart</v>
      </c>
      <c r="I512">
        <f t="shared" ca="1" si="39"/>
        <v>41</v>
      </c>
      <c r="J512" t="s">
        <v>1176</v>
      </c>
      <c r="K512" t="s">
        <v>27</v>
      </c>
      <c r="L512" t="s">
        <v>101</v>
      </c>
      <c r="M512">
        <v>0</v>
      </c>
      <c r="N512" t="s">
        <v>20</v>
      </c>
      <c r="O512">
        <v>570.48</v>
      </c>
      <c r="P512" t="s">
        <v>199</v>
      </c>
      <c r="Q512" t="s">
        <v>57</v>
      </c>
      <c r="R512" t="s">
        <v>23</v>
      </c>
    </row>
    <row r="513" spans="1:18" x14ac:dyDescent="0.35">
      <c r="A513">
        <v>511</v>
      </c>
      <c r="B513" t="s">
        <v>1177</v>
      </c>
      <c r="C513" s="1">
        <f t="shared" ca="1" si="35"/>
        <v>45109</v>
      </c>
      <c r="D513" t="str">
        <f t="shared" ca="1" si="36"/>
        <v>July</v>
      </c>
      <c r="E513" t="s">
        <v>25</v>
      </c>
      <c r="F513" t="s">
        <v>16</v>
      </c>
      <c r="G513" t="str">
        <f t="shared" si="37"/>
        <v>Men</v>
      </c>
      <c r="H513" t="str">
        <f t="shared" ca="1" si="38"/>
        <v>Flipkart</v>
      </c>
      <c r="I513">
        <f t="shared" ca="1" si="39"/>
        <v>48</v>
      </c>
      <c r="J513" t="s">
        <v>1178</v>
      </c>
      <c r="K513" t="s">
        <v>27</v>
      </c>
      <c r="L513" t="s">
        <v>28</v>
      </c>
      <c r="M513">
        <v>1</v>
      </c>
      <c r="N513" t="s">
        <v>20</v>
      </c>
      <c r="O513">
        <v>319</v>
      </c>
      <c r="P513" t="s">
        <v>45</v>
      </c>
      <c r="Q513" t="s">
        <v>46</v>
      </c>
      <c r="R513" t="s">
        <v>23</v>
      </c>
    </row>
    <row r="514" spans="1:18" x14ac:dyDescent="0.35">
      <c r="A514">
        <v>512</v>
      </c>
      <c r="B514" t="s">
        <v>1179</v>
      </c>
      <c r="C514" s="1">
        <f t="shared" ca="1" si="35"/>
        <v>45202</v>
      </c>
      <c r="D514" t="str">
        <f t="shared" ca="1" si="36"/>
        <v>October</v>
      </c>
      <c r="E514" t="s">
        <v>29</v>
      </c>
      <c r="F514" t="s">
        <v>33</v>
      </c>
      <c r="G514" t="str">
        <f t="shared" si="37"/>
        <v>Women</v>
      </c>
      <c r="H514" t="str">
        <f t="shared" ca="1" si="38"/>
        <v>Amazon</v>
      </c>
      <c r="I514">
        <f t="shared" ca="1" si="39"/>
        <v>27</v>
      </c>
      <c r="J514" t="s">
        <v>724</v>
      </c>
      <c r="K514" t="s">
        <v>44</v>
      </c>
      <c r="L514" t="s">
        <v>28</v>
      </c>
      <c r="M514">
        <v>1</v>
      </c>
      <c r="N514" t="s">
        <v>20</v>
      </c>
      <c r="O514">
        <v>518</v>
      </c>
      <c r="P514" t="s">
        <v>1180</v>
      </c>
      <c r="Q514" t="s">
        <v>50</v>
      </c>
      <c r="R514" t="s">
        <v>23</v>
      </c>
    </row>
    <row r="515" spans="1:18" x14ac:dyDescent="0.35">
      <c r="A515">
        <v>513</v>
      </c>
      <c r="B515" t="s">
        <v>1181</v>
      </c>
      <c r="C515" s="1">
        <f t="shared" ref="C515:C578" ca="1" si="40">RANDBETWEEN(DATE(2023,1,1), DATE(2024,12,31))</f>
        <v>45619</v>
      </c>
      <c r="D515" t="str">
        <f t="shared" ref="D515:D578" ca="1" si="41">TEXT(C515, "MMMM")</f>
        <v>November</v>
      </c>
      <c r="E515" t="s">
        <v>29</v>
      </c>
      <c r="F515" t="s">
        <v>33</v>
      </c>
      <c r="G515" t="str">
        <f t="shared" ref="G515:G578" si="42">IF(K515="Set","Women",IF(K515="Kurta","Men",IF(K515="Top","Women",IF(K515="Western Dress","Women",IF(K515="Ethnic Dress","Women",IF(K515="Saree","Women",0))))))</f>
        <v>Women</v>
      </c>
      <c r="H515" t="str">
        <f t="shared" ref="H515:H578" ca="1" si="43">IF(F515="Merchant",IF(RAND()&gt;0.5,"Myntra","Flipkart"),IF(F515="Amazon","Amazon",0))</f>
        <v>Amazon</v>
      </c>
      <c r="I515">
        <f t="shared" ref="I515:I578" ca="1" si="44">RANDBETWEEN(18, 60)</f>
        <v>34</v>
      </c>
      <c r="J515" t="s">
        <v>1182</v>
      </c>
      <c r="K515" t="s">
        <v>156</v>
      </c>
      <c r="L515" t="s">
        <v>40</v>
      </c>
      <c r="M515">
        <v>1</v>
      </c>
      <c r="N515" t="s">
        <v>20</v>
      </c>
      <c r="O515">
        <v>899</v>
      </c>
      <c r="P515" t="s">
        <v>1183</v>
      </c>
      <c r="Q515" t="s">
        <v>85</v>
      </c>
      <c r="R515" t="s">
        <v>23</v>
      </c>
    </row>
    <row r="516" spans="1:18" x14ac:dyDescent="0.35">
      <c r="A516">
        <v>514</v>
      </c>
      <c r="B516" t="s">
        <v>1184</v>
      </c>
      <c r="C516" s="1">
        <f t="shared" ca="1" si="40"/>
        <v>45006</v>
      </c>
      <c r="D516" t="str">
        <f t="shared" ca="1" si="41"/>
        <v>March</v>
      </c>
      <c r="E516" t="s">
        <v>29</v>
      </c>
      <c r="F516" t="s">
        <v>33</v>
      </c>
      <c r="G516" t="str">
        <f t="shared" si="42"/>
        <v>Women</v>
      </c>
      <c r="H516" t="str">
        <f t="shared" ca="1" si="43"/>
        <v>Amazon</v>
      </c>
      <c r="I516">
        <f t="shared" ca="1" si="44"/>
        <v>31</v>
      </c>
      <c r="J516" t="s">
        <v>340</v>
      </c>
      <c r="K516" t="s">
        <v>39</v>
      </c>
      <c r="L516" t="s">
        <v>35</v>
      </c>
      <c r="M516">
        <v>1</v>
      </c>
      <c r="N516" t="s">
        <v>20</v>
      </c>
      <c r="O516">
        <v>807</v>
      </c>
      <c r="P516" t="s">
        <v>69</v>
      </c>
      <c r="Q516" t="s">
        <v>50</v>
      </c>
      <c r="R516" t="s">
        <v>23</v>
      </c>
    </row>
    <row r="517" spans="1:18" x14ac:dyDescent="0.35">
      <c r="A517">
        <v>515</v>
      </c>
      <c r="B517" t="s">
        <v>1185</v>
      </c>
      <c r="C517" s="1">
        <f t="shared" ca="1" si="40"/>
        <v>44956</v>
      </c>
      <c r="D517" t="str">
        <f t="shared" ca="1" si="41"/>
        <v>January</v>
      </c>
      <c r="E517" t="s">
        <v>25</v>
      </c>
      <c r="F517" t="s">
        <v>16</v>
      </c>
      <c r="G517" t="str">
        <f t="shared" si="42"/>
        <v>Women</v>
      </c>
      <c r="H517" t="str">
        <f t="shared" ca="1" si="43"/>
        <v>Myntra</v>
      </c>
      <c r="I517">
        <f t="shared" ca="1" si="44"/>
        <v>44</v>
      </c>
      <c r="J517" t="s">
        <v>585</v>
      </c>
      <c r="K517" t="s">
        <v>44</v>
      </c>
      <c r="L517" t="s">
        <v>101</v>
      </c>
      <c r="M517">
        <v>1</v>
      </c>
      <c r="N517" t="s">
        <v>20</v>
      </c>
      <c r="O517">
        <v>463</v>
      </c>
      <c r="P517" t="s">
        <v>199</v>
      </c>
      <c r="Q517" t="s">
        <v>57</v>
      </c>
      <c r="R517" t="s">
        <v>23</v>
      </c>
    </row>
    <row r="518" spans="1:18" x14ac:dyDescent="0.35">
      <c r="A518">
        <v>516</v>
      </c>
      <c r="B518" t="s">
        <v>1186</v>
      </c>
      <c r="C518" s="1">
        <f t="shared" ca="1" si="40"/>
        <v>44963</v>
      </c>
      <c r="D518" t="str">
        <f t="shared" ca="1" si="41"/>
        <v>February</v>
      </c>
      <c r="E518" t="s">
        <v>29</v>
      </c>
      <c r="F518" t="s">
        <v>33</v>
      </c>
      <c r="G518" t="str">
        <f t="shared" si="42"/>
        <v>Women</v>
      </c>
      <c r="H518" t="str">
        <f t="shared" ca="1" si="43"/>
        <v>Amazon</v>
      </c>
      <c r="I518">
        <f t="shared" ca="1" si="44"/>
        <v>43</v>
      </c>
      <c r="J518" t="s">
        <v>1187</v>
      </c>
      <c r="K518" t="s">
        <v>18</v>
      </c>
      <c r="L518" t="s">
        <v>28</v>
      </c>
      <c r="M518">
        <v>1</v>
      </c>
      <c r="N518" t="s">
        <v>20</v>
      </c>
      <c r="O518">
        <v>653</v>
      </c>
      <c r="P518" t="s">
        <v>1188</v>
      </c>
      <c r="Q518" t="s">
        <v>31</v>
      </c>
      <c r="R518" t="s">
        <v>23</v>
      </c>
    </row>
    <row r="519" spans="1:18" x14ac:dyDescent="0.35">
      <c r="A519">
        <v>517</v>
      </c>
      <c r="B519" t="s">
        <v>1189</v>
      </c>
      <c r="C519" s="1">
        <f t="shared" ca="1" si="40"/>
        <v>45642</v>
      </c>
      <c r="D519" t="str">
        <f t="shared" ca="1" si="41"/>
        <v>December</v>
      </c>
      <c r="E519" t="s">
        <v>29</v>
      </c>
      <c r="F519" t="s">
        <v>33</v>
      </c>
      <c r="G519" t="str">
        <f t="shared" si="42"/>
        <v>Women</v>
      </c>
      <c r="H519" t="str">
        <f t="shared" ca="1" si="43"/>
        <v>Amazon</v>
      </c>
      <c r="I519">
        <f t="shared" ca="1" si="44"/>
        <v>58</v>
      </c>
      <c r="J519" t="s">
        <v>699</v>
      </c>
      <c r="K519" t="s">
        <v>18</v>
      </c>
      <c r="L519" t="s">
        <v>101</v>
      </c>
      <c r="M519">
        <v>1</v>
      </c>
      <c r="N519" t="s">
        <v>20</v>
      </c>
      <c r="O519">
        <v>1140</v>
      </c>
      <c r="P519" t="s">
        <v>88</v>
      </c>
      <c r="Q519" t="s">
        <v>89</v>
      </c>
      <c r="R519" t="s">
        <v>23</v>
      </c>
    </row>
    <row r="520" spans="1:18" x14ac:dyDescent="0.35">
      <c r="A520">
        <v>518</v>
      </c>
      <c r="B520" t="s">
        <v>1190</v>
      </c>
      <c r="C520" s="1">
        <f t="shared" ca="1" si="40"/>
        <v>44947</v>
      </c>
      <c r="D520" t="str">
        <f t="shared" ca="1" si="41"/>
        <v>January</v>
      </c>
      <c r="E520" t="s">
        <v>15</v>
      </c>
      <c r="F520" t="s">
        <v>33</v>
      </c>
      <c r="G520" t="str">
        <f t="shared" si="42"/>
        <v>Men</v>
      </c>
      <c r="H520" t="str">
        <f t="shared" ca="1" si="43"/>
        <v>Amazon</v>
      </c>
      <c r="I520">
        <f t="shared" ca="1" si="44"/>
        <v>43</v>
      </c>
      <c r="J520" t="s">
        <v>1191</v>
      </c>
      <c r="K520" t="s">
        <v>27</v>
      </c>
      <c r="L520" t="s">
        <v>19</v>
      </c>
      <c r="M520">
        <v>0</v>
      </c>
      <c r="P520" t="s">
        <v>969</v>
      </c>
      <c r="Q520" t="s">
        <v>140</v>
      </c>
      <c r="R520" t="s">
        <v>23</v>
      </c>
    </row>
    <row r="521" spans="1:18" x14ac:dyDescent="0.35">
      <c r="A521">
        <v>519</v>
      </c>
      <c r="B521" t="s">
        <v>1192</v>
      </c>
      <c r="C521" s="1">
        <f t="shared" ca="1" si="40"/>
        <v>45372</v>
      </c>
      <c r="D521" t="str">
        <f t="shared" ca="1" si="41"/>
        <v>March</v>
      </c>
      <c r="E521" t="s">
        <v>29</v>
      </c>
      <c r="F521" t="s">
        <v>33</v>
      </c>
      <c r="G521" t="str">
        <f t="shared" si="42"/>
        <v>Women</v>
      </c>
      <c r="H521" t="str">
        <f t="shared" ca="1" si="43"/>
        <v>Amazon</v>
      </c>
      <c r="I521">
        <f t="shared" ca="1" si="44"/>
        <v>35</v>
      </c>
      <c r="J521" t="s">
        <v>1193</v>
      </c>
      <c r="K521" t="s">
        <v>18</v>
      </c>
      <c r="L521" t="s">
        <v>19</v>
      </c>
      <c r="M521">
        <v>1</v>
      </c>
      <c r="N521" t="s">
        <v>20</v>
      </c>
      <c r="O521">
        <v>1260</v>
      </c>
      <c r="P521" t="s">
        <v>482</v>
      </c>
      <c r="Q521" t="s">
        <v>50</v>
      </c>
      <c r="R521" t="s">
        <v>23</v>
      </c>
    </row>
    <row r="522" spans="1:18" x14ac:dyDescent="0.35">
      <c r="A522">
        <v>520</v>
      </c>
      <c r="B522" t="s">
        <v>1194</v>
      </c>
      <c r="C522" s="1">
        <f t="shared" ca="1" si="40"/>
        <v>44974</v>
      </c>
      <c r="D522" t="str">
        <f t="shared" ca="1" si="41"/>
        <v>February</v>
      </c>
      <c r="E522" t="s">
        <v>29</v>
      </c>
      <c r="F522" t="s">
        <v>33</v>
      </c>
      <c r="G522" t="str">
        <f t="shared" si="42"/>
        <v>Women</v>
      </c>
      <c r="H522" t="str">
        <f t="shared" ca="1" si="43"/>
        <v>Amazon</v>
      </c>
      <c r="I522">
        <f t="shared" ca="1" si="44"/>
        <v>40</v>
      </c>
      <c r="J522" t="s">
        <v>1195</v>
      </c>
      <c r="K522" t="s">
        <v>18</v>
      </c>
      <c r="L522" t="s">
        <v>35</v>
      </c>
      <c r="M522">
        <v>1</v>
      </c>
      <c r="N522" t="s">
        <v>20</v>
      </c>
      <c r="O522">
        <v>909</v>
      </c>
      <c r="P522" t="s">
        <v>199</v>
      </c>
      <c r="Q522" t="s">
        <v>57</v>
      </c>
      <c r="R522" t="s">
        <v>23</v>
      </c>
    </row>
    <row r="523" spans="1:18" x14ac:dyDescent="0.35">
      <c r="A523">
        <v>521</v>
      </c>
      <c r="B523" t="s">
        <v>1196</v>
      </c>
      <c r="C523" s="1">
        <f t="shared" ca="1" si="40"/>
        <v>45188</v>
      </c>
      <c r="D523" t="str">
        <f t="shared" ca="1" si="41"/>
        <v>September</v>
      </c>
      <c r="E523" t="s">
        <v>15</v>
      </c>
      <c r="F523" t="s">
        <v>33</v>
      </c>
      <c r="G523" t="str">
        <f t="shared" si="42"/>
        <v>Men</v>
      </c>
      <c r="H523" t="str">
        <f t="shared" ca="1" si="43"/>
        <v>Amazon</v>
      </c>
      <c r="I523">
        <f t="shared" ca="1" si="44"/>
        <v>49</v>
      </c>
      <c r="J523" t="s">
        <v>260</v>
      </c>
      <c r="K523" t="s">
        <v>27</v>
      </c>
      <c r="L523" t="s">
        <v>62</v>
      </c>
      <c r="M523">
        <v>0</v>
      </c>
      <c r="P523" t="s">
        <v>1197</v>
      </c>
      <c r="Q523" t="s">
        <v>223</v>
      </c>
      <c r="R523" t="s">
        <v>23</v>
      </c>
    </row>
    <row r="524" spans="1:18" x14ac:dyDescent="0.35">
      <c r="A524">
        <v>522</v>
      </c>
      <c r="B524" t="s">
        <v>1198</v>
      </c>
      <c r="C524" s="1">
        <f t="shared" ca="1" si="40"/>
        <v>45106</v>
      </c>
      <c r="D524" t="str">
        <f t="shared" ca="1" si="41"/>
        <v>June</v>
      </c>
      <c r="E524" t="s">
        <v>29</v>
      </c>
      <c r="F524" t="s">
        <v>33</v>
      </c>
      <c r="G524" t="str">
        <f t="shared" si="42"/>
        <v>Women</v>
      </c>
      <c r="H524" t="str">
        <f t="shared" ca="1" si="43"/>
        <v>Amazon</v>
      </c>
      <c r="I524">
        <f t="shared" ca="1" si="44"/>
        <v>54</v>
      </c>
      <c r="J524" t="s">
        <v>1199</v>
      </c>
      <c r="K524" t="s">
        <v>18</v>
      </c>
      <c r="L524" t="s">
        <v>101</v>
      </c>
      <c r="M524">
        <v>1</v>
      </c>
      <c r="N524" t="s">
        <v>20</v>
      </c>
      <c r="O524">
        <v>968</v>
      </c>
      <c r="P524" t="s">
        <v>88</v>
      </c>
      <c r="Q524" t="s">
        <v>89</v>
      </c>
      <c r="R524" t="s">
        <v>23</v>
      </c>
    </row>
    <row r="525" spans="1:18" x14ac:dyDescent="0.35">
      <c r="A525">
        <v>523</v>
      </c>
      <c r="B525" t="s">
        <v>1200</v>
      </c>
      <c r="C525" s="1">
        <f t="shared" ca="1" si="40"/>
        <v>45445</v>
      </c>
      <c r="D525" t="str">
        <f t="shared" ca="1" si="41"/>
        <v>June</v>
      </c>
      <c r="E525" t="s">
        <v>29</v>
      </c>
      <c r="F525" t="s">
        <v>33</v>
      </c>
      <c r="G525" t="str">
        <f t="shared" si="42"/>
        <v>Women</v>
      </c>
      <c r="H525" t="str">
        <f t="shared" ca="1" si="43"/>
        <v>Amazon</v>
      </c>
      <c r="I525">
        <f t="shared" ca="1" si="44"/>
        <v>18</v>
      </c>
      <c r="J525" t="s">
        <v>1201</v>
      </c>
      <c r="K525" t="s">
        <v>18</v>
      </c>
      <c r="L525" t="s">
        <v>35</v>
      </c>
      <c r="M525">
        <v>1</v>
      </c>
      <c r="N525" t="s">
        <v>20</v>
      </c>
      <c r="O525">
        <v>788</v>
      </c>
      <c r="P525" t="s">
        <v>749</v>
      </c>
      <c r="Q525" t="s">
        <v>22</v>
      </c>
      <c r="R525" t="s">
        <v>23</v>
      </c>
    </row>
    <row r="526" spans="1:18" x14ac:dyDescent="0.35">
      <c r="A526">
        <v>524</v>
      </c>
      <c r="B526" t="s">
        <v>1202</v>
      </c>
      <c r="C526" s="1">
        <f t="shared" ca="1" si="40"/>
        <v>45445</v>
      </c>
      <c r="D526" t="str">
        <f t="shared" ca="1" si="41"/>
        <v>June</v>
      </c>
      <c r="E526" t="s">
        <v>29</v>
      </c>
      <c r="F526" t="s">
        <v>33</v>
      </c>
      <c r="G526" t="str">
        <f t="shared" si="42"/>
        <v>Women</v>
      </c>
      <c r="H526" t="str">
        <f t="shared" ca="1" si="43"/>
        <v>Amazon</v>
      </c>
      <c r="I526">
        <f t="shared" ca="1" si="44"/>
        <v>42</v>
      </c>
      <c r="J526" t="s">
        <v>807</v>
      </c>
      <c r="K526" t="s">
        <v>39</v>
      </c>
      <c r="L526" t="s">
        <v>101</v>
      </c>
      <c r="M526">
        <v>1</v>
      </c>
      <c r="N526" t="s">
        <v>20</v>
      </c>
      <c r="O526">
        <v>771</v>
      </c>
      <c r="P526" t="s">
        <v>1203</v>
      </c>
      <c r="Q526" t="s">
        <v>171</v>
      </c>
      <c r="R526" t="s">
        <v>23</v>
      </c>
    </row>
    <row r="527" spans="1:18" x14ac:dyDescent="0.35">
      <c r="A527">
        <v>525</v>
      </c>
      <c r="B527" t="s">
        <v>1204</v>
      </c>
      <c r="C527" s="1">
        <f t="shared" ca="1" si="40"/>
        <v>45520</v>
      </c>
      <c r="D527" t="str">
        <f t="shared" ca="1" si="41"/>
        <v>August</v>
      </c>
      <c r="E527" t="s">
        <v>29</v>
      </c>
      <c r="F527" t="s">
        <v>33</v>
      </c>
      <c r="G527" t="str">
        <f t="shared" si="42"/>
        <v>Men</v>
      </c>
      <c r="H527" t="str">
        <f t="shared" ca="1" si="43"/>
        <v>Amazon</v>
      </c>
      <c r="I527">
        <f t="shared" ca="1" si="44"/>
        <v>33</v>
      </c>
      <c r="J527" t="s">
        <v>940</v>
      </c>
      <c r="K527" t="s">
        <v>27</v>
      </c>
      <c r="L527" t="s">
        <v>28</v>
      </c>
      <c r="M527">
        <v>1</v>
      </c>
      <c r="N527" t="s">
        <v>20</v>
      </c>
      <c r="O527">
        <v>399</v>
      </c>
      <c r="P527" t="s">
        <v>396</v>
      </c>
      <c r="Q527" t="s">
        <v>22</v>
      </c>
      <c r="R527" t="s">
        <v>23</v>
      </c>
    </row>
    <row r="528" spans="1:18" x14ac:dyDescent="0.35">
      <c r="A528">
        <v>526</v>
      </c>
      <c r="B528" t="s">
        <v>1205</v>
      </c>
      <c r="C528" s="1">
        <f t="shared" ca="1" si="40"/>
        <v>45080</v>
      </c>
      <c r="D528" t="str">
        <f t="shared" ca="1" si="41"/>
        <v>June</v>
      </c>
      <c r="E528" t="s">
        <v>29</v>
      </c>
      <c r="F528" t="s">
        <v>33</v>
      </c>
      <c r="G528" t="str">
        <f t="shared" si="42"/>
        <v>Women</v>
      </c>
      <c r="H528" t="str">
        <f t="shared" ca="1" si="43"/>
        <v>Amazon</v>
      </c>
      <c r="I528">
        <f t="shared" ca="1" si="44"/>
        <v>32</v>
      </c>
      <c r="J528" t="s">
        <v>1206</v>
      </c>
      <c r="K528" t="s">
        <v>18</v>
      </c>
      <c r="L528" t="s">
        <v>35</v>
      </c>
      <c r="M528">
        <v>1</v>
      </c>
      <c r="N528" t="s">
        <v>20</v>
      </c>
      <c r="O528">
        <v>888</v>
      </c>
      <c r="P528" t="s">
        <v>136</v>
      </c>
      <c r="Q528" t="s">
        <v>81</v>
      </c>
      <c r="R528" t="s">
        <v>23</v>
      </c>
    </row>
    <row r="529" spans="1:18" x14ac:dyDescent="0.35">
      <c r="A529">
        <v>527</v>
      </c>
      <c r="B529" t="s">
        <v>1205</v>
      </c>
      <c r="C529" s="1">
        <f t="shared" ca="1" si="40"/>
        <v>45546</v>
      </c>
      <c r="D529" t="str">
        <f t="shared" ca="1" si="41"/>
        <v>September</v>
      </c>
      <c r="E529" t="s">
        <v>29</v>
      </c>
      <c r="F529" t="s">
        <v>33</v>
      </c>
      <c r="G529" t="str">
        <f t="shared" si="42"/>
        <v>Women</v>
      </c>
      <c r="H529" t="str">
        <f t="shared" ca="1" si="43"/>
        <v>Amazon</v>
      </c>
      <c r="I529">
        <f t="shared" ca="1" si="44"/>
        <v>52</v>
      </c>
      <c r="J529" t="s">
        <v>1207</v>
      </c>
      <c r="K529" t="s">
        <v>18</v>
      </c>
      <c r="L529" t="s">
        <v>68</v>
      </c>
      <c r="M529">
        <v>1</v>
      </c>
      <c r="N529" t="s">
        <v>20</v>
      </c>
      <c r="O529">
        <v>1221</v>
      </c>
      <c r="P529" t="s">
        <v>136</v>
      </c>
      <c r="Q529" t="s">
        <v>81</v>
      </c>
      <c r="R529" t="s">
        <v>23</v>
      </c>
    </row>
    <row r="530" spans="1:18" x14ac:dyDescent="0.35">
      <c r="A530">
        <v>528</v>
      </c>
      <c r="B530" t="s">
        <v>1208</v>
      </c>
      <c r="C530" s="1">
        <f t="shared" ca="1" si="40"/>
        <v>45241</v>
      </c>
      <c r="D530" t="str">
        <f t="shared" ca="1" si="41"/>
        <v>November</v>
      </c>
      <c r="E530" t="s">
        <v>29</v>
      </c>
      <c r="F530" t="s">
        <v>33</v>
      </c>
      <c r="G530" t="str">
        <f t="shared" si="42"/>
        <v>Men</v>
      </c>
      <c r="H530" t="str">
        <f t="shared" ca="1" si="43"/>
        <v>Amazon</v>
      </c>
      <c r="I530">
        <f t="shared" ca="1" si="44"/>
        <v>55</v>
      </c>
      <c r="J530" t="s">
        <v>87</v>
      </c>
      <c r="K530" t="s">
        <v>27</v>
      </c>
      <c r="L530" t="s">
        <v>35</v>
      </c>
      <c r="M530">
        <v>1</v>
      </c>
      <c r="N530" t="s">
        <v>20</v>
      </c>
      <c r="O530">
        <v>399</v>
      </c>
      <c r="P530" t="s">
        <v>603</v>
      </c>
      <c r="Q530" t="s">
        <v>153</v>
      </c>
      <c r="R530" t="s">
        <v>23</v>
      </c>
    </row>
    <row r="531" spans="1:18" x14ac:dyDescent="0.35">
      <c r="A531">
        <v>529</v>
      </c>
      <c r="B531" t="s">
        <v>1209</v>
      </c>
      <c r="C531" s="1">
        <f t="shared" ca="1" si="40"/>
        <v>45377</v>
      </c>
      <c r="D531" t="str">
        <f t="shared" ca="1" si="41"/>
        <v>March</v>
      </c>
      <c r="E531" t="s">
        <v>25</v>
      </c>
      <c r="F531" t="s">
        <v>16</v>
      </c>
      <c r="G531" t="str">
        <f t="shared" si="42"/>
        <v>Men</v>
      </c>
      <c r="H531" t="str">
        <f t="shared" ca="1" si="43"/>
        <v>Flipkart</v>
      </c>
      <c r="I531">
        <f t="shared" ca="1" si="44"/>
        <v>47</v>
      </c>
      <c r="J531" t="s">
        <v>777</v>
      </c>
      <c r="K531" t="s">
        <v>27</v>
      </c>
      <c r="L531" t="s">
        <v>28</v>
      </c>
      <c r="M531">
        <v>1</v>
      </c>
      <c r="N531" t="s">
        <v>20</v>
      </c>
      <c r="O531">
        <v>471</v>
      </c>
      <c r="P531" t="s">
        <v>30</v>
      </c>
      <c r="Q531" t="s">
        <v>31</v>
      </c>
      <c r="R531" t="s">
        <v>23</v>
      </c>
    </row>
    <row r="532" spans="1:18" x14ac:dyDescent="0.35">
      <c r="A532">
        <v>530</v>
      </c>
      <c r="B532" t="s">
        <v>1210</v>
      </c>
      <c r="C532" s="1">
        <f t="shared" ca="1" si="40"/>
        <v>45463</v>
      </c>
      <c r="D532" t="str">
        <f t="shared" ca="1" si="41"/>
        <v>June</v>
      </c>
      <c r="E532" t="s">
        <v>29</v>
      </c>
      <c r="F532" t="s">
        <v>33</v>
      </c>
      <c r="G532" t="str">
        <f t="shared" si="42"/>
        <v>Women</v>
      </c>
      <c r="H532" t="str">
        <f t="shared" ca="1" si="43"/>
        <v>Amazon</v>
      </c>
      <c r="I532">
        <f t="shared" ca="1" si="44"/>
        <v>28</v>
      </c>
      <c r="J532" t="s">
        <v>229</v>
      </c>
      <c r="K532" t="s">
        <v>18</v>
      </c>
      <c r="L532" t="s">
        <v>40</v>
      </c>
      <c r="M532">
        <v>1</v>
      </c>
      <c r="N532" t="s">
        <v>20</v>
      </c>
      <c r="O532">
        <v>545</v>
      </c>
      <c r="P532" t="s">
        <v>21</v>
      </c>
      <c r="Q532" t="s">
        <v>22</v>
      </c>
      <c r="R532" t="s">
        <v>23</v>
      </c>
    </row>
    <row r="533" spans="1:18" x14ac:dyDescent="0.35">
      <c r="A533">
        <v>531</v>
      </c>
      <c r="B533" t="s">
        <v>1211</v>
      </c>
      <c r="C533" s="1">
        <f t="shared" ca="1" si="40"/>
        <v>45432</v>
      </c>
      <c r="D533" t="str">
        <f t="shared" ca="1" si="41"/>
        <v>May</v>
      </c>
      <c r="E533" t="s">
        <v>29</v>
      </c>
      <c r="F533" t="s">
        <v>33</v>
      </c>
      <c r="G533" t="str">
        <f t="shared" si="42"/>
        <v>Women</v>
      </c>
      <c r="H533" t="str">
        <f t="shared" ca="1" si="43"/>
        <v>Amazon</v>
      </c>
      <c r="I533">
        <f t="shared" ca="1" si="44"/>
        <v>60</v>
      </c>
      <c r="J533" t="s">
        <v>1212</v>
      </c>
      <c r="K533" t="s">
        <v>18</v>
      </c>
      <c r="L533" t="s">
        <v>19</v>
      </c>
      <c r="M533">
        <v>1</v>
      </c>
      <c r="N533" t="s">
        <v>20</v>
      </c>
      <c r="O533">
        <v>968</v>
      </c>
      <c r="P533" t="s">
        <v>482</v>
      </c>
      <c r="Q533" t="s">
        <v>50</v>
      </c>
      <c r="R533" t="s">
        <v>23</v>
      </c>
    </row>
    <row r="534" spans="1:18" x14ac:dyDescent="0.35">
      <c r="A534">
        <v>532</v>
      </c>
      <c r="B534" t="s">
        <v>1213</v>
      </c>
      <c r="C534" s="1">
        <f t="shared" ca="1" si="40"/>
        <v>45159</v>
      </c>
      <c r="D534" t="str">
        <f t="shared" ca="1" si="41"/>
        <v>August</v>
      </c>
      <c r="E534" t="s">
        <v>29</v>
      </c>
      <c r="F534" t="s">
        <v>33</v>
      </c>
      <c r="G534" t="str">
        <f t="shared" si="42"/>
        <v>Men</v>
      </c>
      <c r="H534" t="str">
        <f t="shared" ca="1" si="43"/>
        <v>Amazon</v>
      </c>
      <c r="I534">
        <f t="shared" ca="1" si="44"/>
        <v>51</v>
      </c>
      <c r="J534" t="s">
        <v>1214</v>
      </c>
      <c r="K534" t="s">
        <v>27</v>
      </c>
      <c r="L534" t="s">
        <v>101</v>
      </c>
      <c r="M534">
        <v>1</v>
      </c>
      <c r="N534" t="s">
        <v>20</v>
      </c>
      <c r="O534">
        <v>499</v>
      </c>
      <c r="P534" t="s">
        <v>1119</v>
      </c>
      <c r="Q534" t="s">
        <v>223</v>
      </c>
      <c r="R534" t="s">
        <v>23</v>
      </c>
    </row>
    <row r="535" spans="1:18" x14ac:dyDescent="0.35">
      <c r="A535">
        <v>533</v>
      </c>
      <c r="B535" t="s">
        <v>1215</v>
      </c>
      <c r="C535" s="1">
        <f t="shared" ca="1" si="40"/>
        <v>45112</v>
      </c>
      <c r="D535" t="str">
        <f t="shared" ca="1" si="41"/>
        <v>July</v>
      </c>
      <c r="E535" t="s">
        <v>29</v>
      </c>
      <c r="F535" t="s">
        <v>33</v>
      </c>
      <c r="G535" t="str">
        <f t="shared" si="42"/>
        <v>Men</v>
      </c>
      <c r="H535" t="str">
        <f t="shared" ca="1" si="43"/>
        <v>Amazon</v>
      </c>
      <c r="I535">
        <f t="shared" ca="1" si="44"/>
        <v>50</v>
      </c>
      <c r="J535" t="s">
        <v>151</v>
      </c>
      <c r="K535" t="s">
        <v>27</v>
      </c>
      <c r="L535" t="s">
        <v>40</v>
      </c>
      <c r="M535">
        <v>1</v>
      </c>
      <c r="N535" t="s">
        <v>20</v>
      </c>
      <c r="O535">
        <v>399</v>
      </c>
      <c r="P535" t="s">
        <v>1216</v>
      </c>
      <c r="Q535" t="s">
        <v>81</v>
      </c>
      <c r="R535" t="s">
        <v>23</v>
      </c>
    </row>
    <row r="536" spans="1:18" x14ac:dyDescent="0.35">
      <c r="A536">
        <v>534</v>
      </c>
      <c r="B536" t="s">
        <v>1217</v>
      </c>
      <c r="C536" s="1">
        <f t="shared" ca="1" si="40"/>
        <v>44973</v>
      </c>
      <c r="D536" t="str">
        <f t="shared" ca="1" si="41"/>
        <v>February</v>
      </c>
      <c r="E536" t="s">
        <v>29</v>
      </c>
      <c r="F536" t="s">
        <v>33</v>
      </c>
      <c r="G536" t="str">
        <f t="shared" si="42"/>
        <v>Men</v>
      </c>
      <c r="H536" t="str">
        <f t="shared" ca="1" si="43"/>
        <v>Amazon</v>
      </c>
      <c r="I536">
        <f t="shared" ca="1" si="44"/>
        <v>41</v>
      </c>
      <c r="J536" t="s">
        <v>87</v>
      </c>
      <c r="K536" t="s">
        <v>27</v>
      </c>
      <c r="L536" t="s">
        <v>35</v>
      </c>
      <c r="M536">
        <v>1</v>
      </c>
      <c r="N536" t="s">
        <v>20</v>
      </c>
      <c r="O536">
        <v>399</v>
      </c>
      <c r="P536" t="s">
        <v>562</v>
      </c>
      <c r="Q536" t="s">
        <v>223</v>
      </c>
      <c r="R536" t="s">
        <v>23</v>
      </c>
    </row>
    <row r="537" spans="1:18" x14ac:dyDescent="0.35">
      <c r="A537">
        <v>535</v>
      </c>
      <c r="B537" t="s">
        <v>1218</v>
      </c>
      <c r="C537" s="1">
        <f t="shared" ca="1" si="40"/>
        <v>45136</v>
      </c>
      <c r="D537" t="str">
        <f t="shared" ca="1" si="41"/>
        <v>July</v>
      </c>
      <c r="E537" t="s">
        <v>15</v>
      </c>
      <c r="F537" t="s">
        <v>33</v>
      </c>
      <c r="G537" t="str">
        <f t="shared" si="42"/>
        <v>Women</v>
      </c>
      <c r="H537" t="str">
        <f t="shared" ca="1" si="43"/>
        <v>Amazon</v>
      </c>
      <c r="I537">
        <f t="shared" ca="1" si="44"/>
        <v>42</v>
      </c>
      <c r="J537" t="s">
        <v>1010</v>
      </c>
      <c r="K537" t="s">
        <v>18</v>
      </c>
      <c r="L537" t="s">
        <v>19</v>
      </c>
      <c r="M537">
        <v>0</v>
      </c>
      <c r="P537" t="s">
        <v>499</v>
      </c>
      <c r="Q537" t="s">
        <v>31</v>
      </c>
      <c r="R537" t="s">
        <v>23</v>
      </c>
    </row>
    <row r="538" spans="1:18" x14ac:dyDescent="0.35">
      <c r="A538">
        <v>536</v>
      </c>
      <c r="B538" t="s">
        <v>1219</v>
      </c>
      <c r="C538" s="1">
        <f t="shared" ca="1" si="40"/>
        <v>44999</v>
      </c>
      <c r="D538" t="str">
        <f t="shared" ca="1" si="41"/>
        <v>March</v>
      </c>
      <c r="E538" t="s">
        <v>15</v>
      </c>
      <c r="F538" t="s">
        <v>33</v>
      </c>
      <c r="G538" t="str">
        <f t="shared" si="42"/>
        <v>Men</v>
      </c>
      <c r="H538" t="str">
        <f t="shared" ca="1" si="43"/>
        <v>Amazon</v>
      </c>
      <c r="I538">
        <f t="shared" ca="1" si="44"/>
        <v>21</v>
      </c>
      <c r="J538" t="s">
        <v>998</v>
      </c>
      <c r="K538" t="s">
        <v>27</v>
      </c>
      <c r="L538" t="s">
        <v>62</v>
      </c>
      <c r="M538">
        <v>1</v>
      </c>
      <c r="N538" t="s">
        <v>20</v>
      </c>
      <c r="O538">
        <v>471</v>
      </c>
      <c r="P538" t="s">
        <v>30</v>
      </c>
      <c r="Q538" t="s">
        <v>31</v>
      </c>
      <c r="R538" t="s">
        <v>23</v>
      </c>
    </row>
    <row r="539" spans="1:18" x14ac:dyDescent="0.35">
      <c r="A539">
        <v>537</v>
      </c>
      <c r="B539" t="s">
        <v>1220</v>
      </c>
      <c r="C539" s="1">
        <f t="shared" ca="1" si="40"/>
        <v>45550</v>
      </c>
      <c r="D539" t="str">
        <f t="shared" ca="1" si="41"/>
        <v>September</v>
      </c>
      <c r="E539" t="s">
        <v>15</v>
      </c>
      <c r="F539" t="s">
        <v>16</v>
      </c>
      <c r="G539" t="str">
        <f t="shared" si="42"/>
        <v>Men</v>
      </c>
      <c r="H539" t="str">
        <f t="shared" ca="1" si="43"/>
        <v>Myntra</v>
      </c>
      <c r="I539">
        <f t="shared" ca="1" si="44"/>
        <v>54</v>
      </c>
      <c r="J539" t="s">
        <v>1018</v>
      </c>
      <c r="K539" t="s">
        <v>27</v>
      </c>
      <c r="L539" t="s">
        <v>62</v>
      </c>
      <c r="M539">
        <v>0</v>
      </c>
      <c r="N539" t="s">
        <v>20</v>
      </c>
      <c r="O539">
        <v>386.67</v>
      </c>
      <c r="P539" t="s">
        <v>30</v>
      </c>
      <c r="Q539" t="s">
        <v>31</v>
      </c>
      <c r="R539" t="s">
        <v>23</v>
      </c>
    </row>
    <row r="540" spans="1:18" x14ac:dyDescent="0.35">
      <c r="A540">
        <v>538</v>
      </c>
      <c r="B540" t="s">
        <v>1221</v>
      </c>
      <c r="C540" s="1">
        <f t="shared" ca="1" si="40"/>
        <v>45057</v>
      </c>
      <c r="D540" t="str">
        <f t="shared" ca="1" si="41"/>
        <v>May</v>
      </c>
      <c r="E540" t="s">
        <v>15</v>
      </c>
      <c r="F540" t="s">
        <v>16</v>
      </c>
      <c r="G540" t="str">
        <f t="shared" si="42"/>
        <v>Men</v>
      </c>
      <c r="H540" t="str">
        <f t="shared" ca="1" si="43"/>
        <v>Myntra</v>
      </c>
      <c r="I540">
        <f t="shared" ca="1" si="44"/>
        <v>52</v>
      </c>
      <c r="J540" t="s">
        <v>1222</v>
      </c>
      <c r="K540" t="s">
        <v>27</v>
      </c>
      <c r="L540" t="s">
        <v>62</v>
      </c>
      <c r="M540">
        <v>0</v>
      </c>
      <c r="N540" t="s">
        <v>20</v>
      </c>
      <c r="O540">
        <v>452.38</v>
      </c>
      <c r="P540" t="s">
        <v>285</v>
      </c>
      <c r="Q540" t="s">
        <v>286</v>
      </c>
      <c r="R540" t="s">
        <v>23</v>
      </c>
    </row>
    <row r="541" spans="1:18" x14ac:dyDescent="0.35">
      <c r="A541">
        <v>539</v>
      </c>
      <c r="B541" t="s">
        <v>1223</v>
      </c>
      <c r="C541" s="1">
        <f t="shared" ca="1" si="40"/>
        <v>45614</v>
      </c>
      <c r="D541" t="str">
        <f t="shared" ca="1" si="41"/>
        <v>November</v>
      </c>
      <c r="E541" t="s">
        <v>29</v>
      </c>
      <c r="F541" t="s">
        <v>33</v>
      </c>
      <c r="G541" t="str">
        <f t="shared" si="42"/>
        <v>Women</v>
      </c>
      <c r="H541" t="str">
        <f t="shared" ca="1" si="43"/>
        <v>Amazon</v>
      </c>
      <c r="I541">
        <f t="shared" ca="1" si="44"/>
        <v>35</v>
      </c>
      <c r="J541" t="s">
        <v>173</v>
      </c>
      <c r="K541" t="s">
        <v>18</v>
      </c>
      <c r="L541" t="s">
        <v>40</v>
      </c>
      <c r="M541">
        <v>1</v>
      </c>
      <c r="N541" t="s">
        <v>20</v>
      </c>
      <c r="O541">
        <v>1112</v>
      </c>
      <c r="P541" t="s">
        <v>906</v>
      </c>
      <c r="Q541" t="s">
        <v>22</v>
      </c>
      <c r="R541" t="s">
        <v>23</v>
      </c>
    </row>
    <row r="542" spans="1:18" x14ac:dyDescent="0.35">
      <c r="A542">
        <v>540</v>
      </c>
      <c r="B542" t="s">
        <v>1224</v>
      </c>
      <c r="C542" s="1">
        <f t="shared" ca="1" si="40"/>
        <v>45458</v>
      </c>
      <c r="D542" t="str">
        <f t="shared" ca="1" si="41"/>
        <v>June</v>
      </c>
      <c r="E542" t="s">
        <v>15</v>
      </c>
      <c r="F542" t="s">
        <v>33</v>
      </c>
      <c r="G542" t="str">
        <f t="shared" si="42"/>
        <v>Women</v>
      </c>
      <c r="H542" t="str">
        <f t="shared" ca="1" si="43"/>
        <v>Amazon</v>
      </c>
      <c r="I542">
        <f t="shared" ca="1" si="44"/>
        <v>35</v>
      </c>
      <c r="J542" t="s">
        <v>229</v>
      </c>
      <c r="K542" t="s">
        <v>18</v>
      </c>
      <c r="L542" t="s">
        <v>40</v>
      </c>
      <c r="M542">
        <v>0</v>
      </c>
      <c r="P542" t="s">
        <v>21</v>
      </c>
      <c r="Q542" t="s">
        <v>22</v>
      </c>
      <c r="R542" t="s">
        <v>23</v>
      </c>
    </row>
    <row r="543" spans="1:18" x14ac:dyDescent="0.35">
      <c r="A543">
        <v>541</v>
      </c>
      <c r="B543" t="s">
        <v>1225</v>
      </c>
      <c r="C543" s="1">
        <f t="shared" ca="1" si="40"/>
        <v>45620</v>
      </c>
      <c r="D543" t="str">
        <f t="shared" ca="1" si="41"/>
        <v>November</v>
      </c>
      <c r="E543" t="s">
        <v>29</v>
      </c>
      <c r="F543" t="s">
        <v>33</v>
      </c>
      <c r="G543" t="str">
        <f t="shared" si="42"/>
        <v>Women</v>
      </c>
      <c r="H543" t="str">
        <f t="shared" ca="1" si="43"/>
        <v>Amazon</v>
      </c>
      <c r="I543">
        <f t="shared" ca="1" si="44"/>
        <v>45</v>
      </c>
      <c r="J543" t="s">
        <v>1226</v>
      </c>
      <c r="K543" t="s">
        <v>18</v>
      </c>
      <c r="L543" t="s">
        <v>35</v>
      </c>
      <c r="M543">
        <v>1</v>
      </c>
      <c r="N543" t="s">
        <v>20</v>
      </c>
      <c r="O543">
        <v>1338</v>
      </c>
      <c r="P543" t="s">
        <v>1227</v>
      </c>
      <c r="Q543" t="s">
        <v>264</v>
      </c>
      <c r="R543" t="s">
        <v>23</v>
      </c>
    </row>
    <row r="544" spans="1:18" x14ac:dyDescent="0.35">
      <c r="A544">
        <v>542</v>
      </c>
      <c r="B544" t="s">
        <v>1228</v>
      </c>
      <c r="C544" s="1">
        <f t="shared" ca="1" si="40"/>
        <v>44964</v>
      </c>
      <c r="D544" t="str">
        <f t="shared" ca="1" si="41"/>
        <v>February</v>
      </c>
      <c r="E544" t="s">
        <v>29</v>
      </c>
      <c r="F544" t="s">
        <v>33</v>
      </c>
      <c r="G544" t="str">
        <f t="shared" si="42"/>
        <v>Men</v>
      </c>
      <c r="H544" t="str">
        <f t="shared" ca="1" si="43"/>
        <v>Amazon</v>
      </c>
      <c r="I544">
        <f t="shared" ca="1" si="44"/>
        <v>49</v>
      </c>
      <c r="J544" t="s">
        <v>1229</v>
      </c>
      <c r="K544" t="s">
        <v>27</v>
      </c>
      <c r="L544" t="s">
        <v>28</v>
      </c>
      <c r="M544">
        <v>1</v>
      </c>
      <c r="N544" t="s">
        <v>20</v>
      </c>
      <c r="O544">
        <v>517</v>
      </c>
      <c r="P544" t="s">
        <v>499</v>
      </c>
      <c r="Q544" t="s">
        <v>31</v>
      </c>
      <c r="R544" t="s">
        <v>23</v>
      </c>
    </row>
    <row r="545" spans="1:18" x14ac:dyDescent="0.35">
      <c r="A545">
        <v>543</v>
      </c>
      <c r="B545" t="s">
        <v>1230</v>
      </c>
      <c r="C545" s="1">
        <f t="shared" ca="1" si="40"/>
        <v>44971</v>
      </c>
      <c r="D545" t="str">
        <f t="shared" ca="1" si="41"/>
        <v>February</v>
      </c>
      <c r="E545" t="s">
        <v>29</v>
      </c>
      <c r="F545" t="s">
        <v>33</v>
      </c>
      <c r="G545" t="str">
        <f t="shared" si="42"/>
        <v>Men</v>
      </c>
      <c r="H545" t="str">
        <f t="shared" ca="1" si="43"/>
        <v>Amazon</v>
      </c>
      <c r="I545">
        <f t="shared" ca="1" si="44"/>
        <v>57</v>
      </c>
      <c r="J545" t="s">
        <v>1150</v>
      </c>
      <c r="K545" t="s">
        <v>27</v>
      </c>
      <c r="L545" t="s">
        <v>35</v>
      </c>
      <c r="M545">
        <v>1</v>
      </c>
      <c r="N545" t="s">
        <v>20</v>
      </c>
      <c r="O545">
        <v>329</v>
      </c>
      <c r="P545" t="s">
        <v>213</v>
      </c>
      <c r="Q545" t="s">
        <v>22</v>
      </c>
      <c r="R545" t="s">
        <v>23</v>
      </c>
    </row>
    <row r="546" spans="1:18" x14ac:dyDescent="0.35">
      <c r="A546">
        <v>544</v>
      </c>
      <c r="B546" t="s">
        <v>1231</v>
      </c>
      <c r="C546" s="1">
        <f t="shared" ca="1" si="40"/>
        <v>45612</v>
      </c>
      <c r="D546" t="str">
        <f t="shared" ca="1" si="41"/>
        <v>November</v>
      </c>
      <c r="E546" t="s">
        <v>29</v>
      </c>
      <c r="F546" t="s">
        <v>33</v>
      </c>
      <c r="G546" t="str">
        <f t="shared" si="42"/>
        <v>Women</v>
      </c>
      <c r="H546" t="str">
        <f t="shared" ca="1" si="43"/>
        <v>Amazon</v>
      </c>
      <c r="I546">
        <f t="shared" ca="1" si="44"/>
        <v>23</v>
      </c>
      <c r="J546" t="s">
        <v>430</v>
      </c>
      <c r="K546" t="s">
        <v>39</v>
      </c>
      <c r="L546" t="s">
        <v>40</v>
      </c>
      <c r="M546">
        <v>1</v>
      </c>
      <c r="N546" t="s">
        <v>20</v>
      </c>
      <c r="O546">
        <v>725</v>
      </c>
      <c r="P546" t="s">
        <v>69</v>
      </c>
      <c r="Q546" t="s">
        <v>50</v>
      </c>
      <c r="R546" t="s">
        <v>23</v>
      </c>
    </row>
    <row r="547" spans="1:18" x14ac:dyDescent="0.35">
      <c r="A547">
        <v>545</v>
      </c>
      <c r="B547" t="s">
        <v>1232</v>
      </c>
      <c r="C547" s="1">
        <f t="shared" ca="1" si="40"/>
        <v>45460</v>
      </c>
      <c r="D547" t="str">
        <f t="shared" ca="1" si="41"/>
        <v>June</v>
      </c>
      <c r="E547" t="s">
        <v>29</v>
      </c>
      <c r="F547" t="s">
        <v>33</v>
      </c>
      <c r="G547" t="str">
        <f t="shared" si="42"/>
        <v>Men</v>
      </c>
      <c r="H547" t="str">
        <f t="shared" ca="1" si="43"/>
        <v>Amazon</v>
      </c>
      <c r="I547">
        <f t="shared" ca="1" si="44"/>
        <v>24</v>
      </c>
      <c r="J547" t="s">
        <v>61</v>
      </c>
      <c r="K547" t="s">
        <v>27</v>
      </c>
      <c r="L547" t="s">
        <v>62</v>
      </c>
      <c r="M547">
        <v>1</v>
      </c>
      <c r="N547" t="s">
        <v>20</v>
      </c>
      <c r="O547">
        <v>363</v>
      </c>
      <c r="P547" t="s">
        <v>84</v>
      </c>
      <c r="Q547" t="s">
        <v>85</v>
      </c>
      <c r="R547" t="s">
        <v>23</v>
      </c>
    </row>
    <row r="548" spans="1:18" x14ac:dyDescent="0.35">
      <c r="A548">
        <v>546</v>
      </c>
      <c r="B548" t="s">
        <v>1233</v>
      </c>
      <c r="C548" s="1">
        <f t="shared" ca="1" si="40"/>
        <v>45167</v>
      </c>
      <c r="D548" t="str">
        <f t="shared" ca="1" si="41"/>
        <v>August</v>
      </c>
      <c r="E548" t="s">
        <v>29</v>
      </c>
      <c r="F548" t="s">
        <v>33</v>
      </c>
      <c r="G548" t="str">
        <f t="shared" si="42"/>
        <v>Women</v>
      </c>
      <c r="H548" t="str">
        <f t="shared" ca="1" si="43"/>
        <v>Amazon</v>
      </c>
      <c r="I548">
        <f t="shared" ca="1" si="44"/>
        <v>45</v>
      </c>
      <c r="J548" t="s">
        <v>146</v>
      </c>
      <c r="K548" t="s">
        <v>18</v>
      </c>
      <c r="L548" t="s">
        <v>40</v>
      </c>
      <c r="M548">
        <v>1</v>
      </c>
      <c r="N548" t="s">
        <v>20</v>
      </c>
      <c r="O548">
        <v>666</v>
      </c>
      <c r="P548" t="s">
        <v>1234</v>
      </c>
      <c r="Q548" t="s">
        <v>140</v>
      </c>
      <c r="R548" t="s">
        <v>23</v>
      </c>
    </row>
    <row r="549" spans="1:18" x14ac:dyDescent="0.35">
      <c r="A549">
        <v>547</v>
      </c>
      <c r="B549" t="s">
        <v>1235</v>
      </c>
      <c r="C549" s="1">
        <f t="shared" ca="1" si="40"/>
        <v>45077</v>
      </c>
      <c r="D549" t="str">
        <f t="shared" ca="1" si="41"/>
        <v>May</v>
      </c>
      <c r="E549" t="s">
        <v>15</v>
      </c>
      <c r="F549" t="s">
        <v>33</v>
      </c>
      <c r="G549" t="str">
        <f t="shared" si="42"/>
        <v>Women</v>
      </c>
      <c r="H549" t="str">
        <f t="shared" ca="1" si="43"/>
        <v>Amazon</v>
      </c>
      <c r="I549">
        <f t="shared" ca="1" si="44"/>
        <v>43</v>
      </c>
      <c r="J549" t="s">
        <v>1236</v>
      </c>
      <c r="K549" t="s">
        <v>18</v>
      </c>
      <c r="L549" t="s">
        <v>62</v>
      </c>
      <c r="M549">
        <v>0</v>
      </c>
      <c r="P549" t="s">
        <v>317</v>
      </c>
      <c r="Q549" t="s">
        <v>93</v>
      </c>
      <c r="R549" t="s">
        <v>23</v>
      </c>
    </row>
    <row r="550" spans="1:18" x14ac:dyDescent="0.35">
      <c r="A550">
        <v>548</v>
      </c>
      <c r="B550" t="s">
        <v>1237</v>
      </c>
      <c r="C550" s="1">
        <f t="shared" ca="1" si="40"/>
        <v>45161</v>
      </c>
      <c r="D550" t="str">
        <f t="shared" ca="1" si="41"/>
        <v>August</v>
      </c>
      <c r="E550" t="s">
        <v>15</v>
      </c>
      <c r="F550" t="s">
        <v>33</v>
      </c>
      <c r="G550" t="str">
        <f t="shared" si="42"/>
        <v>Women</v>
      </c>
      <c r="H550" t="str">
        <f t="shared" ca="1" si="43"/>
        <v>Amazon</v>
      </c>
      <c r="I550">
        <f t="shared" ca="1" si="44"/>
        <v>42</v>
      </c>
      <c r="J550" t="s">
        <v>1158</v>
      </c>
      <c r="K550" t="s">
        <v>39</v>
      </c>
      <c r="L550" t="s">
        <v>19</v>
      </c>
      <c r="M550">
        <v>1</v>
      </c>
      <c r="N550" t="s">
        <v>20</v>
      </c>
      <c r="O550">
        <v>588</v>
      </c>
      <c r="P550" t="s">
        <v>136</v>
      </c>
      <c r="Q550" t="s">
        <v>81</v>
      </c>
      <c r="R550" t="s">
        <v>23</v>
      </c>
    </row>
    <row r="551" spans="1:18" x14ac:dyDescent="0.35">
      <c r="A551">
        <v>549</v>
      </c>
      <c r="B551" t="s">
        <v>1238</v>
      </c>
      <c r="C551" s="1">
        <f t="shared" ca="1" si="40"/>
        <v>45554</v>
      </c>
      <c r="D551" t="str">
        <f t="shared" ca="1" si="41"/>
        <v>September</v>
      </c>
      <c r="E551" t="s">
        <v>29</v>
      </c>
      <c r="F551" t="s">
        <v>33</v>
      </c>
      <c r="G551" t="str">
        <f t="shared" si="42"/>
        <v>Women</v>
      </c>
      <c r="H551" t="str">
        <f t="shared" ca="1" si="43"/>
        <v>Amazon</v>
      </c>
      <c r="I551">
        <f t="shared" ca="1" si="44"/>
        <v>35</v>
      </c>
      <c r="J551" t="s">
        <v>1239</v>
      </c>
      <c r="K551" t="s">
        <v>18</v>
      </c>
      <c r="L551" t="s">
        <v>19</v>
      </c>
      <c r="M551">
        <v>1</v>
      </c>
      <c r="N551" t="s">
        <v>20</v>
      </c>
      <c r="O551">
        <v>449</v>
      </c>
      <c r="P551" t="s">
        <v>45</v>
      </c>
      <c r="Q551" t="s">
        <v>46</v>
      </c>
      <c r="R551" t="s">
        <v>23</v>
      </c>
    </row>
    <row r="552" spans="1:18" x14ac:dyDescent="0.35">
      <c r="A552">
        <v>550</v>
      </c>
      <c r="B552" t="s">
        <v>1240</v>
      </c>
      <c r="C552" s="1">
        <f t="shared" ca="1" si="40"/>
        <v>45192</v>
      </c>
      <c r="D552" t="str">
        <f t="shared" ca="1" si="41"/>
        <v>September</v>
      </c>
      <c r="E552" t="s">
        <v>29</v>
      </c>
      <c r="F552" t="s">
        <v>33</v>
      </c>
      <c r="G552" t="str">
        <f t="shared" si="42"/>
        <v>Women</v>
      </c>
      <c r="H552" t="str">
        <f t="shared" ca="1" si="43"/>
        <v>Amazon</v>
      </c>
      <c r="I552">
        <f t="shared" ca="1" si="44"/>
        <v>31</v>
      </c>
      <c r="J552" t="s">
        <v>1241</v>
      </c>
      <c r="K552" t="s">
        <v>18</v>
      </c>
      <c r="L552" t="s">
        <v>35</v>
      </c>
      <c r="M552">
        <v>1</v>
      </c>
      <c r="N552" t="s">
        <v>20</v>
      </c>
      <c r="O552">
        <v>696</v>
      </c>
      <c r="P552" t="s">
        <v>1242</v>
      </c>
      <c r="Q552" t="s">
        <v>171</v>
      </c>
      <c r="R552" t="s">
        <v>23</v>
      </c>
    </row>
    <row r="553" spans="1:18" x14ac:dyDescent="0.35">
      <c r="A553">
        <v>551</v>
      </c>
      <c r="B553" t="s">
        <v>1243</v>
      </c>
      <c r="C553" s="1">
        <f t="shared" ca="1" si="40"/>
        <v>45219</v>
      </c>
      <c r="D553" t="str">
        <f t="shared" ca="1" si="41"/>
        <v>October</v>
      </c>
      <c r="E553" t="s">
        <v>29</v>
      </c>
      <c r="F553" t="s">
        <v>33</v>
      </c>
      <c r="G553" t="str">
        <f t="shared" si="42"/>
        <v>Men</v>
      </c>
      <c r="H553" t="str">
        <f t="shared" ca="1" si="43"/>
        <v>Amazon</v>
      </c>
      <c r="I553">
        <f t="shared" ca="1" si="44"/>
        <v>43</v>
      </c>
      <c r="J553" t="s">
        <v>1244</v>
      </c>
      <c r="K553" t="s">
        <v>27</v>
      </c>
      <c r="L553" t="s">
        <v>101</v>
      </c>
      <c r="M553">
        <v>1</v>
      </c>
      <c r="N553" t="s">
        <v>20</v>
      </c>
      <c r="O553">
        <v>459</v>
      </c>
      <c r="P553" t="s">
        <v>1245</v>
      </c>
      <c r="Q553" t="s">
        <v>378</v>
      </c>
      <c r="R553" t="s">
        <v>23</v>
      </c>
    </row>
    <row r="554" spans="1:18" x14ac:dyDescent="0.35">
      <c r="A554">
        <v>552</v>
      </c>
      <c r="B554" t="s">
        <v>1246</v>
      </c>
      <c r="C554" s="1">
        <f t="shared" ca="1" si="40"/>
        <v>45614</v>
      </c>
      <c r="D554" t="str">
        <f t="shared" ca="1" si="41"/>
        <v>November</v>
      </c>
      <c r="E554" t="s">
        <v>25</v>
      </c>
      <c r="F554" t="s">
        <v>16</v>
      </c>
      <c r="G554" t="str">
        <f t="shared" si="42"/>
        <v>Women</v>
      </c>
      <c r="H554" t="str">
        <f t="shared" ca="1" si="43"/>
        <v>Myntra</v>
      </c>
      <c r="I554">
        <f t="shared" ca="1" si="44"/>
        <v>48</v>
      </c>
      <c r="J554" t="s">
        <v>1247</v>
      </c>
      <c r="K554" t="s">
        <v>44</v>
      </c>
      <c r="L554" t="s">
        <v>40</v>
      </c>
      <c r="M554">
        <v>1</v>
      </c>
      <c r="N554" t="s">
        <v>20</v>
      </c>
      <c r="O554">
        <v>625</v>
      </c>
      <c r="P554" t="s">
        <v>122</v>
      </c>
      <c r="Q554" t="s">
        <v>22</v>
      </c>
      <c r="R554" t="s">
        <v>23</v>
      </c>
    </row>
    <row r="555" spans="1:18" x14ac:dyDescent="0.35">
      <c r="A555">
        <v>553</v>
      </c>
      <c r="B555" t="s">
        <v>1248</v>
      </c>
      <c r="C555" s="1">
        <f t="shared" ca="1" si="40"/>
        <v>45594</v>
      </c>
      <c r="D555" t="str">
        <f t="shared" ca="1" si="41"/>
        <v>October</v>
      </c>
      <c r="E555" t="s">
        <v>29</v>
      </c>
      <c r="F555" t="s">
        <v>33</v>
      </c>
      <c r="G555" t="str">
        <f t="shared" si="42"/>
        <v>Women</v>
      </c>
      <c r="H555" t="str">
        <f t="shared" ca="1" si="43"/>
        <v>Amazon</v>
      </c>
      <c r="I555">
        <f t="shared" ca="1" si="44"/>
        <v>59</v>
      </c>
      <c r="J555" t="s">
        <v>568</v>
      </c>
      <c r="K555" t="s">
        <v>18</v>
      </c>
      <c r="L555" t="s">
        <v>28</v>
      </c>
      <c r="M555">
        <v>1</v>
      </c>
      <c r="N555" t="s">
        <v>20</v>
      </c>
      <c r="O555">
        <v>654</v>
      </c>
      <c r="P555" t="s">
        <v>867</v>
      </c>
      <c r="Q555" t="s">
        <v>50</v>
      </c>
      <c r="R555" t="s">
        <v>23</v>
      </c>
    </row>
    <row r="556" spans="1:18" x14ac:dyDescent="0.35">
      <c r="A556">
        <v>554</v>
      </c>
      <c r="B556" t="s">
        <v>1249</v>
      </c>
      <c r="C556" s="1">
        <f t="shared" ca="1" si="40"/>
        <v>45406</v>
      </c>
      <c r="D556" t="str">
        <f t="shared" ca="1" si="41"/>
        <v>April</v>
      </c>
      <c r="E556" t="s">
        <v>29</v>
      </c>
      <c r="F556" t="s">
        <v>33</v>
      </c>
      <c r="G556" t="str">
        <f t="shared" si="42"/>
        <v>Men</v>
      </c>
      <c r="H556" t="str">
        <f t="shared" ca="1" si="43"/>
        <v>Amazon</v>
      </c>
      <c r="I556">
        <f t="shared" ca="1" si="44"/>
        <v>57</v>
      </c>
      <c r="J556" t="s">
        <v>87</v>
      </c>
      <c r="K556" t="s">
        <v>27</v>
      </c>
      <c r="L556" t="s">
        <v>35</v>
      </c>
      <c r="M556">
        <v>1</v>
      </c>
      <c r="N556" t="s">
        <v>20</v>
      </c>
      <c r="O556">
        <v>399</v>
      </c>
      <c r="P556" t="s">
        <v>21</v>
      </c>
      <c r="Q556" t="s">
        <v>22</v>
      </c>
      <c r="R556" t="s">
        <v>23</v>
      </c>
    </row>
    <row r="557" spans="1:18" x14ac:dyDescent="0.35">
      <c r="A557">
        <v>555</v>
      </c>
      <c r="B557" t="s">
        <v>1250</v>
      </c>
      <c r="C557" s="1">
        <f t="shared" ca="1" si="40"/>
        <v>45447</v>
      </c>
      <c r="D557" t="str">
        <f t="shared" ca="1" si="41"/>
        <v>June</v>
      </c>
      <c r="E557" t="s">
        <v>29</v>
      </c>
      <c r="F557" t="s">
        <v>33</v>
      </c>
      <c r="G557" t="str">
        <f t="shared" si="42"/>
        <v>Women</v>
      </c>
      <c r="H557" t="str">
        <f t="shared" ca="1" si="43"/>
        <v>Amazon</v>
      </c>
      <c r="I557">
        <f t="shared" ca="1" si="44"/>
        <v>49</v>
      </c>
      <c r="J557" t="s">
        <v>1251</v>
      </c>
      <c r="K557" t="s">
        <v>18</v>
      </c>
      <c r="L557" t="s">
        <v>62</v>
      </c>
      <c r="M557">
        <v>1</v>
      </c>
      <c r="N557" t="s">
        <v>20</v>
      </c>
      <c r="O557">
        <v>595</v>
      </c>
      <c r="P557" t="s">
        <v>45</v>
      </c>
      <c r="Q557" t="s">
        <v>46</v>
      </c>
      <c r="R557" t="s">
        <v>23</v>
      </c>
    </row>
    <row r="558" spans="1:18" x14ac:dyDescent="0.35">
      <c r="A558">
        <v>556</v>
      </c>
      <c r="B558" t="s">
        <v>1252</v>
      </c>
      <c r="C558" s="1">
        <f t="shared" ca="1" si="40"/>
        <v>45270</v>
      </c>
      <c r="D558" t="str">
        <f t="shared" ca="1" si="41"/>
        <v>December</v>
      </c>
      <c r="E558" t="s">
        <v>29</v>
      </c>
      <c r="F558" t="s">
        <v>33</v>
      </c>
      <c r="G558" t="str">
        <f t="shared" si="42"/>
        <v>Women</v>
      </c>
      <c r="H558" t="str">
        <f t="shared" ca="1" si="43"/>
        <v>Amazon</v>
      </c>
      <c r="I558">
        <f t="shared" ca="1" si="44"/>
        <v>23</v>
      </c>
      <c r="J558" t="s">
        <v>498</v>
      </c>
      <c r="K558" t="s">
        <v>18</v>
      </c>
      <c r="L558" t="s">
        <v>40</v>
      </c>
      <c r="M558">
        <v>1</v>
      </c>
      <c r="N558" t="s">
        <v>20</v>
      </c>
      <c r="O558">
        <v>597</v>
      </c>
      <c r="P558" t="s">
        <v>749</v>
      </c>
      <c r="Q558" t="s">
        <v>22</v>
      </c>
      <c r="R558" t="s">
        <v>23</v>
      </c>
    </row>
    <row r="559" spans="1:18" x14ac:dyDescent="0.35">
      <c r="A559">
        <v>557</v>
      </c>
      <c r="B559" t="s">
        <v>1253</v>
      </c>
      <c r="C559" s="1">
        <f t="shared" ca="1" si="40"/>
        <v>45549</v>
      </c>
      <c r="D559" t="str">
        <f t="shared" ca="1" si="41"/>
        <v>September</v>
      </c>
      <c r="E559" t="s">
        <v>29</v>
      </c>
      <c r="F559" t="s">
        <v>33</v>
      </c>
      <c r="G559" t="str">
        <f t="shared" si="42"/>
        <v>Women</v>
      </c>
      <c r="H559" t="str">
        <f t="shared" ca="1" si="43"/>
        <v>Amazon</v>
      </c>
      <c r="I559">
        <f t="shared" ca="1" si="44"/>
        <v>50</v>
      </c>
      <c r="J559" t="s">
        <v>1254</v>
      </c>
      <c r="K559" t="s">
        <v>18</v>
      </c>
      <c r="L559" t="s">
        <v>62</v>
      </c>
      <c r="M559">
        <v>1</v>
      </c>
      <c r="N559" t="s">
        <v>20</v>
      </c>
      <c r="O559">
        <v>582</v>
      </c>
      <c r="P559" t="s">
        <v>88</v>
      </c>
      <c r="Q559" t="s">
        <v>89</v>
      </c>
      <c r="R559" t="s">
        <v>23</v>
      </c>
    </row>
    <row r="560" spans="1:18" x14ac:dyDescent="0.35">
      <c r="A560">
        <v>558</v>
      </c>
      <c r="B560" t="s">
        <v>1255</v>
      </c>
      <c r="C560" s="1">
        <f t="shared" ca="1" si="40"/>
        <v>45652</v>
      </c>
      <c r="D560" t="str">
        <f t="shared" ca="1" si="41"/>
        <v>December</v>
      </c>
      <c r="E560" t="s">
        <v>29</v>
      </c>
      <c r="F560" t="s">
        <v>33</v>
      </c>
      <c r="G560" t="str">
        <f t="shared" si="42"/>
        <v>Women</v>
      </c>
      <c r="H560" t="str">
        <f t="shared" ca="1" si="43"/>
        <v>Amazon</v>
      </c>
      <c r="I560">
        <f t="shared" ca="1" si="44"/>
        <v>41</v>
      </c>
      <c r="J560" t="s">
        <v>1256</v>
      </c>
      <c r="K560" t="s">
        <v>18</v>
      </c>
      <c r="L560" t="s">
        <v>28</v>
      </c>
      <c r="M560">
        <v>1</v>
      </c>
      <c r="N560" t="s">
        <v>20</v>
      </c>
      <c r="O560">
        <v>612</v>
      </c>
      <c r="P560" t="s">
        <v>21</v>
      </c>
      <c r="Q560" t="s">
        <v>22</v>
      </c>
      <c r="R560" t="s">
        <v>23</v>
      </c>
    </row>
    <row r="561" spans="1:18" x14ac:dyDescent="0.35">
      <c r="A561">
        <v>559</v>
      </c>
      <c r="B561" t="s">
        <v>1257</v>
      </c>
      <c r="C561" s="1">
        <f t="shared" ca="1" si="40"/>
        <v>45128</v>
      </c>
      <c r="D561" t="str">
        <f t="shared" ca="1" si="41"/>
        <v>July</v>
      </c>
      <c r="E561" t="s">
        <v>29</v>
      </c>
      <c r="F561" t="s">
        <v>33</v>
      </c>
      <c r="G561" t="str">
        <f t="shared" si="42"/>
        <v>Women</v>
      </c>
      <c r="H561" t="str">
        <f t="shared" ca="1" si="43"/>
        <v>Amazon</v>
      </c>
      <c r="I561">
        <f t="shared" ca="1" si="44"/>
        <v>22</v>
      </c>
      <c r="J561" t="s">
        <v>187</v>
      </c>
      <c r="K561" t="s">
        <v>18</v>
      </c>
      <c r="L561" t="s">
        <v>101</v>
      </c>
      <c r="M561">
        <v>1</v>
      </c>
      <c r="N561" t="s">
        <v>20</v>
      </c>
      <c r="O561">
        <v>654</v>
      </c>
      <c r="P561" t="s">
        <v>157</v>
      </c>
      <c r="Q561" t="s">
        <v>50</v>
      </c>
      <c r="R561" t="s">
        <v>23</v>
      </c>
    </row>
    <row r="562" spans="1:18" x14ac:dyDescent="0.35">
      <c r="A562">
        <v>560</v>
      </c>
      <c r="B562" t="s">
        <v>1258</v>
      </c>
      <c r="C562" s="1">
        <f t="shared" ca="1" si="40"/>
        <v>45368</v>
      </c>
      <c r="D562" t="str">
        <f t="shared" ca="1" si="41"/>
        <v>March</v>
      </c>
      <c r="E562" t="s">
        <v>25</v>
      </c>
      <c r="F562" t="s">
        <v>16</v>
      </c>
      <c r="G562" t="str">
        <f t="shared" si="42"/>
        <v>Women</v>
      </c>
      <c r="H562" t="str">
        <f t="shared" ca="1" si="43"/>
        <v>Myntra</v>
      </c>
      <c r="I562">
        <f t="shared" ca="1" si="44"/>
        <v>47</v>
      </c>
      <c r="J562" t="s">
        <v>1259</v>
      </c>
      <c r="K562" t="s">
        <v>44</v>
      </c>
      <c r="L562" t="s">
        <v>40</v>
      </c>
      <c r="M562">
        <v>1</v>
      </c>
      <c r="N562" t="s">
        <v>20</v>
      </c>
      <c r="O562">
        <v>518</v>
      </c>
      <c r="P562" t="s">
        <v>88</v>
      </c>
      <c r="Q562" t="s">
        <v>89</v>
      </c>
      <c r="R562" t="s">
        <v>23</v>
      </c>
    </row>
    <row r="563" spans="1:18" x14ac:dyDescent="0.35">
      <c r="A563">
        <v>561</v>
      </c>
      <c r="B563" t="s">
        <v>1260</v>
      </c>
      <c r="C563" s="1">
        <f t="shared" ca="1" si="40"/>
        <v>45275</v>
      </c>
      <c r="D563" t="str">
        <f t="shared" ca="1" si="41"/>
        <v>December</v>
      </c>
      <c r="E563" t="s">
        <v>29</v>
      </c>
      <c r="F563" t="s">
        <v>33</v>
      </c>
      <c r="G563" t="str">
        <f t="shared" si="42"/>
        <v>Women</v>
      </c>
      <c r="H563" t="str">
        <f t="shared" ca="1" si="43"/>
        <v>Amazon</v>
      </c>
      <c r="I563">
        <f t="shared" ca="1" si="44"/>
        <v>55</v>
      </c>
      <c r="J563" t="s">
        <v>1261</v>
      </c>
      <c r="K563" t="s">
        <v>18</v>
      </c>
      <c r="L563" t="s">
        <v>19</v>
      </c>
      <c r="M563">
        <v>1</v>
      </c>
      <c r="N563" t="s">
        <v>20</v>
      </c>
      <c r="O563">
        <v>820</v>
      </c>
      <c r="P563" t="s">
        <v>1262</v>
      </c>
      <c r="Q563" t="s">
        <v>161</v>
      </c>
      <c r="R563" t="s">
        <v>23</v>
      </c>
    </row>
    <row r="564" spans="1:18" x14ac:dyDescent="0.35">
      <c r="A564">
        <v>562</v>
      </c>
      <c r="B564" t="s">
        <v>1263</v>
      </c>
      <c r="C564" s="1">
        <f t="shared" ca="1" si="40"/>
        <v>45220</v>
      </c>
      <c r="D564" t="str">
        <f t="shared" ca="1" si="41"/>
        <v>October</v>
      </c>
      <c r="E564" t="s">
        <v>29</v>
      </c>
      <c r="F564" t="s">
        <v>33</v>
      </c>
      <c r="G564" t="str">
        <f t="shared" si="42"/>
        <v>Women</v>
      </c>
      <c r="H564" t="str">
        <f t="shared" ca="1" si="43"/>
        <v>Amazon</v>
      </c>
      <c r="I564">
        <f t="shared" ca="1" si="44"/>
        <v>49</v>
      </c>
      <c r="J564" t="s">
        <v>1264</v>
      </c>
      <c r="K564" t="s">
        <v>18</v>
      </c>
      <c r="L564" t="s">
        <v>28</v>
      </c>
      <c r="M564">
        <v>1</v>
      </c>
      <c r="N564" t="s">
        <v>20</v>
      </c>
      <c r="O564">
        <v>801</v>
      </c>
      <c r="P564" t="s">
        <v>133</v>
      </c>
      <c r="Q564" t="s">
        <v>50</v>
      </c>
      <c r="R564" t="s">
        <v>23</v>
      </c>
    </row>
    <row r="565" spans="1:18" x14ac:dyDescent="0.35">
      <c r="A565">
        <v>563</v>
      </c>
      <c r="B565" t="s">
        <v>1265</v>
      </c>
      <c r="C565" s="1">
        <f t="shared" ca="1" si="40"/>
        <v>45533</v>
      </c>
      <c r="D565" t="str">
        <f t="shared" ca="1" si="41"/>
        <v>August</v>
      </c>
      <c r="E565" t="s">
        <v>15</v>
      </c>
      <c r="F565" t="s">
        <v>16</v>
      </c>
      <c r="G565" t="str">
        <f t="shared" si="42"/>
        <v>Men</v>
      </c>
      <c r="H565" t="str">
        <f t="shared" ca="1" si="43"/>
        <v>Flipkart</v>
      </c>
      <c r="I565">
        <f t="shared" ca="1" si="44"/>
        <v>59</v>
      </c>
      <c r="J565" t="s">
        <v>1266</v>
      </c>
      <c r="K565" t="s">
        <v>27</v>
      </c>
      <c r="L565" t="s">
        <v>28</v>
      </c>
      <c r="M565">
        <v>0</v>
      </c>
      <c r="P565" t="s">
        <v>1267</v>
      </c>
      <c r="Q565" t="s">
        <v>50</v>
      </c>
      <c r="R565" t="s">
        <v>23</v>
      </c>
    </row>
    <row r="566" spans="1:18" x14ac:dyDescent="0.35">
      <c r="A566">
        <v>564</v>
      </c>
      <c r="B566" t="s">
        <v>1268</v>
      </c>
      <c r="C566" s="1">
        <f t="shared" ca="1" si="40"/>
        <v>45611</v>
      </c>
      <c r="D566" t="str">
        <f t="shared" ca="1" si="41"/>
        <v>November</v>
      </c>
      <c r="E566" t="s">
        <v>29</v>
      </c>
      <c r="F566" t="s">
        <v>33</v>
      </c>
      <c r="G566" t="str">
        <f t="shared" si="42"/>
        <v>Men</v>
      </c>
      <c r="H566" t="str">
        <f t="shared" ca="1" si="43"/>
        <v>Amazon</v>
      </c>
      <c r="I566">
        <f t="shared" ca="1" si="44"/>
        <v>28</v>
      </c>
      <c r="J566" t="s">
        <v>87</v>
      </c>
      <c r="K566" t="s">
        <v>27</v>
      </c>
      <c r="L566" t="s">
        <v>35</v>
      </c>
      <c r="M566">
        <v>1</v>
      </c>
      <c r="N566" t="s">
        <v>20</v>
      </c>
      <c r="O566">
        <v>399</v>
      </c>
      <c r="P566" t="s">
        <v>21</v>
      </c>
      <c r="Q566" t="s">
        <v>22</v>
      </c>
      <c r="R566" t="s">
        <v>23</v>
      </c>
    </row>
    <row r="567" spans="1:18" x14ac:dyDescent="0.35">
      <c r="A567">
        <v>565</v>
      </c>
      <c r="B567" t="s">
        <v>1269</v>
      </c>
      <c r="C567" s="1">
        <f t="shared" ca="1" si="40"/>
        <v>44975</v>
      </c>
      <c r="D567" t="str">
        <f t="shared" ca="1" si="41"/>
        <v>February</v>
      </c>
      <c r="E567" t="s">
        <v>29</v>
      </c>
      <c r="F567" t="s">
        <v>33</v>
      </c>
      <c r="G567" t="str">
        <f t="shared" si="42"/>
        <v>Women</v>
      </c>
      <c r="H567" t="str">
        <f t="shared" ca="1" si="43"/>
        <v>Amazon</v>
      </c>
      <c r="I567">
        <f t="shared" ca="1" si="44"/>
        <v>50</v>
      </c>
      <c r="J567" t="s">
        <v>1270</v>
      </c>
      <c r="K567" t="s">
        <v>44</v>
      </c>
      <c r="L567" t="s">
        <v>40</v>
      </c>
      <c r="M567">
        <v>1</v>
      </c>
      <c r="N567" t="s">
        <v>20</v>
      </c>
      <c r="O567">
        <v>540</v>
      </c>
      <c r="P567" t="s">
        <v>152</v>
      </c>
      <c r="Q567" t="s">
        <v>153</v>
      </c>
      <c r="R567" t="s">
        <v>23</v>
      </c>
    </row>
    <row r="568" spans="1:18" x14ac:dyDescent="0.35">
      <c r="A568">
        <v>566</v>
      </c>
      <c r="B568" t="s">
        <v>1271</v>
      </c>
      <c r="C568" s="1">
        <f t="shared" ca="1" si="40"/>
        <v>45202</v>
      </c>
      <c r="D568" t="str">
        <f t="shared" ca="1" si="41"/>
        <v>October</v>
      </c>
      <c r="E568" t="s">
        <v>29</v>
      </c>
      <c r="F568" t="s">
        <v>33</v>
      </c>
      <c r="G568" t="str">
        <f t="shared" si="42"/>
        <v>Women</v>
      </c>
      <c r="H568" t="str">
        <f t="shared" ca="1" si="43"/>
        <v>Amazon</v>
      </c>
      <c r="I568">
        <f t="shared" ca="1" si="44"/>
        <v>55</v>
      </c>
      <c r="J568" t="s">
        <v>1272</v>
      </c>
      <c r="K568" t="s">
        <v>18</v>
      </c>
      <c r="L568" t="s">
        <v>40</v>
      </c>
      <c r="M568">
        <v>1</v>
      </c>
      <c r="N568" t="s">
        <v>20</v>
      </c>
      <c r="O568">
        <v>1338</v>
      </c>
      <c r="P568" t="s">
        <v>1273</v>
      </c>
      <c r="Q568" t="s">
        <v>153</v>
      </c>
      <c r="R568" t="s">
        <v>23</v>
      </c>
    </row>
    <row r="569" spans="1:18" x14ac:dyDescent="0.35">
      <c r="A569">
        <v>567</v>
      </c>
      <c r="B569" t="s">
        <v>1274</v>
      </c>
      <c r="C569" s="1">
        <f t="shared" ca="1" si="40"/>
        <v>45197</v>
      </c>
      <c r="D569" t="str">
        <f t="shared" ca="1" si="41"/>
        <v>September</v>
      </c>
      <c r="E569" t="s">
        <v>29</v>
      </c>
      <c r="F569" t="s">
        <v>33</v>
      </c>
      <c r="G569" t="str">
        <f t="shared" si="42"/>
        <v>Women</v>
      </c>
      <c r="H569" t="str">
        <f t="shared" ca="1" si="43"/>
        <v>Amazon</v>
      </c>
      <c r="I569">
        <f t="shared" ca="1" si="44"/>
        <v>43</v>
      </c>
      <c r="J569" t="s">
        <v>1275</v>
      </c>
      <c r="K569" t="s">
        <v>44</v>
      </c>
      <c r="L569" t="s">
        <v>101</v>
      </c>
      <c r="M569">
        <v>1</v>
      </c>
      <c r="N569" t="s">
        <v>20</v>
      </c>
      <c r="O569">
        <v>540</v>
      </c>
      <c r="P569" t="s">
        <v>170</v>
      </c>
      <c r="Q569" t="s">
        <v>171</v>
      </c>
      <c r="R569" t="s">
        <v>23</v>
      </c>
    </row>
    <row r="570" spans="1:18" x14ac:dyDescent="0.35">
      <c r="A570">
        <v>568</v>
      </c>
      <c r="B570" t="s">
        <v>1276</v>
      </c>
      <c r="C570" s="1">
        <f t="shared" ca="1" si="40"/>
        <v>45488</v>
      </c>
      <c r="D570" t="str">
        <f t="shared" ca="1" si="41"/>
        <v>July</v>
      </c>
      <c r="E570" t="s">
        <v>29</v>
      </c>
      <c r="F570" t="s">
        <v>33</v>
      </c>
      <c r="G570" t="str">
        <f t="shared" si="42"/>
        <v>Women</v>
      </c>
      <c r="H570" t="str">
        <f t="shared" ca="1" si="43"/>
        <v>Amazon</v>
      </c>
      <c r="I570">
        <f t="shared" ca="1" si="44"/>
        <v>31</v>
      </c>
      <c r="J570" t="s">
        <v>1277</v>
      </c>
      <c r="K570" t="s">
        <v>44</v>
      </c>
      <c r="L570" t="s">
        <v>28</v>
      </c>
      <c r="M570">
        <v>1</v>
      </c>
      <c r="N570" t="s">
        <v>20</v>
      </c>
      <c r="O570">
        <v>625</v>
      </c>
      <c r="P570" t="s">
        <v>56</v>
      </c>
      <c r="Q570" t="s">
        <v>57</v>
      </c>
      <c r="R570" t="s">
        <v>23</v>
      </c>
    </row>
    <row r="571" spans="1:18" x14ac:dyDescent="0.35">
      <c r="A571">
        <v>569</v>
      </c>
      <c r="B571" t="s">
        <v>1278</v>
      </c>
      <c r="C571" s="1">
        <f t="shared" ca="1" si="40"/>
        <v>45246</v>
      </c>
      <c r="D571" t="str">
        <f t="shared" ca="1" si="41"/>
        <v>November</v>
      </c>
      <c r="E571" t="s">
        <v>25</v>
      </c>
      <c r="F571" t="s">
        <v>16</v>
      </c>
      <c r="G571" t="str">
        <f t="shared" si="42"/>
        <v>Men</v>
      </c>
      <c r="H571" t="str">
        <f t="shared" ca="1" si="43"/>
        <v>Myntra</v>
      </c>
      <c r="I571">
        <f t="shared" ca="1" si="44"/>
        <v>19</v>
      </c>
      <c r="J571" t="s">
        <v>1279</v>
      </c>
      <c r="K571" t="s">
        <v>27</v>
      </c>
      <c r="L571" t="s">
        <v>62</v>
      </c>
      <c r="M571">
        <v>1</v>
      </c>
      <c r="N571" t="s">
        <v>20</v>
      </c>
      <c r="O571">
        <v>364</v>
      </c>
      <c r="P571" t="s">
        <v>219</v>
      </c>
      <c r="Q571" t="s">
        <v>22</v>
      </c>
      <c r="R571" t="s">
        <v>23</v>
      </c>
    </row>
    <row r="572" spans="1:18" x14ac:dyDescent="0.35">
      <c r="A572">
        <v>570</v>
      </c>
      <c r="B572" t="s">
        <v>1280</v>
      </c>
      <c r="C572" s="1">
        <f t="shared" ca="1" si="40"/>
        <v>45352</v>
      </c>
      <c r="D572" t="str">
        <f t="shared" ca="1" si="41"/>
        <v>March</v>
      </c>
      <c r="E572" t="s">
        <v>29</v>
      </c>
      <c r="F572" t="s">
        <v>33</v>
      </c>
      <c r="G572" t="str">
        <f t="shared" si="42"/>
        <v>Men</v>
      </c>
      <c r="H572" t="str">
        <f t="shared" ca="1" si="43"/>
        <v>Amazon</v>
      </c>
      <c r="I572">
        <f t="shared" ca="1" si="44"/>
        <v>49</v>
      </c>
      <c r="J572" t="s">
        <v>1281</v>
      </c>
      <c r="K572" t="s">
        <v>27</v>
      </c>
      <c r="L572" t="s">
        <v>35</v>
      </c>
      <c r="M572">
        <v>1</v>
      </c>
      <c r="N572" t="s">
        <v>20</v>
      </c>
      <c r="O572">
        <v>429</v>
      </c>
      <c r="P572" t="s">
        <v>117</v>
      </c>
      <c r="Q572" t="s">
        <v>118</v>
      </c>
      <c r="R572" t="s">
        <v>23</v>
      </c>
    </row>
    <row r="573" spans="1:18" x14ac:dyDescent="0.35">
      <c r="A573">
        <v>571</v>
      </c>
      <c r="B573" t="s">
        <v>1282</v>
      </c>
      <c r="C573" s="1">
        <f t="shared" ca="1" si="40"/>
        <v>45502</v>
      </c>
      <c r="D573" t="str">
        <f t="shared" ca="1" si="41"/>
        <v>July</v>
      </c>
      <c r="E573" t="s">
        <v>15</v>
      </c>
      <c r="F573" t="s">
        <v>33</v>
      </c>
      <c r="G573" t="str">
        <f t="shared" si="42"/>
        <v>Women</v>
      </c>
      <c r="H573" t="str">
        <f t="shared" ca="1" si="43"/>
        <v>Amazon</v>
      </c>
      <c r="I573">
        <f t="shared" ca="1" si="44"/>
        <v>21</v>
      </c>
      <c r="J573" t="s">
        <v>1283</v>
      </c>
      <c r="K573" t="s">
        <v>39</v>
      </c>
      <c r="L573" t="s">
        <v>62</v>
      </c>
      <c r="M573">
        <v>1</v>
      </c>
      <c r="N573" t="s">
        <v>20</v>
      </c>
      <c r="O573">
        <v>899</v>
      </c>
      <c r="P573" t="s">
        <v>522</v>
      </c>
      <c r="Q573" t="s">
        <v>31</v>
      </c>
      <c r="R573" t="s">
        <v>23</v>
      </c>
    </row>
    <row r="574" spans="1:18" x14ac:dyDescent="0.35">
      <c r="A574">
        <v>572</v>
      </c>
      <c r="B574" t="s">
        <v>1284</v>
      </c>
      <c r="C574" s="1">
        <f t="shared" ca="1" si="40"/>
        <v>45328</v>
      </c>
      <c r="D574" t="str">
        <f t="shared" ca="1" si="41"/>
        <v>February</v>
      </c>
      <c r="E574" t="s">
        <v>15</v>
      </c>
      <c r="F574" t="s">
        <v>33</v>
      </c>
      <c r="G574" t="str">
        <f t="shared" si="42"/>
        <v>Women</v>
      </c>
      <c r="H574" t="str">
        <f t="shared" ca="1" si="43"/>
        <v>Amazon</v>
      </c>
      <c r="I574">
        <f t="shared" ca="1" si="44"/>
        <v>54</v>
      </c>
      <c r="J574" t="s">
        <v>521</v>
      </c>
      <c r="K574" t="s">
        <v>18</v>
      </c>
      <c r="L574" t="s">
        <v>62</v>
      </c>
      <c r="M574">
        <v>0</v>
      </c>
      <c r="P574" t="s">
        <v>1285</v>
      </c>
      <c r="Q574" t="s">
        <v>357</v>
      </c>
      <c r="R574" t="s">
        <v>23</v>
      </c>
    </row>
    <row r="575" spans="1:18" x14ac:dyDescent="0.35">
      <c r="A575">
        <v>573</v>
      </c>
      <c r="B575" t="s">
        <v>1286</v>
      </c>
      <c r="C575" s="1">
        <f t="shared" ca="1" si="40"/>
        <v>44994</v>
      </c>
      <c r="D575" t="str">
        <f t="shared" ca="1" si="41"/>
        <v>March</v>
      </c>
      <c r="E575" t="s">
        <v>29</v>
      </c>
      <c r="F575" t="s">
        <v>33</v>
      </c>
      <c r="G575" t="str">
        <f t="shared" si="42"/>
        <v>Women</v>
      </c>
      <c r="H575" t="str">
        <f t="shared" ca="1" si="43"/>
        <v>Amazon</v>
      </c>
      <c r="I575">
        <f t="shared" ca="1" si="44"/>
        <v>38</v>
      </c>
      <c r="J575" t="s">
        <v>1287</v>
      </c>
      <c r="K575" t="s">
        <v>18</v>
      </c>
      <c r="L575" t="s">
        <v>62</v>
      </c>
      <c r="M575">
        <v>1</v>
      </c>
      <c r="N575" t="s">
        <v>20</v>
      </c>
      <c r="O575">
        <v>1126</v>
      </c>
      <c r="P575" t="s">
        <v>566</v>
      </c>
      <c r="Q575" t="s">
        <v>140</v>
      </c>
      <c r="R575" t="s">
        <v>23</v>
      </c>
    </row>
    <row r="576" spans="1:18" x14ac:dyDescent="0.35">
      <c r="A576">
        <v>574</v>
      </c>
      <c r="B576" t="s">
        <v>1288</v>
      </c>
      <c r="C576" s="1">
        <f t="shared" ca="1" si="40"/>
        <v>45227</v>
      </c>
      <c r="D576" t="str">
        <f t="shared" ca="1" si="41"/>
        <v>October</v>
      </c>
      <c r="E576" t="s">
        <v>29</v>
      </c>
      <c r="F576" t="s">
        <v>33</v>
      </c>
      <c r="G576" t="str">
        <f t="shared" si="42"/>
        <v>Women</v>
      </c>
      <c r="H576" t="str">
        <f t="shared" ca="1" si="43"/>
        <v>Amazon</v>
      </c>
      <c r="I576">
        <f t="shared" ca="1" si="44"/>
        <v>32</v>
      </c>
      <c r="J576" t="s">
        <v>1289</v>
      </c>
      <c r="K576" t="s">
        <v>18</v>
      </c>
      <c r="L576" t="s">
        <v>19</v>
      </c>
      <c r="M576">
        <v>1</v>
      </c>
      <c r="N576" t="s">
        <v>20</v>
      </c>
      <c r="O576">
        <v>788</v>
      </c>
      <c r="P576" t="s">
        <v>1290</v>
      </c>
      <c r="Q576" t="s">
        <v>31</v>
      </c>
      <c r="R576" t="s">
        <v>23</v>
      </c>
    </row>
    <row r="577" spans="1:18" x14ac:dyDescent="0.35">
      <c r="A577">
        <v>575</v>
      </c>
      <c r="B577" t="s">
        <v>1291</v>
      </c>
      <c r="C577" s="1">
        <f t="shared" ca="1" si="40"/>
        <v>45526</v>
      </c>
      <c r="D577" t="str">
        <f t="shared" ca="1" si="41"/>
        <v>August</v>
      </c>
      <c r="E577" t="s">
        <v>29</v>
      </c>
      <c r="F577" t="s">
        <v>33</v>
      </c>
      <c r="G577" t="str">
        <f t="shared" si="42"/>
        <v>Women</v>
      </c>
      <c r="H577" t="str">
        <f t="shared" ca="1" si="43"/>
        <v>Amazon</v>
      </c>
      <c r="I577">
        <f t="shared" ca="1" si="44"/>
        <v>21</v>
      </c>
      <c r="J577" t="s">
        <v>575</v>
      </c>
      <c r="K577" t="s">
        <v>44</v>
      </c>
      <c r="L577" t="s">
        <v>68</v>
      </c>
      <c r="M577">
        <v>1</v>
      </c>
      <c r="N577" t="s">
        <v>20</v>
      </c>
      <c r="O577">
        <v>432</v>
      </c>
      <c r="P577" t="s">
        <v>213</v>
      </c>
      <c r="Q577" t="s">
        <v>22</v>
      </c>
      <c r="R577" t="s">
        <v>23</v>
      </c>
    </row>
    <row r="578" spans="1:18" x14ac:dyDescent="0.35">
      <c r="A578">
        <v>576</v>
      </c>
      <c r="B578" t="s">
        <v>1292</v>
      </c>
      <c r="C578" s="1">
        <f t="shared" ca="1" si="40"/>
        <v>44987</v>
      </c>
      <c r="D578" t="str">
        <f t="shared" ca="1" si="41"/>
        <v>March</v>
      </c>
      <c r="E578" t="s">
        <v>29</v>
      </c>
      <c r="F578" t="s">
        <v>33</v>
      </c>
      <c r="G578" t="str">
        <f t="shared" si="42"/>
        <v>Men</v>
      </c>
      <c r="H578" t="str">
        <f t="shared" ca="1" si="43"/>
        <v>Amazon</v>
      </c>
      <c r="I578">
        <f t="shared" ca="1" si="44"/>
        <v>23</v>
      </c>
      <c r="J578" t="s">
        <v>221</v>
      </c>
      <c r="K578" t="s">
        <v>27</v>
      </c>
      <c r="L578" t="s">
        <v>62</v>
      </c>
      <c r="M578">
        <v>1</v>
      </c>
      <c r="N578" t="s">
        <v>20</v>
      </c>
      <c r="O578">
        <v>376</v>
      </c>
      <c r="P578" t="s">
        <v>1293</v>
      </c>
      <c r="Q578" t="s">
        <v>57</v>
      </c>
      <c r="R578" t="s">
        <v>23</v>
      </c>
    </row>
    <row r="579" spans="1:18" x14ac:dyDescent="0.35">
      <c r="A579">
        <v>577</v>
      </c>
      <c r="B579" t="s">
        <v>1294</v>
      </c>
      <c r="C579" s="1">
        <f t="shared" ref="C579:C642" ca="1" si="45">RANDBETWEEN(DATE(2023,1,1), DATE(2024,12,31))</f>
        <v>45342</v>
      </c>
      <c r="D579" t="str">
        <f t="shared" ref="D579:D642" ca="1" si="46">TEXT(C579, "MMMM")</f>
        <v>February</v>
      </c>
      <c r="E579" t="s">
        <v>29</v>
      </c>
      <c r="F579" t="s">
        <v>33</v>
      </c>
      <c r="G579" t="str">
        <f t="shared" ref="G579:G642" si="47">IF(K579="Set","Women",IF(K579="Kurta","Men",IF(K579="Top","Women",IF(K579="Western Dress","Women",IF(K579="Ethnic Dress","Women",IF(K579="Saree","Women",0))))))</f>
        <v>Women</v>
      </c>
      <c r="H579" t="str">
        <f t="shared" ref="H579:H642" ca="1" si="48">IF(F579="Merchant",IF(RAND()&gt;0.5,"Myntra","Flipkart"),IF(F579="Amazon","Amazon",0))</f>
        <v>Amazon</v>
      </c>
      <c r="I579">
        <f t="shared" ref="I579:I642" ca="1" si="49">RANDBETWEEN(18, 60)</f>
        <v>27</v>
      </c>
      <c r="J579" t="s">
        <v>641</v>
      </c>
      <c r="K579" t="s">
        <v>39</v>
      </c>
      <c r="L579" t="s">
        <v>101</v>
      </c>
      <c r="M579">
        <v>1</v>
      </c>
      <c r="N579" t="s">
        <v>20</v>
      </c>
      <c r="O579">
        <v>725</v>
      </c>
      <c r="P579" t="s">
        <v>56</v>
      </c>
      <c r="Q579" t="s">
        <v>57</v>
      </c>
      <c r="R579" t="s">
        <v>23</v>
      </c>
    </row>
    <row r="580" spans="1:18" x14ac:dyDescent="0.35">
      <c r="A580">
        <v>578</v>
      </c>
      <c r="B580" t="s">
        <v>1295</v>
      </c>
      <c r="C580" s="1">
        <f t="shared" ca="1" si="45"/>
        <v>45244</v>
      </c>
      <c r="D580" t="str">
        <f t="shared" ca="1" si="46"/>
        <v>November</v>
      </c>
      <c r="E580" t="s">
        <v>29</v>
      </c>
      <c r="F580" t="s">
        <v>33</v>
      </c>
      <c r="G580" t="str">
        <f t="shared" si="47"/>
        <v>Women</v>
      </c>
      <c r="H580" t="str">
        <f t="shared" ca="1" si="48"/>
        <v>Amazon</v>
      </c>
      <c r="I580">
        <f t="shared" ca="1" si="49"/>
        <v>38</v>
      </c>
      <c r="J580" t="s">
        <v>129</v>
      </c>
      <c r="K580" t="s">
        <v>39</v>
      </c>
      <c r="L580" t="s">
        <v>19</v>
      </c>
      <c r="M580">
        <v>1</v>
      </c>
      <c r="N580" t="s">
        <v>20</v>
      </c>
      <c r="O580">
        <v>744</v>
      </c>
      <c r="P580" t="s">
        <v>56</v>
      </c>
      <c r="Q580" t="s">
        <v>57</v>
      </c>
      <c r="R580" t="s">
        <v>23</v>
      </c>
    </row>
    <row r="581" spans="1:18" x14ac:dyDescent="0.35">
      <c r="A581">
        <v>579</v>
      </c>
      <c r="B581" t="s">
        <v>1296</v>
      </c>
      <c r="C581" s="1">
        <f t="shared" ca="1" si="45"/>
        <v>45367</v>
      </c>
      <c r="D581" t="str">
        <f t="shared" ca="1" si="46"/>
        <v>March</v>
      </c>
      <c r="E581" t="s">
        <v>25</v>
      </c>
      <c r="F581" t="s">
        <v>16</v>
      </c>
      <c r="G581" t="str">
        <f t="shared" si="47"/>
        <v>Women</v>
      </c>
      <c r="H581" t="str">
        <f t="shared" ca="1" si="48"/>
        <v>Myntra</v>
      </c>
      <c r="I581">
        <f t="shared" ca="1" si="49"/>
        <v>52</v>
      </c>
      <c r="J581" t="s">
        <v>1297</v>
      </c>
      <c r="K581" t="s">
        <v>39</v>
      </c>
      <c r="L581" t="s">
        <v>19</v>
      </c>
      <c r="M581">
        <v>1</v>
      </c>
      <c r="N581" t="s">
        <v>20</v>
      </c>
      <c r="O581">
        <v>825</v>
      </c>
      <c r="P581" t="s">
        <v>306</v>
      </c>
      <c r="Q581" t="s">
        <v>223</v>
      </c>
      <c r="R581" t="s">
        <v>23</v>
      </c>
    </row>
    <row r="582" spans="1:18" x14ac:dyDescent="0.35">
      <c r="A582">
        <v>580</v>
      </c>
      <c r="B582" t="s">
        <v>1298</v>
      </c>
      <c r="C582" s="1">
        <f t="shared" ca="1" si="45"/>
        <v>45203</v>
      </c>
      <c r="D582" t="str">
        <f t="shared" ca="1" si="46"/>
        <v>October</v>
      </c>
      <c r="E582" t="s">
        <v>29</v>
      </c>
      <c r="F582" t="s">
        <v>33</v>
      </c>
      <c r="G582" t="str">
        <f t="shared" si="47"/>
        <v>Men</v>
      </c>
      <c r="H582" t="str">
        <f t="shared" ca="1" si="48"/>
        <v>Amazon</v>
      </c>
      <c r="I582">
        <f t="shared" ca="1" si="49"/>
        <v>45</v>
      </c>
      <c r="J582" t="s">
        <v>87</v>
      </c>
      <c r="K582" t="s">
        <v>27</v>
      </c>
      <c r="L582" t="s">
        <v>35</v>
      </c>
      <c r="M582">
        <v>1</v>
      </c>
      <c r="N582" t="s">
        <v>20</v>
      </c>
      <c r="O582">
        <v>399</v>
      </c>
      <c r="P582" t="s">
        <v>45</v>
      </c>
      <c r="Q582" t="s">
        <v>46</v>
      </c>
      <c r="R582" t="s">
        <v>23</v>
      </c>
    </row>
    <row r="583" spans="1:18" x14ac:dyDescent="0.35">
      <c r="A583">
        <v>581</v>
      </c>
      <c r="B583" t="s">
        <v>1299</v>
      </c>
      <c r="C583" s="1">
        <f t="shared" ca="1" si="45"/>
        <v>45186</v>
      </c>
      <c r="D583" t="str">
        <f t="shared" ca="1" si="46"/>
        <v>September</v>
      </c>
      <c r="E583" t="s">
        <v>29</v>
      </c>
      <c r="F583" t="s">
        <v>33</v>
      </c>
      <c r="G583" t="str">
        <f t="shared" si="47"/>
        <v>Women</v>
      </c>
      <c r="H583" t="str">
        <f t="shared" ca="1" si="48"/>
        <v>Amazon</v>
      </c>
      <c r="I583">
        <f t="shared" ca="1" si="49"/>
        <v>56</v>
      </c>
      <c r="J583" t="s">
        <v>1300</v>
      </c>
      <c r="K583" t="s">
        <v>18</v>
      </c>
      <c r="L583" t="s">
        <v>62</v>
      </c>
      <c r="M583">
        <v>1</v>
      </c>
      <c r="N583" t="s">
        <v>20</v>
      </c>
      <c r="O583">
        <v>1213</v>
      </c>
      <c r="P583" t="s">
        <v>1301</v>
      </c>
      <c r="Q583" t="s">
        <v>1302</v>
      </c>
      <c r="R583" t="s">
        <v>23</v>
      </c>
    </row>
    <row r="584" spans="1:18" x14ac:dyDescent="0.35">
      <c r="A584">
        <v>582</v>
      </c>
      <c r="B584" t="s">
        <v>1303</v>
      </c>
      <c r="C584" s="1">
        <f t="shared" ca="1" si="45"/>
        <v>45537</v>
      </c>
      <c r="D584" t="str">
        <f t="shared" ca="1" si="46"/>
        <v>September</v>
      </c>
      <c r="E584" t="s">
        <v>29</v>
      </c>
      <c r="F584" t="s">
        <v>33</v>
      </c>
      <c r="G584" t="str">
        <f t="shared" si="47"/>
        <v>Women</v>
      </c>
      <c r="H584" t="str">
        <f t="shared" ca="1" si="48"/>
        <v>Amazon</v>
      </c>
      <c r="I584">
        <f t="shared" ca="1" si="49"/>
        <v>24</v>
      </c>
      <c r="J584" t="s">
        <v>1304</v>
      </c>
      <c r="K584" t="s">
        <v>18</v>
      </c>
      <c r="L584" t="s">
        <v>68</v>
      </c>
      <c r="M584">
        <v>1</v>
      </c>
      <c r="N584" t="s">
        <v>20</v>
      </c>
      <c r="O584">
        <v>680</v>
      </c>
      <c r="P584" t="s">
        <v>84</v>
      </c>
      <c r="Q584" t="s">
        <v>85</v>
      </c>
      <c r="R584" t="s">
        <v>23</v>
      </c>
    </row>
    <row r="585" spans="1:18" x14ac:dyDescent="0.35">
      <c r="A585">
        <v>583</v>
      </c>
      <c r="B585" t="s">
        <v>1305</v>
      </c>
      <c r="C585" s="1">
        <f t="shared" ca="1" si="45"/>
        <v>45351</v>
      </c>
      <c r="D585" t="str">
        <f t="shared" ca="1" si="46"/>
        <v>February</v>
      </c>
      <c r="E585" t="s">
        <v>25</v>
      </c>
      <c r="F585" t="s">
        <v>16</v>
      </c>
      <c r="G585" t="str">
        <f t="shared" si="47"/>
        <v>Men</v>
      </c>
      <c r="H585" t="str">
        <f t="shared" ca="1" si="48"/>
        <v>Flipkart</v>
      </c>
      <c r="I585">
        <f t="shared" ca="1" si="49"/>
        <v>55</v>
      </c>
      <c r="J585" t="s">
        <v>1306</v>
      </c>
      <c r="K585" t="s">
        <v>27</v>
      </c>
      <c r="L585" t="s">
        <v>68</v>
      </c>
      <c r="M585">
        <v>1</v>
      </c>
      <c r="N585" t="s">
        <v>20</v>
      </c>
      <c r="O585">
        <v>568</v>
      </c>
      <c r="P585" t="s">
        <v>1307</v>
      </c>
      <c r="Q585" t="s">
        <v>93</v>
      </c>
      <c r="R585" t="s">
        <v>23</v>
      </c>
    </row>
    <row r="586" spans="1:18" x14ac:dyDescent="0.35">
      <c r="A586">
        <v>584</v>
      </c>
      <c r="B586" t="s">
        <v>1308</v>
      </c>
      <c r="C586" s="1">
        <f t="shared" ca="1" si="45"/>
        <v>45166</v>
      </c>
      <c r="D586" t="str">
        <f t="shared" ca="1" si="46"/>
        <v>August</v>
      </c>
      <c r="E586" t="s">
        <v>29</v>
      </c>
      <c r="F586" t="s">
        <v>33</v>
      </c>
      <c r="G586" t="str">
        <f t="shared" si="47"/>
        <v>Women</v>
      </c>
      <c r="H586" t="str">
        <f t="shared" ca="1" si="48"/>
        <v>Amazon</v>
      </c>
      <c r="I586">
        <f t="shared" ca="1" si="49"/>
        <v>43</v>
      </c>
      <c r="J586" t="s">
        <v>1309</v>
      </c>
      <c r="K586" t="s">
        <v>18</v>
      </c>
      <c r="L586" t="s">
        <v>62</v>
      </c>
      <c r="M586">
        <v>1</v>
      </c>
      <c r="N586" t="s">
        <v>20</v>
      </c>
      <c r="O586">
        <v>939</v>
      </c>
      <c r="P586" t="s">
        <v>56</v>
      </c>
      <c r="Q586" t="s">
        <v>57</v>
      </c>
      <c r="R586" t="s">
        <v>23</v>
      </c>
    </row>
    <row r="587" spans="1:18" x14ac:dyDescent="0.35">
      <c r="A587">
        <v>585</v>
      </c>
      <c r="B587" t="s">
        <v>1310</v>
      </c>
      <c r="C587" s="1">
        <f t="shared" ca="1" si="45"/>
        <v>44927</v>
      </c>
      <c r="D587" t="str">
        <f t="shared" ca="1" si="46"/>
        <v>January</v>
      </c>
      <c r="E587" t="s">
        <v>29</v>
      </c>
      <c r="F587" t="s">
        <v>33</v>
      </c>
      <c r="G587" t="str">
        <f t="shared" si="47"/>
        <v>Women</v>
      </c>
      <c r="H587" t="str">
        <f t="shared" ca="1" si="48"/>
        <v>Amazon</v>
      </c>
      <c r="I587">
        <f t="shared" ca="1" si="49"/>
        <v>29</v>
      </c>
      <c r="J587" t="s">
        <v>393</v>
      </c>
      <c r="K587" t="s">
        <v>44</v>
      </c>
      <c r="L587" t="s">
        <v>28</v>
      </c>
      <c r="M587">
        <v>1</v>
      </c>
      <c r="N587" t="s">
        <v>20</v>
      </c>
      <c r="O587">
        <v>279</v>
      </c>
      <c r="P587" t="s">
        <v>30</v>
      </c>
      <c r="Q587" t="s">
        <v>31</v>
      </c>
      <c r="R587" t="s">
        <v>23</v>
      </c>
    </row>
    <row r="588" spans="1:18" x14ac:dyDescent="0.35">
      <c r="A588">
        <v>586</v>
      </c>
      <c r="B588" t="s">
        <v>1311</v>
      </c>
      <c r="C588" s="1">
        <f t="shared" ca="1" si="45"/>
        <v>45531</v>
      </c>
      <c r="D588" t="str">
        <f t="shared" ca="1" si="46"/>
        <v>August</v>
      </c>
      <c r="E588" t="s">
        <v>29</v>
      </c>
      <c r="F588" t="s">
        <v>33</v>
      </c>
      <c r="G588" t="str">
        <f t="shared" si="47"/>
        <v>Men</v>
      </c>
      <c r="H588" t="str">
        <f t="shared" ca="1" si="48"/>
        <v>Amazon</v>
      </c>
      <c r="I588">
        <f t="shared" ca="1" si="49"/>
        <v>35</v>
      </c>
      <c r="J588" t="s">
        <v>986</v>
      </c>
      <c r="K588" t="s">
        <v>27</v>
      </c>
      <c r="L588" t="s">
        <v>656</v>
      </c>
      <c r="M588">
        <v>1</v>
      </c>
      <c r="N588" t="s">
        <v>20</v>
      </c>
      <c r="O588">
        <v>487</v>
      </c>
      <c r="P588" t="s">
        <v>1312</v>
      </c>
      <c r="Q588" t="s">
        <v>114</v>
      </c>
      <c r="R588" t="s">
        <v>23</v>
      </c>
    </row>
    <row r="589" spans="1:18" x14ac:dyDescent="0.35">
      <c r="A589">
        <v>587</v>
      </c>
      <c r="B589" t="s">
        <v>1313</v>
      </c>
      <c r="C589" s="1">
        <f t="shared" ca="1" si="45"/>
        <v>45618</v>
      </c>
      <c r="D589" t="str">
        <f t="shared" ca="1" si="46"/>
        <v>November</v>
      </c>
      <c r="E589" t="s">
        <v>29</v>
      </c>
      <c r="F589" t="s">
        <v>33</v>
      </c>
      <c r="G589" t="str">
        <f t="shared" si="47"/>
        <v>Men</v>
      </c>
      <c r="H589" t="str">
        <f t="shared" ca="1" si="48"/>
        <v>Amazon</v>
      </c>
      <c r="I589">
        <f t="shared" ca="1" si="49"/>
        <v>50</v>
      </c>
      <c r="J589" t="s">
        <v>1314</v>
      </c>
      <c r="K589" t="s">
        <v>27</v>
      </c>
      <c r="L589" t="s">
        <v>656</v>
      </c>
      <c r="M589">
        <v>1</v>
      </c>
      <c r="N589" t="s">
        <v>20</v>
      </c>
      <c r="O589">
        <v>458</v>
      </c>
      <c r="P589" t="s">
        <v>279</v>
      </c>
      <c r="Q589" t="s">
        <v>223</v>
      </c>
      <c r="R589" t="s">
        <v>23</v>
      </c>
    </row>
    <row r="590" spans="1:18" x14ac:dyDescent="0.35">
      <c r="A590">
        <v>588</v>
      </c>
      <c r="B590" t="s">
        <v>1315</v>
      </c>
      <c r="C590" s="1">
        <f t="shared" ca="1" si="45"/>
        <v>44965</v>
      </c>
      <c r="D590" t="str">
        <f t="shared" ca="1" si="46"/>
        <v>February</v>
      </c>
      <c r="E590" t="s">
        <v>29</v>
      </c>
      <c r="F590" t="s">
        <v>33</v>
      </c>
      <c r="G590" t="str">
        <f t="shared" si="47"/>
        <v>Men</v>
      </c>
      <c r="H590" t="str">
        <f t="shared" ca="1" si="48"/>
        <v>Amazon</v>
      </c>
      <c r="I590">
        <f t="shared" ca="1" si="49"/>
        <v>46</v>
      </c>
      <c r="J590" t="s">
        <v>1316</v>
      </c>
      <c r="K590" t="s">
        <v>27</v>
      </c>
      <c r="L590" t="s">
        <v>656</v>
      </c>
      <c r="M590">
        <v>1</v>
      </c>
      <c r="N590" t="s">
        <v>20</v>
      </c>
      <c r="O590">
        <v>692</v>
      </c>
      <c r="P590" t="s">
        <v>1317</v>
      </c>
      <c r="Q590" t="s">
        <v>50</v>
      </c>
      <c r="R590" t="s">
        <v>23</v>
      </c>
    </row>
    <row r="591" spans="1:18" x14ac:dyDescent="0.35">
      <c r="A591">
        <v>589</v>
      </c>
      <c r="B591" t="s">
        <v>1318</v>
      </c>
      <c r="C591" s="1">
        <f t="shared" ca="1" si="45"/>
        <v>45230</v>
      </c>
      <c r="D591" t="str">
        <f t="shared" ca="1" si="46"/>
        <v>October</v>
      </c>
      <c r="E591" t="s">
        <v>29</v>
      </c>
      <c r="F591" t="s">
        <v>33</v>
      </c>
      <c r="G591" t="str">
        <f t="shared" si="47"/>
        <v>Women</v>
      </c>
      <c r="H591" t="str">
        <f t="shared" ca="1" si="48"/>
        <v>Amazon</v>
      </c>
      <c r="I591">
        <f t="shared" ca="1" si="49"/>
        <v>52</v>
      </c>
      <c r="J591" t="s">
        <v>1319</v>
      </c>
      <c r="K591" t="s">
        <v>44</v>
      </c>
      <c r="L591" t="s">
        <v>62</v>
      </c>
      <c r="M591">
        <v>1</v>
      </c>
      <c r="N591" t="s">
        <v>20</v>
      </c>
      <c r="O591">
        <v>469</v>
      </c>
      <c r="P591" t="s">
        <v>56</v>
      </c>
      <c r="Q591" t="s">
        <v>57</v>
      </c>
      <c r="R591" t="s">
        <v>23</v>
      </c>
    </row>
    <row r="592" spans="1:18" x14ac:dyDescent="0.35">
      <c r="A592">
        <v>590</v>
      </c>
      <c r="B592" t="s">
        <v>1320</v>
      </c>
      <c r="C592" s="1">
        <f t="shared" ca="1" si="45"/>
        <v>45295</v>
      </c>
      <c r="D592" t="str">
        <f t="shared" ca="1" si="46"/>
        <v>January</v>
      </c>
      <c r="E592" t="s">
        <v>29</v>
      </c>
      <c r="F592" t="s">
        <v>33</v>
      </c>
      <c r="G592" t="str">
        <f t="shared" si="47"/>
        <v>Men</v>
      </c>
      <c r="H592" t="str">
        <f t="shared" ca="1" si="48"/>
        <v>Amazon</v>
      </c>
      <c r="I592">
        <f t="shared" ca="1" si="49"/>
        <v>40</v>
      </c>
      <c r="J592" t="s">
        <v>940</v>
      </c>
      <c r="K592" t="s">
        <v>27</v>
      </c>
      <c r="L592" t="s">
        <v>28</v>
      </c>
      <c r="M592">
        <v>1</v>
      </c>
      <c r="N592" t="s">
        <v>20</v>
      </c>
      <c r="O592">
        <v>399</v>
      </c>
      <c r="P592" t="s">
        <v>49</v>
      </c>
      <c r="Q592" t="s">
        <v>50</v>
      </c>
      <c r="R592" t="s">
        <v>23</v>
      </c>
    </row>
    <row r="593" spans="1:18" x14ac:dyDescent="0.35">
      <c r="A593">
        <v>591</v>
      </c>
      <c r="B593" t="s">
        <v>1321</v>
      </c>
      <c r="C593" s="1">
        <f t="shared" ca="1" si="45"/>
        <v>45071</v>
      </c>
      <c r="D593" t="str">
        <f t="shared" ca="1" si="46"/>
        <v>May</v>
      </c>
      <c r="E593" t="s">
        <v>29</v>
      </c>
      <c r="F593" t="s">
        <v>33</v>
      </c>
      <c r="G593" t="str">
        <f t="shared" si="47"/>
        <v>Women</v>
      </c>
      <c r="H593" t="str">
        <f t="shared" ca="1" si="48"/>
        <v>Amazon</v>
      </c>
      <c r="I593">
        <f t="shared" ca="1" si="49"/>
        <v>57</v>
      </c>
      <c r="J593" t="s">
        <v>1322</v>
      </c>
      <c r="K593" t="s">
        <v>18</v>
      </c>
      <c r="L593" t="s">
        <v>35</v>
      </c>
      <c r="M593">
        <v>1</v>
      </c>
      <c r="N593" t="s">
        <v>20</v>
      </c>
      <c r="O593">
        <v>599</v>
      </c>
      <c r="P593" t="s">
        <v>1323</v>
      </c>
      <c r="Q593" t="s">
        <v>50</v>
      </c>
      <c r="R593" t="s">
        <v>23</v>
      </c>
    </row>
    <row r="594" spans="1:18" x14ac:dyDescent="0.35">
      <c r="A594">
        <v>592</v>
      </c>
      <c r="B594" t="s">
        <v>1324</v>
      </c>
      <c r="C594" s="1">
        <f t="shared" ca="1" si="45"/>
        <v>45581</v>
      </c>
      <c r="D594" t="str">
        <f t="shared" ca="1" si="46"/>
        <v>October</v>
      </c>
      <c r="E594" t="s">
        <v>29</v>
      </c>
      <c r="F594" t="s">
        <v>33</v>
      </c>
      <c r="G594" t="str">
        <f t="shared" si="47"/>
        <v>Women</v>
      </c>
      <c r="H594" t="str">
        <f t="shared" ca="1" si="48"/>
        <v>Amazon</v>
      </c>
      <c r="I594">
        <f t="shared" ca="1" si="49"/>
        <v>47</v>
      </c>
      <c r="J594" t="s">
        <v>1325</v>
      </c>
      <c r="K594" t="s">
        <v>18</v>
      </c>
      <c r="L594" t="s">
        <v>35</v>
      </c>
      <c r="M594">
        <v>1</v>
      </c>
      <c r="N594" t="s">
        <v>20</v>
      </c>
      <c r="O594">
        <v>680</v>
      </c>
      <c r="P594" t="s">
        <v>1326</v>
      </c>
      <c r="Q594" t="s">
        <v>31</v>
      </c>
      <c r="R594" t="s">
        <v>23</v>
      </c>
    </row>
    <row r="595" spans="1:18" x14ac:dyDescent="0.35">
      <c r="A595">
        <v>593</v>
      </c>
      <c r="B595" t="s">
        <v>1327</v>
      </c>
      <c r="C595" s="1">
        <f t="shared" ca="1" si="45"/>
        <v>45356</v>
      </c>
      <c r="D595" t="str">
        <f t="shared" ca="1" si="46"/>
        <v>March</v>
      </c>
      <c r="E595" t="s">
        <v>15</v>
      </c>
      <c r="F595" t="s">
        <v>33</v>
      </c>
      <c r="G595" t="str">
        <f t="shared" si="47"/>
        <v>Women</v>
      </c>
      <c r="H595" t="str">
        <f t="shared" ca="1" si="48"/>
        <v>Amazon</v>
      </c>
      <c r="I595">
        <f t="shared" ca="1" si="49"/>
        <v>37</v>
      </c>
      <c r="J595" t="s">
        <v>1089</v>
      </c>
      <c r="K595" t="s">
        <v>18</v>
      </c>
      <c r="L595" t="s">
        <v>35</v>
      </c>
      <c r="M595">
        <v>0</v>
      </c>
      <c r="P595" t="s">
        <v>1328</v>
      </c>
      <c r="Q595" t="s">
        <v>855</v>
      </c>
      <c r="R595" t="s">
        <v>23</v>
      </c>
    </row>
    <row r="596" spans="1:18" x14ac:dyDescent="0.35">
      <c r="A596">
        <v>594</v>
      </c>
      <c r="B596" t="s">
        <v>1329</v>
      </c>
      <c r="C596" s="1">
        <f t="shared" ca="1" si="45"/>
        <v>45472</v>
      </c>
      <c r="D596" t="str">
        <f t="shared" ca="1" si="46"/>
        <v>June</v>
      </c>
      <c r="E596" t="s">
        <v>29</v>
      </c>
      <c r="F596" t="s">
        <v>33</v>
      </c>
      <c r="G596" t="str">
        <f t="shared" si="47"/>
        <v>Women</v>
      </c>
      <c r="H596" t="str">
        <f t="shared" ca="1" si="48"/>
        <v>Amazon</v>
      </c>
      <c r="I596">
        <f t="shared" ca="1" si="49"/>
        <v>32</v>
      </c>
      <c r="J596" t="s">
        <v>1330</v>
      </c>
      <c r="K596" t="s">
        <v>1029</v>
      </c>
      <c r="L596" t="s">
        <v>1030</v>
      </c>
      <c r="M596">
        <v>1</v>
      </c>
      <c r="N596" t="s">
        <v>20</v>
      </c>
      <c r="O596">
        <v>989</v>
      </c>
      <c r="P596" t="s">
        <v>1331</v>
      </c>
      <c r="Q596" t="s">
        <v>223</v>
      </c>
      <c r="R596" t="s">
        <v>23</v>
      </c>
    </row>
    <row r="597" spans="1:18" x14ac:dyDescent="0.35">
      <c r="A597">
        <v>595</v>
      </c>
      <c r="B597" t="s">
        <v>1332</v>
      </c>
      <c r="C597" s="1">
        <f t="shared" ca="1" si="45"/>
        <v>45292</v>
      </c>
      <c r="D597" t="str">
        <f t="shared" ca="1" si="46"/>
        <v>January</v>
      </c>
      <c r="E597" t="s">
        <v>25</v>
      </c>
      <c r="F597" t="s">
        <v>16</v>
      </c>
      <c r="G597" t="str">
        <f t="shared" si="47"/>
        <v>Women</v>
      </c>
      <c r="H597" t="str">
        <f t="shared" ca="1" si="48"/>
        <v>Flipkart</v>
      </c>
      <c r="I597">
        <f t="shared" ca="1" si="49"/>
        <v>40</v>
      </c>
      <c r="J597" t="s">
        <v>1333</v>
      </c>
      <c r="K597" t="s">
        <v>18</v>
      </c>
      <c r="L597" t="s">
        <v>40</v>
      </c>
      <c r="M597">
        <v>1</v>
      </c>
      <c r="N597" t="s">
        <v>20</v>
      </c>
      <c r="O597">
        <v>1099</v>
      </c>
      <c r="P597" t="s">
        <v>1334</v>
      </c>
      <c r="Q597" t="s">
        <v>297</v>
      </c>
      <c r="R597" t="s">
        <v>23</v>
      </c>
    </row>
    <row r="598" spans="1:18" x14ac:dyDescent="0.35">
      <c r="A598">
        <v>596</v>
      </c>
      <c r="B598" t="s">
        <v>1335</v>
      </c>
      <c r="C598" s="1">
        <f t="shared" ca="1" si="45"/>
        <v>45066</v>
      </c>
      <c r="D598" t="str">
        <f t="shared" ca="1" si="46"/>
        <v>May</v>
      </c>
      <c r="E598" t="s">
        <v>29</v>
      </c>
      <c r="F598" t="s">
        <v>33</v>
      </c>
      <c r="G598" t="str">
        <f t="shared" si="47"/>
        <v>Women</v>
      </c>
      <c r="H598" t="str">
        <f t="shared" ca="1" si="48"/>
        <v>Amazon</v>
      </c>
      <c r="I598">
        <f t="shared" ca="1" si="49"/>
        <v>34</v>
      </c>
      <c r="J598" t="s">
        <v>1158</v>
      </c>
      <c r="K598" t="s">
        <v>39</v>
      </c>
      <c r="L598" t="s">
        <v>19</v>
      </c>
      <c r="M598">
        <v>1</v>
      </c>
      <c r="N598" t="s">
        <v>20</v>
      </c>
      <c r="O598">
        <v>588</v>
      </c>
      <c r="P598" t="s">
        <v>1336</v>
      </c>
      <c r="Q598" t="s">
        <v>22</v>
      </c>
      <c r="R598" t="s">
        <v>23</v>
      </c>
    </row>
    <row r="599" spans="1:18" x14ac:dyDescent="0.35">
      <c r="A599">
        <v>597</v>
      </c>
      <c r="B599" t="s">
        <v>1337</v>
      </c>
      <c r="C599" s="1">
        <f t="shared" ca="1" si="45"/>
        <v>45156</v>
      </c>
      <c r="D599" t="str">
        <f t="shared" ca="1" si="46"/>
        <v>August</v>
      </c>
      <c r="E599" t="s">
        <v>15</v>
      </c>
      <c r="F599" t="s">
        <v>33</v>
      </c>
      <c r="G599" t="str">
        <f t="shared" si="47"/>
        <v>Women</v>
      </c>
      <c r="H599" t="str">
        <f t="shared" ca="1" si="48"/>
        <v>Amazon</v>
      </c>
      <c r="I599">
        <f t="shared" ca="1" si="49"/>
        <v>55</v>
      </c>
      <c r="J599" t="s">
        <v>1338</v>
      </c>
      <c r="K599" t="s">
        <v>18</v>
      </c>
      <c r="L599" t="s">
        <v>19</v>
      </c>
      <c r="M599">
        <v>1</v>
      </c>
      <c r="N599" t="s">
        <v>20</v>
      </c>
      <c r="O599">
        <v>999</v>
      </c>
      <c r="P599" t="s">
        <v>49</v>
      </c>
      <c r="Q599" t="s">
        <v>50</v>
      </c>
      <c r="R599" t="s">
        <v>23</v>
      </c>
    </row>
    <row r="600" spans="1:18" x14ac:dyDescent="0.35">
      <c r="A600">
        <v>598</v>
      </c>
      <c r="B600" t="s">
        <v>1339</v>
      </c>
      <c r="C600" s="1">
        <f t="shared" ca="1" si="45"/>
        <v>44999</v>
      </c>
      <c r="D600" t="str">
        <f t="shared" ca="1" si="46"/>
        <v>March</v>
      </c>
      <c r="E600" t="s">
        <v>29</v>
      </c>
      <c r="F600" t="s">
        <v>33</v>
      </c>
      <c r="G600" t="str">
        <f t="shared" si="47"/>
        <v>Men</v>
      </c>
      <c r="H600" t="str">
        <f t="shared" ca="1" si="48"/>
        <v>Amazon</v>
      </c>
      <c r="I600">
        <f t="shared" ca="1" si="49"/>
        <v>40</v>
      </c>
      <c r="J600" t="s">
        <v>1340</v>
      </c>
      <c r="K600" t="s">
        <v>27</v>
      </c>
      <c r="L600" t="s">
        <v>101</v>
      </c>
      <c r="M600">
        <v>1</v>
      </c>
      <c r="N600" t="s">
        <v>20</v>
      </c>
      <c r="O600">
        <v>487</v>
      </c>
      <c r="P600" t="s">
        <v>56</v>
      </c>
      <c r="Q600" t="s">
        <v>57</v>
      </c>
      <c r="R600" t="s">
        <v>23</v>
      </c>
    </row>
    <row r="601" spans="1:18" x14ac:dyDescent="0.35">
      <c r="A601">
        <v>599</v>
      </c>
      <c r="B601" t="s">
        <v>1341</v>
      </c>
      <c r="C601" s="1">
        <f t="shared" ca="1" si="45"/>
        <v>45195</v>
      </c>
      <c r="D601" t="str">
        <f t="shared" ca="1" si="46"/>
        <v>September</v>
      </c>
      <c r="E601" t="s">
        <v>29</v>
      </c>
      <c r="F601" t="s">
        <v>33</v>
      </c>
      <c r="G601" t="str">
        <f t="shared" si="47"/>
        <v>Women</v>
      </c>
      <c r="H601" t="str">
        <f t="shared" ca="1" si="48"/>
        <v>Amazon</v>
      </c>
      <c r="I601">
        <f t="shared" ca="1" si="49"/>
        <v>29</v>
      </c>
      <c r="J601" t="s">
        <v>1342</v>
      </c>
      <c r="K601" t="s">
        <v>18</v>
      </c>
      <c r="L601" t="s">
        <v>28</v>
      </c>
      <c r="M601">
        <v>1</v>
      </c>
      <c r="N601" t="s">
        <v>20</v>
      </c>
      <c r="O601">
        <v>653</v>
      </c>
      <c r="P601" t="s">
        <v>136</v>
      </c>
      <c r="Q601" t="s">
        <v>81</v>
      </c>
      <c r="R601" t="s">
        <v>23</v>
      </c>
    </row>
    <row r="602" spans="1:18" x14ac:dyDescent="0.35">
      <c r="A602">
        <v>600</v>
      </c>
      <c r="B602" t="s">
        <v>1341</v>
      </c>
      <c r="C602" s="1">
        <f t="shared" ca="1" si="45"/>
        <v>45151</v>
      </c>
      <c r="D602" t="str">
        <f t="shared" ca="1" si="46"/>
        <v>August</v>
      </c>
      <c r="E602" t="s">
        <v>29</v>
      </c>
      <c r="F602" t="s">
        <v>33</v>
      </c>
      <c r="G602" t="str">
        <f t="shared" si="47"/>
        <v>Women</v>
      </c>
      <c r="H602" t="str">
        <f t="shared" ca="1" si="48"/>
        <v>Amazon</v>
      </c>
      <c r="I602">
        <f t="shared" ca="1" si="49"/>
        <v>32</v>
      </c>
      <c r="J602" t="s">
        <v>1343</v>
      </c>
      <c r="K602" t="s">
        <v>18</v>
      </c>
      <c r="L602" t="s">
        <v>28</v>
      </c>
      <c r="M602">
        <v>1</v>
      </c>
      <c r="N602" t="s">
        <v>20</v>
      </c>
      <c r="O602">
        <v>496</v>
      </c>
      <c r="P602" t="s">
        <v>136</v>
      </c>
      <c r="Q602" t="s">
        <v>81</v>
      </c>
      <c r="R602" t="s">
        <v>23</v>
      </c>
    </row>
    <row r="603" spans="1:18" x14ac:dyDescent="0.35">
      <c r="A603">
        <v>601</v>
      </c>
      <c r="B603" t="s">
        <v>1344</v>
      </c>
      <c r="C603" s="1">
        <f t="shared" ca="1" si="45"/>
        <v>45311</v>
      </c>
      <c r="D603" t="str">
        <f t="shared" ca="1" si="46"/>
        <v>January</v>
      </c>
      <c r="E603" t="s">
        <v>29</v>
      </c>
      <c r="F603" t="s">
        <v>33</v>
      </c>
      <c r="G603" t="str">
        <f t="shared" si="47"/>
        <v>Men</v>
      </c>
      <c r="H603" t="str">
        <f t="shared" ca="1" si="48"/>
        <v>Amazon</v>
      </c>
      <c r="I603">
        <f t="shared" ca="1" si="49"/>
        <v>58</v>
      </c>
      <c r="J603" t="s">
        <v>1345</v>
      </c>
      <c r="K603" t="s">
        <v>27</v>
      </c>
      <c r="L603" t="s">
        <v>19</v>
      </c>
      <c r="M603">
        <v>1</v>
      </c>
      <c r="N603" t="s">
        <v>20</v>
      </c>
      <c r="O603">
        <v>319</v>
      </c>
      <c r="P603" t="s">
        <v>1346</v>
      </c>
      <c r="Q603" t="s">
        <v>50</v>
      </c>
      <c r="R603" t="s">
        <v>23</v>
      </c>
    </row>
    <row r="604" spans="1:18" x14ac:dyDescent="0.35">
      <c r="A604">
        <v>602</v>
      </c>
      <c r="B604" t="s">
        <v>1347</v>
      </c>
      <c r="C604" s="1">
        <f t="shared" ca="1" si="45"/>
        <v>45337</v>
      </c>
      <c r="D604" t="str">
        <f t="shared" ca="1" si="46"/>
        <v>February</v>
      </c>
      <c r="E604" t="s">
        <v>15</v>
      </c>
      <c r="F604" t="s">
        <v>33</v>
      </c>
      <c r="G604" t="str">
        <f t="shared" si="47"/>
        <v>Women</v>
      </c>
      <c r="H604" t="str">
        <f t="shared" ca="1" si="48"/>
        <v>Amazon</v>
      </c>
      <c r="I604">
        <f t="shared" ca="1" si="49"/>
        <v>48</v>
      </c>
      <c r="J604" t="s">
        <v>1348</v>
      </c>
      <c r="K604" t="s">
        <v>18</v>
      </c>
      <c r="L604" t="s">
        <v>28</v>
      </c>
      <c r="M604">
        <v>0</v>
      </c>
      <c r="P604" t="s">
        <v>56</v>
      </c>
      <c r="Q604" t="s">
        <v>57</v>
      </c>
      <c r="R604" t="s">
        <v>23</v>
      </c>
    </row>
    <row r="605" spans="1:18" x14ac:dyDescent="0.35">
      <c r="A605">
        <v>603</v>
      </c>
      <c r="B605" t="s">
        <v>1349</v>
      </c>
      <c r="C605" s="1">
        <f t="shared" ca="1" si="45"/>
        <v>45395</v>
      </c>
      <c r="D605" t="str">
        <f t="shared" ca="1" si="46"/>
        <v>April</v>
      </c>
      <c r="E605" t="s">
        <v>29</v>
      </c>
      <c r="F605" t="s">
        <v>33</v>
      </c>
      <c r="G605" t="str">
        <f t="shared" si="47"/>
        <v>Women</v>
      </c>
      <c r="H605" t="str">
        <f t="shared" ca="1" si="48"/>
        <v>Amazon</v>
      </c>
      <c r="I605">
        <f t="shared" ca="1" si="49"/>
        <v>23</v>
      </c>
      <c r="J605" t="s">
        <v>491</v>
      </c>
      <c r="K605" t="s">
        <v>18</v>
      </c>
      <c r="L605" t="s">
        <v>19</v>
      </c>
      <c r="M605">
        <v>1</v>
      </c>
      <c r="N605" t="s">
        <v>20</v>
      </c>
      <c r="O605">
        <v>1112</v>
      </c>
      <c r="P605" t="s">
        <v>30</v>
      </c>
      <c r="Q605" t="s">
        <v>31</v>
      </c>
      <c r="R605" t="s">
        <v>23</v>
      </c>
    </row>
    <row r="606" spans="1:18" x14ac:dyDescent="0.35">
      <c r="A606">
        <v>604</v>
      </c>
      <c r="B606" t="s">
        <v>1350</v>
      </c>
      <c r="C606" s="1">
        <f t="shared" ca="1" si="45"/>
        <v>44977</v>
      </c>
      <c r="D606" t="str">
        <f t="shared" ca="1" si="46"/>
        <v>February</v>
      </c>
      <c r="E606" t="s">
        <v>29</v>
      </c>
      <c r="F606" t="s">
        <v>33</v>
      </c>
      <c r="G606" t="str">
        <f t="shared" si="47"/>
        <v>Men</v>
      </c>
      <c r="H606" t="str">
        <f t="shared" ca="1" si="48"/>
        <v>Amazon</v>
      </c>
      <c r="I606">
        <f t="shared" ca="1" si="49"/>
        <v>40</v>
      </c>
      <c r="J606" t="s">
        <v>462</v>
      </c>
      <c r="K606" t="s">
        <v>27</v>
      </c>
      <c r="L606" t="s">
        <v>19</v>
      </c>
      <c r="M606">
        <v>1</v>
      </c>
      <c r="N606" t="s">
        <v>20</v>
      </c>
      <c r="O606">
        <v>517</v>
      </c>
      <c r="P606" t="s">
        <v>1351</v>
      </c>
      <c r="Q606" t="s">
        <v>50</v>
      </c>
      <c r="R606" t="s">
        <v>23</v>
      </c>
    </row>
    <row r="607" spans="1:18" x14ac:dyDescent="0.35">
      <c r="A607">
        <v>605</v>
      </c>
      <c r="B607" t="s">
        <v>1352</v>
      </c>
      <c r="C607" s="1">
        <f t="shared" ca="1" si="45"/>
        <v>45390</v>
      </c>
      <c r="D607" t="str">
        <f t="shared" ca="1" si="46"/>
        <v>April</v>
      </c>
      <c r="E607" t="s">
        <v>29</v>
      </c>
      <c r="F607" t="s">
        <v>33</v>
      </c>
      <c r="G607" t="str">
        <f t="shared" si="47"/>
        <v>Women</v>
      </c>
      <c r="H607" t="str">
        <f t="shared" ca="1" si="48"/>
        <v>Amazon</v>
      </c>
      <c r="I607">
        <f t="shared" ca="1" si="49"/>
        <v>53</v>
      </c>
      <c r="J607" t="s">
        <v>1353</v>
      </c>
      <c r="K607" t="s">
        <v>18</v>
      </c>
      <c r="L607" t="s">
        <v>101</v>
      </c>
      <c r="M607">
        <v>1</v>
      </c>
      <c r="N607" t="s">
        <v>20</v>
      </c>
      <c r="O607">
        <v>597</v>
      </c>
      <c r="P607" t="s">
        <v>45</v>
      </c>
      <c r="Q607" t="s">
        <v>46</v>
      </c>
      <c r="R607" t="s">
        <v>23</v>
      </c>
    </row>
    <row r="608" spans="1:18" x14ac:dyDescent="0.35">
      <c r="A608">
        <v>606</v>
      </c>
      <c r="B608" t="s">
        <v>1354</v>
      </c>
      <c r="C608" s="1">
        <f t="shared" ca="1" si="45"/>
        <v>45277</v>
      </c>
      <c r="D608" t="str">
        <f t="shared" ca="1" si="46"/>
        <v>December</v>
      </c>
      <c r="E608" t="s">
        <v>29</v>
      </c>
      <c r="F608" t="s">
        <v>33</v>
      </c>
      <c r="G608" t="str">
        <f t="shared" si="47"/>
        <v>Women</v>
      </c>
      <c r="H608" t="str">
        <f t="shared" ca="1" si="48"/>
        <v>Amazon</v>
      </c>
      <c r="I608">
        <f t="shared" ca="1" si="49"/>
        <v>39</v>
      </c>
      <c r="J608" t="s">
        <v>1355</v>
      </c>
      <c r="K608" t="s">
        <v>18</v>
      </c>
      <c r="L608" t="s">
        <v>40</v>
      </c>
      <c r="M608">
        <v>1</v>
      </c>
      <c r="N608" t="s">
        <v>20</v>
      </c>
      <c r="O608">
        <v>1099</v>
      </c>
      <c r="P608" t="s">
        <v>1356</v>
      </c>
      <c r="Q608" t="s">
        <v>357</v>
      </c>
      <c r="R608" t="s">
        <v>23</v>
      </c>
    </row>
    <row r="609" spans="1:18" x14ac:dyDescent="0.35">
      <c r="A609">
        <v>607</v>
      </c>
      <c r="B609" t="s">
        <v>1357</v>
      </c>
      <c r="C609" s="1">
        <f t="shared" ca="1" si="45"/>
        <v>45452</v>
      </c>
      <c r="D609" t="str">
        <f t="shared" ca="1" si="46"/>
        <v>June</v>
      </c>
      <c r="E609" t="s">
        <v>29</v>
      </c>
      <c r="F609" t="s">
        <v>33</v>
      </c>
      <c r="G609" t="str">
        <f t="shared" si="47"/>
        <v>Men</v>
      </c>
      <c r="H609" t="str">
        <f t="shared" ca="1" si="48"/>
        <v>Amazon</v>
      </c>
      <c r="I609">
        <f t="shared" ca="1" si="49"/>
        <v>51</v>
      </c>
      <c r="J609" t="s">
        <v>559</v>
      </c>
      <c r="K609" t="s">
        <v>27</v>
      </c>
      <c r="L609" t="s">
        <v>101</v>
      </c>
      <c r="M609">
        <v>1</v>
      </c>
      <c r="N609" t="s">
        <v>20</v>
      </c>
      <c r="O609">
        <v>375</v>
      </c>
      <c r="P609" t="s">
        <v>88</v>
      </c>
      <c r="Q609" t="s">
        <v>89</v>
      </c>
      <c r="R609" t="s">
        <v>23</v>
      </c>
    </row>
    <row r="610" spans="1:18" x14ac:dyDescent="0.35">
      <c r="A610">
        <v>608</v>
      </c>
      <c r="B610" t="s">
        <v>1358</v>
      </c>
      <c r="C610" s="1">
        <f t="shared" ca="1" si="45"/>
        <v>45272</v>
      </c>
      <c r="D610" t="str">
        <f t="shared" ca="1" si="46"/>
        <v>December</v>
      </c>
      <c r="E610" t="s">
        <v>29</v>
      </c>
      <c r="F610" t="s">
        <v>33</v>
      </c>
      <c r="G610" t="str">
        <f t="shared" si="47"/>
        <v>Men</v>
      </c>
      <c r="H610" t="str">
        <f t="shared" ca="1" si="48"/>
        <v>Amazon</v>
      </c>
      <c r="I610">
        <f t="shared" ca="1" si="49"/>
        <v>43</v>
      </c>
      <c r="J610" t="s">
        <v>946</v>
      </c>
      <c r="K610" t="s">
        <v>27</v>
      </c>
      <c r="L610" t="s">
        <v>28</v>
      </c>
      <c r="M610">
        <v>1</v>
      </c>
      <c r="N610" t="s">
        <v>20</v>
      </c>
      <c r="O610">
        <v>517</v>
      </c>
      <c r="P610" t="s">
        <v>388</v>
      </c>
      <c r="Q610" t="s">
        <v>46</v>
      </c>
      <c r="R610" t="s">
        <v>23</v>
      </c>
    </row>
    <row r="611" spans="1:18" x14ac:dyDescent="0.35">
      <c r="A611">
        <v>609</v>
      </c>
      <c r="B611" t="s">
        <v>1359</v>
      </c>
      <c r="C611" s="1">
        <f t="shared" ca="1" si="45"/>
        <v>45007</v>
      </c>
      <c r="D611" t="str">
        <f t="shared" ca="1" si="46"/>
        <v>March</v>
      </c>
      <c r="E611" t="s">
        <v>29</v>
      </c>
      <c r="F611" t="s">
        <v>33</v>
      </c>
      <c r="G611" t="str">
        <f t="shared" si="47"/>
        <v>Women</v>
      </c>
      <c r="H611" t="str">
        <f t="shared" ca="1" si="48"/>
        <v>Amazon</v>
      </c>
      <c r="I611">
        <f t="shared" ca="1" si="49"/>
        <v>35</v>
      </c>
      <c r="J611" t="s">
        <v>1360</v>
      </c>
      <c r="K611" t="s">
        <v>18</v>
      </c>
      <c r="L611" t="s">
        <v>62</v>
      </c>
      <c r="M611">
        <v>1</v>
      </c>
      <c r="N611" t="s">
        <v>20</v>
      </c>
      <c r="O611">
        <v>692</v>
      </c>
      <c r="P611" t="s">
        <v>1361</v>
      </c>
      <c r="Q611" t="s">
        <v>85</v>
      </c>
      <c r="R611" t="s">
        <v>23</v>
      </c>
    </row>
    <row r="612" spans="1:18" x14ac:dyDescent="0.35">
      <c r="A612">
        <v>610</v>
      </c>
      <c r="B612" t="s">
        <v>1362</v>
      </c>
      <c r="C612" s="1">
        <f t="shared" ca="1" si="45"/>
        <v>45154</v>
      </c>
      <c r="D612" t="str">
        <f t="shared" ca="1" si="46"/>
        <v>August</v>
      </c>
      <c r="E612" t="s">
        <v>29</v>
      </c>
      <c r="F612" t="s">
        <v>33</v>
      </c>
      <c r="G612" t="str">
        <f t="shared" si="47"/>
        <v>Men</v>
      </c>
      <c r="H612" t="str">
        <f t="shared" ca="1" si="48"/>
        <v>Amazon</v>
      </c>
      <c r="I612">
        <f t="shared" ca="1" si="49"/>
        <v>51</v>
      </c>
      <c r="J612" t="s">
        <v>667</v>
      </c>
      <c r="K612" t="s">
        <v>27</v>
      </c>
      <c r="L612" t="s">
        <v>62</v>
      </c>
      <c r="M612">
        <v>1</v>
      </c>
      <c r="N612" t="s">
        <v>20</v>
      </c>
      <c r="O612">
        <v>486</v>
      </c>
      <c r="P612" t="s">
        <v>1363</v>
      </c>
      <c r="Q612" t="s">
        <v>22</v>
      </c>
      <c r="R612" t="s">
        <v>23</v>
      </c>
    </row>
    <row r="613" spans="1:18" x14ac:dyDescent="0.35">
      <c r="A613">
        <v>611</v>
      </c>
      <c r="B613" t="s">
        <v>1364</v>
      </c>
      <c r="C613" s="1">
        <f t="shared" ca="1" si="45"/>
        <v>45601</v>
      </c>
      <c r="D613" t="str">
        <f t="shared" ca="1" si="46"/>
        <v>November</v>
      </c>
      <c r="E613" t="s">
        <v>25</v>
      </c>
      <c r="F613" t="s">
        <v>16</v>
      </c>
      <c r="G613" t="str">
        <f t="shared" si="47"/>
        <v>Women</v>
      </c>
      <c r="H613" t="str">
        <f t="shared" ca="1" si="48"/>
        <v>Flipkart</v>
      </c>
      <c r="I613">
        <f t="shared" ca="1" si="49"/>
        <v>28</v>
      </c>
      <c r="J613" t="s">
        <v>1365</v>
      </c>
      <c r="K613" t="s">
        <v>18</v>
      </c>
      <c r="L613" t="s">
        <v>62</v>
      </c>
      <c r="M613">
        <v>1</v>
      </c>
      <c r="N613" t="s">
        <v>20</v>
      </c>
      <c r="O613">
        <v>696</v>
      </c>
      <c r="P613" t="s">
        <v>1363</v>
      </c>
      <c r="Q613" t="s">
        <v>22</v>
      </c>
      <c r="R613" t="s">
        <v>23</v>
      </c>
    </row>
    <row r="614" spans="1:18" x14ac:dyDescent="0.35">
      <c r="A614">
        <v>612</v>
      </c>
      <c r="B614" t="s">
        <v>1366</v>
      </c>
      <c r="C614" s="1">
        <f t="shared" ca="1" si="45"/>
        <v>45203</v>
      </c>
      <c r="D614" t="str">
        <f t="shared" ca="1" si="46"/>
        <v>October</v>
      </c>
      <c r="E614" t="s">
        <v>29</v>
      </c>
      <c r="F614" t="s">
        <v>33</v>
      </c>
      <c r="G614" t="str">
        <f t="shared" si="47"/>
        <v>Women</v>
      </c>
      <c r="H614" t="str">
        <f t="shared" ca="1" si="48"/>
        <v>Amazon</v>
      </c>
      <c r="I614">
        <f t="shared" ca="1" si="49"/>
        <v>35</v>
      </c>
      <c r="J614" t="s">
        <v>550</v>
      </c>
      <c r="K614" t="s">
        <v>18</v>
      </c>
      <c r="L614" t="s">
        <v>101</v>
      </c>
      <c r="M614">
        <v>1</v>
      </c>
      <c r="N614" t="s">
        <v>20</v>
      </c>
      <c r="O614">
        <v>1115</v>
      </c>
      <c r="P614" t="s">
        <v>1367</v>
      </c>
      <c r="Q614" t="s">
        <v>153</v>
      </c>
      <c r="R614" t="s">
        <v>23</v>
      </c>
    </row>
    <row r="615" spans="1:18" x14ac:dyDescent="0.35">
      <c r="A615">
        <v>613</v>
      </c>
      <c r="B615" t="s">
        <v>1368</v>
      </c>
      <c r="C615" s="1">
        <f t="shared" ca="1" si="45"/>
        <v>45387</v>
      </c>
      <c r="D615" t="str">
        <f t="shared" ca="1" si="46"/>
        <v>April</v>
      </c>
      <c r="E615" t="s">
        <v>29</v>
      </c>
      <c r="F615" t="s">
        <v>33</v>
      </c>
      <c r="G615" t="str">
        <f t="shared" si="47"/>
        <v>Women</v>
      </c>
      <c r="H615" t="str">
        <f t="shared" ca="1" si="48"/>
        <v>Amazon</v>
      </c>
      <c r="I615">
        <f t="shared" ca="1" si="49"/>
        <v>39</v>
      </c>
      <c r="J615" t="s">
        <v>349</v>
      </c>
      <c r="K615" t="s">
        <v>18</v>
      </c>
      <c r="L615" t="s">
        <v>19</v>
      </c>
      <c r="M615">
        <v>1</v>
      </c>
      <c r="N615" t="s">
        <v>20</v>
      </c>
      <c r="O615">
        <v>597</v>
      </c>
      <c r="P615" t="s">
        <v>1323</v>
      </c>
      <c r="Q615" t="s">
        <v>50</v>
      </c>
      <c r="R615" t="s">
        <v>23</v>
      </c>
    </row>
    <row r="616" spans="1:18" x14ac:dyDescent="0.35">
      <c r="A616">
        <v>614</v>
      </c>
      <c r="B616" t="s">
        <v>1369</v>
      </c>
      <c r="C616" s="1">
        <f t="shared" ca="1" si="45"/>
        <v>45165</v>
      </c>
      <c r="D616" t="str">
        <f t="shared" ca="1" si="46"/>
        <v>August</v>
      </c>
      <c r="E616" t="s">
        <v>29</v>
      </c>
      <c r="F616" t="s">
        <v>33</v>
      </c>
      <c r="G616" t="str">
        <f t="shared" si="47"/>
        <v>Women</v>
      </c>
      <c r="H616" t="str">
        <f t="shared" ca="1" si="48"/>
        <v>Amazon</v>
      </c>
      <c r="I616">
        <f t="shared" ca="1" si="49"/>
        <v>35</v>
      </c>
      <c r="J616" t="s">
        <v>550</v>
      </c>
      <c r="K616" t="s">
        <v>18</v>
      </c>
      <c r="L616" t="s">
        <v>101</v>
      </c>
      <c r="M616">
        <v>1</v>
      </c>
      <c r="N616" t="s">
        <v>20</v>
      </c>
      <c r="O616">
        <v>1115</v>
      </c>
      <c r="P616" t="s">
        <v>1093</v>
      </c>
      <c r="Q616" t="s">
        <v>552</v>
      </c>
      <c r="R616" t="s">
        <v>23</v>
      </c>
    </row>
    <row r="617" spans="1:18" x14ac:dyDescent="0.35">
      <c r="A617">
        <v>615</v>
      </c>
      <c r="B617" t="s">
        <v>1370</v>
      </c>
      <c r="C617" s="1">
        <f t="shared" ca="1" si="45"/>
        <v>45416</v>
      </c>
      <c r="D617" t="str">
        <f t="shared" ca="1" si="46"/>
        <v>May</v>
      </c>
      <c r="E617" t="s">
        <v>15</v>
      </c>
      <c r="F617" t="s">
        <v>33</v>
      </c>
      <c r="G617" t="str">
        <f t="shared" si="47"/>
        <v>Men</v>
      </c>
      <c r="H617" t="str">
        <f t="shared" ca="1" si="48"/>
        <v>Amazon</v>
      </c>
      <c r="I617">
        <f t="shared" ca="1" si="49"/>
        <v>44</v>
      </c>
      <c r="J617" t="s">
        <v>1046</v>
      </c>
      <c r="K617" t="s">
        <v>27</v>
      </c>
      <c r="L617" t="s">
        <v>68</v>
      </c>
      <c r="M617">
        <v>1</v>
      </c>
      <c r="N617" t="s">
        <v>20</v>
      </c>
      <c r="O617">
        <v>329</v>
      </c>
      <c r="P617" t="s">
        <v>1047</v>
      </c>
      <c r="Q617" t="s">
        <v>46</v>
      </c>
      <c r="R617" t="s">
        <v>23</v>
      </c>
    </row>
    <row r="618" spans="1:18" x14ac:dyDescent="0.35">
      <c r="A618">
        <v>616</v>
      </c>
      <c r="B618" t="s">
        <v>1371</v>
      </c>
      <c r="C618" s="1">
        <f t="shared" ca="1" si="45"/>
        <v>45633</v>
      </c>
      <c r="D618" t="str">
        <f t="shared" ca="1" si="46"/>
        <v>December</v>
      </c>
      <c r="E618" t="s">
        <v>15</v>
      </c>
      <c r="F618" t="s">
        <v>33</v>
      </c>
      <c r="G618" t="str">
        <f t="shared" si="47"/>
        <v>Men</v>
      </c>
      <c r="H618" t="str">
        <f t="shared" ca="1" si="48"/>
        <v>Amazon</v>
      </c>
      <c r="I618">
        <f t="shared" ca="1" si="49"/>
        <v>59</v>
      </c>
      <c r="J618" t="s">
        <v>1049</v>
      </c>
      <c r="K618" t="s">
        <v>27</v>
      </c>
      <c r="L618" t="s">
        <v>68</v>
      </c>
      <c r="M618">
        <v>1</v>
      </c>
      <c r="N618" t="s">
        <v>20</v>
      </c>
      <c r="O618">
        <v>318</v>
      </c>
      <c r="P618" t="s">
        <v>1047</v>
      </c>
      <c r="Q618" t="s">
        <v>46</v>
      </c>
      <c r="R618" t="s">
        <v>23</v>
      </c>
    </row>
    <row r="619" spans="1:18" x14ac:dyDescent="0.35">
      <c r="A619">
        <v>617</v>
      </c>
      <c r="B619" t="s">
        <v>1372</v>
      </c>
      <c r="C619" s="1">
        <f t="shared" ca="1" si="45"/>
        <v>45103</v>
      </c>
      <c r="D619" t="str">
        <f t="shared" ca="1" si="46"/>
        <v>June</v>
      </c>
      <c r="E619" t="s">
        <v>25</v>
      </c>
      <c r="F619" t="s">
        <v>16</v>
      </c>
      <c r="G619" t="str">
        <f t="shared" si="47"/>
        <v>Men</v>
      </c>
      <c r="H619" t="str">
        <f t="shared" ca="1" si="48"/>
        <v>Myntra</v>
      </c>
      <c r="I619">
        <f t="shared" ca="1" si="49"/>
        <v>47</v>
      </c>
      <c r="J619" t="s">
        <v>1373</v>
      </c>
      <c r="K619" t="s">
        <v>27</v>
      </c>
      <c r="L619" t="s">
        <v>62</v>
      </c>
      <c r="M619">
        <v>1</v>
      </c>
      <c r="N619" t="s">
        <v>20</v>
      </c>
      <c r="O619">
        <v>499</v>
      </c>
      <c r="P619" t="s">
        <v>1374</v>
      </c>
      <c r="Q619" t="s">
        <v>46</v>
      </c>
      <c r="R619" t="s">
        <v>23</v>
      </c>
    </row>
    <row r="620" spans="1:18" x14ac:dyDescent="0.35">
      <c r="A620">
        <v>618</v>
      </c>
      <c r="B620" t="s">
        <v>1375</v>
      </c>
      <c r="C620" s="1">
        <f t="shared" ca="1" si="45"/>
        <v>45342</v>
      </c>
      <c r="D620" t="str">
        <f t="shared" ca="1" si="46"/>
        <v>February</v>
      </c>
      <c r="E620" t="s">
        <v>15</v>
      </c>
      <c r="F620" t="s">
        <v>33</v>
      </c>
      <c r="G620" t="str">
        <f t="shared" si="47"/>
        <v>Women</v>
      </c>
      <c r="H620" t="str">
        <f t="shared" ca="1" si="48"/>
        <v>Amazon</v>
      </c>
      <c r="I620">
        <f t="shared" ca="1" si="49"/>
        <v>44</v>
      </c>
      <c r="J620" t="s">
        <v>1376</v>
      </c>
      <c r="K620" t="s">
        <v>18</v>
      </c>
      <c r="L620" t="s">
        <v>40</v>
      </c>
      <c r="M620">
        <v>1</v>
      </c>
      <c r="N620" t="s">
        <v>20</v>
      </c>
      <c r="O620">
        <v>597</v>
      </c>
      <c r="P620" t="s">
        <v>1377</v>
      </c>
      <c r="Q620" t="s">
        <v>153</v>
      </c>
      <c r="R620" t="s">
        <v>23</v>
      </c>
    </row>
    <row r="621" spans="1:18" x14ac:dyDescent="0.35">
      <c r="A621">
        <v>619</v>
      </c>
      <c r="B621" t="s">
        <v>1378</v>
      </c>
      <c r="C621" s="1">
        <f t="shared" ca="1" si="45"/>
        <v>45019</v>
      </c>
      <c r="D621" t="str">
        <f t="shared" ca="1" si="46"/>
        <v>April</v>
      </c>
      <c r="E621" t="s">
        <v>25</v>
      </c>
      <c r="F621" t="s">
        <v>16</v>
      </c>
      <c r="G621" t="str">
        <f t="shared" si="47"/>
        <v>Men</v>
      </c>
      <c r="H621" t="str">
        <f t="shared" ca="1" si="48"/>
        <v>Flipkart</v>
      </c>
      <c r="I621">
        <f t="shared" ca="1" si="49"/>
        <v>18</v>
      </c>
      <c r="J621" t="s">
        <v>1379</v>
      </c>
      <c r="K621" t="s">
        <v>27</v>
      </c>
      <c r="L621" t="s">
        <v>35</v>
      </c>
      <c r="M621">
        <v>1</v>
      </c>
      <c r="N621" t="s">
        <v>20</v>
      </c>
      <c r="O621">
        <v>487</v>
      </c>
      <c r="P621" t="s">
        <v>63</v>
      </c>
      <c r="Q621" t="s">
        <v>46</v>
      </c>
      <c r="R621" t="s">
        <v>23</v>
      </c>
    </row>
    <row r="622" spans="1:18" x14ac:dyDescent="0.35">
      <c r="A622">
        <v>620</v>
      </c>
      <c r="B622" t="s">
        <v>1378</v>
      </c>
      <c r="C622" s="1">
        <f t="shared" ca="1" si="45"/>
        <v>44950</v>
      </c>
      <c r="D622" t="str">
        <f t="shared" ca="1" si="46"/>
        <v>January</v>
      </c>
      <c r="E622" t="s">
        <v>25</v>
      </c>
      <c r="F622" t="s">
        <v>16</v>
      </c>
      <c r="G622" t="str">
        <f t="shared" si="47"/>
        <v>Men</v>
      </c>
      <c r="H622" t="str">
        <f t="shared" ca="1" si="48"/>
        <v>Myntra</v>
      </c>
      <c r="I622">
        <f t="shared" ca="1" si="49"/>
        <v>32</v>
      </c>
      <c r="J622" t="s">
        <v>1380</v>
      </c>
      <c r="K622" t="s">
        <v>27</v>
      </c>
      <c r="L622" t="s">
        <v>35</v>
      </c>
      <c r="M622">
        <v>1</v>
      </c>
      <c r="N622" t="s">
        <v>20</v>
      </c>
      <c r="O622">
        <v>363</v>
      </c>
      <c r="P622" t="s">
        <v>63</v>
      </c>
      <c r="Q622" t="s">
        <v>46</v>
      </c>
      <c r="R622" t="s">
        <v>23</v>
      </c>
    </row>
    <row r="623" spans="1:18" x14ac:dyDescent="0.35">
      <c r="A623">
        <v>621</v>
      </c>
      <c r="B623" t="s">
        <v>1381</v>
      </c>
      <c r="C623" s="1">
        <f t="shared" ca="1" si="45"/>
        <v>45169</v>
      </c>
      <c r="D623" t="str">
        <f t="shared" ca="1" si="46"/>
        <v>August</v>
      </c>
      <c r="E623" t="s">
        <v>29</v>
      </c>
      <c r="F623" t="s">
        <v>33</v>
      </c>
      <c r="G623" t="str">
        <f t="shared" si="47"/>
        <v>Men</v>
      </c>
      <c r="H623" t="str">
        <f t="shared" ca="1" si="48"/>
        <v>Amazon</v>
      </c>
      <c r="I623">
        <f t="shared" ca="1" si="49"/>
        <v>35</v>
      </c>
      <c r="J623" t="s">
        <v>1382</v>
      </c>
      <c r="K623" t="s">
        <v>27</v>
      </c>
      <c r="L623" t="s">
        <v>28</v>
      </c>
      <c r="M623">
        <v>1</v>
      </c>
      <c r="N623" t="s">
        <v>20</v>
      </c>
      <c r="O623">
        <v>459</v>
      </c>
      <c r="P623" t="s">
        <v>88</v>
      </c>
      <c r="Q623" t="s">
        <v>89</v>
      </c>
      <c r="R623" t="s">
        <v>23</v>
      </c>
    </row>
    <row r="624" spans="1:18" x14ac:dyDescent="0.35">
      <c r="A624">
        <v>622</v>
      </c>
      <c r="B624" t="s">
        <v>1383</v>
      </c>
      <c r="C624" s="1">
        <f t="shared" ca="1" si="45"/>
        <v>45099</v>
      </c>
      <c r="D624" t="str">
        <f t="shared" ca="1" si="46"/>
        <v>June</v>
      </c>
      <c r="E624" t="s">
        <v>29</v>
      </c>
      <c r="F624" t="s">
        <v>33</v>
      </c>
      <c r="G624" t="str">
        <f t="shared" si="47"/>
        <v>Men</v>
      </c>
      <c r="H624" t="str">
        <f t="shared" ca="1" si="48"/>
        <v>Amazon</v>
      </c>
      <c r="I624">
        <f t="shared" ca="1" si="49"/>
        <v>53</v>
      </c>
      <c r="J624" t="s">
        <v>1384</v>
      </c>
      <c r="K624" t="s">
        <v>27</v>
      </c>
      <c r="L624" t="s">
        <v>68</v>
      </c>
      <c r="M624">
        <v>1</v>
      </c>
      <c r="N624" t="s">
        <v>20</v>
      </c>
      <c r="O624">
        <v>486</v>
      </c>
      <c r="P624" t="s">
        <v>1385</v>
      </c>
      <c r="Q624" t="s">
        <v>81</v>
      </c>
      <c r="R624" t="s">
        <v>23</v>
      </c>
    </row>
    <row r="625" spans="1:18" x14ac:dyDescent="0.35">
      <c r="A625">
        <v>623</v>
      </c>
      <c r="B625" t="s">
        <v>1386</v>
      </c>
      <c r="C625" s="1">
        <f t="shared" ca="1" si="45"/>
        <v>44930</v>
      </c>
      <c r="D625" t="str">
        <f t="shared" ca="1" si="46"/>
        <v>January</v>
      </c>
      <c r="E625" t="s">
        <v>29</v>
      </c>
      <c r="F625" t="s">
        <v>33</v>
      </c>
      <c r="G625" t="str">
        <f t="shared" si="47"/>
        <v>Men</v>
      </c>
      <c r="H625" t="str">
        <f t="shared" ca="1" si="48"/>
        <v>Amazon</v>
      </c>
      <c r="I625">
        <f t="shared" ca="1" si="49"/>
        <v>44</v>
      </c>
      <c r="J625" t="s">
        <v>1387</v>
      </c>
      <c r="K625" t="s">
        <v>27</v>
      </c>
      <c r="L625" t="s">
        <v>28</v>
      </c>
      <c r="M625">
        <v>1</v>
      </c>
      <c r="N625" t="s">
        <v>20</v>
      </c>
      <c r="O625">
        <v>568</v>
      </c>
      <c r="P625" t="s">
        <v>1388</v>
      </c>
      <c r="Q625" t="s">
        <v>81</v>
      </c>
      <c r="R625" t="s">
        <v>23</v>
      </c>
    </row>
    <row r="626" spans="1:18" x14ac:dyDescent="0.35">
      <c r="A626">
        <v>624</v>
      </c>
      <c r="B626" t="s">
        <v>1389</v>
      </c>
      <c r="C626" s="1">
        <f t="shared" ca="1" si="45"/>
        <v>45120</v>
      </c>
      <c r="D626" t="str">
        <f t="shared" ca="1" si="46"/>
        <v>July</v>
      </c>
      <c r="E626" t="s">
        <v>25</v>
      </c>
      <c r="F626" t="s">
        <v>16</v>
      </c>
      <c r="G626" t="str">
        <f t="shared" si="47"/>
        <v>Men</v>
      </c>
      <c r="H626" t="str">
        <f t="shared" ca="1" si="48"/>
        <v>Myntra</v>
      </c>
      <c r="I626">
        <f t="shared" ca="1" si="49"/>
        <v>55</v>
      </c>
      <c r="J626" t="s">
        <v>1390</v>
      </c>
      <c r="K626" t="s">
        <v>27</v>
      </c>
      <c r="L626" t="s">
        <v>62</v>
      </c>
      <c r="M626">
        <v>1</v>
      </c>
      <c r="N626" t="s">
        <v>20</v>
      </c>
      <c r="O626">
        <v>562</v>
      </c>
      <c r="P626" t="s">
        <v>30</v>
      </c>
      <c r="Q626" t="s">
        <v>31</v>
      </c>
      <c r="R626" t="s">
        <v>23</v>
      </c>
    </row>
    <row r="627" spans="1:18" x14ac:dyDescent="0.35">
      <c r="A627">
        <v>625</v>
      </c>
      <c r="B627" t="s">
        <v>1391</v>
      </c>
      <c r="C627" s="1">
        <f t="shared" ca="1" si="45"/>
        <v>45241</v>
      </c>
      <c r="D627" t="str">
        <f t="shared" ca="1" si="46"/>
        <v>November</v>
      </c>
      <c r="E627" t="s">
        <v>29</v>
      </c>
      <c r="F627" t="s">
        <v>33</v>
      </c>
      <c r="G627" t="str">
        <f t="shared" si="47"/>
        <v>Women</v>
      </c>
      <c r="H627" t="str">
        <f t="shared" ca="1" si="48"/>
        <v>Amazon</v>
      </c>
      <c r="I627">
        <f t="shared" ca="1" si="49"/>
        <v>21</v>
      </c>
      <c r="J627" t="s">
        <v>1392</v>
      </c>
      <c r="K627" t="s">
        <v>18</v>
      </c>
      <c r="L627" t="s">
        <v>40</v>
      </c>
      <c r="M627">
        <v>1</v>
      </c>
      <c r="N627" t="s">
        <v>20</v>
      </c>
      <c r="O627">
        <v>995</v>
      </c>
      <c r="P627" t="s">
        <v>1393</v>
      </c>
      <c r="Q627" t="s">
        <v>50</v>
      </c>
      <c r="R627" t="s">
        <v>23</v>
      </c>
    </row>
    <row r="628" spans="1:18" x14ac:dyDescent="0.35">
      <c r="A628">
        <v>626</v>
      </c>
      <c r="B628" t="s">
        <v>1394</v>
      </c>
      <c r="C628" s="1">
        <f t="shared" ca="1" si="45"/>
        <v>44984</v>
      </c>
      <c r="D628" t="str">
        <f t="shared" ca="1" si="46"/>
        <v>February</v>
      </c>
      <c r="E628" t="s">
        <v>15</v>
      </c>
      <c r="F628" t="s">
        <v>33</v>
      </c>
      <c r="G628" t="str">
        <f t="shared" si="47"/>
        <v>Women</v>
      </c>
      <c r="H628" t="str">
        <f t="shared" ca="1" si="48"/>
        <v>Amazon</v>
      </c>
      <c r="I628">
        <f t="shared" ca="1" si="49"/>
        <v>54</v>
      </c>
      <c r="J628" t="s">
        <v>1395</v>
      </c>
      <c r="K628" t="s">
        <v>18</v>
      </c>
      <c r="L628" t="s">
        <v>101</v>
      </c>
      <c r="M628">
        <v>1</v>
      </c>
      <c r="N628" t="s">
        <v>20</v>
      </c>
      <c r="O628">
        <v>1112</v>
      </c>
      <c r="P628" t="s">
        <v>1396</v>
      </c>
      <c r="Q628" t="s">
        <v>286</v>
      </c>
      <c r="R628" t="s">
        <v>23</v>
      </c>
    </row>
    <row r="629" spans="1:18" x14ac:dyDescent="0.35">
      <c r="A629">
        <v>627</v>
      </c>
      <c r="B629" t="s">
        <v>1397</v>
      </c>
      <c r="C629" s="1">
        <f t="shared" ca="1" si="45"/>
        <v>45064</v>
      </c>
      <c r="D629" t="str">
        <f t="shared" ca="1" si="46"/>
        <v>May</v>
      </c>
      <c r="E629" t="s">
        <v>29</v>
      </c>
      <c r="F629" t="s">
        <v>33</v>
      </c>
      <c r="G629" t="str">
        <f t="shared" si="47"/>
        <v>Women</v>
      </c>
      <c r="H629" t="str">
        <f t="shared" ca="1" si="48"/>
        <v>Amazon</v>
      </c>
      <c r="I629">
        <f t="shared" ca="1" si="49"/>
        <v>33</v>
      </c>
      <c r="J629" t="s">
        <v>353</v>
      </c>
      <c r="K629" t="s">
        <v>18</v>
      </c>
      <c r="L629" t="s">
        <v>28</v>
      </c>
      <c r="M629">
        <v>1</v>
      </c>
      <c r="N629" t="s">
        <v>20</v>
      </c>
      <c r="O629">
        <v>635</v>
      </c>
      <c r="P629" t="s">
        <v>88</v>
      </c>
      <c r="Q629" t="s">
        <v>89</v>
      </c>
      <c r="R629" t="s">
        <v>23</v>
      </c>
    </row>
    <row r="630" spans="1:18" x14ac:dyDescent="0.35">
      <c r="A630">
        <v>628</v>
      </c>
      <c r="B630" t="s">
        <v>1398</v>
      </c>
      <c r="C630" s="1">
        <f t="shared" ca="1" si="45"/>
        <v>45547</v>
      </c>
      <c r="D630" t="str">
        <f t="shared" ca="1" si="46"/>
        <v>September</v>
      </c>
      <c r="E630" t="s">
        <v>29</v>
      </c>
      <c r="F630" t="s">
        <v>33</v>
      </c>
      <c r="G630" t="str">
        <f t="shared" si="47"/>
        <v>Men</v>
      </c>
      <c r="H630" t="str">
        <f t="shared" ca="1" si="48"/>
        <v>Amazon</v>
      </c>
      <c r="I630">
        <f t="shared" ca="1" si="49"/>
        <v>32</v>
      </c>
      <c r="J630" t="s">
        <v>151</v>
      </c>
      <c r="K630" t="s">
        <v>27</v>
      </c>
      <c r="L630" t="s">
        <v>40</v>
      </c>
      <c r="M630">
        <v>1</v>
      </c>
      <c r="N630" t="s">
        <v>20</v>
      </c>
      <c r="O630">
        <v>399</v>
      </c>
      <c r="P630" t="s">
        <v>1399</v>
      </c>
      <c r="Q630" t="s">
        <v>264</v>
      </c>
      <c r="R630" t="s">
        <v>23</v>
      </c>
    </row>
    <row r="631" spans="1:18" x14ac:dyDescent="0.35">
      <c r="A631">
        <v>629</v>
      </c>
      <c r="B631" t="s">
        <v>1400</v>
      </c>
      <c r="C631" s="1">
        <f t="shared" ca="1" si="45"/>
        <v>45384</v>
      </c>
      <c r="D631" t="str">
        <f t="shared" ca="1" si="46"/>
        <v>April</v>
      </c>
      <c r="E631" t="s">
        <v>29</v>
      </c>
      <c r="F631" t="s">
        <v>33</v>
      </c>
      <c r="G631" t="str">
        <f t="shared" si="47"/>
        <v>Men</v>
      </c>
      <c r="H631" t="str">
        <f t="shared" ca="1" si="48"/>
        <v>Amazon</v>
      </c>
      <c r="I631">
        <f t="shared" ca="1" si="49"/>
        <v>53</v>
      </c>
      <c r="J631" t="s">
        <v>400</v>
      </c>
      <c r="K631" t="s">
        <v>27</v>
      </c>
      <c r="L631" t="s">
        <v>35</v>
      </c>
      <c r="M631">
        <v>1</v>
      </c>
      <c r="N631" t="s">
        <v>20</v>
      </c>
      <c r="O631">
        <v>363</v>
      </c>
      <c r="P631" t="s">
        <v>1401</v>
      </c>
      <c r="Q631" t="s">
        <v>46</v>
      </c>
      <c r="R631" t="s">
        <v>23</v>
      </c>
    </row>
    <row r="632" spans="1:18" x14ac:dyDescent="0.35">
      <c r="A632">
        <v>630</v>
      </c>
      <c r="B632" t="s">
        <v>1402</v>
      </c>
      <c r="C632" s="1">
        <f t="shared" ca="1" si="45"/>
        <v>45494</v>
      </c>
      <c r="D632" t="str">
        <f t="shared" ca="1" si="46"/>
        <v>July</v>
      </c>
      <c r="E632" t="s">
        <v>15</v>
      </c>
      <c r="F632" t="s">
        <v>33</v>
      </c>
      <c r="G632" t="str">
        <f t="shared" si="47"/>
        <v>Women</v>
      </c>
      <c r="H632" t="str">
        <f t="shared" ca="1" si="48"/>
        <v>Amazon</v>
      </c>
      <c r="I632">
        <f t="shared" ca="1" si="49"/>
        <v>34</v>
      </c>
      <c r="J632" t="s">
        <v>201</v>
      </c>
      <c r="K632" t="s">
        <v>18</v>
      </c>
      <c r="L632" t="s">
        <v>68</v>
      </c>
      <c r="M632">
        <v>0</v>
      </c>
      <c r="P632" t="s">
        <v>1016</v>
      </c>
      <c r="Q632" t="s">
        <v>114</v>
      </c>
      <c r="R632" t="s">
        <v>23</v>
      </c>
    </row>
    <row r="633" spans="1:18" x14ac:dyDescent="0.35">
      <c r="A633">
        <v>631</v>
      </c>
      <c r="B633" t="s">
        <v>1403</v>
      </c>
      <c r="C633" s="1">
        <f t="shared" ca="1" si="45"/>
        <v>45352</v>
      </c>
      <c r="D633" t="str">
        <f t="shared" ca="1" si="46"/>
        <v>March</v>
      </c>
      <c r="E633" t="s">
        <v>15</v>
      </c>
      <c r="F633" t="s">
        <v>33</v>
      </c>
      <c r="G633" t="str">
        <f t="shared" si="47"/>
        <v>Men</v>
      </c>
      <c r="H633" t="str">
        <f t="shared" ca="1" si="48"/>
        <v>Amazon</v>
      </c>
      <c r="I633">
        <f t="shared" ca="1" si="49"/>
        <v>32</v>
      </c>
      <c r="J633" t="s">
        <v>1404</v>
      </c>
      <c r="K633" t="s">
        <v>27</v>
      </c>
      <c r="L633" t="s">
        <v>28</v>
      </c>
      <c r="M633">
        <v>0</v>
      </c>
      <c r="P633" t="s">
        <v>84</v>
      </c>
      <c r="Q633" t="s">
        <v>85</v>
      </c>
      <c r="R633" t="s">
        <v>23</v>
      </c>
    </row>
    <row r="634" spans="1:18" x14ac:dyDescent="0.35">
      <c r="A634">
        <v>632</v>
      </c>
      <c r="B634" t="s">
        <v>1403</v>
      </c>
      <c r="C634" s="1">
        <f t="shared" ca="1" si="45"/>
        <v>44987</v>
      </c>
      <c r="D634" t="str">
        <f t="shared" ca="1" si="46"/>
        <v>March</v>
      </c>
      <c r="E634" t="s">
        <v>15</v>
      </c>
      <c r="F634" t="s">
        <v>33</v>
      </c>
      <c r="G634" t="str">
        <f t="shared" si="47"/>
        <v>Men</v>
      </c>
      <c r="H634" t="str">
        <f t="shared" ca="1" si="48"/>
        <v>Amazon</v>
      </c>
      <c r="I634">
        <f t="shared" ca="1" si="49"/>
        <v>39</v>
      </c>
      <c r="J634" t="s">
        <v>61</v>
      </c>
      <c r="K634" t="s">
        <v>27</v>
      </c>
      <c r="L634" t="s">
        <v>62</v>
      </c>
      <c r="M634">
        <v>0</v>
      </c>
      <c r="P634" t="s">
        <v>84</v>
      </c>
      <c r="Q634" t="s">
        <v>85</v>
      </c>
      <c r="R634" t="s">
        <v>23</v>
      </c>
    </row>
    <row r="635" spans="1:18" x14ac:dyDescent="0.35">
      <c r="A635">
        <v>633</v>
      </c>
      <c r="B635" t="s">
        <v>1405</v>
      </c>
      <c r="C635" s="1">
        <f t="shared" ca="1" si="45"/>
        <v>45468</v>
      </c>
      <c r="D635" t="str">
        <f t="shared" ca="1" si="46"/>
        <v>June</v>
      </c>
      <c r="E635" t="s">
        <v>15</v>
      </c>
      <c r="F635" t="s">
        <v>33</v>
      </c>
      <c r="G635" t="str">
        <f t="shared" si="47"/>
        <v>Women</v>
      </c>
      <c r="H635" t="str">
        <f t="shared" ca="1" si="48"/>
        <v>Amazon</v>
      </c>
      <c r="I635">
        <f t="shared" ca="1" si="49"/>
        <v>45</v>
      </c>
      <c r="J635" t="s">
        <v>789</v>
      </c>
      <c r="K635" t="s">
        <v>18</v>
      </c>
      <c r="L635" t="s">
        <v>40</v>
      </c>
      <c r="M635">
        <v>0</v>
      </c>
      <c r="P635" t="s">
        <v>470</v>
      </c>
      <c r="Q635" t="s">
        <v>93</v>
      </c>
      <c r="R635" t="s">
        <v>23</v>
      </c>
    </row>
    <row r="636" spans="1:18" x14ac:dyDescent="0.35">
      <c r="A636">
        <v>634</v>
      </c>
      <c r="B636" t="s">
        <v>1406</v>
      </c>
      <c r="C636" s="1">
        <f t="shared" ca="1" si="45"/>
        <v>45406</v>
      </c>
      <c r="D636" t="str">
        <f t="shared" ca="1" si="46"/>
        <v>April</v>
      </c>
      <c r="E636" t="s">
        <v>29</v>
      </c>
      <c r="F636" t="s">
        <v>33</v>
      </c>
      <c r="G636" t="str">
        <f t="shared" si="47"/>
        <v>Men</v>
      </c>
      <c r="H636" t="str">
        <f t="shared" ca="1" si="48"/>
        <v>Amazon</v>
      </c>
      <c r="I636">
        <f t="shared" ca="1" si="49"/>
        <v>39</v>
      </c>
      <c r="J636" t="s">
        <v>1407</v>
      </c>
      <c r="K636" t="s">
        <v>27</v>
      </c>
      <c r="L636" t="s">
        <v>101</v>
      </c>
      <c r="M636">
        <v>1</v>
      </c>
      <c r="N636" t="s">
        <v>20</v>
      </c>
      <c r="O636">
        <v>458</v>
      </c>
      <c r="P636" t="s">
        <v>30</v>
      </c>
      <c r="Q636" t="s">
        <v>31</v>
      </c>
      <c r="R636" t="s">
        <v>23</v>
      </c>
    </row>
    <row r="637" spans="1:18" x14ac:dyDescent="0.35">
      <c r="A637">
        <v>635</v>
      </c>
      <c r="B637" t="s">
        <v>1408</v>
      </c>
      <c r="C637" s="1">
        <f t="shared" ca="1" si="45"/>
        <v>45541</v>
      </c>
      <c r="D637" t="str">
        <f t="shared" ca="1" si="46"/>
        <v>September</v>
      </c>
      <c r="E637" t="s">
        <v>29</v>
      </c>
      <c r="F637" t="s">
        <v>33</v>
      </c>
      <c r="G637" t="str">
        <f t="shared" si="47"/>
        <v>Women</v>
      </c>
      <c r="H637" t="str">
        <f t="shared" ca="1" si="48"/>
        <v>Amazon</v>
      </c>
      <c r="I637">
        <f t="shared" ca="1" si="49"/>
        <v>51</v>
      </c>
      <c r="J637" t="s">
        <v>1409</v>
      </c>
      <c r="K637" t="s">
        <v>18</v>
      </c>
      <c r="L637" t="s">
        <v>68</v>
      </c>
      <c r="M637">
        <v>1</v>
      </c>
      <c r="N637" t="s">
        <v>20</v>
      </c>
      <c r="O637">
        <v>597</v>
      </c>
      <c r="P637" t="s">
        <v>1410</v>
      </c>
      <c r="Q637" t="s">
        <v>22</v>
      </c>
      <c r="R637" t="s">
        <v>23</v>
      </c>
    </row>
    <row r="638" spans="1:18" x14ac:dyDescent="0.35">
      <c r="A638">
        <v>636</v>
      </c>
      <c r="B638" t="s">
        <v>1411</v>
      </c>
      <c r="C638" s="1">
        <f t="shared" ca="1" si="45"/>
        <v>45213</v>
      </c>
      <c r="D638" t="str">
        <f t="shared" ca="1" si="46"/>
        <v>October</v>
      </c>
      <c r="E638" t="s">
        <v>29</v>
      </c>
      <c r="F638" t="s">
        <v>33</v>
      </c>
      <c r="G638" t="str">
        <f t="shared" si="47"/>
        <v>Women</v>
      </c>
      <c r="H638" t="str">
        <f t="shared" ca="1" si="48"/>
        <v>Amazon</v>
      </c>
      <c r="I638">
        <f t="shared" ca="1" si="49"/>
        <v>39</v>
      </c>
      <c r="J638" t="s">
        <v>1376</v>
      </c>
      <c r="K638" t="s">
        <v>18</v>
      </c>
      <c r="L638" t="s">
        <v>40</v>
      </c>
      <c r="M638">
        <v>1</v>
      </c>
      <c r="N638" t="s">
        <v>20</v>
      </c>
      <c r="O638">
        <v>597</v>
      </c>
      <c r="P638" t="s">
        <v>30</v>
      </c>
      <c r="Q638" t="s">
        <v>31</v>
      </c>
      <c r="R638" t="s">
        <v>23</v>
      </c>
    </row>
    <row r="639" spans="1:18" x14ac:dyDescent="0.35">
      <c r="A639">
        <v>637</v>
      </c>
      <c r="B639" t="s">
        <v>1412</v>
      </c>
      <c r="C639" s="1">
        <f t="shared" ca="1" si="45"/>
        <v>45618</v>
      </c>
      <c r="D639" t="str">
        <f t="shared" ca="1" si="46"/>
        <v>November</v>
      </c>
      <c r="E639" t="s">
        <v>25</v>
      </c>
      <c r="F639" t="s">
        <v>16</v>
      </c>
      <c r="G639" t="str">
        <f t="shared" si="47"/>
        <v>Men</v>
      </c>
      <c r="H639" t="str">
        <f t="shared" ca="1" si="48"/>
        <v>Myntra</v>
      </c>
      <c r="I639">
        <f t="shared" ca="1" si="49"/>
        <v>52</v>
      </c>
      <c r="J639" t="s">
        <v>1413</v>
      </c>
      <c r="K639" t="s">
        <v>27</v>
      </c>
      <c r="L639" t="s">
        <v>101</v>
      </c>
      <c r="M639">
        <v>1</v>
      </c>
      <c r="N639" t="s">
        <v>20</v>
      </c>
      <c r="O639">
        <v>1249</v>
      </c>
      <c r="P639" t="s">
        <v>1414</v>
      </c>
      <c r="Q639" t="s">
        <v>161</v>
      </c>
      <c r="R639" t="s">
        <v>23</v>
      </c>
    </row>
    <row r="640" spans="1:18" x14ac:dyDescent="0.35">
      <c r="A640">
        <v>638</v>
      </c>
      <c r="B640" t="s">
        <v>1415</v>
      </c>
      <c r="C640" s="1">
        <f t="shared" ca="1" si="45"/>
        <v>45164</v>
      </c>
      <c r="D640" t="str">
        <f t="shared" ca="1" si="46"/>
        <v>August</v>
      </c>
      <c r="E640" t="s">
        <v>29</v>
      </c>
      <c r="F640" t="s">
        <v>33</v>
      </c>
      <c r="G640" t="str">
        <f t="shared" si="47"/>
        <v>Women</v>
      </c>
      <c r="H640" t="str">
        <f t="shared" ca="1" si="48"/>
        <v>Amazon</v>
      </c>
      <c r="I640">
        <f t="shared" ca="1" si="49"/>
        <v>26</v>
      </c>
      <c r="J640" t="s">
        <v>1416</v>
      </c>
      <c r="K640" t="s">
        <v>18</v>
      </c>
      <c r="L640" t="s">
        <v>40</v>
      </c>
      <c r="M640">
        <v>1</v>
      </c>
      <c r="N640" t="s">
        <v>20</v>
      </c>
      <c r="O640">
        <v>801</v>
      </c>
      <c r="P640" t="s">
        <v>1417</v>
      </c>
      <c r="Q640" t="s">
        <v>357</v>
      </c>
      <c r="R640" t="s">
        <v>23</v>
      </c>
    </row>
    <row r="641" spans="1:18" x14ac:dyDescent="0.35">
      <c r="A641">
        <v>639</v>
      </c>
      <c r="B641" t="s">
        <v>1418</v>
      </c>
      <c r="C641" s="1">
        <f t="shared" ca="1" si="45"/>
        <v>45531</v>
      </c>
      <c r="D641" t="str">
        <f t="shared" ca="1" si="46"/>
        <v>August</v>
      </c>
      <c r="E641" t="s">
        <v>15</v>
      </c>
      <c r="F641" t="s">
        <v>33</v>
      </c>
      <c r="G641" t="str">
        <f t="shared" si="47"/>
        <v>Men</v>
      </c>
      <c r="H641" t="str">
        <f t="shared" ca="1" si="48"/>
        <v>Amazon</v>
      </c>
      <c r="I641">
        <f t="shared" ca="1" si="49"/>
        <v>43</v>
      </c>
      <c r="J641" t="s">
        <v>1419</v>
      </c>
      <c r="K641" t="s">
        <v>27</v>
      </c>
      <c r="L641" t="s">
        <v>62</v>
      </c>
      <c r="M641">
        <v>0</v>
      </c>
      <c r="P641" t="s">
        <v>219</v>
      </c>
      <c r="Q641" t="s">
        <v>22</v>
      </c>
      <c r="R641" t="s">
        <v>23</v>
      </c>
    </row>
    <row r="642" spans="1:18" x14ac:dyDescent="0.35">
      <c r="A642">
        <v>640</v>
      </c>
      <c r="B642" t="s">
        <v>1420</v>
      </c>
      <c r="C642" s="1">
        <f t="shared" ca="1" si="45"/>
        <v>45650</v>
      </c>
      <c r="D642" t="str">
        <f t="shared" ca="1" si="46"/>
        <v>December</v>
      </c>
      <c r="E642" t="s">
        <v>29</v>
      </c>
      <c r="F642" t="s">
        <v>33</v>
      </c>
      <c r="G642" t="str">
        <f t="shared" si="47"/>
        <v>Men</v>
      </c>
      <c r="H642" t="str">
        <f t="shared" ca="1" si="48"/>
        <v>Amazon</v>
      </c>
      <c r="I642">
        <f t="shared" ca="1" si="49"/>
        <v>30</v>
      </c>
      <c r="J642" t="s">
        <v>1421</v>
      </c>
      <c r="K642" t="s">
        <v>27</v>
      </c>
      <c r="L642" t="s">
        <v>62</v>
      </c>
      <c r="M642">
        <v>1</v>
      </c>
      <c r="N642" t="s">
        <v>20</v>
      </c>
      <c r="O642">
        <v>393</v>
      </c>
      <c r="P642" t="s">
        <v>30</v>
      </c>
      <c r="Q642" t="s">
        <v>31</v>
      </c>
      <c r="R642" t="s">
        <v>23</v>
      </c>
    </row>
    <row r="643" spans="1:18" x14ac:dyDescent="0.35">
      <c r="A643">
        <v>641</v>
      </c>
      <c r="B643" t="s">
        <v>1422</v>
      </c>
      <c r="C643" s="1">
        <f t="shared" ref="C643:C706" ca="1" si="50">RANDBETWEEN(DATE(2023,1,1), DATE(2024,12,31))</f>
        <v>45139</v>
      </c>
      <c r="D643" t="str">
        <f t="shared" ref="D643:D706" ca="1" si="51">TEXT(C643, "MMMM")</f>
        <v>August</v>
      </c>
      <c r="E643" t="s">
        <v>29</v>
      </c>
      <c r="F643" t="s">
        <v>33</v>
      </c>
      <c r="G643" t="str">
        <f t="shared" ref="G643:G706" si="52">IF(K643="Set","Women",IF(K643="Kurta","Men",IF(K643="Top","Women",IF(K643="Western Dress","Women",IF(K643="Ethnic Dress","Women",IF(K643="Saree","Women",0))))))</f>
        <v>Women</v>
      </c>
      <c r="H643" t="str">
        <f t="shared" ref="H643:H706" ca="1" si="53">IF(F643="Merchant",IF(RAND()&gt;0.5,"Myntra","Flipkart"),IF(F643="Amazon","Amazon",0))</f>
        <v>Amazon</v>
      </c>
      <c r="I643">
        <f t="shared" ref="I643:I706" ca="1" si="54">RANDBETWEEN(18, 60)</f>
        <v>36</v>
      </c>
      <c r="J643" t="s">
        <v>1423</v>
      </c>
      <c r="K643" t="s">
        <v>39</v>
      </c>
      <c r="L643" t="s">
        <v>62</v>
      </c>
      <c r="M643">
        <v>1</v>
      </c>
      <c r="N643" t="s">
        <v>20</v>
      </c>
      <c r="O643">
        <v>744</v>
      </c>
      <c r="P643" t="s">
        <v>1424</v>
      </c>
      <c r="Q643" t="s">
        <v>46</v>
      </c>
      <c r="R643" t="s">
        <v>23</v>
      </c>
    </row>
    <row r="644" spans="1:18" x14ac:dyDescent="0.35">
      <c r="A644">
        <v>642</v>
      </c>
      <c r="B644" t="s">
        <v>1425</v>
      </c>
      <c r="C644" s="1">
        <f t="shared" ca="1" si="50"/>
        <v>45309</v>
      </c>
      <c r="D644" t="str">
        <f t="shared" ca="1" si="51"/>
        <v>January</v>
      </c>
      <c r="E644" t="s">
        <v>29</v>
      </c>
      <c r="F644" t="s">
        <v>33</v>
      </c>
      <c r="G644" t="str">
        <f t="shared" si="52"/>
        <v>Women</v>
      </c>
      <c r="H644" t="str">
        <f t="shared" ca="1" si="53"/>
        <v>Amazon</v>
      </c>
      <c r="I644">
        <f t="shared" ca="1" si="54"/>
        <v>21</v>
      </c>
      <c r="J644" t="s">
        <v>1426</v>
      </c>
      <c r="K644" t="s">
        <v>44</v>
      </c>
      <c r="L644" t="s">
        <v>35</v>
      </c>
      <c r="M644">
        <v>1</v>
      </c>
      <c r="N644" t="s">
        <v>20</v>
      </c>
      <c r="O644">
        <v>540</v>
      </c>
      <c r="P644" t="s">
        <v>84</v>
      </c>
      <c r="Q644" t="s">
        <v>85</v>
      </c>
      <c r="R644" t="s">
        <v>23</v>
      </c>
    </row>
    <row r="645" spans="1:18" x14ac:dyDescent="0.35">
      <c r="A645">
        <v>643</v>
      </c>
      <c r="B645" t="s">
        <v>1427</v>
      </c>
      <c r="C645" s="1">
        <f t="shared" ca="1" si="50"/>
        <v>45409</v>
      </c>
      <c r="D645" t="str">
        <f t="shared" ca="1" si="51"/>
        <v>April</v>
      </c>
      <c r="E645" t="s">
        <v>29</v>
      </c>
      <c r="F645" t="s">
        <v>33</v>
      </c>
      <c r="G645" t="str">
        <f t="shared" si="52"/>
        <v>Women</v>
      </c>
      <c r="H645" t="str">
        <f t="shared" ca="1" si="53"/>
        <v>Amazon</v>
      </c>
      <c r="I645">
        <f t="shared" ca="1" si="54"/>
        <v>24</v>
      </c>
      <c r="J645" t="s">
        <v>295</v>
      </c>
      <c r="K645" t="s">
        <v>18</v>
      </c>
      <c r="L645" t="s">
        <v>40</v>
      </c>
      <c r="M645">
        <v>1</v>
      </c>
      <c r="N645" t="s">
        <v>20</v>
      </c>
      <c r="O645">
        <v>696</v>
      </c>
      <c r="P645" t="s">
        <v>185</v>
      </c>
      <c r="Q645" t="s">
        <v>140</v>
      </c>
      <c r="R645" t="s">
        <v>23</v>
      </c>
    </row>
    <row r="646" spans="1:18" x14ac:dyDescent="0.35">
      <c r="A646">
        <v>644</v>
      </c>
      <c r="B646" t="s">
        <v>1428</v>
      </c>
      <c r="C646" s="1">
        <f t="shared" ca="1" si="50"/>
        <v>44957</v>
      </c>
      <c r="D646" t="str">
        <f t="shared" ca="1" si="51"/>
        <v>January</v>
      </c>
      <c r="E646" t="s">
        <v>29</v>
      </c>
      <c r="F646" t="s">
        <v>33</v>
      </c>
      <c r="G646" t="str">
        <f t="shared" si="52"/>
        <v>Women</v>
      </c>
      <c r="H646" t="str">
        <f t="shared" ca="1" si="53"/>
        <v>Amazon</v>
      </c>
      <c r="I646">
        <f t="shared" ca="1" si="54"/>
        <v>31</v>
      </c>
      <c r="J646" t="s">
        <v>1429</v>
      </c>
      <c r="K646" t="s">
        <v>44</v>
      </c>
      <c r="L646" t="s">
        <v>35</v>
      </c>
      <c r="M646">
        <v>1</v>
      </c>
      <c r="N646" t="s">
        <v>20</v>
      </c>
      <c r="O646">
        <v>512</v>
      </c>
      <c r="P646" t="s">
        <v>170</v>
      </c>
      <c r="Q646" t="s">
        <v>171</v>
      </c>
      <c r="R646" t="s">
        <v>23</v>
      </c>
    </row>
    <row r="647" spans="1:18" x14ac:dyDescent="0.35">
      <c r="A647">
        <v>645</v>
      </c>
      <c r="B647" t="s">
        <v>1430</v>
      </c>
      <c r="C647" s="1">
        <f t="shared" ca="1" si="50"/>
        <v>45102</v>
      </c>
      <c r="D647" t="str">
        <f t="shared" ca="1" si="51"/>
        <v>June</v>
      </c>
      <c r="E647" t="s">
        <v>29</v>
      </c>
      <c r="F647" t="s">
        <v>33</v>
      </c>
      <c r="G647" t="str">
        <f t="shared" si="52"/>
        <v>Women</v>
      </c>
      <c r="H647" t="str">
        <f t="shared" ca="1" si="53"/>
        <v>Amazon</v>
      </c>
      <c r="I647">
        <f t="shared" ca="1" si="54"/>
        <v>23</v>
      </c>
      <c r="J647" t="s">
        <v>1431</v>
      </c>
      <c r="K647" t="s">
        <v>18</v>
      </c>
      <c r="L647" t="s">
        <v>62</v>
      </c>
      <c r="M647">
        <v>1</v>
      </c>
      <c r="N647" t="s">
        <v>20</v>
      </c>
      <c r="O647">
        <v>922</v>
      </c>
      <c r="P647" t="s">
        <v>21</v>
      </c>
      <c r="Q647" t="s">
        <v>22</v>
      </c>
      <c r="R647" t="s">
        <v>23</v>
      </c>
    </row>
    <row r="648" spans="1:18" x14ac:dyDescent="0.35">
      <c r="A648">
        <v>646</v>
      </c>
      <c r="B648" t="s">
        <v>1432</v>
      </c>
      <c r="C648" s="1">
        <f t="shared" ca="1" si="50"/>
        <v>45352</v>
      </c>
      <c r="D648" t="str">
        <f t="shared" ca="1" si="51"/>
        <v>March</v>
      </c>
      <c r="E648" t="s">
        <v>29</v>
      </c>
      <c r="F648" t="s">
        <v>33</v>
      </c>
      <c r="G648" t="str">
        <f t="shared" si="52"/>
        <v>Women</v>
      </c>
      <c r="H648" t="str">
        <f t="shared" ca="1" si="53"/>
        <v>Amazon</v>
      </c>
      <c r="I648">
        <f t="shared" ca="1" si="54"/>
        <v>25</v>
      </c>
      <c r="J648" t="s">
        <v>1433</v>
      </c>
      <c r="K648" t="s">
        <v>18</v>
      </c>
      <c r="L648" t="s">
        <v>28</v>
      </c>
      <c r="M648">
        <v>1</v>
      </c>
      <c r="N648" t="s">
        <v>20</v>
      </c>
      <c r="O648">
        <v>818</v>
      </c>
      <c r="P648" t="s">
        <v>416</v>
      </c>
      <c r="Q648" t="s">
        <v>81</v>
      </c>
      <c r="R648" t="s">
        <v>23</v>
      </c>
    </row>
    <row r="649" spans="1:18" x14ac:dyDescent="0.35">
      <c r="A649">
        <v>647</v>
      </c>
      <c r="B649" t="s">
        <v>1434</v>
      </c>
      <c r="C649" s="1">
        <f t="shared" ca="1" si="50"/>
        <v>45339</v>
      </c>
      <c r="D649" t="str">
        <f t="shared" ca="1" si="51"/>
        <v>February</v>
      </c>
      <c r="E649" t="s">
        <v>29</v>
      </c>
      <c r="F649" t="s">
        <v>33</v>
      </c>
      <c r="G649" t="str">
        <f t="shared" si="52"/>
        <v>Women</v>
      </c>
      <c r="H649" t="str">
        <f t="shared" ca="1" si="53"/>
        <v>Amazon</v>
      </c>
      <c r="I649">
        <f t="shared" ca="1" si="54"/>
        <v>60</v>
      </c>
      <c r="J649" t="s">
        <v>491</v>
      </c>
      <c r="K649" t="s">
        <v>18</v>
      </c>
      <c r="L649" t="s">
        <v>19</v>
      </c>
      <c r="M649">
        <v>2</v>
      </c>
      <c r="N649" t="s">
        <v>20</v>
      </c>
      <c r="O649">
        <v>2224</v>
      </c>
      <c r="P649" t="s">
        <v>485</v>
      </c>
      <c r="Q649" t="s">
        <v>22</v>
      </c>
      <c r="R649" t="s">
        <v>23</v>
      </c>
    </row>
    <row r="650" spans="1:18" x14ac:dyDescent="0.35">
      <c r="A650">
        <v>648</v>
      </c>
      <c r="B650" t="s">
        <v>1435</v>
      </c>
      <c r="C650" s="1">
        <f t="shared" ca="1" si="50"/>
        <v>45431</v>
      </c>
      <c r="D650" t="str">
        <f t="shared" ca="1" si="51"/>
        <v>May</v>
      </c>
      <c r="E650" t="s">
        <v>29</v>
      </c>
      <c r="F650" t="s">
        <v>33</v>
      </c>
      <c r="G650" t="str">
        <f t="shared" si="52"/>
        <v>Women</v>
      </c>
      <c r="H650" t="str">
        <f t="shared" ca="1" si="53"/>
        <v>Amazon</v>
      </c>
      <c r="I650">
        <f t="shared" ca="1" si="54"/>
        <v>30</v>
      </c>
      <c r="J650" t="s">
        <v>1436</v>
      </c>
      <c r="K650" t="s">
        <v>18</v>
      </c>
      <c r="L650" t="s">
        <v>35</v>
      </c>
      <c r="M650">
        <v>1</v>
      </c>
      <c r="N650" t="s">
        <v>20</v>
      </c>
      <c r="O650">
        <v>1112</v>
      </c>
      <c r="P650" t="s">
        <v>170</v>
      </c>
      <c r="Q650" t="s">
        <v>171</v>
      </c>
      <c r="R650" t="s">
        <v>23</v>
      </c>
    </row>
    <row r="651" spans="1:18" x14ac:dyDescent="0.35">
      <c r="A651">
        <v>649</v>
      </c>
      <c r="B651" t="s">
        <v>1437</v>
      </c>
      <c r="C651" s="1">
        <f t="shared" ca="1" si="50"/>
        <v>45067</v>
      </c>
      <c r="D651" t="str">
        <f t="shared" ca="1" si="51"/>
        <v>May</v>
      </c>
      <c r="E651" t="s">
        <v>29</v>
      </c>
      <c r="F651" t="s">
        <v>33</v>
      </c>
      <c r="G651" t="str">
        <f t="shared" si="52"/>
        <v>Women</v>
      </c>
      <c r="H651" t="str">
        <f t="shared" ca="1" si="53"/>
        <v>Amazon</v>
      </c>
      <c r="I651">
        <f t="shared" ca="1" si="54"/>
        <v>58</v>
      </c>
      <c r="J651" t="s">
        <v>1438</v>
      </c>
      <c r="K651" t="s">
        <v>18</v>
      </c>
      <c r="L651" t="s">
        <v>101</v>
      </c>
      <c r="M651">
        <v>1</v>
      </c>
      <c r="N651" t="s">
        <v>20</v>
      </c>
      <c r="O651">
        <v>792</v>
      </c>
      <c r="P651" t="s">
        <v>1439</v>
      </c>
      <c r="Q651" t="s">
        <v>378</v>
      </c>
      <c r="R651" t="s">
        <v>23</v>
      </c>
    </row>
    <row r="652" spans="1:18" x14ac:dyDescent="0.35">
      <c r="A652">
        <v>650</v>
      </c>
      <c r="B652" t="s">
        <v>1440</v>
      </c>
      <c r="C652" s="1">
        <f t="shared" ca="1" si="50"/>
        <v>45095</v>
      </c>
      <c r="D652" t="str">
        <f t="shared" ca="1" si="51"/>
        <v>June</v>
      </c>
      <c r="E652" t="s">
        <v>29</v>
      </c>
      <c r="F652" t="s">
        <v>33</v>
      </c>
      <c r="G652" t="str">
        <f t="shared" si="52"/>
        <v>Women</v>
      </c>
      <c r="H652" t="str">
        <f t="shared" ca="1" si="53"/>
        <v>Amazon</v>
      </c>
      <c r="I652">
        <f t="shared" ca="1" si="54"/>
        <v>60</v>
      </c>
      <c r="J652" t="s">
        <v>851</v>
      </c>
      <c r="K652" t="s">
        <v>18</v>
      </c>
      <c r="L652" t="s">
        <v>62</v>
      </c>
      <c r="M652">
        <v>1</v>
      </c>
      <c r="N652" t="s">
        <v>20</v>
      </c>
      <c r="O652">
        <v>824</v>
      </c>
      <c r="P652" t="s">
        <v>88</v>
      </c>
      <c r="Q652" t="s">
        <v>89</v>
      </c>
      <c r="R652" t="s">
        <v>23</v>
      </c>
    </row>
    <row r="653" spans="1:18" x14ac:dyDescent="0.35">
      <c r="A653">
        <v>651</v>
      </c>
      <c r="B653" t="s">
        <v>1441</v>
      </c>
      <c r="C653" s="1">
        <f t="shared" ca="1" si="50"/>
        <v>45029</v>
      </c>
      <c r="D653" t="str">
        <f t="shared" ca="1" si="51"/>
        <v>April</v>
      </c>
      <c r="E653" t="s">
        <v>15</v>
      </c>
      <c r="F653" t="s">
        <v>16</v>
      </c>
      <c r="G653" t="str">
        <f t="shared" si="52"/>
        <v>Men</v>
      </c>
      <c r="H653" t="str">
        <f t="shared" ca="1" si="53"/>
        <v>Myntra</v>
      </c>
      <c r="I653">
        <f t="shared" ca="1" si="54"/>
        <v>37</v>
      </c>
      <c r="J653" t="s">
        <v>1442</v>
      </c>
      <c r="K653" t="s">
        <v>27</v>
      </c>
      <c r="L653" t="s">
        <v>28</v>
      </c>
      <c r="M653">
        <v>0</v>
      </c>
      <c r="N653" t="s">
        <v>20</v>
      </c>
      <c r="O653">
        <v>358.1</v>
      </c>
      <c r="P653" t="s">
        <v>388</v>
      </c>
      <c r="Q653" t="s">
        <v>46</v>
      </c>
      <c r="R653" t="s">
        <v>23</v>
      </c>
    </row>
    <row r="654" spans="1:18" x14ac:dyDescent="0.35">
      <c r="A654">
        <v>652</v>
      </c>
      <c r="B654" t="s">
        <v>1443</v>
      </c>
      <c r="C654" s="1">
        <f t="shared" ca="1" si="50"/>
        <v>45395</v>
      </c>
      <c r="D654" t="str">
        <f t="shared" ca="1" si="51"/>
        <v>April</v>
      </c>
      <c r="E654" t="s">
        <v>15</v>
      </c>
      <c r="F654" t="s">
        <v>33</v>
      </c>
      <c r="G654" t="str">
        <f t="shared" si="52"/>
        <v>Women</v>
      </c>
      <c r="H654" t="str">
        <f t="shared" ca="1" si="53"/>
        <v>Amazon</v>
      </c>
      <c r="I654">
        <f t="shared" ca="1" si="54"/>
        <v>45</v>
      </c>
      <c r="J654" t="s">
        <v>1395</v>
      </c>
      <c r="K654" t="s">
        <v>18</v>
      </c>
      <c r="L654" t="s">
        <v>101</v>
      </c>
      <c r="M654">
        <v>0</v>
      </c>
      <c r="P654" t="s">
        <v>1444</v>
      </c>
      <c r="Q654" t="s">
        <v>286</v>
      </c>
      <c r="R654" t="s">
        <v>23</v>
      </c>
    </row>
    <row r="655" spans="1:18" x14ac:dyDescent="0.35">
      <c r="A655">
        <v>653</v>
      </c>
      <c r="B655" t="s">
        <v>1445</v>
      </c>
      <c r="C655" s="1">
        <f t="shared" ca="1" si="50"/>
        <v>45335</v>
      </c>
      <c r="D655" t="str">
        <f t="shared" ca="1" si="51"/>
        <v>February</v>
      </c>
      <c r="E655" t="s">
        <v>29</v>
      </c>
      <c r="F655" t="s">
        <v>33</v>
      </c>
      <c r="G655" t="str">
        <f t="shared" si="52"/>
        <v>Women</v>
      </c>
      <c r="H655" t="str">
        <f t="shared" ca="1" si="53"/>
        <v>Amazon</v>
      </c>
      <c r="I655">
        <f t="shared" ca="1" si="54"/>
        <v>45</v>
      </c>
      <c r="J655" t="s">
        <v>795</v>
      </c>
      <c r="K655" t="s">
        <v>18</v>
      </c>
      <c r="L655" t="s">
        <v>40</v>
      </c>
      <c r="M655">
        <v>1</v>
      </c>
      <c r="N655" t="s">
        <v>20</v>
      </c>
      <c r="O655">
        <v>759</v>
      </c>
      <c r="P655" t="s">
        <v>1446</v>
      </c>
      <c r="Q655" t="s">
        <v>171</v>
      </c>
      <c r="R655" t="s">
        <v>23</v>
      </c>
    </row>
    <row r="656" spans="1:18" x14ac:dyDescent="0.35">
      <c r="A656">
        <v>654</v>
      </c>
      <c r="B656" t="s">
        <v>1447</v>
      </c>
      <c r="C656" s="1">
        <f t="shared" ca="1" si="50"/>
        <v>45160</v>
      </c>
      <c r="D656" t="str">
        <f t="shared" ca="1" si="51"/>
        <v>August</v>
      </c>
      <c r="E656" t="s">
        <v>29</v>
      </c>
      <c r="F656" t="s">
        <v>33</v>
      </c>
      <c r="G656" t="str">
        <f t="shared" si="52"/>
        <v>Women</v>
      </c>
      <c r="H656" t="str">
        <f t="shared" ca="1" si="53"/>
        <v>Amazon</v>
      </c>
      <c r="I656">
        <f t="shared" ca="1" si="54"/>
        <v>36</v>
      </c>
      <c r="J656" t="s">
        <v>129</v>
      </c>
      <c r="K656" t="s">
        <v>39</v>
      </c>
      <c r="L656" t="s">
        <v>19</v>
      </c>
      <c r="M656">
        <v>1</v>
      </c>
      <c r="N656" t="s">
        <v>20</v>
      </c>
      <c r="O656">
        <v>744</v>
      </c>
      <c r="P656" t="s">
        <v>56</v>
      </c>
      <c r="Q656" t="s">
        <v>57</v>
      </c>
      <c r="R656" t="s">
        <v>23</v>
      </c>
    </row>
    <row r="657" spans="1:18" x14ac:dyDescent="0.35">
      <c r="A657">
        <v>655</v>
      </c>
      <c r="B657" t="s">
        <v>1448</v>
      </c>
      <c r="C657" s="1">
        <f t="shared" ca="1" si="50"/>
        <v>45454</v>
      </c>
      <c r="D657" t="str">
        <f t="shared" ca="1" si="51"/>
        <v>June</v>
      </c>
      <c r="E657" t="s">
        <v>29</v>
      </c>
      <c r="F657" t="s">
        <v>33</v>
      </c>
      <c r="G657" t="str">
        <f t="shared" si="52"/>
        <v>Women</v>
      </c>
      <c r="H657" t="str">
        <f t="shared" ca="1" si="53"/>
        <v>Amazon</v>
      </c>
      <c r="I657">
        <f t="shared" ca="1" si="54"/>
        <v>59</v>
      </c>
      <c r="J657" t="s">
        <v>1449</v>
      </c>
      <c r="K657" t="s">
        <v>18</v>
      </c>
      <c r="L657" t="s">
        <v>62</v>
      </c>
      <c r="M657">
        <v>1</v>
      </c>
      <c r="N657" t="s">
        <v>20</v>
      </c>
      <c r="O657">
        <v>1140</v>
      </c>
      <c r="P657" t="s">
        <v>170</v>
      </c>
      <c r="Q657" t="s">
        <v>171</v>
      </c>
      <c r="R657" t="s">
        <v>23</v>
      </c>
    </row>
    <row r="658" spans="1:18" x14ac:dyDescent="0.35">
      <c r="A658">
        <v>656</v>
      </c>
      <c r="B658" t="s">
        <v>1450</v>
      </c>
      <c r="C658" s="1">
        <f t="shared" ca="1" si="50"/>
        <v>45401</v>
      </c>
      <c r="D658" t="str">
        <f t="shared" ca="1" si="51"/>
        <v>April</v>
      </c>
      <c r="E658" t="s">
        <v>29</v>
      </c>
      <c r="F658" t="s">
        <v>33</v>
      </c>
      <c r="G658" t="str">
        <f t="shared" si="52"/>
        <v>Women</v>
      </c>
      <c r="H658" t="str">
        <f t="shared" ca="1" si="53"/>
        <v>Amazon</v>
      </c>
      <c r="I658">
        <f t="shared" ca="1" si="54"/>
        <v>23</v>
      </c>
      <c r="J658" t="s">
        <v>1451</v>
      </c>
      <c r="K658" t="s">
        <v>39</v>
      </c>
      <c r="L658" t="s">
        <v>101</v>
      </c>
      <c r="M658">
        <v>1</v>
      </c>
      <c r="N658" t="s">
        <v>20</v>
      </c>
      <c r="O658">
        <v>625</v>
      </c>
      <c r="P658" t="s">
        <v>653</v>
      </c>
      <c r="Q658" t="s">
        <v>57</v>
      </c>
      <c r="R658" t="s">
        <v>23</v>
      </c>
    </row>
    <row r="659" spans="1:18" x14ac:dyDescent="0.35">
      <c r="A659">
        <v>657</v>
      </c>
      <c r="B659" t="s">
        <v>1452</v>
      </c>
      <c r="C659" s="1">
        <f t="shared" ca="1" si="50"/>
        <v>45287</v>
      </c>
      <c r="D659" t="str">
        <f t="shared" ca="1" si="51"/>
        <v>December</v>
      </c>
      <c r="E659" t="s">
        <v>25</v>
      </c>
      <c r="F659" t="s">
        <v>16</v>
      </c>
      <c r="G659" t="str">
        <f t="shared" si="52"/>
        <v>Women</v>
      </c>
      <c r="H659" t="str">
        <f t="shared" ca="1" si="53"/>
        <v>Flipkart</v>
      </c>
      <c r="I659">
        <f t="shared" ca="1" si="54"/>
        <v>29</v>
      </c>
      <c r="J659" t="s">
        <v>1453</v>
      </c>
      <c r="K659" t="s">
        <v>44</v>
      </c>
      <c r="L659" t="s">
        <v>62</v>
      </c>
      <c r="M659">
        <v>1</v>
      </c>
      <c r="N659" t="s">
        <v>20</v>
      </c>
      <c r="O659">
        <v>518</v>
      </c>
      <c r="P659" t="s">
        <v>1454</v>
      </c>
      <c r="Q659" t="s">
        <v>22</v>
      </c>
      <c r="R659" t="s">
        <v>23</v>
      </c>
    </row>
    <row r="660" spans="1:18" x14ac:dyDescent="0.35">
      <c r="A660">
        <v>658</v>
      </c>
      <c r="B660" t="s">
        <v>1455</v>
      </c>
      <c r="C660" s="1">
        <f t="shared" ca="1" si="50"/>
        <v>45624</v>
      </c>
      <c r="D660" t="str">
        <f t="shared" ca="1" si="51"/>
        <v>November</v>
      </c>
      <c r="E660" t="s">
        <v>25</v>
      </c>
      <c r="F660" t="s">
        <v>16</v>
      </c>
      <c r="G660" t="str">
        <f t="shared" si="52"/>
        <v>Women</v>
      </c>
      <c r="H660" t="str">
        <f t="shared" ca="1" si="53"/>
        <v>Myntra</v>
      </c>
      <c r="I660">
        <f t="shared" ca="1" si="54"/>
        <v>18</v>
      </c>
      <c r="J660" t="s">
        <v>812</v>
      </c>
      <c r="K660" t="s">
        <v>18</v>
      </c>
      <c r="L660" t="s">
        <v>101</v>
      </c>
      <c r="M660">
        <v>1</v>
      </c>
      <c r="N660" t="s">
        <v>20</v>
      </c>
      <c r="O660">
        <v>759</v>
      </c>
      <c r="P660" t="s">
        <v>88</v>
      </c>
      <c r="Q660" t="s">
        <v>89</v>
      </c>
      <c r="R660" t="s">
        <v>23</v>
      </c>
    </row>
    <row r="661" spans="1:18" x14ac:dyDescent="0.35">
      <c r="A661">
        <v>659</v>
      </c>
      <c r="B661" t="s">
        <v>1456</v>
      </c>
      <c r="C661" s="1">
        <f t="shared" ca="1" si="50"/>
        <v>45037</v>
      </c>
      <c r="D661" t="str">
        <f t="shared" ca="1" si="51"/>
        <v>April</v>
      </c>
      <c r="E661" t="s">
        <v>29</v>
      </c>
      <c r="F661" t="s">
        <v>33</v>
      </c>
      <c r="G661" t="str">
        <f t="shared" si="52"/>
        <v>Women</v>
      </c>
      <c r="H661" t="str">
        <f t="shared" ca="1" si="53"/>
        <v>Amazon</v>
      </c>
      <c r="I661">
        <f t="shared" ca="1" si="54"/>
        <v>22</v>
      </c>
      <c r="J661" t="s">
        <v>527</v>
      </c>
      <c r="K661" t="s">
        <v>39</v>
      </c>
      <c r="L661" t="s">
        <v>101</v>
      </c>
      <c r="M661">
        <v>1</v>
      </c>
      <c r="N661" t="s">
        <v>20</v>
      </c>
      <c r="O661">
        <v>744</v>
      </c>
      <c r="P661" t="s">
        <v>56</v>
      </c>
      <c r="Q661" t="s">
        <v>57</v>
      </c>
      <c r="R661" t="s">
        <v>23</v>
      </c>
    </row>
    <row r="662" spans="1:18" x14ac:dyDescent="0.35">
      <c r="A662">
        <v>660</v>
      </c>
      <c r="B662" t="s">
        <v>1457</v>
      </c>
      <c r="C662" s="1">
        <f t="shared" ca="1" si="50"/>
        <v>45653</v>
      </c>
      <c r="D662" t="str">
        <f t="shared" ca="1" si="51"/>
        <v>December</v>
      </c>
      <c r="E662" t="s">
        <v>29</v>
      </c>
      <c r="F662" t="s">
        <v>33</v>
      </c>
      <c r="G662" t="str">
        <f t="shared" si="52"/>
        <v>Women</v>
      </c>
      <c r="H662" t="str">
        <f t="shared" ca="1" si="53"/>
        <v>Amazon</v>
      </c>
      <c r="I662">
        <f t="shared" ca="1" si="54"/>
        <v>45</v>
      </c>
      <c r="J662" t="s">
        <v>491</v>
      </c>
      <c r="K662" t="s">
        <v>18</v>
      </c>
      <c r="L662" t="s">
        <v>19</v>
      </c>
      <c r="M662">
        <v>1</v>
      </c>
      <c r="N662" t="s">
        <v>20</v>
      </c>
      <c r="O662">
        <v>1112</v>
      </c>
      <c r="P662" t="s">
        <v>1458</v>
      </c>
      <c r="Q662" t="s">
        <v>50</v>
      </c>
      <c r="R662" t="s">
        <v>23</v>
      </c>
    </row>
    <row r="663" spans="1:18" x14ac:dyDescent="0.35">
      <c r="A663">
        <v>661</v>
      </c>
      <c r="B663" t="s">
        <v>1459</v>
      </c>
      <c r="C663" s="1">
        <f t="shared" ca="1" si="50"/>
        <v>45331</v>
      </c>
      <c r="D663" t="str">
        <f t="shared" ca="1" si="51"/>
        <v>February</v>
      </c>
      <c r="E663" t="s">
        <v>29</v>
      </c>
      <c r="F663" t="s">
        <v>33</v>
      </c>
      <c r="G663" t="str">
        <f t="shared" si="52"/>
        <v>Women</v>
      </c>
      <c r="H663" t="str">
        <f t="shared" ca="1" si="53"/>
        <v>Amazon</v>
      </c>
      <c r="I663">
        <f t="shared" ca="1" si="54"/>
        <v>55</v>
      </c>
      <c r="J663" t="s">
        <v>1449</v>
      </c>
      <c r="K663" t="s">
        <v>18</v>
      </c>
      <c r="L663" t="s">
        <v>62</v>
      </c>
      <c r="M663">
        <v>1</v>
      </c>
      <c r="N663" t="s">
        <v>20</v>
      </c>
      <c r="O663">
        <v>1140</v>
      </c>
      <c r="P663" t="s">
        <v>170</v>
      </c>
      <c r="Q663" t="s">
        <v>171</v>
      </c>
      <c r="R663" t="s">
        <v>23</v>
      </c>
    </row>
    <row r="664" spans="1:18" x14ac:dyDescent="0.35">
      <c r="A664">
        <v>662</v>
      </c>
      <c r="B664" t="s">
        <v>1460</v>
      </c>
      <c r="C664" s="1">
        <f t="shared" ca="1" si="50"/>
        <v>45034</v>
      </c>
      <c r="D664" t="str">
        <f t="shared" ca="1" si="51"/>
        <v>April</v>
      </c>
      <c r="E664" t="s">
        <v>29</v>
      </c>
      <c r="F664" t="s">
        <v>33</v>
      </c>
      <c r="G664" t="str">
        <f t="shared" si="52"/>
        <v>Men</v>
      </c>
      <c r="H664" t="str">
        <f t="shared" ca="1" si="53"/>
        <v>Amazon</v>
      </c>
      <c r="I664">
        <f t="shared" ca="1" si="54"/>
        <v>58</v>
      </c>
      <c r="J664" t="s">
        <v>702</v>
      </c>
      <c r="K664" t="s">
        <v>27</v>
      </c>
      <c r="L664" t="s">
        <v>101</v>
      </c>
      <c r="M664">
        <v>1</v>
      </c>
      <c r="N664" t="s">
        <v>20</v>
      </c>
      <c r="O664">
        <v>486</v>
      </c>
      <c r="P664" t="s">
        <v>88</v>
      </c>
      <c r="Q664" t="s">
        <v>89</v>
      </c>
      <c r="R664" t="s">
        <v>23</v>
      </c>
    </row>
    <row r="665" spans="1:18" x14ac:dyDescent="0.35">
      <c r="A665">
        <v>663</v>
      </c>
      <c r="B665" t="s">
        <v>1461</v>
      </c>
      <c r="C665" s="1">
        <f t="shared" ca="1" si="50"/>
        <v>45518</v>
      </c>
      <c r="D665" t="str">
        <f t="shared" ca="1" si="51"/>
        <v>August</v>
      </c>
      <c r="E665" t="s">
        <v>25</v>
      </c>
      <c r="F665" t="s">
        <v>16</v>
      </c>
      <c r="G665" t="str">
        <f t="shared" si="52"/>
        <v>Women</v>
      </c>
      <c r="H665" t="str">
        <f t="shared" ca="1" si="53"/>
        <v>Flipkart</v>
      </c>
      <c r="I665">
        <f t="shared" ca="1" si="54"/>
        <v>54</v>
      </c>
      <c r="J665" t="s">
        <v>1462</v>
      </c>
      <c r="K665" t="s">
        <v>18</v>
      </c>
      <c r="L665" t="s">
        <v>68</v>
      </c>
      <c r="M665">
        <v>1</v>
      </c>
      <c r="N665" t="s">
        <v>20</v>
      </c>
      <c r="O665">
        <v>888</v>
      </c>
      <c r="P665" t="s">
        <v>69</v>
      </c>
      <c r="Q665" t="s">
        <v>50</v>
      </c>
      <c r="R665" t="s">
        <v>23</v>
      </c>
    </row>
    <row r="666" spans="1:18" x14ac:dyDescent="0.35">
      <c r="A666">
        <v>664</v>
      </c>
      <c r="B666" t="s">
        <v>1463</v>
      </c>
      <c r="C666" s="1">
        <f t="shared" ca="1" si="50"/>
        <v>45330</v>
      </c>
      <c r="D666" t="str">
        <f t="shared" ca="1" si="51"/>
        <v>February</v>
      </c>
      <c r="E666" t="s">
        <v>29</v>
      </c>
      <c r="F666" t="s">
        <v>33</v>
      </c>
      <c r="G666" t="str">
        <f t="shared" si="52"/>
        <v>Women</v>
      </c>
      <c r="H666" t="str">
        <f t="shared" ca="1" si="53"/>
        <v>Amazon</v>
      </c>
      <c r="I666">
        <f t="shared" ca="1" si="54"/>
        <v>54</v>
      </c>
      <c r="J666" t="s">
        <v>1464</v>
      </c>
      <c r="K666" t="s">
        <v>18</v>
      </c>
      <c r="L666" t="s">
        <v>35</v>
      </c>
      <c r="M666">
        <v>1</v>
      </c>
      <c r="N666" t="s">
        <v>20</v>
      </c>
      <c r="O666">
        <v>666</v>
      </c>
      <c r="P666" t="s">
        <v>1465</v>
      </c>
      <c r="Q666" t="s">
        <v>1466</v>
      </c>
      <c r="R666" t="s">
        <v>23</v>
      </c>
    </row>
    <row r="667" spans="1:18" x14ac:dyDescent="0.35">
      <c r="A667">
        <v>665</v>
      </c>
      <c r="B667" t="s">
        <v>1467</v>
      </c>
      <c r="C667" s="1">
        <f t="shared" ca="1" si="50"/>
        <v>45495</v>
      </c>
      <c r="D667" t="str">
        <f t="shared" ca="1" si="51"/>
        <v>July</v>
      </c>
      <c r="E667" t="s">
        <v>25</v>
      </c>
      <c r="F667" t="s">
        <v>16</v>
      </c>
      <c r="G667" t="str">
        <f t="shared" si="52"/>
        <v>Men</v>
      </c>
      <c r="H667" t="str">
        <f t="shared" ca="1" si="53"/>
        <v>Myntra</v>
      </c>
      <c r="I667">
        <f t="shared" ca="1" si="54"/>
        <v>24</v>
      </c>
      <c r="J667" t="s">
        <v>1468</v>
      </c>
      <c r="K667" t="s">
        <v>27</v>
      </c>
      <c r="L667" t="s">
        <v>40</v>
      </c>
      <c r="M667">
        <v>1</v>
      </c>
      <c r="N667" t="s">
        <v>20</v>
      </c>
      <c r="O667">
        <v>487</v>
      </c>
      <c r="P667" t="s">
        <v>56</v>
      </c>
      <c r="Q667" t="s">
        <v>57</v>
      </c>
      <c r="R667" t="s">
        <v>23</v>
      </c>
    </row>
    <row r="668" spans="1:18" x14ac:dyDescent="0.35">
      <c r="A668">
        <v>666</v>
      </c>
      <c r="B668" t="s">
        <v>1467</v>
      </c>
      <c r="C668" s="1">
        <f t="shared" ca="1" si="50"/>
        <v>45034</v>
      </c>
      <c r="D668" t="str">
        <f t="shared" ca="1" si="51"/>
        <v>April</v>
      </c>
      <c r="E668" t="s">
        <v>25</v>
      </c>
      <c r="F668" t="s">
        <v>16</v>
      </c>
      <c r="G668" t="str">
        <f t="shared" si="52"/>
        <v>Women</v>
      </c>
      <c r="H668" t="str">
        <f t="shared" ca="1" si="53"/>
        <v>Flipkart</v>
      </c>
      <c r="I668">
        <f t="shared" ca="1" si="54"/>
        <v>54</v>
      </c>
      <c r="J668" t="s">
        <v>498</v>
      </c>
      <c r="K668" t="s">
        <v>18</v>
      </c>
      <c r="L668" t="s">
        <v>40</v>
      </c>
      <c r="M668">
        <v>1</v>
      </c>
      <c r="N668" t="s">
        <v>20</v>
      </c>
      <c r="O668">
        <v>597</v>
      </c>
      <c r="P668" t="s">
        <v>56</v>
      </c>
      <c r="Q668" t="s">
        <v>57</v>
      </c>
      <c r="R668" t="s">
        <v>23</v>
      </c>
    </row>
    <row r="669" spans="1:18" x14ac:dyDescent="0.35">
      <c r="A669">
        <v>667</v>
      </c>
      <c r="B669" t="s">
        <v>1469</v>
      </c>
      <c r="C669" s="1">
        <f t="shared" ca="1" si="50"/>
        <v>45299</v>
      </c>
      <c r="D669" t="str">
        <f t="shared" ca="1" si="51"/>
        <v>January</v>
      </c>
      <c r="E669" t="s">
        <v>25</v>
      </c>
      <c r="F669" t="s">
        <v>16</v>
      </c>
      <c r="G669" t="str">
        <f t="shared" si="52"/>
        <v>Men</v>
      </c>
      <c r="H669" t="str">
        <f t="shared" ca="1" si="53"/>
        <v>Flipkart</v>
      </c>
      <c r="I669">
        <f t="shared" ca="1" si="54"/>
        <v>24</v>
      </c>
      <c r="J669" t="s">
        <v>1470</v>
      </c>
      <c r="K669" t="s">
        <v>27</v>
      </c>
      <c r="L669" t="s">
        <v>28</v>
      </c>
      <c r="M669">
        <v>1</v>
      </c>
      <c r="N669" t="s">
        <v>20</v>
      </c>
      <c r="O669">
        <v>363</v>
      </c>
      <c r="P669" t="s">
        <v>30</v>
      </c>
      <c r="Q669" t="s">
        <v>31</v>
      </c>
      <c r="R669" t="s">
        <v>23</v>
      </c>
    </row>
    <row r="670" spans="1:18" x14ac:dyDescent="0.35">
      <c r="A670">
        <v>668</v>
      </c>
      <c r="B670" t="s">
        <v>1471</v>
      </c>
      <c r="C670" s="1">
        <f t="shared" ca="1" si="50"/>
        <v>45495</v>
      </c>
      <c r="D670" t="str">
        <f t="shared" ca="1" si="51"/>
        <v>July</v>
      </c>
      <c r="E670" t="s">
        <v>29</v>
      </c>
      <c r="F670" t="s">
        <v>33</v>
      </c>
      <c r="G670" t="str">
        <f t="shared" si="52"/>
        <v>Women</v>
      </c>
      <c r="H670" t="str">
        <f t="shared" ca="1" si="53"/>
        <v>Amazon</v>
      </c>
      <c r="I670">
        <f t="shared" ca="1" si="54"/>
        <v>56</v>
      </c>
      <c r="J670" t="s">
        <v>489</v>
      </c>
      <c r="K670" t="s">
        <v>44</v>
      </c>
      <c r="L670" t="s">
        <v>40</v>
      </c>
      <c r="M670">
        <v>1</v>
      </c>
      <c r="N670" t="s">
        <v>20</v>
      </c>
      <c r="O670">
        <v>512</v>
      </c>
      <c r="P670" t="s">
        <v>1472</v>
      </c>
      <c r="Q670" t="s">
        <v>22</v>
      </c>
      <c r="R670" t="s">
        <v>23</v>
      </c>
    </row>
    <row r="671" spans="1:18" x14ac:dyDescent="0.35">
      <c r="A671">
        <v>669</v>
      </c>
      <c r="B671" t="s">
        <v>1473</v>
      </c>
      <c r="C671" s="1">
        <f t="shared" ca="1" si="50"/>
        <v>45440</v>
      </c>
      <c r="D671" t="str">
        <f t="shared" ca="1" si="51"/>
        <v>May</v>
      </c>
      <c r="E671" t="s">
        <v>29</v>
      </c>
      <c r="F671" t="s">
        <v>33</v>
      </c>
      <c r="G671" t="str">
        <f t="shared" si="52"/>
        <v>Women</v>
      </c>
      <c r="H671" t="str">
        <f t="shared" ca="1" si="53"/>
        <v>Amazon</v>
      </c>
      <c r="I671">
        <f t="shared" ca="1" si="54"/>
        <v>46</v>
      </c>
      <c r="J671" t="s">
        <v>1474</v>
      </c>
      <c r="K671" t="s">
        <v>39</v>
      </c>
      <c r="L671" t="s">
        <v>62</v>
      </c>
      <c r="M671">
        <v>1</v>
      </c>
      <c r="N671" t="s">
        <v>20</v>
      </c>
      <c r="O671">
        <v>377</v>
      </c>
      <c r="P671" t="s">
        <v>1475</v>
      </c>
      <c r="Q671" t="s">
        <v>50</v>
      </c>
      <c r="R671" t="s">
        <v>23</v>
      </c>
    </row>
    <row r="672" spans="1:18" x14ac:dyDescent="0.35">
      <c r="A672">
        <v>670</v>
      </c>
      <c r="B672" t="s">
        <v>1473</v>
      </c>
      <c r="C672" s="1">
        <f t="shared" ca="1" si="50"/>
        <v>45120</v>
      </c>
      <c r="D672" t="str">
        <f t="shared" ca="1" si="51"/>
        <v>July</v>
      </c>
      <c r="E672" t="s">
        <v>29</v>
      </c>
      <c r="F672" t="s">
        <v>33</v>
      </c>
      <c r="G672" t="str">
        <f t="shared" si="52"/>
        <v>Women</v>
      </c>
      <c r="H672" t="str">
        <f t="shared" ca="1" si="53"/>
        <v>Amazon</v>
      </c>
      <c r="I672">
        <f t="shared" ca="1" si="54"/>
        <v>29</v>
      </c>
      <c r="J672" t="s">
        <v>1476</v>
      </c>
      <c r="K672" t="s">
        <v>39</v>
      </c>
      <c r="L672" t="s">
        <v>68</v>
      </c>
      <c r="M672">
        <v>1</v>
      </c>
      <c r="N672" t="s">
        <v>20</v>
      </c>
      <c r="O672">
        <v>377</v>
      </c>
      <c r="P672" t="s">
        <v>1475</v>
      </c>
      <c r="Q672" t="s">
        <v>50</v>
      </c>
      <c r="R672" t="s">
        <v>23</v>
      </c>
    </row>
    <row r="673" spans="1:18" x14ac:dyDescent="0.35">
      <c r="A673">
        <v>671</v>
      </c>
      <c r="B673" t="s">
        <v>1477</v>
      </c>
      <c r="C673" s="1">
        <f t="shared" ca="1" si="50"/>
        <v>44940</v>
      </c>
      <c r="D673" t="str">
        <f t="shared" ca="1" si="51"/>
        <v>January</v>
      </c>
      <c r="E673" t="s">
        <v>15</v>
      </c>
      <c r="F673" t="s">
        <v>33</v>
      </c>
      <c r="G673" t="str">
        <f t="shared" si="52"/>
        <v>Women</v>
      </c>
      <c r="H673" t="str">
        <f t="shared" ca="1" si="53"/>
        <v>Amazon</v>
      </c>
      <c r="I673">
        <f t="shared" ca="1" si="54"/>
        <v>36</v>
      </c>
      <c r="J673" t="s">
        <v>1478</v>
      </c>
      <c r="K673" t="s">
        <v>18</v>
      </c>
      <c r="L673" t="s">
        <v>101</v>
      </c>
      <c r="M673">
        <v>0</v>
      </c>
      <c r="P673" t="s">
        <v>1479</v>
      </c>
      <c r="Q673" t="s">
        <v>140</v>
      </c>
      <c r="R673" t="s">
        <v>23</v>
      </c>
    </row>
    <row r="674" spans="1:18" x14ac:dyDescent="0.35">
      <c r="A674">
        <v>672</v>
      </c>
      <c r="B674" t="s">
        <v>1480</v>
      </c>
      <c r="C674" s="1">
        <f t="shared" ca="1" si="50"/>
        <v>45490</v>
      </c>
      <c r="D674" t="str">
        <f t="shared" ca="1" si="51"/>
        <v>July</v>
      </c>
      <c r="E674" t="s">
        <v>15</v>
      </c>
      <c r="F674" t="s">
        <v>16</v>
      </c>
      <c r="G674" t="str">
        <f t="shared" si="52"/>
        <v>Men</v>
      </c>
      <c r="H674" t="str">
        <f t="shared" ca="1" si="53"/>
        <v>Myntra</v>
      </c>
      <c r="I674">
        <f t="shared" ca="1" si="54"/>
        <v>21</v>
      </c>
      <c r="J674" t="s">
        <v>1481</v>
      </c>
      <c r="K674" t="s">
        <v>27</v>
      </c>
      <c r="L674" t="s">
        <v>28</v>
      </c>
      <c r="M674">
        <v>0</v>
      </c>
      <c r="P674" t="s">
        <v>1482</v>
      </c>
      <c r="Q674" t="s">
        <v>93</v>
      </c>
      <c r="R674" t="s">
        <v>23</v>
      </c>
    </row>
    <row r="675" spans="1:18" x14ac:dyDescent="0.35">
      <c r="A675">
        <v>673</v>
      </c>
      <c r="B675" t="s">
        <v>1483</v>
      </c>
      <c r="C675" s="1">
        <f t="shared" ca="1" si="50"/>
        <v>44987</v>
      </c>
      <c r="D675" t="str">
        <f t="shared" ca="1" si="51"/>
        <v>March</v>
      </c>
      <c r="E675" t="s">
        <v>29</v>
      </c>
      <c r="F675" t="s">
        <v>33</v>
      </c>
      <c r="G675" t="str">
        <f t="shared" si="52"/>
        <v>Women</v>
      </c>
      <c r="H675" t="str">
        <f t="shared" ca="1" si="53"/>
        <v>Amazon</v>
      </c>
      <c r="I675">
        <f t="shared" ca="1" si="54"/>
        <v>24</v>
      </c>
      <c r="J675" t="s">
        <v>1484</v>
      </c>
      <c r="K675" t="s">
        <v>18</v>
      </c>
      <c r="L675" t="s">
        <v>68</v>
      </c>
      <c r="M675">
        <v>1</v>
      </c>
      <c r="N675" t="s">
        <v>20</v>
      </c>
      <c r="O675">
        <v>967</v>
      </c>
      <c r="P675" t="s">
        <v>45</v>
      </c>
      <c r="Q675" t="s">
        <v>46</v>
      </c>
      <c r="R675" t="s">
        <v>23</v>
      </c>
    </row>
    <row r="676" spans="1:18" x14ac:dyDescent="0.35">
      <c r="A676">
        <v>674</v>
      </c>
      <c r="B676" t="s">
        <v>1485</v>
      </c>
      <c r="C676" s="1">
        <f t="shared" ca="1" si="50"/>
        <v>45371</v>
      </c>
      <c r="D676" t="str">
        <f t="shared" ca="1" si="51"/>
        <v>March</v>
      </c>
      <c r="E676" t="s">
        <v>25</v>
      </c>
      <c r="F676" t="s">
        <v>16</v>
      </c>
      <c r="G676" t="str">
        <f t="shared" si="52"/>
        <v>Women</v>
      </c>
      <c r="H676" t="str">
        <f t="shared" ca="1" si="53"/>
        <v>Myntra</v>
      </c>
      <c r="I676">
        <f t="shared" ca="1" si="54"/>
        <v>53</v>
      </c>
      <c r="J676" t="s">
        <v>1486</v>
      </c>
      <c r="K676" t="s">
        <v>18</v>
      </c>
      <c r="L676" t="s">
        <v>28</v>
      </c>
      <c r="M676">
        <v>1</v>
      </c>
      <c r="N676" t="s">
        <v>20</v>
      </c>
      <c r="O676">
        <v>788</v>
      </c>
      <c r="P676" t="s">
        <v>813</v>
      </c>
      <c r="Q676" t="s">
        <v>814</v>
      </c>
      <c r="R676" t="s">
        <v>23</v>
      </c>
    </row>
    <row r="677" spans="1:18" x14ac:dyDescent="0.35">
      <c r="A677">
        <v>675</v>
      </c>
      <c r="B677" t="s">
        <v>1487</v>
      </c>
      <c r="C677" s="1">
        <f t="shared" ca="1" si="50"/>
        <v>45394</v>
      </c>
      <c r="D677" t="str">
        <f t="shared" ca="1" si="51"/>
        <v>April</v>
      </c>
      <c r="E677" t="s">
        <v>15</v>
      </c>
      <c r="F677" t="s">
        <v>33</v>
      </c>
      <c r="G677" t="str">
        <f t="shared" si="52"/>
        <v>Women</v>
      </c>
      <c r="H677" t="str">
        <f t="shared" ca="1" si="53"/>
        <v>Amazon</v>
      </c>
      <c r="I677">
        <f t="shared" ca="1" si="54"/>
        <v>32</v>
      </c>
      <c r="J677" t="s">
        <v>1360</v>
      </c>
      <c r="K677" t="s">
        <v>18</v>
      </c>
      <c r="L677" t="s">
        <v>62</v>
      </c>
      <c r="M677">
        <v>0</v>
      </c>
      <c r="P677" t="s">
        <v>470</v>
      </c>
      <c r="Q677" t="s">
        <v>93</v>
      </c>
      <c r="R677" t="s">
        <v>23</v>
      </c>
    </row>
    <row r="678" spans="1:18" x14ac:dyDescent="0.35">
      <c r="A678">
        <v>676</v>
      </c>
      <c r="B678" t="s">
        <v>1488</v>
      </c>
      <c r="C678" s="1">
        <f t="shared" ca="1" si="50"/>
        <v>45351</v>
      </c>
      <c r="D678" t="str">
        <f t="shared" ca="1" si="51"/>
        <v>February</v>
      </c>
      <c r="E678" t="s">
        <v>15</v>
      </c>
      <c r="F678" t="s">
        <v>16</v>
      </c>
      <c r="G678" t="str">
        <f t="shared" si="52"/>
        <v>Women</v>
      </c>
      <c r="H678" t="str">
        <f t="shared" ca="1" si="53"/>
        <v>Myntra</v>
      </c>
      <c r="I678">
        <f t="shared" ca="1" si="54"/>
        <v>31</v>
      </c>
      <c r="J678" t="s">
        <v>600</v>
      </c>
      <c r="K678" t="s">
        <v>18</v>
      </c>
      <c r="L678" t="s">
        <v>62</v>
      </c>
      <c r="M678">
        <v>0</v>
      </c>
      <c r="N678" t="s">
        <v>20</v>
      </c>
      <c r="O678">
        <v>1058.93</v>
      </c>
      <c r="P678" t="s">
        <v>470</v>
      </c>
      <c r="Q678" t="s">
        <v>93</v>
      </c>
      <c r="R678" t="s">
        <v>23</v>
      </c>
    </row>
    <row r="679" spans="1:18" x14ac:dyDescent="0.35">
      <c r="A679">
        <v>677</v>
      </c>
      <c r="B679" t="s">
        <v>1488</v>
      </c>
      <c r="C679" s="1">
        <f t="shared" ca="1" si="50"/>
        <v>45353</v>
      </c>
      <c r="D679" t="str">
        <f t="shared" ca="1" si="51"/>
        <v>March</v>
      </c>
      <c r="E679" t="s">
        <v>15</v>
      </c>
      <c r="F679" t="s">
        <v>16</v>
      </c>
      <c r="G679" t="str">
        <f t="shared" si="52"/>
        <v>Women</v>
      </c>
      <c r="H679" t="str">
        <f t="shared" ca="1" si="53"/>
        <v>Myntra</v>
      </c>
      <c r="I679">
        <f t="shared" ca="1" si="54"/>
        <v>58</v>
      </c>
      <c r="J679" t="s">
        <v>599</v>
      </c>
      <c r="K679" t="s">
        <v>18</v>
      </c>
      <c r="L679" t="s">
        <v>62</v>
      </c>
      <c r="M679">
        <v>0</v>
      </c>
      <c r="N679" t="s">
        <v>20</v>
      </c>
      <c r="O679">
        <v>1249.1099999999999</v>
      </c>
      <c r="P679" t="s">
        <v>470</v>
      </c>
      <c r="Q679" t="s">
        <v>93</v>
      </c>
      <c r="R679" t="s">
        <v>23</v>
      </c>
    </row>
    <row r="680" spans="1:18" x14ac:dyDescent="0.35">
      <c r="A680">
        <v>678</v>
      </c>
      <c r="B680" t="s">
        <v>1489</v>
      </c>
      <c r="C680" s="1">
        <f t="shared" ca="1" si="50"/>
        <v>45188</v>
      </c>
      <c r="D680" t="str">
        <f t="shared" ca="1" si="51"/>
        <v>September</v>
      </c>
      <c r="E680" t="s">
        <v>29</v>
      </c>
      <c r="F680" t="s">
        <v>33</v>
      </c>
      <c r="G680" t="str">
        <f t="shared" si="52"/>
        <v>Women</v>
      </c>
      <c r="H680" t="str">
        <f t="shared" ca="1" si="53"/>
        <v>Amazon</v>
      </c>
      <c r="I680">
        <f t="shared" ca="1" si="54"/>
        <v>57</v>
      </c>
      <c r="J680" t="s">
        <v>201</v>
      </c>
      <c r="K680" t="s">
        <v>18</v>
      </c>
      <c r="L680" t="s">
        <v>68</v>
      </c>
      <c r="M680">
        <v>1</v>
      </c>
      <c r="N680" t="s">
        <v>20</v>
      </c>
      <c r="O680">
        <v>597</v>
      </c>
      <c r="P680" t="s">
        <v>56</v>
      </c>
      <c r="Q680" t="s">
        <v>57</v>
      </c>
      <c r="R680" t="s">
        <v>23</v>
      </c>
    </row>
    <row r="681" spans="1:18" x14ac:dyDescent="0.35">
      <c r="A681">
        <v>679</v>
      </c>
      <c r="B681" t="s">
        <v>1490</v>
      </c>
      <c r="C681" s="1">
        <f t="shared" ca="1" si="50"/>
        <v>45098</v>
      </c>
      <c r="D681" t="str">
        <f t="shared" ca="1" si="51"/>
        <v>June</v>
      </c>
      <c r="E681" t="s">
        <v>29</v>
      </c>
      <c r="F681" t="s">
        <v>33</v>
      </c>
      <c r="G681" t="str">
        <f t="shared" si="52"/>
        <v>Women</v>
      </c>
      <c r="H681" t="str">
        <f t="shared" ca="1" si="53"/>
        <v>Amazon</v>
      </c>
      <c r="I681">
        <f t="shared" ca="1" si="54"/>
        <v>27</v>
      </c>
      <c r="J681" t="s">
        <v>491</v>
      </c>
      <c r="K681" t="s">
        <v>18</v>
      </c>
      <c r="L681" t="s">
        <v>19</v>
      </c>
      <c r="M681">
        <v>1</v>
      </c>
      <c r="N681" t="s">
        <v>20</v>
      </c>
      <c r="O681">
        <v>1112</v>
      </c>
      <c r="P681" t="s">
        <v>56</v>
      </c>
      <c r="Q681" t="s">
        <v>57</v>
      </c>
      <c r="R681" t="s">
        <v>23</v>
      </c>
    </row>
    <row r="682" spans="1:18" x14ac:dyDescent="0.35">
      <c r="A682">
        <v>680</v>
      </c>
      <c r="B682" t="s">
        <v>1491</v>
      </c>
      <c r="C682" s="1">
        <f t="shared" ca="1" si="50"/>
        <v>45629</v>
      </c>
      <c r="D682" t="str">
        <f t="shared" ca="1" si="51"/>
        <v>December</v>
      </c>
      <c r="E682" t="s">
        <v>15</v>
      </c>
      <c r="F682" t="s">
        <v>16</v>
      </c>
      <c r="G682" t="str">
        <f t="shared" si="52"/>
        <v>Men</v>
      </c>
      <c r="H682" t="str">
        <f t="shared" ca="1" si="53"/>
        <v>Flipkart</v>
      </c>
      <c r="I682">
        <f t="shared" ca="1" si="54"/>
        <v>51</v>
      </c>
      <c r="J682" t="s">
        <v>1492</v>
      </c>
      <c r="K682" t="s">
        <v>27</v>
      </c>
      <c r="L682" t="s">
        <v>656</v>
      </c>
      <c r="M682">
        <v>0</v>
      </c>
      <c r="N682" t="s">
        <v>20</v>
      </c>
      <c r="O682">
        <v>700.96</v>
      </c>
      <c r="P682" t="s">
        <v>562</v>
      </c>
      <c r="Q682" t="s">
        <v>223</v>
      </c>
      <c r="R682" t="s">
        <v>23</v>
      </c>
    </row>
    <row r="683" spans="1:18" x14ac:dyDescent="0.35">
      <c r="A683">
        <v>681</v>
      </c>
      <c r="B683" t="s">
        <v>1493</v>
      </c>
      <c r="C683" s="1">
        <f t="shared" ca="1" si="50"/>
        <v>45224</v>
      </c>
      <c r="D683" t="str">
        <f t="shared" ca="1" si="51"/>
        <v>October</v>
      </c>
      <c r="E683" t="s">
        <v>29</v>
      </c>
      <c r="F683" t="s">
        <v>33</v>
      </c>
      <c r="G683" t="str">
        <f t="shared" si="52"/>
        <v>Women</v>
      </c>
      <c r="H683" t="str">
        <f t="shared" ca="1" si="53"/>
        <v>Amazon</v>
      </c>
      <c r="I683">
        <f t="shared" ca="1" si="54"/>
        <v>22</v>
      </c>
      <c r="J683" t="s">
        <v>1494</v>
      </c>
      <c r="K683" t="s">
        <v>18</v>
      </c>
      <c r="L683" t="s">
        <v>19</v>
      </c>
      <c r="M683">
        <v>1</v>
      </c>
      <c r="N683" t="s">
        <v>20</v>
      </c>
      <c r="O683">
        <v>1213</v>
      </c>
      <c r="P683" t="s">
        <v>1495</v>
      </c>
      <c r="Q683" t="s">
        <v>50</v>
      </c>
      <c r="R683" t="s">
        <v>23</v>
      </c>
    </row>
    <row r="684" spans="1:18" x14ac:dyDescent="0.35">
      <c r="A684">
        <v>682</v>
      </c>
      <c r="B684" t="s">
        <v>1496</v>
      </c>
      <c r="C684" s="1">
        <f t="shared" ca="1" si="50"/>
        <v>45489</v>
      </c>
      <c r="D684" t="str">
        <f t="shared" ca="1" si="51"/>
        <v>July</v>
      </c>
      <c r="E684" t="s">
        <v>29</v>
      </c>
      <c r="F684" t="s">
        <v>33</v>
      </c>
      <c r="G684" t="str">
        <f t="shared" si="52"/>
        <v>Men</v>
      </c>
      <c r="H684" t="str">
        <f t="shared" ca="1" si="53"/>
        <v>Amazon</v>
      </c>
      <c r="I684">
        <f t="shared" ca="1" si="54"/>
        <v>25</v>
      </c>
      <c r="J684" t="s">
        <v>377</v>
      </c>
      <c r="K684" t="s">
        <v>27</v>
      </c>
      <c r="L684" t="s">
        <v>101</v>
      </c>
      <c r="M684">
        <v>1</v>
      </c>
      <c r="N684" t="s">
        <v>20</v>
      </c>
      <c r="O684">
        <v>517</v>
      </c>
      <c r="P684" t="s">
        <v>1497</v>
      </c>
      <c r="Q684" t="s">
        <v>140</v>
      </c>
      <c r="R684" t="s">
        <v>23</v>
      </c>
    </row>
    <row r="685" spans="1:18" x14ac:dyDescent="0.35">
      <c r="A685">
        <v>683</v>
      </c>
      <c r="B685" t="s">
        <v>1498</v>
      </c>
      <c r="C685" s="1">
        <f t="shared" ca="1" si="50"/>
        <v>45287</v>
      </c>
      <c r="D685" t="str">
        <f t="shared" ca="1" si="51"/>
        <v>December</v>
      </c>
      <c r="E685" t="s">
        <v>25</v>
      </c>
      <c r="F685" t="s">
        <v>16</v>
      </c>
      <c r="G685" t="str">
        <f t="shared" si="52"/>
        <v>Women</v>
      </c>
      <c r="H685" t="str">
        <f t="shared" ca="1" si="53"/>
        <v>Myntra</v>
      </c>
      <c r="I685">
        <f t="shared" ca="1" si="54"/>
        <v>59</v>
      </c>
      <c r="J685" t="s">
        <v>1499</v>
      </c>
      <c r="K685" t="s">
        <v>18</v>
      </c>
      <c r="L685" t="s">
        <v>28</v>
      </c>
      <c r="M685">
        <v>1</v>
      </c>
      <c r="N685" t="s">
        <v>20</v>
      </c>
      <c r="O685">
        <v>662</v>
      </c>
      <c r="P685" t="s">
        <v>416</v>
      </c>
      <c r="Q685" t="s">
        <v>81</v>
      </c>
      <c r="R685" t="s">
        <v>23</v>
      </c>
    </row>
    <row r="686" spans="1:18" x14ac:dyDescent="0.35">
      <c r="A686">
        <v>684</v>
      </c>
      <c r="B686" t="s">
        <v>1500</v>
      </c>
      <c r="C686" s="1">
        <f t="shared" ca="1" si="50"/>
        <v>45198</v>
      </c>
      <c r="D686" t="str">
        <f t="shared" ca="1" si="51"/>
        <v>September</v>
      </c>
      <c r="E686" t="s">
        <v>29</v>
      </c>
      <c r="F686" t="s">
        <v>33</v>
      </c>
      <c r="G686" t="str">
        <f t="shared" si="52"/>
        <v>Men</v>
      </c>
      <c r="H686" t="str">
        <f t="shared" ca="1" si="53"/>
        <v>Amazon</v>
      </c>
      <c r="I686">
        <f t="shared" ca="1" si="54"/>
        <v>40</v>
      </c>
      <c r="J686" t="s">
        <v>1501</v>
      </c>
      <c r="K686" t="s">
        <v>27</v>
      </c>
      <c r="L686" t="s">
        <v>35</v>
      </c>
      <c r="M686">
        <v>1</v>
      </c>
      <c r="N686" t="s">
        <v>20</v>
      </c>
      <c r="O686">
        <v>568</v>
      </c>
      <c r="P686" t="s">
        <v>1502</v>
      </c>
      <c r="Q686" t="s">
        <v>81</v>
      </c>
      <c r="R686" t="s">
        <v>23</v>
      </c>
    </row>
    <row r="687" spans="1:18" x14ac:dyDescent="0.35">
      <c r="A687">
        <v>685</v>
      </c>
      <c r="B687" t="s">
        <v>1503</v>
      </c>
      <c r="C687" s="1">
        <f t="shared" ca="1" si="50"/>
        <v>45462</v>
      </c>
      <c r="D687" t="str">
        <f t="shared" ca="1" si="51"/>
        <v>June</v>
      </c>
      <c r="E687" t="s">
        <v>29</v>
      </c>
      <c r="F687" t="s">
        <v>33</v>
      </c>
      <c r="G687" t="str">
        <f t="shared" si="52"/>
        <v>Men</v>
      </c>
      <c r="H687" t="str">
        <f t="shared" ca="1" si="53"/>
        <v>Amazon</v>
      </c>
      <c r="I687">
        <f t="shared" ca="1" si="54"/>
        <v>30</v>
      </c>
      <c r="J687" t="s">
        <v>1504</v>
      </c>
      <c r="K687" t="s">
        <v>27</v>
      </c>
      <c r="L687" t="s">
        <v>62</v>
      </c>
      <c r="M687">
        <v>1</v>
      </c>
      <c r="N687" t="s">
        <v>20</v>
      </c>
      <c r="O687">
        <v>476</v>
      </c>
      <c r="P687" t="s">
        <v>84</v>
      </c>
      <c r="Q687" t="s">
        <v>85</v>
      </c>
      <c r="R687" t="s">
        <v>23</v>
      </c>
    </row>
    <row r="688" spans="1:18" x14ac:dyDescent="0.35">
      <c r="A688">
        <v>686</v>
      </c>
      <c r="B688" t="s">
        <v>1505</v>
      </c>
      <c r="C688" s="1">
        <f t="shared" ca="1" si="50"/>
        <v>45193</v>
      </c>
      <c r="D688" t="str">
        <f t="shared" ca="1" si="51"/>
        <v>September</v>
      </c>
      <c r="E688" t="s">
        <v>25</v>
      </c>
      <c r="F688" t="s">
        <v>16</v>
      </c>
      <c r="G688" t="str">
        <f t="shared" si="52"/>
        <v>Men</v>
      </c>
      <c r="H688" t="str">
        <f t="shared" ca="1" si="53"/>
        <v>Flipkart</v>
      </c>
      <c r="I688">
        <f t="shared" ca="1" si="54"/>
        <v>53</v>
      </c>
      <c r="J688" t="s">
        <v>1506</v>
      </c>
      <c r="K688" t="s">
        <v>27</v>
      </c>
      <c r="L688" t="s">
        <v>19</v>
      </c>
      <c r="M688">
        <v>1</v>
      </c>
      <c r="N688" t="s">
        <v>20</v>
      </c>
      <c r="O688">
        <v>316</v>
      </c>
      <c r="P688" t="s">
        <v>1507</v>
      </c>
      <c r="Q688" t="s">
        <v>31</v>
      </c>
      <c r="R688" t="s">
        <v>23</v>
      </c>
    </row>
    <row r="689" spans="1:18" x14ac:dyDescent="0.35">
      <c r="A689">
        <v>687</v>
      </c>
      <c r="B689" t="s">
        <v>1508</v>
      </c>
      <c r="C689" s="1">
        <f t="shared" ca="1" si="50"/>
        <v>45210</v>
      </c>
      <c r="D689" t="str">
        <f t="shared" ca="1" si="51"/>
        <v>October</v>
      </c>
      <c r="E689" t="s">
        <v>29</v>
      </c>
      <c r="F689" t="s">
        <v>33</v>
      </c>
      <c r="G689" t="str">
        <f t="shared" si="52"/>
        <v>Men</v>
      </c>
      <c r="H689" t="str">
        <f t="shared" ca="1" si="53"/>
        <v>Amazon</v>
      </c>
      <c r="I689">
        <f t="shared" ca="1" si="54"/>
        <v>47</v>
      </c>
      <c r="J689" t="s">
        <v>1384</v>
      </c>
      <c r="K689" t="s">
        <v>27</v>
      </c>
      <c r="L689" t="s">
        <v>68</v>
      </c>
      <c r="M689">
        <v>1</v>
      </c>
      <c r="N689" t="s">
        <v>20</v>
      </c>
      <c r="O689">
        <v>486</v>
      </c>
      <c r="P689" t="s">
        <v>1509</v>
      </c>
      <c r="Q689" t="s">
        <v>378</v>
      </c>
      <c r="R689" t="s">
        <v>23</v>
      </c>
    </row>
    <row r="690" spans="1:18" x14ac:dyDescent="0.35">
      <c r="A690">
        <v>688</v>
      </c>
      <c r="B690" t="s">
        <v>1510</v>
      </c>
      <c r="C690" s="1">
        <f t="shared" ca="1" si="50"/>
        <v>45343</v>
      </c>
      <c r="D690" t="str">
        <f t="shared" ca="1" si="51"/>
        <v>February</v>
      </c>
      <c r="E690" t="s">
        <v>29</v>
      </c>
      <c r="F690" t="s">
        <v>33</v>
      </c>
      <c r="G690" t="str">
        <f t="shared" si="52"/>
        <v>Men</v>
      </c>
      <c r="H690" t="str">
        <f t="shared" ca="1" si="53"/>
        <v>Amazon</v>
      </c>
      <c r="I690">
        <f t="shared" ca="1" si="54"/>
        <v>60</v>
      </c>
      <c r="J690" t="s">
        <v>1511</v>
      </c>
      <c r="K690" t="s">
        <v>27</v>
      </c>
      <c r="L690" t="s">
        <v>68</v>
      </c>
      <c r="M690">
        <v>1</v>
      </c>
      <c r="N690" t="s">
        <v>20</v>
      </c>
      <c r="O690">
        <v>517</v>
      </c>
      <c r="P690" t="s">
        <v>56</v>
      </c>
      <c r="Q690" t="s">
        <v>57</v>
      </c>
      <c r="R690" t="s">
        <v>23</v>
      </c>
    </row>
    <row r="691" spans="1:18" x14ac:dyDescent="0.35">
      <c r="A691">
        <v>689</v>
      </c>
      <c r="B691" t="s">
        <v>1512</v>
      </c>
      <c r="C691" s="1">
        <f t="shared" ca="1" si="50"/>
        <v>45439</v>
      </c>
      <c r="D691" t="str">
        <f t="shared" ca="1" si="51"/>
        <v>May</v>
      </c>
      <c r="E691" t="s">
        <v>15</v>
      </c>
      <c r="F691" t="s">
        <v>33</v>
      </c>
      <c r="G691" t="str">
        <f t="shared" si="52"/>
        <v>Women</v>
      </c>
      <c r="H691" t="str">
        <f t="shared" ca="1" si="53"/>
        <v>Amazon</v>
      </c>
      <c r="I691">
        <f t="shared" ca="1" si="54"/>
        <v>44</v>
      </c>
      <c r="J691" t="s">
        <v>1513</v>
      </c>
      <c r="K691" t="s">
        <v>18</v>
      </c>
      <c r="L691" t="s">
        <v>62</v>
      </c>
      <c r="M691">
        <v>1</v>
      </c>
      <c r="N691" t="s">
        <v>20</v>
      </c>
      <c r="O691">
        <v>1186</v>
      </c>
      <c r="P691" t="s">
        <v>1514</v>
      </c>
      <c r="Q691" t="s">
        <v>22</v>
      </c>
      <c r="R691" t="s">
        <v>23</v>
      </c>
    </row>
    <row r="692" spans="1:18" x14ac:dyDescent="0.35">
      <c r="A692">
        <v>690</v>
      </c>
      <c r="B692" t="s">
        <v>1515</v>
      </c>
      <c r="C692" s="1">
        <f t="shared" ca="1" si="50"/>
        <v>45590</v>
      </c>
      <c r="D692" t="str">
        <f t="shared" ca="1" si="51"/>
        <v>October</v>
      </c>
      <c r="E692" t="s">
        <v>29</v>
      </c>
      <c r="F692" t="s">
        <v>33</v>
      </c>
      <c r="G692" t="str">
        <f t="shared" si="52"/>
        <v>Men</v>
      </c>
      <c r="H692" t="str">
        <f t="shared" ca="1" si="53"/>
        <v>Amazon</v>
      </c>
      <c r="I692">
        <f t="shared" ca="1" si="54"/>
        <v>60</v>
      </c>
      <c r="J692" t="s">
        <v>1516</v>
      </c>
      <c r="K692" t="s">
        <v>27</v>
      </c>
      <c r="L692" t="s">
        <v>101</v>
      </c>
      <c r="M692">
        <v>1</v>
      </c>
      <c r="N692" t="s">
        <v>20</v>
      </c>
      <c r="O692">
        <v>376</v>
      </c>
      <c r="P692" t="s">
        <v>1517</v>
      </c>
      <c r="Q692" t="s">
        <v>57</v>
      </c>
      <c r="R692" t="s">
        <v>23</v>
      </c>
    </row>
    <row r="693" spans="1:18" x14ac:dyDescent="0.35">
      <c r="A693">
        <v>691</v>
      </c>
      <c r="B693" t="s">
        <v>1518</v>
      </c>
      <c r="C693" s="1">
        <f t="shared" ca="1" si="50"/>
        <v>45467</v>
      </c>
      <c r="D693" t="str">
        <f t="shared" ca="1" si="51"/>
        <v>June</v>
      </c>
      <c r="E693" t="s">
        <v>15</v>
      </c>
      <c r="F693" t="s">
        <v>33</v>
      </c>
      <c r="G693" t="str">
        <f t="shared" si="52"/>
        <v>Women</v>
      </c>
      <c r="H693" t="str">
        <f t="shared" ca="1" si="53"/>
        <v>Amazon</v>
      </c>
      <c r="I693">
        <f t="shared" ca="1" si="54"/>
        <v>59</v>
      </c>
      <c r="J693" t="s">
        <v>1063</v>
      </c>
      <c r="K693" t="s">
        <v>44</v>
      </c>
      <c r="L693" t="s">
        <v>40</v>
      </c>
      <c r="M693">
        <v>0</v>
      </c>
      <c r="P693" t="s">
        <v>117</v>
      </c>
      <c r="Q693" t="s">
        <v>118</v>
      </c>
      <c r="R693" t="s">
        <v>23</v>
      </c>
    </row>
    <row r="694" spans="1:18" x14ac:dyDescent="0.35">
      <c r="A694">
        <v>692</v>
      </c>
      <c r="B694" t="s">
        <v>1519</v>
      </c>
      <c r="C694" s="1">
        <f t="shared" ca="1" si="50"/>
        <v>45184</v>
      </c>
      <c r="D694" t="str">
        <f t="shared" ca="1" si="51"/>
        <v>September</v>
      </c>
      <c r="E694" t="s">
        <v>29</v>
      </c>
      <c r="F694" t="s">
        <v>33</v>
      </c>
      <c r="G694" t="str">
        <f t="shared" si="52"/>
        <v>Women</v>
      </c>
      <c r="H694" t="str">
        <f t="shared" ca="1" si="53"/>
        <v>Amazon</v>
      </c>
      <c r="I694">
        <f t="shared" ca="1" si="54"/>
        <v>54</v>
      </c>
      <c r="J694" t="s">
        <v>1520</v>
      </c>
      <c r="K694" t="s">
        <v>18</v>
      </c>
      <c r="L694" t="s">
        <v>19</v>
      </c>
      <c r="M694">
        <v>1</v>
      </c>
      <c r="N694" t="s">
        <v>20</v>
      </c>
      <c r="O694">
        <v>715</v>
      </c>
      <c r="P694" t="s">
        <v>88</v>
      </c>
      <c r="Q694" t="s">
        <v>89</v>
      </c>
      <c r="R694" t="s">
        <v>23</v>
      </c>
    </row>
    <row r="695" spans="1:18" x14ac:dyDescent="0.35">
      <c r="A695">
        <v>693</v>
      </c>
      <c r="B695" t="s">
        <v>1521</v>
      </c>
      <c r="C695" s="1">
        <f t="shared" ca="1" si="50"/>
        <v>45052</v>
      </c>
      <c r="D695" t="str">
        <f t="shared" ca="1" si="51"/>
        <v>May</v>
      </c>
      <c r="E695" t="s">
        <v>29</v>
      </c>
      <c r="F695" t="s">
        <v>33</v>
      </c>
      <c r="G695" t="str">
        <f t="shared" si="52"/>
        <v>Women</v>
      </c>
      <c r="H695" t="str">
        <f t="shared" ca="1" si="53"/>
        <v>Amazon</v>
      </c>
      <c r="I695">
        <f t="shared" ca="1" si="54"/>
        <v>44</v>
      </c>
      <c r="J695" t="s">
        <v>675</v>
      </c>
      <c r="K695" t="s">
        <v>18</v>
      </c>
      <c r="L695" t="s">
        <v>19</v>
      </c>
      <c r="M695">
        <v>1</v>
      </c>
      <c r="N695" t="s">
        <v>20</v>
      </c>
      <c r="O695">
        <v>1065</v>
      </c>
      <c r="P695" t="s">
        <v>1522</v>
      </c>
      <c r="Q695" t="s">
        <v>22</v>
      </c>
      <c r="R695" t="s">
        <v>23</v>
      </c>
    </row>
    <row r="696" spans="1:18" x14ac:dyDescent="0.35">
      <c r="A696">
        <v>694</v>
      </c>
      <c r="B696" t="s">
        <v>1523</v>
      </c>
      <c r="C696" s="1">
        <f t="shared" ca="1" si="50"/>
        <v>45006</v>
      </c>
      <c r="D696" t="str">
        <f t="shared" ca="1" si="51"/>
        <v>March</v>
      </c>
      <c r="E696" t="s">
        <v>29</v>
      </c>
      <c r="F696" t="s">
        <v>33</v>
      </c>
      <c r="G696" t="str">
        <f t="shared" si="52"/>
        <v>Women</v>
      </c>
      <c r="H696" t="str">
        <f t="shared" ca="1" si="53"/>
        <v>Amazon</v>
      </c>
      <c r="I696">
        <f t="shared" ca="1" si="54"/>
        <v>43</v>
      </c>
      <c r="J696" t="s">
        <v>129</v>
      </c>
      <c r="K696" t="s">
        <v>39</v>
      </c>
      <c r="L696" t="s">
        <v>19</v>
      </c>
      <c r="M696">
        <v>1</v>
      </c>
      <c r="N696" t="s">
        <v>20</v>
      </c>
      <c r="O696">
        <v>744</v>
      </c>
      <c r="P696" t="s">
        <v>49</v>
      </c>
      <c r="Q696" t="s">
        <v>50</v>
      </c>
      <c r="R696" t="s">
        <v>23</v>
      </c>
    </row>
    <row r="697" spans="1:18" x14ac:dyDescent="0.35">
      <c r="A697">
        <v>695</v>
      </c>
      <c r="B697" t="s">
        <v>1524</v>
      </c>
      <c r="C697" s="1">
        <f t="shared" ca="1" si="50"/>
        <v>44953</v>
      </c>
      <c r="D697" t="str">
        <f t="shared" ca="1" si="51"/>
        <v>January</v>
      </c>
      <c r="E697" t="s">
        <v>29</v>
      </c>
      <c r="F697" t="s">
        <v>33</v>
      </c>
      <c r="G697" t="str">
        <f t="shared" si="52"/>
        <v>Men</v>
      </c>
      <c r="H697" t="str">
        <f t="shared" ca="1" si="53"/>
        <v>Amazon</v>
      </c>
      <c r="I697">
        <f t="shared" ca="1" si="54"/>
        <v>32</v>
      </c>
      <c r="J697" t="s">
        <v>151</v>
      </c>
      <c r="K697" t="s">
        <v>27</v>
      </c>
      <c r="L697" t="s">
        <v>40</v>
      </c>
      <c r="M697">
        <v>1</v>
      </c>
      <c r="N697" t="s">
        <v>20</v>
      </c>
      <c r="O697">
        <v>399</v>
      </c>
      <c r="P697" t="s">
        <v>1525</v>
      </c>
      <c r="Q697" t="s">
        <v>171</v>
      </c>
      <c r="R697" t="s">
        <v>23</v>
      </c>
    </row>
    <row r="698" spans="1:18" x14ac:dyDescent="0.35">
      <c r="A698">
        <v>696</v>
      </c>
      <c r="B698" t="s">
        <v>1526</v>
      </c>
      <c r="C698" s="1">
        <f t="shared" ca="1" si="50"/>
        <v>45308</v>
      </c>
      <c r="D698" t="str">
        <f t="shared" ca="1" si="51"/>
        <v>January</v>
      </c>
      <c r="E698" t="s">
        <v>25</v>
      </c>
      <c r="F698" t="s">
        <v>16</v>
      </c>
      <c r="G698" t="str">
        <f t="shared" si="52"/>
        <v>Women</v>
      </c>
      <c r="H698" t="str">
        <f t="shared" ca="1" si="53"/>
        <v>Myntra</v>
      </c>
      <c r="I698">
        <f t="shared" ca="1" si="54"/>
        <v>57</v>
      </c>
      <c r="J698" t="s">
        <v>1527</v>
      </c>
      <c r="K698" t="s">
        <v>18</v>
      </c>
      <c r="L698" t="s">
        <v>35</v>
      </c>
      <c r="M698">
        <v>1</v>
      </c>
      <c r="N698" t="s">
        <v>20</v>
      </c>
      <c r="O698">
        <v>1099</v>
      </c>
      <c r="P698" t="s">
        <v>56</v>
      </c>
      <c r="Q698" t="s">
        <v>57</v>
      </c>
      <c r="R698" t="s">
        <v>23</v>
      </c>
    </row>
    <row r="699" spans="1:18" x14ac:dyDescent="0.35">
      <c r="A699">
        <v>697</v>
      </c>
      <c r="B699" t="s">
        <v>1528</v>
      </c>
      <c r="C699" s="1">
        <f t="shared" ca="1" si="50"/>
        <v>45110</v>
      </c>
      <c r="D699" t="str">
        <f t="shared" ca="1" si="51"/>
        <v>July</v>
      </c>
      <c r="E699" t="s">
        <v>29</v>
      </c>
      <c r="F699" t="s">
        <v>33</v>
      </c>
      <c r="G699" t="str">
        <f t="shared" si="52"/>
        <v>Women</v>
      </c>
      <c r="H699" t="str">
        <f t="shared" ca="1" si="53"/>
        <v>Amazon</v>
      </c>
      <c r="I699">
        <f t="shared" ca="1" si="54"/>
        <v>18</v>
      </c>
      <c r="J699" t="s">
        <v>527</v>
      </c>
      <c r="K699" t="s">
        <v>39</v>
      </c>
      <c r="L699" t="s">
        <v>101</v>
      </c>
      <c r="M699">
        <v>1</v>
      </c>
      <c r="N699" t="s">
        <v>20</v>
      </c>
      <c r="O699">
        <v>744</v>
      </c>
      <c r="P699" t="s">
        <v>1529</v>
      </c>
      <c r="Q699" t="s">
        <v>22</v>
      </c>
      <c r="R699" t="s">
        <v>23</v>
      </c>
    </row>
    <row r="700" spans="1:18" x14ac:dyDescent="0.35">
      <c r="A700">
        <v>698</v>
      </c>
      <c r="B700" t="s">
        <v>1530</v>
      </c>
      <c r="C700" s="1">
        <f t="shared" ca="1" si="50"/>
        <v>44955</v>
      </c>
      <c r="D700" t="str">
        <f t="shared" ca="1" si="51"/>
        <v>January</v>
      </c>
      <c r="E700" t="s">
        <v>29</v>
      </c>
      <c r="F700" t="s">
        <v>33</v>
      </c>
      <c r="G700" t="str">
        <f t="shared" si="52"/>
        <v>Men</v>
      </c>
      <c r="H700" t="str">
        <f t="shared" ca="1" si="53"/>
        <v>Amazon</v>
      </c>
      <c r="I700">
        <f t="shared" ca="1" si="54"/>
        <v>33</v>
      </c>
      <c r="J700" t="s">
        <v>1531</v>
      </c>
      <c r="K700" t="s">
        <v>27</v>
      </c>
      <c r="L700" t="s">
        <v>28</v>
      </c>
      <c r="M700">
        <v>1</v>
      </c>
      <c r="N700" t="s">
        <v>20</v>
      </c>
      <c r="O700">
        <v>329</v>
      </c>
      <c r="P700" t="s">
        <v>1532</v>
      </c>
      <c r="Q700" t="s">
        <v>1533</v>
      </c>
      <c r="R700" t="s">
        <v>23</v>
      </c>
    </row>
    <row r="701" spans="1:18" x14ac:dyDescent="0.35">
      <c r="A701">
        <v>699</v>
      </c>
      <c r="B701" t="s">
        <v>1534</v>
      </c>
      <c r="C701" s="1">
        <f t="shared" ca="1" si="50"/>
        <v>45584</v>
      </c>
      <c r="D701" t="str">
        <f t="shared" ca="1" si="51"/>
        <v>October</v>
      </c>
      <c r="E701" t="s">
        <v>25</v>
      </c>
      <c r="F701" t="s">
        <v>16</v>
      </c>
      <c r="G701" t="str">
        <f t="shared" si="52"/>
        <v>Men</v>
      </c>
      <c r="H701" t="str">
        <f t="shared" ca="1" si="53"/>
        <v>Flipkart</v>
      </c>
      <c r="I701">
        <f t="shared" ca="1" si="54"/>
        <v>34</v>
      </c>
      <c r="J701" t="s">
        <v>1535</v>
      </c>
      <c r="K701" t="s">
        <v>27</v>
      </c>
      <c r="L701" t="s">
        <v>28</v>
      </c>
      <c r="M701">
        <v>1</v>
      </c>
      <c r="N701" t="s">
        <v>20</v>
      </c>
      <c r="O701">
        <v>362</v>
      </c>
      <c r="P701" t="s">
        <v>1532</v>
      </c>
      <c r="Q701" t="s">
        <v>1533</v>
      </c>
      <c r="R701" t="s">
        <v>23</v>
      </c>
    </row>
    <row r="702" spans="1:18" x14ac:dyDescent="0.35">
      <c r="A702">
        <v>700</v>
      </c>
      <c r="B702" t="s">
        <v>1534</v>
      </c>
      <c r="C702" s="1">
        <f t="shared" ca="1" si="50"/>
        <v>45018</v>
      </c>
      <c r="D702" t="str">
        <f t="shared" ca="1" si="51"/>
        <v>April</v>
      </c>
      <c r="E702" t="s">
        <v>25</v>
      </c>
      <c r="F702" t="s">
        <v>16</v>
      </c>
      <c r="G702" t="str">
        <f t="shared" si="52"/>
        <v>Men</v>
      </c>
      <c r="H702" t="str">
        <f t="shared" ca="1" si="53"/>
        <v>Flipkart</v>
      </c>
      <c r="I702">
        <f t="shared" ca="1" si="54"/>
        <v>32</v>
      </c>
      <c r="J702" t="s">
        <v>1536</v>
      </c>
      <c r="K702" t="s">
        <v>27</v>
      </c>
      <c r="L702" t="s">
        <v>28</v>
      </c>
      <c r="M702">
        <v>1</v>
      </c>
      <c r="N702" t="s">
        <v>20</v>
      </c>
      <c r="O702">
        <v>342</v>
      </c>
      <c r="P702" t="s">
        <v>1532</v>
      </c>
      <c r="Q702" t="s">
        <v>1533</v>
      </c>
      <c r="R702" t="s">
        <v>23</v>
      </c>
    </row>
    <row r="703" spans="1:18" x14ac:dyDescent="0.35">
      <c r="A703">
        <v>701</v>
      </c>
      <c r="B703" t="s">
        <v>1534</v>
      </c>
      <c r="C703" s="1">
        <f t="shared" ca="1" si="50"/>
        <v>45221</v>
      </c>
      <c r="D703" t="str">
        <f t="shared" ca="1" si="51"/>
        <v>October</v>
      </c>
      <c r="E703" t="s">
        <v>25</v>
      </c>
      <c r="F703" t="s">
        <v>16</v>
      </c>
      <c r="G703" t="str">
        <f t="shared" si="52"/>
        <v>Men</v>
      </c>
      <c r="H703" t="str">
        <f t="shared" ca="1" si="53"/>
        <v>Flipkart</v>
      </c>
      <c r="I703">
        <f t="shared" ca="1" si="54"/>
        <v>53</v>
      </c>
      <c r="J703" t="s">
        <v>1537</v>
      </c>
      <c r="K703" t="s">
        <v>27</v>
      </c>
      <c r="L703" t="s">
        <v>28</v>
      </c>
      <c r="M703">
        <v>1</v>
      </c>
      <c r="N703" t="s">
        <v>20</v>
      </c>
      <c r="O703">
        <v>363</v>
      </c>
      <c r="P703" t="s">
        <v>1532</v>
      </c>
      <c r="Q703" t="s">
        <v>1533</v>
      </c>
      <c r="R703" t="s">
        <v>23</v>
      </c>
    </row>
    <row r="704" spans="1:18" x14ac:dyDescent="0.35">
      <c r="A704">
        <v>702</v>
      </c>
      <c r="B704" t="s">
        <v>1538</v>
      </c>
      <c r="C704" s="1">
        <f t="shared" ca="1" si="50"/>
        <v>45066</v>
      </c>
      <c r="D704" t="str">
        <f t="shared" ca="1" si="51"/>
        <v>May</v>
      </c>
      <c r="E704" t="s">
        <v>29</v>
      </c>
      <c r="F704" t="s">
        <v>33</v>
      </c>
      <c r="G704" t="str">
        <f t="shared" si="52"/>
        <v>Men</v>
      </c>
      <c r="H704" t="str">
        <f t="shared" ca="1" si="53"/>
        <v>Amazon</v>
      </c>
      <c r="I704">
        <f t="shared" ca="1" si="54"/>
        <v>44</v>
      </c>
      <c r="J704" t="s">
        <v>1539</v>
      </c>
      <c r="K704" t="s">
        <v>27</v>
      </c>
      <c r="L704" t="s">
        <v>40</v>
      </c>
      <c r="M704">
        <v>1</v>
      </c>
      <c r="N704" t="s">
        <v>20</v>
      </c>
      <c r="O704">
        <v>459</v>
      </c>
      <c r="P704" t="s">
        <v>1540</v>
      </c>
      <c r="Q704" t="s">
        <v>22</v>
      </c>
      <c r="R704" t="s">
        <v>23</v>
      </c>
    </row>
    <row r="705" spans="1:18" x14ac:dyDescent="0.35">
      <c r="A705">
        <v>703</v>
      </c>
      <c r="B705" t="s">
        <v>1541</v>
      </c>
      <c r="C705" s="1">
        <f t="shared" ca="1" si="50"/>
        <v>45158</v>
      </c>
      <c r="D705" t="str">
        <f t="shared" ca="1" si="51"/>
        <v>August</v>
      </c>
      <c r="E705" t="s">
        <v>29</v>
      </c>
      <c r="F705" t="s">
        <v>33</v>
      </c>
      <c r="G705" t="str">
        <f t="shared" si="52"/>
        <v>Women</v>
      </c>
      <c r="H705" t="str">
        <f t="shared" ca="1" si="53"/>
        <v>Amazon</v>
      </c>
      <c r="I705">
        <f t="shared" ca="1" si="54"/>
        <v>29</v>
      </c>
      <c r="J705" t="s">
        <v>1542</v>
      </c>
      <c r="K705" t="s">
        <v>18</v>
      </c>
      <c r="L705" t="s">
        <v>40</v>
      </c>
      <c r="M705">
        <v>1</v>
      </c>
      <c r="N705" t="s">
        <v>20</v>
      </c>
      <c r="O705">
        <v>888</v>
      </c>
      <c r="P705" t="s">
        <v>49</v>
      </c>
      <c r="Q705" t="s">
        <v>50</v>
      </c>
      <c r="R705" t="s">
        <v>23</v>
      </c>
    </row>
    <row r="706" spans="1:18" x14ac:dyDescent="0.35">
      <c r="A706">
        <v>704</v>
      </c>
      <c r="B706" t="s">
        <v>1543</v>
      </c>
      <c r="C706" s="1">
        <f t="shared" ca="1" si="50"/>
        <v>44997</v>
      </c>
      <c r="D706" t="str">
        <f t="shared" ca="1" si="51"/>
        <v>March</v>
      </c>
      <c r="E706" t="s">
        <v>29</v>
      </c>
      <c r="F706" t="s">
        <v>33</v>
      </c>
      <c r="G706" t="str">
        <f t="shared" si="52"/>
        <v>Men</v>
      </c>
      <c r="H706" t="str">
        <f t="shared" ca="1" si="53"/>
        <v>Amazon</v>
      </c>
      <c r="I706">
        <f t="shared" ca="1" si="54"/>
        <v>25</v>
      </c>
      <c r="J706" t="s">
        <v>421</v>
      </c>
      <c r="K706" t="s">
        <v>27</v>
      </c>
      <c r="L706" t="s">
        <v>28</v>
      </c>
      <c r="M706">
        <v>1</v>
      </c>
      <c r="N706" t="s">
        <v>20</v>
      </c>
      <c r="O706">
        <v>376</v>
      </c>
      <c r="P706" t="s">
        <v>88</v>
      </c>
      <c r="Q706" t="s">
        <v>89</v>
      </c>
      <c r="R706" t="s">
        <v>23</v>
      </c>
    </row>
    <row r="707" spans="1:18" x14ac:dyDescent="0.35">
      <c r="A707">
        <v>705</v>
      </c>
      <c r="B707" t="s">
        <v>1544</v>
      </c>
      <c r="C707" s="1">
        <f t="shared" ref="C707:C770" ca="1" si="55">RANDBETWEEN(DATE(2023,1,1), DATE(2024,12,31))</f>
        <v>45511</v>
      </c>
      <c r="D707" t="str">
        <f t="shared" ref="D707:D770" ca="1" si="56">TEXT(C707, "MMMM")</f>
        <v>August</v>
      </c>
      <c r="E707" t="s">
        <v>29</v>
      </c>
      <c r="F707" t="s">
        <v>33</v>
      </c>
      <c r="G707" t="str">
        <f t="shared" ref="G707:G770" si="57">IF(K707="Set","Women",IF(K707="Kurta","Men",IF(K707="Top","Women",IF(K707="Western Dress","Women",IF(K707="Ethnic Dress","Women",IF(K707="Saree","Women",0))))))</f>
        <v>Women</v>
      </c>
      <c r="H707" t="str">
        <f t="shared" ref="H707:H770" ca="1" si="58">IF(F707="Merchant",IF(RAND()&gt;0.5,"Myntra","Flipkart"),IF(F707="Amazon","Amazon",0))</f>
        <v>Amazon</v>
      </c>
      <c r="I707">
        <f t="shared" ref="I707:I770" ca="1" si="59">RANDBETWEEN(18, 60)</f>
        <v>30</v>
      </c>
      <c r="J707" t="s">
        <v>320</v>
      </c>
      <c r="K707" t="s">
        <v>18</v>
      </c>
      <c r="L707" t="s">
        <v>35</v>
      </c>
      <c r="M707">
        <v>1</v>
      </c>
      <c r="N707" t="s">
        <v>20</v>
      </c>
      <c r="O707">
        <v>599</v>
      </c>
      <c r="P707" t="s">
        <v>396</v>
      </c>
      <c r="Q707" t="s">
        <v>22</v>
      </c>
      <c r="R707" t="s">
        <v>23</v>
      </c>
    </row>
    <row r="708" spans="1:18" x14ac:dyDescent="0.35">
      <c r="A708">
        <v>706</v>
      </c>
      <c r="B708" t="s">
        <v>1545</v>
      </c>
      <c r="C708" s="1">
        <f t="shared" ca="1" si="55"/>
        <v>45230</v>
      </c>
      <c r="D708" t="str">
        <f t="shared" ca="1" si="56"/>
        <v>October</v>
      </c>
      <c r="E708" t="s">
        <v>29</v>
      </c>
      <c r="F708" t="s">
        <v>33</v>
      </c>
      <c r="G708" t="str">
        <f t="shared" si="57"/>
        <v>Women</v>
      </c>
      <c r="H708" t="str">
        <f t="shared" ca="1" si="58"/>
        <v>Amazon</v>
      </c>
      <c r="I708">
        <f t="shared" ca="1" si="59"/>
        <v>36</v>
      </c>
      <c r="J708" t="s">
        <v>1546</v>
      </c>
      <c r="K708" t="s">
        <v>18</v>
      </c>
      <c r="L708" t="s">
        <v>62</v>
      </c>
      <c r="M708">
        <v>1</v>
      </c>
      <c r="N708" t="s">
        <v>20</v>
      </c>
      <c r="O708">
        <v>916</v>
      </c>
      <c r="P708" t="s">
        <v>63</v>
      </c>
      <c r="Q708" t="s">
        <v>46</v>
      </c>
      <c r="R708" t="s">
        <v>23</v>
      </c>
    </row>
    <row r="709" spans="1:18" x14ac:dyDescent="0.35">
      <c r="A709">
        <v>707</v>
      </c>
      <c r="B709" t="s">
        <v>1547</v>
      </c>
      <c r="C709" s="1">
        <f t="shared" ca="1" si="55"/>
        <v>45041</v>
      </c>
      <c r="D709" t="str">
        <f t="shared" ca="1" si="56"/>
        <v>April</v>
      </c>
      <c r="E709" t="s">
        <v>29</v>
      </c>
      <c r="F709" t="s">
        <v>33</v>
      </c>
      <c r="G709" t="str">
        <f t="shared" si="57"/>
        <v>Men</v>
      </c>
      <c r="H709" t="str">
        <f t="shared" ca="1" si="58"/>
        <v>Amazon</v>
      </c>
      <c r="I709">
        <f t="shared" ca="1" si="59"/>
        <v>42</v>
      </c>
      <c r="J709" t="s">
        <v>1548</v>
      </c>
      <c r="K709" t="s">
        <v>27</v>
      </c>
      <c r="L709" t="s">
        <v>68</v>
      </c>
      <c r="M709">
        <v>1</v>
      </c>
      <c r="N709" t="s">
        <v>20</v>
      </c>
      <c r="O709">
        <v>329</v>
      </c>
      <c r="P709" t="s">
        <v>1549</v>
      </c>
      <c r="Q709" t="s">
        <v>46</v>
      </c>
      <c r="R709" t="s">
        <v>23</v>
      </c>
    </row>
    <row r="710" spans="1:18" x14ac:dyDescent="0.35">
      <c r="A710">
        <v>708</v>
      </c>
      <c r="B710" t="s">
        <v>1550</v>
      </c>
      <c r="C710" s="1">
        <f t="shared" ca="1" si="55"/>
        <v>45440</v>
      </c>
      <c r="D710" t="str">
        <f t="shared" ca="1" si="56"/>
        <v>May</v>
      </c>
      <c r="E710" t="s">
        <v>15</v>
      </c>
      <c r="F710" t="s">
        <v>33</v>
      </c>
      <c r="G710" t="str">
        <f t="shared" si="57"/>
        <v>Men</v>
      </c>
      <c r="H710" t="str">
        <f t="shared" ca="1" si="58"/>
        <v>Amazon</v>
      </c>
      <c r="I710">
        <f t="shared" ca="1" si="59"/>
        <v>31</v>
      </c>
      <c r="J710" t="s">
        <v>421</v>
      </c>
      <c r="K710" t="s">
        <v>27</v>
      </c>
      <c r="L710" t="s">
        <v>28</v>
      </c>
      <c r="M710">
        <v>0</v>
      </c>
      <c r="P710" t="s">
        <v>56</v>
      </c>
      <c r="Q710" t="s">
        <v>57</v>
      </c>
      <c r="R710" t="s">
        <v>23</v>
      </c>
    </row>
    <row r="711" spans="1:18" x14ac:dyDescent="0.35">
      <c r="A711">
        <v>709</v>
      </c>
      <c r="B711" t="s">
        <v>1551</v>
      </c>
      <c r="C711" s="1">
        <f t="shared" ca="1" si="55"/>
        <v>45322</v>
      </c>
      <c r="D711" t="str">
        <f t="shared" ca="1" si="56"/>
        <v>January</v>
      </c>
      <c r="E711" t="s">
        <v>29</v>
      </c>
      <c r="F711" t="s">
        <v>33</v>
      </c>
      <c r="G711" t="str">
        <f t="shared" si="57"/>
        <v>Women</v>
      </c>
      <c r="H711" t="str">
        <f t="shared" ca="1" si="58"/>
        <v>Amazon</v>
      </c>
      <c r="I711">
        <f t="shared" ca="1" si="59"/>
        <v>24</v>
      </c>
      <c r="J711" t="s">
        <v>1170</v>
      </c>
      <c r="K711" t="s">
        <v>18</v>
      </c>
      <c r="L711" t="s">
        <v>35</v>
      </c>
      <c r="M711">
        <v>1</v>
      </c>
      <c r="N711" t="s">
        <v>20</v>
      </c>
      <c r="O711">
        <v>626</v>
      </c>
      <c r="P711" t="s">
        <v>1509</v>
      </c>
      <c r="Q711" t="s">
        <v>378</v>
      </c>
      <c r="R711" t="s">
        <v>23</v>
      </c>
    </row>
    <row r="712" spans="1:18" x14ac:dyDescent="0.35">
      <c r="A712">
        <v>710</v>
      </c>
      <c r="B712" t="s">
        <v>1552</v>
      </c>
      <c r="C712" s="1">
        <f t="shared" ca="1" si="55"/>
        <v>45498</v>
      </c>
      <c r="D712" t="str">
        <f t="shared" ca="1" si="56"/>
        <v>July</v>
      </c>
      <c r="E712" t="s">
        <v>29</v>
      </c>
      <c r="F712" t="s">
        <v>33</v>
      </c>
      <c r="G712" t="str">
        <f t="shared" si="57"/>
        <v>Women</v>
      </c>
      <c r="H712" t="str">
        <f t="shared" ca="1" si="58"/>
        <v>Amazon</v>
      </c>
      <c r="I712">
        <f t="shared" ca="1" si="59"/>
        <v>50</v>
      </c>
      <c r="J712" t="s">
        <v>430</v>
      </c>
      <c r="K712" t="s">
        <v>39</v>
      </c>
      <c r="L712" t="s">
        <v>40</v>
      </c>
      <c r="M712">
        <v>1</v>
      </c>
      <c r="N712" t="s">
        <v>20</v>
      </c>
      <c r="O712">
        <v>725</v>
      </c>
      <c r="P712" t="s">
        <v>1553</v>
      </c>
      <c r="Q712" t="s">
        <v>171</v>
      </c>
      <c r="R712" t="s">
        <v>23</v>
      </c>
    </row>
    <row r="713" spans="1:18" x14ac:dyDescent="0.35">
      <c r="A713">
        <v>711</v>
      </c>
      <c r="B713" t="s">
        <v>1554</v>
      </c>
      <c r="C713" s="1">
        <f t="shared" ca="1" si="55"/>
        <v>45359</v>
      </c>
      <c r="D713" t="str">
        <f t="shared" ca="1" si="56"/>
        <v>March</v>
      </c>
      <c r="E713" t="s">
        <v>15</v>
      </c>
      <c r="F713" t="s">
        <v>33</v>
      </c>
      <c r="G713" t="str">
        <f t="shared" si="57"/>
        <v>Men</v>
      </c>
      <c r="H713" t="str">
        <f t="shared" ca="1" si="58"/>
        <v>Amazon</v>
      </c>
      <c r="I713">
        <f t="shared" ca="1" si="59"/>
        <v>32</v>
      </c>
      <c r="J713" t="s">
        <v>1555</v>
      </c>
      <c r="K713" t="s">
        <v>27</v>
      </c>
      <c r="L713" t="s">
        <v>101</v>
      </c>
      <c r="M713">
        <v>0</v>
      </c>
      <c r="P713" t="s">
        <v>1556</v>
      </c>
      <c r="Q713" t="s">
        <v>31</v>
      </c>
      <c r="R713" t="s">
        <v>23</v>
      </c>
    </row>
    <row r="714" spans="1:18" x14ac:dyDescent="0.35">
      <c r="A714">
        <v>712</v>
      </c>
      <c r="B714" t="s">
        <v>1557</v>
      </c>
      <c r="C714" s="1">
        <f t="shared" ca="1" si="55"/>
        <v>45612</v>
      </c>
      <c r="D714" t="str">
        <f t="shared" ca="1" si="56"/>
        <v>November</v>
      </c>
      <c r="E714" t="s">
        <v>29</v>
      </c>
      <c r="F714" t="s">
        <v>33</v>
      </c>
      <c r="G714" t="str">
        <f t="shared" si="57"/>
        <v>Women</v>
      </c>
      <c r="H714" t="str">
        <f t="shared" ca="1" si="58"/>
        <v>Amazon</v>
      </c>
      <c r="I714">
        <f t="shared" ca="1" si="59"/>
        <v>44</v>
      </c>
      <c r="J714" t="s">
        <v>173</v>
      </c>
      <c r="K714" t="s">
        <v>18</v>
      </c>
      <c r="L714" t="s">
        <v>40</v>
      </c>
      <c r="M714">
        <v>1</v>
      </c>
      <c r="N714" t="s">
        <v>20</v>
      </c>
      <c r="O714">
        <v>1112</v>
      </c>
      <c r="P714" t="s">
        <v>84</v>
      </c>
      <c r="Q714" t="s">
        <v>85</v>
      </c>
      <c r="R714" t="s">
        <v>23</v>
      </c>
    </row>
    <row r="715" spans="1:18" x14ac:dyDescent="0.35">
      <c r="A715">
        <v>713</v>
      </c>
      <c r="B715" t="s">
        <v>1558</v>
      </c>
      <c r="C715" s="1">
        <f t="shared" ca="1" si="55"/>
        <v>45452</v>
      </c>
      <c r="D715" t="str">
        <f t="shared" ca="1" si="56"/>
        <v>June</v>
      </c>
      <c r="E715" t="s">
        <v>15</v>
      </c>
      <c r="F715" t="s">
        <v>33</v>
      </c>
      <c r="G715" t="str">
        <f t="shared" si="57"/>
        <v>Women</v>
      </c>
      <c r="H715" t="str">
        <f t="shared" ca="1" si="58"/>
        <v>Amazon</v>
      </c>
      <c r="I715">
        <f t="shared" ca="1" si="59"/>
        <v>40</v>
      </c>
      <c r="J715" t="s">
        <v>1559</v>
      </c>
      <c r="K715" t="s">
        <v>18</v>
      </c>
      <c r="L715" t="s">
        <v>62</v>
      </c>
      <c r="M715">
        <v>0</v>
      </c>
      <c r="P715" t="s">
        <v>1560</v>
      </c>
      <c r="Q715" t="s">
        <v>50</v>
      </c>
      <c r="R715" t="s">
        <v>23</v>
      </c>
    </row>
    <row r="716" spans="1:18" x14ac:dyDescent="0.35">
      <c r="A716">
        <v>714</v>
      </c>
      <c r="B716" t="s">
        <v>1561</v>
      </c>
      <c r="C716" s="1">
        <f t="shared" ca="1" si="55"/>
        <v>45601</v>
      </c>
      <c r="D716" t="str">
        <f t="shared" ca="1" si="56"/>
        <v>November</v>
      </c>
      <c r="E716" t="s">
        <v>25</v>
      </c>
      <c r="F716" t="s">
        <v>16</v>
      </c>
      <c r="G716" t="str">
        <f t="shared" si="57"/>
        <v>Men</v>
      </c>
      <c r="H716" t="str">
        <f t="shared" ca="1" si="58"/>
        <v>Myntra</v>
      </c>
      <c r="I716">
        <f t="shared" ca="1" si="59"/>
        <v>39</v>
      </c>
      <c r="J716" t="s">
        <v>1562</v>
      </c>
      <c r="K716" t="s">
        <v>27</v>
      </c>
      <c r="L716" t="s">
        <v>35</v>
      </c>
      <c r="M716">
        <v>1</v>
      </c>
      <c r="N716" t="s">
        <v>20</v>
      </c>
      <c r="O716">
        <v>329</v>
      </c>
      <c r="P716" t="s">
        <v>88</v>
      </c>
      <c r="Q716" t="s">
        <v>89</v>
      </c>
      <c r="R716" t="s">
        <v>23</v>
      </c>
    </row>
    <row r="717" spans="1:18" x14ac:dyDescent="0.35">
      <c r="A717">
        <v>715</v>
      </c>
      <c r="B717" t="s">
        <v>1563</v>
      </c>
      <c r="C717" s="1">
        <f t="shared" ca="1" si="55"/>
        <v>45300</v>
      </c>
      <c r="D717" t="str">
        <f t="shared" ca="1" si="56"/>
        <v>January</v>
      </c>
      <c r="E717" t="s">
        <v>29</v>
      </c>
      <c r="F717" t="s">
        <v>33</v>
      </c>
      <c r="G717" t="str">
        <f t="shared" si="57"/>
        <v>Women</v>
      </c>
      <c r="H717" t="str">
        <f t="shared" ca="1" si="58"/>
        <v>Amazon</v>
      </c>
      <c r="I717">
        <f t="shared" ca="1" si="59"/>
        <v>39</v>
      </c>
      <c r="J717" t="s">
        <v>1564</v>
      </c>
      <c r="K717" t="s">
        <v>44</v>
      </c>
      <c r="L717" t="s">
        <v>19</v>
      </c>
      <c r="M717">
        <v>1</v>
      </c>
      <c r="N717" t="s">
        <v>20</v>
      </c>
      <c r="O717">
        <v>487</v>
      </c>
      <c r="P717" t="s">
        <v>56</v>
      </c>
      <c r="Q717" t="s">
        <v>57</v>
      </c>
      <c r="R717" t="s">
        <v>23</v>
      </c>
    </row>
    <row r="718" spans="1:18" x14ac:dyDescent="0.35">
      <c r="A718">
        <v>716</v>
      </c>
      <c r="B718" t="s">
        <v>1565</v>
      </c>
      <c r="C718" s="1">
        <f t="shared" ca="1" si="55"/>
        <v>45132</v>
      </c>
      <c r="D718" t="str">
        <f t="shared" ca="1" si="56"/>
        <v>July</v>
      </c>
      <c r="E718" t="s">
        <v>29</v>
      </c>
      <c r="F718" t="s">
        <v>33</v>
      </c>
      <c r="G718" t="str">
        <f t="shared" si="57"/>
        <v>Women</v>
      </c>
      <c r="H718" t="str">
        <f t="shared" ca="1" si="58"/>
        <v>Amazon</v>
      </c>
      <c r="I718">
        <f t="shared" ca="1" si="59"/>
        <v>47</v>
      </c>
      <c r="J718" t="s">
        <v>1566</v>
      </c>
      <c r="K718" t="s">
        <v>18</v>
      </c>
      <c r="L718" t="s">
        <v>35</v>
      </c>
      <c r="M718">
        <v>1</v>
      </c>
      <c r="N718" t="s">
        <v>20</v>
      </c>
      <c r="O718">
        <v>801</v>
      </c>
      <c r="P718" t="s">
        <v>1414</v>
      </c>
      <c r="Q718" t="s">
        <v>161</v>
      </c>
      <c r="R718" t="s">
        <v>23</v>
      </c>
    </row>
    <row r="719" spans="1:18" x14ac:dyDescent="0.35">
      <c r="A719">
        <v>717</v>
      </c>
      <c r="B719" t="s">
        <v>1567</v>
      </c>
      <c r="C719" s="1">
        <f t="shared" ca="1" si="55"/>
        <v>45169</v>
      </c>
      <c r="D719" t="str">
        <f t="shared" ca="1" si="56"/>
        <v>August</v>
      </c>
      <c r="E719" t="s">
        <v>29</v>
      </c>
      <c r="F719" t="s">
        <v>33</v>
      </c>
      <c r="G719" t="str">
        <f t="shared" si="57"/>
        <v>Men</v>
      </c>
      <c r="H719" t="str">
        <f t="shared" ca="1" si="58"/>
        <v>Amazon</v>
      </c>
      <c r="I719">
        <f t="shared" ca="1" si="59"/>
        <v>48</v>
      </c>
      <c r="J719" t="s">
        <v>1081</v>
      </c>
      <c r="K719" t="s">
        <v>27</v>
      </c>
      <c r="L719" t="s">
        <v>40</v>
      </c>
      <c r="M719">
        <v>1</v>
      </c>
      <c r="N719" t="s">
        <v>20</v>
      </c>
      <c r="O719">
        <v>352</v>
      </c>
      <c r="P719" t="s">
        <v>30</v>
      </c>
      <c r="Q719" t="s">
        <v>31</v>
      </c>
      <c r="R719" t="s">
        <v>23</v>
      </c>
    </row>
    <row r="720" spans="1:18" x14ac:dyDescent="0.35">
      <c r="A720">
        <v>718</v>
      </c>
      <c r="B720" t="s">
        <v>1567</v>
      </c>
      <c r="C720" s="1">
        <f t="shared" ca="1" si="55"/>
        <v>45131</v>
      </c>
      <c r="D720" t="str">
        <f t="shared" ca="1" si="56"/>
        <v>July</v>
      </c>
      <c r="E720" t="s">
        <v>29</v>
      </c>
      <c r="F720" t="s">
        <v>33</v>
      </c>
      <c r="G720" t="str">
        <f t="shared" si="57"/>
        <v>Men</v>
      </c>
      <c r="H720" t="str">
        <f t="shared" ca="1" si="58"/>
        <v>Amazon</v>
      </c>
      <c r="I720">
        <f t="shared" ca="1" si="59"/>
        <v>35</v>
      </c>
      <c r="J720" t="s">
        <v>619</v>
      </c>
      <c r="K720" t="s">
        <v>27</v>
      </c>
      <c r="L720" t="s">
        <v>35</v>
      </c>
      <c r="M720">
        <v>1</v>
      </c>
      <c r="N720" t="s">
        <v>20</v>
      </c>
      <c r="O720">
        <v>442</v>
      </c>
      <c r="P720" t="s">
        <v>30</v>
      </c>
      <c r="Q720" t="s">
        <v>31</v>
      </c>
      <c r="R720" t="s">
        <v>23</v>
      </c>
    </row>
    <row r="721" spans="1:18" x14ac:dyDescent="0.35">
      <c r="A721">
        <v>719</v>
      </c>
      <c r="B721" t="s">
        <v>1568</v>
      </c>
      <c r="C721" s="1">
        <f t="shared" ca="1" si="55"/>
        <v>45113</v>
      </c>
      <c r="D721" t="str">
        <f t="shared" ca="1" si="56"/>
        <v>July</v>
      </c>
      <c r="E721" t="s">
        <v>15</v>
      </c>
      <c r="F721" t="s">
        <v>16</v>
      </c>
      <c r="G721" t="str">
        <f t="shared" si="57"/>
        <v>Men</v>
      </c>
      <c r="H721" t="str">
        <f t="shared" ca="1" si="58"/>
        <v>Myntra</v>
      </c>
      <c r="I721">
        <f t="shared" ca="1" si="59"/>
        <v>40</v>
      </c>
      <c r="J721" t="s">
        <v>1569</v>
      </c>
      <c r="K721" t="s">
        <v>27</v>
      </c>
      <c r="L721" t="s">
        <v>19</v>
      </c>
      <c r="M721">
        <v>0</v>
      </c>
      <c r="N721" t="s">
        <v>20</v>
      </c>
      <c r="O721">
        <v>280.95</v>
      </c>
      <c r="P721" t="s">
        <v>1549</v>
      </c>
      <c r="Q721" t="s">
        <v>46</v>
      </c>
      <c r="R721" t="s">
        <v>23</v>
      </c>
    </row>
    <row r="722" spans="1:18" x14ac:dyDescent="0.35">
      <c r="A722">
        <v>720</v>
      </c>
      <c r="B722" t="s">
        <v>1570</v>
      </c>
      <c r="C722" s="1">
        <f t="shared" ca="1" si="55"/>
        <v>45286</v>
      </c>
      <c r="D722" t="str">
        <f t="shared" ca="1" si="56"/>
        <v>December</v>
      </c>
      <c r="E722" t="s">
        <v>15</v>
      </c>
      <c r="F722" t="s">
        <v>33</v>
      </c>
      <c r="G722" t="str">
        <f t="shared" si="57"/>
        <v>Men</v>
      </c>
      <c r="H722" t="str">
        <f t="shared" ca="1" si="58"/>
        <v>Amazon</v>
      </c>
      <c r="I722">
        <f t="shared" ca="1" si="59"/>
        <v>41</v>
      </c>
      <c r="J722" t="s">
        <v>1571</v>
      </c>
      <c r="K722" t="s">
        <v>27</v>
      </c>
      <c r="L722" t="s">
        <v>19</v>
      </c>
      <c r="M722">
        <v>1</v>
      </c>
      <c r="N722" t="s">
        <v>20</v>
      </c>
      <c r="O722">
        <v>283</v>
      </c>
      <c r="P722" t="s">
        <v>1549</v>
      </c>
      <c r="Q722" t="s">
        <v>46</v>
      </c>
      <c r="R722" t="s">
        <v>23</v>
      </c>
    </row>
    <row r="723" spans="1:18" x14ac:dyDescent="0.35">
      <c r="A723">
        <v>721</v>
      </c>
      <c r="B723" t="s">
        <v>1572</v>
      </c>
      <c r="C723" s="1">
        <f t="shared" ca="1" si="55"/>
        <v>44931</v>
      </c>
      <c r="D723" t="str">
        <f t="shared" ca="1" si="56"/>
        <v>January</v>
      </c>
      <c r="E723" t="s">
        <v>29</v>
      </c>
      <c r="F723" t="s">
        <v>33</v>
      </c>
      <c r="G723" t="str">
        <f t="shared" si="57"/>
        <v>Women</v>
      </c>
      <c r="H723" t="str">
        <f t="shared" ca="1" si="58"/>
        <v>Amazon</v>
      </c>
      <c r="I723">
        <f t="shared" ca="1" si="59"/>
        <v>44</v>
      </c>
      <c r="J723" t="s">
        <v>568</v>
      </c>
      <c r="K723" t="s">
        <v>18</v>
      </c>
      <c r="L723" t="s">
        <v>28</v>
      </c>
      <c r="M723">
        <v>1</v>
      </c>
      <c r="N723" t="s">
        <v>20</v>
      </c>
      <c r="O723">
        <v>654</v>
      </c>
      <c r="P723" t="s">
        <v>416</v>
      </c>
      <c r="Q723" t="s">
        <v>81</v>
      </c>
      <c r="R723" t="s">
        <v>23</v>
      </c>
    </row>
    <row r="724" spans="1:18" x14ac:dyDescent="0.35">
      <c r="A724">
        <v>722</v>
      </c>
      <c r="B724" t="s">
        <v>1573</v>
      </c>
      <c r="C724" s="1">
        <f t="shared" ca="1" si="55"/>
        <v>45443</v>
      </c>
      <c r="D724" t="str">
        <f t="shared" ca="1" si="56"/>
        <v>May</v>
      </c>
      <c r="E724" t="s">
        <v>29</v>
      </c>
      <c r="F724" t="s">
        <v>33</v>
      </c>
      <c r="G724" t="str">
        <f t="shared" si="57"/>
        <v>Men</v>
      </c>
      <c r="H724" t="str">
        <f t="shared" ca="1" si="58"/>
        <v>Amazon</v>
      </c>
      <c r="I724">
        <f t="shared" ca="1" si="59"/>
        <v>26</v>
      </c>
      <c r="J724" t="s">
        <v>151</v>
      </c>
      <c r="K724" t="s">
        <v>27</v>
      </c>
      <c r="L724" t="s">
        <v>40</v>
      </c>
      <c r="M724">
        <v>1</v>
      </c>
      <c r="N724" t="s">
        <v>20</v>
      </c>
      <c r="O724">
        <v>399</v>
      </c>
      <c r="P724" t="s">
        <v>1574</v>
      </c>
      <c r="Q724" t="s">
        <v>110</v>
      </c>
      <c r="R724" t="s">
        <v>23</v>
      </c>
    </row>
    <row r="725" spans="1:18" x14ac:dyDescent="0.35">
      <c r="A725">
        <v>723</v>
      </c>
      <c r="B725" t="s">
        <v>1575</v>
      </c>
      <c r="C725" s="1">
        <f t="shared" ca="1" si="55"/>
        <v>45455</v>
      </c>
      <c r="D725" t="str">
        <f t="shared" ca="1" si="56"/>
        <v>June</v>
      </c>
      <c r="E725" t="s">
        <v>29</v>
      </c>
      <c r="F725" t="s">
        <v>33</v>
      </c>
      <c r="G725" t="s">
        <v>2051</v>
      </c>
      <c r="H725" t="str">
        <f t="shared" ca="1" si="58"/>
        <v>Amazon</v>
      </c>
      <c r="I725">
        <f t="shared" ca="1" si="59"/>
        <v>49</v>
      </c>
      <c r="J725" t="s">
        <v>1576</v>
      </c>
      <c r="K725" t="s">
        <v>1087</v>
      </c>
      <c r="L725" t="s">
        <v>1030</v>
      </c>
      <c r="M725">
        <v>1</v>
      </c>
      <c r="N725" t="s">
        <v>20</v>
      </c>
      <c r="O725">
        <v>419</v>
      </c>
      <c r="P725" t="s">
        <v>56</v>
      </c>
      <c r="Q725" t="s">
        <v>57</v>
      </c>
      <c r="R725" t="s">
        <v>23</v>
      </c>
    </row>
    <row r="726" spans="1:18" x14ac:dyDescent="0.35">
      <c r="A726">
        <v>724</v>
      </c>
      <c r="B726" t="s">
        <v>1577</v>
      </c>
      <c r="C726" s="1">
        <f t="shared" ca="1" si="55"/>
        <v>45014</v>
      </c>
      <c r="D726" t="str">
        <f t="shared" ca="1" si="56"/>
        <v>March</v>
      </c>
      <c r="E726" t="s">
        <v>29</v>
      </c>
      <c r="F726" t="s">
        <v>33</v>
      </c>
      <c r="G726" t="str">
        <f t="shared" si="57"/>
        <v>Women</v>
      </c>
      <c r="H726" t="str">
        <f t="shared" ca="1" si="58"/>
        <v>Amazon</v>
      </c>
      <c r="I726">
        <f t="shared" ca="1" si="59"/>
        <v>59</v>
      </c>
      <c r="J726" t="s">
        <v>568</v>
      </c>
      <c r="K726" t="s">
        <v>18</v>
      </c>
      <c r="L726" t="s">
        <v>28</v>
      </c>
      <c r="M726">
        <v>1</v>
      </c>
      <c r="N726" t="s">
        <v>20</v>
      </c>
      <c r="O726">
        <v>654</v>
      </c>
      <c r="P726" t="s">
        <v>219</v>
      </c>
      <c r="Q726" t="s">
        <v>22</v>
      </c>
      <c r="R726" t="s">
        <v>23</v>
      </c>
    </row>
    <row r="727" spans="1:18" x14ac:dyDescent="0.35">
      <c r="A727">
        <v>725</v>
      </c>
      <c r="B727" t="s">
        <v>1578</v>
      </c>
      <c r="C727" s="1">
        <f t="shared" ca="1" si="55"/>
        <v>45135</v>
      </c>
      <c r="D727" t="str">
        <f t="shared" ca="1" si="56"/>
        <v>July</v>
      </c>
      <c r="E727" t="s">
        <v>29</v>
      </c>
      <c r="F727" t="s">
        <v>33</v>
      </c>
      <c r="G727" t="str">
        <f t="shared" si="57"/>
        <v>Women</v>
      </c>
      <c r="H727" t="str">
        <f t="shared" ca="1" si="58"/>
        <v>Amazon</v>
      </c>
      <c r="I727">
        <f t="shared" ca="1" si="59"/>
        <v>55</v>
      </c>
      <c r="J727" t="s">
        <v>129</v>
      </c>
      <c r="K727" t="s">
        <v>39</v>
      </c>
      <c r="L727" t="s">
        <v>19</v>
      </c>
      <c r="M727">
        <v>1</v>
      </c>
      <c r="N727" t="s">
        <v>20</v>
      </c>
      <c r="O727">
        <v>744</v>
      </c>
      <c r="P727" t="s">
        <v>30</v>
      </c>
      <c r="Q727" t="s">
        <v>31</v>
      </c>
      <c r="R727" t="s">
        <v>23</v>
      </c>
    </row>
    <row r="728" spans="1:18" x14ac:dyDescent="0.35">
      <c r="A728">
        <v>726</v>
      </c>
      <c r="B728" t="s">
        <v>1579</v>
      </c>
      <c r="C728" s="1">
        <f t="shared" ca="1" si="55"/>
        <v>45258</v>
      </c>
      <c r="D728" t="str">
        <f t="shared" ca="1" si="56"/>
        <v>November</v>
      </c>
      <c r="E728" t="s">
        <v>25</v>
      </c>
      <c r="F728" t="s">
        <v>16</v>
      </c>
      <c r="G728" t="str">
        <f t="shared" si="57"/>
        <v>Men</v>
      </c>
      <c r="H728" t="str">
        <f t="shared" ca="1" si="58"/>
        <v>Flipkart</v>
      </c>
      <c r="I728">
        <f t="shared" ca="1" si="59"/>
        <v>24</v>
      </c>
      <c r="J728" t="s">
        <v>55</v>
      </c>
      <c r="K728" t="s">
        <v>27</v>
      </c>
      <c r="L728" t="s">
        <v>19</v>
      </c>
      <c r="M728">
        <v>1</v>
      </c>
      <c r="N728" t="s">
        <v>20</v>
      </c>
      <c r="O728">
        <v>399</v>
      </c>
      <c r="P728" t="s">
        <v>1580</v>
      </c>
      <c r="Q728" t="s">
        <v>171</v>
      </c>
      <c r="R728" t="s">
        <v>23</v>
      </c>
    </row>
    <row r="729" spans="1:18" x14ac:dyDescent="0.35">
      <c r="A729">
        <v>727</v>
      </c>
      <c r="B729" t="s">
        <v>1581</v>
      </c>
      <c r="C729" s="1">
        <f t="shared" ca="1" si="55"/>
        <v>45548</v>
      </c>
      <c r="D729" t="str">
        <f t="shared" ca="1" si="56"/>
        <v>September</v>
      </c>
      <c r="E729" t="s">
        <v>29</v>
      </c>
      <c r="F729" t="s">
        <v>33</v>
      </c>
      <c r="G729" t="str">
        <f t="shared" si="57"/>
        <v>Men</v>
      </c>
      <c r="H729" t="str">
        <f t="shared" ca="1" si="58"/>
        <v>Amazon</v>
      </c>
      <c r="I729">
        <f t="shared" ca="1" si="59"/>
        <v>59</v>
      </c>
      <c r="J729" t="s">
        <v>1582</v>
      </c>
      <c r="K729" t="s">
        <v>27</v>
      </c>
      <c r="L729" t="s">
        <v>28</v>
      </c>
      <c r="M729">
        <v>1</v>
      </c>
      <c r="N729" t="s">
        <v>20</v>
      </c>
      <c r="O729">
        <v>452</v>
      </c>
      <c r="P729" t="s">
        <v>170</v>
      </c>
      <c r="Q729" t="s">
        <v>171</v>
      </c>
      <c r="R729" t="s">
        <v>23</v>
      </c>
    </row>
    <row r="730" spans="1:18" x14ac:dyDescent="0.35">
      <c r="A730">
        <v>728</v>
      </c>
      <c r="B730" t="s">
        <v>1581</v>
      </c>
      <c r="C730" s="1">
        <f t="shared" ca="1" si="55"/>
        <v>45031</v>
      </c>
      <c r="D730" t="str">
        <f t="shared" ca="1" si="56"/>
        <v>April</v>
      </c>
      <c r="E730" t="s">
        <v>29</v>
      </c>
      <c r="F730" t="s">
        <v>33</v>
      </c>
      <c r="G730" t="str">
        <f t="shared" si="57"/>
        <v>Men</v>
      </c>
      <c r="H730" t="str">
        <f t="shared" ca="1" si="58"/>
        <v>Amazon</v>
      </c>
      <c r="I730">
        <f t="shared" ca="1" si="59"/>
        <v>21</v>
      </c>
      <c r="J730" t="s">
        <v>1583</v>
      </c>
      <c r="K730" t="s">
        <v>27</v>
      </c>
      <c r="L730" t="s">
        <v>62</v>
      </c>
      <c r="M730">
        <v>1</v>
      </c>
      <c r="N730" t="s">
        <v>20</v>
      </c>
      <c r="O730">
        <v>499</v>
      </c>
      <c r="P730" t="s">
        <v>170</v>
      </c>
      <c r="Q730" t="s">
        <v>171</v>
      </c>
      <c r="R730" t="s">
        <v>23</v>
      </c>
    </row>
    <row r="731" spans="1:18" x14ac:dyDescent="0.35">
      <c r="A731">
        <v>729</v>
      </c>
      <c r="B731" t="s">
        <v>1584</v>
      </c>
      <c r="C731" s="1">
        <f t="shared" ca="1" si="55"/>
        <v>45576</v>
      </c>
      <c r="D731" t="str">
        <f t="shared" ca="1" si="56"/>
        <v>October</v>
      </c>
      <c r="E731" t="s">
        <v>25</v>
      </c>
      <c r="F731" t="s">
        <v>16</v>
      </c>
      <c r="G731" t="s">
        <v>2051</v>
      </c>
      <c r="H731" t="str">
        <f t="shared" ca="1" si="58"/>
        <v>Myntra</v>
      </c>
      <c r="I731">
        <f t="shared" ca="1" si="59"/>
        <v>40</v>
      </c>
      <c r="J731" t="s">
        <v>1585</v>
      </c>
      <c r="K731" t="s">
        <v>1087</v>
      </c>
      <c r="L731" t="s">
        <v>40</v>
      </c>
      <c r="M731">
        <v>1</v>
      </c>
      <c r="N731" t="s">
        <v>20</v>
      </c>
      <c r="O731">
        <v>0</v>
      </c>
      <c r="P731" t="s">
        <v>1586</v>
      </c>
      <c r="Q731" t="s">
        <v>110</v>
      </c>
      <c r="R731" t="s">
        <v>23</v>
      </c>
    </row>
    <row r="732" spans="1:18" x14ac:dyDescent="0.35">
      <c r="A732">
        <v>730</v>
      </c>
      <c r="B732" t="s">
        <v>1587</v>
      </c>
      <c r="C732" s="1">
        <f t="shared" ca="1" si="55"/>
        <v>45392</v>
      </c>
      <c r="D732" t="str">
        <f t="shared" ca="1" si="56"/>
        <v>April</v>
      </c>
      <c r="E732" t="s">
        <v>25</v>
      </c>
      <c r="F732" t="s">
        <v>16</v>
      </c>
      <c r="G732" t="str">
        <f t="shared" si="57"/>
        <v>Men</v>
      </c>
      <c r="H732" t="str">
        <f t="shared" ca="1" si="58"/>
        <v>Myntra</v>
      </c>
      <c r="I732">
        <f t="shared" ca="1" si="59"/>
        <v>25</v>
      </c>
      <c r="J732" t="s">
        <v>777</v>
      </c>
      <c r="K732" t="s">
        <v>27</v>
      </c>
      <c r="L732" t="s">
        <v>28</v>
      </c>
      <c r="M732">
        <v>1</v>
      </c>
      <c r="N732" t="s">
        <v>20</v>
      </c>
      <c r="O732">
        <v>471</v>
      </c>
      <c r="P732" t="s">
        <v>562</v>
      </c>
      <c r="Q732" t="s">
        <v>223</v>
      </c>
      <c r="R732" t="s">
        <v>23</v>
      </c>
    </row>
    <row r="733" spans="1:18" x14ac:dyDescent="0.35">
      <c r="A733">
        <v>731</v>
      </c>
      <c r="B733" t="s">
        <v>1588</v>
      </c>
      <c r="C733" s="1">
        <f t="shared" ca="1" si="55"/>
        <v>45630</v>
      </c>
      <c r="D733" t="str">
        <f t="shared" ca="1" si="56"/>
        <v>December</v>
      </c>
      <c r="E733" t="s">
        <v>633</v>
      </c>
      <c r="F733" t="s">
        <v>16</v>
      </c>
      <c r="G733" t="str">
        <f t="shared" si="57"/>
        <v>Men</v>
      </c>
      <c r="H733" t="str">
        <f t="shared" ca="1" si="58"/>
        <v>Flipkart</v>
      </c>
      <c r="I733">
        <f t="shared" ca="1" si="59"/>
        <v>45</v>
      </c>
      <c r="J733" t="s">
        <v>1589</v>
      </c>
      <c r="K733" t="s">
        <v>27</v>
      </c>
      <c r="L733" t="s">
        <v>40</v>
      </c>
      <c r="M733">
        <v>1</v>
      </c>
      <c r="N733" t="s">
        <v>20</v>
      </c>
      <c r="O733">
        <v>0</v>
      </c>
      <c r="P733" t="s">
        <v>30</v>
      </c>
      <c r="Q733" t="s">
        <v>31</v>
      </c>
      <c r="R733" t="s">
        <v>23</v>
      </c>
    </row>
    <row r="734" spans="1:18" x14ac:dyDescent="0.35">
      <c r="A734">
        <v>732</v>
      </c>
      <c r="B734" t="s">
        <v>1590</v>
      </c>
      <c r="C734" s="1">
        <f t="shared" ca="1" si="55"/>
        <v>45501</v>
      </c>
      <c r="D734" t="str">
        <f t="shared" ca="1" si="56"/>
        <v>July</v>
      </c>
      <c r="E734" t="s">
        <v>29</v>
      </c>
      <c r="F734" t="s">
        <v>33</v>
      </c>
      <c r="G734" t="str">
        <f t="shared" si="57"/>
        <v>Men</v>
      </c>
      <c r="H734" t="str">
        <f t="shared" ca="1" si="58"/>
        <v>Amazon</v>
      </c>
      <c r="I734">
        <f t="shared" ca="1" si="59"/>
        <v>36</v>
      </c>
      <c r="J734" t="s">
        <v>1591</v>
      </c>
      <c r="K734" t="s">
        <v>27</v>
      </c>
      <c r="L734" t="s">
        <v>79</v>
      </c>
      <c r="M734">
        <v>1</v>
      </c>
      <c r="N734" t="s">
        <v>20</v>
      </c>
      <c r="O734">
        <v>431</v>
      </c>
      <c r="P734" t="s">
        <v>1592</v>
      </c>
      <c r="Q734" t="s">
        <v>153</v>
      </c>
      <c r="R734" t="s">
        <v>23</v>
      </c>
    </row>
    <row r="735" spans="1:18" x14ac:dyDescent="0.35">
      <c r="A735">
        <v>733</v>
      </c>
      <c r="B735" t="s">
        <v>1593</v>
      </c>
      <c r="C735" s="1">
        <f t="shared" ca="1" si="55"/>
        <v>45056</v>
      </c>
      <c r="D735" t="str">
        <f t="shared" ca="1" si="56"/>
        <v>May</v>
      </c>
      <c r="E735" t="s">
        <v>29</v>
      </c>
      <c r="F735" t="s">
        <v>33</v>
      </c>
      <c r="G735" t="str">
        <f t="shared" si="57"/>
        <v>Men</v>
      </c>
      <c r="H735" t="str">
        <f t="shared" ca="1" si="58"/>
        <v>Amazon</v>
      </c>
      <c r="I735">
        <f t="shared" ca="1" si="59"/>
        <v>26</v>
      </c>
      <c r="J735" t="s">
        <v>1594</v>
      </c>
      <c r="K735" t="s">
        <v>27</v>
      </c>
      <c r="L735" t="s">
        <v>101</v>
      </c>
      <c r="M735">
        <v>1</v>
      </c>
      <c r="N735" t="s">
        <v>20</v>
      </c>
      <c r="O735">
        <v>511</v>
      </c>
      <c r="P735" t="s">
        <v>1595</v>
      </c>
      <c r="Q735" t="s">
        <v>153</v>
      </c>
      <c r="R735" t="s">
        <v>23</v>
      </c>
    </row>
    <row r="736" spans="1:18" x14ac:dyDescent="0.35">
      <c r="A736">
        <v>734</v>
      </c>
      <c r="B736" t="s">
        <v>1596</v>
      </c>
      <c r="C736" s="1">
        <f t="shared" ca="1" si="55"/>
        <v>45564</v>
      </c>
      <c r="D736" t="str">
        <f t="shared" ca="1" si="56"/>
        <v>September</v>
      </c>
      <c r="E736" t="s">
        <v>29</v>
      </c>
      <c r="F736" t="s">
        <v>33</v>
      </c>
      <c r="G736" t="str">
        <f t="shared" si="57"/>
        <v>Women</v>
      </c>
      <c r="H736" t="str">
        <f t="shared" ca="1" si="58"/>
        <v>Amazon</v>
      </c>
      <c r="I736">
        <f t="shared" ca="1" si="59"/>
        <v>41</v>
      </c>
      <c r="J736" t="s">
        <v>751</v>
      </c>
      <c r="K736" t="s">
        <v>18</v>
      </c>
      <c r="L736" t="s">
        <v>19</v>
      </c>
      <c r="M736">
        <v>1</v>
      </c>
      <c r="N736" t="s">
        <v>20</v>
      </c>
      <c r="O736">
        <v>1463</v>
      </c>
      <c r="P736" t="s">
        <v>45</v>
      </c>
      <c r="Q736" t="s">
        <v>46</v>
      </c>
      <c r="R736" t="s">
        <v>23</v>
      </c>
    </row>
    <row r="737" spans="1:18" x14ac:dyDescent="0.35">
      <c r="A737">
        <v>735</v>
      </c>
      <c r="B737" t="s">
        <v>1597</v>
      </c>
      <c r="C737" s="1">
        <f t="shared" ca="1" si="55"/>
        <v>45605</v>
      </c>
      <c r="D737" t="str">
        <f t="shared" ca="1" si="56"/>
        <v>November</v>
      </c>
      <c r="E737" t="s">
        <v>29</v>
      </c>
      <c r="F737" t="s">
        <v>33</v>
      </c>
      <c r="G737" t="str">
        <f t="shared" si="57"/>
        <v>Men</v>
      </c>
      <c r="H737" t="str">
        <f t="shared" ca="1" si="58"/>
        <v>Amazon</v>
      </c>
      <c r="I737">
        <f t="shared" ca="1" si="59"/>
        <v>57</v>
      </c>
      <c r="J737" t="s">
        <v>377</v>
      </c>
      <c r="K737" t="s">
        <v>27</v>
      </c>
      <c r="L737" t="s">
        <v>101</v>
      </c>
      <c r="M737">
        <v>1</v>
      </c>
      <c r="N737" t="s">
        <v>20</v>
      </c>
      <c r="O737">
        <v>517</v>
      </c>
      <c r="P737" t="s">
        <v>394</v>
      </c>
      <c r="Q737" t="s">
        <v>50</v>
      </c>
      <c r="R737" t="s">
        <v>23</v>
      </c>
    </row>
    <row r="738" spans="1:18" x14ac:dyDescent="0.35">
      <c r="A738">
        <v>736</v>
      </c>
      <c r="B738" t="s">
        <v>1598</v>
      </c>
      <c r="C738" s="1">
        <f t="shared" ca="1" si="55"/>
        <v>44943</v>
      </c>
      <c r="D738" t="str">
        <f t="shared" ca="1" si="56"/>
        <v>January</v>
      </c>
      <c r="E738" t="s">
        <v>29</v>
      </c>
      <c r="F738" t="s">
        <v>33</v>
      </c>
      <c r="G738" t="str">
        <f t="shared" si="57"/>
        <v>Men</v>
      </c>
      <c r="H738" t="str">
        <f t="shared" ca="1" si="58"/>
        <v>Amazon</v>
      </c>
      <c r="I738">
        <f t="shared" ca="1" si="59"/>
        <v>28</v>
      </c>
      <c r="J738" t="s">
        <v>1599</v>
      </c>
      <c r="K738" t="s">
        <v>27</v>
      </c>
      <c r="L738" t="s">
        <v>40</v>
      </c>
      <c r="M738">
        <v>1</v>
      </c>
      <c r="N738" t="s">
        <v>20</v>
      </c>
      <c r="O738">
        <v>399</v>
      </c>
      <c r="P738" t="s">
        <v>56</v>
      </c>
      <c r="Q738" t="s">
        <v>57</v>
      </c>
      <c r="R738" t="s">
        <v>23</v>
      </c>
    </row>
    <row r="739" spans="1:18" x14ac:dyDescent="0.35">
      <c r="A739">
        <v>737</v>
      </c>
      <c r="B739" t="s">
        <v>1600</v>
      </c>
      <c r="C739" s="1">
        <f t="shared" ca="1" si="55"/>
        <v>45099</v>
      </c>
      <c r="D739" t="str">
        <f t="shared" ca="1" si="56"/>
        <v>June</v>
      </c>
      <c r="E739" t="s">
        <v>15</v>
      </c>
      <c r="F739" t="s">
        <v>33</v>
      </c>
      <c r="G739" t="str">
        <f t="shared" si="57"/>
        <v>Men</v>
      </c>
      <c r="H739" t="str">
        <f t="shared" ca="1" si="58"/>
        <v>Amazon</v>
      </c>
      <c r="I739">
        <f t="shared" ca="1" si="59"/>
        <v>46</v>
      </c>
      <c r="J739" t="s">
        <v>1594</v>
      </c>
      <c r="K739" t="s">
        <v>27</v>
      </c>
      <c r="L739" t="s">
        <v>101</v>
      </c>
      <c r="M739">
        <v>0</v>
      </c>
      <c r="P739" t="s">
        <v>1601</v>
      </c>
      <c r="Q739" t="s">
        <v>153</v>
      </c>
      <c r="R739" t="s">
        <v>23</v>
      </c>
    </row>
    <row r="740" spans="1:18" x14ac:dyDescent="0.35">
      <c r="A740">
        <v>738</v>
      </c>
      <c r="B740" t="s">
        <v>1602</v>
      </c>
      <c r="C740" s="1">
        <f t="shared" ca="1" si="55"/>
        <v>45476</v>
      </c>
      <c r="D740" t="str">
        <f t="shared" ca="1" si="56"/>
        <v>July</v>
      </c>
      <c r="E740" t="s">
        <v>25</v>
      </c>
      <c r="F740" t="s">
        <v>16</v>
      </c>
      <c r="G740" t="str">
        <f t="shared" si="57"/>
        <v>Men</v>
      </c>
      <c r="H740" t="str">
        <f t="shared" ca="1" si="58"/>
        <v>Flipkart</v>
      </c>
      <c r="I740">
        <f t="shared" ca="1" si="59"/>
        <v>41</v>
      </c>
      <c r="J740" t="s">
        <v>55</v>
      </c>
      <c r="K740" t="s">
        <v>27</v>
      </c>
      <c r="L740" t="s">
        <v>19</v>
      </c>
      <c r="M740">
        <v>1</v>
      </c>
      <c r="N740" t="s">
        <v>20</v>
      </c>
      <c r="O740">
        <v>399</v>
      </c>
      <c r="P740" t="s">
        <v>56</v>
      </c>
      <c r="Q740" t="s">
        <v>57</v>
      </c>
      <c r="R740" t="s">
        <v>23</v>
      </c>
    </row>
    <row r="741" spans="1:18" x14ac:dyDescent="0.35">
      <c r="A741">
        <v>739</v>
      </c>
      <c r="B741" t="s">
        <v>1603</v>
      </c>
      <c r="C741" s="1">
        <f t="shared" ca="1" si="55"/>
        <v>45174</v>
      </c>
      <c r="D741" t="str">
        <f t="shared" ca="1" si="56"/>
        <v>September</v>
      </c>
      <c r="E741" t="s">
        <v>29</v>
      </c>
      <c r="F741" t="s">
        <v>33</v>
      </c>
      <c r="G741" t="str">
        <f t="shared" si="57"/>
        <v>Women</v>
      </c>
      <c r="H741" t="str">
        <f t="shared" ca="1" si="58"/>
        <v>Amazon</v>
      </c>
      <c r="I741">
        <f t="shared" ca="1" si="59"/>
        <v>34</v>
      </c>
      <c r="J741" t="s">
        <v>1289</v>
      </c>
      <c r="K741" t="s">
        <v>18</v>
      </c>
      <c r="L741" t="s">
        <v>19</v>
      </c>
      <c r="M741">
        <v>1</v>
      </c>
      <c r="N741" t="s">
        <v>20</v>
      </c>
      <c r="O741">
        <v>788</v>
      </c>
      <c r="P741" t="s">
        <v>88</v>
      </c>
      <c r="Q741" t="s">
        <v>89</v>
      </c>
      <c r="R741" t="s">
        <v>23</v>
      </c>
    </row>
    <row r="742" spans="1:18" x14ac:dyDescent="0.35">
      <c r="A742">
        <v>740</v>
      </c>
      <c r="B742" t="s">
        <v>1604</v>
      </c>
      <c r="C742" s="1">
        <f t="shared" ca="1" si="55"/>
        <v>45559</v>
      </c>
      <c r="D742" t="str">
        <f t="shared" ca="1" si="56"/>
        <v>September</v>
      </c>
      <c r="E742" t="s">
        <v>15</v>
      </c>
      <c r="F742" t="s">
        <v>16</v>
      </c>
      <c r="G742" t="str">
        <f t="shared" si="57"/>
        <v>Women</v>
      </c>
      <c r="H742" t="str">
        <f t="shared" ca="1" si="58"/>
        <v>Myntra</v>
      </c>
      <c r="I742">
        <f t="shared" ca="1" si="59"/>
        <v>40</v>
      </c>
      <c r="J742" t="s">
        <v>1453</v>
      </c>
      <c r="K742" t="s">
        <v>44</v>
      </c>
      <c r="L742" t="s">
        <v>62</v>
      </c>
      <c r="M742">
        <v>0</v>
      </c>
      <c r="N742" t="s">
        <v>20</v>
      </c>
      <c r="O742">
        <v>493.33</v>
      </c>
      <c r="P742" t="s">
        <v>213</v>
      </c>
      <c r="Q742" t="s">
        <v>22</v>
      </c>
      <c r="R742" t="s">
        <v>23</v>
      </c>
    </row>
    <row r="743" spans="1:18" x14ac:dyDescent="0.35">
      <c r="A743">
        <v>741</v>
      </c>
      <c r="B743" t="s">
        <v>1605</v>
      </c>
      <c r="C743" s="1">
        <f t="shared" ca="1" si="55"/>
        <v>45468</v>
      </c>
      <c r="D743" t="str">
        <f t="shared" ca="1" si="56"/>
        <v>June</v>
      </c>
      <c r="E743" t="s">
        <v>29</v>
      </c>
      <c r="F743" t="s">
        <v>33</v>
      </c>
      <c r="G743" t="str">
        <f t="shared" si="57"/>
        <v>Women</v>
      </c>
      <c r="H743" t="str">
        <f t="shared" ca="1" si="58"/>
        <v>Amazon</v>
      </c>
      <c r="I743">
        <f t="shared" ca="1" si="59"/>
        <v>32</v>
      </c>
      <c r="J743" t="s">
        <v>705</v>
      </c>
      <c r="K743" t="s">
        <v>18</v>
      </c>
      <c r="L743" t="s">
        <v>68</v>
      </c>
      <c r="M743">
        <v>1</v>
      </c>
      <c r="N743" t="s">
        <v>20</v>
      </c>
      <c r="O743">
        <v>597</v>
      </c>
      <c r="P743" t="s">
        <v>1606</v>
      </c>
      <c r="Q743" t="s">
        <v>57</v>
      </c>
      <c r="R743" t="s">
        <v>23</v>
      </c>
    </row>
    <row r="744" spans="1:18" x14ac:dyDescent="0.35">
      <c r="A744">
        <v>742</v>
      </c>
      <c r="B744" t="s">
        <v>1607</v>
      </c>
      <c r="C744" s="1">
        <f t="shared" ca="1" si="55"/>
        <v>45212</v>
      </c>
      <c r="D744" t="str">
        <f t="shared" ca="1" si="56"/>
        <v>October</v>
      </c>
      <c r="E744" t="s">
        <v>25</v>
      </c>
      <c r="F744" t="s">
        <v>16</v>
      </c>
      <c r="G744" t="str">
        <f t="shared" si="57"/>
        <v>Women</v>
      </c>
      <c r="H744" t="str">
        <f t="shared" ca="1" si="58"/>
        <v>Flipkart</v>
      </c>
      <c r="I744">
        <f t="shared" ca="1" si="59"/>
        <v>19</v>
      </c>
      <c r="J744" t="s">
        <v>146</v>
      </c>
      <c r="K744" t="s">
        <v>18</v>
      </c>
      <c r="L744" t="s">
        <v>40</v>
      </c>
      <c r="M744">
        <v>1</v>
      </c>
      <c r="N744" t="s">
        <v>20</v>
      </c>
      <c r="O744">
        <v>666</v>
      </c>
      <c r="P744" t="s">
        <v>1608</v>
      </c>
      <c r="Q744" t="s">
        <v>22</v>
      </c>
      <c r="R744" t="s">
        <v>23</v>
      </c>
    </row>
    <row r="745" spans="1:18" x14ac:dyDescent="0.35">
      <c r="A745">
        <v>743</v>
      </c>
      <c r="B745" t="s">
        <v>1609</v>
      </c>
      <c r="C745" s="1">
        <f t="shared" ca="1" si="55"/>
        <v>45395</v>
      </c>
      <c r="D745" t="str">
        <f t="shared" ca="1" si="56"/>
        <v>April</v>
      </c>
      <c r="E745" t="s">
        <v>29</v>
      </c>
      <c r="F745" t="s">
        <v>33</v>
      </c>
      <c r="G745" t="str">
        <f t="shared" si="57"/>
        <v>Women</v>
      </c>
      <c r="H745" t="str">
        <f t="shared" ca="1" si="58"/>
        <v>Amazon</v>
      </c>
      <c r="I745">
        <f t="shared" ca="1" si="59"/>
        <v>40</v>
      </c>
      <c r="J745" t="s">
        <v>1436</v>
      </c>
      <c r="K745" t="s">
        <v>18</v>
      </c>
      <c r="L745" t="s">
        <v>35</v>
      </c>
      <c r="M745">
        <v>1</v>
      </c>
      <c r="N745" t="s">
        <v>20</v>
      </c>
      <c r="O745">
        <v>1112</v>
      </c>
      <c r="P745" t="s">
        <v>1610</v>
      </c>
      <c r="Q745" t="s">
        <v>114</v>
      </c>
      <c r="R745" t="s">
        <v>23</v>
      </c>
    </row>
    <row r="746" spans="1:18" x14ac:dyDescent="0.35">
      <c r="A746">
        <v>744</v>
      </c>
      <c r="B746" t="s">
        <v>1609</v>
      </c>
      <c r="C746" s="1">
        <f t="shared" ca="1" si="55"/>
        <v>45621</v>
      </c>
      <c r="D746" t="str">
        <f t="shared" ca="1" si="56"/>
        <v>November</v>
      </c>
      <c r="E746" t="s">
        <v>29</v>
      </c>
      <c r="F746" t="s">
        <v>33</v>
      </c>
      <c r="G746" t="str">
        <f t="shared" si="57"/>
        <v>Women</v>
      </c>
      <c r="H746" t="str">
        <f t="shared" ca="1" si="58"/>
        <v>Amazon</v>
      </c>
      <c r="I746">
        <f t="shared" ca="1" si="59"/>
        <v>39</v>
      </c>
      <c r="J746" t="s">
        <v>842</v>
      </c>
      <c r="K746" t="s">
        <v>18</v>
      </c>
      <c r="L746" t="s">
        <v>35</v>
      </c>
      <c r="M746">
        <v>1</v>
      </c>
      <c r="N746" t="s">
        <v>20</v>
      </c>
      <c r="O746">
        <v>696</v>
      </c>
      <c r="P746" t="s">
        <v>1610</v>
      </c>
      <c r="Q746" t="s">
        <v>114</v>
      </c>
      <c r="R746" t="s">
        <v>23</v>
      </c>
    </row>
    <row r="747" spans="1:18" x14ac:dyDescent="0.35">
      <c r="A747">
        <v>745</v>
      </c>
      <c r="B747" t="s">
        <v>1611</v>
      </c>
      <c r="C747" s="1">
        <f t="shared" ca="1" si="55"/>
        <v>45408</v>
      </c>
      <c r="D747" t="str">
        <f t="shared" ca="1" si="56"/>
        <v>April</v>
      </c>
      <c r="E747" t="s">
        <v>29</v>
      </c>
      <c r="F747" t="s">
        <v>33</v>
      </c>
      <c r="G747" t="str">
        <f t="shared" si="57"/>
        <v>Women</v>
      </c>
      <c r="H747" t="str">
        <f t="shared" ca="1" si="58"/>
        <v>Amazon</v>
      </c>
      <c r="I747">
        <f t="shared" ca="1" si="59"/>
        <v>34</v>
      </c>
      <c r="J747" t="s">
        <v>1612</v>
      </c>
      <c r="K747" t="s">
        <v>18</v>
      </c>
      <c r="L747" t="s">
        <v>68</v>
      </c>
      <c r="M747">
        <v>1</v>
      </c>
      <c r="N747" t="s">
        <v>20</v>
      </c>
      <c r="O747">
        <v>499</v>
      </c>
      <c r="P747" t="s">
        <v>1613</v>
      </c>
      <c r="Q747" t="s">
        <v>22</v>
      </c>
      <c r="R747" t="s">
        <v>23</v>
      </c>
    </row>
    <row r="748" spans="1:18" x14ac:dyDescent="0.35">
      <c r="A748">
        <v>746</v>
      </c>
      <c r="B748" t="s">
        <v>1614</v>
      </c>
      <c r="C748" s="1">
        <f t="shared" ca="1" si="55"/>
        <v>45627</v>
      </c>
      <c r="D748" t="str">
        <f t="shared" ca="1" si="56"/>
        <v>December</v>
      </c>
      <c r="E748" t="s">
        <v>29</v>
      </c>
      <c r="F748" t="s">
        <v>33</v>
      </c>
      <c r="G748" t="str">
        <f t="shared" si="57"/>
        <v>Men</v>
      </c>
      <c r="H748" t="str">
        <f t="shared" ca="1" si="58"/>
        <v>Amazon</v>
      </c>
      <c r="I748">
        <f t="shared" ca="1" si="59"/>
        <v>58</v>
      </c>
      <c r="J748" t="s">
        <v>1615</v>
      </c>
      <c r="K748" t="s">
        <v>27</v>
      </c>
      <c r="L748" t="s">
        <v>35</v>
      </c>
      <c r="M748">
        <v>1</v>
      </c>
      <c r="N748" t="s">
        <v>20</v>
      </c>
      <c r="O748">
        <v>414</v>
      </c>
      <c r="P748" t="s">
        <v>30</v>
      </c>
      <c r="Q748" t="s">
        <v>31</v>
      </c>
      <c r="R748" t="s">
        <v>23</v>
      </c>
    </row>
    <row r="749" spans="1:18" x14ac:dyDescent="0.35">
      <c r="A749">
        <v>747</v>
      </c>
      <c r="B749" t="s">
        <v>1616</v>
      </c>
      <c r="C749" s="1">
        <f t="shared" ca="1" si="55"/>
        <v>45257</v>
      </c>
      <c r="D749" t="str">
        <f t="shared" ca="1" si="56"/>
        <v>November</v>
      </c>
      <c r="E749" t="s">
        <v>29</v>
      </c>
      <c r="F749" t="s">
        <v>33</v>
      </c>
      <c r="G749" t="str">
        <f t="shared" si="57"/>
        <v>Women</v>
      </c>
      <c r="H749" t="str">
        <f t="shared" ca="1" si="58"/>
        <v>Amazon</v>
      </c>
      <c r="I749">
        <f t="shared" ca="1" si="59"/>
        <v>57</v>
      </c>
      <c r="J749" t="s">
        <v>1617</v>
      </c>
      <c r="K749" t="s">
        <v>18</v>
      </c>
      <c r="L749" t="s">
        <v>35</v>
      </c>
      <c r="M749">
        <v>1</v>
      </c>
      <c r="N749" t="s">
        <v>20</v>
      </c>
      <c r="O749">
        <v>1099</v>
      </c>
      <c r="P749" t="s">
        <v>1618</v>
      </c>
      <c r="Q749" t="s">
        <v>50</v>
      </c>
      <c r="R749" t="s">
        <v>23</v>
      </c>
    </row>
    <row r="750" spans="1:18" x14ac:dyDescent="0.35">
      <c r="A750">
        <v>748</v>
      </c>
      <c r="B750" t="s">
        <v>1619</v>
      </c>
      <c r="C750" s="1">
        <f t="shared" ca="1" si="55"/>
        <v>45383</v>
      </c>
      <c r="D750" t="str">
        <f t="shared" ca="1" si="56"/>
        <v>April</v>
      </c>
      <c r="E750" t="s">
        <v>15</v>
      </c>
      <c r="F750" t="s">
        <v>33</v>
      </c>
      <c r="G750" t="str">
        <f t="shared" si="57"/>
        <v>Women</v>
      </c>
      <c r="H750" t="str">
        <f t="shared" ca="1" si="58"/>
        <v>Amazon</v>
      </c>
      <c r="I750">
        <f t="shared" ca="1" si="59"/>
        <v>41</v>
      </c>
      <c r="J750" t="s">
        <v>372</v>
      </c>
      <c r="K750" t="s">
        <v>18</v>
      </c>
      <c r="L750" t="s">
        <v>101</v>
      </c>
      <c r="M750">
        <v>0</v>
      </c>
      <c r="P750" t="s">
        <v>170</v>
      </c>
      <c r="Q750" t="s">
        <v>171</v>
      </c>
      <c r="R750" t="s">
        <v>23</v>
      </c>
    </row>
    <row r="751" spans="1:18" x14ac:dyDescent="0.35">
      <c r="A751">
        <v>749</v>
      </c>
      <c r="B751" t="s">
        <v>1620</v>
      </c>
      <c r="C751" s="1">
        <f t="shared" ca="1" si="55"/>
        <v>45533</v>
      </c>
      <c r="D751" t="str">
        <f t="shared" ca="1" si="56"/>
        <v>August</v>
      </c>
      <c r="E751" t="s">
        <v>29</v>
      </c>
      <c r="F751" t="s">
        <v>33</v>
      </c>
      <c r="G751" t="str">
        <f t="shared" si="57"/>
        <v>Women</v>
      </c>
      <c r="H751" t="str">
        <f t="shared" ca="1" si="58"/>
        <v>Amazon</v>
      </c>
      <c r="I751">
        <f t="shared" ca="1" si="59"/>
        <v>54</v>
      </c>
      <c r="J751" t="s">
        <v>1342</v>
      </c>
      <c r="K751" t="s">
        <v>18</v>
      </c>
      <c r="L751" t="s">
        <v>28</v>
      </c>
      <c r="M751">
        <v>1</v>
      </c>
      <c r="N751" t="s">
        <v>20</v>
      </c>
      <c r="O751">
        <v>653</v>
      </c>
      <c r="P751" t="s">
        <v>122</v>
      </c>
      <c r="Q751" t="s">
        <v>22</v>
      </c>
      <c r="R751" t="s">
        <v>23</v>
      </c>
    </row>
    <row r="752" spans="1:18" x14ac:dyDescent="0.35">
      <c r="A752">
        <v>750</v>
      </c>
      <c r="B752" t="s">
        <v>1621</v>
      </c>
      <c r="C752" s="1">
        <f t="shared" ca="1" si="55"/>
        <v>45593</v>
      </c>
      <c r="D752" t="str">
        <f t="shared" ca="1" si="56"/>
        <v>October</v>
      </c>
      <c r="E752" t="s">
        <v>29</v>
      </c>
      <c r="F752" t="s">
        <v>33</v>
      </c>
      <c r="G752" t="str">
        <f t="shared" si="57"/>
        <v>Men</v>
      </c>
      <c r="H752" t="str">
        <f t="shared" ca="1" si="58"/>
        <v>Amazon</v>
      </c>
      <c r="I752">
        <f t="shared" ca="1" si="59"/>
        <v>31</v>
      </c>
      <c r="J752" t="s">
        <v>1622</v>
      </c>
      <c r="K752" t="s">
        <v>27</v>
      </c>
      <c r="L752" t="s">
        <v>62</v>
      </c>
      <c r="M752">
        <v>1</v>
      </c>
      <c r="N752" t="s">
        <v>20</v>
      </c>
      <c r="O752">
        <v>352</v>
      </c>
      <c r="P752" t="s">
        <v>185</v>
      </c>
      <c r="Q752" t="s">
        <v>140</v>
      </c>
      <c r="R752" t="s">
        <v>23</v>
      </c>
    </row>
    <row r="753" spans="1:18" x14ac:dyDescent="0.35">
      <c r="A753">
        <v>751</v>
      </c>
      <c r="B753" t="s">
        <v>1623</v>
      </c>
      <c r="C753" s="1">
        <f t="shared" ca="1" si="55"/>
        <v>45372</v>
      </c>
      <c r="D753" t="str">
        <f t="shared" ca="1" si="56"/>
        <v>March</v>
      </c>
      <c r="E753" t="s">
        <v>29</v>
      </c>
      <c r="F753" t="s">
        <v>33</v>
      </c>
      <c r="G753" t="str">
        <f t="shared" si="57"/>
        <v>Women</v>
      </c>
      <c r="H753" t="str">
        <f t="shared" ca="1" si="58"/>
        <v>Amazon</v>
      </c>
      <c r="I753">
        <f t="shared" ca="1" si="59"/>
        <v>36</v>
      </c>
      <c r="J753" t="s">
        <v>1624</v>
      </c>
      <c r="K753" t="s">
        <v>39</v>
      </c>
      <c r="L753" t="s">
        <v>28</v>
      </c>
      <c r="M753">
        <v>1</v>
      </c>
      <c r="N753" t="s">
        <v>20</v>
      </c>
      <c r="O753">
        <v>744</v>
      </c>
      <c r="P753" t="s">
        <v>1290</v>
      </c>
      <c r="Q753" t="s">
        <v>31</v>
      </c>
      <c r="R753" t="s">
        <v>23</v>
      </c>
    </row>
    <row r="754" spans="1:18" x14ac:dyDescent="0.35">
      <c r="A754">
        <v>752</v>
      </c>
      <c r="B754" t="s">
        <v>1625</v>
      </c>
      <c r="C754" s="1">
        <f t="shared" ca="1" si="55"/>
        <v>45283</v>
      </c>
      <c r="D754" t="str">
        <f t="shared" ca="1" si="56"/>
        <v>December</v>
      </c>
      <c r="E754" t="s">
        <v>29</v>
      </c>
      <c r="F754" t="s">
        <v>33</v>
      </c>
      <c r="G754" t="str">
        <f t="shared" si="57"/>
        <v>Men</v>
      </c>
      <c r="H754" t="str">
        <f t="shared" ca="1" si="58"/>
        <v>Amazon</v>
      </c>
      <c r="I754">
        <f t="shared" ca="1" si="59"/>
        <v>48</v>
      </c>
      <c r="J754" t="s">
        <v>87</v>
      </c>
      <c r="K754" t="s">
        <v>27</v>
      </c>
      <c r="L754" t="s">
        <v>35</v>
      </c>
      <c r="M754">
        <v>1</v>
      </c>
      <c r="N754" t="s">
        <v>20</v>
      </c>
      <c r="O754">
        <v>399</v>
      </c>
      <c r="P754" t="s">
        <v>88</v>
      </c>
      <c r="Q754" t="s">
        <v>89</v>
      </c>
      <c r="R754" t="s">
        <v>23</v>
      </c>
    </row>
    <row r="755" spans="1:18" x14ac:dyDescent="0.35">
      <c r="A755">
        <v>753</v>
      </c>
      <c r="B755" t="s">
        <v>1626</v>
      </c>
      <c r="C755" s="1">
        <f t="shared" ca="1" si="55"/>
        <v>45534</v>
      </c>
      <c r="D755" t="str">
        <f t="shared" ca="1" si="56"/>
        <v>August</v>
      </c>
      <c r="E755" t="s">
        <v>29</v>
      </c>
      <c r="F755" t="s">
        <v>33</v>
      </c>
      <c r="G755" t="str">
        <f t="shared" si="57"/>
        <v>Women</v>
      </c>
      <c r="H755" t="str">
        <f t="shared" ca="1" si="58"/>
        <v>Amazon</v>
      </c>
      <c r="I755">
        <f t="shared" ca="1" si="59"/>
        <v>54</v>
      </c>
      <c r="J755" t="s">
        <v>1627</v>
      </c>
      <c r="K755" t="s">
        <v>18</v>
      </c>
      <c r="L755" t="s">
        <v>28</v>
      </c>
      <c r="M755">
        <v>1</v>
      </c>
      <c r="N755" t="s">
        <v>20</v>
      </c>
      <c r="O755">
        <v>1438</v>
      </c>
      <c r="P755" t="s">
        <v>1628</v>
      </c>
      <c r="Q755" t="s">
        <v>286</v>
      </c>
      <c r="R755" t="s">
        <v>23</v>
      </c>
    </row>
    <row r="756" spans="1:18" x14ac:dyDescent="0.35">
      <c r="A756">
        <v>754</v>
      </c>
      <c r="B756" t="s">
        <v>1629</v>
      </c>
      <c r="C756" s="1">
        <f t="shared" ca="1" si="55"/>
        <v>45180</v>
      </c>
      <c r="D756" t="str">
        <f t="shared" ca="1" si="56"/>
        <v>September</v>
      </c>
      <c r="E756" t="s">
        <v>25</v>
      </c>
      <c r="F756" t="s">
        <v>16</v>
      </c>
      <c r="G756" t="str">
        <f t="shared" si="57"/>
        <v>Women</v>
      </c>
      <c r="H756" t="str">
        <f t="shared" ca="1" si="58"/>
        <v>Myntra</v>
      </c>
      <c r="I756">
        <f t="shared" ca="1" si="59"/>
        <v>23</v>
      </c>
      <c r="J756" t="s">
        <v>1630</v>
      </c>
      <c r="K756" t="s">
        <v>18</v>
      </c>
      <c r="L756" t="s">
        <v>35</v>
      </c>
      <c r="M756">
        <v>1</v>
      </c>
      <c r="N756" t="s">
        <v>20</v>
      </c>
      <c r="O756">
        <v>1173</v>
      </c>
      <c r="P756" t="s">
        <v>1628</v>
      </c>
      <c r="Q756" t="s">
        <v>286</v>
      </c>
      <c r="R756" t="s">
        <v>23</v>
      </c>
    </row>
    <row r="757" spans="1:18" x14ac:dyDescent="0.35">
      <c r="A757">
        <v>755</v>
      </c>
      <c r="B757" t="s">
        <v>1631</v>
      </c>
      <c r="C757" s="1">
        <f t="shared" ca="1" si="55"/>
        <v>45263</v>
      </c>
      <c r="D757" t="str">
        <f t="shared" ca="1" si="56"/>
        <v>December</v>
      </c>
      <c r="E757" t="s">
        <v>25</v>
      </c>
      <c r="F757" t="s">
        <v>16</v>
      </c>
      <c r="G757" t="str">
        <f t="shared" si="57"/>
        <v>Men</v>
      </c>
      <c r="H757" t="str">
        <f t="shared" ca="1" si="58"/>
        <v>Flipkart</v>
      </c>
      <c r="I757">
        <f t="shared" ca="1" si="59"/>
        <v>47</v>
      </c>
      <c r="J757" t="s">
        <v>645</v>
      </c>
      <c r="K757" t="s">
        <v>27</v>
      </c>
      <c r="L757" t="s">
        <v>101</v>
      </c>
      <c r="M757">
        <v>1</v>
      </c>
      <c r="N757" t="s">
        <v>20</v>
      </c>
      <c r="O757">
        <v>459</v>
      </c>
      <c r="P757" t="s">
        <v>30</v>
      </c>
      <c r="Q757" t="s">
        <v>31</v>
      </c>
      <c r="R757" t="s">
        <v>23</v>
      </c>
    </row>
    <row r="758" spans="1:18" x14ac:dyDescent="0.35">
      <c r="A758">
        <v>756</v>
      </c>
      <c r="B758" t="s">
        <v>1632</v>
      </c>
      <c r="C758" s="1">
        <f t="shared" ca="1" si="55"/>
        <v>44944</v>
      </c>
      <c r="D758" t="str">
        <f t="shared" ca="1" si="56"/>
        <v>January</v>
      </c>
      <c r="E758" t="s">
        <v>29</v>
      </c>
      <c r="F758" t="s">
        <v>33</v>
      </c>
      <c r="G758" t="str">
        <f t="shared" si="57"/>
        <v>Women</v>
      </c>
      <c r="H758" t="str">
        <f t="shared" ca="1" si="58"/>
        <v>Amazon</v>
      </c>
      <c r="I758">
        <f t="shared" ca="1" si="59"/>
        <v>34</v>
      </c>
      <c r="J758" t="s">
        <v>1431</v>
      </c>
      <c r="K758" t="s">
        <v>18</v>
      </c>
      <c r="L758" t="s">
        <v>62</v>
      </c>
      <c r="M758">
        <v>1</v>
      </c>
      <c r="N758" t="s">
        <v>20</v>
      </c>
      <c r="O758">
        <v>922</v>
      </c>
      <c r="P758" t="s">
        <v>1633</v>
      </c>
      <c r="Q758" t="s">
        <v>46</v>
      </c>
      <c r="R758" t="s">
        <v>23</v>
      </c>
    </row>
    <row r="759" spans="1:18" x14ac:dyDescent="0.35">
      <c r="A759">
        <v>757</v>
      </c>
      <c r="B759" t="s">
        <v>1634</v>
      </c>
      <c r="C759" s="1">
        <f t="shared" ca="1" si="55"/>
        <v>45108</v>
      </c>
      <c r="D759" t="str">
        <f t="shared" ca="1" si="56"/>
        <v>July</v>
      </c>
      <c r="E759" t="s">
        <v>29</v>
      </c>
      <c r="F759" t="s">
        <v>33</v>
      </c>
      <c r="G759" t="str">
        <f t="shared" si="57"/>
        <v>Women</v>
      </c>
      <c r="H759" t="str">
        <f t="shared" ca="1" si="58"/>
        <v>Amazon</v>
      </c>
      <c r="I759">
        <f t="shared" ca="1" si="59"/>
        <v>18</v>
      </c>
      <c r="J759" t="s">
        <v>1342</v>
      </c>
      <c r="K759" t="s">
        <v>18</v>
      </c>
      <c r="L759" t="s">
        <v>28</v>
      </c>
      <c r="M759">
        <v>1</v>
      </c>
      <c r="N759" t="s">
        <v>20</v>
      </c>
      <c r="O759">
        <v>653</v>
      </c>
      <c r="P759" t="s">
        <v>21</v>
      </c>
      <c r="Q759" t="s">
        <v>22</v>
      </c>
      <c r="R759" t="s">
        <v>23</v>
      </c>
    </row>
    <row r="760" spans="1:18" x14ac:dyDescent="0.35">
      <c r="A760">
        <v>758</v>
      </c>
      <c r="B760" t="s">
        <v>1635</v>
      </c>
      <c r="C760" s="1">
        <f t="shared" ca="1" si="55"/>
        <v>45555</v>
      </c>
      <c r="D760" t="str">
        <f t="shared" ca="1" si="56"/>
        <v>September</v>
      </c>
      <c r="E760" t="s">
        <v>15</v>
      </c>
      <c r="F760" t="s">
        <v>33</v>
      </c>
      <c r="G760" t="str">
        <f t="shared" si="57"/>
        <v>Men</v>
      </c>
      <c r="H760" t="str">
        <f t="shared" ca="1" si="58"/>
        <v>Amazon</v>
      </c>
      <c r="I760">
        <f t="shared" ca="1" si="59"/>
        <v>51</v>
      </c>
      <c r="J760" t="s">
        <v>400</v>
      </c>
      <c r="K760" t="s">
        <v>27</v>
      </c>
      <c r="L760" t="s">
        <v>35</v>
      </c>
      <c r="M760">
        <v>1</v>
      </c>
      <c r="N760" t="s">
        <v>20</v>
      </c>
      <c r="O760">
        <v>363</v>
      </c>
      <c r="P760" t="s">
        <v>1636</v>
      </c>
      <c r="Q760" t="s">
        <v>57</v>
      </c>
      <c r="R760" t="s">
        <v>23</v>
      </c>
    </row>
    <row r="761" spans="1:18" x14ac:dyDescent="0.35">
      <c r="A761">
        <v>759</v>
      </c>
      <c r="B761" t="s">
        <v>1637</v>
      </c>
      <c r="C761" s="1">
        <f t="shared" ca="1" si="55"/>
        <v>45501</v>
      </c>
      <c r="D761" t="str">
        <f t="shared" ca="1" si="56"/>
        <v>July</v>
      </c>
      <c r="E761" t="s">
        <v>29</v>
      </c>
      <c r="F761" t="s">
        <v>33</v>
      </c>
      <c r="G761" t="str">
        <f t="shared" si="57"/>
        <v>Men</v>
      </c>
      <c r="H761" t="str">
        <f t="shared" ca="1" si="58"/>
        <v>Amazon</v>
      </c>
      <c r="I761">
        <f t="shared" ca="1" si="59"/>
        <v>58</v>
      </c>
      <c r="J761" t="s">
        <v>884</v>
      </c>
      <c r="K761" t="s">
        <v>27</v>
      </c>
      <c r="L761" t="s">
        <v>101</v>
      </c>
      <c r="M761">
        <v>1</v>
      </c>
      <c r="N761" t="s">
        <v>20</v>
      </c>
      <c r="O761">
        <v>499</v>
      </c>
      <c r="P761" t="s">
        <v>1638</v>
      </c>
      <c r="Q761" t="s">
        <v>85</v>
      </c>
      <c r="R761" t="s">
        <v>23</v>
      </c>
    </row>
    <row r="762" spans="1:18" x14ac:dyDescent="0.35">
      <c r="A762">
        <v>760</v>
      </c>
      <c r="B762" t="s">
        <v>1639</v>
      </c>
      <c r="C762" s="1">
        <f t="shared" ca="1" si="55"/>
        <v>45237</v>
      </c>
      <c r="D762" t="str">
        <f t="shared" ca="1" si="56"/>
        <v>November</v>
      </c>
      <c r="E762" t="s">
        <v>29</v>
      </c>
      <c r="F762" t="s">
        <v>33</v>
      </c>
      <c r="G762" t="str">
        <f t="shared" si="57"/>
        <v>Men</v>
      </c>
      <c r="H762" t="str">
        <f t="shared" ca="1" si="58"/>
        <v>Amazon</v>
      </c>
      <c r="I762">
        <f t="shared" ca="1" si="59"/>
        <v>27</v>
      </c>
      <c r="J762" t="s">
        <v>1640</v>
      </c>
      <c r="K762" t="s">
        <v>27</v>
      </c>
      <c r="L762" t="s">
        <v>79</v>
      </c>
      <c r="M762">
        <v>1</v>
      </c>
      <c r="N762" t="s">
        <v>20</v>
      </c>
      <c r="O762">
        <v>486</v>
      </c>
      <c r="P762" t="s">
        <v>562</v>
      </c>
      <c r="Q762" t="s">
        <v>223</v>
      </c>
      <c r="R762" t="s">
        <v>23</v>
      </c>
    </row>
    <row r="763" spans="1:18" x14ac:dyDescent="0.35">
      <c r="A763">
        <v>761</v>
      </c>
      <c r="B763" t="s">
        <v>1641</v>
      </c>
      <c r="C763" s="1">
        <f t="shared" ca="1" si="55"/>
        <v>45029</v>
      </c>
      <c r="D763" t="str">
        <f t="shared" ca="1" si="56"/>
        <v>April</v>
      </c>
      <c r="E763" t="s">
        <v>25</v>
      </c>
      <c r="F763" t="s">
        <v>16</v>
      </c>
      <c r="G763" t="str">
        <f t="shared" si="57"/>
        <v>Men</v>
      </c>
      <c r="H763" t="str">
        <f t="shared" ca="1" si="58"/>
        <v>Flipkart</v>
      </c>
      <c r="I763">
        <f t="shared" ca="1" si="59"/>
        <v>29</v>
      </c>
      <c r="J763" t="s">
        <v>1642</v>
      </c>
      <c r="K763" t="s">
        <v>27</v>
      </c>
      <c r="L763" t="s">
        <v>79</v>
      </c>
      <c r="M763">
        <v>1</v>
      </c>
      <c r="N763" t="s">
        <v>20</v>
      </c>
      <c r="O763">
        <v>692</v>
      </c>
      <c r="P763" t="s">
        <v>562</v>
      </c>
      <c r="Q763" t="s">
        <v>223</v>
      </c>
      <c r="R763" t="s">
        <v>23</v>
      </c>
    </row>
    <row r="764" spans="1:18" x14ac:dyDescent="0.35">
      <c r="A764">
        <v>762</v>
      </c>
      <c r="B764" t="s">
        <v>1643</v>
      </c>
      <c r="C764" s="1">
        <f t="shared" ca="1" si="55"/>
        <v>45198</v>
      </c>
      <c r="D764" t="str">
        <f t="shared" ca="1" si="56"/>
        <v>September</v>
      </c>
      <c r="E764" t="s">
        <v>29</v>
      </c>
      <c r="F764" t="s">
        <v>33</v>
      </c>
      <c r="G764" t="str">
        <f t="shared" si="57"/>
        <v>Men</v>
      </c>
      <c r="H764" t="str">
        <f t="shared" ca="1" si="58"/>
        <v>Amazon</v>
      </c>
      <c r="I764">
        <f t="shared" ca="1" si="59"/>
        <v>58</v>
      </c>
      <c r="J764" t="s">
        <v>475</v>
      </c>
      <c r="K764" t="s">
        <v>27</v>
      </c>
      <c r="L764" t="s">
        <v>62</v>
      </c>
      <c r="M764">
        <v>1</v>
      </c>
      <c r="N764" t="s">
        <v>20</v>
      </c>
      <c r="O764">
        <v>295</v>
      </c>
      <c r="P764" t="s">
        <v>45</v>
      </c>
      <c r="Q764" t="s">
        <v>46</v>
      </c>
      <c r="R764" t="s">
        <v>23</v>
      </c>
    </row>
    <row r="765" spans="1:18" x14ac:dyDescent="0.35">
      <c r="A765">
        <v>763</v>
      </c>
      <c r="B765" t="s">
        <v>1644</v>
      </c>
      <c r="C765" s="1">
        <f t="shared" ca="1" si="55"/>
        <v>45597</v>
      </c>
      <c r="D765" t="str">
        <f t="shared" ca="1" si="56"/>
        <v>November</v>
      </c>
      <c r="E765" t="s">
        <v>25</v>
      </c>
      <c r="F765" t="s">
        <v>16</v>
      </c>
      <c r="G765" t="str">
        <f t="shared" si="57"/>
        <v>Men</v>
      </c>
      <c r="H765" t="str">
        <f t="shared" ca="1" si="58"/>
        <v>Flipkart</v>
      </c>
      <c r="I765">
        <f t="shared" ca="1" si="59"/>
        <v>21</v>
      </c>
      <c r="J765" t="s">
        <v>1645</v>
      </c>
      <c r="K765" t="s">
        <v>27</v>
      </c>
      <c r="L765" t="s">
        <v>35</v>
      </c>
      <c r="M765">
        <v>1</v>
      </c>
      <c r="N765" t="s">
        <v>20</v>
      </c>
      <c r="O765">
        <v>363</v>
      </c>
      <c r="P765" t="s">
        <v>45</v>
      </c>
      <c r="Q765" t="s">
        <v>46</v>
      </c>
      <c r="R765" t="s">
        <v>23</v>
      </c>
    </row>
    <row r="766" spans="1:18" x14ac:dyDescent="0.35">
      <c r="A766">
        <v>764</v>
      </c>
      <c r="B766" t="s">
        <v>1646</v>
      </c>
      <c r="C766" s="1">
        <f t="shared" ca="1" si="55"/>
        <v>45256</v>
      </c>
      <c r="D766" t="str">
        <f t="shared" ca="1" si="56"/>
        <v>November</v>
      </c>
      <c r="E766" t="s">
        <v>29</v>
      </c>
      <c r="F766" t="s">
        <v>33</v>
      </c>
      <c r="G766" t="str">
        <f t="shared" si="57"/>
        <v>Men</v>
      </c>
      <c r="H766" t="str">
        <f t="shared" ca="1" si="58"/>
        <v>Amazon</v>
      </c>
      <c r="I766">
        <f t="shared" ca="1" si="59"/>
        <v>56</v>
      </c>
      <c r="J766" t="s">
        <v>248</v>
      </c>
      <c r="K766" t="s">
        <v>27</v>
      </c>
      <c r="L766" t="s">
        <v>62</v>
      </c>
      <c r="M766">
        <v>1</v>
      </c>
      <c r="N766" t="s">
        <v>20</v>
      </c>
      <c r="O766">
        <v>399</v>
      </c>
      <c r="P766" t="s">
        <v>1647</v>
      </c>
      <c r="Q766" t="s">
        <v>357</v>
      </c>
      <c r="R766" t="s">
        <v>23</v>
      </c>
    </row>
    <row r="767" spans="1:18" x14ac:dyDescent="0.35">
      <c r="A767">
        <v>765</v>
      </c>
      <c r="B767" t="s">
        <v>1648</v>
      </c>
      <c r="C767" s="1">
        <f t="shared" ca="1" si="55"/>
        <v>45245</v>
      </c>
      <c r="D767" t="str">
        <f t="shared" ca="1" si="56"/>
        <v>November</v>
      </c>
      <c r="E767" t="s">
        <v>29</v>
      </c>
      <c r="F767" t="s">
        <v>33</v>
      </c>
      <c r="G767" t="str">
        <f t="shared" si="57"/>
        <v>Women</v>
      </c>
      <c r="H767" t="str">
        <f t="shared" ca="1" si="58"/>
        <v>Amazon</v>
      </c>
      <c r="I767">
        <f t="shared" ca="1" si="59"/>
        <v>33</v>
      </c>
      <c r="J767" t="s">
        <v>1649</v>
      </c>
      <c r="K767" t="s">
        <v>18</v>
      </c>
      <c r="L767" t="s">
        <v>19</v>
      </c>
      <c r="M767">
        <v>1</v>
      </c>
      <c r="N767" t="s">
        <v>20</v>
      </c>
      <c r="O767">
        <v>950</v>
      </c>
      <c r="P767" t="s">
        <v>1650</v>
      </c>
      <c r="Q767" t="s">
        <v>81</v>
      </c>
      <c r="R767" t="s">
        <v>23</v>
      </c>
    </row>
    <row r="768" spans="1:18" x14ac:dyDescent="0.35">
      <c r="A768">
        <v>766</v>
      </c>
      <c r="B768" t="s">
        <v>1651</v>
      </c>
      <c r="C768" s="1">
        <f t="shared" ca="1" si="55"/>
        <v>45069</v>
      </c>
      <c r="D768" t="str">
        <f t="shared" ca="1" si="56"/>
        <v>May</v>
      </c>
      <c r="E768" t="s">
        <v>29</v>
      </c>
      <c r="F768" t="s">
        <v>33</v>
      </c>
      <c r="G768" t="str">
        <f t="shared" si="57"/>
        <v>Men</v>
      </c>
      <c r="H768" t="str">
        <f t="shared" ca="1" si="58"/>
        <v>Amazon</v>
      </c>
      <c r="I768">
        <f t="shared" ca="1" si="59"/>
        <v>57</v>
      </c>
      <c r="J768" t="s">
        <v>628</v>
      </c>
      <c r="K768" t="s">
        <v>27</v>
      </c>
      <c r="L768" t="s">
        <v>68</v>
      </c>
      <c r="M768">
        <v>1</v>
      </c>
      <c r="N768" t="s">
        <v>20</v>
      </c>
      <c r="O768">
        <v>399</v>
      </c>
      <c r="P768" t="s">
        <v>1652</v>
      </c>
      <c r="Q768" t="s">
        <v>153</v>
      </c>
      <c r="R768" t="s">
        <v>23</v>
      </c>
    </row>
    <row r="769" spans="1:18" x14ac:dyDescent="0.35">
      <c r="A769">
        <v>767</v>
      </c>
      <c r="B769" t="s">
        <v>1653</v>
      </c>
      <c r="C769" s="1">
        <f t="shared" ca="1" si="55"/>
        <v>44971</v>
      </c>
      <c r="D769" t="str">
        <f t="shared" ca="1" si="56"/>
        <v>February</v>
      </c>
      <c r="E769" t="s">
        <v>29</v>
      </c>
      <c r="F769" t="s">
        <v>33</v>
      </c>
      <c r="G769" t="str">
        <f t="shared" si="57"/>
        <v>Women</v>
      </c>
      <c r="H769" t="str">
        <f t="shared" ca="1" si="58"/>
        <v>Amazon</v>
      </c>
      <c r="I769">
        <f t="shared" ca="1" si="59"/>
        <v>33</v>
      </c>
      <c r="J769" t="s">
        <v>1451</v>
      </c>
      <c r="K769" t="s">
        <v>39</v>
      </c>
      <c r="L769" t="s">
        <v>101</v>
      </c>
      <c r="M769">
        <v>1</v>
      </c>
      <c r="N769" t="s">
        <v>20</v>
      </c>
      <c r="O769">
        <v>625</v>
      </c>
      <c r="P769" t="s">
        <v>1654</v>
      </c>
      <c r="Q769" t="s">
        <v>81</v>
      </c>
      <c r="R769" t="s">
        <v>23</v>
      </c>
    </row>
    <row r="770" spans="1:18" x14ac:dyDescent="0.35">
      <c r="A770">
        <v>768</v>
      </c>
      <c r="B770" t="s">
        <v>1655</v>
      </c>
      <c r="C770" s="1">
        <f t="shared" ca="1" si="55"/>
        <v>45093</v>
      </c>
      <c r="D770" t="str">
        <f t="shared" ca="1" si="56"/>
        <v>June</v>
      </c>
      <c r="E770" t="s">
        <v>29</v>
      </c>
      <c r="F770" t="s">
        <v>33</v>
      </c>
      <c r="G770" t="str">
        <f t="shared" si="57"/>
        <v>Women</v>
      </c>
      <c r="H770" t="str">
        <f t="shared" ca="1" si="58"/>
        <v>Amazon</v>
      </c>
      <c r="I770">
        <f t="shared" ca="1" si="59"/>
        <v>52</v>
      </c>
      <c r="J770" t="s">
        <v>423</v>
      </c>
      <c r="K770" t="s">
        <v>18</v>
      </c>
      <c r="L770" t="s">
        <v>40</v>
      </c>
      <c r="M770">
        <v>1</v>
      </c>
      <c r="N770" t="s">
        <v>20</v>
      </c>
      <c r="O770">
        <v>1115</v>
      </c>
      <c r="P770" t="s">
        <v>555</v>
      </c>
      <c r="Q770" t="s">
        <v>171</v>
      </c>
      <c r="R770" t="s">
        <v>23</v>
      </c>
    </row>
    <row r="771" spans="1:18" x14ac:dyDescent="0.35">
      <c r="A771">
        <v>769</v>
      </c>
      <c r="B771" t="s">
        <v>1656</v>
      </c>
      <c r="C771" s="1">
        <f t="shared" ref="C771:C834" ca="1" si="60">RANDBETWEEN(DATE(2023,1,1), DATE(2024,12,31))</f>
        <v>45604</v>
      </c>
      <c r="D771" t="str">
        <f t="shared" ref="D771:D834" ca="1" si="61">TEXT(C771, "MMMM")</f>
        <v>November</v>
      </c>
      <c r="E771" t="s">
        <v>25</v>
      </c>
      <c r="F771" t="s">
        <v>16</v>
      </c>
      <c r="G771" t="str">
        <f t="shared" ref="G771:G834" si="62">IF(K771="Set","Women",IF(K771="Kurta","Men",IF(K771="Top","Women",IF(K771="Western Dress","Women",IF(K771="Ethnic Dress","Women",IF(K771="Saree","Women",0))))))</f>
        <v>Men</v>
      </c>
      <c r="H771" t="str">
        <f t="shared" ref="H771:H834" ca="1" si="63">IF(F771="Merchant",IF(RAND()&gt;0.5,"Myntra","Flipkart"),IF(F771="Amazon","Amazon",0))</f>
        <v>Myntra</v>
      </c>
      <c r="I771">
        <f t="shared" ref="I771:I834" ca="1" si="64">RANDBETWEEN(18, 60)</f>
        <v>59</v>
      </c>
      <c r="J771" t="s">
        <v>1657</v>
      </c>
      <c r="K771" t="s">
        <v>27</v>
      </c>
      <c r="L771" t="s">
        <v>68</v>
      </c>
      <c r="M771">
        <v>1</v>
      </c>
      <c r="N771" t="s">
        <v>20</v>
      </c>
      <c r="O771">
        <v>666</v>
      </c>
      <c r="P771" t="s">
        <v>122</v>
      </c>
      <c r="Q771" t="s">
        <v>22</v>
      </c>
      <c r="R771" t="s">
        <v>23</v>
      </c>
    </row>
    <row r="772" spans="1:18" x14ac:dyDescent="0.35">
      <c r="A772">
        <v>770</v>
      </c>
      <c r="B772" t="s">
        <v>1658</v>
      </c>
      <c r="C772" s="1">
        <f t="shared" ca="1" si="60"/>
        <v>44946</v>
      </c>
      <c r="D772" t="str">
        <f t="shared" ca="1" si="61"/>
        <v>January</v>
      </c>
      <c r="E772" t="s">
        <v>15</v>
      </c>
      <c r="F772" t="s">
        <v>33</v>
      </c>
      <c r="G772" t="str">
        <f t="shared" si="62"/>
        <v>Women</v>
      </c>
      <c r="H772" t="str">
        <f t="shared" ca="1" si="63"/>
        <v>Amazon</v>
      </c>
      <c r="I772">
        <f t="shared" ca="1" si="64"/>
        <v>56</v>
      </c>
      <c r="J772" t="s">
        <v>1659</v>
      </c>
      <c r="K772" t="s">
        <v>18</v>
      </c>
      <c r="L772" t="s">
        <v>68</v>
      </c>
      <c r="M772">
        <v>0</v>
      </c>
      <c r="P772" t="s">
        <v>1108</v>
      </c>
      <c r="Q772" t="s">
        <v>22</v>
      </c>
      <c r="R772" t="s">
        <v>23</v>
      </c>
    </row>
    <row r="773" spans="1:18" x14ac:dyDescent="0.35">
      <c r="A773">
        <v>771</v>
      </c>
      <c r="B773" t="s">
        <v>1660</v>
      </c>
      <c r="C773" s="1">
        <f t="shared" ca="1" si="60"/>
        <v>45048</v>
      </c>
      <c r="D773" t="str">
        <f t="shared" ca="1" si="61"/>
        <v>May</v>
      </c>
      <c r="E773" t="s">
        <v>25</v>
      </c>
      <c r="F773" t="s">
        <v>16</v>
      </c>
      <c r="G773" t="str">
        <f t="shared" si="62"/>
        <v>Women</v>
      </c>
      <c r="H773" t="str">
        <f t="shared" ca="1" si="63"/>
        <v>Flipkart</v>
      </c>
      <c r="I773">
        <f t="shared" ca="1" si="64"/>
        <v>38</v>
      </c>
      <c r="J773" t="s">
        <v>295</v>
      </c>
      <c r="K773" t="s">
        <v>18</v>
      </c>
      <c r="L773" t="s">
        <v>40</v>
      </c>
      <c r="M773">
        <v>1</v>
      </c>
      <c r="N773" t="s">
        <v>20</v>
      </c>
      <c r="O773">
        <v>696</v>
      </c>
      <c r="P773" t="s">
        <v>56</v>
      </c>
      <c r="Q773" t="s">
        <v>57</v>
      </c>
      <c r="R773" t="s">
        <v>23</v>
      </c>
    </row>
    <row r="774" spans="1:18" x14ac:dyDescent="0.35">
      <c r="A774">
        <v>772</v>
      </c>
      <c r="B774" t="s">
        <v>1661</v>
      </c>
      <c r="C774" s="1">
        <f t="shared" ca="1" si="60"/>
        <v>45208</v>
      </c>
      <c r="D774" t="str">
        <f t="shared" ca="1" si="61"/>
        <v>October</v>
      </c>
      <c r="E774" t="s">
        <v>29</v>
      </c>
      <c r="F774" t="s">
        <v>33</v>
      </c>
      <c r="G774" t="str">
        <f t="shared" si="62"/>
        <v>Women</v>
      </c>
      <c r="H774" t="str">
        <f t="shared" ca="1" si="63"/>
        <v>Amazon</v>
      </c>
      <c r="I774">
        <f t="shared" ca="1" si="64"/>
        <v>22</v>
      </c>
      <c r="J774" t="s">
        <v>1662</v>
      </c>
      <c r="K774" t="s">
        <v>44</v>
      </c>
      <c r="L774" t="s">
        <v>62</v>
      </c>
      <c r="M774">
        <v>1</v>
      </c>
      <c r="N774" t="s">
        <v>20</v>
      </c>
      <c r="O774">
        <v>519</v>
      </c>
      <c r="P774" t="s">
        <v>56</v>
      </c>
      <c r="Q774" t="s">
        <v>57</v>
      </c>
      <c r="R774" t="s">
        <v>23</v>
      </c>
    </row>
    <row r="775" spans="1:18" x14ac:dyDescent="0.35">
      <c r="A775">
        <v>773</v>
      </c>
      <c r="B775" t="s">
        <v>1663</v>
      </c>
      <c r="C775" s="1">
        <f t="shared" ca="1" si="60"/>
        <v>45208</v>
      </c>
      <c r="D775" t="str">
        <f t="shared" ca="1" si="61"/>
        <v>October</v>
      </c>
      <c r="E775" t="s">
        <v>25</v>
      </c>
      <c r="F775" t="s">
        <v>16</v>
      </c>
      <c r="G775" t="str">
        <f t="shared" si="62"/>
        <v>Women</v>
      </c>
      <c r="H775" t="str">
        <f t="shared" ca="1" si="63"/>
        <v>Flipkart</v>
      </c>
      <c r="I775">
        <f t="shared" ca="1" si="64"/>
        <v>44</v>
      </c>
      <c r="J775" t="s">
        <v>1664</v>
      </c>
      <c r="K775" t="s">
        <v>18</v>
      </c>
      <c r="L775" t="s">
        <v>19</v>
      </c>
      <c r="M775">
        <v>1</v>
      </c>
      <c r="N775" t="s">
        <v>20</v>
      </c>
      <c r="O775">
        <v>1199</v>
      </c>
      <c r="P775" t="s">
        <v>1665</v>
      </c>
      <c r="Q775" t="s">
        <v>161</v>
      </c>
      <c r="R775" t="s">
        <v>23</v>
      </c>
    </row>
    <row r="776" spans="1:18" x14ac:dyDescent="0.35">
      <c r="A776">
        <v>774</v>
      </c>
      <c r="B776" t="s">
        <v>1666</v>
      </c>
      <c r="C776" s="1">
        <f t="shared" ca="1" si="60"/>
        <v>45115</v>
      </c>
      <c r="D776" t="str">
        <f t="shared" ca="1" si="61"/>
        <v>July</v>
      </c>
      <c r="E776" t="s">
        <v>29</v>
      </c>
      <c r="F776" t="s">
        <v>33</v>
      </c>
      <c r="G776" t="str">
        <f t="shared" si="62"/>
        <v>Women</v>
      </c>
      <c r="H776" t="str">
        <f t="shared" ca="1" si="63"/>
        <v>Amazon</v>
      </c>
      <c r="I776">
        <f t="shared" ca="1" si="64"/>
        <v>19</v>
      </c>
      <c r="J776" t="s">
        <v>773</v>
      </c>
      <c r="K776" t="s">
        <v>18</v>
      </c>
      <c r="L776" t="s">
        <v>62</v>
      </c>
      <c r="M776">
        <v>1</v>
      </c>
      <c r="N776" t="s">
        <v>20</v>
      </c>
      <c r="O776">
        <v>563</v>
      </c>
      <c r="P776" t="s">
        <v>1667</v>
      </c>
      <c r="Q776" t="s">
        <v>46</v>
      </c>
      <c r="R776" t="s">
        <v>23</v>
      </c>
    </row>
    <row r="777" spans="1:18" x14ac:dyDescent="0.35">
      <c r="A777">
        <v>775</v>
      </c>
      <c r="B777" t="s">
        <v>1666</v>
      </c>
      <c r="C777" s="1">
        <f t="shared" ca="1" si="60"/>
        <v>45068</v>
      </c>
      <c r="D777" t="str">
        <f t="shared" ca="1" si="61"/>
        <v>May</v>
      </c>
      <c r="E777" t="s">
        <v>29</v>
      </c>
      <c r="F777" t="s">
        <v>33</v>
      </c>
      <c r="G777" t="str">
        <f t="shared" si="62"/>
        <v>Men</v>
      </c>
      <c r="H777" t="str">
        <f t="shared" ca="1" si="63"/>
        <v>Amazon</v>
      </c>
      <c r="I777">
        <f t="shared" ca="1" si="64"/>
        <v>19</v>
      </c>
      <c r="J777" t="s">
        <v>248</v>
      </c>
      <c r="K777" t="s">
        <v>27</v>
      </c>
      <c r="L777" t="s">
        <v>62</v>
      </c>
      <c r="M777">
        <v>1</v>
      </c>
      <c r="N777" t="s">
        <v>20</v>
      </c>
      <c r="O777">
        <v>399</v>
      </c>
      <c r="P777" t="s">
        <v>1667</v>
      </c>
      <c r="Q777" t="s">
        <v>46</v>
      </c>
      <c r="R777" t="s">
        <v>23</v>
      </c>
    </row>
    <row r="778" spans="1:18" x14ac:dyDescent="0.35">
      <c r="A778">
        <v>776</v>
      </c>
      <c r="B778" t="s">
        <v>1666</v>
      </c>
      <c r="C778" s="1">
        <f t="shared" ca="1" si="60"/>
        <v>45055</v>
      </c>
      <c r="D778" t="str">
        <f t="shared" ca="1" si="61"/>
        <v>May</v>
      </c>
      <c r="E778" t="s">
        <v>29</v>
      </c>
      <c r="F778" t="s">
        <v>33</v>
      </c>
      <c r="G778" t="str">
        <f t="shared" si="62"/>
        <v>Men</v>
      </c>
      <c r="H778" t="str">
        <f t="shared" ca="1" si="63"/>
        <v>Amazon</v>
      </c>
      <c r="I778">
        <f t="shared" ca="1" si="64"/>
        <v>50</v>
      </c>
      <c r="J778" t="s">
        <v>1668</v>
      </c>
      <c r="K778" t="s">
        <v>27</v>
      </c>
      <c r="L778" t="s">
        <v>35</v>
      </c>
      <c r="M778">
        <v>1</v>
      </c>
      <c r="N778" t="s">
        <v>20</v>
      </c>
      <c r="O778">
        <v>487</v>
      </c>
      <c r="P778" t="s">
        <v>1667</v>
      </c>
      <c r="Q778" t="s">
        <v>46</v>
      </c>
      <c r="R778" t="s">
        <v>23</v>
      </c>
    </row>
    <row r="779" spans="1:18" x14ac:dyDescent="0.35">
      <c r="A779">
        <v>777</v>
      </c>
      <c r="B779" t="s">
        <v>1669</v>
      </c>
      <c r="C779" s="1">
        <f t="shared" ca="1" si="60"/>
        <v>45321</v>
      </c>
      <c r="D779" t="str">
        <f t="shared" ca="1" si="61"/>
        <v>January</v>
      </c>
      <c r="E779" t="s">
        <v>25</v>
      </c>
      <c r="F779" t="s">
        <v>16</v>
      </c>
      <c r="G779" t="str">
        <f t="shared" si="62"/>
        <v>Men</v>
      </c>
      <c r="H779" t="str">
        <f t="shared" ca="1" si="63"/>
        <v>Myntra</v>
      </c>
      <c r="I779">
        <f t="shared" ca="1" si="64"/>
        <v>25</v>
      </c>
      <c r="J779" t="s">
        <v>1670</v>
      </c>
      <c r="K779" t="s">
        <v>27</v>
      </c>
      <c r="L779" t="s">
        <v>62</v>
      </c>
      <c r="M779">
        <v>1</v>
      </c>
      <c r="N779" t="s">
        <v>20</v>
      </c>
      <c r="O779">
        <v>568</v>
      </c>
      <c r="P779" t="s">
        <v>1671</v>
      </c>
      <c r="Q779" t="s">
        <v>46</v>
      </c>
      <c r="R779" t="s">
        <v>23</v>
      </c>
    </row>
    <row r="780" spans="1:18" x14ac:dyDescent="0.35">
      <c r="A780">
        <v>778</v>
      </c>
      <c r="B780" t="s">
        <v>1672</v>
      </c>
      <c r="C780" s="1">
        <f t="shared" ca="1" si="60"/>
        <v>44972</v>
      </c>
      <c r="D780" t="str">
        <f t="shared" ca="1" si="61"/>
        <v>February</v>
      </c>
      <c r="E780" t="s">
        <v>29</v>
      </c>
      <c r="F780" t="s">
        <v>33</v>
      </c>
      <c r="G780" t="str">
        <f t="shared" si="62"/>
        <v>Men</v>
      </c>
      <c r="H780" t="str">
        <f t="shared" ca="1" si="63"/>
        <v>Amazon</v>
      </c>
      <c r="I780">
        <f t="shared" ca="1" si="64"/>
        <v>31</v>
      </c>
      <c r="J780" t="s">
        <v>248</v>
      </c>
      <c r="K780" t="s">
        <v>27</v>
      </c>
      <c r="L780" t="s">
        <v>62</v>
      </c>
      <c r="M780">
        <v>1</v>
      </c>
      <c r="N780" t="s">
        <v>20</v>
      </c>
      <c r="O780">
        <v>399</v>
      </c>
      <c r="P780" t="s">
        <v>21</v>
      </c>
      <c r="Q780" t="s">
        <v>22</v>
      </c>
      <c r="R780" t="s">
        <v>23</v>
      </c>
    </row>
    <row r="781" spans="1:18" x14ac:dyDescent="0.35">
      <c r="A781">
        <v>779</v>
      </c>
      <c r="B781" t="s">
        <v>1673</v>
      </c>
      <c r="C781" s="1">
        <f t="shared" ca="1" si="60"/>
        <v>45361</v>
      </c>
      <c r="D781" t="str">
        <f t="shared" ca="1" si="61"/>
        <v>March</v>
      </c>
      <c r="E781" t="s">
        <v>29</v>
      </c>
      <c r="F781" t="s">
        <v>33</v>
      </c>
      <c r="G781" t="str">
        <f t="shared" si="62"/>
        <v>Men</v>
      </c>
      <c r="H781" t="str">
        <f t="shared" ca="1" si="63"/>
        <v>Amazon</v>
      </c>
      <c r="I781">
        <f t="shared" ca="1" si="64"/>
        <v>42</v>
      </c>
      <c r="J781" t="s">
        <v>1674</v>
      </c>
      <c r="K781" t="s">
        <v>27</v>
      </c>
      <c r="L781" t="s">
        <v>19</v>
      </c>
      <c r="M781">
        <v>1</v>
      </c>
      <c r="N781" t="s">
        <v>20</v>
      </c>
      <c r="O781">
        <v>291</v>
      </c>
      <c r="P781" t="s">
        <v>88</v>
      </c>
      <c r="Q781" t="s">
        <v>89</v>
      </c>
      <c r="R781" t="s">
        <v>23</v>
      </c>
    </row>
    <row r="782" spans="1:18" x14ac:dyDescent="0.35">
      <c r="A782">
        <v>780</v>
      </c>
      <c r="B782" t="s">
        <v>1675</v>
      </c>
      <c r="C782" s="1">
        <f t="shared" ca="1" si="60"/>
        <v>45208</v>
      </c>
      <c r="D782" t="str">
        <f t="shared" ca="1" si="61"/>
        <v>October</v>
      </c>
      <c r="E782" t="s">
        <v>29</v>
      </c>
      <c r="F782" t="s">
        <v>33</v>
      </c>
      <c r="G782" t="str">
        <f t="shared" si="62"/>
        <v>Women</v>
      </c>
      <c r="H782" t="str">
        <f t="shared" ca="1" si="63"/>
        <v>Amazon</v>
      </c>
      <c r="I782">
        <f t="shared" ca="1" si="64"/>
        <v>50</v>
      </c>
      <c r="J782" t="s">
        <v>38</v>
      </c>
      <c r="K782" t="s">
        <v>39</v>
      </c>
      <c r="L782" t="s">
        <v>40</v>
      </c>
      <c r="M782">
        <v>1</v>
      </c>
      <c r="N782" t="s">
        <v>20</v>
      </c>
      <c r="O782">
        <v>744</v>
      </c>
      <c r="P782" t="s">
        <v>1676</v>
      </c>
      <c r="Q782" t="s">
        <v>50</v>
      </c>
      <c r="R782" t="s">
        <v>23</v>
      </c>
    </row>
    <row r="783" spans="1:18" x14ac:dyDescent="0.35">
      <c r="A783">
        <v>781</v>
      </c>
      <c r="B783" t="s">
        <v>1677</v>
      </c>
      <c r="C783" s="1">
        <f t="shared" ca="1" si="60"/>
        <v>45586</v>
      </c>
      <c r="D783" t="str">
        <f t="shared" ca="1" si="61"/>
        <v>October</v>
      </c>
      <c r="E783" t="s">
        <v>29</v>
      </c>
      <c r="F783" t="s">
        <v>33</v>
      </c>
      <c r="G783" t="str">
        <f t="shared" si="62"/>
        <v>Women</v>
      </c>
      <c r="H783" t="str">
        <f t="shared" ca="1" si="63"/>
        <v>Amazon</v>
      </c>
      <c r="I783">
        <f t="shared" ca="1" si="64"/>
        <v>40</v>
      </c>
      <c r="J783" t="s">
        <v>842</v>
      </c>
      <c r="K783" t="s">
        <v>18</v>
      </c>
      <c r="L783" t="s">
        <v>35</v>
      </c>
      <c r="M783">
        <v>1</v>
      </c>
      <c r="N783" t="s">
        <v>20</v>
      </c>
      <c r="O783">
        <v>696</v>
      </c>
      <c r="P783" t="s">
        <v>122</v>
      </c>
      <c r="Q783" t="s">
        <v>22</v>
      </c>
      <c r="R783" t="s">
        <v>23</v>
      </c>
    </row>
    <row r="784" spans="1:18" x14ac:dyDescent="0.35">
      <c r="A784">
        <v>782</v>
      </c>
      <c r="B784" t="s">
        <v>1678</v>
      </c>
      <c r="C784" s="1">
        <f t="shared" ca="1" si="60"/>
        <v>44965</v>
      </c>
      <c r="D784" t="str">
        <f t="shared" ca="1" si="61"/>
        <v>February</v>
      </c>
      <c r="E784" t="s">
        <v>29</v>
      </c>
      <c r="F784" t="s">
        <v>33</v>
      </c>
      <c r="G784" t="str">
        <f t="shared" si="62"/>
        <v>Women</v>
      </c>
      <c r="H784" t="str">
        <f t="shared" ca="1" si="63"/>
        <v>Amazon</v>
      </c>
      <c r="I784">
        <f t="shared" ca="1" si="64"/>
        <v>41</v>
      </c>
      <c r="J784" t="s">
        <v>1679</v>
      </c>
      <c r="K784" t="s">
        <v>44</v>
      </c>
      <c r="L784" t="s">
        <v>62</v>
      </c>
      <c r="M784">
        <v>1</v>
      </c>
      <c r="N784" t="s">
        <v>20</v>
      </c>
      <c r="O784">
        <v>463</v>
      </c>
      <c r="P784" t="s">
        <v>1482</v>
      </c>
      <c r="Q784" t="s">
        <v>93</v>
      </c>
      <c r="R784" t="s">
        <v>23</v>
      </c>
    </row>
    <row r="785" spans="1:18" x14ac:dyDescent="0.35">
      <c r="A785">
        <v>783</v>
      </c>
      <c r="B785" t="s">
        <v>1680</v>
      </c>
      <c r="C785" s="1">
        <f t="shared" ca="1" si="60"/>
        <v>45446</v>
      </c>
      <c r="D785" t="str">
        <f t="shared" ca="1" si="61"/>
        <v>June</v>
      </c>
      <c r="E785" t="s">
        <v>15</v>
      </c>
      <c r="F785" t="s">
        <v>16</v>
      </c>
      <c r="G785" t="str">
        <f t="shared" si="62"/>
        <v>Women</v>
      </c>
      <c r="H785" t="str">
        <f t="shared" ca="1" si="63"/>
        <v>Flipkart</v>
      </c>
      <c r="I785">
        <f t="shared" ca="1" si="64"/>
        <v>38</v>
      </c>
      <c r="J785" t="s">
        <v>1681</v>
      </c>
      <c r="K785" t="s">
        <v>44</v>
      </c>
      <c r="L785" t="s">
        <v>40</v>
      </c>
      <c r="M785">
        <v>0</v>
      </c>
      <c r="N785" t="s">
        <v>20</v>
      </c>
      <c r="O785">
        <v>469.52</v>
      </c>
      <c r="P785" t="s">
        <v>396</v>
      </c>
      <c r="Q785" t="s">
        <v>22</v>
      </c>
      <c r="R785" t="s">
        <v>23</v>
      </c>
    </row>
    <row r="786" spans="1:18" x14ac:dyDescent="0.35">
      <c r="A786">
        <v>784</v>
      </c>
      <c r="B786" t="s">
        <v>1682</v>
      </c>
      <c r="C786" s="1">
        <f t="shared" ca="1" si="60"/>
        <v>45309</v>
      </c>
      <c r="D786" t="str">
        <f t="shared" ca="1" si="61"/>
        <v>January</v>
      </c>
      <c r="E786" t="s">
        <v>29</v>
      </c>
      <c r="F786" t="s">
        <v>33</v>
      </c>
      <c r="G786" t="str">
        <f t="shared" si="62"/>
        <v>Women</v>
      </c>
      <c r="H786" t="str">
        <f t="shared" ca="1" si="63"/>
        <v>Amazon</v>
      </c>
      <c r="I786">
        <f t="shared" ca="1" si="64"/>
        <v>26</v>
      </c>
      <c r="J786" t="s">
        <v>1683</v>
      </c>
      <c r="K786" t="s">
        <v>44</v>
      </c>
      <c r="L786" t="s">
        <v>40</v>
      </c>
      <c r="M786">
        <v>1</v>
      </c>
      <c r="N786" t="s">
        <v>20</v>
      </c>
      <c r="O786">
        <v>339</v>
      </c>
      <c r="P786" t="s">
        <v>396</v>
      </c>
      <c r="Q786" t="s">
        <v>22</v>
      </c>
      <c r="R786" t="s">
        <v>23</v>
      </c>
    </row>
    <row r="787" spans="1:18" x14ac:dyDescent="0.35">
      <c r="A787">
        <v>785</v>
      </c>
      <c r="B787" t="s">
        <v>1684</v>
      </c>
      <c r="C787" s="1">
        <f t="shared" ca="1" si="60"/>
        <v>45303</v>
      </c>
      <c r="D787" t="str">
        <f t="shared" ca="1" si="61"/>
        <v>January</v>
      </c>
      <c r="E787" t="s">
        <v>25</v>
      </c>
      <c r="F787" t="s">
        <v>16</v>
      </c>
      <c r="G787" t="str">
        <f t="shared" si="62"/>
        <v>Women</v>
      </c>
      <c r="H787" t="str">
        <f t="shared" ca="1" si="63"/>
        <v>Myntra</v>
      </c>
      <c r="I787">
        <f t="shared" ca="1" si="64"/>
        <v>43</v>
      </c>
      <c r="J787" t="s">
        <v>1685</v>
      </c>
      <c r="K787" t="s">
        <v>18</v>
      </c>
      <c r="L787" t="s">
        <v>28</v>
      </c>
      <c r="M787">
        <v>1</v>
      </c>
      <c r="N787" t="s">
        <v>20</v>
      </c>
      <c r="O787">
        <v>680</v>
      </c>
      <c r="P787" t="s">
        <v>1686</v>
      </c>
      <c r="Q787" t="s">
        <v>57</v>
      </c>
      <c r="R787" t="s">
        <v>23</v>
      </c>
    </row>
    <row r="788" spans="1:18" x14ac:dyDescent="0.35">
      <c r="A788">
        <v>786</v>
      </c>
      <c r="B788" t="s">
        <v>1687</v>
      </c>
      <c r="C788" s="1">
        <f t="shared" ca="1" si="60"/>
        <v>45011</v>
      </c>
      <c r="D788" t="str">
        <f t="shared" ca="1" si="61"/>
        <v>March</v>
      </c>
      <c r="E788" t="s">
        <v>29</v>
      </c>
      <c r="F788" t="s">
        <v>33</v>
      </c>
      <c r="G788" t="str">
        <f t="shared" si="62"/>
        <v>Women</v>
      </c>
      <c r="H788" t="str">
        <f t="shared" ca="1" si="63"/>
        <v>Amazon</v>
      </c>
      <c r="I788">
        <f t="shared" ca="1" si="64"/>
        <v>25</v>
      </c>
      <c r="J788" t="s">
        <v>169</v>
      </c>
      <c r="K788" t="s">
        <v>18</v>
      </c>
      <c r="L788" t="s">
        <v>19</v>
      </c>
      <c r="M788">
        <v>1</v>
      </c>
      <c r="N788" t="s">
        <v>20</v>
      </c>
      <c r="O788">
        <v>759</v>
      </c>
      <c r="P788" t="s">
        <v>470</v>
      </c>
      <c r="Q788" t="s">
        <v>93</v>
      </c>
      <c r="R788" t="s">
        <v>23</v>
      </c>
    </row>
    <row r="789" spans="1:18" x14ac:dyDescent="0.35">
      <c r="A789">
        <v>787</v>
      </c>
      <c r="B789" t="s">
        <v>1688</v>
      </c>
      <c r="C789" s="1">
        <f t="shared" ca="1" si="60"/>
        <v>45423</v>
      </c>
      <c r="D789" t="str">
        <f t="shared" ca="1" si="61"/>
        <v>May</v>
      </c>
      <c r="E789" t="s">
        <v>29</v>
      </c>
      <c r="F789" t="s">
        <v>33</v>
      </c>
      <c r="G789" t="str">
        <f t="shared" si="62"/>
        <v>Women</v>
      </c>
      <c r="H789" t="str">
        <f t="shared" ca="1" si="63"/>
        <v>Amazon</v>
      </c>
      <c r="I789">
        <f t="shared" ca="1" si="64"/>
        <v>46</v>
      </c>
      <c r="J789" t="s">
        <v>100</v>
      </c>
      <c r="K789" t="s">
        <v>18</v>
      </c>
      <c r="L789" t="s">
        <v>101</v>
      </c>
      <c r="M789">
        <v>1</v>
      </c>
      <c r="N789" t="s">
        <v>20</v>
      </c>
      <c r="O789">
        <v>626</v>
      </c>
      <c r="P789" t="s">
        <v>1689</v>
      </c>
      <c r="Q789" t="s">
        <v>153</v>
      </c>
      <c r="R789" t="s">
        <v>23</v>
      </c>
    </row>
    <row r="790" spans="1:18" x14ac:dyDescent="0.35">
      <c r="A790">
        <v>788</v>
      </c>
      <c r="B790" t="s">
        <v>1690</v>
      </c>
      <c r="C790" s="1">
        <f t="shared" ca="1" si="60"/>
        <v>45483</v>
      </c>
      <c r="D790" t="str">
        <f t="shared" ca="1" si="61"/>
        <v>July</v>
      </c>
      <c r="E790" t="s">
        <v>25</v>
      </c>
      <c r="F790" t="s">
        <v>16</v>
      </c>
      <c r="G790" t="str">
        <f t="shared" si="62"/>
        <v>Men</v>
      </c>
      <c r="H790" t="str">
        <f t="shared" ca="1" si="63"/>
        <v>Flipkart</v>
      </c>
      <c r="I790">
        <f t="shared" ca="1" si="64"/>
        <v>47</v>
      </c>
      <c r="J790" t="s">
        <v>579</v>
      </c>
      <c r="K790" t="s">
        <v>27</v>
      </c>
      <c r="L790" t="s">
        <v>40</v>
      </c>
      <c r="M790">
        <v>1</v>
      </c>
      <c r="N790" t="s">
        <v>20</v>
      </c>
      <c r="O790">
        <v>399</v>
      </c>
      <c r="P790" t="s">
        <v>263</v>
      </c>
      <c r="Q790" t="s">
        <v>264</v>
      </c>
      <c r="R790" t="s">
        <v>23</v>
      </c>
    </row>
    <row r="791" spans="1:18" x14ac:dyDescent="0.35">
      <c r="A791">
        <v>789</v>
      </c>
      <c r="B791" t="s">
        <v>1691</v>
      </c>
      <c r="C791" s="1">
        <f t="shared" ca="1" si="60"/>
        <v>45321</v>
      </c>
      <c r="D791" t="str">
        <f t="shared" ca="1" si="61"/>
        <v>January</v>
      </c>
      <c r="E791" t="s">
        <v>29</v>
      </c>
      <c r="F791" t="s">
        <v>33</v>
      </c>
      <c r="G791" t="str">
        <f t="shared" si="62"/>
        <v>Women</v>
      </c>
      <c r="H791" t="str">
        <f t="shared" ca="1" si="63"/>
        <v>Amazon</v>
      </c>
      <c r="I791">
        <f t="shared" ca="1" si="64"/>
        <v>36</v>
      </c>
      <c r="J791" t="s">
        <v>1692</v>
      </c>
      <c r="K791" t="s">
        <v>44</v>
      </c>
      <c r="L791" t="s">
        <v>28</v>
      </c>
      <c r="M791">
        <v>1</v>
      </c>
      <c r="N791" t="s">
        <v>20</v>
      </c>
      <c r="O791">
        <v>599</v>
      </c>
      <c r="P791" t="s">
        <v>21</v>
      </c>
      <c r="Q791" t="s">
        <v>22</v>
      </c>
      <c r="R791" t="s">
        <v>23</v>
      </c>
    </row>
    <row r="792" spans="1:18" x14ac:dyDescent="0.35">
      <c r="A792">
        <v>790</v>
      </c>
      <c r="B792" t="s">
        <v>1693</v>
      </c>
      <c r="C792" s="1">
        <f t="shared" ca="1" si="60"/>
        <v>44940</v>
      </c>
      <c r="D792" t="str">
        <f t="shared" ca="1" si="61"/>
        <v>January</v>
      </c>
      <c r="E792" t="s">
        <v>29</v>
      </c>
      <c r="F792" t="s">
        <v>33</v>
      </c>
      <c r="G792" t="str">
        <f t="shared" si="62"/>
        <v>Men</v>
      </c>
      <c r="H792" t="str">
        <f t="shared" ca="1" si="63"/>
        <v>Amazon</v>
      </c>
      <c r="I792">
        <f t="shared" ca="1" si="64"/>
        <v>34</v>
      </c>
      <c r="J792" t="s">
        <v>940</v>
      </c>
      <c r="K792" t="s">
        <v>27</v>
      </c>
      <c r="L792" t="s">
        <v>28</v>
      </c>
      <c r="M792">
        <v>1</v>
      </c>
      <c r="N792" t="s">
        <v>20</v>
      </c>
      <c r="O792">
        <v>399</v>
      </c>
      <c r="P792" t="s">
        <v>88</v>
      </c>
      <c r="Q792" t="s">
        <v>89</v>
      </c>
      <c r="R792" t="s">
        <v>23</v>
      </c>
    </row>
    <row r="793" spans="1:18" x14ac:dyDescent="0.35">
      <c r="A793">
        <v>791</v>
      </c>
      <c r="B793" t="s">
        <v>1694</v>
      </c>
      <c r="C793" s="1">
        <f t="shared" ca="1" si="60"/>
        <v>45368</v>
      </c>
      <c r="D793" t="str">
        <f t="shared" ca="1" si="61"/>
        <v>March</v>
      </c>
      <c r="E793" t="s">
        <v>29</v>
      </c>
      <c r="F793" t="s">
        <v>33</v>
      </c>
      <c r="G793" t="str">
        <f t="shared" si="62"/>
        <v>Women</v>
      </c>
      <c r="H793" t="str">
        <f t="shared" ca="1" si="63"/>
        <v>Amazon</v>
      </c>
      <c r="I793">
        <f t="shared" ca="1" si="64"/>
        <v>41</v>
      </c>
      <c r="J793" t="s">
        <v>1695</v>
      </c>
      <c r="K793" t="s">
        <v>18</v>
      </c>
      <c r="L793" t="s">
        <v>101</v>
      </c>
      <c r="M793">
        <v>1</v>
      </c>
      <c r="N793" t="s">
        <v>20</v>
      </c>
      <c r="O793">
        <v>599</v>
      </c>
      <c r="P793" t="s">
        <v>580</v>
      </c>
      <c r="Q793" t="s">
        <v>31</v>
      </c>
      <c r="R793" t="s">
        <v>23</v>
      </c>
    </row>
    <row r="794" spans="1:18" x14ac:dyDescent="0.35">
      <c r="A794">
        <v>792</v>
      </c>
      <c r="B794" t="s">
        <v>1696</v>
      </c>
      <c r="C794" s="1">
        <f t="shared" ca="1" si="60"/>
        <v>45540</v>
      </c>
      <c r="D794" t="str">
        <f t="shared" ca="1" si="61"/>
        <v>September</v>
      </c>
      <c r="E794" t="s">
        <v>29</v>
      </c>
      <c r="F794" t="s">
        <v>33</v>
      </c>
      <c r="G794" t="str">
        <f t="shared" si="62"/>
        <v>Men</v>
      </c>
      <c r="H794" t="str">
        <f t="shared" ca="1" si="63"/>
        <v>Amazon</v>
      </c>
      <c r="I794">
        <f t="shared" ca="1" si="64"/>
        <v>43</v>
      </c>
      <c r="J794" t="s">
        <v>1674</v>
      </c>
      <c r="K794" t="s">
        <v>27</v>
      </c>
      <c r="L794" t="s">
        <v>19</v>
      </c>
      <c r="M794">
        <v>1</v>
      </c>
      <c r="N794" t="s">
        <v>20</v>
      </c>
      <c r="O794">
        <v>291</v>
      </c>
      <c r="P794" t="s">
        <v>30</v>
      </c>
      <c r="Q794" t="s">
        <v>31</v>
      </c>
      <c r="R794" t="s">
        <v>23</v>
      </c>
    </row>
    <row r="795" spans="1:18" x14ac:dyDescent="0.35">
      <c r="A795">
        <v>793</v>
      </c>
      <c r="B795" t="s">
        <v>1696</v>
      </c>
      <c r="C795" s="1">
        <f t="shared" ca="1" si="60"/>
        <v>44944</v>
      </c>
      <c r="D795" t="str">
        <f t="shared" ca="1" si="61"/>
        <v>January</v>
      </c>
      <c r="E795" t="s">
        <v>29</v>
      </c>
      <c r="F795" t="s">
        <v>33</v>
      </c>
      <c r="G795" t="str">
        <f t="shared" si="62"/>
        <v>Men</v>
      </c>
      <c r="H795" t="str">
        <f t="shared" ca="1" si="63"/>
        <v>Amazon</v>
      </c>
      <c r="I795">
        <f t="shared" ca="1" si="64"/>
        <v>27</v>
      </c>
      <c r="J795" t="s">
        <v>1697</v>
      </c>
      <c r="K795" t="s">
        <v>27</v>
      </c>
      <c r="L795" t="s">
        <v>19</v>
      </c>
      <c r="M795">
        <v>1</v>
      </c>
      <c r="N795" t="s">
        <v>20</v>
      </c>
      <c r="O795">
        <v>276</v>
      </c>
      <c r="P795" t="s">
        <v>30</v>
      </c>
      <c r="Q795" t="s">
        <v>31</v>
      </c>
      <c r="R795" t="s">
        <v>23</v>
      </c>
    </row>
    <row r="796" spans="1:18" x14ac:dyDescent="0.35">
      <c r="A796">
        <v>794</v>
      </c>
      <c r="B796" t="s">
        <v>1696</v>
      </c>
      <c r="C796" s="1">
        <f t="shared" ca="1" si="60"/>
        <v>44950</v>
      </c>
      <c r="D796" t="str">
        <f t="shared" ca="1" si="61"/>
        <v>January</v>
      </c>
      <c r="E796" t="s">
        <v>29</v>
      </c>
      <c r="F796" t="s">
        <v>33</v>
      </c>
      <c r="G796" t="str">
        <f t="shared" si="62"/>
        <v>Women</v>
      </c>
      <c r="H796" t="str">
        <f t="shared" ca="1" si="63"/>
        <v>Amazon</v>
      </c>
      <c r="I796">
        <f t="shared" ca="1" si="64"/>
        <v>35</v>
      </c>
      <c r="J796" t="s">
        <v>1698</v>
      </c>
      <c r="K796" t="s">
        <v>18</v>
      </c>
      <c r="L796" t="s">
        <v>19</v>
      </c>
      <c r="M796">
        <v>1</v>
      </c>
      <c r="N796" t="s">
        <v>20</v>
      </c>
      <c r="O796">
        <v>626</v>
      </c>
      <c r="P796" t="s">
        <v>30</v>
      </c>
      <c r="Q796" t="s">
        <v>31</v>
      </c>
      <c r="R796" t="s">
        <v>23</v>
      </c>
    </row>
    <row r="797" spans="1:18" x14ac:dyDescent="0.35">
      <c r="A797">
        <v>795</v>
      </c>
      <c r="B797" t="s">
        <v>1696</v>
      </c>
      <c r="C797" s="1">
        <f t="shared" ca="1" si="60"/>
        <v>45144</v>
      </c>
      <c r="D797" t="str">
        <f t="shared" ca="1" si="61"/>
        <v>August</v>
      </c>
      <c r="E797" t="s">
        <v>29</v>
      </c>
      <c r="F797" t="s">
        <v>33</v>
      </c>
      <c r="G797" t="str">
        <f t="shared" si="62"/>
        <v>Men</v>
      </c>
      <c r="H797" t="str">
        <f t="shared" ca="1" si="63"/>
        <v>Amazon</v>
      </c>
      <c r="I797">
        <f t="shared" ca="1" si="64"/>
        <v>18</v>
      </c>
      <c r="J797" t="s">
        <v>1571</v>
      </c>
      <c r="K797" t="s">
        <v>27</v>
      </c>
      <c r="L797" t="s">
        <v>19</v>
      </c>
      <c r="M797">
        <v>1</v>
      </c>
      <c r="N797" t="s">
        <v>20</v>
      </c>
      <c r="O797">
        <v>283</v>
      </c>
      <c r="P797" t="s">
        <v>30</v>
      </c>
      <c r="Q797" t="s">
        <v>31</v>
      </c>
      <c r="R797" t="s">
        <v>23</v>
      </c>
    </row>
    <row r="798" spans="1:18" x14ac:dyDescent="0.35">
      <c r="A798">
        <v>796</v>
      </c>
      <c r="B798" t="s">
        <v>1699</v>
      </c>
      <c r="C798" s="1">
        <f t="shared" ca="1" si="60"/>
        <v>45509</v>
      </c>
      <c r="D798" t="str">
        <f t="shared" ca="1" si="61"/>
        <v>August</v>
      </c>
      <c r="E798" t="s">
        <v>25</v>
      </c>
      <c r="F798" t="s">
        <v>16</v>
      </c>
      <c r="G798" t="str">
        <f t="shared" si="62"/>
        <v>Women</v>
      </c>
      <c r="H798" t="str">
        <f t="shared" ca="1" si="63"/>
        <v>Myntra</v>
      </c>
      <c r="I798">
        <f t="shared" ca="1" si="64"/>
        <v>20</v>
      </c>
      <c r="J798" t="s">
        <v>975</v>
      </c>
      <c r="K798" t="s">
        <v>39</v>
      </c>
      <c r="L798" t="s">
        <v>68</v>
      </c>
      <c r="M798">
        <v>1</v>
      </c>
      <c r="N798" t="s">
        <v>20</v>
      </c>
      <c r="O798">
        <v>725</v>
      </c>
      <c r="P798" t="s">
        <v>30</v>
      </c>
      <c r="Q798" t="s">
        <v>31</v>
      </c>
      <c r="R798" t="s">
        <v>23</v>
      </c>
    </row>
    <row r="799" spans="1:18" x14ac:dyDescent="0.35">
      <c r="A799">
        <v>797</v>
      </c>
      <c r="B799" t="s">
        <v>1699</v>
      </c>
      <c r="C799" s="1">
        <f t="shared" ca="1" si="60"/>
        <v>44963</v>
      </c>
      <c r="D799" t="str">
        <f t="shared" ca="1" si="61"/>
        <v>February</v>
      </c>
      <c r="E799" t="s">
        <v>25</v>
      </c>
      <c r="F799" t="s">
        <v>16</v>
      </c>
      <c r="G799" t="str">
        <f t="shared" si="62"/>
        <v>Men</v>
      </c>
      <c r="H799" t="str">
        <f t="shared" ca="1" si="63"/>
        <v>Flipkart</v>
      </c>
      <c r="I799">
        <f t="shared" ca="1" si="64"/>
        <v>44</v>
      </c>
      <c r="J799" t="s">
        <v>1569</v>
      </c>
      <c r="K799" t="s">
        <v>27</v>
      </c>
      <c r="L799" t="s">
        <v>19</v>
      </c>
      <c r="M799">
        <v>1</v>
      </c>
      <c r="N799" t="s">
        <v>20</v>
      </c>
      <c r="O799">
        <v>295</v>
      </c>
      <c r="P799" t="s">
        <v>30</v>
      </c>
      <c r="Q799" t="s">
        <v>31</v>
      </c>
      <c r="R799" t="s">
        <v>23</v>
      </c>
    </row>
    <row r="800" spans="1:18" x14ac:dyDescent="0.35">
      <c r="A800">
        <v>798</v>
      </c>
      <c r="B800" t="s">
        <v>1700</v>
      </c>
      <c r="C800" s="1">
        <f t="shared" ca="1" si="60"/>
        <v>45093</v>
      </c>
      <c r="D800" t="str">
        <f t="shared" ca="1" si="61"/>
        <v>June</v>
      </c>
      <c r="E800" t="s">
        <v>29</v>
      </c>
      <c r="F800" t="s">
        <v>33</v>
      </c>
      <c r="G800" t="str">
        <f t="shared" si="62"/>
        <v>Men</v>
      </c>
      <c r="H800" t="str">
        <f t="shared" ca="1" si="63"/>
        <v>Amazon</v>
      </c>
      <c r="I800">
        <f t="shared" ca="1" si="64"/>
        <v>42</v>
      </c>
      <c r="J800" t="s">
        <v>1000</v>
      </c>
      <c r="K800" t="s">
        <v>27</v>
      </c>
      <c r="L800" t="s">
        <v>35</v>
      </c>
      <c r="M800">
        <v>1</v>
      </c>
      <c r="N800" t="s">
        <v>20</v>
      </c>
      <c r="O800">
        <v>518</v>
      </c>
      <c r="P800" t="s">
        <v>30</v>
      </c>
      <c r="Q800" t="s">
        <v>31</v>
      </c>
      <c r="R800" t="s">
        <v>23</v>
      </c>
    </row>
    <row r="801" spans="1:18" x14ac:dyDescent="0.35">
      <c r="A801">
        <v>799</v>
      </c>
      <c r="B801" t="s">
        <v>1701</v>
      </c>
      <c r="C801" s="1">
        <f t="shared" ca="1" si="60"/>
        <v>45282</v>
      </c>
      <c r="D801" t="str">
        <f t="shared" ca="1" si="61"/>
        <v>December</v>
      </c>
      <c r="E801" t="s">
        <v>29</v>
      </c>
      <c r="F801" t="s">
        <v>33</v>
      </c>
      <c r="G801" t="str">
        <f t="shared" si="62"/>
        <v>Men</v>
      </c>
      <c r="H801" t="str">
        <f t="shared" ca="1" si="63"/>
        <v>Amazon</v>
      </c>
      <c r="I801">
        <f t="shared" ca="1" si="64"/>
        <v>22</v>
      </c>
      <c r="J801" t="s">
        <v>151</v>
      </c>
      <c r="K801" t="s">
        <v>27</v>
      </c>
      <c r="L801" t="s">
        <v>40</v>
      </c>
      <c r="M801">
        <v>1</v>
      </c>
      <c r="N801" t="s">
        <v>20</v>
      </c>
      <c r="O801">
        <v>399</v>
      </c>
      <c r="P801" t="s">
        <v>133</v>
      </c>
      <c r="Q801" t="s">
        <v>50</v>
      </c>
      <c r="R801" t="s">
        <v>23</v>
      </c>
    </row>
    <row r="802" spans="1:18" x14ac:dyDescent="0.35">
      <c r="A802">
        <v>800</v>
      </c>
      <c r="B802" t="s">
        <v>1702</v>
      </c>
      <c r="C802" s="1">
        <f t="shared" ca="1" si="60"/>
        <v>45223</v>
      </c>
      <c r="D802" t="str">
        <f t="shared" ca="1" si="61"/>
        <v>October</v>
      </c>
      <c r="E802" t="s">
        <v>29</v>
      </c>
      <c r="F802" t="s">
        <v>33</v>
      </c>
      <c r="G802" t="str">
        <f t="shared" si="62"/>
        <v>Women</v>
      </c>
      <c r="H802" t="str">
        <f t="shared" ca="1" si="63"/>
        <v>Amazon</v>
      </c>
      <c r="I802">
        <f t="shared" ca="1" si="64"/>
        <v>39</v>
      </c>
      <c r="J802" t="s">
        <v>216</v>
      </c>
      <c r="K802" t="s">
        <v>18</v>
      </c>
      <c r="L802" t="s">
        <v>68</v>
      </c>
      <c r="M802">
        <v>1</v>
      </c>
      <c r="N802" t="s">
        <v>20</v>
      </c>
      <c r="O802">
        <v>852</v>
      </c>
      <c r="P802" t="s">
        <v>272</v>
      </c>
      <c r="Q802" t="s">
        <v>46</v>
      </c>
      <c r="R802" t="s">
        <v>23</v>
      </c>
    </row>
    <row r="803" spans="1:18" x14ac:dyDescent="0.35">
      <c r="A803">
        <v>801</v>
      </c>
      <c r="B803" t="s">
        <v>1703</v>
      </c>
      <c r="C803" s="1">
        <f t="shared" ca="1" si="60"/>
        <v>45543</v>
      </c>
      <c r="D803" t="str">
        <f t="shared" ca="1" si="61"/>
        <v>September</v>
      </c>
      <c r="E803" t="s">
        <v>29</v>
      </c>
      <c r="F803" t="s">
        <v>33</v>
      </c>
      <c r="G803" t="str">
        <f t="shared" si="62"/>
        <v>Women</v>
      </c>
      <c r="H803" t="str">
        <f t="shared" ca="1" si="63"/>
        <v>Amazon</v>
      </c>
      <c r="I803">
        <f t="shared" ca="1" si="64"/>
        <v>55</v>
      </c>
      <c r="J803" t="s">
        <v>59</v>
      </c>
      <c r="K803" t="s">
        <v>18</v>
      </c>
      <c r="L803" t="s">
        <v>28</v>
      </c>
      <c r="M803">
        <v>1</v>
      </c>
      <c r="N803" t="s">
        <v>20</v>
      </c>
      <c r="O803">
        <v>568</v>
      </c>
      <c r="P803" t="s">
        <v>1317</v>
      </c>
      <c r="Q803" t="s">
        <v>50</v>
      </c>
      <c r="R803" t="s">
        <v>23</v>
      </c>
    </row>
    <row r="804" spans="1:18" x14ac:dyDescent="0.35">
      <c r="A804">
        <v>802</v>
      </c>
      <c r="B804" t="s">
        <v>1704</v>
      </c>
      <c r="C804" s="1">
        <f t="shared" ca="1" si="60"/>
        <v>45212</v>
      </c>
      <c r="D804" t="str">
        <f t="shared" ca="1" si="61"/>
        <v>October</v>
      </c>
      <c r="E804" t="s">
        <v>29</v>
      </c>
      <c r="F804" t="s">
        <v>33</v>
      </c>
      <c r="G804" t="str">
        <f t="shared" si="62"/>
        <v>Women</v>
      </c>
      <c r="H804" t="str">
        <f t="shared" ca="1" si="63"/>
        <v>Amazon</v>
      </c>
      <c r="I804">
        <f t="shared" ca="1" si="64"/>
        <v>19</v>
      </c>
      <c r="J804" t="s">
        <v>1705</v>
      </c>
      <c r="K804" t="s">
        <v>39</v>
      </c>
      <c r="L804" t="s">
        <v>35</v>
      </c>
      <c r="M804">
        <v>1</v>
      </c>
      <c r="N804" t="s">
        <v>20</v>
      </c>
      <c r="O804">
        <v>771</v>
      </c>
      <c r="P804" t="s">
        <v>177</v>
      </c>
      <c r="Q804" t="s">
        <v>57</v>
      </c>
      <c r="R804" t="s">
        <v>23</v>
      </c>
    </row>
    <row r="805" spans="1:18" x14ac:dyDescent="0.35">
      <c r="A805">
        <v>803</v>
      </c>
      <c r="B805" t="s">
        <v>1706</v>
      </c>
      <c r="C805" s="1">
        <f t="shared" ca="1" si="60"/>
        <v>45568</v>
      </c>
      <c r="D805" t="str">
        <f t="shared" ca="1" si="61"/>
        <v>October</v>
      </c>
      <c r="E805" t="s">
        <v>29</v>
      </c>
      <c r="F805" t="s">
        <v>33</v>
      </c>
      <c r="G805" t="str">
        <f t="shared" si="62"/>
        <v>Women</v>
      </c>
      <c r="H805" t="str">
        <f t="shared" ca="1" si="63"/>
        <v>Amazon</v>
      </c>
      <c r="I805">
        <f t="shared" ca="1" si="64"/>
        <v>42</v>
      </c>
      <c r="J805" t="s">
        <v>1707</v>
      </c>
      <c r="K805" t="s">
        <v>18</v>
      </c>
      <c r="L805" t="s">
        <v>19</v>
      </c>
      <c r="M805">
        <v>1</v>
      </c>
      <c r="N805" t="s">
        <v>20</v>
      </c>
      <c r="O805">
        <v>1669</v>
      </c>
      <c r="P805" t="s">
        <v>69</v>
      </c>
      <c r="Q805" t="s">
        <v>50</v>
      </c>
      <c r="R805" t="s">
        <v>23</v>
      </c>
    </row>
    <row r="806" spans="1:18" x14ac:dyDescent="0.35">
      <c r="A806">
        <v>804</v>
      </c>
      <c r="B806" t="s">
        <v>1708</v>
      </c>
      <c r="C806" s="1">
        <f t="shared" ca="1" si="60"/>
        <v>45425</v>
      </c>
      <c r="D806" t="str">
        <f t="shared" ca="1" si="61"/>
        <v>May</v>
      </c>
      <c r="E806" t="s">
        <v>29</v>
      </c>
      <c r="F806" t="s">
        <v>33</v>
      </c>
      <c r="G806" t="str">
        <f t="shared" si="62"/>
        <v>Women</v>
      </c>
      <c r="H806" t="str">
        <f t="shared" ca="1" si="63"/>
        <v>Amazon</v>
      </c>
      <c r="I806">
        <f t="shared" ca="1" si="64"/>
        <v>25</v>
      </c>
      <c r="J806" t="s">
        <v>1709</v>
      </c>
      <c r="K806" t="s">
        <v>44</v>
      </c>
      <c r="L806" t="s">
        <v>62</v>
      </c>
      <c r="M806">
        <v>1</v>
      </c>
      <c r="N806" t="s">
        <v>20</v>
      </c>
      <c r="O806">
        <v>540</v>
      </c>
      <c r="P806" t="s">
        <v>1710</v>
      </c>
      <c r="Q806" t="s">
        <v>114</v>
      </c>
      <c r="R806" t="s">
        <v>23</v>
      </c>
    </row>
    <row r="807" spans="1:18" x14ac:dyDescent="0.35">
      <c r="A807">
        <v>805</v>
      </c>
      <c r="B807" t="s">
        <v>1711</v>
      </c>
      <c r="C807" s="1">
        <f t="shared" ca="1" si="60"/>
        <v>45303</v>
      </c>
      <c r="D807" t="str">
        <f t="shared" ca="1" si="61"/>
        <v>January</v>
      </c>
      <c r="E807" t="s">
        <v>29</v>
      </c>
      <c r="F807" t="s">
        <v>33</v>
      </c>
      <c r="G807" t="str">
        <f t="shared" si="62"/>
        <v>Women</v>
      </c>
      <c r="H807" t="str">
        <f t="shared" ca="1" si="63"/>
        <v>Amazon</v>
      </c>
      <c r="I807">
        <f t="shared" ca="1" si="64"/>
        <v>32</v>
      </c>
      <c r="J807" t="s">
        <v>1395</v>
      </c>
      <c r="K807" t="s">
        <v>18</v>
      </c>
      <c r="L807" t="s">
        <v>101</v>
      </c>
      <c r="M807">
        <v>1</v>
      </c>
      <c r="N807" t="s">
        <v>20</v>
      </c>
      <c r="O807">
        <v>1112</v>
      </c>
      <c r="P807" t="s">
        <v>1712</v>
      </c>
      <c r="Q807" t="s">
        <v>110</v>
      </c>
      <c r="R807" t="s">
        <v>23</v>
      </c>
    </row>
    <row r="808" spans="1:18" x14ac:dyDescent="0.35">
      <c r="A808">
        <v>806</v>
      </c>
      <c r="B808" t="s">
        <v>1711</v>
      </c>
      <c r="C808" s="1">
        <f t="shared" ca="1" si="60"/>
        <v>45602</v>
      </c>
      <c r="D808" t="str">
        <f t="shared" ca="1" si="61"/>
        <v>November</v>
      </c>
      <c r="E808" t="s">
        <v>29</v>
      </c>
      <c r="F808" t="s">
        <v>33</v>
      </c>
      <c r="G808" t="str">
        <f t="shared" si="62"/>
        <v>Men</v>
      </c>
      <c r="H808" t="str">
        <f t="shared" ca="1" si="63"/>
        <v>Amazon</v>
      </c>
      <c r="I808">
        <f t="shared" ca="1" si="64"/>
        <v>54</v>
      </c>
      <c r="J808" t="s">
        <v>212</v>
      </c>
      <c r="K808" t="s">
        <v>27</v>
      </c>
      <c r="L808" t="s">
        <v>101</v>
      </c>
      <c r="M808">
        <v>1</v>
      </c>
      <c r="N808" t="s">
        <v>20</v>
      </c>
      <c r="O808">
        <v>518</v>
      </c>
      <c r="P808" t="s">
        <v>1712</v>
      </c>
      <c r="Q808" t="s">
        <v>110</v>
      </c>
      <c r="R808" t="s">
        <v>23</v>
      </c>
    </row>
    <row r="809" spans="1:18" x14ac:dyDescent="0.35">
      <c r="A809">
        <v>807</v>
      </c>
      <c r="B809" t="s">
        <v>1713</v>
      </c>
      <c r="C809" s="1">
        <f t="shared" ca="1" si="60"/>
        <v>45517</v>
      </c>
      <c r="D809" t="str">
        <f t="shared" ca="1" si="61"/>
        <v>August</v>
      </c>
      <c r="E809" t="s">
        <v>29</v>
      </c>
      <c r="F809" t="s">
        <v>33</v>
      </c>
      <c r="G809" t="str">
        <f t="shared" si="62"/>
        <v>Women</v>
      </c>
      <c r="H809" t="str">
        <f t="shared" ca="1" si="63"/>
        <v>Amazon</v>
      </c>
      <c r="I809">
        <f t="shared" ca="1" si="64"/>
        <v>55</v>
      </c>
      <c r="J809" t="s">
        <v>453</v>
      </c>
      <c r="K809" t="s">
        <v>18</v>
      </c>
      <c r="L809" t="s">
        <v>28</v>
      </c>
      <c r="M809">
        <v>1</v>
      </c>
      <c r="N809" t="s">
        <v>20</v>
      </c>
      <c r="O809">
        <v>1115</v>
      </c>
      <c r="P809" t="s">
        <v>1714</v>
      </c>
      <c r="Q809" t="s">
        <v>22</v>
      </c>
      <c r="R809" t="s">
        <v>23</v>
      </c>
    </row>
    <row r="810" spans="1:18" x14ac:dyDescent="0.35">
      <c r="A810">
        <v>808</v>
      </c>
      <c r="B810" t="s">
        <v>1713</v>
      </c>
      <c r="C810" s="1">
        <f t="shared" ca="1" si="60"/>
        <v>45120</v>
      </c>
      <c r="D810" t="str">
        <f t="shared" ca="1" si="61"/>
        <v>July</v>
      </c>
      <c r="E810" t="s">
        <v>29</v>
      </c>
      <c r="F810" t="s">
        <v>33</v>
      </c>
      <c r="G810" t="str">
        <f t="shared" si="62"/>
        <v>Women</v>
      </c>
      <c r="H810" t="str">
        <f t="shared" ca="1" si="63"/>
        <v>Amazon</v>
      </c>
      <c r="I810">
        <f t="shared" ca="1" si="64"/>
        <v>55</v>
      </c>
      <c r="J810" t="s">
        <v>944</v>
      </c>
      <c r="K810" t="s">
        <v>18</v>
      </c>
      <c r="L810" t="s">
        <v>62</v>
      </c>
      <c r="M810">
        <v>1</v>
      </c>
      <c r="N810" t="s">
        <v>20</v>
      </c>
      <c r="O810">
        <v>1112</v>
      </c>
      <c r="P810" t="s">
        <v>1714</v>
      </c>
      <c r="Q810" t="s">
        <v>22</v>
      </c>
      <c r="R810" t="s">
        <v>23</v>
      </c>
    </row>
    <row r="811" spans="1:18" x14ac:dyDescent="0.35">
      <c r="A811">
        <v>809</v>
      </c>
      <c r="B811" t="s">
        <v>1713</v>
      </c>
      <c r="C811" s="1">
        <f t="shared" ca="1" si="60"/>
        <v>45534</v>
      </c>
      <c r="D811" t="str">
        <f t="shared" ca="1" si="61"/>
        <v>August</v>
      </c>
      <c r="E811" t="s">
        <v>29</v>
      </c>
      <c r="F811" t="s">
        <v>33</v>
      </c>
      <c r="G811" t="str">
        <f t="shared" si="62"/>
        <v>Men</v>
      </c>
      <c r="H811" t="str">
        <f t="shared" ca="1" si="63"/>
        <v>Amazon</v>
      </c>
      <c r="I811">
        <f t="shared" ca="1" si="64"/>
        <v>47</v>
      </c>
      <c r="J811" t="s">
        <v>940</v>
      </c>
      <c r="K811" t="s">
        <v>27</v>
      </c>
      <c r="L811" t="s">
        <v>28</v>
      </c>
      <c r="M811">
        <v>1</v>
      </c>
      <c r="N811" t="s">
        <v>20</v>
      </c>
      <c r="O811">
        <v>399</v>
      </c>
      <c r="P811" t="s">
        <v>1714</v>
      </c>
      <c r="Q811" t="s">
        <v>22</v>
      </c>
      <c r="R811" t="s">
        <v>23</v>
      </c>
    </row>
    <row r="812" spans="1:18" x14ac:dyDescent="0.35">
      <c r="A812">
        <v>810</v>
      </c>
      <c r="B812" t="s">
        <v>1715</v>
      </c>
      <c r="C812" s="1">
        <f t="shared" ca="1" si="60"/>
        <v>45303</v>
      </c>
      <c r="D812" t="str">
        <f t="shared" ca="1" si="61"/>
        <v>January</v>
      </c>
      <c r="E812" t="s">
        <v>29</v>
      </c>
      <c r="F812" t="s">
        <v>33</v>
      </c>
      <c r="G812" t="str">
        <f t="shared" si="62"/>
        <v>Men</v>
      </c>
      <c r="H812" t="str">
        <f t="shared" ca="1" si="63"/>
        <v>Amazon</v>
      </c>
      <c r="I812">
        <f t="shared" ca="1" si="64"/>
        <v>27</v>
      </c>
      <c r="J812" t="s">
        <v>1716</v>
      </c>
      <c r="K812" t="s">
        <v>27</v>
      </c>
      <c r="L812" t="s">
        <v>35</v>
      </c>
      <c r="M812">
        <v>1</v>
      </c>
      <c r="N812" t="s">
        <v>20</v>
      </c>
      <c r="O812">
        <v>476</v>
      </c>
      <c r="P812" t="s">
        <v>1717</v>
      </c>
      <c r="Q812" t="s">
        <v>153</v>
      </c>
      <c r="R812" t="s">
        <v>23</v>
      </c>
    </row>
    <row r="813" spans="1:18" x14ac:dyDescent="0.35">
      <c r="A813">
        <v>811</v>
      </c>
      <c r="B813" t="s">
        <v>1718</v>
      </c>
      <c r="C813" s="1">
        <f t="shared" ca="1" si="60"/>
        <v>44931</v>
      </c>
      <c r="D813" t="str">
        <f t="shared" ca="1" si="61"/>
        <v>January</v>
      </c>
      <c r="E813" t="s">
        <v>25</v>
      </c>
      <c r="F813" t="s">
        <v>16</v>
      </c>
      <c r="G813" t="str">
        <f t="shared" si="62"/>
        <v>Men</v>
      </c>
      <c r="H813" t="str">
        <f t="shared" ca="1" si="63"/>
        <v>Myntra</v>
      </c>
      <c r="I813">
        <f t="shared" ca="1" si="64"/>
        <v>56</v>
      </c>
      <c r="J813" t="s">
        <v>1719</v>
      </c>
      <c r="K813" t="s">
        <v>27</v>
      </c>
      <c r="L813" t="s">
        <v>101</v>
      </c>
      <c r="M813">
        <v>1</v>
      </c>
      <c r="N813" t="s">
        <v>20</v>
      </c>
      <c r="O813">
        <v>499</v>
      </c>
      <c r="P813" t="s">
        <v>1720</v>
      </c>
      <c r="Q813" t="s">
        <v>89</v>
      </c>
      <c r="R813" t="s">
        <v>23</v>
      </c>
    </row>
    <row r="814" spans="1:18" x14ac:dyDescent="0.35">
      <c r="A814">
        <v>812</v>
      </c>
      <c r="B814" t="s">
        <v>1718</v>
      </c>
      <c r="C814" s="1">
        <f t="shared" ca="1" si="60"/>
        <v>45526</v>
      </c>
      <c r="D814" t="str">
        <f t="shared" ca="1" si="61"/>
        <v>August</v>
      </c>
      <c r="E814" t="s">
        <v>25</v>
      </c>
      <c r="F814" t="s">
        <v>16</v>
      </c>
      <c r="G814" t="str">
        <f t="shared" si="62"/>
        <v>Women</v>
      </c>
      <c r="H814" t="str">
        <f t="shared" ca="1" si="63"/>
        <v>Flipkart</v>
      </c>
      <c r="I814">
        <f t="shared" ca="1" si="64"/>
        <v>19</v>
      </c>
      <c r="J814" t="s">
        <v>1721</v>
      </c>
      <c r="K814" t="s">
        <v>44</v>
      </c>
      <c r="L814" t="s">
        <v>101</v>
      </c>
      <c r="M814">
        <v>1</v>
      </c>
      <c r="N814" t="s">
        <v>20</v>
      </c>
      <c r="O814">
        <v>518</v>
      </c>
      <c r="P814" t="s">
        <v>1720</v>
      </c>
      <c r="Q814" t="s">
        <v>89</v>
      </c>
      <c r="R814" t="s">
        <v>23</v>
      </c>
    </row>
    <row r="815" spans="1:18" x14ac:dyDescent="0.35">
      <c r="A815">
        <v>813</v>
      </c>
      <c r="B815" t="s">
        <v>1722</v>
      </c>
      <c r="C815" s="1">
        <f t="shared" ca="1" si="60"/>
        <v>44957</v>
      </c>
      <c r="D815" t="str">
        <f t="shared" ca="1" si="61"/>
        <v>January</v>
      </c>
      <c r="E815" t="s">
        <v>29</v>
      </c>
      <c r="F815" t="s">
        <v>33</v>
      </c>
      <c r="G815" t="str">
        <f t="shared" si="62"/>
        <v>Men</v>
      </c>
      <c r="H815" t="str">
        <f t="shared" ca="1" si="63"/>
        <v>Amazon</v>
      </c>
      <c r="I815">
        <f t="shared" ca="1" si="64"/>
        <v>42</v>
      </c>
      <c r="J815" t="s">
        <v>667</v>
      </c>
      <c r="K815" t="s">
        <v>27</v>
      </c>
      <c r="L815" t="s">
        <v>62</v>
      </c>
      <c r="M815">
        <v>1</v>
      </c>
      <c r="N815" t="s">
        <v>20</v>
      </c>
      <c r="O815">
        <v>486</v>
      </c>
      <c r="P815" t="s">
        <v>88</v>
      </c>
      <c r="Q815" t="s">
        <v>89</v>
      </c>
      <c r="R815" t="s">
        <v>23</v>
      </c>
    </row>
    <row r="816" spans="1:18" x14ac:dyDescent="0.35">
      <c r="A816">
        <v>814</v>
      </c>
      <c r="B816" t="s">
        <v>1723</v>
      </c>
      <c r="C816" s="1">
        <f t="shared" ca="1" si="60"/>
        <v>45216</v>
      </c>
      <c r="D816" t="str">
        <f t="shared" ca="1" si="61"/>
        <v>October</v>
      </c>
      <c r="E816" t="s">
        <v>29</v>
      </c>
      <c r="F816" t="s">
        <v>33</v>
      </c>
      <c r="G816" t="str">
        <f t="shared" si="62"/>
        <v>Men</v>
      </c>
      <c r="H816" t="str">
        <f t="shared" ca="1" si="63"/>
        <v>Amazon</v>
      </c>
      <c r="I816">
        <f t="shared" ca="1" si="64"/>
        <v>47</v>
      </c>
      <c r="J816" t="s">
        <v>1724</v>
      </c>
      <c r="K816" t="s">
        <v>27</v>
      </c>
      <c r="L816" t="s">
        <v>35</v>
      </c>
      <c r="M816">
        <v>1</v>
      </c>
      <c r="N816" t="s">
        <v>20</v>
      </c>
      <c r="O816">
        <v>399</v>
      </c>
      <c r="P816" t="s">
        <v>170</v>
      </c>
      <c r="Q816" t="s">
        <v>171</v>
      </c>
      <c r="R816" t="s">
        <v>23</v>
      </c>
    </row>
    <row r="817" spans="1:18" x14ac:dyDescent="0.35">
      <c r="A817">
        <v>815</v>
      </c>
      <c r="B817" t="s">
        <v>1725</v>
      </c>
      <c r="C817" s="1">
        <f t="shared" ca="1" si="60"/>
        <v>45258</v>
      </c>
      <c r="D817" t="str">
        <f t="shared" ca="1" si="61"/>
        <v>November</v>
      </c>
      <c r="E817" t="s">
        <v>29</v>
      </c>
      <c r="F817" t="s">
        <v>33</v>
      </c>
      <c r="G817" t="str">
        <f t="shared" si="62"/>
        <v>Women</v>
      </c>
      <c r="H817" t="str">
        <f t="shared" ca="1" si="63"/>
        <v>Amazon</v>
      </c>
      <c r="I817">
        <f t="shared" ca="1" si="64"/>
        <v>29</v>
      </c>
      <c r="J817" t="s">
        <v>789</v>
      </c>
      <c r="K817" t="s">
        <v>18</v>
      </c>
      <c r="L817" t="s">
        <v>40</v>
      </c>
      <c r="M817">
        <v>1</v>
      </c>
      <c r="N817" t="s">
        <v>20</v>
      </c>
      <c r="O817">
        <v>1260</v>
      </c>
      <c r="P817" t="s">
        <v>1726</v>
      </c>
      <c r="Q817" t="s">
        <v>552</v>
      </c>
      <c r="R817" t="s">
        <v>23</v>
      </c>
    </row>
    <row r="818" spans="1:18" x14ac:dyDescent="0.35">
      <c r="A818">
        <v>816</v>
      </c>
      <c r="B818" t="s">
        <v>1727</v>
      </c>
      <c r="C818" s="1">
        <f t="shared" ca="1" si="60"/>
        <v>44992</v>
      </c>
      <c r="D818" t="str">
        <f t="shared" ca="1" si="61"/>
        <v>March</v>
      </c>
      <c r="E818" t="s">
        <v>29</v>
      </c>
      <c r="F818" t="s">
        <v>33</v>
      </c>
      <c r="G818" t="str">
        <f t="shared" si="62"/>
        <v>Women</v>
      </c>
      <c r="H818" t="str">
        <f t="shared" ca="1" si="63"/>
        <v>Amazon</v>
      </c>
      <c r="I818">
        <f t="shared" ca="1" si="64"/>
        <v>36</v>
      </c>
      <c r="J818" t="s">
        <v>1728</v>
      </c>
      <c r="K818" t="s">
        <v>44</v>
      </c>
      <c r="L818" t="s">
        <v>62</v>
      </c>
      <c r="M818">
        <v>1</v>
      </c>
      <c r="N818" t="s">
        <v>20</v>
      </c>
      <c r="O818">
        <v>399</v>
      </c>
      <c r="P818" t="s">
        <v>133</v>
      </c>
      <c r="Q818" t="s">
        <v>50</v>
      </c>
      <c r="R818" t="s">
        <v>23</v>
      </c>
    </row>
    <row r="819" spans="1:18" x14ac:dyDescent="0.35">
      <c r="A819">
        <v>817</v>
      </c>
      <c r="B819" t="s">
        <v>1729</v>
      </c>
      <c r="C819" s="1">
        <f t="shared" ca="1" si="60"/>
        <v>45548</v>
      </c>
      <c r="D819" t="str">
        <f t="shared" ca="1" si="61"/>
        <v>September</v>
      </c>
      <c r="E819" t="s">
        <v>29</v>
      </c>
      <c r="F819" t="s">
        <v>33</v>
      </c>
      <c r="G819" t="str">
        <f t="shared" si="62"/>
        <v>Women</v>
      </c>
      <c r="H819" t="str">
        <f t="shared" ca="1" si="63"/>
        <v>Amazon</v>
      </c>
      <c r="I819">
        <f t="shared" ca="1" si="64"/>
        <v>53</v>
      </c>
      <c r="J819" t="s">
        <v>301</v>
      </c>
      <c r="K819" t="s">
        <v>18</v>
      </c>
      <c r="L819" t="s">
        <v>19</v>
      </c>
      <c r="M819">
        <v>1</v>
      </c>
      <c r="N819" t="s">
        <v>20</v>
      </c>
      <c r="O819">
        <v>852</v>
      </c>
      <c r="P819" t="s">
        <v>1730</v>
      </c>
      <c r="Q819" t="s">
        <v>81</v>
      </c>
      <c r="R819" t="s">
        <v>23</v>
      </c>
    </row>
    <row r="820" spans="1:18" x14ac:dyDescent="0.35">
      <c r="A820">
        <v>818</v>
      </c>
      <c r="B820" t="s">
        <v>1731</v>
      </c>
      <c r="C820" s="1">
        <f t="shared" ca="1" si="60"/>
        <v>45060</v>
      </c>
      <c r="D820" t="str">
        <f t="shared" ca="1" si="61"/>
        <v>May</v>
      </c>
      <c r="E820" t="s">
        <v>15</v>
      </c>
      <c r="F820" t="s">
        <v>16</v>
      </c>
      <c r="G820" t="str">
        <f t="shared" si="62"/>
        <v>Men</v>
      </c>
      <c r="H820" t="str">
        <f t="shared" ca="1" si="63"/>
        <v>Flipkart</v>
      </c>
      <c r="I820">
        <f t="shared" ca="1" si="64"/>
        <v>28</v>
      </c>
      <c r="J820" t="s">
        <v>1732</v>
      </c>
      <c r="K820" t="s">
        <v>27</v>
      </c>
      <c r="L820" t="s">
        <v>28</v>
      </c>
      <c r="M820">
        <v>0</v>
      </c>
      <c r="P820" t="s">
        <v>30</v>
      </c>
      <c r="Q820" t="s">
        <v>31</v>
      </c>
      <c r="R820" t="s">
        <v>23</v>
      </c>
    </row>
    <row r="821" spans="1:18" x14ac:dyDescent="0.35">
      <c r="A821">
        <v>819</v>
      </c>
      <c r="B821" t="s">
        <v>1733</v>
      </c>
      <c r="C821" s="1">
        <f t="shared" ca="1" si="60"/>
        <v>45280</v>
      </c>
      <c r="D821" t="str">
        <f t="shared" ca="1" si="61"/>
        <v>December</v>
      </c>
      <c r="E821" t="s">
        <v>29</v>
      </c>
      <c r="F821" t="s">
        <v>33</v>
      </c>
      <c r="G821" t="str">
        <f t="shared" si="62"/>
        <v>Men</v>
      </c>
      <c r="H821" t="str">
        <f t="shared" ca="1" si="63"/>
        <v>Amazon</v>
      </c>
      <c r="I821">
        <f t="shared" ca="1" si="64"/>
        <v>22</v>
      </c>
      <c r="J821" t="s">
        <v>1734</v>
      </c>
      <c r="K821" t="s">
        <v>27</v>
      </c>
      <c r="L821" t="s">
        <v>40</v>
      </c>
      <c r="M821">
        <v>1</v>
      </c>
      <c r="N821" t="s">
        <v>20</v>
      </c>
      <c r="O821">
        <v>487</v>
      </c>
      <c r="P821" t="s">
        <v>1735</v>
      </c>
      <c r="Q821" t="s">
        <v>153</v>
      </c>
      <c r="R821" t="s">
        <v>23</v>
      </c>
    </row>
    <row r="822" spans="1:18" x14ac:dyDescent="0.35">
      <c r="A822">
        <v>820</v>
      </c>
      <c r="B822" t="s">
        <v>1736</v>
      </c>
      <c r="C822" s="1">
        <f t="shared" ca="1" si="60"/>
        <v>45179</v>
      </c>
      <c r="D822" t="str">
        <f t="shared" ca="1" si="61"/>
        <v>September</v>
      </c>
      <c r="E822" t="s">
        <v>15</v>
      </c>
      <c r="F822" t="s">
        <v>33</v>
      </c>
      <c r="G822" t="str">
        <f t="shared" si="62"/>
        <v>Women</v>
      </c>
      <c r="H822" t="str">
        <f t="shared" ca="1" si="63"/>
        <v>Amazon</v>
      </c>
      <c r="I822">
        <f t="shared" ca="1" si="64"/>
        <v>50</v>
      </c>
      <c r="J822" t="s">
        <v>173</v>
      </c>
      <c r="K822" t="s">
        <v>18</v>
      </c>
      <c r="L822" t="s">
        <v>40</v>
      </c>
      <c r="M822">
        <v>0</v>
      </c>
      <c r="P822" t="s">
        <v>1737</v>
      </c>
      <c r="Q822" t="s">
        <v>50</v>
      </c>
      <c r="R822" t="s">
        <v>23</v>
      </c>
    </row>
    <row r="823" spans="1:18" x14ac:dyDescent="0.35">
      <c r="A823">
        <v>821</v>
      </c>
      <c r="B823" t="s">
        <v>1738</v>
      </c>
      <c r="C823" s="1">
        <f t="shared" ca="1" si="60"/>
        <v>45433</v>
      </c>
      <c r="D823" t="str">
        <f t="shared" ca="1" si="61"/>
        <v>May</v>
      </c>
      <c r="E823" t="s">
        <v>25</v>
      </c>
      <c r="F823" t="s">
        <v>16</v>
      </c>
      <c r="G823" t="str">
        <f t="shared" si="62"/>
        <v>Women</v>
      </c>
      <c r="H823" t="str">
        <f t="shared" ca="1" si="63"/>
        <v>Flipkart</v>
      </c>
      <c r="I823">
        <f t="shared" ca="1" si="64"/>
        <v>28</v>
      </c>
      <c r="J823" t="s">
        <v>1739</v>
      </c>
      <c r="K823" t="s">
        <v>39</v>
      </c>
      <c r="L823" t="s">
        <v>40</v>
      </c>
      <c r="M823">
        <v>1</v>
      </c>
      <c r="N823" t="s">
        <v>20</v>
      </c>
      <c r="O823">
        <v>413</v>
      </c>
      <c r="P823" t="s">
        <v>213</v>
      </c>
      <c r="Q823" t="s">
        <v>22</v>
      </c>
      <c r="R823" t="s">
        <v>23</v>
      </c>
    </row>
    <row r="824" spans="1:18" x14ac:dyDescent="0.35">
      <c r="A824">
        <v>822</v>
      </c>
      <c r="B824" t="s">
        <v>1740</v>
      </c>
      <c r="C824" s="1">
        <f t="shared" ca="1" si="60"/>
        <v>45370</v>
      </c>
      <c r="D824" t="str">
        <f t="shared" ca="1" si="61"/>
        <v>March</v>
      </c>
      <c r="E824" t="s">
        <v>29</v>
      </c>
      <c r="F824" t="s">
        <v>33</v>
      </c>
      <c r="G824" t="str">
        <f t="shared" si="62"/>
        <v>Women</v>
      </c>
      <c r="H824" t="str">
        <f t="shared" ca="1" si="63"/>
        <v>Amazon</v>
      </c>
      <c r="I824">
        <f t="shared" ca="1" si="64"/>
        <v>55</v>
      </c>
      <c r="J824" t="s">
        <v>167</v>
      </c>
      <c r="K824" t="s">
        <v>18</v>
      </c>
      <c r="L824" t="s">
        <v>40</v>
      </c>
      <c r="M824">
        <v>1</v>
      </c>
      <c r="N824" t="s">
        <v>20</v>
      </c>
      <c r="O824">
        <v>788</v>
      </c>
      <c r="P824" t="s">
        <v>1741</v>
      </c>
      <c r="Q824" t="s">
        <v>171</v>
      </c>
      <c r="R824" t="s">
        <v>23</v>
      </c>
    </row>
    <row r="825" spans="1:18" x14ac:dyDescent="0.35">
      <c r="A825">
        <v>823</v>
      </c>
      <c r="B825" t="s">
        <v>1742</v>
      </c>
      <c r="C825" s="1">
        <f t="shared" ca="1" si="60"/>
        <v>45226</v>
      </c>
      <c r="D825" t="str">
        <f t="shared" ca="1" si="61"/>
        <v>October</v>
      </c>
      <c r="E825" t="s">
        <v>25</v>
      </c>
      <c r="F825" t="s">
        <v>16</v>
      </c>
      <c r="G825" t="str">
        <f t="shared" si="62"/>
        <v>Women</v>
      </c>
      <c r="H825" t="str">
        <f t="shared" ca="1" si="63"/>
        <v>Flipkart</v>
      </c>
      <c r="I825">
        <f t="shared" ca="1" si="64"/>
        <v>46</v>
      </c>
      <c r="J825" t="s">
        <v>1743</v>
      </c>
      <c r="K825" t="s">
        <v>18</v>
      </c>
      <c r="L825" t="s">
        <v>68</v>
      </c>
      <c r="M825">
        <v>1</v>
      </c>
      <c r="N825" t="s">
        <v>20</v>
      </c>
      <c r="O825">
        <v>1186</v>
      </c>
      <c r="P825" t="s">
        <v>170</v>
      </c>
      <c r="Q825" t="s">
        <v>171</v>
      </c>
      <c r="R825" t="s">
        <v>23</v>
      </c>
    </row>
    <row r="826" spans="1:18" x14ac:dyDescent="0.35">
      <c r="A826">
        <v>824</v>
      </c>
      <c r="B826" t="s">
        <v>1744</v>
      </c>
      <c r="C826" s="1">
        <f t="shared" ca="1" si="60"/>
        <v>44973</v>
      </c>
      <c r="D826" t="str">
        <f t="shared" ca="1" si="61"/>
        <v>February</v>
      </c>
      <c r="E826" t="s">
        <v>29</v>
      </c>
      <c r="F826" t="s">
        <v>33</v>
      </c>
      <c r="G826" t="str">
        <f t="shared" si="62"/>
        <v>Women</v>
      </c>
      <c r="H826" t="str">
        <f t="shared" ca="1" si="63"/>
        <v>Amazon</v>
      </c>
      <c r="I826">
        <f t="shared" ca="1" si="64"/>
        <v>28</v>
      </c>
      <c r="J826" t="s">
        <v>1745</v>
      </c>
      <c r="K826" t="s">
        <v>44</v>
      </c>
      <c r="L826" t="s">
        <v>68</v>
      </c>
      <c r="M826">
        <v>1</v>
      </c>
      <c r="N826" t="s">
        <v>20</v>
      </c>
      <c r="O826">
        <v>396</v>
      </c>
      <c r="P826" t="s">
        <v>170</v>
      </c>
      <c r="Q826" t="s">
        <v>171</v>
      </c>
      <c r="R826" t="s">
        <v>23</v>
      </c>
    </row>
    <row r="827" spans="1:18" x14ac:dyDescent="0.35">
      <c r="A827">
        <v>825</v>
      </c>
      <c r="B827" t="s">
        <v>1746</v>
      </c>
      <c r="C827" s="1">
        <f t="shared" ca="1" si="60"/>
        <v>44957</v>
      </c>
      <c r="D827" t="str">
        <f t="shared" ca="1" si="61"/>
        <v>January</v>
      </c>
      <c r="E827" t="s">
        <v>15</v>
      </c>
      <c r="F827" t="s">
        <v>16</v>
      </c>
      <c r="G827" t="str">
        <f t="shared" si="62"/>
        <v>Men</v>
      </c>
      <c r="H827" t="str">
        <f t="shared" ca="1" si="63"/>
        <v>Flipkart</v>
      </c>
      <c r="I827">
        <f t="shared" ca="1" si="64"/>
        <v>50</v>
      </c>
      <c r="J827" t="s">
        <v>1642</v>
      </c>
      <c r="K827" t="s">
        <v>27</v>
      </c>
      <c r="L827" t="s">
        <v>79</v>
      </c>
      <c r="M827">
        <v>0</v>
      </c>
      <c r="N827" t="s">
        <v>20</v>
      </c>
      <c r="O827">
        <v>659.05</v>
      </c>
      <c r="P827" t="s">
        <v>219</v>
      </c>
      <c r="Q827" t="s">
        <v>22</v>
      </c>
      <c r="R827" t="s">
        <v>23</v>
      </c>
    </row>
    <row r="828" spans="1:18" x14ac:dyDescent="0.35">
      <c r="A828">
        <v>826</v>
      </c>
      <c r="B828" t="s">
        <v>1747</v>
      </c>
      <c r="C828" s="1">
        <f t="shared" ca="1" si="60"/>
        <v>45486</v>
      </c>
      <c r="D828" t="str">
        <f t="shared" ca="1" si="61"/>
        <v>July</v>
      </c>
      <c r="E828" t="s">
        <v>29</v>
      </c>
      <c r="F828" t="s">
        <v>33</v>
      </c>
      <c r="G828" t="str">
        <f t="shared" si="62"/>
        <v>Women</v>
      </c>
      <c r="H828" t="str">
        <f t="shared" ca="1" si="63"/>
        <v>Amazon</v>
      </c>
      <c r="I828">
        <f t="shared" ca="1" si="64"/>
        <v>27</v>
      </c>
      <c r="J828" t="s">
        <v>1748</v>
      </c>
      <c r="K828" t="s">
        <v>18</v>
      </c>
      <c r="L828" t="s">
        <v>62</v>
      </c>
      <c r="M828">
        <v>1</v>
      </c>
      <c r="N828" t="s">
        <v>20</v>
      </c>
      <c r="O828">
        <v>653</v>
      </c>
      <c r="P828" t="s">
        <v>1749</v>
      </c>
      <c r="Q828" t="s">
        <v>153</v>
      </c>
      <c r="R828" t="s">
        <v>23</v>
      </c>
    </row>
    <row r="829" spans="1:18" x14ac:dyDescent="0.35">
      <c r="A829">
        <v>827</v>
      </c>
      <c r="B829" t="s">
        <v>1750</v>
      </c>
      <c r="C829" s="1">
        <f t="shared" ca="1" si="60"/>
        <v>45090</v>
      </c>
      <c r="D829" t="str">
        <f t="shared" ca="1" si="61"/>
        <v>June</v>
      </c>
      <c r="E829" t="s">
        <v>29</v>
      </c>
      <c r="F829" t="s">
        <v>33</v>
      </c>
      <c r="G829" t="str">
        <f t="shared" si="62"/>
        <v>Men</v>
      </c>
      <c r="H829" t="str">
        <f t="shared" ca="1" si="63"/>
        <v>Amazon</v>
      </c>
      <c r="I829">
        <f t="shared" ca="1" si="64"/>
        <v>32</v>
      </c>
      <c r="J829" t="s">
        <v>1751</v>
      </c>
      <c r="K829" t="s">
        <v>27</v>
      </c>
      <c r="L829" t="s">
        <v>40</v>
      </c>
      <c r="M829">
        <v>1</v>
      </c>
      <c r="N829" t="s">
        <v>20</v>
      </c>
      <c r="O829">
        <v>0</v>
      </c>
      <c r="P829" t="s">
        <v>41</v>
      </c>
      <c r="Q829" t="s">
        <v>41</v>
      </c>
      <c r="R829" t="s">
        <v>23</v>
      </c>
    </row>
    <row r="830" spans="1:18" x14ac:dyDescent="0.35">
      <c r="A830">
        <v>828</v>
      </c>
      <c r="B830" t="s">
        <v>1752</v>
      </c>
      <c r="C830" s="1">
        <f t="shared" ca="1" si="60"/>
        <v>45451</v>
      </c>
      <c r="D830" t="str">
        <f t="shared" ca="1" si="61"/>
        <v>June</v>
      </c>
      <c r="E830" t="s">
        <v>29</v>
      </c>
      <c r="F830" t="s">
        <v>33</v>
      </c>
      <c r="G830" t="str">
        <f t="shared" si="62"/>
        <v>Men</v>
      </c>
      <c r="H830" t="str">
        <f t="shared" ca="1" si="63"/>
        <v>Amazon</v>
      </c>
      <c r="I830">
        <f t="shared" ca="1" si="64"/>
        <v>33</v>
      </c>
      <c r="J830" t="s">
        <v>1753</v>
      </c>
      <c r="K830" t="s">
        <v>27</v>
      </c>
      <c r="L830" t="s">
        <v>40</v>
      </c>
      <c r="M830">
        <v>1</v>
      </c>
      <c r="N830" t="s">
        <v>20</v>
      </c>
      <c r="O830">
        <v>458</v>
      </c>
      <c r="P830" t="s">
        <v>88</v>
      </c>
      <c r="Q830" t="s">
        <v>89</v>
      </c>
      <c r="R830" t="s">
        <v>23</v>
      </c>
    </row>
    <row r="831" spans="1:18" x14ac:dyDescent="0.35">
      <c r="A831">
        <v>829</v>
      </c>
      <c r="B831" t="s">
        <v>1754</v>
      </c>
      <c r="C831" s="1">
        <f t="shared" ca="1" si="60"/>
        <v>45445</v>
      </c>
      <c r="D831" t="str">
        <f t="shared" ca="1" si="61"/>
        <v>June</v>
      </c>
      <c r="E831" t="s">
        <v>29</v>
      </c>
      <c r="F831" t="s">
        <v>33</v>
      </c>
      <c r="G831" t="str">
        <f t="shared" si="62"/>
        <v>Men</v>
      </c>
      <c r="H831" t="str">
        <f t="shared" ca="1" si="63"/>
        <v>Amazon</v>
      </c>
      <c r="I831">
        <f t="shared" ca="1" si="64"/>
        <v>22</v>
      </c>
      <c r="J831" t="s">
        <v>1755</v>
      </c>
      <c r="K831" t="s">
        <v>27</v>
      </c>
      <c r="L831" t="s">
        <v>35</v>
      </c>
      <c r="M831">
        <v>1</v>
      </c>
      <c r="N831" t="s">
        <v>20</v>
      </c>
      <c r="O831">
        <v>487</v>
      </c>
      <c r="P831" t="s">
        <v>503</v>
      </c>
      <c r="Q831" t="s">
        <v>171</v>
      </c>
      <c r="R831" t="s">
        <v>23</v>
      </c>
    </row>
    <row r="832" spans="1:18" x14ac:dyDescent="0.35">
      <c r="A832">
        <v>830</v>
      </c>
      <c r="B832" t="s">
        <v>1756</v>
      </c>
      <c r="C832" s="1">
        <f t="shared" ca="1" si="60"/>
        <v>45629</v>
      </c>
      <c r="D832" t="str">
        <f t="shared" ca="1" si="61"/>
        <v>December</v>
      </c>
      <c r="E832" t="s">
        <v>29</v>
      </c>
      <c r="F832" t="s">
        <v>33</v>
      </c>
      <c r="G832" t="str">
        <f t="shared" si="62"/>
        <v>Women</v>
      </c>
      <c r="H832" t="str">
        <f t="shared" ca="1" si="63"/>
        <v>Amazon</v>
      </c>
      <c r="I832">
        <f t="shared" ca="1" si="64"/>
        <v>45</v>
      </c>
      <c r="J832" t="s">
        <v>1757</v>
      </c>
      <c r="K832" t="s">
        <v>18</v>
      </c>
      <c r="L832" t="s">
        <v>28</v>
      </c>
      <c r="M832">
        <v>1</v>
      </c>
      <c r="N832" t="s">
        <v>20</v>
      </c>
      <c r="O832">
        <v>597</v>
      </c>
      <c r="P832" t="s">
        <v>1758</v>
      </c>
      <c r="Q832" t="s">
        <v>31</v>
      </c>
      <c r="R832" t="s">
        <v>23</v>
      </c>
    </row>
    <row r="833" spans="1:18" x14ac:dyDescent="0.35">
      <c r="A833">
        <v>831</v>
      </c>
      <c r="B833" t="s">
        <v>1759</v>
      </c>
      <c r="C833" s="1">
        <f t="shared" ca="1" si="60"/>
        <v>45351</v>
      </c>
      <c r="D833" t="str">
        <f t="shared" ca="1" si="61"/>
        <v>February</v>
      </c>
      <c r="E833" t="s">
        <v>29</v>
      </c>
      <c r="F833" t="s">
        <v>33</v>
      </c>
      <c r="G833" t="str">
        <f t="shared" si="62"/>
        <v>Women</v>
      </c>
      <c r="H833" t="str">
        <f t="shared" ca="1" si="63"/>
        <v>Amazon</v>
      </c>
      <c r="I833">
        <f t="shared" ca="1" si="64"/>
        <v>57</v>
      </c>
      <c r="J833" t="s">
        <v>1760</v>
      </c>
      <c r="K833" t="s">
        <v>18</v>
      </c>
      <c r="L833" t="s">
        <v>28</v>
      </c>
      <c r="M833">
        <v>1</v>
      </c>
      <c r="N833" t="s">
        <v>20</v>
      </c>
      <c r="O833">
        <v>761</v>
      </c>
      <c r="P833" t="s">
        <v>1758</v>
      </c>
      <c r="Q833" t="s">
        <v>31</v>
      </c>
      <c r="R833" t="s">
        <v>23</v>
      </c>
    </row>
    <row r="834" spans="1:18" x14ac:dyDescent="0.35">
      <c r="A834">
        <v>832</v>
      </c>
      <c r="B834" t="s">
        <v>1759</v>
      </c>
      <c r="C834" s="1">
        <f t="shared" ca="1" si="60"/>
        <v>45174</v>
      </c>
      <c r="D834" t="str">
        <f t="shared" ca="1" si="61"/>
        <v>September</v>
      </c>
      <c r="E834" t="s">
        <v>29</v>
      </c>
      <c r="F834" t="s">
        <v>33</v>
      </c>
      <c r="G834" t="str">
        <f t="shared" si="62"/>
        <v>Women</v>
      </c>
      <c r="H834" t="str">
        <f t="shared" ca="1" si="63"/>
        <v>Amazon</v>
      </c>
      <c r="I834">
        <f t="shared" ca="1" si="64"/>
        <v>50</v>
      </c>
      <c r="J834" t="s">
        <v>1761</v>
      </c>
      <c r="K834" t="s">
        <v>18</v>
      </c>
      <c r="L834" t="s">
        <v>28</v>
      </c>
      <c r="M834">
        <v>1</v>
      </c>
      <c r="N834" t="s">
        <v>20</v>
      </c>
      <c r="O834">
        <v>835</v>
      </c>
      <c r="P834" t="s">
        <v>1758</v>
      </c>
      <c r="Q834" t="s">
        <v>31</v>
      </c>
      <c r="R834" t="s">
        <v>23</v>
      </c>
    </row>
    <row r="835" spans="1:18" x14ac:dyDescent="0.35">
      <c r="A835">
        <v>833</v>
      </c>
      <c r="B835" t="s">
        <v>1762</v>
      </c>
      <c r="C835" s="1">
        <f t="shared" ref="C835:C898" ca="1" si="65">RANDBETWEEN(DATE(2023,1,1), DATE(2024,12,31))</f>
        <v>45425</v>
      </c>
      <c r="D835" t="str">
        <f t="shared" ref="D835:D898" ca="1" si="66">TEXT(C835, "MMMM")</f>
        <v>May</v>
      </c>
      <c r="E835" t="s">
        <v>633</v>
      </c>
      <c r="F835" t="s">
        <v>16</v>
      </c>
      <c r="G835" t="str">
        <f t="shared" ref="G835:G898" si="67">IF(K835="Set","Women",IF(K835="Kurta","Men",IF(K835="Top","Women",IF(K835="Western Dress","Women",IF(K835="Ethnic Dress","Women",IF(K835="Saree","Women",0))))))</f>
        <v>Women</v>
      </c>
      <c r="H835" t="str">
        <f t="shared" ref="H835:H898" ca="1" si="68">IF(F835="Merchant",IF(RAND()&gt;0.5,"Myntra","Flipkart"),IF(F835="Amazon","Amazon",0))</f>
        <v>Myntra</v>
      </c>
      <c r="I835">
        <f t="shared" ref="I835:I898" ca="1" si="69">RANDBETWEEN(18, 60)</f>
        <v>24</v>
      </c>
      <c r="J835" t="s">
        <v>1763</v>
      </c>
      <c r="K835" t="s">
        <v>44</v>
      </c>
      <c r="L835" t="s">
        <v>19</v>
      </c>
      <c r="M835">
        <v>1</v>
      </c>
      <c r="N835" t="s">
        <v>20</v>
      </c>
      <c r="O835">
        <v>518</v>
      </c>
      <c r="P835" t="s">
        <v>1764</v>
      </c>
      <c r="Q835" t="s">
        <v>140</v>
      </c>
      <c r="R835" t="s">
        <v>23</v>
      </c>
    </row>
    <row r="836" spans="1:18" x14ac:dyDescent="0.35">
      <c r="A836">
        <v>834</v>
      </c>
      <c r="B836" t="s">
        <v>1765</v>
      </c>
      <c r="C836" s="1">
        <f t="shared" ca="1" si="65"/>
        <v>45317</v>
      </c>
      <c r="D836" t="str">
        <f t="shared" ca="1" si="66"/>
        <v>January</v>
      </c>
      <c r="E836" t="s">
        <v>15</v>
      </c>
      <c r="F836" t="s">
        <v>33</v>
      </c>
      <c r="G836" t="str">
        <f t="shared" si="67"/>
        <v>Men</v>
      </c>
      <c r="H836" t="str">
        <f t="shared" ca="1" si="68"/>
        <v>Amazon</v>
      </c>
      <c r="I836">
        <f t="shared" ca="1" si="69"/>
        <v>52</v>
      </c>
      <c r="J836" t="s">
        <v>1131</v>
      </c>
      <c r="K836" t="s">
        <v>27</v>
      </c>
      <c r="L836" t="s">
        <v>35</v>
      </c>
      <c r="M836">
        <v>0</v>
      </c>
      <c r="P836" t="s">
        <v>566</v>
      </c>
      <c r="Q836" t="s">
        <v>140</v>
      </c>
      <c r="R836" t="s">
        <v>23</v>
      </c>
    </row>
    <row r="837" spans="1:18" x14ac:dyDescent="0.35">
      <c r="A837">
        <v>835</v>
      </c>
      <c r="B837" t="s">
        <v>1766</v>
      </c>
      <c r="C837" s="1">
        <f t="shared" ca="1" si="65"/>
        <v>45100</v>
      </c>
      <c r="D837" t="str">
        <f t="shared" ca="1" si="66"/>
        <v>June</v>
      </c>
      <c r="E837" t="s">
        <v>29</v>
      </c>
      <c r="F837" t="s">
        <v>33</v>
      </c>
      <c r="G837" t="str">
        <f t="shared" si="67"/>
        <v>Women</v>
      </c>
      <c r="H837" t="str">
        <f t="shared" ca="1" si="68"/>
        <v>Amazon</v>
      </c>
      <c r="I837">
        <f t="shared" ca="1" si="69"/>
        <v>50</v>
      </c>
      <c r="J837" t="s">
        <v>1767</v>
      </c>
      <c r="K837" t="s">
        <v>39</v>
      </c>
      <c r="L837" t="s">
        <v>35</v>
      </c>
      <c r="M837">
        <v>1</v>
      </c>
      <c r="N837" t="s">
        <v>20</v>
      </c>
      <c r="O837">
        <v>721</v>
      </c>
      <c r="P837" t="s">
        <v>133</v>
      </c>
      <c r="Q837" t="s">
        <v>50</v>
      </c>
      <c r="R837" t="s">
        <v>23</v>
      </c>
    </row>
    <row r="838" spans="1:18" x14ac:dyDescent="0.35">
      <c r="A838">
        <v>836</v>
      </c>
      <c r="B838" t="s">
        <v>1768</v>
      </c>
      <c r="C838" s="1">
        <f t="shared" ca="1" si="65"/>
        <v>45449</v>
      </c>
      <c r="D838" t="str">
        <f t="shared" ca="1" si="66"/>
        <v>June</v>
      </c>
      <c r="E838" t="s">
        <v>29</v>
      </c>
      <c r="F838" t="s">
        <v>33</v>
      </c>
      <c r="G838" t="str">
        <f t="shared" si="67"/>
        <v>Men</v>
      </c>
      <c r="H838" t="str">
        <f t="shared" ca="1" si="68"/>
        <v>Amazon</v>
      </c>
      <c r="I838">
        <f t="shared" ca="1" si="69"/>
        <v>43</v>
      </c>
      <c r="J838" t="s">
        <v>1769</v>
      </c>
      <c r="K838" t="s">
        <v>27</v>
      </c>
      <c r="L838" t="s">
        <v>40</v>
      </c>
      <c r="M838">
        <v>1</v>
      </c>
      <c r="N838" t="s">
        <v>20</v>
      </c>
      <c r="O838">
        <v>458</v>
      </c>
      <c r="P838" t="s">
        <v>30</v>
      </c>
      <c r="Q838" t="s">
        <v>31</v>
      </c>
      <c r="R838" t="s">
        <v>23</v>
      </c>
    </row>
    <row r="839" spans="1:18" x14ac:dyDescent="0.35">
      <c r="A839">
        <v>837</v>
      </c>
      <c r="B839" t="s">
        <v>1770</v>
      </c>
      <c r="C839" s="1">
        <f t="shared" ca="1" si="65"/>
        <v>45444</v>
      </c>
      <c r="D839" t="str">
        <f t="shared" ca="1" si="66"/>
        <v>June</v>
      </c>
      <c r="E839" t="s">
        <v>29</v>
      </c>
      <c r="F839" t="s">
        <v>33</v>
      </c>
      <c r="G839" t="str">
        <f t="shared" si="67"/>
        <v>Women</v>
      </c>
      <c r="H839" t="str">
        <f t="shared" ca="1" si="68"/>
        <v>Amazon</v>
      </c>
      <c r="I839">
        <f t="shared" ca="1" si="69"/>
        <v>39</v>
      </c>
      <c r="J839" t="s">
        <v>1771</v>
      </c>
      <c r="K839" t="s">
        <v>18</v>
      </c>
      <c r="L839" t="s">
        <v>101</v>
      </c>
      <c r="M839">
        <v>1</v>
      </c>
      <c r="N839" t="s">
        <v>20</v>
      </c>
      <c r="O839">
        <v>666</v>
      </c>
      <c r="P839" t="s">
        <v>749</v>
      </c>
      <c r="Q839" t="s">
        <v>22</v>
      </c>
      <c r="R839" t="s">
        <v>23</v>
      </c>
    </row>
    <row r="840" spans="1:18" x14ac:dyDescent="0.35">
      <c r="A840">
        <v>838</v>
      </c>
      <c r="B840" t="s">
        <v>1772</v>
      </c>
      <c r="C840" s="1">
        <f t="shared" ca="1" si="65"/>
        <v>45308</v>
      </c>
      <c r="D840" t="str">
        <f t="shared" ca="1" si="66"/>
        <v>January</v>
      </c>
      <c r="E840" t="s">
        <v>29</v>
      </c>
      <c r="F840" t="s">
        <v>33</v>
      </c>
      <c r="G840" t="str">
        <f t="shared" si="67"/>
        <v>Men</v>
      </c>
      <c r="H840" t="str">
        <f t="shared" ca="1" si="68"/>
        <v>Amazon</v>
      </c>
      <c r="I840">
        <f t="shared" ca="1" si="69"/>
        <v>41</v>
      </c>
      <c r="J840" t="s">
        <v>1773</v>
      </c>
      <c r="K840" t="s">
        <v>27</v>
      </c>
      <c r="L840" t="s">
        <v>40</v>
      </c>
      <c r="M840">
        <v>1</v>
      </c>
      <c r="N840" t="s">
        <v>20</v>
      </c>
      <c r="O840">
        <v>399</v>
      </c>
      <c r="P840" t="s">
        <v>1628</v>
      </c>
      <c r="Q840" t="s">
        <v>286</v>
      </c>
      <c r="R840" t="s">
        <v>23</v>
      </c>
    </row>
    <row r="841" spans="1:18" x14ac:dyDescent="0.35">
      <c r="A841">
        <v>839</v>
      </c>
      <c r="B841" t="s">
        <v>1774</v>
      </c>
      <c r="C841" s="1">
        <f t="shared" ca="1" si="65"/>
        <v>45401</v>
      </c>
      <c r="D841" t="str">
        <f t="shared" ca="1" si="66"/>
        <v>April</v>
      </c>
      <c r="E841" t="s">
        <v>25</v>
      </c>
      <c r="F841" t="s">
        <v>16</v>
      </c>
      <c r="G841" t="str">
        <f t="shared" si="67"/>
        <v>Women</v>
      </c>
      <c r="H841" t="str">
        <f t="shared" ca="1" si="68"/>
        <v>Flipkart</v>
      </c>
      <c r="I841">
        <f t="shared" ca="1" si="69"/>
        <v>52</v>
      </c>
      <c r="J841" t="s">
        <v>1775</v>
      </c>
      <c r="K841" t="s">
        <v>18</v>
      </c>
      <c r="L841" t="s">
        <v>101</v>
      </c>
      <c r="M841">
        <v>1</v>
      </c>
      <c r="N841" t="s">
        <v>20</v>
      </c>
      <c r="O841">
        <v>1099</v>
      </c>
      <c r="P841" t="s">
        <v>170</v>
      </c>
      <c r="Q841" t="s">
        <v>171</v>
      </c>
      <c r="R841" t="s">
        <v>23</v>
      </c>
    </row>
    <row r="842" spans="1:18" x14ac:dyDescent="0.35">
      <c r="A842">
        <v>840</v>
      </c>
      <c r="B842" t="s">
        <v>1776</v>
      </c>
      <c r="C842" s="1">
        <f t="shared" ca="1" si="65"/>
        <v>45340</v>
      </c>
      <c r="D842" t="str">
        <f t="shared" ca="1" si="66"/>
        <v>February</v>
      </c>
      <c r="E842" t="s">
        <v>29</v>
      </c>
      <c r="F842" t="s">
        <v>33</v>
      </c>
      <c r="G842" t="str">
        <f t="shared" si="67"/>
        <v>Men</v>
      </c>
      <c r="H842" t="str">
        <f t="shared" ca="1" si="68"/>
        <v>Amazon</v>
      </c>
      <c r="I842">
        <f t="shared" ca="1" si="69"/>
        <v>56</v>
      </c>
      <c r="J842" t="s">
        <v>444</v>
      </c>
      <c r="K842" t="s">
        <v>27</v>
      </c>
      <c r="L842" t="s">
        <v>35</v>
      </c>
      <c r="M842">
        <v>1</v>
      </c>
      <c r="N842" t="s">
        <v>20</v>
      </c>
      <c r="O842">
        <v>353</v>
      </c>
      <c r="P842" t="s">
        <v>1777</v>
      </c>
      <c r="Q842" t="s">
        <v>153</v>
      </c>
      <c r="R842" t="s">
        <v>23</v>
      </c>
    </row>
    <row r="843" spans="1:18" x14ac:dyDescent="0.35">
      <c r="A843">
        <v>841</v>
      </c>
      <c r="B843" t="s">
        <v>1778</v>
      </c>
      <c r="C843" s="1">
        <f t="shared" ca="1" si="65"/>
        <v>45343</v>
      </c>
      <c r="D843" t="str">
        <f t="shared" ca="1" si="66"/>
        <v>February</v>
      </c>
      <c r="E843" t="s">
        <v>29</v>
      </c>
      <c r="F843" t="s">
        <v>33</v>
      </c>
      <c r="G843" t="str">
        <f t="shared" si="67"/>
        <v>Men</v>
      </c>
      <c r="H843" t="str">
        <f t="shared" ca="1" si="68"/>
        <v>Amazon</v>
      </c>
      <c r="I843">
        <f t="shared" ca="1" si="69"/>
        <v>47</v>
      </c>
      <c r="J843" t="s">
        <v>1779</v>
      </c>
      <c r="K843" t="s">
        <v>27</v>
      </c>
      <c r="L843" t="s">
        <v>28</v>
      </c>
      <c r="M843">
        <v>1</v>
      </c>
      <c r="N843" t="s">
        <v>20</v>
      </c>
      <c r="O843">
        <v>399</v>
      </c>
      <c r="P843" t="s">
        <v>21</v>
      </c>
      <c r="Q843" t="s">
        <v>22</v>
      </c>
      <c r="R843" t="s">
        <v>23</v>
      </c>
    </row>
    <row r="844" spans="1:18" x14ac:dyDescent="0.35">
      <c r="A844">
        <v>842</v>
      </c>
      <c r="B844" t="s">
        <v>1780</v>
      </c>
      <c r="C844" s="1">
        <f t="shared" ca="1" si="65"/>
        <v>45035</v>
      </c>
      <c r="D844" t="str">
        <f t="shared" ca="1" si="66"/>
        <v>April</v>
      </c>
      <c r="E844" t="s">
        <v>25</v>
      </c>
      <c r="F844" t="s">
        <v>16</v>
      </c>
      <c r="G844" t="str">
        <f t="shared" si="67"/>
        <v>Men</v>
      </c>
      <c r="H844" t="str">
        <f t="shared" ca="1" si="68"/>
        <v>Myntra</v>
      </c>
      <c r="I844">
        <f t="shared" ca="1" si="69"/>
        <v>18</v>
      </c>
      <c r="J844" t="s">
        <v>1781</v>
      </c>
      <c r="K844" t="s">
        <v>27</v>
      </c>
      <c r="L844" t="s">
        <v>28</v>
      </c>
      <c r="M844">
        <v>1</v>
      </c>
      <c r="N844" t="s">
        <v>20</v>
      </c>
      <c r="O844">
        <v>534</v>
      </c>
      <c r="P844" t="s">
        <v>21</v>
      </c>
      <c r="Q844" t="s">
        <v>22</v>
      </c>
      <c r="R844" t="s">
        <v>23</v>
      </c>
    </row>
    <row r="845" spans="1:18" x14ac:dyDescent="0.35">
      <c r="A845">
        <v>843</v>
      </c>
      <c r="B845" t="s">
        <v>1782</v>
      </c>
      <c r="C845" s="1">
        <f t="shared" ca="1" si="65"/>
        <v>44966</v>
      </c>
      <c r="D845" t="str">
        <f t="shared" ca="1" si="66"/>
        <v>February</v>
      </c>
      <c r="E845" t="s">
        <v>15</v>
      </c>
      <c r="F845" t="s">
        <v>16</v>
      </c>
      <c r="G845" t="str">
        <f t="shared" si="67"/>
        <v>Women</v>
      </c>
      <c r="H845" t="str">
        <f t="shared" ca="1" si="68"/>
        <v>Flipkart</v>
      </c>
      <c r="I845">
        <f t="shared" ca="1" si="69"/>
        <v>40</v>
      </c>
      <c r="J845" t="s">
        <v>1775</v>
      </c>
      <c r="K845" t="s">
        <v>18</v>
      </c>
      <c r="L845" t="s">
        <v>101</v>
      </c>
      <c r="M845">
        <v>0</v>
      </c>
      <c r="N845" t="s">
        <v>20</v>
      </c>
      <c r="O845">
        <v>981.25</v>
      </c>
      <c r="P845" t="s">
        <v>88</v>
      </c>
      <c r="Q845" t="s">
        <v>89</v>
      </c>
      <c r="R845" t="s">
        <v>23</v>
      </c>
    </row>
    <row r="846" spans="1:18" x14ac:dyDescent="0.35">
      <c r="A846">
        <v>844</v>
      </c>
      <c r="B846" t="s">
        <v>1783</v>
      </c>
      <c r="C846" s="1">
        <f t="shared" ca="1" si="65"/>
        <v>45406</v>
      </c>
      <c r="D846" t="str">
        <f t="shared" ca="1" si="66"/>
        <v>April</v>
      </c>
      <c r="E846" t="s">
        <v>29</v>
      </c>
      <c r="F846" t="s">
        <v>33</v>
      </c>
      <c r="G846" t="str">
        <f t="shared" si="67"/>
        <v>Men</v>
      </c>
      <c r="H846" t="str">
        <f t="shared" ca="1" si="68"/>
        <v>Amazon</v>
      </c>
      <c r="I846">
        <f t="shared" ca="1" si="69"/>
        <v>57</v>
      </c>
      <c r="J846" t="s">
        <v>1784</v>
      </c>
      <c r="K846" t="s">
        <v>27</v>
      </c>
      <c r="L846" t="s">
        <v>35</v>
      </c>
      <c r="M846">
        <v>1</v>
      </c>
      <c r="N846" t="s">
        <v>20</v>
      </c>
      <c r="O846">
        <v>0</v>
      </c>
      <c r="P846" t="s">
        <v>720</v>
      </c>
      <c r="Q846" t="s">
        <v>57</v>
      </c>
      <c r="R846" t="s">
        <v>23</v>
      </c>
    </row>
    <row r="847" spans="1:18" x14ac:dyDescent="0.35">
      <c r="A847">
        <v>845</v>
      </c>
      <c r="B847" t="s">
        <v>1785</v>
      </c>
      <c r="C847" s="1">
        <f t="shared" ca="1" si="65"/>
        <v>45133</v>
      </c>
      <c r="D847" t="str">
        <f t="shared" ca="1" si="66"/>
        <v>July</v>
      </c>
      <c r="E847" t="s">
        <v>29</v>
      </c>
      <c r="F847" t="s">
        <v>33</v>
      </c>
      <c r="G847" t="str">
        <f t="shared" si="67"/>
        <v>Women</v>
      </c>
      <c r="H847" t="str">
        <f t="shared" ca="1" si="68"/>
        <v>Amazon</v>
      </c>
      <c r="I847">
        <f t="shared" ca="1" si="69"/>
        <v>42</v>
      </c>
      <c r="J847" t="s">
        <v>1786</v>
      </c>
      <c r="K847" t="s">
        <v>18</v>
      </c>
      <c r="L847" t="s">
        <v>28</v>
      </c>
      <c r="M847">
        <v>1</v>
      </c>
      <c r="N847" t="s">
        <v>20</v>
      </c>
      <c r="O847">
        <v>657</v>
      </c>
      <c r="P847" t="s">
        <v>1787</v>
      </c>
      <c r="Q847" t="s">
        <v>50</v>
      </c>
      <c r="R847" t="s">
        <v>23</v>
      </c>
    </row>
    <row r="848" spans="1:18" x14ac:dyDescent="0.35">
      <c r="A848">
        <v>846</v>
      </c>
      <c r="B848" t="s">
        <v>1788</v>
      </c>
      <c r="C848" s="1">
        <f t="shared" ca="1" si="65"/>
        <v>45656</v>
      </c>
      <c r="D848" t="str">
        <f t="shared" ca="1" si="66"/>
        <v>December</v>
      </c>
      <c r="E848" t="s">
        <v>29</v>
      </c>
      <c r="F848" t="s">
        <v>33</v>
      </c>
      <c r="G848" t="str">
        <f t="shared" si="67"/>
        <v>Women</v>
      </c>
      <c r="H848" t="str">
        <f t="shared" ca="1" si="68"/>
        <v>Amazon</v>
      </c>
      <c r="I848">
        <f t="shared" ca="1" si="69"/>
        <v>27</v>
      </c>
      <c r="J848" t="s">
        <v>100</v>
      </c>
      <c r="K848" t="s">
        <v>18</v>
      </c>
      <c r="L848" t="s">
        <v>101</v>
      </c>
      <c r="M848">
        <v>1</v>
      </c>
      <c r="N848" t="s">
        <v>20</v>
      </c>
      <c r="O848">
        <v>626</v>
      </c>
      <c r="P848" t="s">
        <v>88</v>
      </c>
      <c r="Q848" t="s">
        <v>89</v>
      </c>
      <c r="R848" t="s">
        <v>23</v>
      </c>
    </row>
    <row r="849" spans="1:18" x14ac:dyDescent="0.35">
      <c r="A849">
        <v>847</v>
      </c>
      <c r="B849" t="s">
        <v>1789</v>
      </c>
      <c r="C849" s="1">
        <f t="shared" ca="1" si="65"/>
        <v>45519</v>
      </c>
      <c r="D849" t="str">
        <f t="shared" ca="1" si="66"/>
        <v>August</v>
      </c>
      <c r="E849" t="s">
        <v>15</v>
      </c>
      <c r="F849" t="s">
        <v>16</v>
      </c>
      <c r="G849" t="str">
        <f t="shared" si="67"/>
        <v>Women</v>
      </c>
      <c r="H849" t="str">
        <f t="shared" ca="1" si="68"/>
        <v>Myntra</v>
      </c>
      <c r="I849">
        <f t="shared" ca="1" si="69"/>
        <v>54</v>
      </c>
      <c r="J849" t="s">
        <v>1775</v>
      </c>
      <c r="K849" t="s">
        <v>18</v>
      </c>
      <c r="L849" t="s">
        <v>101</v>
      </c>
      <c r="M849">
        <v>0</v>
      </c>
      <c r="N849" t="s">
        <v>20</v>
      </c>
      <c r="O849">
        <v>981.25</v>
      </c>
      <c r="P849" t="s">
        <v>170</v>
      </c>
      <c r="Q849" t="s">
        <v>171</v>
      </c>
      <c r="R849" t="s">
        <v>23</v>
      </c>
    </row>
    <row r="850" spans="1:18" x14ac:dyDescent="0.35">
      <c r="A850">
        <v>848</v>
      </c>
      <c r="B850" t="s">
        <v>1790</v>
      </c>
      <c r="C850" s="1">
        <f t="shared" ca="1" si="65"/>
        <v>45398</v>
      </c>
      <c r="D850" t="str">
        <f t="shared" ca="1" si="66"/>
        <v>April</v>
      </c>
      <c r="E850" t="s">
        <v>29</v>
      </c>
      <c r="F850" t="s">
        <v>33</v>
      </c>
      <c r="G850" t="str">
        <f t="shared" si="67"/>
        <v>Women</v>
      </c>
      <c r="H850" t="str">
        <f t="shared" ca="1" si="68"/>
        <v>Amazon</v>
      </c>
      <c r="I850">
        <f t="shared" ca="1" si="69"/>
        <v>19</v>
      </c>
      <c r="J850" t="s">
        <v>1015</v>
      </c>
      <c r="K850" t="s">
        <v>39</v>
      </c>
      <c r="L850" t="s">
        <v>40</v>
      </c>
      <c r="M850">
        <v>1</v>
      </c>
      <c r="N850" t="s">
        <v>20</v>
      </c>
      <c r="O850">
        <v>899</v>
      </c>
      <c r="P850" t="s">
        <v>170</v>
      </c>
      <c r="Q850" t="s">
        <v>171</v>
      </c>
      <c r="R850" t="s">
        <v>23</v>
      </c>
    </row>
    <row r="851" spans="1:18" x14ac:dyDescent="0.35">
      <c r="A851">
        <v>849</v>
      </c>
      <c r="B851" t="s">
        <v>1791</v>
      </c>
      <c r="C851" s="1">
        <f t="shared" ca="1" si="65"/>
        <v>45083</v>
      </c>
      <c r="D851" t="str">
        <f t="shared" ca="1" si="66"/>
        <v>June</v>
      </c>
      <c r="E851" t="s">
        <v>15</v>
      </c>
      <c r="F851" t="s">
        <v>33</v>
      </c>
      <c r="G851" t="str">
        <f t="shared" si="67"/>
        <v>Women</v>
      </c>
      <c r="H851" t="str">
        <f t="shared" ca="1" si="68"/>
        <v>Amazon</v>
      </c>
      <c r="I851">
        <f t="shared" ca="1" si="69"/>
        <v>21</v>
      </c>
      <c r="J851" t="s">
        <v>1792</v>
      </c>
      <c r="K851" t="s">
        <v>18</v>
      </c>
      <c r="L851" t="s">
        <v>35</v>
      </c>
      <c r="M851">
        <v>0</v>
      </c>
      <c r="P851" t="s">
        <v>45</v>
      </c>
      <c r="Q851" t="s">
        <v>46</v>
      </c>
      <c r="R851" t="s">
        <v>23</v>
      </c>
    </row>
    <row r="852" spans="1:18" x14ac:dyDescent="0.35">
      <c r="A852">
        <v>850</v>
      </c>
      <c r="B852" t="s">
        <v>1793</v>
      </c>
      <c r="C852" s="1">
        <f t="shared" ca="1" si="65"/>
        <v>44957</v>
      </c>
      <c r="D852" t="str">
        <f t="shared" ca="1" si="66"/>
        <v>January</v>
      </c>
      <c r="E852" t="s">
        <v>29</v>
      </c>
      <c r="F852" t="s">
        <v>33</v>
      </c>
      <c r="G852" t="str">
        <f t="shared" si="67"/>
        <v>Women</v>
      </c>
      <c r="H852" t="str">
        <f t="shared" ca="1" si="68"/>
        <v>Amazon</v>
      </c>
      <c r="I852">
        <f t="shared" ca="1" si="69"/>
        <v>38</v>
      </c>
      <c r="J852" t="s">
        <v>1353</v>
      </c>
      <c r="K852" t="s">
        <v>18</v>
      </c>
      <c r="L852" t="s">
        <v>101</v>
      </c>
      <c r="M852">
        <v>1</v>
      </c>
      <c r="N852" t="s">
        <v>20</v>
      </c>
      <c r="O852">
        <v>597</v>
      </c>
      <c r="P852" t="s">
        <v>45</v>
      </c>
      <c r="Q852" t="s">
        <v>46</v>
      </c>
      <c r="R852" t="s">
        <v>23</v>
      </c>
    </row>
    <row r="853" spans="1:18" x14ac:dyDescent="0.35">
      <c r="A853">
        <v>851</v>
      </c>
      <c r="B853" t="s">
        <v>1794</v>
      </c>
      <c r="C853" s="1">
        <f t="shared" ca="1" si="65"/>
        <v>45076</v>
      </c>
      <c r="D853" t="str">
        <f t="shared" ca="1" si="66"/>
        <v>May</v>
      </c>
      <c r="E853" t="s">
        <v>29</v>
      </c>
      <c r="F853" t="s">
        <v>33</v>
      </c>
      <c r="G853" t="str">
        <f t="shared" si="67"/>
        <v>Women</v>
      </c>
      <c r="H853" t="str">
        <f t="shared" ca="1" si="68"/>
        <v>Amazon</v>
      </c>
      <c r="I853">
        <f t="shared" ca="1" si="69"/>
        <v>59</v>
      </c>
      <c r="J853" t="s">
        <v>1795</v>
      </c>
      <c r="K853" t="s">
        <v>18</v>
      </c>
      <c r="L853" t="s">
        <v>62</v>
      </c>
      <c r="M853">
        <v>1</v>
      </c>
      <c r="N853" t="s">
        <v>20</v>
      </c>
      <c r="O853">
        <v>1099</v>
      </c>
      <c r="P853" t="s">
        <v>470</v>
      </c>
      <c r="Q853" t="s">
        <v>93</v>
      </c>
      <c r="R853" t="s">
        <v>23</v>
      </c>
    </row>
    <row r="854" spans="1:18" x14ac:dyDescent="0.35">
      <c r="A854">
        <v>852</v>
      </c>
      <c r="B854" t="s">
        <v>1796</v>
      </c>
      <c r="C854" s="1">
        <f t="shared" ca="1" si="65"/>
        <v>45045</v>
      </c>
      <c r="D854" t="str">
        <f t="shared" ca="1" si="66"/>
        <v>April</v>
      </c>
      <c r="E854" t="s">
        <v>29</v>
      </c>
      <c r="F854" t="s">
        <v>33</v>
      </c>
      <c r="G854" t="str">
        <f t="shared" si="67"/>
        <v>Women</v>
      </c>
      <c r="H854" t="str">
        <f t="shared" ca="1" si="68"/>
        <v>Amazon</v>
      </c>
      <c r="I854">
        <f t="shared" ca="1" si="69"/>
        <v>23</v>
      </c>
      <c r="J854" t="s">
        <v>1797</v>
      </c>
      <c r="K854" t="s">
        <v>18</v>
      </c>
      <c r="L854" t="s">
        <v>68</v>
      </c>
      <c r="M854">
        <v>1</v>
      </c>
      <c r="N854" t="s">
        <v>20</v>
      </c>
      <c r="O854">
        <v>788</v>
      </c>
      <c r="P854" t="s">
        <v>1798</v>
      </c>
      <c r="Q854" t="s">
        <v>22</v>
      </c>
      <c r="R854" t="s">
        <v>23</v>
      </c>
    </row>
    <row r="855" spans="1:18" x14ac:dyDescent="0.35">
      <c r="A855">
        <v>853</v>
      </c>
      <c r="B855" t="s">
        <v>1799</v>
      </c>
      <c r="C855" s="1">
        <f t="shared" ca="1" si="65"/>
        <v>45294</v>
      </c>
      <c r="D855" t="str">
        <f t="shared" ca="1" si="66"/>
        <v>January</v>
      </c>
      <c r="E855" t="s">
        <v>29</v>
      </c>
      <c r="F855" t="s">
        <v>33</v>
      </c>
      <c r="G855" t="str">
        <f t="shared" si="67"/>
        <v>Men</v>
      </c>
      <c r="H855" t="str">
        <f t="shared" ca="1" si="68"/>
        <v>Amazon</v>
      </c>
      <c r="I855">
        <f t="shared" ca="1" si="69"/>
        <v>50</v>
      </c>
      <c r="J855" t="s">
        <v>1244</v>
      </c>
      <c r="K855" t="s">
        <v>27</v>
      </c>
      <c r="L855" t="s">
        <v>101</v>
      </c>
      <c r="M855">
        <v>1</v>
      </c>
      <c r="N855" t="s">
        <v>20</v>
      </c>
      <c r="O855">
        <v>459</v>
      </c>
      <c r="P855" t="s">
        <v>1800</v>
      </c>
      <c r="Q855" t="s">
        <v>357</v>
      </c>
      <c r="R855" t="s">
        <v>23</v>
      </c>
    </row>
    <row r="856" spans="1:18" x14ac:dyDescent="0.35">
      <c r="A856">
        <v>854</v>
      </c>
      <c r="B856" t="s">
        <v>1801</v>
      </c>
      <c r="C856" s="1">
        <f t="shared" ca="1" si="65"/>
        <v>45218</v>
      </c>
      <c r="D856" t="str">
        <f t="shared" ca="1" si="66"/>
        <v>October</v>
      </c>
      <c r="E856" t="s">
        <v>29</v>
      </c>
      <c r="F856" t="s">
        <v>33</v>
      </c>
      <c r="G856" t="str">
        <f t="shared" si="67"/>
        <v>Women</v>
      </c>
      <c r="H856" t="str">
        <f t="shared" ca="1" si="68"/>
        <v>Amazon</v>
      </c>
      <c r="I856">
        <f t="shared" ca="1" si="69"/>
        <v>33</v>
      </c>
      <c r="J856" t="s">
        <v>336</v>
      </c>
      <c r="K856" t="s">
        <v>18</v>
      </c>
      <c r="L856" t="s">
        <v>101</v>
      </c>
      <c r="M856">
        <v>1</v>
      </c>
      <c r="N856" t="s">
        <v>20</v>
      </c>
      <c r="O856">
        <v>1186</v>
      </c>
      <c r="P856" t="s">
        <v>279</v>
      </c>
      <c r="Q856" t="s">
        <v>223</v>
      </c>
      <c r="R856" t="s">
        <v>23</v>
      </c>
    </row>
    <row r="857" spans="1:18" x14ac:dyDescent="0.35">
      <c r="A857">
        <v>855</v>
      </c>
      <c r="B857" t="s">
        <v>1802</v>
      </c>
      <c r="C857" s="1">
        <f t="shared" ca="1" si="65"/>
        <v>45355</v>
      </c>
      <c r="D857" t="str">
        <f t="shared" ca="1" si="66"/>
        <v>March</v>
      </c>
      <c r="E857" t="s">
        <v>15</v>
      </c>
      <c r="F857" t="s">
        <v>33</v>
      </c>
      <c r="G857" t="str">
        <f t="shared" si="67"/>
        <v>Women</v>
      </c>
      <c r="H857" t="str">
        <f t="shared" ca="1" si="68"/>
        <v>Amazon</v>
      </c>
      <c r="I857">
        <f t="shared" ca="1" si="69"/>
        <v>33</v>
      </c>
      <c r="J857" t="s">
        <v>480</v>
      </c>
      <c r="K857" t="s">
        <v>18</v>
      </c>
      <c r="L857" t="s">
        <v>62</v>
      </c>
      <c r="M857">
        <v>1</v>
      </c>
      <c r="N857" t="s">
        <v>20</v>
      </c>
      <c r="O857">
        <v>626</v>
      </c>
      <c r="P857" t="s">
        <v>63</v>
      </c>
      <c r="Q857" t="s">
        <v>46</v>
      </c>
      <c r="R857" t="s">
        <v>23</v>
      </c>
    </row>
    <row r="858" spans="1:18" x14ac:dyDescent="0.35">
      <c r="A858">
        <v>856</v>
      </c>
      <c r="B858" t="s">
        <v>1803</v>
      </c>
      <c r="C858" s="1">
        <f t="shared" ca="1" si="65"/>
        <v>45251</v>
      </c>
      <c r="D858" t="str">
        <f t="shared" ca="1" si="66"/>
        <v>November</v>
      </c>
      <c r="E858" t="s">
        <v>15</v>
      </c>
      <c r="F858" t="s">
        <v>33</v>
      </c>
      <c r="G858" t="str">
        <f t="shared" si="67"/>
        <v>Women</v>
      </c>
      <c r="H858" t="str">
        <f t="shared" ca="1" si="68"/>
        <v>Amazon</v>
      </c>
      <c r="I858">
        <f t="shared" ca="1" si="69"/>
        <v>42</v>
      </c>
      <c r="J858" t="s">
        <v>1423</v>
      </c>
      <c r="K858" t="s">
        <v>39</v>
      </c>
      <c r="L858" t="s">
        <v>62</v>
      </c>
      <c r="M858">
        <v>0</v>
      </c>
      <c r="P858" t="s">
        <v>56</v>
      </c>
      <c r="Q858" t="s">
        <v>57</v>
      </c>
      <c r="R858" t="s">
        <v>23</v>
      </c>
    </row>
    <row r="859" spans="1:18" x14ac:dyDescent="0.35">
      <c r="A859">
        <v>857</v>
      </c>
      <c r="B859" t="s">
        <v>1804</v>
      </c>
      <c r="C859" s="1">
        <f t="shared" ca="1" si="65"/>
        <v>44972</v>
      </c>
      <c r="D859" t="str">
        <f t="shared" ca="1" si="66"/>
        <v>February</v>
      </c>
      <c r="E859" t="s">
        <v>15</v>
      </c>
      <c r="F859" t="s">
        <v>33</v>
      </c>
      <c r="G859" t="str">
        <f t="shared" si="67"/>
        <v>Men</v>
      </c>
      <c r="H859" t="str">
        <f t="shared" ca="1" si="68"/>
        <v>Amazon</v>
      </c>
      <c r="I859">
        <f t="shared" ca="1" si="69"/>
        <v>47</v>
      </c>
      <c r="J859" t="s">
        <v>1244</v>
      </c>
      <c r="K859" t="s">
        <v>27</v>
      </c>
      <c r="L859" t="s">
        <v>101</v>
      </c>
      <c r="M859">
        <v>0</v>
      </c>
      <c r="P859" t="s">
        <v>1800</v>
      </c>
      <c r="Q859" t="s">
        <v>357</v>
      </c>
      <c r="R859" t="s">
        <v>23</v>
      </c>
    </row>
    <row r="860" spans="1:18" x14ac:dyDescent="0.35">
      <c r="A860">
        <v>858</v>
      </c>
      <c r="B860" t="s">
        <v>1805</v>
      </c>
      <c r="C860" s="1">
        <f t="shared" ca="1" si="65"/>
        <v>45244</v>
      </c>
      <c r="D860" t="str">
        <f t="shared" ca="1" si="66"/>
        <v>November</v>
      </c>
      <c r="E860" t="s">
        <v>29</v>
      </c>
      <c r="F860" t="s">
        <v>33</v>
      </c>
      <c r="G860" t="str">
        <f t="shared" si="67"/>
        <v>Men</v>
      </c>
      <c r="H860" t="str">
        <f t="shared" ca="1" si="68"/>
        <v>Amazon</v>
      </c>
      <c r="I860">
        <f t="shared" ca="1" si="69"/>
        <v>36</v>
      </c>
      <c r="J860" t="s">
        <v>83</v>
      </c>
      <c r="K860" t="s">
        <v>27</v>
      </c>
      <c r="L860" t="s">
        <v>62</v>
      </c>
      <c r="M860">
        <v>1</v>
      </c>
      <c r="N860" t="s">
        <v>20</v>
      </c>
      <c r="O860">
        <v>329</v>
      </c>
      <c r="P860" t="s">
        <v>1806</v>
      </c>
      <c r="Q860" t="s">
        <v>85</v>
      </c>
      <c r="R860" t="s">
        <v>23</v>
      </c>
    </row>
    <row r="861" spans="1:18" x14ac:dyDescent="0.35">
      <c r="A861">
        <v>859</v>
      </c>
      <c r="B861" t="s">
        <v>1807</v>
      </c>
      <c r="C861" s="1">
        <f t="shared" ca="1" si="65"/>
        <v>45047</v>
      </c>
      <c r="D861" t="str">
        <f t="shared" ca="1" si="66"/>
        <v>May</v>
      </c>
      <c r="E861" t="s">
        <v>25</v>
      </c>
      <c r="F861" t="s">
        <v>16</v>
      </c>
      <c r="G861" t="str">
        <f t="shared" si="67"/>
        <v>Men</v>
      </c>
      <c r="H861" t="str">
        <f t="shared" ca="1" si="68"/>
        <v>Myntra</v>
      </c>
      <c r="I861">
        <f t="shared" ca="1" si="69"/>
        <v>57</v>
      </c>
      <c r="J861" t="s">
        <v>1808</v>
      </c>
      <c r="K861" t="s">
        <v>27</v>
      </c>
      <c r="L861" t="s">
        <v>40</v>
      </c>
      <c r="M861">
        <v>1</v>
      </c>
      <c r="N861" t="s">
        <v>20</v>
      </c>
      <c r="O861">
        <v>280</v>
      </c>
      <c r="P861" t="s">
        <v>1809</v>
      </c>
      <c r="Q861" t="s">
        <v>31</v>
      </c>
      <c r="R861" t="s">
        <v>23</v>
      </c>
    </row>
    <row r="862" spans="1:18" x14ac:dyDescent="0.35">
      <c r="A862">
        <v>860</v>
      </c>
      <c r="B862" t="s">
        <v>1810</v>
      </c>
      <c r="C862" s="1">
        <f t="shared" ca="1" si="65"/>
        <v>45118</v>
      </c>
      <c r="D862" t="str">
        <f t="shared" ca="1" si="66"/>
        <v>July</v>
      </c>
      <c r="E862" t="s">
        <v>29</v>
      </c>
      <c r="F862" t="s">
        <v>33</v>
      </c>
      <c r="G862" t="str">
        <f t="shared" si="67"/>
        <v>Men</v>
      </c>
      <c r="H862" t="str">
        <f t="shared" ca="1" si="68"/>
        <v>Amazon</v>
      </c>
      <c r="I862">
        <f t="shared" ca="1" si="69"/>
        <v>35</v>
      </c>
      <c r="J862" t="s">
        <v>1811</v>
      </c>
      <c r="K862" t="s">
        <v>27</v>
      </c>
      <c r="L862" t="s">
        <v>101</v>
      </c>
      <c r="M862">
        <v>1</v>
      </c>
      <c r="N862" t="s">
        <v>20</v>
      </c>
      <c r="O862">
        <v>249</v>
      </c>
      <c r="P862" t="s">
        <v>1809</v>
      </c>
      <c r="Q862" t="s">
        <v>31</v>
      </c>
      <c r="R862" t="s">
        <v>23</v>
      </c>
    </row>
    <row r="863" spans="1:18" x14ac:dyDescent="0.35">
      <c r="A863">
        <v>861</v>
      </c>
      <c r="B863" t="s">
        <v>1812</v>
      </c>
      <c r="C863" s="1">
        <f t="shared" ca="1" si="65"/>
        <v>45420</v>
      </c>
      <c r="D863" t="str">
        <f t="shared" ca="1" si="66"/>
        <v>May</v>
      </c>
      <c r="E863" t="s">
        <v>29</v>
      </c>
      <c r="F863" t="s">
        <v>33</v>
      </c>
      <c r="G863" t="str">
        <f t="shared" si="67"/>
        <v>Women</v>
      </c>
      <c r="H863" t="str">
        <f t="shared" ca="1" si="68"/>
        <v>Amazon</v>
      </c>
      <c r="I863">
        <f t="shared" ca="1" si="69"/>
        <v>41</v>
      </c>
      <c r="J863" t="s">
        <v>1813</v>
      </c>
      <c r="K863" t="s">
        <v>18</v>
      </c>
      <c r="L863" t="s">
        <v>101</v>
      </c>
      <c r="M863">
        <v>1</v>
      </c>
      <c r="N863" t="s">
        <v>20</v>
      </c>
      <c r="O863">
        <v>818</v>
      </c>
      <c r="P863" t="s">
        <v>49</v>
      </c>
      <c r="Q863" t="s">
        <v>50</v>
      </c>
      <c r="R863" t="s">
        <v>23</v>
      </c>
    </row>
    <row r="864" spans="1:18" x14ac:dyDescent="0.35">
      <c r="A864">
        <v>862</v>
      </c>
      <c r="B864" t="s">
        <v>1814</v>
      </c>
      <c r="C864" s="1">
        <f t="shared" ca="1" si="65"/>
        <v>45250</v>
      </c>
      <c r="D864" t="str">
        <f t="shared" ca="1" si="66"/>
        <v>November</v>
      </c>
      <c r="E864" t="s">
        <v>29</v>
      </c>
      <c r="F864" t="s">
        <v>33</v>
      </c>
      <c r="G864" t="str">
        <f t="shared" si="67"/>
        <v>Men</v>
      </c>
      <c r="H864" t="str">
        <f t="shared" ca="1" si="68"/>
        <v>Amazon</v>
      </c>
      <c r="I864">
        <f t="shared" ca="1" si="69"/>
        <v>50</v>
      </c>
      <c r="J864" t="s">
        <v>1281</v>
      </c>
      <c r="K864" t="s">
        <v>27</v>
      </c>
      <c r="L864" t="s">
        <v>35</v>
      </c>
      <c r="M864">
        <v>1</v>
      </c>
      <c r="N864" t="s">
        <v>20</v>
      </c>
      <c r="O864">
        <v>429</v>
      </c>
      <c r="P864" t="s">
        <v>1815</v>
      </c>
      <c r="Q864" t="s">
        <v>153</v>
      </c>
      <c r="R864" t="s">
        <v>23</v>
      </c>
    </row>
    <row r="865" spans="1:18" x14ac:dyDescent="0.35">
      <c r="A865">
        <v>863</v>
      </c>
      <c r="B865" t="s">
        <v>1814</v>
      </c>
      <c r="C865" s="1">
        <f t="shared" ca="1" si="65"/>
        <v>45149</v>
      </c>
      <c r="D865" t="str">
        <f t="shared" ca="1" si="66"/>
        <v>August</v>
      </c>
      <c r="E865" t="s">
        <v>29</v>
      </c>
      <c r="F865" t="s">
        <v>33</v>
      </c>
      <c r="G865" t="str">
        <f t="shared" si="67"/>
        <v>Men</v>
      </c>
      <c r="H865" t="str">
        <f t="shared" ca="1" si="68"/>
        <v>Amazon</v>
      </c>
      <c r="I865">
        <f t="shared" ca="1" si="69"/>
        <v>50</v>
      </c>
      <c r="J865" t="s">
        <v>1769</v>
      </c>
      <c r="K865" t="s">
        <v>27</v>
      </c>
      <c r="L865" t="s">
        <v>40</v>
      </c>
      <c r="M865">
        <v>1</v>
      </c>
      <c r="N865" t="s">
        <v>20</v>
      </c>
      <c r="O865">
        <v>458</v>
      </c>
      <c r="P865" t="s">
        <v>1815</v>
      </c>
      <c r="Q865" t="s">
        <v>153</v>
      </c>
      <c r="R865" t="s">
        <v>23</v>
      </c>
    </row>
    <row r="866" spans="1:18" x14ac:dyDescent="0.35">
      <c r="A866">
        <v>864</v>
      </c>
      <c r="B866" t="s">
        <v>1816</v>
      </c>
      <c r="C866" s="1">
        <f t="shared" ca="1" si="65"/>
        <v>45447</v>
      </c>
      <c r="D866" t="str">
        <f t="shared" ca="1" si="66"/>
        <v>June</v>
      </c>
      <c r="E866" t="s">
        <v>15</v>
      </c>
      <c r="F866" t="s">
        <v>33</v>
      </c>
      <c r="G866" t="str">
        <f t="shared" si="67"/>
        <v>Women</v>
      </c>
      <c r="H866" t="str">
        <f t="shared" ca="1" si="68"/>
        <v>Amazon</v>
      </c>
      <c r="I866">
        <f t="shared" ca="1" si="69"/>
        <v>51</v>
      </c>
      <c r="J866" t="s">
        <v>807</v>
      </c>
      <c r="K866" t="s">
        <v>39</v>
      </c>
      <c r="L866" t="s">
        <v>101</v>
      </c>
      <c r="M866">
        <v>0</v>
      </c>
      <c r="P866" t="s">
        <v>56</v>
      </c>
      <c r="Q866" t="s">
        <v>57</v>
      </c>
      <c r="R866" t="s">
        <v>23</v>
      </c>
    </row>
    <row r="867" spans="1:18" x14ac:dyDescent="0.35">
      <c r="A867">
        <v>865</v>
      </c>
      <c r="B867" t="s">
        <v>1817</v>
      </c>
      <c r="C867" s="1">
        <f t="shared" ca="1" si="65"/>
        <v>45432</v>
      </c>
      <c r="D867" t="str">
        <f t="shared" ca="1" si="66"/>
        <v>May</v>
      </c>
      <c r="E867" t="s">
        <v>25</v>
      </c>
      <c r="F867" t="s">
        <v>16</v>
      </c>
      <c r="G867" t="str">
        <f t="shared" si="67"/>
        <v>Men</v>
      </c>
      <c r="H867" t="str">
        <f t="shared" ca="1" si="68"/>
        <v>Flipkart</v>
      </c>
      <c r="I867">
        <f t="shared" ca="1" si="69"/>
        <v>31</v>
      </c>
      <c r="J867" t="s">
        <v>1818</v>
      </c>
      <c r="K867" t="s">
        <v>27</v>
      </c>
      <c r="L867" t="s">
        <v>101</v>
      </c>
      <c r="M867">
        <v>1</v>
      </c>
      <c r="N867" t="s">
        <v>20</v>
      </c>
      <c r="O867">
        <v>475</v>
      </c>
      <c r="P867" t="s">
        <v>122</v>
      </c>
      <c r="Q867" t="s">
        <v>22</v>
      </c>
      <c r="R867" t="s">
        <v>23</v>
      </c>
    </row>
    <row r="868" spans="1:18" x14ac:dyDescent="0.35">
      <c r="A868">
        <v>866</v>
      </c>
      <c r="B868" t="s">
        <v>1819</v>
      </c>
      <c r="C868" s="1">
        <f t="shared" ca="1" si="65"/>
        <v>45639</v>
      </c>
      <c r="D868" t="str">
        <f t="shared" ca="1" si="66"/>
        <v>December</v>
      </c>
      <c r="E868" t="s">
        <v>29</v>
      </c>
      <c r="F868" t="s">
        <v>33</v>
      </c>
      <c r="G868" t="str">
        <f t="shared" si="67"/>
        <v>Women</v>
      </c>
      <c r="H868" t="str">
        <f t="shared" ca="1" si="68"/>
        <v>Amazon</v>
      </c>
      <c r="I868">
        <f t="shared" ca="1" si="69"/>
        <v>26</v>
      </c>
      <c r="J868" t="s">
        <v>1289</v>
      </c>
      <c r="K868" t="s">
        <v>18</v>
      </c>
      <c r="L868" t="s">
        <v>19</v>
      </c>
      <c r="M868">
        <v>1</v>
      </c>
      <c r="N868" t="s">
        <v>20</v>
      </c>
      <c r="O868">
        <v>788</v>
      </c>
      <c r="P868" t="s">
        <v>113</v>
      </c>
      <c r="Q868" t="s">
        <v>114</v>
      </c>
      <c r="R868" t="s">
        <v>23</v>
      </c>
    </row>
    <row r="869" spans="1:18" x14ac:dyDescent="0.35">
      <c r="A869">
        <v>867</v>
      </c>
      <c r="B869" t="s">
        <v>1820</v>
      </c>
      <c r="C869" s="1">
        <f t="shared" ca="1" si="65"/>
        <v>45587</v>
      </c>
      <c r="D869" t="str">
        <f t="shared" ca="1" si="66"/>
        <v>October</v>
      </c>
      <c r="E869" t="s">
        <v>29</v>
      </c>
      <c r="F869" t="s">
        <v>33</v>
      </c>
      <c r="G869" t="str">
        <f t="shared" si="67"/>
        <v>Women</v>
      </c>
      <c r="H869" t="str">
        <f t="shared" ca="1" si="68"/>
        <v>Amazon</v>
      </c>
      <c r="I869">
        <f t="shared" ca="1" si="69"/>
        <v>24</v>
      </c>
      <c r="J869" t="s">
        <v>1821</v>
      </c>
      <c r="K869" t="s">
        <v>39</v>
      </c>
      <c r="L869" t="s">
        <v>35</v>
      </c>
      <c r="M869">
        <v>1</v>
      </c>
      <c r="N869" t="s">
        <v>20</v>
      </c>
      <c r="O869">
        <v>744</v>
      </c>
      <c r="P869" t="s">
        <v>206</v>
      </c>
      <c r="Q869" t="s">
        <v>31</v>
      </c>
      <c r="R869" t="s">
        <v>23</v>
      </c>
    </row>
    <row r="870" spans="1:18" x14ac:dyDescent="0.35">
      <c r="A870">
        <v>868</v>
      </c>
      <c r="B870" t="s">
        <v>1822</v>
      </c>
      <c r="C870" s="1">
        <f t="shared" ca="1" si="65"/>
        <v>44956</v>
      </c>
      <c r="D870" t="str">
        <f t="shared" ca="1" si="66"/>
        <v>January</v>
      </c>
      <c r="E870" t="s">
        <v>29</v>
      </c>
      <c r="F870" t="s">
        <v>33</v>
      </c>
      <c r="G870" t="str">
        <f t="shared" si="67"/>
        <v>Men</v>
      </c>
      <c r="H870" t="str">
        <f t="shared" ca="1" si="68"/>
        <v>Amazon</v>
      </c>
      <c r="I870">
        <f t="shared" ca="1" si="69"/>
        <v>52</v>
      </c>
      <c r="J870" t="s">
        <v>1823</v>
      </c>
      <c r="K870" t="s">
        <v>27</v>
      </c>
      <c r="L870" t="s">
        <v>28</v>
      </c>
      <c r="M870">
        <v>1</v>
      </c>
      <c r="N870" t="s">
        <v>20</v>
      </c>
      <c r="O870">
        <v>458</v>
      </c>
      <c r="P870" t="s">
        <v>470</v>
      </c>
      <c r="Q870" t="s">
        <v>93</v>
      </c>
      <c r="R870" t="s">
        <v>23</v>
      </c>
    </row>
    <row r="871" spans="1:18" x14ac:dyDescent="0.35">
      <c r="A871">
        <v>869</v>
      </c>
      <c r="B871" t="s">
        <v>1824</v>
      </c>
      <c r="C871" s="1">
        <f t="shared" ca="1" si="65"/>
        <v>45096</v>
      </c>
      <c r="D871" t="str">
        <f t="shared" ca="1" si="66"/>
        <v>June</v>
      </c>
      <c r="E871" t="s">
        <v>29</v>
      </c>
      <c r="F871" t="s">
        <v>33</v>
      </c>
      <c r="G871" t="str">
        <f t="shared" si="67"/>
        <v>Men</v>
      </c>
      <c r="H871" t="str">
        <f t="shared" ca="1" si="68"/>
        <v>Amazon</v>
      </c>
      <c r="I871">
        <f t="shared" ca="1" si="69"/>
        <v>52</v>
      </c>
      <c r="J871" t="s">
        <v>78</v>
      </c>
      <c r="K871" t="s">
        <v>27</v>
      </c>
      <c r="L871" t="s">
        <v>79</v>
      </c>
      <c r="M871">
        <v>1</v>
      </c>
      <c r="N871" t="s">
        <v>20</v>
      </c>
      <c r="O871">
        <v>505</v>
      </c>
      <c r="P871" t="s">
        <v>45</v>
      </c>
      <c r="Q871" t="s">
        <v>46</v>
      </c>
      <c r="R871" t="s">
        <v>23</v>
      </c>
    </row>
    <row r="872" spans="1:18" x14ac:dyDescent="0.35">
      <c r="A872">
        <v>870</v>
      </c>
      <c r="B872" t="s">
        <v>1825</v>
      </c>
      <c r="C872" s="1">
        <f t="shared" ca="1" si="65"/>
        <v>45568</v>
      </c>
      <c r="D872" t="str">
        <f t="shared" ca="1" si="66"/>
        <v>October</v>
      </c>
      <c r="E872" t="s">
        <v>29</v>
      </c>
      <c r="F872" t="s">
        <v>33</v>
      </c>
      <c r="G872" t="str">
        <f t="shared" si="67"/>
        <v>Women</v>
      </c>
      <c r="H872" t="str">
        <f t="shared" ca="1" si="68"/>
        <v>Amazon</v>
      </c>
      <c r="I872">
        <f t="shared" ca="1" si="69"/>
        <v>40</v>
      </c>
      <c r="J872" t="s">
        <v>1155</v>
      </c>
      <c r="K872" t="s">
        <v>18</v>
      </c>
      <c r="L872" t="s">
        <v>62</v>
      </c>
      <c r="M872">
        <v>1</v>
      </c>
      <c r="N872" t="s">
        <v>20</v>
      </c>
      <c r="O872">
        <v>1186</v>
      </c>
      <c r="P872" t="s">
        <v>533</v>
      </c>
      <c r="Q872" t="s">
        <v>297</v>
      </c>
      <c r="R872" t="s">
        <v>23</v>
      </c>
    </row>
    <row r="873" spans="1:18" x14ac:dyDescent="0.35">
      <c r="A873">
        <v>871</v>
      </c>
      <c r="B873" t="s">
        <v>1826</v>
      </c>
      <c r="C873" s="1">
        <f t="shared" ca="1" si="65"/>
        <v>45218</v>
      </c>
      <c r="D873" t="str">
        <f t="shared" ca="1" si="66"/>
        <v>October</v>
      </c>
      <c r="E873" t="s">
        <v>29</v>
      </c>
      <c r="F873" t="s">
        <v>33</v>
      </c>
      <c r="G873" t="str">
        <f t="shared" si="67"/>
        <v>Women</v>
      </c>
      <c r="H873" t="str">
        <f t="shared" ca="1" si="68"/>
        <v>Amazon</v>
      </c>
      <c r="I873">
        <f t="shared" ca="1" si="69"/>
        <v>30</v>
      </c>
      <c r="J873" t="s">
        <v>1376</v>
      </c>
      <c r="K873" t="s">
        <v>18</v>
      </c>
      <c r="L873" t="s">
        <v>40</v>
      </c>
      <c r="M873">
        <v>1</v>
      </c>
      <c r="N873" t="s">
        <v>20</v>
      </c>
      <c r="O873">
        <v>597</v>
      </c>
      <c r="P873" t="s">
        <v>1827</v>
      </c>
      <c r="Q873" t="s">
        <v>85</v>
      </c>
      <c r="R873" t="s">
        <v>23</v>
      </c>
    </row>
    <row r="874" spans="1:18" x14ac:dyDescent="0.35">
      <c r="A874">
        <v>872</v>
      </c>
      <c r="B874" t="s">
        <v>1828</v>
      </c>
      <c r="C874" s="1">
        <f t="shared" ca="1" si="65"/>
        <v>45123</v>
      </c>
      <c r="D874" t="str">
        <f t="shared" ca="1" si="66"/>
        <v>July</v>
      </c>
      <c r="E874" t="s">
        <v>29</v>
      </c>
      <c r="F874" t="s">
        <v>33</v>
      </c>
      <c r="G874" t="str">
        <f t="shared" si="67"/>
        <v>Women</v>
      </c>
      <c r="H874" t="str">
        <f t="shared" ca="1" si="68"/>
        <v>Amazon</v>
      </c>
      <c r="I874">
        <f t="shared" ca="1" si="69"/>
        <v>53</v>
      </c>
      <c r="J874" t="s">
        <v>585</v>
      </c>
      <c r="K874" t="s">
        <v>44</v>
      </c>
      <c r="L874" t="s">
        <v>101</v>
      </c>
      <c r="M874">
        <v>1</v>
      </c>
      <c r="N874" t="s">
        <v>20</v>
      </c>
      <c r="O874">
        <v>463</v>
      </c>
      <c r="P874" t="s">
        <v>1829</v>
      </c>
      <c r="Q874" t="s">
        <v>93</v>
      </c>
      <c r="R874" t="s">
        <v>23</v>
      </c>
    </row>
    <row r="875" spans="1:18" x14ac:dyDescent="0.35">
      <c r="A875">
        <v>873</v>
      </c>
      <c r="B875" t="s">
        <v>1830</v>
      </c>
      <c r="C875" s="1">
        <f t="shared" ca="1" si="65"/>
        <v>45558</v>
      </c>
      <c r="D875" t="str">
        <f t="shared" ca="1" si="66"/>
        <v>September</v>
      </c>
      <c r="E875" t="s">
        <v>29</v>
      </c>
      <c r="F875" t="s">
        <v>33</v>
      </c>
      <c r="G875" t="str">
        <f t="shared" si="67"/>
        <v>Men</v>
      </c>
      <c r="H875" t="str">
        <f t="shared" ca="1" si="68"/>
        <v>Amazon</v>
      </c>
      <c r="I875">
        <f t="shared" ca="1" si="69"/>
        <v>52</v>
      </c>
      <c r="J875" t="s">
        <v>777</v>
      </c>
      <c r="K875" t="s">
        <v>27</v>
      </c>
      <c r="L875" t="s">
        <v>28</v>
      </c>
      <c r="M875">
        <v>1</v>
      </c>
      <c r="N875" t="s">
        <v>20</v>
      </c>
      <c r="O875">
        <v>471</v>
      </c>
      <c r="P875" t="s">
        <v>56</v>
      </c>
      <c r="Q875" t="s">
        <v>57</v>
      </c>
      <c r="R875" t="s">
        <v>23</v>
      </c>
    </row>
    <row r="876" spans="1:18" x14ac:dyDescent="0.35">
      <c r="A876">
        <v>874</v>
      </c>
      <c r="B876" t="s">
        <v>1831</v>
      </c>
      <c r="C876" s="1">
        <f t="shared" ca="1" si="65"/>
        <v>45507</v>
      </c>
      <c r="D876" t="str">
        <f t="shared" ca="1" si="66"/>
        <v>August</v>
      </c>
      <c r="E876" t="s">
        <v>29</v>
      </c>
      <c r="F876" t="s">
        <v>33</v>
      </c>
      <c r="G876" t="str">
        <f t="shared" si="67"/>
        <v>Women</v>
      </c>
      <c r="H876" t="str">
        <f t="shared" ca="1" si="68"/>
        <v>Amazon</v>
      </c>
      <c r="I876">
        <f t="shared" ca="1" si="69"/>
        <v>28</v>
      </c>
      <c r="J876" t="s">
        <v>100</v>
      </c>
      <c r="K876" t="s">
        <v>18</v>
      </c>
      <c r="L876" t="s">
        <v>101</v>
      </c>
      <c r="M876">
        <v>1</v>
      </c>
      <c r="N876" t="s">
        <v>20</v>
      </c>
      <c r="O876">
        <v>626</v>
      </c>
      <c r="P876" t="s">
        <v>1832</v>
      </c>
      <c r="Q876" t="s">
        <v>223</v>
      </c>
      <c r="R876" t="s">
        <v>23</v>
      </c>
    </row>
    <row r="877" spans="1:18" x14ac:dyDescent="0.35">
      <c r="A877">
        <v>875</v>
      </c>
      <c r="B877" t="s">
        <v>1833</v>
      </c>
      <c r="C877" s="1">
        <f t="shared" ca="1" si="65"/>
        <v>45169</v>
      </c>
      <c r="D877" t="str">
        <f t="shared" ca="1" si="66"/>
        <v>August</v>
      </c>
      <c r="E877" t="s">
        <v>29</v>
      </c>
      <c r="F877" t="s">
        <v>33</v>
      </c>
      <c r="G877" t="str">
        <f t="shared" si="67"/>
        <v>Men</v>
      </c>
      <c r="H877" t="str">
        <f t="shared" ca="1" si="68"/>
        <v>Amazon</v>
      </c>
      <c r="I877">
        <f t="shared" ca="1" si="69"/>
        <v>18</v>
      </c>
      <c r="J877" t="s">
        <v>87</v>
      </c>
      <c r="K877" t="s">
        <v>27</v>
      </c>
      <c r="L877" t="s">
        <v>35</v>
      </c>
      <c r="M877">
        <v>1</v>
      </c>
      <c r="N877" t="s">
        <v>20</v>
      </c>
      <c r="O877">
        <v>399</v>
      </c>
      <c r="P877" t="s">
        <v>1834</v>
      </c>
      <c r="Q877" t="s">
        <v>114</v>
      </c>
      <c r="R877" t="s">
        <v>23</v>
      </c>
    </row>
    <row r="878" spans="1:18" x14ac:dyDescent="0.35">
      <c r="A878">
        <v>876</v>
      </c>
      <c r="B878" t="s">
        <v>1835</v>
      </c>
      <c r="C878" s="1">
        <f t="shared" ca="1" si="65"/>
        <v>45119</v>
      </c>
      <c r="D878" t="str">
        <f t="shared" ca="1" si="66"/>
        <v>July</v>
      </c>
      <c r="E878" t="s">
        <v>29</v>
      </c>
      <c r="F878" t="s">
        <v>33</v>
      </c>
      <c r="G878" t="str">
        <f t="shared" si="67"/>
        <v>Women</v>
      </c>
      <c r="H878" t="str">
        <f t="shared" ca="1" si="68"/>
        <v>Amazon</v>
      </c>
      <c r="I878">
        <f t="shared" ca="1" si="69"/>
        <v>36</v>
      </c>
      <c r="J878" t="s">
        <v>1101</v>
      </c>
      <c r="K878" t="s">
        <v>18</v>
      </c>
      <c r="L878" t="s">
        <v>40</v>
      </c>
      <c r="M878">
        <v>1</v>
      </c>
      <c r="N878" t="s">
        <v>20</v>
      </c>
      <c r="O878">
        <v>788</v>
      </c>
      <c r="P878" t="s">
        <v>30</v>
      </c>
      <c r="Q878" t="s">
        <v>31</v>
      </c>
      <c r="R878" t="s">
        <v>23</v>
      </c>
    </row>
    <row r="879" spans="1:18" x14ac:dyDescent="0.35">
      <c r="A879">
        <v>877</v>
      </c>
      <c r="B879" t="s">
        <v>1836</v>
      </c>
      <c r="C879" s="1">
        <f t="shared" ca="1" si="65"/>
        <v>45513</v>
      </c>
      <c r="D879" t="str">
        <f t="shared" ca="1" si="66"/>
        <v>August</v>
      </c>
      <c r="E879" t="s">
        <v>29</v>
      </c>
      <c r="F879" t="s">
        <v>33</v>
      </c>
      <c r="G879" t="str">
        <f t="shared" si="67"/>
        <v>Women</v>
      </c>
      <c r="H879" t="str">
        <f t="shared" ca="1" si="68"/>
        <v>Amazon</v>
      </c>
      <c r="I879">
        <f t="shared" ca="1" si="69"/>
        <v>57</v>
      </c>
      <c r="J879" t="s">
        <v>1837</v>
      </c>
      <c r="K879" t="s">
        <v>44</v>
      </c>
      <c r="L879" t="s">
        <v>101</v>
      </c>
      <c r="M879">
        <v>1</v>
      </c>
      <c r="N879" t="s">
        <v>20</v>
      </c>
      <c r="O879">
        <v>751</v>
      </c>
      <c r="P879" t="s">
        <v>1838</v>
      </c>
      <c r="Q879" t="s">
        <v>357</v>
      </c>
      <c r="R879" t="s">
        <v>23</v>
      </c>
    </row>
    <row r="880" spans="1:18" x14ac:dyDescent="0.35">
      <c r="A880">
        <v>878</v>
      </c>
      <c r="B880" t="s">
        <v>1839</v>
      </c>
      <c r="C880" s="1">
        <f t="shared" ca="1" si="65"/>
        <v>45301</v>
      </c>
      <c r="D880" t="str">
        <f t="shared" ca="1" si="66"/>
        <v>January</v>
      </c>
      <c r="E880" t="s">
        <v>15</v>
      </c>
      <c r="F880" t="s">
        <v>33</v>
      </c>
      <c r="G880" t="str">
        <f t="shared" si="67"/>
        <v>Men</v>
      </c>
      <c r="H880" t="str">
        <f t="shared" ca="1" si="68"/>
        <v>Amazon</v>
      </c>
      <c r="I880">
        <f t="shared" ca="1" si="69"/>
        <v>47</v>
      </c>
      <c r="J880" t="s">
        <v>1840</v>
      </c>
      <c r="K880" t="s">
        <v>27</v>
      </c>
      <c r="L880" t="s">
        <v>35</v>
      </c>
      <c r="M880">
        <v>1</v>
      </c>
      <c r="N880" t="s">
        <v>20</v>
      </c>
      <c r="O880">
        <v>368</v>
      </c>
      <c r="P880" t="s">
        <v>133</v>
      </c>
      <c r="Q880" t="s">
        <v>50</v>
      </c>
      <c r="R880" t="s">
        <v>23</v>
      </c>
    </row>
    <row r="881" spans="1:18" x14ac:dyDescent="0.35">
      <c r="A881">
        <v>879</v>
      </c>
      <c r="B881" t="s">
        <v>1841</v>
      </c>
      <c r="C881" s="1">
        <f t="shared" ca="1" si="65"/>
        <v>44952</v>
      </c>
      <c r="D881" t="str">
        <f t="shared" ca="1" si="66"/>
        <v>January</v>
      </c>
      <c r="E881" t="s">
        <v>29</v>
      </c>
      <c r="F881" t="s">
        <v>33</v>
      </c>
      <c r="G881" t="str">
        <f t="shared" si="67"/>
        <v>Women</v>
      </c>
      <c r="H881" t="str">
        <f t="shared" ca="1" si="68"/>
        <v>Amazon</v>
      </c>
      <c r="I881">
        <f t="shared" ca="1" si="69"/>
        <v>21</v>
      </c>
      <c r="J881" t="s">
        <v>527</v>
      </c>
      <c r="K881" t="s">
        <v>39</v>
      </c>
      <c r="L881" t="s">
        <v>101</v>
      </c>
      <c r="M881">
        <v>1</v>
      </c>
      <c r="N881" t="s">
        <v>20</v>
      </c>
      <c r="O881">
        <v>744</v>
      </c>
      <c r="P881" t="s">
        <v>56</v>
      </c>
      <c r="Q881" t="s">
        <v>57</v>
      </c>
      <c r="R881" t="s">
        <v>23</v>
      </c>
    </row>
    <row r="882" spans="1:18" x14ac:dyDescent="0.35">
      <c r="A882">
        <v>880</v>
      </c>
      <c r="B882" t="s">
        <v>1842</v>
      </c>
      <c r="C882" s="1">
        <f t="shared" ca="1" si="65"/>
        <v>45620</v>
      </c>
      <c r="D882" t="str">
        <f t="shared" ca="1" si="66"/>
        <v>November</v>
      </c>
      <c r="E882" t="s">
        <v>29</v>
      </c>
      <c r="F882" t="s">
        <v>33</v>
      </c>
      <c r="G882" t="str">
        <f t="shared" si="67"/>
        <v>Men</v>
      </c>
      <c r="H882" t="str">
        <f t="shared" ca="1" si="68"/>
        <v>Amazon</v>
      </c>
      <c r="I882">
        <f t="shared" ca="1" si="69"/>
        <v>28</v>
      </c>
      <c r="J882" t="s">
        <v>151</v>
      </c>
      <c r="K882" t="s">
        <v>27</v>
      </c>
      <c r="L882" t="s">
        <v>40</v>
      </c>
      <c r="M882">
        <v>1</v>
      </c>
      <c r="N882" t="s">
        <v>20</v>
      </c>
      <c r="O882">
        <v>399</v>
      </c>
      <c r="P882" t="s">
        <v>1336</v>
      </c>
      <c r="Q882" t="s">
        <v>22</v>
      </c>
      <c r="R882" t="s">
        <v>23</v>
      </c>
    </row>
    <row r="883" spans="1:18" x14ac:dyDescent="0.35">
      <c r="A883">
        <v>881</v>
      </c>
      <c r="B883" t="s">
        <v>1843</v>
      </c>
      <c r="C883" s="1">
        <f t="shared" ca="1" si="65"/>
        <v>45260</v>
      </c>
      <c r="D883" t="str">
        <f t="shared" ca="1" si="66"/>
        <v>November</v>
      </c>
      <c r="E883" t="s">
        <v>29</v>
      </c>
      <c r="F883" t="s">
        <v>33</v>
      </c>
      <c r="G883" t="str">
        <f t="shared" si="67"/>
        <v>Men</v>
      </c>
      <c r="H883" t="str">
        <f t="shared" ca="1" si="68"/>
        <v>Amazon</v>
      </c>
      <c r="I883">
        <f t="shared" ca="1" si="69"/>
        <v>35</v>
      </c>
      <c r="J883" t="s">
        <v>1844</v>
      </c>
      <c r="K883" t="s">
        <v>27</v>
      </c>
      <c r="L883" t="s">
        <v>35</v>
      </c>
      <c r="M883">
        <v>1</v>
      </c>
      <c r="N883" t="s">
        <v>20</v>
      </c>
      <c r="O883">
        <v>475</v>
      </c>
      <c r="P883" t="s">
        <v>45</v>
      </c>
      <c r="Q883" t="s">
        <v>46</v>
      </c>
      <c r="R883" t="s">
        <v>23</v>
      </c>
    </row>
    <row r="884" spans="1:18" x14ac:dyDescent="0.35">
      <c r="A884">
        <v>882</v>
      </c>
      <c r="B884" t="s">
        <v>1845</v>
      </c>
      <c r="C884" s="1">
        <f t="shared" ca="1" si="65"/>
        <v>45450</v>
      </c>
      <c r="D884" t="str">
        <f t="shared" ca="1" si="66"/>
        <v>June</v>
      </c>
      <c r="E884" t="s">
        <v>29</v>
      </c>
      <c r="F884" t="s">
        <v>33</v>
      </c>
      <c r="G884" t="str">
        <f t="shared" si="67"/>
        <v>Men</v>
      </c>
      <c r="H884" t="str">
        <f t="shared" ca="1" si="68"/>
        <v>Amazon</v>
      </c>
      <c r="I884">
        <f t="shared" ca="1" si="69"/>
        <v>50</v>
      </c>
      <c r="J884" t="s">
        <v>1846</v>
      </c>
      <c r="K884" t="s">
        <v>27</v>
      </c>
      <c r="L884" t="s">
        <v>35</v>
      </c>
      <c r="M884">
        <v>1</v>
      </c>
      <c r="N884" t="s">
        <v>20</v>
      </c>
      <c r="O884">
        <v>475</v>
      </c>
      <c r="P884" t="s">
        <v>45</v>
      </c>
      <c r="Q884" t="s">
        <v>46</v>
      </c>
      <c r="R884" t="s">
        <v>23</v>
      </c>
    </row>
    <row r="885" spans="1:18" x14ac:dyDescent="0.35">
      <c r="A885">
        <v>883</v>
      </c>
      <c r="B885" t="s">
        <v>1847</v>
      </c>
      <c r="C885" s="1">
        <f t="shared" ca="1" si="65"/>
        <v>45462</v>
      </c>
      <c r="D885" t="str">
        <f t="shared" ca="1" si="66"/>
        <v>June</v>
      </c>
      <c r="E885" t="s">
        <v>29</v>
      </c>
      <c r="F885" t="s">
        <v>33</v>
      </c>
      <c r="G885" t="str">
        <f t="shared" si="67"/>
        <v>Men</v>
      </c>
      <c r="H885" t="str">
        <f t="shared" ca="1" si="68"/>
        <v>Amazon</v>
      </c>
      <c r="I885">
        <f t="shared" ca="1" si="69"/>
        <v>54</v>
      </c>
      <c r="J885" t="s">
        <v>1848</v>
      </c>
      <c r="K885" t="s">
        <v>27</v>
      </c>
      <c r="L885" t="s">
        <v>40</v>
      </c>
      <c r="M885">
        <v>1</v>
      </c>
      <c r="N885" t="s">
        <v>20</v>
      </c>
      <c r="O885">
        <v>521</v>
      </c>
      <c r="P885" t="s">
        <v>113</v>
      </c>
      <c r="Q885" t="s">
        <v>114</v>
      </c>
      <c r="R885" t="s">
        <v>23</v>
      </c>
    </row>
    <row r="886" spans="1:18" x14ac:dyDescent="0.35">
      <c r="A886">
        <v>884</v>
      </c>
      <c r="B886" t="s">
        <v>1849</v>
      </c>
      <c r="C886" s="1">
        <f t="shared" ca="1" si="65"/>
        <v>45211</v>
      </c>
      <c r="D886" t="str">
        <f t="shared" ca="1" si="66"/>
        <v>October</v>
      </c>
      <c r="E886" t="s">
        <v>29</v>
      </c>
      <c r="F886" t="s">
        <v>33</v>
      </c>
      <c r="G886" t="str">
        <f t="shared" si="67"/>
        <v>Women</v>
      </c>
      <c r="H886" t="str">
        <f t="shared" ca="1" si="68"/>
        <v>Amazon</v>
      </c>
      <c r="I886">
        <f t="shared" ca="1" si="69"/>
        <v>41</v>
      </c>
      <c r="J886" t="s">
        <v>1850</v>
      </c>
      <c r="K886" t="s">
        <v>39</v>
      </c>
      <c r="L886" t="s">
        <v>28</v>
      </c>
      <c r="M886">
        <v>1</v>
      </c>
      <c r="N886" t="s">
        <v>20</v>
      </c>
      <c r="O886">
        <v>721</v>
      </c>
      <c r="P886" t="s">
        <v>285</v>
      </c>
      <c r="Q886" t="s">
        <v>286</v>
      </c>
      <c r="R886" t="s">
        <v>23</v>
      </c>
    </row>
    <row r="887" spans="1:18" x14ac:dyDescent="0.35">
      <c r="A887">
        <v>885</v>
      </c>
      <c r="B887" t="s">
        <v>1851</v>
      </c>
      <c r="C887" s="1">
        <f t="shared" ca="1" si="65"/>
        <v>45332</v>
      </c>
      <c r="D887" t="str">
        <f t="shared" ca="1" si="66"/>
        <v>February</v>
      </c>
      <c r="E887" t="s">
        <v>29</v>
      </c>
      <c r="F887" t="s">
        <v>33</v>
      </c>
      <c r="G887" t="str">
        <f t="shared" si="67"/>
        <v>Women</v>
      </c>
      <c r="H887" t="str">
        <f t="shared" ca="1" si="68"/>
        <v>Amazon</v>
      </c>
      <c r="I887">
        <f t="shared" ca="1" si="69"/>
        <v>56</v>
      </c>
      <c r="J887" t="s">
        <v>748</v>
      </c>
      <c r="K887" t="s">
        <v>18</v>
      </c>
      <c r="L887" t="s">
        <v>68</v>
      </c>
      <c r="M887">
        <v>1</v>
      </c>
      <c r="N887" t="s">
        <v>20</v>
      </c>
      <c r="O887">
        <v>788</v>
      </c>
      <c r="P887" t="s">
        <v>499</v>
      </c>
      <c r="Q887" t="s">
        <v>31</v>
      </c>
      <c r="R887" t="s">
        <v>23</v>
      </c>
    </row>
    <row r="888" spans="1:18" x14ac:dyDescent="0.35">
      <c r="A888">
        <v>886</v>
      </c>
      <c r="B888" t="s">
        <v>1852</v>
      </c>
      <c r="C888" s="1">
        <f t="shared" ca="1" si="65"/>
        <v>44989</v>
      </c>
      <c r="D888" t="str">
        <f t="shared" ca="1" si="66"/>
        <v>March</v>
      </c>
      <c r="E888" t="s">
        <v>29</v>
      </c>
      <c r="F888" t="s">
        <v>33</v>
      </c>
      <c r="G888" t="str">
        <f t="shared" si="67"/>
        <v>Men</v>
      </c>
      <c r="H888" t="str">
        <f t="shared" ca="1" si="68"/>
        <v>Amazon</v>
      </c>
      <c r="I888">
        <f t="shared" ca="1" si="69"/>
        <v>22</v>
      </c>
      <c r="J888" t="s">
        <v>667</v>
      </c>
      <c r="K888" t="s">
        <v>27</v>
      </c>
      <c r="L888" t="s">
        <v>62</v>
      </c>
      <c r="M888">
        <v>1</v>
      </c>
      <c r="N888" t="s">
        <v>20</v>
      </c>
      <c r="O888">
        <v>486</v>
      </c>
      <c r="P888" t="s">
        <v>1853</v>
      </c>
      <c r="Q888" t="s">
        <v>31</v>
      </c>
      <c r="R888" t="s">
        <v>23</v>
      </c>
    </row>
    <row r="889" spans="1:18" x14ac:dyDescent="0.35">
      <c r="A889">
        <v>887</v>
      </c>
      <c r="B889" t="s">
        <v>1854</v>
      </c>
      <c r="C889" s="1">
        <f t="shared" ca="1" si="65"/>
        <v>45125</v>
      </c>
      <c r="D889" t="str">
        <f t="shared" ca="1" si="66"/>
        <v>July</v>
      </c>
      <c r="E889" t="s">
        <v>29</v>
      </c>
      <c r="F889" t="s">
        <v>33</v>
      </c>
      <c r="G889" t="str">
        <f t="shared" si="67"/>
        <v>Women</v>
      </c>
      <c r="H889" t="str">
        <f t="shared" ca="1" si="68"/>
        <v>Amazon</v>
      </c>
      <c r="I889">
        <f t="shared" ca="1" si="69"/>
        <v>52</v>
      </c>
      <c r="J889" t="s">
        <v>498</v>
      </c>
      <c r="K889" t="s">
        <v>18</v>
      </c>
      <c r="L889" t="s">
        <v>40</v>
      </c>
      <c r="M889">
        <v>1</v>
      </c>
      <c r="N889" t="s">
        <v>20</v>
      </c>
      <c r="O889">
        <v>597</v>
      </c>
      <c r="P889" t="s">
        <v>127</v>
      </c>
      <c r="Q889" t="s">
        <v>110</v>
      </c>
      <c r="R889" t="s">
        <v>23</v>
      </c>
    </row>
    <row r="890" spans="1:18" x14ac:dyDescent="0.35">
      <c r="A890">
        <v>888</v>
      </c>
      <c r="B890" t="s">
        <v>1855</v>
      </c>
      <c r="C890" s="1">
        <f t="shared" ca="1" si="65"/>
        <v>45615</v>
      </c>
      <c r="D890" t="str">
        <f t="shared" ca="1" si="66"/>
        <v>November</v>
      </c>
      <c r="E890" t="s">
        <v>29</v>
      </c>
      <c r="F890" t="s">
        <v>33</v>
      </c>
      <c r="G890" t="str">
        <f t="shared" si="67"/>
        <v>Women</v>
      </c>
      <c r="H890" t="str">
        <f t="shared" ca="1" si="68"/>
        <v>Amazon</v>
      </c>
      <c r="I890">
        <f t="shared" ca="1" si="69"/>
        <v>18</v>
      </c>
      <c r="J890" t="s">
        <v>527</v>
      </c>
      <c r="K890" t="s">
        <v>39</v>
      </c>
      <c r="L890" t="s">
        <v>101</v>
      </c>
      <c r="M890">
        <v>1</v>
      </c>
      <c r="N890" t="s">
        <v>20</v>
      </c>
      <c r="O890">
        <v>744</v>
      </c>
      <c r="P890" t="s">
        <v>127</v>
      </c>
      <c r="Q890" t="s">
        <v>110</v>
      </c>
      <c r="R890" t="s">
        <v>23</v>
      </c>
    </row>
    <row r="891" spans="1:18" x14ac:dyDescent="0.35">
      <c r="A891">
        <v>889</v>
      </c>
      <c r="B891" t="s">
        <v>1856</v>
      </c>
      <c r="C891" s="1">
        <f t="shared" ca="1" si="65"/>
        <v>45597</v>
      </c>
      <c r="D891" t="str">
        <f t="shared" ca="1" si="66"/>
        <v>November</v>
      </c>
      <c r="E891" t="s">
        <v>29</v>
      </c>
      <c r="F891" t="s">
        <v>33</v>
      </c>
      <c r="G891" t="str">
        <f t="shared" si="67"/>
        <v>Women</v>
      </c>
      <c r="H891" t="str">
        <f t="shared" ca="1" si="68"/>
        <v>Amazon</v>
      </c>
      <c r="I891">
        <f t="shared" ca="1" si="69"/>
        <v>23</v>
      </c>
      <c r="J891" t="s">
        <v>1857</v>
      </c>
      <c r="K891" t="s">
        <v>18</v>
      </c>
      <c r="L891" t="s">
        <v>68</v>
      </c>
      <c r="M891">
        <v>1</v>
      </c>
      <c r="N891" t="s">
        <v>20</v>
      </c>
      <c r="O891">
        <v>939</v>
      </c>
      <c r="P891" t="s">
        <v>30</v>
      </c>
      <c r="Q891" t="s">
        <v>31</v>
      </c>
      <c r="R891" t="s">
        <v>23</v>
      </c>
    </row>
    <row r="892" spans="1:18" x14ac:dyDescent="0.35">
      <c r="A892">
        <v>890</v>
      </c>
      <c r="B892" t="s">
        <v>1858</v>
      </c>
      <c r="C892" s="1">
        <f t="shared" ca="1" si="65"/>
        <v>45429</v>
      </c>
      <c r="D892" t="str">
        <f t="shared" ca="1" si="66"/>
        <v>May</v>
      </c>
      <c r="E892" t="s">
        <v>29</v>
      </c>
      <c r="F892" t="s">
        <v>33</v>
      </c>
      <c r="G892" t="str">
        <f t="shared" si="67"/>
        <v>Men</v>
      </c>
      <c r="H892" t="str">
        <f t="shared" ca="1" si="68"/>
        <v>Amazon</v>
      </c>
      <c r="I892">
        <f t="shared" ca="1" si="69"/>
        <v>23</v>
      </c>
      <c r="J892" t="s">
        <v>1859</v>
      </c>
      <c r="K892" t="s">
        <v>27</v>
      </c>
      <c r="L892" t="s">
        <v>35</v>
      </c>
      <c r="M892">
        <v>1</v>
      </c>
      <c r="N892" t="s">
        <v>20</v>
      </c>
      <c r="O892">
        <v>517</v>
      </c>
      <c r="P892" t="s">
        <v>113</v>
      </c>
      <c r="Q892" t="s">
        <v>114</v>
      </c>
      <c r="R892" t="s">
        <v>23</v>
      </c>
    </row>
    <row r="893" spans="1:18" x14ac:dyDescent="0.35">
      <c r="A893">
        <v>891</v>
      </c>
      <c r="B893" t="s">
        <v>1860</v>
      </c>
      <c r="C893" s="1">
        <f t="shared" ca="1" si="65"/>
        <v>45083</v>
      </c>
      <c r="D893" t="str">
        <f t="shared" ca="1" si="66"/>
        <v>June</v>
      </c>
      <c r="E893" t="s">
        <v>25</v>
      </c>
      <c r="F893" t="s">
        <v>16</v>
      </c>
      <c r="G893" t="str">
        <f t="shared" si="67"/>
        <v>Women</v>
      </c>
      <c r="H893" t="str">
        <f t="shared" ca="1" si="68"/>
        <v>Myntra</v>
      </c>
      <c r="I893">
        <f t="shared" ca="1" si="69"/>
        <v>59</v>
      </c>
      <c r="J893" t="s">
        <v>1861</v>
      </c>
      <c r="K893" t="s">
        <v>39</v>
      </c>
      <c r="L893" t="s">
        <v>35</v>
      </c>
      <c r="M893">
        <v>1</v>
      </c>
      <c r="N893" t="s">
        <v>20</v>
      </c>
      <c r="O893">
        <v>744</v>
      </c>
      <c r="P893" t="s">
        <v>45</v>
      </c>
      <c r="Q893" t="s">
        <v>46</v>
      </c>
      <c r="R893" t="s">
        <v>23</v>
      </c>
    </row>
    <row r="894" spans="1:18" x14ac:dyDescent="0.35">
      <c r="A894">
        <v>892</v>
      </c>
      <c r="B894" t="s">
        <v>1862</v>
      </c>
      <c r="C894" s="1">
        <f t="shared" ca="1" si="65"/>
        <v>45189</v>
      </c>
      <c r="D894" t="str">
        <f t="shared" ca="1" si="66"/>
        <v>September</v>
      </c>
      <c r="E894" t="s">
        <v>15</v>
      </c>
      <c r="F894" t="s">
        <v>33</v>
      </c>
      <c r="G894" t="str">
        <f t="shared" si="67"/>
        <v>Men</v>
      </c>
      <c r="H894" t="str">
        <f t="shared" ca="1" si="68"/>
        <v>Amazon</v>
      </c>
      <c r="I894">
        <f t="shared" ca="1" si="69"/>
        <v>44</v>
      </c>
      <c r="J894" t="s">
        <v>1345</v>
      </c>
      <c r="K894" t="s">
        <v>27</v>
      </c>
      <c r="L894" t="s">
        <v>19</v>
      </c>
      <c r="M894">
        <v>0</v>
      </c>
      <c r="P894" t="s">
        <v>1346</v>
      </c>
      <c r="Q894" t="s">
        <v>50</v>
      </c>
      <c r="R894" t="s">
        <v>23</v>
      </c>
    </row>
    <row r="895" spans="1:18" x14ac:dyDescent="0.35">
      <c r="A895">
        <v>893</v>
      </c>
      <c r="B895" t="s">
        <v>1863</v>
      </c>
      <c r="C895" s="1">
        <f t="shared" ca="1" si="65"/>
        <v>45004</v>
      </c>
      <c r="D895" t="str">
        <f t="shared" ca="1" si="66"/>
        <v>March</v>
      </c>
      <c r="E895" t="s">
        <v>29</v>
      </c>
      <c r="F895" t="s">
        <v>33</v>
      </c>
      <c r="G895" t="str">
        <f t="shared" si="67"/>
        <v>Men</v>
      </c>
      <c r="H895" t="str">
        <f t="shared" ca="1" si="68"/>
        <v>Amazon</v>
      </c>
      <c r="I895">
        <f t="shared" ca="1" si="69"/>
        <v>57</v>
      </c>
      <c r="J895" t="s">
        <v>1864</v>
      </c>
      <c r="K895" t="s">
        <v>27</v>
      </c>
      <c r="L895" t="s">
        <v>101</v>
      </c>
      <c r="M895">
        <v>1</v>
      </c>
      <c r="N895" t="s">
        <v>20</v>
      </c>
      <c r="O895">
        <v>533</v>
      </c>
      <c r="P895" t="s">
        <v>566</v>
      </c>
      <c r="Q895" t="s">
        <v>140</v>
      </c>
      <c r="R895" t="s">
        <v>23</v>
      </c>
    </row>
    <row r="896" spans="1:18" x14ac:dyDescent="0.35">
      <c r="A896">
        <v>894</v>
      </c>
      <c r="B896" t="s">
        <v>1865</v>
      </c>
      <c r="C896" s="1">
        <f t="shared" ca="1" si="65"/>
        <v>45181</v>
      </c>
      <c r="D896" t="str">
        <f t="shared" ca="1" si="66"/>
        <v>September</v>
      </c>
      <c r="E896" t="s">
        <v>29</v>
      </c>
      <c r="F896" t="s">
        <v>33</v>
      </c>
      <c r="G896" t="str">
        <f t="shared" si="67"/>
        <v>Women</v>
      </c>
      <c r="H896" t="str">
        <f t="shared" ca="1" si="68"/>
        <v>Amazon</v>
      </c>
      <c r="I896">
        <f t="shared" ca="1" si="69"/>
        <v>53</v>
      </c>
      <c r="J896" t="s">
        <v>105</v>
      </c>
      <c r="K896" t="s">
        <v>18</v>
      </c>
      <c r="L896" t="s">
        <v>101</v>
      </c>
      <c r="M896">
        <v>1</v>
      </c>
      <c r="N896" t="s">
        <v>20</v>
      </c>
      <c r="O896">
        <v>563</v>
      </c>
      <c r="P896" t="s">
        <v>88</v>
      </c>
      <c r="Q896" t="s">
        <v>89</v>
      </c>
      <c r="R896" t="s">
        <v>23</v>
      </c>
    </row>
    <row r="897" spans="1:18" x14ac:dyDescent="0.35">
      <c r="A897">
        <v>895</v>
      </c>
      <c r="B897" t="s">
        <v>1866</v>
      </c>
      <c r="C897" s="1">
        <f t="shared" ca="1" si="65"/>
        <v>45499</v>
      </c>
      <c r="D897" t="str">
        <f t="shared" ca="1" si="66"/>
        <v>July</v>
      </c>
      <c r="E897" t="s">
        <v>29</v>
      </c>
      <c r="F897" t="s">
        <v>33</v>
      </c>
      <c r="G897" t="str">
        <f t="shared" si="67"/>
        <v>Men</v>
      </c>
      <c r="H897" t="str">
        <f t="shared" ca="1" si="68"/>
        <v>Amazon</v>
      </c>
      <c r="I897">
        <f t="shared" ca="1" si="69"/>
        <v>32</v>
      </c>
      <c r="J897" t="s">
        <v>1867</v>
      </c>
      <c r="K897" t="s">
        <v>27</v>
      </c>
      <c r="L897" t="s">
        <v>19</v>
      </c>
      <c r="M897">
        <v>1</v>
      </c>
      <c r="N897" t="s">
        <v>20</v>
      </c>
      <c r="O897">
        <v>549</v>
      </c>
      <c r="P897" t="s">
        <v>206</v>
      </c>
      <c r="Q897" t="s">
        <v>31</v>
      </c>
      <c r="R897" t="s">
        <v>23</v>
      </c>
    </row>
    <row r="898" spans="1:18" x14ac:dyDescent="0.35">
      <c r="A898">
        <v>896</v>
      </c>
      <c r="B898" t="s">
        <v>1868</v>
      </c>
      <c r="C898" s="1">
        <f t="shared" ca="1" si="65"/>
        <v>45166</v>
      </c>
      <c r="D898" t="str">
        <f t="shared" ca="1" si="66"/>
        <v>August</v>
      </c>
      <c r="E898" t="s">
        <v>25</v>
      </c>
      <c r="F898" t="s">
        <v>16</v>
      </c>
      <c r="G898" t="str">
        <f t="shared" si="67"/>
        <v>Women</v>
      </c>
      <c r="H898" t="str">
        <f t="shared" ca="1" si="68"/>
        <v>Flipkart</v>
      </c>
      <c r="I898">
        <f t="shared" ca="1" si="69"/>
        <v>55</v>
      </c>
      <c r="J898" t="s">
        <v>1170</v>
      </c>
      <c r="K898" t="s">
        <v>18</v>
      </c>
      <c r="L898" t="s">
        <v>35</v>
      </c>
      <c r="M898">
        <v>1</v>
      </c>
      <c r="N898" t="s">
        <v>20</v>
      </c>
      <c r="O898">
        <v>626</v>
      </c>
      <c r="P898" t="s">
        <v>213</v>
      </c>
      <c r="Q898" t="s">
        <v>22</v>
      </c>
      <c r="R898" t="s">
        <v>23</v>
      </c>
    </row>
    <row r="899" spans="1:18" x14ac:dyDescent="0.35">
      <c r="A899">
        <v>897</v>
      </c>
      <c r="B899" t="s">
        <v>1869</v>
      </c>
      <c r="C899" s="1">
        <f t="shared" ref="C899:C962" ca="1" si="70">RANDBETWEEN(DATE(2023,1,1), DATE(2024,12,31))</f>
        <v>45098</v>
      </c>
      <c r="D899" t="str">
        <f t="shared" ref="D899:D962" ca="1" si="71">TEXT(C899, "MMMM")</f>
        <v>June</v>
      </c>
      <c r="E899" t="s">
        <v>29</v>
      </c>
      <c r="F899" t="s">
        <v>33</v>
      </c>
      <c r="G899" t="str">
        <f t="shared" ref="G899:G962" si="72">IF(K899="Set","Women",IF(K899="Kurta","Men",IF(K899="Top","Women",IF(K899="Western Dress","Women",IF(K899="Ethnic Dress","Women",IF(K899="Saree","Women",0))))))</f>
        <v>Women</v>
      </c>
      <c r="H899" t="str">
        <f t="shared" ref="H899:H962" ca="1" si="73">IF(F899="Merchant",IF(RAND()&gt;0.5,"Myntra","Flipkart"),IF(F899="Amazon","Amazon",0))</f>
        <v>Amazon</v>
      </c>
      <c r="I899">
        <f t="shared" ref="I899:I962" ca="1" si="74">RANDBETWEEN(18, 60)</f>
        <v>47</v>
      </c>
      <c r="J899" t="s">
        <v>927</v>
      </c>
      <c r="K899" t="s">
        <v>18</v>
      </c>
      <c r="L899" t="s">
        <v>28</v>
      </c>
      <c r="M899">
        <v>1</v>
      </c>
      <c r="N899" t="s">
        <v>20</v>
      </c>
      <c r="O899">
        <v>1099</v>
      </c>
      <c r="P899" t="s">
        <v>1870</v>
      </c>
      <c r="Q899" t="s">
        <v>22</v>
      </c>
      <c r="R899" t="s">
        <v>23</v>
      </c>
    </row>
    <row r="900" spans="1:18" x14ac:dyDescent="0.35">
      <c r="A900">
        <v>898</v>
      </c>
      <c r="B900" t="s">
        <v>1871</v>
      </c>
      <c r="C900" s="1">
        <f t="shared" ca="1" si="70"/>
        <v>45044</v>
      </c>
      <c r="D900" t="str">
        <f t="shared" ca="1" si="71"/>
        <v>April</v>
      </c>
      <c r="E900" t="s">
        <v>15</v>
      </c>
      <c r="F900" t="s">
        <v>16</v>
      </c>
      <c r="G900" t="str">
        <f t="shared" si="72"/>
        <v>Women</v>
      </c>
      <c r="H900" t="str">
        <f t="shared" ca="1" si="73"/>
        <v>Myntra</v>
      </c>
      <c r="I900">
        <f t="shared" ca="1" si="74"/>
        <v>35</v>
      </c>
      <c r="J900" t="s">
        <v>1861</v>
      </c>
      <c r="K900" t="s">
        <v>39</v>
      </c>
      <c r="L900" t="s">
        <v>35</v>
      </c>
      <c r="M900">
        <v>0</v>
      </c>
      <c r="P900" t="s">
        <v>45</v>
      </c>
      <c r="Q900" t="s">
        <v>46</v>
      </c>
      <c r="R900" t="s">
        <v>23</v>
      </c>
    </row>
    <row r="901" spans="1:18" x14ac:dyDescent="0.35">
      <c r="A901">
        <v>899</v>
      </c>
      <c r="B901" t="s">
        <v>1872</v>
      </c>
      <c r="C901" s="1">
        <f t="shared" ca="1" si="70"/>
        <v>45392</v>
      </c>
      <c r="D901" t="str">
        <f t="shared" ca="1" si="71"/>
        <v>April</v>
      </c>
      <c r="E901" t="s">
        <v>29</v>
      </c>
      <c r="F901" t="s">
        <v>33</v>
      </c>
      <c r="G901" t="str">
        <f t="shared" si="72"/>
        <v>Women</v>
      </c>
      <c r="H901" t="str">
        <f t="shared" ca="1" si="73"/>
        <v>Amazon</v>
      </c>
      <c r="I901">
        <f t="shared" ca="1" si="74"/>
        <v>41</v>
      </c>
      <c r="J901" t="s">
        <v>1873</v>
      </c>
      <c r="K901" t="s">
        <v>18</v>
      </c>
      <c r="L901" t="s">
        <v>19</v>
      </c>
      <c r="M901">
        <v>1</v>
      </c>
      <c r="N901" t="s">
        <v>20</v>
      </c>
      <c r="O901">
        <v>696</v>
      </c>
      <c r="P901" t="s">
        <v>56</v>
      </c>
      <c r="Q901" t="s">
        <v>57</v>
      </c>
      <c r="R901" t="s">
        <v>23</v>
      </c>
    </row>
    <row r="902" spans="1:18" x14ac:dyDescent="0.35">
      <c r="A902">
        <v>900</v>
      </c>
      <c r="B902" t="s">
        <v>1874</v>
      </c>
      <c r="C902" s="1">
        <f t="shared" ca="1" si="70"/>
        <v>45137</v>
      </c>
      <c r="D902" t="str">
        <f t="shared" ca="1" si="71"/>
        <v>July</v>
      </c>
      <c r="E902" t="s">
        <v>29</v>
      </c>
      <c r="F902" t="s">
        <v>33</v>
      </c>
      <c r="G902" t="str">
        <f t="shared" si="72"/>
        <v>Women</v>
      </c>
      <c r="H902" t="str">
        <f t="shared" ca="1" si="73"/>
        <v>Amazon</v>
      </c>
      <c r="I902">
        <f t="shared" ca="1" si="74"/>
        <v>57</v>
      </c>
      <c r="J902" t="s">
        <v>1875</v>
      </c>
      <c r="K902" t="s">
        <v>18</v>
      </c>
      <c r="L902" t="s">
        <v>19</v>
      </c>
      <c r="M902">
        <v>1</v>
      </c>
      <c r="N902" t="s">
        <v>20</v>
      </c>
      <c r="O902">
        <v>1432</v>
      </c>
      <c r="P902" t="s">
        <v>1876</v>
      </c>
      <c r="Q902" t="s">
        <v>223</v>
      </c>
      <c r="R902" t="s">
        <v>23</v>
      </c>
    </row>
    <row r="903" spans="1:18" x14ac:dyDescent="0.35">
      <c r="A903">
        <v>901</v>
      </c>
      <c r="B903" t="s">
        <v>1877</v>
      </c>
      <c r="C903" s="1">
        <f t="shared" ca="1" si="70"/>
        <v>45295</v>
      </c>
      <c r="D903" t="str">
        <f t="shared" ca="1" si="71"/>
        <v>January</v>
      </c>
      <c r="E903" t="s">
        <v>29</v>
      </c>
      <c r="F903" t="s">
        <v>33</v>
      </c>
      <c r="G903" t="str">
        <f t="shared" si="72"/>
        <v>Men</v>
      </c>
      <c r="H903" t="str">
        <f t="shared" ca="1" si="73"/>
        <v>Amazon</v>
      </c>
      <c r="I903">
        <f t="shared" ca="1" si="74"/>
        <v>30</v>
      </c>
      <c r="J903" t="s">
        <v>1878</v>
      </c>
      <c r="K903" t="s">
        <v>27</v>
      </c>
      <c r="L903" t="s">
        <v>62</v>
      </c>
      <c r="M903">
        <v>1</v>
      </c>
      <c r="N903" t="s">
        <v>20</v>
      </c>
      <c r="O903">
        <v>432</v>
      </c>
      <c r="P903" t="s">
        <v>45</v>
      </c>
      <c r="Q903" t="s">
        <v>46</v>
      </c>
      <c r="R903" t="s">
        <v>23</v>
      </c>
    </row>
    <row r="904" spans="1:18" x14ac:dyDescent="0.35">
      <c r="A904">
        <v>902</v>
      </c>
      <c r="B904" t="s">
        <v>1879</v>
      </c>
      <c r="C904" s="1">
        <f t="shared" ca="1" si="70"/>
        <v>45419</v>
      </c>
      <c r="D904" t="str">
        <f t="shared" ca="1" si="71"/>
        <v>May</v>
      </c>
      <c r="E904" t="s">
        <v>29</v>
      </c>
      <c r="F904" t="s">
        <v>33</v>
      </c>
      <c r="G904" t="str">
        <f t="shared" si="72"/>
        <v>Women</v>
      </c>
      <c r="H904" t="str">
        <f t="shared" ca="1" si="73"/>
        <v>Amazon</v>
      </c>
      <c r="I904">
        <f t="shared" ca="1" si="74"/>
        <v>26</v>
      </c>
      <c r="J904" t="s">
        <v>1880</v>
      </c>
      <c r="K904" t="s">
        <v>18</v>
      </c>
      <c r="L904" t="s">
        <v>101</v>
      </c>
      <c r="M904">
        <v>1</v>
      </c>
      <c r="N904" t="s">
        <v>20</v>
      </c>
      <c r="O904">
        <v>1338</v>
      </c>
      <c r="P904" t="s">
        <v>1881</v>
      </c>
      <c r="Q904" t="s">
        <v>110</v>
      </c>
      <c r="R904" t="s">
        <v>23</v>
      </c>
    </row>
    <row r="905" spans="1:18" x14ac:dyDescent="0.35">
      <c r="A905">
        <v>903</v>
      </c>
      <c r="B905" t="s">
        <v>1882</v>
      </c>
      <c r="C905" s="1">
        <f t="shared" ca="1" si="70"/>
        <v>45101</v>
      </c>
      <c r="D905" t="str">
        <f t="shared" ca="1" si="71"/>
        <v>June</v>
      </c>
      <c r="E905" t="s">
        <v>29</v>
      </c>
      <c r="F905" t="s">
        <v>33</v>
      </c>
      <c r="G905" t="str">
        <f t="shared" si="72"/>
        <v>Women</v>
      </c>
      <c r="H905" t="str">
        <f t="shared" ca="1" si="73"/>
        <v>Amazon</v>
      </c>
      <c r="I905">
        <f t="shared" ca="1" si="74"/>
        <v>48</v>
      </c>
      <c r="J905" t="s">
        <v>201</v>
      </c>
      <c r="K905" t="s">
        <v>18</v>
      </c>
      <c r="L905" t="s">
        <v>68</v>
      </c>
      <c r="M905">
        <v>1</v>
      </c>
      <c r="N905" t="s">
        <v>20</v>
      </c>
      <c r="O905">
        <v>597</v>
      </c>
      <c r="P905" t="s">
        <v>1883</v>
      </c>
      <c r="Q905" t="s">
        <v>31</v>
      </c>
      <c r="R905" t="s">
        <v>23</v>
      </c>
    </row>
    <row r="906" spans="1:18" x14ac:dyDescent="0.35">
      <c r="A906">
        <v>904</v>
      </c>
      <c r="B906" t="s">
        <v>1882</v>
      </c>
      <c r="C906" s="1">
        <f t="shared" ca="1" si="70"/>
        <v>45157</v>
      </c>
      <c r="D906" t="str">
        <f t="shared" ca="1" si="71"/>
        <v>August</v>
      </c>
      <c r="E906" t="s">
        <v>29</v>
      </c>
      <c r="F906" t="s">
        <v>33</v>
      </c>
      <c r="G906" t="str">
        <f t="shared" si="72"/>
        <v>Women</v>
      </c>
      <c r="H906" t="str">
        <f t="shared" ca="1" si="73"/>
        <v>Amazon</v>
      </c>
      <c r="I906">
        <f t="shared" ca="1" si="74"/>
        <v>45</v>
      </c>
      <c r="J906" t="s">
        <v>1462</v>
      </c>
      <c r="K906" t="s">
        <v>18</v>
      </c>
      <c r="L906" t="s">
        <v>68</v>
      </c>
      <c r="M906">
        <v>1</v>
      </c>
      <c r="N906" t="s">
        <v>20</v>
      </c>
      <c r="O906">
        <v>888</v>
      </c>
      <c r="P906" t="s">
        <v>1883</v>
      </c>
      <c r="Q906" t="s">
        <v>31</v>
      </c>
      <c r="R906" t="s">
        <v>23</v>
      </c>
    </row>
    <row r="907" spans="1:18" x14ac:dyDescent="0.35">
      <c r="A907">
        <v>905</v>
      </c>
      <c r="B907" t="s">
        <v>1884</v>
      </c>
      <c r="C907" s="1">
        <f t="shared" ca="1" si="70"/>
        <v>45478</v>
      </c>
      <c r="D907" t="str">
        <f t="shared" ca="1" si="71"/>
        <v>July</v>
      </c>
      <c r="E907" t="s">
        <v>29</v>
      </c>
      <c r="F907" t="s">
        <v>33</v>
      </c>
      <c r="G907" t="str">
        <f t="shared" si="72"/>
        <v>Women</v>
      </c>
      <c r="H907" t="str">
        <f t="shared" ca="1" si="73"/>
        <v>Amazon</v>
      </c>
      <c r="I907">
        <f t="shared" ca="1" si="74"/>
        <v>48</v>
      </c>
      <c r="J907" t="s">
        <v>1885</v>
      </c>
      <c r="K907" t="s">
        <v>18</v>
      </c>
      <c r="L907" t="s">
        <v>28</v>
      </c>
      <c r="M907">
        <v>1</v>
      </c>
      <c r="N907" t="s">
        <v>20</v>
      </c>
      <c r="O907">
        <v>1033</v>
      </c>
      <c r="P907" t="s">
        <v>177</v>
      </c>
      <c r="Q907" t="s">
        <v>57</v>
      </c>
      <c r="R907" t="s">
        <v>23</v>
      </c>
    </row>
    <row r="908" spans="1:18" x14ac:dyDescent="0.35">
      <c r="A908">
        <v>906</v>
      </c>
      <c r="B908" t="s">
        <v>1886</v>
      </c>
      <c r="C908" s="1">
        <f t="shared" ca="1" si="70"/>
        <v>45484</v>
      </c>
      <c r="D908" t="str">
        <f t="shared" ca="1" si="71"/>
        <v>July</v>
      </c>
      <c r="E908" t="s">
        <v>29</v>
      </c>
      <c r="F908" t="s">
        <v>33</v>
      </c>
      <c r="G908" t="str">
        <f t="shared" si="72"/>
        <v>Men</v>
      </c>
      <c r="H908" t="str">
        <f t="shared" ca="1" si="73"/>
        <v>Amazon</v>
      </c>
      <c r="I908">
        <f t="shared" ca="1" si="74"/>
        <v>43</v>
      </c>
      <c r="J908" t="s">
        <v>221</v>
      </c>
      <c r="K908" t="s">
        <v>27</v>
      </c>
      <c r="L908" t="s">
        <v>62</v>
      </c>
      <c r="M908">
        <v>1</v>
      </c>
      <c r="N908" t="s">
        <v>20</v>
      </c>
      <c r="O908">
        <v>376</v>
      </c>
      <c r="P908" t="s">
        <v>127</v>
      </c>
      <c r="Q908" t="s">
        <v>110</v>
      </c>
      <c r="R908" t="s">
        <v>23</v>
      </c>
    </row>
    <row r="909" spans="1:18" x14ac:dyDescent="0.35">
      <c r="A909">
        <v>907</v>
      </c>
      <c r="B909" t="s">
        <v>1887</v>
      </c>
      <c r="C909" s="1">
        <f t="shared" ca="1" si="70"/>
        <v>45577</v>
      </c>
      <c r="D909" t="str">
        <f t="shared" ca="1" si="71"/>
        <v>October</v>
      </c>
      <c r="E909" t="s">
        <v>29</v>
      </c>
      <c r="F909" t="s">
        <v>33</v>
      </c>
      <c r="G909" t="str">
        <f t="shared" si="72"/>
        <v>Women</v>
      </c>
      <c r="H909" t="str">
        <f t="shared" ca="1" si="73"/>
        <v>Amazon</v>
      </c>
      <c r="I909">
        <f t="shared" ca="1" si="74"/>
        <v>37</v>
      </c>
      <c r="J909" t="s">
        <v>1888</v>
      </c>
      <c r="K909" t="s">
        <v>39</v>
      </c>
      <c r="L909" t="s">
        <v>28</v>
      </c>
      <c r="M909">
        <v>1</v>
      </c>
      <c r="N909" t="s">
        <v>20</v>
      </c>
      <c r="O909">
        <v>885</v>
      </c>
      <c r="P909" t="s">
        <v>69</v>
      </c>
      <c r="Q909" t="s">
        <v>50</v>
      </c>
      <c r="R909" t="s">
        <v>23</v>
      </c>
    </row>
    <row r="910" spans="1:18" x14ac:dyDescent="0.35">
      <c r="A910">
        <v>908</v>
      </c>
      <c r="B910" t="s">
        <v>1889</v>
      </c>
      <c r="C910" s="1">
        <f t="shared" ca="1" si="70"/>
        <v>45283</v>
      </c>
      <c r="D910" t="str">
        <f t="shared" ca="1" si="71"/>
        <v>December</v>
      </c>
      <c r="E910" t="s">
        <v>29</v>
      </c>
      <c r="F910" t="s">
        <v>33</v>
      </c>
      <c r="G910" t="str">
        <f t="shared" si="72"/>
        <v>Men</v>
      </c>
      <c r="H910" t="str">
        <f t="shared" ca="1" si="73"/>
        <v>Amazon</v>
      </c>
      <c r="I910">
        <f t="shared" ca="1" si="74"/>
        <v>37</v>
      </c>
      <c r="J910" t="s">
        <v>1890</v>
      </c>
      <c r="K910" t="s">
        <v>27</v>
      </c>
      <c r="L910" t="s">
        <v>62</v>
      </c>
      <c r="M910">
        <v>1</v>
      </c>
      <c r="N910" t="s">
        <v>20</v>
      </c>
      <c r="O910">
        <v>635</v>
      </c>
      <c r="P910" t="s">
        <v>1891</v>
      </c>
      <c r="Q910" t="s">
        <v>140</v>
      </c>
      <c r="R910" t="s">
        <v>23</v>
      </c>
    </row>
    <row r="911" spans="1:18" x14ac:dyDescent="0.35">
      <c r="A911">
        <v>909</v>
      </c>
      <c r="B911" t="s">
        <v>1892</v>
      </c>
      <c r="C911" s="1">
        <f t="shared" ca="1" si="70"/>
        <v>45288</v>
      </c>
      <c r="D911" t="str">
        <f t="shared" ca="1" si="71"/>
        <v>December</v>
      </c>
      <c r="E911" t="s">
        <v>15</v>
      </c>
      <c r="F911" t="s">
        <v>33</v>
      </c>
      <c r="G911" t="str">
        <f t="shared" si="72"/>
        <v>Women</v>
      </c>
      <c r="H911" t="str">
        <f t="shared" ca="1" si="73"/>
        <v>Amazon</v>
      </c>
      <c r="I911">
        <f t="shared" ca="1" si="74"/>
        <v>33</v>
      </c>
      <c r="J911" t="s">
        <v>372</v>
      </c>
      <c r="K911" t="s">
        <v>18</v>
      </c>
      <c r="L911" t="s">
        <v>101</v>
      </c>
      <c r="M911">
        <v>1</v>
      </c>
      <c r="N911" t="s">
        <v>20</v>
      </c>
      <c r="O911">
        <v>597</v>
      </c>
      <c r="P911" t="s">
        <v>1893</v>
      </c>
      <c r="Q911" t="s">
        <v>161</v>
      </c>
      <c r="R911" t="s">
        <v>23</v>
      </c>
    </row>
    <row r="912" spans="1:18" x14ac:dyDescent="0.35">
      <c r="A912">
        <v>910</v>
      </c>
      <c r="B912" t="s">
        <v>1894</v>
      </c>
      <c r="C912" s="1">
        <f t="shared" ca="1" si="70"/>
        <v>45359</v>
      </c>
      <c r="D912" t="str">
        <f t="shared" ca="1" si="71"/>
        <v>March</v>
      </c>
      <c r="E912" t="s">
        <v>29</v>
      </c>
      <c r="F912" t="s">
        <v>33</v>
      </c>
      <c r="G912" t="str">
        <f t="shared" si="72"/>
        <v>Men</v>
      </c>
      <c r="H912" t="str">
        <f t="shared" ca="1" si="73"/>
        <v>Amazon</v>
      </c>
      <c r="I912">
        <f t="shared" ca="1" si="74"/>
        <v>41</v>
      </c>
      <c r="J912" t="s">
        <v>910</v>
      </c>
      <c r="K912" t="s">
        <v>27</v>
      </c>
      <c r="L912" t="s">
        <v>79</v>
      </c>
      <c r="M912">
        <v>1</v>
      </c>
      <c r="N912" t="s">
        <v>20</v>
      </c>
      <c r="O912">
        <v>563</v>
      </c>
      <c r="P912" t="s">
        <v>122</v>
      </c>
      <c r="Q912" t="s">
        <v>22</v>
      </c>
      <c r="R912" t="s">
        <v>23</v>
      </c>
    </row>
    <row r="913" spans="1:18" x14ac:dyDescent="0.35">
      <c r="A913">
        <v>911</v>
      </c>
      <c r="B913" t="s">
        <v>1895</v>
      </c>
      <c r="C913" s="1">
        <f t="shared" ca="1" si="70"/>
        <v>45494</v>
      </c>
      <c r="D913" t="str">
        <f t="shared" ca="1" si="71"/>
        <v>July</v>
      </c>
      <c r="E913" t="s">
        <v>29</v>
      </c>
      <c r="F913" t="s">
        <v>33</v>
      </c>
      <c r="G913" t="str">
        <f t="shared" si="72"/>
        <v>Men</v>
      </c>
      <c r="H913" t="str">
        <f t="shared" ca="1" si="73"/>
        <v>Amazon</v>
      </c>
      <c r="I913">
        <f t="shared" ca="1" si="74"/>
        <v>27</v>
      </c>
      <c r="J913" t="s">
        <v>1896</v>
      </c>
      <c r="K913" t="s">
        <v>27</v>
      </c>
      <c r="L913" t="s">
        <v>101</v>
      </c>
      <c r="M913">
        <v>1</v>
      </c>
      <c r="N913" t="s">
        <v>20</v>
      </c>
      <c r="O913">
        <v>499</v>
      </c>
      <c r="P913" t="s">
        <v>285</v>
      </c>
      <c r="Q913" t="s">
        <v>286</v>
      </c>
      <c r="R913" t="s">
        <v>23</v>
      </c>
    </row>
    <row r="914" spans="1:18" x14ac:dyDescent="0.35">
      <c r="A914">
        <v>912</v>
      </c>
      <c r="B914" t="s">
        <v>1895</v>
      </c>
      <c r="C914" s="1">
        <f t="shared" ca="1" si="70"/>
        <v>45358</v>
      </c>
      <c r="D914" t="str">
        <f t="shared" ca="1" si="71"/>
        <v>March</v>
      </c>
      <c r="E914" t="s">
        <v>29</v>
      </c>
      <c r="F914" t="s">
        <v>33</v>
      </c>
      <c r="G914" t="str">
        <f t="shared" si="72"/>
        <v>Men</v>
      </c>
      <c r="H914" t="str">
        <f t="shared" ca="1" si="73"/>
        <v>Amazon</v>
      </c>
      <c r="I914">
        <f t="shared" ca="1" si="74"/>
        <v>44</v>
      </c>
      <c r="J914" t="s">
        <v>1897</v>
      </c>
      <c r="K914" t="s">
        <v>27</v>
      </c>
      <c r="L914" t="s">
        <v>101</v>
      </c>
      <c r="M914">
        <v>1</v>
      </c>
      <c r="N914" t="s">
        <v>20</v>
      </c>
      <c r="O914">
        <v>549</v>
      </c>
      <c r="P914" t="s">
        <v>285</v>
      </c>
      <c r="Q914" t="s">
        <v>286</v>
      </c>
      <c r="R914" t="s">
        <v>23</v>
      </c>
    </row>
    <row r="915" spans="1:18" x14ac:dyDescent="0.35">
      <c r="A915">
        <v>913</v>
      </c>
      <c r="B915" t="s">
        <v>1895</v>
      </c>
      <c r="C915" s="1">
        <f t="shared" ca="1" si="70"/>
        <v>45524</v>
      </c>
      <c r="D915" t="str">
        <f t="shared" ca="1" si="71"/>
        <v>August</v>
      </c>
      <c r="E915" t="s">
        <v>29</v>
      </c>
      <c r="F915" t="s">
        <v>33</v>
      </c>
      <c r="G915" t="str">
        <f t="shared" si="72"/>
        <v>Men</v>
      </c>
      <c r="H915" t="str">
        <f t="shared" ca="1" si="73"/>
        <v>Amazon</v>
      </c>
      <c r="I915">
        <f t="shared" ca="1" si="74"/>
        <v>40</v>
      </c>
      <c r="J915" t="s">
        <v>1898</v>
      </c>
      <c r="K915" t="s">
        <v>27</v>
      </c>
      <c r="L915" t="s">
        <v>101</v>
      </c>
      <c r="M915">
        <v>1</v>
      </c>
      <c r="N915" t="s">
        <v>20</v>
      </c>
      <c r="O915">
        <v>549</v>
      </c>
      <c r="P915" t="s">
        <v>285</v>
      </c>
      <c r="Q915" t="s">
        <v>286</v>
      </c>
      <c r="R915" t="s">
        <v>23</v>
      </c>
    </row>
    <row r="916" spans="1:18" x14ac:dyDescent="0.35">
      <c r="A916">
        <v>914</v>
      </c>
      <c r="B916" t="s">
        <v>1895</v>
      </c>
      <c r="C916" s="1">
        <f t="shared" ca="1" si="70"/>
        <v>45508</v>
      </c>
      <c r="D916" t="str">
        <f t="shared" ca="1" si="71"/>
        <v>August</v>
      </c>
      <c r="E916" t="s">
        <v>29</v>
      </c>
      <c r="F916" t="s">
        <v>33</v>
      </c>
      <c r="G916" t="str">
        <f t="shared" si="72"/>
        <v>Men</v>
      </c>
      <c r="H916" t="str">
        <f t="shared" ca="1" si="73"/>
        <v>Amazon</v>
      </c>
      <c r="I916">
        <f t="shared" ca="1" si="74"/>
        <v>48</v>
      </c>
      <c r="J916" t="s">
        <v>1899</v>
      </c>
      <c r="K916" t="s">
        <v>27</v>
      </c>
      <c r="L916" t="s">
        <v>101</v>
      </c>
      <c r="M916">
        <v>1</v>
      </c>
      <c r="N916" t="s">
        <v>20</v>
      </c>
      <c r="O916">
        <v>452</v>
      </c>
      <c r="P916" t="s">
        <v>285</v>
      </c>
      <c r="Q916" t="s">
        <v>286</v>
      </c>
      <c r="R916" t="s">
        <v>23</v>
      </c>
    </row>
    <row r="917" spans="1:18" x14ac:dyDescent="0.35">
      <c r="A917">
        <v>915</v>
      </c>
      <c r="B917" t="s">
        <v>1900</v>
      </c>
      <c r="C917" s="1">
        <f t="shared" ca="1" si="70"/>
        <v>45008</v>
      </c>
      <c r="D917" t="str">
        <f t="shared" ca="1" si="71"/>
        <v>March</v>
      </c>
      <c r="E917" t="s">
        <v>25</v>
      </c>
      <c r="F917" t="s">
        <v>16</v>
      </c>
      <c r="G917" t="str">
        <f t="shared" si="72"/>
        <v>Men</v>
      </c>
      <c r="H917" t="str">
        <f t="shared" ca="1" si="73"/>
        <v>Myntra</v>
      </c>
      <c r="I917">
        <f t="shared" ca="1" si="74"/>
        <v>50</v>
      </c>
      <c r="J917" t="s">
        <v>1901</v>
      </c>
      <c r="K917" t="s">
        <v>27</v>
      </c>
      <c r="L917" t="s">
        <v>28</v>
      </c>
      <c r="M917">
        <v>1</v>
      </c>
      <c r="N917" t="s">
        <v>20</v>
      </c>
      <c r="O917">
        <v>449</v>
      </c>
      <c r="P917" t="s">
        <v>1902</v>
      </c>
      <c r="Q917" t="s">
        <v>85</v>
      </c>
      <c r="R917" t="s">
        <v>23</v>
      </c>
    </row>
    <row r="918" spans="1:18" x14ac:dyDescent="0.35">
      <c r="A918">
        <v>916</v>
      </c>
      <c r="B918" t="s">
        <v>1903</v>
      </c>
      <c r="C918" s="1">
        <f t="shared" ca="1" si="70"/>
        <v>44972</v>
      </c>
      <c r="D918" t="str">
        <f t="shared" ca="1" si="71"/>
        <v>February</v>
      </c>
      <c r="E918" t="s">
        <v>29</v>
      </c>
      <c r="F918" t="s">
        <v>33</v>
      </c>
      <c r="G918" t="str">
        <f t="shared" si="72"/>
        <v>Men</v>
      </c>
      <c r="H918" t="str">
        <f t="shared" ca="1" si="73"/>
        <v>Amazon</v>
      </c>
      <c r="I918">
        <f t="shared" ca="1" si="74"/>
        <v>35</v>
      </c>
      <c r="J918" t="s">
        <v>591</v>
      </c>
      <c r="K918" t="s">
        <v>27</v>
      </c>
      <c r="L918" t="s">
        <v>62</v>
      </c>
      <c r="M918">
        <v>1</v>
      </c>
      <c r="N918" t="s">
        <v>20</v>
      </c>
      <c r="O918">
        <v>685</v>
      </c>
      <c r="P918" t="s">
        <v>867</v>
      </c>
      <c r="Q918" t="s">
        <v>50</v>
      </c>
      <c r="R918" t="s">
        <v>23</v>
      </c>
    </row>
    <row r="919" spans="1:18" x14ac:dyDescent="0.35">
      <c r="A919">
        <v>917</v>
      </c>
      <c r="B919" t="s">
        <v>1904</v>
      </c>
      <c r="C919" s="1">
        <f t="shared" ca="1" si="70"/>
        <v>45004</v>
      </c>
      <c r="D919" t="str">
        <f t="shared" ca="1" si="71"/>
        <v>March</v>
      </c>
      <c r="E919" t="s">
        <v>25</v>
      </c>
      <c r="F919" t="s">
        <v>16</v>
      </c>
      <c r="G919" t="str">
        <f t="shared" si="72"/>
        <v>Women</v>
      </c>
      <c r="H919" t="str">
        <f t="shared" ca="1" si="73"/>
        <v>Flipkart</v>
      </c>
      <c r="I919">
        <f t="shared" ca="1" si="74"/>
        <v>52</v>
      </c>
      <c r="J919" t="s">
        <v>1905</v>
      </c>
      <c r="K919" t="s">
        <v>44</v>
      </c>
      <c r="L919" t="s">
        <v>19</v>
      </c>
      <c r="M919">
        <v>1</v>
      </c>
      <c r="N919" t="s">
        <v>20</v>
      </c>
      <c r="O919">
        <v>391</v>
      </c>
      <c r="P919" t="s">
        <v>1906</v>
      </c>
      <c r="Q919" t="s">
        <v>153</v>
      </c>
      <c r="R919" t="s">
        <v>23</v>
      </c>
    </row>
    <row r="920" spans="1:18" x14ac:dyDescent="0.35">
      <c r="A920">
        <v>918</v>
      </c>
      <c r="B920" t="s">
        <v>1907</v>
      </c>
      <c r="C920" s="1">
        <f t="shared" ca="1" si="70"/>
        <v>45138</v>
      </c>
      <c r="D920" t="str">
        <f t="shared" ca="1" si="71"/>
        <v>July</v>
      </c>
      <c r="E920" t="s">
        <v>25</v>
      </c>
      <c r="F920" t="s">
        <v>16</v>
      </c>
      <c r="G920" t="str">
        <f t="shared" si="72"/>
        <v>Men</v>
      </c>
      <c r="H920" t="str">
        <f t="shared" ca="1" si="73"/>
        <v>Flipkart</v>
      </c>
      <c r="I920">
        <f t="shared" ca="1" si="74"/>
        <v>36</v>
      </c>
      <c r="J920" t="s">
        <v>55</v>
      </c>
      <c r="K920" t="s">
        <v>27</v>
      </c>
      <c r="L920" t="s">
        <v>19</v>
      </c>
      <c r="M920">
        <v>1</v>
      </c>
      <c r="N920" t="s">
        <v>20</v>
      </c>
      <c r="O920">
        <v>399</v>
      </c>
      <c r="P920" t="s">
        <v>1123</v>
      </c>
      <c r="Q920" t="s">
        <v>81</v>
      </c>
      <c r="R920" t="s">
        <v>23</v>
      </c>
    </row>
    <row r="921" spans="1:18" x14ac:dyDescent="0.35">
      <c r="A921">
        <v>919</v>
      </c>
      <c r="B921" t="s">
        <v>1908</v>
      </c>
      <c r="C921" s="1">
        <f t="shared" ca="1" si="70"/>
        <v>45440</v>
      </c>
      <c r="D921" t="str">
        <f t="shared" ca="1" si="71"/>
        <v>May</v>
      </c>
      <c r="E921" t="s">
        <v>29</v>
      </c>
      <c r="F921" t="s">
        <v>33</v>
      </c>
      <c r="G921" t="str">
        <f t="shared" si="72"/>
        <v>Women</v>
      </c>
      <c r="H921" t="str">
        <f t="shared" ca="1" si="73"/>
        <v>Amazon</v>
      </c>
      <c r="I921">
        <f t="shared" ca="1" si="74"/>
        <v>51</v>
      </c>
      <c r="J921" t="s">
        <v>372</v>
      </c>
      <c r="K921" t="s">
        <v>18</v>
      </c>
      <c r="L921" t="s">
        <v>101</v>
      </c>
      <c r="M921">
        <v>1</v>
      </c>
      <c r="N921" t="s">
        <v>20</v>
      </c>
      <c r="O921">
        <v>597</v>
      </c>
      <c r="P921" t="s">
        <v>30</v>
      </c>
      <c r="Q921" t="s">
        <v>31</v>
      </c>
      <c r="R921" t="s">
        <v>23</v>
      </c>
    </row>
    <row r="922" spans="1:18" x14ac:dyDescent="0.35">
      <c r="A922">
        <v>920</v>
      </c>
      <c r="B922" t="s">
        <v>1909</v>
      </c>
      <c r="C922" s="1">
        <f t="shared" ca="1" si="70"/>
        <v>45257</v>
      </c>
      <c r="D922" t="str">
        <f t="shared" ca="1" si="71"/>
        <v>November</v>
      </c>
      <c r="E922" t="s">
        <v>25</v>
      </c>
      <c r="F922" t="s">
        <v>16</v>
      </c>
      <c r="G922" t="str">
        <f t="shared" si="72"/>
        <v>Men</v>
      </c>
      <c r="H922" t="str">
        <f t="shared" ca="1" si="73"/>
        <v>Flipkart</v>
      </c>
      <c r="I922">
        <f t="shared" ca="1" si="74"/>
        <v>37</v>
      </c>
      <c r="J922" t="s">
        <v>1910</v>
      </c>
      <c r="K922" t="s">
        <v>27</v>
      </c>
      <c r="L922" t="s">
        <v>19</v>
      </c>
      <c r="M922">
        <v>1</v>
      </c>
      <c r="N922" t="s">
        <v>20</v>
      </c>
      <c r="O922">
        <v>249</v>
      </c>
      <c r="P922" t="s">
        <v>388</v>
      </c>
      <c r="Q922" t="s">
        <v>46</v>
      </c>
      <c r="R922" t="s">
        <v>23</v>
      </c>
    </row>
    <row r="923" spans="1:18" x14ac:dyDescent="0.35">
      <c r="A923">
        <v>921</v>
      </c>
      <c r="B923" t="s">
        <v>1911</v>
      </c>
      <c r="C923" s="1">
        <f t="shared" ca="1" si="70"/>
        <v>45251</v>
      </c>
      <c r="D923" t="str">
        <f t="shared" ca="1" si="71"/>
        <v>November</v>
      </c>
      <c r="E923" t="s">
        <v>25</v>
      </c>
      <c r="F923" t="s">
        <v>16</v>
      </c>
      <c r="G923" t="str">
        <f t="shared" si="72"/>
        <v>Women</v>
      </c>
      <c r="H923" t="str">
        <f t="shared" ca="1" si="73"/>
        <v>Myntra</v>
      </c>
      <c r="I923">
        <f t="shared" ca="1" si="74"/>
        <v>41</v>
      </c>
      <c r="J923" t="s">
        <v>1912</v>
      </c>
      <c r="K923" t="s">
        <v>18</v>
      </c>
      <c r="L923" t="s">
        <v>40</v>
      </c>
      <c r="M923">
        <v>1</v>
      </c>
      <c r="N923" t="s">
        <v>20</v>
      </c>
      <c r="O923">
        <v>1099</v>
      </c>
      <c r="P923" t="s">
        <v>21</v>
      </c>
      <c r="Q923" t="s">
        <v>22</v>
      </c>
      <c r="R923" t="s">
        <v>23</v>
      </c>
    </row>
    <row r="924" spans="1:18" x14ac:dyDescent="0.35">
      <c r="A924">
        <v>922</v>
      </c>
      <c r="B924" t="s">
        <v>1913</v>
      </c>
      <c r="C924" s="1">
        <f t="shared" ca="1" si="70"/>
        <v>45004</v>
      </c>
      <c r="D924" t="str">
        <f t="shared" ca="1" si="71"/>
        <v>March</v>
      </c>
      <c r="E924" t="s">
        <v>29</v>
      </c>
      <c r="F924" t="s">
        <v>33</v>
      </c>
      <c r="G924" t="str">
        <f t="shared" si="72"/>
        <v>Women</v>
      </c>
      <c r="H924" t="str">
        <f t="shared" ca="1" si="73"/>
        <v>Amazon</v>
      </c>
      <c r="I924">
        <f t="shared" ca="1" si="74"/>
        <v>46</v>
      </c>
      <c r="J924" t="s">
        <v>1914</v>
      </c>
      <c r="K924" t="s">
        <v>18</v>
      </c>
      <c r="L924" t="s">
        <v>28</v>
      </c>
      <c r="M924">
        <v>1</v>
      </c>
      <c r="N924" t="s">
        <v>20</v>
      </c>
      <c r="O924">
        <v>1099</v>
      </c>
      <c r="P924" t="s">
        <v>1915</v>
      </c>
      <c r="Q924" t="s">
        <v>171</v>
      </c>
      <c r="R924" t="s">
        <v>23</v>
      </c>
    </row>
    <row r="925" spans="1:18" x14ac:dyDescent="0.35">
      <c r="A925">
        <v>923</v>
      </c>
      <c r="B925" t="s">
        <v>1916</v>
      </c>
      <c r="C925" s="1">
        <f t="shared" ca="1" si="70"/>
        <v>45472</v>
      </c>
      <c r="D925" t="str">
        <f t="shared" ca="1" si="71"/>
        <v>June</v>
      </c>
      <c r="E925" t="s">
        <v>29</v>
      </c>
      <c r="F925" t="s">
        <v>33</v>
      </c>
      <c r="G925" t="str">
        <f t="shared" si="72"/>
        <v>Men</v>
      </c>
      <c r="H925" t="str">
        <f t="shared" ca="1" si="73"/>
        <v>Amazon</v>
      </c>
      <c r="I925">
        <f t="shared" ca="1" si="74"/>
        <v>34</v>
      </c>
      <c r="J925" t="s">
        <v>1917</v>
      </c>
      <c r="K925" t="s">
        <v>27</v>
      </c>
      <c r="L925" t="s">
        <v>62</v>
      </c>
      <c r="M925">
        <v>1</v>
      </c>
      <c r="N925" t="s">
        <v>20</v>
      </c>
      <c r="O925">
        <v>499</v>
      </c>
      <c r="P925" t="s">
        <v>1918</v>
      </c>
      <c r="Q925" t="s">
        <v>31</v>
      </c>
      <c r="R925" t="s">
        <v>23</v>
      </c>
    </row>
    <row r="926" spans="1:18" x14ac:dyDescent="0.35">
      <c r="A926">
        <v>924</v>
      </c>
      <c r="B926" t="s">
        <v>1919</v>
      </c>
      <c r="C926" s="1">
        <f t="shared" ca="1" si="70"/>
        <v>45643</v>
      </c>
      <c r="D926" t="str">
        <f t="shared" ca="1" si="71"/>
        <v>December</v>
      </c>
      <c r="E926" t="s">
        <v>29</v>
      </c>
      <c r="F926" t="s">
        <v>33</v>
      </c>
      <c r="G926" t="str">
        <f t="shared" si="72"/>
        <v>Women</v>
      </c>
      <c r="H926" t="str">
        <f t="shared" ca="1" si="73"/>
        <v>Amazon</v>
      </c>
      <c r="I926">
        <f t="shared" ca="1" si="74"/>
        <v>35</v>
      </c>
      <c r="J926" t="s">
        <v>38</v>
      </c>
      <c r="K926" t="s">
        <v>39</v>
      </c>
      <c r="L926" t="s">
        <v>40</v>
      </c>
      <c r="M926">
        <v>1</v>
      </c>
      <c r="N926" t="s">
        <v>20</v>
      </c>
      <c r="O926">
        <v>744</v>
      </c>
      <c r="P926" t="s">
        <v>728</v>
      </c>
      <c r="Q926" t="s">
        <v>171</v>
      </c>
      <c r="R926" t="s">
        <v>23</v>
      </c>
    </row>
    <row r="927" spans="1:18" x14ac:dyDescent="0.35">
      <c r="A927">
        <v>925</v>
      </c>
      <c r="B927" t="s">
        <v>1920</v>
      </c>
      <c r="C927" s="1">
        <f t="shared" ca="1" si="70"/>
        <v>45484</v>
      </c>
      <c r="D927" t="str">
        <f t="shared" ca="1" si="71"/>
        <v>July</v>
      </c>
      <c r="E927" t="s">
        <v>15</v>
      </c>
      <c r="F927" t="s">
        <v>16</v>
      </c>
      <c r="G927" t="str">
        <f t="shared" si="72"/>
        <v>Men</v>
      </c>
      <c r="H927" t="str">
        <f t="shared" ca="1" si="73"/>
        <v>Flipkart</v>
      </c>
      <c r="I927">
        <f t="shared" ca="1" si="74"/>
        <v>23</v>
      </c>
      <c r="J927" t="s">
        <v>1921</v>
      </c>
      <c r="K927" t="s">
        <v>27</v>
      </c>
      <c r="L927" t="s">
        <v>62</v>
      </c>
      <c r="M927">
        <v>0</v>
      </c>
      <c r="N927" t="s">
        <v>20</v>
      </c>
      <c r="O927">
        <v>399.05</v>
      </c>
      <c r="P927" t="s">
        <v>63</v>
      </c>
      <c r="Q927" t="s">
        <v>46</v>
      </c>
      <c r="R927" t="s">
        <v>23</v>
      </c>
    </row>
    <row r="928" spans="1:18" x14ac:dyDescent="0.35">
      <c r="A928">
        <v>926</v>
      </c>
      <c r="B928" t="s">
        <v>1920</v>
      </c>
      <c r="C928" s="1">
        <f t="shared" ca="1" si="70"/>
        <v>44952</v>
      </c>
      <c r="D928" t="str">
        <f t="shared" ca="1" si="71"/>
        <v>January</v>
      </c>
      <c r="E928" t="s">
        <v>15</v>
      </c>
      <c r="F928" t="s">
        <v>16</v>
      </c>
      <c r="G928" t="str">
        <f t="shared" si="72"/>
        <v>Men</v>
      </c>
      <c r="H928" t="str">
        <f t="shared" ca="1" si="73"/>
        <v>Myntra</v>
      </c>
      <c r="I928">
        <f t="shared" ca="1" si="74"/>
        <v>60</v>
      </c>
      <c r="J928" t="s">
        <v>1922</v>
      </c>
      <c r="K928" t="s">
        <v>27</v>
      </c>
      <c r="L928" t="s">
        <v>62</v>
      </c>
      <c r="M928">
        <v>0</v>
      </c>
      <c r="N928" t="s">
        <v>20</v>
      </c>
      <c r="O928">
        <v>463.81</v>
      </c>
      <c r="P928" t="s">
        <v>63</v>
      </c>
      <c r="Q928" t="s">
        <v>46</v>
      </c>
      <c r="R928" t="s">
        <v>23</v>
      </c>
    </row>
    <row r="929" spans="1:18" x14ac:dyDescent="0.35">
      <c r="A929">
        <v>927</v>
      </c>
      <c r="B929" t="s">
        <v>1923</v>
      </c>
      <c r="C929" s="1">
        <f t="shared" ca="1" si="70"/>
        <v>45053</v>
      </c>
      <c r="D929" t="str">
        <f t="shared" ca="1" si="71"/>
        <v>May</v>
      </c>
      <c r="E929" t="s">
        <v>29</v>
      </c>
      <c r="F929" t="s">
        <v>33</v>
      </c>
      <c r="G929" t="str">
        <f t="shared" si="72"/>
        <v>Men</v>
      </c>
      <c r="H929" t="str">
        <f t="shared" ca="1" si="73"/>
        <v>Amazon</v>
      </c>
      <c r="I929">
        <f t="shared" ca="1" si="74"/>
        <v>51</v>
      </c>
      <c r="J929" t="s">
        <v>783</v>
      </c>
      <c r="K929" t="s">
        <v>27</v>
      </c>
      <c r="L929" t="s">
        <v>62</v>
      </c>
      <c r="M929">
        <v>1</v>
      </c>
      <c r="N929" t="s">
        <v>20</v>
      </c>
      <c r="O929">
        <v>432</v>
      </c>
      <c r="P929" t="s">
        <v>63</v>
      </c>
      <c r="Q929" t="s">
        <v>46</v>
      </c>
      <c r="R929" t="s">
        <v>23</v>
      </c>
    </row>
    <row r="930" spans="1:18" x14ac:dyDescent="0.35">
      <c r="A930">
        <v>928</v>
      </c>
      <c r="B930" t="s">
        <v>1924</v>
      </c>
      <c r="C930" s="1">
        <f t="shared" ca="1" si="70"/>
        <v>45491</v>
      </c>
      <c r="D930" t="str">
        <f t="shared" ca="1" si="71"/>
        <v>July</v>
      </c>
      <c r="E930" t="s">
        <v>29</v>
      </c>
      <c r="F930" t="s">
        <v>33</v>
      </c>
      <c r="G930" t="str">
        <f t="shared" si="72"/>
        <v>Women</v>
      </c>
      <c r="H930" t="str">
        <f t="shared" ca="1" si="73"/>
        <v>Amazon</v>
      </c>
      <c r="I930">
        <f t="shared" ca="1" si="74"/>
        <v>48</v>
      </c>
      <c r="J930" t="s">
        <v>585</v>
      </c>
      <c r="K930" t="s">
        <v>44</v>
      </c>
      <c r="L930" t="s">
        <v>101</v>
      </c>
      <c r="M930">
        <v>1</v>
      </c>
      <c r="N930" t="s">
        <v>20</v>
      </c>
      <c r="O930">
        <v>463</v>
      </c>
      <c r="P930" t="s">
        <v>1925</v>
      </c>
      <c r="Q930" t="s">
        <v>171</v>
      </c>
      <c r="R930" t="s">
        <v>23</v>
      </c>
    </row>
    <row r="931" spans="1:18" x14ac:dyDescent="0.35">
      <c r="A931">
        <v>929</v>
      </c>
      <c r="B931" t="s">
        <v>1926</v>
      </c>
      <c r="C931" s="1">
        <f t="shared" ca="1" si="70"/>
        <v>45136</v>
      </c>
      <c r="D931" t="str">
        <f t="shared" ca="1" si="71"/>
        <v>July</v>
      </c>
      <c r="E931" t="s">
        <v>15</v>
      </c>
      <c r="F931" t="s">
        <v>33</v>
      </c>
      <c r="G931" t="str">
        <f t="shared" si="72"/>
        <v>Women</v>
      </c>
      <c r="H931" t="str">
        <f t="shared" ca="1" si="73"/>
        <v>Amazon</v>
      </c>
      <c r="I931">
        <f t="shared" ca="1" si="74"/>
        <v>49</v>
      </c>
      <c r="J931" t="s">
        <v>1905</v>
      </c>
      <c r="K931" t="s">
        <v>44</v>
      </c>
      <c r="L931" t="s">
        <v>19</v>
      </c>
      <c r="M931">
        <v>0</v>
      </c>
      <c r="P931" t="s">
        <v>1906</v>
      </c>
      <c r="Q931" t="s">
        <v>153</v>
      </c>
      <c r="R931" t="s">
        <v>23</v>
      </c>
    </row>
    <row r="932" spans="1:18" x14ac:dyDescent="0.35">
      <c r="A932">
        <v>930</v>
      </c>
      <c r="B932" t="s">
        <v>1927</v>
      </c>
      <c r="C932" s="1">
        <f t="shared" ca="1" si="70"/>
        <v>45072</v>
      </c>
      <c r="D932" t="str">
        <f t="shared" ca="1" si="71"/>
        <v>May</v>
      </c>
      <c r="E932" t="s">
        <v>29</v>
      </c>
      <c r="F932" t="s">
        <v>33</v>
      </c>
      <c r="G932" t="str">
        <f t="shared" si="72"/>
        <v>Men</v>
      </c>
      <c r="H932" t="str">
        <f t="shared" ca="1" si="73"/>
        <v>Amazon</v>
      </c>
      <c r="I932">
        <f t="shared" ca="1" si="74"/>
        <v>36</v>
      </c>
      <c r="J932" t="s">
        <v>1928</v>
      </c>
      <c r="K932" t="s">
        <v>27</v>
      </c>
      <c r="L932" t="s">
        <v>19</v>
      </c>
      <c r="M932">
        <v>1</v>
      </c>
      <c r="N932" t="s">
        <v>20</v>
      </c>
      <c r="O932">
        <v>0</v>
      </c>
      <c r="P932" t="s">
        <v>1929</v>
      </c>
      <c r="Q932" t="s">
        <v>286</v>
      </c>
      <c r="R932" t="s">
        <v>23</v>
      </c>
    </row>
    <row r="933" spans="1:18" x14ac:dyDescent="0.35">
      <c r="A933">
        <v>931</v>
      </c>
      <c r="B933" t="s">
        <v>1930</v>
      </c>
      <c r="C933" s="1">
        <f t="shared" ca="1" si="70"/>
        <v>45379</v>
      </c>
      <c r="D933" t="str">
        <f t="shared" ca="1" si="71"/>
        <v>March</v>
      </c>
      <c r="E933" t="s">
        <v>15</v>
      </c>
      <c r="F933" t="s">
        <v>16</v>
      </c>
      <c r="G933" t="str">
        <f t="shared" si="72"/>
        <v>Women</v>
      </c>
      <c r="H933" t="str">
        <f t="shared" ca="1" si="73"/>
        <v>Myntra</v>
      </c>
      <c r="I933">
        <f t="shared" ca="1" si="74"/>
        <v>20</v>
      </c>
      <c r="J933" t="s">
        <v>274</v>
      </c>
      <c r="K933" t="s">
        <v>39</v>
      </c>
      <c r="L933" t="s">
        <v>35</v>
      </c>
      <c r="M933">
        <v>0</v>
      </c>
      <c r="P933" t="s">
        <v>749</v>
      </c>
      <c r="Q933" t="s">
        <v>22</v>
      </c>
      <c r="R933" t="s">
        <v>23</v>
      </c>
    </row>
    <row r="934" spans="1:18" x14ac:dyDescent="0.35">
      <c r="A934">
        <v>932</v>
      </c>
      <c r="B934" t="s">
        <v>1931</v>
      </c>
      <c r="C934" s="1">
        <f t="shared" ca="1" si="70"/>
        <v>45562</v>
      </c>
      <c r="D934" t="str">
        <f t="shared" ca="1" si="71"/>
        <v>September</v>
      </c>
      <c r="E934" t="s">
        <v>29</v>
      </c>
      <c r="F934" t="s">
        <v>33</v>
      </c>
      <c r="G934" t="str">
        <f t="shared" si="72"/>
        <v>Women</v>
      </c>
      <c r="H934" t="str">
        <f t="shared" ca="1" si="73"/>
        <v>Amazon</v>
      </c>
      <c r="I934">
        <f t="shared" ca="1" si="74"/>
        <v>32</v>
      </c>
      <c r="J934" t="s">
        <v>1932</v>
      </c>
      <c r="K934" t="s">
        <v>39</v>
      </c>
      <c r="L934" t="s">
        <v>28</v>
      </c>
      <c r="M934">
        <v>1</v>
      </c>
      <c r="N934" t="s">
        <v>20</v>
      </c>
      <c r="O934">
        <v>665</v>
      </c>
      <c r="P934" t="s">
        <v>1933</v>
      </c>
      <c r="Q934" t="s">
        <v>22</v>
      </c>
      <c r="R934" t="s">
        <v>23</v>
      </c>
    </row>
    <row r="935" spans="1:18" x14ac:dyDescent="0.35">
      <c r="A935">
        <v>933</v>
      </c>
      <c r="B935" t="s">
        <v>1934</v>
      </c>
      <c r="C935" s="1">
        <f t="shared" ca="1" si="70"/>
        <v>45431</v>
      </c>
      <c r="D935" t="str">
        <f t="shared" ca="1" si="71"/>
        <v>May</v>
      </c>
      <c r="E935" t="s">
        <v>29</v>
      </c>
      <c r="F935" t="s">
        <v>33</v>
      </c>
      <c r="G935" t="str">
        <f t="shared" si="72"/>
        <v>Women</v>
      </c>
      <c r="H935" t="str">
        <f t="shared" ca="1" si="73"/>
        <v>Amazon</v>
      </c>
      <c r="I935">
        <f t="shared" ca="1" si="74"/>
        <v>56</v>
      </c>
      <c r="J935" t="s">
        <v>1935</v>
      </c>
      <c r="K935" t="s">
        <v>18</v>
      </c>
      <c r="L935" t="s">
        <v>19</v>
      </c>
      <c r="M935">
        <v>1</v>
      </c>
      <c r="N935" t="s">
        <v>20</v>
      </c>
      <c r="O935">
        <v>563</v>
      </c>
      <c r="P935" t="s">
        <v>1936</v>
      </c>
      <c r="Q935" t="s">
        <v>192</v>
      </c>
      <c r="R935" t="s">
        <v>23</v>
      </c>
    </row>
    <row r="936" spans="1:18" x14ac:dyDescent="0.35">
      <c r="A936">
        <v>934</v>
      </c>
      <c r="B936" t="s">
        <v>1937</v>
      </c>
      <c r="C936" s="1">
        <f t="shared" ca="1" si="70"/>
        <v>45317</v>
      </c>
      <c r="D936" t="str">
        <f t="shared" ca="1" si="71"/>
        <v>January</v>
      </c>
      <c r="E936" t="s">
        <v>29</v>
      </c>
      <c r="F936" t="s">
        <v>33</v>
      </c>
      <c r="G936" t="str">
        <f t="shared" si="72"/>
        <v>Men</v>
      </c>
      <c r="H936" t="str">
        <f t="shared" ca="1" si="73"/>
        <v>Amazon</v>
      </c>
      <c r="I936">
        <f t="shared" ca="1" si="74"/>
        <v>59</v>
      </c>
      <c r="J936" t="s">
        <v>859</v>
      </c>
      <c r="K936" t="s">
        <v>27</v>
      </c>
      <c r="L936" t="s">
        <v>35</v>
      </c>
      <c r="M936">
        <v>1</v>
      </c>
      <c r="N936" t="s">
        <v>20</v>
      </c>
      <c r="O936">
        <v>399</v>
      </c>
      <c r="P936" t="s">
        <v>1647</v>
      </c>
      <c r="Q936" t="s">
        <v>357</v>
      </c>
      <c r="R936" t="s">
        <v>23</v>
      </c>
    </row>
    <row r="937" spans="1:18" x14ac:dyDescent="0.35">
      <c r="A937">
        <v>935</v>
      </c>
      <c r="B937" t="s">
        <v>1938</v>
      </c>
      <c r="C937" s="1">
        <f t="shared" ca="1" si="70"/>
        <v>45049</v>
      </c>
      <c r="D937" t="str">
        <f t="shared" ca="1" si="71"/>
        <v>May</v>
      </c>
      <c r="E937" t="s">
        <v>29</v>
      </c>
      <c r="F937" t="s">
        <v>33</v>
      </c>
      <c r="G937" t="str">
        <f t="shared" si="72"/>
        <v>Women</v>
      </c>
      <c r="H937" t="str">
        <f t="shared" ca="1" si="73"/>
        <v>Amazon</v>
      </c>
      <c r="I937">
        <f t="shared" ca="1" si="74"/>
        <v>51</v>
      </c>
      <c r="J937" t="s">
        <v>685</v>
      </c>
      <c r="K937" t="s">
        <v>18</v>
      </c>
      <c r="L937" t="s">
        <v>35</v>
      </c>
      <c r="M937">
        <v>1</v>
      </c>
      <c r="N937" t="s">
        <v>20</v>
      </c>
      <c r="O937">
        <v>968</v>
      </c>
      <c r="P937" t="s">
        <v>994</v>
      </c>
      <c r="Q937" t="s">
        <v>50</v>
      </c>
      <c r="R937" t="s">
        <v>23</v>
      </c>
    </row>
    <row r="938" spans="1:18" x14ac:dyDescent="0.35">
      <c r="A938">
        <v>936</v>
      </c>
      <c r="B938" t="s">
        <v>1939</v>
      </c>
      <c r="C938" s="1">
        <f t="shared" ca="1" si="70"/>
        <v>44954</v>
      </c>
      <c r="D938" t="str">
        <f t="shared" ca="1" si="71"/>
        <v>January</v>
      </c>
      <c r="E938" t="s">
        <v>25</v>
      </c>
      <c r="F938" t="s">
        <v>16</v>
      </c>
      <c r="G938" t="str">
        <f t="shared" si="72"/>
        <v>Men</v>
      </c>
      <c r="H938" t="str">
        <f t="shared" ca="1" si="73"/>
        <v>Myntra</v>
      </c>
      <c r="I938">
        <f t="shared" ca="1" si="74"/>
        <v>41</v>
      </c>
      <c r="J938" t="s">
        <v>1940</v>
      </c>
      <c r="K938" t="s">
        <v>27</v>
      </c>
      <c r="L938" t="s">
        <v>101</v>
      </c>
      <c r="M938">
        <v>1</v>
      </c>
      <c r="N938" t="s">
        <v>20</v>
      </c>
      <c r="O938">
        <v>474</v>
      </c>
      <c r="P938" t="s">
        <v>30</v>
      </c>
      <c r="Q938" t="s">
        <v>31</v>
      </c>
      <c r="R938" t="s">
        <v>23</v>
      </c>
    </row>
    <row r="939" spans="1:18" x14ac:dyDescent="0.35">
      <c r="A939">
        <v>937</v>
      </c>
      <c r="B939" t="s">
        <v>1941</v>
      </c>
      <c r="C939" s="1">
        <f t="shared" ca="1" si="70"/>
        <v>45576</v>
      </c>
      <c r="D939" t="str">
        <f t="shared" ca="1" si="71"/>
        <v>October</v>
      </c>
      <c r="E939" t="s">
        <v>29</v>
      </c>
      <c r="F939" t="s">
        <v>33</v>
      </c>
      <c r="G939" t="s">
        <v>2051</v>
      </c>
      <c r="H939" t="str">
        <f t="shared" ca="1" si="73"/>
        <v>Amazon</v>
      </c>
      <c r="I939">
        <f t="shared" ca="1" si="74"/>
        <v>52</v>
      </c>
      <c r="J939" t="s">
        <v>1942</v>
      </c>
      <c r="K939" t="s">
        <v>1087</v>
      </c>
      <c r="L939" t="s">
        <v>1030</v>
      </c>
      <c r="M939">
        <v>15</v>
      </c>
      <c r="P939" t="s">
        <v>1943</v>
      </c>
      <c r="Q939" t="s">
        <v>223</v>
      </c>
      <c r="R939" t="s">
        <v>23</v>
      </c>
    </row>
    <row r="940" spans="1:18" x14ac:dyDescent="0.35">
      <c r="A940">
        <v>938</v>
      </c>
      <c r="B940" t="s">
        <v>1944</v>
      </c>
      <c r="C940" s="1">
        <f t="shared" ca="1" si="70"/>
        <v>45225</v>
      </c>
      <c r="D940" t="str">
        <f t="shared" ca="1" si="71"/>
        <v>October</v>
      </c>
      <c r="E940" t="s">
        <v>15</v>
      </c>
      <c r="F940" t="s">
        <v>16</v>
      </c>
      <c r="G940" t="str">
        <f t="shared" si="72"/>
        <v>Men</v>
      </c>
      <c r="H940" t="str">
        <f t="shared" ca="1" si="73"/>
        <v>Flipkart</v>
      </c>
      <c r="I940">
        <f t="shared" ca="1" si="74"/>
        <v>20</v>
      </c>
      <c r="J940" t="s">
        <v>1642</v>
      </c>
      <c r="K940" t="s">
        <v>27</v>
      </c>
      <c r="L940" t="s">
        <v>79</v>
      </c>
      <c r="M940">
        <v>0</v>
      </c>
      <c r="N940" t="s">
        <v>20</v>
      </c>
      <c r="O940">
        <v>659.05</v>
      </c>
      <c r="P940" t="s">
        <v>122</v>
      </c>
      <c r="Q940" t="s">
        <v>22</v>
      </c>
      <c r="R940" t="s">
        <v>23</v>
      </c>
    </row>
    <row r="941" spans="1:18" x14ac:dyDescent="0.35">
      <c r="A941">
        <v>939</v>
      </c>
      <c r="B941" t="s">
        <v>1945</v>
      </c>
      <c r="C941" s="1">
        <f t="shared" ca="1" si="70"/>
        <v>45364</v>
      </c>
      <c r="D941" t="str">
        <f t="shared" ca="1" si="71"/>
        <v>March</v>
      </c>
      <c r="E941" t="s">
        <v>25</v>
      </c>
      <c r="F941" t="s">
        <v>16</v>
      </c>
      <c r="G941" t="str">
        <f t="shared" si="72"/>
        <v>Women</v>
      </c>
      <c r="H941" t="str">
        <f t="shared" ca="1" si="73"/>
        <v>Myntra</v>
      </c>
      <c r="I941">
        <f t="shared" ca="1" si="74"/>
        <v>48</v>
      </c>
      <c r="J941" t="s">
        <v>1946</v>
      </c>
      <c r="K941" t="s">
        <v>44</v>
      </c>
      <c r="L941" t="s">
        <v>62</v>
      </c>
      <c r="M941">
        <v>1</v>
      </c>
      <c r="N941" t="s">
        <v>20</v>
      </c>
      <c r="O941">
        <v>413</v>
      </c>
      <c r="P941" t="s">
        <v>1947</v>
      </c>
      <c r="Q941" t="s">
        <v>22</v>
      </c>
      <c r="R941" t="s">
        <v>23</v>
      </c>
    </row>
    <row r="942" spans="1:18" x14ac:dyDescent="0.35">
      <c r="A942">
        <v>940</v>
      </c>
      <c r="B942" t="s">
        <v>1948</v>
      </c>
      <c r="C942" s="1">
        <f t="shared" ca="1" si="70"/>
        <v>45533</v>
      </c>
      <c r="D942" t="str">
        <f t="shared" ca="1" si="71"/>
        <v>August</v>
      </c>
      <c r="E942" t="s">
        <v>25</v>
      </c>
      <c r="F942" t="s">
        <v>16</v>
      </c>
      <c r="G942" t="str">
        <f t="shared" si="72"/>
        <v>Men</v>
      </c>
      <c r="H942" t="str">
        <f t="shared" ca="1" si="73"/>
        <v>Flipkart</v>
      </c>
      <c r="I942">
        <f t="shared" ca="1" si="74"/>
        <v>54</v>
      </c>
      <c r="J942" t="s">
        <v>1949</v>
      </c>
      <c r="K942" t="s">
        <v>27</v>
      </c>
      <c r="L942" t="s">
        <v>19</v>
      </c>
      <c r="M942">
        <v>1</v>
      </c>
      <c r="N942" t="s">
        <v>20</v>
      </c>
      <c r="O942">
        <v>495</v>
      </c>
      <c r="P942" t="s">
        <v>45</v>
      </c>
      <c r="Q942" t="s">
        <v>46</v>
      </c>
      <c r="R942" t="s">
        <v>23</v>
      </c>
    </row>
    <row r="943" spans="1:18" x14ac:dyDescent="0.35">
      <c r="A943">
        <v>941</v>
      </c>
      <c r="B943" t="s">
        <v>1950</v>
      </c>
      <c r="C943" s="1">
        <f t="shared" ca="1" si="70"/>
        <v>45007</v>
      </c>
      <c r="D943" t="str">
        <f t="shared" ca="1" si="71"/>
        <v>March</v>
      </c>
      <c r="E943" t="s">
        <v>25</v>
      </c>
      <c r="F943" t="s">
        <v>16</v>
      </c>
      <c r="G943" t="str">
        <f t="shared" si="72"/>
        <v>Men</v>
      </c>
      <c r="H943" t="str">
        <f t="shared" ca="1" si="73"/>
        <v>Myntra</v>
      </c>
      <c r="I943">
        <f t="shared" ca="1" si="74"/>
        <v>47</v>
      </c>
      <c r="J943" t="s">
        <v>1951</v>
      </c>
      <c r="K943" t="s">
        <v>27</v>
      </c>
      <c r="L943" t="s">
        <v>40</v>
      </c>
      <c r="M943">
        <v>1</v>
      </c>
      <c r="N943" t="s">
        <v>20</v>
      </c>
      <c r="O943">
        <v>459</v>
      </c>
      <c r="P943" t="s">
        <v>522</v>
      </c>
      <c r="Q943" t="s">
        <v>31</v>
      </c>
      <c r="R943" t="s">
        <v>23</v>
      </c>
    </row>
    <row r="944" spans="1:18" x14ac:dyDescent="0.35">
      <c r="A944">
        <v>942</v>
      </c>
      <c r="B944" t="s">
        <v>1952</v>
      </c>
      <c r="C944" s="1">
        <f t="shared" ca="1" si="70"/>
        <v>45578</v>
      </c>
      <c r="D944" t="str">
        <f t="shared" ca="1" si="71"/>
        <v>October</v>
      </c>
      <c r="E944" t="s">
        <v>29</v>
      </c>
      <c r="F944" t="s">
        <v>33</v>
      </c>
      <c r="G944" t="str">
        <f t="shared" si="72"/>
        <v>Men</v>
      </c>
      <c r="H944" t="str">
        <f t="shared" ca="1" si="73"/>
        <v>Amazon</v>
      </c>
      <c r="I944">
        <f t="shared" ca="1" si="74"/>
        <v>46</v>
      </c>
      <c r="J944" t="s">
        <v>1953</v>
      </c>
      <c r="K944" t="s">
        <v>27</v>
      </c>
      <c r="L944" t="s">
        <v>121</v>
      </c>
      <c r="M944">
        <v>1</v>
      </c>
      <c r="N944" t="s">
        <v>20</v>
      </c>
      <c r="O944">
        <v>486</v>
      </c>
      <c r="P944" t="s">
        <v>122</v>
      </c>
      <c r="Q944" t="s">
        <v>22</v>
      </c>
      <c r="R944" t="s">
        <v>23</v>
      </c>
    </row>
    <row r="945" spans="1:18" x14ac:dyDescent="0.35">
      <c r="A945">
        <v>943</v>
      </c>
      <c r="B945" t="s">
        <v>1954</v>
      </c>
      <c r="C945" s="1">
        <f t="shared" ca="1" si="70"/>
        <v>45371</v>
      </c>
      <c r="D945" t="str">
        <f t="shared" ca="1" si="71"/>
        <v>March</v>
      </c>
      <c r="E945" t="s">
        <v>25</v>
      </c>
      <c r="F945" t="s">
        <v>16</v>
      </c>
      <c r="G945" t="str">
        <f t="shared" si="72"/>
        <v>Women</v>
      </c>
      <c r="H945" t="str">
        <f t="shared" ca="1" si="73"/>
        <v>Myntra</v>
      </c>
      <c r="I945">
        <f t="shared" ca="1" si="74"/>
        <v>30</v>
      </c>
      <c r="J945" t="s">
        <v>262</v>
      </c>
      <c r="K945" t="s">
        <v>18</v>
      </c>
      <c r="L945" t="s">
        <v>101</v>
      </c>
      <c r="M945">
        <v>1</v>
      </c>
      <c r="N945" t="s">
        <v>20</v>
      </c>
      <c r="O945">
        <v>1238</v>
      </c>
      <c r="P945" t="s">
        <v>88</v>
      </c>
      <c r="Q945" t="s">
        <v>89</v>
      </c>
      <c r="R945" t="s">
        <v>23</v>
      </c>
    </row>
    <row r="946" spans="1:18" x14ac:dyDescent="0.35">
      <c r="A946">
        <v>944</v>
      </c>
      <c r="B946" t="s">
        <v>1955</v>
      </c>
      <c r="C946" s="1">
        <f t="shared" ca="1" si="70"/>
        <v>45075</v>
      </c>
      <c r="D946" t="str">
        <f t="shared" ca="1" si="71"/>
        <v>May</v>
      </c>
      <c r="E946" t="s">
        <v>29</v>
      </c>
      <c r="F946" t="s">
        <v>33</v>
      </c>
      <c r="G946" t="str">
        <f t="shared" si="72"/>
        <v>Women</v>
      </c>
      <c r="H946" t="str">
        <f t="shared" ca="1" si="73"/>
        <v>Amazon</v>
      </c>
      <c r="I946">
        <f t="shared" ca="1" si="74"/>
        <v>37</v>
      </c>
      <c r="J946" t="s">
        <v>1956</v>
      </c>
      <c r="K946" t="s">
        <v>18</v>
      </c>
      <c r="L946" t="s">
        <v>35</v>
      </c>
      <c r="M946">
        <v>1</v>
      </c>
      <c r="N946" t="s">
        <v>20</v>
      </c>
      <c r="O946">
        <v>801</v>
      </c>
      <c r="P946" t="s">
        <v>1957</v>
      </c>
      <c r="Q946" t="s">
        <v>855</v>
      </c>
      <c r="R946" t="s">
        <v>23</v>
      </c>
    </row>
    <row r="947" spans="1:18" x14ac:dyDescent="0.35">
      <c r="A947">
        <v>945</v>
      </c>
      <c r="B947" t="s">
        <v>1958</v>
      </c>
      <c r="C947" s="1">
        <f t="shared" ca="1" si="70"/>
        <v>44972</v>
      </c>
      <c r="D947" t="str">
        <f t="shared" ca="1" si="71"/>
        <v>February</v>
      </c>
      <c r="E947" t="s">
        <v>29</v>
      </c>
      <c r="F947" t="s">
        <v>33</v>
      </c>
      <c r="G947" t="str">
        <f t="shared" si="72"/>
        <v>Men</v>
      </c>
      <c r="H947" t="str">
        <f t="shared" ca="1" si="73"/>
        <v>Amazon</v>
      </c>
      <c r="I947">
        <f t="shared" ca="1" si="74"/>
        <v>51</v>
      </c>
      <c r="J947" t="s">
        <v>1959</v>
      </c>
      <c r="K947" t="s">
        <v>27</v>
      </c>
      <c r="L947" t="s">
        <v>656</v>
      </c>
      <c r="M947">
        <v>1</v>
      </c>
      <c r="N947" t="s">
        <v>20</v>
      </c>
      <c r="O947">
        <v>527</v>
      </c>
      <c r="P947" t="s">
        <v>122</v>
      </c>
      <c r="Q947" t="s">
        <v>22</v>
      </c>
      <c r="R947" t="s">
        <v>23</v>
      </c>
    </row>
    <row r="948" spans="1:18" x14ac:dyDescent="0.35">
      <c r="A948">
        <v>946</v>
      </c>
      <c r="B948" t="s">
        <v>1960</v>
      </c>
      <c r="C948" s="1">
        <f t="shared" ca="1" si="70"/>
        <v>45309</v>
      </c>
      <c r="D948" t="str">
        <f t="shared" ca="1" si="71"/>
        <v>January</v>
      </c>
      <c r="E948" t="s">
        <v>29</v>
      </c>
      <c r="F948" t="s">
        <v>33</v>
      </c>
      <c r="G948" t="str">
        <f t="shared" si="72"/>
        <v>Women</v>
      </c>
      <c r="H948" t="str">
        <f t="shared" ca="1" si="73"/>
        <v>Amazon</v>
      </c>
      <c r="I948">
        <f t="shared" ca="1" si="74"/>
        <v>50</v>
      </c>
      <c r="J948" t="s">
        <v>196</v>
      </c>
      <c r="K948" t="s">
        <v>44</v>
      </c>
      <c r="L948" t="s">
        <v>40</v>
      </c>
      <c r="M948">
        <v>1</v>
      </c>
      <c r="N948" t="s">
        <v>20</v>
      </c>
      <c r="O948">
        <v>493</v>
      </c>
      <c r="P948" t="s">
        <v>562</v>
      </c>
      <c r="Q948" t="s">
        <v>223</v>
      </c>
      <c r="R948" t="s">
        <v>23</v>
      </c>
    </row>
    <row r="949" spans="1:18" x14ac:dyDescent="0.35">
      <c r="A949">
        <v>947</v>
      </c>
      <c r="B949" t="s">
        <v>1961</v>
      </c>
      <c r="C949" s="1">
        <f t="shared" ca="1" si="70"/>
        <v>45037</v>
      </c>
      <c r="D949" t="str">
        <f t="shared" ca="1" si="71"/>
        <v>April</v>
      </c>
      <c r="E949" t="s">
        <v>25</v>
      </c>
      <c r="F949" t="s">
        <v>16</v>
      </c>
      <c r="G949" t="str">
        <f t="shared" si="72"/>
        <v>Men</v>
      </c>
      <c r="H949" t="str">
        <f t="shared" ca="1" si="73"/>
        <v>Myntra</v>
      </c>
      <c r="I949">
        <f t="shared" ca="1" si="74"/>
        <v>58</v>
      </c>
      <c r="J949" t="s">
        <v>587</v>
      </c>
      <c r="K949" t="s">
        <v>27</v>
      </c>
      <c r="L949" t="s">
        <v>35</v>
      </c>
      <c r="M949">
        <v>1</v>
      </c>
      <c r="N949" t="s">
        <v>20</v>
      </c>
      <c r="O949">
        <v>0</v>
      </c>
      <c r="P949" t="s">
        <v>69</v>
      </c>
      <c r="Q949" t="s">
        <v>50</v>
      </c>
      <c r="R949" t="s">
        <v>23</v>
      </c>
    </row>
    <row r="950" spans="1:18" x14ac:dyDescent="0.35">
      <c r="A950">
        <v>948</v>
      </c>
      <c r="B950" t="s">
        <v>1962</v>
      </c>
      <c r="C950" s="1">
        <f t="shared" ca="1" si="70"/>
        <v>44930</v>
      </c>
      <c r="D950" t="str">
        <f t="shared" ca="1" si="71"/>
        <v>January</v>
      </c>
      <c r="E950" t="s">
        <v>15</v>
      </c>
      <c r="F950" t="s">
        <v>16</v>
      </c>
      <c r="G950" t="str">
        <f t="shared" si="72"/>
        <v>Men</v>
      </c>
      <c r="H950" t="str">
        <f t="shared" ca="1" si="73"/>
        <v>Myntra</v>
      </c>
      <c r="I950">
        <f t="shared" ca="1" si="74"/>
        <v>30</v>
      </c>
      <c r="J950" t="s">
        <v>1963</v>
      </c>
      <c r="K950" t="s">
        <v>27</v>
      </c>
      <c r="L950" t="s">
        <v>40</v>
      </c>
      <c r="M950">
        <v>0</v>
      </c>
      <c r="N950" t="s">
        <v>20</v>
      </c>
      <c r="O950">
        <v>280.95</v>
      </c>
      <c r="P950" t="s">
        <v>720</v>
      </c>
      <c r="Q950" t="s">
        <v>57</v>
      </c>
      <c r="R950" t="s">
        <v>23</v>
      </c>
    </row>
    <row r="951" spans="1:18" x14ac:dyDescent="0.35">
      <c r="A951">
        <v>949</v>
      </c>
      <c r="B951" t="s">
        <v>1964</v>
      </c>
      <c r="C951" s="1">
        <f t="shared" ca="1" si="70"/>
        <v>45151</v>
      </c>
      <c r="D951" t="str">
        <f t="shared" ca="1" si="71"/>
        <v>August</v>
      </c>
      <c r="E951" t="s">
        <v>29</v>
      </c>
      <c r="F951" t="s">
        <v>33</v>
      </c>
      <c r="G951" t="str">
        <f t="shared" si="72"/>
        <v>Women</v>
      </c>
      <c r="H951" t="str">
        <f t="shared" ca="1" si="73"/>
        <v>Amazon</v>
      </c>
      <c r="I951">
        <f t="shared" ca="1" si="74"/>
        <v>43</v>
      </c>
      <c r="J951" t="s">
        <v>1201</v>
      </c>
      <c r="K951" t="s">
        <v>18</v>
      </c>
      <c r="L951" t="s">
        <v>35</v>
      </c>
      <c r="M951">
        <v>1</v>
      </c>
      <c r="N951" t="s">
        <v>20</v>
      </c>
      <c r="O951">
        <v>788</v>
      </c>
      <c r="P951" t="s">
        <v>1965</v>
      </c>
      <c r="Q951" t="s">
        <v>22</v>
      </c>
      <c r="R951" t="s">
        <v>23</v>
      </c>
    </row>
    <row r="952" spans="1:18" x14ac:dyDescent="0.35">
      <c r="A952">
        <v>950</v>
      </c>
      <c r="B952" t="s">
        <v>1966</v>
      </c>
      <c r="C952" s="1">
        <f t="shared" ca="1" si="70"/>
        <v>45539</v>
      </c>
      <c r="D952" t="str">
        <f t="shared" ca="1" si="71"/>
        <v>September</v>
      </c>
      <c r="E952" t="s">
        <v>15</v>
      </c>
      <c r="F952" t="s">
        <v>33</v>
      </c>
      <c r="G952" t="str">
        <f t="shared" si="72"/>
        <v>Women</v>
      </c>
      <c r="H952" t="str">
        <f t="shared" ca="1" si="73"/>
        <v>Amazon</v>
      </c>
      <c r="I952">
        <f t="shared" ca="1" si="74"/>
        <v>55</v>
      </c>
      <c r="J952" t="s">
        <v>100</v>
      </c>
      <c r="K952" t="s">
        <v>18</v>
      </c>
      <c r="L952" t="s">
        <v>101</v>
      </c>
      <c r="M952">
        <v>1</v>
      </c>
      <c r="N952" t="s">
        <v>20</v>
      </c>
      <c r="O952">
        <v>626</v>
      </c>
      <c r="P952" t="s">
        <v>49</v>
      </c>
      <c r="Q952" t="s">
        <v>50</v>
      </c>
      <c r="R952" t="s">
        <v>23</v>
      </c>
    </row>
    <row r="953" spans="1:18" x14ac:dyDescent="0.35">
      <c r="A953">
        <v>951</v>
      </c>
      <c r="B953" t="s">
        <v>1967</v>
      </c>
      <c r="C953" s="1">
        <f t="shared" ca="1" si="70"/>
        <v>45569</v>
      </c>
      <c r="D953" t="str">
        <f t="shared" ca="1" si="71"/>
        <v>October</v>
      </c>
      <c r="E953" t="s">
        <v>29</v>
      </c>
      <c r="F953" t="s">
        <v>33</v>
      </c>
      <c r="G953" t="str">
        <f t="shared" si="72"/>
        <v>Men</v>
      </c>
      <c r="H953" t="str">
        <f t="shared" ca="1" si="73"/>
        <v>Amazon</v>
      </c>
      <c r="I953">
        <f t="shared" ca="1" si="74"/>
        <v>58</v>
      </c>
      <c r="J953" t="s">
        <v>1968</v>
      </c>
      <c r="K953" t="s">
        <v>27</v>
      </c>
      <c r="L953" t="s">
        <v>101</v>
      </c>
      <c r="M953">
        <v>1</v>
      </c>
      <c r="N953" t="s">
        <v>20</v>
      </c>
      <c r="O953">
        <v>376</v>
      </c>
      <c r="P953" t="s">
        <v>127</v>
      </c>
      <c r="Q953" t="s">
        <v>110</v>
      </c>
      <c r="R953" t="s">
        <v>23</v>
      </c>
    </row>
    <row r="954" spans="1:18" x14ac:dyDescent="0.35">
      <c r="A954">
        <v>952</v>
      </c>
      <c r="B954" t="s">
        <v>1969</v>
      </c>
      <c r="C954" s="1">
        <f t="shared" ca="1" si="70"/>
        <v>45372</v>
      </c>
      <c r="D954" t="str">
        <f t="shared" ca="1" si="71"/>
        <v>March</v>
      </c>
      <c r="E954" t="s">
        <v>29</v>
      </c>
      <c r="F954" t="s">
        <v>33</v>
      </c>
      <c r="G954" t="str">
        <f t="shared" si="72"/>
        <v>Men</v>
      </c>
      <c r="H954" t="str">
        <f t="shared" ca="1" si="73"/>
        <v>Amazon</v>
      </c>
      <c r="I954">
        <f t="shared" ca="1" si="74"/>
        <v>42</v>
      </c>
      <c r="J954" t="s">
        <v>777</v>
      </c>
      <c r="K954" t="s">
        <v>27</v>
      </c>
      <c r="L954" t="s">
        <v>28</v>
      </c>
      <c r="M954">
        <v>1</v>
      </c>
      <c r="N954" t="s">
        <v>20</v>
      </c>
      <c r="O954">
        <v>471</v>
      </c>
      <c r="P954" t="s">
        <v>1970</v>
      </c>
      <c r="Q954" t="s">
        <v>22</v>
      </c>
      <c r="R954" t="s">
        <v>23</v>
      </c>
    </row>
    <row r="955" spans="1:18" x14ac:dyDescent="0.35">
      <c r="A955">
        <v>953</v>
      </c>
      <c r="B955" t="s">
        <v>1971</v>
      </c>
      <c r="C955" s="1">
        <f t="shared" ca="1" si="70"/>
        <v>45468</v>
      </c>
      <c r="D955" t="str">
        <f t="shared" ca="1" si="71"/>
        <v>June</v>
      </c>
      <c r="E955" t="s">
        <v>29</v>
      </c>
      <c r="F955" t="s">
        <v>33</v>
      </c>
      <c r="G955" t="str">
        <f t="shared" si="72"/>
        <v>Men</v>
      </c>
      <c r="H955" t="str">
        <f t="shared" ca="1" si="73"/>
        <v>Amazon</v>
      </c>
      <c r="I955">
        <f t="shared" ca="1" si="74"/>
        <v>28</v>
      </c>
      <c r="J955" t="s">
        <v>1972</v>
      </c>
      <c r="K955" t="s">
        <v>27</v>
      </c>
      <c r="L955" t="s">
        <v>62</v>
      </c>
      <c r="M955">
        <v>1</v>
      </c>
      <c r="N955" t="s">
        <v>20</v>
      </c>
      <c r="O955">
        <v>399</v>
      </c>
      <c r="P955" t="s">
        <v>279</v>
      </c>
      <c r="Q955" t="s">
        <v>223</v>
      </c>
      <c r="R955" t="s">
        <v>23</v>
      </c>
    </row>
    <row r="956" spans="1:18" x14ac:dyDescent="0.35">
      <c r="A956">
        <v>954</v>
      </c>
      <c r="B956" t="s">
        <v>1973</v>
      </c>
      <c r="C956" s="1">
        <f t="shared" ca="1" si="70"/>
        <v>44928</v>
      </c>
      <c r="D956" t="str">
        <f t="shared" ca="1" si="71"/>
        <v>January</v>
      </c>
      <c r="E956" t="s">
        <v>15</v>
      </c>
      <c r="F956" t="s">
        <v>16</v>
      </c>
      <c r="G956" t="str">
        <f t="shared" si="72"/>
        <v>Men</v>
      </c>
      <c r="H956" t="str">
        <f t="shared" ca="1" si="73"/>
        <v>Myntra</v>
      </c>
      <c r="I956">
        <f t="shared" ca="1" si="74"/>
        <v>60</v>
      </c>
      <c r="J956" t="s">
        <v>1974</v>
      </c>
      <c r="K956" t="s">
        <v>27</v>
      </c>
      <c r="L956" t="s">
        <v>40</v>
      </c>
      <c r="M956">
        <v>0</v>
      </c>
      <c r="N956" t="s">
        <v>20</v>
      </c>
      <c r="O956">
        <v>452.38</v>
      </c>
      <c r="P956" t="s">
        <v>388</v>
      </c>
      <c r="Q956" t="s">
        <v>46</v>
      </c>
      <c r="R956" t="s">
        <v>23</v>
      </c>
    </row>
    <row r="957" spans="1:18" x14ac:dyDescent="0.35">
      <c r="A957">
        <v>955</v>
      </c>
      <c r="B957" t="s">
        <v>1975</v>
      </c>
      <c r="C957" s="1">
        <f t="shared" ca="1" si="70"/>
        <v>45495</v>
      </c>
      <c r="D957" t="str">
        <f t="shared" ca="1" si="71"/>
        <v>July</v>
      </c>
      <c r="E957" t="s">
        <v>25</v>
      </c>
      <c r="F957" t="s">
        <v>16</v>
      </c>
      <c r="G957" t="str">
        <f t="shared" si="72"/>
        <v>Women</v>
      </c>
      <c r="H957" t="str">
        <f t="shared" ca="1" si="73"/>
        <v>Flipkart</v>
      </c>
      <c r="I957">
        <f t="shared" ca="1" si="74"/>
        <v>55</v>
      </c>
      <c r="J957" t="s">
        <v>1976</v>
      </c>
      <c r="K957" t="s">
        <v>18</v>
      </c>
      <c r="L957" t="s">
        <v>19</v>
      </c>
      <c r="M957">
        <v>1</v>
      </c>
      <c r="N957" t="s">
        <v>20</v>
      </c>
      <c r="O957">
        <v>1432</v>
      </c>
      <c r="P957" t="s">
        <v>1977</v>
      </c>
      <c r="Q957" t="s">
        <v>153</v>
      </c>
      <c r="R957" t="s">
        <v>23</v>
      </c>
    </row>
    <row r="958" spans="1:18" x14ac:dyDescent="0.35">
      <c r="A958">
        <v>956</v>
      </c>
      <c r="B958" t="s">
        <v>1978</v>
      </c>
      <c r="C958" s="1">
        <f t="shared" ca="1" si="70"/>
        <v>45323</v>
      </c>
      <c r="D958" t="str">
        <f t="shared" ca="1" si="71"/>
        <v>February</v>
      </c>
      <c r="E958" t="s">
        <v>15</v>
      </c>
      <c r="F958" t="s">
        <v>33</v>
      </c>
      <c r="G958" t="str">
        <f t="shared" si="72"/>
        <v>Women</v>
      </c>
      <c r="H958" t="str">
        <f t="shared" ca="1" si="73"/>
        <v>Amazon</v>
      </c>
      <c r="I958">
        <f t="shared" ca="1" si="74"/>
        <v>43</v>
      </c>
      <c r="J958" t="s">
        <v>1376</v>
      </c>
      <c r="K958" t="s">
        <v>18</v>
      </c>
      <c r="L958" t="s">
        <v>40</v>
      </c>
      <c r="M958">
        <v>0</v>
      </c>
      <c r="P958" t="s">
        <v>30</v>
      </c>
      <c r="Q958" t="s">
        <v>31</v>
      </c>
      <c r="R958" t="s">
        <v>23</v>
      </c>
    </row>
    <row r="959" spans="1:18" x14ac:dyDescent="0.35">
      <c r="A959">
        <v>957</v>
      </c>
      <c r="B959" t="s">
        <v>1979</v>
      </c>
      <c r="C959" s="1">
        <f t="shared" ca="1" si="70"/>
        <v>45231</v>
      </c>
      <c r="D959" t="str">
        <f t="shared" ca="1" si="71"/>
        <v>November</v>
      </c>
      <c r="E959" t="s">
        <v>25</v>
      </c>
      <c r="F959" t="s">
        <v>16</v>
      </c>
      <c r="G959" t="str">
        <f t="shared" si="72"/>
        <v>Women</v>
      </c>
      <c r="H959" t="str">
        <f t="shared" ca="1" si="73"/>
        <v>Myntra</v>
      </c>
      <c r="I959">
        <f t="shared" ca="1" si="74"/>
        <v>58</v>
      </c>
      <c r="J959" t="s">
        <v>975</v>
      </c>
      <c r="K959" t="s">
        <v>39</v>
      </c>
      <c r="L959" t="s">
        <v>68</v>
      </c>
      <c r="M959">
        <v>1</v>
      </c>
      <c r="N959" t="s">
        <v>20</v>
      </c>
      <c r="O959">
        <v>725</v>
      </c>
      <c r="P959" t="s">
        <v>1980</v>
      </c>
      <c r="Q959" t="s">
        <v>153</v>
      </c>
      <c r="R959" t="s">
        <v>23</v>
      </c>
    </row>
    <row r="960" spans="1:18" x14ac:dyDescent="0.35">
      <c r="A960">
        <v>958</v>
      </c>
      <c r="B960" t="s">
        <v>1981</v>
      </c>
      <c r="C960" s="1">
        <f t="shared" ca="1" si="70"/>
        <v>45176</v>
      </c>
      <c r="D960" t="str">
        <f t="shared" ca="1" si="71"/>
        <v>September</v>
      </c>
      <c r="E960" t="s">
        <v>29</v>
      </c>
      <c r="F960" t="s">
        <v>33</v>
      </c>
      <c r="G960" t="str">
        <f t="shared" si="72"/>
        <v>Men</v>
      </c>
      <c r="H960" t="str">
        <f t="shared" ca="1" si="73"/>
        <v>Amazon</v>
      </c>
      <c r="I960">
        <f t="shared" ca="1" si="74"/>
        <v>27</v>
      </c>
      <c r="J960" t="s">
        <v>1982</v>
      </c>
      <c r="K960" t="s">
        <v>27</v>
      </c>
      <c r="L960" t="s">
        <v>35</v>
      </c>
      <c r="M960">
        <v>1</v>
      </c>
      <c r="N960" t="s">
        <v>20</v>
      </c>
      <c r="O960">
        <v>499</v>
      </c>
      <c r="P960" t="s">
        <v>21</v>
      </c>
      <c r="Q960" t="s">
        <v>22</v>
      </c>
      <c r="R960" t="s">
        <v>23</v>
      </c>
    </row>
    <row r="961" spans="1:18" x14ac:dyDescent="0.35">
      <c r="A961">
        <v>959</v>
      </c>
      <c r="B961" t="s">
        <v>1983</v>
      </c>
      <c r="C961" s="1">
        <f t="shared" ca="1" si="70"/>
        <v>45007</v>
      </c>
      <c r="D961" t="str">
        <f t="shared" ca="1" si="71"/>
        <v>March</v>
      </c>
      <c r="E961" t="s">
        <v>29</v>
      </c>
      <c r="F961" t="s">
        <v>33</v>
      </c>
      <c r="G961" t="str">
        <f t="shared" si="72"/>
        <v>Men</v>
      </c>
      <c r="H961" t="str">
        <f t="shared" ca="1" si="73"/>
        <v>Amazon</v>
      </c>
      <c r="I961">
        <f t="shared" ca="1" si="74"/>
        <v>41</v>
      </c>
      <c r="J961" t="s">
        <v>777</v>
      </c>
      <c r="K961" t="s">
        <v>27</v>
      </c>
      <c r="L961" t="s">
        <v>28</v>
      </c>
      <c r="M961">
        <v>1</v>
      </c>
      <c r="N961" t="s">
        <v>20</v>
      </c>
      <c r="O961">
        <v>471</v>
      </c>
      <c r="P961" t="s">
        <v>88</v>
      </c>
      <c r="Q961" t="s">
        <v>89</v>
      </c>
      <c r="R961" t="s">
        <v>23</v>
      </c>
    </row>
    <row r="962" spans="1:18" x14ac:dyDescent="0.35">
      <c r="A962">
        <v>960</v>
      </c>
      <c r="B962" t="s">
        <v>1984</v>
      </c>
      <c r="C962" s="1">
        <f t="shared" ca="1" si="70"/>
        <v>45501</v>
      </c>
      <c r="D962" t="str">
        <f t="shared" ca="1" si="71"/>
        <v>July</v>
      </c>
      <c r="E962" t="s">
        <v>15</v>
      </c>
      <c r="F962" t="s">
        <v>33</v>
      </c>
      <c r="G962" t="str">
        <f t="shared" si="72"/>
        <v>Men</v>
      </c>
      <c r="H962" t="str">
        <f t="shared" ca="1" si="73"/>
        <v>Amazon</v>
      </c>
      <c r="I962">
        <f t="shared" ca="1" si="74"/>
        <v>48</v>
      </c>
      <c r="J962" t="s">
        <v>1281</v>
      </c>
      <c r="K962" t="s">
        <v>27</v>
      </c>
      <c r="L962" t="s">
        <v>35</v>
      </c>
      <c r="M962">
        <v>0</v>
      </c>
      <c r="P962" t="s">
        <v>485</v>
      </c>
      <c r="Q962" t="s">
        <v>22</v>
      </c>
      <c r="R962" t="s">
        <v>23</v>
      </c>
    </row>
    <row r="963" spans="1:18" x14ac:dyDescent="0.35">
      <c r="A963">
        <v>961</v>
      </c>
      <c r="B963" t="s">
        <v>1985</v>
      </c>
      <c r="C963" s="1">
        <f t="shared" ref="C963:C1000" ca="1" si="75">RANDBETWEEN(DATE(2023,1,1), DATE(2024,12,31))</f>
        <v>45028</v>
      </c>
      <c r="D963" t="str">
        <f t="shared" ref="D963:D1000" ca="1" si="76">TEXT(C963, "MMMM")</f>
        <v>April</v>
      </c>
      <c r="E963" t="s">
        <v>15</v>
      </c>
      <c r="F963" t="s">
        <v>33</v>
      </c>
      <c r="G963" t="str">
        <f t="shared" ref="G963:G1000" si="77">IF(K963="Set","Women",IF(K963="Kurta","Men",IF(K963="Top","Women",IF(K963="Western Dress","Women",IF(K963="Ethnic Dress","Women",IF(K963="Saree","Women",0))))))</f>
        <v>Women</v>
      </c>
      <c r="H963" t="str">
        <f t="shared" ref="H963:H1000" ca="1" si="78">IF(F963="Merchant",IF(RAND()&gt;0.5,"Myntra","Flipkart"),IF(F963="Amazon","Amazon",0))</f>
        <v>Amazon</v>
      </c>
      <c r="I963">
        <f t="shared" ref="I963:I1000" ca="1" si="79">RANDBETWEEN(18, 60)</f>
        <v>51</v>
      </c>
      <c r="J963" t="s">
        <v>1986</v>
      </c>
      <c r="K963" t="s">
        <v>18</v>
      </c>
      <c r="L963" t="s">
        <v>40</v>
      </c>
      <c r="M963">
        <v>1</v>
      </c>
      <c r="N963" t="s">
        <v>20</v>
      </c>
      <c r="O963">
        <v>449</v>
      </c>
      <c r="P963" t="s">
        <v>122</v>
      </c>
      <c r="Q963" t="s">
        <v>22</v>
      </c>
      <c r="R963" t="s">
        <v>23</v>
      </c>
    </row>
    <row r="964" spans="1:18" x14ac:dyDescent="0.35">
      <c r="A964">
        <v>962</v>
      </c>
      <c r="B964" t="s">
        <v>1987</v>
      </c>
      <c r="C964" s="1">
        <f t="shared" ca="1" si="75"/>
        <v>45565</v>
      </c>
      <c r="D964" t="str">
        <f t="shared" ca="1" si="76"/>
        <v>September</v>
      </c>
      <c r="E964" t="s">
        <v>29</v>
      </c>
      <c r="F964" t="s">
        <v>33</v>
      </c>
      <c r="G964" t="str">
        <f t="shared" si="77"/>
        <v>Women</v>
      </c>
      <c r="H964" t="str">
        <f t="shared" ca="1" si="78"/>
        <v>Amazon</v>
      </c>
      <c r="I964">
        <f t="shared" ca="1" si="79"/>
        <v>50</v>
      </c>
      <c r="J964" t="s">
        <v>255</v>
      </c>
      <c r="K964" t="s">
        <v>18</v>
      </c>
      <c r="L964" t="s">
        <v>28</v>
      </c>
      <c r="M964">
        <v>1</v>
      </c>
      <c r="N964" t="s">
        <v>20</v>
      </c>
      <c r="O964">
        <v>684</v>
      </c>
      <c r="P964" t="s">
        <v>313</v>
      </c>
      <c r="Q964" t="s">
        <v>161</v>
      </c>
      <c r="R964" t="s">
        <v>23</v>
      </c>
    </row>
    <row r="965" spans="1:18" x14ac:dyDescent="0.35">
      <c r="A965">
        <v>963</v>
      </c>
      <c r="B965" t="s">
        <v>1988</v>
      </c>
      <c r="C965" s="1">
        <f t="shared" ca="1" si="75"/>
        <v>44963</v>
      </c>
      <c r="D965" t="str">
        <f t="shared" ca="1" si="76"/>
        <v>February</v>
      </c>
      <c r="E965" t="s">
        <v>29</v>
      </c>
      <c r="F965" t="s">
        <v>33</v>
      </c>
      <c r="G965" t="str">
        <f t="shared" si="77"/>
        <v>Women</v>
      </c>
      <c r="H965" t="str">
        <f t="shared" ca="1" si="78"/>
        <v>Amazon</v>
      </c>
      <c r="I965">
        <f t="shared" ca="1" si="79"/>
        <v>42</v>
      </c>
      <c r="J965" t="s">
        <v>1989</v>
      </c>
      <c r="K965" t="s">
        <v>44</v>
      </c>
      <c r="L965" t="s">
        <v>19</v>
      </c>
      <c r="M965">
        <v>1</v>
      </c>
      <c r="N965" t="s">
        <v>20</v>
      </c>
      <c r="O965">
        <v>545</v>
      </c>
      <c r="P965" t="s">
        <v>932</v>
      </c>
      <c r="Q965" t="s">
        <v>357</v>
      </c>
      <c r="R965" t="s">
        <v>23</v>
      </c>
    </row>
    <row r="966" spans="1:18" x14ac:dyDescent="0.35">
      <c r="A966">
        <v>964</v>
      </c>
      <c r="B966" t="s">
        <v>1990</v>
      </c>
      <c r="C966" s="1">
        <f t="shared" ca="1" si="75"/>
        <v>44955</v>
      </c>
      <c r="D966" t="str">
        <f t="shared" ca="1" si="76"/>
        <v>January</v>
      </c>
      <c r="E966" t="s">
        <v>29</v>
      </c>
      <c r="F966" t="s">
        <v>33</v>
      </c>
      <c r="G966" t="str">
        <f t="shared" si="77"/>
        <v>Women</v>
      </c>
      <c r="H966" t="str">
        <f t="shared" ca="1" si="78"/>
        <v>Amazon</v>
      </c>
      <c r="I966">
        <f t="shared" ca="1" si="79"/>
        <v>31</v>
      </c>
      <c r="J966" t="s">
        <v>1989</v>
      </c>
      <c r="K966" t="s">
        <v>44</v>
      </c>
      <c r="L966" t="s">
        <v>19</v>
      </c>
      <c r="M966">
        <v>1</v>
      </c>
      <c r="N966" t="s">
        <v>20</v>
      </c>
      <c r="O966">
        <v>545</v>
      </c>
      <c r="P966" t="s">
        <v>1991</v>
      </c>
      <c r="Q966" t="s">
        <v>85</v>
      </c>
      <c r="R966" t="s">
        <v>23</v>
      </c>
    </row>
    <row r="967" spans="1:18" x14ac:dyDescent="0.35">
      <c r="A967">
        <v>965</v>
      </c>
      <c r="B967" t="s">
        <v>1992</v>
      </c>
      <c r="C967" s="1">
        <f t="shared" ca="1" si="75"/>
        <v>45582</v>
      </c>
      <c r="D967" t="str">
        <f t="shared" ca="1" si="76"/>
        <v>October</v>
      </c>
      <c r="E967" t="s">
        <v>29</v>
      </c>
      <c r="F967" t="s">
        <v>33</v>
      </c>
      <c r="G967" t="s">
        <v>2051</v>
      </c>
      <c r="H967" t="str">
        <f t="shared" ca="1" si="78"/>
        <v>Amazon</v>
      </c>
      <c r="I967">
        <f t="shared" ca="1" si="79"/>
        <v>57</v>
      </c>
      <c r="J967" t="s">
        <v>1993</v>
      </c>
      <c r="K967" t="s">
        <v>1087</v>
      </c>
      <c r="L967" t="s">
        <v>1030</v>
      </c>
      <c r="M967">
        <v>1</v>
      </c>
      <c r="N967" t="s">
        <v>20</v>
      </c>
      <c r="O967">
        <v>419</v>
      </c>
      <c r="P967" t="s">
        <v>1994</v>
      </c>
      <c r="Q967" t="s">
        <v>50</v>
      </c>
      <c r="R967" t="s">
        <v>23</v>
      </c>
    </row>
    <row r="968" spans="1:18" x14ac:dyDescent="0.35">
      <c r="A968">
        <v>966</v>
      </c>
      <c r="B968" t="s">
        <v>1995</v>
      </c>
      <c r="C968" s="1">
        <f t="shared" ca="1" si="75"/>
        <v>44985</v>
      </c>
      <c r="D968" t="str">
        <f t="shared" ca="1" si="76"/>
        <v>February</v>
      </c>
      <c r="E968" t="s">
        <v>15</v>
      </c>
      <c r="F968" t="s">
        <v>33</v>
      </c>
      <c r="G968" t="str">
        <f t="shared" si="77"/>
        <v>Men</v>
      </c>
      <c r="H968" t="str">
        <f t="shared" ca="1" si="78"/>
        <v>Amazon</v>
      </c>
      <c r="I968">
        <f t="shared" ca="1" si="79"/>
        <v>27</v>
      </c>
      <c r="J968" t="s">
        <v>1968</v>
      </c>
      <c r="K968" t="s">
        <v>27</v>
      </c>
      <c r="L968" t="s">
        <v>101</v>
      </c>
      <c r="M968">
        <v>0</v>
      </c>
      <c r="P968" t="s">
        <v>127</v>
      </c>
      <c r="Q968" t="s">
        <v>110</v>
      </c>
      <c r="R968" t="s">
        <v>23</v>
      </c>
    </row>
    <row r="969" spans="1:18" x14ac:dyDescent="0.35">
      <c r="A969">
        <v>967</v>
      </c>
      <c r="B969" t="s">
        <v>1996</v>
      </c>
      <c r="C969" s="1">
        <f t="shared" ca="1" si="75"/>
        <v>45162</v>
      </c>
      <c r="D969" t="str">
        <f t="shared" ca="1" si="76"/>
        <v>August</v>
      </c>
      <c r="E969" t="s">
        <v>29</v>
      </c>
      <c r="F969" t="s">
        <v>33</v>
      </c>
      <c r="G969" t="str">
        <f t="shared" si="77"/>
        <v>Women</v>
      </c>
      <c r="H969" t="str">
        <f t="shared" ca="1" si="78"/>
        <v>Amazon</v>
      </c>
      <c r="I969">
        <f t="shared" ca="1" si="79"/>
        <v>41</v>
      </c>
      <c r="J969" t="s">
        <v>1997</v>
      </c>
      <c r="K969" t="s">
        <v>18</v>
      </c>
      <c r="L969" t="s">
        <v>62</v>
      </c>
      <c r="M969">
        <v>1</v>
      </c>
      <c r="N969" t="s">
        <v>20</v>
      </c>
      <c r="O969">
        <v>696</v>
      </c>
      <c r="P969" t="s">
        <v>1998</v>
      </c>
      <c r="Q969" t="s">
        <v>31</v>
      </c>
      <c r="R969" t="s">
        <v>23</v>
      </c>
    </row>
    <row r="970" spans="1:18" x14ac:dyDescent="0.35">
      <c r="A970">
        <v>968</v>
      </c>
      <c r="B970" t="s">
        <v>1999</v>
      </c>
      <c r="C970" s="1">
        <f t="shared" ca="1" si="75"/>
        <v>44974</v>
      </c>
      <c r="D970" t="str">
        <f t="shared" ca="1" si="76"/>
        <v>February</v>
      </c>
      <c r="E970" t="s">
        <v>15</v>
      </c>
      <c r="F970" t="s">
        <v>33</v>
      </c>
      <c r="G970" t="str">
        <f t="shared" si="77"/>
        <v>Women</v>
      </c>
      <c r="H970" t="str">
        <f t="shared" ca="1" si="78"/>
        <v>Amazon</v>
      </c>
      <c r="I970">
        <f t="shared" ca="1" si="79"/>
        <v>56</v>
      </c>
      <c r="J970" t="s">
        <v>1989</v>
      </c>
      <c r="K970" t="s">
        <v>44</v>
      </c>
      <c r="L970" t="s">
        <v>19</v>
      </c>
      <c r="M970">
        <v>0</v>
      </c>
      <c r="P970" t="s">
        <v>932</v>
      </c>
      <c r="Q970" t="s">
        <v>357</v>
      </c>
      <c r="R970" t="s">
        <v>23</v>
      </c>
    </row>
    <row r="971" spans="1:18" x14ac:dyDescent="0.35">
      <c r="A971">
        <v>969</v>
      </c>
      <c r="B971" t="s">
        <v>2000</v>
      </c>
      <c r="C971" s="1">
        <f t="shared" ca="1" si="75"/>
        <v>45075</v>
      </c>
      <c r="D971" t="str">
        <f t="shared" ca="1" si="76"/>
        <v>May</v>
      </c>
      <c r="E971" t="s">
        <v>15</v>
      </c>
      <c r="F971" t="s">
        <v>33</v>
      </c>
      <c r="G971" t="str">
        <f t="shared" si="77"/>
        <v>Women</v>
      </c>
      <c r="H971" t="str">
        <f t="shared" ca="1" si="78"/>
        <v>Amazon</v>
      </c>
      <c r="I971">
        <f t="shared" ca="1" si="79"/>
        <v>25</v>
      </c>
      <c r="J971" t="s">
        <v>2001</v>
      </c>
      <c r="K971" t="s">
        <v>18</v>
      </c>
      <c r="L971" t="s">
        <v>28</v>
      </c>
      <c r="M971">
        <v>0</v>
      </c>
      <c r="P971" t="s">
        <v>785</v>
      </c>
      <c r="Q971" t="s">
        <v>264</v>
      </c>
      <c r="R971" t="s">
        <v>23</v>
      </c>
    </row>
    <row r="972" spans="1:18" x14ac:dyDescent="0.35">
      <c r="A972">
        <v>970</v>
      </c>
      <c r="B972" t="s">
        <v>2002</v>
      </c>
      <c r="C972" s="1">
        <f t="shared" ca="1" si="75"/>
        <v>45555</v>
      </c>
      <c r="D972" t="str">
        <f t="shared" ca="1" si="76"/>
        <v>September</v>
      </c>
      <c r="E972" t="s">
        <v>29</v>
      </c>
      <c r="F972" t="s">
        <v>33</v>
      </c>
      <c r="G972" t="str">
        <f t="shared" si="77"/>
        <v>Men</v>
      </c>
      <c r="H972" t="str">
        <f t="shared" ca="1" si="78"/>
        <v>Amazon</v>
      </c>
      <c r="I972">
        <f t="shared" ca="1" si="79"/>
        <v>29</v>
      </c>
      <c r="J972" t="s">
        <v>628</v>
      </c>
      <c r="K972" t="s">
        <v>27</v>
      </c>
      <c r="L972" t="s">
        <v>68</v>
      </c>
      <c r="M972">
        <v>1</v>
      </c>
      <c r="N972" t="s">
        <v>20</v>
      </c>
      <c r="O972">
        <v>399</v>
      </c>
      <c r="P972" t="s">
        <v>2003</v>
      </c>
      <c r="Q972" t="s">
        <v>22</v>
      </c>
      <c r="R972" t="s">
        <v>23</v>
      </c>
    </row>
    <row r="973" spans="1:18" x14ac:dyDescent="0.35">
      <c r="A973">
        <v>971</v>
      </c>
      <c r="B973" t="s">
        <v>2004</v>
      </c>
      <c r="C973" s="1">
        <f t="shared" ca="1" si="75"/>
        <v>45196</v>
      </c>
      <c r="D973" t="str">
        <f t="shared" ca="1" si="76"/>
        <v>September</v>
      </c>
      <c r="E973" t="s">
        <v>633</v>
      </c>
      <c r="F973" t="s">
        <v>16</v>
      </c>
      <c r="G973" t="str">
        <f t="shared" si="77"/>
        <v>Women</v>
      </c>
      <c r="H973" t="str">
        <f t="shared" ca="1" si="78"/>
        <v>Flipkart</v>
      </c>
      <c r="I973">
        <f t="shared" ca="1" si="79"/>
        <v>49</v>
      </c>
      <c r="J973" t="s">
        <v>2005</v>
      </c>
      <c r="K973" t="s">
        <v>18</v>
      </c>
      <c r="L973" t="s">
        <v>28</v>
      </c>
      <c r="M973">
        <v>1</v>
      </c>
      <c r="N973" t="s">
        <v>20</v>
      </c>
      <c r="O973">
        <v>613</v>
      </c>
      <c r="P973" t="s">
        <v>88</v>
      </c>
      <c r="Q973" t="s">
        <v>89</v>
      </c>
      <c r="R973" t="s">
        <v>23</v>
      </c>
    </row>
    <row r="974" spans="1:18" x14ac:dyDescent="0.35">
      <c r="A974">
        <v>972</v>
      </c>
      <c r="B974" t="s">
        <v>2006</v>
      </c>
      <c r="C974" s="1">
        <f t="shared" ca="1" si="75"/>
        <v>44946</v>
      </c>
      <c r="D974" t="str">
        <f t="shared" ca="1" si="76"/>
        <v>January</v>
      </c>
      <c r="E974" t="s">
        <v>29</v>
      </c>
      <c r="F974" t="s">
        <v>33</v>
      </c>
      <c r="G974" t="str">
        <f t="shared" si="77"/>
        <v>Women</v>
      </c>
      <c r="H974" t="str">
        <f t="shared" ca="1" si="78"/>
        <v>Amazon</v>
      </c>
      <c r="I974">
        <f t="shared" ca="1" si="79"/>
        <v>48</v>
      </c>
      <c r="J974" t="s">
        <v>568</v>
      </c>
      <c r="K974" t="s">
        <v>18</v>
      </c>
      <c r="L974" t="s">
        <v>28</v>
      </c>
      <c r="M974">
        <v>1</v>
      </c>
      <c r="N974" t="s">
        <v>20</v>
      </c>
      <c r="O974">
        <v>654</v>
      </c>
      <c r="P974" t="s">
        <v>30</v>
      </c>
      <c r="Q974" t="s">
        <v>31</v>
      </c>
      <c r="R974" t="s">
        <v>23</v>
      </c>
    </row>
    <row r="975" spans="1:18" x14ac:dyDescent="0.35">
      <c r="A975">
        <v>973</v>
      </c>
      <c r="B975" t="s">
        <v>2007</v>
      </c>
      <c r="C975" s="1">
        <f t="shared" ca="1" si="75"/>
        <v>45091</v>
      </c>
      <c r="D975" t="str">
        <f t="shared" ca="1" si="76"/>
        <v>June</v>
      </c>
      <c r="E975" t="s">
        <v>29</v>
      </c>
      <c r="F975" t="s">
        <v>33</v>
      </c>
      <c r="G975" t="str">
        <f t="shared" si="77"/>
        <v>Women</v>
      </c>
      <c r="H975" t="str">
        <f t="shared" ca="1" si="78"/>
        <v>Amazon</v>
      </c>
      <c r="I975">
        <f t="shared" ca="1" si="79"/>
        <v>29</v>
      </c>
      <c r="J975" t="s">
        <v>2008</v>
      </c>
      <c r="K975" t="s">
        <v>44</v>
      </c>
      <c r="L975" t="s">
        <v>35</v>
      </c>
      <c r="M975">
        <v>1</v>
      </c>
      <c r="N975" t="s">
        <v>20</v>
      </c>
      <c r="O975">
        <v>487</v>
      </c>
      <c r="P975" t="s">
        <v>88</v>
      </c>
      <c r="Q975" t="s">
        <v>89</v>
      </c>
      <c r="R975" t="s">
        <v>23</v>
      </c>
    </row>
    <row r="976" spans="1:18" x14ac:dyDescent="0.35">
      <c r="A976">
        <v>974</v>
      </c>
      <c r="B976" t="s">
        <v>2009</v>
      </c>
      <c r="C976" s="1">
        <f t="shared" ca="1" si="75"/>
        <v>45562</v>
      </c>
      <c r="D976" t="str">
        <f t="shared" ca="1" si="76"/>
        <v>September</v>
      </c>
      <c r="E976" t="s">
        <v>29</v>
      </c>
      <c r="F976" t="s">
        <v>33</v>
      </c>
      <c r="G976" t="str">
        <f t="shared" si="77"/>
        <v>Women</v>
      </c>
      <c r="H976" t="str">
        <f t="shared" ca="1" si="78"/>
        <v>Amazon</v>
      </c>
      <c r="I976">
        <f t="shared" ca="1" si="79"/>
        <v>53</v>
      </c>
      <c r="J976" t="s">
        <v>1423</v>
      </c>
      <c r="K976" t="s">
        <v>39</v>
      </c>
      <c r="L976" t="s">
        <v>62</v>
      </c>
      <c r="M976">
        <v>1</v>
      </c>
      <c r="N976" t="s">
        <v>20</v>
      </c>
      <c r="O976">
        <v>744</v>
      </c>
      <c r="P976" t="s">
        <v>2010</v>
      </c>
      <c r="Q976" t="s">
        <v>57</v>
      </c>
      <c r="R976" t="s">
        <v>23</v>
      </c>
    </row>
    <row r="977" spans="1:18" x14ac:dyDescent="0.35">
      <c r="A977">
        <v>975</v>
      </c>
      <c r="B977" t="s">
        <v>2011</v>
      </c>
      <c r="C977" s="1">
        <f t="shared" ca="1" si="75"/>
        <v>44936</v>
      </c>
      <c r="D977" t="str">
        <f t="shared" ca="1" si="76"/>
        <v>January</v>
      </c>
      <c r="E977" t="s">
        <v>25</v>
      </c>
      <c r="F977" t="s">
        <v>16</v>
      </c>
      <c r="G977" t="str">
        <f t="shared" si="77"/>
        <v>Men</v>
      </c>
      <c r="H977" t="str">
        <f t="shared" ca="1" si="78"/>
        <v>Myntra</v>
      </c>
      <c r="I977">
        <f t="shared" ca="1" si="79"/>
        <v>60</v>
      </c>
      <c r="J977" t="s">
        <v>2012</v>
      </c>
      <c r="K977" t="s">
        <v>27</v>
      </c>
      <c r="L977" t="s">
        <v>35</v>
      </c>
      <c r="M977">
        <v>1</v>
      </c>
      <c r="N977" t="s">
        <v>20</v>
      </c>
      <c r="O977">
        <v>499</v>
      </c>
      <c r="P977" t="s">
        <v>213</v>
      </c>
      <c r="Q977" t="s">
        <v>22</v>
      </c>
      <c r="R977" t="s">
        <v>23</v>
      </c>
    </row>
    <row r="978" spans="1:18" x14ac:dyDescent="0.35">
      <c r="A978">
        <v>976</v>
      </c>
      <c r="B978" t="s">
        <v>2011</v>
      </c>
      <c r="C978" s="1">
        <f t="shared" ca="1" si="75"/>
        <v>45574</v>
      </c>
      <c r="D978" t="str">
        <f t="shared" ca="1" si="76"/>
        <v>October</v>
      </c>
      <c r="E978" t="s">
        <v>25</v>
      </c>
      <c r="F978" t="s">
        <v>16</v>
      </c>
      <c r="G978" t="str">
        <f t="shared" si="77"/>
        <v>Men</v>
      </c>
      <c r="H978" t="str">
        <f t="shared" ca="1" si="78"/>
        <v>Flipkart</v>
      </c>
      <c r="I978">
        <f t="shared" ca="1" si="79"/>
        <v>54</v>
      </c>
      <c r="J978" t="s">
        <v>2013</v>
      </c>
      <c r="K978" t="s">
        <v>27</v>
      </c>
      <c r="L978" t="s">
        <v>35</v>
      </c>
      <c r="M978">
        <v>1</v>
      </c>
      <c r="N978" t="s">
        <v>20</v>
      </c>
      <c r="O978">
        <v>499</v>
      </c>
      <c r="P978" t="s">
        <v>213</v>
      </c>
      <c r="Q978" t="s">
        <v>22</v>
      </c>
      <c r="R978" t="s">
        <v>23</v>
      </c>
    </row>
    <row r="979" spans="1:18" x14ac:dyDescent="0.35">
      <c r="A979">
        <v>977</v>
      </c>
      <c r="B979" t="s">
        <v>2014</v>
      </c>
      <c r="C979" s="1">
        <f t="shared" ca="1" si="75"/>
        <v>45019</v>
      </c>
      <c r="D979" t="str">
        <f t="shared" ca="1" si="76"/>
        <v>April</v>
      </c>
      <c r="E979" t="s">
        <v>29</v>
      </c>
      <c r="F979" t="s">
        <v>33</v>
      </c>
      <c r="G979" t="str">
        <f t="shared" si="77"/>
        <v>Men</v>
      </c>
      <c r="H979" t="str">
        <f t="shared" ca="1" si="78"/>
        <v>Amazon</v>
      </c>
      <c r="I979">
        <f t="shared" ca="1" si="79"/>
        <v>41</v>
      </c>
      <c r="J979" t="s">
        <v>2015</v>
      </c>
      <c r="K979" t="s">
        <v>27</v>
      </c>
      <c r="L979" t="s">
        <v>40</v>
      </c>
      <c r="M979">
        <v>1</v>
      </c>
      <c r="N979" t="s">
        <v>20</v>
      </c>
      <c r="O979">
        <v>406</v>
      </c>
      <c r="P979" t="s">
        <v>56</v>
      </c>
      <c r="Q979" t="s">
        <v>57</v>
      </c>
      <c r="R979" t="s">
        <v>23</v>
      </c>
    </row>
    <row r="980" spans="1:18" x14ac:dyDescent="0.35">
      <c r="A980">
        <v>978</v>
      </c>
      <c r="B980" t="s">
        <v>2014</v>
      </c>
      <c r="C980" s="1">
        <f t="shared" ca="1" si="75"/>
        <v>44994</v>
      </c>
      <c r="D980" t="str">
        <f t="shared" ca="1" si="76"/>
        <v>March</v>
      </c>
      <c r="E980" t="s">
        <v>29</v>
      </c>
      <c r="F980" t="s">
        <v>33</v>
      </c>
      <c r="G980" t="str">
        <f t="shared" si="77"/>
        <v>Women</v>
      </c>
      <c r="H980" t="str">
        <f t="shared" ca="1" si="78"/>
        <v>Amazon</v>
      </c>
      <c r="I980">
        <f t="shared" ca="1" si="79"/>
        <v>58</v>
      </c>
      <c r="J980" t="s">
        <v>2016</v>
      </c>
      <c r="K980" t="s">
        <v>18</v>
      </c>
      <c r="L980" t="s">
        <v>40</v>
      </c>
      <c r="M980">
        <v>1</v>
      </c>
      <c r="N980" t="s">
        <v>20</v>
      </c>
      <c r="O980">
        <v>737</v>
      </c>
      <c r="P980" t="s">
        <v>56</v>
      </c>
      <c r="Q980" t="s">
        <v>57</v>
      </c>
      <c r="R980" t="s">
        <v>23</v>
      </c>
    </row>
    <row r="981" spans="1:18" x14ac:dyDescent="0.35">
      <c r="A981">
        <v>979</v>
      </c>
      <c r="B981" t="s">
        <v>2017</v>
      </c>
      <c r="C981" s="1">
        <f t="shared" ca="1" si="75"/>
        <v>45246</v>
      </c>
      <c r="D981" t="str">
        <f t="shared" ca="1" si="76"/>
        <v>November</v>
      </c>
      <c r="E981" t="s">
        <v>29</v>
      </c>
      <c r="F981" t="s">
        <v>33</v>
      </c>
      <c r="G981" t="str">
        <f t="shared" si="77"/>
        <v>Women</v>
      </c>
      <c r="H981" t="str">
        <f t="shared" ca="1" si="78"/>
        <v>Amazon</v>
      </c>
      <c r="I981">
        <f t="shared" ca="1" si="79"/>
        <v>18</v>
      </c>
      <c r="J981" t="s">
        <v>2018</v>
      </c>
      <c r="K981" t="s">
        <v>18</v>
      </c>
      <c r="L981" t="s">
        <v>40</v>
      </c>
      <c r="M981">
        <v>1</v>
      </c>
      <c r="N981" t="s">
        <v>20</v>
      </c>
      <c r="O981">
        <v>648</v>
      </c>
      <c r="P981" t="s">
        <v>56</v>
      </c>
      <c r="Q981" t="s">
        <v>57</v>
      </c>
      <c r="R981" t="s">
        <v>23</v>
      </c>
    </row>
    <row r="982" spans="1:18" x14ac:dyDescent="0.35">
      <c r="A982">
        <v>980</v>
      </c>
      <c r="B982" t="s">
        <v>2019</v>
      </c>
      <c r="C982" s="1">
        <f t="shared" ca="1" si="75"/>
        <v>45472</v>
      </c>
      <c r="D982" t="str">
        <f t="shared" ca="1" si="76"/>
        <v>June</v>
      </c>
      <c r="E982" t="s">
        <v>25</v>
      </c>
      <c r="F982" t="s">
        <v>16</v>
      </c>
      <c r="G982" t="str">
        <f t="shared" si="77"/>
        <v>Women</v>
      </c>
      <c r="H982" t="str">
        <f t="shared" ca="1" si="78"/>
        <v>Flipkart</v>
      </c>
      <c r="I982">
        <f t="shared" ca="1" si="79"/>
        <v>41</v>
      </c>
      <c r="J982" t="s">
        <v>2020</v>
      </c>
      <c r="K982" t="s">
        <v>156</v>
      </c>
      <c r="L982" t="s">
        <v>35</v>
      </c>
      <c r="M982">
        <v>1</v>
      </c>
      <c r="N982" t="s">
        <v>20</v>
      </c>
      <c r="O982">
        <v>783</v>
      </c>
      <c r="P982" t="s">
        <v>56</v>
      </c>
      <c r="Q982" t="s">
        <v>57</v>
      </c>
      <c r="R982" t="s">
        <v>23</v>
      </c>
    </row>
    <row r="983" spans="1:18" x14ac:dyDescent="0.35">
      <c r="A983">
        <v>981</v>
      </c>
      <c r="B983" t="s">
        <v>2021</v>
      </c>
      <c r="C983" s="1">
        <f t="shared" ca="1" si="75"/>
        <v>45497</v>
      </c>
      <c r="D983" t="str">
        <f t="shared" ca="1" si="76"/>
        <v>July</v>
      </c>
      <c r="E983" t="s">
        <v>29</v>
      </c>
      <c r="F983" t="s">
        <v>33</v>
      </c>
      <c r="G983" t="str">
        <f t="shared" si="77"/>
        <v>Women</v>
      </c>
      <c r="H983" t="str">
        <f t="shared" ca="1" si="78"/>
        <v>Amazon</v>
      </c>
      <c r="I983">
        <f t="shared" ca="1" si="79"/>
        <v>21</v>
      </c>
      <c r="J983" t="s">
        <v>274</v>
      </c>
      <c r="K983" t="s">
        <v>39</v>
      </c>
      <c r="L983" t="s">
        <v>35</v>
      </c>
      <c r="M983">
        <v>1</v>
      </c>
      <c r="N983" t="s">
        <v>20</v>
      </c>
      <c r="O983">
        <v>744</v>
      </c>
      <c r="P983" t="s">
        <v>56</v>
      </c>
      <c r="Q983" t="s">
        <v>57</v>
      </c>
      <c r="R983" t="s">
        <v>23</v>
      </c>
    </row>
    <row r="984" spans="1:18" x14ac:dyDescent="0.35">
      <c r="A984">
        <v>982</v>
      </c>
      <c r="B984" t="s">
        <v>2022</v>
      </c>
      <c r="C984" s="1">
        <f t="shared" ca="1" si="75"/>
        <v>44931</v>
      </c>
      <c r="D984" t="str">
        <f t="shared" ca="1" si="76"/>
        <v>January</v>
      </c>
      <c r="E984" t="s">
        <v>29</v>
      </c>
      <c r="F984" t="s">
        <v>33</v>
      </c>
      <c r="G984" t="str">
        <f t="shared" si="77"/>
        <v>Women</v>
      </c>
      <c r="H984" t="str">
        <f t="shared" ca="1" si="78"/>
        <v>Amazon</v>
      </c>
      <c r="I984">
        <f t="shared" ca="1" si="79"/>
        <v>32</v>
      </c>
      <c r="J984" t="s">
        <v>802</v>
      </c>
      <c r="K984" t="s">
        <v>39</v>
      </c>
      <c r="L984" t="s">
        <v>68</v>
      </c>
      <c r="M984">
        <v>1</v>
      </c>
      <c r="N984" t="s">
        <v>20</v>
      </c>
      <c r="O984">
        <v>744</v>
      </c>
      <c r="P984" t="s">
        <v>2023</v>
      </c>
      <c r="Q984" t="s">
        <v>46</v>
      </c>
      <c r="R984" t="s">
        <v>23</v>
      </c>
    </row>
    <row r="985" spans="1:18" x14ac:dyDescent="0.35">
      <c r="A985">
        <v>983</v>
      </c>
      <c r="B985" t="s">
        <v>2024</v>
      </c>
      <c r="C985" s="1">
        <f t="shared" ca="1" si="75"/>
        <v>45643</v>
      </c>
      <c r="D985" t="str">
        <f t="shared" ca="1" si="76"/>
        <v>December</v>
      </c>
      <c r="E985" t="s">
        <v>25</v>
      </c>
      <c r="F985" t="s">
        <v>16</v>
      </c>
      <c r="G985" t="str">
        <f t="shared" si="77"/>
        <v>Women</v>
      </c>
      <c r="H985" t="str">
        <f t="shared" ca="1" si="78"/>
        <v>Flipkart</v>
      </c>
      <c r="I985">
        <f t="shared" ca="1" si="79"/>
        <v>54</v>
      </c>
      <c r="J985" t="s">
        <v>2025</v>
      </c>
      <c r="K985" t="s">
        <v>18</v>
      </c>
      <c r="L985" t="s">
        <v>35</v>
      </c>
      <c r="M985">
        <v>1</v>
      </c>
      <c r="N985" t="s">
        <v>20</v>
      </c>
      <c r="O985">
        <v>653</v>
      </c>
      <c r="P985" t="s">
        <v>388</v>
      </c>
      <c r="Q985" t="s">
        <v>46</v>
      </c>
      <c r="R985" t="s">
        <v>23</v>
      </c>
    </row>
    <row r="986" spans="1:18" x14ac:dyDescent="0.35">
      <c r="A986">
        <v>984</v>
      </c>
      <c r="B986" t="s">
        <v>2026</v>
      </c>
      <c r="C986" s="1">
        <f t="shared" ca="1" si="75"/>
        <v>45431</v>
      </c>
      <c r="D986" t="str">
        <f t="shared" ca="1" si="76"/>
        <v>May</v>
      </c>
      <c r="E986" t="s">
        <v>29</v>
      </c>
      <c r="F986" t="s">
        <v>33</v>
      </c>
      <c r="G986" t="str">
        <f t="shared" si="77"/>
        <v>Women</v>
      </c>
      <c r="H986" t="str">
        <f t="shared" ca="1" si="78"/>
        <v>Amazon</v>
      </c>
      <c r="I986">
        <f t="shared" ca="1" si="79"/>
        <v>24</v>
      </c>
      <c r="J986" t="s">
        <v>1289</v>
      </c>
      <c r="K986" t="s">
        <v>18</v>
      </c>
      <c r="L986" t="s">
        <v>19</v>
      </c>
      <c r="M986">
        <v>1</v>
      </c>
      <c r="N986" t="s">
        <v>20</v>
      </c>
      <c r="O986">
        <v>788</v>
      </c>
      <c r="P986" t="s">
        <v>2027</v>
      </c>
      <c r="Q986" t="s">
        <v>22</v>
      </c>
      <c r="R986" t="s">
        <v>23</v>
      </c>
    </row>
    <row r="987" spans="1:18" x14ac:dyDescent="0.35">
      <c r="A987">
        <v>985</v>
      </c>
      <c r="B987" t="s">
        <v>2028</v>
      </c>
      <c r="C987" s="1">
        <f t="shared" ca="1" si="75"/>
        <v>45249</v>
      </c>
      <c r="D987" t="str">
        <f t="shared" ca="1" si="76"/>
        <v>November</v>
      </c>
      <c r="E987" t="s">
        <v>29</v>
      </c>
      <c r="F987" t="s">
        <v>33</v>
      </c>
      <c r="G987" t="str">
        <f t="shared" si="77"/>
        <v>Women</v>
      </c>
      <c r="H987" t="str">
        <f t="shared" ca="1" si="78"/>
        <v>Amazon</v>
      </c>
      <c r="I987">
        <f t="shared" ca="1" si="79"/>
        <v>44</v>
      </c>
      <c r="J987" t="s">
        <v>1207</v>
      </c>
      <c r="K987" t="s">
        <v>18</v>
      </c>
      <c r="L987" t="s">
        <v>68</v>
      </c>
      <c r="M987">
        <v>1</v>
      </c>
      <c r="N987" t="s">
        <v>20</v>
      </c>
      <c r="O987">
        <v>1221</v>
      </c>
      <c r="P987" t="s">
        <v>720</v>
      </c>
      <c r="Q987" t="s">
        <v>57</v>
      </c>
      <c r="R987" t="s">
        <v>23</v>
      </c>
    </row>
    <row r="988" spans="1:18" x14ac:dyDescent="0.35">
      <c r="A988">
        <v>986</v>
      </c>
      <c r="B988" t="s">
        <v>2029</v>
      </c>
      <c r="C988" s="1">
        <f t="shared" ca="1" si="75"/>
        <v>45507</v>
      </c>
      <c r="D988" t="str">
        <f t="shared" ca="1" si="76"/>
        <v>August</v>
      </c>
      <c r="E988" t="s">
        <v>25</v>
      </c>
      <c r="F988" t="s">
        <v>16</v>
      </c>
      <c r="G988" t="str">
        <f t="shared" si="77"/>
        <v>Women</v>
      </c>
      <c r="H988" t="str">
        <f t="shared" ca="1" si="78"/>
        <v>Myntra</v>
      </c>
      <c r="I988">
        <f t="shared" ca="1" si="79"/>
        <v>23</v>
      </c>
      <c r="J988" t="s">
        <v>2030</v>
      </c>
      <c r="K988" t="s">
        <v>18</v>
      </c>
      <c r="L988" t="s">
        <v>62</v>
      </c>
      <c r="M988">
        <v>1</v>
      </c>
      <c r="N988" t="s">
        <v>20</v>
      </c>
      <c r="O988">
        <v>0</v>
      </c>
      <c r="P988" t="s">
        <v>2031</v>
      </c>
      <c r="Q988" t="s">
        <v>31</v>
      </c>
      <c r="R988" t="s">
        <v>23</v>
      </c>
    </row>
    <row r="989" spans="1:18" x14ac:dyDescent="0.35">
      <c r="A989">
        <v>987</v>
      </c>
      <c r="B989" t="s">
        <v>2032</v>
      </c>
      <c r="C989" s="1">
        <f t="shared" ca="1" si="75"/>
        <v>45300</v>
      </c>
      <c r="D989" t="str">
        <f t="shared" ca="1" si="76"/>
        <v>January</v>
      </c>
      <c r="E989" t="s">
        <v>29</v>
      </c>
      <c r="F989" t="s">
        <v>33</v>
      </c>
      <c r="G989" t="str">
        <f t="shared" si="77"/>
        <v>Women</v>
      </c>
      <c r="H989" t="str">
        <f t="shared" ca="1" si="78"/>
        <v>Amazon</v>
      </c>
      <c r="I989">
        <f t="shared" ca="1" si="79"/>
        <v>57</v>
      </c>
      <c r="J989" t="s">
        <v>491</v>
      </c>
      <c r="K989" t="s">
        <v>18</v>
      </c>
      <c r="L989" t="s">
        <v>19</v>
      </c>
      <c r="M989">
        <v>1</v>
      </c>
      <c r="N989" t="s">
        <v>20</v>
      </c>
      <c r="O989">
        <v>1112</v>
      </c>
      <c r="P989" t="s">
        <v>470</v>
      </c>
      <c r="Q989" t="s">
        <v>93</v>
      </c>
      <c r="R989" t="s">
        <v>23</v>
      </c>
    </row>
    <row r="990" spans="1:18" x14ac:dyDescent="0.35">
      <c r="A990">
        <v>988</v>
      </c>
      <c r="B990" t="s">
        <v>2033</v>
      </c>
      <c r="C990" s="1">
        <f t="shared" ca="1" si="75"/>
        <v>45132</v>
      </c>
      <c r="D990" t="str">
        <f t="shared" ca="1" si="76"/>
        <v>July</v>
      </c>
      <c r="E990" t="s">
        <v>25</v>
      </c>
      <c r="F990" t="s">
        <v>16</v>
      </c>
      <c r="G990" t="str">
        <f t="shared" si="77"/>
        <v>Women</v>
      </c>
      <c r="H990" t="str">
        <f t="shared" ca="1" si="78"/>
        <v>Flipkart</v>
      </c>
      <c r="I990">
        <f t="shared" ca="1" si="79"/>
        <v>40</v>
      </c>
      <c r="J990" t="s">
        <v>1743</v>
      </c>
      <c r="K990" t="s">
        <v>18</v>
      </c>
      <c r="L990" t="s">
        <v>68</v>
      </c>
      <c r="M990">
        <v>1</v>
      </c>
      <c r="N990" t="s">
        <v>20</v>
      </c>
      <c r="O990">
        <v>1186</v>
      </c>
      <c r="P990" t="s">
        <v>470</v>
      </c>
      <c r="Q990" t="s">
        <v>93</v>
      </c>
      <c r="R990" t="s">
        <v>23</v>
      </c>
    </row>
    <row r="991" spans="1:18" x14ac:dyDescent="0.35">
      <c r="A991">
        <v>989</v>
      </c>
      <c r="B991" t="s">
        <v>2034</v>
      </c>
      <c r="C991" s="1">
        <f t="shared" ca="1" si="75"/>
        <v>45618</v>
      </c>
      <c r="D991" t="str">
        <f t="shared" ca="1" si="76"/>
        <v>November</v>
      </c>
      <c r="E991" t="s">
        <v>25</v>
      </c>
      <c r="F991" t="s">
        <v>16</v>
      </c>
      <c r="G991" t="str">
        <f t="shared" si="77"/>
        <v>Men</v>
      </c>
      <c r="H991" t="str">
        <f t="shared" ca="1" si="78"/>
        <v>Myntra</v>
      </c>
      <c r="I991">
        <f t="shared" ca="1" si="79"/>
        <v>45</v>
      </c>
      <c r="J991" t="s">
        <v>2035</v>
      </c>
      <c r="K991" t="s">
        <v>27</v>
      </c>
      <c r="L991" t="s">
        <v>40</v>
      </c>
      <c r="M991">
        <v>1</v>
      </c>
      <c r="N991" t="s">
        <v>20</v>
      </c>
      <c r="O991">
        <v>362</v>
      </c>
      <c r="P991" t="s">
        <v>56</v>
      </c>
      <c r="Q991" t="s">
        <v>57</v>
      </c>
      <c r="R991" t="s">
        <v>23</v>
      </c>
    </row>
    <row r="992" spans="1:18" x14ac:dyDescent="0.35">
      <c r="A992">
        <v>990</v>
      </c>
      <c r="B992" t="s">
        <v>2036</v>
      </c>
      <c r="C992" s="1">
        <f t="shared" ca="1" si="75"/>
        <v>45291</v>
      </c>
      <c r="D992" t="str">
        <f t="shared" ca="1" si="76"/>
        <v>December</v>
      </c>
      <c r="E992" t="s">
        <v>29</v>
      </c>
      <c r="F992" t="s">
        <v>33</v>
      </c>
      <c r="G992" t="str">
        <f t="shared" si="77"/>
        <v>Men</v>
      </c>
      <c r="H992" t="str">
        <f t="shared" ca="1" si="78"/>
        <v>Amazon</v>
      </c>
      <c r="I992">
        <f t="shared" ca="1" si="79"/>
        <v>27</v>
      </c>
      <c r="J992" t="s">
        <v>1878</v>
      </c>
      <c r="K992" t="s">
        <v>27</v>
      </c>
      <c r="L992" t="s">
        <v>62</v>
      </c>
      <c r="M992">
        <v>1</v>
      </c>
      <c r="N992" t="s">
        <v>20</v>
      </c>
      <c r="O992">
        <v>432</v>
      </c>
      <c r="P992" t="s">
        <v>45</v>
      </c>
      <c r="Q992" t="s">
        <v>46</v>
      </c>
      <c r="R992" t="s">
        <v>23</v>
      </c>
    </row>
    <row r="993" spans="1:18" x14ac:dyDescent="0.35">
      <c r="A993">
        <v>991</v>
      </c>
      <c r="B993" t="s">
        <v>2037</v>
      </c>
      <c r="C993" s="1">
        <f t="shared" ca="1" si="75"/>
        <v>45568</v>
      </c>
      <c r="D993" t="str">
        <f t="shared" ca="1" si="76"/>
        <v>October</v>
      </c>
      <c r="E993" t="s">
        <v>29</v>
      </c>
      <c r="F993" t="s">
        <v>33</v>
      </c>
      <c r="G993" t="str">
        <f t="shared" si="77"/>
        <v>Women</v>
      </c>
      <c r="H993" t="str">
        <f t="shared" ca="1" si="78"/>
        <v>Amazon</v>
      </c>
      <c r="I993">
        <f t="shared" ca="1" si="79"/>
        <v>45</v>
      </c>
      <c r="J993" t="s">
        <v>498</v>
      </c>
      <c r="K993" t="s">
        <v>18</v>
      </c>
      <c r="L993" t="s">
        <v>40</v>
      </c>
      <c r="M993">
        <v>1</v>
      </c>
      <c r="N993" t="s">
        <v>20</v>
      </c>
      <c r="O993">
        <v>597</v>
      </c>
      <c r="P993" t="s">
        <v>56</v>
      </c>
      <c r="Q993" t="s">
        <v>57</v>
      </c>
      <c r="R993" t="s">
        <v>23</v>
      </c>
    </row>
    <row r="994" spans="1:18" x14ac:dyDescent="0.35">
      <c r="A994">
        <v>992</v>
      </c>
      <c r="B994" t="s">
        <v>2038</v>
      </c>
      <c r="C994" s="1">
        <f t="shared" ca="1" si="75"/>
        <v>45347</v>
      </c>
      <c r="D994" t="str">
        <f t="shared" ca="1" si="76"/>
        <v>February</v>
      </c>
      <c r="E994" t="s">
        <v>29</v>
      </c>
      <c r="F994" t="s">
        <v>33</v>
      </c>
      <c r="G994" t="str">
        <f t="shared" si="77"/>
        <v>Women</v>
      </c>
      <c r="H994" t="str">
        <f t="shared" ca="1" si="78"/>
        <v>Amazon</v>
      </c>
      <c r="I994">
        <f t="shared" ca="1" si="79"/>
        <v>55</v>
      </c>
      <c r="J994" t="s">
        <v>568</v>
      </c>
      <c r="K994" t="s">
        <v>18</v>
      </c>
      <c r="L994" t="s">
        <v>28</v>
      </c>
      <c r="M994">
        <v>1</v>
      </c>
      <c r="N994" t="s">
        <v>20</v>
      </c>
      <c r="O994">
        <v>654</v>
      </c>
      <c r="P994" t="s">
        <v>285</v>
      </c>
      <c r="Q994" t="s">
        <v>286</v>
      </c>
      <c r="R994" t="s">
        <v>23</v>
      </c>
    </row>
    <row r="995" spans="1:18" x14ac:dyDescent="0.35">
      <c r="A995">
        <v>993</v>
      </c>
      <c r="B995" t="s">
        <v>2039</v>
      </c>
      <c r="C995" s="1">
        <f t="shared" ca="1" si="75"/>
        <v>45562</v>
      </c>
      <c r="D995" t="str">
        <f t="shared" ca="1" si="76"/>
        <v>September</v>
      </c>
      <c r="E995" t="s">
        <v>29</v>
      </c>
      <c r="F995" t="s">
        <v>33</v>
      </c>
      <c r="G995" t="str">
        <f t="shared" si="77"/>
        <v>Women</v>
      </c>
      <c r="H995" t="str">
        <f t="shared" ca="1" si="78"/>
        <v>Amazon</v>
      </c>
      <c r="I995">
        <f t="shared" ca="1" si="79"/>
        <v>38</v>
      </c>
      <c r="J995" t="s">
        <v>2040</v>
      </c>
      <c r="K995" t="s">
        <v>44</v>
      </c>
      <c r="L995" t="s">
        <v>101</v>
      </c>
      <c r="M995">
        <v>1</v>
      </c>
      <c r="N995" t="s">
        <v>20</v>
      </c>
      <c r="O995">
        <v>518</v>
      </c>
      <c r="P995" t="s">
        <v>21</v>
      </c>
      <c r="Q995" t="s">
        <v>22</v>
      </c>
      <c r="R995" t="s">
        <v>23</v>
      </c>
    </row>
    <row r="996" spans="1:18" x14ac:dyDescent="0.35">
      <c r="A996">
        <v>994</v>
      </c>
      <c r="B996" t="s">
        <v>2041</v>
      </c>
      <c r="C996" s="1">
        <f t="shared" ca="1" si="75"/>
        <v>45496</v>
      </c>
      <c r="D996" t="str">
        <f t="shared" ca="1" si="76"/>
        <v>July</v>
      </c>
      <c r="E996" t="s">
        <v>29</v>
      </c>
      <c r="F996" t="s">
        <v>33</v>
      </c>
      <c r="G996" t="str">
        <f t="shared" si="77"/>
        <v>Women</v>
      </c>
      <c r="H996" t="str">
        <f t="shared" ca="1" si="78"/>
        <v>Amazon</v>
      </c>
      <c r="I996">
        <f t="shared" ca="1" si="79"/>
        <v>27</v>
      </c>
      <c r="J996" t="s">
        <v>100</v>
      </c>
      <c r="K996" t="s">
        <v>18</v>
      </c>
      <c r="L996" t="s">
        <v>101</v>
      </c>
      <c r="M996">
        <v>1</v>
      </c>
      <c r="N996" t="s">
        <v>20</v>
      </c>
      <c r="O996">
        <v>626</v>
      </c>
      <c r="P996" t="s">
        <v>2042</v>
      </c>
      <c r="Q996" t="s">
        <v>46</v>
      </c>
      <c r="R996" t="s">
        <v>23</v>
      </c>
    </row>
    <row r="997" spans="1:18" x14ac:dyDescent="0.35">
      <c r="A997">
        <v>995</v>
      </c>
      <c r="B997" t="s">
        <v>2043</v>
      </c>
      <c r="C997" s="1">
        <f t="shared" ca="1" si="75"/>
        <v>45458</v>
      </c>
      <c r="D997" t="str">
        <f t="shared" ca="1" si="76"/>
        <v>June</v>
      </c>
      <c r="E997" t="s">
        <v>29</v>
      </c>
      <c r="F997" t="s">
        <v>33</v>
      </c>
      <c r="G997" t="str">
        <f t="shared" si="77"/>
        <v>Women</v>
      </c>
      <c r="H997" t="str">
        <f t="shared" ca="1" si="78"/>
        <v>Amazon</v>
      </c>
      <c r="I997">
        <f t="shared" ca="1" si="79"/>
        <v>41</v>
      </c>
      <c r="J997" t="s">
        <v>1760</v>
      </c>
      <c r="K997" t="s">
        <v>18</v>
      </c>
      <c r="L997" t="s">
        <v>28</v>
      </c>
      <c r="M997">
        <v>1</v>
      </c>
      <c r="N997" t="s">
        <v>20</v>
      </c>
      <c r="O997">
        <v>761</v>
      </c>
      <c r="P997" t="s">
        <v>56</v>
      </c>
      <c r="Q997" t="s">
        <v>57</v>
      </c>
      <c r="R997" t="s">
        <v>23</v>
      </c>
    </row>
    <row r="998" spans="1:18" x14ac:dyDescent="0.35">
      <c r="A998">
        <v>996</v>
      </c>
      <c r="B998" t="s">
        <v>2044</v>
      </c>
      <c r="C998" s="1">
        <f t="shared" ca="1" si="75"/>
        <v>44937</v>
      </c>
      <c r="D998" t="str">
        <f t="shared" ca="1" si="76"/>
        <v>January</v>
      </c>
      <c r="E998" t="s">
        <v>29</v>
      </c>
      <c r="F998" t="s">
        <v>33</v>
      </c>
      <c r="G998" t="str">
        <f t="shared" si="77"/>
        <v>Women</v>
      </c>
      <c r="H998" t="str">
        <f t="shared" ca="1" si="78"/>
        <v>Amazon</v>
      </c>
      <c r="I998">
        <f t="shared" ca="1" si="79"/>
        <v>27</v>
      </c>
      <c r="J998" t="s">
        <v>2045</v>
      </c>
      <c r="K998" t="s">
        <v>18</v>
      </c>
      <c r="L998" t="s">
        <v>35</v>
      </c>
      <c r="M998">
        <v>1</v>
      </c>
      <c r="N998" t="s">
        <v>20</v>
      </c>
      <c r="O998">
        <v>1186</v>
      </c>
      <c r="P998" t="s">
        <v>2046</v>
      </c>
      <c r="Q998" t="s">
        <v>57</v>
      </c>
      <c r="R998" t="s">
        <v>23</v>
      </c>
    </row>
    <row r="999" spans="1:18" x14ac:dyDescent="0.35">
      <c r="A999">
        <v>997</v>
      </c>
      <c r="B999" t="s">
        <v>2047</v>
      </c>
      <c r="C999" s="1">
        <f t="shared" ca="1" si="75"/>
        <v>45360</v>
      </c>
      <c r="D999" t="str">
        <f t="shared" ca="1" si="76"/>
        <v>March</v>
      </c>
      <c r="E999" t="s">
        <v>25</v>
      </c>
      <c r="F999" t="s">
        <v>16</v>
      </c>
      <c r="G999" t="str">
        <f t="shared" si="77"/>
        <v>Women</v>
      </c>
      <c r="H999" t="str">
        <f t="shared" ca="1" si="78"/>
        <v>Flipkart</v>
      </c>
      <c r="I999">
        <f t="shared" ca="1" si="79"/>
        <v>59</v>
      </c>
      <c r="J999" t="s">
        <v>2048</v>
      </c>
      <c r="K999" t="s">
        <v>18</v>
      </c>
      <c r="L999" t="s">
        <v>35</v>
      </c>
      <c r="M999">
        <v>1</v>
      </c>
      <c r="N999" t="s">
        <v>20</v>
      </c>
      <c r="O999">
        <v>1186</v>
      </c>
      <c r="P999" t="s">
        <v>2046</v>
      </c>
      <c r="Q999" t="s">
        <v>57</v>
      </c>
      <c r="R999" t="s">
        <v>23</v>
      </c>
    </row>
    <row r="1000" spans="1:18" x14ac:dyDescent="0.35">
      <c r="A1000">
        <v>998</v>
      </c>
      <c r="B1000" t="s">
        <v>2047</v>
      </c>
      <c r="C1000" s="1">
        <f t="shared" ca="1" si="75"/>
        <v>45028</v>
      </c>
      <c r="D1000" t="str">
        <f t="shared" ca="1" si="76"/>
        <v>April</v>
      </c>
      <c r="E1000" t="s">
        <v>25</v>
      </c>
      <c r="F1000" t="s">
        <v>16</v>
      </c>
      <c r="G1000" t="str">
        <f t="shared" si="77"/>
        <v>Women</v>
      </c>
      <c r="H1000" t="str">
        <f t="shared" ca="1" si="78"/>
        <v>Myntra</v>
      </c>
      <c r="I1000">
        <f t="shared" ca="1" si="79"/>
        <v>19</v>
      </c>
      <c r="J1000" t="s">
        <v>2049</v>
      </c>
      <c r="K1000" t="s">
        <v>18</v>
      </c>
      <c r="L1000" t="s">
        <v>40</v>
      </c>
      <c r="M1000">
        <v>1</v>
      </c>
      <c r="N1000" t="s">
        <v>20</v>
      </c>
      <c r="O1000">
        <v>1213</v>
      </c>
      <c r="P1000" t="s">
        <v>2046</v>
      </c>
      <c r="Q1000" t="s">
        <v>57</v>
      </c>
      <c r="R1000" t="s">
        <v>23</v>
      </c>
    </row>
    <row r="1001" spans="1:18" hidden="1" x14ac:dyDescent="0.35"/>
    <row r="1002" spans="1:18" hidden="1" x14ac:dyDescent="0.35"/>
    <row r="1003" spans="1:18" hidden="1" x14ac:dyDescent="0.35"/>
    <row r="1004" spans="1:18" hidden="1" x14ac:dyDescent="0.35"/>
    <row r="1005" spans="1:18" hidden="1" x14ac:dyDescent="0.35"/>
    <row r="1006" spans="1:18" hidden="1" x14ac:dyDescent="0.35"/>
    <row r="1007" spans="1:18" hidden="1" x14ac:dyDescent="0.35"/>
    <row r="1008" spans="1:18" hidden="1" x14ac:dyDescent="0.35"/>
    <row r="1009" hidden="1" x14ac:dyDescent="0.35"/>
    <row r="1010" hidden="1" x14ac:dyDescent="0.35"/>
    <row r="1011" hidden="1" x14ac:dyDescent="0.35"/>
    <row r="1012" hidden="1" x14ac:dyDescent="0.35"/>
    <row r="1013" hidden="1" x14ac:dyDescent="0.35"/>
    <row r="1014" hidden="1" x14ac:dyDescent="0.35"/>
    <row r="1015" hidden="1" x14ac:dyDescent="0.35"/>
    <row r="1016" hidden="1" x14ac:dyDescent="0.35"/>
    <row r="1017" hidden="1" x14ac:dyDescent="0.35"/>
    <row r="1018" hidden="1" x14ac:dyDescent="0.35"/>
    <row r="1019" hidden="1" x14ac:dyDescent="0.35"/>
    <row r="1020" hidden="1" x14ac:dyDescent="0.35"/>
    <row r="1021" hidden="1" x14ac:dyDescent="0.35"/>
    <row r="1022" hidden="1" x14ac:dyDescent="0.35"/>
    <row r="1023" hidden="1" x14ac:dyDescent="0.35"/>
    <row r="1024" hidden="1" x14ac:dyDescent="0.35"/>
    <row r="1025" hidden="1" x14ac:dyDescent="0.35"/>
    <row r="1026" hidden="1" x14ac:dyDescent="0.35"/>
    <row r="1027" hidden="1" x14ac:dyDescent="0.35"/>
    <row r="1028" hidden="1" x14ac:dyDescent="0.35"/>
    <row r="1029" hidden="1" x14ac:dyDescent="0.35"/>
    <row r="1030" hidden="1" x14ac:dyDescent="0.35"/>
    <row r="1031" hidden="1" x14ac:dyDescent="0.35"/>
    <row r="1032" hidden="1" x14ac:dyDescent="0.35"/>
    <row r="1033" hidden="1" x14ac:dyDescent="0.35"/>
    <row r="1034" hidden="1" x14ac:dyDescent="0.35"/>
    <row r="1035" hidden="1" x14ac:dyDescent="0.35"/>
    <row r="1036" hidden="1" x14ac:dyDescent="0.35"/>
    <row r="1037" hidden="1" x14ac:dyDescent="0.35"/>
    <row r="1038" hidden="1" x14ac:dyDescent="0.35"/>
    <row r="1039" hidden="1" x14ac:dyDescent="0.35"/>
    <row r="1040" hidden="1" x14ac:dyDescent="0.35"/>
    <row r="1041" hidden="1" x14ac:dyDescent="0.35"/>
    <row r="1042" hidden="1" x14ac:dyDescent="0.35"/>
    <row r="1043" hidden="1" x14ac:dyDescent="0.35"/>
    <row r="1044" hidden="1" x14ac:dyDescent="0.35"/>
    <row r="1045" hidden="1" x14ac:dyDescent="0.35"/>
    <row r="1046" hidden="1" x14ac:dyDescent="0.35"/>
    <row r="1047" hidden="1" x14ac:dyDescent="0.35"/>
    <row r="1048" hidden="1" x14ac:dyDescent="0.35"/>
    <row r="1049" hidden="1" x14ac:dyDescent="0.35"/>
    <row r="1050" hidden="1" x14ac:dyDescent="0.35"/>
    <row r="1051" hidden="1" x14ac:dyDescent="0.35"/>
    <row r="1052" hidden="1" x14ac:dyDescent="0.35"/>
    <row r="1053" hidden="1" x14ac:dyDescent="0.35"/>
    <row r="1054" hidden="1" x14ac:dyDescent="0.35"/>
    <row r="1055" hidden="1" x14ac:dyDescent="0.35"/>
    <row r="1056" hidden="1" x14ac:dyDescent="0.35"/>
    <row r="1057" hidden="1" x14ac:dyDescent="0.35"/>
    <row r="1058" hidden="1" x14ac:dyDescent="0.35"/>
    <row r="1059" hidden="1" x14ac:dyDescent="0.35"/>
    <row r="1060" hidden="1" x14ac:dyDescent="0.35"/>
    <row r="1061" hidden="1" x14ac:dyDescent="0.35"/>
    <row r="1062" hidden="1" x14ac:dyDescent="0.35"/>
    <row r="1063" hidden="1" x14ac:dyDescent="0.35"/>
    <row r="1064" hidden="1" x14ac:dyDescent="0.35"/>
    <row r="1065" hidden="1" x14ac:dyDescent="0.35"/>
    <row r="1066" hidden="1" x14ac:dyDescent="0.35"/>
    <row r="1067" hidden="1" x14ac:dyDescent="0.35"/>
    <row r="1068" hidden="1" x14ac:dyDescent="0.35"/>
    <row r="1069" hidden="1" x14ac:dyDescent="0.35"/>
    <row r="1070" hidden="1" x14ac:dyDescent="0.35"/>
    <row r="1071" hidden="1" x14ac:dyDescent="0.35"/>
    <row r="1072" hidden="1" x14ac:dyDescent="0.35"/>
    <row r="1073" hidden="1" x14ac:dyDescent="0.35"/>
    <row r="1074" hidden="1" x14ac:dyDescent="0.35"/>
    <row r="1075" hidden="1" x14ac:dyDescent="0.35"/>
    <row r="1076" hidden="1" x14ac:dyDescent="0.35"/>
    <row r="1077" hidden="1" x14ac:dyDescent="0.35"/>
    <row r="1078" hidden="1" x14ac:dyDescent="0.35"/>
    <row r="1079" hidden="1" x14ac:dyDescent="0.35"/>
    <row r="1080" hidden="1" x14ac:dyDescent="0.35"/>
    <row r="1081" hidden="1" x14ac:dyDescent="0.35"/>
    <row r="1082" hidden="1" x14ac:dyDescent="0.35"/>
    <row r="1083" hidden="1" x14ac:dyDescent="0.35"/>
    <row r="1084" hidden="1" x14ac:dyDescent="0.35"/>
    <row r="1085" hidden="1" x14ac:dyDescent="0.35"/>
    <row r="1086" hidden="1" x14ac:dyDescent="0.35"/>
    <row r="1087" hidden="1" x14ac:dyDescent="0.35"/>
    <row r="1088" hidden="1" x14ac:dyDescent="0.35"/>
    <row r="1089" hidden="1" x14ac:dyDescent="0.35"/>
    <row r="1090" hidden="1" x14ac:dyDescent="0.35"/>
    <row r="1091" hidden="1" x14ac:dyDescent="0.35"/>
    <row r="1092" hidden="1" x14ac:dyDescent="0.35"/>
    <row r="1093" hidden="1" x14ac:dyDescent="0.35"/>
    <row r="1094" hidden="1" x14ac:dyDescent="0.35"/>
    <row r="1095" hidden="1" x14ac:dyDescent="0.35"/>
    <row r="1096" hidden="1" x14ac:dyDescent="0.35"/>
    <row r="1097" hidden="1" x14ac:dyDescent="0.35"/>
    <row r="1098" hidden="1" x14ac:dyDescent="0.35"/>
    <row r="1099" hidden="1" x14ac:dyDescent="0.35"/>
    <row r="1100" hidden="1" x14ac:dyDescent="0.35"/>
    <row r="1101" hidden="1" x14ac:dyDescent="0.35"/>
    <row r="1102" hidden="1" x14ac:dyDescent="0.35"/>
    <row r="1103" hidden="1" x14ac:dyDescent="0.35"/>
    <row r="1104" hidden="1" x14ac:dyDescent="0.35"/>
    <row r="1105" hidden="1" x14ac:dyDescent="0.35"/>
    <row r="1106" hidden="1" x14ac:dyDescent="0.35"/>
    <row r="1107" hidden="1" x14ac:dyDescent="0.35"/>
    <row r="1108" hidden="1" x14ac:dyDescent="0.35"/>
    <row r="1109" hidden="1" x14ac:dyDescent="0.35"/>
    <row r="1110" hidden="1" x14ac:dyDescent="0.35"/>
    <row r="1111" hidden="1" x14ac:dyDescent="0.35"/>
    <row r="1112" hidden="1" x14ac:dyDescent="0.35"/>
    <row r="1113" hidden="1" x14ac:dyDescent="0.35"/>
    <row r="1114" hidden="1" x14ac:dyDescent="0.35"/>
    <row r="1115" hidden="1" x14ac:dyDescent="0.35"/>
    <row r="1116" hidden="1" x14ac:dyDescent="0.35"/>
    <row r="1117" hidden="1" x14ac:dyDescent="0.35"/>
    <row r="1118" hidden="1" x14ac:dyDescent="0.35"/>
    <row r="1119" hidden="1" x14ac:dyDescent="0.35"/>
    <row r="1120" hidden="1" x14ac:dyDescent="0.35"/>
    <row r="1121" hidden="1" x14ac:dyDescent="0.35"/>
    <row r="1122" hidden="1" x14ac:dyDescent="0.35"/>
    <row r="1123" hidden="1" x14ac:dyDescent="0.35"/>
    <row r="1124" hidden="1" x14ac:dyDescent="0.35"/>
    <row r="1125" hidden="1" x14ac:dyDescent="0.35"/>
    <row r="1126" hidden="1" x14ac:dyDescent="0.35"/>
    <row r="1127" hidden="1" x14ac:dyDescent="0.35"/>
    <row r="1128" hidden="1" x14ac:dyDescent="0.35"/>
    <row r="1129" hidden="1" x14ac:dyDescent="0.35"/>
    <row r="1130" hidden="1" x14ac:dyDescent="0.35"/>
    <row r="1131" hidden="1" x14ac:dyDescent="0.35"/>
    <row r="1132" hidden="1" x14ac:dyDescent="0.35"/>
    <row r="1133" hidden="1" x14ac:dyDescent="0.35"/>
    <row r="1134" hidden="1" x14ac:dyDescent="0.35"/>
    <row r="1135" hidden="1" x14ac:dyDescent="0.35"/>
    <row r="1136" hidden="1" x14ac:dyDescent="0.35"/>
    <row r="1137" hidden="1" x14ac:dyDescent="0.35"/>
    <row r="1138" hidden="1" x14ac:dyDescent="0.35"/>
    <row r="1139" hidden="1" x14ac:dyDescent="0.35"/>
    <row r="1140" hidden="1" x14ac:dyDescent="0.35"/>
    <row r="1141" hidden="1" x14ac:dyDescent="0.35"/>
    <row r="1142" hidden="1" x14ac:dyDescent="0.35"/>
    <row r="1143" hidden="1" x14ac:dyDescent="0.35"/>
    <row r="1144" hidden="1" x14ac:dyDescent="0.35"/>
    <row r="1145" hidden="1" x14ac:dyDescent="0.35"/>
    <row r="1146" hidden="1" x14ac:dyDescent="0.35"/>
    <row r="1147" hidden="1" x14ac:dyDescent="0.35"/>
    <row r="1148" hidden="1" x14ac:dyDescent="0.35"/>
    <row r="1149" hidden="1" x14ac:dyDescent="0.35"/>
    <row r="1150" hidden="1" x14ac:dyDescent="0.35"/>
    <row r="1151" hidden="1" x14ac:dyDescent="0.35"/>
    <row r="1152" hidden="1" x14ac:dyDescent="0.35"/>
    <row r="1153" hidden="1" x14ac:dyDescent="0.35"/>
    <row r="1154" hidden="1" x14ac:dyDescent="0.35"/>
    <row r="1155" hidden="1" x14ac:dyDescent="0.35"/>
    <row r="1156" hidden="1" x14ac:dyDescent="0.35"/>
    <row r="1157" hidden="1" x14ac:dyDescent="0.35"/>
    <row r="1158" hidden="1" x14ac:dyDescent="0.35"/>
    <row r="1159" hidden="1" x14ac:dyDescent="0.35"/>
    <row r="1160" hidden="1" x14ac:dyDescent="0.35"/>
    <row r="1161" hidden="1" x14ac:dyDescent="0.35"/>
    <row r="1162" hidden="1" x14ac:dyDescent="0.35"/>
    <row r="1163" hidden="1" x14ac:dyDescent="0.35"/>
    <row r="1164" hidden="1" x14ac:dyDescent="0.35"/>
    <row r="1165" hidden="1" x14ac:dyDescent="0.35"/>
    <row r="1166" hidden="1" x14ac:dyDescent="0.35"/>
    <row r="1167" hidden="1" x14ac:dyDescent="0.35"/>
    <row r="1168" hidden="1" x14ac:dyDescent="0.35"/>
    <row r="1169" hidden="1" x14ac:dyDescent="0.35"/>
    <row r="1170" hidden="1" x14ac:dyDescent="0.35"/>
    <row r="1171" hidden="1" x14ac:dyDescent="0.35"/>
    <row r="1172" hidden="1" x14ac:dyDescent="0.35"/>
    <row r="1173" hidden="1" x14ac:dyDescent="0.35"/>
    <row r="1174" hidden="1" x14ac:dyDescent="0.35"/>
    <row r="1175" hidden="1" x14ac:dyDescent="0.35"/>
    <row r="1176" hidden="1" x14ac:dyDescent="0.35"/>
    <row r="1177" hidden="1" x14ac:dyDescent="0.35"/>
    <row r="1178" hidden="1" x14ac:dyDescent="0.35"/>
    <row r="1179" hidden="1" x14ac:dyDescent="0.35"/>
    <row r="1180" hidden="1" x14ac:dyDescent="0.35"/>
    <row r="1181" hidden="1" x14ac:dyDescent="0.35"/>
    <row r="1182" hidden="1" x14ac:dyDescent="0.35"/>
    <row r="1183" hidden="1" x14ac:dyDescent="0.35"/>
    <row r="1184" hidden="1" x14ac:dyDescent="0.35"/>
    <row r="1185" hidden="1" x14ac:dyDescent="0.35"/>
    <row r="1186" hidden="1" x14ac:dyDescent="0.35"/>
    <row r="1187" hidden="1" x14ac:dyDescent="0.35"/>
    <row r="1188" hidden="1" x14ac:dyDescent="0.35"/>
    <row r="1189" hidden="1" x14ac:dyDescent="0.35"/>
    <row r="1190" hidden="1" x14ac:dyDescent="0.35"/>
    <row r="1191" hidden="1" x14ac:dyDescent="0.35"/>
    <row r="1192" hidden="1" x14ac:dyDescent="0.35"/>
    <row r="1193" hidden="1" x14ac:dyDescent="0.35"/>
    <row r="1194" hidden="1" x14ac:dyDescent="0.35"/>
    <row r="1195" hidden="1" x14ac:dyDescent="0.35"/>
    <row r="1196" hidden="1" x14ac:dyDescent="0.35"/>
    <row r="1197" hidden="1" x14ac:dyDescent="0.35"/>
    <row r="1198" hidden="1" x14ac:dyDescent="0.35"/>
    <row r="1199" hidden="1" x14ac:dyDescent="0.35"/>
    <row r="1200" hidden="1" x14ac:dyDescent="0.35"/>
    <row r="1201" hidden="1" x14ac:dyDescent="0.35"/>
    <row r="1202" hidden="1" x14ac:dyDescent="0.35"/>
    <row r="1203" hidden="1" x14ac:dyDescent="0.35"/>
    <row r="1204" hidden="1" x14ac:dyDescent="0.35"/>
    <row r="1205" hidden="1" x14ac:dyDescent="0.35"/>
    <row r="1206" hidden="1" x14ac:dyDescent="0.35"/>
    <row r="1207" hidden="1" x14ac:dyDescent="0.35"/>
    <row r="1208" hidden="1" x14ac:dyDescent="0.35"/>
    <row r="1209" hidden="1" x14ac:dyDescent="0.35"/>
    <row r="1210" hidden="1" x14ac:dyDescent="0.35"/>
    <row r="1211" hidden="1" x14ac:dyDescent="0.35"/>
    <row r="1212" hidden="1" x14ac:dyDescent="0.35"/>
    <row r="1213" hidden="1" x14ac:dyDescent="0.35"/>
    <row r="1214" hidden="1" x14ac:dyDescent="0.35"/>
    <row r="1215" hidden="1" x14ac:dyDescent="0.35"/>
    <row r="1216" hidden="1" x14ac:dyDescent="0.35"/>
    <row r="1217" hidden="1" x14ac:dyDescent="0.35"/>
    <row r="1218" hidden="1" x14ac:dyDescent="0.35"/>
    <row r="1219" hidden="1" x14ac:dyDescent="0.35"/>
    <row r="1220" hidden="1" x14ac:dyDescent="0.35"/>
    <row r="1221" hidden="1" x14ac:dyDescent="0.35"/>
    <row r="1222" hidden="1" x14ac:dyDescent="0.35"/>
    <row r="1223" hidden="1" x14ac:dyDescent="0.35"/>
    <row r="1224" hidden="1" x14ac:dyDescent="0.35"/>
    <row r="1225" hidden="1" x14ac:dyDescent="0.35"/>
    <row r="1226" hidden="1" x14ac:dyDescent="0.35"/>
    <row r="1227" hidden="1" x14ac:dyDescent="0.35"/>
    <row r="1228" hidden="1" x14ac:dyDescent="0.35"/>
    <row r="1229" hidden="1" x14ac:dyDescent="0.35"/>
    <row r="1230" hidden="1" x14ac:dyDescent="0.35"/>
    <row r="1231" hidden="1" x14ac:dyDescent="0.35"/>
    <row r="1232" hidden="1" x14ac:dyDescent="0.35"/>
    <row r="1233" hidden="1" x14ac:dyDescent="0.35"/>
    <row r="1234" hidden="1" x14ac:dyDescent="0.35"/>
    <row r="1235" hidden="1" x14ac:dyDescent="0.35"/>
    <row r="1236" hidden="1" x14ac:dyDescent="0.35"/>
    <row r="1237" hidden="1" x14ac:dyDescent="0.35"/>
    <row r="1238" hidden="1" x14ac:dyDescent="0.35"/>
    <row r="1239" hidden="1" x14ac:dyDescent="0.35"/>
    <row r="1240" hidden="1" x14ac:dyDescent="0.35"/>
    <row r="1241" hidden="1" x14ac:dyDescent="0.35"/>
    <row r="1242" hidden="1" x14ac:dyDescent="0.35"/>
    <row r="1243" hidden="1" x14ac:dyDescent="0.35"/>
    <row r="1244" hidden="1" x14ac:dyDescent="0.35"/>
    <row r="1245" hidden="1" x14ac:dyDescent="0.35"/>
    <row r="1246" hidden="1" x14ac:dyDescent="0.35"/>
    <row r="1247" hidden="1" x14ac:dyDescent="0.35"/>
    <row r="1248" hidden="1" x14ac:dyDescent="0.35"/>
    <row r="1249" hidden="1" x14ac:dyDescent="0.35"/>
    <row r="1250" hidden="1" x14ac:dyDescent="0.35"/>
    <row r="1251" hidden="1" x14ac:dyDescent="0.35"/>
    <row r="1252" hidden="1" x14ac:dyDescent="0.35"/>
    <row r="1253" hidden="1" x14ac:dyDescent="0.35"/>
    <row r="1254" hidden="1" x14ac:dyDescent="0.35"/>
    <row r="1255" hidden="1" x14ac:dyDescent="0.35"/>
    <row r="1256" hidden="1" x14ac:dyDescent="0.35"/>
    <row r="1257" hidden="1" x14ac:dyDescent="0.35"/>
    <row r="1258" hidden="1" x14ac:dyDescent="0.35"/>
    <row r="1259" hidden="1" x14ac:dyDescent="0.35"/>
    <row r="1260" hidden="1" x14ac:dyDescent="0.35"/>
    <row r="1261" hidden="1" x14ac:dyDescent="0.35"/>
    <row r="1262" hidden="1" x14ac:dyDescent="0.35"/>
    <row r="1263" hidden="1" x14ac:dyDescent="0.35"/>
    <row r="1264" hidden="1" x14ac:dyDescent="0.35"/>
    <row r="1265" hidden="1" x14ac:dyDescent="0.35"/>
    <row r="1266" hidden="1" x14ac:dyDescent="0.35"/>
    <row r="1267" hidden="1" x14ac:dyDescent="0.35"/>
    <row r="1268" hidden="1" x14ac:dyDescent="0.35"/>
    <row r="1269" hidden="1" x14ac:dyDescent="0.35"/>
    <row r="1270" hidden="1" x14ac:dyDescent="0.35"/>
    <row r="1271" hidden="1" x14ac:dyDescent="0.35"/>
    <row r="1272" hidden="1" x14ac:dyDescent="0.35"/>
    <row r="1273" hidden="1" x14ac:dyDescent="0.35"/>
    <row r="1274" hidden="1" x14ac:dyDescent="0.35"/>
    <row r="1275" hidden="1" x14ac:dyDescent="0.35"/>
    <row r="1276" hidden="1" x14ac:dyDescent="0.35"/>
    <row r="1277" hidden="1" x14ac:dyDescent="0.35"/>
    <row r="1278" hidden="1" x14ac:dyDescent="0.35"/>
    <row r="1279" hidden="1" x14ac:dyDescent="0.35"/>
    <row r="1280" hidden="1" x14ac:dyDescent="0.35"/>
    <row r="1281" hidden="1" x14ac:dyDescent="0.35"/>
    <row r="1282" hidden="1" x14ac:dyDescent="0.35"/>
    <row r="1283" hidden="1" x14ac:dyDescent="0.35"/>
    <row r="1284" hidden="1" x14ac:dyDescent="0.35"/>
    <row r="1285" hidden="1" x14ac:dyDescent="0.35"/>
    <row r="1286" hidden="1" x14ac:dyDescent="0.35"/>
    <row r="1287" hidden="1" x14ac:dyDescent="0.35"/>
    <row r="1288" hidden="1" x14ac:dyDescent="0.35"/>
    <row r="1289" hidden="1" x14ac:dyDescent="0.35"/>
    <row r="1290" hidden="1" x14ac:dyDescent="0.35"/>
    <row r="1291" hidden="1" x14ac:dyDescent="0.35"/>
    <row r="1292" hidden="1" x14ac:dyDescent="0.35"/>
    <row r="1293" hidden="1" x14ac:dyDescent="0.35"/>
    <row r="1294" hidden="1" x14ac:dyDescent="0.35"/>
    <row r="1295" hidden="1" x14ac:dyDescent="0.35"/>
    <row r="1296" hidden="1" x14ac:dyDescent="0.35"/>
    <row r="1297" hidden="1" x14ac:dyDescent="0.35"/>
    <row r="1298" hidden="1" x14ac:dyDescent="0.35"/>
    <row r="1299" hidden="1" x14ac:dyDescent="0.35"/>
    <row r="1300" hidden="1" x14ac:dyDescent="0.35"/>
    <row r="1301" hidden="1" x14ac:dyDescent="0.35"/>
    <row r="1302" hidden="1" x14ac:dyDescent="0.35"/>
    <row r="1303" hidden="1" x14ac:dyDescent="0.35"/>
    <row r="1304" hidden="1" x14ac:dyDescent="0.35"/>
    <row r="1305" hidden="1" x14ac:dyDescent="0.35"/>
    <row r="1306" hidden="1" x14ac:dyDescent="0.35"/>
    <row r="1307" hidden="1" x14ac:dyDescent="0.35"/>
    <row r="1308" hidden="1" x14ac:dyDescent="0.35"/>
    <row r="1309" hidden="1" x14ac:dyDescent="0.35"/>
    <row r="1310" hidden="1" x14ac:dyDescent="0.35"/>
    <row r="1311" hidden="1" x14ac:dyDescent="0.35"/>
    <row r="1312" hidden="1" x14ac:dyDescent="0.35"/>
    <row r="1313" hidden="1" x14ac:dyDescent="0.35"/>
    <row r="1314" hidden="1" x14ac:dyDescent="0.35"/>
    <row r="1315" hidden="1" x14ac:dyDescent="0.35"/>
    <row r="1316" hidden="1" x14ac:dyDescent="0.35"/>
    <row r="1317" hidden="1" x14ac:dyDescent="0.35"/>
    <row r="1318" hidden="1" x14ac:dyDescent="0.35"/>
    <row r="1319" hidden="1" x14ac:dyDescent="0.35"/>
    <row r="1320" hidden="1" x14ac:dyDescent="0.35"/>
    <row r="1321" hidden="1" x14ac:dyDescent="0.35"/>
    <row r="1322" hidden="1" x14ac:dyDescent="0.35"/>
    <row r="1323" hidden="1" x14ac:dyDescent="0.35"/>
    <row r="1324" hidden="1" x14ac:dyDescent="0.35"/>
    <row r="1325" hidden="1" x14ac:dyDescent="0.35"/>
    <row r="1326" hidden="1" x14ac:dyDescent="0.35"/>
    <row r="1327" hidden="1" x14ac:dyDescent="0.35"/>
    <row r="1328" hidden="1" x14ac:dyDescent="0.35"/>
    <row r="1329" hidden="1" x14ac:dyDescent="0.35"/>
    <row r="1330" hidden="1" x14ac:dyDescent="0.35"/>
    <row r="1331" hidden="1" x14ac:dyDescent="0.35"/>
    <row r="1332" hidden="1" x14ac:dyDescent="0.35"/>
    <row r="1333" hidden="1" x14ac:dyDescent="0.35"/>
    <row r="1334" hidden="1" x14ac:dyDescent="0.35"/>
    <row r="1335" hidden="1" x14ac:dyDescent="0.35"/>
    <row r="1336" hidden="1" x14ac:dyDescent="0.35"/>
    <row r="1337" hidden="1" x14ac:dyDescent="0.35"/>
    <row r="1338" hidden="1" x14ac:dyDescent="0.35"/>
    <row r="1339" hidden="1" x14ac:dyDescent="0.35"/>
    <row r="1340" hidden="1" x14ac:dyDescent="0.35"/>
    <row r="1341" hidden="1" x14ac:dyDescent="0.35"/>
    <row r="1342" hidden="1" x14ac:dyDescent="0.35"/>
    <row r="1343" hidden="1" x14ac:dyDescent="0.35"/>
    <row r="1344" hidden="1" x14ac:dyDescent="0.35"/>
    <row r="1345" hidden="1" x14ac:dyDescent="0.35"/>
    <row r="1346" hidden="1" x14ac:dyDescent="0.35"/>
    <row r="1347" hidden="1" x14ac:dyDescent="0.35"/>
    <row r="1348" hidden="1" x14ac:dyDescent="0.35"/>
    <row r="1349" hidden="1" x14ac:dyDescent="0.35"/>
    <row r="1350" hidden="1" x14ac:dyDescent="0.35"/>
    <row r="1351" hidden="1" x14ac:dyDescent="0.35"/>
    <row r="1352" hidden="1" x14ac:dyDescent="0.35"/>
    <row r="1353" hidden="1" x14ac:dyDescent="0.35"/>
    <row r="1354" hidden="1" x14ac:dyDescent="0.35"/>
    <row r="1355" hidden="1" x14ac:dyDescent="0.35"/>
    <row r="1356" hidden="1" x14ac:dyDescent="0.35"/>
    <row r="1357" hidden="1" x14ac:dyDescent="0.35"/>
    <row r="1358" hidden="1" x14ac:dyDescent="0.35"/>
    <row r="1359" hidden="1" x14ac:dyDescent="0.35"/>
    <row r="1360" hidden="1" x14ac:dyDescent="0.35"/>
    <row r="1361" hidden="1" x14ac:dyDescent="0.35"/>
    <row r="1362" hidden="1" x14ac:dyDescent="0.35"/>
    <row r="1363" hidden="1" x14ac:dyDescent="0.35"/>
    <row r="1364" hidden="1" x14ac:dyDescent="0.35"/>
    <row r="1365" hidden="1" x14ac:dyDescent="0.35"/>
    <row r="1366" hidden="1" x14ac:dyDescent="0.35"/>
    <row r="1367" hidden="1" x14ac:dyDescent="0.35"/>
    <row r="1368" hidden="1" x14ac:dyDescent="0.35"/>
    <row r="1369" hidden="1" x14ac:dyDescent="0.35"/>
    <row r="1370" hidden="1" x14ac:dyDescent="0.35"/>
    <row r="1371" hidden="1" x14ac:dyDescent="0.35"/>
    <row r="1372" hidden="1" x14ac:dyDescent="0.35"/>
    <row r="1373" hidden="1" x14ac:dyDescent="0.35"/>
    <row r="1374" hidden="1" x14ac:dyDescent="0.35"/>
    <row r="1375" hidden="1" x14ac:dyDescent="0.35"/>
    <row r="1376" hidden="1" x14ac:dyDescent="0.35"/>
    <row r="1377" hidden="1" x14ac:dyDescent="0.35"/>
    <row r="1378" hidden="1" x14ac:dyDescent="0.35"/>
    <row r="1379" hidden="1" x14ac:dyDescent="0.35"/>
    <row r="1380" hidden="1" x14ac:dyDescent="0.35"/>
    <row r="1381" hidden="1" x14ac:dyDescent="0.35"/>
    <row r="1382" hidden="1" x14ac:dyDescent="0.35"/>
    <row r="1383" hidden="1" x14ac:dyDescent="0.35"/>
    <row r="1384" hidden="1" x14ac:dyDescent="0.35"/>
    <row r="1385" hidden="1" x14ac:dyDescent="0.35"/>
    <row r="1386" hidden="1" x14ac:dyDescent="0.35"/>
    <row r="1387" hidden="1" x14ac:dyDescent="0.35"/>
    <row r="1388" hidden="1" x14ac:dyDescent="0.35"/>
    <row r="1389" hidden="1" x14ac:dyDescent="0.35"/>
    <row r="1390" hidden="1" x14ac:dyDescent="0.35"/>
    <row r="1391" hidden="1" x14ac:dyDescent="0.35"/>
    <row r="1392" hidden="1" x14ac:dyDescent="0.35"/>
    <row r="1393" hidden="1" x14ac:dyDescent="0.35"/>
    <row r="1394" hidden="1" x14ac:dyDescent="0.35"/>
    <row r="1395" hidden="1" x14ac:dyDescent="0.35"/>
    <row r="1396" hidden="1" x14ac:dyDescent="0.35"/>
    <row r="1397" hidden="1" x14ac:dyDescent="0.35"/>
    <row r="1398" hidden="1" x14ac:dyDescent="0.35"/>
    <row r="1399" hidden="1" x14ac:dyDescent="0.35"/>
    <row r="1400" hidden="1" x14ac:dyDescent="0.35"/>
    <row r="1401" hidden="1" x14ac:dyDescent="0.35"/>
    <row r="1402" hidden="1" x14ac:dyDescent="0.35"/>
    <row r="1403" hidden="1" x14ac:dyDescent="0.35"/>
    <row r="1404" hidden="1" x14ac:dyDescent="0.35"/>
    <row r="1405" hidden="1" x14ac:dyDescent="0.35"/>
    <row r="1406" hidden="1" x14ac:dyDescent="0.35"/>
    <row r="1407" hidden="1" x14ac:dyDescent="0.35"/>
    <row r="1408" hidden="1" x14ac:dyDescent="0.35"/>
    <row r="1409" hidden="1" x14ac:dyDescent="0.35"/>
    <row r="1410" hidden="1" x14ac:dyDescent="0.35"/>
    <row r="1411" hidden="1" x14ac:dyDescent="0.35"/>
    <row r="1412" hidden="1" x14ac:dyDescent="0.35"/>
    <row r="1413" hidden="1" x14ac:dyDescent="0.35"/>
    <row r="1414" hidden="1" x14ac:dyDescent="0.35"/>
    <row r="1415" hidden="1" x14ac:dyDescent="0.35"/>
    <row r="1416" hidden="1" x14ac:dyDescent="0.35"/>
    <row r="1417" hidden="1" x14ac:dyDescent="0.35"/>
    <row r="1418" hidden="1" x14ac:dyDescent="0.35"/>
    <row r="1419" hidden="1" x14ac:dyDescent="0.35"/>
    <row r="1420" hidden="1" x14ac:dyDescent="0.35"/>
    <row r="1421" hidden="1" x14ac:dyDescent="0.35"/>
    <row r="1422" hidden="1" x14ac:dyDescent="0.35"/>
    <row r="1423" hidden="1" x14ac:dyDescent="0.35"/>
    <row r="1424" hidden="1" x14ac:dyDescent="0.35"/>
    <row r="1425" hidden="1" x14ac:dyDescent="0.35"/>
    <row r="1426" hidden="1" x14ac:dyDescent="0.35"/>
    <row r="1427" hidden="1" x14ac:dyDescent="0.35"/>
    <row r="1428" hidden="1" x14ac:dyDescent="0.35"/>
    <row r="1429" hidden="1" x14ac:dyDescent="0.35"/>
    <row r="1430" hidden="1" x14ac:dyDescent="0.35"/>
    <row r="1431" hidden="1" x14ac:dyDescent="0.35"/>
    <row r="1432" hidden="1" x14ac:dyDescent="0.35"/>
    <row r="1433" hidden="1" x14ac:dyDescent="0.35"/>
    <row r="1434" hidden="1" x14ac:dyDescent="0.35"/>
    <row r="1435" hidden="1" x14ac:dyDescent="0.35"/>
    <row r="1436" hidden="1" x14ac:dyDescent="0.35"/>
    <row r="1437" hidden="1" x14ac:dyDescent="0.35"/>
    <row r="1438" hidden="1" x14ac:dyDescent="0.35"/>
    <row r="1439" hidden="1" x14ac:dyDescent="0.35"/>
    <row r="1440" hidden="1" x14ac:dyDescent="0.35"/>
    <row r="1441" hidden="1" x14ac:dyDescent="0.35"/>
    <row r="1442" hidden="1" x14ac:dyDescent="0.35"/>
    <row r="1443" hidden="1" x14ac:dyDescent="0.35"/>
    <row r="1444" hidden="1" x14ac:dyDescent="0.35"/>
    <row r="1445" hidden="1" x14ac:dyDescent="0.35"/>
    <row r="1446" hidden="1" x14ac:dyDescent="0.35"/>
    <row r="1447" hidden="1" x14ac:dyDescent="0.35"/>
    <row r="1448" hidden="1" x14ac:dyDescent="0.35"/>
    <row r="1449" hidden="1" x14ac:dyDescent="0.35"/>
    <row r="1450" hidden="1" x14ac:dyDescent="0.35"/>
    <row r="1451" hidden="1" x14ac:dyDescent="0.35"/>
    <row r="1452" hidden="1" x14ac:dyDescent="0.35"/>
    <row r="1453" hidden="1" x14ac:dyDescent="0.35"/>
    <row r="1454" hidden="1" x14ac:dyDescent="0.35"/>
    <row r="1455" hidden="1" x14ac:dyDescent="0.35"/>
    <row r="1456" hidden="1" x14ac:dyDescent="0.35"/>
    <row r="1457" hidden="1" x14ac:dyDescent="0.35"/>
    <row r="1458" hidden="1" x14ac:dyDescent="0.35"/>
    <row r="1459" hidden="1" x14ac:dyDescent="0.35"/>
    <row r="1460" hidden="1" x14ac:dyDescent="0.35"/>
    <row r="1461" hidden="1" x14ac:dyDescent="0.35"/>
    <row r="1462" hidden="1" x14ac:dyDescent="0.35"/>
    <row r="1463" hidden="1" x14ac:dyDescent="0.35"/>
    <row r="1464" hidden="1" x14ac:dyDescent="0.35"/>
    <row r="1465" hidden="1" x14ac:dyDescent="0.35"/>
    <row r="1466" hidden="1" x14ac:dyDescent="0.35"/>
    <row r="1467" hidden="1" x14ac:dyDescent="0.35"/>
    <row r="1468" hidden="1" x14ac:dyDescent="0.35"/>
    <row r="1469" hidden="1" x14ac:dyDescent="0.35"/>
    <row r="1470" hidden="1" x14ac:dyDescent="0.35"/>
    <row r="1471" hidden="1" x14ac:dyDescent="0.35"/>
    <row r="1472" hidden="1" x14ac:dyDescent="0.35"/>
    <row r="1473" hidden="1" x14ac:dyDescent="0.35"/>
    <row r="1474" hidden="1" x14ac:dyDescent="0.35"/>
    <row r="1475" hidden="1" x14ac:dyDescent="0.35"/>
    <row r="1476" hidden="1" x14ac:dyDescent="0.35"/>
    <row r="1477" hidden="1" x14ac:dyDescent="0.35"/>
    <row r="1478" hidden="1" x14ac:dyDescent="0.35"/>
    <row r="1479" hidden="1" x14ac:dyDescent="0.35"/>
    <row r="1480" hidden="1" x14ac:dyDescent="0.35"/>
    <row r="1481" hidden="1" x14ac:dyDescent="0.35"/>
    <row r="1482" hidden="1" x14ac:dyDescent="0.35"/>
    <row r="1483" hidden="1" x14ac:dyDescent="0.35"/>
    <row r="1484" hidden="1" x14ac:dyDescent="0.35"/>
    <row r="1485" hidden="1" x14ac:dyDescent="0.35"/>
    <row r="1486" hidden="1" x14ac:dyDescent="0.35"/>
    <row r="1487" hidden="1" x14ac:dyDescent="0.35"/>
    <row r="1488" hidden="1" x14ac:dyDescent="0.35"/>
    <row r="1489" hidden="1" x14ac:dyDescent="0.35"/>
    <row r="1490" hidden="1" x14ac:dyDescent="0.35"/>
    <row r="1491" hidden="1" x14ac:dyDescent="0.35"/>
    <row r="1492" hidden="1" x14ac:dyDescent="0.35"/>
    <row r="1493" hidden="1" x14ac:dyDescent="0.35"/>
    <row r="1494" hidden="1" x14ac:dyDescent="0.35"/>
    <row r="1495" hidden="1" x14ac:dyDescent="0.35"/>
    <row r="1496" hidden="1" x14ac:dyDescent="0.35"/>
    <row r="1497" hidden="1" x14ac:dyDescent="0.35"/>
    <row r="1498" hidden="1" x14ac:dyDescent="0.35"/>
    <row r="1499" hidden="1" x14ac:dyDescent="0.35"/>
    <row r="1500" hidden="1" x14ac:dyDescent="0.35"/>
    <row r="1501" hidden="1" x14ac:dyDescent="0.35"/>
    <row r="1502" hidden="1" x14ac:dyDescent="0.35"/>
    <row r="1503" hidden="1" x14ac:dyDescent="0.35"/>
    <row r="1504" hidden="1" x14ac:dyDescent="0.35"/>
    <row r="1505" hidden="1" x14ac:dyDescent="0.35"/>
    <row r="1506" hidden="1" x14ac:dyDescent="0.35"/>
    <row r="1507" hidden="1" x14ac:dyDescent="0.35"/>
    <row r="1508" hidden="1" x14ac:dyDescent="0.35"/>
    <row r="1509" hidden="1" x14ac:dyDescent="0.35"/>
    <row r="1510" hidden="1" x14ac:dyDescent="0.35"/>
    <row r="1511" hidden="1" x14ac:dyDescent="0.35"/>
    <row r="1512" hidden="1" x14ac:dyDescent="0.35"/>
    <row r="1513" hidden="1" x14ac:dyDescent="0.35"/>
    <row r="1514" hidden="1" x14ac:dyDescent="0.35"/>
    <row r="1515" hidden="1" x14ac:dyDescent="0.35"/>
    <row r="1516" hidden="1" x14ac:dyDescent="0.35"/>
    <row r="1517" hidden="1" x14ac:dyDescent="0.35"/>
    <row r="1518" hidden="1" x14ac:dyDescent="0.35"/>
    <row r="1519" hidden="1" x14ac:dyDescent="0.35"/>
    <row r="1520" hidden="1" x14ac:dyDescent="0.35"/>
    <row r="1521" hidden="1" x14ac:dyDescent="0.35"/>
    <row r="1522" hidden="1" x14ac:dyDescent="0.35"/>
    <row r="1523" hidden="1" x14ac:dyDescent="0.35"/>
    <row r="1524" hidden="1" x14ac:dyDescent="0.35"/>
    <row r="1525" hidden="1" x14ac:dyDescent="0.35"/>
    <row r="1526" hidden="1" x14ac:dyDescent="0.35"/>
    <row r="1527" hidden="1" x14ac:dyDescent="0.35"/>
    <row r="1528" hidden="1" x14ac:dyDescent="0.35"/>
    <row r="1529" hidden="1" x14ac:dyDescent="0.35"/>
    <row r="1530" hidden="1" x14ac:dyDescent="0.35"/>
    <row r="1531" hidden="1" x14ac:dyDescent="0.35"/>
    <row r="1532" hidden="1" x14ac:dyDescent="0.35"/>
    <row r="1533" hidden="1" x14ac:dyDescent="0.35"/>
    <row r="1534" hidden="1" x14ac:dyDescent="0.35"/>
    <row r="1535" hidden="1" x14ac:dyDescent="0.35"/>
    <row r="1536" hidden="1" x14ac:dyDescent="0.35"/>
    <row r="1537" hidden="1" x14ac:dyDescent="0.35"/>
    <row r="1538" hidden="1" x14ac:dyDescent="0.35"/>
    <row r="1539" hidden="1" x14ac:dyDescent="0.35"/>
    <row r="1540" hidden="1" x14ac:dyDescent="0.35"/>
    <row r="1541" hidden="1" x14ac:dyDescent="0.35"/>
    <row r="1542" hidden="1" x14ac:dyDescent="0.35"/>
    <row r="1543" hidden="1" x14ac:dyDescent="0.35"/>
    <row r="1544" hidden="1" x14ac:dyDescent="0.35"/>
    <row r="1545" hidden="1" x14ac:dyDescent="0.35"/>
    <row r="1546" hidden="1" x14ac:dyDescent="0.35"/>
    <row r="1547" hidden="1" x14ac:dyDescent="0.35"/>
    <row r="1548" hidden="1" x14ac:dyDescent="0.35"/>
    <row r="1549" hidden="1" x14ac:dyDescent="0.35"/>
    <row r="1550" hidden="1" x14ac:dyDescent="0.35"/>
    <row r="1551" hidden="1" x14ac:dyDescent="0.35"/>
    <row r="1552" hidden="1" x14ac:dyDescent="0.35"/>
    <row r="1553" hidden="1" x14ac:dyDescent="0.35"/>
    <row r="1554" hidden="1" x14ac:dyDescent="0.35"/>
    <row r="1555" hidden="1" x14ac:dyDescent="0.35"/>
    <row r="1556" hidden="1" x14ac:dyDescent="0.35"/>
    <row r="1557" hidden="1" x14ac:dyDescent="0.35"/>
    <row r="1558" hidden="1" x14ac:dyDescent="0.35"/>
    <row r="1559" hidden="1" x14ac:dyDescent="0.35"/>
    <row r="1560" hidden="1" x14ac:dyDescent="0.35"/>
    <row r="1561" hidden="1" x14ac:dyDescent="0.35"/>
    <row r="1562" hidden="1" x14ac:dyDescent="0.35"/>
    <row r="1563" hidden="1" x14ac:dyDescent="0.35"/>
    <row r="1564" hidden="1" x14ac:dyDescent="0.35"/>
    <row r="1565" hidden="1" x14ac:dyDescent="0.35"/>
    <row r="1566" hidden="1" x14ac:dyDescent="0.35"/>
    <row r="1567" hidden="1" x14ac:dyDescent="0.35"/>
    <row r="1568" hidden="1" x14ac:dyDescent="0.35"/>
    <row r="1569" hidden="1" x14ac:dyDescent="0.35"/>
    <row r="1570" hidden="1" x14ac:dyDescent="0.35"/>
    <row r="1571" hidden="1" x14ac:dyDescent="0.35"/>
    <row r="1572" hidden="1" x14ac:dyDescent="0.35"/>
    <row r="1573" hidden="1" x14ac:dyDescent="0.35"/>
    <row r="1574" hidden="1" x14ac:dyDescent="0.35"/>
    <row r="1575" hidden="1" x14ac:dyDescent="0.35"/>
    <row r="1576" hidden="1" x14ac:dyDescent="0.35"/>
    <row r="1577" hidden="1" x14ac:dyDescent="0.35"/>
    <row r="1578" hidden="1" x14ac:dyDescent="0.35"/>
    <row r="1579" hidden="1" x14ac:dyDescent="0.35"/>
    <row r="1580" hidden="1" x14ac:dyDescent="0.35"/>
    <row r="1581" hidden="1" x14ac:dyDescent="0.35"/>
    <row r="1582" hidden="1" x14ac:dyDescent="0.35"/>
    <row r="1583" hidden="1" x14ac:dyDescent="0.35"/>
    <row r="1584" hidden="1" x14ac:dyDescent="0.35"/>
    <row r="1585" hidden="1" x14ac:dyDescent="0.35"/>
    <row r="1586" hidden="1" x14ac:dyDescent="0.35"/>
    <row r="1587" hidden="1" x14ac:dyDescent="0.35"/>
    <row r="1588" hidden="1" x14ac:dyDescent="0.35"/>
    <row r="1589" hidden="1" x14ac:dyDescent="0.35"/>
    <row r="1590" hidden="1" x14ac:dyDescent="0.35"/>
    <row r="1591" hidden="1" x14ac:dyDescent="0.35"/>
    <row r="1592" hidden="1" x14ac:dyDescent="0.35"/>
    <row r="1593" hidden="1" x14ac:dyDescent="0.35"/>
    <row r="1594" hidden="1" x14ac:dyDescent="0.35"/>
    <row r="1595" hidden="1" x14ac:dyDescent="0.35"/>
    <row r="1596" hidden="1" x14ac:dyDescent="0.35"/>
    <row r="1597" hidden="1" x14ac:dyDescent="0.35"/>
    <row r="1598" hidden="1" x14ac:dyDescent="0.35"/>
    <row r="1599" hidden="1" x14ac:dyDescent="0.35"/>
    <row r="1600" hidden="1" x14ac:dyDescent="0.35"/>
    <row r="1601" hidden="1" x14ac:dyDescent="0.35"/>
    <row r="1602" hidden="1" x14ac:dyDescent="0.35"/>
    <row r="1603" hidden="1" x14ac:dyDescent="0.35"/>
    <row r="1604" hidden="1" x14ac:dyDescent="0.35"/>
    <row r="1605" hidden="1" x14ac:dyDescent="0.35"/>
    <row r="1606" hidden="1" x14ac:dyDescent="0.35"/>
    <row r="1607" hidden="1" x14ac:dyDescent="0.35"/>
    <row r="1608" hidden="1" x14ac:dyDescent="0.35"/>
    <row r="1609" hidden="1" x14ac:dyDescent="0.35"/>
    <row r="1610" hidden="1" x14ac:dyDescent="0.35"/>
    <row r="1611" hidden="1" x14ac:dyDescent="0.35"/>
    <row r="1612" hidden="1" x14ac:dyDescent="0.35"/>
    <row r="1613" hidden="1" x14ac:dyDescent="0.35"/>
    <row r="1614" hidden="1" x14ac:dyDescent="0.35"/>
    <row r="1615" hidden="1" x14ac:dyDescent="0.35"/>
    <row r="1616" hidden="1" x14ac:dyDescent="0.35"/>
    <row r="1617" hidden="1" x14ac:dyDescent="0.35"/>
    <row r="1618" hidden="1" x14ac:dyDescent="0.35"/>
    <row r="1619" hidden="1" x14ac:dyDescent="0.35"/>
    <row r="1620" hidden="1" x14ac:dyDescent="0.35"/>
    <row r="1621" hidden="1" x14ac:dyDescent="0.35"/>
    <row r="1622" hidden="1" x14ac:dyDescent="0.35"/>
    <row r="1623" hidden="1" x14ac:dyDescent="0.35"/>
    <row r="1624" hidden="1" x14ac:dyDescent="0.35"/>
    <row r="1625" hidden="1" x14ac:dyDescent="0.35"/>
    <row r="1626" hidden="1" x14ac:dyDescent="0.35"/>
    <row r="1627" hidden="1" x14ac:dyDescent="0.35"/>
    <row r="1628" hidden="1" x14ac:dyDescent="0.35"/>
    <row r="1629" hidden="1" x14ac:dyDescent="0.35"/>
    <row r="1630" hidden="1" x14ac:dyDescent="0.35"/>
    <row r="1631" hidden="1" x14ac:dyDescent="0.35"/>
    <row r="1632" hidden="1" x14ac:dyDescent="0.35"/>
    <row r="1633" hidden="1" x14ac:dyDescent="0.35"/>
    <row r="1634" hidden="1" x14ac:dyDescent="0.35"/>
    <row r="1635" hidden="1" x14ac:dyDescent="0.35"/>
    <row r="1636" hidden="1" x14ac:dyDescent="0.35"/>
    <row r="1637" hidden="1" x14ac:dyDescent="0.35"/>
    <row r="1638" hidden="1" x14ac:dyDescent="0.35"/>
    <row r="1639" hidden="1" x14ac:dyDescent="0.35"/>
    <row r="1640" hidden="1" x14ac:dyDescent="0.35"/>
    <row r="1641" hidden="1" x14ac:dyDescent="0.35"/>
    <row r="1642" hidden="1" x14ac:dyDescent="0.35"/>
    <row r="1643" hidden="1" x14ac:dyDescent="0.35"/>
    <row r="1644" hidden="1" x14ac:dyDescent="0.35"/>
    <row r="1645" hidden="1" x14ac:dyDescent="0.35"/>
    <row r="1646" hidden="1" x14ac:dyDescent="0.35"/>
    <row r="1647" hidden="1" x14ac:dyDescent="0.35"/>
    <row r="1648" hidden="1" x14ac:dyDescent="0.35"/>
    <row r="1649" hidden="1" x14ac:dyDescent="0.35"/>
    <row r="1650" hidden="1" x14ac:dyDescent="0.35"/>
    <row r="1651" hidden="1" x14ac:dyDescent="0.35"/>
    <row r="1652" hidden="1" x14ac:dyDescent="0.35"/>
    <row r="1653" hidden="1" x14ac:dyDescent="0.35"/>
    <row r="1654" hidden="1" x14ac:dyDescent="0.35"/>
    <row r="1655" hidden="1" x14ac:dyDescent="0.35"/>
    <row r="1656" hidden="1" x14ac:dyDescent="0.35"/>
    <row r="1657" hidden="1" x14ac:dyDescent="0.35"/>
    <row r="1658" hidden="1" x14ac:dyDescent="0.35"/>
    <row r="1659" hidden="1" x14ac:dyDescent="0.35"/>
    <row r="1660" hidden="1" x14ac:dyDescent="0.35"/>
    <row r="1661" hidden="1" x14ac:dyDescent="0.35"/>
    <row r="1662" hidden="1" x14ac:dyDescent="0.35"/>
    <row r="1663" hidden="1" x14ac:dyDescent="0.35"/>
    <row r="1664" hidden="1" x14ac:dyDescent="0.35"/>
    <row r="1665" hidden="1" x14ac:dyDescent="0.35"/>
    <row r="1666" hidden="1" x14ac:dyDescent="0.35"/>
    <row r="1667" hidden="1" x14ac:dyDescent="0.35"/>
    <row r="1668" hidden="1" x14ac:dyDescent="0.35"/>
    <row r="1669" hidden="1" x14ac:dyDescent="0.35"/>
    <row r="1670" hidden="1" x14ac:dyDescent="0.35"/>
    <row r="1671" hidden="1" x14ac:dyDescent="0.35"/>
    <row r="1672" hidden="1" x14ac:dyDescent="0.35"/>
    <row r="1673" hidden="1" x14ac:dyDescent="0.35"/>
    <row r="1674" hidden="1" x14ac:dyDescent="0.35"/>
    <row r="1675" hidden="1" x14ac:dyDescent="0.35"/>
    <row r="1676" hidden="1" x14ac:dyDescent="0.35"/>
    <row r="1677" hidden="1" x14ac:dyDescent="0.35"/>
    <row r="1678" hidden="1" x14ac:dyDescent="0.35"/>
    <row r="1679" hidden="1" x14ac:dyDescent="0.35"/>
    <row r="1680" hidden="1" x14ac:dyDescent="0.35"/>
    <row r="1681" hidden="1" x14ac:dyDescent="0.35"/>
    <row r="1682" hidden="1" x14ac:dyDescent="0.35"/>
    <row r="1683" hidden="1" x14ac:dyDescent="0.35"/>
    <row r="1684" hidden="1" x14ac:dyDescent="0.35"/>
    <row r="1685" hidden="1" x14ac:dyDescent="0.35"/>
    <row r="1686" hidden="1" x14ac:dyDescent="0.35"/>
    <row r="1687" hidden="1" x14ac:dyDescent="0.35"/>
    <row r="1688" hidden="1" x14ac:dyDescent="0.35"/>
    <row r="1689" hidden="1" x14ac:dyDescent="0.35"/>
    <row r="1690" hidden="1" x14ac:dyDescent="0.35"/>
    <row r="1691" hidden="1" x14ac:dyDescent="0.35"/>
    <row r="1692" hidden="1" x14ac:dyDescent="0.35"/>
    <row r="1693" hidden="1" x14ac:dyDescent="0.35"/>
    <row r="1694" hidden="1" x14ac:dyDescent="0.35"/>
    <row r="1695" hidden="1" x14ac:dyDescent="0.35"/>
    <row r="1696" hidden="1" x14ac:dyDescent="0.35"/>
    <row r="1697" hidden="1" x14ac:dyDescent="0.35"/>
    <row r="1698" hidden="1" x14ac:dyDescent="0.35"/>
    <row r="1699" hidden="1" x14ac:dyDescent="0.35"/>
    <row r="1700" hidden="1" x14ac:dyDescent="0.35"/>
    <row r="1701" hidden="1" x14ac:dyDescent="0.35"/>
    <row r="1702" hidden="1" x14ac:dyDescent="0.35"/>
    <row r="1703" hidden="1" x14ac:dyDescent="0.35"/>
    <row r="1704" hidden="1" x14ac:dyDescent="0.35"/>
    <row r="1705" hidden="1" x14ac:dyDescent="0.35"/>
    <row r="1706" hidden="1" x14ac:dyDescent="0.35"/>
    <row r="1707" hidden="1" x14ac:dyDescent="0.35"/>
    <row r="1708" hidden="1" x14ac:dyDescent="0.35"/>
    <row r="1709" hidden="1" x14ac:dyDescent="0.35"/>
    <row r="1710" hidden="1" x14ac:dyDescent="0.35"/>
    <row r="1711" hidden="1" x14ac:dyDescent="0.35"/>
    <row r="1712" hidden="1" x14ac:dyDescent="0.35"/>
    <row r="1713" hidden="1" x14ac:dyDescent="0.35"/>
    <row r="1714" hidden="1" x14ac:dyDescent="0.35"/>
    <row r="1715" hidden="1" x14ac:dyDescent="0.35"/>
    <row r="1716" hidden="1" x14ac:dyDescent="0.35"/>
    <row r="1717" hidden="1" x14ac:dyDescent="0.35"/>
    <row r="1718" hidden="1" x14ac:dyDescent="0.35"/>
    <row r="1719" hidden="1" x14ac:dyDescent="0.35"/>
    <row r="1720" hidden="1" x14ac:dyDescent="0.35"/>
    <row r="1721" hidden="1" x14ac:dyDescent="0.35"/>
    <row r="1722" hidden="1" x14ac:dyDescent="0.35"/>
    <row r="1723" hidden="1" x14ac:dyDescent="0.35"/>
    <row r="1724" hidden="1" x14ac:dyDescent="0.35"/>
    <row r="1725" hidden="1" x14ac:dyDescent="0.35"/>
    <row r="1726" hidden="1" x14ac:dyDescent="0.35"/>
    <row r="1727" hidden="1" x14ac:dyDescent="0.35"/>
    <row r="1728" hidden="1" x14ac:dyDescent="0.35"/>
    <row r="1729" hidden="1" x14ac:dyDescent="0.35"/>
    <row r="1730" hidden="1" x14ac:dyDescent="0.35"/>
    <row r="1731" hidden="1" x14ac:dyDescent="0.35"/>
    <row r="1732" hidden="1" x14ac:dyDescent="0.35"/>
    <row r="1733" hidden="1" x14ac:dyDescent="0.35"/>
    <row r="1734" hidden="1" x14ac:dyDescent="0.35"/>
    <row r="1735" hidden="1" x14ac:dyDescent="0.35"/>
    <row r="1736" hidden="1" x14ac:dyDescent="0.35"/>
    <row r="1737" hidden="1" x14ac:dyDescent="0.35"/>
    <row r="1738" hidden="1" x14ac:dyDescent="0.35"/>
    <row r="1739" hidden="1" x14ac:dyDescent="0.35"/>
    <row r="1740" hidden="1" x14ac:dyDescent="0.35"/>
    <row r="1741" hidden="1" x14ac:dyDescent="0.35"/>
    <row r="1742" hidden="1" x14ac:dyDescent="0.35"/>
    <row r="1743" hidden="1" x14ac:dyDescent="0.35"/>
    <row r="1744" hidden="1" x14ac:dyDescent="0.35"/>
    <row r="1745" hidden="1" x14ac:dyDescent="0.35"/>
    <row r="1746" hidden="1" x14ac:dyDescent="0.35"/>
    <row r="1747" hidden="1" x14ac:dyDescent="0.35"/>
    <row r="1748" hidden="1" x14ac:dyDescent="0.35"/>
    <row r="1749" hidden="1" x14ac:dyDescent="0.35"/>
    <row r="1750" hidden="1" x14ac:dyDescent="0.35"/>
    <row r="1751" hidden="1" x14ac:dyDescent="0.35"/>
    <row r="1752" hidden="1" x14ac:dyDescent="0.35"/>
    <row r="1753" hidden="1" x14ac:dyDescent="0.35"/>
    <row r="1754" hidden="1" x14ac:dyDescent="0.35"/>
    <row r="1755" hidden="1" x14ac:dyDescent="0.35"/>
    <row r="1756" hidden="1" x14ac:dyDescent="0.35"/>
    <row r="1757" hidden="1" x14ac:dyDescent="0.35"/>
    <row r="1758" hidden="1" x14ac:dyDescent="0.35"/>
    <row r="1759" hidden="1" x14ac:dyDescent="0.35"/>
    <row r="1760" hidden="1" x14ac:dyDescent="0.35"/>
    <row r="1761" hidden="1" x14ac:dyDescent="0.35"/>
    <row r="1762" hidden="1" x14ac:dyDescent="0.35"/>
    <row r="1763" hidden="1" x14ac:dyDescent="0.35"/>
    <row r="1764" hidden="1" x14ac:dyDescent="0.35"/>
    <row r="1765" hidden="1" x14ac:dyDescent="0.35"/>
    <row r="1766" hidden="1" x14ac:dyDescent="0.35"/>
    <row r="1767" hidden="1" x14ac:dyDescent="0.35"/>
    <row r="1768" hidden="1" x14ac:dyDescent="0.35"/>
    <row r="1769" hidden="1" x14ac:dyDescent="0.35"/>
    <row r="1770" hidden="1" x14ac:dyDescent="0.35"/>
    <row r="1771" hidden="1" x14ac:dyDescent="0.35"/>
    <row r="1772" hidden="1" x14ac:dyDescent="0.35"/>
    <row r="1773" hidden="1" x14ac:dyDescent="0.35"/>
    <row r="1774" hidden="1" x14ac:dyDescent="0.35"/>
    <row r="1775" hidden="1" x14ac:dyDescent="0.35"/>
    <row r="1776" hidden="1" x14ac:dyDescent="0.35"/>
    <row r="1777" hidden="1" x14ac:dyDescent="0.35"/>
    <row r="1778" hidden="1" x14ac:dyDescent="0.35"/>
    <row r="1779" hidden="1" x14ac:dyDescent="0.35"/>
    <row r="1780" hidden="1" x14ac:dyDescent="0.35"/>
    <row r="1781" hidden="1" x14ac:dyDescent="0.35"/>
    <row r="1782" hidden="1" x14ac:dyDescent="0.35"/>
    <row r="1783" hidden="1" x14ac:dyDescent="0.35"/>
    <row r="1784" hidden="1" x14ac:dyDescent="0.35"/>
    <row r="1785" hidden="1" x14ac:dyDescent="0.35"/>
    <row r="1786" hidden="1" x14ac:dyDescent="0.35"/>
    <row r="1787" hidden="1" x14ac:dyDescent="0.35"/>
    <row r="1788" hidden="1" x14ac:dyDescent="0.35"/>
    <row r="1789" hidden="1" x14ac:dyDescent="0.35"/>
    <row r="1790" hidden="1" x14ac:dyDescent="0.35"/>
    <row r="1791" hidden="1" x14ac:dyDescent="0.35"/>
    <row r="1792" hidden="1" x14ac:dyDescent="0.35"/>
    <row r="1793" hidden="1" x14ac:dyDescent="0.35"/>
    <row r="1794" hidden="1" x14ac:dyDescent="0.35"/>
    <row r="1795" hidden="1" x14ac:dyDescent="0.35"/>
    <row r="1796" hidden="1" x14ac:dyDescent="0.35"/>
    <row r="1797" hidden="1" x14ac:dyDescent="0.35"/>
    <row r="1798" hidden="1" x14ac:dyDescent="0.35"/>
    <row r="1799" hidden="1" x14ac:dyDescent="0.35"/>
    <row r="1800" hidden="1" x14ac:dyDescent="0.35"/>
    <row r="1801" hidden="1" x14ac:dyDescent="0.35"/>
    <row r="1802" hidden="1" x14ac:dyDescent="0.35"/>
    <row r="1803" hidden="1" x14ac:dyDescent="0.35"/>
    <row r="1804" hidden="1" x14ac:dyDescent="0.35"/>
    <row r="1805" hidden="1" x14ac:dyDescent="0.35"/>
    <row r="1806" hidden="1" x14ac:dyDescent="0.35"/>
    <row r="1807" hidden="1" x14ac:dyDescent="0.35"/>
    <row r="1808" hidden="1" x14ac:dyDescent="0.35"/>
    <row r="1809" hidden="1" x14ac:dyDescent="0.35"/>
    <row r="1810" hidden="1" x14ac:dyDescent="0.35"/>
    <row r="1811" hidden="1" x14ac:dyDescent="0.35"/>
    <row r="1812" hidden="1" x14ac:dyDescent="0.35"/>
    <row r="1813" hidden="1" x14ac:dyDescent="0.35"/>
    <row r="1814" hidden="1" x14ac:dyDescent="0.35"/>
    <row r="1815" hidden="1" x14ac:dyDescent="0.35"/>
    <row r="1816" hidden="1" x14ac:dyDescent="0.35"/>
    <row r="1817" hidden="1" x14ac:dyDescent="0.35"/>
    <row r="1818" hidden="1" x14ac:dyDescent="0.35"/>
    <row r="1819" hidden="1" x14ac:dyDescent="0.35"/>
    <row r="1820" hidden="1" x14ac:dyDescent="0.35"/>
    <row r="1821" hidden="1" x14ac:dyDescent="0.35"/>
    <row r="1822" hidden="1" x14ac:dyDescent="0.35"/>
    <row r="1823" hidden="1" x14ac:dyDescent="0.35"/>
    <row r="1824" hidden="1" x14ac:dyDescent="0.35"/>
    <row r="1825" hidden="1" x14ac:dyDescent="0.35"/>
    <row r="1826" hidden="1" x14ac:dyDescent="0.35"/>
    <row r="1827" hidden="1" x14ac:dyDescent="0.35"/>
    <row r="1828" hidden="1" x14ac:dyDescent="0.35"/>
    <row r="1829" hidden="1" x14ac:dyDescent="0.35"/>
    <row r="1830" hidden="1" x14ac:dyDescent="0.35"/>
    <row r="1831" hidden="1" x14ac:dyDescent="0.35"/>
    <row r="1832" hidden="1" x14ac:dyDescent="0.35"/>
    <row r="1833" hidden="1" x14ac:dyDescent="0.35"/>
    <row r="1834" hidden="1" x14ac:dyDescent="0.35"/>
    <row r="1835" hidden="1" x14ac:dyDescent="0.35"/>
    <row r="1836" hidden="1" x14ac:dyDescent="0.35"/>
    <row r="1837" hidden="1" x14ac:dyDescent="0.35"/>
    <row r="1838" hidden="1" x14ac:dyDescent="0.35"/>
    <row r="1839" hidden="1" x14ac:dyDescent="0.35"/>
    <row r="1840" hidden="1" x14ac:dyDescent="0.35"/>
    <row r="1841" hidden="1" x14ac:dyDescent="0.35"/>
    <row r="1842" hidden="1" x14ac:dyDescent="0.35"/>
    <row r="1843" hidden="1" x14ac:dyDescent="0.35"/>
    <row r="1844" hidden="1" x14ac:dyDescent="0.35"/>
    <row r="1845" hidden="1" x14ac:dyDescent="0.35"/>
    <row r="1846" hidden="1" x14ac:dyDescent="0.35"/>
    <row r="1847" hidden="1" x14ac:dyDescent="0.35"/>
    <row r="1848" hidden="1" x14ac:dyDescent="0.35"/>
    <row r="1849" hidden="1" x14ac:dyDescent="0.35"/>
    <row r="1850" hidden="1" x14ac:dyDescent="0.35"/>
    <row r="1851" hidden="1" x14ac:dyDescent="0.35"/>
    <row r="1852" hidden="1" x14ac:dyDescent="0.35"/>
    <row r="1853" hidden="1" x14ac:dyDescent="0.35"/>
    <row r="1854" hidden="1" x14ac:dyDescent="0.35"/>
    <row r="1855" hidden="1" x14ac:dyDescent="0.35"/>
    <row r="1856" hidden="1" x14ac:dyDescent="0.35"/>
    <row r="1857" hidden="1" x14ac:dyDescent="0.35"/>
    <row r="1858" hidden="1" x14ac:dyDescent="0.35"/>
    <row r="1859" hidden="1" x14ac:dyDescent="0.35"/>
    <row r="1860" hidden="1" x14ac:dyDescent="0.35"/>
    <row r="1861" hidden="1" x14ac:dyDescent="0.35"/>
    <row r="1862" hidden="1" x14ac:dyDescent="0.35"/>
    <row r="1863" hidden="1" x14ac:dyDescent="0.35"/>
    <row r="1864" hidden="1" x14ac:dyDescent="0.35"/>
    <row r="1865" hidden="1" x14ac:dyDescent="0.35"/>
    <row r="1866" hidden="1" x14ac:dyDescent="0.35"/>
    <row r="1867" hidden="1" x14ac:dyDescent="0.35"/>
    <row r="1868" hidden="1" x14ac:dyDescent="0.35"/>
    <row r="1869" hidden="1" x14ac:dyDescent="0.35"/>
    <row r="1870" hidden="1" x14ac:dyDescent="0.35"/>
    <row r="1871" hidden="1" x14ac:dyDescent="0.35"/>
    <row r="1872" hidden="1" x14ac:dyDescent="0.35"/>
    <row r="1873" hidden="1" x14ac:dyDescent="0.35"/>
    <row r="1874" hidden="1" x14ac:dyDescent="0.35"/>
    <row r="1875" hidden="1" x14ac:dyDescent="0.35"/>
    <row r="1876" hidden="1" x14ac:dyDescent="0.35"/>
    <row r="1877" hidden="1" x14ac:dyDescent="0.35"/>
    <row r="1878" hidden="1" x14ac:dyDescent="0.35"/>
    <row r="1879" hidden="1" x14ac:dyDescent="0.35"/>
    <row r="1880" hidden="1" x14ac:dyDescent="0.35"/>
    <row r="1881" hidden="1" x14ac:dyDescent="0.35"/>
    <row r="1882" hidden="1" x14ac:dyDescent="0.35"/>
    <row r="1883" hidden="1" x14ac:dyDescent="0.35"/>
    <row r="1884" hidden="1" x14ac:dyDescent="0.35"/>
    <row r="1885" hidden="1" x14ac:dyDescent="0.35"/>
    <row r="1886" hidden="1" x14ac:dyDescent="0.35"/>
    <row r="1887" hidden="1" x14ac:dyDescent="0.35"/>
    <row r="1888" hidden="1" x14ac:dyDescent="0.35"/>
    <row r="1889" hidden="1" x14ac:dyDescent="0.35"/>
    <row r="1890" hidden="1" x14ac:dyDescent="0.35"/>
    <row r="1891" hidden="1" x14ac:dyDescent="0.35"/>
    <row r="1892" hidden="1" x14ac:dyDescent="0.35"/>
    <row r="1893" hidden="1" x14ac:dyDescent="0.35"/>
    <row r="1894" hidden="1" x14ac:dyDescent="0.35"/>
    <row r="1895" hidden="1" x14ac:dyDescent="0.35"/>
    <row r="1896" hidden="1" x14ac:dyDescent="0.35"/>
    <row r="1897" hidden="1" x14ac:dyDescent="0.35"/>
    <row r="1898" hidden="1" x14ac:dyDescent="0.35"/>
    <row r="1899" hidden="1" x14ac:dyDescent="0.35"/>
    <row r="1900" hidden="1" x14ac:dyDescent="0.35"/>
    <row r="1901" hidden="1" x14ac:dyDescent="0.35"/>
    <row r="1902" hidden="1" x14ac:dyDescent="0.35"/>
    <row r="1903" hidden="1" x14ac:dyDescent="0.35"/>
    <row r="1904" hidden="1" x14ac:dyDescent="0.35"/>
    <row r="1905" hidden="1" x14ac:dyDescent="0.35"/>
    <row r="1906" hidden="1" x14ac:dyDescent="0.35"/>
    <row r="1907" hidden="1" x14ac:dyDescent="0.35"/>
    <row r="1908" hidden="1" x14ac:dyDescent="0.35"/>
    <row r="1909" hidden="1" x14ac:dyDescent="0.35"/>
    <row r="1910" hidden="1" x14ac:dyDescent="0.35"/>
    <row r="1911" hidden="1" x14ac:dyDescent="0.35"/>
    <row r="1912" hidden="1" x14ac:dyDescent="0.35"/>
    <row r="1913" hidden="1" x14ac:dyDescent="0.35"/>
    <row r="1914" hidden="1" x14ac:dyDescent="0.35"/>
    <row r="1915" hidden="1" x14ac:dyDescent="0.35"/>
    <row r="1916" hidden="1" x14ac:dyDescent="0.35"/>
    <row r="1917" hidden="1" x14ac:dyDescent="0.35"/>
    <row r="1918" hidden="1" x14ac:dyDescent="0.35"/>
    <row r="1919" hidden="1" x14ac:dyDescent="0.35"/>
    <row r="1920" hidden="1" x14ac:dyDescent="0.35"/>
    <row r="1921" hidden="1" x14ac:dyDescent="0.35"/>
    <row r="1922" hidden="1" x14ac:dyDescent="0.35"/>
    <row r="1923" hidden="1" x14ac:dyDescent="0.35"/>
    <row r="1924" hidden="1" x14ac:dyDescent="0.35"/>
    <row r="1925" hidden="1" x14ac:dyDescent="0.35"/>
    <row r="1926" hidden="1" x14ac:dyDescent="0.35"/>
    <row r="1927" hidden="1" x14ac:dyDescent="0.35"/>
    <row r="1928" hidden="1" x14ac:dyDescent="0.35"/>
    <row r="1929" hidden="1" x14ac:dyDescent="0.35"/>
    <row r="1930" hidden="1" x14ac:dyDescent="0.35"/>
    <row r="1931" hidden="1" x14ac:dyDescent="0.35"/>
    <row r="1932" hidden="1" x14ac:dyDescent="0.35"/>
    <row r="1933" hidden="1" x14ac:dyDescent="0.35"/>
    <row r="1934" hidden="1" x14ac:dyDescent="0.35"/>
    <row r="1935" hidden="1" x14ac:dyDescent="0.35"/>
    <row r="1936" hidden="1" x14ac:dyDescent="0.35"/>
    <row r="1937" hidden="1" x14ac:dyDescent="0.35"/>
    <row r="1938" hidden="1" x14ac:dyDescent="0.35"/>
    <row r="1939" hidden="1" x14ac:dyDescent="0.35"/>
    <row r="1940" hidden="1" x14ac:dyDescent="0.35"/>
    <row r="1941" hidden="1" x14ac:dyDescent="0.35"/>
    <row r="1942" hidden="1" x14ac:dyDescent="0.35"/>
    <row r="1943" hidden="1" x14ac:dyDescent="0.35"/>
    <row r="1944" hidden="1" x14ac:dyDescent="0.35"/>
    <row r="1945" hidden="1" x14ac:dyDescent="0.35"/>
    <row r="1946" hidden="1" x14ac:dyDescent="0.35"/>
    <row r="1947" hidden="1" x14ac:dyDescent="0.35"/>
    <row r="1948" hidden="1" x14ac:dyDescent="0.35"/>
    <row r="1949" hidden="1" x14ac:dyDescent="0.35"/>
    <row r="1950" hidden="1" x14ac:dyDescent="0.35"/>
    <row r="1951" hidden="1" x14ac:dyDescent="0.35"/>
    <row r="1952" hidden="1" x14ac:dyDescent="0.35"/>
    <row r="1953" hidden="1" x14ac:dyDescent="0.35"/>
    <row r="1954" hidden="1" x14ac:dyDescent="0.35"/>
    <row r="1955" hidden="1" x14ac:dyDescent="0.35"/>
    <row r="1956" hidden="1" x14ac:dyDescent="0.35"/>
    <row r="1957" hidden="1" x14ac:dyDescent="0.35"/>
    <row r="1958" hidden="1" x14ac:dyDescent="0.35"/>
    <row r="1959" hidden="1" x14ac:dyDescent="0.35"/>
    <row r="1960" hidden="1" x14ac:dyDescent="0.35"/>
    <row r="1961" hidden="1" x14ac:dyDescent="0.35"/>
    <row r="1962" hidden="1" x14ac:dyDescent="0.35"/>
    <row r="1963" hidden="1" x14ac:dyDescent="0.35"/>
    <row r="1964" hidden="1" x14ac:dyDescent="0.35"/>
    <row r="1965" hidden="1" x14ac:dyDescent="0.35"/>
    <row r="1966" hidden="1" x14ac:dyDescent="0.35"/>
    <row r="1967" hidden="1" x14ac:dyDescent="0.35"/>
    <row r="1968" hidden="1" x14ac:dyDescent="0.35"/>
    <row r="1969" hidden="1" x14ac:dyDescent="0.35"/>
    <row r="1970" hidden="1" x14ac:dyDescent="0.35"/>
    <row r="1971" hidden="1" x14ac:dyDescent="0.35"/>
    <row r="1972" hidden="1" x14ac:dyDescent="0.35"/>
    <row r="1973" hidden="1" x14ac:dyDescent="0.35"/>
    <row r="1974" hidden="1" x14ac:dyDescent="0.35"/>
    <row r="1975" hidden="1" x14ac:dyDescent="0.35"/>
    <row r="1976" hidden="1" x14ac:dyDescent="0.35"/>
    <row r="1977" hidden="1" x14ac:dyDescent="0.35"/>
    <row r="1978" hidden="1" x14ac:dyDescent="0.35"/>
    <row r="1979" hidden="1" x14ac:dyDescent="0.35"/>
    <row r="1980" hidden="1" x14ac:dyDescent="0.35"/>
    <row r="1981" hidden="1" x14ac:dyDescent="0.35"/>
    <row r="1982" hidden="1" x14ac:dyDescent="0.35"/>
    <row r="1983" hidden="1" x14ac:dyDescent="0.35"/>
    <row r="1984" hidden="1" x14ac:dyDescent="0.35"/>
    <row r="1985" hidden="1" x14ac:dyDescent="0.35"/>
    <row r="1986" hidden="1" x14ac:dyDescent="0.35"/>
    <row r="1987" hidden="1" x14ac:dyDescent="0.35"/>
    <row r="1988" hidden="1" x14ac:dyDescent="0.35"/>
    <row r="1989" hidden="1" x14ac:dyDescent="0.35"/>
    <row r="1990" hidden="1" x14ac:dyDescent="0.35"/>
    <row r="1991" hidden="1" x14ac:dyDescent="0.35"/>
    <row r="1992" hidden="1" x14ac:dyDescent="0.35"/>
    <row r="1993" hidden="1" x14ac:dyDescent="0.35"/>
    <row r="1994" hidden="1" x14ac:dyDescent="0.35"/>
    <row r="1995" hidden="1" x14ac:dyDescent="0.35"/>
    <row r="1996" hidden="1" x14ac:dyDescent="0.35"/>
    <row r="1997" hidden="1" x14ac:dyDescent="0.35"/>
    <row r="1998" hidden="1" x14ac:dyDescent="0.35"/>
    <row r="1999" hidden="1" x14ac:dyDescent="0.35"/>
    <row r="2000" hidden="1" x14ac:dyDescent="0.35"/>
    <row r="2001" hidden="1" x14ac:dyDescent="0.35"/>
    <row r="2002" hidden="1" x14ac:dyDescent="0.35"/>
    <row r="2003" hidden="1" x14ac:dyDescent="0.35"/>
    <row r="2004" hidden="1" x14ac:dyDescent="0.35"/>
    <row r="2005" hidden="1" x14ac:dyDescent="0.35"/>
    <row r="2006" hidden="1" x14ac:dyDescent="0.35"/>
    <row r="2007" hidden="1" x14ac:dyDescent="0.35"/>
    <row r="2008" hidden="1" x14ac:dyDescent="0.35"/>
    <row r="2009" hidden="1" x14ac:dyDescent="0.35"/>
    <row r="2010" hidden="1" x14ac:dyDescent="0.35"/>
    <row r="2011" hidden="1" x14ac:dyDescent="0.35"/>
    <row r="2012" hidden="1" x14ac:dyDescent="0.35"/>
    <row r="2013" hidden="1" x14ac:dyDescent="0.35"/>
    <row r="2014" hidden="1" x14ac:dyDescent="0.35"/>
    <row r="2015" hidden="1" x14ac:dyDescent="0.35"/>
    <row r="2016" hidden="1" x14ac:dyDescent="0.35"/>
    <row r="2017" hidden="1" x14ac:dyDescent="0.35"/>
    <row r="2018" hidden="1" x14ac:dyDescent="0.35"/>
    <row r="2019" hidden="1" x14ac:dyDescent="0.35"/>
    <row r="2020" hidden="1" x14ac:dyDescent="0.35"/>
    <row r="2021" hidden="1" x14ac:dyDescent="0.35"/>
    <row r="2022" hidden="1" x14ac:dyDescent="0.35"/>
    <row r="2023" hidden="1" x14ac:dyDescent="0.35"/>
    <row r="2024" hidden="1" x14ac:dyDescent="0.35"/>
    <row r="2025" hidden="1" x14ac:dyDescent="0.35"/>
    <row r="2026" hidden="1" x14ac:dyDescent="0.35"/>
    <row r="2027" hidden="1" x14ac:dyDescent="0.35"/>
    <row r="2028" hidden="1" x14ac:dyDescent="0.35"/>
    <row r="2029" hidden="1" x14ac:dyDescent="0.35"/>
    <row r="2030" hidden="1" x14ac:dyDescent="0.35"/>
    <row r="2031" hidden="1" x14ac:dyDescent="0.35"/>
    <row r="2032" hidden="1" x14ac:dyDescent="0.35"/>
    <row r="2033" hidden="1" x14ac:dyDescent="0.35"/>
    <row r="2034" hidden="1" x14ac:dyDescent="0.35"/>
    <row r="2035" hidden="1" x14ac:dyDescent="0.35"/>
    <row r="2036" hidden="1" x14ac:dyDescent="0.35"/>
    <row r="2037" hidden="1" x14ac:dyDescent="0.35"/>
    <row r="2038" hidden="1" x14ac:dyDescent="0.35"/>
    <row r="2039" hidden="1" x14ac:dyDescent="0.35"/>
    <row r="2040" hidden="1" x14ac:dyDescent="0.35"/>
    <row r="2041" hidden="1" x14ac:dyDescent="0.35"/>
    <row r="2042" hidden="1" x14ac:dyDescent="0.35"/>
    <row r="2043" hidden="1" x14ac:dyDescent="0.35"/>
    <row r="2044" hidden="1" x14ac:dyDescent="0.35"/>
    <row r="2045" hidden="1" x14ac:dyDescent="0.35"/>
    <row r="2046" hidden="1" x14ac:dyDescent="0.35"/>
    <row r="2047" hidden="1" x14ac:dyDescent="0.35"/>
    <row r="2048" hidden="1" x14ac:dyDescent="0.35"/>
    <row r="2049" hidden="1" x14ac:dyDescent="0.35"/>
    <row r="2050" hidden="1" x14ac:dyDescent="0.35"/>
    <row r="2051" hidden="1" x14ac:dyDescent="0.35"/>
    <row r="2052" hidden="1" x14ac:dyDescent="0.35"/>
    <row r="2053" hidden="1" x14ac:dyDescent="0.35"/>
    <row r="2054" hidden="1" x14ac:dyDescent="0.35"/>
    <row r="2055" hidden="1" x14ac:dyDescent="0.35"/>
    <row r="2056" hidden="1" x14ac:dyDescent="0.35"/>
    <row r="2057" hidden="1" x14ac:dyDescent="0.35"/>
    <row r="2058" hidden="1" x14ac:dyDescent="0.35"/>
    <row r="2059" hidden="1" x14ac:dyDescent="0.35"/>
    <row r="2060" hidden="1" x14ac:dyDescent="0.35"/>
    <row r="2061" hidden="1" x14ac:dyDescent="0.35"/>
    <row r="2062" hidden="1" x14ac:dyDescent="0.35"/>
    <row r="2063" hidden="1" x14ac:dyDescent="0.35"/>
    <row r="2064" hidden="1" x14ac:dyDescent="0.35"/>
    <row r="2065" hidden="1" x14ac:dyDescent="0.35"/>
    <row r="2066" hidden="1" x14ac:dyDescent="0.35"/>
    <row r="2067" hidden="1" x14ac:dyDescent="0.35"/>
    <row r="2068" hidden="1" x14ac:dyDescent="0.35"/>
    <row r="2069" hidden="1" x14ac:dyDescent="0.35"/>
    <row r="2070" hidden="1" x14ac:dyDescent="0.35"/>
    <row r="2071" hidden="1" x14ac:dyDescent="0.35"/>
    <row r="2072" hidden="1" x14ac:dyDescent="0.35"/>
    <row r="2073" hidden="1" x14ac:dyDescent="0.35"/>
    <row r="2074" hidden="1" x14ac:dyDescent="0.35"/>
    <row r="2075" hidden="1" x14ac:dyDescent="0.35"/>
    <row r="2076" hidden="1" x14ac:dyDescent="0.35"/>
    <row r="2077" hidden="1" x14ac:dyDescent="0.35"/>
    <row r="2078" hidden="1" x14ac:dyDescent="0.35"/>
    <row r="2079" hidden="1" x14ac:dyDescent="0.35"/>
    <row r="2080" hidden="1" x14ac:dyDescent="0.35"/>
    <row r="2081" hidden="1" x14ac:dyDescent="0.35"/>
    <row r="2082" hidden="1" x14ac:dyDescent="0.35"/>
    <row r="2083" hidden="1" x14ac:dyDescent="0.35"/>
    <row r="2084" hidden="1" x14ac:dyDescent="0.35"/>
    <row r="2085" hidden="1" x14ac:dyDescent="0.35"/>
    <row r="2086" hidden="1" x14ac:dyDescent="0.35"/>
    <row r="2087" hidden="1" x14ac:dyDescent="0.35"/>
    <row r="2088" hidden="1" x14ac:dyDescent="0.35"/>
    <row r="2089" hidden="1" x14ac:dyDescent="0.35"/>
    <row r="2090" hidden="1" x14ac:dyDescent="0.35"/>
    <row r="2091" hidden="1" x14ac:dyDescent="0.35"/>
    <row r="2092" hidden="1" x14ac:dyDescent="0.35"/>
    <row r="2093" hidden="1" x14ac:dyDescent="0.35"/>
    <row r="2094" hidden="1" x14ac:dyDescent="0.35"/>
    <row r="2095" hidden="1" x14ac:dyDescent="0.35"/>
    <row r="2096" hidden="1" x14ac:dyDescent="0.35"/>
    <row r="2097" hidden="1" x14ac:dyDescent="0.35"/>
    <row r="2098" hidden="1" x14ac:dyDescent="0.35"/>
    <row r="2099" hidden="1" x14ac:dyDescent="0.35"/>
    <row r="2100" hidden="1" x14ac:dyDescent="0.35"/>
    <row r="2101" hidden="1" x14ac:dyDescent="0.35"/>
    <row r="2102" hidden="1" x14ac:dyDescent="0.35"/>
    <row r="2103" hidden="1" x14ac:dyDescent="0.35"/>
    <row r="2104" hidden="1" x14ac:dyDescent="0.35"/>
    <row r="2105" hidden="1" x14ac:dyDescent="0.35"/>
    <row r="2106" hidden="1" x14ac:dyDescent="0.35"/>
    <row r="2107" hidden="1" x14ac:dyDescent="0.35"/>
    <row r="2108" hidden="1" x14ac:dyDescent="0.35"/>
    <row r="2109" hidden="1" x14ac:dyDescent="0.35"/>
    <row r="2110" hidden="1" x14ac:dyDescent="0.35"/>
    <row r="2111" hidden="1" x14ac:dyDescent="0.35"/>
    <row r="2112" hidden="1" x14ac:dyDescent="0.35"/>
    <row r="2113" hidden="1" x14ac:dyDescent="0.35"/>
    <row r="2114" hidden="1" x14ac:dyDescent="0.35"/>
    <row r="2115" hidden="1" x14ac:dyDescent="0.35"/>
    <row r="2116" hidden="1" x14ac:dyDescent="0.35"/>
    <row r="2117" hidden="1" x14ac:dyDescent="0.35"/>
    <row r="2118" hidden="1" x14ac:dyDescent="0.35"/>
    <row r="2119" hidden="1" x14ac:dyDescent="0.35"/>
    <row r="2120" hidden="1" x14ac:dyDescent="0.35"/>
    <row r="2121" hidden="1" x14ac:dyDescent="0.35"/>
    <row r="2122" hidden="1" x14ac:dyDescent="0.35"/>
    <row r="2123" hidden="1" x14ac:dyDescent="0.35"/>
    <row r="2124" hidden="1" x14ac:dyDescent="0.35"/>
    <row r="2125" hidden="1" x14ac:dyDescent="0.35"/>
    <row r="2126" hidden="1" x14ac:dyDescent="0.35"/>
    <row r="2127" hidden="1" x14ac:dyDescent="0.35"/>
    <row r="2128" hidden="1" x14ac:dyDescent="0.35"/>
    <row r="2129" hidden="1" x14ac:dyDescent="0.35"/>
    <row r="2130" hidden="1" x14ac:dyDescent="0.35"/>
    <row r="2131" hidden="1" x14ac:dyDescent="0.35"/>
    <row r="2132" hidden="1" x14ac:dyDescent="0.35"/>
    <row r="2133" hidden="1" x14ac:dyDescent="0.35"/>
    <row r="2134" hidden="1" x14ac:dyDescent="0.35"/>
    <row r="2135" hidden="1" x14ac:dyDescent="0.35"/>
    <row r="2136" hidden="1" x14ac:dyDescent="0.35"/>
    <row r="2137" hidden="1" x14ac:dyDescent="0.35"/>
    <row r="2138" hidden="1" x14ac:dyDescent="0.35"/>
    <row r="2139" hidden="1" x14ac:dyDescent="0.35"/>
    <row r="2140" hidden="1" x14ac:dyDescent="0.35"/>
    <row r="2141" hidden="1" x14ac:dyDescent="0.35"/>
    <row r="2142" hidden="1" x14ac:dyDescent="0.35"/>
    <row r="2143" hidden="1" x14ac:dyDescent="0.35"/>
    <row r="2144" hidden="1" x14ac:dyDescent="0.35"/>
    <row r="2145" hidden="1" x14ac:dyDescent="0.35"/>
    <row r="2146" hidden="1" x14ac:dyDescent="0.35"/>
    <row r="2147" hidden="1" x14ac:dyDescent="0.35"/>
    <row r="2148" hidden="1" x14ac:dyDescent="0.35"/>
    <row r="2149" hidden="1" x14ac:dyDescent="0.35"/>
    <row r="2150" hidden="1" x14ac:dyDescent="0.35"/>
    <row r="2151" hidden="1" x14ac:dyDescent="0.35"/>
    <row r="2152" hidden="1" x14ac:dyDescent="0.35"/>
    <row r="2153" hidden="1" x14ac:dyDescent="0.35"/>
    <row r="2154" hidden="1" x14ac:dyDescent="0.35"/>
    <row r="2155" hidden="1" x14ac:dyDescent="0.35"/>
    <row r="2156" hidden="1" x14ac:dyDescent="0.35"/>
    <row r="2157" hidden="1" x14ac:dyDescent="0.35"/>
    <row r="2158" hidden="1" x14ac:dyDescent="0.35"/>
    <row r="2159" hidden="1" x14ac:dyDescent="0.35"/>
    <row r="2160" hidden="1" x14ac:dyDescent="0.35"/>
    <row r="2161" hidden="1" x14ac:dyDescent="0.35"/>
    <row r="2162" hidden="1" x14ac:dyDescent="0.35"/>
    <row r="2163" hidden="1" x14ac:dyDescent="0.35"/>
    <row r="2164" hidden="1" x14ac:dyDescent="0.35"/>
    <row r="2165" hidden="1" x14ac:dyDescent="0.35"/>
    <row r="2166" hidden="1" x14ac:dyDescent="0.35"/>
    <row r="2167" hidden="1" x14ac:dyDescent="0.35"/>
    <row r="2168" hidden="1" x14ac:dyDescent="0.35"/>
    <row r="2169" hidden="1" x14ac:dyDescent="0.35"/>
    <row r="2170" hidden="1" x14ac:dyDescent="0.35"/>
    <row r="2171" hidden="1" x14ac:dyDescent="0.35"/>
    <row r="2172" hidden="1" x14ac:dyDescent="0.35"/>
    <row r="2173" hidden="1" x14ac:dyDescent="0.35"/>
    <row r="2174" hidden="1" x14ac:dyDescent="0.35"/>
    <row r="2175" hidden="1" x14ac:dyDescent="0.35"/>
    <row r="2176" hidden="1" x14ac:dyDescent="0.35"/>
    <row r="2177" hidden="1" x14ac:dyDescent="0.35"/>
    <row r="2178" hidden="1" x14ac:dyDescent="0.35"/>
    <row r="2179" hidden="1" x14ac:dyDescent="0.35"/>
    <row r="2180" hidden="1" x14ac:dyDescent="0.35"/>
    <row r="2181" hidden="1" x14ac:dyDescent="0.35"/>
    <row r="2182" hidden="1" x14ac:dyDescent="0.35"/>
    <row r="2183" hidden="1" x14ac:dyDescent="0.35"/>
    <row r="2184" hidden="1" x14ac:dyDescent="0.35"/>
    <row r="2185" hidden="1" x14ac:dyDescent="0.35"/>
    <row r="2186" hidden="1" x14ac:dyDescent="0.35"/>
    <row r="2187" hidden="1" x14ac:dyDescent="0.35"/>
    <row r="2188" hidden="1" x14ac:dyDescent="0.35"/>
    <row r="2189" hidden="1" x14ac:dyDescent="0.35"/>
    <row r="2190" hidden="1" x14ac:dyDescent="0.35"/>
    <row r="2191" hidden="1" x14ac:dyDescent="0.35"/>
    <row r="2192" hidden="1" x14ac:dyDescent="0.35"/>
    <row r="2193" hidden="1" x14ac:dyDescent="0.35"/>
    <row r="2194" hidden="1" x14ac:dyDescent="0.35"/>
    <row r="2195" hidden="1" x14ac:dyDescent="0.35"/>
    <row r="2196" hidden="1" x14ac:dyDescent="0.35"/>
    <row r="2197" hidden="1" x14ac:dyDescent="0.35"/>
    <row r="2198" hidden="1" x14ac:dyDescent="0.35"/>
    <row r="2199" hidden="1" x14ac:dyDescent="0.35"/>
    <row r="2200" hidden="1" x14ac:dyDescent="0.35"/>
    <row r="2201" hidden="1" x14ac:dyDescent="0.35"/>
    <row r="2202" hidden="1" x14ac:dyDescent="0.35"/>
    <row r="2203" hidden="1" x14ac:dyDescent="0.35"/>
    <row r="2204" hidden="1" x14ac:dyDescent="0.35"/>
    <row r="2205" hidden="1" x14ac:dyDescent="0.35"/>
    <row r="2206" hidden="1" x14ac:dyDescent="0.35"/>
    <row r="2207" hidden="1" x14ac:dyDescent="0.35"/>
    <row r="2208" hidden="1" x14ac:dyDescent="0.35"/>
    <row r="2209" hidden="1" x14ac:dyDescent="0.35"/>
    <row r="2210" hidden="1" x14ac:dyDescent="0.35"/>
    <row r="2211" hidden="1" x14ac:dyDescent="0.35"/>
    <row r="2212" hidden="1" x14ac:dyDescent="0.35"/>
    <row r="2213" hidden="1" x14ac:dyDescent="0.35"/>
    <row r="2214" hidden="1" x14ac:dyDescent="0.35"/>
    <row r="2215" hidden="1" x14ac:dyDescent="0.35"/>
    <row r="2216" hidden="1" x14ac:dyDescent="0.35"/>
    <row r="2217" hidden="1" x14ac:dyDescent="0.35"/>
    <row r="2218" hidden="1" x14ac:dyDescent="0.35"/>
    <row r="2219" hidden="1" x14ac:dyDescent="0.35"/>
    <row r="2220" hidden="1" x14ac:dyDescent="0.35"/>
    <row r="2221" hidden="1" x14ac:dyDescent="0.35"/>
    <row r="2222" hidden="1" x14ac:dyDescent="0.35"/>
    <row r="2223" hidden="1" x14ac:dyDescent="0.35"/>
    <row r="2224" hidden="1" x14ac:dyDescent="0.35"/>
    <row r="2225" hidden="1" x14ac:dyDescent="0.35"/>
    <row r="2226" hidden="1" x14ac:dyDescent="0.35"/>
    <row r="2227" hidden="1" x14ac:dyDescent="0.35"/>
    <row r="2228" hidden="1" x14ac:dyDescent="0.35"/>
    <row r="2229" hidden="1" x14ac:dyDescent="0.35"/>
    <row r="2230" hidden="1" x14ac:dyDescent="0.35"/>
    <row r="2231" hidden="1" x14ac:dyDescent="0.35"/>
    <row r="2232" hidden="1" x14ac:dyDescent="0.35"/>
    <row r="2233" hidden="1" x14ac:dyDescent="0.35"/>
    <row r="2234" hidden="1" x14ac:dyDescent="0.35"/>
    <row r="2235" hidden="1" x14ac:dyDescent="0.35"/>
    <row r="2236" hidden="1" x14ac:dyDescent="0.35"/>
    <row r="2237" hidden="1" x14ac:dyDescent="0.35"/>
    <row r="2238" hidden="1" x14ac:dyDescent="0.35"/>
    <row r="2239" hidden="1" x14ac:dyDescent="0.35"/>
    <row r="2240" hidden="1" x14ac:dyDescent="0.35"/>
    <row r="2241" hidden="1" x14ac:dyDescent="0.35"/>
    <row r="2242" hidden="1" x14ac:dyDescent="0.35"/>
    <row r="2243" hidden="1" x14ac:dyDescent="0.35"/>
    <row r="2244" hidden="1" x14ac:dyDescent="0.35"/>
    <row r="2245" hidden="1" x14ac:dyDescent="0.35"/>
    <row r="2246" hidden="1" x14ac:dyDescent="0.35"/>
    <row r="2247" hidden="1" x14ac:dyDescent="0.35"/>
    <row r="2248" hidden="1" x14ac:dyDescent="0.35"/>
    <row r="2249" hidden="1" x14ac:dyDescent="0.35"/>
    <row r="2250" hidden="1" x14ac:dyDescent="0.35"/>
    <row r="2251" hidden="1" x14ac:dyDescent="0.35"/>
    <row r="2252" hidden="1" x14ac:dyDescent="0.35"/>
    <row r="2253" hidden="1" x14ac:dyDescent="0.35"/>
    <row r="2254" hidden="1" x14ac:dyDescent="0.35"/>
    <row r="2255" hidden="1" x14ac:dyDescent="0.35"/>
    <row r="2256" hidden="1" x14ac:dyDescent="0.35"/>
    <row r="2257" hidden="1" x14ac:dyDescent="0.35"/>
    <row r="2258" hidden="1" x14ac:dyDescent="0.35"/>
    <row r="2259" hidden="1" x14ac:dyDescent="0.35"/>
    <row r="2260" hidden="1" x14ac:dyDescent="0.35"/>
    <row r="2261" hidden="1" x14ac:dyDescent="0.35"/>
    <row r="2262" hidden="1" x14ac:dyDescent="0.35"/>
    <row r="2263" hidden="1" x14ac:dyDescent="0.35"/>
    <row r="2264" hidden="1" x14ac:dyDescent="0.35"/>
    <row r="2265" hidden="1" x14ac:dyDescent="0.35"/>
    <row r="2266" hidden="1" x14ac:dyDescent="0.35"/>
    <row r="2267" hidden="1" x14ac:dyDescent="0.35"/>
    <row r="2268" hidden="1" x14ac:dyDescent="0.35"/>
    <row r="2269" hidden="1" x14ac:dyDescent="0.35"/>
    <row r="2270" hidden="1" x14ac:dyDescent="0.35"/>
    <row r="2271" hidden="1" x14ac:dyDescent="0.35"/>
    <row r="2272" hidden="1" x14ac:dyDescent="0.35"/>
    <row r="2273" hidden="1" x14ac:dyDescent="0.35"/>
    <row r="2274" hidden="1" x14ac:dyDescent="0.35"/>
    <row r="2275" hidden="1" x14ac:dyDescent="0.35"/>
    <row r="2276" hidden="1" x14ac:dyDescent="0.35"/>
    <row r="2277" hidden="1" x14ac:dyDescent="0.35"/>
    <row r="2278" hidden="1" x14ac:dyDescent="0.35"/>
    <row r="2279" hidden="1" x14ac:dyDescent="0.35"/>
    <row r="2280" hidden="1" x14ac:dyDescent="0.35"/>
    <row r="2281" hidden="1" x14ac:dyDescent="0.35"/>
    <row r="2282" hidden="1" x14ac:dyDescent="0.35"/>
    <row r="2283" hidden="1" x14ac:dyDescent="0.35"/>
    <row r="2284" hidden="1" x14ac:dyDescent="0.35"/>
    <row r="2285" hidden="1" x14ac:dyDescent="0.35"/>
    <row r="2286" hidden="1" x14ac:dyDescent="0.35"/>
    <row r="2287" hidden="1" x14ac:dyDescent="0.35"/>
    <row r="2288" hidden="1" x14ac:dyDescent="0.35"/>
    <row r="2289" hidden="1" x14ac:dyDescent="0.35"/>
    <row r="2290" hidden="1" x14ac:dyDescent="0.35"/>
    <row r="2291" hidden="1" x14ac:dyDescent="0.35"/>
    <row r="2292" hidden="1" x14ac:dyDescent="0.35"/>
    <row r="2293" hidden="1" x14ac:dyDescent="0.35"/>
    <row r="2294" hidden="1" x14ac:dyDescent="0.35"/>
    <row r="2295" hidden="1" x14ac:dyDescent="0.35"/>
    <row r="2296" hidden="1" x14ac:dyDescent="0.35"/>
    <row r="2297" hidden="1" x14ac:dyDescent="0.35"/>
    <row r="2298" hidden="1" x14ac:dyDescent="0.35"/>
    <row r="2299" hidden="1" x14ac:dyDescent="0.35"/>
    <row r="2300" hidden="1" x14ac:dyDescent="0.35"/>
    <row r="2301" hidden="1" x14ac:dyDescent="0.35"/>
    <row r="2302" hidden="1" x14ac:dyDescent="0.35"/>
    <row r="2303" hidden="1" x14ac:dyDescent="0.35"/>
    <row r="2304" hidden="1" x14ac:dyDescent="0.35"/>
    <row r="2305" hidden="1" x14ac:dyDescent="0.35"/>
    <row r="2306" hidden="1" x14ac:dyDescent="0.35"/>
    <row r="2307" hidden="1" x14ac:dyDescent="0.35"/>
    <row r="2308" hidden="1" x14ac:dyDescent="0.35"/>
    <row r="2309" hidden="1" x14ac:dyDescent="0.35"/>
    <row r="2310" hidden="1" x14ac:dyDescent="0.35"/>
    <row r="2311" hidden="1" x14ac:dyDescent="0.35"/>
    <row r="2312" hidden="1" x14ac:dyDescent="0.35"/>
    <row r="2313" hidden="1" x14ac:dyDescent="0.35"/>
    <row r="2314" hidden="1" x14ac:dyDescent="0.35"/>
    <row r="2315" hidden="1" x14ac:dyDescent="0.35"/>
    <row r="2316" hidden="1" x14ac:dyDescent="0.35"/>
    <row r="2317" hidden="1" x14ac:dyDescent="0.35"/>
    <row r="2318" hidden="1" x14ac:dyDescent="0.35"/>
    <row r="2319" hidden="1" x14ac:dyDescent="0.35"/>
    <row r="2320" hidden="1" x14ac:dyDescent="0.35"/>
    <row r="2321" hidden="1" x14ac:dyDescent="0.35"/>
    <row r="2322" hidden="1" x14ac:dyDescent="0.35"/>
    <row r="2323" hidden="1" x14ac:dyDescent="0.35"/>
    <row r="2324" hidden="1" x14ac:dyDescent="0.35"/>
    <row r="2325" hidden="1" x14ac:dyDescent="0.35"/>
    <row r="2326" hidden="1" x14ac:dyDescent="0.35"/>
    <row r="2327" hidden="1" x14ac:dyDescent="0.35"/>
    <row r="2328" hidden="1" x14ac:dyDescent="0.35"/>
    <row r="2329" hidden="1" x14ac:dyDescent="0.35"/>
    <row r="2330" hidden="1" x14ac:dyDescent="0.35"/>
    <row r="2331" hidden="1" x14ac:dyDescent="0.35"/>
    <row r="2332" hidden="1" x14ac:dyDescent="0.35"/>
    <row r="2333" hidden="1" x14ac:dyDescent="0.35"/>
    <row r="2334" hidden="1" x14ac:dyDescent="0.35"/>
    <row r="2335" hidden="1" x14ac:dyDescent="0.35"/>
    <row r="2336" hidden="1" x14ac:dyDescent="0.35"/>
    <row r="2337" hidden="1" x14ac:dyDescent="0.35"/>
    <row r="2338" hidden="1" x14ac:dyDescent="0.35"/>
    <row r="2339" hidden="1" x14ac:dyDescent="0.35"/>
    <row r="2340" hidden="1" x14ac:dyDescent="0.35"/>
    <row r="2341" hidden="1" x14ac:dyDescent="0.35"/>
    <row r="2342" hidden="1" x14ac:dyDescent="0.35"/>
    <row r="2343" hidden="1" x14ac:dyDescent="0.35"/>
    <row r="2344" hidden="1" x14ac:dyDescent="0.35"/>
    <row r="2345" hidden="1" x14ac:dyDescent="0.35"/>
    <row r="2346" hidden="1" x14ac:dyDescent="0.35"/>
    <row r="2347" hidden="1" x14ac:dyDescent="0.35"/>
    <row r="2348" hidden="1" x14ac:dyDescent="0.35"/>
    <row r="2349" hidden="1" x14ac:dyDescent="0.35"/>
    <row r="2350" hidden="1" x14ac:dyDescent="0.35"/>
    <row r="2351" hidden="1" x14ac:dyDescent="0.35"/>
    <row r="2352" hidden="1" x14ac:dyDescent="0.35"/>
    <row r="2353" hidden="1" x14ac:dyDescent="0.35"/>
    <row r="2354" hidden="1" x14ac:dyDescent="0.35"/>
    <row r="2355" hidden="1" x14ac:dyDescent="0.35"/>
    <row r="2356" hidden="1" x14ac:dyDescent="0.35"/>
    <row r="2357" hidden="1" x14ac:dyDescent="0.35"/>
    <row r="2358" hidden="1" x14ac:dyDescent="0.35"/>
    <row r="2359" hidden="1" x14ac:dyDescent="0.35"/>
    <row r="2360" hidden="1" x14ac:dyDescent="0.35"/>
    <row r="2361" hidden="1" x14ac:dyDescent="0.35"/>
    <row r="2362" hidden="1" x14ac:dyDescent="0.35"/>
    <row r="2363" hidden="1" x14ac:dyDescent="0.35"/>
    <row r="2364" hidden="1" x14ac:dyDescent="0.35"/>
    <row r="2365" hidden="1" x14ac:dyDescent="0.35"/>
    <row r="2366" hidden="1" x14ac:dyDescent="0.35"/>
    <row r="2367" hidden="1" x14ac:dyDescent="0.35"/>
    <row r="2368" hidden="1" x14ac:dyDescent="0.35"/>
    <row r="2369" hidden="1" x14ac:dyDescent="0.35"/>
    <row r="2370" hidden="1" x14ac:dyDescent="0.35"/>
    <row r="2371" hidden="1" x14ac:dyDescent="0.35"/>
    <row r="2372" hidden="1" x14ac:dyDescent="0.35"/>
    <row r="2373" hidden="1" x14ac:dyDescent="0.35"/>
    <row r="2374" hidden="1" x14ac:dyDescent="0.35"/>
    <row r="2375" hidden="1" x14ac:dyDescent="0.35"/>
    <row r="2376" hidden="1" x14ac:dyDescent="0.35"/>
    <row r="2377" hidden="1" x14ac:dyDescent="0.35"/>
    <row r="2378" hidden="1" x14ac:dyDescent="0.35"/>
    <row r="2379" hidden="1" x14ac:dyDescent="0.35"/>
    <row r="2380" hidden="1" x14ac:dyDescent="0.35"/>
    <row r="2381" hidden="1" x14ac:dyDescent="0.35"/>
    <row r="2382" hidden="1" x14ac:dyDescent="0.35"/>
    <row r="2383" hidden="1" x14ac:dyDescent="0.35"/>
    <row r="2384" hidden="1" x14ac:dyDescent="0.35"/>
    <row r="2385" hidden="1" x14ac:dyDescent="0.35"/>
    <row r="2386" hidden="1" x14ac:dyDescent="0.35"/>
    <row r="2387" hidden="1" x14ac:dyDescent="0.35"/>
    <row r="2388" hidden="1" x14ac:dyDescent="0.35"/>
    <row r="2389" hidden="1" x14ac:dyDescent="0.35"/>
    <row r="2390" hidden="1" x14ac:dyDescent="0.35"/>
    <row r="2391" hidden="1" x14ac:dyDescent="0.35"/>
    <row r="2392" hidden="1" x14ac:dyDescent="0.35"/>
    <row r="2393" hidden="1" x14ac:dyDescent="0.35"/>
    <row r="2394" hidden="1" x14ac:dyDescent="0.35"/>
    <row r="2395" hidden="1" x14ac:dyDescent="0.35"/>
    <row r="2396" hidden="1" x14ac:dyDescent="0.35"/>
    <row r="2397" hidden="1" x14ac:dyDescent="0.35"/>
    <row r="2398" hidden="1" x14ac:dyDescent="0.35"/>
    <row r="2399" hidden="1" x14ac:dyDescent="0.35"/>
    <row r="2400" hidden="1" x14ac:dyDescent="0.35"/>
    <row r="2401" hidden="1" x14ac:dyDescent="0.35"/>
    <row r="2402" hidden="1" x14ac:dyDescent="0.35"/>
    <row r="2403" hidden="1" x14ac:dyDescent="0.35"/>
    <row r="2404" hidden="1" x14ac:dyDescent="0.35"/>
    <row r="2405" hidden="1" x14ac:dyDescent="0.35"/>
    <row r="2406" hidden="1" x14ac:dyDescent="0.35"/>
    <row r="2407" hidden="1" x14ac:dyDescent="0.35"/>
    <row r="2408" hidden="1" x14ac:dyDescent="0.35"/>
    <row r="2409" hidden="1" x14ac:dyDescent="0.35"/>
    <row r="2410" hidden="1" x14ac:dyDescent="0.35"/>
    <row r="2411" hidden="1" x14ac:dyDescent="0.35"/>
    <row r="2412" hidden="1" x14ac:dyDescent="0.35"/>
    <row r="2413" hidden="1" x14ac:dyDescent="0.35"/>
    <row r="2414" hidden="1" x14ac:dyDescent="0.35"/>
    <row r="2415" hidden="1" x14ac:dyDescent="0.35"/>
    <row r="2416" hidden="1" x14ac:dyDescent="0.35"/>
    <row r="2417" hidden="1" x14ac:dyDescent="0.35"/>
    <row r="2418" hidden="1" x14ac:dyDescent="0.35"/>
    <row r="2419" hidden="1" x14ac:dyDescent="0.35"/>
    <row r="2420" hidden="1" x14ac:dyDescent="0.35"/>
    <row r="2421" hidden="1" x14ac:dyDescent="0.35"/>
    <row r="2422" hidden="1" x14ac:dyDescent="0.35"/>
    <row r="2423" hidden="1" x14ac:dyDescent="0.35"/>
    <row r="2424" hidden="1" x14ac:dyDescent="0.35"/>
    <row r="2425" hidden="1" x14ac:dyDescent="0.35"/>
    <row r="2426" hidden="1" x14ac:dyDescent="0.35"/>
    <row r="2427" hidden="1" x14ac:dyDescent="0.35"/>
    <row r="2428" hidden="1" x14ac:dyDescent="0.35"/>
    <row r="2429" hidden="1" x14ac:dyDescent="0.35"/>
    <row r="2430" hidden="1" x14ac:dyDescent="0.35"/>
    <row r="2431" hidden="1" x14ac:dyDescent="0.35"/>
    <row r="2432" hidden="1" x14ac:dyDescent="0.35"/>
    <row r="2433" hidden="1" x14ac:dyDescent="0.35"/>
    <row r="2434" hidden="1" x14ac:dyDescent="0.35"/>
    <row r="2435" hidden="1" x14ac:dyDescent="0.35"/>
    <row r="2436" hidden="1" x14ac:dyDescent="0.35"/>
    <row r="2437" hidden="1" x14ac:dyDescent="0.35"/>
    <row r="2438" hidden="1" x14ac:dyDescent="0.35"/>
    <row r="2439" hidden="1" x14ac:dyDescent="0.35"/>
    <row r="2440" hidden="1" x14ac:dyDescent="0.35"/>
    <row r="2441" hidden="1" x14ac:dyDescent="0.35"/>
    <row r="2442" hidden="1" x14ac:dyDescent="0.35"/>
    <row r="2443" hidden="1" x14ac:dyDescent="0.35"/>
    <row r="2444" hidden="1" x14ac:dyDescent="0.35"/>
    <row r="2445" hidden="1" x14ac:dyDescent="0.35"/>
    <row r="2446" hidden="1" x14ac:dyDescent="0.35"/>
    <row r="2447" hidden="1" x14ac:dyDescent="0.35"/>
    <row r="2448" hidden="1" x14ac:dyDescent="0.35"/>
    <row r="2449" hidden="1" x14ac:dyDescent="0.35"/>
    <row r="2450" hidden="1" x14ac:dyDescent="0.35"/>
    <row r="2451" hidden="1" x14ac:dyDescent="0.35"/>
    <row r="2452" hidden="1" x14ac:dyDescent="0.35"/>
    <row r="2453" hidden="1" x14ac:dyDescent="0.35"/>
    <row r="2454" hidden="1" x14ac:dyDescent="0.35"/>
    <row r="2455" hidden="1" x14ac:dyDescent="0.35"/>
    <row r="2456" hidden="1" x14ac:dyDescent="0.35"/>
    <row r="2457" hidden="1" x14ac:dyDescent="0.35"/>
    <row r="2458" hidden="1" x14ac:dyDescent="0.35"/>
    <row r="2459" hidden="1" x14ac:dyDescent="0.35"/>
    <row r="2460" hidden="1" x14ac:dyDescent="0.35"/>
    <row r="2461" hidden="1" x14ac:dyDescent="0.35"/>
    <row r="2462" hidden="1" x14ac:dyDescent="0.35"/>
    <row r="2463" hidden="1" x14ac:dyDescent="0.35"/>
    <row r="2464" hidden="1" x14ac:dyDescent="0.35"/>
    <row r="2465" hidden="1" x14ac:dyDescent="0.35"/>
    <row r="2466" hidden="1" x14ac:dyDescent="0.35"/>
    <row r="2467" hidden="1" x14ac:dyDescent="0.35"/>
    <row r="2468" hidden="1" x14ac:dyDescent="0.35"/>
    <row r="2469" hidden="1" x14ac:dyDescent="0.35"/>
    <row r="2470" hidden="1" x14ac:dyDescent="0.35"/>
    <row r="2471" hidden="1" x14ac:dyDescent="0.35"/>
    <row r="2472" hidden="1" x14ac:dyDescent="0.35"/>
    <row r="2473" hidden="1" x14ac:dyDescent="0.35"/>
    <row r="2474" hidden="1" x14ac:dyDescent="0.35"/>
    <row r="2475" hidden="1" x14ac:dyDescent="0.35"/>
    <row r="2476" hidden="1" x14ac:dyDescent="0.35"/>
    <row r="2477" hidden="1" x14ac:dyDescent="0.35"/>
    <row r="2478" hidden="1" x14ac:dyDescent="0.35"/>
    <row r="2479" hidden="1" x14ac:dyDescent="0.35"/>
    <row r="2480" hidden="1" x14ac:dyDescent="0.35"/>
    <row r="2481" hidden="1" x14ac:dyDescent="0.35"/>
    <row r="2482" hidden="1" x14ac:dyDescent="0.35"/>
    <row r="2483" hidden="1" x14ac:dyDescent="0.35"/>
    <row r="2484" hidden="1" x14ac:dyDescent="0.35"/>
    <row r="2485" hidden="1" x14ac:dyDescent="0.35"/>
    <row r="2486" hidden="1" x14ac:dyDescent="0.35"/>
    <row r="2487" hidden="1" x14ac:dyDescent="0.35"/>
    <row r="2488" hidden="1" x14ac:dyDescent="0.35"/>
    <row r="2489" hidden="1" x14ac:dyDescent="0.35"/>
    <row r="2490" hidden="1" x14ac:dyDescent="0.35"/>
    <row r="2491" hidden="1" x14ac:dyDescent="0.35"/>
    <row r="2492" hidden="1" x14ac:dyDescent="0.35"/>
    <row r="2493" hidden="1" x14ac:dyDescent="0.35"/>
    <row r="2494" hidden="1" x14ac:dyDescent="0.35"/>
    <row r="2495" hidden="1" x14ac:dyDescent="0.35"/>
    <row r="2496" hidden="1" x14ac:dyDescent="0.35"/>
    <row r="2497" hidden="1" x14ac:dyDescent="0.35"/>
    <row r="2498" hidden="1" x14ac:dyDescent="0.35"/>
    <row r="2499" hidden="1" x14ac:dyDescent="0.35"/>
    <row r="2500" hidden="1" x14ac:dyDescent="0.35"/>
    <row r="2501" hidden="1" x14ac:dyDescent="0.35"/>
    <row r="2502" hidden="1" x14ac:dyDescent="0.35"/>
    <row r="2503" hidden="1" x14ac:dyDescent="0.35"/>
    <row r="2504" hidden="1" x14ac:dyDescent="0.35"/>
    <row r="2505" hidden="1" x14ac:dyDescent="0.35"/>
    <row r="2506" hidden="1" x14ac:dyDescent="0.35"/>
    <row r="2507" hidden="1" x14ac:dyDescent="0.35"/>
    <row r="2508" hidden="1" x14ac:dyDescent="0.35"/>
    <row r="2509" hidden="1" x14ac:dyDescent="0.35"/>
    <row r="2510" hidden="1" x14ac:dyDescent="0.35"/>
    <row r="2511" hidden="1" x14ac:dyDescent="0.35"/>
    <row r="2512" hidden="1" x14ac:dyDescent="0.35"/>
    <row r="2513" hidden="1" x14ac:dyDescent="0.35"/>
    <row r="2514" hidden="1" x14ac:dyDescent="0.35"/>
    <row r="2515" hidden="1" x14ac:dyDescent="0.35"/>
    <row r="2516" hidden="1" x14ac:dyDescent="0.35"/>
    <row r="2517" hidden="1" x14ac:dyDescent="0.35"/>
    <row r="2518" hidden="1" x14ac:dyDescent="0.35"/>
    <row r="2519" hidden="1" x14ac:dyDescent="0.35"/>
    <row r="2520" hidden="1" x14ac:dyDescent="0.35"/>
    <row r="2521" hidden="1" x14ac:dyDescent="0.35"/>
    <row r="2522" hidden="1" x14ac:dyDescent="0.35"/>
    <row r="2523" hidden="1" x14ac:dyDescent="0.35"/>
    <row r="2524" hidden="1" x14ac:dyDescent="0.35"/>
    <row r="2525" hidden="1" x14ac:dyDescent="0.35"/>
    <row r="2526" hidden="1" x14ac:dyDescent="0.35"/>
    <row r="2527" hidden="1" x14ac:dyDescent="0.35"/>
    <row r="2528" hidden="1" x14ac:dyDescent="0.35"/>
    <row r="2529" hidden="1" x14ac:dyDescent="0.35"/>
    <row r="2530" hidden="1" x14ac:dyDescent="0.35"/>
    <row r="2531" hidden="1" x14ac:dyDescent="0.35"/>
    <row r="2532" hidden="1" x14ac:dyDescent="0.35"/>
    <row r="2533" hidden="1" x14ac:dyDescent="0.35"/>
    <row r="2534" hidden="1" x14ac:dyDescent="0.35"/>
    <row r="2535" hidden="1" x14ac:dyDescent="0.35"/>
    <row r="2536" hidden="1" x14ac:dyDescent="0.35"/>
    <row r="2537" hidden="1" x14ac:dyDescent="0.35"/>
    <row r="2538" hidden="1" x14ac:dyDescent="0.35"/>
    <row r="2539" hidden="1" x14ac:dyDescent="0.35"/>
    <row r="2540" hidden="1" x14ac:dyDescent="0.35"/>
    <row r="2541" hidden="1" x14ac:dyDescent="0.35"/>
    <row r="2542" hidden="1" x14ac:dyDescent="0.35"/>
    <row r="2543" hidden="1" x14ac:dyDescent="0.35"/>
    <row r="2544" hidden="1" x14ac:dyDescent="0.35"/>
    <row r="2545" hidden="1" x14ac:dyDescent="0.35"/>
    <row r="2546" hidden="1" x14ac:dyDescent="0.35"/>
    <row r="2547" hidden="1" x14ac:dyDescent="0.35"/>
    <row r="2548" hidden="1" x14ac:dyDescent="0.35"/>
    <row r="2549" hidden="1" x14ac:dyDescent="0.35"/>
    <row r="2550" hidden="1" x14ac:dyDescent="0.35"/>
    <row r="2551" hidden="1" x14ac:dyDescent="0.35"/>
    <row r="2552" hidden="1" x14ac:dyDescent="0.35"/>
    <row r="2553" hidden="1" x14ac:dyDescent="0.35"/>
    <row r="2554" hidden="1" x14ac:dyDescent="0.35"/>
    <row r="2555" hidden="1" x14ac:dyDescent="0.35"/>
    <row r="2556" hidden="1" x14ac:dyDescent="0.35"/>
    <row r="2557" hidden="1" x14ac:dyDescent="0.35"/>
    <row r="2558" hidden="1" x14ac:dyDescent="0.35"/>
    <row r="2559" hidden="1" x14ac:dyDescent="0.35"/>
    <row r="2560" hidden="1" x14ac:dyDescent="0.35"/>
    <row r="2561" hidden="1" x14ac:dyDescent="0.35"/>
    <row r="2562" hidden="1" x14ac:dyDescent="0.35"/>
    <row r="2563" hidden="1" x14ac:dyDescent="0.35"/>
    <row r="2564" hidden="1" x14ac:dyDescent="0.35"/>
    <row r="2565" hidden="1" x14ac:dyDescent="0.35"/>
    <row r="2566" hidden="1" x14ac:dyDescent="0.35"/>
    <row r="2567" hidden="1" x14ac:dyDescent="0.35"/>
    <row r="2568" hidden="1" x14ac:dyDescent="0.35"/>
    <row r="2569" hidden="1" x14ac:dyDescent="0.35"/>
    <row r="2570" hidden="1" x14ac:dyDescent="0.35"/>
    <row r="2571" hidden="1" x14ac:dyDescent="0.35"/>
    <row r="2572" hidden="1" x14ac:dyDescent="0.35"/>
    <row r="2573" hidden="1" x14ac:dyDescent="0.35"/>
    <row r="2574" hidden="1" x14ac:dyDescent="0.35"/>
    <row r="2575" hidden="1" x14ac:dyDescent="0.35"/>
    <row r="2576" hidden="1" x14ac:dyDescent="0.35"/>
    <row r="2577" hidden="1" x14ac:dyDescent="0.35"/>
    <row r="2578" hidden="1" x14ac:dyDescent="0.35"/>
    <row r="2579" hidden="1" x14ac:dyDescent="0.35"/>
    <row r="2580" hidden="1" x14ac:dyDescent="0.35"/>
    <row r="2581" hidden="1" x14ac:dyDescent="0.35"/>
    <row r="2582" hidden="1" x14ac:dyDescent="0.35"/>
    <row r="2583" hidden="1" x14ac:dyDescent="0.35"/>
    <row r="2584" hidden="1" x14ac:dyDescent="0.35"/>
    <row r="2585" hidden="1" x14ac:dyDescent="0.35"/>
    <row r="2586" hidden="1" x14ac:dyDescent="0.35"/>
    <row r="2587" hidden="1" x14ac:dyDescent="0.35"/>
    <row r="2588" hidden="1" x14ac:dyDescent="0.35"/>
    <row r="2589" hidden="1" x14ac:dyDescent="0.35"/>
    <row r="2590" hidden="1" x14ac:dyDescent="0.35"/>
    <row r="2591" hidden="1" x14ac:dyDescent="0.35"/>
    <row r="2592" hidden="1" x14ac:dyDescent="0.35"/>
    <row r="2593" hidden="1" x14ac:dyDescent="0.35"/>
    <row r="2594" hidden="1" x14ac:dyDescent="0.35"/>
    <row r="2595" hidden="1" x14ac:dyDescent="0.35"/>
    <row r="2596" hidden="1" x14ac:dyDescent="0.35"/>
    <row r="2597" hidden="1" x14ac:dyDescent="0.35"/>
    <row r="2598" hidden="1" x14ac:dyDescent="0.35"/>
    <row r="2599" hidden="1" x14ac:dyDescent="0.35"/>
    <row r="2600" hidden="1" x14ac:dyDescent="0.35"/>
    <row r="2601" hidden="1" x14ac:dyDescent="0.35"/>
    <row r="2602" hidden="1" x14ac:dyDescent="0.35"/>
    <row r="2603" hidden="1" x14ac:dyDescent="0.35"/>
    <row r="2604" hidden="1" x14ac:dyDescent="0.35"/>
    <row r="2605" hidden="1" x14ac:dyDescent="0.35"/>
    <row r="2606" hidden="1" x14ac:dyDescent="0.35"/>
    <row r="2607" hidden="1" x14ac:dyDescent="0.35"/>
    <row r="2608" hidden="1" x14ac:dyDescent="0.35"/>
    <row r="2609" hidden="1" x14ac:dyDescent="0.35"/>
    <row r="2610" hidden="1" x14ac:dyDescent="0.35"/>
    <row r="2611" hidden="1" x14ac:dyDescent="0.35"/>
    <row r="2612" hidden="1" x14ac:dyDescent="0.35"/>
    <row r="2613" hidden="1" x14ac:dyDescent="0.35"/>
    <row r="2614" hidden="1" x14ac:dyDescent="0.35"/>
    <row r="2615" hidden="1" x14ac:dyDescent="0.35"/>
    <row r="2616" hidden="1" x14ac:dyDescent="0.35"/>
    <row r="2617" hidden="1" x14ac:dyDescent="0.35"/>
    <row r="2618" hidden="1" x14ac:dyDescent="0.35"/>
    <row r="2619" hidden="1" x14ac:dyDescent="0.35"/>
    <row r="2620" hidden="1" x14ac:dyDescent="0.35"/>
    <row r="2621" hidden="1" x14ac:dyDescent="0.35"/>
    <row r="2622" hidden="1" x14ac:dyDescent="0.35"/>
    <row r="2623" hidden="1" x14ac:dyDescent="0.35"/>
    <row r="2624" hidden="1" x14ac:dyDescent="0.35"/>
    <row r="2625" hidden="1" x14ac:dyDescent="0.35"/>
    <row r="2626" hidden="1" x14ac:dyDescent="0.35"/>
    <row r="2627" hidden="1" x14ac:dyDescent="0.35"/>
    <row r="2628" hidden="1" x14ac:dyDescent="0.35"/>
    <row r="2629" hidden="1" x14ac:dyDescent="0.35"/>
    <row r="2630" hidden="1" x14ac:dyDescent="0.35"/>
    <row r="2631" hidden="1" x14ac:dyDescent="0.35"/>
    <row r="2632" hidden="1" x14ac:dyDescent="0.35"/>
    <row r="2633" hidden="1" x14ac:dyDescent="0.35"/>
    <row r="2634" hidden="1" x14ac:dyDescent="0.35"/>
    <row r="2635" hidden="1" x14ac:dyDescent="0.35"/>
    <row r="2636" hidden="1" x14ac:dyDescent="0.35"/>
    <row r="2637" hidden="1" x14ac:dyDescent="0.35"/>
    <row r="2638" hidden="1" x14ac:dyDescent="0.35"/>
    <row r="2639" hidden="1" x14ac:dyDescent="0.35"/>
    <row r="2640" hidden="1" x14ac:dyDescent="0.35"/>
    <row r="2641" hidden="1" x14ac:dyDescent="0.35"/>
    <row r="2642" hidden="1" x14ac:dyDescent="0.35"/>
    <row r="2643" hidden="1" x14ac:dyDescent="0.35"/>
    <row r="2644" hidden="1" x14ac:dyDescent="0.35"/>
    <row r="2645" hidden="1" x14ac:dyDescent="0.35"/>
    <row r="2646" hidden="1" x14ac:dyDescent="0.35"/>
    <row r="2647" hidden="1" x14ac:dyDescent="0.35"/>
    <row r="2648" hidden="1" x14ac:dyDescent="0.35"/>
    <row r="2649" hidden="1" x14ac:dyDescent="0.35"/>
    <row r="2650" hidden="1" x14ac:dyDescent="0.35"/>
    <row r="2651" hidden="1" x14ac:dyDescent="0.35"/>
    <row r="2652" hidden="1" x14ac:dyDescent="0.35"/>
    <row r="2653" hidden="1" x14ac:dyDescent="0.35"/>
    <row r="2654" hidden="1" x14ac:dyDescent="0.35"/>
    <row r="2655" hidden="1" x14ac:dyDescent="0.35"/>
    <row r="2656" hidden="1" x14ac:dyDescent="0.35"/>
    <row r="2657" hidden="1" x14ac:dyDescent="0.35"/>
    <row r="2658" hidden="1" x14ac:dyDescent="0.35"/>
    <row r="2659" hidden="1" x14ac:dyDescent="0.35"/>
    <row r="2660" hidden="1" x14ac:dyDescent="0.35"/>
    <row r="2661" hidden="1" x14ac:dyDescent="0.35"/>
    <row r="2662" hidden="1" x14ac:dyDescent="0.35"/>
    <row r="2663" hidden="1" x14ac:dyDescent="0.35"/>
    <row r="2664" hidden="1" x14ac:dyDescent="0.35"/>
    <row r="2665" hidden="1" x14ac:dyDescent="0.35"/>
    <row r="2666" hidden="1" x14ac:dyDescent="0.35"/>
    <row r="2667" hidden="1" x14ac:dyDescent="0.35"/>
    <row r="2668" hidden="1" x14ac:dyDescent="0.35"/>
    <row r="2669" hidden="1" x14ac:dyDescent="0.35"/>
    <row r="2670" hidden="1" x14ac:dyDescent="0.35"/>
    <row r="2671" hidden="1" x14ac:dyDescent="0.35"/>
    <row r="2672" hidden="1" x14ac:dyDescent="0.35"/>
    <row r="2673" hidden="1" x14ac:dyDescent="0.35"/>
    <row r="2674" hidden="1" x14ac:dyDescent="0.35"/>
    <row r="2675" hidden="1" x14ac:dyDescent="0.35"/>
    <row r="2676" hidden="1" x14ac:dyDescent="0.35"/>
    <row r="2677" hidden="1" x14ac:dyDescent="0.35"/>
    <row r="2678" hidden="1" x14ac:dyDescent="0.35"/>
    <row r="2679" hidden="1" x14ac:dyDescent="0.35"/>
    <row r="2680" hidden="1" x14ac:dyDescent="0.35"/>
    <row r="2681" hidden="1" x14ac:dyDescent="0.35"/>
    <row r="2682" hidden="1" x14ac:dyDescent="0.35"/>
    <row r="2683" hidden="1" x14ac:dyDescent="0.35"/>
    <row r="2684" hidden="1" x14ac:dyDescent="0.35"/>
    <row r="2685" hidden="1" x14ac:dyDescent="0.35"/>
    <row r="2686" hidden="1" x14ac:dyDescent="0.35"/>
    <row r="2687" hidden="1" x14ac:dyDescent="0.35"/>
    <row r="2688" hidden="1" x14ac:dyDescent="0.35"/>
    <row r="2689" hidden="1" x14ac:dyDescent="0.35"/>
    <row r="2690" hidden="1" x14ac:dyDescent="0.35"/>
    <row r="2691" hidden="1" x14ac:dyDescent="0.35"/>
    <row r="2692" hidden="1" x14ac:dyDescent="0.35"/>
    <row r="2693" hidden="1" x14ac:dyDescent="0.35"/>
    <row r="2694" hidden="1" x14ac:dyDescent="0.35"/>
    <row r="2695" hidden="1" x14ac:dyDescent="0.35"/>
    <row r="2696" hidden="1" x14ac:dyDescent="0.35"/>
    <row r="2697" hidden="1" x14ac:dyDescent="0.35"/>
    <row r="2698" hidden="1" x14ac:dyDescent="0.35"/>
    <row r="2699" hidden="1" x14ac:dyDescent="0.35"/>
    <row r="2700" hidden="1" x14ac:dyDescent="0.35"/>
    <row r="2701" hidden="1" x14ac:dyDescent="0.35"/>
    <row r="2702" hidden="1" x14ac:dyDescent="0.35"/>
    <row r="2703" hidden="1" x14ac:dyDescent="0.35"/>
    <row r="2704" hidden="1" x14ac:dyDescent="0.35"/>
    <row r="2705" hidden="1" x14ac:dyDescent="0.35"/>
    <row r="2706" hidden="1" x14ac:dyDescent="0.35"/>
    <row r="2707" hidden="1" x14ac:dyDescent="0.35"/>
    <row r="2708" hidden="1" x14ac:dyDescent="0.35"/>
    <row r="2709" hidden="1" x14ac:dyDescent="0.35"/>
    <row r="2710" hidden="1" x14ac:dyDescent="0.35"/>
    <row r="2711" hidden="1" x14ac:dyDescent="0.35"/>
    <row r="2712" hidden="1" x14ac:dyDescent="0.35"/>
    <row r="2713" hidden="1" x14ac:dyDescent="0.35"/>
    <row r="2714" hidden="1" x14ac:dyDescent="0.35"/>
    <row r="2715" hidden="1" x14ac:dyDescent="0.35"/>
    <row r="2716" hidden="1" x14ac:dyDescent="0.35"/>
    <row r="2717" hidden="1" x14ac:dyDescent="0.35"/>
    <row r="2718" hidden="1" x14ac:dyDescent="0.35"/>
    <row r="2719" hidden="1" x14ac:dyDescent="0.35"/>
    <row r="2720" hidden="1" x14ac:dyDescent="0.35"/>
    <row r="2721" hidden="1" x14ac:dyDescent="0.35"/>
    <row r="2722" hidden="1" x14ac:dyDescent="0.35"/>
    <row r="2723" hidden="1" x14ac:dyDescent="0.35"/>
    <row r="2724" hidden="1" x14ac:dyDescent="0.35"/>
    <row r="2725" hidden="1" x14ac:dyDescent="0.35"/>
    <row r="2726" hidden="1" x14ac:dyDescent="0.35"/>
    <row r="2727" hidden="1" x14ac:dyDescent="0.35"/>
    <row r="2728" hidden="1" x14ac:dyDescent="0.35"/>
    <row r="2729" hidden="1" x14ac:dyDescent="0.35"/>
    <row r="2730" hidden="1" x14ac:dyDescent="0.35"/>
    <row r="2731" hidden="1" x14ac:dyDescent="0.35"/>
    <row r="2732" hidden="1" x14ac:dyDescent="0.35"/>
    <row r="2733" hidden="1" x14ac:dyDescent="0.35"/>
    <row r="2734" hidden="1" x14ac:dyDescent="0.35"/>
    <row r="2735" hidden="1" x14ac:dyDescent="0.35"/>
    <row r="2736" hidden="1" x14ac:dyDescent="0.35"/>
    <row r="2737" hidden="1" x14ac:dyDescent="0.35"/>
    <row r="2738" hidden="1" x14ac:dyDescent="0.35"/>
    <row r="2739" hidden="1" x14ac:dyDescent="0.35"/>
    <row r="2740" hidden="1" x14ac:dyDescent="0.35"/>
    <row r="2741" hidden="1" x14ac:dyDescent="0.35"/>
    <row r="2742" hidden="1" x14ac:dyDescent="0.35"/>
    <row r="2743" hidden="1" x14ac:dyDescent="0.35"/>
    <row r="2744" hidden="1" x14ac:dyDescent="0.35"/>
    <row r="2745" hidden="1" x14ac:dyDescent="0.35"/>
    <row r="2746" hidden="1" x14ac:dyDescent="0.35"/>
    <row r="2747" hidden="1" x14ac:dyDescent="0.35"/>
    <row r="2748" hidden="1" x14ac:dyDescent="0.35"/>
    <row r="2749" hidden="1" x14ac:dyDescent="0.35"/>
    <row r="2750" hidden="1" x14ac:dyDescent="0.35"/>
    <row r="2751" hidden="1" x14ac:dyDescent="0.35"/>
    <row r="2752" hidden="1" x14ac:dyDescent="0.35"/>
    <row r="2753" hidden="1" x14ac:dyDescent="0.35"/>
    <row r="2754" hidden="1" x14ac:dyDescent="0.35"/>
    <row r="2755" hidden="1" x14ac:dyDescent="0.35"/>
    <row r="2756" hidden="1" x14ac:dyDescent="0.35"/>
    <row r="2757" hidden="1" x14ac:dyDescent="0.35"/>
    <row r="2758" hidden="1" x14ac:dyDescent="0.35"/>
    <row r="2759" hidden="1" x14ac:dyDescent="0.35"/>
    <row r="2760" hidden="1" x14ac:dyDescent="0.35"/>
    <row r="2761" hidden="1" x14ac:dyDescent="0.35"/>
    <row r="2762" hidden="1" x14ac:dyDescent="0.35"/>
    <row r="2763" hidden="1" x14ac:dyDescent="0.35"/>
    <row r="2764" hidden="1" x14ac:dyDescent="0.35"/>
    <row r="2765" hidden="1" x14ac:dyDescent="0.35"/>
    <row r="2766" hidden="1" x14ac:dyDescent="0.35"/>
    <row r="2767" hidden="1" x14ac:dyDescent="0.35"/>
    <row r="2768" hidden="1" x14ac:dyDescent="0.35"/>
    <row r="2769" hidden="1" x14ac:dyDescent="0.35"/>
    <row r="2770" hidden="1" x14ac:dyDescent="0.35"/>
    <row r="2771" hidden="1" x14ac:dyDescent="0.35"/>
    <row r="2772" hidden="1" x14ac:dyDescent="0.35"/>
    <row r="2773" hidden="1" x14ac:dyDescent="0.35"/>
    <row r="2774" hidden="1" x14ac:dyDescent="0.35"/>
    <row r="2775" hidden="1" x14ac:dyDescent="0.35"/>
    <row r="2776" hidden="1" x14ac:dyDescent="0.35"/>
    <row r="2777" hidden="1" x14ac:dyDescent="0.35"/>
    <row r="2778" hidden="1" x14ac:dyDescent="0.35"/>
    <row r="2779" hidden="1" x14ac:dyDescent="0.35"/>
    <row r="2780" hidden="1" x14ac:dyDescent="0.35"/>
    <row r="2781" hidden="1" x14ac:dyDescent="0.35"/>
    <row r="2782" hidden="1" x14ac:dyDescent="0.35"/>
    <row r="2783" hidden="1" x14ac:dyDescent="0.35"/>
    <row r="2784" hidden="1" x14ac:dyDescent="0.35"/>
    <row r="2785" hidden="1" x14ac:dyDescent="0.35"/>
    <row r="2786" hidden="1" x14ac:dyDescent="0.35"/>
    <row r="2787" hidden="1" x14ac:dyDescent="0.35"/>
    <row r="2788" hidden="1" x14ac:dyDescent="0.35"/>
    <row r="2789" hidden="1" x14ac:dyDescent="0.35"/>
    <row r="2790" hidden="1" x14ac:dyDescent="0.35"/>
    <row r="2791" hidden="1" x14ac:dyDescent="0.35"/>
    <row r="2792" hidden="1" x14ac:dyDescent="0.35"/>
    <row r="2793" hidden="1" x14ac:dyDescent="0.35"/>
    <row r="2794" hidden="1" x14ac:dyDescent="0.35"/>
    <row r="2795" hidden="1" x14ac:dyDescent="0.35"/>
    <row r="2796" hidden="1" x14ac:dyDescent="0.35"/>
    <row r="2797" hidden="1" x14ac:dyDescent="0.35"/>
    <row r="2798" hidden="1" x14ac:dyDescent="0.35"/>
    <row r="2799" hidden="1" x14ac:dyDescent="0.35"/>
    <row r="2800" hidden="1" x14ac:dyDescent="0.35"/>
    <row r="2801" hidden="1" x14ac:dyDescent="0.35"/>
    <row r="2802" hidden="1" x14ac:dyDescent="0.35"/>
    <row r="2803" hidden="1" x14ac:dyDescent="0.35"/>
    <row r="2804" hidden="1" x14ac:dyDescent="0.35"/>
    <row r="2805" hidden="1" x14ac:dyDescent="0.35"/>
    <row r="2806" hidden="1" x14ac:dyDescent="0.35"/>
    <row r="2807" hidden="1" x14ac:dyDescent="0.35"/>
    <row r="2808" hidden="1" x14ac:dyDescent="0.35"/>
    <row r="2809" hidden="1" x14ac:dyDescent="0.35"/>
    <row r="2810" hidden="1" x14ac:dyDescent="0.35"/>
    <row r="2811" hidden="1" x14ac:dyDescent="0.35"/>
    <row r="2812" hidden="1" x14ac:dyDescent="0.35"/>
    <row r="2813" hidden="1" x14ac:dyDescent="0.35"/>
    <row r="2814" hidden="1" x14ac:dyDescent="0.35"/>
    <row r="2815" hidden="1" x14ac:dyDescent="0.35"/>
    <row r="2816" hidden="1" x14ac:dyDescent="0.35"/>
    <row r="2817" hidden="1" x14ac:dyDescent="0.35"/>
    <row r="2818" hidden="1" x14ac:dyDescent="0.35"/>
    <row r="2819" hidden="1" x14ac:dyDescent="0.35"/>
    <row r="2820" hidden="1" x14ac:dyDescent="0.35"/>
    <row r="2821" hidden="1" x14ac:dyDescent="0.35"/>
    <row r="2822" hidden="1" x14ac:dyDescent="0.35"/>
    <row r="2823" hidden="1" x14ac:dyDescent="0.35"/>
    <row r="2824" hidden="1" x14ac:dyDescent="0.35"/>
    <row r="2825" hidden="1" x14ac:dyDescent="0.35"/>
    <row r="2826" hidden="1" x14ac:dyDescent="0.35"/>
    <row r="2827" hidden="1" x14ac:dyDescent="0.35"/>
    <row r="2828" hidden="1" x14ac:dyDescent="0.35"/>
    <row r="2829" hidden="1" x14ac:dyDescent="0.35"/>
    <row r="2830" hidden="1" x14ac:dyDescent="0.35"/>
    <row r="2831" hidden="1" x14ac:dyDescent="0.35"/>
    <row r="2832" hidden="1" x14ac:dyDescent="0.35"/>
    <row r="2833" hidden="1" x14ac:dyDescent="0.35"/>
    <row r="2834" hidden="1" x14ac:dyDescent="0.35"/>
    <row r="2835" hidden="1" x14ac:dyDescent="0.35"/>
    <row r="2836" hidden="1" x14ac:dyDescent="0.35"/>
    <row r="2837" hidden="1" x14ac:dyDescent="0.35"/>
    <row r="2838" hidden="1" x14ac:dyDescent="0.35"/>
    <row r="2839" hidden="1" x14ac:dyDescent="0.35"/>
    <row r="2840" hidden="1" x14ac:dyDescent="0.35"/>
    <row r="2841" hidden="1" x14ac:dyDescent="0.35"/>
    <row r="2842" hidden="1" x14ac:dyDescent="0.35"/>
    <row r="2843" hidden="1" x14ac:dyDescent="0.35"/>
    <row r="2844" hidden="1" x14ac:dyDescent="0.35"/>
    <row r="2845" hidden="1" x14ac:dyDescent="0.35"/>
    <row r="2846" hidden="1" x14ac:dyDescent="0.35"/>
    <row r="2847" hidden="1" x14ac:dyDescent="0.35"/>
    <row r="2848" hidden="1" x14ac:dyDescent="0.35"/>
    <row r="2849" hidden="1" x14ac:dyDescent="0.35"/>
    <row r="2850" hidden="1" x14ac:dyDescent="0.35"/>
    <row r="2851" hidden="1" x14ac:dyDescent="0.35"/>
    <row r="2852" hidden="1" x14ac:dyDescent="0.35"/>
    <row r="2853" hidden="1" x14ac:dyDescent="0.35"/>
    <row r="2854" hidden="1" x14ac:dyDescent="0.35"/>
    <row r="2855" hidden="1" x14ac:dyDescent="0.35"/>
    <row r="2856" hidden="1" x14ac:dyDescent="0.35"/>
    <row r="2857" hidden="1" x14ac:dyDescent="0.35"/>
    <row r="2858" hidden="1" x14ac:dyDescent="0.35"/>
    <row r="2859" hidden="1" x14ac:dyDescent="0.35"/>
    <row r="2860" hidden="1" x14ac:dyDescent="0.35"/>
    <row r="2861" hidden="1" x14ac:dyDescent="0.35"/>
    <row r="2862" hidden="1" x14ac:dyDescent="0.35"/>
    <row r="2863" hidden="1" x14ac:dyDescent="0.35"/>
    <row r="2864" hidden="1" x14ac:dyDescent="0.35"/>
    <row r="2865" hidden="1" x14ac:dyDescent="0.35"/>
    <row r="2866" hidden="1" x14ac:dyDescent="0.35"/>
    <row r="2867" hidden="1" x14ac:dyDescent="0.35"/>
    <row r="2868" hidden="1" x14ac:dyDescent="0.35"/>
    <row r="2869" hidden="1" x14ac:dyDescent="0.35"/>
    <row r="2870" hidden="1" x14ac:dyDescent="0.35"/>
    <row r="2871" hidden="1" x14ac:dyDescent="0.35"/>
    <row r="2872" hidden="1" x14ac:dyDescent="0.35"/>
    <row r="2873" hidden="1" x14ac:dyDescent="0.35"/>
    <row r="2874" hidden="1" x14ac:dyDescent="0.35"/>
    <row r="2875" hidden="1" x14ac:dyDescent="0.35"/>
    <row r="2876" hidden="1" x14ac:dyDescent="0.35"/>
    <row r="2877" hidden="1" x14ac:dyDescent="0.35"/>
    <row r="2878" hidden="1" x14ac:dyDescent="0.35"/>
    <row r="2879" hidden="1" x14ac:dyDescent="0.35"/>
    <row r="2880" hidden="1" x14ac:dyDescent="0.35"/>
    <row r="2881" hidden="1" x14ac:dyDescent="0.35"/>
    <row r="2882" hidden="1" x14ac:dyDescent="0.35"/>
    <row r="2883" hidden="1" x14ac:dyDescent="0.35"/>
    <row r="2884" hidden="1" x14ac:dyDescent="0.35"/>
    <row r="2885" hidden="1" x14ac:dyDescent="0.35"/>
    <row r="2886" hidden="1" x14ac:dyDescent="0.35"/>
    <row r="2887" hidden="1" x14ac:dyDescent="0.35"/>
    <row r="2888" hidden="1" x14ac:dyDescent="0.35"/>
    <row r="2889" hidden="1" x14ac:dyDescent="0.35"/>
    <row r="2890" hidden="1" x14ac:dyDescent="0.35"/>
    <row r="2891" hidden="1" x14ac:dyDescent="0.35"/>
    <row r="2892" hidden="1" x14ac:dyDescent="0.35"/>
    <row r="2893" hidden="1" x14ac:dyDescent="0.35"/>
    <row r="2894" hidden="1" x14ac:dyDescent="0.35"/>
    <row r="2895" hidden="1" x14ac:dyDescent="0.35"/>
    <row r="2896" hidden="1" x14ac:dyDescent="0.35"/>
    <row r="2897" hidden="1" x14ac:dyDescent="0.35"/>
    <row r="2898" hidden="1" x14ac:dyDescent="0.35"/>
    <row r="2899" hidden="1" x14ac:dyDescent="0.35"/>
    <row r="2900" hidden="1" x14ac:dyDescent="0.35"/>
    <row r="2901" hidden="1" x14ac:dyDescent="0.35"/>
    <row r="2902" hidden="1" x14ac:dyDescent="0.35"/>
    <row r="2903" hidden="1" x14ac:dyDescent="0.35"/>
    <row r="2904" hidden="1" x14ac:dyDescent="0.35"/>
    <row r="2905" hidden="1" x14ac:dyDescent="0.35"/>
    <row r="2906" hidden="1" x14ac:dyDescent="0.35"/>
    <row r="2907" hidden="1" x14ac:dyDescent="0.35"/>
    <row r="2908" hidden="1" x14ac:dyDescent="0.35"/>
    <row r="2909" hidden="1" x14ac:dyDescent="0.35"/>
    <row r="2910" hidden="1" x14ac:dyDescent="0.35"/>
    <row r="2911" hidden="1" x14ac:dyDescent="0.35"/>
    <row r="2912" hidden="1" x14ac:dyDescent="0.35"/>
    <row r="2913" hidden="1" x14ac:dyDescent="0.35"/>
    <row r="2914" hidden="1" x14ac:dyDescent="0.35"/>
    <row r="2915" hidden="1" x14ac:dyDescent="0.35"/>
    <row r="2916" hidden="1" x14ac:dyDescent="0.35"/>
    <row r="2917" hidden="1" x14ac:dyDescent="0.35"/>
    <row r="2918" hidden="1" x14ac:dyDescent="0.35"/>
    <row r="2919" hidden="1" x14ac:dyDescent="0.35"/>
    <row r="2920" hidden="1" x14ac:dyDescent="0.35"/>
    <row r="2921" hidden="1" x14ac:dyDescent="0.35"/>
    <row r="2922" hidden="1" x14ac:dyDescent="0.35"/>
    <row r="2923" hidden="1" x14ac:dyDescent="0.35"/>
    <row r="2924" hidden="1" x14ac:dyDescent="0.35"/>
    <row r="2925" hidden="1" x14ac:dyDescent="0.35"/>
    <row r="2926" hidden="1" x14ac:dyDescent="0.35"/>
    <row r="2927" hidden="1" x14ac:dyDescent="0.35"/>
    <row r="2928" hidden="1" x14ac:dyDescent="0.35"/>
    <row r="2929" hidden="1" x14ac:dyDescent="0.35"/>
    <row r="2930" hidden="1" x14ac:dyDescent="0.35"/>
    <row r="2931" hidden="1" x14ac:dyDescent="0.35"/>
    <row r="2932" hidden="1" x14ac:dyDescent="0.35"/>
    <row r="2933" hidden="1" x14ac:dyDescent="0.35"/>
    <row r="2934" hidden="1" x14ac:dyDescent="0.35"/>
    <row r="2935" hidden="1" x14ac:dyDescent="0.35"/>
    <row r="2936" hidden="1" x14ac:dyDescent="0.35"/>
    <row r="2937" hidden="1" x14ac:dyDescent="0.35"/>
    <row r="2938" hidden="1" x14ac:dyDescent="0.35"/>
    <row r="2939" hidden="1" x14ac:dyDescent="0.35"/>
    <row r="2940" hidden="1" x14ac:dyDescent="0.35"/>
    <row r="2941" hidden="1" x14ac:dyDescent="0.35"/>
    <row r="2942" hidden="1" x14ac:dyDescent="0.35"/>
    <row r="2943" hidden="1" x14ac:dyDescent="0.35"/>
    <row r="2944" hidden="1" x14ac:dyDescent="0.35"/>
    <row r="2945" hidden="1" x14ac:dyDescent="0.35"/>
    <row r="2946" hidden="1" x14ac:dyDescent="0.35"/>
    <row r="2947" hidden="1" x14ac:dyDescent="0.35"/>
    <row r="2948" hidden="1" x14ac:dyDescent="0.35"/>
    <row r="2949" hidden="1" x14ac:dyDescent="0.35"/>
    <row r="2950" hidden="1" x14ac:dyDescent="0.35"/>
    <row r="2951" hidden="1" x14ac:dyDescent="0.35"/>
    <row r="2952" hidden="1" x14ac:dyDescent="0.35"/>
    <row r="2953" hidden="1" x14ac:dyDescent="0.35"/>
    <row r="2954" hidden="1" x14ac:dyDescent="0.35"/>
    <row r="2955" hidden="1" x14ac:dyDescent="0.35"/>
    <row r="2956" hidden="1" x14ac:dyDescent="0.35"/>
    <row r="2957" hidden="1" x14ac:dyDescent="0.35"/>
    <row r="2958" hidden="1" x14ac:dyDescent="0.35"/>
    <row r="2959" hidden="1" x14ac:dyDescent="0.35"/>
    <row r="2960" hidden="1" x14ac:dyDescent="0.35"/>
    <row r="2961" hidden="1" x14ac:dyDescent="0.35"/>
    <row r="2962" hidden="1" x14ac:dyDescent="0.35"/>
    <row r="2963" hidden="1" x14ac:dyDescent="0.35"/>
    <row r="2964" hidden="1" x14ac:dyDescent="0.35"/>
    <row r="2965" hidden="1" x14ac:dyDescent="0.35"/>
    <row r="2966" hidden="1" x14ac:dyDescent="0.35"/>
    <row r="2967" hidden="1" x14ac:dyDescent="0.35"/>
    <row r="2968" hidden="1" x14ac:dyDescent="0.35"/>
    <row r="2969" hidden="1" x14ac:dyDescent="0.35"/>
    <row r="2970" hidden="1" x14ac:dyDescent="0.35"/>
    <row r="2971" hidden="1" x14ac:dyDescent="0.35"/>
    <row r="2972" hidden="1" x14ac:dyDescent="0.35"/>
    <row r="2973" hidden="1" x14ac:dyDescent="0.35"/>
    <row r="2974" hidden="1" x14ac:dyDescent="0.35"/>
    <row r="2975" hidden="1" x14ac:dyDescent="0.35"/>
    <row r="2976" hidden="1" x14ac:dyDescent="0.35"/>
    <row r="2977" hidden="1" x14ac:dyDescent="0.35"/>
    <row r="2978" hidden="1" x14ac:dyDescent="0.35"/>
    <row r="2979" hidden="1" x14ac:dyDescent="0.35"/>
    <row r="2980" hidden="1" x14ac:dyDescent="0.35"/>
    <row r="2981" hidden="1" x14ac:dyDescent="0.35"/>
    <row r="2982" hidden="1" x14ac:dyDescent="0.35"/>
    <row r="2983" hidden="1" x14ac:dyDescent="0.35"/>
    <row r="2984" hidden="1" x14ac:dyDescent="0.35"/>
    <row r="2985" hidden="1" x14ac:dyDescent="0.35"/>
    <row r="2986" hidden="1" x14ac:dyDescent="0.35"/>
    <row r="2987" hidden="1" x14ac:dyDescent="0.35"/>
    <row r="2988" hidden="1" x14ac:dyDescent="0.35"/>
    <row r="2989" hidden="1" x14ac:dyDescent="0.35"/>
    <row r="2990" hidden="1" x14ac:dyDescent="0.35"/>
    <row r="2991" hidden="1" x14ac:dyDescent="0.35"/>
    <row r="2992" hidden="1" x14ac:dyDescent="0.35"/>
    <row r="2993" hidden="1" x14ac:dyDescent="0.35"/>
    <row r="2994" hidden="1" x14ac:dyDescent="0.35"/>
    <row r="2995" hidden="1" x14ac:dyDescent="0.35"/>
    <row r="2996" hidden="1" x14ac:dyDescent="0.35"/>
    <row r="2997" hidden="1" x14ac:dyDescent="0.35"/>
    <row r="2998" hidden="1" x14ac:dyDescent="0.35"/>
    <row r="2999" hidden="1" x14ac:dyDescent="0.35"/>
    <row r="3000" hidden="1" x14ac:dyDescent="0.35"/>
    <row r="3001" hidden="1" x14ac:dyDescent="0.35"/>
    <row r="3002" hidden="1" x14ac:dyDescent="0.35"/>
    <row r="3003" hidden="1" x14ac:dyDescent="0.35"/>
    <row r="3004" hidden="1" x14ac:dyDescent="0.35"/>
    <row r="3005" hidden="1" x14ac:dyDescent="0.35"/>
    <row r="3006" hidden="1" x14ac:dyDescent="0.35"/>
    <row r="3007" hidden="1" x14ac:dyDescent="0.35"/>
    <row r="3008" hidden="1" x14ac:dyDescent="0.35"/>
    <row r="3009" hidden="1" x14ac:dyDescent="0.35"/>
    <row r="3010" hidden="1" x14ac:dyDescent="0.35"/>
    <row r="3011" hidden="1" x14ac:dyDescent="0.35"/>
    <row r="3012" hidden="1" x14ac:dyDescent="0.35"/>
    <row r="3013" hidden="1" x14ac:dyDescent="0.35"/>
    <row r="3014" hidden="1" x14ac:dyDescent="0.35"/>
    <row r="3015" hidden="1" x14ac:dyDescent="0.35"/>
    <row r="3016" hidden="1" x14ac:dyDescent="0.35"/>
    <row r="3017" hidden="1" x14ac:dyDescent="0.35"/>
    <row r="3018" hidden="1" x14ac:dyDescent="0.35"/>
    <row r="3019" hidden="1" x14ac:dyDescent="0.35"/>
    <row r="3020" hidden="1" x14ac:dyDescent="0.35"/>
    <row r="3021" hidden="1" x14ac:dyDescent="0.35"/>
    <row r="3022" hidden="1" x14ac:dyDescent="0.35"/>
    <row r="3023" hidden="1" x14ac:dyDescent="0.35"/>
    <row r="3024" hidden="1" x14ac:dyDescent="0.35"/>
    <row r="3025" hidden="1" x14ac:dyDescent="0.35"/>
    <row r="3026" hidden="1" x14ac:dyDescent="0.35"/>
    <row r="3027" hidden="1" x14ac:dyDescent="0.35"/>
    <row r="3028" hidden="1" x14ac:dyDescent="0.35"/>
    <row r="3029" hidden="1" x14ac:dyDescent="0.35"/>
    <row r="3030" hidden="1" x14ac:dyDescent="0.35"/>
    <row r="3031" hidden="1" x14ac:dyDescent="0.35"/>
    <row r="3032" hidden="1" x14ac:dyDescent="0.35"/>
    <row r="3033" hidden="1" x14ac:dyDescent="0.35"/>
    <row r="3034" hidden="1" x14ac:dyDescent="0.35"/>
    <row r="3035" hidden="1" x14ac:dyDescent="0.35"/>
    <row r="3036" hidden="1" x14ac:dyDescent="0.35"/>
    <row r="3037" hidden="1" x14ac:dyDescent="0.35"/>
    <row r="3038" hidden="1" x14ac:dyDescent="0.35"/>
    <row r="3039" hidden="1" x14ac:dyDescent="0.35"/>
    <row r="3040" hidden="1" x14ac:dyDescent="0.35"/>
    <row r="3041" hidden="1" x14ac:dyDescent="0.35"/>
    <row r="3042" hidden="1" x14ac:dyDescent="0.35"/>
    <row r="3043" hidden="1" x14ac:dyDescent="0.35"/>
    <row r="3044" hidden="1" x14ac:dyDescent="0.35"/>
    <row r="3045" hidden="1" x14ac:dyDescent="0.35"/>
    <row r="3046" hidden="1" x14ac:dyDescent="0.35"/>
    <row r="3047" hidden="1" x14ac:dyDescent="0.35"/>
    <row r="3048" hidden="1" x14ac:dyDescent="0.35"/>
    <row r="3049" hidden="1" x14ac:dyDescent="0.35"/>
    <row r="3050" hidden="1" x14ac:dyDescent="0.35"/>
    <row r="3051" hidden="1" x14ac:dyDescent="0.35"/>
    <row r="3052" hidden="1" x14ac:dyDescent="0.35"/>
    <row r="3053" hidden="1" x14ac:dyDescent="0.35"/>
    <row r="3054" hidden="1" x14ac:dyDescent="0.35"/>
    <row r="3055" hidden="1" x14ac:dyDescent="0.35"/>
    <row r="3056" hidden="1" x14ac:dyDescent="0.35"/>
    <row r="3057" hidden="1" x14ac:dyDescent="0.35"/>
    <row r="3058" hidden="1" x14ac:dyDescent="0.35"/>
    <row r="3059" hidden="1" x14ac:dyDescent="0.35"/>
    <row r="3060" hidden="1" x14ac:dyDescent="0.35"/>
    <row r="3061" hidden="1" x14ac:dyDescent="0.35"/>
    <row r="3062" hidden="1" x14ac:dyDescent="0.35"/>
    <row r="3063" hidden="1" x14ac:dyDescent="0.35"/>
    <row r="3064" hidden="1" x14ac:dyDescent="0.35"/>
    <row r="3065" hidden="1" x14ac:dyDescent="0.35"/>
    <row r="3066" hidden="1" x14ac:dyDescent="0.35"/>
    <row r="3067" hidden="1" x14ac:dyDescent="0.35"/>
    <row r="3068" hidden="1" x14ac:dyDescent="0.35"/>
    <row r="3069" hidden="1" x14ac:dyDescent="0.35"/>
    <row r="3070" hidden="1" x14ac:dyDescent="0.35"/>
    <row r="3071" hidden="1" x14ac:dyDescent="0.35"/>
    <row r="3072" hidden="1" x14ac:dyDescent="0.35"/>
    <row r="3073" hidden="1" x14ac:dyDescent="0.35"/>
    <row r="3074" hidden="1" x14ac:dyDescent="0.35"/>
    <row r="3075" hidden="1" x14ac:dyDescent="0.35"/>
    <row r="3076" hidden="1" x14ac:dyDescent="0.35"/>
    <row r="3077" hidden="1" x14ac:dyDescent="0.35"/>
    <row r="3078" hidden="1" x14ac:dyDescent="0.35"/>
    <row r="3079" hidden="1" x14ac:dyDescent="0.35"/>
    <row r="3080" hidden="1" x14ac:dyDescent="0.35"/>
    <row r="3081" hidden="1" x14ac:dyDescent="0.35"/>
    <row r="3082" hidden="1" x14ac:dyDescent="0.35"/>
    <row r="3083" hidden="1" x14ac:dyDescent="0.35"/>
    <row r="3084" hidden="1" x14ac:dyDescent="0.35"/>
    <row r="3085" hidden="1" x14ac:dyDescent="0.35"/>
    <row r="3086" hidden="1" x14ac:dyDescent="0.35"/>
    <row r="3087" hidden="1" x14ac:dyDescent="0.35"/>
    <row r="3088" hidden="1" x14ac:dyDescent="0.35"/>
    <row r="3089" hidden="1" x14ac:dyDescent="0.35"/>
    <row r="3090" hidden="1" x14ac:dyDescent="0.35"/>
    <row r="3091" hidden="1" x14ac:dyDescent="0.35"/>
    <row r="3092" hidden="1" x14ac:dyDescent="0.35"/>
    <row r="3093" hidden="1" x14ac:dyDescent="0.35"/>
    <row r="3094" hidden="1" x14ac:dyDescent="0.35"/>
    <row r="3095" hidden="1" x14ac:dyDescent="0.35"/>
    <row r="3096" hidden="1" x14ac:dyDescent="0.35"/>
    <row r="3097" hidden="1" x14ac:dyDescent="0.35"/>
    <row r="3098" hidden="1" x14ac:dyDescent="0.35"/>
    <row r="3099" hidden="1" x14ac:dyDescent="0.35"/>
    <row r="3100" hidden="1" x14ac:dyDescent="0.35"/>
    <row r="3101" hidden="1" x14ac:dyDescent="0.35"/>
    <row r="3102" hidden="1" x14ac:dyDescent="0.35"/>
    <row r="3103" hidden="1" x14ac:dyDescent="0.35"/>
    <row r="3104" hidden="1" x14ac:dyDescent="0.35"/>
    <row r="3105" hidden="1" x14ac:dyDescent="0.35"/>
    <row r="3106" hidden="1" x14ac:dyDescent="0.35"/>
    <row r="3107" hidden="1" x14ac:dyDescent="0.35"/>
    <row r="3108" hidden="1" x14ac:dyDescent="0.35"/>
    <row r="3109" hidden="1" x14ac:dyDescent="0.35"/>
    <row r="3110" hidden="1" x14ac:dyDescent="0.35"/>
    <row r="3111" hidden="1" x14ac:dyDescent="0.35"/>
    <row r="3112" hidden="1" x14ac:dyDescent="0.35"/>
    <row r="3113" hidden="1" x14ac:dyDescent="0.35"/>
    <row r="3114" hidden="1" x14ac:dyDescent="0.35"/>
    <row r="3115" hidden="1" x14ac:dyDescent="0.35"/>
    <row r="3116" hidden="1" x14ac:dyDescent="0.35"/>
    <row r="3117" hidden="1" x14ac:dyDescent="0.35"/>
    <row r="3118" hidden="1" x14ac:dyDescent="0.35"/>
    <row r="3119" hidden="1" x14ac:dyDescent="0.35"/>
    <row r="3120" hidden="1" x14ac:dyDescent="0.35"/>
    <row r="3121" hidden="1" x14ac:dyDescent="0.35"/>
    <row r="3122" hidden="1" x14ac:dyDescent="0.35"/>
    <row r="3123" hidden="1" x14ac:dyDescent="0.35"/>
    <row r="3124" hidden="1" x14ac:dyDescent="0.35"/>
    <row r="3125" hidden="1" x14ac:dyDescent="0.35"/>
    <row r="3126" hidden="1" x14ac:dyDescent="0.35"/>
    <row r="3127" hidden="1" x14ac:dyDescent="0.35"/>
    <row r="3128" hidden="1" x14ac:dyDescent="0.35"/>
    <row r="3129" hidden="1" x14ac:dyDescent="0.35"/>
    <row r="3130" hidden="1" x14ac:dyDescent="0.35"/>
    <row r="3131" hidden="1" x14ac:dyDescent="0.35"/>
    <row r="3132" hidden="1" x14ac:dyDescent="0.35"/>
    <row r="3133" hidden="1" x14ac:dyDescent="0.35"/>
    <row r="3134" hidden="1" x14ac:dyDescent="0.35"/>
    <row r="3135" hidden="1" x14ac:dyDescent="0.35"/>
    <row r="3136" hidden="1" x14ac:dyDescent="0.35"/>
    <row r="3137" hidden="1" x14ac:dyDescent="0.35"/>
    <row r="3138" hidden="1" x14ac:dyDescent="0.35"/>
    <row r="3139" hidden="1" x14ac:dyDescent="0.35"/>
    <row r="3140" hidden="1" x14ac:dyDescent="0.35"/>
    <row r="3141" hidden="1" x14ac:dyDescent="0.35"/>
    <row r="3142" hidden="1" x14ac:dyDescent="0.35"/>
    <row r="3143" hidden="1" x14ac:dyDescent="0.35"/>
    <row r="3144" hidden="1" x14ac:dyDescent="0.35"/>
    <row r="3145" hidden="1" x14ac:dyDescent="0.35"/>
    <row r="3146" hidden="1" x14ac:dyDescent="0.35"/>
    <row r="3147" hidden="1" x14ac:dyDescent="0.35"/>
    <row r="3148" hidden="1" x14ac:dyDescent="0.35"/>
    <row r="3149" hidden="1" x14ac:dyDescent="0.35"/>
    <row r="3150" hidden="1" x14ac:dyDescent="0.35"/>
    <row r="3151" hidden="1" x14ac:dyDescent="0.35"/>
    <row r="3152" hidden="1" x14ac:dyDescent="0.35"/>
    <row r="3153" hidden="1" x14ac:dyDescent="0.35"/>
    <row r="3154" hidden="1" x14ac:dyDescent="0.35"/>
    <row r="3155" hidden="1" x14ac:dyDescent="0.35"/>
    <row r="3156" hidden="1" x14ac:dyDescent="0.35"/>
    <row r="3157" hidden="1" x14ac:dyDescent="0.35"/>
    <row r="3158" hidden="1" x14ac:dyDescent="0.35"/>
    <row r="3159" hidden="1" x14ac:dyDescent="0.35"/>
    <row r="3160" hidden="1" x14ac:dyDescent="0.35"/>
    <row r="3161" hidden="1" x14ac:dyDescent="0.35"/>
    <row r="3162" hidden="1" x14ac:dyDescent="0.35"/>
    <row r="3163" hidden="1" x14ac:dyDescent="0.35"/>
    <row r="3164" hidden="1" x14ac:dyDescent="0.35"/>
    <row r="3165" hidden="1" x14ac:dyDescent="0.35"/>
    <row r="3166" hidden="1" x14ac:dyDescent="0.35"/>
    <row r="3167" hidden="1" x14ac:dyDescent="0.35"/>
    <row r="3168" hidden="1" x14ac:dyDescent="0.35"/>
    <row r="3169" hidden="1" x14ac:dyDescent="0.35"/>
    <row r="3170" hidden="1" x14ac:dyDescent="0.35"/>
    <row r="3171" hidden="1" x14ac:dyDescent="0.35"/>
    <row r="3172" hidden="1" x14ac:dyDescent="0.35"/>
    <row r="3173" hidden="1" x14ac:dyDescent="0.35"/>
    <row r="3174" hidden="1" x14ac:dyDescent="0.35"/>
    <row r="3175" hidden="1" x14ac:dyDescent="0.35"/>
    <row r="3176" hidden="1" x14ac:dyDescent="0.35"/>
    <row r="3177" hidden="1" x14ac:dyDescent="0.35"/>
    <row r="3178" hidden="1" x14ac:dyDescent="0.35"/>
    <row r="3179" hidden="1" x14ac:dyDescent="0.35"/>
    <row r="3180" hidden="1" x14ac:dyDescent="0.35"/>
    <row r="3181" hidden="1" x14ac:dyDescent="0.35"/>
    <row r="3182" hidden="1" x14ac:dyDescent="0.35"/>
    <row r="3183" hidden="1" x14ac:dyDescent="0.35"/>
    <row r="3184" hidden="1" x14ac:dyDescent="0.35"/>
    <row r="3185" hidden="1" x14ac:dyDescent="0.35"/>
    <row r="3186" hidden="1" x14ac:dyDescent="0.35"/>
    <row r="3187" hidden="1" x14ac:dyDescent="0.35"/>
    <row r="3188" hidden="1" x14ac:dyDescent="0.35"/>
    <row r="3189" hidden="1" x14ac:dyDescent="0.35"/>
    <row r="3190" hidden="1" x14ac:dyDescent="0.35"/>
    <row r="3191" hidden="1" x14ac:dyDescent="0.35"/>
    <row r="3192" hidden="1" x14ac:dyDescent="0.35"/>
    <row r="3193" hidden="1" x14ac:dyDescent="0.35"/>
    <row r="3194" hidden="1" x14ac:dyDescent="0.35"/>
    <row r="3195" hidden="1" x14ac:dyDescent="0.35"/>
    <row r="3196" hidden="1" x14ac:dyDescent="0.35"/>
    <row r="3197" hidden="1" x14ac:dyDescent="0.35"/>
    <row r="3198" hidden="1" x14ac:dyDescent="0.35"/>
    <row r="3199" hidden="1" x14ac:dyDescent="0.35"/>
    <row r="3200" hidden="1" x14ac:dyDescent="0.35"/>
    <row r="3201" hidden="1" x14ac:dyDescent="0.35"/>
    <row r="3202" hidden="1" x14ac:dyDescent="0.35"/>
    <row r="3203" hidden="1" x14ac:dyDescent="0.35"/>
    <row r="3204" hidden="1" x14ac:dyDescent="0.35"/>
    <row r="3205" hidden="1" x14ac:dyDescent="0.35"/>
    <row r="3206" hidden="1" x14ac:dyDescent="0.35"/>
    <row r="3207" hidden="1" x14ac:dyDescent="0.35"/>
    <row r="3208" hidden="1" x14ac:dyDescent="0.35"/>
    <row r="3209" hidden="1" x14ac:dyDescent="0.35"/>
    <row r="3210" hidden="1" x14ac:dyDescent="0.35"/>
    <row r="3211" hidden="1" x14ac:dyDescent="0.35"/>
    <row r="3212" hidden="1" x14ac:dyDescent="0.35"/>
    <row r="3213" hidden="1" x14ac:dyDescent="0.35"/>
    <row r="3214" hidden="1" x14ac:dyDescent="0.35"/>
    <row r="3215" hidden="1" x14ac:dyDescent="0.35"/>
    <row r="3216" hidden="1" x14ac:dyDescent="0.35"/>
    <row r="3217" hidden="1" x14ac:dyDescent="0.35"/>
    <row r="3218" hidden="1" x14ac:dyDescent="0.35"/>
    <row r="3219" hidden="1" x14ac:dyDescent="0.35"/>
    <row r="3220" hidden="1" x14ac:dyDescent="0.35"/>
    <row r="3221" hidden="1" x14ac:dyDescent="0.35"/>
    <row r="3222" hidden="1" x14ac:dyDescent="0.35"/>
    <row r="3223" hidden="1" x14ac:dyDescent="0.35"/>
    <row r="3224" hidden="1" x14ac:dyDescent="0.35"/>
    <row r="3225" hidden="1" x14ac:dyDescent="0.35"/>
    <row r="3226" hidden="1" x14ac:dyDescent="0.35"/>
    <row r="3227" hidden="1" x14ac:dyDescent="0.35"/>
    <row r="3228" hidden="1" x14ac:dyDescent="0.35"/>
    <row r="3229" hidden="1" x14ac:dyDescent="0.35"/>
    <row r="3230" hidden="1" x14ac:dyDescent="0.35"/>
    <row r="3231" hidden="1" x14ac:dyDescent="0.35"/>
    <row r="3232" hidden="1" x14ac:dyDescent="0.35"/>
    <row r="3233" hidden="1" x14ac:dyDescent="0.35"/>
    <row r="3234" hidden="1" x14ac:dyDescent="0.35"/>
    <row r="3235" hidden="1" x14ac:dyDescent="0.35"/>
    <row r="3236" hidden="1" x14ac:dyDescent="0.35"/>
    <row r="3237" hidden="1" x14ac:dyDescent="0.35"/>
    <row r="3238" hidden="1" x14ac:dyDescent="0.35"/>
    <row r="3239" hidden="1" x14ac:dyDescent="0.35"/>
    <row r="3240" hidden="1" x14ac:dyDescent="0.35"/>
    <row r="3241" hidden="1" x14ac:dyDescent="0.35"/>
    <row r="3242" hidden="1" x14ac:dyDescent="0.35"/>
    <row r="3243" hidden="1" x14ac:dyDescent="0.35"/>
    <row r="3244" hidden="1" x14ac:dyDescent="0.35"/>
    <row r="3245" hidden="1" x14ac:dyDescent="0.35"/>
    <row r="3246" hidden="1" x14ac:dyDescent="0.35"/>
    <row r="3247" hidden="1" x14ac:dyDescent="0.35"/>
    <row r="3248" hidden="1" x14ac:dyDescent="0.35"/>
    <row r="3249" hidden="1" x14ac:dyDescent="0.35"/>
    <row r="3250" hidden="1" x14ac:dyDescent="0.35"/>
    <row r="3251" hidden="1" x14ac:dyDescent="0.35"/>
    <row r="3252" hidden="1" x14ac:dyDescent="0.35"/>
    <row r="3253" hidden="1" x14ac:dyDescent="0.35"/>
    <row r="3254" hidden="1" x14ac:dyDescent="0.35"/>
    <row r="3255" hidden="1" x14ac:dyDescent="0.35"/>
    <row r="3256" hidden="1" x14ac:dyDescent="0.35"/>
    <row r="3257" hidden="1" x14ac:dyDescent="0.35"/>
    <row r="3258" hidden="1" x14ac:dyDescent="0.35"/>
    <row r="3259" hidden="1" x14ac:dyDescent="0.35"/>
    <row r="3260" hidden="1" x14ac:dyDescent="0.35"/>
    <row r="3261" hidden="1" x14ac:dyDescent="0.35"/>
    <row r="3262" hidden="1" x14ac:dyDescent="0.35"/>
    <row r="3263" hidden="1" x14ac:dyDescent="0.35"/>
    <row r="3264" hidden="1" x14ac:dyDescent="0.35"/>
    <row r="3265" hidden="1" x14ac:dyDescent="0.35"/>
    <row r="3266" hidden="1" x14ac:dyDescent="0.35"/>
    <row r="3267" hidden="1" x14ac:dyDescent="0.35"/>
    <row r="3268" hidden="1" x14ac:dyDescent="0.35"/>
    <row r="3269" hidden="1" x14ac:dyDescent="0.35"/>
    <row r="3270" hidden="1" x14ac:dyDescent="0.35"/>
    <row r="3271" hidden="1" x14ac:dyDescent="0.35"/>
    <row r="3272" hidden="1" x14ac:dyDescent="0.35"/>
    <row r="3273" hidden="1" x14ac:dyDescent="0.35"/>
    <row r="3274" hidden="1" x14ac:dyDescent="0.35"/>
    <row r="3275" hidden="1" x14ac:dyDescent="0.35"/>
    <row r="3276" hidden="1" x14ac:dyDescent="0.35"/>
    <row r="3277" hidden="1" x14ac:dyDescent="0.35"/>
    <row r="3278" hidden="1" x14ac:dyDescent="0.35"/>
    <row r="3279" hidden="1" x14ac:dyDescent="0.35"/>
    <row r="3280" hidden="1" x14ac:dyDescent="0.35"/>
    <row r="3281" hidden="1" x14ac:dyDescent="0.35"/>
    <row r="3282" hidden="1" x14ac:dyDescent="0.35"/>
    <row r="3283" hidden="1" x14ac:dyDescent="0.35"/>
    <row r="3284" hidden="1" x14ac:dyDescent="0.35"/>
    <row r="3285" hidden="1" x14ac:dyDescent="0.35"/>
    <row r="3286" hidden="1" x14ac:dyDescent="0.35"/>
    <row r="3287" hidden="1" x14ac:dyDescent="0.35"/>
    <row r="3288" hidden="1" x14ac:dyDescent="0.35"/>
    <row r="3289" hidden="1" x14ac:dyDescent="0.35"/>
    <row r="3290" hidden="1" x14ac:dyDescent="0.35"/>
    <row r="3291" hidden="1" x14ac:dyDescent="0.35"/>
    <row r="3292" hidden="1" x14ac:dyDescent="0.35"/>
    <row r="3293" hidden="1" x14ac:dyDescent="0.35"/>
    <row r="3294" hidden="1" x14ac:dyDescent="0.35"/>
    <row r="3295" hidden="1" x14ac:dyDescent="0.35"/>
    <row r="3296" hidden="1" x14ac:dyDescent="0.35"/>
    <row r="3297" hidden="1" x14ac:dyDescent="0.35"/>
    <row r="3298" hidden="1" x14ac:dyDescent="0.35"/>
    <row r="3299" hidden="1" x14ac:dyDescent="0.35"/>
    <row r="3300" hidden="1" x14ac:dyDescent="0.35"/>
    <row r="3301" hidden="1" x14ac:dyDescent="0.35"/>
    <row r="3302" hidden="1" x14ac:dyDescent="0.35"/>
    <row r="3303" hidden="1" x14ac:dyDescent="0.35"/>
    <row r="3304" hidden="1" x14ac:dyDescent="0.35"/>
    <row r="3305" hidden="1" x14ac:dyDescent="0.35"/>
    <row r="3306" hidden="1" x14ac:dyDescent="0.35"/>
    <row r="3307" hidden="1" x14ac:dyDescent="0.35"/>
    <row r="3308" hidden="1" x14ac:dyDescent="0.35"/>
    <row r="3309" hidden="1" x14ac:dyDescent="0.35"/>
    <row r="3310" hidden="1" x14ac:dyDescent="0.35"/>
    <row r="3311" hidden="1" x14ac:dyDescent="0.35"/>
    <row r="3312" hidden="1" x14ac:dyDescent="0.35"/>
    <row r="3313" hidden="1" x14ac:dyDescent="0.35"/>
    <row r="3314" hidden="1" x14ac:dyDescent="0.35"/>
    <row r="3315" hidden="1" x14ac:dyDescent="0.35"/>
    <row r="3316" hidden="1" x14ac:dyDescent="0.35"/>
    <row r="3317" hidden="1" x14ac:dyDescent="0.35"/>
    <row r="3318" hidden="1" x14ac:dyDescent="0.35"/>
    <row r="3319" hidden="1" x14ac:dyDescent="0.35"/>
    <row r="3320" hidden="1" x14ac:dyDescent="0.35"/>
    <row r="3321" hidden="1" x14ac:dyDescent="0.35"/>
    <row r="3322" hidden="1" x14ac:dyDescent="0.35"/>
    <row r="3323" hidden="1" x14ac:dyDescent="0.35"/>
    <row r="3324" hidden="1" x14ac:dyDescent="0.35"/>
    <row r="3325" hidden="1" x14ac:dyDescent="0.35"/>
    <row r="3326" hidden="1" x14ac:dyDescent="0.35"/>
    <row r="3327" hidden="1" x14ac:dyDescent="0.35"/>
    <row r="3328" hidden="1" x14ac:dyDescent="0.35"/>
    <row r="3329" hidden="1" x14ac:dyDescent="0.35"/>
    <row r="3330" hidden="1" x14ac:dyDescent="0.35"/>
    <row r="3331" hidden="1" x14ac:dyDescent="0.35"/>
    <row r="3332" hidden="1" x14ac:dyDescent="0.35"/>
    <row r="3333" hidden="1" x14ac:dyDescent="0.35"/>
    <row r="3334" hidden="1" x14ac:dyDescent="0.35"/>
    <row r="3335" hidden="1" x14ac:dyDescent="0.35"/>
    <row r="3336" hidden="1" x14ac:dyDescent="0.35"/>
    <row r="3337" hidden="1" x14ac:dyDescent="0.35"/>
    <row r="3338" hidden="1" x14ac:dyDescent="0.35"/>
    <row r="3339" hidden="1" x14ac:dyDescent="0.35"/>
    <row r="3340" hidden="1" x14ac:dyDescent="0.35"/>
    <row r="3341" hidden="1" x14ac:dyDescent="0.35"/>
    <row r="3342" hidden="1" x14ac:dyDescent="0.35"/>
    <row r="3343" hidden="1" x14ac:dyDescent="0.35"/>
    <row r="3344" hidden="1" x14ac:dyDescent="0.35"/>
    <row r="3345" hidden="1" x14ac:dyDescent="0.35"/>
    <row r="3346" hidden="1" x14ac:dyDescent="0.35"/>
    <row r="3347" hidden="1" x14ac:dyDescent="0.35"/>
    <row r="3348" hidden="1" x14ac:dyDescent="0.35"/>
    <row r="3349" hidden="1" x14ac:dyDescent="0.35"/>
    <row r="3350" hidden="1" x14ac:dyDescent="0.35"/>
    <row r="3351" hidden="1" x14ac:dyDescent="0.35"/>
    <row r="3352" hidden="1" x14ac:dyDescent="0.35"/>
    <row r="3353" hidden="1" x14ac:dyDescent="0.35"/>
    <row r="3354" hidden="1" x14ac:dyDescent="0.35"/>
    <row r="3355" hidden="1" x14ac:dyDescent="0.35"/>
    <row r="3356" hidden="1" x14ac:dyDescent="0.35"/>
    <row r="3357" hidden="1" x14ac:dyDescent="0.35"/>
    <row r="3358" hidden="1" x14ac:dyDescent="0.35"/>
    <row r="3359" hidden="1" x14ac:dyDescent="0.35"/>
    <row r="3360" hidden="1" x14ac:dyDescent="0.35"/>
    <row r="3361" hidden="1" x14ac:dyDescent="0.35"/>
    <row r="3362" hidden="1" x14ac:dyDescent="0.35"/>
    <row r="3363" hidden="1" x14ac:dyDescent="0.35"/>
    <row r="3364" hidden="1" x14ac:dyDescent="0.35"/>
    <row r="3365" hidden="1" x14ac:dyDescent="0.35"/>
    <row r="3366" hidden="1" x14ac:dyDescent="0.35"/>
    <row r="3367" hidden="1" x14ac:dyDescent="0.35"/>
    <row r="3368" hidden="1" x14ac:dyDescent="0.35"/>
    <row r="3369" hidden="1" x14ac:dyDescent="0.35"/>
    <row r="3370" hidden="1" x14ac:dyDescent="0.35"/>
    <row r="3371" hidden="1" x14ac:dyDescent="0.35"/>
    <row r="3372" hidden="1" x14ac:dyDescent="0.35"/>
    <row r="3373" hidden="1" x14ac:dyDescent="0.35"/>
    <row r="3374" hidden="1" x14ac:dyDescent="0.35"/>
    <row r="3375" hidden="1" x14ac:dyDescent="0.35"/>
    <row r="3376" hidden="1" x14ac:dyDescent="0.35"/>
    <row r="3377" hidden="1" x14ac:dyDescent="0.35"/>
    <row r="3378" hidden="1" x14ac:dyDescent="0.35"/>
    <row r="3379" hidden="1" x14ac:dyDescent="0.35"/>
    <row r="3380" hidden="1" x14ac:dyDescent="0.35"/>
    <row r="3381" hidden="1" x14ac:dyDescent="0.35"/>
    <row r="3382" hidden="1" x14ac:dyDescent="0.35"/>
    <row r="3383" hidden="1" x14ac:dyDescent="0.35"/>
    <row r="3384" hidden="1" x14ac:dyDescent="0.35"/>
    <row r="3385" hidden="1" x14ac:dyDescent="0.35"/>
    <row r="3386" hidden="1" x14ac:dyDescent="0.35"/>
    <row r="3387" hidden="1" x14ac:dyDescent="0.35"/>
    <row r="3388" hidden="1" x14ac:dyDescent="0.35"/>
    <row r="3389" hidden="1" x14ac:dyDescent="0.35"/>
    <row r="3390" hidden="1" x14ac:dyDescent="0.35"/>
    <row r="3391" hidden="1" x14ac:dyDescent="0.35"/>
    <row r="3392" hidden="1" x14ac:dyDescent="0.35"/>
    <row r="3393" hidden="1" x14ac:dyDescent="0.35"/>
    <row r="3394" hidden="1" x14ac:dyDescent="0.35"/>
    <row r="3395" hidden="1" x14ac:dyDescent="0.35"/>
    <row r="3396" hidden="1" x14ac:dyDescent="0.35"/>
    <row r="3397" hidden="1" x14ac:dyDescent="0.35"/>
    <row r="3398" hidden="1" x14ac:dyDescent="0.35"/>
    <row r="3399" hidden="1" x14ac:dyDescent="0.35"/>
    <row r="3400" hidden="1" x14ac:dyDescent="0.35"/>
    <row r="3401" hidden="1" x14ac:dyDescent="0.35"/>
    <row r="3402" hidden="1" x14ac:dyDescent="0.35"/>
    <row r="3403" hidden="1" x14ac:dyDescent="0.35"/>
    <row r="3404" hidden="1" x14ac:dyDescent="0.35"/>
    <row r="3405" hidden="1" x14ac:dyDescent="0.35"/>
    <row r="3406" hidden="1" x14ac:dyDescent="0.35"/>
    <row r="3407" hidden="1" x14ac:dyDescent="0.35"/>
    <row r="3408" hidden="1" x14ac:dyDescent="0.35"/>
    <row r="3409" hidden="1" x14ac:dyDescent="0.35"/>
    <row r="3410" hidden="1" x14ac:dyDescent="0.35"/>
    <row r="3411" hidden="1" x14ac:dyDescent="0.35"/>
    <row r="3412" hidden="1" x14ac:dyDescent="0.35"/>
    <row r="3413" hidden="1" x14ac:dyDescent="0.35"/>
    <row r="3414" hidden="1" x14ac:dyDescent="0.35"/>
    <row r="3415" hidden="1" x14ac:dyDescent="0.35"/>
    <row r="3416" hidden="1" x14ac:dyDescent="0.35"/>
    <row r="3417" hidden="1" x14ac:dyDescent="0.35"/>
    <row r="3418" hidden="1" x14ac:dyDescent="0.35"/>
    <row r="3419" hidden="1" x14ac:dyDescent="0.35"/>
    <row r="3420" hidden="1" x14ac:dyDescent="0.35"/>
    <row r="3421" hidden="1" x14ac:dyDescent="0.35"/>
    <row r="3422" hidden="1" x14ac:dyDescent="0.35"/>
    <row r="3423" hidden="1" x14ac:dyDescent="0.35"/>
    <row r="3424" hidden="1" x14ac:dyDescent="0.35"/>
    <row r="3425" hidden="1" x14ac:dyDescent="0.35"/>
    <row r="3426" hidden="1" x14ac:dyDescent="0.35"/>
    <row r="3427" hidden="1" x14ac:dyDescent="0.35"/>
    <row r="3428" hidden="1" x14ac:dyDescent="0.35"/>
    <row r="3429" hidden="1" x14ac:dyDescent="0.35"/>
    <row r="3430" hidden="1" x14ac:dyDescent="0.35"/>
    <row r="3431" hidden="1" x14ac:dyDescent="0.35"/>
    <row r="3432" hidden="1" x14ac:dyDescent="0.35"/>
    <row r="3433" hidden="1" x14ac:dyDescent="0.35"/>
    <row r="3434" hidden="1" x14ac:dyDescent="0.35"/>
    <row r="3435" hidden="1" x14ac:dyDescent="0.35"/>
    <row r="3436" hidden="1" x14ac:dyDescent="0.35"/>
    <row r="3437" hidden="1" x14ac:dyDescent="0.35"/>
    <row r="3438" hidden="1" x14ac:dyDescent="0.35"/>
    <row r="3439" hidden="1" x14ac:dyDescent="0.35"/>
    <row r="3440" hidden="1" x14ac:dyDescent="0.35"/>
    <row r="3441" hidden="1" x14ac:dyDescent="0.35"/>
    <row r="3442" hidden="1" x14ac:dyDescent="0.35"/>
    <row r="3443" hidden="1" x14ac:dyDescent="0.35"/>
    <row r="3444" hidden="1" x14ac:dyDescent="0.35"/>
    <row r="3445" hidden="1" x14ac:dyDescent="0.35"/>
    <row r="3446" hidden="1" x14ac:dyDescent="0.35"/>
    <row r="3447" hidden="1" x14ac:dyDescent="0.35"/>
    <row r="3448" hidden="1" x14ac:dyDescent="0.35"/>
    <row r="3449" hidden="1" x14ac:dyDescent="0.35"/>
    <row r="3450" hidden="1" x14ac:dyDescent="0.35"/>
    <row r="3451" hidden="1" x14ac:dyDescent="0.35"/>
    <row r="3452" hidden="1" x14ac:dyDescent="0.35"/>
    <row r="3453" hidden="1" x14ac:dyDescent="0.35"/>
    <row r="3454" hidden="1" x14ac:dyDescent="0.35"/>
    <row r="3455" hidden="1" x14ac:dyDescent="0.35"/>
    <row r="3456" hidden="1" x14ac:dyDescent="0.35"/>
    <row r="3457" hidden="1" x14ac:dyDescent="0.35"/>
    <row r="3458" hidden="1" x14ac:dyDescent="0.35"/>
    <row r="3459" hidden="1" x14ac:dyDescent="0.35"/>
    <row r="3460" hidden="1" x14ac:dyDescent="0.35"/>
    <row r="3461" hidden="1" x14ac:dyDescent="0.35"/>
    <row r="3462" hidden="1" x14ac:dyDescent="0.35"/>
    <row r="3463" hidden="1" x14ac:dyDescent="0.35"/>
    <row r="3464" hidden="1" x14ac:dyDescent="0.35"/>
    <row r="3465" hidden="1" x14ac:dyDescent="0.35"/>
    <row r="3466" hidden="1" x14ac:dyDescent="0.35"/>
    <row r="3467" hidden="1" x14ac:dyDescent="0.35"/>
    <row r="3468" hidden="1" x14ac:dyDescent="0.35"/>
    <row r="3469" hidden="1" x14ac:dyDescent="0.35"/>
    <row r="3470" hidden="1" x14ac:dyDescent="0.35"/>
    <row r="3471" hidden="1" x14ac:dyDescent="0.35"/>
    <row r="3472" hidden="1" x14ac:dyDescent="0.35"/>
    <row r="3473" hidden="1" x14ac:dyDescent="0.35"/>
    <row r="3474" hidden="1" x14ac:dyDescent="0.35"/>
    <row r="3475" hidden="1" x14ac:dyDescent="0.35"/>
    <row r="3476" hidden="1" x14ac:dyDescent="0.35"/>
    <row r="3477" hidden="1" x14ac:dyDescent="0.35"/>
    <row r="3478" hidden="1" x14ac:dyDescent="0.35"/>
    <row r="3479" hidden="1" x14ac:dyDescent="0.35"/>
    <row r="3480" hidden="1" x14ac:dyDescent="0.35"/>
    <row r="3481" hidden="1" x14ac:dyDescent="0.35"/>
    <row r="3482" hidden="1" x14ac:dyDescent="0.35"/>
    <row r="3483" hidden="1" x14ac:dyDescent="0.35"/>
    <row r="3484" hidden="1" x14ac:dyDescent="0.35"/>
    <row r="3485" hidden="1" x14ac:dyDescent="0.35"/>
    <row r="3486" hidden="1" x14ac:dyDescent="0.35"/>
    <row r="3487" hidden="1" x14ac:dyDescent="0.35"/>
    <row r="3488" hidden="1" x14ac:dyDescent="0.35"/>
    <row r="3489" hidden="1" x14ac:dyDescent="0.35"/>
    <row r="3490" hidden="1" x14ac:dyDescent="0.35"/>
    <row r="3491" hidden="1" x14ac:dyDescent="0.35"/>
    <row r="3492" hidden="1" x14ac:dyDescent="0.35"/>
    <row r="3493" hidden="1" x14ac:dyDescent="0.35"/>
    <row r="3494" hidden="1" x14ac:dyDescent="0.35"/>
    <row r="3495" hidden="1" x14ac:dyDescent="0.35"/>
    <row r="3496" hidden="1" x14ac:dyDescent="0.35"/>
    <row r="3497" hidden="1" x14ac:dyDescent="0.35"/>
    <row r="3498" hidden="1" x14ac:dyDescent="0.35"/>
    <row r="3499" hidden="1" x14ac:dyDescent="0.35"/>
    <row r="3500" hidden="1" x14ac:dyDescent="0.35"/>
    <row r="3501" hidden="1" x14ac:dyDescent="0.35"/>
    <row r="3502" hidden="1" x14ac:dyDescent="0.35"/>
    <row r="3503" hidden="1" x14ac:dyDescent="0.35"/>
    <row r="3504" hidden="1" x14ac:dyDescent="0.35"/>
    <row r="3505" hidden="1" x14ac:dyDescent="0.35"/>
    <row r="3506" hidden="1" x14ac:dyDescent="0.35"/>
    <row r="3507" hidden="1" x14ac:dyDescent="0.35"/>
    <row r="3508" hidden="1" x14ac:dyDescent="0.35"/>
    <row r="3509" hidden="1" x14ac:dyDescent="0.35"/>
    <row r="3510" hidden="1" x14ac:dyDescent="0.35"/>
    <row r="3511" hidden="1" x14ac:dyDescent="0.35"/>
    <row r="3512" hidden="1" x14ac:dyDescent="0.35"/>
    <row r="3513" hidden="1" x14ac:dyDescent="0.35"/>
    <row r="3514" hidden="1" x14ac:dyDescent="0.35"/>
    <row r="3515" hidden="1" x14ac:dyDescent="0.35"/>
    <row r="3516" hidden="1" x14ac:dyDescent="0.35"/>
    <row r="3517" hidden="1" x14ac:dyDescent="0.35"/>
    <row r="3518" hidden="1" x14ac:dyDescent="0.35"/>
    <row r="3519" hidden="1" x14ac:dyDescent="0.35"/>
    <row r="3520" hidden="1" x14ac:dyDescent="0.35"/>
    <row r="3521" hidden="1" x14ac:dyDescent="0.35"/>
    <row r="3522" hidden="1" x14ac:dyDescent="0.35"/>
    <row r="3523" hidden="1" x14ac:dyDescent="0.35"/>
    <row r="3524" hidden="1" x14ac:dyDescent="0.35"/>
    <row r="3525" hidden="1" x14ac:dyDescent="0.35"/>
    <row r="3526" hidden="1" x14ac:dyDescent="0.35"/>
    <row r="3527" hidden="1" x14ac:dyDescent="0.35"/>
    <row r="3528" hidden="1" x14ac:dyDescent="0.35"/>
    <row r="3529" hidden="1" x14ac:dyDescent="0.35"/>
    <row r="3530" hidden="1" x14ac:dyDescent="0.35"/>
    <row r="3531" hidden="1" x14ac:dyDescent="0.35"/>
    <row r="3532" hidden="1" x14ac:dyDescent="0.35"/>
    <row r="3533" hidden="1" x14ac:dyDescent="0.35"/>
    <row r="3534" hidden="1" x14ac:dyDescent="0.35"/>
    <row r="3535" hidden="1" x14ac:dyDescent="0.35"/>
    <row r="3536" hidden="1" x14ac:dyDescent="0.35"/>
    <row r="3537" hidden="1" x14ac:dyDescent="0.35"/>
    <row r="3538" hidden="1" x14ac:dyDescent="0.35"/>
    <row r="3539" hidden="1" x14ac:dyDescent="0.35"/>
    <row r="3540" hidden="1" x14ac:dyDescent="0.35"/>
    <row r="3541" hidden="1" x14ac:dyDescent="0.35"/>
    <row r="3542" hidden="1" x14ac:dyDescent="0.35"/>
    <row r="3543" hidden="1" x14ac:dyDescent="0.35"/>
    <row r="3544" hidden="1" x14ac:dyDescent="0.35"/>
    <row r="3545" hidden="1" x14ac:dyDescent="0.35"/>
    <row r="3546" hidden="1" x14ac:dyDescent="0.35"/>
    <row r="3547" hidden="1" x14ac:dyDescent="0.35"/>
    <row r="3548" hidden="1" x14ac:dyDescent="0.35"/>
    <row r="3549" hidden="1" x14ac:dyDescent="0.35"/>
    <row r="3550" hidden="1" x14ac:dyDescent="0.35"/>
    <row r="3551" hidden="1" x14ac:dyDescent="0.35"/>
    <row r="3552" hidden="1" x14ac:dyDescent="0.35"/>
    <row r="3553" hidden="1" x14ac:dyDescent="0.35"/>
    <row r="3554" hidden="1" x14ac:dyDescent="0.35"/>
    <row r="3555" hidden="1" x14ac:dyDescent="0.35"/>
    <row r="3556" hidden="1" x14ac:dyDescent="0.35"/>
    <row r="3557" hidden="1" x14ac:dyDescent="0.35"/>
    <row r="3558" hidden="1" x14ac:dyDescent="0.35"/>
    <row r="3559" hidden="1" x14ac:dyDescent="0.35"/>
    <row r="3560" hidden="1" x14ac:dyDescent="0.35"/>
    <row r="3561" hidden="1" x14ac:dyDescent="0.35"/>
    <row r="3562" hidden="1" x14ac:dyDescent="0.35"/>
    <row r="3563" hidden="1" x14ac:dyDescent="0.35"/>
    <row r="3564" hidden="1" x14ac:dyDescent="0.35"/>
    <row r="3565" hidden="1" x14ac:dyDescent="0.35"/>
    <row r="3566" hidden="1" x14ac:dyDescent="0.35"/>
    <row r="3567" hidden="1" x14ac:dyDescent="0.35"/>
    <row r="3568" hidden="1" x14ac:dyDescent="0.35"/>
    <row r="3569" hidden="1" x14ac:dyDescent="0.35"/>
    <row r="3570" hidden="1" x14ac:dyDescent="0.35"/>
    <row r="3571" hidden="1" x14ac:dyDescent="0.35"/>
    <row r="3572" hidden="1" x14ac:dyDescent="0.35"/>
    <row r="3573" hidden="1" x14ac:dyDescent="0.35"/>
    <row r="3574" hidden="1" x14ac:dyDescent="0.35"/>
    <row r="3575" hidden="1" x14ac:dyDescent="0.35"/>
    <row r="3576" hidden="1" x14ac:dyDescent="0.35"/>
    <row r="3577" hidden="1" x14ac:dyDescent="0.35"/>
    <row r="3578" hidden="1" x14ac:dyDescent="0.35"/>
    <row r="3579" hidden="1" x14ac:dyDescent="0.35"/>
    <row r="3580" hidden="1" x14ac:dyDescent="0.35"/>
    <row r="3581" hidden="1" x14ac:dyDescent="0.35"/>
    <row r="3582" hidden="1" x14ac:dyDescent="0.35"/>
    <row r="3583" hidden="1" x14ac:dyDescent="0.35"/>
    <row r="3584" hidden="1" x14ac:dyDescent="0.35"/>
    <row r="3585" hidden="1" x14ac:dyDescent="0.35"/>
    <row r="3586" hidden="1" x14ac:dyDescent="0.35"/>
    <row r="3587" hidden="1" x14ac:dyDescent="0.35"/>
    <row r="3588" hidden="1" x14ac:dyDescent="0.35"/>
    <row r="3589" hidden="1" x14ac:dyDescent="0.35"/>
    <row r="3590" hidden="1" x14ac:dyDescent="0.35"/>
    <row r="3591" hidden="1" x14ac:dyDescent="0.35"/>
    <row r="3592" hidden="1" x14ac:dyDescent="0.35"/>
    <row r="3593" hidden="1" x14ac:dyDescent="0.35"/>
    <row r="3594" hidden="1" x14ac:dyDescent="0.35"/>
    <row r="3595" hidden="1" x14ac:dyDescent="0.35"/>
    <row r="3596" hidden="1" x14ac:dyDescent="0.35"/>
    <row r="3597" hidden="1" x14ac:dyDescent="0.35"/>
    <row r="3598" hidden="1" x14ac:dyDescent="0.35"/>
    <row r="3599" hidden="1" x14ac:dyDescent="0.35"/>
    <row r="3600" hidden="1" x14ac:dyDescent="0.35"/>
    <row r="3601" hidden="1" x14ac:dyDescent="0.35"/>
    <row r="3602" hidden="1" x14ac:dyDescent="0.35"/>
    <row r="3603" hidden="1" x14ac:dyDescent="0.35"/>
    <row r="3604" hidden="1" x14ac:dyDescent="0.35"/>
    <row r="3605" hidden="1" x14ac:dyDescent="0.35"/>
    <row r="3606" hidden="1" x14ac:dyDescent="0.35"/>
    <row r="3607" hidden="1" x14ac:dyDescent="0.35"/>
    <row r="3608" hidden="1" x14ac:dyDescent="0.35"/>
    <row r="3609" hidden="1" x14ac:dyDescent="0.35"/>
    <row r="3610" hidden="1" x14ac:dyDescent="0.35"/>
    <row r="3611" hidden="1" x14ac:dyDescent="0.35"/>
    <row r="3612" hidden="1" x14ac:dyDescent="0.35"/>
    <row r="3613" hidden="1" x14ac:dyDescent="0.35"/>
    <row r="3614" hidden="1" x14ac:dyDescent="0.35"/>
    <row r="3615" hidden="1" x14ac:dyDescent="0.35"/>
    <row r="3616" hidden="1" x14ac:dyDescent="0.35"/>
    <row r="3617" hidden="1" x14ac:dyDescent="0.35"/>
    <row r="3618" hidden="1" x14ac:dyDescent="0.35"/>
    <row r="3619" hidden="1" x14ac:dyDescent="0.35"/>
    <row r="3620" hidden="1" x14ac:dyDescent="0.35"/>
    <row r="3621" hidden="1" x14ac:dyDescent="0.35"/>
    <row r="3622" hidden="1" x14ac:dyDescent="0.35"/>
    <row r="3623" hidden="1" x14ac:dyDescent="0.35"/>
    <row r="3624" hidden="1" x14ac:dyDescent="0.35"/>
    <row r="3625" hidden="1" x14ac:dyDescent="0.35"/>
    <row r="3626" hidden="1" x14ac:dyDescent="0.35"/>
    <row r="3627" hidden="1" x14ac:dyDescent="0.35"/>
    <row r="3628" hidden="1" x14ac:dyDescent="0.35"/>
    <row r="3629" hidden="1" x14ac:dyDescent="0.35"/>
    <row r="3630" hidden="1" x14ac:dyDescent="0.35"/>
    <row r="3631" hidden="1" x14ac:dyDescent="0.35"/>
    <row r="3632" hidden="1" x14ac:dyDescent="0.35"/>
    <row r="3633" hidden="1" x14ac:dyDescent="0.35"/>
    <row r="3634" hidden="1" x14ac:dyDescent="0.35"/>
    <row r="3635" hidden="1" x14ac:dyDescent="0.35"/>
    <row r="3636" hidden="1" x14ac:dyDescent="0.35"/>
    <row r="3637" hidden="1" x14ac:dyDescent="0.35"/>
    <row r="3638" hidden="1" x14ac:dyDescent="0.35"/>
    <row r="3639" hidden="1" x14ac:dyDescent="0.35"/>
    <row r="3640" hidden="1" x14ac:dyDescent="0.35"/>
    <row r="3641" hidden="1" x14ac:dyDescent="0.35"/>
    <row r="3642" hidden="1" x14ac:dyDescent="0.35"/>
    <row r="3643" hidden="1" x14ac:dyDescent="0.35"/>
    <row r="3644" hidden="1" x14ac:dyDescent="0.35"/>
    <row r="3645" hidden="1" x14ac:dyDescent="0.35"/>
    <row r="3646" hidden="1" x14ac:dyDescent="0.35"/>
    <row r="3647" hidden="1" x14ac:dyDescent="0.35"/>
    <row r="3648" hidden="1" x14ac:dyDescent="0.35"/>
    <row r="3649" hidden="1" x14ac:dyDescent="0.35"/>
    <row r="3650" hidden="1" x14ac:dyDescent="0.35"/>
    <row r="3651" hidden="1" x14ac:dyDescent="0.35"/>
    <row r="3652" hidden="1" x14ac:dyDescent="0.35"/>
    <row r="3653" hidden="1" x14ac:dyDescent="0.35"/>
    <row r="3654" hidden="1" x14ac:dyDescent="0.35"/>
    <row r="3655" hidden="1" x14ac:dyDescent="0.35"/>
    <row r="3656" hidden="1" x14ac:dyDescent="0.35"/>
    <row r="3657" hidden="1" x14ac:dyDescent="0.35"/>
    <row r="3658" hidden="1" x14ac:dyDescent="0.35"/>
    <row r="3659" hidden="1" x14ac:dyDescent="0.35"/>
    <row r="3660" hidden="1" x14ac:dyDescent="0.35"/>
    <row r="3661" hidden="1" x14ac:dyDescent="0.35"/>
    <row r="3662" hidden="1" x14ac:dyDescent="0.35"/>
    <row r="3663" hidden="1" x14ac:dyDescent="0.35"/>
    <row r="3664" hidden="1" x14ac:dyDescent="0.35"/>
    <row r="3665" hidden="1" x14ac:dyDescent="0.35"/>
    <row r="3666" hidden="1" x14ac:dyDescent="0.35"/>
    <row r="3667" hidden="1" x14ac:dyDescent="0.35"/>
    <row r="3668" hidden="1" x14ac:dyDescent="0.35"/>
    <row r="3669" hidden="1" x14ac:dyDescent="0.35"/>
    <row r="3670" hidden="1" x14ac:dyDescent="0.35"/>
    <row r="3671" hidden="1" x14ac:dyDescent="0.35"/>
    <row r="3672" hidden="1" x14ac:dyDescent="0.35"/>
    <row r="3673" hidden="1" x14ac:dyDescent="0.35"/>
    <row r="3674" hidden="1" x14ac:dyDescent="0.35"/>
    <row r="3675" hidden="1" x14ac:dyDescent="0.35"/>
    <row r="3676" hidden="1" x14ac:dyDescent="0.35"/>
    <row r="3677" hidden="1" x14ac:dyDescent="0.35"/>
    <row r="3678" hidden="1" x14ac:dyDescent="0.35"/>
    <row r="3679" hidden="1" x14ac:dyDescent="0.35"/>
    <row r="3680" hidden="1" x14ac:dyDescent="0.35"/>
    <row r="3681" hidden="1" x14ac:dyDescent="0.35"/>
    <row r="3682" hidden="1" x14ac:dyDescent="0.35"/>
    <row r="3683" hidden="1" x14ac:dyDescent="0.35"/>
    <row r="3684" hidden="1" x14ac:dyDescent="0.35"/>
    <row r="3685" hidden="1" x14ac:dyDescent="0.35"/>
    <row r="3686" hidden="1" x14ac:dyDescent="0.35"/>
    <row r="3687" hidden="1" x14ac:dyDescent="0.35"/>
    <row r="3688" hidden="1" x14ac:dyDescent="0.35"/>
    <row r="3689" hidden="1" x14ac:dyDescent="0.35"/>
    <row r="3690" hidden="1" x14ac:dyDescent="0.35"/>
    <row r="3691" hidden="1" x14ac:dyDescent="0.35"/>
    <row r="3692" hidden="1" x14ac:dyDescent="0.35"/>
    <row r="3693" hidden="1" x14ac:dyDescent="0.35"/>
    <row r="3694" hidden="1" x14ac:dyDescent="0.35"/>
    <row r="3695" hidden="1" x14ac:dyDescent="0.35"/>
    <row r="3696" hidden="1" x14ac:dyDescent="0.35"/>
    <row r="3697" hidden="1" x14ac:dyDescent="0.35"/>
    <row r="3698" hidden="1" x14ac:dyDescent="0.35"/>
    <row r="3699" hidden="1" x14ac:dyDescent="0.35"/>
    <row r="3700" hidden="1" x14ac:dyDescent="0.35"/>
    <row r="3701" hidden="1" x14ac:dyDescent="0.35"/>
    <row r="3702" hidden="1" x14ac:dyDescent="0.35"/>
    <row r="3703" hidden="1" x14ac:dyDescent="0.35"/>
    <row r="3704" hidden="1" x14ac:dyDescent="0.35"/>
    <row r="3705" hidden="1" x14ac:dyDescent="0.35"/>
    <row r="3706" hidden="1" x14ac:dyDescent="0.35"/>
    <row r="3707" hidden="1" x14ac:dyDescent="0.35"/>
    <row r="3708" hidden="1" x14ac:dyDescent="0.35"/>
    <row r="3709" hidden="1" x14ac:dyDescent="0.35"/>
    <row r="3710" hidden="1" x14ac:dyDescent="0.35"/>
    <row r="3711" hidden="1" x14ac:dyDescent="0.35"/>
    <row r="3712" hidden="1" x14ac:dyDescent="0.35"/>
    <row r="3713" hidden="1" x14ac:dyDescent="0.35"/>
    <row r="3714" hidden="1" x14ac:dyDescent="0.35"/>
    <row r="3715" hidden="1" x14ac:dyDescent="0.35"/>
    <row r="3716" hidden="1" x14ac:dyDescent="0.35"/>
    <row r="3717" hidden="1" x14ac:dyDescent="0.35"/>
    <row r="3718" hidden="1" x14ac:dyDescent="0.35"/>
    <row r="3719" hidden="1" x14ac:dyDescent="0.35"/>
    <row r="3720" hidden="1" x14ac:dyDescent="0.35"/>
    <row r="3721" hidden="1" x14ac:dyDescent="0.35"/>
    <row r="3722" hidden="1" x14ac:dyDescent="0.35"/>
    <row r="3723" hidden="1" x14ac:dyDescent="0.35"/>
    <row r="3724" hidden="1" x14ac:dyDescent="0.35"/>
    <row r="3725" hidden="1" x14ac:dyDescent="0.35"/>
    <row r="3726" hidden="1" x14ac:dyDescent="0.35"/>
    <row r="3727" hidden="1" x14ac:dyDescent="0.35"/>
    <row r="3728" hidden="1" x14ac:dyDescent="0.35"/>
    <row r="3729" hidden="1" x14ac:dyDescent="0.35"/>
    <row r="3730" hidden="1" x14ac:dyDescent="0.35"/>
    <row r="3731" hidden="1" x14ac:dyDescent="0.35"/>
    <row r="3732" hidden="1" x14ac:dyDescent="0.35"/>
    <row r="3733" hidden="1" x14ac:dyDescent="0.35"/>
    <row r="3734" hidden="1" x14ac:dyDescent="0.35"/>
    <row r="3735" hidden="1" x14ac:dyDescent="0.35"/>
    <row r="3736" hidden="1" x14ac:dyDescent="0.35"/>
    <row r="3737" hidden="1" x14ac:dyDescent="0.35"/>
    <row r="3738" hidden="1" x14ac:dyDescent="0.35"/>
    <row r="3739" hidden="1" x14ac:dyDescent="0.35"/>
    <row r="3740" hidden="1" x14ac:dyDescent="0.35"/>
    <row r="3741" hidden="1" x14ac:dyDescent="0.35"/>
    <row r="3742" hidden="1" x14ac:dyDescent="0.35"/>
    <row r="3743" hidden="1" x14ac:dyDescent="0.35"/>
    <row r="3744" hidden="1" x14ac:dyDescent="0.35"/>
    <row r="3745" hidden="1" x14ac:dyDescent="0.35"/>
    <row r="3746" hidden="1" x14ac:dyDescent="0.35"/>
    <row r="3747" hidden="1" x14ac:dyDescent="0.35"/>
    <row r="3748" hidden="1" x14ac:dyDescent="0.35"/>
    <row r="3749" hidden="1" x14ac:dyDescent="0.35"/>
    <row r="3750" hidden="1" x14ac:dyDescent="0.35"/>
    <row r="3751" hidden="1" x14ac:dyDescent="0.35"/>
    <row r="3752" hidden="1" x14ac:dyDescent="0.35"/>
    <row r="3753" hidden="1" x14ac:dyDescent="0.35"/>
    <row r="3754" hidden="1" x14ac:dyDescent="0.35"/>
    <row r="3755" hidden="1" x14ac:dyDescent="0.35"/>
    <row r="3756" hidden="1" x14ac:dyDescent="0.35"/>
    <row r="3757" hidden="1" x14ac:dyDescent="0.35"/>
    <row r="3758" hidden="1" x14ac:dyDescent="0.35"/>
    <row r="3759" hidden="1" x14ac:dyDescent="0.35"/>
    <row r="3760" hidden="1" x14ac:dyDescent="0.35"/>
    <row r="3761" hidden="1" x14ac:dyDescent="0.35"/>
    <row r="3762" hidden="1" x14ac:dyDescent="0.35"/>
    <row r="3763" hidden="1" x14ac:dyDescent="0.35"/>
    <row r="3764" hidden="1" x14ac:dyDescent="0.35"/>
    <row r="3765" hidden="1" x14ac:dyDescent="0.35"/>
    <row r="3766" hidden="1" x14ac:dyDescent="0.35"/>
    <row r="3767" hidden="1" x14ac:dyDescent="0.35"/>
    <row r="3768" hidden="1" x14ac:dyDescent="0.35"/>
    <row r="3769" hidden="1" x14ac:dyDescent="0.35"/>
    <row r="3770" hidden="1" x14ac:dyDescent="0.35"/>
    <row r="3771" hidden="1" x14ac:dyDescent="0.35"/>
    <row r="3772" hidden="1" x14ac:dyDescent="0.35"/>
    <row r="3773" hidden="1" x14ac:dyDescent="0.35"/>
    <row r="3774" hidden="1" x14ac:dyDescent="0.35"/>
    <row r="3775" hidden="1" x14ac:dyDescent="0.35"/>
    <row r="3776" hidden="1" x14ac:dyDescent="0.35"/>
    <row r="3777" hidden="1" x14ac:dyDescent="0.35"/>
    <row r="3778" hidden="1" x14ac:dyDescent="0.35"/>
    <row r="3779" hidden="1" x14ac:dyDescent="0.35"/>
    <row r="3780" hidden="1" x14ac:dyDescent="0.35"/>
    <row r="3781" hidden="1" x14ac:dyDescent="0.35"/>
    <row r="3782" hidden="1" x14ac:dyDescent="0.35"/>
    <row r="3783" hidden="1" x14ac:dyDescent="0.35"/>
    <row r="3784" hidden="1" x14ac:dyDescent="0.35"/>
    <row r="3785" hidden="1" x14ac:dyDescent="0.35"/>
    <row r="3786" hidden="1" x14ac:dyDescent="0.35"/>
    <row r="3787" hidden="1" x14ac:dyDescent="0.35"/>
    <row r="3788" hidden="1" x14ac:dyDescent="0.35"/>
    <row r="3789" hidden="1" x14ac:dyDescent="0.35"/>
    <row r="3790" hidden="1" x14ac:dyDescent="0.35"/>
    <row r="3791" hidden="1" x14ac:dyDescent="0.35"/>
    <row r="3792" hidden="1" x14ac:dyDescent="0.35"/>
    <row r="3793" hidden="1" x14ac:dyDescent="0.35"/>
    <row r="3794" hidden="1" x14ac:dyDescent="0.35"/>
    <row r="3795" hidden="1" x14ac:dyDescent="0.35"/>
    <row r="3796" hidden="1" x14ac:dyDescent="0.35"/>
    <row r="3797" hidden="1" x14ac:dyDescent="0.35"/>
    <row r="3798" hidden="1" x14ac:dyDescent="0.35"/>
    <row r="3799" hidden="1" x14ac:dyDescent="0.35"/>
    <row r="3800" hidden="1" x14ac:dyDescent="0.35"/>
    <row r="3801" hidden="1" x14ac:dyDescent="0.35"/>
    <row r="3802" hidden="1" x14ac:dyDescent="0.35"/>
    <row r="3803" hidden="1" x14ac:dyDescent="0.35"/>
    <row r="3804" hidden="1" x14ac:dyDescent="0.35"/>
    <row r="3805" hidden="1" x14ac:dyDescent="0.35"/>
    <row r="3806" hidden="1" x14ac:dyDescent="0.35"/>
    <row r="3807" hidden="1" x14ac:dyDescent="0.35"/>
    <row r="3808" hidden="1" x14ac:dyDescent="0.35"/>
    <row r="3809" hidden="1" x14ac:dyDescent="0.35"/>
    <row r="3810" hidden="1" x14ac:dyDescent="0.35"/>
    <row r="3811" hidden="1" x14ac:dyDescent="0.35"/>
    <row r="3812" hidden="1" x14ac:dyDescent="0.35"/>
    <row r="3813" hidden="1" x14ac:dyDescent="0.35"/>
    <row r="3814" hidden="1" x14ac:dyDescent="0.35"/>
    <row r="3815" hidden="1" x14ac:dyDescent="0.35"/>
    <row r="3816" hidden="1" x14ac:dyDescent="0.35"/>
    <row r="3817" hidden="1" x14ac:dyDescent="0.35"/>
    <row r="3818" hidden="1" x14ac:dyDescent="0.35"/>
    <row r="3819" hidden="1" x14ac:dyDescent="0.35"/>
    <row r="3820" hidden="1" x14ac:dyDescent="0.35"/>
    <row r="3821" hidden="1" x14ac:dyDescent="0.35"/>
    <row r="3822" hidden="1" x14ac:dyDescent="0.35"/>
    <row r="3823" hidden="1" x14ac:dyDescent="0.35"/>
    <row r="3824" hidden="1" x14ac:dyDescent="0.35"/>
    <row r="3825" hidden="1" x14ac:dyDescent="0.35"/>
    <row r="3826" hidden="1" x14ac:dyDescent="0.35"/>
    <row r="3827" hidden="1" x14ac:dyDescent="0.35"/>
    <row r="3828" hidden="1" x14ac:dyDescent="0.35"/>
    <row r="3829" hidden="1" x14ac:dyDescent="0.35"/>
    <row r="3830" hidden="1" x14ac:dyDescent="0.35"/>
    <row r="3831" hidden="1" x14ac:dyDescent="0.35"/>
    <row r="3832" hidden="1" x14ac:dyDescent="0.35"/>
    <row r="3833" hidden="1" x14ac:dyDescent="0.35"/>
    <row r="3834" hidden="1" x14ac:dyDescent="0.35"/>
    <row r="3835" hidden="1" x14ac:dyDescent="0.35"/>
    <row r="3836" hidden="1" x14ac:dyDescent="0.35"/>
    <row r="3837" hidden="1" x14ac:dyDescent="0.35"/>
    <row r="3838" hidden="1" x14ac:dyDescent="0.35"/>
    <row r="3839" hidden="1" x14ac:dyDescent="0.35"/>
    <row r="3840" hidden="1" x14ac:dyDescent="0.35"/>
    <row r="3841" hidden="1" x14ac:dyDescent="0.35"/>
    <row r="3842" hidden="1" x14ac:dyDescent="0.35"/>
    <row r="3843" hidden="1" x14ac:dyDescent="0.35"/>
    <row r="3844" hidden="1" x14ac:dyDescent="0.35"/>
    <row r="3845" hidden="1" x14ac:dyDescent="0.35"/>
    <row r="3846" hidden="1" x14ac:dyDescent="0.35"/>
    <row r="3847" hidden="1" x14ac:dyDescent="0.35"/>
    <row r="3848" hidden="1" x14ac:dyDescent="0.35"/>
    <row r="3849" hidden="1" x14ac:dyDescent="0.35"/>
    <row r="3850" hidden="1" x14ac:dyDescent="0.35"/>
    <row r="3851" hidden="1" x14ac:dyDescent="0.35"/>
    <row r="3852" hidden="1" x14ac:dyDescent="0.35"/>
    <row r="3853" hidden="1" x14ac:dyDescent="0.35"/>
    <row r="3854" hidden="1" x14ac:dyDescent="0.35"/>
    <row r="3855" hidden="1" x14ac:dyDescent="0.35"/>
    <row r="3856" hidden="1" x14ac:dyDescent="0.35"/>
    <row r="3857" hidden="1" x14ac:dyDescent="0.35"/>
    <row r="3858" hidden="1" x14ac:dyDescent="0.35"/>
    <row r="3859" hidden="1" x14ac:dyDescent="0.35"/>
    <row r="3860" hidden="1" x14ac:dyDescent="0.35"/>
    <row r="3861" hidden="1" x14ac:dyDescent="0.35"/>
    <row r="3862" hidden="1" x14ac:dyDescent="0.35"/>
    <row r="3863" hidden="1" x14ac:dyDescent="0.35"/>
    <row r="3864" hidden="1" x14ac:dyDescent="0.35"/>
    <row r="3865" hidden="1" x14ac:dyDescent="0.35"/>
    <row r="3866" hidden="1" x14ac:dyDescent="0.35"/>
    <row r="3867" hidden="1" x14ac:dyDescent="0.35"/>
    <row r="3868" hidden="1" x14ac:dyDescent="0.35"/>
    <row r="3869" hidden="1" x14ac:dyDescent="0.35"/>
    <row r="3870" hidden="1" x14ac:dyDescent="0.35"/>
    <row r="3871" hidden="1" x14ac:dyDescent="0.35"/>
    <row r="3872" hidden="1" x14ac:dyDescent="0.35"/>
    <row r="3873" hidden="1" x14ac:dyDescent="0.35"/>
    <row r="3874" hidden="1" x14ac:dyDescent="0.35"/>
    <row r="3875" hidden="1" x14ac:dyDescent="0.35"/>
    <row r="3876" hidden="1" x14ac:dyDescent="0.35"/>
    <row r="3877" hidden="1" x14ac:dyDescent="0.35"/>
    <row r="3878" hidden="1" x14ac:dyDescent="0.35"/>
    <row r="3879" hidden="1" x14ac:dyDescent="0.35"/>
    <row r="3880" hidden="1" x14ac:dyDescent="0.35"/>
    <row r="3881" hidden="1" x14ac:dyDescent="0.35"/>
    <row r="3882" hidden="1" x14ac:dyDescent="0.35"/>
    <row r="3883" hidden="1" x14ac:dyDescent="0.35"/>
    <row r="3884" hidden="1" x14ac:dyDescent="0.35"/>
    <row r="3885" hidden="1" x14ac:dyDescent="0.35"/>
    <row r="3886" hidden="1" x14ac:dyDescent="0.35"/>
    <row r="3887" hidden="1" x14ac:dyDescent="0.35"/>
    <row r="3888" hidden="1" x14ac:dyDescent="0.35"/>
    <row r="3889" hidden="1" x14ac:dyDescent="0.35"/>
    <row r="3890" hidden="1" x14ac:dyDescent="0.35"/>
    <row r="3891" hidden="1" x14ac:dyDescent="0.35"/>
    <row r="3892" hidden="1" x14ac:dyDescent="0.35"/>
    <row r="3893" hidden="1" x14ac:dyDescent="0.35"/>
    <row r="3894" hidden="1" x14ac:dyDescent="0.35"/>
    <row r="3895" hidden="1" x14ac:dyDescent="0.35"/>
    <row r="3896" hidden="1" x14ac:dyDescent="0.35"/>
    <row r="3897" hidden="1" x14ac:dyDescent="0.35"/>
    <row r="3898" hidden="1" x14ac:dyDescent="0.35"/>
    <row r="3899" hidden="1" x14ac:dyDescent="0.35"/>
    <row r="3900" hidden="1" x14ac:dyDescent="0.35"/>
    <row r="3901" hidden="1" x14ac:dyDescent="0.35"/>
    <row r="3902" hidden="1" x14ac:dyDescent="0.35"/>
    <row r="3903" hidden="1" x14ac:dyDescent="0.35"/>
    <row r="3904" hidden="1" x14ac:dyDescent="0.35"/>
    <row r="3905" hidden="1" x14ac:dyDescent="0.35"/>
    <row r="3906" hidden="1" x14ac:dyDescent="0.35"/>
    <row r="3907" hidden="1" x14ac:dyDescent="0.35"/>
    <row r="3908" hidden="1" x14ac:dyDescent="0.35"/>
    <row r="3909" hidden="1" x14ac:dyDescent="0.35"/>
    <row r="3910" hidden="1" x14ac:dyDescent="0.35"/>
    <row r="3911" hidden="1" x14ac:dyDescent="0.35"/>
    <row r="3912" hidden="1" x14ac:dyDescent="0.35"/>
    <row r="3913" hidden="1" x14ac:dyDescent="0.35"/>
    <row r="3914" hidden="1" x14ac:dyDescent="0.35"/>
    <row r="3915" hidden="1" x14ac:dyDescent="0.35"/>
    <row r="3916" hidden="1" x14ac:dyDescent="0.35"/>
    <row r="3917" hidden="1" x14ac:dyDescent="0.35"/>
    <row r="3918" hidden="1" x14ac:dyDescent="0.35"/>
    <row r="3919" hidden="1" x14ac:dyDescent="0.35"/>
    <row r="3920" hidden="1" x14ac:dyDescent="0.35"/>
    <row r="3921" hidden="1" x14ac:dyDescent="0.35"/>
    <row r="3922" hidden="1" x14ac:dyDescent="0.35"/>
    <row r="3923" hidden="1" x14ac:dyDescent="0.35"/>
    <row r="3924" hidden="1" x14ac:dyDescent="0.35"/>
    <row r="3925" hidden="1" x14ac:dyDescent="0.35"/>
    <row r="3926" hidden="1" x14ac:dyDescent="0.35"/>
    <row r="3927" hidden="1" x14ac:dyDescent="0.35"/>
    <row r="3928" hidden="1" x14ac:dyDescent="0.35"/>
    <row r="3929" hidden="1" x14ac:dyDescent="0.35"/>
    <row r="3930" hidden="1" x14ac:dyDescent="0.35"/>
    <row r="3931" hidden="1" x14ac:dyDescent="0.35"/>
    <row r="3932" hidden="1" x14ac:dyDescent="0.35"/>
    <row r="3933" hidden="1" x14ac:dyDescent="0.35"/>
    <row r="3934" hidden="1" x14ac:dyDescent="0.35"/>
    <row r="3935" hidden="1" x14ac:dyDescent="0.35"/>
    <row r="3936" hidden="1" x14ac:dyDescent="0.35"/>
    <row r="3937" hidden="1" x14ac:dyDescent="0.35"/>
    <row r="3938" hidden="1" x14ac:dyDescent="0.35"/>
    <row r="3939" hidden="1" x14ac:dyDescent="0.35"/>
    <row r="3940" hidden="1" x14ac:dyDescent="0.35"/>
    <row r="3941" hidden="1" x14ac:dyDescent="0.35"/>
    <row r="3942" hidden="1" x14ac:dyDescent="0.35"/>
    <row r="3943" hidden="1" x14ac:dyDescent="0.35"/>
    <row r="3944" hidden="1" x14ac:dyDescent="0.35"/>
    <row r="3945" hidden="1" x14ac:dyDescent="0.35"/>
    <row r="3946" hidden="1" x14ac:dyDescent="0.35"/>
    <row r="3947" hidden="1" x14ac:dyDescent="0.35"/>
    <row r="3948" hidden="1" x14ac:dyDescent="0.35"/>
    <row r="3949" hidden="1" x14ac:dyDescent="0.35"/>
    <row r="3950" hidden="1" x14ac:dyDescent="0.35"/>
    <row r="3951" hidden="1" x14ac:dyDescent="0.35"/>
    <row r="3952" hidden="1" x14ac:dyDescent="0.35"/>
    <row r="3953" hidden="1" x14ac:dyDescent="0.35"/>
    <row r="3954" hidden="1" x14ac:dyDescent="0.35"/>
    <row r="3955" hidden="1" x14ac:dyDescent="0.35"/>
    <row r="3956" hidden="1" x14ac:dyDescent="0.35"/>
    <row r="3957" hidden="1" x14ac:dyDescent="0.35"/>
    <row r="3958" hidden="1" x14ac:dyDescent="0.35"/>
    <row r="3959" hidden="1" x14ac:dyDescent="0.35"/>
    <row r="3960" hidden="1" x14ac:dyDescent="0.35"/>
    <row r="3961" hidden="1" x14ac:dyDescent="0.35"/>
    <row r="3962" hidden="1" x14ac:dyDescent="0.35"/>
    <row r="3963" hidden="1" x14ac:dyDescent="0.35"/>
    <row r="3964" hidden="1" x14ac:dyDescent="0.35"/>
    <row r="3965" hidden="1" x14ac:dyDescent="0.35"/>
    <row r="3966" hidden="1" x14ac:dyDescent="0.35"/>
    <row r="3967" hidden="1" x14ac:dyDescent="0.35"/>
    <row r="3968" hidden="1" x14ac:dyDescent="0.35"/>
    <row r="3969" hidden="1" x14ac:dyDescent="0.35"/>
    <row r="3970" hidden="1" x14ac:dyDescent="0.35"/>
    <row r="3971" hidden="1" x14ac:dyDescent="0.35"/>
    <row r="3972" hidden="1" x14ac:dyDescent="0.35"/>
    <row r="3973" hidden="1" x14ac:dyDescent="0.35"/>
    <row r="3974" hidden="1" x14ac:dyDescent="0.35"/>
    <row r="3975" hidden="1" x14ac:dyDescent="0.35"/>
    <row r="3976" hidden="1" x14ac:dyDescent="0.35"/>
    <row r="3977" hidden="1" x14ac:dyDescent="0.35"/>
    <row r="3978" hidden="1" x14ac:dyDescent="0.35"/>
    <row r="3979" hidden="1" x14ac:dyDescent="0.35"/>
    <row r="3980" hidden="1" x14ac:dyDescent="0.35"/>
    <row r="3981" hidden="1" x14ac:dyDescent="0.35"/>
    <row r="3982" hidden="1" x14ac:dyDescent="0.35"/>
    <row r="3983" hidden="1" x14ac:dyDescent="0.35"/>
    <row r="3984" hidden="1" x14ac:dyDescent="0.35"/>
    <row r="3985" hidden="1" x14ac:dyDescent="0.35"/>
    <row r="3986" hidden="1" x14ac:dyDescent="0.35"/>
    <row r="3987" hidden="1" x14ac:dyDescent="0.35"/>
    <row r="3988" hidden="1" x14ac:dyDescent="0.35"/>
    <row r="3989" hidden="1" x14ac:dyDescent="0.35"/>
    <row r="3990" hidden="1" x14ac:dyDescent="0.35"/>
    <row r="3991" hidden="1" x14ac:dyDescent="0.35"/>
    <row r="3992" hidden="1" x14ac:dyDescent="0.35"/>
    <row r="3993" hidden="1" x14ac:dyDescent="0.35"/>
    <row r="3994" hidden="1" x14ac:dyDescent="0.35"/>
    <row r="3995" hidden="1" x14ac:dyDescent="0.35"/>
    <row r="3996" hidden="1" x14ac:dyDescent="0.35"/>
    <row r="3997" hidden="1" x14ac:dyDescent="0.35"/>
    <row r="3998" hidden="1" x14ac:dyDescent="0.35"/>
    <row r="3999" hidden="1" x14ac:dyDescent="0.35"/>
    <row r="4000" hidden="1" x14ac:dyDescent="0.35"/>
    <row r="4001" hidden="1" x14ac:dyDescent="0.35"/>
    <row r="4002" hidden="1" x14ac:dyDescent="0.35"/>
    <row r="4003" hidden="1" x14ac:dyDescent="0.35"/>
    <row r="4004" hidden="1" x14ac:dyDescent="0.35"/>
    <row r="4005" hidden="1" x14ac:dyDescent="0.35"/>
    <row r="4006" hidden="1" x14ac:dyDescent="0.35"/>
    <row r="4007" hidden="1" x14ac:dyDescent="0.35"/>
    <row r="4008" hidden="1" x14ac:dyDescent="0.35"/>
    <row r="4009" hidden="1" x14ac:dyDescent="0.35"/>
    <row r="4010" hidden="1" x14ac:dyDescent="0.35"/>
    <row r="4011" hidden="1" x14ac:dyDescent="0.35"/>
    <row r="4012" hidden="1" x14ac:dyDescent="0.35"/>
    <row r="4013" hidden="1" x14ac:dyDescent="0.35"/>
    <row r="4014" hidden="1" x14ac:dyDescent="0.35"/>
    <row r="4015" hidden="1" x14ac:dyDescent="0.35"/>
    <row r="4016" hidden="1" x14ac:dyDescent="0.35"/>
    <row r="4017" hidden="1" x14ac:dyDescent="0.35"/>
    <row r="4018" hidden="1" x14ac:dyDescent="0.35"/>
    <row r="4019" hidden="1" x14ac:dyDescent="0.35"/>
    <row r="4020" hidden="1" x14ac:dyDescent="0.35"/>
    <row r="4021" hidden="1" x14ac:dyDescent="0.35"/>
    <row r="4022" hidden="1" x14ac:dyDescent="0.35"/>
    <row r="4023" hidden="1" x14ac:dyDescent="0.35"/>
    <row r="4024" hidden="1" x14ac:dyDescent="0.35"/>
    <row r="4025" hidden="1" x14ac:dyDescent="0.35"/>
    <row r="4026" hidden="1" x14ac:dyDescent="0.35"/>
    <row r="4027" hidden="1" x14ac:dyDescent="0.35"/>
    <row r="4028" hidden="1" x14ac:dyDescent="0.35"/>
    <row r="4029" hidden="1" x14ac:dyDescent="0.35"/>
    <row r="4030" hidden="1" x14ac:dyDescent="0.35"/>
    <row r="4031" hidden="1" x14ac:dyDescent="0.35"/>
    <row r="4032" hidden="1" x14ac:dyDescent="0.35"/>
    <row r="4033" hidden="1" x14ac:dyDescent="0.35"/>
    <row r="4034" hidden="1" x14ac:dyDescent="0.35"/>
    <row r="4035" hidden="1" x14ac:dyDescent="0.35"/>
    <row r="4036" hidden="1" x14ac:dyDescent="0.35"/>
    <row r="4037" hidden="1" x14ac:dyDescent="0.35"/>
    <row r="4038" hidden="1" x14ac:dyDescent="0.35"/>
    <row r="4039" hidden="1" x14ac:dyDescent="0.35"/>
    <row r="4040" hidden="1" x14ac:dyDescent="0.35"/>
    <row r="4041" hidden="1" x14ac:dyDescent="0.35"/>
    <row r="4042" hidden="1" x14ac:dyDescent="0.35"/>
    <row r="4043" hidden="1" x14ac:dyDescent="0.35"/>
    <row r="4044" hidden="1" x14ac:dyDescent="0.35"/>
    <row r="4045" hidden="1" x14ac:dyDescent="0.35"/>
    <row r="4046" hidden="1" x14ac:dyDescent="0.35"/>
    <row r="4047" hidden="1" x14ac:dyDescent="0.35"/>
    <row r="4048" hidden="1" x14ac:dyDescent="0.35"/>
    <row r="4049" hidden="1" x14ac:dyDescent="0.35"/>
    <row r="4050" hidden="1" x14ac:dyDescent="0.35"/>
    <row r="4051" hidden="1" x14ac:dyDescent="0.35"/>
    <row r="4052" hidden="1" x14ac:dyDescent="0.35"/>
    <row r="4053" hidden="1" x14ac:dyDescent="0.35"/>
    <row r="4054" hidden="1" x14ac:dyDescent="0.35"/>
    <row r="4055" hidden="1" x14ac:dyDescent="0.35"/>
    <row r="4056" hidden="1" x14ac:dyDescent="0.35"/>
    <row r="4057" hidden="1" x14ac:dyDescent="0.35"/>
    <row r="4058" hidden="1" x14ac:dyDescent="0.35"/>
    <row r="4059" hidden="1" x14ac:dyDescent="0.35"/>
    <row r="4060" hidden="1" x14ac:dyDescent="0.35"/>
    <row r="4061" hidden="1" x14ac:dyDescent="0.35"/>
    <row r="4062" hidden="1" x14ac:dyDescent="0.35"/>
    <row r="4063" hidden="1" x14ac:dyDescent="0.35"/>
    <row r="4064" hidden="1" x14ac:dyDescent="0.35"/>
    <row r="4065" hidden="1" x14ac:dyDescent="0.35"/>
    <row r="4066" hidden="1" x14ac:dyDescent="0.35"/>
    <row r="4067" hidden="1" x14ac:dyDescent="0.35"/>
    <row r="4068" hidden="1" x14ac:dyDescent="0.35"/>
    <row r="4069" hidden="1" x14ac:dyDescent="0.35"/>
    <row r="4070" hidden="1" x14ac:dyDescent="0.35"/>
    <row r="4071" hidden="1" x14ac:dyDescent="0.35"/>
    <row r="4072" hidden="1" x14ac:dyDescent="0.35"/>
    <row r="4073" hidden="1" x14ac:dyDescent="0.35"/>
    <row r="4074" hidden="1" x14ac:dyDescent="0.35"/>
    <row r="4075" hidden="1" x14ac:dyDescent="0.35"/>
    <row r="4076" hidden="1" x14ac:dyDescent="0.35"/>
    <row r="4077" hidden="1" x14ac:dyDescent="0.35"/>
    <row r="4078" hidden="1" x14ac:dyDescent="0.35"/>
    <row r="4079" hidden="1" x14ac:dyDescent="0.35"/>
    <row r="4080" hidden="1" x14ac:dyDescent="0.35"/>
    <row r="4081" hidden="1" x14ac:dyDescent="0.35"/>
    <row r="4082" hidden="1" x14ac:dyDescent="0.35"/>
    <row r="4083" hidden="1" x14ac:dyDescent="0.35"/>
    <row r="4084" hidden="1" x14ac:dyDescent="0.35"/>
    <row r="4085" hidden="1" x14ac:dyDescent="0.35"/>
    <row r="4086" hidden="1" x14ac:dyDescent="0.35"/>
    <row r="4087" hidden="1" x14ac:dyDescent="0.35"/>
    <row r="4088" hidden="1" x14ac:dyDescent="0.35"/>
    <row r="4089" hidden="1" x14ac:dyDescent="0.35"/>
    <row r="4090" hidden="1" x14ac:dyDescent="0.35"/>
    <row r="4091" hidden="1" x14ac:dyDescent="0.35"/>
    <row r="4092" hidden="1" x14ac:dyDescent="0.35"/>
    <row r="4093" hidden="1" x14ac:dyDescent="0.35"/>
    <row r="4094" hidden="1" x14ac:dyDescent="0.35"/>
    <row r="4095" hidden="1" x14ac:dyDescent="0.35"/>
    <row r="4096" hidden="1" x14ac:dyDescent="0.35"/>
    <row r="4097" hidden="1" x14ac:dyDescent="0.35"/>
    <row r="4098" hidden="1" x14ac:dyDescent="0.35"/>
    <row r="4099" hidden="1" x14ac:dyDescent="0.35"/>
    <row r="4100" hidden="1" x14ac:dyDescent="0.35"/>
    <row r="4101" hidden="1" x14ac:dyDescent="0.35"/>
    <row r="4102" hidden="1" x14ac:dyDescent="0.35"/>
    <row r="4103" hidden="1" x14ac:dyDescent="0.35"/>
    <row r="4104" hidden="1" x14ac:dyDescent="0.35"/>
    <row r="4105" hidden="1" x14ac:dyDescent="0.35"/>
    <row r="4106" hidden="1" x14ac:dyDescent="0.35"/>
    <row r="4107" hidden="1" x14ac:dyDescent="0.35"/>
    <row r="4108" hidden="1" x14ac:dyDescent="0.35"/>
    <row r="4109" hidden="1" x14ac:dyDescent="0.35"/>
    <row r="4110" hidden="1" x14ac:dyDescent="0.35"/>
    <row r="4111" hidden="1" x14ac:dyDescent="0.35"/>
    <row r="4112" hidden="1" x14ac:dyDescent="0.35"/>
    <row r="4113" hidden="1" x14ac:dyDescent="0.35"/>
    <row r="4114" hidden="1" x14ac:dyDescent="0.35"/>
    <row r="4115" hidden="1" x14ac:dyDescent="0.35"/>
    <row r="4116" hidden="1" x14ac:dyDescent="0.35"/>
    <row r="4117" hidden="1" x14ac:dyDescent="0.35"/>
    <row r="4118" hidden="1" x14ac:dyDescent="0.35"/>
    <row r="4119" hidden="1" x14ac:dyDescent="0.35"/>
    <row r="4120" hidden="1" x14ac:dyDescent="0.35"/>
    <row r="4121" hidden="1" x14ac:dyDescent="0.35"/>
    <row r="4122" hidden="1" x14ac:dyDescent="0.35"/>
    <row r="4123" hidden="1" x14ac:dyDescent="0.35"/>
    <row r="4124" hidden="1" x14ac:dyDescent="0.35"/>
    <row r="4125" hidden="1" x14ac:dyDescent="0.35"/>
    <row r="4126" hidden="1" x14ac:dyDescent="0.35"/>
    <row r="4127" hidden="1" x14ac:dyDescent="0.35"/>
    <row r="4128" hidden="1" x14ac:dyDescent="0.35"/>
    <row r="4129" hidden="1" x14ac:dyDescent="0.35"/>
    <row r="4130" hidden="1" x14ac:dyDescent="0.35"/>
    <row r="4131" hidden="1" x14ac:dyDescent="0.35"/>
    <row r="4132" hidden="1" x14ac:dyDescent="0.35"/>
    <row r="4133" hidden="1" x14ac:dyDescent="0.35"/>
    <row r="4134" hidden="1" x14ac:dyDescent="0.35"/>
    <row r="4135" hidden="1" x14ac:dyDescent="0.35"/>
    <row r="4136" hidden="1" x14ac:dyDescent="0.35"/>
    <row r="4137" hidden="1" x14ac:dyDescent="0.35"/>
    <row r="4138" hidden="1" x14ac:dyDescent="0.35"/>
    <row r="4139" hidden="1" x14ac:dyDescent="0.35"/>
    <row r="4140" hidden="1" x14ac:dyDescent="0.35"/>
    <row r="4141" hidden="1" x14ac:dyDescent="0.35"/>
    <row r="4142" hidden="1" x14ac:dyDescent="0.35"/>
    <row r="4143" hidden="1" x14ac:dyDescent="0.35"/>
    <row r="4144" hidden="1" x14ac:dyDescent="0.35"/>
    <row r="4145" hidden="1" x14ac:dyDescent="0.35"/>
    <row r="4146" hidden="1" x14ac:dyDescent="0.35"/>
    <row r="4147" hidden="1" x14ac:dyDescent="0.35"/>
    <row r="4148" hidden="1" x14ac:dyDescent="0.35"/>
    <row r="4149" hidden="1" x14ac:dyDescent="0.35"/>
    <row r="4150" hidden="1" x14ac:dyDescent="0.35"/>
    <row r="4151" hidden="1" x14ac:dyDescent="0.35"/>
    <row r="4152" hidden="1" x14ac:dyDescent="0.35"/>
    <row r="4153" hidden="1" x14ac:dyDescent="0.35"/>
    <row r="4154" hidden="1" x14ac:dyDescent="0.35"/>
    <row r="4155" hidden="1" x14ac:dyDescent="0.35"/>
    <row r="4156" hidden="1" x14ac:dyDescent="0.35"/>
    <row r="4157" hidden="1" x14ac:dyDescent="0.35"/>
    <row r="4158" hidden="1" x14ac:dyDescent="0.35"/>
    <row r="4159" hidden="1" x14ac:dyDescent="0.35"/>
    <row r="4160" hidden="1" x14ac:dyDescent="0.35"/>
    <row r="4161" hidden="1" x14ac:dyDescent="0.35"/>
    <row r="4162" hidden="1" x14ac:dyDescent="0.35"/>
    <row r="4163" hidden="1" x14ac:dyDescent="0.35"/>
    <row r="4164" hidden="1" x14ac:dyDescent="0.35"/>
    <row r="4165" hidden="1" x14ac:dyDescent="0.35"/>
    <row r="4166" hidden="1" x14ac:dyDescent="0.35"/>
    <row r="4167" hidden="1" x14ac:dyDescent="0.35"/>
    <row r="4168" hidden="1" x14ac:dyDescent="0.35"/>
    <row r="4169" hidden="1" x14ac:dyDescent="0.35"/>
    <row r="4170" hidden="1" x14ac:dyDescent="0.35"/>
    <row r="4171" hidden="1" x14ac:dyDescent="0.35"/>
    <row r="4172" hidden="1" x14ac:dyDescent="0.35"/>
    <row r="4173" hidden="1" x14ac:dyDescent="0.35"/>
    <row r="4174" hidden="1" x14ac:dyDescent="0.35"/>
    <row r="4175" hidden="1" x14ac:dyDescent="0.35"/>
    <row r="4176" hidden="1" x14ac:dyDescent="0.35"/>
    <row r="4177" hidden="1" x14ac:dyDescent="0.35"/>
    <row r="4178" hidden="1" x14ac:dyDescent="0.35"/>
    <row r="4179" hidden="1" x14ac:dyDescent="0.35"/>
    <row r="4180" hidden="1" x14ac:dyDescent="0.35"/>
    <row r="4181" hidden="1" x14ac:dyDescent="0.35"/>
    <row r="4182" hidden="1" x14ac:dyDescent="0.35"/>
    <row r="4183" hidden="1" x14ac:dyDescent="0.35"/>
    <row r="4184" hidden="1" x14ac:dyDescent="0.35"/>
    <row r="4185" hidden="1" x14ac:dyDescent="0.35"/>
    <row r="4186" hidden="1" x14ac:dyDescent="0.35"/>
    <row r="4187" hidden="1" x14ac:dyDescent="0.35"/>
    <row r="4188" hidden="1" x14ac:dyDescent="0.35"/>
    <row r="4189" hidden="1" x14ac:dyDescent="0.35"/>
    <row r="4190" hidden="1" x14ac:dyDescent="0.35"/>
    <row r="4191" hidden="1" x14ac:dyDescent="0.35"/>
    <row r="4192" hidden="1" x14ac:dyDescent="0.35"/>
    <row r="4193" hidden="1" x14ac:dyDescent="0.35"/>
    <row r="4194" hidden="1" x14ac:dyDescent="0.35"/>
    <row r="4195" hidden="1" x14ac:dyDescent="0.35"/>
    <row r="4196" hidden="1" x14ac:dyDescent="0.35"/>
    <row r="4197" hidden="1" x14ac:dyDescent="0.35"/>
    <row r="4198" hidden="1" x14ac:dyDescent="0.35"/>
    <row r="4199" hidden="1" x14ac:dyDescent="0.35"/>
    <row r="4200" hidden="1" x14ac:dyDescent="0.35"/>
    <row r="4201" hidden="1" x14ac:dyDescent="0.35"/>
    <row r="4202" hidden="1" x14ac:dyDescent="0.35"/>
    <row r="4203" hidden="1" x14ac:dyDescent="0.35"/>
    <row r="4204" hidden="1" x14ac:dyDescent="0.35"/>
    <row r="4205" hidden="1" x14ac:dyDescent="0.35"/>
    <row r="4206" hidden="1" x14ac:dyDescent="0.35"/>
    <row r="4207" hidden="1" x14ac:dyDescent="0.35"/>
    <row r="4208" hidden="1" x14ac:dyDescent="0.35"/>
    <row r="4209" hidden="1" x14ac:dyDescent="0.35"/>
    <row r="4210" hidden="1" x14ac:dyDescent="0.35"/>
    <row r="4211" hidden="1" x14ac:dyDescent="0.35"/>
    <row r="4212" hidden="1" x14ac:dyDescent="0.35"/>
    <row r="4213" hidden="1" x14ac:dyDescent="0.35"/>
    <row r="4214" hidden="1" x14ac:dyDescent="0.35"/>
    <row r="4215" hidden="1" x14ac:dyDescent="0.35"/>
    <row r="4216" hidden="1" x14ac:dyDescent="0.35"/>
    <row r="4217" hidden="1" x14ac:dyDescent="0.35"/>
    <row r="4218" hidden="1" x14ac:dyDescent="0.35"/>
    <row r="4219" hidden="1" x14ac:dyDescent="0.35"/>
    <row r="4220" hidden="1" x14ac:dyDescent="0.35"/>
    <row r="4221" hidden="1" x14ac:dyDescent="0.35"/>
    <row r="4222" hidden="1" x14ac:dyDescent="0.35"/>
    <row r="4223" hidden="1" x14ac:dyDescent="0.35"/>
    <row r="4224" hidden="1" x14ac:dyDescent="0.35"/>
    <row r="4225" hidden="1" x14ac:dyDescent="0.35"/>
    <row r="4226" hidden="1" x14ac:dyDescent="0.35"/>
    <row r="4227" hidden="1" x14ac:dyDescent="0.35"/>
    <row r="4228" hidden="1" x14ac:dyDescent="0.35"/>
    <row r="4229" hidden="1" x14ac:dyDescent="0.35"/>
    <row r="4230" hidden="1" x14ac:dyDescent="0.35"/>
    <row r="4231" hidden="1" x14ac:dyDescent="0.35"/>
    <row r="4232" hidden="1" x14ac:dyDescent="0.35"/>
    <row r="4233" hidden="1" x14ac:dyDescent="0.35"/>
    <row r="4234" hidden="1" x14ac:dyDescent="0.35"/>
    <row r="4235" hidden="1" x14ac:dyDescent="0.35"/>
    <row r="4236" hidden="1" x14ac:dyDescent="0.35"/>
    <row r="4237" hidden="1" x14ac:dyDescent="0.35"/>
    <row r="4238" hidden="1" x14ac:dyDescent="0.35"/>
    <row r="4239" hidden="1" x14ac:dyDescent="0.35"/>
    <row r="4240" hidden="1" x14ac:dyDescent="0.35"/>
    <row r="4241" hidden="1" x14ac:dyDescent="0.35"/>
    <row r="4242" hidden="1" x14ac:dyDescent="0.35"/>
    <row r="4243" hidden="1" x14ac:dyDescent="0.35"/>
    <row r="4244" hidden="1" x14ac:dyDescent="0.35"/>
    <row r="4245" hidden="1" x14ac:dyDescent="0.35"/>
    <row r="4246" hidden="1" x14ac:dyDescent="0.35"/>
    <row r="4247" hidden="1" x14ac:dyDescent="0.35"/>
    <row r="4248" hidden="1" x14ac:dyDescent="0.35"/>
    <row r="4249" hidden="1" x14ac:dyDescent="0.35"/>
    <row r="4250" hidden="1" x14ac:dyDescent="0.35"/>
    <row r="4251" hidden="1" x14ac:dyDescent="0.35"/>
    <row r="4252" hidden="1" x14ac:dyDescent="0.35"/>
    <row r="4253" hidden="1" x14ac:dyDescent="0.35"/>
    <row r="4254" hidden="1" x14ac:dyDescent="0.35"/>
    <row r="4255" hidden="1" x14ac:dyDescent="0.35"/>
    <row r="4256" hidden="1" x14ac:dyDescent="0.35"/>
    <row r="4257" hidden="1" x14ac:dyDescent="0.35"/>
    <row r="4258" hidden="1" x14ac:dyDescent="0.35"/>
    <row r="4259" hidden="1" x14ac:dyDescent="0.35"/>
    <row r="4260" hidden="1" x14ac:dyDescent="0.35"/>
    <row r="4261" hidden="1" x14ac:dyDescent="0.35"/>
    <row r="4262" hidden="1" x14ac:dyDescent="0.35"/>
    <row r="4263" hidden="1" x14ac:dyDescent="0.35"/>
    <row r="4264" hidden="1" x14ac:dyDescent="0.35"/>
    <row r="4265" hidden="1" x14ac:dyDescent="0.35"/>
    <row r="4266" hidden="1" x14ac:dyDescent="0.35"/>
    <row r="4267" hidden="1" x14ac:dyDescent="0.35"/>
    <row r="4268" hidden="1" x14ac:dyDescent="0.35"/>
    <row r="4269" hidden="1" x14ac:dyDescent="0.35"/>
    <row r="4270" hidden="1" x14ac:dyDescent="0.35"/>
    <row r="4271" hidden="1" x14ac:dyDescent="0.35"/>
    <row r="4272" hidden="1" x14ac:dyDescent="0.35"/>
    <row r="4273" hidden="1" x14ac:dyDescent="0.35"/>
    <row r="4274" hidden="1" x14ac:dyDescent="0.35"/>
    <row r="4275" hidden="1" x14ac:dyDescent="0.35"/>
    <row r="4276" hidden="1" x14ac:dyDescent="0.35"/>
    <row r="4277" hidden="1" x14ac:dyDescent="0.35"/>
    <row r="4278" hidden="1" x14ac:dyDescent="0.35"/>
    <row r="4279" hidden="1" x14ac:dyDescent="0.35"/>
    <row r="4280" hidden="1" x14ac:dyDescent="0.35"/>
    <row r="4281" hidden="1" x14ac:dyDescent="0.35"/>
    <row r="4282" hidden="1" x14ac:dyDescent="0.35"/>
    <row r="4283" hidden="1" x14ac:dyDescent="0.35"/>
    <row r="4284" hidden="1" x14ac:dyDescent="0.35"/>
    <row r="4285" hidden="1" x14ac:dyDescent="0.35"/>
    <row r="4286" hidden="1" x14ac:dyDescent="0.35"/>
    <row r="4287" hidden="1" x14ac:dyDescent="0.35"/>
    <row r="4288" hidden="1" x14ac:dyDescent="0.35"/>
    <row r="4289" hidden="1" x14ac:dyDescent="0.35"/>
    <row r="4290" hidden="1" x14ac:dyDescent="0.35"/>
    <row r="4291" hidden="1" x14ac:dyDescent="0.35"/>
    <row r="4292" hidden="1" x14ac:dyDescent="0.35"/>
    <row r="4293" hidden="1" x14ac:dyDescent="0.35"/>
    <row r="4294" hidden="1" x14ac:dyDescent="0.35"/>
    <row r="4295" hidden="1" x14ac:dyDescent="0.35"/>
    <row r="4296" hidden="1" x14ac:dyDescent="0.35"/>
    <row r="4297" hidden="1" x14ac:dyDescent="0.35"/>
    <row r="4298" hidden="1" x14ac:dyDescent="0.35"/>
    <row r="4299" hidden="1" x14ac:dyDescent="0.35"/>
    <row r="4300" hidden="1" x14ac:dyDescent="0.35"/>
    <row r="4301" hidden="1" x14ac:dyDescent="0.35"/>
    <row r="4302" hidden="1" x14ac:dyDescent="0.35"/>
    <row r="4303" hidden="1" x14ac:dyDescent="0.35"/>
    <row r="4304" hidden="1" x14ac:dyDescent="0.35"/>
    <row r="4305" hidden="1" x14ac:dyDescent="0.35"/>
    <row r="4306" hidden="1" x14ac:dyDescent="0.35"/>
    <row r="4307" hidden="1" x14ac:dyDescent="0.35"/>
    <row r="4308" hidden="1" x14ac:dyDescent="0.35"/>
    <row r="4309" hidden="1" x14ac:dyDescent="0.35"/>
    <row r="4310" hidden="1" x14ac:dyDescent="0.35"/>
    <row r="4311" hidden="1" x14ac:dyDescent="0.35"/>
    <row r="4312" hidden="1" x14ac:dyDescent="0.35"/>
    <row r="4313" hidden="1" x14ac:dyDescent="0.35"/>
    <row r="4314" hidden="1" x14ac:dyDescent="0.35"/>
    <row r="4315" hidden="1" x14ac:dyDescent="0.35"/>
    <row r="4316" hidden="1" x14ac:dyDescent="0.35"/>
    <row r="4317" hidden="1" x14ac:dyDescent="0.35"/>
    <row r="4318" hidden="1" x14ac:dyDescent="0.35"/>
    <row r="4319" hidden="1" x14ac:dyDescent="0.35"/>
    <row r="4320" hidden="1" x14ac:dyDescent="0.35"/>
    <row r="4321" hidden="1" x14ac:dyDescent="0.35"/>
    <row r="4322" hidden="1" x14ac:dyDescent="0.35"/>
    <row r="4323" hidden="1" x14ac:dyDescent="0.35"/>
    <row r="4324" hidden="1" x14ac:dyDescent="0.35"/>
    <row r="4325" hidden="1" x14ac:dyDescent="0.35"/>
    <row r="4326" hidden="1" x14ac:dyDescent="0.35"/>
    <row r="4327" hidden="1" x14ac:dyDescent="0.35"/>
    <row r="4328" hidden="1" x14ac:dyDescent="0.35"/>
    <row r="4329" hidden="1" x14ac:dyDescent="0.35"/>
    <row r="4330" hidden="1" x14ac:dyDescent="0.35"/>
    <row r="4331" hidden="1" x14ac:dyDescent="0.35"/>
    <row r="4332" hidden="1" x14ac:dyDescent="0.35"/>
    <row r="4333" hidden="1" x14ac:dyDescent="0.35"/>
    <row r="4334" hidden="1" x14ac:dyDescent="0.35"/>
    <row r="4335" hidden="1" x14ac:dyDescent="0.35"/>
    <row r="4336" hidden="1" x14ac:dyDescent="0.35"/>
    <row r="4337" hidden="1" x14ac:dyDescent="0.35"/>
    <row r="4338" hidden="1" x14ac:dyDescent="0.35"/>
    <row r="4339" hidden="1" x14ac:dyDescent="0.35"/>
    <row r="4340" hidden="1" x14ac:dyDescent="0.35"/>
    <row r="4341" hidden="1" x14ac:dyDescent="0.35"/>
    <row r="4342" hidden="1" x14ac:dyDescent="0.35"/>
    <row r="4343" hidden="1" x14ac:dyDescent="0.35"/>
    <row r="4344" hidden="1" x14ac:dyDescent="0.35"/>
    <row r="4345" hidden="1" x14ac:dyDescent="0.35"/>
    <row r="4346" hidden="1" x14ac:dyDescent="0.35"/>
    <row r="4347" hidden="1" x14ac:dyDescent="0.35"/>
    <row r="4348" hidden="1" x14ac:dyDescent="0.35"/>
    <row r="4349" hidden="1" x14ac:dyDescent="0.35"/>
    <row r="4350" hidden="1" x14ac:dyDescent="0.35"/>
    <row r="4351" hidden="1" x14ac:dyDescent="0.35"/>
    <row r="4352" hidden="1" x14ac:dyDescent="0.35"/>
    <row r="4353" hidden="1" x14ac:dyDescent="0.35"/>
    <row r="4354" hidden="1" x14ac:dyDescent="0.35"/>
    <row r="4355" hidden="1" x14ac:dyDescent="0.35"/>
    <row r="4356" hidden="1" x14ac:dyDescent="0.35"/>
    <row r="4357" hidden="1" x14ac:dyDescent="0.35"/>
    <row r="4358" hidden="1" x14ac:dyDescent="0.35"/>
    <row r="4359" hidden="1" x14ac:dyDescent="0.35"/>
    <row r="4360" hidden="1" x14ac:dyDescent="0.35"/>
    <row r="4361" hidden="1" x14ac:dyDescent="0.35"/>
    <row r="4362" hidden="1" x14ac:dyDescent="0.35"/>
    <row r="4363" hidden="1" x14ac:dyDescent="0.35"/>
    <row r="4364" hidden="1" x14ac:dyDescent="0.35"/>
    <row r="4365" hidden="1" x14ac:dyDescent="0.35"/>
    <row r="4366" hidden="1" x14ac:dyDescent="0.35"/>
    <row r="4367" hidden="1" x14ac:dyDescent="0.35"/>
    <row r="4368" hidden="1" x14ac:dyDescent="0.35"/>
    <row r="4369" hidden="1" x14ac:dyDescent="0.35"/>
    <row r="4370" hidden="1" x14ac:dyDescent="0.35"/>
    <row r="4371" hidden="1" x14ac:dyDescent="0.35"/>
    <row r="4372" hidden="1" x14ac:dyDescent="0.35"/>
    <row r="4373" hidden="1" x14ac:dyDescent="0.35"/>
    <row r="4374" hidden="1" x14ac:dyDescent="0.35"/>
    <row r="4375" hidden="1" x14ac:dyDescent="0.35"/>
    <row r="4376" hidden="1" x14ac:dyDescent="0.35"/>
    <row r="4377" hidden="1" x14ac:dyDescent="0.35"/>
    <row r="4378" hidden="1" x14ac:dyDescent="0.35"/>
    <row r="4379" hidden="1" x14ac:dyDescent="0.35"/>
    <row r="4380" hidden="1" x14ac:dyDescent="0.35"/>
    <row r="4381" hidden="1" x14ac:dyDescent="0.35"/>
    <row r="4382" hidden="1" x14ac:dyDescent="0.35"/>
    <row r="4383" hidden="1" x14ac:dyDescent="0.35"/>
    <row r="4384" hidden="1" x14ac:dyDescent="0.35"/>
    <row r="4385" hidden="1" x14ac:dyDescent="0.35"/>
    <row r="4386" hidden="1" x14ac:dyDescent="0.35"/>
    <row r="4387" hidden="1" x14ac:dyDescent="0.35"/>
    <row r="4388" hidden="1" x14ac:dyDescent="0.35"/>
    <row r="4389" hidden="1" x14ac:dyDescent="0.35"/>
    <row r="4390" hidden="1" x14ac:dyDescent="0.35"/>
    <row r="4391" hidden="1" x14ac:dyDescent="0.35"/>
    <row r="4392" hidden="1" x14ac:dyDescent="0.35"/>
    <row r="4393" hidden="1" x14ac:dyDescent="0.35"/>
    <row r="4394" hidden="1" x14ac:dyDescent="0.35"/>
    <row r="4395" hidden="1" x14ac:dyDescent="0.35"/>
    <row r="4396" hidden="1" x14ac:dyDescent="0.35"/>
    <row r="4397" hidden="1" x14ac:dyDescent="0.35"/>
    <row r="4398" hidden="1" x14ac:dyDescent="0.35"/>
    <row r="4399" hidden="1" x14ac:dyDescent="0.35"/>
    <row r="4400" hidden="1" x14ac:dyDescent="0.35"/>
    <row r="4401" hidden="1" x14ac:dyDescent="0.35"/>
    <row r="4402" hidden="1" x14ac:dyDescent="0.35"/>
    <row r="4403" hidden="1" x14ac:dyDescent="0.35"/>
    <row r="4404" hidden="1" x14ac:dyDescent="0.35"/>
    <row r="4405" hidden="1" x14ac:dyDescent="0.35"/>
    <row r="4406" hidden="1" x14ac:dyDescent="0.35"/>
    <row r="4407" hidden="1" x14ac:dyDescent="0.35"/>
    <row r="4408" hidden="1" x14ac:dyDescent="0.35"/>
    <row r="4409" hidden="1" x14ac:dyDescent="0.35"/>
    <row r="4410" hidden="1" x14ac:dyDescent="0.35"/>
    <row r="4411" hidden="1" x14ac:dyDescent="0.35"/>
    <row r="4412" hidden="1" x14ac:dyDescent="0.35"/>
    <row r="4413" hidden="1" x14ac:dyDescent="0.35"/>
    <row r="4414" hidden="1" x14ac:dyDescent="0.35"/>
    <row r="4415" hidden="1" x14ac:dyDescent="0.35"/>
    <row r="4416" hidden="1" x14ac:dyDescent="0.35"/>
    <row r="4417" hidden="1" x14ac:dyDescent="0.35"/>
    <row r="4418" hidden="1" x14ac:dyDescent="0.35"/>
    <row r="4419" hidden="1" x14ac:dyDescent="0.35"/>
    <row r="4420" hidden="1" x14ac:dyDescent="0.35"/>
    <row r="4421" hidden="1" x14ac:dyDescent="0.35"/>
    <row r="4422" hidden="1" x14ac:dyDescent="0.35"/>
    <row r="4423" hidden="1" x14ac:dyDescent="0.35"/>
    <row r="4424" hidden="1" x14ac:dyDescent="0.35"/>
    <row r="4425" hidden="1" x14ac:dyDescent="0.35"/>
    <row r="4426" hidden="1" x14ac:dyDescent="0.35"/>
    <row r="4427" hidden="1" x14ac:dyDescent="0.35"/>
    <row r="4428" hidden="1" x14ac:dyDescent="0.35"/>
    <row r="4429" hidden="1" x14ac:dyDescent="0.35"/>
    <row r="4430" hidden="1" x14ac:dyDescent="0.35"/>
    <row r="4431" hidden="1" x14ac:dyDescent="0.35"/>
    <row r="4432" hidden="1" x14ac:dyDescent="0.35"/>
    <row r="4433" hidden="1" x14ac:dyDescent="0.35"/>
    <row r="4434" hidden="1" x14ac:dyDescent="0.35"/>
    <row r="4435" hidden="1" x14ac:dyDescent="0.35"/>
    <row r="4436" hidden="1" x14ac:dyDescent="0.35"/>
    <row r="4437" hidden="1" x14ac:dyDescent="0.35"/>
    <row r="4438" hidden="1" x14ac:dyDescent="0.35"/>
    <row r="4439" hidden="1" x14ac:dyDescent="0.35"/>
    <row r="4440" hidden="1" x14ac:dyDescent="0.35"/>
    <row r="4441" hidden="1" x14ac:dyDescent="0.35"/>
    <row r="4442" hidden="1" x14ac:dyDescent="0.35"/>
    <row r="4443" hidden="1" x14ac:dyDescent="0.35"/>
    <row r="4444" hidden="1" x14ac:dyDescent="0.35"/>
    <row r="4445" hidden="1" x14ac:dyDescent="0.35"/>
    <row r="4446" hidden="1" x14ac:dyDescent="0.35"/>
    <row r="4447" hidden="1" x14ac:dyDescent="0.35"/>
    <row r="4448" hidden="1" x14ac:dyDescent="0.35"/>
    <row r="4449" hidden="1" x14ac:dyDescent="0.35"/>
    <row r="4450" hidden="1" x14ac:dyDescent="0.35"/>
    <row r="4451" hidden="1" x14ac:dyDescent="0.35"/>
    <row r="4452" hidden="1" x14ac:dyDescent="0.35"/>
    <row r="4453" hidden="1" x14ac:dyDescent="0.35"/>
    <row r="4454" hidden="1" x14ac:dyDescent="0.35"/>
    <row r="4455" hidden="1" x14ac:dyDescent="0.35"/>
    <row r="4456" hidden="1" x14ac:dyDescent="0.35"/>
    <row r="4457" hidden="1" x14ac:dyDescent="0.35"/>
    <row r="4458" hidden="1" x14ac:dyDescent="0.35"/>
    <row r="4459" hidden="1" x14ac:dyDescent="0.35"/>
    <row r="4460" hidden="1" x14ac:dyDescent="0.35"/>
    <row r="4461" hidden="1" x14ac:dyDescent="0.35"/>
    <row r="4462" hidden="1" x14ac:dyDescent="0.35"/>
    <row r="4463" hidden="1" x14ac:dyDescent="0.35"/>
    <row r="4464" hidden="1" x14ac:dyDescent="0.35"/>
    <row r="4465" hidden="1" x14ac:dyDescent="0.35"/>
    <row r="4466" hidden="1" x14ac:dyDescent="0.35"/>
    <row r="4467" hidden="1" x14ac:dyDescent="0.35"/>
    <row r="4468" hidden="1" x14ac:dyDescent="0.35"/>
    <row r="4469" hidden="1" x14ac:dyDescent="0.35"/>
    <row r="4470" hidden="1" x14ac:dyDescent="0.35"/>
    <row r="4471" hidden="1" x14ac:dyDescent="0.35"/>
    <row r="4472" hidden="1" x14ac:dyDescent="0.35"/>
    <row r="4473" hidden="1" x14ac:dyDescent="0.35"/>
    <row r="4474" hidden="1" x14ac:dyDescent="0.35"/>
    <row r="4475" hidden="1" x14ac:dyDescent="0.35"/>
    <row r="4476" hidden="1" x14ac:dyDescent="0.35"/>
    <row r="4477" hidden="1" x14ac:dyDescent="0.35"/>
    <row r="4478" hidden="1" x14ac:dyDescent="0.35"/>
    <row r="4479" hidden="1" x14ac:dyDescent="0.35"/>
    <row r="4480" hidden="1" x14ac:dyDescent="0.35"/>
    <row r="4481" hidden="1" x14ac:dyDescent="0.35"/>
    <row r="4482" hidden="1" x14ac:dyDescent="0.35"/>
    <row r="4483" hidden="1" x14ac:dyDescent="0.35"/>
    <row r="4484" hidden="1" x14ac:dyDescent="0.35"/>
    <row r="4485" hidden="1" x14ac:dyDescent="0.35"/>
    <row r="4486" hidden="1" x14ac:dyDescent="0.35"/>
    <row r="4487" hidden="1" x14ac:dyDescent="0.35"/>
    <row r="4488" hidden="1" x14ac:dyDescent="0.35"/>
    <row r="4489" hidden="1" x14ac:dyDescent="0.35"/>
    <row r="4490" hidden="1" x14ac:dyDescent="0.35"/>
    <row r="4491" hidden="1" x14ac:dyDescent="0.35"/>
    <row r="4492" hidden="1" x14ac:dyDescent="0.35"/>
    <row r="4493" hidden="1" x14ac:dyDescent="0.35"/>
    <row r="4494" hidden="1" x14ac:dyDescent="0.35"/>
    <row r="4495" hidden="1" x14ac:dyDescent="0.35"/>
    <row r="4496" hidden="1" x14ac:dyDescent="0.35"/>
    <row r="4497" hidden="1" x14ac:dyDescent="0.35"/>
    <row r="4498" hidden="1" x14ac:dyDescent="0.35"/>
    <row r="4499" hidden="1" x14ac:dyDescent="0.35"/>
    <row r="4500" hidden="1" x14ac:dyDescent="0.35"/>
    <row r="4501" hidden="1" x14ac:dyDescent="0.35"/>
    <row r="4502" hidden="1" x14ac:dyDescent="0.35"/>
    <row r="4503" hidden="1" x14ac:dyDescent="0.35"/>
    <row r="4504" hidden="1" x14ac:dyDescent="0.35"/>
    <row r="4505" hidden="1" x14ac:dyDescent="0.35"/>
    <row r="4506" hidden="1" x14ac:dyDescent="0.35"/>
    <row r="4507" hidden="1" x14ac:dyDescent="0.35"/>
    <row r="4508" hidden="1" x14ac:dyDescent="0.35"/>
    <row r="4509" hidden="1" x14ac:dyDescent="0.35"/>
    <row r="4510" hidden="1" x14ac:dyDescent="0.35"/>
    <row r="4511" hidden="1" x14ac:dyDescent="0.35"/>
    <row r="4512" hidden="1" x14ac:dyDescent="0.35"/>
    <row r="4513" hidden="1" x14ac:dyDescent="0.35"/>
    <row r="4514" hidden="1" x14ac:dyDescent="0.35"/>
    <row r="4515" hidden="1" x14ac:dyDescent="0.35"/>
    <row r="4516" hidden="1" x14ac:dyDescent="0.35"/>
    <row r="4517" hidden="1" x14ac:dyDescent="0.35"/>
    <row r="4518" hidden="1" x14ac:dyDescent="0.35"/>
    <row r="4519" hidden="1" x14ac:dyDescent="0.35"/>
    <row r="4520" hidden="1" x14ac:dyDescent="0.35"/>
    <row r="4521" hidden="1" x14ac:dyDescent="0.35"/>
    <row r="4522" hidden="1" x14ac:dyDescent="0.35"/>
    <row r="4523" hidden="1" x14ac:dyDescent="0.35"/>
    <row r="4524" hidden="1" x14ac:dyDescent="0.35"/>
    <row r="4525" hidden="1" x14ac:dyDescent="0.35"/>
    <row r="4526" hidden="1" x14ac:dyDescent="0.35"/>
    <row r="4527" hidden="1" x14ac:dyDescent="0.35"/>
    <row r="4528" hidden="1" x14ac:dyDescent="0.35"/>
    <row r="4529" hidden="1" x14ac:dyDescent="0.35"/>
    <row r="4530" hidden="1" x14ac:dyDescent="0.35"/>
    <row r="4531" hidden="1" x14ac:dyDescent="0.35"/>
    <row r="4532" hidden="1" x14ac:dyDescent="0.35"/>
    <row r="4533" hidden="1" x14ac:dyDescent="0.35"/>
    <row r="4534" hidden="1" x14ac:dyDescent="0.35"/>
    <row r="4535" hidden="1" x14ac:dyDescent="0.35"/>
    <row r="4536" hidden="1" x14ac:dyDescent="0.35"/>
    <row r="4537" hidden="1" x14ac:dyDescent="0.35"/>
    <row r="4538" hidden="1" x14ac:dyDescent="0.35"/>
    <row r="4539" hidden="1" x14ac:dyDescent="0.35"/>
    <row r="4540" hidden="1" x14ac:dyDescent="0.35"/>
    <row r="4541" hidden="1" x14ac:dyDescent="0.35"/>
    <row r="4542" hidden="1" x14ac:dyDescent="0.35"/>
    <row r="4543" hidden="1" x14ac:dyDescent="0.35"/>
    <row r="4544" hidden="1" x14ac:dyDescent="0.35"/>
    <row r="4545" hidden="1" x14ac:dyDescent="0.35"/>
    <row r="4546" hidden="1" x14ac:dyDescent="0.35"/>
    <row r="4547" hidden="1" x14ac:dyDescent="0.35"/>
    <row r="4548" hidden="1" x14ac:dyDescent="0.35"/>
    <row r="4549" hidden="1" x14ac:dyDescent="0.35"/>
    <row r="4550" hidden="1" x14ac:dyDescent="0.35"/>
    <row r="4551" hidden="1" x14ac:dyDescent="0.35"/>
    <row r="4552" hidden="1" x14ac:dyDescent="0.35"/>
    <row r="4553" hidden="1" x14ac:dyDescent="0.35"/>
    <row r="4554" hidden="1" x14ac:dyDescent="0.35"/>
    <row r="4555" hidden="1" x14ac:dyDescent="0.35"/>
    <row r="4556" hidden="1" x14ac:dyDescent="0.35"/>
    <row r="4557" hidden="1" x14ac:dyDescent="0.35"/>
    <row r="4558" hidden="1" x14ac:dyDescent="0.35"/>
    <row r="4559" hidden="1" x14ac:dyDescent="0.35"/>
    <row r="4560" hidden="1" x14ac:dyDescent="0.35"/>
    <row r="4561" hidden="1" x14ac:dyDescent="0.35"/>
    <row r="4562" hidden="1" x14ac:dyDescent="0.35"/>
    <row r="4563" hidden="1" x14ac:dyDescent="0.35"/>
    <row r="4564" hidden="1" x14ac:dyDescent="0.35"/>
    <row r="4565" hidden="1" x14ac:dyDescent="0.35"/>
    <row r="4566" hidden="1" x14ac:dyDescent="0.35"/>
    <row r="4567" hidden="1" x14ac:dyDescent="0.35"/>
    <row r="4568" hidden="1" x14ac:dyDescent="0.35"/>
    <row r="4569" hidden="1" x14ac:dyDescent="0.35"/>
    <row r="4570" hidden="1" x14ac:dyDescent="0.35"/>
    <row r="4571" hidden="1" x14ac:dyDescent="0.35"/>
    <row r="4572" hidden="1" x14ac:dyDescent="0.35"/>
    <row r="4573" hidden="1" x14ac:dyDescent="0.35"/>
    <row r="4574" hidden="1" x14ac:dyDescent="0.35"/>
    <row r="4575" hidden="1" x14ac:dyDescent="0.35"/>
    <row r="4576" hidden="1" x14ac:dyDescent="0.35"/>
    <row r="4577" hidden="1" x14ac:dyDescent="0.35"/>
    <row r="4578" hidden="1" x14ac:dyDescent="0.35"/>
    <row r="4579" hidden="1" x14ac:dyDescent="0.35"/>
    <row r="4580" hidden="1" x14ac:dyDescent="0.35"/>
    <row r="4581" hidden="1" x14ac:dyDescent="0.35"/>
    <row r="4582" hidden="1" x14ac:dyDescent="0.35"/>
    <row r="4583" hidden="1" x14ac:dyDescent="0.35"/>
    <row r="4584" hidden="1" x14ac:dyDescent="0.35"/>
    <row r="4585" hidden="1" x14ac:dyDescent="0.35"/>
    <row r="4586" hidden="1" x14ac:dyDescent="0.35"/>
    <row r="4587" hidden="1" x14ac:dyDescent="0.35"/>
    <row r="4588" hidden="1" x14ac:dyDescent="0.35"/>
    <row r="4589" hidden="1" x14ac:dyDescent="0.35"/>
    <row r="4590" hidden="1" x14ac:dyDescent="0.35"/>
    <row r="4591" hidden="1" x14ac:dyDescent="0.35"/>
    <row r="4592" hidden="1" x14ac:dyDescent="0.35"/>
    <row r="4593" hidden="1" x14ac:dyDescent="0.35"/>
    <row r="4594" hidden="1" x14ac:dyDescent="0.35"/>
    <row r="4595" hidden="1" x14ac:dyDescent="0.35"/>
    <row r="4596" hidden="1" x14ac:dyDescent="0.35"/>
    <row r="4597" hidden="1" x14ac:dyDescent="0.35"/>
    <row r="4598" hidden="1" x14ac:dyDescent="0.35"/>
    <row r="4599" hidden="1" x14ac:dyDescent="0.35"/>
    <row r="4600" hidden="1" x14ac:dyDescent="0.35"/>
    <row r="4601" hidden="1" x14ac:dyDescent="0.35"/>
    <row r="4602" hidden="1" x14ac:dyDescent="0.35"/>
    <row r="4603" hidden="1" x14ac:dyDescent="0.35"/>
    <row r="4604" hidden="1" x14ac:dyDescent="0.35"/>
    <row r="4605" hidden="1" x14ac:dyDescent="0.35"/>
    <row r="4606" hidden="1" x14ac:dyDescent="0.35"/>
    <row r="4607" hidden="1" x14ac:dyDescent="0.35"/>
    <row r="4608" hidden="1" x14ac:dyDescent="0.35"/>
    <row r="4609" hidden="1" x14ac:dyDescent="0.35"/>
    <row r="4610" hidden="1" x14ac:dyDescent="0.35"/>
    <row r="4611" hidden="1" x14ac:dyDescent="0.35"/>
    <row r="4612" hidden="1" x14ac:dyDescent="0.35"/>
    <row r="4613" hidden="1" x14ac:dyDescent="0.35"/>
    <row r="4614" hidden="1" x14ac:dyDescent="0.35"/>
    <row r="4615" hidden="1" x14ac:dyDescent="0.35"/>
    <row r="4616" hidden="1" x14ac:dyDescent="0.35"/>
    <row r="4617" hidden="1" x14ac:dyDescent="0.35"/>
    <row r="4618" hidden="1" x14ac:dyDescent="0.35"/>
    <row r="4619" hidden="1" x14ac:dyDescent="0.35"/>
    <row r="4620" hidden="1" x14ac:dyDescent="0.35"/>
    <row r="4621" hidden="1" x14ac:dyDescent="0.35"/>
    <row r="4622" hidden="1" x14ac:dyDescent="0.35"/>
    <row r="4623" hidden="1" x14ac:dyDescent="0.35"/>
    <row r="4624" hidden="1" x14ac:dyDescent="0.35"/>
    <row r="4625" hidden="1" x14ac:dyDescent="0.35"/>
    <row r="4626" hidden="1" x14ac:dyDescent="0.35"/>
    <row r="4627" hidden="1" x14ac:dyDescent="0.35"/>
    <row r="4628" hidden="1" x14ac:dyDescent="0.35"/>
    <row r="4629" hidden="1" x14ac:dyDescent="0.35"/>
    <row r="4630" hidden="1" x14ac:dyDescent="0.35"/>
    <row r="4631" hidden="1" x14ac:dyDescent="0.35"/>
    <row r="4632" hidden="1" x14ac:dyDescent="0.35"/>
    <row r="4633" hidden="1" x14ac:dyDescent="0.35"/>
    <row r="4634" hidden="1" x14ac:dyDescent="0.35"/>
    <row r="4635" hidden="1" x14ac:dyDescent="0.35"/>
    <row r="4636" hidden="1" x14ac:dyDescent="0.35"/>
    <row r="4637" hidden="1" x14ac:dyDescent="0.35"/>
    <row r="4638" hidden="1" x14ac:dyDescent="0.35"/>
    <row r="4639" hidden="1" x14ac:dyDescent="0.35"/>
    <row r="4640" hidden="1" x14ac:dyDescent="0.35"/>
    <row r="4641" hidden="1" x14ac:dyDescent="0.35"/>
    <row r="4642" hidden="1" x14ac:dyDescent="0.35"/>
    <row r="4643" hidden="1" x14ac:dyDescent="0.35"/>
    <row r="4644" hidden="1" x14ac:dyDescent="0.35"/>
    <row r="4645" hidden="1" x14ac:dyDescent="0.35"/>
    <row r="4646" hidden="1" x14ac:dyDescent="0.35"/>
    <row r="4647" hidden="1" x14ac:dyDescent="0.35"/>
    <row r="4648" hidden="1" x14ac:dyDescent="0.35"/>
    <row r="4649" hidden="1" x14ac:dyDescent="0.35"/>
    <row r="4650" hidden="1" x14ac:dyDescent="0.35"/>
    <row r="4651" hidden="1" x14ac:dyDescent="0.35"/>
    <row r="4652" hidden="1" x14ac:dyDescent="0.35"/>
    <row r="4653" hidden="1" x14ac:dyDescent="0.35"/>
    <row r="4654" hidden="1" x14ac:dyDescent="0.35"/>
    <row r="4655" hidden="1" x14ac:dyDescent="0.35"/>
    <row r="4656" hidden="1" x14ac:dyDescent="0.35"/>
    <row r="4657" hidden="1" x14ac:dyDescent="0.35"/>
    <row r="4658" hidden="1" x14ac:dyDescent="0.35"/>
    <row r="4659" hidden="1" x14ac:dyDescent="0.35"/>
    <row r="4660" hidden="1" x14ac:dyDescent="0.35"/>
    <row r="4661" hidden="1" x14ac:dyDescent="0.35"/>
    <row r="4662" hidden="1" x14ac:dyDescent="0.35"/>
    <row r="4663" hidden="1" x14ac:dyDescent="0.35"/>
    <row r="4664" hidden="1" x14ac:dyDescent="0.35"/>
    <row r="4665" hidden="1" x14ac:dyDescent="0.35"/>
    <row r="4666" hidden="1" x14ac:dyDescent="0.35"/>
    <row r="4667" hidden="1" x14ac:dyDescent="0.35"/>
    <row r="4668" hidden="1" x14ac:dyDescent="0.35"/>
    <row r="4669" hidden="1" x14ac:dyDescent="0.35"/>
    <row r="4670" hidden="1" x14ac:dyDescent="0.35"/>
    <row r="4671" hidden="1" x14ac:dyDescent="0.35"/>
    <row r="4672" hidden="1" x14ac:dyDescent="0.35"/>
    <row r="4673" hidden="1" x14ac:dyDescent="0.35"/>
    <row r="4674" hidden="1" x14ac:dyDescent="0.35"/>
    <row r="4675" hidden="1" x14ac:dyDescent="0.35"/>
    <row r="4676" hidden="1" x14ac:dyDescent="0.35"/>
    <row r="4677" hidden="1" x14ac:dyDescent="0.35"/>
    <row r="4678" hidden="1" x14ac:dyDescent="0.35"/>
    <row r="4679" hidden="1" x14ac:dyDescent="0.35"/>
    <row r="4680" hidden="1" x14ac:dyDescent="0.35"/>
    <row r="4681" hidden="1" x14ac:dyDescent="0.35"/>
    <row r="4682" hidden="1" x14ac:dyDescent="0.35"/>
    <row r="4683" hidden="1" x14ac:dyDescent="0.35"/>
    <row r="4684" hidden="1" x14ac:dyDescent="0.35"/>
    <row r="4685" hidden="1" x14ac:dyDescent="0.35"/>
    <row r="4686" hidden="1" x14ac:dyDescent="0.35"/>
    <row r="4687" hidden="1" x14ac:dyDescent="0.35"/>
    <row r="4688" hidden="1" x14ac:dyDescent="0.35"/>
    <row r="4689" hidden="1" x14ac:dyDescent="0.35"/>
    <row r="4690" hidden="1" x14ac:dyDescent="0.35"/>
    <row r="4691" hidden="1" x14ac:dyDescent="0.35"/>
    <row r="4692" hidden="1" x14ac:dyDescent="0.35"/>
    <row r="4693" hidden="1" x14ac:dyDescent="0.35"/>
    <row r="4694" hidden="1" x14ac:dyDescent="0.35"/>
    <row r="4695" hidden="1" x14ac:dyDescent="0.35"/>
    <row r="4696" hidden="1" x14ac:dyDescent="0.35"/>
    <row r="4697" hidden="1" x14ac:dyDescent="0.35"/>
    <row r="4698" hidden="1" x14ac:dyDescent="0.35"/>
    <row r="4699" hidden="1" x14ac:dyDescent="0.35"/>
    <row r="4700" hidden="1" x14ac:dyDescent="0.35"/>
    <row r="4701" hidden="1" x14ac:dyDescent="0.35"/>
    <row r="4702" hidden="1" x14ac:dyDescent="0.35"/>
    <row r="4703" hidden="1" x14ac:dyDescent="0.35"/>
    <row r="4704" hidden="1" x14ac:dyDescent="0.35"/>
    <row r="4705" hidden="1" x14ac:dyDescent="0.35"/>
    <row r="4706" hidden="1" x14ac:dyDescent="0.35"/>
    <row r="4707" hidden="1" x14ac:dyDescent="0.35"/>
    <row r="4708" hidden="1" x14ac:dyDescent="0.35"/>
    <row r="4709" hidden="1" x14ac:dyDescent="0.35"/>
    <row r="4710" hidden="1" x14ac:dyDescent="0.35"/>
    <row r="4711" hidden="1" x14ac:dyDescent="0.35"/>
    <row r="4712" hidden="1" x14ac:dyDescent="0.35"/>
    <row r="4713" hidden="1" x14ac:dyDescent="0.35"/>
    <row r="4714" hidden="1" x14ac:dyDescent="0.35"/>
    <row r="4715" hidden="1" x14ac:dyDescent="0.35"/>
    <row r="4716" hidden="1" x14ac:dyDescent="0.35"/>
    <row r="4717" hidden="1" x14ac:dyDescent="0.35"/>
    <row r="4718" hidden="1" x14ac:dyDescent="0.35"/>
    <row r="4719" hidden="1" x14ac:dyDescent="0.35"/>
    <row r="4720" hidden="1" x14ac:dyDescent="0.35"/>
    <row r="4721" hidden="1" x14ac:dyDescent="0.35"/>
    <row r="4722" hidden="1" x14ac:dyDescent="0.35"/>
    <row r="4723" hidden="1" x14ac:dyDescent="0.35"/>
    <row r="4724" hidden="1" x14ac:dyDescent="0.35"/>
    <row r="4725" hidden="1" x14ac:dyDescent="0.35"/>
    <row r="4726" hidden="1" x14ac:dyDescent="0.35"/>
    <row r="4727" hidden="1" x14ac:dyDescent="0.35"/>
    <row r="4728" hidden="1" x14ac:dyDescent="0.35"/>
    <row r="4729" hidden="1" x14ac:dyDescent="0.35"/>
    <row r="4730" hidden="1" x14ac:dyDescent="0.35"/>
    <row r="4731" hidden="1" x14ac:dyDescent="0.35"/>
    <row r="4732" hidden="1" x14ac:dyDescent="0.35"/>
    <row r="4733" hidden="1" x14ac:dyDescent="0.35"/>
    <row r="4734" hidden="1" x14ac:dyDescent="0.35"/>
    <row r="4735" hidden="1" x14ac:dyDescent="0.35"/>
    <row r="4736" hidden="1" x14ac:dyDescent="0.35"/>
    <row r="4737" hidden="1" x14ac:dyDescent="0.35"/>
    <row r="4738" hidden="1" x14ac:dyDescent="0.35"/>
    <row r="4739" hidden="1" x14ac:dyDescent="0.35"/>
    <row r="4740" hidden="1" x14ac:dyDescent="0.35"/>
    <row r="4741" hidden="1" x14ac:dyDescent="0.35"/>
    <row r="4742" hidden="1" x14ac:dyDescent="0.35"/>
    <row r="4743" hidden="1" x14ac:dyDescent="0.35"/>
    <row r="4744" hidden="1" x14ac:dyDescent="0.35"/>
    <row r="4745" hidden="1" x14ac:dyDescent="0.35"/>
    <row r="4746" hidden="1" x14ac:dyDescent="0.35"/>
    <row r="4747" hidden="1" x14ac:dyDescent="0.35"/>
    <row r="4748" hidden="1" x14ac:dyDescent="0.35"/>
    <row r="4749" hidden="1" x14ac:dyDescent="0.35"/>
    <row r="4750" hidden="1" x14ac:dyDescent="0.35"/>
    <row r="4751" hidden="1" x14ac:dyDescent="0.35"/>
    <row r="4752" hidden="1" x14ac:dyDescent="0.35"/>
    <row r="4753" hidden="1" x14ac:dyDescent="0.35"/>
    <row r="4754" hidden="1" x14ac:dyDescent="0.35"/>
    <row r="4755" hidden="1" x14ac:dyDescent="0.35"/>
    <row r="4756" hidden="1" x14ac:dyDescent="0.35"/>
    <row r="4757" hidden="1" x14ac:dyDescent="0.35"/>
    <row r="4758" hidden="1" x14ac:dyDescent="0.35"/>
    <row r="4759" hidden="1" x14ac:dyDescent="0.35"/>
    <row r="4760" hidden="1" x14ac:dyDescent="0.35"/>
    <row r="4761" hidden="1" x14ac:dyDescent="0.35"/>
    <row r="4762" hidden="1" x14ac:dyDescent="0.35"/>
    <row r="4763" hidden="1" x14ac:dyDescent="0.35"/>
    <row r="4764" hidden="1" x14ac:dyDescent="0.35"/>
    <row r="4765" hidden="1" x14ac:dyDescent="0.35"/>
    <row r="4766" hidden="1" x14ac:dyDescent="0.35"/>
    <row r="4767" hidden="1" x14ac:dyDescent="0.35"/>
    <row r="4768" hidden="1" x14ac:dyDescent="0.35"/>
    <row r="4769" hidden="1" x14ac:dyDescent="0.35"/>
    <row r="4770" hidden="1" x14ac:dyDescent="0.35"/>
    <row r="4771" hidden="1" x14ac:dyDescent="0.35"/>
    <row r="4772" hidden="1" x14ac:dyDescent="0.35"/>
    <row r="4773" hidden="1" x14ac:dyDescent="0.35"/>
    <row r="4774" hidden="1" x14ac:dyDescent="0.35"/>
    <row r="4775" hidden="1" x14ac:dyDescent="0.35"/>
    <row r="4776" hidden="1" x14ac:dyDescent="0.35"/>
    <row r="4777" hidden="1" x14ac:dyDescent="0.35"/>
    <row r="4778" hidden="1" x14ac:dyDescent="0.35"/>
    <row r="4779" hidden="1" x14ac:dyDescent="0.35"/>
    <row r="4780" hidden="1" x14ac:dyDescent="0.35"/>
    <row r="4781" hidden="1" x14ac:dyDescent="0.35"/>
    <row r="4782" hidden="1" x14ac:dyDescent="0.35"/>
    <row r="4783" hidden="1" x14ac:dyDescent="0.35"/>
    <row r="4784" hidden="1" x14ac:dyDescent="0.35"/>
    <row r="4785" hidden="1" x14ac:dyDescent="0.35"/>
    <row r="4786" hidden="1" x14ac:dyDescent="0.35"/>
    <row r="4787" hidden="1" x14ac:dyDescent="0.35"/>
    <row r="4788" hidden="1" x14ac:dyDescent="0.35"/>
    <row r="4789" hidden="1" x14ac:dyDescent="0.35"/>
    <row r="4790" hidden="1" x14ac:dyDescent="0.35"/>
    <row r="4791" hidden="1" x14ac:dyDescent="0.35"/>
    <row r="4792" hidden="1" x14ac:dyDescent="0.35"/>
    <row r="4793" hidden="1" x14ac:dyDescent="0.35"/>
    <row r="4794" hidden="1" x14ac:dyDescent="0.35"/>
    <row r="4795" hidden="1" x14ac:dyDescent="0.35"/>
    <row r="4796" hidden="1" x14ac:dyDescent="0.35"/>
    <row r="4797" hidden="1" x14ac:dyDescent="0.35"/>
    <row r="4798" hidden="1" x14ac:dyDescent="0.35"/>
    <row r="4799" hidden="1" x14ac:dyDescent="0.35"/>
    <row r="4800" hidden="1" x14ac:dyDescent="0.35"/>
    <row r="4801" hidden="1" x14ac:dyDescent="0.35"/>
    <row r="4802" hidden="1" x14ac:dyDescent="0.35"/>
    <row r="4803" hidden="1" x14ac:dyDescent="0.35"/>
    <row r="4804" hidden="1" x14ac:dyDescent="0.35"/>
    <row r="4805" hidden="1" x14ac:dyDescent="0.35"/>
    <row r="4806" hidden="1" x14ac:dyDescent="0.35"/>
    <row r="4807" hidden="1" x14ac:dyDescent="0.35"/>
    <row r="4808" hidden="1" x14ac:dyDescent="0.35"/>
    <row r="4809" hidden="1" x14ac:dyDescent="0.35"/>
    <row r="4810" hidden="1" x14ac:dyDescent="0.35"/>
    <row r="4811" hidden="1" x14ac:dyDescent="0.35"/>
    <row r="4812" hidden="1" x14ac:dyDescent="0.35"/>
    <row r="4813" hidden="1" x14ac:dyDescent="0.35"/>
    <row r="4814" hidden="1" x14ac:dyDescent="0.35"/>
    <row r="4815" hidden="1" x14ac:dyDescent="0.35"/>
    <row r="4816" hidden="1" x14ac:dyDescent="0.35"/>
    <row r="4817" hidden="1" x14ac:dyDescent="0.35"/>
    <row r="4818" hidden="1" x14ac:dyDescent="0.35"/>
    <row r="4819" hidden="1" x14ac:dyDescent="0.35"/>
    <row r="4820" hidden="1" x14ac:dyDescent="0.35"/>
    <row r="4821" hidden="1" x14ac:dyDescent="0.35"/>
    <row r="4822" hidden="1" x14ac:dyDescent="0.35"/>
    <row r="4823" hidden="1" x14ac:dyDescent="0.35"/>
    <row r="4824" hidden="1" x14ac:dyDescent="0.35"/>
    <row r="4825" hidden="1" x14ac:dyDescent="0.35"/>
    <row r="4826" hidden="1" x14ac:dyDescent="0.35"/>
    <row r="4827" hidden="1" x14ac:dyDescent="0.35"/>
    <row r="4828" hidden="1" x14ac:dyDescent="0.35"/>
    <row r="4829" hidden="1" x14ac:dyDescent="0.35"/>
    <row r="4830" hidden="1" x14ac:dyDescent="0.35"/>
    <row r="4831" hidden="1" x14ac:dyDescent="0.35"/>
    <row r="4832" hidden="1" x14ac:dyDescent="0.35"/>
    <row r="4833" hidden="1" x14ac:dyDescent="0.35"/>
    <row r="4834" hidden="1" x14ac:dyDescent="0.35"/>
    <row r="4835" hidden="1" x14ac:dyDescent="0.35"/>
    <row r="4836" hidden="1" x14ac:dyDescent="0.35"/>
    <row r="4837" hidden="1" x14ac:dyDescent="0.35"/>
    <row r="4838" hidden="1" x14ac:dyDescent="0.35"/>
    <row r="4839" hidden="1" x14ac:dyDescent="0.35"/>
    <row r="4840" hidden="1" x14ac:dyDescent="0.35"/>
    <row r="4841" hidden="1" x14ac:dyDescent="0.35"/>
    <row r="4842" hidden="1" x14ac:dyDescent="0.35"/>
    <row r="4843" hidden="1" x14ac:dyDescent="0.35"/>
    <row r="4844" hidden="1" x14ac:dyDescent="0.35"/>
    <row r="4845" hidden="1" x14ac:dyDescent="0.35"/>
    <row r="4846" hidden="1" x14ac:dyDescent="0.35"/>
    <row r="4847" hidden="1" x14ac:dyDescent="0.35"/>
    <row r="4848" hidden="1" x14ac:dyDescent="0.35"/>
    <row r="4849" hidden="1" x14ac:dyDescent="0.35"/>
    <row r="4850" hidden="1" x14ac:dyDescent="0.35"/>
    <row r="4851" hidden="1" x14ac:dyDescent="0.35"/>
    <row r="4852" hidden="1" x14ac:dyDescent="0.35"/>
    <row r="4853" hidden="1" x14ac:dyDescent="0.35"/>
    <row r="4854" hidden="1" x14ac:dyDescent="0.35"/>
    <row r="4855" hidden="1" x14ac:dyDescent="0.35"/>
    <row r="4856" hidden="1" x14ac:dyDescent="0.35"/>
    <row r="4857" hidden="1" x14ac:dyDescent="0.35"/>
    <row r="4858" hidden="1" x14ac:dyDescent="0.35"/>
    <row r="4859" hidden="1" x14ac:dyDescent="0.35"/>
    <row r="4860" hidden="1" x14ac:dyDescent="0.35"/>
    <row r="4861" hidden="1" x14ac:dyDescent="0.35"/>
    <row r="4862" hidden="1" x14ac:dyDescent="0.35"/>
    <row r="4863" hidden="1" x14ac:dyDescent="0.35"/>
    <row r="4864" hidden="1" x14ac:dyDescent="0.35"/>
    <row r="4865" hidden="1" x14ac:dyDescent="0.35"/>
    <row r="4866" hidden="1" x14ac:dyDescent="0.35"/>
    <row r="4867" hidden="1" x14ac:dyDescent="0.35"/>
    <row r="4868" hidden="1" x14ac:dyDescent="0.35"/>
    <row r="4869" hidden="1" x14ac:dyDescent="0.35"/>
    <row r="4870" hidden="1" x14ac:dyDescent="0.35"/>
    <row r="4871" hidden="1" x14ac:dyDescent="0.35"/>
    <row r="4872" hidden="1" x14ac:dyDescent="0.35"/>
    <row r="4873" hidden="1" x14ac:dyDescent="0.35"/>
    <row r="4874" hidden="1" x14ac:dyDescent="0.35"/>
    <row r="4875" hidden="1" x14ac:dyDescent="0.35"/>
    <row r="4876" hidden="1" x14ac:dyDescent="0.35"/>
    <row r="4877" hidden="1" x14ac:dyDescent="0.35"/>
    <row r="4878" hidden="1" x14ac:dyDescent="0.35"/>
    <row r="4879" hidden="1" x14ac:dyDescent="0.35"/>
    <row r="4880" hidden="1" x14ac:dyDescent="0.35"/>
    <row r="4881" hidden="1" x14ac:dyDescent="0.35"/>
    <row r="4882" hidden="1" x14ac:dyDescent="0.35"/>
    <row r="4883" hidden="1" x14ac:dyDescent="0.35"/>
    <row r="4884" hidden="1" x14ac:dyDescent="0.35"/>
    <row r="4885" hidden="1" x14ac:dyDescent="0.35"/>
    <row r="4886" hidden="1" x14ac:dyDescent="0.35"/>
    <row r="4887" hidden="1" x14ac:dyDescent="0.35"/>
    <row r="4888" hidden="1" x14ac:dyDescent="0.35"/>
    <row r="4889" hidden="1" x14ac:dyDescent="0.35"/>
    <row r="4890" hidden="1" x14ac:dyDescent="0.35"/>
    <row r="4891" hidden="1" x14ac:dyDescent="0.35"/>
    <row r="4892" hidden="1" x14ac:dyDescent="0.35"/>
    <row r="4893" hidden="1" x14ac:dyDescent="0.35"/>
    <row r="4894" hidden="1" x14ac:dyDescent="0.35"/>
    <row r="4895" hidden="1" x14ac:dyDescent="0.35"/>
    <row r="4896" hidden="1" x14ac:dyDescent="0.35"/>
    <row r="4897" hidden="1" x14ac:dyDescent="0.35"/>
    <row r="4898" hidden="1" x14ac:dyDescent="0.35"/>
    <row r="4899" hidden="1" x14ac:dyDescent="0.35"/>
    <row r="4900" hidden="1" x14ac:dyDescent="0.35"/>
    <row r="4901" hidden="1" x14ac:dyDescent="0.35"/>
    <row r="4902" hidden="1" x14ac:dyDescent="0.35"/>
    <row r="4903" hidden="1" x14ac:dyDescent="0.35"/>
    <row r="4904" hidden="1" x14ac:dyDescent="0.35"/>
    <row r="4905" hidden="1" x14ac:dyDescent="0.35"/>
    <row r="4906" hidden="1" x14ac:dyDescent="0.35"/>
    <row r="4907" hidden="1" x14ac:dyDescent="0.35"/>
    <row r="4908" hidden="1" x14ac:dyDescent="0.35"/>
    <row r="4909" hidden="1" x14ac:dyDescent="0.35"/>
    <row r="4910" hidden="1" x14ac:dyDescent="0.35"/>
    <row r="4911" hidden="1" x14ac:dyDescent="0.35"/>
    <row r="4912" hidden="1" x14ac:dyDescent="0.35"/>
    <row r="4913" hidden="1" x14ac:dyDescent="0.35"/>
    <row r="4914" hidden="1" x14ac:dyDescent="0.35"/>
    <row r="4915" hidden="1" x14ac:dyDescent="0.35"/>
    <row r="4916" hidden="1" x14ac:dyDescent="0.35"/>
    <row r="4917" hidden="1" x14ac:dyDescent="0.35"/>
    <row r="4918" hidden="1" x14ac:dyDescent="0.35"/>
    <row r="4919" hidden="1" x14ac:dyDescent="0.35"/>
    <row r="4920" hidden="1" x14ac:dyDescent="0.35"/>
    <row r="4921" hidden="1" x14ac:dyDescent="0.35"/>
    <row r="4922" hidden="1" x14ac:dyDescent="0.35"/>
    <row r="4923" hidden="1" x14ac:dyDescent="0.35"/>
    <row r="4924" hidden="1" x14ac:dyDescent="0.35"/>
    <row r="4925" hidden="1" x14ac:dyDescent="0.35"/>
    <row r="4926" hidden="1" x14ac:dyDescent="0.35"/>
    <row r="4927" hidden="1" x14ac:dyDescent="0.35"/>
    <row r="4928" hidden="1" x14ac:dyDescent="0.35"/>
    <row r="4929" hidden="1" x14ac:dyDescent="0.35"/>
    <row r="4930" hidden="1" x14ac:dyDescent="0.35"/>
    <row r="4931" hidden="1" x14ac:dyDescent="0.35"/>
    <row r="4932" hidden="1" x14ac:dyDescent="0.35"/>
    <row r="4933" hidden="1" x14ac:dyDescent="0.35"/>
    <row r="4934" hidden="1" x14ac:dyDescent="0.35"/>
    <row r="4935" hidden="1" x14ac:dyDescent="0.35"/>
    <row r="4936" hidden="1" x14ac:dyDescent="0.35"/>
    <row r="4937" hidden="1" x14ac:dyDescent="0.35"/>
    <row r="4938" hidden="1" x14ac:dyDescent="0.35"/>
    <row r="4939" hidden="1" x14ac:dyDescent="0.35"/>
    <row r="4940" hidden="1" x14ac:dyDescent="0.35"/>
    <row r="4941" hidden="1" x14ac:dyDescent="0.35"/>
    <row r="4942" hidden="1" x14ac:dyDescent="0.35"/>
    <row r="4943" hidden="1" x14ac:dyDescent="0.35"/>
    <row r="4944" hidden="1" x14ac:dyDescent="0.35"/>
    <row r="4945" hidden="1" x14ac:dyDescent="0.35"/>
    <row r="4946" hidden="1" x14ac:dyDescent="0.35"/>
    <row r="4947" hidden="1" x14ac:dyDescent="0.35"/>
    <row r="4948" hidden="1" x14ac:dyDescent="0.35"/>
    <row r="4949" hidden="1" x14ac:dyDescent="0.35"/>
    <row r="4950" hidden="1" x14ac:dyDescent="0.35"/>
    <row r="4951" hidden="1" x14ac:dyDescent="0.35"/>
    <row r="4952" hidden="1" x14ac:dyDescent="0.35"/>
    <row r="4953" hidden="1" x14ac:dyDescent="0.35"/>
    <row r="4954" hidden="1" x14ac:dyDescent="0.35"/>
    <row r="4955" hidden="1" x14ac:dyDescent="0.35"/>
    <row r="4956" hidden="1" x14ac:dyDescent="0.35"/>
    <row r="4957" hidden="1" x14ac:dyDescent="0.35"/>
    <row r="4958" hidden="1" x14ac:dyDescent="0.35"/>
    <row r="4959" hidden="1" x14ac:dyDescent="0.35"/>
    <row r="4960" hidden="1" x14ac:dyDescent="0.35"/>
    <row r="4961" hidden="1" x14ac:dyDescent="0.35"/>
    <row r="4962" hidden="1" x14ac:dyDescent="0.35"/>
    <row r="4963" hidden="1" x14ac:dyDescent="0.35"/>
    <row r="4964" hidden="1" x14ac:dyDescent="0.35"/>
    <row r="4965" hidden="1" x14ac:dyDescent="0.35"/>
    <row r="4966" hidden="1" x14ac:dyDescent="0.35"/>
    <row r="4967" hidden="1" x14ac:dyDescent="0.35"/>
    <row r="4968" hidden="1" x14ac:dyDescent="0.35"/>
    <row r="4969" hidden="1" x14ac:dyDescent="0.35"/>
    <row r="4970" hidden="1" x14ac:dyDescent="0.35"/>
    <row r="4971" hidden="1" x14ac:dyDescent="0.35"/>
    <row r="4972" hidden="1" x14ac:dyDescent="0.35"/>
    <row r="4973" hidden="1" x14ac:dyDescent="0.35"/>
    <row r="4974" hidden="1" x14ac:dyDescent="0.35"/>
    <row r="4975" hidden="1" x14ac:dyDescent="0.35"/>
    <row r="4976" hidden="1" x14ac:dyDescent="0.35"/>
    <row r="4977" hidden="1" x14ac:dyDescent="0.35"/>
    <row r="4978" hidden="1" x14ac:dyDescent="0.35"/>
    <row r="4979" hidden="1" x14ac:dyDescent="0.35"/>
    <row r="4980" hidden="1" x14ac:dyDescent="0.35"/>
    <row r="4981" hidden="1" x14ac:dyDescent="0.35"/>
    <row r="4982" hidden="1" x14ac:dyDescent="0.35"/>
    <row r="4983" hidden="1" x14ac:dyDescent="0.35"/>
    <row r="4984" hidden="1" x14ac:dyDescent="0.35"/>
    <row r="4985" hidden="1" x14ac:dyDescent="0.35"/>
    <row r="4986" hidden="1" x14ac:dyDescent="0.35"/>
    <row r="4987" hidden="1" x14ac:dyDescent="0.35"/>
    <row r="4988" hidden="1" x14ac:dyDescent="0.35"/>
    <row r="4989" hidden="1" x14ac:dyDescent="0.35"/>
    <row r="4990" hidden="1" x14ac:dyDescent="0.35"/>
    <row r="4991" hidden="1" x14ac:dyDescent="0.35"/>
    <row r="4992" hidden="1" x14ac:dyDescent="0.35"/>
    <row r="4993" hidden="1" x14ac:dyDescent="0.35"/>
    <row r="4994" hidden="1" x14ac:dyDescent="0.35"/>
    <row r="4995" hidden="1" x14ac:dyDescent="0.35"/>
    <row r="4996" hidden="1" x14ac:dyDescent="0.35"/>
    <row r="4997" hidden="1" x14ac:dyDescent="0.35"/>
    <row r="4998" hidden="1" x14ac:dyDescent="0.35"/>
    <row r="4999" hidden="1" x14ac:dyDescent="0.35"/>
    <row r="5000" hidden="1" x14ac:dyDescent="0.35"/>
    <row r="5001" hidden="1" x14ac:dyDescent="0.35"/>
    <row r="5002" hidden="1" x14ac:dyDescent="0.35"/>
    <row r="5003" hidden="1" x14ac:dyDescent="0.35"/>
    <row r="5004" hidden="1" x14ac:dyDescent="0.35"/>
    <row r="5005" hidden="1" x14ac:dyDescent="0.35"/>
    <row r="5006" hidden="1" x14ac:dyDescent="0.35"/>
    <row r="5007" hidden="1" x14ac:dyDescent="0.35"/>
    <row r="5008" hidden="1" x14ac:dyDescent="0.35"/>
    <row r="5009" hidden="1" x14ac:dyDescent="0.35"/>
    <row r="5010" hidden="1" x14ac:dyDescent="0.35"/>
    <row r="5011" hidden="1" x14ac:dyDescent="0.35"/>
    <row r="5012" hidden="1" x14ac:dyDescent="0.35"/>
    <row r="5013" hidden="1" x14ac:dyDescent="0.35"/>
    <row r="5014" hidden="1" x14ac:dyDescent="0.35"/>
    <row r="5015" hidden="1" x14ac:dyDescent="0.35"/>
    <row r="5016" hidden="1" x14ac:dyDescent="0.35"/>
    <row r="5017" hidden="1" x14ac:dyDescent="0.35"/>
    <row r="5018" hidden="1" x14ac:dyDescent="0.35"/>
    <row r="5019" hidden="1" x14ac:dyDescent="0.35"/>
    <row r="5020" hidden="1" x14ac:dyDescent="0.35"/>
    <row r="5021" hidden="1" x14ac:dyDescent="0.35"/>
    <row r="5022" hidden="1" x14ac:dyDescent="0.35"/>
    <row r="5023" hidden="1" x14ac:dyDescent="0.35"/>
    <row r="5024" hidden="1" x14ac:dyDescent="0.35"/>
    <row r="5025" hidden="1" x14ac:dyDescent="0.35"/>
    <row r="5026" hidden="1" x14ac:dyDescent="0.35"/>
    <row r="5027" hidden="1" x14ac:dyDescent="0.35"/>
    <row r="5028" hidden="1" x14ac:dyDescent="0.35"/>
    <row r="5029" hidden="1" x14ac:dyDescent="0.35"/>
    <row r="5030" hidden="1" x14ac:dyDescent="0.35"/>
    <row r="5031" hidden="1" x14ac:dyDescent="0.35"/>
    <row r="5032" hidden="1" x14ac:dyDescent="0.35"/>
    <row r="5033" hidden="1" x14ac:dyDescent="0.35"/>
    <row r="5034" hidden="1" x14ac:dyDescent="0.35"/>
    <row r="5035" hidden="1" x14ac:dyDescent="0.35"/>
    <row r="5036" hidden="1" x14ac:dyDescent="0.35"/>
    <row r="5037" hidden="1" x14ac:dyDescent="0.35"/>
    <row r="5038" hidden="1" x14ac:dyDescent="0.35"/>
    <row r="5039" hidden="1" x14ac:dyDescent="0.35"/>
    <row r="5040" hidden="1" x14ac:dyDescent="0.35"/>
    <row r="5041" hidden="1" x14ac:dyDescent="0.35"/>
    <row r="5042" hidden="1" x14ac:dyDescent="0.35"/>
    <row r="5043" hidden="1" x14ac:dyDescent="0.35"/>
    <row r="5044" hidden="1" x14ac:dyDescent="0.35"/>
    <row r="5045" hidden="1" x14ac:dyDescent="0.35"/>
    <row r="5046" hidden="1" x14ac:dyDescent="0.35"/>
    <row r="5047" hidden="1" x14ac:dyDescent="0.35"/>
    <row r="5048" hidden="1" x14ac:dyDescent="0.35"/>
    <row r="5049" hidden="1" x14ac:dyDescent="0.35"/>
    <row r="5050" hidden="1" x14ac:dyDescent="0.35"/>
    <row r="5051" hidden="1" x14ac:dyDescent="0.35"/>
    <row r="5052" hidden="1" x14ac:dyDescent="0.35"/>
    <row r="5053" hidden="1" x14ac:dyDescent="0.35"/>
    <row r="5054" hidden="1" x14ac:dyDescent="0.35"/>
    <row r="5055" hidden="1" x14ac:dyDescent="0.35"/>
    <row r="5056" hidden="1" x14ac:dyDescent="0.35"/>
    <row r="5057" hidden="1" x14ac:dyDescent="0.35"/>
    <row r="5058" hidden="1" x14ac:dyDescent="0.35"/>
    <row r="5059" hidden="1" x14ac:dyDescent="0.35"/>
    <row r="5060" hidden="1" x14ac:dyDescent="0.35"/>
    <row r="5061" hidden="1" x14ac:dyDescent="0.35"/>
    <row r="5062" hidden="1" x14ac:dyDescent="0.35"/>
    <row r="5063" hidden="1" x14ac:dyDescent="0.35"/>
    <row r="5064" hidden="1" x14ac:dyDescent="0.35"/>
    <row r="5065" hidden="1" x14ac:dyDescent="0.35"/>
    <row r="5066" hidden="1" x14ac:dyDescent="0.35"/>
    <row r="5067" hidden="1" x14ac:dyDescent="0.35"/>
    <row r="5068" hidden="1" x14ac:dyDescent="0.35"/>
    <row r="5069" hidden="1" x14ac:dyDescent="0.35"/>
    <row r="5070" hidden="1" x14ac:dyDescent="0.35"/>
    <row r="5071" hidden="1" x14ac:dyDescent="0.35"/>
    <row r="5072" hidden="1" x14ac:dyDescent="0.35"/>
    <row r="5073" hidden="1" x14ac:dyDescent="0.35"/>
    <row r="5074" hidden="1" x14ac:dyDescent="0.35"/>
    <row r="5075" hidden="1" x14ac:dyDescent="0.35"/>
    <row r="5076" hidden="1" x14ac:dyDescent="0.35"/>
    <row r="5077" hidden="1" x14ac:dyDescent="0.35"/>
    <row r="5078" hidden="1" x14ac:dyDescent="0.35"/>
    <row r="5079" hidden="1" x14ac:dyDescent="0.35"/>
    <row r="5080" hidden="1" x14ac:dyDescent="0.35"/>
    <row r="5081" hidden="1" x14ac:dyDescent="0.35"/>
    <row r="5082" hidden="1" x14ac:dyDescent="0.35"/>
    <row r="5083" hidden="1" x14ac:dyDescent="0.35"/>
    <row r="5084" hidden="1" x14ac:dyDescent="0.35"/>
    <row r="5085" hidden="1" x14ac:dyDescent="0.35"/>
    <row r="5086" hidden="1" x14ac:dyDescent="0.35"/>
    <row r="5087" hidden="1" x14ac:dyDescent="0.35"/>
    <row r="5088" hidden="1" x14ac:dyDescent="0.35"/>
    <row r="5089" hidden="1" x14ac:dyDescent="0.35"/>
    <row r="5090" hidden="1" x14ac:dyDescent="0.35"/>
    <row r="5091" hidden="1" x14ac:dyDescent="0.35"/>
    <row r="5092" hidden="1" x14ac:dyDescent="0.35"/>
    <row r="5093" hidden="1" x14ac:dyDescent="0.35"/>
    <row r="5094" hidden="1" x14ac:dyDescent="0.35"/>
    <row r="5095" hidden="1" x14ac:dyDescent="0.35"/>
    <row r="5096" hidden="1" x14ac:dyDescent="0.35"/>
    <row r="5097" hidden="1" x14ac:dyDescent="0.35"/>
    <row r="5098" hidden="1" x14ac:dyDescent="0.35"/>
    <row r="5099" hidden="1" x14ac:dyDescent="0.35"/>
    <row r="5100" hidden="1" x14ac:dyDescent="0.35"/>
    <row r="5101" hidden="1" x14ac:dyDescent="0.35"/>
    <row r="5102" hidden="1" x14ac:dyDescent="0.35"/>
    <row r="5103" hidden="1" x14ac:dyDescent="0.35"/>
    <row r="5104" hidden="1" x14ac:dyDescent="0.35"/>
    <row r="5105" hidden="1" x14ac:dyDescent="0.35"/>
    <row r="5106" hidden="1" x14ac:dyDescent="0.35"/>
    <row r="5107" hidden="1" x14ac:dyDescent="0.35"/>
    <row r="5108" hidden="1" x14ac:dyDescent="0.35"/>
    <row r="5109" hidden="1" x14ac:dyDescent="0.35"/>
    <row r="5110" hidden="1" x14ac:dyDescent="0.35"/>
    <row r="5111" hidden="1" x14ac:dyDescent="0.35"/>
    <row r="5112" hidden="1" x14ac:dyDescent="0.35"/>
    <row r="5113" hidden="1" x14ac:dyDescent="0.35"/>
    <row r="5114" hidden="1" x14ac:dyDescent="0.35"/>
    <row r="5115" hidden="1" x14ac:dyDescent="0.35"/>
    <row r="5116" hidden="1" x14ac:dyDescent="0.35"/>
    <row r="5117" hidden="1" x14ac:dyDescent="0.35"/>
    <row r="5118" hidden="1" x14ac:dyDescent="0.35"/>
    <row r="5119" hidden="1" x14ac:dyDescent="0.35"/>
    <row r="5120" hidden="1" x14ac:dyDescent="0.35"/>
    <row r="5121" hidden="1" x14ac:dyDescent="0.35"/>
    <row r="5122" hidden="1" x14ac:dyDescent="0.35"/>
    <row r="5123" hidden="1" x14ac:dyDescent="0.35"/>
    <row r="5124" hidden="1" x14ac:dyDescent="0.35"/>
    <row r="5125" hidden="1" x14ac:dyDescent="0.35"/>
    <row r="5126" hidden="1" x14ac:dyDescent="0.35"/>
    <row r="5127" hidden="1" x14ac:dyDescent="0.35"/>
    <row r="5128" hidden="1" x14ac:dyDescent="0.35"/>
    <row r="5129" hidden="1" x14ac:dyDescent="0.35"/>
    <row r="5130" hidden="1" x14ac:dyDescent="0.35"/>
    <row r="5131" hidden="1" x14ac:dyDescent="0.35"/>
    <row r="5132" hidden="1" x14ac:dyDescent="0.35"/>
    <row r="5133" hidden="1" x14ac:dyDescent="0.35"/>
    <row r="5134" hidden="1" x14ac:dyDescent="0.35"/>
    <row r="5135" hidden="1" x14ac:dyDescent="0.35"/>
    <row r="5136" hidden="1" x14ac:dyDescent="0.35"/>
    <row r="5137" hidden="1" x14ac:dyDescent="0.35"/>
    <row r="5138" hidden="1" x14ac:dyDescent="0.35"/>
    <row r="5139" hidden="1" x14ac:dyDescent="0.35"/>
    <row r="5140" hidden="1" x14ac:dyDescent="0.35"/>
    <row r="5141" hidden="1" x14ac:dyDescent="0.35"/>
    <row r="5142" hidden="1" x14ac:dyDescent="0.35"/>
    <row r="5143" hidden="1" x14ac:dyDescent="0.35"/>
    <row r="5144" hidden="1" x14ac:dyDescent="0.35"/>
    <row r="5145" hidden="1" x14ac:dyDescent="0.35"/>
    <row r="5146" hidden="1" x14ac:dyDescent="0.35"/>
    <row r="5147" hidden="1" x14ac:dyDescent="0.35"/>
    <row r="5148" hidden="1" x14ac:dyDescent="0.35"/>
    <row r="5149" hidden="1" x14ac:dyDescent="0.35"/>
    <row r="5150" hidden="1" x14ac:dyDescent="0.35"/>
    <row r="5151" hidden="1" x14ac:dyDescent="0.35"/>
    <row r="5152" hidden="1" x14ac:dyDescent="0.35"/>
    <row r="5153" hidden="1" x14ac:dyDescent="0.35"/>
    <row r="5154" hidden="1" x14ac:dyDescent="0.35"/>
    <row r="5155" hidden="1" x14ac:dyDescent="0.35"/>
    <row r="5156" hidden="1" x14ac:dyDescent="0.35"/>
    <row r="5157" hidden="1" x14ac:dyDescent="0.35"/>
    <row r="5158" hidden="1" x14ac:dyDescent="0.35"/>
    <row r="5159" hidden="1" x14ac:dyDescent="0.35"/>
    <row r="5160" hidden="1" x14ac:dyDescent="0.35"/>
    <row r="5161" hidden="1" x14ac:dyDescent="0.35"/>
    <row r="5162" hidden="1" x14ac:dyDescent="0.35"/>
    <row r="5163" hidden="1" x14ac:dyDescent="0.35"/>
    <row r="5164" hidden="1" x14ac:dyDescent="0.35"/>
    <row r="5165" hidden="1" x14ac:dyDescent="0.35"/>
    <row r="5166" hidden="1" x14ac:dyDescent="0.35"/>
    <row r="5167" hidden="1" x14ac:dyDescent="0.35"/>
    <row r="5168" hidden="1" x14ac:dyDescent="0.35"/>
    <row r="5169" hidden="1" x14ac:dyDescent="0.35"/>
    <row r="5170" hidden="1" x14ac:dyDescent="0.35"/>
    <row r="5171" hidden="1" x14ac:dyDescent="0.35"/>
    <row r="5172" hidden="1" x14ac:dyDescent="0.35"/>
    <row r="5173" hidden="1" x14ac:dyDescent="0.35"/>
    <row r="5174" hidden="1" x14ac:dyDescent="0.35"/>
    <row r="5175" hidden="1" x14ac:dyDescent="0.35"/>
    <row r="5176" hidden="1" x14ac:dyDescent="0.35"/>
    <row r="5177" hidden="1" x14ac:dyDescent="0.35"/>
    <row r="5178" hidden="1" x14ac:dyDescent="0.35"/>
    <row r="5179" hidden="1" x14ac:dyDescent="0.35"/>
    <row r="5180" hidden="1" x14ac:dyDescent="0.35"/>
    <row r="5181" hidden="1" x14ac:dyDescent="0.35"/>
    <row r="5182" hidden="1" x14ac:dyDescent="0.35"/>
    <row r="5183" hidden="1" x14ac:dyDescent="0.35"/>
    <row r="5184" hidden="1" x14ac:dyDescent="0.35"/>
    <row r="5185" hidden="1" x14ac:dyDescent="0.35"/>
    <row r="5186" hidden="1" x14ac:dyDescent="0.35"/>
    <row r="5187" hidden="1" x14ac:dyDescent="0.35"/>
    <row r="5188" hidden="1" x14ac:dyDescent="0.35"/>
    <row r="5189" hidden="1" x14ac:dyDescent="0.35"/>
    <row r="5190" hidden="1" x14ac:dyDescent="0.35"/>
    <row r="5191" hidden="1" x14ac:dyDescent="0.35"/>
    <row r="5192" hidden="1" x14ac:dyDescent="0.35"/>
    <row r="5193" hidden="1" x14ac:dyDescent="0.35"/>
    <row r="5194" hidden="1" x14ac:dyDescent="0.35"/>
    <row r="5195" hidden="1" x14ac:dyDescent="0.35"/>
    <row r="5196" hidden="1" x14ac:dyDescent="0.35"/>
    <row r="5197" hidden="1" x14ac:dyDescent="0.35"/>
    <row r="5198" hidden="1" x14ac:dyDescent="0.35"/>
    <row r="5199" hidden="1" x14ac:dyDescent="0.35"/>
    <row r="5200" hidden="1" x14ac:dyDescent="0.35"/>
    <row r="5201" hidden="1" x14ac:dyDescent="0.35"/>
    <row r="5202" hidden="1" x14ac:dyDescent="0.35"/>
    <row r="5203" hidden="1" x14ac:dyDescent="0.35"/>
    <row r="5204" hidden="1" x14ac:dyDescent="0.35"/>
    <row r="5205" hidden="1" x14ac:dyDescent="0.35"/>
    <row r="5206" hidden="1" x14ac:dyDescent="0.35"/>
    <row r="5207" hidden="1" x14ac:dyDescent="0.35"/>
    <row r="5208" hidden="1" x14ac:dyDescent="0.35"/>
    <row r="5209" hidden="1" x14ac:dyDescent="0.35"/>
    <row r="5210" hidden="1" x14ac:dyDescent="0.35"/>
    <row r="5211" hidden="1" x14ac:dyDescent="0.35"/>
    <row r="5212" hidden="1" x14ac:dyDescent="0.35"/>
    <row r="5213" hidden="1" x14ac:dyDescent="0.35"/>
    <row r="5214" hidden="1" x14ac:dyDescent="0.35"/>
    <row r="5215" hidden="1" x14ac:dyDescent="0.35"/>
    <row r="5216" hidden="1" x14ac:dyDescent="0.35"/>
    <row r="5217" hidden="1" x14ac:dyDescent="0.35"/>
    <row r="5218" hidden="1" x14ac:dyDescent="0.35"/>
    <row r="5219" hidden="1" x14ac:dyDescent="0.35"/>
    <row r="5220" hidden="1" x14ac:dyDescent="0.35"/>
    <row r="5221" hidden="1" x14ac:dyDescent="0.35"/>
    <row r="5222" hidden="1" x14ac:dyDescent="0.35"/>
    <row r="5223" hidden="1" x14ac:dyDescent="0.35"/>
    <row r="5224" hidden="1" x14ac:dyDescent="0.35"/>
    <row r="5225" hidden="1" x14ac:dyDescent="0.35"/>
    <row r="5226" hidden="1" x14ac:dyDescent="0.35"/>
    <row r="5227" hidden="1" x14ac:dyDescent="0.35"/>
    <row r="5228" hidden="1" x14ac:dyDescent="0.35"/>
    <row r="5229" hidden="1" x14ac:dyDescent="0.35"/>
    <row r="5230" hidden="1" x14ac:dyDescent="0.35"/>
    <row r="5231" hidden="1" x14ac:dyDescent="0.35"/>
    <row r="5232" hidden="1" x14ac:dyDescent="0.35"/>
    <row r="5233" hidden="1" x14ac:dyDescent="0.35"/>
    <row r="5234" hidden="1" x14ac:dyDescent="0.35"/>
    <row r="5235" hidden="1" x14ac:dyDescent="0.35"/>
    <row r="5236" hidden="1" x14ac:dyDescent="0.35"/>
    <row r="5237" hidden="1" x14ac:dyDescent="0.35"/>
    <row r="5238" hidden="1" x14ac:dyDescent="0.35"/>
    <row r="5239" hidden="1" x14ac:dyDescent="0.35"/>
    <row r="5240" hidden="1" x14ac:dyDescent="0.35"/>
    <row r="5241" hidden="1" x14ac:dyDescent="0.35"/>
    <row r="5242" hidden="1" x14ac:dyDescent="0.35"/>
    <row r="5243" hidden="1" x14ac:dyDescent="0.35"/>
    <row r="5244" hidden="1" x14ac:dyDescent="0.35"/>
    <row r="5245" hidden="1" x14ac:dyDescent="0.35"/>
    <row r="5246" hidden="1" x14ac:dyDescent="0.35"/>
    <row r="5247" hidden="1" x14ac:dyDescent="0.35"/>
    <row r="5248" hidden="1" x14ac:dyDescent="0.35"/>
    <row r="5249" hidden="1" x14ac:dyDescent="0.35"/>
    <row r="5250" hidden="1" x14ac:dyDescent="0.35"/>
    <row r="5251" hidden="1" x14ac:dyDescent="0.35"/>
    <row r="5252" hidden="1" x14ac:dyDescent="0.35"/>
    <row r="5253" hidden="1" x14ac:dyDescent="0.35"/>
    <row r="5254" hidden="1" x14ac:dyDescent="0.35"/>
    <row r="5255" hidden="1" x14ac:dyDescent="0.35"/>
    <row r="5256" hidden="1" x14ac:dyDescent="0.35"/>
    <row r="5257" hidden="1" x14ac:dyDescent="0.35"/>
    <row r="5258" hidden="1" x14ac:dyDescent="0.35"/>
    <row r="5259" hidden="1" x14ac:dyDescent="0.35"/>
    <row r="5260" hidden="1" x14ac:dyDescent="0.35"/>
    <row r="5261" hidden="1" x14ac:dyDescent="0.35"/>
    <row r="5262" hidden="1" x14ac:dyDescent="0.35"/>
    <row r="5263" hidden="1" x14ac:dyDescent="0.35"/>
    <row r="5264" hidden="1" x14ac:dyDescent="0.35"/>
    <row r="5265" hidden="1" x14ac:dyDescent="0.35"/>
    <row r="5266" hidden="1" x14ac:dyDescent="0.35"/>
    <row r="5267" hidden="1" x14ac:dyDescent="0.35"/>
    <row r="5268" hidden="1" x14ac:dyDescent="0.35"/>
    <row r="5269" hidden="1" x14ac:dyDescent="0.35"/>
    <row r="5270" hidden="1" x14ac:dyDescent="0.35"/>
    <row r="5271" hidden="1" x14ac:dyDescent="0.35"/>
    <row r="5272" hidden="1" x14ac:dyDescent="0.35"/>
    <row r="5273" hidden="1" x14ac:dyDescent="0.35"/>
    <row r="5274" hidden="1" x14ac:dyDescent="0.35"/>
    <row r="5275" hidden="1" x14ac:dyDescent="0.35"/>
    <row r="5276" hidden="1" x14ac:dyDescent="0.35"/>
    <row r="5277" hidden="1" x14ac:dyDescent="0.35"/>
    <row r="5278" hidden="1" x14ac:dyDescent="0.35"/>
    <row r="5279" hidden="1" x14ac:dyDescent="0.35"/>
    <row r="5280" hidden="1" x14ac:dyDescent="0.35"/>
    <row r="5281" hidden="1" x14ac:dyDescent="0.35"/>
    <row r="5282" hidden="1" x14ac:dyDescent="0.35"/>
    <row r="5283" hidden="1" x14ac:dyDescent="0.35"/>
    <row r="5284" hidden="1" x14ac:dyDescent="0.35"/>
    <row r="5285" hidden="1" x14ac:dyDescent="0.35"/>
    <row r="5286" hidden="1" x14ac:dyDescent="0.35"/>
    <row r="5287" hidden="1" x14ac:dyDescent="0.35"/>
    <row r="5288" hidden="1" x14ac:dyDescent="0.35"/>
    <row r="5289" hidden="1" x14ac:dyDescent="0.35"/>
    <row r="5290" hidden="1" x14ac:dyDescent="0.35"/>
    <row r="5291" hidden="1" x14ac:dyDescent="0.35"/>
    <row r="5292" hidden="1" x14ac:dyDescent="0.35"/>
    <row r="5293" hidden="1" x14ac:dyDescent="0.35"/>
    <row r="5294" hidden="1" x14ac:dyDescent="0.35"/>
    <row r="5295" hidden="1" x14ac:dyDescent="0.35"/>
    <row r="5296" hidden="1" x14ac:dyDescent="0.35"/>
    <row r="5297" hidden="1" x14ac:dyDescent="0.35"/>
    <row r="5298" hidden="1" x14ac:dyDescent="0.35"/>
    <row r="5299" hidden="1" x14ac:dyDescent="0.35"/>
    <row r="5300" hidden="1" x14ac:dyDescent="0.35"/>
    <row r="5301" hidden="1" x14ac:dyDescent="0.35"/>
    <row r="5302" hidden="1" x14ac:dyDescent="0.35"/>
    <row r="5303" hidden="1" x14ac:dyDescent="0.35"/>
    <row r="5304" hidden="1" x14ac:dyDescent="0.35"/>
    <row r="5305" hidden="1" x14ac:dyDescent="0.35"/>
    <row r="5306" hidden="1" x14ac:dyDescent="0.35"/>
    <row r="5307" hidden="1" x14ac:dyDescent="0.35"/>
    <row r="5308" hidden="1" x14ac:dyDescent="0.35"/>
    <row r="5309" hidden="1" x14ac:dyDescent="0.35"/>
    <row r="5310" hidden="1" x14ac:dyDescent="0.35"/>
    <row r="5311" hidden="1" x14ac:dyDescent="0.35"/>
    <row r="5312" hidden="1" x14ac:dyDescent="0.35"/>
    <row r="5313" hidden="1" x14ac:dyDescent="0.35"/>
    <row r="5314" hidden="1" x14ac:dyDescent="0.35"/>
    <row r="5315" hidden="1" x14ac:dyDescent="0.35"/>
    <row r="5316" hidden="1" x14ac:dyDescent="0.35"/>
    <row r="5317" hidden="1" x14ac:dyDescent="0.35"/>
    <row r="5318" hidden="1" x14ac:dyDescent="0.35"/>
    <row r="5319" hidden="1" x14ac:dyDescent="0.35"/>
    <row r="5320" hidden="1" x14ac:dyDescent="0.35"/>
    <row r="5321" hidden="1" x14ac:dyDescent="0.35"/>
    <row r="5322" hidden="1" x14ac:dyDescent="0.35"/>
    <row r="5323" hidden="1" x14ac:dyDescent="0.35"/>
    <row r="5324" hidden="1" x14ac:dyDescent="0.35"/>
    <row r="5325" hidden="1" x14ac:dyDescent="0.35"/>
    <row r="5326" hidden="1" x14ac:dyDescent="0.35"/>
    <row r="5327" hidden="1" x14ac:dyDescent="0.35"/>
    <row r="5328" hidden="1" x14ac:dyDescent="0.35"/>
    <row r="5329" hidden="1" x14ac:dyDescent="0.35"/>
    <row r="5330" hidden="1" x14ac:dyDescent="0.35"/>
    <row r="5331" hidden="1" x14ac:dyDescent="0.35"/>
    <row r="5332" hidden="1" x14ac:dyDescent="0.35"/>
    <row r="5333" hidden="1" x14ac:dyDescent="0.35"/>
    <row r="5334" hidden="1" x14ac:dyDescent="0.35"/>
    <row r="5335" hidden="1" x14ac:dyDescent="0.35"/>
    <row r="5336" hidden="1" x14ac:dyDescent="0.35"/>
    <row r="5337" hidden="1" x14ac:dyDescent="0.35"/>
    <row r="5338" hidden="1" x14ac:dyDescent="0.35"/>
    <row r="5339" hidden="1" x14ac:dyDescent="0.35"/>
    <row r="5340" hidden="1" x14ac:dyDescent="0.35"/>
    <row r="5341" hidden="1" x14ac:dyDescent="0.35"/>
    <row r="5342" hidden="1" x14ac:dyDescent="0.35"/>
    <row r="5343" hidden="1" x14ac:dyDescent="0.35"/>
    <row r="5344" hidden="1" x14ac:dyDescent="0.35"/>
    <row r="5345" hidden="1" x14ac:dyDescent="0.35"/>
    <row r="5346" hidden="1" x14ac:dyDescent="0.35"/>
    <row r="5347" hidden="1" x14ac:dyDescent="0.35"/>
    <row r="5348" hidden="1" x14ac:dyDescent="0.35"/>
    <row r="5349" hidden="1" x14ac:dyDescent="0.35"/>
    <row r="5350" hidden="1" x14ac:dyDescent="0.35"/>
    <row r="5351" hidden="1" x14ac:dyDescent="0.35"/>
    <row r="5352" hidden="1" x14ac:dyDescent="0.35"/>
    <row r="5353" hidden="1" x14ac:dyDescent="0.35"/>
    <row r="5354" hidden="1" x14ac:dyDescent="0.35"/>
    <row r="5355" hidden="1" x14ac:dyDescent="0.35"/>
    <row r="5356" hidden="1" x14ac:dyDescent="0.35"/>
    <row r="5357" hidden="1" x14ac:dyDescent="0.35"/>
    <row r="5358" hidden="1" x14ac:dyDescent="0.35"/>
    <row r="5359" hidden="1" x14ac:dyDescent="0.35"/>
    <row r="5360" hidden="1" x14ac:dyDescent="0.35"/>
    <row r="5361" hidden="1" x14ac:dyDescent="0.35"/>
    <row r="5362" hidden="1" x14ac:dyDescent="0.35"/>
    <row r="5363" hidden="1" x14ac:dyDescent="0.35"/>
    <row r="5364" hidden="1" x14ac:dyDescent="0.35"/>
    <row r="5365" hidden="1" x14ac:dyDescent="0.35"/>
    <row r="5366" hidden="1" x14ac:dyDescent="0.35"/>
    <row r="5367" hidden="1" x14ac:dyDescent="0.35"/>
    <row r="5368" hidden="1" x14ac:dyDescent="0.35"/>
    <row r="5369" hidden="1" x14ac:dyDescent="0.35"/>
    <row r="5370" hidden="1" x14ac:dyDescent="0.35"/>
    <row r="5371" hidden="1" x14ac:dyDescent="0.35"/>
    <row r="5372" hidden="1" x14ac:dyDescent="0.35"/>
    <row r="5373" hidden="1" x14ac:dyDescent="0.35"/>
    <row r="5374" hidden="1" x14ac:dyDescent="0.35"/>
    <row r="5375" hidden="1" x14ac:dyDescent="0.35"/>
    <row r="5376" hidden="1" x14ac:dyDescent="0.35"/>
    <row r="5377" hidden="1" x14ac:dyDescent="0.35"/>
    <row r="5378" hidden="1" x14ac:dyDescent="0.35"/>
    <row r="5379" hidden="1" x14ac:dyDescent="0.35"/>
    <row r="5380" hidden="1" x14ac:dyDescent="0.35"/>
    <row r="5381" hidden="1" x14ac:dyDescent="0.35"/>
    <row r="5382" hidden="1" x14ac:dyDescent="0.35"/>
    <row r="5383" hidden="1" x14ac:dyDescent="0.35"/>
    <row r="5384" hidden="1" x14ac:dyDescent="0.35"/>
    <row r="5385" hidden="1" x14ac:dyDescent="0.35"/>
    <row r="5386" hidden="1" x14ac:dyDescent="0.35"/>
    <row r="5387" hidden="1" x14ac:dyDescent="0.35"/>
    <row r="5388" hidden="1" x14ac:dyDescent="0.35"/>
    <row r="5389" hidden="1" x14ac:dyDescent="0.35"/>
    <row r="5390" hidden="1" x14ac:dyDescent="0.35"/>
    <row r="5391" hidden="1" x14ac:dyDescent="0.35"/>
    <row r="5392" hidden="1" x14ac:dyDescent="0.35"/>
    <row r="5393" hidden="1" x14ac:dyDescent="0.35"/>
    <row r="5394" hidden="1" x14ac:dyDescent="0.35"/>
    <row r="5395" hidden="1" x14ac:dyDescent="0.35"/>
    <row r="5396" hidden="1" x14ac:dyDescent="0.35"/>
    <row r="5397" hidden="1" x14ac:dyDescent="0.35"/>
    <row r="5398" hidden="1" x14ac:dyDescent="0.35"/>
    <row r="5399" hidden="1" x14ac:dyDescent="0.35"/>
    <row r="5400" hidden="1" x14ac:dyDescent="0.35"/>
    <row r="5401" hidden="1" x14ac:dyDescent="0.35"/>
    <row r="5402" hidden="1" x14ac:dyDescent="0.35"/>
    <row r="5403" hidden="1" x14ac:dyDescent="0.35"/>
    <row r="5404" hidden="1" x14ac:dyDescent="0.35"/>
    <row r="5405" hidden="1" x14ac:dyDescent="0.35"/>
    <row r="5406" hidden="1" x14ac:dyDescent="0.35"/>
    <row r="5407" hidden="1" x14ac:dyDescent="0.35"/>
    <row r="5408" hidden="1" x14ac:dyDescent="0.35"/>
    <row r="5409" hidden="1" x14ac:dyDescent="0.35"/>
    <row r="5410" hidden="1" x14ac:dyDescent="0.35"/>
    <row r="5411" hidden="1" x14ac:dyDescent="0.35"/>
    <row r="5412" hidden="1" x14ac:dyDescent="0.35"/>
    <row r="5413" hidden="1" x14ac:dyDescent="0.35"/>
    <row r="5414" hidden="1" x14ac:dyDescent="0.35"/>
    <row r="5415" hidden="1" x14ac:dyDescent="0.35"/>
    <row r="5416" hidden="1" x14ac:dyDescent="0.35"/>
    <row r="5417" hidden="1" x14ac:dyDescent="0.35"/>
    <row r="5418" hidden="1" x14ac:dyDescent="0.35"/>
    <row r="5419" hidden="1" x14ac:dyDescent="0.35"/>
    <row r="5420" hidden="1" x14ac:dyDescent="0.35"/>
    <row r="5421" hidden="1" x14ac:dyDescent="0.35"/>
    <row r="5422" hidden="1" x14ac:dyDescent="0.35"/>
    <row r="5423" hidden="1" x14ac:dyDescent="0.35"/>
    <row r="5424" hidden="1" x14ac:dyDescent="0.35"/>
    <row r="5425" hidden="1" x14ac:dyDescent="0.35"/>
    <row r="5426" hidden="1" x14ac:dyDescent="0.35"/>
    <row r="5427" hidden="1" x14ac:dyDescent="0.35"/>
    <row r="5428" hidden="1" x14ac:dyDescent="0.35"/>
    <row r="5429" hidden="1" x14ac:dyDescent="0.35"/>
    <row r="5430" hidden="1" x14ac:dyDescent="0.35"/>
    <row r="5431" hidden="1" x14ac:dyDescent="0.35"/>
    <row r="5432" hidden="1" x14ac:dyDescent="0.35"/>
    <row r="5433" hidden="1" x14ac:dyDescent="0.35"/>
    <row r="5434" hidden="1" x14ac:dyDescent="0.35"/>
    <row r="5435" hidden="1" x14ac:dyDescent="0.35"/>
    <row r="5436" hidden="1" x14ac:dyDescent="0.35"/>
    <row r="5437" hidden="1" x14ac:dyDescent="0.35"/>
    <row r="5438" hidden="1" x14ac:dyDescent="0.35"/>
    <row r="5439" hidden="1" x14ac:dyDescent="0.35"/>
    <row r="5440" hidden="1" x14ac:dyDescent="0.35"/>
    <row r="5441" hidden="1" x14ac:dyDescent="0.35"/>
    <row r="5442" hidden="1" x14ac:dyDescent="0.35"/>
    <row r="5443" hidden="1" x14ac:dyDescent="0.35"/>
    <row r="5444" hidden="1" x14ac:dyDescent="0.35"/>
    <row r="5445" hidden="1" x14ac:dyDescent="0.35"/>
    <row r="5446" hidden="1" x14ac:dyDescent="0.35"/>
    <row r="5447" hidden="1" x14ac:dyDescent="0.35"/>
    <row r="5448" hidden="1" x14ac:dyDescent="0.35"/>
    <row r="5449" hidden="1" x14ac:dyDescent="0.35"/>
    <row r="5450" hidden="1" x14ac:dyDescent="0.35"/>
    <row r="5451" hidden="1" x14ac:dyDescent="0.35"/>
    <row r="5452" hidden="1" x14ac:dyDescent="0.35"/>
    <row r="5453" hidden="1" x14ac:dyDescent="0.35"/>
    <row r="5454" hidden="1" x14ac:dyDescent="0.35"/>
    <row r="5455" hidden="1" x14ac:dyDescent="0.35"/>
    <row r="5456" hidden="1" x14ac:dyDescent="0.35"/>
    <row r="5457" hidden="1" x14ac:dyDescent="0.35"/>
    <row r="5458" hidden="1" x14ac:dyDescent="0.35"/>
    <row r="5459" hidden="1" x14ac:dyDescent="0.35"/>
    <row r="5460" hidden="1" x14ac:dyDescent="0.35"/>
    <row r="5461" hidden="1" x14ac:dyDescent="0.35"/>
    <row r="5462" hidden="1" x14ac:dyDescent="0.35"/>
    <row r="5463" hidden="1" x14ac:dyDescent="0.35"/>
    <row r="5464" hidden="1" x14ac:dyDescent="0.35"/>
    <row r="5465" hidden="1" x14ac:dyDescent="0.35"/>
    <row r="5466" hidden="1" x14ac:dyDescent="0.35"/>
    <row r="5467" hidden="1" x14ac:dyDescent="0.35"/>
    <row r="5468" hidden="1" x14ac:dyDescent="0.35"/>
    <row r="5469" hidden="1" x14ac:dyDescent="0.35"/>
    <row r="5470" hidden="1" x14ac:dyDescent="0.35"/>
    <row r="5471" hidden="1" x14ac:dyDescent="0.35"/>
    <row r="5472" hidden="1" x14ac:dyDescent="0.35"/>
    <row r="5473" hidden="1" x14ac:dyDescent="0.35"/>
    <row r="5474" hidden="1" x14ac:dyDescent="0.35"/>
    <row r="5475" hidden="1" x14ac:dyDescent="0.35"/>
    <row r="5476" hidden="1" x14ac:dyDescent="0.35"/>
    <row r="5477" hidden="1" x14ac:dyDescent="0.35"/>
    <row r="5478" hidden="1" x14ac:dyDescent="0.35"/>
    <row r="5479" hidden="1" x14ac:dyDescent="0.35"/>
    <row r="5480" hidden="1" x14ac:dyDescent="0.35"/>
    <row r="5481" hidden="1" x14ac:dyDescent="0.35"/>
    <row r="5482" hidden="1" x14ac:dyDescent="0.35"/>
    <row r="5483" hidden="1" x14ac:dyDescent="0.35"/>
    <row r="5484" hidden="1" x14ac:dyDescent="0.35"/>
    <row r="5485" hidden="1" x14ac:dyDescent="0.35"/>
    <row r="5486" hidden="1" x14ac:dyDescent="0.35"/>
    <row r="5487" hidden="1" x14ac:dyDescent="0.35"/>
    <row r="5488" hidden="1" x14ac:dyDescent="0.35"/>
    <row r="5489" hidden="1" x14ac:dyDescent="0.35"/>
    <row r="5490" hidden="1" x14ac:dyDescent="0.35"/>
    <row r="5491" hidden="1" x14ac:dyDescent="0.35"/>
    <row r="5492" hidden="1" x14ac:dyDescent="0.35"/>
    <row r="5493" hidden="1" x14ac:dyDescent="0.35"/>
    <row r="5494" hidden="1" x14ac:dyDescent="0.35"/>
    <row r="5495" hidden="1" x14ac:dyDescent="0.35"/>
    <row r="5496" hidden="1" x14ac:dyDescent="0.35"/>
    <row r="5497" hidden="1" x14ac:dyDescent="0.35"/>
    <row r="5498" hidden="1" x14ac:dyDescent="0.35"/>
    <row r="5499" hidden="1" x14ac:dyDescent="0.35"/>
    <row r="5500" hidden="1" x14ac:dyDescent="0.35"/>
    <row r="5501" hidden="1" x14ac:dyDescent="0.35"/>
    <row r="5502" hidden="1" x14ac:dyDescent="0.35"/>
    <row r="5503" hidden="1" x14ac:dyDescent="0.35"/>
    <row r="5504" hidden="1" x14ac:dyDescent="0.35"/>
    <row r="5505" hidden="1" x14ac:dyDescent="0.35"/>
    <row r="5506" hidden="1" x14ac:dyDescent="0.35"/>
    <row r="5507" hidden="1" x14ac:dyDescent="0.35"/>
    <row r="5508" hidden="1" x14ac:dyDescent="0.35"/>
    <row r="5509" hidden="1" x14ac:dyDescent="0.35"/>
    <row r="5510" hidden="1" x14ac:dyDescent="0.35"/>
    <row r="5511" hidden="1" x14ac:dyDescent="0.35"/>
    <row r="5512" hidden="1" x14ac:dyDescent="0.35"/>
    <row r="5513" hidden="1" x14ac:dyDescent="0.35"/>
    <row r="5514" hidden="1" x14ac:dyDescent="0.35"/>
    <row r="5515" hidden="1" x14ac:dyDescent="0.35"/>
    <row r="5516" hidden="1" x14ac:dyDescent="0.35"/>
    <row r="5517" hidden="1" x14ac:dyDescent="0.35"/>
    <row r="5518" hidden="1" x14ac:dyDescent="0.35"/>
    <row r="5519" hidden="1" x14ac:dyDescent="0.35"/>
    <row r="5520" hidden="1" x14ac:dyDescent="0.35"/>
    <row r="5521" hidden="1" x14ac:dyDescent="0.35"/>
    <row r="5522" hidden="1" x14ac:dyDescent="0.35"/>
    <row r="5523" hidden="1" x14ac:dyDescent="0.35"/>
    <row r="5524" hidden="1" x14ac:dyDescent="0.35"/>
    <row r="5525" hidden="1" x14ac:dyDescent="0.35"/>
    <row r="5526" hidden="1" x14ac:dyDescent="0.35"/>
    <row r="5527" hidden="1" x14ac:dyDescent="0.35"/>
    <row r="5528" hidden="1" x14ac:dyDescent="0.35"/>
    <row r="5529" hidden="1" x14ac:dyDescent="0.35"/>
    <row r="5530" hidden="1" x14ac:dyDescent="0.35"/>
    <row r="5531" hidden="1" x14ac:dyDescent="0.35"/>
    <row r="5532" hidden="1" x14ac:dyDescent="0.35"/>
    <row r="5533" hidden="1" x14ac:dyDescent="0.35"/>
    <row r="5534" hidden="1" x14ac:dyDescent="0.35"/>
    <row r="5535" hidden="1" x14ac:dyDescent="0.35"/>
    <row r="5536" hidden="1" x14ac:dyDescent="0.35"/>
    <row r="5537" hidden="1" x14ac:dyDescent="0.35"/>
    <row r="5538" hidden="1" x14ac:dyDescent="0.35"/>
    <row r="5539" hidden="1" x14ac:dyDescent="0.35"/>
    <row r="5540" hidden="1" x14ac:dyDescent="0.35"/>
    <row r="5541" hidden="1" x14ac:dyDescent="0.35"/>
    <row r="5542" hidden="1" x14ac:dyDescent="0.35"/>
    <row r="5543" hidden="1" x14ac:dyDescent="0.35"/>
    <row r="5544" hidden="1" x14ac:dyDescent="0.35"/>
    <row r="5545" hidden="1" x14ac:dyDescent="0.35"/>
    <row r="5546" hidden="1" x14ac:dyDescent="0.35"/>
    <row r="5547" hidden="1" x14ac:dyDescent="0.35"/>
    <row r="5548" hidden="1" x14ac:dyDescent="0.35"/>
    <row r="5549" hidden="1" x14ac:dyDescent="0.35"/>
    <row r="5550" hidden="1" x14ac:dyDescent="0.35"/>
    <row r="5551" hidden="1" x14ac:dyDescent="0.35"/>
    <row r="5552" hidden="1" x14ac:dyDescent="0.35"/>
    <row r="5553" hidden="1" x14ac:dyDescent="0.35"/>
    <row r="5554" hidden="1" x14ac:dyDescent="0.35"/>
    <row r="5555" hidden="1" x14ac:dyDescent="0.35"/>
    <row r="5556" hidden="1" x14ac:dyDescent="0.35"/>
    <row r="5557" hidden="1" x14ac:dyDescent="0.35"/>
    <row r="5558" hidden="1" x14ac:dyDescent="0.35"/>
    <row r="5559" hidden="1" x14ac:dyDescent="0.35"/>
    <row r="5560" hidden="1" x14ac:dyDescent="0.35"/>
    <row r="5561" hidden="1" x14ac:dyDescent="0.35"/>
    <row r="5562" hidden="1" x14ac:dyDescent="0.35"/>
    <row r="5563" hidden="1" x14ac:dyDescent="0.35"/>
    <row r="5564" hidden="1" x14ac:dyDescent="0.35"/>
    <row r="5565" hidden="1" x14ac:dyDescent="0.35"/>
    <row r="5566" hidden="1" x14ac:dyDescent="0.35"/>
    <row r="5567" hidden="1" x14ac:dyDescent="0.35"/>
    <row r="5568" hidden="1" x14ac:dyDescent="0.35"/>
    <row r="5569" hidden="1" x14ac:dyDescent="0.35"/>
    <row r="5570" hidden="1" x14ac:dyDescent="0.35"/>
    <row r="5571" hidden="1" x14ac:dyDescent="0.35"/>
    <row r="5572" hidden="1" x14ac:dyDescent="0.35"/>
    <row r="5573" hidden="1" x14ac:dyDescent="0.35"/>
    <row r="5574" hidden="1" x14ac:dyDescent="0.35"/>
    <row r="5575" hidden="1" x14ac:dyDescent="0.35"/>
    <row r="5576" hidden="1" x14ac:dyDescent="0.35"/>
    <row r="5577" hidden="1" x14ac:dyDescent="0.35"/>
    <row r="5578" hidden="1" x14ac:dyDescent="0.35"/>
    <row r="5579" hidden="1" x14ac:dyDescent="0.35"/>
    <row r="5580" hidden="1" x14ac:dyDescent="0.35"/>
    <row r="5581" hidden="1" x14ac:dyDescent="0.35"/>
    <row r="5582" hidden="1" x14ac:dyDescent="0.35"/>
    <row r="5583" hidden="1" x14ac:dyDescent="0.35"/>
    <row r="5584" hidden="1" x14ac:dyDescent="0.35"/>
    <row r="5585" hidden="1" x14ac:dyDescent="0.35"/>
    <row r="5586" hidden="1" x14ac:dyDescent="0.35"/>
    <row r="5587" hidden="1" x14ac:dyDescent="0.35"/>
    <row r="5588" hidden="1" x14ac:dyDescent="0.35"/>
    <row r="5589" hidden="1" x14ac:dyDescent="0.35"/>
    <row r="5590" hidden="1" x14ac:dyDescent="0.35"/>
    <row r="5591" hidden="1" x14ac:dyDescent="0.35"/>
    <row r="5592" hidden="1" x14ac:dyDescent="0.35"/>
    <row r="5593" hidden="1" x14ac:dyDescent="0.35"/>
    <row r="5594" hidden="1" x14ac:dyDescent="0.35"/>
    <row r="5595" hidden="1" x14ac:dyDescent="0.35"/>
    <row r="5596" hidden="1" x14ac:dyDescent="0.35"/>
    <row r="5597" hidden="1" x14ac:dyDescent="0.35"/>
    <row r="5598" hidden="1" x14ac:dyDescent="0.35"/>
    <row r="5599" hidden="1" x14ac:dyDescent="0.35"/>
    <row r="5600" hidden="1" x14ac:dyDescent="0.35"/>
    <row r="5601" hidden="1" x14ac:dyDescent="0.35"/>
    <row r="5602" hidden="1" x14ac:dyDescent="0.35"/>
    <row r="5603" hidden="1" x14ac:dyDescent="0.35"/>
    <row r="5604" hidden="1" x14ac:dyDescent="0.35"/>
    <row r="5605" hidden="1" x14ac:dyDescent="0.35"/>
    <row r="5606" hidden="1" x14ac:dyDescent="0.35"/>
    <row r="5607" hidden="1" x14ac:dyDescent="0.35"/>
    <row r="5608" hidden="1" x14ac:dyDescent="0.35"/>
    <row r="5609" hidden="1" x14ac:dyDescent="0.35"/>
    <row r="5610" hidden="1" x14ac:dyDescent="0.35"/>
    <row r="5611" hidden="1" x14ac:dyDescent="0.35"/>
    <row r="5612" hidden="1" x14ac:dyDescent="0.35"/>
    <row r="5613" hidden="1" x14ac:dyDescent="0.35"/>
    <row r="5614" hidden="1" x14ac:dyDescent="0.35"/>
    <row r="5615" hidden="1" x14ac:dyDescent="0.35"/>
    <row r="5616" hidden="1" x14ac:dyDescent="0.35"/>
    <row r="5617" hidden="1" x14ac:dyDescent="0.35"/>
    <row r="5618" hidden="1" x14ac:dyDescent="0.35"/>
    <row r="5619" hidden="1" x14ac:dyDescent="0.35"/>
    <row r="5620" hidden="1" x14ac:dyDescent="0.35"/>
    <row r="5621" hidden="1" x14ac:dyDescent="0.35"/>
    <row r="5622" hidden="1" x14ac:dyDescent="0.35"/>
    <row r="5623" hidden="1" x14ac:dyDescent="0.35"/>
    <row r="5624" hidden="1" x14ac:dyDescent="0.35"/>
    <row r="5625" hidden="1" x14ac:dyDescent="0.35"/>
    <row r="5626" hidden="1" x14ac:dyDescent="0.35"/>
    <row r="5627" hidden="1" x14ac:dyDescent="0.35"/>
    <row r="5628" hidden="1" x14ac:dyDescent="0.35"/>
    <row r="5629" hidden="1" x14ac:dyDescent="0.35"/>
    <row r="5630" hidden="1" x14ac:dyDescent="0.35"/>
    <row r="5631" hidden="1" x14ac:dyDescent="0.35"/>
    <row r="5632" hidden="1" x14ac:dyDescent="0.35"/>
    <row r="5633" hidden="1" x14ac:dyDescent="0.35"/>
    <row r="5634" hidden="1" x14ac:dyDescent="0.35"/>
    <row r="5635" hidden="1" x14ac:dyDescent="0.35"/>
    <row r="5636" hidden="1" x14ac:dyDescent="0.35"/>
    <row r="5637" hidden="1" x14ac:dyDescent="0.35"/>
    <row r="5638" hidden="1" x14ac:dyDescent="0.35"/>
    <row r="5639" hidden="1" x14ac:dyDescent="0.35"/>
    <row r="5640" hidden="1" x14ac:dyDescent="0.35"/>
    <row r="5641" hidden="1" x14ac:dyDescent="0.35"/>
    <row r="5642" hidden="1" x14ac:dyDescent="0.35"/>
    <row r="5643" hidden="1" x14ac:dyDescent="0.35"/>
    <row r="5644" hidden="1" x14ac:dyDescent="0.35"/>
    <row r="5645" hidden="1" x14ac:dyDescent="0.35"/>
    <row r="5646" hidden="1" x14ac:dyDescent="0.35"/>
    <row r="5647" hidden="1" x14ac:dyDescent="0.35"/>
    <row r="5648" hidden="1" x14ac:dyDescent="0.35"/>
    <row r="5649" hidden="1" x14ac:dyDescent="0.35"/>
    <row r="5650" hidden="1" x14ac:dyDescent="0.35"/>
    <row r="5651" hidden="1" x14ac:dyDescent="0.35"/>
    <row r="5652" hidden="1" x14ac:dyDescent="0.35"/>
    <row r="5653" hidden="1" x14ac:dyDescent="0.35"/>
    <row r="5654" hidden="1" x14ac:dyDescent="0.35"/>
    <row r="5655" hidden="1" x14ac:dyDescent="0.35"/>
    <row r="5656" hidden="1" x14ac:dyDescent="0.35"/>
    <row r="5657" hidden="1" x14ac:dyDescent="0.35"/>
    <row r="5658" hidden="1" x14ac:dyDescent="0.35"/>
    <row r="5659" hidden="1" x14ac:dyDescent="0.35"/>
    <row r="5660" hidden="1" x14ac:dyDescent="0.35"/>
    <row r="5661" hidden="1" x14ac:dyDescent="0.35"/>
    <row r="5662" hidden="1" x14ac:dyDescent="0.35"/>
    <row r="5663" hidden="1" x14ac:dyDescent="0.35"/>
    <row r="5664" hidden="1" x14ac:dyDescent="0.35"/>
    <row r="5665" hidden="1" x14ac:dyDescent="0.35"/>
    <row r="5666" hidden="1" x14ac:dyDescent="0.35"/>
    <row r="5667" hidden="1" x14ac:dyDescent="0.35"/>
    <row r="5668" hidden="1" x14ac:dyDescent="0.35"/>
    <row r="5669" hidden="1" x14ac:dyDescent="0.35"/>
    <row r="5670" hidden="1" x14ac:dyDescent="0.35"/>
    <row r="5671" hidden="1" x14ac:dyDescent="0.35"/>
    <row r="5672" hidden="1" x14ac:dyDescent="0.35"/>
    <row r="5673" hidden="1" x14ac:dyDescent="0.35"/>
    <row r="5674" hidden="1" x14ac:dyDescent="0.35"/>
    <row r="5675" hidden="1" x14ac:dyDescent="0.35"/>
    <row r="5676" hidden="1" x14ac:dyDescent="0.35"/>
    <row r="5677" hidden="1" x14ac:dyDescent="0.35"/>
    <row r="5678" hidden="1" x14ac:dyDescent="0.35"/>
    <row r="5679" hidden="1" x14ac:dyDescent="0.35"/>
    <row r="5680" hidden="1" x14ac:dyDescent="0.35"/>
    <row r="5681" hidden="1" x14ac:dyDescent="0.35"/>
    <row r="5682" hidden="1" x14ac:dyDescent="0.35"/>
    <row r="5683" hidden="1" x14ac:dyDescent="0.35"/>
    <row r="5684" hidden="1" x14ac:dyDescent="0.35"/>
    <row r="5685" hidden="1" x14ac:dyDescent="0.35"/>
    <row r="5686" hidden="1" x14ac:dyDescent="0.35"/>
    <row r="5687" hidden="1" x14ac:dyDescent="0.35"/>
    <row r="5688" hidden="1" x14ac:dyDescent="0.35"/>
    <row r="5689" hidden="1" x14ac:dyDescent="0.35"/>
    <row r="5690" hidden="1" x14ac:dyDescent="0.35"/>
    <row r="5691" hidden="1" x14ac:dyDescent="0.35"/>
    <row r="5692" hidden="1" x14ac:dyDescent="0.35"/>
    <row r="5693" hidden="1" x14ac:dyDescent="0.35"/>
    <row r="5694" hidden="1" x14ac:dyDescent="0.35"/>
    <row r="5695" hidden="1" x14ac:dyDescent="0.35"/>
    <row r="5696" hidden="1" x14ac:dyDescent="0.35"/>
    <row r="5697" hidden="1" x14ac:dyDescent="0.35"/>
    <row r="5698" hidden="1" x14ac:dyDescent="0.35"/>
    <row r="5699" hidden="1" x14ac:dyDescent="0.35"/>
    <row r="5700" hidden="1" x14ac:dyDescent="0.35"/>
    <row r="5701" hidden="1" x14ac:dyDescent="0.35"/>
    <row r="5702" hidden="1" x14ac:dyDescent="0.35"/>
    <row r="5703" hidden="1" x14ac:dyDescent="0.35"/>
    <row r="5704" hidden="1" x14ac:dyDescent="0.35"/>
    <row r="5705" hidden="1" x14ac:dyDescent="0.35"/>
    <row r="5706" hidden="1" x14ac:dyDescent="0.35"/>
    <row r="5707" hidden="1" x14ac:dyDescent="0.35"/>
    <row r="5708" hidden="1" x14ac:dyDescent="0.35"/>
    <row r="5709" hidden="1" x14ac:dyDescent="0.35"/>
    <row r="5710" hidden="1" x14ac:dyDescent="0.35"/>
    <row r="5711" hidden="1" x14ac:dyDescent="0.35"/>
    <row r="5712" hidden="1" x14ac:dyDescent="0.35"/>
    <row r="5713" hidden="1" x14ac:dyDescent="0.35"/>
    <row r="5714" hidden="1" x14ac:dyDescent="0.35"/>
    <row r="5715" hidden="1" x14ac:dyDescent="0.35"/>
    <row r="5716" hidden="1" x14ac:dyDescent="0.35"/>
    <row r="5717" hidden="1" x14ac:dyDescent="0.35"/>
    <row r="5718" hidden="1" x14ac:dyDescent="0.35"/>
    <row r="5719" hidden="1" x14ac:dyDescent="0.35"/>
    <row r="5720" hidden="1" x14ac:dyDescent="0.35"/>
    <row r="5721" hidden="1" x14ac:dyDescent="0.35"/>
    <row r="5722" hidden="1" x14ac:dyDescent="0.35"/>
    <row r="5723" hidden="1" x14ac:dyDescent="0.35"/>
    <row r="5724" hidden="1" x14ac:dyDescent="0.35"/>
    <row r="5725" hidden="1" x14ac:dyDescent="0.35"/>
    <row r="5726" hidden="1" x14ac:dyDescent="0.35"/>
    <row r="5727" hidden="1" x14ac:dyDescent="0.35"/>
    <row r="5728" hidden="1" x14ac:dyDescent="0.35"/>
    <row r="5729" hidden="1" x14ac:dyDescent="0.35"/>
    <row r="5730" hidden="1" x14ac:dyDescent="0.35"/>
    <row r="5731" hidden="1" x14ac:dyDescent="0.35"/>
    <row r="5732" hidden="1" x14ac:dyDescent="0.35"/>
    <row r="5733" hidden="1" x14ac:dyDescent="0.35"/>
    <row r="5734" hidden="1" x14ac:dyDescent="0.35"/>
    <row r="5735" hidden="1" x14ac:dyDescent="0.35"/>
    <row r="5736" hidden="1" x14ac:dyDescent="0.35"/>
    <row r="5737" hidden="1" x14ac:dyDescent="0.35"/>
    <row r="5738" hidden="1" x14ac:dyDescent="0.35"/>
    <row r="5739" hidden="1" x14ac:dyDescent="0.35"/>
    <row r="5740" hidden="1" x14ac:dyDescent="0.35"/>
    <row r="5741" hidden="1" x14ac:dyDescent="0.35"/>
    <row r="5742" hidden="1" x14ac:dyDescent="0.35"/>
    <row r="5743" hidden="1" x14ac:dyDescent="0.35"/>
    <row r="5744" hidden="1" x14ac:dyDescent="0.35"/>
    <row r="5745" hidden="1" x14ac:dyDescent="0.35"/>
    <row r="5746" hidden="1" x14ac:dyDescent="0.35"/>
    <row r="5747" hidden="1" x14ac:dyDescent="0.35"/>
    <row r="5748" hidden="1" x14ac:dyDescent="0.35"/>
    <row r="5749" hidden="1" x14ac:dyDescent="0.35"/>
    <row r="5750" hidden="1" x14ac:dyDescent="0.35"/>
    <row r="5751" hidden="1" x14ac:dyDescent="0.35"/>
    <row r="5752" hidden="1" x14ac:dyDescent="0.35"/>
    <row r="5753" hidden="1" x14ac:dyDescent="0.35"/>
    <row r="5754" hidden="1" x14ac:dyDescent="0.35"/>
    <row r="5755" hidden="1" x14ac:dyDescent="0.35"/>
    <row r="5756" hidden="1" x14ac:dyDescent="0.35"/>
    <row r="5757" hidden="1" x14ac:dyDescent="0.35"/>
    <row r="5758" hidden="1" x14ac:dyDescent="0.35"/>
    <row r="5759" hidden="1" x14ac:dyDescent="0.35"/>
    <row r="5760" hidden="1" x14ac:dyDescent="0.35"/>
    <row r="5761" hidden="1" x14ac:dyDescent="0.35"/>
    <row r="5762" hidden="1" x14ac:dyDescent="0.35"/>
    <row r="5763" hidden="1" x14ac:dyDescent="0.35"/>
    <row r="5764" hidden="1" x14ac:dyDescent="0.35"/>
    <row r="5765" hidden="1" x14ac:dyDescent="0.35"/>
    <row r="5766" hidden="1" x14ac:dyDescent="0.35"/>
    <row r="5767" hidden="1" x14ac:dyDescent="0.35"/>
    <row r="5768" hidden="1" x14ac:dyDescent="0.35"/>
    <row r="5769" hidden="1" x14ac:dyDescent="0.35"/>
    <row r="5770" hidden="1" x14ac:dyDescent="0.35"/>
    <row r="5771" hidden="1" x14ac:dyDescent="0.35"/>
    <row r="5772" hidden="1" x14ac:dyDescent="0.35"/>
    <row r="5773" hidden="1" x14ac:dyDescent="0.35"/>
    <row r="5774" hidden="1" x14ac:dyDescent="0.35"/>
    <row r="5775" hidden="1" x14ac:dyDescent="0.35"/>
    <row r="5776" hidden="1" x14ac:dyDescent="0.35"/>
    <row r="5777" hidden="1" x14ac:dyDescent="0.35"/>
    <row r="5778" hidden="1" x14ac:dyDescent="0.35"/>
    <row r="5779" hidden="1" x14ac:dyDescent="0.35"/>
    <row r="5780" hidden="1" x14ac:dyDescent="0.35"/>
    <row r="5781" hidden="1" x14ac:dyDescent="0.35"/>
    <row r="5782" hidden="1" x14ac:dyDescent="0.35"/>
    <row r="5783" hidden="1" x14ac:dyDescent="0.35"/>
    <row r="5784" hidden="1" x14ac:dyDescent="0.35"/>
    <row r="5785" hidden="1" x14ac:dyDescent="0.35"/>
    <row r="5786" hidden="1" x14ac:dyDescent="0.35"/>
    <row r="5787" hidden="1" x14ac:dyDescent="0.35"/>
    <row r="5788" hidden="1" x14ac:dyDescent="0.35"/>
    <row r="5789" hidden="1" x14ac:dyDescent="0.35"/>
    <row r="5790" hidden="1" x14ac:dyDescent="0.35"/>
    <row r="5791" hidden="1" x14ac:dyDescent="0.35"/>
    <row r="5792" hidden="1" x14ac:dyDescent="0.35"/>
    <row r="5793" hidden="1" x14ac:dyDescent="0.35"/>
    <row r="5794" hidden="1" x14ac:dyDescent="0.35"/>
    <row r="5795" hidden="1" x14ac:dyDescent="0.35"/>
    <row r="5796" hidden="1" x14ac:dyDescent="0.35"/>
    <row r="5797" hidden="1" x14ac:dyDescent="0.35"/>
    <row r="5798" hidden="1" x14ac:dyDescent="0.35"/>
    <row r="5799" hidden="1" x14ac:dyDescent="0.35"/>
    <row r="5800" hidden="1" x14ac:dyDescent="0.35"/>
    <row r="5801" hidden="1" x14ac:dyDescent="0.35"/>
    <row r="5802" hidden="1" x14ac:dyDescent="0.35"/>
    <row r="5803" hidden="1" x14ac:dyDescent="0.35"/>
    <row r="5804" hidden="1" x14ac:dyDescent="0.35"/>
    <row r="5805" hidden="1" x14ac:dyDescent="0.35"/>
    <row r="5806" hidden="1" x14ac:dyDescent="0.35"/>
    <row r="5807" hidden="1" x14ac:dyDescent="0.35"/>
    <row r="5808" hidden="1" x14ac:dyDescent="0.35"/>
    <row r="5809" hidden="1" x14ac:dyDescent="0.35"/>
    <row r="5810" hidden="1" x14ac:dyDescent="0.35"/>
    <row r="5811" hidden="1" x14ac:dyDescent="0.35"/>
    <row r="5812" hidden="1" x14ac:dyDescent="0.35"/>
    <row r="5813" hidden="1" x14ac:dyDescent="0.35"/>
    <row r="5814" hidden="1" x14ac:dyDescent="0.35"/>
    <row r="5815" hidden="1" x14ac:dyDescent="0.35"/>
    <row r="5816" hidden="1" x14ac:dyDescent="0.35"/>
    <row r="5817" hidden="1" x14ac:dyDescent="0.35"/>
    <row r="5818" hidden="1" x14ac:dyDescent="0.35"/>
    <row r="5819" hidden="1" x14ac:dyDescent="0.35"/>
    <row r="5820" hidden="1" x14ac:dyDescent="0.35"/>
    <row r="5821" hidden="1" x14ac:dyDescent="0.35"/>
    <row r="5822" hidden="1" x14ac:dyDescent="0.35"/>
    <row r="5823" hidden="1" x14ac:dyDescent="0.35"/>
    <row r="5824" hidden="1" x14ac:dyDescent="0.35"/>
    <row r="5825" hidden="1" x14ac:dyDescent="0.35"/>
    <row r="5826" hidden="1" x14ac:dyDescent="0.35"/>
    <row r="5827" hidden="1" x14ac:dyDescent="0.35"/>
    <row r="5828" hidden="1" x14ac:dyDescent="0.35"/>
    <row r="5829" hidden="1" x14ac:dyDescent="0.35"/>
    <row r="5830" hidden="1" x14ac:dyDescent="0.35"/>
    <row r="5831" hidden="1" x14ac:dyDescent="0.35"/>
    <row r="5832" hidden="1" x14ac:dyDescent="0.35"/>
    <row r="5833" hidden="1" x14ac:dyDescent="0.35"/>
    <row r="5834" hidden="1" x14ac:dyDescent="0.35"/>
    <row r="5835" hidden="1" x14ac:dyDescent="0.35"/>
    <row r="5836" hidden="1" x14ac:dyDescent="0.35"/>
    <row r="5837" hidden="1" x14ac:dyDescent="0.35"/>
    <row r="5838" hidden="1" x14ac:dyDescent="0.35"/>
    <row r="5839" hidden="1" x14ac:dyDescent="0.35"/>
    <row r="5840" hidden="1" x14ac:dyDescent="0.35"/>
    <row r="5841" hidden="1" x14ac:dyDescent="0.35"/>
    <row r="5842" hidden="1" x14ac:dyDescent="0.35"/>
    <row r="5843" hidden="1" x14ac:dyDescent="0.35"/>
    <row r="5844" hidden="1" x14ac:dyDescent="0.35"/>
    <row r="5845" hidden="1" x14ac:dyDescent="0.35"/>
    <row r="5846" hidden="1" x14ac:dyDescent="0.35"/>
    <row r="5847" hidden="1" x14ac:dyDescent="0.35"/>
    <row r="5848" hidden="1" x14ac:dyDescent="0.35"/>
    <row r="5849" hidden="1" x14ac:dyDescent="0.35"/>
    <row r="5850" hidden="1" x14ac:dyDescent="0.35"/>
    <row r="5851" hidden="1" x14ac:dyDescent="0.35"/>
    <row r="5852" hidden="1" x14ac:dyDescent="0.35"/>
    <row r="5853" hidden="1" x14ac:dyDescent="0.35"/>
    <row r="5854" hidden="1" x14ac:dyDescent="0.35"/>
    <row r="5855" hidden="1" x14ac:dyDescent="0.35"/>
    <row r="5856" hidden="1" x14ac:dyDescent="0.35"/>
    <row r="5857" hidden="1" x14ac:dyDescent="0.35"/>
    <row r="5858" hidden="1" x14ac:dyDescent="0.35"/>
    <row r="5859" hidden="1" x14ac:dyDescent="0.35"/>
    <row r="5860" hidden="1" x14ac:dyDescent="0.35"/>
    <row r="5861" hidden="1" x14ac:dyDescent="0.35"/>
    <row r="5862" hidden="1" x14ac:dyDescent="0.35"/>
    <row r="5863" hidden="1" x14ac:dyDescent="0.35"/>
    <row r="5864" hidden="1" x14ac:dyDescent="0.35"/>
    <row r="5865" hidden="1" x14ac:dyDescent="0.35"/>
    <row r="5866" hidden="1" x14ac:dyDescent="0.35"/>
    <row r="5867" hidden="1" x14ac:dyDescent="0.35"/>
    <row r="5868" hidden="1" x14ac:dyDescent="0.35"/>
    <row r="5869" hidden="1" x14ac:dyDescent="0.35"/>
    <row r="5870" hidden="1" x14ac:dyDescent="0.35"/>
    <row r="5871" hidden="1" x14ac:dyDescent="0.35"/>
    <row r="5872" hidden="1" x14ac:dyDescent="0.35"/>
    <row r="5873" hidden="1" x14ac:dyDescent="0.35"/>
    <row r="5874" hidden="1" x14ac:dyDescent="0.35"/>
    <row r="5875" hidden="1" x14ac:dyDescent="0.35"/>
    <row r="5876" hidden="1" x14ac:dyDescent="0.35"/>
    <row r="5877" hidden="1" x14ac:dyDescent="0.35"/>
    <row r="5878" hidden="1" x14ac:dyDescent="0.35"/>
    <row r="5879" hidden="1" x14ac:dyDescent="0.35"/>
    <row r="5880" hidden="1" x14ac:dyDescent="0.35"/>
    <row r="5881" hidden="1" x14ac:dyDescent="0.35"/>
    <row r="5882" hidden="1" x14ac:dyDescent="0.35"/>
    <row r="5883" hidden="1" x14ac:dyDescent="0.35"/>
    <row r="5884" hidden="1" x14ac:dyDescent="0.35"/>
    <row r="5885" hidden="1" x14ac:dyDescent="0.35"/>
    <row r="5886" hidden="1" x14ac:dyDescent="0.35"/>
    <row r="5887" hidden="1" x14ac:dyDescent="0.35"/>
    <row r="5888" hidden="1" x14ac:dyDescent="0.35"/>
    <row r="5889" hidden="1" x14ac:dyDescent="0.35"/>
    <row r="5890" hidden="1" x14ac:dyDescent="0.35"/>
    <row r="5891" hidden="1" x14ac:dyDescent="0.35"/>
    <row r="5892" hidden="1" x14ac:dyDescent="0.35"/>
    <row r="5893" hidden="1" x14ac:dyDescent="0.35"/>
    <row r="5894" hidden="1" x14ac:dyDescent="0.35"/>
    <row r="5895" hidden="1" x14ac:dyDescent="0.35"/>
    <row r="5896" hidden="1" x14ac:dyDescent="0.35"/>
    <row r="5897" hidden="1" x14ac:dyDescent="0.35"/>
    <row r="5898" hidden="1" x14ac:dyDescent="0.35"/>
    <row r="5899" hidden="1" x14ac:dyDescent="0.35"/>
    <row r="5900" hidden="1" x14ac:dyDescent="0.35"/>
    <row r="5901" hidden="1" x14ac:dyDescent="0.35"/>
    <row r="5902" hidden="1" x14ac:dyDescent="0.35"/>
    <row r="5903" hidden="1" x14ac:dyDescent="0.35"/>
    <row r="5904" hidden="1" x14ac:dyDescent="0.35"/>
    <row r="5905" hidden="1" x14ac:dyDescent="0.35"/>
    <row r="5906" hidden="1" x14ac:dyDescent="0.35"/>
    <row r="5907" hidden="1" x14ac:dyDescent="0.35"/>
    <row r="5908" hidden="1" x14ac:dyDescent="0.35"/>
    <row r="5909" hidden="1" x14ac:dyDescent="0.35"/>
    <row r="5910" hidden="1" x14ac:dyDescent="0.35"/>
    <row r="5911" hidden="1" x14ac:dyDescent="0.35"/>
    <row r="5912" hidden="1" x14ac:dyDescent="0.35"/>
    <row r="5913" hidden="1" x14ac:dyDescent="0.35"/>
    <row r="5914" hidden="1" x14ac:dyDescent="0.35"/>
    <row r="5915" hidden="1" x14ac:dyDescent="0.35"/>
    <row r="5916" hidden="1" x14ac:dyDescent="0.35"/>
    <row r="5917" hidden="1" x14ac:dyDescent="0.35"/>
    <row r="5918" hidden="1" x14ac:dyDescent="0.35"/>
    <row r="5919" hidden="1" x14ac:dyDescent="0.35"/>
    <row r="5920" hidden="1" x14ac:dyDescent="0.35"/>
    <row r="5921" hidden="1" x14ac:dyDescent="0.35"/>
    <row r="5922" hidden="1" x14ac:dyDescent="0.35"/>
    <row r="5923" hidden="1" x14ac:dyDescent="0.35"/>
    <row r="5924" hidden="1" x14ac:dyDescent="0.35"/>
    <row r="5925" hidden="1" x14ac:dyDescent="0.35"/>
    <row r="5926" hidden="1" x14ac:dyDescent="0.35"/>
    <row r="5927" hidden="1" x14ac:dyDescent="0.35"/>
    <row r="5928" hidden="1" x14ac:dyDescent="0.35"/>
    <row r="5929" hidden="1" x14ac:dyDescent="0.35"/>
    <row r="5930" hidden="1" x14ac:dyDescent="0.35"/>
    <row r="5931" hidden="1" x14ac:dyDescent="0.35"/>
    <row r="5932" hidden="1" x14ac:dyDescent="0.35"/>
    <row r="5933" hidden="1" x14ac:dyDescent="0.35"/>
    <row r="5934" hidden="1" x14ac:dyDescent="0.35"/>
    <row r="5935" hidden="1" x14ac:dyDescent="0.35"/>
    <row r="5936" hidden="1" x14ac:dyDescent="0.35"/>
    <row r="5937" hidden="1" x14ac:dyDescent="0.35"/>
    <row r="5938" hidden="1" x14ac:dyDescent="0.35"/>
    <row r="5939" hidden="1" x14ac:dyDescent="0.35"/>
    <row r="5940" hidden="1" x14ac:dyDescent="0.35"/>
    <row r="5941" hidden="1" x14ac:dyDescent="0.35"/>
    <row r="5942" hidden="1" x14ac:dyDescent="0.35"/>
    <row r="5943" hidden="1" x14ac:dyDescent="0.35"/>
    <row r="5944" hidden="1" x14ac:dyDescent="0.35"/>
    <row r="5945" hidden="1" x14ac:dyDescent="0.35"/>
    <row r="5946" hidden="1" x14ac:dyDescent="0.35"/>
    <row r="5947" hidden="1" x14ac:dyDescent="0.35"/>
    <row r="5948" hidden="1" x14ac:dyDescent="0.35"/>
    <row r="5949" hidden="1" x14ac:dyDescent="0.35"/>
    <row r="5950" hidden="1" x14ac:dyDescent="0.35"/>
    <row r="5951" hidden="1" x14ac:dyDescent="0.35"/>
    <row r="5952" hidden="1" x14ac:dyDescent="0.35"/>
    <row r="5953" hidden="1" x14ac:dyDescent="0.35"/>
    <row r="5954" hidden="1" x14ac:dyDescent="0.35"/>
    <row r="5955" hidden="1" x14ac:dyDescent="0.35"/>
    <row r="5956" hidden="1" x14ac:dyDescent="0.35"/>
    <row r="5957" hidden="1" x14ac:dyDescent="0.35"/>
    <row r="5958" hidden="1" x14ac:dyDescent="0.35"/>
    <row r="5959" hidden="1" x14ac:dyDescent="0.35"/>
    <row r="5960" hidden="1" x14ac:dyDescent="0.35"/>
    <row r="5961" hidden="1" x14ac:dyDescent="0.35"/>
    <row r="5962" hidden="1" x14ac:dyDescent="0.35"/>
    <row r="5963" hidden="1" x14ac:dyDescent="0.35"/>
    <row r="5964" hidden="1" x14ac:dyDescent="0.35"/>
    <row r="5965" hidden="1" x14ac:dyDescent="0.35"/>
    <row r="5966" hidden="1" x14ac:dyDescent="0.35"/>
    <row r="5967" hidden="1" x14ac:dyDescent="0.35"/>
    <row r="5968" hidden="1" x14ac:dyDescent="0.35"/>
    <row r="5969" hidden="1" x14ac:dyDescent="0.35"/>
    <row r="5970" hidden="1" x14ac:dyDescent="0.35"/>
    <row r="5971" hidden="1" x14ac:dyDescent="0.35"/>
    <row r="5972" hidden="1" x14ac:dyDescent="0.35"/>
    <row r="5973" hidden="1" x14ac:dyDescent="0.35"/>
    <row r="5974" hidden="1" x14ac:dyDescent="0.35"/>
    <row r="5975" hidden="1" x14ac:dyDescent="0.35"/>
    <row r="5976" hidden="1" x14ac:dyDescent="0.35"/>
    <row r="5977" hidden="1" x14ac:dyDescent="0.35"/>
    <row r="5978" hidden="1" x14ac:dyDescent="0.35"/>
    <row r="5979" hidden="1" x14ac:dyDescent="0.35"/>
    <row r="5980" hidden="1" x14ac:dyDescent="0.35"/>
    <row r="5981" hidden="1" x14ac:dyDescent="0.35"/>
    <row r="5982" hidden="1" x14ac:dyDescent="0.35"/>
    <row r="5983" hidden="1" x14ac:dyDescent="0.35"/>
    <row r="5984" hidden="1" x14ac:dyDescent="0.35"/>
    <row r="5985" hidden="1" x14ac:dyDescent="0.35"/>
    <row r="5986" hidden="1" x14ac:dyDescent="0.35"/>
    <row r="5987" hidden="1" x14ac:dyDescent="0.35"/>
    <row r="5988" hidden="1" x14ac:dyDescent="0.35"/>
    <row r="5989" hidden="1" x14ac:dyDescent="0.35"/>
    <row r="5990" hidden="1" x14ac:dyDescent="0.35"/>
    <row r="5991" hidden="1" x14ac:dyDescent="0.35"/>
    <row r="5992" hidden="1" x14ac:dyDescent="0.35"/>
    <row r="5993" hidden="1" x14ac:dyDescent="0.35"/>
    <row r="5994" hidden="1" x14ac:dyDescent="0.35"/>
    <row r="5995" hidden="1" x14ac:dyDescent="0.35"/>
    <row r="5996" hidden="1" x14ac:dyDescent="0.35"/>
    <row r="5997" hidden="1" x14ac:dyDescent="0.35"/>
    <row r="5998" hidden="1" x14ac:dyDescent="0.35"/>
    <row r="5999" hidden="1" x14ac:dyDescent="0.35"/>
    <row r="6000" hidden="1" x14ac:dyDescent="0.35"/>
    <row r="6001" hidden="1" x14ac:dyDescent="0.35"/>
    <row r="6002" hidden="1" x14ac:dyDescent="0.35"/>
    <row r="6003" hidden="1" x14ac:dyDescent="0.35"/>
    <row r="6004" hidden="1" x14ac:dyDescent="0.35"/>
    <row r="6005" hidden="1" x14ac:dyDescent="0.35"/>
    <row r="6006" hidden="1" x14ac:dyDescent="0.35"/>
    <row r="6007" hidden="1" x14ac:dyDescent="0.35"/>
    <row r="6008" hidden="1" x14ac:dyDescent="0.35"/>
    <row r="6009" hidden="1" x14ac:dyDescent="0.35"/>
    <row r="6010" hidden="1" x14ac:dyDescent="0.35"/>
    <row r="6011" hidden="1" x14ac:dyDescent="0.35"/>
    <row r="6012" hidden="1" x14ac:dyDescent="0.35"/>
    <row r="6013" hidden="1" x14ac:dyDescent="0.35"/>
    <row r="6014" hidden="1" x14ac:dyDescent="0.35"/>
    <row r="6015" hidden="1" x14ac:dyDescent="0.35"/>
    <row r="6016" hidden="1" x14ac:dyDescent="0.35"/>
    <row r="6017" hidden="1" x14ac:dyDescent="0.35"/>
    <row r="6018" hidden="1" x14ac:dyDescent="0.35"/>
    <row r="6019" hidden="1" x14ac:dyDescent="0.35"/>
    <row r="6020" hidden="1" x14ac:dyDescent="0.35"/>
    <row r="6021" hidden="1" x14ac:dyDescent="0.35"/>
    <row r="6022" hidden="1" x14ac:dyDescent="0.35"/>
    <row r="6023" hidden="1" x14ac:dyDescent="0.35"/>
    <row r="6024" hidden="1" x14ac:dyDescent="0.35"/>
    <row r="6025" hidden="1" x14ac:dyDescent="0.35"/>
    <row r="6026" hidden="1" x14ac:dyDescent="0.35"/>
    <row r="6027" hidden="1" x14ac:dyDescent="0.35"/>
    <row r="6028" hidden="1" x14ac:dyDescent="0.35"/>
    <row r="6029" hidden="1" x14ac:dyDescent="0.35"/>
    <row r="6030" hidden="1" x14ac:dyDescent="0.35"/>
    <row r="6031" hidden="1" x14ac:dyDescent="0.35"/>
    <row r="6032" hidden="1" x14ac:dyDescent="0.35"/>
    <row r="6033" hidden="1" x14ac:dyDescent="0.35"/>
    <row r="6034" hidden="1" x14ac:dyDescent="0.35"/>
    <row r="6035" hidden="1" x14ac:dyDescent="0.35"/>
    <row r="6036" hidden="1" x14ac:dyDescent="0.35"/>
    <row r="6037" hidden="1" x14ac:dyDescent="0.35"/>
    <row r="6038" hidden="1" x14ac:dyDescent="0.35"/>
    <row r="6039" hidden="1" x14ac:dyDescent="0.35"/>
    <row r="6040" hidden="1" x14ac:dyDescent="0.35"/>
    <row r="6041" hidden="1" x14ac:dyDescent="0.35"/>
    <row r="6042" hidden="1" x14ac:dyDescent="0.35"/>
    <row r="6043" hidden="1" x14ac:dyDescent="0.35"/>
    <row r="6044" hidden="1" x14ac:dyDescent="0.35"/>
    <row r="6045" hidden="1" x14ac:dyDescent="0.35"/>
    <row r="6046" hidden="1" x14ac:dyDescent="0.35"/>
    <row r="6047" hidden="1" x14ac:dyDescent="0.35"/>
    <row r="6048" hidden="1" x14ac:dyDescent="0.35"/>
    <row r="6049" hidden="1" x14ac:dyDescent="0.35"/>
    <row r="6050" hidden="1" x14ac:dyDescent="0.35"/>
    <row r="6051" hidden="1" x14ac:dyDescent="0.35"/>
    <row r="6052" hidden="1" x14ac:dyDescent="0.35"/>
    <row r="6053" hidden="1" x14ac:dyDescent="0.35"/>
    <row r="6054" hidden="1" x14ac:dyDescent="0.35"/>
    <row r="6055" hidden="1" x14ac:dyDescent="0.35"/>
    <row r="6056" hidden="1" x14ac:dyDescent="0.35"/>
    <row r="6057" hidden="1" x14ac:dyDescent="0.35"/>
    <row r="6058" hidden="1" x14ac:dyDescent="0.35"/>
    <row r="6059" hidden="1" x14ac:dyDescent="0.35"/>
    <row r="6060" hidden="1" x14ac:dyDescent="0.35"/>
    <row r="6061" hidden="1" x14ac:dyDescent="0.35"/>
    <row r="6062" hidden="1" x14ac:dyDescent="0.35"/>
    <row r="6063" hidden="1" x14ac:dyDescent="0.35"/>
    <row r="6064" hidden="1" x14ac:dyDescent="0.35"/>
    <row r="6065" hidden="1" x14ac:dyDescent="0.35"/>
    <row r="6066" hidden="1" x14ac:dyDescent="0.35"/>
    <row r="6067" hidden="1" x14ac:dyDescent="0.35"/>
    <row r="6068" hidden="1" x14ac:dyDescent="0.35"/>
    <row r="6069" hidden="1" x14ac:dyDescent="0.35"/>
    <row r="6070" hidden="1" x14ac:dyDescent="0.35"/>
    <row r="6071" hidden="1" x14ac:dyDescent="0.35"/>
    <row r="6072" hidden="1" x14ac:dyDescent="0.35"/>
    <row r="6073" hidden="1" x14ac:dyDescent="0.35"/>
    <row r="6074" hidden="1" x14ac:dyDescent="0.35"/>
    <row r="6075" hidden="1" x14ac:dyDescent="0.35"/>
    <row r="6076" hidden="1" x14ac:dyDescent="0.35"/>
    <row r="6077" hidden="1" x14ac:dyDescent="0.35"/>
    <row r="6078" hidden="1" x14ac:dyDescent="0.35"/>
    <row r="6079" hidden="1" x14ac:dyDescent="0.35"/>
    <row r="6080" hidden="1" x14ac:dyDescent="0.35"/>
    <row r="6081" hidden="1" x14ac:dyDescent="0.35"/>
    <row r="6082" hidden="1" x14ac:dyDescent="0.35"/>
    <row r="6083" hidden="1" x14ac:dyDescent="0.35"/>
    <row r="6084" hidden="1" x14ac:dyDescent="0.35"/>
    <row r="6085" hidden="1" x14ac:dyDescent="0.35"/>
    <row r="6086" hidden="1" x14ac:dyDescent="0.35"/>
    <row r="6087" hidden="1" x14ac:dyDescent="0.35"/>
    <row r="6088" hidden="1" x14ac:dyDescent="0.35"/>
    <row r="6089" hidden="1" x14ac:dyDescent="0.35"/>
    <row r="6090" hidden="1" x14ac:dyDescent="0.35"/>
    <row r="6091" hidden="1" x14ac:dyDescent="0.35"/>
    <row r="6092" hidden="1" x14ac:dyDescent="0.35"/>
    <row r="6093" hidden="1" x14ac:dyDescent="0.35"/>
    <row r="6094" hidden="1" x14ac:dyDescent="0.35"/>
    <row r="6095" hidden="1" x14ac:dyDescent="0.35"/>
    <row r="6096" hidden="1" x14ac:dyDescent="0.35"/>
    <row r="6097" hidden="1" x14ac:dyDescent="0.35"/>
    <row r="6098" hidden="1" x14ac:dyDescent="0.35"/>
    <row r="6099" hidden="1" x14ac:dyDescent="0.35"/>
    <row r="6100" hidden="1" x14ac:dyDescent="0.35"/>
    <row r="6101" hidden="1" x14ac:dyDescent="0.35"/>
    <row r="6102" hidden="1" x14ac:dyDescent="0.35"/>
    <row r="6103" hidden="1" x14ac:dyDescent="0.35"/>
    <row r="6104" hidden="1" x14ac:dyDescent="0.35"/>
    <row r="6105" hidden="1" x14ac:dyDescent="0.35"/>
    <row r="6106" hidden="1" x14ac:dyDescent="0.35"/>
    <row r="6107" hidden="1" x14ac:dyDescent="0.35"/>
    <row r="6108" hidden="1" x14ac:dyDescent="0.35"/>
    <row r="6109" hidden="1" x14ac:dyDescent="0.35"/>
    <row r="6110" hidden="1" x14ac:dyDescent="0.35"/>
    <row r="6111" hidden="1" x14ac:dyDescent="0.35"/>
    <row r="6112" hidden="1" x14ac:dyDescent="0.35"/>
    <row r="6113" hidden="1" x14ac:dyDescent="0.35"/>
    <row r="6114" hidden="1" x14ac:dyDescent="0.35"/>
    <row r="6115" hidden="1" x14ac:dyDescent="0.35"/>
    <row r="6116" hidden="1" x14ac:dyDescent="0.35"/>
    <row r="6117" hidden="1" x14ac:dyDescent="0.35"/>
    <row r="6118" hidden="1" x14ac:dyDescent="0.35"/>
    <row r="6119" hidden="1" x14ac:dyDescent="0.35"/>
    <row r="6120" hidden="1" x14ac:dyDescent="0.35"/>
    <row r="6121" hidden="1" x14ac:dyDescent="0.35"/>
    <row r="6122" hidden="1" x14ac:dyDescent="0.35"/>
    <row r="6123" hidden="1" x14ac:dyDescent="0.35"/>
    <row r="6124" hidden="1" x14ac:dyDescent="0.35"/>
    <row r="6125" hidden="1" x14ac:dyDescent="0.35"/>
    <row r="6126" hidden="1" x14ac:dyDescent="0.35"/>
    <row r="6127" hidden="1" x14ac:dyDescent="0.35"/>
    <row r="6128" hidden="1" x14ac:dyDescent="0.35"/>
    <row r="6129" hidden="1" x14ac:dyDescent="0.35"/>
    <row r="6130" hidden="1" x14ac:dyDescent="0.35"/>
    <row r="6131" hidden="1" x14ac:dyDescent="0.35"/>
    <row r="6132" hidden="1" x14ac:dyDescent="0.35"/>
    <row r="6133" hidden="1" x14ac:dyDescent="0.35"/>
    <row r="6134" hidden="1" x14ac:dyDescent="0.35"/>
    <row r="6135" hidden="1" x14ac:dyDescent="0.35"/>
    <row r="6136" hidden="1" x14ac:dyDescent="0.35"/>
    <row r="6137" hidden="1" x14ac:dyDescent="0.35"/>
    <row r="6138" hidden="1" x14ac:dyDescent="0.35"/>
    <row r="6139" hidden="1" x14ac:dyDescent="0.35"/>
    <row r="6140" hidden="1" x14ac:dyDescent="0.35"/>
    <row r="6141" hidden="1" x14ac:dyDescent="0.35"/>
    <row r="6142" hidden="1" x14ac:dyDescent="0.35"/>
    <row r="6143" hidden="1" x14ac:dyDescent="0.35"/>
    <row r="6144" hidden="1" x14ac:dyDescent="0.35"/>
    <row r="6145" hidden="1" x14ac:dyDescent="0.35"/>
    <row r="6146" hidden="1" x14ac:dyDescent="0.35"/>
    <row r="6147" hidden="1" x14ac:dyDescent="0.35"/>
    <row r="6148" hidden="1" x14ac:dyDescent="0.35"/>
    <row r="6149" hidden="1" x14ac:dyDescent="0.35"/>
    <row r="6150" hidden="1" x14ac:dyDescent="0.35"/>
    <row r="6151" hidden="1" x14ac:dyDescent="0.35"/>
    <row r="6152" hidden="1" x14ac:dyDescent="0.35"/>
    <row r="6153" hidden="1" x14ac:dyDescent="0.35"/>
    <row r="6154" hidden="1" x14ac:dyDescent="0.35"/>
    <row r="6155" hidden="1" x14ac:dyDescent="0.35"/>
    <row r="6156" hidden="1" x14ac:dyDescent="0.35"/>
    <row r="6157" hidden="1" x14ac:dyDescent="0.35"/>
    <row r="6158" hidden="1" x14ac:dyDescent="0.35"/>
    <row r="6159" hidden="1" x14ac:dyDescent="0.35"/>
    <row r="6160" hidden="1" x14ac:dyDescent="0.35"/>
    <row r="6161" hidden="1" x14ac:dyDescent="0.35"/>
    <row r="6162" hidden="1" x14ac:dyDescent="0.35"/>
    <row r="6163" hidden="1" x14ac:dyDescent="0.35"/>
    <row r="6164" hidden="1" x14ac:dyDescent="0.35"/>
    <row r="6165" hidden="1" x14ac:dyDescent="0.35"/>
    <row r="6166" hidden="1" x14ac:dyDescent="0.35"/>
    <row r="6167" hidden="1" x14ac:dyDescent="0.35"/>
    <row r="6168" hidden="1" x14ac:dyDescent="0.35"/>
    <row r="6169" hidden="1" x14ac:dyDescent="0.35"/>
    <row r="6170" hidden="1" x14ac:dyDescent="0.35"/>
    <row r="6171" hidden="1" x14ac:dyDescent="0.35"/>
    <row r="6172" hidden="1" x14ac:dyDescent="0.35"/>
    <row r="6173" hidden="1" x14ac:dyDescent="0.35"/>
    <row r="6174" hidden="1" x14ac:dyDescent="0.35"/>
    <row r="6175" hidden="1" x14ac:dyDescent="0.35"/>
    <row r="6176" hidden="1" x14ac:dyDescent="0.35"/>
    <row r="6177" hidden="1" x14ac:dyDescent="0.35"/>
    <row r="6178" hidden="1" x14ac:dyDescent="0.35"/>
    <row r="6179" hidden="1" x14ac:dyDescent="0.35"/>
    <row r="6180" hidden="1" x14ac:dyDescent="0.35"/>
    <row r="6181" hidden="1" x14ac:dyDescent="0.35"/>
    <row r="6182" hidden="1" x14ac:dyDescent="0.35"/>
    <row r="6183" hidden="1" x14ac:dyDescent="0.35"/>
    <row r="6184" hidden="1" x14ac:dyDescent="0.35"/>
    <row r="6185" hidden="1" x14ac:dyDescent="0.35"/>
    <row r="6186" hidden="1" x14ac:dyDescent="0.35"/>
    <row r="6187" hidden="1" x14ac:dyDescent="0.35"/>
    <row r="6188" hidden="1" x14ac:dyDescent="0.35"/>
    <row r="6189" hidden="1" x14ac:dyDescent="0.35"/>
    <row r="6190" hidden="1" x14ac:dyDescent="0.35"/>
    <row r="6191" hidden="1" x14ac:dyDescent="0.35"/>
    <row r="6192" hidden="1" x14ac:dyDescent="0.35"/>
    <row r="6193" hidden="1" x14ac:dyDescent="0.35"/>
    <row r="6194" hidden="1" x14ac:dyDescent="0.35"/>
    <row r="6195" hidden="1" x14ac:dyDescent="0.35"/>
    <row r="6196" hidden="1" x14ac:dyDescent="0.35"/>
    <row r="6197" hidden="1" x14ac:dyDescent="0.35"/>
    <row r="6198" hidden="1" x14ac:dyDescent="0.35"/>
    <row r="6199" hidden="1" x14ac:dyDescent="0.35"/>
    <row r="6200" hidden="1" x14ac:dyDescent="0.35"/>
    <row r="6201" hidden="1" x14ac:dyDescent="0.35"/>
    <row r="6202" hidden="1" x14ac:dyDescent="0.35"/>
    <row r="6203" hidden="1" x14ac:dyDescent="0.35"/>
    <row r="6204" hidden="1" x14ac:dyDescent="0.35"/>
    <row r="6205" hidden="1" x14ac:dyDescent="0.35"/>
    <row r="6206" hidden="1" x14ac:dyDescent="0.35"/>
    <row r="6207" hidden="1" x14ac:dyDescent="0.35"/>
    <row r="6208" hidden="1" x14ac:dyDescent="0.35"/>
    <row r="6209" hidden="1" x14ac:dyDescent="0.35"/>
    <row r="6210" hidden="1" x14ac:dyDescent="0.35"/>
    <row r="6211" hidden="1" x14ac:dyDescent="0.35"/>
    <row r="6212" hidden="1" x14ac:dyDescent="0.35"/>
    <row r="6213" hidden="1" x14ac:dyDescent="0.35"/>
    <row r="6214" hidden="1" x14ac:dyDescent="0.35"/>
    <row r="6215" hidden="1" x14ac:dyDescent="0.35"/>
    <row r="6216" hidden="1" x14ac:dyDescent="0.35"/>
    <row r="6217" hidden="1" x14ac:dyDescent="0.35"/>
    <row r="6218" hidden="1" x14ac:dyDescent="0.35"/>
    <row r="6219" hidden="1" x14ac:dyDescent="0.35"/>
    <row r="6220" hidden="1" x14ac:dyDescent="0.35"/>
    <row r="6221" hidden="1" x14ac:dyDescent="0.35"/>
    <row r="6222" hidden="1" x14ac:dyDescent="0.35"/>
    <row r="6223" hidden="1" x14ac:dyDescent="0.35"/>
    <row r="6224" hidden="1" x14ac:dyDescent="0.35"/>
    <row r="6225" hidden="1" x14ac:dyDescent="0.35"/>
    <row r="6226" hidden="1" x14ac:dyDescent="0.35"/>
    <row r="6227" hidden="1" x14ac:dyDescent="0.35"/>
    <row r="6228" hidden="1" x14ac:dyDescent="0.35"/>
    <row r="6229" hidden="1" x14ac:dyDescent="0.35"/>
    <row r="6230" hidden="1" x14ac:dyDescent="0.35"/>
    <row r="6231" hidden="1" x14ac:dyDescent="0.35"/>
    <row r="6232" hidden="1" x14ac:dyDescent="0.35"/>
    <row r="6233" hidden="1" x14ac:dyDescent="0.35"/>
    <row r="6234" hidden="1" x14ac:dyDescent="0.35"/>
    <row r="6235" hidden="1" x14ac:dyDescent="0.35"/>
    <row r="6236" hidden="1" x14ac:dyDescent="0.35"/>
    <row r="6237" hidden="1" x14ac:dyDescent="0.35"/>
    <row r="6238" hidden="1" x14ac:dyDescent="0.35"/>
    <row r="6239" hidden="1" x14ac:dyDescent="0.35"/>
    <row r="6240" hidden="1" x14ac:dyDescent="0.35"/>
    <row r="6241" hidden="1" x14ac:dyDescent="0.35"/>
    <row r="6242" hidden="1" x14ac:dyDescent="0.35"/>
    <row r="6243" hidden="1" x14ac:dyDescent="0.35"/>
    <row r="6244" hidden="1" x14ac:dyDescent="0.35"/>
    <row r="6245" hidden="1" x14ac:dyDescent="0.35"/>
    <row r="6246" hidden="1" x14ac:dyDescent="0.35"/>
    <row r="6247" hidden="1" x14ac:dyDescent="0.35"/>
    <row r="6248" hidden="1" x14ac:dyDescent="0.35"/>
    <row r="6249" hidden="1" x14ac:dyDescent="0.35"/>
    <row r="6250" hidden="1" x14ac:dyDescent="0.35"/>
    <row r="6251" hidden="1" x14ac:dyDescent="0.35"/>
    <row r="6252" hidden="1" x14ac:dyDescent="0.35"/>
    <row r="6253" hidden="1" x14ac:dyDescent="0.35"/>
    <row r="6254" hidden="1" x14ac:dyDescent="0.35"/>
    <row r="6255" hidden="1" x14ac:dyDescent="0.35"/>
    <row r="6256" hidden="1" x14ac:dyDescent="0.35"/>
    <row r="6257" hidden="1" x14ac:dyDescent="0.35"/>
    <row r="6258" hidden="1" x14ac:dyDescent="0.35"/>
    <row r="6259" hidden="1" x14ac:dyDescent="0.35"/>
    <row r="6260" hidden="1" x14ac:dyDescent="0.35"/>
    <row r="6261" hidden="1" x14ac:dyDescent="0.35"/>
    <row r="6262" hidden="1" x14ac:dyDescent="0.35"/>
    <row r="6263" hidden="1" x14ac:dyDescent="0.35"/>
    <row r="6264" hidden="1" x14ac:dyDescent="0.35"/>
    <row r="6265" hidden="1" x14ac:dyDescent="0.35"/>
    <row r="6266" hidden="1" x14ac:dyDescent="0.35"/>
    <row r="6267" hidden="1" x14ac:dyDescent="0.35"/>
    <row r="6268" hidden="1" x14ac:dyDescent="0.35"/>
    <row r="6269" hidden="1" x14ac:dyDescent="0.35"/>
    <row r="6270" hidden="1" x14ac:dyDescent="0.35"/>
    <row r="6271" hidden="1" x14ac:dyDescent="0.35"/>
    <row r="6272" hidden="1" x14ac:dyDescent="0.35"/>
    <row r="6273" hidden="1" x14ac:dyDescent="0.35"/>
    <row r="6274" hidden="1" x14ac:dyDescent="0.35"/>
    <row r="6275" hidden="1" x14ac:dyDescent="0.35"/>
    <row r="6276" hidden="1" x14ac:dyDescent="0.35"/>
    <row r="6277" hidden="1" x14ac:dyDescent="0.35"/>
    <row r="6278" hidden="1" x14ac:dyDescent="0.35"/>
    <row r="6279" hidden="1" x14ac:dyDescent="0.35"/>
    <row r="6280" hidden="1" x14ac:dyDescent="0.35"/>
    <row r="6281" hidden="1" x14ac:dyDescent="0.35"/>
    <row r="6282" hidden="1" x14ac:dyDescent="0.35"/>
    <row r="6283" hidden="1" x14ac:dyDescent="0.35"/>
    <row r="6284" hidden="1" x14ac:dyDescent="0.35"/>
    <row r="6285" hidden="1" x14ac:dyDescent="0.35"/>
    <row r="6286" hidden="1" x14ac:dyDescent="0.35"/>
    <row r="6287" hidden="1" x14ac:dyDescent="0.35"/>
    <row r="6288" hidden="1" x14ac:dyDescent="0.35"/>
    <row r="6289" hidden="1" x14ac:dyDescent="0.35"/>
    <row r="6290" hidden="1" x14ac:dyDescent="0.35"/>
    <row r="6291" hidden="1" x14ac:dyDescent="0.35"/>
    <row r="6292" hidden="1" x14ac:dyDescent="0.35"/>
    <row r="6293" hidden="1" x14ac:dyDescent="0.35"/>
    <row r="6294" hidden="1" x14ac:dyDescent="0.35"/>
    <row r="6295" hidden="1" x14ac:dyDescent="0.35"/>
    <row r="6296" hidden="1" x14ac:dyDescent="0.35"/>
    <row r="6297" hidden="1" x14ac:dyDescent="0.35"/>
    <row r="6298" hidden="1" x14ac:dyDescent="0.35"/>
    <row r="6299" hidden="1" x14ac:dyDescent="0.35"/>
    <row r="6300" hidden="1" x14ac:dyDescent="0.35"/>
    <row r="6301" hidden="1" x14ac:dyDescent="0.35"/>
    <row r="6302" hidden="1" x14ac:dyDescent="0.35"/>
    <row r="6303" hidden="1" x14ac:dyDescent="0.35"/>
    <row r="6304" hidden="1" x14ac:dyDescent="0.35"/>
    <row r="6305" hidden="1" x14ac:dyDescent="0.35"/>
    <row r="6306" hidden="1" x14ac:dyDescent="0.35"/>
    <row r="6307" hidden="1" x14ac:dyDescent="0.35"/>
    <row r="6308" hidden="1" x14ac:dyDescent="0.35"/>
    <row r="6309" hidden="1" x14ac:dyDescent="0.35"/>
    <row r="6310" hidden="1" x14ac:dyDescent="0.35"/>
    <row r="6311" hidden="1" x14ac:dyDescent="0.35"/>
    <row r="6312" hidden="1" x14ac:dyDescent="0.35"/>
    <row r="6313" hidden="1" x14ac:dyDescent="0.35"/>
    <row r="6314" hidden="1" x14ac:dyDescent="0.35"/>
    <row r="6315" hidden="1" x14ac:dyDescent="0.35"/>
    <row r="6316" hidden="1" x14ac:dyDescent="0.35"/>
    <row r="6317" hidden="1" x14ac:dyDescent="0.35"/>
    <row r="6318" hidden="1" x14ac:dyDescent="0.35"/>
    <row r="6319" hidden="1" x14ac:dyDescent="0.35"/>
    <row r="6320" hidden="1" x14ac:dyDescent="0.35"/>
    <row r="6321" hidden="1" x14ac:dyDescent="0.35"/>
    <row r="6322" hidden="1" x14ac:dyDescent="0.35"/>
    <row r="6323" hidden="1" x14ac:dyDescent="0.35"/>
    <row r="6324" hidden="1" x14ac:dyDescent="0.35"/>
    <row r="6325" hidden="1" x14ac:dyDescent="0.35"/>
    <row r="6326" hidden="1" x14ac:dyDescent="0.35"/>
    <row r="6327" hidden="1" x14ac:dyDescent="0.35"/>
    <row r="6328" hidden="1" x14ac:dyDescent="0.35"/>
    <row r="6329" hidden="1" x14ac:dyDescent="0.35"/>
    <row r="6330" hidden="1" x14ac:dyDescent="0.35"/>
    <row r="6331" hidden="1" x14ac:dyDescent="0.35"/>
    <row r="6332" hidden="1" x14ac:dyDescent="0.35"/>
    <row r="6333" hidden="1" x14ac:dyDescent="0.35"/>
    <row r="6334" hidden="1" x14ac:dyDescent="0.35"/>
    <row r="6335" hidden="1" x14ac:dyDescent="0.35"/>
    <row r="6336" hidden="1" x14ac:dyDescent="0.35"/>
    <row r="6337" hidden="1" x14ac:dyDescent="0.35"/>
    <row r="6338" hidden="1" x14ac:dyDescent="0.35"/>
    <row r="6339" hidden="1" x14ac:dyDescent="0.35"/>
    <row r="6340" hidden="1" x14ac:dyDescent="0.35"/>
    <row r="6341" hidden="1" x14ac:dyDescent="0.35"/>
    <row r="6342" hidden="1" x14ac:dyDescent="0.35"/>
    <row r="6343" hidden="1" x14ac:dyDescent="0.35"/>
    <row r="6344" hidden="1" x14ac:dyDescent="0.35"/>
    <row r="6345" hidden="1" x14ac:dyDescent="0.35"/>
    <row r="6346" hidden="1" x14ac:dyDescent="0.35"/>
    <row r="6347" hidden="1" x14ac:dyDescent="0.35"/>
    <row r="6348" hidden="1" x14ac:dyDescent="0.35"/>
    <row r="6349" hidden="1" x14ac:dyDescent="0.35"/>
    <row r="6350" hidden="1" x14ac:dyDescent="0.35"/>
    <row r="6351" hidden="1" x14ac:dyDescent="0.35"/>
    <row r="6352" hidden="1" x14ac:dyDescent="0.35"/>
    <row r="6353" hidden="1" x14ac:dyDescent="0.35"/>
    <row r="6354" hidden="1" x14ac:dyDescent="0.35"/>
    <row r="6355" hidden="1" x14ac:dyDescent="0.35"/>
    <row r="6356" hidden="1" x14ac:dyDescent="0.35"/>
    <row r="6357" hidden="1" x14ac:dyDescent="0.35"/>
    <row r="6358" hidden="1" x14ac:dyDescent="0.35"/>
    <row r="6359" hidden="1" x14ac:dyDescent="0.35"/>
    <row r="6360" hidden="1" x14ac:dyDescent="0.35"/>
    <row r="6361" hidden="1" x14ac:dyDescent="0.35"/>
    <row r="6362" hidden="1" x14ac:dyDescent="0.35"/>
    <row r="6363" hidden="1" x14ac:dyDescent="0.35"/>
    <row r="6364" hidden="1" x14ac:dyDescent="0.35"/>
    <row r="6365" hidden="1" x14ac:dyDescent="0.35"/>
    <row r="6366" hidden="1" x14ac:dyDescent="0.35"/>
    <row r="6367" hidden="1" x14ac:dyDescent="0.35"/>
    <row r="6368" hidden="1" x14ac:dyDescent="0.35"/>
    <row r="6369" hidden="1" x14ac:dyDescent="0.35"/>
    <row r="6370" hidden="1" x14ac:dyDescent="0.35"/>
    <row r="6371" hidden="1" x14ac:dyDescent="0.35"/>
    <row r="6372" hidden="1" x14ac:dyDescent="0.35"/>
    <row r="6373" hidden="1" x14ac:dyDescent="0.35"/>
    <row r="6374" hidden="1" x14ac:dyDescent="0.35"/>
    <row r="6375" hidden="1" x14ac:dyDescent="0.35"/>
    <row r="6376" hidden="1" x14ac:dyDescent="0.35"/>
    <row r="6377" hidden="1" x14ac:dyDescent="0.35"/>
    <row r="6378" hidden="1" x14ac:dyDescent="0.35"/>
    <row r="6379" hidden="1" x14ac:dyDescent="0.35"/>
    <row r="6380" hidden="1" x14ac:dyDescent="0.35"/>
    <row r="6381" hidden="1" x14ac:dyDescent="0.35"/>
    <row r="6382" hidden="1" x14ac:dyDescent="0.35"/>
    <row r="6383" hidden="1" x14ac:dyDescent="0.35"/>
    <row r="6384" hidden="1" x14ac:dyDescent="0.35"/>
    <row r="6385" hidden="1" x14ac:dyDescent="0.35"/>
    <row r="6386" hidden="1" x14ac:dyDescent="0.35"/>
    <row r="6387" hidden="1" x14ac:dyDescent="0.35"/>
    <row r="6388" hidden="1" x14ac:dyDescent="0.35"/>
    <row r="6389" hidden="1" x14ac:dyDescent="0.35"/>
    <row r="6390" hidden="1" x14ac:dyDescent="0.35"/>
    <row r="6391" hidden="1" x14ac:dyDescent="0.35"/>
    <row r="6392" hidden="1" x14ac:dyDescent="0.35"/>
    <row r="6393" hidden="1" x14ac:dyDescent="0.35"/>
    <row r="6394" hidden="1" x14ac:dyDescent="0.35"/>
    <row r="6395" hidden="1" x14ac:dyDescent="0.35"/>
    <row r="6396" hidden="1" x14ac:dyDescent="0.35"/>
    <row r="6397" hidden="1" x14ac:dyDescent="0.35"/>
    <row r="6398" hidden="1" x14ac:dyDescent="0.35"/>
    <row r="6399" hidden="1" x14ac:dyDescent="0.35"/>
    <row r="6400" hidden="1" x14ac:dyDescent="0.35"/>
    <row r="6401" hidden="1" x14ac:dyDescent="0.35"/>
    <row r="6402" hidden="1" x14ac:dyDescent="0.35"/>
    <row r="6403" hidden="1" x14ac:dyDescent="0.35"/>
    <row r="6404" hidden="1" x14ac:dyDescent="0.35"/>
    <row r="6405" hidden="1" x14ac:dyDescent="0.35"/>
    <row r="6406" hidden="1" x14ac:dyDescent="0.35"/>
    <row r="6407" hidden="1" x14ac:dyDescent="0.35"/>
    <row r="6408" hidden="1" x14ac:dyDescent="0.35"/>
    <row r="6409" hidden="1" x14ac:dyDescent="0.35"/>
    <row r="6410" hidden="1" x14ac:dyDescent="0.35"/>
    <row r="6411" hidden="1" x14ac:dyDescent="0.35"/>
    <row r="6412" hidden="1" x14ac:dyDescent="0.35"/>
    <row r="6413" hidden="1" x14ac:dyDescent="0.35"/>
    <row r="6414" hidden="1" x14ac:dyDescent="0.35"/>
    <row r="6415" hidden="1" x14ac:dyDescent="0.35"/>
    <row r="6416" hidden="1" x14ac:dyDescent="0.35"/>
    <row r="6417" hidden="1" x14ac:dyDescent="0.35"/>
    <row r="6418" hidden="1" x14ac:dyDescent="0.35"/>
    <row r="6419" hidden="1" x14ac:dyDescent="0.35"/>
    <row r="6420" hidden="1" x14ac:dyDescent="0.35"/>
    <row r="6421" hidden="1" x14ac:dyDescent="0.35"/>
    <row r="6422" hidden="1" x14ac:dyDescent="0.35"/>
    <row r="6423" hidden="1" x14ac:dyDescent="0.35"/>
    <row r="6424" hidden="1" x14ac:dyDescent="0.35"/>
    <row r="6425" hidden="1" x14ac:dyDescent="0.35"/>
    <row r="6426" hidden="1" x14ac:dyDescent="0.35"/>
    <row r="6427" hidden="1" x14ac:dyDescent="0.35"/>
    <row r="6428" hidden="1" x14ac:dyDescent="0.35"/>
    <row r="6429" hidden="1" x14ac:dyDescent="0.35"/>
    <row r="6430" hidden="1" x14ac:dyDescent="0.35"/>
    <row r="6431" hidden="1" x14ac:dyDescent="0.35"/>
    <row r="6432" hidden="1" x14ac:dyDescent="0.35"/>
    <row r="6433" hidden="1" x14ac:dyDescent="0.35"/>
    <row r="6434" hidden="1" x14ac:dyDescent="0.35"/>
    <row r="6435" hidden="1" x14ac:dyDescent="0.35"/>
    <row r="6436" hidden="1" x14ac:dyDescent="0.35"/>
    <row r="6437" hidden="1" x14ac:dyDescent="0.35"/>
    <row r="6438" hidden="1" x14ac:dyDescent="0.35"/>
    <row r="6439" hidden="1" x14ac:dyDescent="0.35"/>
    <row r="6440" hidden="1" x14ac:dyDescent="0.35"/>
    <row r="6441" hidden="1" x14ac:dyDescent="0.35"/>
    <row r="6442" hidden="1" x14ac:dyDescent="0.35"/>
    <row r="6443" hidden="1" x14ac:dyDescent="0.35"/>
    <row r="6444" hidden="1" x14ac:dyDescent="0.35"/>
    <row r="6445" hidden="1" x14ac:dyDescent="0.35"/>
    <row r="6446" hidden="1" x14ac:dyDescent="0.35"/>
    <row r="6447" hidden="1" x14ac:dyDescent="0.35"/>
    <row r="6448" hidden="1" x14ac:dyDescent="0.35"/>
    <row r="6449" hidden="1" x14ac:dyDescent="0.35"/>
    <row r="6450" hidden="1" x14ac:dyDescent="0.35"/>
    <row r="6451" hidden="1" x14ac:dyDescent="0.35"/>
    <row r="6452" hidden="1" x14ac:dyDescent="0.35"/>
    <row r="6453" hidden="1" x14ac:dyDescent="0.35"/>
    <row r="6454" hidden="1" x14ac:dyDescent="0.35"/>
    <row r="6455" hidden="1" x14ac:dyDescent="0.35"/>
    <row r="6456" hidden="1" x14ac:dyDescent="0.35"/>
    <row r="6457" hidden="1" x14ac:dyDescent="0.35"/>
    <row r="6458" hidden="1" x14ac:dyDescent="0.35"/>
    <row r="6459" hidden="1" x14ac:dyDescent="0.35"/>
    <row r="6460" hidden="1" x14ac:dyDescent="0.35"/>
    <row r="6461" hidden="1" x14ac:dyDescent="0.35"/>
    <row r="6462" hidden="1" x14ac:dyDescent="0.35"/>
    <row r="6463" hidden="1" x14ac:dyDescent="0.35"/>
    <row r="6464" hidden="1" x14ac:dyDescent="0.35"/>
    <row r="6465" hidden="1" x14ac:dyDescent="0.35"/>
    <row r="6466" hidden="1" x14ac:dyDescent="0.35"/>
    <row r="6467" hidden="1" x14ac:dyDescent="0.35"/>
    <row r="6468" hidden="1" x14ac:dyDescent="0.35"/>
    <row r="6469" hidden="1" x14ac:dyDescent="0.35"/>
    <row r="6470" hidden="1" x14ac:dyDescent="0.35"/>
    <row r="6471" hidden="1" x14ac:dyDescent="0.35"/>
    <row r="6472" hidden="1" x14ac:dyDescent="0.35"/>
    <row r="6473" hidden="1" x14ac:dyDescent="0.35"/>
    <row r="6474" hidden="1" x14ac:dyDescent="0.35"/>
    <row r="6475" hidden="1" x14ac:dyDescent="0.35"/>
    <row r="6476" hidden="1" x14ac:dyDescent="0.35"/>
    <row r="6477" hidden="1" x14ac:dyDescent="0.35"/>
    <row r="6478" hidden="1" x14ac:dyDescent="0.35"/>
    <row r="6479" hidden="1" x14ac:dyDescent="0.35"/>
    <row r="6480" hidden="1" x14ac:dyDescent="0.35"/>
    <row r="6481" hidden="1" x14ac:dyDescent="0.35"/>
    <row r="6482" hidden="1" x14ac:dyDescent="0.35"/>
    <row r="6483" hidden="1" x14ac:dyDescent="0.35"/>
    <row r="6484" hidden="1" x14ac:dyDescent="0.35"/>
    <row r="6485" hidden="1" x14ac:dyDescent="0.35"/>
    <row r="6486" hidden="1" x14ac:dyDescent="0.35"/>
    <row r="6487" hidden="1" x14ac:dyDescent="0.35"/>
    <row r="6488" hidden="1" x14ac:dyDescent="0.35"/>
    <row r="6489" hidden="1" x14ac:dyDescent="0.35"/>
    <row r="6490" hidden="1" x14ac:dyDescent="0.35"/>
    <row r="6491" hidden="1" x14ac:dyDescent="0.35"/>
    <row r="6492" hidden="1" x14ac:dyDescent="0.35"/>
    <row r="6493" hidden="1" x14ac:dyDescent="0.35"/>
    <row r="6494" hidden="1" x14ac:dyDescent="0.35"/>
    <row r="6495" hidden="1" x14ac:dyDescent="0.35"/>
    <row r="6496" hidden="1" x14ac:dyDescent="0.35"/>
    <row r="6497" hidden="1" x14ac:dyDescent="0.35"/>
    <row r="6498" hidden="1" x14ac:dyDescent="0.35"/>
    <row r="6499" hidden="1" x14ac:dyDescent="0.35"/>
    <row r="6500" hidden="1" x14ac:dyDescent="0.35"/>
    <row r="6501" hidden="1" x14ac:dyDescent="0.35"/>
    <row r="6502" hidden="1" x14ac:dyDescent="0.35"/>
    <row r="6503" hidden="1" x14ac:dyDescent="0.35"/>
    <row r="6504" hidden="1" x14ac:dyDescent="0.35"/>
    <row r="6505" hidden="1" x14ac:dyDescent="0.35"/>
    <row r="6506" hidden="1" x14ac:dyDescent="0.35"/>
    <row r="6507" hidden="1" x14ac:dyDescent="0.35"/>
    <row r="6508" hidden="1" x14ac:dyDescent="0.35"/>
    <row r="6509" hidden="1" x14ac:dyDescent="0.35"/>
    <row r="6510" hidden="1" x14ac:dyDescent="0.35"/>
    <row r="6511" hidden="1" x14ac:dyDescent="0.35"/>
    <row r="6512" hidden="1" x14ac:dyDescent="0.35"/>
    <row r="6513" hidden="1" x14ac:dyDescent="0.35"/>
    <row r="6514" hidden="1" x14ac:dyDescent="0.35"/>
    <row r="6515" hidden="1" x14ac:dyDescent="0.35"/>
    <row r="6516" hidden="1" x14ac:dyDescent="0.35"/>
    <row r="6517" hidden="1" x14ac:dyDescent="0.35"/>
    <row r="6518" hidden="1" x14ac:dyDescent="0.35"/>
    <row r="6519" hidden="1" x14ac:dyDescent="0.35"/>
    <row r="6520" hidden="1" x14ac:dyDescent="0.35"/>
    <row r="6521" hidden="1" x14ac:dyDescent="0.35"/>
    <row r="6522" hidden="1" x14ac:dyDescent="0.35"/>
    <row r="6523" hidden="1" x14ac:dyDescent="0.35"/>
    <row r="6524" hidden="1" x14ac:dyDescent="0.35"/>
    <row r="6525" hidden="1" x14ac:dyDescent="0.35"/>
    <row r="6526" hidden="1" x14ac:dyDescent="0.35"/>
    <row r="6527" hidden="1" x14ac:dyDescent="0.35"/>
    <row r="6528" hidden="1" x14ac:dyDescent="0.35"/>
    <row r="6529" hidden="1" x14ac:dyDescent="0.35"/>
    <row r="6530" hidden="1" x14ac:dyDescent="0.35"/>
    <row r="6531" hidden="1" x14ac:dyDescent="0.35"/>
    <row r="6532" hidden="1" x14ac:dyDescent="0.35"/>
    <row r="6533" hidden="1" x14ac:dyDescent="0.35"/>
    <row r="6534" hidden="1" x14ac:dyDescent="0.35"/>
    <row r="6535" hidden="1" x14ac:dyDescent="0.35"/>
    <row r="6536" hidden="1" x14ac:dyDescent="0.35"/>
    <row r="6537" hidden="1" x14ac:dyDescent="0.35"/>
    <row r="6538" hidden="1" x14ac:dyDescent="0.35"/>
    <row r="6539" hidden="1" x14ac:dyDescent="0.35"/>
    <row r="6540" hidden="1" x14ac:dyDescent="0.35"/>
    <row r="6541" hidden="1" x14ac:dyDescent="0.35"/>
    <row r="6542" hidden="1" x14ac:dyDescent="0.35"/>
    <row r="6543" hidden="1" x14ac:dyDescent="0.35"/>
    <row r="6544" hidden="1" x14ac:dyDescent="0.35"/>
    <row r="6545" hidden="1" x14ac:dyDescent="0.35"/>
    <row r="6546" hidden="1" x14ac:dyDescent="0.35"/>
    <row r="6547" hidden="1" x14ac:dyDescent="0.35"/>
    <row r="6548" hidden="1" x14ac:dyDescent="0.35"/>
    <row r="6549" hidden="1" x14ac:dyDescent="0.35"/>
    <row r="6550" hidden="1" x14ac:dyDescent="0.35"/>
    <row r="6551" hidden="1" x14ac:dyDescent="0.35"/>
    <row r="6552" hidden="1" x14ac:dyDescent="0.35"/>
    <row r="6553" hidden="1" x14ac:dyDescent="0.35"/>
    <row r="6554" hidden="1" x14ac:dyDescent="0.35"/>
    <row r="6555" hidden="1" x14ac:dyDescent="0.35"/>
    <row r="6556" hidden="1" x14ac:dyDescent="0.35"/>
    <row r="6557" hidden="1" x14ac:dyDescent="0.35"/>
    <row r="6558" hidden="1" x14ac:dyDescent="0.35"/>
    <row r="6559" hidden="1" x14ac:dyDescent="0.35"/>
    <row r="6560" hidden="1" x14ac:dyDescent="0.35"/>
    <row r="6561" hidden="1" x14ac:dyDescent="0.35"/>
    <row r="6562" hidden="1" x14ac:dyDescent="0.35"/>
    <row r="6563" hidden="1" x14ac:dyDescent="0.35"/>
    <row r="6564" hidden="1" x14ac:dyDescent="0.35"/>
    <row r="6565" hidden="1" x14ac:dyDescent="0.35"/>
    <row r="6566" hidden="1" x14ac:dyDescent="0.35"/>
    <row r="6567" hidden="1" x14ac:dyDescent="0.35"/>
    <row r="6568" hidden="1" x14ac:dyDescent="0.35"/>
    <row r="6569" hidden="1" x14ac:dyDescent="0.35"/>
    <row r="6570" hidden="1" x14ac:dyDescent="0.35"/>
    <row r="6571" hidden="1" x14ac:dyDescent="0.35"/>
    <row r="6572" hidden="1" x14ac:dyDescent="0.35"/>
    <row r="6573" hidden="1" x14ac:dyDescent="0.35"/>
    <row r="6574" hidden="1" x14ac:dyDescent="0.35"/>
    <row r="6575" hidden="1" x14ac:dyDescent="0.35"/>
    <row r="6576" hidden="1" x14ac:dyDescent="0.35"/>
    <row r="6577" hidden="1" x14ac:dyDescent="0.35"/>
    <row r="6578" hidden="1" x14ac:dyDescent="0.35"/>
    <row r="6579" hidden="1" x14ac:dyDescent="0.35"/>
    <row r="6580" hidden="1" x14ac:dyDescent="0.35"/>
    <row r="6581" hidden="1" x14ac:dyDescent="0.35"/>
    <row r="6582" hidden="1" x14ac:dyDescent="0.35"/>
    <row r="6583" hidden="1" x14ac:dyDescent="0.35"/>
    <row r="6584" hidden="1" x14ac:dyDescent="0.35"/>
    <row r="6585" hidden="1" x14ac:dyDescent="0.35"/>
    <row r="6586" hidden="1" x14ac:dyDescent="0.35"/>
    <row r="6587" hidden="1" x14ac:dyDescent="0.35"/>
    <row r="6588" hidden="1" x14ac:dyDescent="0.35"/>
    <row r="6589" hidden="1" x14ac:dyDescent="0.35"/>
    <row r="6590" hidden="1" x14ac:dyDescent="0.35"/>
    <row r="6591" hidden="1" x14ac:dyDescent="0.35"/>
    <row r="6592" hidden="1" x14ac:dyDescent="0.35"/>
    <row r="6593" hidden="1" x14ac:dyDescent="0.35"/>
    <row r="6594" hidden="1" x14ac:dyDescent="0.35"/>
    <row r="6595" hidden="1" x14ac:dyDescent="0.35"/>
    <row r="6596" hidden="1" x14ac:dyDescent="0.35"/>
    <row r="6597" hidden="1" x14ac:dyDescent="0.35"/>
    <row r="6598" hidden="1" x14ac:dyDescent="0.35"/>
    <row r="6599" hidden="1" x14ac:dyDescent="0.35"/>
    <row r="6600" hidden="1" x14ac:dyDescent="0.35"/>
    <row r="6601" hidden="1" x14ac:dyDescent="0.35"/>
    <row r="6602" hidden="1" x14ac:dyDescent="0.35"/>
    <row r="6603" hidden="1" x14ac:dyDescent="0.35"/>
    <row r="6604" hidden="1" x14ac:dyDescent="0.35"/>
    <row r="6605" hidden="1" x14ac:dyDescent="0.35"/>
    <row r="6606" hidden="1" x14ac:dyDescent="0.35"/>
    <row r="6607" hidden="1" x14ac:dyDescent="0.35"/>
    <row r="6608" hidden="1" x14ac:dyDescent="0.35"/>
    <row r="6609" hidden="1" x14ac:dyDescent="0.35"/>
    <row r="6610" hidden="1" x14ac:dyDescent="0.35"/>
    <row r="6611" hidden="1" x14ac:dyDescent="0.35"/>
    <row r="6612" hidden="1" x14ac:dyDescent="0.35"/>
    <row r="6613" hidden="1" x14ac:dyDescent="0.35"/>
    <row r="6614" hidden="1" x14ac:dyDescent="0.35"/>
    <row r="6615" hidden="1" x14ac:dyDescent="0.35"/>
    <row r="6616" hidden="1" x14ac:dyDescent="0.35"/>
    <row r="6617" hidden="1" x14ac:dyDescent="0.35"/>
    <row r="6618" hidden="1" x14ac:dyDescent="0.35"/>
    <row r="6619" hidden="1" x14ac:dyDescent="0.35"/>
    <row r="6620" hidden="1" x14ac:dyDescent="0.35"/>
    <row r="6621" hidden="1" x14ac:dyDescent="0.35"/>
    <row r="6622" hidden="1" x14ac:dyDescent="0.35"/>
    <row r="6623" hidden="1" x14ac:dyDescent="0.35"/>
    <row r="6624" hidden="1" x14ac:dyDescent="0.35"/>
    <row r="6625" hidden="1" x14ac:dyDescent="0.35"/>
    <row r="6626" hidden="1" x14ac:dyDescent="0.35"/>
    <row r="6627" hidden="1" x14ac:dyDescent="0.35"/>
    <row r="6628" hidden="1" x14ac:dyDescent="0.35"/>
    <row r="6629" hidden="1" x14ac:dyDescent="0.35"/>
    <row r="6630" hidden="1" x14ac:dyDescent="0.35"/>
    <row r="6631" hidden="1" x14ac:dyDescent="0.35"/>
    <row r="6632" hidden="1" x14ac:dyDescent="0.35"/>
    <row r="6633" hidden="1" x14ac:dyDescent="0.35"/>
    <row r="6634" hidden="1" x14ac:dyDescent="0.35"/>
    <row r="6635" hidden="1" x14ac:dyDescent="0.35"/>
    <row r="6636" hidden="1" x14ac:dyDescent="0.35"/>
    <row r="6637" hidden="1" x14ac:dyDescent="0.35"/>
    <row r="6638" hidden="1" x14ac:dyDescent="0.35"/>
    <row r="6639" hidden="1" x14ac:dyDescent="0.35"/>
    <row r="6640" hidden="1" x14ac:dyDescent="0.35"/>
    <row r="6641" hidden="1" x14ac:dyDescent="0.35"/>
    <row r="6642" hidden="1" x14ac:dyDescent="0.35"/>
    <row r="6643" hidden="1" x14ac:dyDescent="0.35"/>
    <row r="6644" hidden="1" x14ac:dyDescent="0.35"/>
    <row r="6645" hidden="1" x14ac:dyDescent="0.35"/>
    <row r="6646" hidden="1" x14ac:dyDescent="0.35"/>
    <row r="6647" hidden="1" x14ac:dyDescent="0.35"/>
    <row r="6648" hidden="1" x14ac:dyDescent="0.35"/>
    <row r="6649" hidden="1" x14ac:dyDescent="0.35"/>
    <row r="6650" hidden="1" x14ac:dyDescent="0.35"/>
    <row r="6651" hidden="1" x14ac:dyDescent="0.35"/>
    <row r="6652" hidden="1" x14ac:dyDescent="0.35"/>
    <row r="6653" hidden="1" x14ac:dyDescent="0.35"/>
    <row r="6654" hidden="1" x14ac:dyDescent="0.35"/>
    <row r="6655" hidden="1" x14ac:dyDescent="0.35"/>
    <row r="6656" hidden="1" x14ac:dyDescent="0.35"/>
    <row r="6657" hidden="1" x14ac:dyDescent="0.35"/>
    <row r="6658" hidden="1" x14ac:dyDescent="0.35"/>
    <row r="6659" hidden="1" x14ac:dyDescent="0.35"/>
    <row r="6660" hidden="1" x14ac:dyDescent="0.35"/>
    <row r="6661" hidden="1" x14ac:dyDescent="0.35"/>
    <row r="6662" hidden="1" x14ac:dyDescent="0.35"/>
    <row r="6663" hidden="1" x14ac:dyDescent="0.35"/>
    <row r="6664" hidden="1" x14ac:dyDescent="0.35"/>
    <row r="6665" hidden="1" x14ac:dyDescent="0.35"/>
    <row r="6666" hidden="1" x14ac:dyDescent="0.35"/>
    <row r="6667" hidden="1" x14ac:dyDescent="0.35"/>
    <row r="6668" hidden="1" x14ac:dyDescent="0.35"/>
    <row r="6669" hidden="1" x14ac:dyDescent="0.35"/>
    <row r="6670" hidden="1" x14ac:dyDescent="0.35"/>
    <row r="6671" hidden="1" x14ac:dyDescent="0.35"/>
    <row r="6672" hidden="1" x14ac:dyDescent="0.35"/>
    <row r="6673" hidden="1" x14ac:dyDescent="0.35"/>
    <row r="6674" hidden="1" x14ac:dyDescent="0.35"/>
    <row r="6675" hidden="1" x14ac:dyDescent="0.35"/>
    <row r="6676" hidden="1" x14ac:dyDescent="0.35"/>
    <row r="6677" hidden="1" x14ac:dyDescent="0.35"/>
    <row r="6678" hidden="1" x14ac:dyDescent="0.35"/>
    <row r="6679" hidden="1" x14ac:dyDescent="0.35"/>
    <row r="6680" hidden="1" x14ac:dyDescent="0.35"/>
    <row r="6681" hidden="1" x14ac:dyDescent="0.35"/>
    <row r="6682" hidden="1" x14ac:dyDescent="0.35"/>
    <row r="6683" hidden="1" x14ac:dyDescent="0.35"/>
    <row r="6684" hidden="1" x14ac:dyDescent="0.35"/>
    <row r="6685" hidden="1" x14ac:dyDescent="0.35"/>
    <row r="6686" hidden="1" x14ac:dyDescent="0.35"/>
    <row r="6687" hidden="1" x14ac:dyDescent="0.35"/>
    <row r="6688" hidden="1" x14ac:dyDescent="0.35"/>
    <row r="6689" hidden="1" x14ac:dyDescent="0.35"/>
    <row r="6690" hidden="1" x14ac:dyDescent="0.35"/>
    <row r="6691" hidden="1" x14ac:dyDescent="0.35"/>
    <row r="6692" hidden="1" x14ac:dyDescent="0.35"/>
    <row r="6693" hidden="1" x14ac:dyDescent="0.35"/>
    <row r="6694" hidden="1" x14ac:dyDescent="0.35"/>
    <row r="6695" hidden="1" x14ac:dyDescent="0.35"/>
    <row r="6696" hidden="1" x14ac:dyDescent="0.35"/>
    <row r="6697" hidden="1" x14ac:dyDescent="0.35"/>
    <row r="6698" hidden="1" x14ac:dyDescent="0.35"/>
    <row r="6699" hidden="1" x14ac:dyDescent="0.35"/>
    <row r="6700" hidden="1" x14ac:dyDescent="0.35"/>
    <row r="6701" hidden="1" x14ac:dyDescent="0.35"/>
    <row r="6702" hidden="1" x14ac:dyDescent="0.35"/>
    <row r="6703" hidden="1" x14ac:dyDescent="0.35"/>
    <row r="6704" hidden="1" x14ac:dyDescent="0.35"/>
    <row r="6705" hidden="1" x14ac:dyDescent="0.35"/>
    <row r="6706" hidden="1" x14ac:dyDescent="0.35"/>
    <row r="6707" hidden="1" x14ac:dyDescent="0.35"/>
    <row r="6708" hidden="1" x14ac:dyDescent="0.35"/>
    <row r="6709" hidden="1" x14ac:dyDescent="0.35"/>
    <row r="6710" hidden="1" x14ac:dyDescent="0.35"/>
    <row r="6711" hidden="1" x14ac:dyDescent="0.35"/>
    <row r="6712" hidden="1" x14ac:dyDescent="0.35"/>
    <row r="6713" hidden="1" x14ac:dyDescent="0.35"/>
    <row r="6714" hidden="1" x14ac:dyDescent="0.35"/>
    <row r="6715" hidden="1" x14ac:dyDescent="0.35"/>
    <row r="6716" hidden="1" x14ac:dyDescent="0.35"/>
    <row r="6717" hidden="1" x14ac:dyDescent="0.35"/>
    <row r="6718" hidden="1" x14ac:dyDescent="0.35"/>
    <row r="6719" hidden="1" x14ac:dyDescent="0.35"/>
    <row r="6720" hidden="1" x14ac:dyDescent="0.35"/>
    <row r="6721" hidden="1" x14ac:dyDescent="0.35"/>
    <row r="6722" hidden="1" x14ac:dyDescent="0.35"/>
    <row r="6723" hidden="1" x14ac:dyDescent="0.35"/>
    <row r="6724" hidden="1" x14ac:dyDescent="0.35"/>
    <row r="6725" hidden="1" x14ac:dyDescent="0.35"/>
    <row r="6726" hidden="1" x14ac:dyDescent="0.35"/>
    <row r="6727" hidden="1" x14ac:dyDescent="0.35"/>
    <row r="6728" hidden="1" x14ac:dyDescent="0.35"/>
    <row r="6729" hidden="1" x14ac:dyDescent="0.35"/>
    <row r="6730" hidden="1" x14ac:dyDescent="0.35"/>
    <row r="6731" hidden="1" x14ac:dyDescent="0.35"/>
    <row r="6732" hidden="1" x14ac:dyDescent="0.35"/>
    <row r="6733" hidden="1" x14ac:dyDescent="0.35"/>
    <row r="6734" hidden="1" x14ac:dyDescent="0.35"/>
    <row r="6735" hidden="1" x14ac:dyDescent="0.35"/>
    <row r="6736" hidden="1" x14ac:dyDescent="0.35"/>
    <row r="6737" hidden="1" x14ac:dyDescent="0.35"/>
    <row r="6738" hidden="1" x14ac:dyDescent="0.35"/>
    <row r="6739" hidden="1" x14ac:dyDescent="0.35"/>
    <row r="6740" hidden="1" x14ac:dyDescent="0.35"/>
    <row r="6741" hidden="1" x14ac:dyDescent="0.35"/>
    <row r="6742" hidden="1" x14ac:dyDescent="0.35"/>
    <row r="6743" hidden="1" x14ac:dyDescent="0.35"/>
    <row r="6744" hidden="1" x14ac:dyDescent="0.35"/>
    <row r="6745" hidden="1" x14ac:dyDescent="0.35"/>
    <row r="6746" hidden="1" x14ac:dyDescent="0.35"/>
    <row r="6747" hidden="1" x14ac:dyDescent="0.35"/>
    <row r="6748" hidden="1" x14ac:dyDescent="0.35"/>
    <row r="6749" hidden="1" x14ac:dyDescent="0.35"/>
    <row r="6750" hidden="1" x14ac:dyDescent="0.35"/>
    <row r="6751" hidden="1" x14ac:dyDescent="0.35"/>
    <row r="6752" hidden="1" x14ac:dyDescent="0.35"/>
    <row r="6753" hidden="1" x14ac:dyDescent="0.35"/>
    <row r="6754" hidden="1" x14ac:dyDescent="0.35"/>
    <row r="6755" hidden="1" x14ac:dyDescent="0.35"/>
    <row r="6756" hidden="1" x14ac:dyDescent="0.35"/>
    <row r="6757" hidden="1" x14ac:dyDescent="0.35"/>
    <row r="6758" hidden="1" x14ac:dyDescent="0.35"/>
    <row r="6759" hidden="1" x14ac:dyDescent="0.35"/>
    <row r="6760" hidden="1" x14ac:dyDescent="0.35"/>
    <row r="6761" hidden="1" x14ac:dyDescent="0.35"/>
    <row r="6762" hidden="1" x14ac:dyDescent="0.35"/>
    <row r="6763" hidden="1" x14ac:dyDescent="0.35"/>
    <row r="6764" hidden="1" x14ac:dyDescent="0.35"/>
    <row r="6765" hidden="1" x14ac:dyDescent="0.35"/>
    <row r="6766" hidden="1" x14ac:dyDescent="0.35"/>
    <row r="6767" hidden="1" x14ac:dyDescent="0.35"/>
    <row r="6768" hidden="1" x14ac:dyDescent="0.35"/>
    <row r="6769" hidden="1" x14ac:dyDescent="0.35"/>
    <row r="6770" hidden="1" x14ac:dyDescent="0.35"/>
    <row r="6771" hidden="1" x14ac:dyDescent="0.35"/>
    <row r="6772" hidden="1" x14ac:dyDescent="0.35"/>
    <row r="6773" hidden="1" x14ac:dyDescent="0.35"/>
    <row r="6774" hidden="1" x14ac:dyDescent="0.35"/>
    <row r="6775" hidden="1" x14ac:dyDescent="0.35"/>
    <row r="6776" hidden="1" x14ac:dyDescent="0.35"/>
    <row r="6777" hidden="1" x14ac:dyDescent="0.35"/>
    <row r="6778" hidden="1" x14ac:dyDescent="0.35"/>
    <row r="6779" hidden="1" x14ac:dyDescent="0.35"/>
    <row r="6780" hidden="1" x14ac:dyDescent="0.35"/>
    <row r="6781" hidden="1" x14ac:dyDescent="0.35"/>
    <row r="6782" hidden="1" x14ac:dyDescent="0.35"/>
    <row r="6783" hidden="1" x14ac:dyDescent="0.35"/>
    <row r="6784" hidden="1" x14ac:dyDescent="0.35"/>
    <row r="6785" hidden="1" x14ac:dyDescent="0.35"/>
    <row r="6786" hidden="1" x14ac:dyDescent="0.35"/>
    <row r="6787" hidden="1" x14ac:dyDescent="0.35"/>
    <row r="6788" hidden="1" x14ac:dyDescent="0.35"/>
    <row r="6789" hidden="1" x14ac:dyDescent="0.35"/>
    <row r="6790" hidden="1" x14ac:dyDescent="0.35"/>
    <row r="6791" hidden="1" x14ac:dyDescent="0.35"/>
    <row r="6792" hidden="1" x14ac:dyDescent="0.35"/>
    <row r="6793" hidden="1" x14ac:dyDescent="0.35"/>
    <row r="6794" hidden="1" x14ac:dyDescent="0.35"/>
    <row r="6795" hidden="1" x14ac:dyDescent="0.35"/>
    <row r="6796" hidden="1" x14ac:dyDescent="0.35"/>
    <row r="6797" hidden="1" x14ac:dyDescent="0.35"/>
    <row r="6798" hidden="1" x14ac:dyDescent="0.35"/>
    <row r="6799" hidden="1" x14ac:dyDescent="0.35"/>
    <row r="6800" hidden="1" x14ac:dyDescent="0.35"/>
    <row r="6801" hidden="1" x14ac:dyDescent="0.35"/>
    <row r="6802" hidden="1" x14ac:dyDescent="0.35"/>
    <row r="6803" hidden="1" x14ac:dyDescent="0.35"/>
    <row r="6804" hidden="1" x14ac:dyDescent="0.35"/>
    <row r="6805" hidden="1" x14ac:dyDescent="0.35"/>
    <row r="6806" hidden="1" x14ac:dyDescent="0.35"/>
    <row r="6807" hidden="1" x14ac:dyDescent="0.35"/>
    <row r="6808" hidden="1" x14ac:dyDescent="0.35"/>
    <row r="6809" hidden="1" x14ac:dyDescent="0.35"/>
    <row r="6810" hidden="1" x14ac:dyDescent="0.35"/>
    <row r="6811" hidden="1" x14ac:dyDescent="0.35"/>
    <row r="6812" hidden="1" x14ac:dyDescent="0.35"/>
    <row r="6813" hidden="1" x14ac:dyDescent="0.35"/>
    <row r="6814" hidden="1" x14ac:dyDescent="0.35"/>
    <row r="6815" hidden="1" x14ac:dyDescent="0.35"/>
    <row r="6816" hidden="1" x14ac:dyDescent="0.35"/>
    <row r="6817" hidden="1" x14ac:dyDescent="0.35"/>
    <row r="6818" hidden="1" x14ac:dyDescent="0.35"/>
    <row r="6819" hidden="1" x14ac:dyDescent="0.35"/>
    <row r="6820" hidden="1" x14ac:dyDescent="0.35"/>
    <row r="6821" hidden="1" x14ac:dyDescent="0.35"/>
    <row r="6822" hidden="1" x14ac:dyDescent="0.35"/>
    <row r="6823" hidden="1" x14ac:dyDescent="0.35"/>
    <row r="6824" hidden="1" x14ac:dyDescent="0.35"/>
    <row r="6825" hidden="1" x14ac:dyDescent="0.35"/>
    <row r="6826" hidden="1" x14ac:dyDescent="0.35"/>
    <row r="6827" hidden="1" x14ac:dyDescent="0.35"/>
    <row r="6828" hidden="1" x14ac:dyDescent="0.35"/>
    <row r="6829" hidden="1" x14ac:dyDescent="0.35"/>
    <row r="6830" hidden="1" x14ac:dyDescent="0.35"/>
    <row r="6831" hidden="1" x14ac:dyDescent="0.35"/>
    <row r="6832" hidden="1" x14ac:dyDescent="0.35"/>
    <row r="6833" hidden="1" x14ac:dyDescent="0.35"/>
    <row r="6834" hidden="1" x14ac:dyDescent="0.35"/>
    <row r="6835" hidden="1" x14ac:dyDescent="0.35"/>
    <row r="6836" hidden="1" x14ac:dyDescent="0.35"/>
    <row r="6837" hidden="1" x14ac:dyDescent="0.35"/>
    <row r="6838" hidden="1" x14ac:dyDescent="0.35"/>
    <row r="6839" hidden="1" x14ac:dyDescent="0.35"/>
    <row r="6840" hidden="1" x14ac:dyDescent="0.35"/>
    <row r="6841" hidden="1" x14ac:dyDescent="0.35"/>
    <row r="6842" hidden="1" x14ac:dyDescent="0.35"/>
    <row r="6843" hidden="1" x14ac:dyDescent="0.35"/>
    <row r="6844" hidden="1" x14ac:dyDescent="0.35"/>
    <row r="6845" hidden="1" x14ac:dyDescent="0.35"/>
    <row r="6846" hidden="1" x14ac:dyDescent="0.35"/>
    <row r="6847" hidden="1" x14ac:dyDescent="0.35"/>
    <row r="6848" hidden="1" x14ac:dyDescent="0.35"/>
    <row r="6849" hidden="1" x14ac:dyDescent="0.35"/>
    <row r="6850" hidden="1" x14ac:dyDescent="0.35"/>
    <row r="6851" hidden="1" x14ac:dyDescent="0.35"/>
    <row r="6852" hidden="1" x14ac:dyDescent="0.35"/>
    <row r="6853" hidden="1" x14ac:dyDescent="0.35"/>
    <row r="6854" hidden="1" x14ac:dyDescent="0.35"/>
    <row r="6855" hidden="1" x14ac:dyDescent="0.35"/>
    <row r="6856" hidden="1" x14ac:dyDescent="0.35"/>
    <row r="6857" hidden="1" x14ac:dyDescent="0.35"/>
    <row r="6858" hidden="1" x14ac:dyDescent="0.35"/>
    <row r="6859" hidden="1" x14ac:dyDescent="0.35"/>
    <row r="6860" hidden="1" x14ac:dyDescent="0.35"/>
    <row r="6861" hidden="1" x14ac:dyDescent="0.35"/>
    <row r="6862" hidden="1" x14ac:dyDescent="0.35"/>
    <row r="6863" hidden="1" x14ac:dyDescent="0.35"/>
    <row r="6864" hidden="1" x14ac:dyDescent="0.35"/>
    <row r="6865" hidden="1" x14ac:dyDescent="0.35"/>
    <row r="6866" hidden="1" x14ac:dyDescent="0.35"/>
    <row r="6867" hidden="1" x14ac:dyDescent="0.35"/>
    <row r="6868" hidden="1" x14ac:dyDescent="0.35"/>
    <row r="6869" hidden="1" x14ac:dyDescent="0.35"/>
    <row r="6870" hidden="1" x14ac:dyDescent="0.35"/>
    <row r="6871" hidden="1" x14ac:dyDescent="0.35"/>
    <row r="6872" hidden="1" x14ac:dyDescent="0.35"/>
    <row r="6873" hidden="1" x14ac:dyDescent="0.35"/>
    <row r="6874" hidden="1" x14ac:dyDescent="0.35"/>
    <row r="6875" hidden="1" x14ac:dyDescent="0.35"/>
    <row r="6876" hidden="1" x14ac:dyDescent="0.35"/>
    <row r="6877" hidden="1" x14ac:dyDescent="0.35"/>
    <row r="6878" hidden="1" x14ac:dyDescent="0.35"/>
    <row r="6879" hidden="1" x14ac:dyDescent="0.35"/>
    <row r="6880" hidden="1" x14ac:dyDescent="0.35"/>
    <row r="6881" hidden="1" x14ac:dyDescent="0.35"/>
    <row r="6882" hidden="1" x14ac:dyDescent="0.35"/>
    <row r="6883" hidden="1" x14ac:dyDescent="0.35"/>
    <row r="6884" hidden="1" x14ac:dyDescent="0.35"/>
    <row r="6885" hidden="1" x14ac:dyDescent="0.35"/>
    <row r="6886" hidden="1" x14ac:dyDescent="0.35"/>
    <row r="6887" hidden="1" x14ac:dyDescent="0.35"/>
    <row r="6888" hidden="1" x14ac:dyDescent="0.35"/>
    <row r="6889" hidden="1" x14ac:dyDescent="0.35"/>
    <row r="6890" hidden="1" x14ac:dyDescent="0.35"/>
    <row r="6891" hidden="1" x14ac:dyDescent="0.35"/>
    <row r="6892" hidden="1" x14ac:dyDescent="0.35"/>
    <row r="6893" hidden="1" x14ac:dyDescent="0.35"/>
    <row r="6894" hidden="1" x14ac:dyDescent="0.35"/>
    <row r="6895" hidden="1" x14ac:dyDescent="0.35"/>
    <row r="6896" hidden="1" x14ac:dyDescent="0.35"/>
    <row r="6897" hidden="1" x14ac:dyDescent="0.35"/>
    <row r="6898" hidden="1" x14ac:dyDescent="0.35"/>
    <row r="6899" hidden="1" x14ac:dyDescent="0.35"/>
    <row r="6900" hidden="1" x14ac:dyDescent="0.35"/>
    <row r="6901" hidden="1" x14ac:dyDescent="0.35"/>
    <row r="6902" hidden="1" x14ac:dyDescent="0.35"/>
    <row r="6903" hidden="1" x14ac:dyDescent="0.35"/>
    <row r="6904" hidden="1" x14ac:dyDescent="0.35"/>
    <row r="6905" hidden="1" x14ac:dyDescent="0.35"/>
    <row r="6906" hidden="1" x14ac:dyDescent="0.35"/>
    <row r="6907" hidden="1" x14ac:dyDescent="0.35"/>
    <row r="6908" hidden="1" x14ac:dyDescent="0.35"/>
    <row r="6909" hidden="1" x14ac:dyDescent="0.35"/>
    <row r="6910" hidden="1" x14ac:dyDescent="0.35"/>
    <row r="6911" hidden="1" x14ac:dyDescent="0.35"/>
    <row r="6912" hidden="1" x14ac:dyDescent="0.35"/>
    <row r="6913" hidden="1" x14ac:dyDescent="0.35"/>
    <row r="6914" hidden="1" x14ac:dyDescent="0.35"/>
    <row r="6915" hidden="1" x14ac:dyDescent="0.35"/>
    <row r="6916" hidden="1" x14ac:dyDescent="0.35"/>
    <row r="6917" hidden="1" x14ac:dyDescent="0.35"/>
    <row r="6918" hidden="1" x14ac:dyDescent="0.35"/>
    <row r="6919" hidden="1" x14ac:dyDescent="0.35"/>
    <row r="6920" hidden="1" x14ac:dyDescent="0.35"/>
    <row r="6921" hidden="1" x14ac:dyDescent="0.35"/>
    <row r="6922" hidden="1" x14ac:dyDescent="0.35"/>
    <row r="6923" hidden="1" x14ac:dyDescent="0.35"/>
    <row r="6924" hidden="1" x14ac:dyDescent="0.35"/>
    <row r="6925" hidden="1" x14ac:dyDescent="0.35"/>
    <row r="6926" hidden="1" x14ac:dyDescent="0.35"/>
    <row r="6927" hidden="1" x14ac:dyDescent="0.35"/>
    <row r="6928" hidden="1" x14ac:dyDescent="0.35"/>
    <row r="6929" hidden="1" x14ac:dyDescent="0.35"/>
    <row r="6930" hidden="1" x14ac:dyDescent="0.35"/>
    <row r="6931" hidden="1" x14ac:dyDescent="0.35"/>
    <row r="6932" hidden="1" x14ac:dyDescent="0.35"/>
    <row r="6933" hidden="1" x14ac:dyDescent="0.35"/>
    <row r="6934" hidden="1" x14ac:dyDescent="0.35"/>
    <row r="6935" hidden="1" x14ac:dyDescent="0.35"/>
    <row r="6936" hidden="1" x14ac:dyDescent="0.35"/>
    <row r="6937" hidden="1" x14ac:dyDescent="0.35"/>
    <row r="6938" hidden="1" x14ac:dyDescent="0.35"/>
    <row r="6939" hidden="1" x14ac:dyDescent="0.35"/>
    <row r="6940" hidden="1" x14ac:dyDescent="0.35"/>
    <row r="6941" hidden="1" x14ac:dyDescent="0.35"/>
    <row r="6942" hidden="1" x14ac:dyDescent="0.35"/>
    <row r="6943" hidden="1" x14ac:dyDescent="0.35"/>
    <row r="6944" hidden="1" x14ac:dyDescent="0.35"/>
    <row r="6945" hidden="1" x14ac:dyDescent="0.35"/>
    <row r="6946" hidden="1" x14ac:dyDescent="0.35"/>
    <row r="6947" hidden="1" x14ac:dyDescent="0.35"/>
    <row r="6948" hidden="1" x14ac:dyDescent="0.35"/>
    <row r="6949" hidden="1" x14ac:dyDescent="0.35"/>
    <row r="6950" hidden="1" x14ac:dyDescent="0.35"/>
    <row r="6951" hidden="1" x14ac:dyDescent="0.35"/>
    <row r="6952" hidden="1" x14ac:dyDescent="0.35"/>
    <row r="6953" hidden="1" x14ac:dyDescent="0.35"/>
    <row r="6954" hidden="1" x14ac:dyDescent="0.35"/>
    <row r="6955" hidden="1" x14ac:dyDescent="0.35"/>
    <row r="6956" hidden="1" x14ac:dyDescent="0.35"/>
    <row r="6957" hidden="1" x14ac:dyDescent="0.35"/>
    <row r="6958" hidden="1" x14ac:dyDescent="0.35"/>
    <row r="6959" hidden="1" x14ac:dyDescent="0.35"/>
    <row r="6960" hidden="1" x14ac:dyDescent="0.35"/>
    <row r="6961" hidden="1" x14ac:dyDescent="0.35"/>
    <row r="6962" hidden="1" x14ac:dyDescent="0.35"/>
    <row r="6963" hidden="1" x14ac:dyDescent="0.35"/>
    <row r="6964" hidden="1" x14ac:dyDescent="0.35"/>
    <row r="6965" hidden="1" x14ac:dyDescent="0.35"/>
    <row r="6966" hidden="1" x14ac:dyDescent="0.35"/>
    <row r="6967" hidden="1" x14ac:dyDescent="0.35"/>
    <row r="6968" hidden="1" x14ac:dyDescent="0.35"/>
    <row r="6969" hidden="1" x14ac:dyDescent="0.35"/>
    <row r="6970" hidden="1" x14ac:dyDescent="0.35"/>
    <row r="6971" hidden="1" x14ac:dyDescent="0.35"/>
    <row r="6972" hidden="1" x14ac:dyDescent="0.35"/>
    <row r="6973" hidden="1" x14ac:dyDescent="0.35"/>
    <row r="6974" hidden="1" x14ac:dyDescent="0.35"/>
    <row r="6975" hidden="1" x14ac:dyDescent="0.35"/>
    <row r="6976" hidden="1" x14ac:dyDescent="0.35"/>
    <row r="6977" hidden="1" x14ac:dyDescent="0.35"/>
    <row r="6978" hidden="1" x14ac:dyDescent="0.35"/>
    <row r="6979" hidden="1" x14ac:dyDescent="0.35"/>
    <row r="6980" hidden="1" x14ac:dyDescent="0.35"/>
    <row r="6981" hidden="1" x14ac:dyDescent="0.35"/>
    <row r="6982" hidden="1" x14ac:dyDescent="0.35"/>
    <row r="6983" hidden="1" x14ac:dyDescent="0.35"/>
    <row r="6984" hidden="1" x14ac:dyDescent="0.35"/>
    <row r="6985" hidden="1" x14ac:dyDescent="0.35"/>
    <row r="6986" hidden="1" x14ac:dyDescent="0.35"/>
    <row r="6987" hidden="1" x14ac:dyDescent="0.35"/>
    <row r="6988" hidden="1" x14ac:dyDescent="0.35"/>
    <row r="6989" hidden="1" x14ac:dyDescent="0.35"/>
    <row r="6990" hidden="1" x14ac:dyDescent="0.35"/>
    <row r="6991" hidden="1" x14ac:dyDescent="0.35"/>
    <row r="6992" hidden="1" x14ac:dyDescent="0.35"/>
    <row r="6993" hidden="1" x14ac:dyDescent="0.35"/>
    <row r="6994" hidden="1" x14ac:dyDescent="0.35"/>
    <row r="6995" hidden="1" x14ac:dyDescent="0.35"/>
    <row r="6996" hidden="1" x14ac:dyDescent="0.35"/>
    <row r="6997" hidden="1" x14ac:dyDescent="0.35"/>
    <row r="6998" hidden="1" x14ac:dyDescent="0.35"/>
    <row r="6999" hidden="1" x14ac:dyDescent="0.35"/>
    <row r="7000" hidden="1" x14ac:dyDescent="0.35"/>
    <row r="7001" hidden="1" x14ac:dyDescent="0.35"/>
    <row r="7002" hidden="1" x14ac:dyDescent="0.35"/>
    <row r="7003" hidden="1" x14ac:dyDescent="0.35"/>
    <row r="7004" hidden="1" x14ac:dyDescent="0.35"/>
    <row r="7005" hidden="1" x14ac:dyDescent="0.35"/>
    <row r="7006" hidden="1" x14ac:dyDescent="0.35"/>
    <row r="7007" hidden="1" x14ac:dyDescent="0.35"/>
    <row r="7008" hidden="1" x14ac:dyDescent="0.35"/>
    <row r="7009" hidden="1" x14ac:dyDescent="0.35"/>
    <row r="7010" hidden="1" x14ac:dyDescent="0.35"/>
    <row r="7011" hidden="1" x14ac:dyDescent="0.35"/>
    <row r="7012" hidden="1" x14ac:dyDescent="0.35"/>
    <row r="7013" hidden="1" x14ac:dyDescent="0.35"/>
    <row r="7014" hidden="1" x14ac:dyDescent="0.35"/>
    <row r="7015" hidden="1" x14ac:dyDescent="0.35"/>
    <row r="7016" hidden="1" x14ac:dyDescent="0.35"/>
    <row r="7017" hidden="1" x14ac:dyDescent="0.35"/>
    <row r="7018" hidden="1" x14ac:dyDescent="0.35"/>
    <row r="7019" hidden="1" x14ac:dyDescent="0.35"/>
    <row r="7020" hidden="1" x14ac:dyDescent="0.35"/>
    <row r="7021" hidden="1" x14ac:dyDescent="0.35"/>
    <row r="7022" hidden="1" x14ac:dyDescent="0.35"/>
    <row r="7023" hidden="1" x14ac:dyDescent="0.35"/>
    <row r="7024" hidden="1" x14ac:dyDescent="0.35"/>
    <row r="7025" hidden="1" x14ac:dyDescent="0.35"/>
    <row r="7026" hidden="1" x14ac:dyDescent="0.35"/>
    <row r="7027" hidden="1" x14ac:dyDescent="0.35"/>
    <row r="7028" hidden="1" x14ac:dyDescent="0.35"/>
    <row r="7029" hidden="1" x14ac:dyDescent="0.35"/>
    <row r="7030" hidden="1" x14ac:dyDescent="0.35"/>
    <row r="7031" hidden="1" x14ac:dyDescent="0.35"/>
    <row r="7032" hidden="1" x14ac:dyDescent="0.35"/>
    <row r="7033" hidden="1" x14ac:dyDescent="0.35"/>
    <row r="7034" hidden="1" x14ac:dyDescent="0.35"/>
    <row r="7035" hidden="1" x14ac:dyDescent="0.35"/>
    <row r="7036" hidden="1" x14ac:dyDescent="0.35"/>
    <row r="7037" hidden="1" x14ac:dyDescent="0.35"/>
    <row r="7038" hidden="1" x14ac:dyDescent="0.35"/>
    <row r="7039" hidden="1" x14ac:dyDescent="0.35"/>
    <row r="7040" hidden="1" x14ac:dyDescent="0.35"/>
    <row r="7041" hidden="1" x14ac:dyDescent="0.35"/>
    <row r="7042" hidden="1" x14ac:dyDescent="0.35"/>
    <row r="7043" hidden="1" x14ac:dyDescent="0.35"/>
    <row r="7044" hidden="1" x14ac:dyDescent="0.35"/>
    <row r="7045" hidden="1" x14ac:dyDescent="0.35"/>
    <row r="7046" hidden="1" x14ac:dyDescent="0.35"/>
    <row r="7047" hidden="1" x14ac:dyDescent="0.35"/>
    <row r="7048" hidden="1" x14ac:dyDescent="0.35"/>
    <row r="7049" hidden="1" x14ac:dyDescent="0.35"/>
    <row r="7050" hidden="1" x14ac:dyDescent="0.35"/>
    <row r="7051" hidden="1" x14ac:dyDescent="0.35"/>
    <row r="7052" hidden="1" x14ac:dyDescent="0.35"/>
    <row r="7053" hidden="1" x14ac:dyDescent="0.35"/>
    <row r="7054" hidden="1" x14ac:dyDescent="0.35"/>
    <row r="7055" hidden="1" x14ac:dyDescent="0.35"/>
    <row r="7056" hidden="1" x14ac:dyDescent="0.35"/>
    <row r="7057" hidden="1" x14ac:dyDescent="0.35"/>
    <row r="7058" hidden="1" x14ac:dyDescent="0.35"/>
    <row r="7059" hidden="1" x14ac:dyDescent="0.35"/>
    <row r="7060" hidden="1" x14ac:dyDescent="0.35"/>
    <row r="7061" hidden="1" x14ac:dyDescent="0.35"/>
    <row r="7062" hidden="1" x14ac:dyDescent="0.35"/>
    <row r="7063" hidden="1" x14ac:dyDescent="0.35"/>
    <row r="7064" hidden="1" x14ac:dyDescent="0.35"/>
    <row r="7065" hidden="1" x14ac:dyDescent="0.35"/>
    <row r="7066" hidden="1" x14ac:dyDescent="0.35"/>
    <row r="7067" hidden="1" x14ac:dyDescent="0.35"/>
    <row r="7068" hidden="1" x14ac:dyDescent="0.35"/>
    <row r="7069" hidden="1" x14ac:dyDescent="0.35"/>
    <row r="7070" hidden="1" x14ac:dyDescent="0.35"/>
    <row r="7071" hidden="1" x14ac:dyDescent="0.35"/>
    <row r="7072" hidden="1" x14ac:dyDescent="0.35"/>
    <row r="7073" hidden="1" x14ac:dyDescent="0.35"/>
    <row r="7074" hidden="1" x14ac:dyDescent="0.35"/>
    <row r="7075" hidden="1" x14ac:dyDescent="0.35"/>
    <row r="7076" hidden="1" x14ac:dyDescent="0.35"/>
    <row r="7077" hidden="1" x14ac:dyDescent="0.35"/>
    <row r="7078" hidden="1" x14ac:dyDescent="0.35"/>
    <row r="7079" hidden="1" x14ac:dyDescent="0.35"/>
    <row r="7080" hidden="1" x14ac:dyDescent="0.35"/>
    <row r="7081" hidden="1" x14ac:dyDescent="0.35"/>
    <row r="7082" hidden="1" x14ac:dyDescent="0.35"/>
    <row r="7083" hidden="1" x14ac:dyDescent="0.35"/>
    <row r="7084" hidden="1" x14ac:dyDescent="0.35"/>
    <row r="7085" hidden="1" x14ac:dyDescent="0.35"/>
    <row r="7086" hidden="1" x14ac:dyDescent="0.35"/>
    <row r="7087" hidden="1" x14ac:dyDescent="0.35"/>
    <row r="7088" hidden="1" x14ac:dyDescent="0.35"/>
    <row r="7089" hidden="1" x14ac:dyDescent="0.35"/>
    <row r="7090" hidden="1" x14ac:dyDescent="0.35"/>
    <row r="7091" hidden="1" x14ac:dyDescent="0.35"/>
    <row r="7092" hidden="1" x14ac:dyDescent="0.35"/>
    <row r="7093" hidden="1" x14ac:dyDescent="0.35"/>
    <row r="7094" hidden="1" x14ac:dyDescent="0.35"/>
    <row r="7095" hidden="1" x14ac:dyDescent="0.35"/>
    <row r="7096" hidden="1" x14ac:dyDescent="0.35"/>
    <row r="7097" hidden="1" x14ac:dyDescent="0.35"/>
    <row r="7098" hidden="1" x14ac:dyDescent="0.35"/>
    <row r="7099" hidden="1" x14ac:dyDescent="0.35"/>
    <row r="7100" hidden="1" x14ac:dyDescent="0.35"/>
    <row r="7101" hidden="1" x14ac:dyDescent="0.35"/>
    <row r="7102" hidden="1" x14ac:dyDescent="0.35"/>
    <row r="7103" hidden="1" x14ac:dyDescent="0.35"/>
    <row r="7104" hidden="1" x14ac:dyDescent="0.35"/>
    <row r="7105" hidden="1" x14ac:dyDescent="0.35"/>
    <row r="7106" hidden="1" x14ac:dyDescent="0.35"/>
    <row r="7107" hidden="1" x14ac:dyDescent="0.35"/>
    <row r="7108" hidden="1" x14ac:dyDescent="0.35"/>
    <row r="7109" hidden="1" x14ac:dyDescent="0.35"/>
    <row r="7110" hidden="1" x14ac:dyDescent="0.35"/>
    <row r="7111" hidden="1" x14ac:dyDescent="0.35"/>
    <row r="7112" hidden="1" x14ac:dyDescent="0.35"/>
    <row r="7113" hidden="1" x14ac:dyDescent="0.35"/>
    <row r="7114" hidden="1" x14ac:dyDescent="0.35"/>
    <row r="7115" hidden="1" x14ac:dyDescent="0.35"/>
    <row r="7116" hidden="1" x14ac:dyDescent="0.35"/>
    <row r="7117" hidden="1" x14ac:dyDescent="0.35"/>
    <row r="7118" hidden="1" x14ac:dyDescent="0.35"/>
    <row r="7119" hidden="1" x14ac:dyDescent="0.35"/>
    <row r="7120" hidden="1" x14ac:dyDescent="0.35"/>
    <row r="7121" hidden="1" x14ac:dyDescent="0.35"/>
    <row r="7122" hidden="1" x14ac:dyDescent="0.35"/>
    <row r="7123" hidden="1" x14ac:dyDescent="0.35"/>
    <row r="7124" hidden="1" x14ac:dyDescent="0.35"/>
    <row r="7125" hidden="1" x14ac:dyDescent="0.35"/>
    <row r="7126" hidden="1" x14ac:dyDescent="0.35"/>
    <row r="7127" hidden="1" x14ac:dyDescent="0.35"/>
    <row r="7128" hidden="1" x14ac:dyDescent="0.35"/>
    <row r="7129" hidden="1" x14ac:dyDescent="0.35"/>
    <row r="7130" hidden="1" x14ac:dyDescent="0.35"/>
    <row r="7131" hidden="1" x14ac:dyDescent="0.35"/>
    <row r="7132" hidden="1" x14ac:dyDescent="0.35"/>
    <row r="7133" hidden="1" x14ac:dyDescent="0.35"/>
    <row r="7134" hidden="1" x14ac:dyDescent="0.35"/>
    <row r="7135" hidden="1" x14ac:dyDescent="0.35"/>
    <row r="7136" hidden="1" x14ac:dyDescent="0.35"/>
    <row r="7137" hidden="1" x14ac:dyDescent="0.35"/>
    <row r="7138" hidden="1" x14ac:dyDescent="0.35"/>
    <row r="7139" hidden="1" x14ac:dyDescent="0.35"/>
    <row r="7140" hidden="1" x14ac:dyDescent="0.35"/>
    <row r="7141" hidden="1" x14ac:dyDescent="0.35"/>
    <row r="7142" hidden="1" x14ac:dyDescent="0.35"/>
    <row r="7143" hidden="1" x14ac:dyDescent="0.35"/>
    <row r="7144" hidden="1" x14ac:dyDescent="0.35"/>
    <row r="7145" hidden="1" x14ac:dyDescent="0.35"/>
    <row r="7146" hidden="1" x14ac:dyDescent="0.35"/>
    <row r="7147" hidden="1" x14ac:dyDescent="0.35"/>
    <row r="7148" hidden="1" x14ac:dyDescent="0.35"/>
    <row r="7149" hidden="1" x14ac:dyDescent="0.35"/>
    <row r="7150" hidden="1" x14ac:dyDescent="0.35"/>
    <row r="7151" hidden="1" x14ac:dyDescent="0.35"/>
    <row r="7152" hidden="1" x14ac:dyDescent="0.35"/>
    <row r="7153" hidden="1" x14ac:dyDescent="0.35"/>
    <row r="7154" hidden="1" x14ac:dyDescent="0.35"/>
    <row r="7155" hidden="1" x14ac:dyDescent="0.35"/>
    <row r="7156" hidden="1" x14ac:dyDescent="0.35"/>
    <row r="7157" hidden="1" x14ac:dyDescent="0.35"/>
    <row r="7158" hidden="1" x14ac:dyDescent="0.35"/>
    <row r="7159" hidden="1" x14ac:dyDescent="0.35"/>
    <row r="7160" hidden="1" x14ac:dyDescent="0.35"/>
    <row r="7161" hidden="1" x14ac:dyDescent="0.35"/>
    <row r="7162" hidden="1" x14ac:dyDescent="0.35"/>
    <row r="7163" hidden="1" x14ac:dyDescent="0.35"/>
    <row r="7164" hidden="1" x14ac:dyDescent="0.35"/>
    <row r="7165" hidden="1" x14ac:dyDescent="0.35"/>
    <row r="7166" hidden="1" x14ac:dyDescent="0.35"/>
    <row r="7167" hidden="1" x14ac:dyDescent="0.35"/>
    <row r="7168" hidden="1" x14ac:dyDescent="0.35"/>
    <row r="7169" hidden="1" x14ac:dyDescent="0.35"/>
    <row r="7170" hidden="1" x14ac:dyDescent="0.35"/>
    <row r="7171" hidden="1" x14ac:dyDescent="0.35"/>
    <row r="7172" hidden="1" x14ac:dyDescent="0.35"/>
    <row r="7173" hidden="1" x14ac:dyDescent="0.35"/>
    <row r="7174" hidden="1" x14ac:dyDescent="0.35"/>
    <row r="7175" hidden="1" x14ac:dyDescent="0.35"/>
    <row r="7176" hidden="1" x14ac:dyDescent="0.35"/>
    <row r="7177" hidden="1" x14ac:dyDescent="0.35"/>
    <row r="7178" hidden="1" x14ac:dyDescent="0.35"/>
    <row r="7179" hidden="1" x14ac:dyDescent="0.35"/>
    <row r="7180" hidden="1" x14ac:dyDescent="0.35"/>
    <row r="7181" hidden="1" x14ac:dyDescent="0.35"/>
    <row r="7182" hidden="1" x14ac:dyDescent="0.35"/>
    <row r="7183" hidden="1" x14ac:dyDescent="0.35"/>
    <row r="7184" hidden="1" x14ac:dyDescent="0.35"/>
    <row r="7185" hidden="1" x14ac:dyDescent="0.35"/>
    <row r="7186" hidden="1" x14ac:dyDescent="0.35"/>
    <row r="7187" hidden="1" x14ac:dyDescent="0.35"/>
    <row r="7188" hidden="1" x14ac:dyDescent="0.35"/>
    <row r="7189" hidden="1" x14ac:dyDescent="0.35"/>
    <row r="7190" hidden="1" x14ac:dyDescent="0.35"/>
    <row r="7191" hidden="1" x14ac:dyDescent="0.35"/>
    <row r="7192" hidden="1" x14ac:dyDescent="0.35"/>
    <row r="7193" hidden="1" x14ac:dyDescent="0.35"/>
    <row r="7194" hidden="1" x14ac:dyDescent="0.35"/>
    <row r="7195" hidden="1" x14ac:dyDescent="0.35"/>
    <row r="7196" hidden="1" x14ac:dyDescent="0.35"/>
    <row r="7197" hidden="1" x14ac:dyDescent="0.35"/>
    <row r="7198" hidden="1" x14ac:dyDescent="0.35"/>
    <row r="7199" hidden="1" x14ac:dyDescent="0.35"/>
    <row r="7200" hidden="1" x14ac:dyDescent="0.35"/>
    <row r="7201" hidden="1" x14ac:dyDescent="0.35"/>
    <row r="7202" hidden="1" x14ac:dyDescent="0.35"/>
    <row r="7203" hidden="1" x14ac:dyDescent="0.35"/>
    <row r="7204" hidden="1" x14ac:dyDescent="0.35"/>
    <row r="7205" hidden="1" x14ac:dyDescent="0.35"/>
    <row r="7206" hidden="1" x14ac:dyDescent="0.35"/>
    <row r="7207" hidden="1" x14ac:dyDescent="0.35"/>
    <row r="7208" hidden="1" x14ac:dyDescent="0.35"/>
    <row r="7209" hidden="1" x14ac:dyDescent="0.35"/>
    <row r="7210" hidden="1" x14ac:dyDescent="0.35"/>
    <row r="7211" hidden="1" x14ac:dyDescent="0.35"/>
    <row r="7212" hidden="1" x14ac:dyDescent="0.35"/>
    <row r="7213" hidden="1" x14ac:dyDescent="0.35"/>
    <row r="7214" hidden="1" x14ac:dyDescent="0.35"/>
    <row r="7215" hidden="1" x14ac:dyDescent="0.35"/>
    <row r="7216" hidden="1" x14ac:dyDescent="0.35"/>
    <row r="7217" hidden="1" x14ac:dyDescent="0.35"/>
    <row r="7218" hidden="1" x14ac:dyDescent="0.35"/>
    <row r="7219" hidden="1" x14ac:dyDescent="0.35"/>
    <row r="7220" hidden="1" x14ac:dyDescent="0.35"/>
    <row r="7221" hidden="1" x14ac:dyDescent="0.35"/>
    <row r="7222" hidden="1" x14ac:dyDescent="0.35"/>
    <row r="7223" hidden="1" x14ac:dyDescent="0.35"/>
    <row r="7224" hidden="1" x14ac:dyDescent="0.35"/>
    <row r="7225" hidden="1" x14ac:dyDescent="0.35"/>
    <row r="7226" hidden="1" x14ac:dyDescent="0.35"/>
    <row r="7227" hidden="1" x14ac:dyDescent="0.35"/>
    <row r="7228" hidden="1" x14ac:dyDescent="0.35"/>
    <row r="7229" hidden="1" x14ac:dyDescent="0.35"/>
    <row r="7230" hidden="1" x14ac:dyDescent="0.35"/>
    <row r="7231" hidden="1" x14ac:dyDescent="0.35"/>
    <row r="7232" hidden="1" x14ac:dyDescent="0.35"/>
    <row r="7233" hidden="1" x14ac:dyDescent="0.35"/>
    <row r="7234" hidden="1" x14ac:dyDescent="0.35"/>
    <row r="7235" hidden="1" x14ac:dyDescent="0.35"/>
    <row r="7236" hidden="1" x14ac:dyDescent="0.35"/>
    <row r="7237" hidden="1" x14ac:dyDescent="0.35"/>
    <row r="7238" hidden="1" x14ac:dyDescent="0.35"/>
    <row r="7239" hidden="1" x14ac:dyDescent="0.35"/>
    <row r="7240" hidden="1" x14ac:dyDescent="0.35"/>
    <row r="7241" hidden="1" x14ac:dyDescent="0.35"/>
    <row r="7242" hidden="1" x14ac:dyDescent="0.35"/>
    <row r="7243" hidden="1" x14ac:dyDescent="0.35"/>
    <row r="7244" hidden="1" x14ac:dyDescent="0.35"/>
    <row r="7245" hidden="1" x14ac:dyDescent="0.35"/>
    <row r="7246" hidden="1" x14ac:dyDescent="0.35"/>
    <row r="7247" hidden="1" x14ac:dyDescent="0.35"/>
    <row r="7248" hidden="1" x14ac:dyDescent="0.35"/>
    <row r="7249" hidden="1" x14ac:dyDescent="0.35"/>
    <row r="7250" hidden="1" x14ac:dyDescent="0.35"/>
    <row r="7251" hidden="1" x14ac:dyDescent="0.35"/>
    <row r="7252" hidden="1" x14ac:dyDescent="0.35"/>
    <row r="7253" hidden="1" x14ac:dyDescent="0.35"/>
    <row r="7254" hidden="1" x14ac:dyDescent="0.35"/>
    <row r="7255" hidden="1" x14ac:dyDescent="0.35"/>
    <row r="7256" hidden="1" x14ac:dyDescent="0.35"/>
    <row r="7257" hidden="1" x14ac:dyDescent="0.35"/>
    <row r="7258" hidden="1" x14ac:dyDescent="0.35"/>
    <row r="7259" hidden="1" x14ac:dyDescent="0.35"/>
    <row r="7260" hidden="1" x14ac:dyDescent="0.35"/>
    <row r="7261" hidden="1" x14ac:dyDescent="0.35"/>
    <row r="7262" hidden="1" x14ac:dyDescent="0.35"/>
    <row r="7263" hidden="1" x14ac:dyDescent="0.35"/>
    <row r="7264" hidden="1" x14ac:dyDescent="0.35"/>
    <row r="7265" hidden="1" x14ac:dyDescent="0.35"/>
    <row r="7266" hidden="1" x14ac:dyDescent="0.35"/>
    <row r="7267" hidden="1" x14ac:dyDescent="0.35"/>
    <row r="7268" hidden="1" x14ac:dyDescent="0.35"/>
    <row r="7269" hidden="1" x14ac:dyDescent="0.35"/>
    <row r="7270" hidden="1" x14ac:dyDescent="0.35"/>
    <row r="7271" hidden="1" x14ac:dyDescent="0.35"/>
    <row r="7272" hidden="1" x14ac:dyDescent="0.35"/>
    <row r="7273" hidden="1" x14ac:dyDescent="0.35"/>
    <row r="7274" hidden="1" x14ac:dyDescent="0.35"/>
    <row r="7275" hidden="1" x14ac:dyDescent="0.35"/>
    <row r="7276" hidden="1" x14ac:dyDescent="0.35"/>
    <row r="7277" hidden="1" x14ac:dyDescent="0.35"/>
    <row r="7278" hidden="1" x14ac:dyDescent="0.35"/>
    <row r="7279" hidden="1" x14ac:dyDescent="0.35"/>
    <row r="7280" hidden="1" x14ac:dyDescent="0.35"/>
    <row r="7281" hidden="1" x14ac:dyDescent="0.35"/>
    <row r="7282" hidden="1" x14ac:dyDescent="0.35"/>
    <row r="7283" hidden="1" x14ac:dyDescent="0.35"/>
    <row r="7284" hidden="1" x14ac:dyDescent="0.35"/>
    <row r="7285" hidden="1" x14ac:dyDescent="0.35"/>
    <row r="7286" hidden="1" x14ac:dyDescent="0.35"/>
    <row r="7287" hidden="1" x14ac:dyDescent="0.35"/>
    <row r="7288" hidden="1" x14ac:dyDescent="0.35"/>
    <row r="7289" hidden="1" x14ac:dyDescent="0.35"/>
    <row r="7290" hidden="1" x14ac:dyDescent="0.35"/>
    <row r="7291" hidden="1" x14ac:dyDescent="0.35"/>
    <row r="7292" hidden="1" x14ac:dyDescent="0.35"/>
    <row r="7293" hidden="1" x14ac:dyDescent="0.35"/>
    <row r="7294" hidden="1" x14ac:dyDescent="0.35"/>
    <row r="7295" hidden="1" x14ac:dyDescent="0.35"/>
    <row r="7296" hidden="1" x14ac:dyDescent="0.35"/>
    <row r="7297" hidden="1" x14ac:dyDescent="0.35"/>
    <row r="7298" hidden="1" x14ac:dyDescent="0.35"/>
    <row r="7299" hidden="1" x14ac:dyDescent="0.35"/>
    <row r="7300" hidden="1" x14ac:dyDescent="0.35"/>
    <row r="7301" hidden="1" x14ac:dyDescent="0.35"/>
    <row r="7302" hidden="1" x14ac:dyDescent="0.35"/>
    <row r="7303" hidden="1" x14ac:dyDescent="0.35"/>
    <row r="7304" hidden="1" x14ac:dyDescent="0.35"/>
    <row r="7305" hidden="1" x14ac:dyDescent="0.35"/>
    <row r="7306" hidden="1" x14ac:dyDescent="0.35"/>
    <row r="7307" hidden="1" x14ac:dyDescent="0.35"/>
    <row r="7308" hidden="1" x14ac:dyDescent="0.35"/>
    <row r="7309" hidden="1" x14ac:dyDescent="0.35"/>
    <row r="7310" hidden="1" x14ac:dyDescent="0.35"/>
    <row r="7311" hidden="1" x14ac:dyDescent="0.35"/>
    <row r="7312" hidden="1" x14ac:dyDescent="0.35"/>
    <row r="7313" hidden="1" x14ac:dyDescent="0.35"/>
    <row r="7314" hidden="1" x14ac:dyDescent="0.35"/>
    <row r="7315" hidden="1" x14ac:dyDescent="0.35"/>
    <row r="7316" hidden="1" x14ac:dyDescent="0.35"/>
    <row r="7317" hidden="1" x14ac:dyDescent="0.35"/>
    <row r="7318" hidden="1" x14ac:dyDescent="0.35"/>
    <row r="7319" hidden="1" x14ac:dyDescent="0.35"/>
    <row r="7320" hidden="1" x14ac:dyDescent="0.35"/>
    <row r="7321" hidden="1" x14ac:dyDescent="0.35"/>
    <row r="7322" hidden="1" x14ac:dyDescent="0.35"/>
    <row r="7323" hidden="1" x14ac:dyDescent="0.35"/>
    <row r="7324" hidden="1" x14ac:dyDescent="0.35"/>
    <row r="7325" hidden="1" x14ac:dyDescent="0.35"/>
    <row r="7326" hidden="1" x14ac:dyDescent="0.35"/>
    <row r="7327" hidden="1" x14ac:dyDescent="0.35"/>
    <row r="7328" hidden="1" x14ac:dyDescent="0.35"/>
    <row r="7329" hidden="1" x14ac:dyDescent="0.35"/>
    <row r="7330" hidden="1" x14ac:dyDescent="0.35"/>
    <row r="7331" hidden="1" x14ac:dyDescent="0.35"/>
    <row r="7332" hidden="1" x14ac:dyDescent="0.35"/>
    <row r="7333" hidden="1" x14ac:dyDescent="0.35"/>
    <row r="7334" hidden="1" x14ac:dyDescent="0.35"/>
    <row r="7335" hidden="1" x14ac:dyDescent="0.35"/>
    <row r="7336" hidden="1" x14ac:dyDescent="0.35"/>
    <row r="7337" hidden="1" x14ac:dyDescent="0.35"/>
    <row r="7338" hidden="1" x14ac:dyDescent="0.35"/>
    <row r="7339" hidden="1" x14ac:dyDescent="0.35"/>
    <row r="7340" hidden="1" x14ac:dyDescent="0.35"/>
    <row r="7341" hidden="1" x14ac:dyDescent="0.35"/>
    <row r="7342" hidden="1" x14ac:dyDescent="0.35"/>
    <row r="7343" hidden="1" x14ac:dyDescent="0.35"/>
    <row r="7344" hidden="1" x14ac:dyDescent="0.35"/>
    <row r="7345" hidden="1" x14ac:dyDescent="0.35"/>
    <row r="7346" hidden="1" x14ac:dyDescent="0.35"/>
    <row r="7347" hidden="1" x14ac:dyDescent="0.35"/>
    <row r="7348" hidden="1" x14ac:dyDescent="0.35"/>
    <row r="7349" hidden="1" x14ac:dyDescent="0.35"/>
    <row r="7350" hidden="1" x14ac:dyDescent="0.35"/>
    <row r="7351" hidden="1" x14ac:dyDescent="0.35"/>
    <row r="7352" hidden="1" x14ac:dyDescent="0.35"/>
    <row r="7353" hidden="1" x14ac:dyDescent="0.35"/>
    <row r="7354" hidden="1" x14ac:dyDescent="0.35"/>
    <row r="7355" hidden="1" x14ac:dyDescent="0.35"/>
    <row r="7356" hidden="1" x14ac:dyDescent="0.35"/>
    <row r="7357" hidden="1" x14ac:dyDescent="0.35"/>
    <row r="7358" hidden="1" x14ac:dyDescent="0.35"/>
    <row r="7359" hidden="1" x14ac:dyDescent="0.35"/>
    <row r="7360" hidden="1" x14ac:dyDescent="0.35"/>
    <row r="7361" hidden="1" x14ac:dyDescent="0.35"/>
    <row r="7362" hidden="1" x14ac:dyDescent="0.35"/>
    <row r="7363" hidden="1" x14ac:dyDescent="0.35"/>
    <row r="7364" hidden="1" x14ac:dyDescent="0.35"/>
    <row r="7365" hidden="1" x14ac:dyDescent="0.35"/>
    <row r="7366" hidden="1" x14ac:dyDescent="0.35"/>
    <row r="7367" hidden="1" x14ac:dyDescent="0.35"/>
    <row r="7368" hidden="1" x14ac:dyDescent="0.35"/>
    <row r="7369" hidden="1" x14ac:dyDescent="0.35"/>
    <row r="7370" hidden="1" x14ac:dyDescent="0.35"/>
    <row r="7371" hidden="1" x14ac:dyDescent="0.35"/>
    <row r="7372" hidden="1" x14ac:dyDescent="0.35"/>
    <row r="7373" hidden="1" x14ac:dyDescent="0.35"/>
    <row r="7374" hidden="1" x14ac:dyDescent="0.35"/>
    <row r="7375" hidden="1" x14ac:dyDescent="0.35"/>
    <row r="7376" hidden="1" x14ac:dyDescent="0.35"/>
    <row r="7377" hidden="1" x14ac:dyDescent="0.35"/>
    <row r="7378" hidden="1" x14ac:dyDescent="0.35"/>
    <row r="7379" hidden="1" x14ac:dyDescent="0.35"/>
    <row r="7380" hidden="1" x14ac:dyDescent="0.35"/>
    <row r="7381" hidden="1" x14ac:dyDescent="0.35"/>
    <row r="7382" hidden="1" x14ac:dyDescent="0.35"/>
    <row r="7383" hidden="1" x14ac:dyDescent="0.35"/>
    <row r="7384" hidden="1" x14ac:dyDescent="0.35"/>
    <row r="7385" hidden="1" x14ac:dyDescent="0.35"/>
    <row r="7386" hidden="1" x14ac:dyDescent="0.35"/>
    <row r="7387" hidden="1" x14ac:dyDescent="0.35"/>
    <row r="7388" hidden="1" x14ac:dyDescent="0.35"/>
    <row r="7389" hidden="1" x14ac:dyDescent="0.35"/>
    <row r="7390" hidden="1" x14ac:dyDescent="0.35"/>
    <row r="7391" hidden="1" x14ac:dyDescent="0.35"/>
    <row r="7392" hidden="1" x14ac:dyDescent="0.35"/>
    <row r="7393" hidden="1" x14ac:dyDescent="0.35"/>
    <row r="7394" hidden="1" x14ac:dyDescent="0.35"/>
    <row r="7395" hidden="1" x14ac:dyDescent="0.35"/>
    <row r="7396" hidden="1" x14ac:dyDescent="0.35"/>
    <row r="7397" hidden="1" x14ac:dyDescent="0.35"/>
    <row r="7398" hidden="1" x14ac:dyDescent="0.35"/>
    <row r="7399" hidden="1" x14ac:dyDescent="0.35"/>
    <row r="7400" hidden="1" x14ac:dyDescent="0.35"/>
    <row r="7401" hidden="1" x14ac:dyDescent="0.35"/>
    <row r="7402" hidden="1" x14ac:dyDescent="0.35"/>
    <row r="7403" hidden="1" x14ac:dyDescent="0.35"/>
    <row r="7404" hidden="1" x14ac:dyDescent="0.35"/>
    <row r="7405" hidden="1" x14ac:dyDescent="0.35"/>
    <row r="7406" hidden="1" x14ac:dyDescent="0.35"/>
    <row r="7407" hidden="1" x14ac:dyDescent="0.35"/>
    <row r="7408" hidden="1" x14ac:dyDescent="0.35"/>
    <row r="7409" hidden="1" x14ac:dyDescent="0.35"/>
    <row r="7410" hidden="1" x14ac:dyDescent="0.35"/>
    <row r="7411" hidden="1" x14ac:dyDescent="0.35"/>
    <row r="7412" hidden="1" x14ac:dyDescent="0.35"/>
    <row r="7413" hidden="1" x14ac:dyDescent="0.35"/>
    <row r="7414" hidden="1" x14ac:dyDescent="0.35"/>
    <row r="7415" hidden="1" x14ac:dyDescent="0.35"/>
    <row r="7416" hidden="1" x14ac:dyDescent="0.35"/>
    <row r="7417" hidden="1" x14ac:dyDescent="0.35"/>
    <row r="7418" hidden="1" x14ac:dyDescent="0.35"/>
    <row r="7419" hidden="1" x14ac:dyDescent="0.35"/>
    <row r="7420" hidden="1" x14ac:dyDescent="0.35"/>
    <row r="7421" hidden="1" x14ac:dyDescent="0.35"/>
    <row r="7422" hidden="1" x14ac:dyDescent="0.35"/>
    <row r="7423" hidden="1" x14ac:dyDescent="0.35"/>
    <row r="7424" hidden="1" x14ac:dyDescent="0.35"/>
    <row r="7425" hidden="1" x14ac:dyDescent="0.35"/>
    <row r="7426" hidden="1" x14ac:dyDescent="0.35"/>
    <row r="7427" hidden="1" x14ac:dyDescent="0.35"/>
    <row r="7428" hidden="1" x14ac:dyDescent="0.35"/>
    <row r="7429" hidden="1" x14ac:dyDescent="0.35"/>
    <row r="7430" hidden="1" x14ac:dyDescent="0.35"/>
    <row r="7431" hidden="1" x14ac:dyDescent="0.35"/>
    <row r="7432" hidden="1" x14ac:dyDescent="0.35"/>
    <row r="7433" hidden="1" x14ac:dyDescent="0.35"/>
    <row r="7434" hidden="1" x14ac:dyDescent="0.35"/>
    <row r="7435" hidden="1" x14ac:dyDescent="0.35"/>
    <row r="7436" hidden="1" x14ac:dyDescent="0.35"/>
    <row r="7437" hidden="1" x14ac:dyDescent="0.35"/>
    <row r="7438" hidden="1" x14ac:dyDescent="0.35"/>
    <row r="7439" hidden="1" x14ac:dyDescent="0.35"/>
    <row r="7440" hidden="1" x14ac:dyDescent="0.35"/>
    <row r="7441" hidden="1" x14ac:dyDescent="0.35"/>
    <row r="7442" hidden="1" x14ac:dyDescent="0.35"/>
    <row r="7443" hidden="1" x14ac:dyDescent="0.35"/>
    <row r="7444" hidden="1" x14ac:dyDescent="0.35"/>
    <row r="7445" hidden="1" x14ac:dyDescent="0.35"/>
    <row r="7446" hidden="1" x14ac:dyDescent="0.35"/>
    <row r="7447" hidden="1" x14ac:dyDescent="0.35"/>
    <row r="7448" hidden="1" x14ac:dyDescent="0.35"/>
    <row r="7449" hidden="1" x14ac:dyDescent="0.35"/>
    <row r="7450" hidden="1" x14ac:dyDescent="0.35"/>
    <row r="7451" hidden="1" x14ac:dyDescent="0.35"/>
    <row r="7452" hidden="1" x14ac:dyDescent="0.35"/>
    <row r="7453" hidden="1" x14ac:dyDescent="0.35"/>
    <row r="7454" hidden="1" x14ac:dyDescent="0.35"/>
    <row r="7455" hidden="1" x14ac:dyDescent="0.35"/>
    <row r="7456" hidden="1" x14ac:dyDescent="0.35"/>
    <row r="7457" hidden="1" x14ac:dyDescent="0.35"/>
    <row r="7458" hidden="1" x14ac:dyDescent="0.35"/>
    <row r="7459" hidden="1" x14ac:dyDescent="0.35"/>
    <row r="7460" hidden="1" x14ac:dyDescent="0.35"/>
    <row r="7461" hidden="1" x14ac:dyDescent="0.35"/>
    <row r="7462" hidden="1" x14ac:dyDescent="0.35"/>
    <row r="7463" hidden="1" x14ac:dyDescent="0.35"/>
    <row r="7464" hidden="1" x14ac:dyDescent="0.35"/>
    <row r="7465" hidden="1" x14ac:dyDescent="0.35"/>
    <row r="7466" hidden="1" x14ac:dyDescent="0.35"/>
    <row r="7467" hidden="1" x14ac:dyDescent="0.35"/>
    <row r="7468" hidden="1" x14ac:dyDescent="0.35"/>
    <row r="7469" hidden="1" x14ac:dyDescent="0.35"/>
    <row r="7470" hidden="1" x14ac:dyDescent="0.35"/>
    <row r="7471" hidden="1" x14ac:dyDescent="0.35"/>
    <row r="7472" hidden="1" x14ac:dyDescent="0.35"/>
    <row r="7473" hidden="1" x14ac:dyDescent="0.35"/>
    <row r="7474" hidden="1" x14ac:dyDescent="0.35"/>
    <row r="7475" hidden="1" x14ac:dyDescent="0.35"/>
    <row r="7476" hidden="1" x14ac:dyDescent="0.35"/>
    <row r="7477" hidden="1" x14ac:dyDescent="0.35"/>
    <row r="7478" hidden="1" x14ac:dyDescent="0.35"/>
    <row r="7479" hidden="1" x14ac:dyDescent="0.35"/>
    <row r="7480" hidden="1" x14ac:dyDescent="0.35"/>
    <row r="7481" hidden="1" x14ac:dyDescent="0.35"/>
    <row r="7482" hidden="1" x14ac:dyDescent="0.35"/>
    <row r="7483" hidden="1" x14ac:dyDescent="0.35"/>
    <row r="7484" hidden="1" x14ac:dyDescent="0.35"/>
    <row r="7485" hidden="1" x14ac:dyDescent="0.35"/>
    <row r="7486" hidden="1" x14ac:dyDescent="0.35"/>
    <row r="7487" hidden="1" x14ac:dyDescent="0.35"/>
    <row r="7488" hidden="1" x14ac:dyDescent="0.35"/>
    <row r="7489" hidden="1" x14ac:dyDescent="0.35"/>
    <row r="7490" hidden="1" x14ac:dyDescent="0.35"/>
    <row r="7491" hidden="1" x14ac:dyDescent="0.35"/>
    <row r="7492" hidden="1" x14ac:dyDescent="0.35"/>
    <row r="7493" hidden="1" x14ac:dyDescent="0.35"/>
    <row r="7494" hidden="1" x14ac:dyDescent="0.35"/>
    <row r="7495" hidden="1" x14ac:dyDescent="0.35"/>
    <row r="7496" hidden="1" x14ac:dyDescent="0.35"/>
    <row r="7497" hidden="1" x14ac:dyDescent="0.35"/>
    <row r="7498" hidden="1" x14ac:dyDescent="0.35"/>
    <row r="7499" hidden="1" x14ac:dyDescent="0.35"/>
    <row r="7500" hidden="1" x14ac:dyDescent="0.35"/>
    <row r="7501" hidden="1" x14ac:dyDescent="0.35"/>
    <row r="7502" hidden="1" x14ac:dyDescent="0.35"/>
    <row r="7503" hidden="1" x14ac:dyDescent="0.35"/>
    <row r="7504" hidden="1" x14ac:dyDescent="0.35"/>
    <row r="7505" hidden="1" x14ac:dyDescent="0.35"/>
    <row r="7506" hidden="1" x14ac:dyDescent="0.35"/>
    <row r="7507" hidden="1" x14ac:dyDescent="0.35"/>
    <row r="7508" hidden="1" x14ac:dyDescent="0.35"/>
    <row r="7509" hidden="1" x14ac:dyDescent="0.35"/>
    <row r="7510" hidden="1" x14ac:dyDescent="0.35"/>
    <row r="7511" hidden="1" x14ac:dyDescent="0.35"/>
    <row r="7512" hidden="1" x14ac:dyDescent="0.35"/>
    <row r="7513" hidden="1" x14ac:dyDescent="0.35"/>
    <row r="7514" hidden="1" x14ac:dyDescent="0.35"/>
    <row r="7515" hidden="1" x14ac:dyDescent="0.35"/>
    <row r="7516" hidden="1" x14ac:dyDescent="0.35"/>
    <row r="7517" hidden="1" x14ac:dyDescent="0.35"/>
    <row r="7518" hidden="1" x14ac:dyDescent="0.35"/>
    <row r="7519" hidden="1" x14ac:dyDescent="0.35"/>
    <row r="7520" hidden="1" x14ac:dyDescent="0.35"/>
    <row r="7521" hidden="1" x14ac:dyDescent="0.35"/>
    <row r="7522" hidden="1" x14ac:dyDescent="0.35"/>
    <row r="7523" hidden="1" x14ac:dyDescent="0.35"/>
    <row r="7524" hidden="1" x14ac:dyDescent="0.35"/>
    <row r="7525" hidden="1" x14ac:dyDescent="0.35"/>
    <row r="7526" hidden="1" x14ac:dyDescent="0.35"/>
    <row r="7527" hidden="1" x14ac:dyDescent="0.35"/>
    <row r="7528" hidden="1" x14ac:dyDescent="0.35"/>
    <row r="7529" hidden="1" x14ac:dyDescent="0.35"/>
    <row r="7530" hidden="1" x14ac:dyDescent="0.35"/>
    <row r="7531" hidden="1" x14ac:dyDescent="0.35"/>
    <row r="7532" hidden="1" x14ac:dyDescent="0.35"/>
    <row r="7533" hidden="1" x14ac:dyDescent="0.35"/>
    <row r="7534" hidden="1" x14ac:dyDescent="0.35"/>
    <row r="7535" hidden="1" x14ac:dyDescent="0.35"/>
    <row r="7536" hidden="1" x14ac:dyDescent="0.35"/>
    <row r="7537" hidden="1" x14ac:dyDescent="0.35"/>
    <row r="7538" hidden="1" x14ac:dyDescent="0.35"/>
    <row r="7539" hidden="1" x14ac:dyDescent="0.35"/>
    <row r="7540" hidden="1" x14ac:dyDescent="0.35"/>
    <row r="7541" hidden="1" x14ac:dyDescent="0.35"/>
    <row r="7542" hidden="1" x14ac:dyDescent="0.35"/>
    <row r="7543" hidden="1" x14ac:dyDescent="0.35"/>
    <row r="7544" hidden="1" x14ac:dyDescent="0.35"/>
    <row r="7545" hidden="1" x14ac:dyDescent="0.35"/>
    <row r="7546" hidden="1" x14ac:dyDescent="0.35"/>
    <row r="7547" hidden="1" x14ac:dyDescent="0.35"/>
    <row r="7548" hidden="1" x14ac:dyDescent="0.35"/>
    <row r="7549" hidden="1" x14ac:dyDescent="0.35"/>
    <row r="7550" hidden="1" x14ac:dyDescent="0.35"/>
    <row r="7551" hidden="1" x14ac:dyDescent="0.35"/>
    <row r="7552" hidden="1" x14ac:dyDescent="0.35"/>
    <row r="7553" hidden="1" x14ac:dyDescent="0.35"/>
    <row r="7554" hidden="1" x14ac:dyDescent="0.35"/>
    <row r="7555" hidden="1" x14ac:dyDescent="0.35"/>
    <row r="7556" hidden="1" x14ac:dyDescent="0.35"/>
    <row r="7557" hidden="1" x14ac:dyDescent="0.35"/>
    <row r="7558" hidden="1" x14ac:dyDescent="0.35"/>
    <row r="7559" hidden="1" x14ac:dyDescent="0.35"/>
    <row r="7560" hidden="1" x14ac:dyDescent="0.35"/>
    <row r="7561" hidden="1" x14ac:dyDescent="0.35"/>
    <row r="7562" hidden="1" x14ac:dyDescent="0.35"/>
    <row r="7563" hidden="1" x14ac:dyDescent="0.35"/>
    <row r="7564" hidden="1" x14ac:dyDescent="0.35"/>
    <row r="7565" hidden="1" x14ac:dyDescent="0.35"/>
    <row r="7566" hidden="1" x14ac:dyDescent="0.35"/>
    <row r="7567" hidden="1" x14ac:dyDescent="0.35"/>
    <row r="7568" hidden="1" x14ac:dyDescent="0.35"/>
    <row r="7569" hidden="1" x14ac:dyDescent="0.35"/>
    <row r="7570" hidden="1" x14ac:dyDescent="0.35"/>
    <row r="7571" hidden="1" x14ac:dyDescent="0.35"/>
    <row r="7572" hidden="1" x14ac:dyDescent="0.35"/>
    <row r="7573" hidden="1" x14ac:dyDescent="0.35"/>
    <row r="7574" hidden="1" x14ac:dyDescent="0.35"/>
    <row r="7575" hidden="1" x14ac:dyDescent="0.35"/>
    <row r="7576" hidden="1" x14ac:dyDescent="0.35"/>
    <row r="7577" hidden="1" x14ac:dyDescent="0.35"/>
    <row r="7578" hidden="1" x14ac:dyDescent="0.35"/>
    <row r="7579" hidden="1" x14ac:dyDescent="0.35"/>
    <row r="7580" hidden="1" x14ac:dyDescent="0.35"/>
    <row r="7581" hidden="1" x14ac:dyDescent="0.35"/>
    <row r="7582" hidden="1" x14ac:dyDescent="0.35"/>
    <row r="7583" hidden="1" x14ac:dyDescent="0.35"/>
    <row r="7584" hidden="1" x14ac:dyDescent="0.35"/>
    <row r="7585" hidden="1" x14ac:dyDescent="0.35"/>
    <row r="7586" hidden="1" x14ac:dyDescent="0.35"/>
    <row r="7587" hidden="1" x14ac:dyDescent="0.35"/>
    <row r="7588" hidden="1" x14ac:dyDescent="0.35"/>
    <row r="7589" hidden="1" x14ac:dyDescent="0.35"/>
    <row r="7590" hidden="1" x14ac:dyDescent="0.35"/>
    <row r="7591" hidden="1" x14ac:dyDescent="0.35"/>
    <row r="7592" hidden="1" x14ac:dyDescent="0.35"/>
    <row r="7593" hidden="1" x14ac:dyDescent="0.35"/>
    <row r="7594" hidden="1" x14ac:dyDescent="0.35"/>
    <row r="7595" hidden="1" x14ac:dyDescent="0.35"/>
    <row r="7596" hidden="1" x14ac:dyDescent="0.35"/>
    <row r="7597" hidden="1" x14ac:dyDescent="0.35"/>
    <row r="7598" hidden="1" x14ac:dyDescent="0.35"/>
    <row r="7599" hidden="1" x14ac:dyDescent="0.35"/>
    <row r="7600" hidden="1" x14ac:dyDescent="0.35"/>
    <row r="7601" hidden="1" x14ac:dyDescent="0.35"/>
    <row r="7602" hidden="1" x14ac:dyDescent="0.35"/>
    <row r="7603" hidden="1" x14ac:dyDescent="0.35"/>
    <row r="7604" hidden="1" x14ac:dyDescent="0.35"/>
    <row r="7605" hidden="1" x14ac:dyDescent="0.35"/>
    <row r="7606" hidden="1" x14ac:dyDescent="0.35"/>
    <row r="7607" hidden="1" x14ac:dyDescent="0.35"/>
    <row r="7608" hidden="1" x14ac:dyDescent="0.35"/>
    <row r="7609" hidden="1" x14ac:dyDescent="0.35"/>
    <row r="7610" hidden="1" x14ac:dyDescent="0.35"/>
    <row r="7611" hidden="1" x14ac:dyDescent="0.35"/>
    <row r="7612" hidden="1" x14ac:dyDescent="0.35"/>
    <row r="7613" hidden="1" x14ac:dyDescent="0.35"/>
    <row r="7614" hidden="1" x14ac:dyDescent="0.35"/>
    <row r="7615" hidden="1" x14ac:dyDescent="0.35"/>
    <row r="7616" hidden="1" x14ac:dyDescent="0.35"/>
    <row r="7617" hidden="1" x14ac:dyDescent="0.35"/>
    <row r="7618" hidden="1" x14ac:dyDescent="0.35"/>
    <row r="7619" hidden="1" x14ac:dyDescent="0.35"/>
    <row r="7620" hidden="1" x14ac:dyDescent="0.35"/>
    <row r="7621" hidden="1" x14ac:dyDescent="0.35"/>
    <row r="7622" hidden="1" x14ac:dyDescent="0.35"/>
    <row r="7623" hidden="1" x14ac:dyDescent="0.35"/>
    <row r="7624" hidden="1" x14ac:dyDescent="0.35"/>
    <row r="7625" hidden="1" x14ac:dyDescent="0.35"/>
    <row r="7626" hidden="1" x14ac:dyDescent="0.35"/>
    <row r="7627" hidden="1" x14ac:dyDescent="0.35"/>
    <row r="7628" hidden="1" x14ac:dyDescent="0.35"/>
    <row r="7629" hidden="1" x14ac:dyDescent="0.35"/>
    <row r="7630" hidden="1" x14ac:dyDescent="0.35"/>
    <row r="7631" hidden="1" x14ac:dyDescent="0.35"/>
    <row r="7632" hidden="1" x14ac:dyDescent="0.35"/>
    <row r="7633" hidden="1" x14ac:dyDescent="0.35"/>
    <row r="7634" hidden="1" x14ac:dyDescent="0.35"/>
    <row r="7635" hidden="1" x14ac:dyDescent="0.35"/>
    <row r="7636" hidden="1" x14ac:dyDescent="0.35"/>
    <row r="7637" hidden="1" x14ac:dyDescent="0.35"/>
    <row r="7638" hidden="1" x14ac:dyDescent="0.35"/>
    <row r="7639" hidden="1" x14ac:dyDescent="0.35"/>
    <row r="7640" hidden="1" x14ac:dyDescent="0.35"/>
    <row r="7641" hidden="1" x14ac:dyDescent="0.35"/>
    <row r="7642" hidden="1" x14ac:dyDescent="0.35"/>
    <row r="7643" hidden="1" x14ac:dyDescent="0.35"/>
    <row r="7644" hidden="1" x14ac:dyDescent="0.35"/>
    <row r="7645" hidden="1" x14ac:dyDescent="0.35"/>
    <row r="7646" hidden="1" x14ac:dyDescent="0.35"/>
    <row r="7647" hidden="1" x14ac:dyDescent="0.35"/>
    <row r="7648" hidden="1" x14ac:dyDescent="0.35"/>
    <row r="7649" hidden="1" x14ac:dyDescent="0.35"/>
    <row r="7650" hidden="1" x14ac:dyDescent="0.35"/>
    <row r="7651" hidden="1" x14ac:dyDescent="0.35"/>
    <row r="7652" hidden="1" x14ac:dyDescent="0.35"/>
    <row r="7653" hidden="1" x14ac:dyDescent="0.35"/>
    <row r="7654" hidden="1" x14ac:dyDescent="0.35"/>
    <row r="7655" hidden="1" x14ac:dyDescent="0.35"/>
    <row r="7656" hidden="1" x14ac:dyDescent="0.35"/>
    <row r="7657" hidden="1" x14ac:dyDescent="0.35"/>
    <row r="7658" hidden="1" x14ac:dyDescent="0.35"/>
    <row r="7659" hidden="1" x14ac:dyDescent="0.35"/>
    <row r="7660" hidden="1" x14ac:dyDescent="0.35"/>
    <row r="7661" hidden="1" x14ac:dyDescent="0.35"/>
    <row r="7662" hidden="1" x14ac:dyDescent="0.35"/>
    <row r="7663" hidden="1" x14ac:dyDescent="0.35"/>
    <row r="7664" hidden="1" x14ac:dyDescent="0.35"/>
    <row r="7665" hidden="1" x14ac:dyDescent="0.35"/>
    <row r="7666" hidden="1" x14ac:dyDescent="0.35"/>
    <row r="7667" hidden="1" x14ac:dyDescent="0.35"/>
    <row r="7668" hidden="1" x14ac:dyDescent="0.35"/>
    <row r="7669" hidden="1" x14ac:dyDescent="0.35"/>
    <row r="7670" hidden="1" x14ac:dyDescent="0.35"/>
    <row r="7671" hidden="1" x14ac:dyDescent="0.35"/>
    <row r="7672" hidden="1" x14ac:dyDescent="0.35"/>
    <row r="7673" hidden="1" x14ac:dyDescent="0.35"/>
    <row r="7674" hidden="1" x14ac:dyDescent="0.35"/>
    <row r="7675" hidden="1" x14ac:dyDescent="0.35"/>
    <row r="7676" hidden="1" x14ac:dyDescent="0.35"/>
    <row r="7677" hidden="1" x14ac:dyDescent="0.35"/>
    <row r="7678" hidden="1" x14ac:dyDescent="0.35"/>
    <row r="7679" hidden="1" x14ac:dyDescent="0.35"/>
    <row r="7680" hidden="1" x14ac:dyDescent="0.35"/>
    <row r="7681" hidden="1" x14ac:dyDescent="0.35"/>
    <row r="7682" hidden="1" x14ac:dyDescent="0.35"/>
    <row r="7683" hidden="1" x14ac:dyDescent="0.35"/>
    <row r="7684" hidden="1" x14ac:dyDescent="0.35"/>
    <row r="7685" hidden="1" x14ac:dyDescent="0.35"/>
    <row r="7686" hidden="1" x14ac:dyDescent="0.35"/>
    <row r="7687" hidden="1" x14ac:dyDescent="0.35"/>
    <row r="7688" hidden="1" x14ac:dyDescent="0.35"/>
    <row r="7689" hidden="1" x14ac:dyDescent="0.35"/>
    <row r="7690" hidden="1" x14ac:dyDescent="0.35"/>
    <row r="7691" hidden="1" x14ac:dyDescent="0.35"/>
    <row r="7692" hidden="1" x14ac:dyDescent="0.35"/>
    <row r="7693" hidden="1" x14ac:dyDescent="0.35"/>
    <row r="7694" hidden="1" x14ac:dyDescent="0.35"/>
    <row r="7695" hidden="1" x14ac:dyDescent="0.35"/>
    <row r="7696" hidden="1" x14ac:dyDescent="0.35"/>
    <row r="7697" hidden="1" x14ac:dyDescent="0.35"/>
    <row r="7698" hidden="1" x14ac:dyDescent="0.35"/>
    <row r="7699" hidden="1" x14ac:dyDescent="0.35"/>
    <row r="7700" hidden="1" x14ac:dyDescent="0.35"/>
    <row r="7701" hidden="1" x14ac:dyDescent="0.35"/>
    <row r="7702" hidden="1" x14ac:dyDescent="0.35"/>
    <row r="7703" hidden="1" x14ac:dyDescent="0.35"/>
    <row r="7704" hidden="1" x14ac:dyDescent="0.35"/>
    <row r="7705" hidden="1" x14ac:dyDescent="0.35"/>
    <row r="7706" hidden="1" x14ac:dyDescent="0.35"/>
    <row r="7707" hidden="1" x14ac:dyDescent="0.35"/>
    <row r="7708" hidden="1" x14ac:dyDescent="0.35"/>
    <row r="7709" hidden="1" x14ac:dyDescent="0.35"/>
    <row r="7710" hidden="1" x14ac:dyDescent="0.35"/>
    <row r="7711" hidden="1" x14ac:dyDescent="0.35"/>
    <row r="7712" hidden="1" x14ac:dyDescent="0.35"/>
    <row r="7713" hidden="1" x14ac:dyDescent="0.35"/>
    <row r="7714" hidden="1" x14ac:dyDescent="0.35"/>
    <row r="7715" hidden="1" x14ac:dyDescent="0.35"/>
    <row r="7716" hidden="1" x14ac:dyDescent="0.35"/>
    <row r="7717" hidden="1" x14ac:dyDescent="0.35"/>
    <row r="7718" hidden="1" x14ac:dyDescent="0.35"/>
    <row r="7719" hidden="1" x14ac:dyDescent="0.35"/>
    <row r="7720" hidden="1" x14ac:dyDescent="0.35"/>
    <row r="7721" hidden="1" x14ac:dyDescent="0.35"/>
    <row r="7722" hidden="1" x14ac:dyDescent="0.35"/>
    <row r="7723" hidden="1" x14ac:dyDescent="0.35"/>
    <row r="7724" hidden="1" x14ac:dyDescent="0.35"/>
    <row r="7725" hidden="1" x14ac:dyDescent="0.35"/>
    <row r="7726" hidden="1" x14ac:dyDescent="0.35"/>
    <row r="7727" hidden="1" x14ac:dyDescent="0.35"/>
    <row r="7728" hidden="1" x14ac:dyDescent="0.35"/>
    <row r="7729" hidden="1" x14ac:dyDescent="0.35"/>
    <row r="7730" hidden="1" x14ac:dyDescent="0.35"/>
    <row r="7731" hidden="1" x14ac:dyDescent="0.35"/>
    <row r="7732" hidden="1" x14ac:dyDescent="0.35"/>
    <row r="7733" hidden="1" x14ac:dyDescent="0.35"/>
    <row r="7734" hidden="1" x14ac:dyDescent="0.35"/>
    <row r="7735" hidden="1" x14ac:dyDescent="0.35"/>
    <row r="7736" hidden="1" x14ac:dyDescent="0.35"/>
    <row r="7737" hidden="1" x14ac:dyDescent="0.35"/>
    <row r="7738" hidden="1" x14ac:dyDescent="0.35"/>
    <row r="7739" hidden="1" x14ac:dyDescent="0.35"/>
    <row r="7740" hidden="1" x14ac:dyDescent="0.35"/>
    <row r="7741" hidden="1" x14ac:dyDescent="0.35"/>
    <row r="7742" hidden="1" x14ac:dyDescent="0.35"/>
    <row r="7743" hidden="1" x14ac:dyDescent="0.35"/>
    <row r="7744" hidden="1" x14ac:dyDescent="0.35"/>
    <row r="7745" hidden="1" x14ac:dyDescent="0.35"/>
    <row r="7746" hidden="1" x14ac:dyDescent="0.35"/>
    <row r="7747" hidden="1" x14ac:dyDescent="0.35"/>
    <row r="7748" hidden="1" x14ac:dyDescent="0.35"/>
    <row r="7749" hidden="1" x14ac:dyDescent="0.35"/>
    <row r="7750" hidden="1" x14ac:dyDescent="0.35"/>
    <row r="7751" hidden="1" x14ac:dyDescent="0.35"/>
    <row r="7752" hidden="1" x14ac:dyDescent="0.35"/>
    <row r="7753" hidden="1" x14ac:dyDescent="0.35"/>
    <row r="7754" hidden="1" x14ac:dyDescent="0.35"/>
    <row r="7755" hidden="1" x14ac:dyDescent="0.35"/>
    <row r="7756" hidden="1" x14ac:dyDescent="0.35"/>
    <row r="7757" hidden="1" x14ac:dyDescent="0.35"/>
    <row r="7758" hidden="1" x14ac:dyDescent="0.35"/>
    <row r="7759" hidden="1" x14ac:dyDescent="0.35"/>
    <row r="7760" hidden="1" x14ac:dyDescent="0.35"/>
    <row r="7761" hidden="1" x14ac:dyDescent="0.35"/>
    <row r="7762" hidden="1" x14ac:dyDescent="0.35"/>
    <row r="7763" hidden="1" x14ac:dyDescent="0.35"/>
    <row r="7764" hidden="1" x14ac:dyDescent="0.35"/>
    <row r="7765" hidden="1" x14ac:dyDescent="0.35"/>
    <row r="7766" hidden="1" x14ac:dyDescent="0.35"/>
    <row r="7767" hidden="1" x14ac:dyDescent="0.35"/>
    <row r="7768" hidden="1" x14ac:dyDescent="0.35"/>
    <row r="7769" hidden="1" x14ac:dyDescent="0.35"/>
    <row r="7770" hidden="1" x14ac:dyDescent="0.35"/>
    <row r="7771" hidden="1" x14ac:dyDescent="0.35"/>
    <row r="7772" hidden="1" x14ac:dyDescent="0.35"/>
    <row r="7773" hidden="1" x14ac:dyDescent="0.35"/>
    <row r="7774" hidden="1" x14ac:dyDescent="0.35"/>
    <row r="7775" hidden="1" x14ac:dyDescent="0.35"/>
    <row r="7776" hidden="1" x14ac:dyDescent="0.35"/>
    <row r="7777" hidden="1" x14ac:dyDescent="0.35"/>
    <row r="7778" hidden="1" x14ac:dyDescent="0.35"/>
    <row r="7779" hidden="1" x14ac:dyDescent="0.35"/>
    <row r="7780" hidden="1" x14ac:dyDescent="0.35"/>
    <row r="7781" hidden="1" x14ac:dyDescent="0.35"/>
    <row r="7782" hidden="1" x14ac:dyDescent="0.35"/>
    <row r="7783" hidden="1" x14ac:dyDescent="0.35"/>
    <row r="7784" hidden="1" x14ac:dyDescent="0.35"/>
    <row r="7785" hidden="1" x14ac:dyDescent="0.35"/>
    <row r="7786" hidden="1" x14ac:dyDescent="0.35"/>
    <row r="7787" hidden="1" x14ac:dyDescent="0.35"/>
    <row r="7788" hidden="1" x14ac:dyDescent="0.35"/>
    <row r="7789" hidden="1" x14ac:dyDescent="0.35"/>
    <row r="7790" hidden="1" x14ac:dyDescent="0.35"/>
    <row r="7791" hidden="1" x14ac:dyDescent="0.35"/>
    <row r="7792" hidden="1" x14ac:dyDescent="0.35"/>
    <row r="7793" hidden="1" x14ac:dyDescent="0.35"/>
    <row r="7794" hidden="1" x14ac:dyDescent="0.35"/>
    <row r="7795" hidden="1" x14ac:dyDescent="0.35"/>
    <row r="7796" hidden="1" x14ac:dyDescent="0.35"/>
    <row r="7797" hidden="1" x14ac:dyDescent="0.35"/>
    <row r="7798" hidden="1" x14ac:dyDescent="0.35"/>
    <row r="7799" hidden="1" x14ac:dyDescent="0.35"/>
    <row r="7800" hidden="1" x14ac:dyDescent="0.35"/>
    <row r="7801" hidden="1" x14ac:dyDescent="0.35"/>
    <row r="7802" hidden="1" x14ac:dyDescent="0.35"/>
    <row r="7803" hidden="1" x14ac:dyDescent="0.35"/>
    <row r="7804" hidden="1" x14ac:dyDescent="0.35"/>
    <row r="7805" hidden="1" x14ac:dyDescent="0.35"/>
    <row r="7806" hidden="1" x14ac:dyDescent="0.35"/>
    <row r="7807" hidden="1" x14ac:dyDescent="0.35"/>
    <row r="7808" hidden="1" x14ac:dyDescent="0.35"/>
    <row r="7809" hidden="1" x14ac:dyDescent="0.35"/>
    <row r="7810" hidden="1" x14ac:dyDescent="0.35"/>
    <row r="7811" hidden="1" x14ac:dyDescent="0.35"/>
    <row r="7812" hidden="1" x14ac:dyDescent="0.35"/>
    <row r="7813" hidden="1" x14ac:dyDescent="0.35"/>
    <row r="7814" hidden="1" x14ac:dyDescent="0.35"/>
    <row r="7815" hidden="1" x14ac:dyDescent="0.35"/>
    <row r="7816" hidden="1" x14ac:dyDescent="0.35"/>
    <row r="7817" hidden="1" x14ac:dyDescent="0.35"/>
    <row r="7818" hidden="1" x14ac:dyDescent="0.35"/>
    <row r="7819" hidden="1" x14ac:dyDescent="0.35"/>
    <row r="7820" hidden="1" x14ac:dyDescent="0.35"/>
    <row r="7821" hidden="1" x14ac:dyDescent="0.35"/>
    <row r="7822" hidden="1" x14ac:dyDescent="0.35"/>
    <row r="7823" hidden="1" x14ac:dyDescent="0.35"/>
    <row r="7824" hidden="1" x14ac:dyDescent="0.35"/>
    <row r="7825" hidden="1" x14ac:dyDescent="0.35"/>
    <row r="7826" hidden="1" x14ac:dyDescent="0.35"/>
    <row r="7827" hidden="1" x14ac:dyDescent="0.35"/>
    <row r="7828" hidden="1" x14ac:dyDescent="0.35"/>
    <row r="7829" hidden="1" x14ac:dyDescent="0.35"/>
    <row r="7830" hidden="1" x14ac:dyDescent="0.35"/>
    <row r="7831" hidden="1" x14ac:dyDescent="0.35"/>
    <row r="7832" hidden="1" x14ac:dyDescent="0.35"/>
    <row r="7833" hidden="1" x14ac:dyDescent="0.35"/>
    <row r="7834" hidden="1" x14ac:dyDescent="0.35"/>
    <row r="7835" hidden="1" x14ac:dyDescent="0.35"/>
    <row r="7836" hidden="1" x14ac:dyDescent="0.35"/>
    <row r="7837" hidden="1" x14ac:dyDescent="0.35"/>
    <row r="7838" hidden="1" x14ac:dyDescent="0.35"/>
    <row r="7839" hidden="1" x14ac:dyDescent="0.35"/>
    <row r="7840" hidden="1" x14ac:dyDescent="0.35"/>
    <row r="7841" hidden="1" x14ac:dyDescent="0.35"/>
    <row r="7842" hidden="1" x14ac:dyDescent="0.35"/>
    <row r="7843" hidden="1" x14ac:dyDescent="0.35"/>
    <row r="7844" hidden="1" x14ac:dyDescent="0.35"/>
    <row r="7845" hidden="1" x14ac:dyDescent="0.35"/>
    <row r="7846" hidden="1" x14ac:dyDescent="0.35"/>
    <row r="7847" hidden="1" x14ac:dyDescent="0.35"/>
    <row r="7848" hidden="1" x14ac:dyDescent="0.35"/>
    <row r="7849" hidden="1" x14ac:dyDescent="0.35"/>
    <row r="7850" hidden="1" x14ac:dyDescent="0.35"/>
    <row r="7851" hidden="1" x14ac:dyDescent="0.35"/>
    <row r="7852" hidden="1" x14ac:dyDescent="0.35"/>
    <row r="7853" hidden="1" x14ac:dyDescent="0.35"/>
    <row r="7854" hidden="1" x14ac:dyDescent="0.35"/>
    <row r="7855" hidden="1" x14ac:dyDescent="0.35"/>
    <row r="7856" hidden="1" x14ac:dyDescent="0.35"/>
    <row r="7857" hidden="1" x14ac:dyDescent="0.35"/>
    <row r="7858" hidden="1" x14ac:dyDescent="0.35"/>
    <row r="7859" hidden="1" x14ac:dyDescent="0.35"/>
    <row r="7860" hidden="1" x14ac:dyDescent="0.35"/>
    <row r="7861" hidden="1" x14ac:dyDescent="0.35"/>
    <row r="7862" hidden="1" x14ac:dyDescent="0.35"/>
    <row r="7863" hidden="1" x14ac:dyDescent="0.35"/>
    <row r="7864" hidden="1" x14ac:dyDescent="0.35"/>
    <row r="7865" hidden="1" x14ac:dyDescent="0.35"/>
    <row r="7866" hidden="1" x14ac:dyDescent="0.35"/>
    <row r="7867" hidden="1" x14ac:dyDescent="0.35"/>
    <row r="7868" hidden="1" x14ac:dyDescent="0.35"/>
    <row r="7869" hidden="1" x14ac:dyDescent="0.35"/>
    <row r="7870" hidden="1" x14ac:dyDescent="0.35"/>
    <row r="7871" hidden="1" x14ac:dyDescent="0.35"/>
    <row r="7872" hidden="1" x14ac:dyDescent="0.35"/>
    <row r="7873" hidden="1" x14ac:dyDescent="0.35"/>
    <row r="7874" hidden="1" x14ac:dyDescent="0.35"/>
    <row r="7875" hidden="1" x14ac:dyDescent="0.35"/>
    <row r="7876" hidden="1" x14ac:dyDescent="0.35"/>
    <row r="7877" hidden="1" x14ac:dyDescent="0.35"/>
    <row r="7878" hidden="1" x14ac:dyDescent="0.35"/>
    <row r="7879" hidden="1" x14ac:dyDescent="0.35"/>
    <row r="7880" hidden="1" x14ac:dyDescent="0.35"/>
    <row r="7881" hidden="1" x14ac:dyDescent="0.35"/>
    <row r="7882" hidden="1" x14ac:dyDescent="0.35"/>
    <row r="7883" hidden="1" x14ac:dyDescent="0.35"/>
    <row r="7884" hidden="1" x14ac:dyDescent="0.35"/>
    <row r="7885" hidden="1" x14ac:dyDescent="0.35"/>
    <row r="7886" hidden="1" x14ac:dyDescent="0.35"/>
    <row r="7887" hidden="1" x14ac:dyDescent="0.35"/>
    <row r="7888" hidden="1" x14ac:dyDescent="0.35"/>
    <row r="7889" hidden="1" x14ac:dyDescent="0.35"/>
    <row r="7890" hidden="1" x14ac:dyDescent="0.35"/>
    <row r="7891" hidden="1" x14ac:dyDescent="0.35"/>
    <row r="7892" hidden="1" x14ac:dyDescent="0.35"/>
    <row r="7893" hidden="1" x14ac:dyDescent="0.35"/>
    <row r="7894" hidden="1" x14ac:dyDescent="0.35"/>
    <row r="7895" hidden="1" x14ac:dyDescent="0.35"/>
    <row r="7896" hidden="1" x14ac:dyDescent="0.35"/>
    <row r="7897" hidden="1" x14ac:dyDescent="0.35"/>
    <row r="7898" hidden="1" x14ac:dyDescent="0.35"/>
    <row r="7899" hidden="1" x14ac:dyDescent="0.35"/>
    <row r="7900" hidden="1" x14ac:dyDescent="0.35"/>
    <row r="7901" hidden="1" x14ac:dyDescent="0.35"/>
    <row r="7902" hidden="1" x14ac:dyDescent="0.35"/>
    <row r="7903" hidden="1" x14ac:dyDescent="0.35"/>
    <row r="7904" hidden="1" x14ac:dyDescent="0.35"/>
    <row r="7905" hidden="1" x14ac:dyDescent="0.35"/>
    <row r="7906" hidden="1" x14ac:dyDescent="0.35"/>
    <row r="7907" hidden="1" x14ac:dyDescent="0.35"/>
    <row r="7908" hidden="1" x14ac:dyDescent="0.35"/>
    <row r="7909" hidden="1" x14ac:dyDescent="0.35"/>
    <row r="7910" hidden="1" x14ac:dyDescent="0.35"/>
    <row r="7911" hidden="1" x14ac:dyDescent="0.35"/>
    <row r="7912" hidden="1" x14ac:dyDescent="0.35"/>
    <row r="7913" hidden="1" x14ac:dyDescent="0.35"/>
    <row r="7914" hidden="1" x14ac:dyDescent="0.35"/>
    <row r="7915" hidden="1" x14ac:dyDescent="0.35"/>
    <row r="7916" hidden="1" x14ac:dyDescent="0.35"/>
    <row r="7917" hidden="1" x14ac:dyDescent="0.35"/>
    <row r="7918" hidden="1" x14ac:dyDescent="0.35"/>
    <row r="7919" hidden="1" x14ac:dyDescent="0.35"/>
    <row r="7920" hidden="1" x14ac:dyDescent="0.35"/>
    <row r="7921" hidden="1" x14ac:dyDescent="0.35"/>
    <row r="7922" hidden="1" x14ac:dyDescent="0.35"/>
    <row r="7923" hidden="1" x14ac:dyDescent="0.35"/>
    <row r="7924" hidden="1" x14ac:dyDescent="0.35"/>
    <row r="7925" hidden="1" x14ac:dyDescent="0.35"/>
    <row r="7926" hidden="1" x14ac:dyDescent="0.35"/>
    <row r="7927" hidden="1" x14ac:dyDescent="0.35"/>
    <row r="7928" hidden="1" x14ac:dyDescent="0.35"/>
    <row r="7929" hidden="1" x14ac:dyDescent="0.35"/>
    <row r="7930" hidden="1" x14ac:dyDescent="0.35"/>
    <row r="7931" hidden="1" x14ac:dyDescent="0.35"/>
    <row r="7932" hidden="1" x14ac:dyDescent="0.35"/>
    <row r="7933" hidden="1" x14ac:dyDescent="0.35"/>
    <row r="7934" hidden="1" x14ac:dyDescent="0.35"/>
    <row r="7935" hidden="1" x14ac:dyDescent="0.35"/>
    <row r="7936" hidden="1" x14ac:dyDescent="0.35"/>
    <row r="7937" hidden="1" x14ac:dyDescent="0.35"/>
    <row r="7938" hidden="1" x14ac:dyDescent="0.35"/>
    <row r="7939" hidden="1" x14ac:dyDescent="0.35"/>
    <row r="7940" hidden="1" x14ac:dyDescent="0.35"/>
    <row r="7941" hidden="1" x14ac:dyDescent="0.35"/>
    <row r="7942" hidden="1" x14ac:dyDescent="0.35"/>
    <row r="7943" hidden="1" x14ac:dyDescent="0.35"/>
    <row r="7944" hidden="1" x14ac:dyDescent="0.35"/>
    <row r="7945" hidden="1" x14ac:dyDescent="0.35"/>
    <row r="7946" hidden="1" x14ac:dyDescent="0.35"/>
    <row r="7947" hidden="1" x14ac:dyDescent="0.35"/>
    <row r="7948" hidden="1" x14ac:dyDescent="0.35"/>
    <row r="7949" hidden="1" x14ac:dyDescent="0.35"/>
    <row r="7950" hidden="1" x14ac:dyDescent="0.35"/>
    <row r="7951" hidden="1" x14ac:dyDescent="0.35"/>
    <row r="7952" hidden="1" x14ac:dyDescent="0.35"/>
    <row r="7953" hidden="1" x14ac:dyDescent="0.35"/>
    <row r="7954" hidden="1" x14ac:dyDescent="0.35"/>
    <row r="7955" hidden="1" x14ac:dyDescent="0.35"/>
    <row r="7956" hidden="1" x14ac:dyDescent="0.35"/>
    <row r="7957" hidden="1" x14ac:dyDescent="0.35"/>
    <row r="7958" hidden="1" x14ac:dyDescent="0.35"/>
    <row r="7959" hidden="1" x14ac:dyDescent="0.35"/>
    <row r="7960" hidden="1" x14ac:dyDescent="0.35"/>
    <row r="7961" hidden="1" x14ac:dyDescent="0.35"/>
    <row r="7962" hidden="1" x14ac:dyDescent="0.35"/>
    <row r="7963" hidden="1" x14ac:dyDescent="0.35"/>
    <row r="7964" hidden="1" x14ac:dyDescent="0.35"/>
    <row r="7965" hidden="1" x14ac:dyDescent="0.35"/>
    <row r="7966" hidden="1" x14ac:dyDescent="0.35"/>
    <row r="7967" hidden="1" x14ac:dyDescent="0.35"/>
    <row r="7968" hidden="1" x14ac:dyDescent="0.35"/>
    <row r="7969" hidden="1" x14ac:dyDescent="0.35"/>
    <row r="7970" hidden="1" x14ac:dyDescent="0.35"/>
    <row r="7971" hidden="1" x14ac:dyDescent="0.35"/>
    <row r="7972" hidden="1" x14ac:dyDescent="0.35"/>
    <row r="7973" hidden="1" x14ac:dyDescent="0.35"/>
    <row r="7974" hidden="1" x14ac:dyDescent="0.35"/>
    <row r="7975" hidden="1" x14ac:dyDescent="0.35"/>
    <row r="7976" hidden="1" x14ac:dyDescent="0.35"/>
    <row r="7977" hidden="1" x14ac:dyDescent="0.35"/>
    <row r="7978" hidden="1" x14ac:dyDescent="0.35"/>
    <row r="7979" hidden="1" x14ac:dyDescent="0.35"/>
    <row r="7980" hidden="1" x14ac:dyDescent="0.35"/>
    <row r="7981" hidden="1" x14ac:dyDescent="0.35"/>
    <row r="7982" hidden="1" x14ac:dyDescent="0.35"/>
    <row r="7983" hidden="1" x14ac:dyDescent="0.35"/>
    <row r="7984" hidden="1" x14ac:dyDescent="0.35"/>
    <row r="7985" hidden="1" x14ac:dyDescent="0.35"/>
    <row r="7986" hidden="1" x14ac:dyDescent="0.35"/>
    <row r="7987" hidden="1" x14ac:dyDescent="0.35"/>
    <row r="7988" hidden="1" x14ac:dyDescent="0.35"/>
    <row r="7989" hidden="1" x14ac:dyDescent="0.35"/>
    <row r="7990" hidden="1" x14ac:dyDescent="0.35"/>
    <row r="7991" hidden="1" x14ac:dyDescent="0.35"/>
    <row r="7992" hidden="1" x14ac:dyDescent="0.35"/>
    <row r="7993" hidden="1" x14ac:dyDescent="0.35"/>
    <row r="7994" hidden="1" x14ac:dyDescent="0.35"/>
    <row r="7995" hidden="1" x14ac:dyDescent="0.35"/>
    <row r="7996" hidden="1" x14ac:dyDescent="0.35"/>
    <row r="7997" hidden="1" x14ac:dyDescent="0.35"/>
    <row r="7998" hidden="1" x14ac:dyDescent="0.35"/>
    <row r="7999" hidden="1" x14ac:dyDescent="0.35"/>
    <row r="8000" hidden="1" x14ac:dyDescent="0.35"/>
    <row r="8001" hidden="1" x14ac:dyDescent="0.35"/>
    <row r="8002" hidden="1" x14ac:dyDescent="0.35"/>
    <row r="8003" hidden="1" x14ac:dyDescent="0.35"/>
    <row r="8004" hidden="1" x14ac:dyDescent="0.35"/>
    <row r="8005" hidden="1" x14ac:dyDescent="0.35"/>
    <row r="8006" hidden="1" x14ac:dyDescent="0.35"/>
    <row r="8007" hidden="1" x14ac:dyDescent="0.35"/>
    <row r="8008" hidden="1" x14ac:dyDescent="0.35"/>
    <row r="8009" hidden="1" x14ac:dyDescent="0.35"/>
    <row r="8010" hidden="1" x14ac:dyDescent="0.35"/>
    <row r="8011" hidden="1" x14ac:dyDescent="0.35"/>
    <row r="8012" hidden="1" x14ac:dyDescent="0.35"/>
    <row r="8013" hidden="1" x14ac:dyDescent="0.35"/>
    <row r="8014" hidden="1" x14ac:dyDescent="0.35"/>
    <row r="8015" hidden="1" x14ac:dyDescent="0.35"/>
    <row r="8016" hidden="1" x14ac:dyDescent="0.35"/>
    <row r="8017" hidden="1" x14ac:dyDescent="0.35"/>
    <row r="8018" hidden="1" x14ac:dyDescent="0.35"/>
    <row r="8019" hidden="1" x14ac:dyDescent="0.35"/>
    <row r="8020" hidden="1" x14ac:dyDescent="0.35"/>
    <row r="8021" hidden="1" x14ac:dyDescent="0.35"/>
    <row r="8022" hidden="1" x14ac:dyDescent="0.35"/>
    <row r="8023" hidden="1" x14ac:dyDescent="0.35"/>
    <row r="8024" hidden="1" x14ac:dyDescent="0.35"/>
    <row r="8025" hidden="1" x14ac:dyDescent="0.35"/>
    <row r="8026" hidden="1" x14ac:dyDescent="0.35"/>
    <row r="8027" hidden="1" x14ac:dyDescent="0.35"/>
    <row r="8028" hidden="1" x14ac:dyDescent="0.35"/>
    <row r="8029" hidden="1" x14ac:dyDescent="0.35"/>
    <row r="8030" hidden="1" x14ac:dyDescent="0.35"/>
    <row r="8031" hidden="1" x14ac:dyDescent="0.35"/>
    <row r="8032" hidden="1" x14ac:dyDescent="0.35"/>
    <row r="8033" hidden="1" x14ac:dyDescent="0.35"/>
    <row r="8034" hidden="1" x14ac:dyDescent="0.35"/>
    <row r="8035" hidden="1" x14ac:dyDescent="0.35"/>
    <row r="8036" hidden="1" x14ac:dyDescent="0.35"/>
    <row r="8037" hidden="1" x14ac:dyDescent="0.35"/>
    <row r="8038" hidden="1" x14ac:dyDescent="0.35"/>
    <row r="8039" hidden="1" x14ac:dyDescent="0.35"/>
    <row r="8040" hidden="1" x14ac:dyDescent="0.35"/>
    <row r="8041" hidden="1" x14ac:dyDescent="0.35"/>
    <row r="8042" hidden="1" x14ac:dyDescent="0.35"/>
    <row r="8043" hidden="1" x14ac:dyDescent="0.35"/>
    <row r="8044" hidden="1" x14ac:dyDescent="0.35"/>
    <row r="8045" hidden="1" x14ac:dyDescent="0.35"/>
    <row r="8046" hidden="1" x14ac:dyDescent="0.35"/>
    <row r="8047" hidden="1" x14ac:dyDescent="0.35"/>
    <row r="8048" hidden="1" x14ac:dyDescent="0.35"/>
    <row r="8049" hidden="1" x14ac:dyDescent="0.35"/>
    <row r="8050" hidden="1" x14ac:dyDescent="0.35"/>
    <row r="8051" hidden="1" x14ac:dyDescent="0.35"/>
    <row r="8052" hidden="1" x14ac:dyDescent="0.35"/>
    <row r="8053" hidden="1" x14ac:dyDescent="0.35"/>
    <row r="8054" hidden="1" x14ac:dyDescent="0.35"/>
    <row r="8055" hidden="1" x14ac:dyDescent="0.35"/>
    <row r="8056" hidden="1" x14ac:dyDescent="0.35"/>
    <row r="8057" hidden="1" x14ac:dyDescent="0.35"/>
    <row r="8058" hidden="1" x14ac:dyDescent="0.35"/>
    <row r="8059" hidden="1" x14ac:dyDescent="0.35"/>
    <row r="8060" hidden="1" x14ac:dyDescent="0.35"/>
    <row r="8061" hidden="1" x14ac:dyDescent="0.35"/>
    <row r="8062" hidden="1" x14ac:dyDescent="0.35"/>
    <row r="8063" hidden="1" x14ac:dyDescent="0.35"/>
    <row r="8064" hidden="1" x14ac:dyDescent="0.35"/>
    <row r="8065" hidden="1" x14ac:dyDescent="0.35"/>
    <row r="8066" hidden="1" x14ac:dyDescent="0.35"/>
    <row r="8067" hidden="1" x14ac:dyDescent="0.35"/>
    <row r="8068" hidden="1" x14ac:dyDescent="0.35"/>
    <row r="8069" hidden="1" x14ac:dyDescent="0.35"/>
    <row r="8070" hidden="1" x14ac:dyDescent="0.35"/>
    <row r="8071" hidden="1" x14ac:dyDescent="0.35"/>
    <row r="8072" hidden="1" x14ac:dyDescent="0.35"/>
    <row r="8073" hidden="1" x14ac:dyDescent="0.35"/>
    <row r="8074" hidden="1" x14ac:dyDescent="0.35"/>
    <row r="8075" hidden="1" x14ac:dyDescent="0.35"/>
    <row r="8076" hidden="1" x14ac:dyDescent="0.35"/>
    <row r="8077" hidden="1" x14ac:dyDescent="0.35"/>
    <row r="8078" hidden="1" x14ac:dyDescent="0.35"/>
    <row r="8079" hidden="1" x14ac:dyDescent="0.35"/>
    <row r="8080" hidden="1" x14ac:dyDescent="0.35"/>
    <row r="8081" hidden="1" x14ac:dyDescent="0.35"/>
    <row r="8082" hidden="1" x14ac:dyDescent="0.35"/>
    <row r="8083" hidden="1" x14ac:dyDescent="0.35"/>
    <row r="8084" hidden="1" x14ac:dyDescent="0.35"/>
    <row r="8085" hidden="1" x14ac:dyDescent="0.35"/>
    <row r="8086" hidden="1" x14ac:dyDescent="0.35"/>
    <row r="8087" hidden="1" x14ac:dyDescent="0.35"/>
    <row r="8088" hidden="1" x14ac:dyDescent="0.35"/>
    <row r="8089" hidden="1" x14ac:dyDescent="0.35"/>
    <row r="8090" hidden="1" x14ac:dyDescent="0.35"/>
    <row r="8091" hidden="1" x14ac:dyDescent="0.35"/>
    <row r="8092" hidden="1" x14ac:dyDescent="0.35"/>
    <row r="8093" hidden="1" x14ac:dyDescent="0.35"/>
    <row r="8094" hidden="1" x14ac:dyDescent="0.35"/>
    <row r="8095" hidden="1" x14ac:dyDescent="0.35"/>
    <row r="8096" hidden="1" x14ac:dyDescent="0.35"/>
    <row r="8097" hidden="1" x14ac:dyDescent="0.35"/>
    <row r="8098" hidden="1" x14ac:dyDescent="0.35"/>
    <row r="8099" hidden="1" x14ac:dyDescent="0.35"/>
    <row r="8100" hidden="1" x14ac:dyDescent="0.35"/>
    <row r="8101" hidden="1" x14ac:dyDescent="0.35"/>
    <row r="8102" hidden="1" x14ac:dyDescent="0.35"/>
    <row r="8103" hidden="1" x14ac:dyDescent="0.35"/>
    <row r="8104" hidden="1" x14ac:dyDescent="0.35"/>
    <row r="8105" hidden="1" x14ac:dyDescent="0.35"/>
    <row r="8106" hidden="1" x14ac:dyDescent="0.35"/>
    <row r="8107" hidden="1" x14ac:dyDescent="0.35"/>
    <row r="8108" hidden="1" x14ac:dyDescent="0.35"/>
    <row r="8109" hidden="1" x14ac:dyDescent="0.35"/>
    <row r="8110" hidden="1" x14ac:dyDescent="0.35"/>
    <row r="8111" hidden="1" x14ac:dyDescent="0.35"/>
    <row r="8112" hidden="1" x14ac:dyDescent="0.35"/>
    <row r="8113" hidden="1" x14ac:dyDescent="0.35"/>
    <row r="8114" hidden="1" x14ac:dyDescent="0.35"/>
    <row r="8115" hidden="1" x14ac:dyDescent="0.35"/>
    <row r="8116" hidden="1" x14ac:dyDescent="0.35"/>
    <row r="8117" hidden="1" x14ac:dyDescent="0.35"/>
    <row r="8118" hidden="1" x14ac:dyDescent="0.35"/>
    <row r="8119" hidden="1" x14ac:dyDescent="0.35"/>
    <row r="8120" hidden="1" x14ac:dyDescent="0.35"/>
    <row r="8121" hidden="1" x14ac:dyDescent="0.35"/>
    <row r="8122" hidden="1" x14ac:dyDescent="0.35"/>
    <row r="8123" hidden="1" x14ac:dyDescent="0.35"/>
    <row r="8124" hidden="1" x14ac:dyDescent="0.35"/>
    <row r="8125" hidden="1" x14ac:dyDescent="0.35"/>
    <row r="8126" hidden="1" x14ac:dyDescent="0.35"/>
    <row r="8127" hidden="1" x14ac:dyDescent="0.35"/>
    <row r="8128" hidden="1" x14ac:dyDescent="0.35"/>
    <row r="8129" hidden="1" x14ac:dyDescent="0.35"/>
    <row r="8130" hidden="1" x14ac:dyDescent="0.35"/>
    <row r="8131" hidden="1" x14ac:dyDescent="0.35"/>
    <row r="8132" hidden="1" x14ac:dyDescent="0.35"/>
    <row r="8133" hidden="1" x14ac:dyDescent="0.35"/>
    <row r="8134" hidden="1" x14ac:dyDescent="0.35"/>
    <row r="8135" hidden="1" x14ac:dyDescent="0.35"/>
    <row r="8136" hidden="1" x14ac:dyDescent="0.35"/>
    <row r="8137" hidden="1" x14ac:dyDescent="0.35"/>
    <row r="8138" hidden="1" x14ac:dyDescent="0.35"/>
    <row r="8139" hidden="1" x14ac:dyDescent="0.35"/>
    <row r="8140" hidden="1" x14ac:dyDescent="0.35"/>
    <row r="8141" hidden="1" x14ac:dyDescent="0.35"/>
    <row r="8142" hidden="1" x14ac:dyDescent="0.35"/>
    <row r="8143" hidden="1" x14ac:dyDescent="0.35"/>
    <row r="8144" hidden="1" x14ac:dyDescent="0.35"/>
    <row r="8145" hidden="1" x14ac:dyDescent="0.35"/>
    <row r="8146" hidden="1" x14ac:dyDescent="0.35"/>
    <row r="8147" hidden="1" x14ac:dyDescent="0.35"/>
    <row r="8148" hidden="1" x14ac:dyDescent="0.35"/>
    <row r="8149" hidden="1" x14ac:dyDescent="0.35"/>
    <row r="8150" hidden="1" x14ac:dyDescent="0.35"/>
    <row r="8151" hidden="1" x14ac:dyDescent="0.35"/>
    <row r="8152" hidden="1" x14ac:dyDescent="0.35"/>
    <row r="8153" hidden="1" x14ac:dyDescent="0.35"/>
    <row r="8154" hidden="1" x14ac:dyDescent="0.35"/>
    <row r="8155" hidden="1" x14ac:dyDescent="0.35"/>
    <row r="8156" hidden="1" x14ac:dyDescent="0.35"/>
    <row r="8157" hidden="1" x14ac:dyDescent="0.35"/>
    <row r="8158" hidden="1" x14ac:dyDescent="0.35"/>
    <row r="8159" hidden="1" x14ac:dyDescent="0.35"/>
    <row r="8160" hidden="1" x14ac:dyDescent="0.35"/>
    <row r="8161" hidden="1" x14ac:dyDescent="0.35"/>
    <row r="8162" hidden="1" x14ac:dyDescent="0.35"/>
    <row r="8163" hidden="1" x14ac:dyDescent="0.35"/>
    <row r="8164" hidden="1" x14ac:dyDescent="0.35"/>
    <row r="8165" hidden="1" x14ac:dyDescent="0.35"/>
    <row r="8166" hidden="1" x14ac:dyDescent="0.35"/>
    <row r="8167" hidden="1" x14ac:dyDescent="0.35"/>
    <row r="8168" hidden="1" x14ac:dyDescent="0.35"/>
    <row r="8169" hidden="1" x14ac:dyDescent="0.35"/>
    <row r="8170" hidden="1" x14ac:dyDescent="0.35"/>
    <row r="8171" hidden="1" x14ac:dyDescent="0.35"/>
    <row r="8172" hidden="1" x14ac:dyDescent="0.35"/>
    <row r="8173" hidden="1" x14ac:dyDescent="0.35"/>
    <row r="8174" hidden="1" x14ac:dyDescent="0.35"/>
    <row r="8175" hidden="1" x14ac:dyDescent="0.35"/>
    <row r="8176" hidden="1" x14ac:dyDescent="0.35"/>
    <row r="8177" hidden="1" x14ac:dyDescent="0.35"/>
    <row r="8178" hidden="1" x14ac:dyDescent="0.35"/>
    <row r="8179" hidden="1" x14ac:dyDescent="0.35"/>
    <row r="8180" hidden="1" x14ac:dyDescent="0.35"/>
    <row r="8181" hidden="1" x14ac:dyDescent="0.35"/>
    <row r="8182" hidden="1" x14ac:dyDescent="0.35"/>
    <row r="8183" hidden="1" x14ac:dyDescent="0.35"/>
    <row r="8184" hidden="1" x14ac:dyDescent="0.35"/>
    <row r="8185" hidden="1" x14ac:dyDescent="0.35"/>
    <row r="8186" hidden="1" x14ac:dyDescent="0.35"/>
    <row r="8187" hidden="1" x14ac:dyDescent="0.35"/>
    <row r="8188" hidden="1" x14ac:dyDescent="0.35"/>
    <row r="8189" hidden="1" x14ac:dyDescent="0.35"/>
    <row r="8190" hidden="1" x14ac:dyDescent="0.35"/>
    <row r="8191" hidden="1" x14ac:dyDescent="0.35"/>
    <row r="8192" hidden="1" x14ac:dyDescent="0.35"/>
    <row r="8193" hidden="1" x14ac:dyDescent="0.35"/>
    <row r="8194" hidden="1" x14ac:dyDescent="0.35"/>
    <row r="8195" hidden="1" x14ac:dyDescent="0.35"/>
    <row r="8196" hidden="1" x14ac:dyDescent="0.35"/>
    <row r="8197" hidden="1" x14ac:dyDescent="0.35"/>
    <row r="8198" hidden="1" x14ac:dyDescent="0.35"/>
    <row r="8199" hidden="1" x14ac:dyDescent="0.35"/>
    <row r="8200" hidden="1" x14ac:dyDescent="0.35"/>
    <row r="8201" hidden="1" x14ac:dyDescent="0.35"/>
    <row r="8202" hidden="1" x14ac:dyDescent="0.35"/>
    <row r="8203" hidden="1" x14ac:dyDescent="0.35"/>
    <row r="8204" hidden="1" x14ac:dyDescent="0.35"/>
    <row r="8205" hidden="1" x14ac:dyDescent="0.35"/>
    <row r="8206" hidden="1" x14ac:dyDescent="0.35"/>
    <row r="8207" hidden="1" x14ac:dyDescent="0.35"/>
    <row r="8208" hidden="1" x14ac:dyDescent="0.35"/>
    <row r="8209" hidden="1" x14ac:dyDescent="0.35"/>
    <row r="8210" hidden="1" x14ac:dyDescent="0.35"/>
    <row r="8211" hidden="1" x14ac:dyDescent="0.35"/>
    <row r="8212" hidden="1" x14ac:dyDescent="0.35"/>
    <row r="8213" hidden="1" x14ac:dyDescent="0.35"/>
    <row r="8214" hidden="1" x14ac:dyDescent="0.35"/>
    <row r="8215" hidden="1" x14ac:dyDescent="0.35"/>
    <row r="8216" hidden="1" x14ac:dyDescent="0.35"/>
    <row r="8217" hidden="1" x14ac:dyDescent="0.35"/>
    <row r="8218" hidden="1" x14ac:dyDescent="0.35"/>
    <row r="8219" hidden="1" x14ac:dyDescent="0.35"/>
    <row r="8220" hidden="1" x14ac:dyDescent="0.35"/>
    <row r="8221" hidden="1" x14ac:dyDescent="0.35"/>
    <row r="8222" hidden="1" x14ac:dyDescent="0.35"/>
    <row r="8223" hidden="1" x14ac:dyDescent="0.35"/>
    <row r="8224" hidden="1" x14ac:dyDescent="0.35"/>
    <row r="8225" hidden="1" x14ac:dyDescent="0.35"/>
    <row r="8226" hidden="1" x14ac:dyDescent="0.35"/>
    <row r="8227" hidden="1" x14ac:dyDescent="0.35"/>
    <row r="8228" hidden="1" x14ac:dyDescent="0.35"/>
    <row r="8229" hidden="1" x14ac:dyDescent="0.35"/>
    <row r="8230" hidden="1" x14ac:dyDescent="0.35"/>
    <row r="8231" hidden="1" x14ac:dyDescent="0.35"/>
    <row r="8232" hidden="1" x14ac:dyDescent="0.35"/>
    <row r="8233" hidden="1" x14ac:dyDescent="0.35"/>
    <row r="8234" hidden="1" x14ac:dyDescent="0.35"/>
    <row r="8235" hidden="1" x14ac:dyDescent="0.35"/>
    <row r="8236" hidden="1" x14ac:dyDescent="0.35"/>
    <row r="8237" hidden="1" x14ac:dyDescent="0.35"/>
    <row r="8238" hidden="1" x14ac:dyDescent="0.35"/>
    <row r="8239" hidden="1" x14ac:dyDescent="0.35"/>
    <row r="8240" hidden="1" x14ac:dyDescent="0.35"/>
    <row r="8241" hidden="1" x14ac:dyDescent="0.35"/>
    <row r="8242" hidden="1" x14ac:dyDescent="0.35"/>
    <row r="8243" hidden="1" x14ac:dyDescent="0.35"/>
    <row r="8244" hidden="1" x14ac:dyDescent="0.35"/>
    <row r="8245" hidden="1" x14ac:dyDescent="0.35"/>
    <row r="8246" hidden="1" x14ac:dyDescent="0.35"/>
    <row r="8247" hidden="1" x14ac:dyDescent="0.35"/>
    <row r="8248" hidden="1" x14ac:dyDescent="0.35"/>
    <row r="8249" hidden="1" x14ac:dyDescent="0.35"/>
    <row r="8250" hidden="1" x14ac:dyDescent="0.35"/>
    <row r="8251" hidden="1" x14ac:dyDescent="0.35"/>
    <row r="8252" hidden="1" x14ac:dyDescent="0.35"/>
    <row r="8253" hidden="1" x14ac:dyDescent="0.35"/>
    <row r="8254" hidden="1" x14ac:dyDescent="0.35"/>
    <row r="8255" hidden="1" x14ac:dyDescent="0.35"/>
    <row r="8256" hidden="1" x14ac:dyDescent="0.35"/>
    <row r="8257" hidden="1" x14ac:dyDescent="0.35"/>
    <row r="8258" hidden="1" x14ac:dyDescent="0.35"/>
    <row r="8259" hidden="1" x14ac:dyDescent="0.35"/>
    <row r="8260" hidden="1" x14ac:dyDescent="0.35"/>
    <row r="8261" hidden="1" x14ac:dyDescent="0.35"/>
    <row r="8262" hidden="1" x14ac:dyDescent="0.35"/>
    <row r="8263" hidden="1" x14ac:dyDescent="0.35"/>
    <row r="8264" hidden="1" x14ac:dyDescent="0.35"/>
    <row r="8265" hidden="1" x14ac:dyDescent="0.35"/>
    <row r="8266" hidden="1" x14ac:dyDescent="0.35"/>
    <row r="8267" hidden="1" x14ac:dyDescent="0.35"/>
    <row r="8268" hidden="1" x14ac:dyDescent="0.35"/>
    <row r="8269" hidden="1" x14ac:dyDescent="0.35"/>
    <row r="8270" hidden="1" x14ac:dyDescent="0.35"/>
    <row r="8271" hidden="1" x14ac:dyDescent="0.35"/>
    <row r="8272" hidden="1" x14ac:dyDescent="0.35"/>
    <row r="8273" hidden="1" x14ac:dyDescent="0.35"/>
    <row r="8274" hidden="1" x14ac:dyDescent="0.35"/>
    <row r="8275" hidden="1" x14ac:dyDescent="0.35"/>
    <row r="8276" hidden="1" x14ac:dyDescent="0.35"/>
    <row r="8277" hidden="1" x14ac:dyDescent="0.35"/>
    <row r="8278" hidden="1" x14ac:dyDescent="0.35"/>
    <row r="8279" hidden="1" x14ac:dyDescent="0.35"/>
    <row r="8280" hidden="1" x14ac:dyDescent="0.35"/>
    <row r="8281" hidden="1" x14ac:dyDescent="0.35"/>
    <row r="8282" hidden="1" x14ac:dyDescent="0.35"/>
    <row r="8283" hidden="1" x14ac:dyDescent="0.35"/>
    <row r="8284" hidden="1" x14ac:dyDescent="0.35"/>
    <row r="8285" hidden="1" x14ac:dyDescent="0.35"/>
    <row r="8286" hidden="1" x14ac:dyDescent="0.35"/>
    <row r="8287" hidden="1" x14ac:dyDescent="0.35"/>
    <row r="8288" hidden="1" x14ac:dyDescent="0.35"/>
    <row r="8289" hidden="1" x14ac:dyDescent="0.35"/>
    <row r="8290" hidden="1" x14ac:dyDescent="0.35"/>
    <row r="8291" hidden="1" x14ac:dyDescent="0.35"/>
    <row r="8292" hidden="1" x14ac:dyDescent="0.35"/>
    <row r="8293" hidden="1" x14ac:dyDescent="0.35"/>
    <row r="8294" hidden="1" x14ac:dyDescent="0.35"/>
    <row r="8295" hidden="1" x14ac:dyDescent="0.35"/>
    <row r="8296" hidden="1" x14ac:dyDescent="0.35"/>
    <row r="8297" hidden="1" x14ac:dyDescent="0.35"/>
    <row r="8298" hidden="1" x14ac:dyDescent="0.35"/>
    <row r="8299" hidden="1" x14ac:dyDescent="0.35"/>
    <row r="8300" hidden="1" x14ac:dyDescent="0.35"/>
    <row r="8301" hidden="1" x14ac:dyDescent="0.35"/>
    <row r="8302" hidden="1" x14ac:dyDescent="0.35"/>
    <row r="8303" hidden="1" x14ac:dyDescent="0.35"/>
    <row r="8304" hidden="1" x14ac:dyDescent="0.35"/>
    <row r="8305" hidden="1" x14ac:dyDescent="0.35"/>
    <row r="8306" hidden="1" x14ac:dyDescent="0.35"/>
    <row r="8307" hidden="1" x14ac:dyDescent="0.35"/>
    <row r="8308" hidden="1" x14ac:dyDescent="0.35"/>
    <row r="8309" hidden="1" x14ac:dyDescent="0.35"/>
    <row r="8310" hidden="1" x14ac:dyDescent="0.35"/>
    <row r="8311" hidden="1" x14ac:dyDescent="0.35"/>
    <row r="8312" hidden="1" x14ac:dyDescent="0.35"/>
    <row r="8313" hidden="1" x14ac:dyDescent="0.35"/>
    <row r="8314" hidden="1" x14ac:dyDescent="0.35"/>
    <row r="8315" hidden="1" x14ac:dyDescent="0.35"/>
    <row r="8316" hidden="1" x14ac:dyDescent="0.35"/>
    <row r="8317" hidden="1" x14ac:dyDescent="0.35"/>
    <row r="8318" hidden="1" x14ac:dyDescent="0.35"/>
    <row r="8319" hidden="1" x14ac:dyDescent="0.35"/>
    <row r="8320" hidden="1" x14ac:dyDescent="0.35"/>
    <row r="8321" hidden="1" x14ac:dyDescent="0.35"/>
    <row r="8322" hidden="1" x14ac:dyDescent="0.35"/>
    <row r="8323" hidden="1" x14ac:dyDescent="0.35"/>
    <row r="8324" hidden="1" x14ac:dyDescent="0.35"/>
    <row r="8325" hidden="1" x14ac:dyDescent="0.35"/>
    <row r="8326" hidden="1" x14ac:dyDescent="0.35"/>
    <row r="8327" hidden="1" x14ac:dyDescent="0.35"/>
    <row r="8328" hidden="1" x14ac:dyDescent="0.35"/>
    <row r="8329" hidden="1" x14ac:dyDescent="0.35"/>
    <row r="8330" hidden="1" x14ac:dyDescent="0.35"/>
    <row r="8331" hidden="1" x14ac:dyDescent="0.35"/>
    <row r="8332" hidden="1" x14ac:dyDescent="0.35"/>
    <row r="8333" hidden="1" x14ac:dyDescent="0.35"/>
    <row r="8334" hidden="1" x14ac:dyDescent="0.35"/>
    <row r="8335" hidden="1" x14ac:dyDescent="0.35"/>
    <row r="8336" hidden="1" x14ac:dyDescent="0.35"/>
    <row r="8337" hidden="1" x14ac:dyDescent="0.35"/>
    <row r="8338" hidden="1" x14ac:dyDescent="0.35"/>
    <row r="8339" hidden="1" x14ac:dyDescent="0.35"/>
    <row r="8340" hidden="1" x14ac:dyDescent="0.35"/>
    <row r="8341" hidden="1" x14ac:dyDescent="0.35"/>
    <row r="8342" hidden="1" x14ac:dyDescent="0.35"/>
    <row r="8343" hidden="1" x14ac:dyDescent="0.35"/>
    <row r="8344" hidden="1" x14ac:dyDescent="0.35"/>
    <row r="8345" hidden="1" x14ac:dyDescent="0.35"/>
    <row r="8346" hidden="1" x14ac:dyDescent="0.35"/>
    <row r="8347" hidden="1" x14ac:dyDescent="0.35"/>
    <row r="8348" hidden="1" x14ac:dyDescent="0.35"/>
    <row r="8349" hidden="1" x14ac:dyDescent="0.35"/>
    <row r="8350" hidden="1" x14ac:dyDescent="0.35"/>
    <row r="8351" hidden="1" x14ac:dyDescent="0.35"/>
    <row r="8352" hidden="1" x14ac:dyDescent="0.35"/>
    <row r="8353" hidden="1" x14ac:dyDescent="0.35"/>
    <row r="8354" hidden="1" x14ac:dyDescent="0.35"/>
    <row r="8355" hidden="1" x14ac:dyDescent="0.35"/>
    <row r="8356" hidden="1" x14ac:dyDescent="0.35"/>
    <row r="8357" hidden="1" x14ac:dyDescent="0.35"/>
    <row r="8358" hidden="1" x14ac:dyDescent="0.35"/>
    <row r="8359" hidden="1" x14ac:dyDescent="0.35"/>
    <row r="8360" hidden="1" x14ac:dyDescent="0.35"/>
    <row r="8361" hidden="1" x14ac:dyDescent="0.35"/>
    <row r="8362" hidden="1" x14ac:dyDescent="0.35"/>
    <row r="8363" hidden="1" x14ac:dyDescent="0.35"/>
    <row r="8364" hidden="1" x14ac:dyDescent="0.35"/>
    <row r="8365" hidden="1" x14ac:dyDescent="0.35"/>
    <row r="8366" hidden="1" x14ac:dyDescent="0.35"/>
    <row r="8367" hidden="1" x14ac:dyDescent="0.35"/>
    <row r="8368" hidden="1" x14ac:dyDescent="0.35"/>
    <row r="8369" hidden="1" x14ac:dyDescent="0.35"/>
    <row r="8370" hidden="1" x14ac:dyDescent="0.35"/>
    <row r="8371" hidden="1" x14ac:dyDescent="0.35"/>
    <row r="8372" hidden="1" x14ac:dyDescent="0.35"/>
    <row r="8373" hidden="1" x14ac:dyDescent="0.35"/>
    <row r="8374" hidden="1" x14ac:dyDescent="0.35"/>
    <row r="8375" hidden="1" x14ac:dyDescent="0.35"/>
    <row r="8376" hidden="1" x14ac:dyDescent="0.35"/>
    <row r="8377" hidden="1" x14ac:dyDescent="0.35"/>
    <row r="8378" hidden="1" x14ac:dyDescent="0.35"/>
    <row r="8379" hidden="1" x14ac:dyDescent="0.35"/>
    <row r="8380" hidden="1" x14ac:dyDescent="0.35"/>
    <row r="8381" hidden="1" x14ac:dyDescent="0.35"/>
    <row r="8382" hidden="1" x14ac:dyDescent="0.35"/>
    <row r="8383" hidden="1" x14ac:dyDescent="0.35"/>
    <row r="8384" hidden="1" x14ac:dyDescent="0.35"/>
    <row r="8385" hidden="1" x14ac:dyDescent="0.35"/>
    <row r="8386" hidden="1" x14ac:dyDescent="0.35"/>
    <row r="8387" hidden="1" x14ac:dyDescent="0.35"/>
    <row r="8388" hidden="1" x14ac:dyDescent="0.35"/>
    <row r="8389" hidden="1" x14ac:dyDescent="0.35"/>
    <row r="8390" hidden="1" x14ac:dyDescent="0.35"/>
    <row r="8391" hidden="1" x14ac:dyDescent="0.35"/>
    <row r="8392" hidden="1" x14ac:dyDescent="0.35"/>
    <row r="8393" hidden="1" x14ac:dyDescent="0.35"/>
    <row r="8394" hidden="1" x14ac:dyDescent="0.35"/>
    <row r="8395" hidden="1" x14ac:dyDescent="0.35"/>
    <row r="8396" hidden="1" x14ac:dyDescent="0.35"/>
    <row r="8397" hidden="1" x14ac:dyDescent="0.35"/>
    <row r="8398" hidden="1" x14ac:dyDescent="0.35"/>
    <row r="8399" hidden="1" x14ac:dyDescent="0.35"/>
    <row r="8400" hidden="1" x14ac:dyDescent="0.35"/>
    <row r="8401" hidden="1" x14ac:dyDescent="0.35"/>
    <row r="8402" hidden="1" x14ac:dyDescent="0.35"/>
    <row r="8403" hidden="1" x14ac:dyDescent="0.35"/>
    <row r="8404" hidden="1" x14ac:dyDescent="0.35"/>
    <row r="8405" hidden="1" x14ac:dyDescent="0.35"/>
    <row r="8406" hidden="1" x14ac:dyDescent="0.35"/>
    <row r="8407" hidden="1" x14ac:dyDescent="0.35"/>
    <row r="8408" hidden="1" x14ac:dyDescent="0.35"/>
    <row r="8409" hidden="1" x14ac:dyDescent="0.35"/>
    <row r="8410" hidden="1" x14ac:dyDescent="0.35"/>
    <row r="8411" hidden="1" x14ac:dyDescent="0.35"/>
    <row r="8412" hidden="1" x14ac:dyDescent="0.35"/>
    <row r="8413" hidden="1" x14ac:dyDescent="0.35"/>
    <row r="8414" hidden="1" x14ac:dyDescent="0.35"/>
    <row r="8415" hidden="1" x14ac:dyDescent="0.35"/>
    <row r="8416" hidden="1" x14ac:dyDescent="0.35"/>
    <row r="8417" hidden="1" x14ac:dyDescent="0.35"/>
    <row r="8418" hidden="1" x14ac:dyDescent="0.35"/>
    <row r="8419" hidden="1" x14ac:dyDescent="0.35"/>
    <row r="8420" hidden="1" x14ac:dyDescent="0.35"/>
    <row r="8421" hidden="1" x14ac:dyDescent="0.35"/>
    <row r="8422" hidden="1" x14ac:dyDescent="0.35"/>
    <row r="8423" hidden="1" x14ac:dyDescent="0.35"/>
    <row r="8424" hidden="1" x14ac:dyDescent="0.35"/>
    <row r="8425" hidden="1" x14ac:dyDescent="0.35"/>
    <row r="8426" hidden="1" x14ac:dyDescent="0.35"/>
    <row r="8427" hidden="1" x14ac:dyDescent="0.35"/>
    <row r="8428" hidden="1" x14ac:dyDescent="0.35"/>
    <row r="8429" hidden="1" x14ac:dyDescent="0.35"/>
    <row r="8430" hidden="1" x14ac:dyDescent="0.35"/>
    <row r="8431" hidden="1" x14ac:dyDescent="0.35"/>
    <row r="8432" hidden="1" x14ac:dyDescent="0.35"/>
    <row r="8433" hidden="1" x14ac:dyDescent="0.35"/>
    <row r="8434" hidden="1" x14ac:dyDescent="0.35"/>
    <row r="8435" hidden="1" x14ac:dyDescent="0.35"/>
    <row r="8436" hidden="1" x14ac:dyDescent="0.35"/>
    <row r="8437" hidden="1" x14ac:dyDescent="0.35"/>
    <row r="8438" hidden="1" x14ac:dyDescent="0.35"/>
    <row r="8439" hidden="1" x14ac:dyDescent="0.35"/>
    <row r="8440" hidden="1" x14ac:dyDescent="0.35"/>
    <row r="8441" hidden="1" x14ac:dyDescent="0.35"/>
    <row r="8442" hidden="1" x14ac:dyDescent="0.35"/>
    <row r="8443" hidden="1" x14ac:dyDescent="0.35"/>
    <row r="8444" hidden="1" x14ac:dyDescent="0.35"/>
    <row r="8445" hidden="1" x14ac:dyDescent="0.35"/>
    <row r="8446" hidden="1" x14ac:dyDescent="0.35"/>
    <row r="8447" hidden="1" x14ac:dyDescent="0.35"/>
    <row r="8448" hidden="1" x14ac:dyDescent="0.35"/>
    <row r="8449" hidden="1" x14ac:dyDescent="0.35"/>
    <row r="8450" hidden="1" x14ac:dyDescent="0.35"/>
    <row r="8451" hidden="1" x14ac:dyDescent="0.35"/>
    <row r="8452" hidden="1" x14ac:dyDescent="0.35"/>
    <row r="8453" hidden="1" x14ac:dyDescent="0.35"/>
    <row r="8454" hidden="1" x14ac:dyDescent="0.35"/>
    <row r="8455" hidden="1" x14ac:dyDescent="0.35"/>
    <row r="8456" hidden="1" x14ac:dyDescent="0.35"/>
    <row r="8457" hidden="1" x14ac:dyDescent="0.35"/>
    <row r="8458" hidden="1" x14ac:dyDescent="0.35"/>
    <row r="8459" hidden="1" x14ac:dyDescent="0.35"/>
    <row r="8460" hidden="1" x14ac:dyDescent="0.35"/>
    <row r="8461" hidden="1" x14ac:dyDescent="0.35"/>
    <row r="8462" hidden="1" x14ac:dyDescent="0.35"/>
    <row r="8463" hidden="1" x14ac:dyDescent="0.35"/>
    <row r="8464" hidden="1" x14ac:dyDescent="0.35"/>
    <row r="8465" hidden="1" x14ac:dyDescent="0.35"/>
    <row r="8466" hidden="1" x14ac:dyDescent="0.35"/>
    <row r="8467" hidden="1" x14ac:dyDescent="0.35"/>
    <row r="8468" hidden="1" x14ac:dyDescent="0.35"/>
    <row r="8469" hidden="1" x14ac:dyDescent="0.35"/>
    <row r="8470" hidden="1" x14ac:dyDescent="0.35"/>
    <row r="8471" hidden="1" x14ac:dyDescent="0.35"/>
    <row r="8472" hidden="1" x14ac:dyDescent="0.35"/>
    <row r="8473" hidden="1" x14ac:dyDescent="0.35"/>
    <row r="8474" hidden="1" x14ac:dyDescent="0.35"/>
    <row r="8475" hidden="1" x14ac:dyDescent="0.35"/>
    <row r="8476" hidden="1" x14ac:dyDescent="0.35"/>
    <row r="8477" hidden="1" x14ac:dyDescent="0.35"/>
    <row r="8478" hidden="1" x14ac:dyDescent="0.35"/>
    <row r="8479" hidden="1" x14ac:dyDescent="0.35"/>
    <row r="8480" hidden="1" x14ac:dyDescent="0.35"/>
    <row r="8481" hidden="1" x14ac:dyDescent="0.35"/>
    <row r="8482" hidden="1" x14ac:dyDescent="0.35"/>
    <row r="8483" hidden="1" x14ac:dyDescent="0.35"/>
    <row r="8484" hidden="1" x14ac:dyDescent="0.35"/>
    <row r="8485" hidden="1" x14ac:dyDescent="0.35"/>
    <row r="8486" hidden="1" x14ac:dyDescent="0.35"/>
    <row r="8487" hidden="1" x14ac:dyDescent="0.35"/>
    <row r="8488" hidden="1" x14ac:dyDescent="0.35"/>
    <row r="8489" hidden="1" x14ac:dyDescent="0.35"/>
    <row r="8490" hidden="1" x14ac:dyDescent="0.35"/>
    <row r="8491" hidden="1" x14ac:dyDescent="0.35"/>
    <row r="8492" hidden="1" x14ac:dyDescent="0.35"/>
    <row r="8493" hidden="1" x14ac:dyDescent="0.35"/>
    <row r="8494" hidden="1" x14ac:dyDescent="0.35"/>
    <row r="8495" hidden="1" x14ac:dyDescent="0.35"/>
    <row r="8496" hidden="1" x14ac:dyDescent="0.35"/>
    <row r="8497" hidden="1" x14ac:dyDescent="0.35"/>
    <row r="8498" hidden="1" x14ac:dyDescent="0.35"/>
    <row r="8499" hidden="1" x14ac:dyDescent="0.35"/>
    <row r="8500" hidden="1" x14ac:dyDescent="0.35"/>
    <row r="8501" hidden="1" x14ac:dyDescent="0.35"/>
    <row r="8502" hidden="1" x14ac:dyDescent="0.35"/>
    <row r="8503" hidden="1" x14ac:dyDescent="0.35"/>
    <row r="8504" hidden="1" x14ac:dyDescent="0.35"/>
    <row r="8505" hidden="1" x14ac:dyDescent="0.35"/>
    <row r="8506" hidden="1" x14ac:dyDescent="0.35"/>
    <row r="8507" hidden="1" x14ac:dyDescent="0.35"/>
    <row r="8508" hidden="1" x14ac:dyDescent="0.35"/>
    <row r="8509" hidden="1" x14ac:dyDescent="0.35"/>
    <row r="8510" hidden="1" x14ac:dyDescent="0.35"/>
    <row r="8511" hidden="1" x14ac:dyDescent="0.35"/>
    <row r="8512" hidden="1" x14ac:dyDescent="0.35"/>
    <row r="8513" hidden="1" x14ac:dyDescent="0.35"/>
    <row r="8514" hidden="1" x14ac:dyDescent="0.35"/>
    <row r="8515" hidden="1" x14ac:dyDescent="0.35"/>
    <row r="8516" hidden="1" x14ac:dyDescent="0.35"/>
    <row r="8517" hidden="1" x14ac:dyDescent="0.35"/>
    <row r="8518" hidden="1" x14ac:dyDescent="0.35"/>
    <row r="8519" hidden="1" x14ac:dyDescent="0.35"/>
    <row r="8520" hidden="1" x14ac:dyDescent="0.35"/>
    <row r="8521" hidden="1" x14ac:dyDescent="0.35"/>
    <row r="8522" hidden="1" x14ac:dyDescent="0.35"/>
    <row r="8523" hidden="1" x14ac:dyDescent="0.35"/>
    <row r="8524" hidden="1" x14ac:dyDescent="0.35"/>
    <row r="8525" hidden="1" x14ac:dyDescent="0.35"/>
    <row r="8526" hidden="1" x14ac:dyDescent="0.35"/>
    <row r="8527" hidden="1" x14ac:dyDescent="0.35"/>
    <row r="8528" hidden="1" x14ac:dyDescent="0.35"/>
    <row r="8529" hidden="1" x14ac:dyDescent="0.35"/>
    <row r="8530" hidden="1" x14ac:dyDescent="0.35"/>
    <row r="8531" hidden="1" x14ac:dyDescent="0.35"/>
    <row r="8532" hidden="1" x14ac:dyDescent="0.35"/>
    <row r="8533" hidden="1" x14ac:dyDescent="0.35"/>
    <row r="8534" hidden="1" x14ac:dyDescent="0.35"/>
    <row r="8535" hidden="1" x14ac:dyDescent="0.35"/>
    <row r="8536" hidden="1" x14ac:dyDescent="0.35"/>
    <row r="8537" hidden="1" x14ac:dyDescent="0.35"/>
    <row r="8538" hidden="1" x14ac:dyDescent="0.35"/>
    <row r="8539" hidden="1" x14ac:dyDescent="0.35"/>
    <row r="8540" hidden="1" x14ac:dyDescent="0.35"/>
    <row r="8541" hidden="1" x14ac:dyDescent="0.35"/>
    <row r="8542" hidden="1" x14ac:dyDescent="0.35"/>
    <row r="8543" hidden="1" x14ac:dyDescent="0.35"/>
    <row r="8544" hidden="1" x14ac:dyDescent="0.35"/>
    <row r="8545" hidden="1" x14ac:dyDescent="0.35"/>
    <row r="8546" hidden="1" x14ac:dyDescent="0.35"/>
    <row r="8547" hidden="1" x14ac:dyDescent="0.35"/>
    <row r="8548" hidden="1" x14ac:dyDescent="0.35"/>
    <row r="8549" hidden="1" x14ac:dyDescent="0.35"/>
    <row r="8550" hidden="1" x14ac:dyDescent="0.35"/>
    <row r="8551" hidden="1" x14ac:dyDescent="0.35"/>
    <row r="8552" hidden="1" x14ac:dyDescent="0.35"/>
    <row r="8553" hidden="1" x14ac:dyDescent="0.35"/>
    <row r="8554" hidden="1" x14ac:dyDescent="0.35"/>
    <row r="8555" hidden="1" x14ac:dyDescent="0.35"/>
    <row r="8556" hidden="1" x14ac:dyDescent="0.35"/>
    <row r="8557" hidden="1" x14ac:dyDescent="0.35"/>
    <row r="8558" hidden="1" x14ac:dyDescent="0.35"/>
    <row r="8559" hidden="1" x14ac:dyDescent="0.35"/>
    <row r="8560" hidden="1" x14ac:dyDescent="0.35"/>
    <row r="8561" hidden="1" x14ac:dyDescent="0.35"/>
    <row r="8562" hidden="1" x14ac:dyDescent="0.35"/>
    <row r="8563" hidden="1" x14ac:dyDescent="0.35"/>
    <row r="8564" hidden="1" x14ac:dyDescent="0.35"/>
    <row r="8565" hidden="1" x14ac:dyDescent="0.35"/>
    <row r="8566" hidden="1" x14ac:dyDescent="0.35"/>
    <row r="8567" hidden="1" x14ac:dyDescent="0.35"/>
    <row r="8568" hidden="1" x14ac:dyDescent="0.35"/>
    <row r="8569" hidden="1" x14ac:dyDescent="0.35"/>
    <row r="8570" hidden="1" x14ac:dyDescent="0.35"/>
    <row r="8571" hidden="1" x14ac:dyDescent="0.35"/>
    <row r="8572" hidden="1" x14ac:dyDescent="0.35"/>
    <row r="8573" hidden="1" x14ac:dyDescent="0.35"/>
    <row r="8574" hidden="1" x14ac:dyDescent="0.35"/>
    <row r="8575" hidden="1" x14ac:dyDescent="0.35"/>
    <row r="8576" hidden="1" x14ac:dyDescent="0.35"/>
    <row r="8577" hidden="1" x14ac:dyDescent="0.35"/>
    <row r="8578" hidden="1" x14ac:dyDescent="0.35"/>
    <row r="8579" hidden="1" x14ac:dyDescent="0.35"/>
    <row r="8580" hidden="1" x14ac:dyDescent="0.35"/>
    <row r="8581" hidden="1" x14ac:dyDescent="0.35"/>
    <row r="8582" hidden="1" x14ac:dyDescent="0.35"/>
    <row r="8583" hidden="1" x14ac:dyDescent="0.35"/>
    <row r="8584" hidden="1" x14ac:dyDescent="0.35"/>
    <row r="8585" hidden="1" x14ac:dyDescent="0.35"/>
    <row r="8586" hidden="1" x14ac:dyDescent="0.35"/>
    <row r="8587" hidden="1" x14ac:dyDescent="0.35"/>
    <row r="8588" hidden="1" x14ac:dyDescent="0.35"/>
    <row r="8589" hidden="1" x14ac:dyDescent="0.35"/>
    <row r="8590" hidden="1" x14ac:dyDescent="0.35"/>
    <row r="8591" hidden="1" x14ac:dyDescent="0.35"/>
    <row r="8592" hidden="1" x14ac:dyDescent="0.35"/>
    <row r="8593" hidden="1" x14ac:dyDescent="0.35"/>
    <row r="8594" hidden="1" x14ac:dyDescent="0.35"/>
    <row r="8595" hidden="1" x14ac:dyDescent="0.35"/>
    <row r="8596" hidden="1" x14ac:dyDescent="0.35"/>
    <row r="8597" hidden="1" x14ac:dyDescent="0.35"/>
    <row r="8598" hidden="1" x14ac:dyDescent="0.35"/>
    <row r="8599" hidden="1" x14ac:dyDescent="0.35"/>
    <row r="8600" hidden="1" x14ac:dyDescent="0.35"/>
    <row r="8601" hidden="1" x14ac:dyDescent="0.35"/>
    <row r="8602" hidden="1" x14ac:dyDescent="0.35"/>
    <row r="8603" hidden="1" x14ac:dyDescent="0.35"/>
    <row r="8604" hidden="1" x14ac:dyDescent="0.35"/>
    <row r="8605" hidden="1" x14ac:dyDescent="0.35"/>
    <row r="8606" hidden="1" x14ac:dyDescent="0.35"/>
    <row r="8607" hidden="1" x14ac:dyDescent="0.35"/>
    <row r="8608" hidden="1" x14ac:dyDescent="0.35"/>
    <row r="8609" hidden="1" x14ac:dyDescent="0.35"/>
    <row r="8610" hidden="1" x14ac:dyDescent="0.35"/>
    <row r="8611" hidden="1" x14ac:dyDescent="0.35"/>
    <row r="8612" hidden="1" x14ac:dyDescent="0.35"/>
    <row r="8613" hidden="1" x14ac:dyDescent="0.35"/>
    <row r="8614" hidden="1" x14ac:dyDescent="0.35"/>
    <row r="8615" hidden="1" x14ac:dyDescent="0.35"/>
    <row r="8616" hidden="1" x14ac:dyDescent="0.35"/>
    <row r="8617" hidden="1" x14ac:dyDescent="0.35"/>
    <row r="8618" hidden="1" x14ac:dyDescent="0.35"/>
    <row r="8619" hidden="1" x14ac:dyDescent="0.35"/>
    <row r="8620" hidden="1" x14ac:dyDescent="0.35"/>
    <row r="8621" hidden="1" x14ac:dyDescent="0.35"/>
    <row r="8622" hidden="1" x14ac:dyDescent="0.35"/>
    <row r="8623" hidden="1" x14ac:dyDescent="0.35"/>
    <row r="8624" hidden="1" x14ac:dyDescent="0.35"/>
    <row r="8625" hidden="1" x14ac:dyDescent="0.35"/>
    <row r="8626" hidden="1" x14ac:dyDescent="0.35"/>
    <row r="8627" hidden="1" x14ac:dyDescent="0.35"/>
    <row r="8628" hidden="1" x14ac:dyDescent="0.35"/>
    <row r="8629" hidden="1" x14ac:dyDescent="0.35"/>
    <row r="8630" hidden="1" x14ac:dyDescent="0.35"/>
    <row r="8631" hidden="1" x14ac:dyDescent="0.35"/>
    <row r="8632" hidden="1" x14ac:dyDescent="0.35"/>
    <row r="8633" hidden="1" x14ac:dyDescent="0.35"/>
    <row r="8634" hidden="1" x14ac:dyDescent="0.35"/>
    <row r="8635" hidden="1" x14ac:dyDescent="0.35"/>
    <row r="8636" hidden="1" x14ac:dyDescent="0.35"/>
    <row r="8637" hidden="1" x14ac:dyDescent="0.35"/>
    <row r="8638" hidden="1" x14ac:dyDescent="0.35"/>
    <row r="8639" hidden="1" x14ac:dyDescent="0.35"/>
    <row r="8640" hidden="1" x14ac:dyDescent="0.35"/>
    <row r="8641" hidden="1" x14ac:dyDescent="0.35"/>
    <row r="8642" hidden="1" x14ac:dyDescent="0.35"/>
    <row r="8643" hidden="1" x14ac:dyDescent="0.35"/>
    <row r="8644" hidden="1" x14ac:dyDescent="0.35"/>
    <row r="8645" hidden="1" x14ac:dyDescent="0.35"/>
    <row r="8646" hidden="1" x14ac:dyDescent="0.35"/>
    <row r="8647" hidden="1" x14ac:dyDescent="0.35"/>
    <row r="8648" hidden="1" x14ac:dyDescent="0.35"/>
    <row r="8649" hidden="1" x14ac:dyDescent="0.35"/>
    <row r="8650" hidden="1" x14ac:dyDescent="0.35"/>
    <row r="8651" hidden="1" x14ac:dyDescent="0.35"/>
    <row r="8652" hidden="1" x14ac:dyDescent="0.35"/>
    <row r="8653" hidden="1" x14ac:dyDescent="0.35"/>
    <row r="8654" hidden="1" x14ac:dyDescent="0.35"/>
    <row r="8655" hidden="1" x14ac:dyDescent="0.35"/>
    <row r="8656" hidden="1" x14ac:dyDescent="0.35"/>
    <row r="8657" hidden="1" x14ac:dyDescent="0.35"/>
    <row r="8658" hidden="1" x14ac:dyDescent="0.35"/>
    <row r="8659" hidden="1" x14ac:dyDescent="0.35"/>
    <row r="8660" hidden="1" x14ac:dyDescent="0.35"/>
    <row r="8661" hidden="1" x14ac:dyDescent="0.35"/>
    <row r="8662" hidden="1" x14ac:dyDescent="0.35"/>
    <row r="8663" hidden="1" x14ac:dyDescent="0.35"/>
    <row r="8664" hidden="1" x14ac:dyDescent="0.35"/>
    <row r="8665" hidden="1" x14ac:dyDescent="0.35"/>
    <row r="8666" hidden="1" x14ac:dyDescent="0.35"/>
    <row r="8667" hidden="1" x14ac:dyDescent="0.35"/>
    <row r="8668" hidden="1" x14ac:dyDescent="0.35"/>
    <row r="8669" hidden="1" x14ac:dyDescent="0.35"/>
    <row r="8670" hidden="1" x14ac:dyDescent="0.35"/>
    <row r="8671" hidden="1" x14ac:dyDescent="0.35"/>
    <row r="8672" hidden="1" x14ac:dyDescent="0.35"/>
    <row r="8673" hidden="1" x14ac:dyDescent="0.35"/>
    <row r="8674" hidden="1" x14ac:dyDescent="0.35"/>
    <row r="8675" hidden="1" x14ac:dyDescent="0.35"/>
    <row r="8676" hidden="1" x14ac:dyDescent="0.35"/>
    <row r="8677" hidden="1" x14ac:dyDescent="0.35"/>
    <row r="8678" hidden="1" x14ac:dyDescent="0.35"/>
    <row r="8679" hidden="1" x14ac:dyDescent="0.35"/>
    <row r="8680" hidden="1" x14ac:dyDescent="0.35"/>
    <row r="8681" hidden="1" x14ac:dyDescent="0.35"/>
    <row r="8682" hidden="1" x14ac:dyDescent="0.35"/>
    <row r="8683" hidden="1" x14ac:dyDescent="0.35"/>
    <row r="8684" hidden="1" x14ac:dyDescent="0.35"/>
    <row r="8685" hidden="1" x14ac:dyDescent="0.35"/>
    <row r="8686" hidden="1" x14ac:dyDescent="0.35"/>
    <row r="8687" hidden="1" x14ac:dyDescent="0.35"/>
    <row r="8688" hidden="1" x14ac:dyDescent="0.35"/>
    <row r="8689" hidden="1" x14ac:dyDescent="0.35"/>
    <row r="8690" hidden="1" x14ac:dyDescent="0.35"/>
    <row r="8691" hidden="1" x14ac:dyDescent="0.35"/>
    <row r="8692" hidden="1" x14ac:dyDescent="0.35"/>
    <row r="8693" hidden="1" x14ac:dyDescent="0.35"/>
    <row r="8694" hidden="1" x14ac:dyDescent="0.35"/>
    <row r="8695" hidden="1" x14ac:dyDescent="0.35"/>
    <row r="8696" hidden="1" x14ac:dyDescent="0.35"/>
    <row r="8697" hidden="1" x14ac:dyDescent="0.35"/>
    <row r="8698" hidden="1" x14ac:dyDescent="0.35"/>
    <row r="8699" hidden="1" x14ac:dyDescent="0.35"/>
    <row r="8700" hidden="1" x14ac:dyDescent="0.35"/>
    <row r="8701" hidden="1" x14ac:dyDescent="0.35"/>
    <row r="8702" hidden="1" x14ac:dyDescent="0.35"/>
    <row r="8703" hidden="1" x14ac:dyDescent="0.35"/>
    <row r="8704" hidden="1" x14ac:dyDescent="0.35"/>
    <row r="8705" hidden="1" x14ac:dyDescent="0.35"/>
    <row r="8706" hidden="1" x14ac:dyDescent="0.35"/>
    <row r="8707" hidden="1" x14ac:dyDescent="0.35"/>
    <row r="8708" hidden="1" x14ac:dyDescent="0.35"/>
    <row r="8709" hidden="1" x14ac:dyDescent="0.35"/>
    <row r="8710" hidden="1" x14ac:dyDescent="0.35"/>
    <row r="8711" hidden="1" x14ac:dyDescent="0.35"/>
    <row r="8712" hidden="1" x14ac:dyDescent="0.35"/>
    <row r="8713" hidden="1" x14ac:dyDescent="0.35"/>
    <row r="8714" hidden="1" x14ac:dyDescent="0.35"/>
    <row r="8715" hidden="1" x14ac:dyDescent="0.35"/>
    <row r="8716" hidden="1" x14ac:dyDescent="0.35"/>
    <row r="8717" hidden="1" x14ac:dyDescent="0.35"/>
    <row r="8718" hidden="1" x14ac:dyDescent="0.35"/>
    <row r="8719" hidden="1" x14ac:dyDescent="0.35"/>
    <row r="8720" hidden="1" x14ac:dyDescent="0.35"/>
    <row r="8721" hidden="1" x14ac:dyDescent="0.35"/>
    <row r="8722" hidden="1" x14ac:dyDescent="0.35"/>
    <row r="8723" hidden="1" x14ac:dyDescent="0.35"/>
    <row r="8724" hidden="1" x14ac:dyDescent="0.35"/>
    <row r="8725" hidden="1" x14ac:dyDescent="0.35"/>
    <row r="8726" hidden="1" x14ac:dyDescent="0.35"/>
    <row r="8727" hidden="1" x14ac:dyDescent="0.35"/>
    <row r="8728" hidden="1" x14ac:dyDescent="0.35"/>
    <row r="8729" hidden="1" x14ac:dyDescent="0.35"/>
    <row r="8730" hidden="1" x14ac:dyDescent="0.35"/>
    <row r="8731" hidden="1" x14ac:dyDescent="0.35"/>
    <row r="8732" hidden="1" x14ac:dyDescent="0.35"/>
    <row r="8733" hidden="1" x14ac:dyDescent="0.35"/>
    <row r="8734" hidden="1" x14ac:dyDescent="0.35"/>
    <row r="8735" hidden="1" x14ac:dyDescent="0.35"/>
    <row r="8736" hidden="1" x14ac:dyDescent="0.35"/>
    <row r="8737" hidden="1" x14ac:dyDescent="0.35"/>
    <row r="8738" hidden="1" x14ac:dyDescent="0.35"/>
    <row r="8739" hidden="1" x14ac:dyDescent="0.35"/>
    <row r="8740" hidden="1" x14ac:dyDescent="0.35"/>
    <row r="8741" hidden="1" x14ac:dyDescent="0.35"/>
    <row r="8742" hidden="1" x14ac:dyDescent="0.35"/>
    <row r="8743" hidden="1" x14ac:dyDescent="0.35"/>
    <row r="8744" hidden="1" x14ac:dyDescent="0.35"/>
    <row r="8745" hidden="1" x14ac:dyDescent="0.35"/>
    <row r="8746" hidden="1" x14ac:dyDescent="0.35"/>
    <row r="8747" hidden="1" x14ac:dyDescent="0.35"/>
    <row r="8748" hidden="1" x14ac:dyDescent="0.35"/>
    <row r="8749" hidden="1" x14ac:dyDescent="0.35"/>
    <row r="8750" hidden="1" x14ac:dyDescent="0.35"/>
    <row r="8751" hidden="1" x14ac:dyDescent="0.35"/>
    <row r="8752" hidden="1" x14ac:dyDescent="0.35"/>
    <row r="8753" hidden="1" x14ac:dyDescent="0.35"/>
    <row r="8754" hidden="1" x14ac:dyDescent="0.35"/>
    <row r="8755" hidden="1" x14ac:dyDescent="0.35"/>
    <row r="8756" hidden="1" x14ac:dyDescent="0.35"/>
    <row r="8757" hidden="1" x14ac:dyDescent="0.35"/>
    <row r="8758" hidden="1" x14ac:dyDescent="0.35"/>
    <row r="8759" hidden="1" x14ac:dyDescent="0.35"/>
    <row r="8760" hidden="1" x14ac:dyDescent="0.35"/>
    <row r="8761" hidden="1" x14ac:dyDescent="0.35"/>
    <row r="8762" hidden="1" x14ac:dyDescent="0.35"/>
    <row r="8763" hidden="1" x14ac:dyDescent="0.35"/>
    <row r="8764" hidden="1" x14ac:dyDescent="0.35"/>
    <row r="8765" hidden="1" x14ac:dyDescent="0.35"/>
    <row r="8766" hidden="1" x14ac:dyDescent="0.35"/>
    <row r="8767" hidden="1" x14ac:dyDescent="0.35"/>
    <row r="8768" hidden="1" x14ac:dyDescent="0.35"/>
    <row r="8769" hidden="1" x14ac:dyDescent="0.35"/>
    <row r="8770" hidden="1" x14ac:dyDescent="0.35"/>
    <row r="8771" hidden="1" x14ac:dyDescent="0.35"/>
    <row r="8772" hidden="1" x14ac:dyDescent="0.35"/>
    <row r="8773" hidden="1" x14ac:dyDescent="0.35"/>
    <row r="8774" hidden="1" x14ac:dyDescent="0.35"/>
    <row r="8775" hidden="1" x14ac:dyDescent="0.35"/>
    <row r="8776" hidden="1" x14ac:dyDescent="0.35"/>
    <row r="8777" hidden="1" x14ac:dyDescent="0.35"/>
    <row r="8778" hidden="1" x14ac:dyDescent="0.35"/>
    <row r="8779" hidden="1" x14ac:dyDescent="0.35"/>
    <row r="8780" hidden="1" x14ac:dyDescent="0.35"/>
    <row r="8781" hidden="1" x14ac:dyDescent="0.35"/>
    <row r="8782" hidden="1" x14ac:dyDescent="0.35"/>
    <row r="8783" hidden="1" x14ac:dyDescent="0.35"/>
    <row r="8784" hidden="1" x14ac:dyDescent="0.35"/>
    <row r="8785" hidden="1" x14ac:dyDescent="0.35"/>
    <row r="8786" hidden="1" x14ac:dyDescent="0.35"/>
    <row r="8787" hidden="1" x14ac:dyDescent="0.35"/>
    <row r="8788" hidden="1" x14ac:dyDescent="0.35"/>
    <row r="8789" hidden="1" x14ac:dyDescent="0.35"/>
    <row r="8790" hidden="1" x14ac:dyDescent="0.35"/>
    <row r="8791" hidden="1" x14ac:dyDescent="0.35"/>
    <row r="8792" hidden="1" x14ac:dyDescent="0.35"/>
    <row r="8793" hidden="1" x14ac:dyDescent="0.35"/>
    <row r="8794" hidden="1" x14ac:dyDescent="0.35"/>
    <row r="8795" hidden="1" x14ac:dyDescent="0.35"/>
    <row r="8796" hidden="1" x14ac:dyDescent="0.35"/>
    <row r="8797" hidden="1" x14ac:dyDescent="0.35"/>
    <row r="8798" hidden="1" x14ac:dyDescent="0.35"/>
    <row r="8799" hidden="1" x14ac:dyDescent="0.35"/>
    <row r="8800" hidden="1" x14ac:dyDescent="0.35"/>
    <row r="8801" hidden="1" x14ac:dyDescent="0.35"/>
    <row r="8802" hidden="1" x14ac:dyDescent="0.35"/>
    <row r="8803" hidden="1" x14ac:dyDescent="0.35"/>
    <row r="8804" hidden="1" x14ac:dyDescent="0.35"/>
    <row r="8805" hidden="1" x14ac:dyDescent="0.35"/>
    <row r="8806" hidden="1" x14ac:dyDescent="0.35"/>
    <row r="8807" hidden="1" x14ac:dyDescent="0.35"/>
    <row r="8808" hidden="1" x14ac:dyDescent="0.35"/>
    <row r="8809" hidden="1" x14ac:dyDescent="0.35"/>
    <row r="8810" hidden="1" x14ac:dyDescent="0.35"/>
    <row r="8811" hidden="1" x14ac:dyDescent="0.35"/>
    <row r="8812" hidden="1" x14ac:dyDescent="0.35"/>
    <row r="8813" hidden="1" x14ac:dyDescent="0.35"/>
    <row r="8814" hidden="1" x14ac:dyDescent="0.35"/>
    <row r="8815" hidden="1" x14ac:dyDescent="0.35"/>
    <row r="8816" hidden="1" x14ac:dyDescent="0.35"/>
    <row r="8817" hidden="1" x14ac:dyDescent="0.35"/>
    <row r="8818" hidden="1" x14ac:dyDescent="0.35"/>
    <row r="8819" hidden="1" x14ac:dyDescent="0.35"/>
    <row r="8820" hidden="1" x14ac:dyDescent="0.35"/>
    <row r="8821" hidden="1" x14ac:dyDescent="0.35"/>
    <row r="8822" hidden="1" x14ac:dyDescent="0.35"/>
    <row r="8823" hidden="1" x14ac:dyDescent="0.35"/>
    <row r="8824" hidden="1" x14ac:dyDescent="0.35"/>
    <row r="8825" hidden="1" x14ac:dyDescent="0.35"/>
    <row r="8826" hidden="1" x14ac:dyDescent="0.35"/>
    <row r="8827" hidden="1" x14ac:dyDescent="0.35"/>
    <row r="8828" hidden="1" x14ac:dyDescent="0.35"/>
    <row r="8829" hidden="1" x14ac:dyDescent="0.35"/>
    <row r="8830" hidden="1" x14ac:dyDescent="0.35"/>
    <row r="8831" hidden="1" x14ac:dyDescent="0.35"/>
    <row r="8832" hidden="1" x14ac:dyDescent="0.35"/>
    <row r="8833" hidden="1" x14ac:dyDescent="0.35"/>
    <row r="8834" hidden="1" x14ac:dyDescent="0.35"/>
    <row r="8835" hidden="1" x14ac:dyDescent="0.35"/>
    <row r="8836" hidden="1" x14ac:dyDescent="0.35"/>
    <row r="8837" hidden="1" x14ac:dyDescent="0.35"/>
    <row r="8838" hidden="1" x14ac:dyDescent="0.35"/>
    <row r="8839" hidden="1" x14ac:dyDescent="0.35"/>
    <row r="8840" hidden="1" x14ac:dyDescent="0.35"/>
    <row r="8841" hidden="1" x14ac:dyDescent="0.35"/>
    <row r="8842" hidden="1" x14ac:dyDescent="0.35"/>
    <row r="8843" hidden="1" x14ac:dyDescent="0.35"/>
    <row r="8844" hidden="1" x14ac:dyDescent="0.35"/>
    <row r="8845" hidden="1" x14ac:dyDescent="0.35"/>
    <row r="8846" hidden="1" x14ac:dyDescent="0.35"/>
    <row r="8847" hidden="1" x14ac:dyDescent="0.35"/>
    <row r="8848" hidden="1" x14ac:dyDescent="0.35"/>
    <row r="8849" hidden="1" x14ac:dyDescent="0.35"/>
    <row r="8850" hidden="1" x14ac:dyDescent="0.35"/>
    <row r="8851" hidden="1" x14ac:dyDescent="0.35"/>
    <row r="8852" hidden="1" x14ac:dyDescent="0.35"/>
    <row r="8853" hidden="1" x14ac:dyDescent="0.35"/>
    <row r="8854" hidden="1" x14ac:dyDescent="0.35"/>
    <row r="8855" hidden="1" x14ac:dyDescent="0.35"/>
    <row r="8856" hidden="1" x14ac:dyDescent="0.35"/>
    <row r="8857" hidden="1" x14ac:dyDescent="0.35"/>
    <row r="8858" hidden="1" x14ac:dyDescent="0.35"/>
    <row r="8859" hidden="1" x14ac:dyDescent="0.35"/>
    <row r="8860" hidden="1" x14ac:dyDescent="0.35"/>
    <row r="8861" hidden="1" x14ac:dyDescent="0.35"/>
    <row r="8862" hidden="1" x14ac:dyDescent="0.35"/>
    <row r="8863" hidden="1" x14ac:dyDescent="0.35"/>
    <row r="8864" hidden="1" x14ac:dyDescent="0.35"/>
    <row r="8865" hidden="1" x14ac:dyDescent="0.35"/>
    <row r="8866" hidden="1" x14ac:dyDescent="0.35"/>
    <row r="8867" hidden="1" x14ac:dyDescent="0.35"/>
    <row r="8868" hidden="1" x14ac:dyDescent="0.35"/>
    <row r="8869" hidden="1" x14ac:dyDescent="0.35"/>
    <row r="8870" hidden="1" x14ac:dyDescent="0.35"/>
    <row r="8871" hidden="1" x14ac:dyDescent="0.35"/>
    <row r="8872" hidden="1" x14ac:dyDescent="0.35"/>
    <row r="8873" hidden="1" x14ac:dyDescent="0.35"/>
    <row r="8874" hidden="1" x14ac:dyDescent="0.35"/>
    <row r="8875" hidden="1" x14ac:dyDescent="0.35"/>
    <row r="8876" hidden="1" x14ac:dyDescent="0.35"/>
    <row r="8877" hidden="1" x14ac:dyDescent="0.35"/>
    <row r="8878" hidden="1" x14ac:dyDescent="0.35"/>
    <row r="8879" hidden="1" x14ac:dyDescent="0.35"/>
    <row r="8880" hidden="1" x14ac:dyDescent="0.35"/>
    <row r="8881" hidden="1" x14ac:dyDescent="0.35"/>
    <row r="8882" hidden="1" x14ac:dyDescent="0.35"/>
    <row r="8883" hidden="1" x14ac:dyDescent="0.35"/>
    <row r="8884" hidden="1" x14ac:dyDescent="0.35"/>
    <row r="8885" hidden="1" x14ac:dyDescent="0.35"/>
    <row r="8886" hidden="1" x14ac:dyDescent="0.35"/>
    <row r="8887" hidden="1" x14ac:dyDescent="0.35"/>
    <row r="8888" hidden="1" x14ac:dyDescent="0.35"/>
    <row r="8889" hidden="1" x14ac:dyDescent="0.35"/>
    <row r="8890" hidden="1" x14ac:dyDescent="0.35"/>
    <row r="8891" hidden="1" x14ac:dyDescent="0.35"/>
    <row r="8892" hidden="1" x14ac:dyDescent="0.35"/>
    <row r="8893" hidden="1" x14ac:dyDescent="0.35"/>
    <row r="8894" hidden="1" x14ac:dyDescent="0.35"/>
    <row r="8895" hidden="1" x14ac:dyDescent="0.35"/>
    <row r="8896" hidden="1" x14ac:dyDescent="0.35"/>
    <row r="8897" hidden="1" x14ac:dyDescent="0.35"/>
    <row r="8898" hidden="1" x14ac:dyDescent="0.35"/>
    <row r="8899" hidden="1" x14ac:dyDescent="0.35"/>
    <row r="8900" hidden="1" x14ac:dyDescent="0.35"/>
    <row r="8901" hidden="1" x14ac:dyDescent="0.35"/>
    <row r="8902" hidden="1" x14ac:dyDescent="0.35"/>
    <row r="8903" hidden="1" x14ac:dyDescent="0.35"/>
    <row r="8904" hidden="1" x14ac:dyDescent="0.35"/>
    <row r="8905" hidden="1" x14ac:dyDescent="0.35"/>
    <row r="8906" hidden="1" x14ac:dyDescent="0.35"/>
    <row r="8907" hidden="1" x14ac:dyDescent="0.35"/>
    <row r="8908" hidden="1" x14ac:dyDescent="0.35"/>
    <row r="8909" hidden="1" x14ac:dyDescent="0.35"/>
    <row r="8910" hidden="1" x14ac:dyDescent="0.35"/>
    <row r="8911" hidden="1" x14ac:dyDescent="0.35"/>
    <row r="8912" hidden="1" x14ac:dyDescent="0.35"/>
    <row r="8913" hidden="1" x14ac:dyDescent="0.35"/>
    <row r="8914" hidden="1" x14ac:dyDescent="0.35"/>
    <row r="8915" hidden="1" x14ac:dyDescent="0.35"/>
    <row r="8916" hidden="1" x14ac:dyDescent="0.35"/>
    <row r="8917" hidden="1" x14ac:dyDescent="0.35"/>
    <row r="8918" hidden="1" x14ac:dyDescent="0.35"/>
    <row r="8919" hidden="1" x14ac:dyDescent="0.35"/>
    <row r="8920" hidden="1" x14ac:dyDescent="0.35"/>
    <row r="8921" hidden="1" x14ac:dyDescent="0.35"/>
    <row r="8922" hidden="1" x14ac:dyDescent="0.35"/>
    <row r="8923" hidden="1" x14ac:dyDescent="0.35"/>
    <row r="8924" hidden="1" x14ac:dyDescent="0.35"/>
    <row r="8925" hidden="1" x14ac:dyDescent="0.35"/>
    <row r="8926" hidden="1" x14ac:dyDescent="0.35"/>
    <row r="8927" hidden="1" x14ac:dyDescent="0.35"/>
    <row r="8928" hidden="1" x14ac:dyDescent="0.35"/>
    <row r="8929" hidden="1" x14ac:dyDescent="0.35"/>
    <row r="8930" hidden="1" x14ac:dyDescent="0.35"/>
    <row r="8931" hidden="1" x14ac:dyDescent="0.35"/>
    <row r="8932" hidden="1" x14ac:dyDescent="0.35"/>
    <row r="8933" hidden="1" x14ac:dyDescent="0.35"/>
    <row r="8934" hidden="1" x14ac:dyDescent="0.35"/>
    <row r="8935" hidden="1" x14ac:dyDescent="0.35"/>
    <row r="8936" hidden="1" x14ac:dyDescent="0.35"/>
    <row r="8937" hidden="1" x14ac:dyDescent="0.35"/>
    <row r="8938" hidden="1" x14ac:dyDescent="0.35"/>
    <row r="8939" hidden="1" x14ac:dyDescent="0.35"/>
    <row r="8940" hidden="1" x14ac:dyDescent="0.35"/>
    <row r="8941" hidden="1" x14ac:dyDescent="0.35"/>
    <row r="8942" hidden="1" x14ac:dyDescent="0.35"/>
    <row r="8943" hidden="1" x14ac:dyDescent="0.35"/>
    <row r="8944" hidden="1" x14ac:dyDescent="0.35"/>
    <row r="8945" hidden="1" x14ac:dyDescent="0.35"/>
    <row r="8946" hidden="1" x14ac:dyDescent="0.35"/>
    <row r="8947" hidden="1" x14ac:dyDescent="0.35"/>
    <row r="8948" hidden="1" x14ac:dyDescent="0.35"/>
    <row r="8949" hidden="1" x14ac:dyDescent="0.35"/>
    <row r="8950" hidden="1" x14ac:dyDescent="0.35"/>
    <row r="8951" hidden="1" x14ac:dyDescent="0.35"/>
    <row r="8952" hidden="1" x14ac:dyDescent="0.35"/>
    <row r="8953" hidden="1" x14ac:dyDescent="0.35"/>
    <row r="8954" hidden="1" x14ac:dyDescent="0.35"/>
    <row r="8955" hidden="1" x14ac:dyDescent="0.35"/>
    <row r="8956" hidden="1" x14ac:dyDescent="0.35"/>
    <row r="8957" hidden="1" x14ac:dyDescent="0.35"/>
    <row r="8958" hidden="1" x14ac:dyDescent="0.35"/>
    <row r="8959" hidden="1" x14ac:dyDescent="0.35"/>
    <row r="8960" hidden="1" x14ac:dyDescent="0.35"/>
    <row r="8961" hidden="1" x14ac:dyDescent="0.35"/>
    <row r="8962" hidden="1" x14ac:dyDescent="0.35"/>
    <row r="8963" hidden="1" x14ac:dyDescent="0.35"/>
    <row r="8964" hidden="1" x14ac:dyDescent="0.35"/>
    <row r="8965" hidden="1" x14ac:dyDescent="0.35"/>
    <row r="8966" hidden="1" x14ac:dyDescent="0.35"/>
    <row r="8967" hidden="1" x14ac:dyDescent="0.35"/>
    <row r="8968" hidden="1" x14ac:dyDescent="0.35"/>
    <row r="8969" hidden="1" x14ac:dyDescent="0.35"/>
    <row r="8970" hidden="1" x14ac:dyDescent="0.35"/>
    <row r="8971" hidden="1" x14ac:dyDescent="0.35"/>
    <row r="8972" hidden="1" x14ac:dyDescent="0.35"/>
    <row r="8973" hidden="1" x14ac:dyDescent="0.35"/>
    <row r="8974" hidden="1" x14ac:dyDescent="0.35"/>
    <row r="8975" hidden="1" x14ac:dyDescent="0.35"/>
    <row r="8976" hidden="1" x14ac:dyDescent="0.35"/>
    <row r="8977" hidden="1" x14ac:dyDescent="0.35"/>
    <row r="8978" hidden="1" x14ac:dyDescent="0.35"/>
    <row r="8979" hidden="1" x14ac:dyDescent="0.35"/>
    <row r="8980" hidden="1" x14ac:dyDescent="0.35"/>
    <row r="8981" hidden="1" x14ac:dyDescent="0.35"/>
    <row r="8982" hidden="1" x14ac:dyDescent="0.35"/>
    <row r="8983" hidden="1" x14ac:dyDescent="0.35"/>
    <row r="8984" hidden="1" x14ac:dyDescent="0.35"/>
    <row r="8985" hidden="1" x14ac:dyDescent="0.35"/>
    <row r="8986" hidden="1" x14ac:dyDescent="0.35"/>
    <row r="8987" hidden="1" x14ac:dyDescent="0.35"/>
    <row r="8988" hidden="1" x14ac:dyDescent="0.35"/>
    <row r="8989" hidden="1" x14ac:dyDescent="0.35"/>
    <row r="8990" hidden="1" x14ac:dyDescent="0.35"/>
    <row r="8991" hidden="1" x14ac:dyDescent="0.35"/>
    <row r="8992" hidden="1" x14ac:dyDescent="0.35"/>
    <row r="8993" hidden="1" x14ac:dyDescent="0.35"/>
    <row r="8994" hidden="1" x14ac:dyDescent="0.35"/>
    <row r="8995" hidden="1" x14ac:dyDescent="0.35"/>
    <row r="8996" hidden="1" x14ac:dyDescent="0.35"/>
    <row r="8997" hidden="1" x14ac:dyDescent="0.35"/>
    <row r="8998" hidden="1" x14ac:dyDescent="0.35"/>
    <row r="8999" hidden="1" x14ac:dyDescent="0.35"/>
    <row r="9000" hidden="1" x14ac:dyDescent="0.35"/>
    <row r="9001" hidden="1" x14ac:dyDescent="0.35"/>
    <row r="9002" hidden="1" x14ac:dyDescent="0.35"/>
    <row r="9003" hidden="1" x14ac:dyDescent="0.35"/>
    <row r="9004" hidden="1" x14ac:dyDescent="0.35"/>
    <row r="9005" hidden="1" x14ac:dyDescent="0.35"/>
    <row r="9006" hidden="1" x14ac:dyDescent="0.35"/>
    <row r="9007" hidden="1" x14ac:dyDescent="0.35"/>
    <row r="9008" hidden="1" x14ac:dyDescent="0.35"/>
    <row r="9009" hidden="1" x14ac:dyDescent="0.35"/>
    <row r="9010" hidden="1" x14ac:dyDescent="0.35"/>
    <row r="9011" hidden="1" x14ac:dyDescent="0.35"/>
    <row r="9012" hidden="1" x14ac:dyDescent="0.35"/>
    <row r="9013" hidden="1" x14ac:dyDescent="0.35"/>
    <row r="9014" hidden="1" x14ac:dyDescent="0.35"/>
    <row r="9015" hidden="1" x14ac:dyDescent="0.35"/>
    <row r="9016" hidden="1" x14ac:dyDescent="0.35"/>
    <row r="9017" hidden="1" x14ac:dyDescent="0.35"/>
    <row r="9018" hidden="1" x14ac:dyDescent="0.35"/>
    <row r="9019" hidden="1" x14ac:dyDescent="0.35"/>
    <row r="9020" hidden="1" x14ac:dyDescent="0.35"/>
    <row r="9021" hidden="1" x14ac:dyDescent="0.35"/>
    <row r="9022" hidden="1" x14ac:dyDescent="0.35"/>
    <row r="9023" hidden="1" x14ac:dyDescent="0.35"/>
    <row r="9024" hidden="1" x14ac:dyDescent="0.35"/>
    <row r="9025" hidden="1" x14ac:dyDescent="0.35"/>
    <row r="9026" hidden="1" x14ac:dyDescent="0.35"/>
    <row r="9027" hidden="1" x14ac:dyDescent="0.35"/>
    <row r="9028" hidden="1" x14ac:dyDescent="0.35"/>
    <row r="9029" hidden="1" x14ac:dyDescent="0.35"/>
    <row r="9030" hidden="1" x14ac:dyDescent="0.35"/>
    <row r="9031" hidden="1" x14ac:dyDescent="0.35"/>
    <row r="9032" hidden="1" x14ac:dyDescent="0.35"/>
    <row r="9033" hidden="1" x14ac:dyDescent="0.35"/>
    <row r="9034" hidden="1" x14ac:dyDescent="0.35"/>
    <row r="9035" hidden="1" x14ac:dyDescent="0.35"/>
    <row r="9036" hidden="1" x14ac:dyDescent="0.35"/>
    <row r="9037" hidden="1" x14ac:dyDescent="0.35"/>
    <row r="9038" hidden="1" x14ac:dyDescent="0.35"/>
    <row r="9039" hidden="1" x14ac:dyDescent="0.35"/>
    <row r="9040" hidden="1" x14ac:dyDescent="0.35"/>
    <row r="9041" hidden="1" x14ac:dyDescent="0.35"/>
    <row r="9042" hidden="1" x14ac:dyDescent="0.35"/>
    <row r="9043" hidden="1" x14ac:dyDescent="0.35"/>
    <row r="9044" hidden="1" x14ac:dyDescent="0.35"/>
    <row r="9045" hidden="1" x14ac:dyDescent="0.35"/>
    <row r="9046" hidden="1" x14ac:dyDescent="0.35"/>
    <row r="9047" hidden="1" x14ac:dyDescent="0.35"/>
    <row r="9048" hidden="1" x14ac:dyDescent="0.35"/>
    <row r="9049" hidden="1" x14ac:dyDescent="0.35"/>
    <row r="9050" hidden="1" x14ac:dyDescent="0.35"/>
    <row r="9051" hidden="1" x14ac:dyDescent="0.35"/>
    <row r="9052" hidden="1" x14ac:dyDescent="0.35"/>
    <row r="9053" hidden="1" x14ac:dyDescent="0.35"/>
    <row r="9054" hidden="1" x14ac:dyDescent="0.35"/>
    <row r="9055" hidden="1" x14ac:dyDescent="0.35"/>
    <row r="9056" hidden="1" x14ac:dyDescent="0.35"/>
    <row r="9057" hidden="1" x14ac:dyDescent="0.35"/>
    <row r="9058" hidden="1" x14ac:dyDescent="0.35"/>
    <row r="9059" hidden="1" x14ac:dyDescent="0.35"/>
    <row r="9060" hidden="1" x14ac:dyDescent="0.35"/>
    <row r="9061" hidden="1" x14ac:dyDescent="0.35"/>
    <row r="9062" hidden="1" x14ac:dyDescent="0.35"/>
    <row r="9063" hidden="1" x14ac:dyDescent="0.35"/>
    <row r="9064" hidden="1" x14ac:dyDescent="0.35"/>
    <row r="9065" hidden="1" x14ac:dyDescent="0.35"/>
    <row r="9066" hidden="1" x14ac:dyDescent="0.35"/>
    <row r="9067" hidden="1" x14ac:dyDescent="0.35"/>
    <row r="9068" hidden="1" x14ac:dyDescent="0.35"/>
    <row r="9069" hidden="1" x14ac:dyDescent="0.35"/>
    <row r="9070" hidden="1" x14ac:dyDescent="0.35"/>
    <row r="9071" hidden="1" x14ac:dyDescent="0.35"/>
    <row r="9072" hidden="1" x14ac:dyDescent="0.35"/>
    <row r="9073" hidden="1" x14ac:dyDescent="0.35"/>
    <row r="9074" hidden="1" x14ac:dyDescent="0.35"/>
    <row r="9075" hidden="1" x14ac:dyDescent="0.35"/>
    <row r="9076" hidden="1" x14ac:dyDescent="0.35"/>
    <row r="9077" hidden="1" x14ac:dyDescent="0.35"/>
    <row r="9078" hidden="1" x14ac:dyDescent="0.35"/>
    <row r="9079" hidden="1" x14ac:dyDescent="0.35"/>
    <row r="9080" hidden="1" x14ac:dyDescent="0.35"/>
    <row r="9081" hidden="1" x14ac:dyDescent="0.35"/>
    <row r="9082" hidden="1" x14ac:dyDescent="0.35"/>
    <row r="9083" hidden="1" x14ac:dyDescent="0.35"/>
    <row r="9084" hidden="1" x14ac:dyDescent="0.35"/>
    <row r="9085" hidden="1" x14ac:dyDescent="0.35"/>
    <row r="9086" hidden="1" x14ac:dyDescent="0.35"/>
    <row r="9087" hidden="1" x14ac:dyDescent="0.35"/>
    <row r="9088" hidden="1" x14ac:dyDescent="0.35"/>
    <row r="9089" hidden="1" x14ac:dyDescent="0.35"/>
    <row r="9090" hidden="1" x14ac:dyDescent="0.35"/>
    <row r="9091" hidden="1" x14ac:dyDescent="0.35"/>
    <row r="9092" hidden="1" x14ac:dyDescent="0.35"/>
    <row r="9093" hidden="1" x14ac:dyDescent="0.35"/>
    <row r="9094" hidden="1" x14ac:dyDescent="0.35"/>
    <row r="9095" hidden="1" x14ac:dyDescent="0.35"/>
    <row r="9096" hidden="1" x14ac:dyDescent="0.35"/>
    <row r="9097" hidden="1" x14ac:dyDescent="0.35"/>
    <row r="9098" hidden="1" x14ac:dyDescent="0.35"/>
    <row r="9099" hidden="1" x14ac:dyDescent="0.35"/>
    <row r="9100" hidden="1" x14ac:dyDescent="0.35"/>
    <row r="9101" hidden="1" x14ac:dyDescent="0.35"/>
    <row r="9102" hidden="1" x14ac:dyDescent="0.35"/>
    <row r="9103" hidden="1" x14ac:dyDescent="0.35"/>
    <row r="9104" hidden="1" x14ac:dyDescent="0.35"/>
    <row r="9105" hidden="1" x14ac:dyDescent="0.35"/>
    <row r="9106" hidden="1" x14ac:dyDescent="0.35"/>
    <row r="9107" hidden="1" x14ac:dyDescent="0.35"/>
    <row r="9108" hidden="1" x14ac:dyDescent="0.35"/>
    <row r="9109" hidden="1" x14ac:dyDescent="0.35"/>
    <row r="9110" hidden="1" x14ac:dyDescent="0.35"/>
    <row r="9111" hidden="1" x14ac:dyDescent="0.35"/>
    <row r="9112" hidden="1" x14ac:dyDescent="0.35"/>
    <row r="9113" hidden="1" x14ac:dyDescent="0.35"/>
    <row r="9114" hidden="1" x14ac:dyDescent="0.35"/>
    <row r="9115" hidden="1" x14ac:dyDescent="0.35"/>
    <row r="9116" hidden="1" x14ac:dyDescent="0.35"/>
    <row r="9117" hidden="1" x14ac:dyDescent="0.35"/>
    <row r="9118" hidden="1" x14ac:dyDescent="0.35"/>
    <row r="9119" hidden="1" x14ac:dyDescent="0.35"/>
    <row r="9120" hidden="1" x14ac:dyDescent="0.35"/>
    <row r="9121" hidden="1" x14ac:dyDescent="0.35"/>
    <row r="9122" hidden="1" x14ac:dyDescent="0.35"/>
    <row r="9123" hidden="1" x14ac:dyDescent="0.35"/>
    <row r="9124" hidden="1" x14ac:dyDescent="0.35"/>
    <row r="9125" hidden="1" x14ac:dyDescent="0.35"/>
    <row r="9126" hidden="1" x14ac:dyDescent="0.35"/>
    <row r="9127" hidden="1" x14ac:dyDescent="0.35"/>
    <row r="9128" hidden="1" x14ac:dyDescent="0.35"/>
    <row r="9129" hidden="1" x14ac:dyDescent="0.35"/>
    <row r="9130" hidden="1" x14ac:dyDescent="0.35"/>
    <row r="9131" hidden="1" x14ac:dyDescent="0.35"/>
    <row r="9132" hidden="1" x14ac:dyDescent="0.35"/>
    <row r="9133" hidden="1" x14ac:dyDescent="0.35"/>
    <row r="9134" hidden="1" x14ac:dyDescent="0.35"/>
    <row r="9135" hidden="1" x14ac:dyDescent="0.35"/>
    <row r="9136" hidden="1" x14ac:dyDescent="0.35"/>
    <row r="9137" hidden="1" x14ac:dyDescent="0.35"/>
    <row r="9138" hidden="1" x14ac:dyDescent="0.35"/>
    <row r="9139" hidden="1" x14ac:dyDescent="0.35"/>
    <row r="9140" hidden="1" x14ac:dyDescent="0.35"/>
    <row r="9141" hidden="1" x14ac:dyDescent="0.35"/>
    <row r="9142" hidden="1" x14ac:dyDescent="0.35"/>
    <row r="9143" hidden="1" x14ac:dyDescent="0.35"/>
    <row r="9144" hidden="1" x14ac:dyDescent="0.35"/>
    <row r="9145" hidden="1" x14ac:dyDescent="0.35"/>
    <row r="9146" hidden="1" x14ac:dyDescent="0.35"/>
    <row r="9147" hidden="1" x14ac:dyDescent="0.35"/>
    <row r="9148" hidden="1" x14ac:dyDescent="0.35"/>
    <row r="9149" hidden="1" x14ac:dyDescent="0.35"/>
    <row r="9150" hidden="1" x14ac:dyDescent="0.35"/>
    <row r="9151" hidden="1" x14ac:dyDescent="0.35"/>
    <row r="9152" hidden="1" x14ac:dyDescent="0.35"/>
    <row r="9153" hidden="1" x14ac:dyDescent="0.35"/>
    <row r="9154" hidden="1" x14ac:dyDescent="0.35"/>
    <row r="9155" hidden="1" x14ac:dyDescent="0.35"/>
    <row r="9156" hidden="1" x14ac:dyDescent="0.35"/>
    <row r="9157" hidden="1" x14ac:dyDescent="0.35"/>
    <row r="9158" hidden="1" x14ac:dyDescent="0.35"/>
    <row r="9159" hidden="1" x14ac:dyDescent="0.35"/>
    <row r="9160" hidden="1" x14ac:dyDescent="0.35"/>
    <row r="9161" hidden="1" x14ac:dyDescent="0.35"/>
    <row r="9162" hidden="1" x14ac:dyDescent="0.35"/>
    <row r="9163" hidden="1" x14ac:dyDescent="0.35"/>
    <row r="9164" hidden="1" x14ac:dyDescent="0.35"/>
    <row r="9165" hidden="1" x14ac:dyDescent="0.35"/>
    <row r="9166" hidden="1" x14ac:dyDescent="0.35"/>
    <row r="9167" hidden="1" x14ac:dyDescent="0.35"/>
    <row r="9168" hidden="1" x14ac:dyDescent="0.35"/>
    <row r="9169" hidden="1" x14ac:dyDescent="0.35"/>
    <row r="9170" hidden="1" x14ac:dyDescent="0.35"/>
    <row r="9171" hidden="1" x14ac:dyDescent="0.35"/>
    <row r="9172" hidden="1" x14ac:dyDescent="0.35"/>
    <row r="9173" hidden="1" x14ac:dyDescent="0.35"/>
    <row r="9174" hidden="1" x14ac:dyDescent="0.35"/>
    <row r="9175" hidden="1" x14ac:dyDescent="0.35"/>
    <row r="9176" hidden="1" x14ac:dyDescent="0.35"/>
    <row r="9177" hidden="1" x14ac:dyDescent="0.35"/>
    <row r="9178" hidden="1" x14ac:dyDescent="0.35"/>
    <row r="9179" hidden="1" x14ac:dyDescent="0.35"/>
    <row r="9180" hidden="1" x14ac:dyDescent="0.35"/>
    <row r="9181" hidden="1" x14ac:dyDescent="0.35"/>
    <row r="9182" hidden="1" x14ac:dyDescent="0.35"/>
    <row r="9183" hidden="1" x14ac:dyDescent="0.35"/>
    <row r="9184" hidden="1" x14ac:dyDescent="0.35"/>
    <row r="9185" hidden="1" x14ac:dyDescent="0.35"/>
    <row r="9186" hidden="1" x14ac:dyDescent="0.35"/>
    <row r="9187" hidden="1" x14ac:dyDescent="0.35"/>
    <row r="9188" hidden="1" x14ac:dyDescent="0.35"/>
    <row r="9189" hidden="1" x14ac:dyDescent="0.35"/>
    <row r="9190" hidden="1" x14ac:dyDescent="0.35"/>
    <row r="9191" hidden="1" x14ac:dyDescent="0.35"/>
    <row r="9192" hidden="1" x14ac:dyDescent="0.35"/>
    <row r="9193" hidden="1" x14ac:dyDescent="0.35"/>
    <row r="9194" hidden="1" x14ac:dyDescent="0.35"/>
    <row r="9195" hidden="1" x14ac:dyDescent="0.35"/>
    <row r="9196" hidden="1" x14ac:dyDescent="0.35"/>
    <row r="9197" hidden="1" x14ac:dyDescent="0.35"/>
    <row r="9198" hidden="1" x14ac:dyDescent="0.35"/>
    <row r="9199" hidden="1" x14ac:dyDescent="0.35"/>
    <row r="9200" hidden="1" x14ac:dyDescent="0.35"/>
    <row r="9201" hidden="1" x14ac:dyDescent="0.35"/>
    <row r="9202" hidden="1" x14ac:dyDescent="0.35"/>
    <row r="9203" hidden="1" x14ac:dyDescent="0.35"/>
    <row r="9204" hidden="1" x14ac:dyDescent="0.35"/>
    <row r="9205" hidden="1" x14ac:dyDescent="0.35"/>
    <row r="9206" hidden="1" x14ac:dyDescent="0.35"/>
    <row r="9207" hidden="1" x14ac:dyDescent="0.35"/>
    <row r="9208" hidden="1" x14ac:dyDescent="0.35"/>
    <row r="9209" hidden="1" x14ac:dyDescent="0.35"/>
    <row r="9210" hidden="1" x14ac:dyDescent="0.35"/>
    <row r="9211" hidden="1" x14ac:dyDescent="0.35"/>
    <row r="9212" hidden="1" x14ac:dyDescent="0.35"/>
    <row r="9213" hidden="1" x14ac:dyDescent="0.35"/>
    <row r="9214" hidden="1" x14ac:dyDescent="0.35"/>
    <row r="9215" hidden="1" x14ac:dyDescent="0.35"/>
    <row r="9216" hidden="1" x14ac:dyDescent="0.35"/>
    <row r="9217" hidden="1" x14ac:dyDescent="0.35"/>
    <row r="9218" hidden="1" x14ac:dyDescent="0.35"/>
    <row r="9219" hidden="1" x14ac:dyDescent="0.35"/>
    <row r="9220" hidden="1" x14ac:dyDescent="0.35"/>
    <row r="9221" hidden="1" x14ac:dyDescent="0.35"/>
    <row r="9222" hidden="1" x14ac:dyDescent="0.35"/>
    <row r="9223" hidden="1" x14ac:dyDescent="0.35"/>
    <row r="9224" hidden="1" x14ac:dyDescent="0.35"/>
    <row r="9225" hidden="1" x14ac:dyDescent="0.35"/>
    <row r="9226" hidden="1" x14ac:dyDescent="0.35"/>
    <row r="9227" hidden="1" x14ac:dyDescent="0.35"/>
    <row r="9228" hidden="1" x14ac:dyDescent="0.35"/>
    <row r="9229" hidden="1" x14ac:dyDescent="0.35"/>
    <row r="9230" hidden="1" x14ac:dyDescent="0.35"/>
    <row r="9231" hidden="1" x14ac:dyDescent="0.35"/>
    <row r="9232" hidden="1" x14ac:dyDescent="0.35"/>
    <row r="9233" hidden="1" x14ac:dyDescent="0.35"/>
    <row r="9234" hidden="1" x14ac:dyDescent="0.35"/>
    <row r="9235" hidden="1" x14ac:dyDescent="0.35"/>
    <row r="9236" hidden="1" x14ac:dyDescent="0.35"/>
    <row r="9237" hidden="1" x14ac:dyDescent="0.35"/>
    <row r="9238" hidden="1" x14ac:dyDescent="0.35"/>
    <row r="9239" hidden="1" x14ac:dyDescent="0.35"/>
    <row r="9240" hidden="1" x14ac:dyDescent="0.35"/>
    <row r="9241" hidden="1" x14ac:dyDescent="0.35"/>
    <row r="9242" hidden="1" x14ac:dyDescent="0.35"/>
    <row r="9243" hidden="1" x14ac:dyDescent="0.35"/>
    <row r="9244" hidden="1" x14ac:dyDescent="0.35"/>
    <row r="9245" hidden="1" x14ac:dyDescent="0.35"/>
    <row r="9246" hidden="1" x14ac:dyDescent="0.35"/>
    <row r="9247" hidden="1" x14ac:dyDescent="0.35"/>
    <row r="9248" hidden="1" x14ac:dyDescent="0.35"/>
    <row r="9249" hidden="1" x14ac:dyDescent="0.35"/>
    <row r="9250" hidden="1" x14ac:dyDescent="0.35"/>
    <row r="9251" hidden="1" x14ac:dyDescent="0.35"/>
    <row r="9252" hidden="1" x14ac:dyDescent="0.35"/>
    <row r="9253" hidden="1" x14ac:dyDescent="0.35"/>
    <row r="9254" hidden="1" x14ac:dyDescent="0.35"/>
    <row r="9255" hidden="1" x14ac:dyDescent="0.35"/>
    <row r="9256" hidden="1" x14ac:dyDescent="0.35"/>
    <row r="9257" hidden="1" x14ac:dyDescent="0.35"/>
    <row r="9258" hidden="1" x14ac:dyDescent="0.35"/>
    <row r="9259" hidden="1" x14ac:dyDescent="0.35"/>
    <row r="9260" hidden="1" x14ac:dyDescent="0.35"/>
    <row r="9261" hidden="1" x14ac:dyDescent="0.35"/>
    <row r="9262" hidden="1" x14ac:dyDescent="0.35"/>
    <row r="9263" hidden="1" x14ac:dyDescent="0.35"/>
    <row r="9264" hidden="1" x14ac:dyDescent="0.35"/>
    <row r="9265" hidden="1" x14ac:dyDescent="0.35"/>
    <row r="9266" hidden="1" x14ac:dyDescent="0.35"/>
    <row r="9267" hidden="1" x14ac:dyDescent="0.35"/>
    <row r="9268" hidden="1" x14ac:dyDescent="0.35"/>
    <row r="9269" hidden="1" x14ac:dyDescent="0.35"/>
    <row r="9270" hidden="1" x14ac:dyDescent="0.35"/>
    <row r="9271" hidden="1" x14ac:dyDescent="0.35"/>
    <row r="9272" hidden="1" x14ac:dyDescent="0.35"/>
    <row r="9273" hidden="1" x14ac:dyDescent="0.35"/>
    <row r="9274" hidden="1" x14ac:dyDescent="0.35"/>
    <row r="9275" hidden="1" x14ac:dyDescent="0.35"/>
    <row r="9276" hidden="1" x14ac:dyDescent="0.35"/>
    <row r="9277" hidden="1" x14ac:dyDescent="0.35"/>
    <row r="9278" hidden="1" x14ac:dyDescent="0.35"/>
    <row r="9279" hidden="1" x14ac:dyDescent="0.35"/>
    <row r="9280" hidden="1" x14ac:dyDescent="0.35"/>
    <row r="9281" hidden="1" x14ac:dyDescent="0.35"/>
    <row r="9282" hidden="1" x14ac:dyDescent="0.35"/>
    <row r="9283" hidden="1" x14ac:dyDescent="0.35"/>
    <row r="9284" hidden="1" x14ac:dyDescent="0.35"/>
    <row r="9285" hidden="1" x14ac:dyDescent="0.35"/>
    <row r="9286" hidden="1" x14ac:dyDescent="0.35"/>
    <row r="9287" hidden="1" x14ac:dyDescent="0.35"/>
    <row r="9288" hidden="1" x14ac:dyDescent="0.35"/>
    <row r="9289" hidden="1" x14ac:dyDescent="0.35"/>
    <row r="9290" hidden="1" x14ac:dyDescent="0.35"/>
    <row r="9291" hidden="1" x14ac:dyDescent="0.35"/>
    <row r="9292" hidden="1" x14ac:dyDescent="0.35"/>
    <row r="9293" hidden="1" x14ac:dyDescent="0.35"/>
    <row r="9294" hidden="1" x14ac:dyDescent="0.35"/>
    <row r="9295" hidden="1" x14ac:dyDescent="0.35"/>
    <row r="9296" hidden="1" x14ac:dyDescent="0.35"/>
    <row r="9297" hidden="1" x14ac:dyDescent="0.35"/>
    <row r="9298" hidden="1" x14ac:dyDescent="0.35"/>
    <row r="9299" hidden="1" x14ac:dyDescent="0.35"/>
    <row r="9300" hidden="1" x14ac:dyDescent="0.35"/>
    <row r="9301" hidden="1" x14ac:dyDescent="0.35"/>
    <row r="9302" hidden="1" x14ac:dyDescent="0.35"/>
    <row r="9303" hidden="1" x14ac:dyDescent="0.35"/>
    <row r="9304" hidden="1" x14ac:dyDescent="0.35"/>
    <row r="9305" hidden="1" x14ac:dyDescent="0.35"/>
    <row r="9306" hidden="1" x14ac:dyDescent="0.35"/>
    <row r="9307" hidden="1" x14ac:dyDescent="0.35"/>
    <row r="9308" hidden="1" x14ac:dyDescent="0.35"/>
    <row r="9309" hidden="1" x14ac:dyDescent="0.35"/>
    <row r="9310" hidden="1" x14ac:dyDescent="0.35"/>
    <row r="9311" hidden="1" x14ac:dyDescent="0.35"/>
    <row r="9312" hidden="1" x14ac:dyDescent="0.35"/>
    <row r="9313" hidden="1" x14ac:dyDescent="0.35"/>
    <row r="9314" hidden="1" x14ac:dyDescent="0.35"/>
    <row r="9315" hidden="1" x14ac:dyDescent="0.35"/>
    <row r="9316" hidden="1" x14ac:dyDescent="0.35"/>
    <row r="9317" hidden="1" x14ac:dyDescent="0.35"/>
    <row r="9318" hidden="1" x14ac:dyDescent="0.35"/>
    <row r="9319" hidden="1" x14ac:dyDescent="0.35"/>
    <row r="9320" hidden="1" x14ac:dyDescent="0.35"/>
    <row r="9321" hidden="1" x14ac:dyDescent="0.35"/>
    <row r="9322" hidden="1" x14ac:dyDescent="0.35"/>
    <row r="9323" hidden="1" x14ac:dyDescent="0.35"/>
    <row r="9324" hidden="1" x14ac:dyDescent="0.35"/>
    <row r="9325" hidden="1" x14ac:dyDescent="0.35"/>
    <row r="9326" hidden="1" x14ac:dyDescent="0.35"/>
    <row r="9327" hidden="1" x14ac:dyDescent="0.35"/>
    <row r="9328" hidden="1" x14ac:dyDescent="0.35"/>
    <row r="9329" hidden="1" x14ac:dyDescent="0.35"/>
    <row r="9330" hidden="1" x14ac:dyDescent="0.35"/>
    <row r="9331" hidden="1" x14ac:dyDescent="0.35"/>
    <row r="9332" hidden="1" x14ac:dyDescent="0.35"/>
    <row r="9333" hidden="1" x14ac:dyDescent="0.35"/>
    <row r="9334" hidden="1" x14ac:dyDescent="0.35"/>
    <row r="9335" hidden="1" x14ac:dyDescent="0.35"/>
    <row r="9336" hidden="1" x14ac:dyDescent="0.35"/>
    <row r="9337" hidden="1" x14ac:dyDescent="0.35"/>
    <row r="9338" hidden="1" x14ac:dyDescent="0.35"/>
    <row r="9339" hidden="1" x14ac:dyDescent="0.35"/>
    <row r="9340" hidden="1" x14ac:dyDescent="0.35"/>
    <row r="9341" hidden="1" x14ac:dyDescent="0.35"/>
    <row r="9342" hidden="1" x14ac:dyDescent="0.35"/>
    <row r="9343" hidden="1" x14ac:dyDescent="0.35"/>
    <row r="9344" hidden="1" x14ac:dyDescent="0.35"/>
    <row r="9345" hidden="1" x14ac:dyDescent="0.35"/>
    <row r="9346" hidden="1" x14ac:dyDescent="0.35"/>
    <row r="9347" hidden="1" x14ac:dyDescent="0.35"/>
    <row r="9348" hidden="1" x14ac:dyDescent="0.35"/>
    <row r="9349" hidden="1" x14ac:dyDescent="0.35"/>
    <row r="9350" hidden="1" x14ac:dyDescent="0.35"/>
    <row r="9351" hidden="1" x14ac:dyDescent="0.35"/>
    <row r="9352" hidden="1" x14ac:dyDescent="0.35"/>
    <row r="9353" hidden="1" x14ac:dyDescent="0.35"/>
    <row r="9354" hidden="1" x14ac:dyDescent="0.35"/>
    <row r="9355" hidden="1" x14ac:dyDescent="0.35"/>
    <row r="9356" hidden="1" x14ac:dyDescent="0.35"/>
    <row r="9357" hidden="1" x14ac:dyDescent="0.35"/>
    <row r="9358" hidden="1" x14ac:dyDescent="0.35"/>
    <row r="9359" hidden="1" x14ac:dyDescent="0.35"/>
    <row r="9360" hidden="1" x14ac:dyDescent="0.35"/>
    <row r="9361" hidden="1" x14ac:dyDescent="0.35"/>
    <row r="9362" hidden="1" x14ac:dyDescent="0.35"/>
    <row r="9363" hidden="1" x14ac:dyDescent="0.35"/>
    <row r="9364" hidden="1" x14ac:dyDescent="0.35"/>
    <row r="9365" hidden="1" x14ac:dyDescent="0.35"/>
    <row r="9366" hidden="1" x14ac:dyDescent="0.35"/>
    <row r="9367" hidden="1" x14ac:dyDescent="0.35"/>
    <row r="9368" hidden="1" x14ac:dyDescent="0.35"/>
    <row r="9369" hidden="1" x14ac:dyDescent="0.35"/>
    <row r="9370" hidden="1" x14ac:dyDescent="0.35"/>
    <row r="9371" hidden="1" x14ac:dyDescent="0.35"/>
    <row r="9372" hidden="1" x14ac:dyDescent="0.35"/>
    <row r="9373" hidden="1" x14ac:dyDescent="0.35"/>
    <row r="9374" hidden="1" x14ac:dyDescent="0.35"/>
    <row r="9375" hidden="1" x14ac:dyDescent="0.35"/>
    <row r="9376" hidden="1" x14ac:dyDescent="0.35"/>
    <row r="9377" hidden="1" x14ac:dyDescent="0.35"/>
    <row r="9378" hidden="1" x14ac:dyDescent="0.35"/>
    <row r="9379" hidden="1" x14ac:dyDescent="0.35"/>
    <row r="9380" hidden="1" x14ac:dyDescent="0.35"/>
    <row r="9381" hidden="1" x14ac:dyDescent="0.35"/>
    <row r="9382" hidden="1" x14ac:dyDescent="0.35"/>
    <row r="9383" hidden="1" x14ac:dyDescent="0.35"/>
    <row r="9384" hidden="1" x14ac:dyDescent="0.35"/>
    <row r="9385" hidden="1" x14ac:dyDescent="0.35"/>
    <row r="9386" hidden="1" x14ac:dyDescent="0.35"/>
    <row r="9387" hidden="1" x14ac:dyDescent="0.35"/>
    <row r="9388" hidden="1" x14ac:dyDescent="0.35"/>
    <row r="9389" hidden="1" x14ac:dyDescent="0.35"/>
    <row r="9390" hidden="1" x14ac:dyDescent="0.35"/>
    <row r="9391" hidden="1" x14ac:dyDescent="0.35"/>
    <row r="9392" hidden="1" x14ac:dyDescent="0.35"/>
    <row r="9393" hidden="1" x14ac:dyDescent="0.35"/>
    <row r="9394" hidden="1" x14ac:dyDescent="0.35"/>
    <row r="9395" hidden="1" x14ac:dyDescent="0.35"/>
    <row r="9396" hidden="1" x14ac:dyDescent="0.35"/>
    <row r="9397" hidden="1" x14ac:dyDescent="0.35"/>
    <row r="9398" hidden="1" x14ac:dyDescent="0.35"/>
    <row r="9399" hidden="1" x14ac:dyDescent="0.35"/>
    <row r="9400" hidden="1" x14ac:dyDescent="0.35"/>
    <row r="9401" hidden="1" x14ac:dyDescent="0.35"/>
    <row r="9402" hidden="1" x14ac:dyDescent="0.35"/>
    <row r="9403" hidden="1" x14ac:dyDescent="0.35"/>
    <row r="9404" hidden="1" x14ac:dyDescent="0.35"/>
    <row r="9405" hidden="1" x14ac:dyDescent="0.35"/>
    <row r="9406" hidden="1" x14ac:dyDescent="0.35"/>
    <row r="9407" hidden="1" x14ac:dyDescent="0.35"/>
    <row r="9408" hidden="1" x14ac:dyDescent="0.35"/>
    <row r="9409" hidden="1" x14ac:dyDescent="0.35"/>
    <row r="9410" hidden="1" x14ac:dyDescent="0.35"/>
    <row r="9411" hidden="1" x14ac:dyDescent="0.35"/>
    <row r="9412" hidden="1" x14ac:dyDescent="0.35"/>
    <row r="9413" hidden="1" x14ac:dyDescent="0.35"/>
    <row r="9414" hidden="1" x14ac:dyDescent="0.35"/>
    <row r="9415" hidden="1" x14ac:dyDescent="0.35"/>
    <row r="9416" hidden="1" x14ac:dyDescent="0.35"/>
    <row r="9417" hidden="1" x14ac:dyDescent="0.35"/>
    <row r="9418" hidden="1" x14ac:dyDescent="0.35"/>
    <row r="9419" hidden="1" x14ac:dyDescent="0.35"/>
    <row r="9420" hidden="1" x14ac:dyDescent="0.35"/>
    <row r="9421" hidden="1" x14ac:dyDescent="0.35"/>
    <row r="9422" hidden="1" x14ac:dyDescent="0.35"/>
    <row r="9423" hidden="1" x14ac:dyDescent="0.35"/>
    <row r="9424" hidden="1" x14ac:dyDescent="0.35"/>
    <row r="9425" hidden="1" x14ac:dyDescent="0.35"/>
    <row r="9426" hidden="1" x14ac:dyDescent="0.35"/>
    <row r="9427" hidden="1" x14ac:dyDescent="0.35"/>
    <row r="9428" hidden="1" x14ac:dyDescent="0.35"/>
    <row r="9429" hidden="1" x14ac:dyDescent="0.35"/>
    <row r="9430" hidden="1" x14ac:dyDescent="0.35"/>
    <row r="9431" hidden="1" x14ac:dyDescent="0.35"/>
    <row r="9432" hidden="1" x14ac:dyDescent="0.35"/>
    <row r="9433" hidden="1" x14ac:dyDescent="0.35"/>
    <row r="9434" hidden="1" x14ac:dyDescent="0.35"/>
    <row r="9435" hidden="1" x14ac:dyDescent="0.35"/>
    <row r="9436" hidden="1" x14ac:dyDescent="0.35"/>
    <row r="9437" hidden="1" x14ac:dyDescent="0.35"/>
    <row r="9438" hidden="1" x14ac:dyDescent="0.35"/>
    <row r="9439" hidden="1" x14ac:dyDescent="0.35"/>
    <row r="9440" hidden="1" x14ac:dyDescent="0.35"/>
    <row r="9441" hidden="1" x14ac:dyDescent="0.35"/>
    <row r="9442" hidden="1" x14ac:dyDescent="0.35"/>
    <row r="9443" hidden="1" x14ac:dyDescent="0.35"/>
    <row r="9444" hidden="1" x14ac:dyDescent="0.35"/>
    <row r="9445" hidden="1" x14ac:dyDescent="0.35"/>
    <row r="9446" hidden="1" x14ac:dyDescent="0.35"/>
    <row r="9447" hidden="1" x14ac:dyDescent="0.35"/>
    <row r="9448" hidden="1" x14ac:dyDescent="0.35"/>
    <row r="9449" hidden="1" x14ac:dyDescent="0.35"/>
    <row r="9450" hidden="1" x14ac:dyDescent="0.35"/>
    <row r="9451" hidden="1" x14ac:dyDescent="0.35"/>
    <row r="9452" hidden="1" x14ac:dyDescent="0.35"/>
    <row r="9453" hidden="1" x14ac:dyDescent="0.35"/>
    <row r="9454" hidden="1" x14ac:dyDescent="0.35"/>
    <row r="9455" hidden="1" x14ac:dyDescent="0.35"/>
    <row r="9456" hidden="1" x14ac:dyDescent="0.35"/>
    <row r="9457" hidden="1" x14ac:dyDescent="0.35"/>
    <row r="9458" hidden="1" x14ac:dyDescent="0.35"/>
    <row r="9459" hidden="1" x14ac:dyDescent="0.35"/>
    <row r="9460" hidden="1" x14ac:dyDescent="0.35"/>
    <row r="9461" hidden="1" x14ac:dyDescent="0.35"/>
    <row r="9462" hidden="1" x14ac:dyDescent="0.35"/>
    <row r="9463" hidden="1" x14ac:dyDescent="0.35"/>
    <row r="9464" hidden="1" x14ac:dyDescent="0.35"/>
    <row r="9465" hidden="1" x14ac:dyDescent="0.35"/>
    <row r="9466" hidden="1" x14ac:dyDescent="0.35"/>
    <row r="9467" hidden="1" x14ac:dyDescent="0.35"/>
    <row r="9468" hidden="1" x14ac:dyDescent="0.35"/>
    <row r="9469" hidden="1" x14ac:dyDescent="0.35"/>
    <row r="9470" hidden="1" x14ac:dyDescent="0.35"/>
    <row r="9471" hidden="1" x14ac:dyDescent="0.35"/>
    <row r="9472" hidden="1" x14ac:dyDescent="0.35"/>
    <row r="9473" hidden="1" x14ac:dyDescent="0.35"/>
    <row r="9474" hidden="1" x14ac:dyDescent="0.35"/>
    <row r="9475" hidden="1" x14ac:dyDescent="0.35"/>
    <row r="9476" hidden="1" x14ac:dyDescent="0.35"/>
    <row r="9477" hidden="1" x14ac:dyDescent="0.35"/>
    <row r="9478" hidden="1" x14ac:dyDescent="0.35"/>
    <row r="9479" hidden="1" x14ac:dyDescent="0.35"/>
    <row r="9480" hidden="1" x14ac:dyDescent="0.35"/>
    <row r="9481" hidden="1" x14ac:dyDescent="0.35"/>
    <row r="9482" hidden="1" x14ac:dyDescent="0.35"/>
    <row r="9483" hidden="1" x14ac:dyDescent="0.35"/>
    <row r="9484" hidden="1" x14ac:dyDescent="0.35"/>
    <row r="9485" hidden="1" x14ac:dyDescent="0.35"/>
    <row r="9486" hidden="1" x14ac:dyDescent="0.35"/>
    <row r="9487" hidden="1" x14ac:dyDescent="0.35"/>
    <row r="9488" hidden="1" x14ac:dyDescent="0.35"/>
    <row r="9489" hidden="1" x14ac:dyDescent="0.35"/>
    <row r="9490" hidden="1" x14ac:dyDescent="0.35"/>
    <row r="9491" hidden="1" x14ac:dyDescent="0.35"/>
    <row r="9492" hidden="1" x14ac:dyDescent="0.35"/>
    <row r="9493" hidden="1" x14ac:dyDescent="0.35"/>
    <row r="9494" hidden="1" x14ac:dyDescent="0.35"/>
    <row r="9495" hidden="1" x14ac:dyDescent="0.35"/>
    <row r="9496" hidden="1" x14ac:dyDescent="0.35"/>
    <row r="9497" hidden="1" x14ac:dyDescent="0.35"/>
    <row r="9498" hidden="1" x14ac:dyDescent="0.35"/>
    <row r="9499" hidden="1" x14ac:dyDescent="0.35"/>
    <row r="9500" hidden="1" x14ac:dyDescent="0.35"/>
    <row r="9501" hidden="1" x14ac:dyDescent="0.35"/>
    <row r="9502" hidden="1" x14ac:dyDescent="0.35"/>
    <row r="9503" hidden="1" x14ac:dyDescent="0.35"/>
    <row r="9504" hidden="1" x14ac:dyDescent="0.35"/>
    <row r="9505" hidden="1" x14ac:dyDescent="0.35"/>
    <row r="9506" hidden="1" x14ac:dyDescent="0.35"/>
    <row r="9507" hidden="1" x14ac:dyDescent="0.35"/>
    <row r="9508" hidden="1" x14ac:dyDescent="0.35"/>
    <row r="9509" hidden="1" x14ac:dyDescent="0.35"/>
    <row r="9510" hidden="1" x14ac:dyDescent="0.35"/>
    <row r="9511" hidden="1" x14ac:dyDescent="0.35"/>
    <row r="9512" hidden="1" x14ac:dyDescent="0.35"/>
    <row r="9513" hidden="1" x14ac:dyDescent="0.35"/>
    <row r="9514" hidden="1" x14ac:dyDescent="0.35"/>
    <row r="9515" hidden="1" x14ac:dyDescent="0.35"/>
    <row r="9516" hidden="1" x14ac:dyDescent="0.35"/>
    <row r="9517" hidden="1" x14ac:dyDescent="0.35"/>
    <row r="9518" hidden="1" x14ac:dyDescent="0.35"/>
    <row r="9519" hidden="1" x14ac:dyDescent="0.35"/>
    <row r="9520" hidden="1" x14ac:dyDescent="0.35"/>
    <row r="9521" hidden="1" x14ac:dyDescent="0.35"/>
    <row r="9522" hidden="1" x14ac:dyDescent="0.35"/>
    <row r="9523" hidden="1" x14ac:dyDescent="0.35"/>
    <row r="9524" hidden="1" x14ac:dyDescent="0.35"/>
    <row r="9525" hidden="1" x14ac:dyDescent="0.35"/>
    <row r="9526" hidden="1" x14ac:dyDescent="0.35"/>
    <row r="9527" hidden="1" x14ac:dyDescent="0.35"/>
    <row r="9528" hidden="1" x14ac:dyDescent="0.35"/>
    <row r="9529" hidden="1" x14ac:dyDescent="0.35"/>
    <row r="9530" hidden="1" x14ac:dyDescent="0.35"/>
    <row r="9531" hidden="1" x14ac:dyDescent="0.35"/>
    <row r="9532" hidden="1" x14ac:dyDescent="0.35"/>
    <row r="9533" hidden="1" x14ac:dyDescent="0.35"/>
    <row r="9534" hidden="1" x14ac:dyDescent="0.35"/>
    <row r="9535" hidden="1" x14ac:dyDescent="0.35"/>
    <row r="9536" hidden="1" x14ac:dyDescent="0.35"/>
    <row r="9537" hidden="1" x14ac:dyDescent="0.35"/>
    <row r="9538" hidden="1" x14ac:dyDescent="0.35"/>
    <row r="9539" hidden="1" x14ac:dyDescent="0.35"/>
    <row r="9540" hidden="1" x14ac:dyDescent="0.35"/>
    <row r="9541" hidden="1" x14ac:dyDescent="0.35"/>
    <row r="9542" hidden="1" x14ac:dyDescent="0.35"/>
    <row r="9543" hidden="1" x14ac:dyDescent="0.35"/>
    <row r="9544" hidden="1" x14ac:dyDescent="0.35"/>
    <row r="9545" hidden="1" x14ac:dyDescent="0.35"/>
    <row r="9546" hidden="1" x14ac:dyDescent="0.35"/>
    <row r="9547" hidden="1" x14ac:dyDescent="0.35"/>
    <row r="9548" hidden="1" x14ac:dyDescent="0.35"/>
    <row r="9549" hidden="1" x14ac:dyDescent="0.35"/>
    <row r="9550" hidden="1" x14ac:dyDescent="0.35"/>
    <row r="9551" hidden="1" x14ac:dyDescent="0.35"/>
    <row r="9552" hidden="1" x14ac:dyDescent="0.35"/>
    <row r="9553" hidden="1" x14ac:dyDescent="0.35"/>
    <row r="9554" hidden="1" x14ac:dyDescent="0.35"/>
    <row r="9555" hidden="1" x14ac:dyDescent="0.35"/>
    <row r="9556" hidden="1" x14ac:dyDescent="0.35"/>
    <row r="9557" hidden="1" x14ac:dyDescent="0.35"/>
    <row r="9558" hidden="1" x14ac:dyDescent="0.35"/>
    <row r="9559" hidden="1" x14ac:dyDescent="0.35"/>
    <row r="9560" hidden="1" x14ac:dyDescent="0.35"/>
    <row r="9561" hidden="1" x14ac:dyDescent="0.35"/>
    <row r="9562" hidden="1" x14ac:dyDescent="0.35"/>
    <row r="9563" hidden="1" x14ac:dyDescent="0.35"/>
    <row r="9564" hidden="1" x14ac:dyDescent="0.35"/>
    <row r="9565" hidden="1" x14ac:dyDescent="0.35"/>
    <row r="9566" hidden="1" x14ac:dyDescent="0.35"/>
    <row r="9567" hidden="1" x14ac:dyDescent="0.35"/>
    <row r="9568" hidden="1" x14ac:dyDescent="0.35"/>
    <row r="9569" hidden="1" x14ac:dyDescent="0.35"/>
    <row r="9570" hidden="1" x14ac:dyDescent="0.35"/>
    <row r="9571" hidden="1" x14ac:dyDescent="0.35"/>
    <row r="9572" hidden="1" x14ac:dyDescent="0.35"/>
    <row r="9573" hidden="1" x14ac:dyDescent="0.35"/>
    <row r="9574" hidden="1" x14ac:dyDescent="0.35"/>
    <row r="9575" hidden="1" x14ac:dyDescent="0.35"/>
    <row r="9576" hidden="1" x14ac:dyDescent="0.35"/>
    <row r="9577" hidden="1" x14ac:dyDescent="0.35"/>
    <row r="9578" hidden="1" x14ac:dyDescent="0.35"/>
    <row r="9579" hidden="1" x14ac:dyDescent="0.35"/>
    <row r="9580" hidden="1" x14ac:dyDescent="0.35"/>
    <row r="9581" hidden="1" x14ac:dyDescent="0.35"/>
    <row r="9582" hidden="1" x14ac:dyDescent="0.35"/>
    <row r="9583" hidden="1" x14ac:dyDescent="0.35"/>
    <row r="9584" hidden="1" x14ac:dyDescent="0.35"/>
    <row r="9585" hidden="1" x14ac:dyDescent="0.35"/>
    <row r="9586" hidden="1" x14ac:dyDescent="0.35"/>
    <row r="9587" hidden="1" x14ac:dyDescent="0.35"/>
    <row r="9588" hidden="1" x14ac:dyDescent="0.35"/>
    <row r="9589" hidden="1" x14ac:dyDescent="0.35"/>
    <row r="9590" hidden="1" x14ac:dyDescent="0.35"/>
    <row r="9591" hidden="1" x14ac:dyDescent="0.35"/>
    <row r="9592" hidden="1" x14ac:dyDescent="0.35"/>
    <row r="9593" hidden="1" x14ac:dyDescent="0.35"/>
    <row r="9594" hidden="1" x14ac:dyDescent="0.35"/>
    <row r="9595" hidden="1" x14ac:dyDescent="0.35"/>
    <row r="9596" hidden="1" x14ac:dyDescent="0.35"/>
    <row r="9597" hidden="1" x14ac:dyDescent="0.35"/>
    <row r="9598" hidden="1" x14ac:dyDescent="0.35"/>
    <row r="9599" hidden="1" x14ac:dyDescent="0.35"/>
    <row r="9600" hidden="1" x14ac:dyDescent="0.35"/>
    <row r="9601" hidden="1" x14ac:dyDescent="0.35"/>
    <row r="9602" hidden="1" x14ac:dyDescent="0.35"/>
    <row r="9603" hidden="1" x14ac:dyDescent="0.35"/>
    <row r="9604" hidden="1" x14ac:dyDescent="0.35"/>
    <row r="9605" hidden="1" x14ac:dyDescent="0.35"/>
    <row r="9606" hidden="1" x14ac:dyDescent="0.35"/>
    <row r="9607" hidden="1" x14ac:dyDescent="0.35"/>
    <row r="9608" hidden="1" x14ac:dyDescent="0.35"/>
    <row r="9609" hidden="1" x14ac:dyDescent="0.35"/>
    <row r="9610" hidden="1" x14ac:dyDescent="0.35"/>
    <row r="9611" hidden="1" x14ac:dyDescent="0.35"/>
    <row r="9612" hidden="1" x14ac:dyDescent="0.35"/>
    <row r="9613" hidden="1" x14ac:dyDescent="0.35"/>
    <row r="9614" hidden="1" x14ac:dyDescent="0.35"/>
    <row r="9615" hidden="1" x14ac:dyDescent="0.35"/>
    <row r="9616" hidden="1" x14ac:dyDescent="0.35"/>
    <row r="9617" hidden="1" x14ac:dyDescent="0.35"/>
    <row r="9618" hidden="1" x14ac:dyDescent="0.35"/>
    <row r="9619" hidden="1" x14ac:dyDescent="0.35"/>
    <row r="9620" hidden="1" x14ac:dyDescent="0.35"/>
    <row r="9621" hidden="1" x14ac:dyDescent="0.35"/>
    <row r="9622" hidden="1" x14ac:dyDescent="0.35"/>
    <row r="9623" hidden="1" x14ac:dyDescent="0.35"/>
    <row r="9624" hidden="1" x14ac:dyDescent="0.35"/>
    <row r="9625" hidden="1" x14ac:dyDescent="0.35"/>
    <row r="9626" hidden="1" x14ac:dyDescent="0.35"/>
    <row r="9627" hidden="1" x14ac:dyDescent="0.35"/>
    <row r="9628" hidden="1" x14ac:dyDescent="0.35"/>
    <row r="9629" hidden="1" x14ac:dyDescent="0.35"/>
    <row r="9630" hidden="1" x14ac:dyDescent="0.35"/>
    <row r="9631" hidden="1" x14ac:dyDescent="0.35"/>
    <row r="9632" hidden="1" x14ac:dyDescent="0.35"/>
    <row r="9633" hidden="1" x14ac:dyDescent="0.35"/>
    <row r="9634" hidden="1" x14ac:dyDescent="0.35"/>
    <row r="9635" hidden="1" x14ac:dyDescent="0.35"/>
    <row r="9636" hidden="1" x14ac:dyDescent="0.35"/>
    <row r="9637" hidden="1" x14ac:dyDescent="0.35"/>
    <row r="9638" hidden="1" x14ac:dyDescent="0.35"/>
    <row r="9639" hidden="1" x14ac:dyDescent="0.35"/>
    <row r="9640" hidden="1" x14ac:dyDescent="0.35"/>
    <row r="9641" hidden="1" x14ac:dyDescent="0.35"/>
    <row r="9642" hidden="1" x14ac:dyDescent="0.35"/>
    <row r="9643" hidden="1" x14ac:dyDescent="0.35"/>
    <row r="9644" hidden="1" x14ac:dyDescent="0.35"/>
    <row r="9645" hidden="1" x14ac:dyDescent="0.35"/>
    <row r="9646" hidden="1" x14ac:dyDescent="0.35"/>
    <row r="9647" hidden="1" x14ac:dyDescent="0.35"/>
    <row r="9648" hidden="1" x14ac:dyDescent="0.35"/>
    <row r="9649" hidden="1" x14ac:dyDescent="0.35"/>
    <row r="9650" hidden="1" x14ac:dyDescent="0.35"/>
    <row r="9651" hidden="1" x14ac:dyDescent="0.35"/>
    <row r="9652" hidden="1" x14ac:dyDescent="0.35"/>
    <row r="9653" hidden="1" x14ac:dyDescent="0.35"/>
    <row r="9654" hidden="1" x14ac:dyDescent="0.35"/>
    <row r="9655" hidden="1" x14ac:dyDescent="0.35"/>
    <row r="9656" hidden="1" x14ac:dyDescent="0.35"/>
    <row r="9657" hidden="1" x14ac:dyDescent="0.35"/>
    <row r="9658" hidden="1" x14ac:dyDescent="0.35"/>
    <row r="9659" hidden="1" x14ac:dyDescent="0.35"/>
    <row r="9660" hidden="1" x14ac:dyDescent="0.35"/>
    <row r="9661" hidden="1" x14ac:dyDescent="0.35"/>
    <row r="9662" hidden="1" x14ac:dyDescent="0.35"/>
    <row r="9663" hidden="1" x14ac:dyDescent="0.35"/>
    <row r="9664" hidden="1" x14ac:dyDescent="0.35"/>
    <row r="9665" hidden="1" x14ac:dyDescent="0.35"/>
    <row r="9666" hidden="1" x14ac:dyDescent="0.35"/>
    <row r="9667" hidden="1" x14ac:dyDescent="0.35"/>
    <row r="9668" hidden="1" x14ac:dyDescent="0.35"/>
    <row r="9669" hidden="1" x14ac:dyDescent="0.35"/>
    <row r="9670" hidden="1" x14ac:dyDescent="0.35"/>
    <row r="9671" hidden="1" x14ac:dyDescent="0.35"/>
    <row r="9672" hidden="1" x14ac:dyDescent="0.35"/>
    <row r="9673" hidden="1" x14ac:dyDescent="0.35"/>
    <row r="9674" hidden="1" x14ac:dyDescent="0.35"/>
    <row r="9675" hidden="1" x14ac:dyDescent="0.35"/>
    <row r="9676" hidden="1" x14ac:dyDescent="0.35"/>
    <row r="9677" hidden="1" x14ac:dyDescent="0.35"/>
    <row r="9678" hidden="1" x14ac:dyDescent="0.35"/>
    <row r="9679" hidden="1" x14ac:dyDescent="0.35"/>
    <row r="9680" hidden="1" x14ac:dyDescent="0.35"/>
    <row r="9681" hidden="1" x14ac:dyDescent="0.35"/>
    <row r="9682" hidden="1" x14ac:dyDescent="0.35"/>
    <row r="9683" hidden="1" x14ac:dyDescent="0.35"/>
    <row r="9684" hidden="1" x14ac:dyDescent="0.35"/>
    <row r="9685" hidden="1" x14ac:dyDescent="0.35"/>
    <row r="9686" hidden="1" x14ac:dyDescent="0.35"/>
    <row r="9687" hidden="1" x14ac:dyDescent="0.35"/>
    <row r="9688" hidden="1" x14ac:dyDescent="0.35"/>
    <row r="9689" hidden="1" x14ac:dyDescent="0.35"/>
    <row r="9690" hidden="1" x14ac:dyDescent="0.35"/>
    <row r="9691" hidden="1" x14ac:dyDescent="0.35"/>
    <row r="9692" hidden="1" x14ac:dyDescent="0.35"/>
    <row r="9693" hidden="1" x14ac:dyDescent="0.35"/>
    <row r="9694" hidden="1" x14ac:dyDescent="0.35"/>
    <row r="9695" hidden="1" x14ac:dyDescent="0.35"/>
    <row r="9696" hidden="1" x14ac:dyDescent="0.35"/>
    <row r="9697" hidden="1" x14ac:dyDescent="0.35"/>
    <row r="9698" hidden="1" x14ac:dyDescent="0.35"/>
    <row r="9699" hidden="1" x14ac:dyDescent="0.35"/>
    <row r="9700" hidden="1" x14ac:dyDescent="0.35"/>
    <row r="9701" hidden="1" x14ac:dyDescent="0.35"/>
    <row r="9702" hidden="1" x14ac:dyDescent="0.35"/>
    <row r="9703" hidden="1" x14ac:dyDescent="0.35"/>
    <row r="9704" hidden="1" x14ac:dyDescent="0.35"/>
    <row r="9705" hidden="1" x14ac:dyDescent="0.35"/>
    <row r="9706" hidden="1" x14ac:dyDescent="0.35"/>
    <row r="9707" hidden="1" x14ac:dyDescent="0.35"/>
    <row r="9708" hidden="1" x14ac:dyDescent="0.35"/>
    <row r="9709" hidden="1" x14ac:dyDescent="0.35"/>
    <row r="9710" hidden="1" x14ac:dyDescent="0.35"/>
    <row r="9711" hidden="1" x14ac:dyDescent="0.35"/>
    <row r="9712" hidden="1" x14ac:dyDescent="0.35"/>
    <row r="9713" hidden="1" x14ac:dyDescent="0.35"/>
    <row r="9714" hidden="1" x14ac:dyDescent="0.35"/>
    <row r="9715" hidden="1" x14ac:dyDescent="0.35"/>
    <row r="9716" hidden="1" x14ac:dyDescent="0.35"/>
    <row r="9717" hidden="1" x14ac:dyDescent="0.35"/>
    <row r="9718" hidden="1" x14ac:dyDescent="0.35"/>
    <row r="9719" hidden="1" x14ac:dyDescent="0.35"/>
    <row r="9720" hidden="1" x14ac:dyDescent="0.35"/>
    <row r="9721" hidden="1" x14ac:dyDescent="0.35"/>
    <row r="9722" hidden="1" x14ac:dyDescent="0.35"/>
    <row r="9723" hidden="1" x14ac:dyDescent="0.35"/>
    <row r="9724" hidden="1" x14ac:dyDescent="0.35"/>
    <row r="9725" hidden="1" x14ac:dyDescent="0.35"/>
    <row r="9726" hidden="1" x14ac:dyDescent="0.35"/>
    <row r="9727" hidden="1" x14ac:dyDescent="0.35"/>
    <row r="9728" hidden="1" x14ac:dyDescent="0.35"/>
    <row r="9729" hidden="1" x14ac:dyDescent="0.35"/>
    <row r="9730" hidden="1" x14ac:dyDescent="0.35"/>
    <row r="9731" hidden="1" x14ac:dyDescent="0.35"/>
    <row r="9732" hidden="1" x14ac:dyDescent="0.35"/>
    <row r="9733" hidden="1" x14ac:dyDescent="0.35"/>
    <row r="9734" hidden="1" x14ac:dyDescent="0.35"/>
    <row r="9735" hidden="1" x14ac:dyDescent="0.35"/>
    <row r="9736" hidden="1" x14ac:dyDescent="0.35"/>
    <row r="9737" hidden="1" x14ac:dyDescent="0.35"/>
    <row r="9738" hidden="1" x14ac:dyDescent="0.35"/>
    <row r="9739" hidden="1" x14ac:dyDescent="0.35"/>
    <row r="9740" hidden="1" x14ac:dyDescent="0.35"/>
    <row r="9741" hidden="1" x14ac:dyDescent="0.35"/>
    <row r="9742" hidden="1" x14ac:dyDescent="0.35"/>
    <row r="9743" hidden="1" x14ac:dyDescent="0.35"/>
    <row r="9744" hidden="1" x14ac:dyDescent="0.35"/>
    <row r="9745" hidden="1" x14ac:dyDescent="0.35"/>
    <row r="9746" hidden="1" x14ac:dyDescent="0.35"/>
    <row r="9747" hidden="1" x14ac:dyDescent="0.35"/>
    <row r="9748" hidden="1" x14ac:dyDescent="0.35"/>
    <row r="9749" hidden="1" x14ac:dyDescent="0.35"/>
    <row r="9750" hidden="1" x14ac:dyDescent="0.35"/>
    <row r="9751" hidden="1" x14ac:dyDescent="0.35"/>
    <row r="9752" hidden="1" x14ac:dyDescent="0.35"/>
    <row r="9753" hidden="1" x14ac:dyDescent="0.35"/>
    <row r="9754" hidden="1" x14ac:dyDescent="0.35"/>
    <row r="9755" hidden="1" x14ac:dyDescent="0.35"/>
    <row r="9756" hidden="1" x14ac:dyDescent="0.35"/>
    <row r="9757" hidden="1" x14ac:dyDescent="0.35"/>
    <row r="9758" hidden="1" x14ac:dyDescent="0.35"/>
    <row r="9759" hidden="1" x14ac:dyDescent="0.35"/>
    <row r="9760" hidden="1" x14ac:dyDescent="0.35"/>
    <row r="9761" hidden="1" x14ac:dyDescent="0.35"/>
    <row r="9762" hidden="1" x14ac:dyDescent="0.35"/>
    <row r="9763" hidden="1" x14ac:dyDescent="0.35"/>
    <row r="9764" hidden="1" x14ac:dyDescent="0.35"/>
    <row r="9765" hidden="1" x14ac:dyDescent="0.35"/>
    <row r="9766" hidden="1" x14ac:dyDescent="0.35"/>
    <row r="9767" hidden="1" x14ac:dyDescent="0.35"/>
    <row r="9768" hidden="1" x14ac:dyDescent="0.35"/>
    <row r="9769" hidden="1" x14ac:dyDescent="0.35"/>
    <row r="9770" hidden="1" x14ac:dyDescent="0.35"/>
    <row r="9771" hidden="1" x14ac:dyDescent="0.35"/>
    <row r="9772" hidden="1" x14ac:dyDescent="0.35"/>
    <row r="9773" hidden="1" x14ac:dyDescent="0.35"/>
    <row r="9774" hidden="1" x14ac:dyDescent="0.35"/>
    <row r="9775" hidden="1" x14ac:dyDescent="0.35"/>
    <row r="9776" hidden="1" x14ac:dyDescent="0.35"/>
    <row r="9777" hidden="1" x14ac:dyDescent="0.35"/>
    <row r="9778" hidden="1" x14ac:dyDescent="0.35"/>
    <row r="9779" hidden="1" x14ac:dyDescent="0.35"/>
    <row r="9780" hidden="1" x14ac:dyDescent="0.35"/>
    <row r="9781" hidden="1" x14ac:dyDescent="0.35"/>
    <row r="9782" hidden="1" x14ac:dyDescent="0.35"/>
    <row r="9783" hidden="1" x14ac:dyDescent="0.35"/>
    <row r="9784" hidden="1" x14ac:dyDescent="0.35"/>
    <row r="9785" hidden="1" x14ac:dyDescent="0.35"/>
    <row r="9786" hidden="1" x14ac:dyDescent="0.35"/>
    <row r="9787" hidden="1" x14ac:dyDescent="0.35"/>
    <row r="9788" hidden="1" x14ac:dyDescent="0.35"/>
    <row r="9789" hidden="1" x14ac:dyDescent="0.35"/>
    <row r="9790" hidden="1" x14ac:dyDescent="0.35"/>
    <row r="9791" hidden="1" x14ac:dyDescent="0.35"/>
    <row r="9792" hidden="1" x14ac:dyDescent="0.35"/>
    <row r="9793" hidden="1" x14ac:dyDescent="0.35"/>
    <row r="9794" hidden="1" x14ac:dyDescent="0.35"/>
    <row r="9795" hidden="1" x14ac:dyDescent="0.35"/>
    <row r="9796" hidden="1" x14ac:dyDescent="0.35"/>
    <row r="9797" hidden="1" x14ac:dyDescent="0.35"/>
    <row r="9798" hidden="1" x14ac:dyDescent="0.35"/>
    <row r="9799" hidden="1" x14ac:dyDescent="0.35"/>
    <row r="9800" hidden="1" x14ac:dyDescent="0.35"/>
    <row r="9801" hidden="1" x14ac:dyDescent="0.35"/>
    <row r="9802" hidden="1" x14ac:dyDescent="0.35"/>
    <row r="9803" hidden="1" x14ac:dyDescent="0.35"/>
    <row r="9804" hidden="1" x14ac:dyDescent="0.35"/>
    <row r="9805" hidden="1" x14ac:dyDescent="0.35"/>
    <row r="9806" hidden="1" x14ac:dyDescent="0.35"/>
    <row r="9807" hidden="1" x14ac:dyDescent="0.35"/>
    <row r="9808" hidden="1" x14ac:dyDescent="0.35"/>
    <row r="9809" hidden="1" x14ac:dyDescent="0.35"/>
    <row r="9810" hidden="1" x14ac:dyDescent="0.35"/>
    <row r="9811" hidden="1" x14ac:dyDescent="0.35"/>
    <row r="9812" hidden="1" x14ac:dyDescent="0.35"/>
    <row r="9813" hidden="1" x14ac:dyDescent="0.35"/>
    <row r="9814" hidden="1" x14ac:dyDescent="0.35"/>
    <row r="9815" hidden="1" x14ac:dyDescent="0.35"/>
    <row r="9816" hidden="1" x14ac:dyDescent="0.35"/>
    <row r="9817" hidden="1" x14ac:dyDescent="0.35"/>
    <row r="9818" hidden="1" x14ac:dyDescent="0.35"/>
    <row r="9819" hidden="1" x14ac:dyDescent="0.35"/>
    <row r="9820" hidden="1" x14ac:dyDescent="0.35"/>
    <row r="9821" hidden="1" x14ac:dyDescent="0.35"/>
    <row r="9822" hidden="1" x14ac:dyDescent="0.35"/>
    <row r="9823" hidden="1" x14ac:dyDescent="0.35"/>
    <row r="9824" hidden="1" x14ac:dyDescent="0.35"/>
    <row r="9825" hidden="1" x14ac:dyDescent="0.35"/>
    <row r="9826" hidden="1" x14ac:dyDescent="0.35"/>
    <row r="9827" hidden="1" x14ac:dyDescent="0.35"/>
    <row r="9828" hidden="1" x14ac:dyDescent="0.35"/>
    <row r="9829" hidden="1" x14ac:dyDescent="0.35"/>
    <row r="9830" hidden="1" x14ac:dyDescent="0.35"/>
    <row r="9831" hidden="1" x14ac:dyDescent="0.35"/>
    <row r="9832" hidden="1" x14ac:dyDescent="0.35"/>
    <row r="9833" hidden="1" x14ac:dyDescent="0.35"/>
    <row r="9834" hidden="1" x14ac:dyDescent="0.35"/>
    <row r="9835" hidden="1" x14ac:dyDescent="0.35"/>
    <row r="9836" hidden="1" x14ac:dyDescent="0.35"/>
    <row r="9837" hidden="1" x14ac:dyDescent="0.35"/>
    <row r="9838" hidden="1" x14ac:dyDescent="0.35"/>
    <row r="9839" hidden="1" x14ac:dyDescent="0.35"/>
    <row r="9840" hidden="1" x14ac:dyDescent="0.35"/>
    <row r="9841" hidden="1" x14ac:dyDescent="0.35"/>
    <row r="9842" hidden="1" x14ac:dyDescent="0.35"/>
    <row r="9843" hidden="1" x14ac:dyDescent="0.35"/>
    <row r="9844" hidden="1" x14ac:dyDescent="0.35"/>
    <row r="9845" hidden="1" x14ac:dyDescent="0.35"/>
    <row r="9846" hidden="1" x14ac:dyDescent="0.35"/>
    <row r="9847" hidden="1" x14ac:dyDescent="0.35"/>
    <row r="9848" hidden="1" x14ac:dyDescent="0.35"/>
    <row r="9849" hidden="1" x14ac:dyDescent="0.35"/>
    <row r="9850" hidden="1" x14ac:dyDescent="0.35"/>
    <row r="9851" hidden="1" x14ac:dyDescent="0.35"/>
    <row r="9852" hidden="1" x14ac:dyDescent="0.35"/>
    <row r="9853" hidden="1" x14ac:dyDescent="0.35"/>
    <row r="9854" hidden="1" x14ac:dyDescent="0.35"/>
    <row r="9855" hidden="1" x14ac:dyDescent="0.35"/>
    <row r="9856" hidden="1" x14ac:dyDescent="0.35"/>
    <row r="9857" hidden="1" x14ac:dyDescent="0.35"/>
    <row r="9858" hidden="1" x14ac:dyDescent="0.35"/>
    <row r="9859" hidden="1" x14ac:dyDescent="0.35"/>
    <row r="9860" hidden="1" x14ac:dyDescent="0.35"/>
    <row r="9861" hidden="1" x14ac:dyDescent="0.35"/>
    <row r="9862" hidden="1" x14ac:dyDescent="0.35"/>
    <row r="9863" hidden="1" x14ac:dyDescent="0.35"/>
    <row r="9864" hidden="1" x14ac:dyDescent="0.35"/>
    <row r="9865" hidden="1" x14ac:dyDescent="0.35"/>
    <row r="9866" hidden="1" x14ac:dyDescent="0.35"/>
    <row r="9867" hidden="1" x14ac:dyDescent="0.35"/>
    <row r="9868" hidden="1" x14ac:dyDescent="0.35"/>
    <row r="9869" hidden="1" x14ac:dyDescent="0.35"/>
    <row r="9870" hidden="1" x14ac:dyDescent="0.35"/>
    <row r="9871" hidden="1" x14ac:dyDescent="0.35"/>
    <row r="9872" hidden="1" x14ac:dyDescent="0.35"/>
    <row r="9873" hidden="1" x14ac:dyDescent="0.35"/>
    <row r="9874" hidden="1" x14ac:dyDescent="0.35"/>
    <row r="9875" hidden="1" x14ac:dyDescent="0.35"/>
    <row r="9876" hidden="1" x14ac:dyDescent="0.35"/>
    <row r="9877" hidden="1" x14ac:dyDescent="0.35"/>
    <row r="9878" hidden="1" x14ac:dyDescent="0.35"/>
    <row r="9879" hidden="1" x14ac:dyDescent="0.35"/>
    <row r="9880" hidden="1" x14ac:dyDescent="0.35"/>
    <row r="9881" hidden="1" x14ac:dyDescent="0.35"/>
    <row r="9882" hidden="1" x14ac:dyDescent="0.35"/>
    <row r="9883" hidden="1" x14ac:dyDescent="0.35"/>
    <row r="9884" hidden="1" x14ac:dyDescent="0.35"/>
    <row r="9885" hidden="1" x14ac:dyDescent="0.35"/>
    <row r="9886" hidden="1" x14ac:dyDescent="0.35"/>
    <row r="9887" hidden="1" x14ac:dyDescent="0.35"/>
    <row r="9888" hidden="1" x14ac:dyDescent="0.35"/>
    <row r="9889" hidden="1" x14ac:dyDescent="0.35"/>
    <row r="9890" hidden="1" x14ac:dyDescent="0.35"/>
    <row r="9891" hidden="1" x14ac:dyDescent="0.35"/>
    <row r="9892" hidden="1" x14ac:dyDescent="0.35"/>
    <row r="9893" hidden="1" x14ac:dyDescent="0.35"/>
    <row r="9894" hidden="1" x14ac:dyDescent="0.35"/>
    <row r="9895" hidden="1" x14ac:dyDescent="0.35"/>
    <row r="9896" hidden="1" x14ac:dyDescent="0.35"/>
    <row r="9897" hidden="1" x14ac:dyDescent="0.35"/>
    <row r="9898" hidden="1" x14ac:dyDescent="0.35"/>
    <row r="9899" hidden="1" x14ac:dyDescent="0.35"/>
    <row r="9900" hidden="1" x14ac:dyDescent="0.35"/>
    <row r="9901" hidden="1" x14ac:dyDescent="0.35"/>
    <row r="9902" hidden="1" x14ac:dyDescent="0.35"/>
    <row r="9903" hidden="1" x14ac:dyDescent="0.35"/>
    <row r="9904" hidden="1" x14ac:dyDescent="0.35"/>
    <row r="9905" hidden="1" x14ac:dyDescent="0.35"/>
    <row r="9906" hidden="1" x14ac:dyDescent="0.35"/>
    <row r="9907" hidden="1" x14ac:dyDescent="0.35"/>
    <row r="9908" hidden="1" x14ac:dyDescent="0.35"/>
    <row r="9909" hidden="1" x14ac:dyDescent="0.35"/>
    <row r="9910" hidden="1" x14ac:dyDescent="0.35"/>
    <row r="9911" hidden="1" x14ac:dyDescent="0.35"/>
    <row r="9912" hidden="1" x14ac:dyDescent="0.35"/>
    <row r="9913" hidden="1" x14ac:dyDescent="0.35"/>
    <row r="9914" hidden="1" x14ac:dyDescent="0.35"/>
    <row r="9915" hidden="1" x14ac:dyDescent="0.35"/>
    <row r="9916" hidden="1" x14ac:dyDescent="0.35"/>
    <row r="9917" hidden="1" x14ac:dyDescent="0.35"/>
    <row r="9918" hidden="1" x14ac:dyDescent="0.35"/>
    <row r="9919" hidden="1" x14ac:dyDescent="0.35"/>
    <row r="9920" hidden="1" x14ac:dyDescent="0.35"/>
    <row r="9921" hidden="1" x14ac:dyDescent="0.35"/>
    <row r="9922" hidden="1" x14ac:dyDescent="0.35"/>
    <row r="9923" hidden="1" x14ac:dyDescent="0.35"/>
    <row r="9924" hidden="1" x14ac:dyDescent="0.35"/>
    <row r="9925" hidden="1" x14ac:dyDescent="0.35"/>
    <row r="9926" hidden="1" x14ac:dyDescent="0.35"/>
    <row r="9927" hidden="1" x14ac:dyDescent="0.35"/>
    <row r="9928" hidden="1" x14ac:dyDescent="0.35"/>
    <row r="9929" hidden="1" x14ac:dyDescent="0.35"/>
    <row r="9930" hidden="1" x14ac:dyDescent="0.35"/>
    <row r="9931" hidden="1" x14ac:dyDescent="0.35"/>
    <row r="9932" hidden="1" x14ac:dyDescent="0.35"/>
    <row r="9933" hidden="1" x14ac:dyDescent="0.35"/>
    <row r="9934" hidden="1" x14ac:dyDescent="0.35"/>
    <row r="9935" hidden="1" x14ac:dyDescent="0.35"/>
    <row r="9936" hidden="1" x14ac:dyDescent="0.35"/>
    <row r="9937" hidden="1" x14ac:dyDescent="0.35"/>
    <row r="9938" hidden="1" x14ac:dyDescent="0.35"/>
    <row r="9939" hidden="1" x14ac:dyDescent="0.35"/>
    <row r="9940" hidden="1" x14ac:dyDescent="0.35"/>
    <row r="9941" hidden="1" x14ac:dyDescent="0.35"/>
    <row r="9942" hidden="1" x14ac:dyDescent="0.35"/>
    <row r="9943" hidden="1" x14ac:dyDescent="0.35"/>
    <row r="9944" hidden="1" x14ac:dyDescent="0.35"/>
    <row r="9945" hidden="1" x14ac:dyDescent="0.35"/>
    <row r="9946" hidden="1" x14ac:dyDescent="0.35"/>
    <row r="9947" hidden="1" x14ac:dyDescent="0.35"/>
    <row r="9948" hidden="1" x14ac:dyDescent="0.35"/>
    <row r="9949" hidden="1" x14ac:dyDescent="0.35"/>
    <row r="9950" hidden="1" x14ac:dyDescent="0.35"/>
    <row r="9951" hidden="1" x14ac:dyDescent="0.35"/>
    <row r="9952" hidden="1" x14ac:dyDescent="0.35"/>
    <row r="9953" hidden="1" x14ac:dyDescent="0.35"/>
    <row r="9954" hidden="1" x14ac:dyDescent="0.35"/>
    <row r="9955" hidden="1" x14ac:dyDescent="0.35"/>
    <row r="9956" hidden="1" x14ac:dyDescent="0.35"/>
    <row r="9957" hidden="1" x14ac:dyDescent="0.35"/>
    <row r="9958" hidden="1" x14ac:dyDescent="0.35"/>
    <row r="9959" hidden="1" x14ac:dyDescent="0.35"/>
    <row r="9960" hidden="1" x14ac:dyDescent="0.35"/>
    <row r="9961" hidden="1" x14ac:dyDescent="0.35"/>
    <row r="9962" hidden="1" x14ac:dyDescent="0.35"/>
    <row r="9963" hidden="1" x14ac:dyDescent="0.35"/>
    <row r="9964" hidden="1" x14ac:dyDescent="0.35"/>
    <row r="9965" hidden="1" x14ac:dyDescent="0.35"/>
    <row r="9966" hidden="1" x14ac:dyDescent="0.35"/>
    <row r="9967" hidden="1" x14ac:dyDescent="0.35"/>
    <row r="9968" hidden="1" x14ac:dyDescent="0.35"/>
    <row r="9969" hidden="1" x14ac:dyDescent="0.35"/>
    <row r="9970" hidden="1" x14ac:dyDescent="0.35"/>
    <row r="9971" hidden="1" x14ac:dyDescent="0.35"/>
    <row r="9972" hidden="1" x14ac:dyDescent="0.35"/>
    <row r="9973" hidden="1" x14ac:dyDescent="0.35"/>
    <row r="9974" hidden="1" x14ac:dyDescent="0.35"/>
    <row r="9975" hidden="1" x14ac:dyDescent="0.35"/>
    <row r="9976" hidden="1" x14ac:dyDescent="0.35"/>
    <row r="9977" hidden="1" x14ac:dyDescent="0.35"/>
    <row r="9978" hidden="1" x14ac:dyDescent="0.35"/>
    <row r="9979" hidden="1" x14ac:dyDescent="0.35"/>
    <row r="9980" hidden="1" x14ac:dyDescent="0.35"/>
    <row r="9981" hidden="1" x14ac:dyDescent="0.35"/>
    <row r="9982" hidden="1" x14ac:dyDescent="0.35"/>
    <row r="9983" hidden="1" x14ac:dyDescent="0.35"/>
    <row r="9984" hidden="1" x14ac:dyDescent="0.35"/>
    <row r="9985" hidden="1" x14ac:dyDescent="0.35"/>
    <row r="9986" hidden="1" x14ac:dyDescent="0.35"/>
    <row r="9987" hidden="1" x14ac:dyDescent="0.35"/>
    <row r="9988" hidden="1" x14ac:dyDescent="0.35"/>
    <row r="9989" hidden="1" x14ac:dyDescent="0.35"/>
    <row r="9990" hidden="1" x14ac:dyDescent="0.35"/>
    <row r="9991" hidden="1" x14ac:dyDescent="0.35"/>
    <row r="9992" hidden="1" x14ac:dyDescent="0.35"/>
    <row r="9993" hidden="1" x14ac:dyDescent="0.35"/>
    <row r="9994" hidden="1" x14ac:dyDescent="0.35"/>
    <row r="9995" hidden="1" x14ac:dyDescent="0.35"/>
    <row r="9996" hidden="1" x14ac:dyDescent="0.35"/>
    <row r="9997" hidden="1" x14ac:dyDescent="0.35"/>
    <row r="9998" hidden="1" x14ac:dyDescent="0.35"/>
    <row r="9999" hidden="1" x14ac:dyDescent="0.35"/>
    <row r="10000" hidden="1" x14ac:dyDescent="0.35"/>
    <row r="10001" hidden="1" x14ac:dyDescent="0.35"/>
    <row r="10002" hidden="1" x14ac:dyDescent="0.35"/>
    <row r="10003" hidden="1" x14ac:dyDescent="0.35"/>
    <row r="10004" hidden="1" x14ac:dyDescent="0.35"/>
    <row r="10005" hidden="1" x14ac:dyDescent="0.35"/>
    <row r="10006" hidden="1" x14ac:dyDescent="0.35"/>
    <row r="10007" hidden="1" x14ac:dyDescent="0.35"/>
    <row r="10008" hidden="1" x14ac:dyDescent="0.35"/>
    <row r="10009" hidden="1" x14ac:dyDescent="0.35"/>
    <row r="10010" hidden="1" x14ac:dyDescent="0.35"/>
    <row r="10011" hidden="1" x14ac:dyDescent="0.35"/>
    <row r="10012" hidden="1" x14ac:dyDescent="0.35"/>
    <row r="10013" hidden="1" x14ac:dyDescent="0.35"/>
    <row r="10014" hidden="1" x14ac:dyDescent="0.35"/>
    <row r="10015" hidden="1" x14ac:dyDescent="0.35"/>
    <row r="10016" hidden="1" x14ac:dyDescent="0.35"/>
    <row r="10017" hidden="1" x14ac:dyDescent="0.35"/>
    <row r="10018" hidden="1" x14ac:dyDescent="0.35"/>
    <row r="10019" hidden="1" x14ac:dyDescent="0.35"/>
    <row r="10020" hidden="1" x14ac:dyDescent="0.35"/>
    <row r="10021" hidden="1" x14ac:dyDescent="0.35"/>
    <row r="10022" hidden="1" x14ac:dyDescent="0.35"/>
    <row r="10023" hidden="1" x14ac:dyDescent="0.35"/>
    <row r="10024" hidden="1" x14ac:dyDescent="0.35"/>
    <row r="10025" hidden="1" x14ac:dyDescent="0.35"/>
    <row r="10026" hidden="1" x14ac:dyDescent="0.35"/>
    <row r="10027" hidden="1" x14ac:dyDescent="0.35"/>
    <row r="10028" hidden="1" x14ac:dyDescent="0.35"/>
    <row r="10029" hidden="1" x14ac:dyDescent="0.35"/>
    <row r="10030" hidden="1" x14ac:dyDescent="0.35"/>
    <row r="10031" hidden="1" x14ac:dyDescent="0.35"/>
    <row r="10032" hidden="1" x14ac:dyDescent="0.35"/>
    <row r="10033" hidden="1" x14ac:dyDescent="0.35"/>
    <row r="10034" hidden="1" x14ac:dyDescent="0.35"/>
    <row r="10035" hidden="1" x14ac:dyDescent="0.35"/>
    <row r="10036" hidden="1" x14ac:dyDescent="0.35"/>
    <row r="10037" hidden="1" x14ac:dyDescent="0.35"/>
    <row r="10038" hidden="1" x14ac:dyDescent="0.35"/>
    <row r="10039" hidden="1" x14ac:dyDescent="0.35"/>
    <row r="10040" hidden="1" x14ac:dyDescent="0.35"/>
    <row r="10041" hidden="1" x14ac:dyDescent="0.35"/>
    <row r="10042" hidden="1" x14ac:dyDescent="0.35"/>
    <row r="10043" hidden="1" x14ac:dyDescent="0.35"/>
    <row r="10044" hidden="1" x14ac:dyDescent="0.35"/>
    <row r="10045" hidden="1" x14ac:dyDescent="0.35"/>
    <row r="10046" hidden="1" x14ac:dyDescent="0.35"/>
    <row r="10047" hidden="1" x14ac:dyDescent="0.35"/>
    <row r="10048" hidden="1" x14ac:dyDescent="0.35"/>
    <row r="10049" hidden="1" x14ac:dyDescent="0.35"/>
    <row r="10050" hidden="1" x14ac:dyDescent="0.35"/>
    <row r="10051" hidden="1" x14ac:dyDescent="0.35"/>
    <row r="10052" hidden="1" x14ac:dyDescent="0.35"/>
    <row r="10053" hidden="1" x14ac:dyDescent="0.35"/>
    <row r="10054" hidden="1" x14ac:dyDescent="0.35"/>
    <row r="10055" hidden="1" x14ac:dyDescent="0.35"/>
    <row r="10056" hidden="1" x14ac:dyDescent="0.35"/>
    <row r="10057" hidden="1" x14ac:dyDescent="0.35"/>
    <row r="10058" hidden="1" x14ac:dyDescent="0.35"/>
    <row r="10059" hidden="1" x14ac:dyDescent="0.35"/>
    <row r="10060" hidden="1" x14ac:dyDescent="0.35"/>
    <row r="10061" hidden="1" x14ac:dyDescent="0.35"/>
    <row r="10062" hidden="1" x14ac:dyDescent="0.35"/>
    <row r="10063" hidden="1" x14ac:dyDescent="0.35"/>
    <row r="10064" hidden="1" x14ac:dyDescent="0.35"/>
    <row r="10065" hidden="1" x14ac:dyDescent="0.35"/>
    <row r="10066" hidden="1" x14ac:dyDescent="0.35"/>
    <row r="10067" hidden="1" x14ac:dyDescent="0.35"/>
    <row r="10068" hidden="1" x14ac:dyDescent="0.35"/>
    <row r="10069" hidden="1" x14ac:dyDescent="0.35"/>
    <row r="10070" hidden="1" x14ac:dyDescent="0.35"/>
    <row r="10071" hidden="1" x14ac:dyDescent="0.35"/>
    <row r="10072" hidden="1" x14ac:dyDescent="0.35"/>
    <row r="10073" hidden="1" x14ac:dyDescent="0.35"/>
    <row r="10074" hidden="1" x14ac:dyDescent="0.35"/>
    <row r="10075" hidden="1" x14ac:dyDescent="0.35"/>
    <row r="10076" hidden="1" x14ac:dyDescent="0.35"/>
    <row r="10077" hidden="1" x14ac:dyDescent="0.35"/>
    <row r="10078" hidden="1" x14ac:dyDescent="0.35"/>
    <row r="10079" hidden="1" x14ac:dyDescent="0.35"/>
    <row r="10080" hidden="1" x14ac:dyDescent="0.35"/>
    <row r="10081" hidden="1" x14ac:dyDescent="0.35"/>
    <row r="10082" hidden="1" x14ac:dyDescent="0.35"/>
    <row r="10083" hidden="1" x14ac:dyDescent="0.35"/>
    <row r="10084" hidden="1" x14ac:dyDescent="0.35"/>
    <row r="10085" hidden="1" x14ac:dyDescent="0.35"/>
    <row r="10086" hidden="1" x14ac:dyDescent="0.35"/>
    <row r="10087" hidden="1" x14ac:dyDescent="0.35"/>
    <row r="10088" hidden="1" x14ac:dyDescent="0.35"/>
    <row r="10089" hidden="1" x14ac:dyDescent="0.35"/>
    <row r="10090" hidden="1" x14ac:dyDescent="0.35"/>
    <row r="10091" hidden="1" x14ac:dyDescent="0.35"/>
    <row r="10092" hidden="1" x14ac:dyDescent="0.35"/>
    <row r="10093" hidden="1" x14ac:dyDescent="0.35"/>
    <row r="10094" hidden="1" x14ac:dyDescent="0.35"/>
    <row r="10095" hidden="1" x14ac:dyDescent="0.35"/>
    <row r="10096" hidden="1" x14ac:dyDescent="0.35"/>
    <row r="10097" hidden="1" x14ac:dyDescent="0.35"/>
    <row r="10098" hidden="1" x14ac:dyDescent="0.35"/>
    <row r="10099" hidden="1" x14ac:dyDescent="0.35"/>
    <row r="10100" hidden="1" x14ac:dyDescent="0.35"/>
    <row r="10101" hidden="1" x14ac:dyDescent="0.35"/>
    <row r="10102" hidden="1" x14ac:dyDescent="0.35"/>
    <row r="10103" hidden="1" x14ac:dyDescent="0.35"/>
    <row r="10104" hidden="1" x14ac:dyDescent="0.35"/>
    <row r="10105" hidden="1" x14ac:dyDescent="0.35"/>
    <row r="10106" hidden="1" x14ac:dyDescent="0.35"/>
    <row r="10107" hidden="1" x14ac:dyDescent="0.35"/>
    <row r="10108" hidden="1" x14ac:dyDescent="0.35"/>
    <row r="10109" hidden="1" x14ac:dyDescent="0.35"/>
    <row r="10110" hidden="1" x14ac:dyDescent="0.35"/>
    <row r="10111" hidden="1" x14ac:dyDescent="0.35"/>
    <row r="10112" hidden="1" x14ac:dyDescent="0.35"/>
    <row r="10113" hidden="1" x14ac:dyDescent="0.35"/>
    <row r="10114" hidden="1" x14ac:dyDescent="0.35"/>
    <row r="10115" hidden="1" x14ac:dyDescent="0.35"/>
    <row r="10116" hidden="1" x14ac:dyDescent="0.35"/>
    <row r="10117" hidden="1" x14ac:dyDescent="0.35"/>
    <row r="10118" hidden="1" x14ac:dyDescent="0.35"/>
    <row r="10119" hidden="1" x14ac:dyDescent="0.35"/>
    <row r="10120" hidden="1" x14ac:dyDescent="0.35"/>
    <row r="10121" hidden="1" x14ac:dyDescent="0.35"/>
    <row r="10122" hidden="1" x14ac:dyDescent="0.35"/>
    <row r="10123" hidden="1" x14ac:dyDescent="0.35"/>
    <row r="10124" hidden="1" x14ac:dyDescent="0.35"/>
    <row r="10125" hidden="1" x14ac:dyDescent="0.35"/>
    <row r="10126" hidden="1" x14ac:dyDescent="0.35"/>
    <row r="10127" hidden="1" x14ac:dyDescent="0.35"/>
    <row r="10128" hidden="1" x14ac:dyDescent="0.35"/>
    <row r="10129" hidden="1" x14ac:dyDescent="0.35"/>
    <row r="10130" hidden="1" x14ac:dyDescent="0.35"/>
    <row r="10131" hidden="1" x14ac:dyDescent="0.35"/>
    <row r="10132" hidden="1" x14ac:dyDescent="0.35"/>
    <row r="10133" hidden="1" x14ac:dyDescent="0.35"/>
    <row r="10134" hidden="1" x14ac:dyDescent="0.35"/>
    <row r="10135" hidden="1" x14ac:dyDescent="0.35"/>
    <row r="10136" hidden="1" x14ac:dyDescent="0.35"/>
    <row r="10137" hidden="1" x14ac:dyDescent="0.35"/>
    <row r="10138" hidden="1" x14ac:dyDescent="0.35"/>
    <row r="10139" hidden="1" x14ac:dyDescent="0.35"/>
    <row r="10140" hidden="1" x14ac:dyDescent="0.35"/>
    <row r="10141" hidden="1" x14ac:dyDescent="0.35"/>
    <row r="10142" hidden="1" x14ac:dyDescent="0.35"/>
    <row r="10143" hidden="1" x14ac:dyDescent="0.35"/>
    <row r="10144" hidden="1" x14ac:dyDescent="0.35"/>
    <row r="10145" hidden="1" x14ac:dyDescent="0.35"/>
    <row r="10146" hidden="1" x14ac:dyDescent="0.35"/>
    <row r="10147" hidden="1" x14ac:dyDescent="0.35"/>
    <row r="10148" hidden="1" x14ac:dyDescent="0.35"/>
    <row r="10149" hidden="1" x14ac:dyDescent="0.35"/>
    <row r="10150" hidden="1" x14ac:dyDescent="0.35"/>
    <row r="10151" hidden="1" x14ac:dyDescent="0.35"/>
    <row r="10152" hidden="1" x14ac:dyDescent="0.35"/>
    <row r="10153" hidden="1" x14ac:dyDescent="0.35"/>
    <row r="10154" hidden="1" x14ac:dyDescent="0.35"/>
    <row r="10155" hidden="1" x14ac:dyDescent="0.35"/>
    <row r="10156" hidden="1" x14ac:dyDescent="0.35"/>
    <row r="10157" hidden="1" x14ac:dyDescent="0.35"/>
    <row r="10158" hidden="1" x14ac:dyDescent="0.35"/>
    <row r="10159" hidden="1" x14ac:dyDescent="0.35"/>
    <row r="10160" hidden="1" x14ac:dyDescent="0.35"/>
    <row r="10161" hidden="1" x14ac:dyDescent="0.35"/>
    <row r="10162" hidden="1" x14ac:dyDescent="0.35"/>
    <row r="10163" hidden="1" x14ac:dyDescent="0.35"/>
    <row r="10164" hidden="1" x14ac:dyDescent="0.35"/>
    <row r="10165" hidden="1" x14ac:dyDescent="0.35"/>
    <row r="10166" hidden="1" x14ac:dyDescent="0.35"/>
    <row r="10167" hidden="1" x14ac:dyDescent="0.35"/>
    <row r="10168" hidden="1" x14ac:dyDescent="0.35"/>
    <row r="10169" hidden="1" x14ac:dyDescent="0.35"/>
    <row r="10170" hidden="1" x14ac:dyDescent="0.35"/>
    <row r="10171" hidden="1" x14ac:dyDescent="0.35"/>
    <row r="10172" hidden="1" x14ac:dyDescent="0.35"/>
    <row r="10173" hidden="1" x14ac:dyDescent="0.35"/>
    <row r="10174" hidden="1" x14ac:dyDescent="0.35"/>
    <row r="10175" hidden="1" x14ac:dyDescent="0.35"/>
    <row r="10176" hidden="1" x14ac:dyDescent="0.35"/>
    <row r="10177" hidden="1" x14ac:dyDescent="0.35"/>
    <row r="10178" hidden="1" x14ac:dyDescent="0.35"/>
    <row r="10179" hidden="1" x14ac:dyDescent="0.35"/>
    <row r="10180" hidden="1" x14ac:dyDescent="0.35"/>
    <row r="10181" hidden="1" x14ac:dyDescent="0.35"/>
    <row r="10182" hidden="1" x14ac:dyDescent="0.35"/>
    <row r="10183" hidden="1" x14ac:dyDescent="0.35"/>
    <row r="10184" hidden="1" x14ac:dyDescent="0.35"/>
    <row r="10185" hidden="1" x14ac:dyDescent="0.35"/>
    <row r="10186" hidden="1" x14ac:dyDescent="0.35"/>
    <row r="10187" hidden="1" x14ac:dyDescent="0.35"/>
    <row r="10188" hidden="1" x14ac:dyDescent="0.35"/>
    <row r="10189" hidden="1" x14ac:dyDescent="0.35"/>
    <row r="10190" hidden="1" x14ac:dyDescent="0.35"/>
    <row r="10191" hidden="1" x14ac:dyDescent="0.35"/>
    <row r="10192" hidden="1" x14ac:dyDescent="0.35"/>
    <row r="10193" hidden="1" x14ac:dyDescent="0.35"/>
    <row r="10194" hidden="1" x14ac:dyDescent="0.35"/>
    <row r="10195" hidden="1" x14ac:dyDescent="0.35"/>
    <row r="10196" hidden="1" x14ac:dyDescent="0.35"/>
    <row r="10197" hidden="1" x14ac:dyDescent="0.35"/>
    <row r="10198" hidden="1" x14ac:dyDescent="0.35"/>
    <row r="10199" hidden="1" x14ac:dyDescent="0.35"/>
    <row r="10200" hidden="1" x14ac:dyDescent="0.35"/>
    <row r="10201" hidden="1" x14ac:dyDescent="0.35"/>
    <row r="10202" hidden="1" x14ac:dyDescent="0.35"/>
    <row r="10203" hidden="1" x14ac:dyDescent="0.35"/>
    <row r="10204" hidden="1" x14ac:dyDescent="0.35"/>
    <row r="10205" hidden="1" x14ac:dyDescent="0.35"/>
    <row r="10206" hidden="1" x14ac:dyDescent="0.35"/>
    <row r="10207" hidden="1" x14ac:dyDescent="0.35"/>
    <row r="10208" hidden="1" x14ac:dyDescent="0.35"/>
    <row r="10209" hidden="1" x14ac:dyDescent="0.35"/>
    <row r="10210" hidden="1" x14ac:dyDescent="0.35"/>
    <row r="10211" hidden="1" x14ac:dyDescent="0.35"/>
    <row r="10212" hidden="1" x14ac:dyDescent="0.35"/>
    <row r="10213" hidden="1" x14ac:dyDescent="0.35"/>
    <row r="10214" hidden="1" x14ac:dyDescent="0.35"/>
    <row r="10215" hidden="1" x14ac:dyDescent="0.35"/>
    <row r="10216" hidden="1" x14ac:dyDescent="0.35"/>
    <row r="10217" hidden="1" x14ac:dyDescent="0.35"/>
    <row r="10218" hidden="1" x14ac:dyDescent="0.35"/>
    <row r="10219" hidden="1" x14ac:dyDescent="0.35"/>
    <row r="10220" hidden="1" x14ac:dyDescent="0.35"/>
    <row r="10221" hidden="1" x14ac:dyDescent="0.35"/>
    <row r="10222" hidden="1" x14ac:dyDescent="0.35"/>
    <row r="10223" hidden="1" x14ac:dyDescent="0.35"/>
    <row r="10224" hidden="1" x14ac:dyDescent="0.35"/>
    <row r="10225" hidden="1" x14ac:dyDescent="0.35"/>
    <row r="10226" hidden="1" x14ac:dyDescent="0.35"/>
    <row r="10227" hidden="1" x14ac:dyDescent="0.35"/>
    <row r="10228" hidden="1" x14ac:dyDescent="0.35"/>
    <row r="10229" hidden="1" x14ac:dyDescent="0.35"/>
    <row r="10230" hidden="1" x14ac:dyDescent="0.35"/>
    <row r="10231" hidden="1" x14ac:dyDescent="0.35"/>
    <row r="10232" hidden="1" x14ac:dyDescent="0.35"/>
    <row r="10233" hidden="1" x14ac:dyDescent="0.35"/>
    <row r="10234" hidden="1" x14ac:dyDescent="0.35"/>
    <row r="10235" hidden="1" x14ac:dyDescent="0.35"/>
    <row r="10236" hidden="1" x14ac:dyDescent="0.35"/>
    <row r="10237" hidden="1" x14ac:dyDescent="0.35"/>
    <row r="10238" hidden="1" x14ac:dyDescent="0.35"/>
    <row r="10239" hidden="1" x14ac:dyDescent="0.35"/>
    <row r="10240" hidden="1" x14ac:dyDescent="0.35"/>
    <row r="10241" hidden="1" x14ac:dyDescent="0.35"/>
    <row r="10242" hidden="1" x14ac:dyDescent="0.35"/>
    <row r="10243" hidden="1" x14ac:dyDescent="0.35"/>
    <row r="10244" hidden="1" x14ac:dyDescent="0.35"/>
    <row r="10245" hidden="1" x14ac:dyDescent="0.35"/>
    <row r="10246" hidden="1" x14ac:dyDescent="0.35"/>
    <row r="10247" hidden="1" x14ac:dyDescent="0.35"/>
    <row r="10248" hidden="1" x14ac:dyDescent="0.35"/>
    <row r="10249" hidden="1" x14ac:dyDescent="0.35"/>
    <row r="10250" hidden="1" x14ac:dyDescent="0.35"/>
    <row r="10251" hidden="1" x14ac:dyDescent="0.35"/>
    <row r="10252" hidden="1" x14ac:dyDescent="0.35"/>
    <row r="10253" hidden="1" x14ac:dyDescent="0.35"/>
    <row r="10254" hidden="1" x14ac:dyDescent="0.35"/>
    <row r="10255" hidden="1" x14ac:dyDescent="0.35"/>
    <row r="10256" hidden="1" x14ac:dyDescent="0.35"/>
    <row r="10257" hidden="1" x14ac:dyDescent="0.35"/>
    <row r="10258" hidden="1" x14ac:dyDescent="0.35"/>
    <row r="10259" hidden="1" x14ac:dyDescent="0.35"/>
    <row r="10260" hidden="1" x14ac:dyDescent="0.35"/>
    <row r="10261" hidden="1" x14ac:dyDescent="0.35"/>
    <row r="10262" hidden="1" x14ac:dyDescent="0.35"/>
    <row r="10263" hidden="1" x14ac:dyDescent="0.35"/>
    <row r="10264" hidden="1" x14ac:dyDescent="0.35"/>
    <row r="10265" hidden="1" x14ac:dyDescent="0.35"/>
    <row r="10266" hidden="1" x14ac:dyDescent="0.35"/>
    <row r="10267" hidden="1" x14ac:dyDescent="0.35"/>
    <row r="10268" hidden="1" x14ac:dyDescent="0.35"/>
    <row r="10269" hidden="1" x14ac:dyDescent="0.35"/>
    <row r="10270" hidden="1" x14ac:dyDescent="0.35"/>
    <row r="10271" hidden="1" x14ac:dyDescent="0.35"/>
    <row r="10272" hidden="1" x14ac:dyDescent="0.35"/>
    <row r="10273" hidden="1" x14ac:dyDescent="0.35"/>
    <row r="10274" hidden="1" x14ac:dyDescent="0.35"/>
    <row r="10275" hidden="1" x14ac:dyDescent="0.35"/>
    <row r="10276" hidden="1" x14ac:dyDescent="0.35"/>
    <row r="10277" hidden="1" x14ac:dyDescent="0.35"/>
    <row r="10278" hidden="1" x14ac:dyDescent="0.35"/>
    <row r="10279" hidden="1" x14ac:dyDescent="0.35"/>
    <row r="10280" hidden="1" x14ac:dyDescent="0.35"/>
    <row r="10281" hidden="1" x14ac:dyDescent="0.35"/>
    <row r="10282" hidden="1" x14ac:dyDescent="0.35"/>
    <row r="10283" hidden="1" x14ac:dyDescent="0.35"/>
    <row r="10284" hidden="1" x14ac:dyDescent="0.35"/>
    <row r="10285" hidden="1" x14ac:dyDescent="0.35"/>
    <row r="10286" hidden="1" x14ac:dyDescent="0.35"/>
    <row r="10287" hidden="1" x14ac:dyDescent="0.35"/>
    <row r="10288" hidden="1" x14ac:dyDescent="0.35"/>
    <row r="10289" hidden="1" x14ac:dyDescent="0.35"/>
    <row r="10290" hidden="1" x14ac:dyDescent="0.35"/>
    <row r="10291" hidden="1" x14ac:dyDescent="0.35"/>
    <row r="10292" hidden="1" x14ac:dyDescent="0.35"/>
    <row r="10293" hidden="1" x14ac:dyDescent="0.35"/>
    <row r="10294" hidden="1" x14ac:dyDescent="0.35"/>
    <row r="10295" hidden="1" x14ac:dyDescent="0.35"/>
    <row r="10296" hidden="1" x14ac:dyDescent="0.35"/>
    <row r="10297" hidden="1" x14ac:dyDescent="0.35"/>
    <row r="10298" hidden="1" x14ac:dyDescent="0.35"/>
    <row r="10299" hidden="1" x14ac:dyDescent="0.35"/>
    <row r="10300" hidden="1" x14ac:dyDescent="0.35"/>
    <row r="10301" hidden="1" x14ac:dyDescent="0.35"/>
    <row r="10302" hidden="1" x14ac:dyDescent="0.35"/>
    <row r="10303" hidden="1" x14ac:dyDescent="0.35"/>
    <row r="10304" hidden="1" x14ac:dyDescent="0.35"/>
    <row r="10305" hidden="1" x14ac:dyDescent="0.35"/>
    <row r="10306" hidden="1" x14ac:dyDescent="0.35"/>
    <row r="10307" hidden="1" x14ac:dyDescent="0.35"/>
    <row r="10308" hidden="1" x14ac:dyDescent="0.35"/>
    <row r="10309" hidden="1" x14ac:dyDescent="0.35"/>
    <row r="10310" hidden="1" x14ac:dyDescent="0.35"/>
    <row r="10311" hidden="1" x14ac:dyDescent="0.35"/>
    <row r="10312" hidden="1" x14ac:dyDescent="0.35"/>
    <row r="10313" hidden="1" x14ac:dyDescent="0.35"/>
    <row r="10314" hidden="1" x14ac:dyDescent="0.35"/>
    <row r="10315" hidden="1" x14ac:dyDescent="0.35"/>
    <row r="10316" hidden="1" x14ac:dyDescent="0.35"/>
    <row r="10317" hidden="1" x14ac:dyDescent="0.35"/>
    <row r="10318" hidden="1" x14ac:dyDescent="0.35"/>
    <row r="10319" hidden="1" x14ac:dyDescent="0.35"/>
    <row r="10320" hidden="1" x14ac:dyDescent="0.35"/>
    <row r="10321" hidden="1" x14ac:dyDescent="0.35"/>
    <row r="10322" hidden="1" x14ac:dyDescent="0.35"/>
    <row r="10323" hidden="1" x14ac:dyDescent="0.35"/>
    <row r="10324" hidden="1" x14ac:dyDescent="0.35"/>
    <row r="10325" hidden="1" x14ac:dyDescent="0.35"/>
    <row r="10326" hidden="1" x14ac:dyDescent="0.35"/>
    <row r="10327" hidden="1" x14ac:dyDescent="0.35"/>
    <row r="10328" hidden="1" x14ac:dyDescent="0.35"/>
    <row r="10329" hidden="1" x14ac:dyDescent="0.35"/>
    <row r="10330" hidden="1" x14ac:dyDescent="0.35"/>
    <row r="10331" hidden="1" x14ac:dyDescent="0.35"/>
    <row r="10332" hidden="1" x14ac:dyDescent="0.35"/>
    <row r="10333" hidden="1" x14ac:dyDescent="0.35"/>
    <row r="10334" hidden="1" x14ac:dyDescent="0.35"/>
    <row r="10335" hidden="1" x14ac:dyDescent="0.35"/>
    <row r="10336" hidden="1" x14ac:dyDescent="0.35"/>
    <row r="10337" hidden="1" x14ac:dyDescent="0.35"/>
    <row r="10338" hidden="1" x14ac:dyDescent="0.35"/>
    <row r="10339" hidden="1" x14ac:dyDescent="0.35"/>
    <row r="10340" hidden="1" x14ac:dyDescent="0.35"/>
    <row r="10341" hidden="1" x14ac:dyDescent="0.35"/>
    <row r="10342" hidden="1" x14ac:dyDescent="0.35"/>
    <row r="10343" hidden="1" x14ac:dyDescent="0.35"/>
    <row r="10344" hidden="1" x14ac:dyDescent="0.35"/>
    <row r="10345" hidden="1" x14ac:dyDescent="0.35"/>
    <row r="10346" hidden="1" x14ac:dyDescent="0.35"/>
    <row r="10347" hidden="1" x14ac:dyDescent="0.35"/>
    <row r="10348" hidden="1" x14ac:dyDescent="0.35"/>
    <row r="10349" hidden="1" x14ac:dyDescent="0.35"/>
    <row r="10350" hidden="1" x14ac:dyDescent="0.35"/>
    <row r="10351" hidden="1" x14ac:dyDescent="0.35"/>
    <row r="10352" hidden="1" x14ac:dyDescent="0.35"/>
    <row r="10353" hidden="1" x14ac:dyDescent="0.35"/>
    <row r="10354" hidden="1" x14ac:dyDescent="0.35"/>
    <row r="10355" hidden="1" x14ac:dyDescent="0.35"/>
    <row r="10356" hidden="1" x14ac:dyDescent="0.35"/>
    <row r="10357" hidden="1" x14ac:dyDescent="0.35"/>
    <row r="10358" hidden="1" x14ac:dyDescent="0.35"/>
    <row r="10359" hidden="1" x14ac:dyDescent="0.35"/>
    <row r="10360" hidden="1" x14ac:dyDescent="0.35"/>
    <row r="10361" hidden="1" x14ac:dyDescent="0.35"/>
    <row r="10362" hidden="1" x14ac:dyDescent="0.35"/>
    <row r="10363" hidden="1" x14ac:dyDescent="0.35"/>
    <row r="10364" hidden="1" x14ac:dyDescent="0.35"/>
    <row r="10365" hidden="1" x14ac:dyDescent="0.35"/>
    <row r="10366" hidden="1" x14ac:dyDescent="0.35"/>
    <row r="10367" hidden="1" x14ac:dyDescent="0.35"/>
    <row r="10368" hidden="1" x14ac:dyDescent="0.35"/>
    <row r="10369" hidden="1" x14ac:dyDescent="0.35"/>
    <row r="10370" hidden="1" x14ac:dyDescent="0.35"/>
    <row r="10371" hidden="1" x14ac:dyDescent="0.35"/>
    <row r="10372" hidden="1" x14ac:dyDescent="0.35"/>
    <row r="10373" hidden="1" x14ac:dyDescent="0.35"/>
    <row r="10374" hidden="1" x14ac:dyDescent="0.35"/>
    <row r="10375" hidden="1" x14ac:dyDescent="0.35"/>
    <row r="10376" hidden="1" x14ac:dyDescent="0.35"/>
    <row r="10377" hidden="1" x14ac:dyDescent="0.35"/>
    <row r="10378" hidden="1" x14ac:dyDescent="0.35"/>
    <row r="10379" hidden="1" x14ac:dyDescent="0.35"/>
    <row r="10380" hidden="1" x14ac:dyDescent="0.35"/>
    <row r="10381" hidden="1" x14ac:dyDescent="0.35"/>
    <row r="10382" hidden="1" x14ac:dyDescent="0.35"/>
    <row r="10383" hidden="1" x14ac:dyDescent="0.35"/>
    <row r="10384" hidden="1" x14ac:dyDescent="0.35"/>
    <row r="10385" hidden="1" x14ac:dyDescent="0.35"/>
    <row r="10386" hidden="1" x14ac:dyDescent="0.35"/>
    <row r="10387" hidden="1" x14ac:dyDescent="0.35"/>
    <row r="10388" hidden="1" x14ac:dyDescent="0.35"/>
    <row r="10389" hidden="1" x14ac:dyDescent="0.35"/>
    <row r="10390" hidden="1" x14ac:dyDescent="0.35"/>
    <row r="10391" hidden="1" x14ac:dyDescent="0.35"/>
    <row r="10392" hidden="1" x14ac:dyDescent="0.35"/>
    <row r="10393" hidden="1" x14ac:dyDescent="0.35"/>
    <row r="10394" hidden="1" x14ac:dyDescent="0.35"/>
    <row r="10395" hidden="1" x14ac:dyDescent="0.35"/>
    <row r="10396" hidden="1" x14ac:dyDescent="0.35"/>
    <row r="10397" hidden="1" x14ac:dyDescent="0.35"/>
    <row r="10398" hidden="1" x14ac:dyDescent="0.35"/>
    <row r="10399" hidden="1" x14ac:dyDescent="0.35"/>
    <row r="10400" hidden="1" x14ac:dyDescent="0.35"/>
    <row r="10401" hidden="1" x14ac:dyDescent="0.35"/>
    <row r="10402" hidden="1" x14ac:dyDescent="0.35"/>
    <row r="10403" hidden="1" x14ac:dyDescent="0.35"/>
    <row r="10404" hidden="1" x14ac:dyDescent="0.35"/>
    <row r="10405" hidden="1" x14ac:dyDescent="0.35"/>
    <row r="10406" hidden="1" x14ac:dyDescent="0.35"/>
    <row r="10407" hidden="1" x14ac:dyDescent="0.35"/>
    <row r="10408" hidden="1" x14ac:dyDescent="0.35"/>
    <row r="10409" hidden="1" x14ac:dyDescent="0.35"/>
    <row r="10410" hidden="1" x14ac:dyDescent="0.35"/>
    <row r="10411" hidden="1" x14ac:dyDescent="0.35"/>
    <row r="10412" hidden="1" x14ac:dyDescent="0.35"/>
    <row r="10413" hidden="1" x14ac:dyDescent="0.35"/>
    <row r="10414" hidden="1" x14ac:dyDescent="0.35"/>
    <row r="10415" hidden="1" x14ac:dyDescent="0.35"/>
    <row r="10416" hidden="1" x14ac:dyDescent="0.35"/>
    <row r="10417" hidden="1" x14ac:dyDescent="0.35"/>
    <row r="10418" hidden="1" x14ac:dyDescent="0.35"/>
    <row r="10419" hidden="1" x14ac:dyDescent="0.35"/>
    <row r="10420" hidden="1" x14ac:dyDescent="0.35"/>
    <row r="10421" hidden="1" x14ac:dyDescent="0.35"/>
    <row r="10422" hidden="1" x14ac:dyDescent="0.35"/>
    <row r="10423" hidden="1" x14ac:dyDescent="0.35"/>
    <row r="10424" hidden="1" x14ac:dyDescent="0.35"/>
    <row r="10425" hidden="1" x14ac:dyDescent="0.35"/>
    <row r="10426" hidden="1" x14ac:dyDescent="0.35"/>
    <row r="10427" hidden="1" x14ac:dyDescent="0.35"/>
    <row r="10428" hidden="1" x14ac:dyDescent="0.35"/>
    <row r="10429" hidden="1" x14ac:dyDescent="0.35"/>
    <row r="10430" hidden="1" x14ac:dyDescent="0.35"/>
    <row r="10431" hidden="1" x14ac:dyDescent="0.35"/>
    <row r="10432" hidden="1" x14ac:dyDescent="0.35"/>
    <row r="10433" hidden="1" x14ac:dyDescent="0.35"/>
    <row r="10434" hidden="1" x14ac:dyDescent="0.35"/>
    <row r="10435" hidden="1" x14ac:dyDescent="0.35"/>
    <row r="10436" hidden="1" x14ac:dyDescent="0.35"/>
    <row r="10437" hidden="1" x14ac:dyDescent="0.35"/>
    <row r="10438" hidden="1" x14ac:dyDescent="0.35"/>
    <row r="10439" hidden="1" x14ac:dyDescent="0.35"/>
    <row r="10440" hidden="1" x14ac:dyDescent="0.35"/>
    <row r="10441" hidden="1" x14ac:dyDescent="0.35"/>
    <row r="10442" hidden="1" x14ac:dyDescent="0.35"/>
    <row r="10443" hidden="1" x14ac:dyDescent="0.35"/>
    <row r="10444" hidden="1" x14ac:dyDescent="0.35"/>
    <row r="10445" hidden="1" x14ac:dyDescent="0.35"/>
    <row r="10446" hidden="1" x14ac:dyDescent="0.35"/>
    <row r="10447" hidden="1" x14ac:dyDescent="0.35"/>
    <row r="10448" hidden="1" x14ac:dyDescent="0.35"/>
    <row r="10449" hidden="1" x14ac:dyDescent="0.35"/>
    <row r="10450" hidden="1" x14ac:dyDescent="0.35"/>
    <row r="10451" hidden="1" x14ac:dyDescent="0.35"/>
    <row r="10452" hidden="1" x14ac:dyDescent="0.35"/>
    <row r="10453" hidden="1" x14ac:dyDescent="0.35"/>
    <row r="10454" hidden="1" x14ac:dyDescent="0.35"/>
    <row r="10455" hidden="1" x14ac:dyDescent="0.35"/>
    <row r="10456" hidden="1" x14ac:dyDescent="0.35"/>
    <row r="10457" hidden="1" x14ac:dyDescent="0.35"/>
    <row r="10458" hidden="1" x14ac:dyDescent="0.35"/>
    <row r="10459" hidden="1" x14ac:dyDescent="0.35"/>
    <row r="10460" hidden="1" x14ac:dyDescent="0.35"/>
    <row r="10461" hidden="1" x14ac:dyDescent="0.35"/>
    <row r="10462" hidden="1" x14ac:dyDescent="0.35"/>
    <row r="10463" hidden="1" x14ac:dyDescent="0.35"/>
    <row r="10464" hidden="1" x14ac:dyDescent="0.35"/>
    <row r="10465" hidden="1" x14ac:dyDescent="0.35"/>
    <row r="10466" hidden="1" x14ac:dyDescent="0.35"/>
    <row r="10467" hidden="1" x14ac:dyDescent="0.35"/>
    <row r="10468" hidden="1" x14ac:dyDescent="0.35"/>
    <row r="10469" hidden="1" x14ac:dyDescent="0.35"/>
    <row r="10470" hidden="1" x14ac:dyDescent="0.35"/>
    <row r="10471" hidden="1" x14ac:dyDescent="0.35"/>
    <row r="10472" hidden="1" x14ac:dyDescent="0.35"/>
    <row r="10473" hidden="1" x14ac:dyDescent="0.35"/>
    <row r="10474" hidden="1" x14ac:dyDescent="0.35"/>
    <row r="10475" hidden="1" x14ac:dyDescent="0.35"/>
    <row r="10476" hidden="1" x14ac:dyDescent="0.35"/>
    <row r="10477" hidden="1" x14ac:dyDescent="0.35"/>
    <row r="10478" hidden="1" x14ac:dyDescent="0.35"/>
    <row r="10479" hidden="1" x14ac:dyDescent="0.35"/>
    <row r="10480" hidden="1" x14ac:dyDescent="0.35"/>
    <row r="10481" hidden="1" x14ac:dyDescent="0.35"/>
    <row r="10482" hidden="1" x14ac:dyDescent="0.35"/>
    <row r="10483" hidden="1" x14ac:dyDescent="0.35"/>
    <row r="10484" hidden="1" x14ac:dyDescent="0.35"/>
    <row r="10485" hidden="1" x14ac:dyDescent="0.35"/>
    <row r="10486" hidden="1" x14ac:dyDescent="0.35"/>
    <row r="10487" hidden="1" x14ac:dyDescent="0.35"/>
    <row r="10488" hidden="1" x14ac:dyDescent="0.35"/>
    <row r="10489" hidden="1" x14ac:dyDescent="0.35"/>
    <row r="10490" hidden="1" x14ac:dyDescent="0.35"/>
    <row r="10491" hidden="1" x14ac:dyDescent="0.35"/>
    <row r="10492" hidden="1" x14ac:dyDescent="0.35"/>
    <row r="10493" hidden="1" x14ac:dyDescent="0.35"/>
    <row r="10494" hidden="1" x14ac:dyDescent="0.35"/>
    <row r="10495" hidden="1" x14ac:dyDescent="0.35"/>
    <row r="10496" hidden="1" x14ac:dyDescent="0.35"/>
    <row r="10497" hidden="1" x14ac:dyDescent="0.35"/>
    <row r="10498" hidden="1" x14ac:dyDescent="0.35"/>
    <row r="10499" hidden="1" x14ac:dyDescent="0.35"/>
    <row r="10500" hidden="1" x14ac:dyDescent="0.35"/>
    <row r="10501" hidden="1" x14ac:dyDescent="0.35"/>
    <row r="10502" hidden="1" x14ac:dyDescent="0.35"/>
    <row r="10503" hidden="1" x14ac:dyDescent="0.35"/>
    <row r="10504" hidden="1" x14ac:dyDescent="0.35"/>
    <row r="10505" hidden="1" x14ac:dyDescent="0.35"/>
    <row r="10506" hidden="1" x14ac:dyDescent="0.35"/>
    <row r="10507" hidden="1" x14ac:dyDescent="0.35"/>
    <row r="10508" hidden="1" x14ac:dyDescent="0.35"/>
    <row r="10509" hidden="1" x14ac:dyDescent="0.35"/>
    <row r="10510" hidden="1" x14ac:dyDescent="0.35"/>
    <row r="10511" hidden="1" x14ac:dyDescent="0.35"/>
    <row r="10512" hidden="1" x14ac:dyDescent="0.35"/>
    <row r="10513" hidden="1" x14ac:dyDescent="0.35"/>
    <row r="10514" hidden="1" x14ac:dyDescent="0.35"/>
    <row r="10515" hidden="1" x14ac:dyDescent="0.35"/>
    <row r="10516" hidden="1" x14ac:dyDescent="0.35"/>
    <row r="10517" hidden="1" x14ac:dyDescent="0.35"/>
    <row r="10518" hidden="1" x14ac:dyDescent="0.35"/>
    <row r="10519" hidden="1" x14ac:dyDescent="0.35"/>
    <row r="10520" hidden="1" x14ac:dyDescent="0.35"/>
    <row r="10521" hidden="1" x14ac:dyDescent="0.35"/>
    <row r="10522" hidden="1" x14ac:dyDescent="0.35"/>
    <row r="10523" hidden="1" x14ac:dyDescent="0.35"/>
    <row r="10524" hidden="1" x14ac:dyDescent="0.35"/>
    <row r="10525" hidden="1" x14ac:dyDescent="0.35"/>
    <row r="10526" hidden="1" x14ac:dyDescent="0.35"/>
    <row r="10527" hidden="1" x14ac:dyDescent="0.35"/>
    <row r="10528" hidden="1" x14ac:dyDescent="0.35"/>
    <row r="10529" hidden="1" x14ac:dyDescent="0.35"/>
    <row r="10530" hidden="1" x14ac:dyDescent="0.35"/>
    <row r="10531" hidden="1" x14ac:dyDescent="0.35"/>
    <row r="10532" hidden="1" x14ac:dyDescent="0.35"/>
    <row r="10533" hidden="1" x14ac:dyDescent="0.35"/>
    <row r="10534" hidden="1" x14ac:dyDescent="0.35"/>
    <row r="10535" hidden="1" x14ac:dyDescent="0.35"/>
    <row r="10536" hidden="1" x14ac:dyDescent="0.35"/>
    <row r="10537" hidden="1" x14ac:dyDescent="0.35"/>
    <row r="10538" hidden="1" x14ac:dyDescent="0.35"/>
    <row r="10539" hidden="1" x14ac:dyDescent="0.35"/>
    <row r="10540" hidden="1" x14ac:dyDescent="0.35"/>
    <row r="10541" hidden="1" x14ac:dyDescent="0.35"/>
    <row r="10542" hidden="1" x14ac:dyDescent="0.35"/>
    <row r="10543" hidden="1" x14ac:dyDescent="0.35"/>
    <row r="10544" hidden="1" x14ac:dyDescent="0.35"/>
    <row r="10545" hidden="1" x14ac:dyDescent="0.35"/>
    <row r="10546" hidden="1" x14ac:dyDescent="0.35"/>
    <row r="10547" hidden="1" x14ac:dyDescent="0.35"/>
    <row r="10548" hidden="1" x14ac:dyDescent="0.35"/>
    <row r="10549" hidden="1" x14ac:dyDescent="0.35"/>
    <row r="10550" hidden="1" x14ac:dyDescent="0.35"/>
    <row r="10551" hidden="1" x14ac:dyDescent="0.35"/>
    <row r="10552" hidden="1" x14ac:dyDescent="0.35"/>
    <row r="10553" hidden="1" x14ac:dyDescent="0.35"/>
    <row r="10554" hidden="1" x14ac:dyDescent="0.35"/>
    <row r="10555" hidden="1" x14ac:dyDescent="0.35"/>
    <row r="10556" hidden="1" x14ac:dyDescent="0.35"/>
    <row r="10557" hidden="1" x14ac:dyDescent="0.35"/>
    <row r="10558" hidden="1" x14ac:dyDescent="0.35"/>
    <row r="10559" hidden="1" x14ac:dyDescent="0.35"/>
    <row r="10560" hidden="1" x14ac:dyDescent="0.35"/>
    <row r="10561" hidden="1" x14ac:dyDescent="0.35"/>
    <row r="10562" hidden="1" x14ac:dyDescent="0.35"/>
    <row r="10563" hidden="1" x14ac:dyDescent="0.35"/>
    <row r="10564" hidden="1" x14ac:dyDescent="0.35"/>
    <row r="10565" hidden="1" x14ac:dyDescent="0.35"/>
    <row r="10566" hidden="1" x14ac:dyDescent="0.35"/>
    <row r="10567" hidden="1" x14ac:dyDescent="0.35"/>
    <row r="10568" hidden="1" x14ac:dyDescent="0.35"/>
    <row r="10569" hidden="1" x14ac:dyDescent="0.35"/>
    <row r="10570" hidden="1" x14ac:dyDescent="0.35"/>
    <row r="10571" hidden="1" x14ac:dyDescent="0.35"/>
    <row r="10572" hidden="1" x14ac:dyDescent="0.35"/>
    <row r="10573" hidden="1" x14ac:dyDescent="0.35"/>
    <row r="10574" hidden="1" x14ac:dyDescent="0.35"/>
    <row r="10575" hidden="1" x14ac:dyDescent="0.35"/>
    <row r="10576" hidden="1" x14ac:dyDescent="0.35"/>
    <row r="10577" hidden="1" x14ac:dyDescent="0.35"/>
    <row r="10578" hidden="1" x14ac:dyDescent="0.35"/>
    <row r="10579" hidden="1" x14ac:dyDescent="0.35"/>
    <row r="10580" hidden="1" x14ac:dyDescent="0.35"/>
    <row r="10581" hidden="1" x14ac:dyDescent="0.35"/>
    <row r="10582" hidden="1" x14ac:dyDescent="0.35"/>
    <row r="10583" hidden="1" x14ac:dyDescent="0.35"/>
    <row r="10584" hidden="1" x14ac:dyDescent="0.35"/>
    <row r="10585" hidden="1" x14ac:dyDescent="0.35"/>
    <row r="10586" hidden="1" x14ac:dyDescent="0.35"/>
    <row r="10587" hidden="1" x14ac:dyDescent="0.35"/>
    <row r="10588" hidden="1" x14ac:dyDescent="0.35"/>
    <row r="10589" hidden="1" x14ac:dyDescent="0.35"/>
    <row r="10590" hidden="1" x14ac:dyDescent="0.35"/>
    <row r="10591" hidden="1" x14ac:dyDescent="0.35"/>
    <row r="10592" hidden="1" x14ac:dyDescent="0.35"/>
    <row r="10593" hidden="1" x14ac:dyDescent="0.35"/>
    <row r="10594" hidden="1" x14ac:dyDescent="0.35"/>
    <row r="10595" hidden="1" x14ac:dyDescent="0.35"/>
    <row r="10596" hidden="1" x14ac:dyDescent="0.35"/>
    <row r="10597" hidden="1" x14ac:dyDescent="0.35"/>
    <row r="10598" hidden="1" x14ac:dyDescent="0.35"/>
    <row r="10599" hidden="1" x14ac:dyDescent="0.35"/>
    <row r="10600" hidden="1" x14ac:dyDescent="0.35"/>
    <row r="10601" hidden="1" x14ac:dyDescent="0.35"/>
    <row r="10602" hidden="1" x14ac:dyDescent="0.35"/>
    <row r="10603" hidden="1" x14ac:dyDescent="0.35"/>
    <row r="10604" hidden="1" x14ac:dyDescent="0.35"/>
    <row r="10605" hidden="1" x14ac:dyDescent="0.35"/>
    <row r="10606" hidden="1" x14ac:dyDescent="0.35"/>
    <row r="10607" hidden="1" x14ac:dyDescent="0.35"/>
    <row r="10608" hidden="1" x14ac:dyDescent="0.35"/>
    <row r="10609" hidden="1" x14ac:dyDescent="0.35"/>
    <row r="10610" hidden="1" x14ac:dyDescent="0.35"/>
    <row r="10611" hidden="1" x14ac:dyDescent="0.35"/>
    <row r="10612" hidden="1" x14ac:dyDescent="0.35"/>
    <row r="10613" hidden="1" x14ac:dyDescent="0.35"/>
    <row r="10614" hidden="1" x14ac:dyDescent="0.35"/>
    <row r="10615" hidden="1" x14ac:dyDescent="0.35"/>
    <row r="10616" hidden="1" x14ac:dyDescent="0.35"/>
    <row r="10617" hidden="1" x14ac:dyDescent="0.35"/>
    <row r="10618" hidden="1" x14ac:dyDescent="0.35"/>
    <row r="10619" hidden="1" x14ac:dyDescent="0.35"/>
    <row r="10620" hidden="1" x14ac:dyDescent="0.35"/>
    <row r="10621" hidden="1" x14ac:dyDescent="0.35"/>
    <row r="10622" hidden="1" x14ac:dyDescent="0.35"/>
    <row r="10623" hidden="1" x14ac:dyDescent="0.35"/>
    <row r="10624" hidden="1" x14ac:dyDescent="0.35"/>
    <row r="10625" hidden="1" x14ac:dyDescent="0.35"/>
    <row r="10626" hidden="1" x14ac:dyDescent="0.35"/>
    <row r="10627" hidden="1" x14ac:dyDescent="0.35"/>
    <row r="10628" hidden="1" x14ac:dyDescent="0.35"/>
    <row r="10629" hidden="1" x14ac:dyDescent="0.35"/>
    <row r="10630" hidden="1" x14ac:dyDescent="0.35"/>
    <row r="10631" hidden="1" x14ac:dyDescent="0.35"/>
    <row r="10632" hidden="1" x14ac:dyDescent="0.35"/>
    <row r="10633" hidden="1" x14ac:dyDescent="0.35"/>
    <row r="10634" hidden="1" x14ac:dyDescent="0.35"/>
    <row r="10635" hidden="1" x14ac:dyDescent="0.35"/>
    <row r="10636" hidden="1" x14ac:dyDescent="0.35"/>
    <row r="10637" hidden="1" x14ac:dyDescent="0.35"/>
    <row r="10638" hidden="1" x14ac:dyDescent="0.35"/>
    <row r="10639" hidden="1" x14ac:dyDescent="0.35"/>
    <row r="10640" hidden="1" x14ac:dyDescent="0.35"/>
    <row r="10641" hidden="1" x14ac:dyDescent="0.35"/>
    <row r="10642" hidden="1" x14ac:dyDescent="0.35"/>
    <row r="10643" hidden="1" x14ac:dyDescent="0.35"/>
    <row r="10644" hidden="1" x14ac:dyDescent="0.35"/>
    <row r="10645" hidden="1" x14ac:dyDescent="0.35"/>
    <row r="10646" hidden="1" x14ac:dyDescent="0.35"/>
    <row r="10647" hidden="1" x14ac:dyDescent="0.35"/>
    <row r="10648" hidden="1" x14ac:dyDescent="0.35"/>
    <row r="10649" hidden="1" x14ac:dyDescent="0.35"/>
    <row r="10650" hidden="1" x14ac:dyDescent="0.35"/>
    <row r="10651" hidden="1" x14ac:dyDescent="0.35"/>
    <row r="10652" hidden="1" x14ac:dyDescent="0.35"/>
    <row r="10653" hidden="1" x14ac:dyDescent="0.35"/>
    <row r="10654" hidden="1" x14ac:dyDescent="0.35"/>
    <row r="10655" hidden="1" x14ac:dyDescent="0.35"/>
    <row r="10656" hidden="1" x14ac:dyDescent="0.35"/>
    <row r="10657" hidden="1" x14ac:dyDescent="0.35"/>
    <row r="10658" hidden="1" x14ac:dyDescent="0.35"/>
    <row r="10659" hidden="1" x14ac:dyDescent="0.35"/>
    <row r="10660" hidden="1" x14ac:dyDescent="0.35"/>
    <row r="10661" hidden="1" x14ac:dyDescent="0.35"/>
    <row r="10662" hidden="1" x14ac:dyDescent="0.35"/>
    <row r="10663" hidden="1" x14ac:dyDescent="0.35"/>
    <row r="10664" hidden="1" x14ac:dyDescent="0.35"/>
    <row r="10665" hidden="1" x14ac:dyDescent="0.35"/>
    <row r="10666" hidden="1" x14ac:dyDescent="0.35"/>
    <row r="10667" hidden="1" x14ac:dyDescent="0.35"/>
    <row r="10668" hidden="1" x14ac:dyDescent="0.35"/>
    <row r="10669" hidden="1" x14ac:dyDescent="0.35"/>
    <row r="10670" hidden="1" x14ac:dyDescent="0.35"/>
    <row r="10671" hidden="1" x14ac:dyDescent="0.35"/>
    <row r="10672" hidden="1" x14ac:dyDescent="0.35"/>
    <row r="10673" hidden="1" x14ac:dyDescent="0.35"/>
    <row r="10674" hidden="1" x14ac:dyDescent="0.35"/>
    <row r="10675" hidden="1" x14ac:dyDescent="0.35"/>
    <row r="10676" hidden="1" x14ac:dyDescent="0.35"/>
    <row r="10677" hidden="1" x14ac:dyDescent="0.35"/>
    <row r="10678" hidden="1" x14ac:dyDescent="0.35"/>
    <row r="10679" hidden="1" x14ac:dyDescent="0.35"/>
    <row r="10680" hidden="1" x14ac:dyDescent="0.35"/>
    <row r="10681" hidden="1" x14ac:dyDescent="0.35"/>
    <row r="10682" hidden="1" x14ac:dyDescent="0.35"/>
    <row r="10683" hidden="1" x14ac:dyDescent="0.35"/>
    <row r="10684" hidden="1" x14ac:dyDescent="0.35"/>
    <row r="10685" hidden="1" x14ac:dyDescent="0.35"/>
    <row r="10686" hidden="1" x14ac:dyDescent="0.35"/>
    <row r="10687" hidden="1" x14ac:dyDescent="0.35"/>
    <row r="10688" hidden="1" x14ac:dyDescent="0.35"/>
    <row r="10689" hidden="1" x14ac:dyDescent="0.35"/>
    <row r="10690" hidden="1" x14ac:dyDescent="0.35"/>
    <row r="10691" hidden="1" x14ac:dyDescent="0.35"/>
    <row r="10692" hidden="1" x14ac:dyDescent="0.35"/>
    <row r="10693" hidden="1" x14ac:dyDescent="0.35"/>
    <row r="10694" hidden="1" x14ac:dyDescent="0.35"/>
    <row r="10695" hidden="1" x14ac:dyDescent="0.35"/>
    <row r="10696" hidden="1" x14ac:dyDescent="0.35"/>
    <row r="10697" hidden="1" x14ac:dyDescent="0.35"/>
    <row r="10698" hidden="1" x14ac:dyDescent="0.35"/>
    <row r="10699" hidden="1" x14ac:dyDescent="0.35"/>
    <row r="10700" hidden="1" x14ac:dyDescent="0.35"/>
    <row r="10701" hidden="1" x14ac:dyDescent="0.35"/>
    <row r="10702" hidden="1" x14ac:dyDescent="0.35"/>
    <row r="10703" hidden="1" x14ac:dyDescent="0.35"/>
    <row r="10704" hidden="1" x14ac:dyDescent="0.35"/>
    <row r="10705" hidden="1" x14ac:dyDescent="0.35"/>
    <row r="10706" hidden="1" x14ac:dyDescent="0.35"/>
    <row r="10707" hidden="1" x14ac:dyDescent="0.35"/>
    <row r="10708" hidden="1" x14ac:dyDescent="0.35"/>
    <row r="10709" hidden="1" x14ac:dyDescent="0.35"/>
    <row r="10710" hidden="1" x14ac:dyDescent="0.35"/>
    <row r="10711" hidden="1" x14ac:dyDescent="0.35"/>
    <row r="10712" hidden="1" x14ac:dyDescent="0.35"/>
    <row r="10713" hidden="1" x14ac:dyDescent="0.35"/>
    <row r="10714" hidden="1" x14ac:dyDescent="0.35"/>
    <row r="10715" hidden="1" x14ac:dyDescent="0.35"/>
    <row r="10716" hidden="1" x14ac:dyDescent="0.35"/>
    <row r="10717" hidden="1" x14ac:dyDescent="0.35"/>
    <row r="10718" hidden="1" x14ac:dyDescent="0.35"/>
    <row r="10719" hidden="1" x14ac:dyDescent="0.35"/>
    <row r="10720" hidden="1" x14ac:dyDescent="0.35"/>
    <row r="10721" hidden="1" x14ac:dyDescent="0.35"/>
    <row r="10722" hidden="1" x14ac:dyDescent="0.35"/>
    <row r="10723" hidden="1" x14ac:dyDescent="0.35"/>
    <row r="10724" hidden="1" x14ac:dyDescent="0.35"/>
    <row r="10725" hidden="1" x14ac:dyDescent="0.35"/>
    <row r="10726" hidden="1" x14ac:dyDescent="0.35"/>
    <row r="10727" hidden="1" x14ac:dyDescent="0.35"/>
    <row r="10728" hidden="1" x14ac:dyDescent="0.35"/>
    <row r="10729" hidden="1" x14ac:dyDescent="0.35"/>
    <row r="10730" hidden="1" x14ac:dyDescent="0.35"/>
    <row r="10731" hidden="1" x14ac:dyDescent="0.35"/>
    <row r="10732" hidden="1" x14ac:dyDescent="0.35"/>
    <row r="10733" hidden="1" x14ac:dyDescent="0.35"/>
    <row r="10734" hidden="1" x14ac:dyDescent="0.35"/>
    <row r="10735" hidden="1" x14ac:dyDescent="0.35"/>
    <row r="10736" hidden="1" x14ac:dyDescent="0.35"/>
    <row r="10737" hidden="1" x14ac:dyDescent="0.35"/>
    <row r="10738" hidden="1" x14ac:dyDescent="0.35"/>
    <row r="10739" hidden="1" x14ac:dyDescent="0.35"/>
    <row r="10740" hidden="1" x14ac:dyDescent="0.35"/>
    <row r="10741" hidden="1" x14ac:dyDescent="0.35"/>
    <row r="10742" hidden="1" x14ac:dyDescent="0.35"/>
    <row r="10743" hidden="1" x14ac:dyDescent="0.35"/>
    <row r="10744" hidden="1" x14ac:dyDescent="0.35"/>
    <row r="10745" hidden="1" x14ac:dyDescent="0.35"/>
    <row r="10746" hidden="1" x14ac:dyDescent="0.35"/>
    <row r="10747" hidden="1" x14ac:dyDescent="0.35"/>
    <row r="10748" hidden="1" x14ac:dyDescent="0.35"/>
    <row r="10749" hidden="1" x14ac:dyDescent="0.35"/>
    <row r="10750" hidden="1" x14ac:dyDescent="0.35"/>
    <row r="10751" hidden="1" x14ac:dyDescent="0.35"/>
    <row r="10752" hidden="1" x14ac:dyDescent="0.35"/>
    <row r="10753" hidden="1" x14ac:dyDescent="0.35"/>
    <row r="10754" hidden="1" x14ac:dyDescent="0.35"/>
    <row r="10755" hidden="1" x14ac:dyDescent="0.35"/>
    <row r="10756" hidden="1" x14ac:dyDescent="0.35"/>
    <row r="10757" hidden="1" x14ac:dyDescent="0.35"/>
    <row r="10758" hidden="1" x14ac:dyDescent="0.35"/>
    <row r="10759" hidden="1" x14ac:dyDescent="0.35"/>
    <row r="10760" hidden="1" x14ac:dyDescent="0.35"/>
    <row r="10761" hidden="1" x14ac:dyDescent="0.35"/>
    <row r="10762" hidden="1" x14ac:dyDescent="0.35"/>
    <row r="10763" hidden="1" x14ac:dyDescent="0.35"/>
    <row r="10764" hidden="1" x14ac:dyDescent="0.35"/>
    <row r="10765" hidden="1" x14ac:dyDescent="0.35"/>
    <row r="10766" hidden="1" x14ac:dyDescent="0.35"/>
    <row r="10767" hidden="1" x14ac:dyDescent="0.35"/>
    <row r="10768" hidden="1" x14ac:dyDescent="0.35"/>
    <row r="10769" hidden="1" x14ac:dyDescent="0.35"/>
    <row r="10770" hidden="1" x14ac:dyDescent="0.35"/>
    <row r="10771" hidden="1" x14ac:dyDescent="0.35"/>
    <row r="10772" hidden="1" x14ac:dyDescent="0.35"/>
    <row r="10773" hidden="1" x14ac:dyDescent="0.35"/>
    <row r="10774" hidden="1" x14ac:dyDescent="0.35"/>
    <row r="10775" hidden="1" x14ac:dyDescent="0.35"/>
    <row r="10776" hidden="1" x14ac:dyDescent="0.35"/>
    <row r="10777" hidden="1" x14ac:dyDescent="0.35"/>
    <row r="10778" hidden="1" x14ac:dyDescent="0.35"/>
    <row r="10779" hidden="1" x14ac:dyDescent="0.35"/>
    <row r="10780" hidden="1" x14ac:dyDescent="0.35"/>
    <row r="10781" hidden="1" x14ac:dyDescent="0.35"/>
    <row r="10782" hidden="1" x14ac:dyDescent="0.35"/>
    <row r="10783" hidden="1" x14ac:dyDescent="0.35"/>
    <row r="10784" hidden="1" x14ac:dyDescent="0.35"/>
    <row r="10785" hidden="1" x14ac:dyDescent="0.35"/>
    <row r="10786" hidden="1" x14ac:dyDescent="0.35"/>
    <row r="10787" hidden="1" x14ac:dyDescent="0.35"/>
    <row r="10788" hidden="1" x14ac:dyDescent="0.35"/>
    <row r="10789" hidden="1" x14ac:dyDescent="0.35"/>
    <row r="10790" hidden="1" x14ac:dyDescent="0.35"/>
    <row r="10791" hidden="1" x14ac:dyDescent="0.35"/>
    <row r="10792" hidden="1" x14ac:dyDescent="0.35"/>
    <row r="10793" hidden="1" x14ac:dyDescent="0.35"/>
    <row r="10794" hidden="1" x14ac:dyDescent="0.35"/>
    <row r="10795" hidden="1" x14ac:dyDescent="0.35"/>
    <row r="10796" hidden="1" x14ac:dyDescent="0.35"/>
    <row r="10797" hidden="1" x14ac:dyDescent="0.35"/>
    <row r="10798" hidden="1" x14ac:dyDescent="0.35"/>
    <row r="10799" hidden="1" x14ac:dyDescent="0.35"/>
    <row r="10800" hidden="1" x14ac:dyDescent="0.35"/>
    <row r="10801" hidden="1" x14ac:dyDescent="0.35"/>
    <row r="10802" hidden="1" x14ac:dyDescent="0.35"/>
    <row r="10803" hidden="1" x14ac:dyDescent="0.35"/>
    <row r="10804" hidden="1" x14ac:dyDescent="0.35"/>
    <row r="10805" hidden="1" x14ac:dyDescent="0.35"/>
    <row r="10806" hidden="1" x14ac:dyDescent="0.35"/>
    <row r="10807" hidden="1" x14ac:dyDescent="0.35"/>
    <row r="10808" hidden="1" x14ac:dyDescent="0.35"/>
    <row r="10809" hidden="1" x14ac:dyDescent="0.35"/>
    <row r="10810" hidden="1" x14ac:dyDescent="0.35"/>
    <row r="10811" hidden="1" x14ac:dyDescent="0.35"/>
    <row r="10812" hidden="1" x14ac:dyDescent="0.35"/>
    <row r="10813" hidden="1" x14ac:dyDescent="0.35"/>
    <row r="10814" hidden="1" x14ac:dyDescent="0.35"/>
    <row r="10815" hidden="1" x14ac:dyDescent="0.35"/>
    <row r="10816" hidden="1" x14ac:dyDescent="0.35"/>
    <row r="10817" hidden="1" x14ac:dyDescent="0.35"/>
    <row r="10818" hidden="1" x14ac:dyDescent="0.35"/>
    <row r="10819" hidden="1" x14ac:dyDescent="0.35"/>
    <row r="10820" hidden="1" x14ac:dyDescent="0.35"/>
    <row r="10821" hidden="1" x14ac:dyDescent="0.35"/>
    <row r="10822" hidden="1" x14ac:dyDescent="0.35"/>
    <row r="10823" hidden="1" x14ac:dyDescent="0.35"/>
    <row r="10824" hidden="1" x14ac:dyDescent="0.35"/>
    <row r="10825" hidden="1" x14ac:dyDescent="0.35"/>
    <row r="10826" hidden="1" x14ac:dyDescent="0.35"/>
    <row r="10827" hidden="1" x14ac:dyDescent="0.35"/>
    <row r="10828" hidden="1" x14ac:dyDescent="0.35"/>
    <row r="10829" hidden="1" x14ac:dyDescent="0.35"/>
    <row r="10830" hidden="1" x14ac:dyDescent="0.35"/>
    <row r="10831" hidden="1" x14ac:dyDescent="0.35"/>
    <row r="10832" hidden="1" x14ac:dyDescent="0.35"/>
    <row r="10833" hidden="1" x14ac:dyDescent="0.35"/>
    <row r="10834" hidden="1" x14ac:dyDescent="0.35"/>
    <row r="10835" hidden="1" x14ac:dyDescent="0.35"/>
    <row r="10836" hidden="1" x14ac:dyDescent="0.35"/>
    <row r="10837" hidden="1" x14ac:dyDescent="0.35"/>
    <row r="10838" hidden="1" x14ac:dyDescent="0.35"/>
    <row r="10839" hidden="1" x14ac:dyDescent="0.35"/>
    <row r="10840" hidden="1" x14ac:dyDescent="0.35"/>
    <row r="10841" hidden="1" x14ac:dyDescent="0.35"/>
    <row r="10842" hidden="1" x14ac:dyDescent="0.35"/>
    <row r="10843" hidden="1" x14ac:dyDescent="0.35"/>
    <row r="10844" hidden="1" x14ac:dyDescent="0.35"/>
    <row r="10845" hidden="1" x14ac:dyDescent="0.35"/>
    <row r="10846" hidden="1" x14ac:dyDescent="0.35"/>
    <row r="10847" hidden="1" x14ac:dyDescent="0.35"/>
    <row r="10848" hidden="1" x14ac:dyDescent="0.35"/>
    <row r="10849" hidden="1" x14ac:dyDescent="0.35"/>
    <row r="10850" hidden="1" x14ac:dyDescent="0.35"/>
    <row r="10851" hidden="1" x14ac:dyDescent="0.35"/>
    <row r="10852" hidden="1" x14ac:dyDescent="0.35"/>
    <row r="10853" hidden="1" x14ac:dyDescent="0.35"/>
    <row r="10854" hidden="1" x14ac:dyDescent="0.35"/>
    <row r="10855" hidden="1" x14ac:dyDescent="0.35"/>
    <row r="10856" hidden="1" x14ac:dyDescent="0.35"/>
    <row r="10857" hidden="1" x14ac:dyDescent="0.35"/>
    <row r="10858" hidden="1" x14ac:dyDescent="0.35"/>
    <row r="10859" hidden="1" x14ac:dyDescent="0.35"/>
    <row r="10860" hidden="1" x14ac:dyDescent="0.35"/>
    <row r="10861" hidden="1" x14ac:dyDescent="0.35"/>
    <row r="10862" hidden="1" x14ac:dyDescent="0.35"/>
    <row r="10863" hidden="1" x14ac:dyDescent="0.35"/>
    <row r="10864" hidden="1" x14ac:dyDescent="0.35"/>
    <row r="10865" hidden="1" x14ac:dyDescent="0.35"/>
    <row r="10866" hidden="1" x14ac:dyDescent="0.35"/>
    <row r="10867" hidden="1" x14ac:dyDescent="0.35"/>
    <row r="10868" hidden="1" x14ac:dyDescent="0.35"/>
    <row r="10869" hidden="1" x14ac:dyDescent="0.35"/>
    <row r="10870" hidden="1" x14ac:dyDescent="0.35"/>
    <row r="10871" hidden="1" x14ac:dyDescent="0.35"/>
    <row r="10872" hidden="1" x14ac:dyDescent="0.35"/>
    <row r="10873" hidden="1" x14ac:dyDescent="0.35"/>
    <row r="10874" hidden="1" x14ac:dyDescent="0.35"/>
    <row r="10875" hidden="1" x14ac:dyDescent="0.35"/>
    <row r="10876" hidden="1" x14ac:dyDescent="0.35"/>
    <row r="10877" hidden="1" x14ac:dyDescent="0.35"/>
    <row r="10878" hidden="1" x14ac:dyDescent="0.35"/>
    <row r="10879" hidden="1" x14ac:dyDescent="0.35"/>
    <row r="10880" hidden="1" x14ac:dyDescent="0.35"/>
    <row r="10881" hidden="1" x14ac:dyDescent="0.35"/>
    <row r="10882" hidden="1" x14ac:dyDescent="0.35"/>
    <row r="10883" hidden="1" x14ac:dyDescent="0.35"/>
    <row r="10884" hidden="1" x14ac:dyDescent="0.35"/>
    <row r="10885" hidden="1" x14ac:dyDescent="0.35"/>
    <row r="10886" hidden="1" x14ac:dyDescent="0.35"/>
    <row r="10887" hidden="1" x14ac:dyDescent="0.35"/>
    <row r="10888" hidden="1" x14ac:dyDescent="0.35"/>
    <row r="10889" hidden="1" x14ac:dyDescent="0.35"/>
    <row r="10890" hidden="1" x14ac:dyDescent="0.35"/>
    <row r="10891" hidden="1" x14ac:dyDescent="0.35"/>
    <row r="10892" hidden="1" x14ac:dyDescent="0.35"/>
    <row r="10893" hidden="1" x14ac:dyDescent="0.35"/>
    <row r="10894" hidden="1" x14ac:dyDescent="0.35"/>
    <row r="10895" hidden="1" x14ac:dyDescent="0.35"/>
    <row r="10896" hidden="1" x14ac:dyDescent="0.35"/>
    <row r="10897" hidden="1" x14ac:dyDescent="0.35"/>
    <row r="10898" hidden="1" x14ac:dyDescent="0.35"/>
    <row r="10899" hidden="1" x14ac:dyDescent="0.35"/>
    <row r="10900" hidden="1" x14ac:dyDescent="0.35"/>
    <row r="10901" hidden="1" x14ac:dyDescent="0.35"/>
    <row r="10902" hidden="1" x14ac:dyDescent="0.35"/>
    <row r="10903" hidden="1" x14ac:dyDescent="0.35"/>
    <row r="10904" hidden="1" x14ac:dyDescent="0.35"/>
    <row r="10905" hidden="1" x14ac:dyDescent="0.35"/>
    <row r="10906" hidden="1" x14ac:dyDescent="0.35"/>
    <row r="10907" hidden="1" x14ac:dyDescent="0.35"/>
    <row r="10908" hidden="1" x14ac:dyDescent="0.35"/>
    <row r="10909" hidden="1" x14ac:dyDescent="0.35"/>
    <row r="10910" hidden="1" x14ac:dyDescent="0.35"/>
    <row r="10911" hidden="1" x14ac:dyDescent="0.35"/>
    <row r="10912" hidden="1" x14ac:dyDescent="0.35"/>
    <row r="10913" hidden="1" x14ac:dyDescent="0.35"/>
    <row r="10914" hidden="1" x14ac:dyDescent="0.35"/>
    <row r="10915" hidden="1" x14ac:dyDescent="0.35"/>
    <row r="10916" hidden="1" x14ac:dyDescent="0.35"/>
    <row r="10917" hidden="1" x14ac:dyDescent="0.35"/>
    <row r="10918" hidden="1" x14ac:dyDescent="0.35"/>
    <row r="10919" hidden="1" x14ac:dyDescent="0.35"/>
    <row r="10920" hidden="1" x14ac:dyDescent="0.35"/>
    <row r="10921" hidden="1" x14ac:dyDescent="0.35"/>
    <row r="10922" hidden="1" x14ac:dyDescent="0.35"/>
    <row r="10923" hidden="1" x14ac:dyDescent="0.35"/>
    <row r="10924" hidden="1" x14ac:dyDescent="0.35"/>
    <row r="10925" hidden="1" x14ac:dyDescent="0.35"/>
    <row r="10926" hidden="1" x14ac:dyDescent="0.35"/>
    <row r="10927" hidden="1" x14ac:dyDescent="0.35"/>
    <row r="10928" hidden="1" x14ac:dyDescent="0.35"/>
    <row r="10929" hidden="1" x14ac:dyDescent="0.35"/>
    <row r="10930" hidden="1" x14ac:dyDescent="0.35"/>
    <row r="10931" hidden="1" x14ac:dyDescent="0.35"/>
    <row r="10932" hidden="1" x14ac:dyDescent="0.35"/>
    <row r="10933" hidden="1" x14ac:dyDescent="0.35"/>
    <row r="10934" hidden="1" x14ac:dyDescent="0.35"/>
    <row r="10935" hidden="1" x14ac:dyDescent="0.35"/>
    <row r="10936" hidden="1" x14ac:dyDescent="0.35"/>
    <row r="10937" hidden="1" x14ac:dyDescent="0.35"/>
    <row r="10938" hidden="1" x14ac:dyDescent="0.35"/>
    <row r="10939" hidden="1" x14ac:dyDescent="0.35"/>
    <row r="10940" hidden="1" x14ac:dyDescent="0.35"/>
    <row r="10941" hidden="1" x14ac:dyDescent="0.35"/>
    <row r="10942" hidden="1" x14ac:dyDescent="0.35"/>
    <row r="10943" hidden="1" x14ac:dyDescent="0.35"/>
    <row r="10944" hidden="1" x14ac:dyDescent="0.35"/>
    <row r="10945" hidden="1" x14ac:dyDescent="0.35"/>
    <row r="10946" hidden="1" x14ac:dyDescent="0.35"/>
    <row r="10947" hidden="1" x14ac:dyDescent="0.35"/>
    <row r="10948" hidden="1" x14ac:dyDescent="0.35"/>
    <row r="10949" hidden="1" x14ac:dyDescent="0.35"/>
    <row r="10950" hidden="1" x14ac:dyDescent="0.35"/>
    <row r="10951" hidden="1" x14ac:dyDescent="0.35"/>
    <row r="10952" hidden="1" x14ac:dyDescent="0.35"/>
    <row r="10953" hidden="1" x14ac:dyDescent="0.35"/>
    <row r="10954" hidden="1" x14ac:dyDescent="0.35"/>
    <row r="10955" hidden="1" x14ac:dyDescent="0.35"/>
    <row r="10956" hidden="1" x14ac:dyDescent="0.35"/>
    <row r="10957" hidden="1" x14ac:dyDescent="0.35"/>
    <row r="10958" hidden="1" x14ac:dyDescent="0.35"/>
    <row r="10959" hidden="1" x14ac:dyDescent="0.35"/>
    <row r="10960" hidden="1" x14ac:dyDescent="0.35"/>
    <row r="10961" hidden="1" x14ac:dyDescent="0.35"/>
    <row r="10962" hidden="1" x14ac:dyDescent="0.35"/>
    <row r="10963" hidden="1" x14ac:dyDescent="0.35"/>
    <row r="10964" hidden="1" x14ac:dyDescent="0.35"/>
    <row r="10965" hidden="1" x14ac:dyDescent="0.35"/>
    <row r="10966" hidden="1" x14ac:dyDescent="0.35"/>
    <row r="10967" hidden="1" x14ac:dyDescent="0.35"/>
    <row r="10968" hidden="1" x14ac:dyDescent="0.35"/>
    <row r="10969" hidden="1" x14ac:dyDescent="0.35"/>
    <row r="10970" hidden="1" x14ac:dyDescent="0.35"/>
    <row r="10971" hidden="1" x14ac:dyDescent="0.35"/>
    <row r="10972" hidden="1" x14ac:dyDescent="0.35"/>
    <row r="10973" hidden="1" x14ac:dyDescent="0.35"/>
    <row r="10974" hidden="1" x14ac:dyDescent="0.35"/>
    <row r="10975" hidden="1" x14ac:dyDescent="0.35"/>
    <row r="10976" hidden="1" x14ac:dyDescent="0.35"/>
    <row r="10977" hidden="1" x14ac:dyDescent="0.35"/>
    <row r="10978" hidden="1" x14ac:dyDescent="0.35"/>
    <row r="10979" hidden="1" x14ac:dyDescent="0.35"/>
    <row r="10980" hidden="1" x14ac:dyDescent="0.35"/>
    <row r="10981" hidden="1" x14ac:dyDescent="0.35"/>
    <row r="10982" hidden="1" x14ac:dyDescent="0.35"/>
    <row r="10983" hidden="1" x14ac:dyDescent="0.35"/>
    <row r="10984" hidden="1" x14ac:dyDescent="0.35"/>
    <row r="10985" hidden="1" x14ac:dyDescent="0.35"/>
    <row r="10986" hidden="1" x14ac:dyDescent="0.35"/>
    <row r="10987" hidden="1" x14ac:dyDescent="0.35"/>
    <row r="10988" hidden="1" x14ac:dyDescent="0.35"/>
    <row r="10989" hidden="1" x14ac:dyDescent="0.35"/>
    <row r="10990" hidden="1" x14ac:dyDescent="0.35"/>
    <row r="10991" hidden="1" x14ac:dyDescent="0.35"/>
    <row r="10992" hidden="1" x14ac:dyDescent="0.35"/>
    <row r="10993" hidden="1" x14ac:dyDescent="0.35"/>
    <row r="10994" hidden="1" x14ac:dyDescent="0.35"/>
    <row r="10995" hidden="1" x14ac:dyDescent="0.35"/>
    <row r="10996" hidden="1" x14ac:dyDescent="0.35"/>
    <row r="10997" hidden="1" x14ac:dyDescent="0.35"/>
    <row r="10998" hidden="1" x14ac:dyDescent="0.35"/>
    <row r="10999" hidden="1" x14ac:dyDescent="0.35"/>
    <row r="11000" hidden="1" x14ac:dyDescent="0.35"/>
    <row r="11001" hidden="1" x14ac:dyDescent="0.35"/>
    <row r="11002" hidden="1" x14ac:dyDescent="0.35"/>
    <row r="11003" hidden="1" x14ac:dyDescent="0.35"/>
    <row r="11004" hidden="1" x14ac:dyDescent="0.35"/>
    <row r="11005" hidden="1" x14ac:dyDescent="0.35"/>
    <row r="11006" hidden="1" x14ac:dyDescent="0.35"/>
    <row r="11007" hidden="1" x14ac:dyDescent="0.35"/>
    <row r="11008" hidden="1" x14ac:dyDescent="0.35"/>
    <row r="11009" hidden="1" x14ac:dyDescent="0.35"/>
    <row r="11010" hidden="1" x14ac:dyDescent="0.35"/>
    <row r="11011" hidden="1" x14ac:dyDescent="0.35"/>
    <row r="11012" hidden="1" x14ac:dyDescent="0.35"/>
    <row r="11013" hidden="1" x14ac:dyDescent="0.35"/>
    <row r="11014" hidden="1" x14ac:dyDescent="0.35"/>
    <row r="11015" hidden="1" x14ac:dyDescent="0.35"/>
    <row r="11016" hidden="1" x14ac:dyDescent="0.35"/>
    <row r="11017" hidden="1" x14ac:dyDescent="0.35"/>
    <row r="11018" hidden="1" x14ac:dyDescent="0.35"/>
    <row r="11019" hidden="1" x14ac:dyDescent="0.35"/>
    <row r="11020" hidden="1" x14ac:dyDescent="0.35"/>
    <row r="11021" hidden="1" x14ac:dyDescent="0.35"/>
    <row r="11022" hidden="1" x14ac:dyDescent="0.35"/>
    <row r="11023" hidden="1" x14ac:dyDescent="0.35"/>
    <row r="11024" hidden="1" x14ac:dyDescent="0.35"/>
    <row r="11025" hidden="1" x14ac:dyDescent="0.35"/>
    <row r="11026" hidden="1" x14ac:dyDescent="0.35"/>
    <row r="11027" hidden="1" x14ac:dyDescent="0.35"/>
    <row r="11028" hidden="1" x14ac:dyDescent="0.35"/>
    <row r="11029" hidden="1" x14ac:dyDescent="0.35"/>
    <row r="11030" hidden="1" x14ac:dyDescent="0.35"/>
    <row r="11031" hidden="1" x14ac:dyDescent="0.35"/>
    <row r="11032" hidden="1" x14ac:dyDescent="0.35"/>
    <row r="11033" hidden="1" x14ac:dyDescent="0.35"/>
    <row r="11034" hidden="1" x14ac:dyDescent="0.35"/>
    <row r="11035" hidden="1" x14ac:dyDescent="0.35"/>
    <row r="11036" hidden="1" x14ac:dyDescent="0.35"/>
    <row r="11037" hidden="1" x14ac:dyDescent="0.35"/>
    <row r="11038" hidden="1" x14ac:dyDescent="0.35"/>
    <row r="11039" hidden="1" x14ac:dyDescent="0.35"/>
    <row r="11040" hidden="1" x14ac:dyDescent="0.35"/>
    <row r="11041" hidden="1" x14ac:dyDescent="0.35"/>
    <row r="11042" hidden="1" x14ac:dyDescent="0.35"/>
    <row r="11043" hidden="1" x14ac:dyDescent="0.35"/>
    <row r="11044" hidden="1" x14ac:dyDescent="0.35"/>
    <row r="11045" hidden="1" x14ac:dyDescent="0.35"/>
    <row r="11046" hidden="1" x14ac:dyDescent="0.35"/>
    <row r="11047" hidden="1" x14ac:dyDescent="0.35"/>
    <row r="11048" hidden="1" x14ac:dyDescent="0.35"/>
    <row r="11049" hidden="1" x14ac:dyDescent="0.35"/>
    <row r="11050" hidden="1" x14ac:dyDescent="0.35"/>
    <row r="11051" hidden="1" x14ac:dyDescent="0.35"/>
    <row r="11052" hidden="1" x14ac:dyDescent="0.35"/>
    <row r="11053" hidden="1" x14ac:dyDescent="0.35"/>
    <row r="11054" hidden="1" x14ac:dyDescent="0.35"/>
    <row r="11055" hidden="1" x14ac:dyDescent="0.35"/>
    <row r="11056" hidden="1" x14ac:dyDescent="0.35"/>
    <row r="11057" hidden="1" x14ac:dyDescent="0.35"/>
    <row r="11058" hidden="1" x14ac:dyDescent="0.35"/>
    <row r="11059" hidden="1" x14ac:dyDescent="0.35"/>
    <row r="11060" hidden="1" x14ac:dyDescent="0.35"/>
    <row r="11061" hidden="1" x14ac:dyDescent="0.35"/>
    <row r="11062" hidden="1" x14ac:dyDescent="0.35"/>
    <row r="11063" hidden="1" x14ac:dyDescent="0.35"/>
    <row r="11064" hidden="1" x14ac:dyDescent="0.35"/>
    <row r="11065" hidden="1" x14ac:dyDescent="0.35"/>
    <row r="11066" hidden="1" x14ac:dyDescent="0.35"/>
    <row r="11067" hidden="1" x14ac:dyDescent="0.35"/>
    <row r="11068" hidden="1" x14ac:dyDescent="0.35"/>
    <row r="11069" hidden="1" x14ac:dyDescent="0.35"/>
    <row r="11070" hidden="1" x14ac:dyDescent="0.35"/>
    <row r="11071" hidden="1" x14ac:dyDescent="0.35"/>
    <row r="11072" hidden="1" x14ac:dyDescent="0.35"/>
    <row r="11073" hidden="1" x14ac:dyDescent="0.35"/>
    <row r="11074" hidden="1" x14ac:dyDescent="0.35"/>
    <row r="11075" hidden="1" x14ac:dyDescent="0.35"/>
    <row r="11076" hidden="1" x14ac:dyDescent="0.35"/>
    <row r="11077" hidden="1" x14ac:dyDescent="0.35"/>
    <row r="11078" hidden="1" x14ac:dyDescent="0.35"/>
    <row r="11079" hidden="1" x14ac:dyDescent="0.35"/>
    <row r="11080" hidden="1" x14ac:dyDescent="0.35"/>
    <row r="11081" hidden="1" x14ac:dyDescent="0.35"/>
    <row r="11082" hidden="1" x14ac:dyDescent="0.35"/>
    <row r="11083" hidden="1" x14ac:dyDescent="0.35"/>
    <row r="11084" hidden="1" x14ac:dyDescent="0.35"/>
    <row r="11085" hidden="1" x14ac:dyDescent="0.35"/>
    <row r="11086" hidden="1" x14ac:dyDescent="0.35"/>
    <row r="11087" hidden="1" x14ac:dyDescent="0.35"/>
    <row r="11088" hidden="1" x14ac:dyDescent="0.35"/>
    <row r="11089" hidden="1" x14ac:dyDescent="0.35"/>
    <row r="11090" hidden="1" x14ac:dyDescent="0.35"/>
    <row r="11091" hidden="1" x14ac:dyDescent="0.35"/>
    <row r="11092" hidden="1" x14ac:dyDescent="0.35"/>
    <row r="11093" hidden="1" x14ac:dyDescent="0.35"/>
    <row r="11094" hidden="1" x14ac:dyDescent="0.35"/>
    <row r="11095" hidden="1" x14ac:dyDescent="0.35"/>
    <row r="11096" hidden="1" x14ac:dyDescent="0.35"/>
    <row r="11097" hidden="1" x14ac:dyDescent="0.35"/>
    <row r="11098" hidden="1" x14ac:dyDescent="0.35"/>
    <row r="11099" hidden="1" x14ac:dyDescent="0.35"/>
    <row r="11100" hidden="1" x14ac:dyDescent="0.35"/>
    <row r="11101" hidden="1" x14ac:dyDescent="0.35"/>
    <row r="11102" hidden="1" x14ac:dyDescent="0.35"/>
    <row r="11103" hidden="1" x14ac:dyDescent="0.35"/>
    <row r="11104" hidden="1" x14ac:dyDescent="0.35"/>
    <row r="11105" hidden="1" x14ac:dyDescent="0.35"/>
    <row r="11106" hidden="1" x14ac:dyDescent="0.35"/>
    <row r="11107" hidden="1" x14ac:dyDescent="0.35"/>
    <row r="11108" hidden="1" x14ac:dyDescent="0.35"/>
    <row r="11109" hidden="1" x14ac:dyDescent="0.35"/>
    <row r="11110" hidden="1" x14ac:dyDescent="0.35"/>
    <row r="11111" hidden="1" x14ac:dyDescent="0.35"/>
    <row r="11112" hidden="1" x14ac:dyDescent="0.35"/>
    <row r="11113" hidden="1" x14ac:dyDescent="0.35"/>
    <row r="11114" hidden="1" x14ac:dyDescent="0.35"/>
    <row r="11115" hidden="1" x14ac:dyDescent="0.35"/>
    <row r="11116" hidden="1" x14ac:dyDescent="0.35"/>
    <row r="11117" hidden="1" x14ac:dyDescent="0.35"/>
    <row r="11118" hidden="1" x14ac:dyDescent="0.35"/>
    <row r="11119" hidden="1" x14ac:dyDescent="0.35"/>
    <row r="11120" hidden="1" x14ac:dyDescent="0.35"/>
    <row r="11121" hidden="1" x14ac:dyDescent="0.35"/>
    <row r="11122" hidden="1" x14ac:dyDescent="0.35"/>
    <row r="11123" hidden="1" x14ac:dyDescent="0.35"/>
    <row r="11124" hidden="1" x14ac:dyDescent="0.35"/>
    <row r="11125" hidden="1" x14ac:dyDescent="0.35"/>
    <row r="11126" hidden="1" x14ac:dyDescent="0.35"/>
    <row r="11127" hidden="1" x14ac:dyDescent="0.35"/>
    <row r="11128" hidden="1" x14ac:dyDescent="0.35"/>
    <row r="11129" hidden="1" x14ac:dyDescent="0.35"/>
    <row r="11130" hidden="1" x14ac:dyDescent="0.35"/>
    <row r="11131" hidden="1" x14ac:dyDescent="0.35"/>
    <row r="11132" hidden="1" x14ac:dyDescent="0.35"/>
    <row r="11133" hidden="1" x14ac:dyDescent="0.35"/>
    <row r="11134" hidden="1" x14ac:dyDescent="0.35"/>
    <row r="11135" hidden="1" x14ac:dyDescent="0.35"/>
    <row r="11136" hidden="1" x14ac:dyDescent="0.35"/>
    <row r="11137" hidden="1" x14ac:dyDescent="0.35"/>
    <row r="11138" hidden="1" x14ac:dyDescent="0.35"/>
    <row r="11139" hidden="1" x14ac:dyDescent="0.35"/>
    <row r="11140" hidden="1" x14ac:dyDescent="0.35"/>
    <row r="11141" hidden="1" x14ac:dyDescent="0.35"/>
    <row r="11142" hidden="1" x14ac:dyDescent="0.35"/>
    <row r="11143" hidden="1" x14ac:dyDescent="0.35"/>
    <row r="11144" hidden="1" x14ac:dyDescent="0.35"/>
    <row r="11145" hidden="1" x14ac:dyDescent="0.35"/>
    <row r="11146" hidden="1" x14ac:dyDescent="0.35"/>
    <row r="11147" hidden="1" x14ac:dyDescent="0.35"/>
    <row r="11148" hidden="1" x14ac:dyDescent="0.35"/>
    <row r="11149" hidden="1" x14ac:dyDescent="0.35"/>
    <row r="11150" hidden="1" x14ac:dyDescent="0.35"/>
    <row r="11151" hidden="1" x14ac:dyDescent="0.35"/>
    <row r="11152" hidden="1" x14ac:dyDescent="0.35"/>
    <row r="11153" hidden="1" x14ac:dyDescent="0.35"/>
    <row r="11154" hidden="1" x14ac:dyDescent="0.35"/>
    <row r="11155" hidden="1" x14ac:dyDescent="0.35"/>
    <row r="11156" hidden="1" x14ac:dyDescent="0.35"/>
    <row r="11157" hidden="1" x14ac:dyDescent="0.35"/>
    <row r="11158" hidden="1" x14ac:dyDescent="0.35"/>
    <row r="11159" hidden="1" x14ac:dyDescent="0.35"/>
    <row r="11160" hidden="1" x14ac:dyDescent="0.35"/>
    <row r="11161" hidden="1" x14ac:dyDescent="0.35"/>
    <row r="11162" hidden="1" x14ac:dyDescent="0.35"/>
    <row r="11163" hidden="1" x14ac:dyDescent="0.35"/>
    <row r="11164" hidden="1" x14ac:dyDescent="0.35"/>
    <row r="11165" hidden="1" x14ac:dyDescent="0.35"/>
    <row r="11166" hidden="1" x14ac:dyDescent="0.35"/>
    <row r="11167" hidden="1" x14ac:dyDescent="0.35"/>
    <row r="11168" hidden="1" x14ac:dyDescent="0.35"/>
    <row r="11169" hidden="1" x14ac:dyDescent="0.35"/>
    <row r="11170" hidden="1" x14ac:dyDescent="0.35"/>
    <row r="11171" hidden="1" x14ac:dyDescent="0.35"/>
    <row r="11172" hidden="1" x14ac:dyDescent="0.35"/>
    <row r="11173" hidden="1" x14ac:dyDescent="0.35"/>
    <row r="11174" hidden="1" x14ac:dyDescent="0.35"/>
    <row r="11175" hidden="1" x14ac:dyDescent="0.35"/>
    <row r="11176" hidden="1" x14ac:dyDescent="0.35"/>
    <row r="11177" hidden="1" x14ac:dyDescent="0.35"/>
    <row r="11178" hidden="1" x14ac:dyDescent="0.35"/>
    <row r="11179" hidden="1" x14ac:dyDescent="0.35"/>
    <row r="11180" hidden="1" x14ac:dyDescent="0.35"/>
    <row r="11181" hidden="1" x14ac:dyDescent="0.35"/>
    <row r="11182" hidden="1" x14ac:dyDescent="0.35"/>
    <row r="11183" hidden="1" x14ac:dyDescent="0.35"/>
    <row r="11184" hidden="1" x14ac:dyDescent="0.35"/>
    <row r="11185" hidden="1" x14ac:dyDescent="0.35"/>
    <row r="11186" hidden="1" x14ac:dyDescent="0.35"/>
    <row r="11187" hidden="1" x14ac:dyDescent="0.35"/>
    <row r="11188" hidden="1" x14ac:dyDescent="0.35"/>
    <row r="11189" hidden="1" x14ac:dyDescent="0.35"/>
    <row r="11190" hidden="1" x14ac:dyDescent="0.35"/>
    <row r="11191" hidden="1" x14ac:dyDescent="0.35"/>
    <row r="11192" hidden="1" x14ac:dyDescent="0.35"/>
    <row r="11193" hidden="1" x14ac:dyDescent="0.35"/>
    <row r="11194" hidden="1" x14ac:dyDescent="0.35"/>
    <row r="11195" hidden="1" x14ac:dyDescent="0.35"/>
    <row r="11196" hidden="1" x14ac:dyDescent="0.35"/>
    <row r="11197" hidden="1" x14ac:dyDescent="0.35"/>
    <row r="11198" hidden="1" x14ac:dyDescent="0.35"/>
    <row r="11199" hidden="1" x14ac:dyDescent="0.35"/>
    <row r="11200" hidden="1" x14ac:dyDescent="0.35"/>
    <row r="11201" hidden="1" x14ac:dyDescent="0.35"/>
    <row r="11202" hidden="1" x14ac:dyDescent="0.35"/>
    <row r="11203" hidden="1" x14ac:dyDescent="0.35"/>
    <row r="11204" hidden="1" x14ac:dyDescent="0.35"/>
    <row r="11205" hidden="1" x14ac:dyDescent="0.35"/>
    <row r="11206" hidden="1" x14ac:dyDescent="0.35"/>
    <row r="11207" hidden="1" x14ac:dyDescent="0.35"/>
    <row r="11208" hidden="1" x14ac:dyDescent="0.35"/>
    <row r="11209" hidden="1" x14ac:dyDescent="0.35"/>
    <row r="11210" hidden="1" x14ac:dyDescent="0.35"/>
    <row r="11211" hidden="1" x14ac:dyDescent="0.35"/>
    <row r="11212" hidden="1" x14ac:dyDescent="0.35"/>
    <row r="11213" hidden="1" x14ac:dyDescent="0.35"/>
    <row r="11214" hidden="1" x14ac:dyDescent="0.35"/>
    <row r="11215" hidden="1" x14ac:dyDescent="0.35"/>
    <row r="11216" hidden="1" x14ac:dyDescent="0.35"/>
    <row r="11217" hidden="1" x14ac:dyDescent="0.35"/>
    <row r="11218" hidden="1" x14ac:dyDescent="0.35"/>
    <row r="11219" hidden="1" x14ac:dyDescent="0.35"/>
    <row r="11220" hidden="1" x14ac:dyDescent="0.35"/>
    <row r="11221" hidden="1" x14ac:dyDescent="0.35"/>
    <row r="11222" hidden="1" x14ac:dyDescent="0.35"/>
    <row r="11223" hidden="1" x14ac:dyDescent="0.35"/>
    <row r="11224" hidden="1" x14ac:dyDescent="0.35"/>
    <row r="11225" hidden="1" x14ac:dyDescent="0.35"/>
    <row r="11226" hidden="1" x14ac:dyDescent="0.35"/>
    <row r="11227" hidden="1" x14ac:dyDescent="0.35"/>
    <row r="11228" hidden="1" x14ac:dyDescent="0.35"/>
    <row r="11229" hidden="1" x14ac:dyDescent="0.35"/>
    <row r="11230" hidden="1" x14ac:dyDescent="0.35"/>
    <row r="11231" hidden="1" x14ac:dyDescent="0.35"/>
    <row r="11232" hidden="1" x14ac:dyDescent="0.35"/>
    <row r="11233" hidden="1" x14ac:dyDescent="0.35"/>
    <row r="11234" hidden="1" x14ac:dyDescent="0.35"/>
    <row r="11235" hidden="1" x14ac:dyDescent="0.35"/>
    <row r="11236" hidden="1" x14ac:dyDescent="0.35"/>
    <row r="11237" hidden="1" x14ac:dyDescent="0.35"/>
    <row r="11238" hidden="1" x14ac:dyDescent="0.35"/>
    <row r="11239" hidden="1" x14ac:dyDescent="0.35"/>
    <row r="11240" hidden="1" x14ac:dyDescent="0.35"/>
    <row r="11241" hidden="1" x14ac:dyDescent="0.35"/>
    <row r="11242" hidden="1" x14ac:dyDescent="0.35"/>
    <row r="11243" hidden="1" x14ac:dyDescent="0.35"/>
    <row r="11244" hidden="1" x14ac:dyDescent="0.35"/>
    <row r="11245" hidden="1" x14ac:dyDescent="0.35"/>
    <row r="11246" hidden="1" x14ac:dyDescent="0.35"/>
    <row r="11247" hidden="1" x14ac:dyDescent="0.35"/>
    <row r="11248" hidden="1" x14ac:dyDescent="0.35"/>
    <row r="11249" hidden="1" x14ac:dyDescent="0.35"/>
    <row r="11250" hidden="1" x14ac:dyDescent="0.35"/>
    <row r="11251" hidden="1" x14ac:dyDescent="0.35"/>
    <row r="11252" hidden="1" x14ac:dyDescent="0.35"/>
    <row r="11253" hidden="1" x14ac:dyDescent="0.35"/>
    <row r="11254" hidden="1" x14ac:dyDescent="0.35"/>
    <row r="11255" hidden="1" x14ac:dyDescent="0.35"/>
    <row r="11256" hidden="1" x14ac:dyDescent="0.35"/>
    <row r="11257" hidden="1" x14ac:dyDescent="0.35"/>
    <row r="11258" hidden="1" x14ac:dyDescent="0.35"/>
    <row r="11259" hidden="1" x14ac:dyDescent="0.35"/>
    <row r="11260" hidden="1" x14ac:dyDescent="0.35"/>
    <row r="11261" hidden="1" x14ac:dyDescent="0.35"/>
    <row r="11262" hidden="1" x14ac:dyDescent="0.35"/>
    <row r="11263" hidden="1" x14ac:dyDescent="0.35"/>
    <row r="11264" hidden="1" x14ac:dyDescent="0.35"/>
    <row r="11265" hidden="1" x14ac:dyDescent="0.35"/>
    <row r="11266" hidden="1" x14ac:dyDescent="0.35"/>
    <row r="11267" hidden="1" x14ac:dyDescent="0.35"/>
    <row r="11268" hidden="1" x14ac:dyDescent="0.35"/>
    <row r="11269" hidden="1" x14ac:dyDescent="0.35"/>
    <row r="11270" hidden="1" x14ac:dyDescent="0.35"/>
    <row r="11271" hidden="1" x14ac:dyDescent="0.35"/>
    <row r="11272" hidden="1" x14ac:dyDescent="0.35"/>
    <row r="11273" hidden="1" x14ac:dyDescent="0.35"/>
    <row r="11274" hidden="1" x14ac:dyDescent="0.35"/>
    <row r="11275" hidden="1" x14ac:dyDescent="0.35"/>
    <row r="11276" hidden="1" x14ac:dyDescent="0.35"/>
    <row r="11277" hidden="1" x14ac:dyDescent="0.35"/>
    <row r="11278" hidden="1" x14ac:dyDescent="0.35"/>
    <row r="11279" hidden="1" x14ac:dyDescent="0.35"/>
    <row r="11280" hidden="1" x14ac:dyDescent="0.35"/>
    <row r="11281" hidden="1" x14ac:dyDescent="0.35"/>
    <row r="11282" hidden="1" x14ac:dyDescent="0.35"/>
    <row r="11283" hidden="1" x14ac:dyDescent="0.35"/>
    <row r="11284" hidden="1" x14ac:dyDescent="0.35"/>
    <row r="11285" hidden="1" x14ac:dyDescent="0.35"/>
    <row r="11286" hidden="1" x14ac:dyDescent="0.35"/>
    <row r="11287" hidden="1" x14ac:dyDescent="0.35"/>
    <row r="11288" hidden="1" x14ac:dyDescent="0.35"/>
    <row r="11289" hidden="1" x14ac:dyDescent="0.35"/>
    <row r="11290" hidden="1" x14ac:dyDescent="0.35"/>
    <row r="11291" hidden="1" x14ac:dyDescent="0.35"/>
    <row r="11292" hidden="1" x14ac:dyDescent="0.35"/>
    <row r="11293" hidden="1" x14ac:dyDescent="0.35"/>
    <row r="11294" hidden="1" x14ac:dyDescent="0.35"/>
    <row r="11295" hidden="1" x14ac:dyDescent="0.35"/>
    <row r="11296" hidden="1" x14ac:dyDescent="0.35"/>
    <row r="11297" hidden="1" x14ac:dyDescent="0.35"/>
    <row r="11298" hidden="1" x14ac:dyDescent="0.35"/>
    <row r="11299" hidden="1" x14ac:dyDescent="0.35"/>
    <row r="11300" hidden="1" x14ac:dyDescent="0.35"/>
    <row r="11301" hidden="1" x14ac:dyDescent="0.35"/>
    <row r="11302" hidden="1" x14ac:dyDescent="0.35"/>
    <row r="11303" hidden="1" x14ac:dyDescent="0.35"/>
    <row r="11304" hidden="1" x14ac:dyDescent="0.35"/>
    <row r="11305" hidden="1" x14ac:dyDescent="0.35"/>
    <row r="11306" hidden="1" x14ac:dyDescent="0.35"/>
    <row r="11307" hidden="1" x14ac:dyDescent="0.35"/>
    <row r="11308" hidden="1" x14ac:dyDescent="0.35"/>
    <row r="11309" hidden="1" x14ac:dyDescent="0.35"/>
    <row r="11310" hidden="1" x14ac:dyDescent="0.35"/>
    <row r="11311" hidden="1" x14ac:dyDescent="0.35"/>
    <row r="11312" hidden="1" x14ac:dyDescent="0.35"/>
    <row r="11313" hidden="1" x14ac:dyDescent="0.35"/>
    <row r="11314" hidden="1" x14ac:dyDescent="0.35"/>
    <row r="11315" hidden="1" x14ac:dyDescent="0.35"/>
    <row r="11316" hidden="1" x14ac:dyDescent="0.35"/>
    <row r="11317" hidden="1" x14ac:dyDescent="0.35"/>
    <row r="11318" hidden="1" x14ac:dyDescent="0.35"/>
    <row r="11319" hidden="1" x14ac:dyDescent="0.35"/>
    <row r="11320" hidden="1" x14ac:dyDescent="0.35"/>
    <row r="11321" hidden="1" x14ac:dyDescent="0.35"/>
    <row r="11322" hidden="1" x14ac:dyDescent="0.35"/>
    <row r="11323" hidden="1" x14ac:dyDescent="0.35"/>
    <row r="11324" hidden="1" x14ac:dyDescent="0.35"/>
    <row r="11325" hidden="1" x14ac:dyDescent="0.35"/>
    <row r="11326" hidden="1" x14ac:dyDescent="0.35"/>
    <row r="11327" hidden="1" x14ac:dyDescent="0.35"/>
    <row r="11328" hidden="1" x14ac:dyDescent="0.35"/>
    <row r="11329" hidden="1" x14ac:dyDescent="0.35"/>
    <row r="11330" hidden="1" x14ac:dyDescent="0.35"/>
    <row r="11331" hidden="1" x14ac:dyDescent="0.35"/>
    <row r="11332" hidden="1" x14ac:dyDescent="0.35"/>
    <row r="11333" hidden="1" x14ac:dyDescent="0.35"/>
    <row r="11334" hidden="1" x14ac:dyDescent="0.35"/>
    <row r="11335" hidden="1" x14ac:dyDescent="0.35"/>
    <row r="11336" hidden="1" x14ac:dyDescent="0.35"/>
    <row r="11337" hidden="1" x14ac:dyDescent="0.35"/>
    <row r="11338" hidden="1" x14ac:dyDescent="0.35"/>
    <row r="11339" hidden="1" x14ac:dyDescent="0.35"/>
    <row r="11340" hidden="1" x14ac:dyDescent="0.35"/>
    <row r="11341" hidden="1" x14ac:dyDescent="0.35"/>
    <row r="11342" hidden="1" x14ac:dyDescent="0.35"/>
    <row r="11343" hidden="1" x14ac:dyDescent="0.35"/>
    <row r="11344" hidden="1" x14ac:dyDescent="0.35"/>
    <row r="11345" hidden="1" x14ac:dyDescent="0.35"/>
    <row r="11346" hidden="1" x14ac:dyDescent="0.35"/>
    <row r="11347" hidden="1" x14ac:dyDescent="0.35"/>
    <row r="11348" hidden="1" x14ac:dyDescent="0.35"/>
    <row r="11349" hidden="1" x14ac:dyDescent="0.35"/>
    <row r="11350" hidden="1" x14ac:dyDescent="0.35"/>
    <row r="11351" hidden="1" x14ac:dyDescent="0.35"/>
    <row r="11352" hidden="1" x14ac:dyDescent="0.35"/>
    <row r="11353" hidden="1" x14ac:dyDescent="0.35"/>
    <row r="11354" hidden="1" x14ac:dyDescent="0.35"/>
    <row r="11355" hidden="1" x14ac:dyDescent="0.35"/>
    <row r="11356" hidden="1" x14ac:dyDescent="0.35"/>
    <row r="11357" hidden="1" x14ac:dyDescent="0.35"/>
    <row r="11358" hidden="1" x14ac:dyDescent="0.35"/>
    <row r="11359" hidden="1" x14ac:dyDescent="0.35"/>
    <row r="11360" hidden="1" x14ac:dyDescent="0.35"/>
    <row r="11361" hidden="1" x14ac:dyDescent="0.35"/>
    <row r="11362" hidden="1" x14ac:dyDescent="0.35"/>
    <row r="11363" hidden="1" x14ac:dyDescent="0.35"/>
    <row r="11364" hidden="1" x14ac:dyDescent="0.35"/>
    <row r="11365" hidden="1" x14ac:dyDescent="0.35"/>
    <row r="11366" hidden="1" x14ac:dyDescent="0.35"/>
    <row r="11367" hidden="1" x14ac:dyDescent="0.35"/>
    <row r="11368" hidden="1" x14ac:dyDescent="0.35"/>
    <row r="11369" hidden="1" x14ac:dyDescent="0.35"/>
    <row r="11370" hidden="1" x14ac:dyDescent="0.35"/>
    <row r="11371" hidden="1" x14ac:dyDescent="0.35"/>
    <row r="11372" hidden="1" x14ac:dyDescent="0.35"/>
    <row r="11373" hidden="1" x14ac:dyDescent="0.35"/>
    <row r="11374" hidden="1" x14ac:dyDescent="0.35"/>
    <row r="11375" hidden="1" x14ac:dyDescent="0.35"/>
    <row r="11376" hidden="1" x14ac:dyDescent="0.35"/>
    <row r="11377" hidden="1" x14ac:dyDescent="0.35"/>
    <row r="11378" hidden="1" x14ac:dyDescent="0.35"/>
    <row r="11379" hidden="1" x14ac:dyDescent="0.35"/>
    <row r="11380" hidden="1" x14ac:dyDescent="0.35"/>
    <row r="11381" hidden="1" x14ac:dyDescent="0.35"/>
    <row r="11382" hidden="1" x14ac:dyDescent="0.35"/>
    <row r="11383" hidden="1" x14ac:dyDescent="0.35"/>
    <row r="11384" hidden="1" x14ac:dyDescent="0.35"/>
    <row r="11385" hidden="1" x14ac:dyDescent="0.35"/>
    <row r="11386" hidden="1" x14ac:dyDescent="0.35"/>
    <row r="11387" hidden="1" x14ac:dyDescent="0.35"/>
    <row r="11388" hidden="1" x14ac:dyDescent="0.35"/>
    <row r="11389" hidden="1" x14ac:dyDescent="0.35"/>
    <row r="11390" hidden="1" x14ac:dyDescent="0.35"/>
    <row r="11391" hidden="1" x14ac:dyDescent="0.35"/>
    <row r="11392" hidden="1" x14ac:dyDescent="0.35"/>
    <row r="11393" hidden="1" x14ac:dyDescent="0.35"/>
    <row r="11394" hidden="1" x14ac:dyDescent="0.35"/>
    <row r="11395" hidden="1" x14ac:dyDescent="0.35"/>
    <row r="11396" hidden="1" x14ac:dyDescent="0.35"/>
    <row r="11397" hidden="1" x14ac:dyDescent="0.35"/>
    <row r="11398" hidden="1" x14ac:dyDescent="0.35"/>
    <row r="11399" hidden="1" x14ac:dyDescent="0.35"/>
    <row r="11400" hidden="1" x14ac:dyDescent="0.35"/>
    <row r="11401" hidden="1" x14ac:dyDescent="0.35"/>
    <row r="11402" hidden="1" x14ac:dyDescent="0.35"/>
    <row r="11403" hidden="1" x14ac:dyDescent="0.35"/>
    <row r="11404" hidden="1" x14ac:dyDescent="0.35"/>
    <row r="11405" hidden="1" x14ac:dyDescent="0.35"/>
    <row r="11406" hidden="1" x14ac:dyDescent="0.35"/>
    <row r="11407" hidden="1" x14ac:dyDescent="0.35"/>
    <row r="11408" hidden="1" x14ac:dyDescent="0.35"/>
    <row r="11409" hidden="1" x14ac:dyDescent="0.35"/>
    <row r="11410" hidden="1" x14ac:dyDescent="0.35"/>
    <row r="11411" hidden="1" x14ac:dyDescent="0.35"/>
    <row r="11412" hidden="1" x14ac:dyDescent="0.35"/>
    <row r="11413" hidden="1" x14ac:dyDescent="0.35"/>
    <row r="11414" hidden="1" x14ac:dyDescent="0.35"/>
    <row r="11415" hidden="1" x14ac:dyDescent="0.35"/>
    <row r="11416" hidden="1" x14ac:dyDescent="0.35"/>
    <row r="11417" hidden="1" x14ac:dyDescent="0.35"/>
    <row r="11418" hidden="1" x14ac:dyDescent="0.35"/>
    <row r="11419" hidden="1" x14ac:dyDescent="0.35"/>
    <row r="11420" hidden="1" x14ac:dyDescent="0.35"/>
    <row r="11421" hidden="1" x14ac:dyDescent="0.35"/>
    <row r="11422" hidden="1" x14ac:dyDescent="0.35"/>
    <row r="11423" hidden="1" x14ac:dyDescent="0.35"/>
    <row r="11424" hidden="1" x14ac:dyDescent="0.35"/>
    <row r="11425" hidden="1" x14ac:dyDescent="0.35"/>
    <row r="11426" hidden="1" x14ac:dyDescent="0.35"/>
    <row r="11427" hidden="1" x14ac:dyDescent="0.35"/>
    <row r="11428" hidden="1" x14ac:dyDescent="0.35"/>
    <row r="11429" hidden="1" x14ac:dyDescent="0.35"/>
    <row r="11430" hidden="1" x14ac:dyDescent="0.35"/>
    <row r="11431" hidden="1" x14ac:dyDescent="0.35"/>
    <row r="11432" hidden="1" x14ac:dyDescent="0.35"/>
    <row r="11433" hidden="1" x14ac:dyDescent="0.35"/>
    <row r="11434" hidden="1" x14ac:dyDescent="0.35"/>
    <row r="11435" hidden="1" x14ac:dyDescent="0.35"/>
    <row r="11436" hidden="1" x14ac:dyDescent="0.35"/>
    <row r="11437" hidden="1" x14ac:dyDescent="0.35"/>
    <row r="11438" hidden="1" x14ac:dyDescent="0.35"/>
    <row r="11439" hidden="1" x14ac:dyDescent="0.35"/>
    <row r="11440" hidden="1" x14ac:dyDescent="0.35"/>
    <row r="11441" hidden="1" x14ac:dyDescent="0.35"/>
    <row r="11442" hidden="1" x14ac:dyDescent="0.35"/>
    <row r="11443" hidden="1" x14ac:dyDescent="0.35"/>
    <row r="11444" hidden="1" x14ac:dyDescent="0.35"/>
    <row r="11445" hidden="1" x14ac:dyDescent="0.35"/>
    <row r="11446" hidden="1" x14ac:dyDescent="0.35"/>
    <row r="11447" hidden="1" x14ac:dyDescent="0.35"/>
    <row r="11448" hidden="1" x14ac:dyDescent="0.35"/>
    <row r="11449" hidden="1" x14ac:dyDescent="0.35"/>
    <row r="11450" hidden="1" x14ac:dyDescent="0.35"/>
    <row r="11451" hidden="1" x14ac:dyDescent="0.35"/>
    <row r="11452" hidden="1" x14ac:dyDescent="0.35"/>
    <row r="11453" hidden="1" x14ac:dyDescent="0.35"/>
    <row r="11454" hidden="1" x14ac:dyDescent="0.35"/>
    <row r="11455" hidden="1" x14ac:dyDescent="0.35"/>
    <row r="11456" hidden="1" x14ac:dyDescent="0.35"/>
    <row r="11457" hidden="1" x14ac:dyDescent="0.35"/>
    <row r="11458" hidden="1" x14ac:dyDescent="0.35"/>
    <row r="11459" hidden="1" x14ac:dyDescent="0.35"/>
    <row r="11460" hidden="1" x14ac:dyDescent="0.35"/>
    <row r="11461" hidden="1" x14ac:dyDescent="0.35"/>
    <row r="11462" hidden="1" x14ac:dyDescent="0.35"/>
    <row r="11463" hidden="1" x14ac:dyDescent="0.35"/>
    <row r="11464" hidden="1" x14ac:dyDescent="0.35"/>
    <row r="11465" hidden="1" x14ac:dyDescent="0.35"/>
    <row r="11466" hidden="1" x14ac:dyDescent="0.35"/>
    <row r="11467" hidden="1" x14ac:dyDescent="0.35"/>
    <row r="11468" hidden="1" x14ac:dyDescent="0.35"/>
    <row r="11469" hidden="1" x14ac:dyDescent="0.35"/>
    <row r="11470" hidden="1" x14ac:dyDescent="0.35"/>
    <row r="11471" hidden="1" x14ac:dyDescent="0.35"/>
    <row r="11472" hidden="1" x14ac:dyDescent="0.35"/>
    <row r="11473" hidden="1" x14ac:dyDescent="0.35"/>
    <row r="11474" hidden="1" x14ac:dyDescent="0.35"/>
    <row r="11475" hidden="1" x14ac:dyDescent="0.35"/>
    <row r="11476" hidden="1" x14ac:dyDescent="0.35"/>
    <row r="11477" hidden="1" x14ac:dyDescent="0.35"/>
    <row r="11478" hidden="1" x14ac:dyDescent="0.35"/>
    <row r="11479" hidden="1" x14ac:dyDescent="0.35"/>
    <row r="11480" hidden="1" x14ac:dyDescent="0.35"/>
    <row r="11481" hidden="1" x14ac:dyDescent="0.35"/>
    <row r="11482" hidden="1" x14ac:dyDescent="0.35"/>
    <row r="11483" hidden="1" x14ac:dyDescent="0.35"/>
    <row r="11484" hidden="1" x14ac:dyDescent="0.35"/>
    <row r="11485" hidden="1" x14ac:dyDescent="0.35"/>
    <row r="11486" hidden="1" x14ac:dyDescent="0.35"/>
    <row r="11487" hidden="1" x14ac:dyDescent="0.35"/>
    <row r="11488" hidden="1" x14ac:dyDescent="0.35"/>
    <row r="11489" hidden="1" x14ac:dyDescent="0.35"/>
    <row r="11490" hidden="1" x14ac:dyDescent="0.35"/>
    <row r="11491" hidden="1" x14ac:dyDescent="0.35"/>
    <row r="11492" hidden="1" x14ac:dyDescent="0.35"/>
    <row r="11493" hidden="1" x14ac:dyDescent="0.35"/>
    <row r="11494" hidden="1" x14ac:dyDescent="0.35"/>
    <row r="11495" hidden="1" x14ac:dyDescent="0.35"/>
    <row r="11496" hidden="1" x14ac:dyDescent="0.35"/>
    <row r="11497" hidden="1" x14ac:dyDescent="0.35"/>
    <row r="11498" hidden="1" x14ac:dyDescent="0.35"/>
    <row r="11499" hidden="1" x14ac:dyDescent="0.35"/>
    <row r="11500" hidden="1" x14ac:dyDescent="0.35"/>
    <row r="11501" hidden="1" x14ac:dyDescent="0.35"/>
    <row r="11502" hidden="1" x14ac:dyDescent="0.35"/>
    <row r="11503" hidden="1" x14ac:dyDescent="0.35"/>
    <row r="11504" hidden="1" x14ac:dyDescent="0.35"/>
    <row r="11505" hidden="1" x14ac:dyDescent="0.35"/>
    <row r="11506" hidden="1" x14ac:dyDescent="0.35"/>
    <row r="11507" hidden="1" x14ac:dyDescent="0.35"/>
    <row r="11508" hidden="1" x14ac:dyDescent="0.35"/>
    <row r="11509" hidden="1" x14ac:dyDescent="0.35"/>
    <row r="11510" hidden="1" x14ac:dyDescent="0.35"/>
    <row r="11511" hidden="1" x14ac:dyDescent="0.35"/>
    <row r="11512" hidden="1" x14ac:dyDescent="0.35"/>
    <row r="11513" hidden="1" x14ac:dyDescent="0.35"/>
    <row r="11514" hidden="1" x14ac:dyDescent="0.35"/>
    <row r="11515" hidden="1" x14ac:dyDescent="0.35"/>
    <row r="11516" hidden="1" x14ac:dyDescent="0.35"/>
    <row r="11517" hidden="1" x14ac:dyDescent="0.35"/>
    <row r="11518" hidden="1" x14ac:dyDescent="0.35"/>
    <row r="11519" hidden="1" x14ac:dyDescent="0.35"/>
    <row r="11520" hidden="1" x14ac:dyDescent="0.35"/>
    <row r="11521" hidden="1" x14ac:dyDescent="0.35"/>
    <row r="11522" hidden="1" x14ac:dyDescent="0.35"/>
    <row r="11523" hidden="1" x14ac:dyDescent="0.35"/>
    <row r="11524" hidden="1" x14ac:dyDescent="0.35"/>
    <row r="11525" hidden="1" x14ac:dyDescent="0.35"/>
    <row r="11526" hidden="1" x14ac:dyDescent="0.35"/>
    <row r="11527" hidden="1" x14ac:dyDescent="0.35"/>
    <row r="11528" hidden="1" x14ac:dyDescent="0.35"/>
    <row r="11529" hidden="1" x14ac:dyDescent="0.35"/>
    <row r="11530" hidden="1" x14ac:dyDescent="0.35"/>
    <row r="11531" hidden="1" x14ac:dyDescent="0.35"/>
    <row r="11532" hidden="1" x14ac:dyDescent="0.35"/>
    <row r="11533" hidden="1" x14ac:dyDescent="0.35"/>
    <row r="11534" hidden="1" x14ac:dyDescent="0.35"/>
    <row r="11535" hidden="1" x14ac:dyDescent="0.35"/>
    <row r="11536" hidden="1" x14ac:dyDescent="0.35"/>
    <row r="11537" hidden="1" x14ac:dyDescent="0.35"/>
    <row r="11538" hidden="1" x14ac:dyDescent="0.35"/>
    <row r="11539" hidden="1" x14ac:dyDescent="0.35"/>
    <row r="11540" hidden="1" x14ac:dyDescent="0.35"/>
    <row r="11541" hidden="1" x14ac:dyDescent="0.35"/>
    <row r="11542" hidden="1" x14ac:dyDescent="0.35"/>
    <row r="11543" hidden="1" x14ac:dyDescent="0.35"/>
    <row r="11544" hidden="1" x14ac:dyDescent="0.35"/>
    <row r="11545" hidden="1" x14ac:dyDescent="0.35"/>
    <row r="11546" hidden="1" x14ac:dyDescent="0.35"/>
    <row r="11547" hidden="1" x14ac:dyDescent="0.35"/>
    <row r="11548" hidden="1" x14ac:dyDescent="0.35"/>
    <row r="11549" hidden="1" x14ac:dyDescent="0.35"/>
    <row r="11550" hidden="1" x14ac:dyDescent="0.35"/>
    <row r="11551" hidden="1" x14ac:dyDescent="0.35"/>
    <row r="11552" hidden="1" x14ac:dyDescent="0.35"/>
    <row r="11553" hidden="1" x14ac:dyDescent="0.35"/>
    <row r="11554" hidden="1" x14ac:dyDescent="0.35"/>
    <row r="11555" hidden="1" x14ac:dyDescent="0.35"/>
    <row r="11556" hidden="1" x14ac:dyDescent="0.35"/>
    <row r="11557" hidden="1" x14ac:dyDescent="0.35"/>
    <row r="11558" hidden="1" x14ac:dyDescent="0.35"/>
    <row r="11559" hidden="1" x14ac:dyDescent="0.35"/>
    <row r="11560" hidden="1" x14ac:dyDescent="0.35"/>
    <row r="11561" hidden="1" x14ac:dyDescent="0.35"/>
    <row r="11562" hidden="1" x14ac:dyDescent="0.35"/>
    <row r="11563" hidden="1" x14ac:dyDescent="0.35"/>
    <row r="11564" hidden="1" x14ac:dyDescent="0.35"/>
    <row r="11565" hidden="1" x14ac:dyDescent="0.35"/>
    <row r="11566" hidden="1" x14ac:dyDescent="0.35"/>
    <row r="11567" hidden="1" x14ac:dyDescent="0.35"/>
    <row r="11568" hidden="1" x14ac:dyDescent="0.35"/>
    <row r="11569" hidden="1" x14ac:dyDescent="0.35"/>
    <row r="11570" hidden="1" x14ac:dyDescent="0.35"/>
    <row r="11571" hidden="1" x14ac:dyDescent="0.35"/>
    <row r="11572" hidden="1" x14ac:dyDescent="0.35"/>
    <row r="11573" hidden="1" x14ac:dyDescent="0.35"/>
    <row r="11574" hidden="1" x14ac:dyDescent="0.35"/>
    <row r="11575" hidden="1" x14ac:dyDescent="0.35"/>
    <row r="11576" hidden="1" x14ac:dyDescent="0.35"/>
    <row r="11577" hidden="1" x14ac:dyDescent="0.35"/>
    <row r="11578" hidden="1" x14ac:dyDescent="0.35"/>
    <row r="11579" hidden="1" x14ac:dyDescent="0.35"/>
    <row r="11580" hidden="1" x14ac:dyDescent="0.35"/>
    <row r="11581" hidden="1" x14ac:dyDescent="0.35"/>
    <row r="11582" hidden="1" x14ac:dyDescent="0.35"/>
    <row r="11583" hidden="1" x14ac:dyDescent="0.35"/>
    <row r="11584" hidden="1" x14ac:dyDescent="0.35"/>
    <row r="11585" hidden="1" x14ac:dyDescent="0.35"/>
    <row r="11586" hidden="1" x14ac:dyDescent="0.35"/>
    <row r="11587" hidden="1" x14ac:dyDescent="0.35"/>
    <row r="11588" hidden="1" x14ac:dyDescent="0.35"/>
    <row r="11589" hidden="1" x14ac:dyDescent="0.35"/>
    <row r="11590" hidden="1" x14ac:dyDescent="0.35"/>
    <row r="11591" hidden="1" x14ac:dyDescent="0.35"/>
    <row r="11592" hidden="1" x14ac:dyDescent="0.35"/>
    <row r="11593" hidden="1" x14ac:dyDescent="0.35"/>
    <row r="11594" hidden="1" x14ac:dyDescent="0.35"/>
    <row r="11595" hidden="1" x14ac:dyDescent="0.35"/>
    <row r="11596" hidden="1" x14ac:dyDescent="0.35"/>
    <row r="11597" hidden="1" x14ac:dyDescent="0.35"/>
    <row r="11598" hidden="1" x14ac:dyDescent="0.35"/>
    <row r="11599" hidden="1" x14ac:dyDescent="0.35"/>
    <row r="11600" hidden="1" x14ac:dyDescent="0.35"/>
    <row r="11601" hidden="1" x14ac:dyDescent="0.35"/>
    <row r="11602" hidden="1" x14ac:dyDescent="0.35"/>
    <row r="11603" hidden="1" x14ac:dyDescent="0.35"/>
    <row r="11604" hidden="1" x14ac:dyDescent="0.35"/>
    <row r="11605" hidden="1" x14ac:dyDescent="0.35"/>
    <row r="11606" hidden="1" x14ac:dyDescent="0.35"/>
    <row r="11607" hidden="1" x14ac:dyDescent="0.35"/>
    <row r="11608" hidden="1" x14ac:dyDescent="0.35"/>
    <row r="11609" hidden="1" x14ac:dyDescent="0.35"/>
    <row r="11610" hidden="1" x14ac:dyDescent="0.35"/>
    <row r="11611" hidden="1" x14ac:dyDescent="0.35"/>
    <row r="11612" hidden="1" x14ac:dyDescent="0.35"/>
    <row r="11613" hidden="1" x14ac:dyDescent="0.35"/>
    <row r="11614" hidden="1" x14ac:dyDescent="0.35"/>
    <row r="11615" hidden="1" x14ac:dyDescent="0.35"/>
    <row r="11616" hidden="1" x14ac:dyDescent="0.35"/>
    <row r="11617" hidden="1" x14ac:dyDescent="0.35"/>
    <row r="11618" hidden="1" x14ac:dyDescent="0.35"/>
    <row r="11619" hidden="1" x14ac:dyDescent="0.35"/>
    <row r="11620" hidden="1" x14ac:dyDescent="0.35"/>
    <row r="11621" hidden="1" x14ac:dyDescent="0.35"/>
    <row r="11622" hidden="1" x14ac:dyDescent="0.35"/>
    <row r="11623" hidden="1" x14ac:dyDescent="0.35"/>
    <row r="11624" hidden="1" x14ac:dyDescent="0.35"/>
    <row r="11625" hidden="1" x14ac:dyDescent="0.35"/>
    <row r="11626" hidden="1" x14ac:dyDescent="0.35"/>
    <row r="11627" hidden="1" x14ac:dyDescent="0.35"/>
    <row r="11628" hidden="1" x14ac:dyDescent="0.35"/>
    <row r="11629" hidden="1" x14ac:dyDescent="0.35"/>
    <row r="11630" hidden="1" x14ac:dyDescent="0.35"/>
    <row r="11631" hidden="1" x14ac:dyDescent="0.35"/>
    <row r="11632" hidden="1" x14ac:dyDescent="0.35"/>
    <row r="11633" hidden="1" x14ac:dyDescent="0.35"/>
    <row r="11634" hidden="1" x14ac:dyDescent="0.35"/>
    <row r="11635" hidden="1" x14ac:dyDescent="0.35"/>
    <row r="11636" hidden="1" x14ac:dyDescent="0.35"/>
    <row r="11637" hidden="1" x14ac:dyDescent="0.35"/>
    <row r="11638" hidden="1" x14ac:dyDescent="0.35"/>
    <row r="11639" hidden="1" x14ac:dyDescent="0.35"/>
    <row r="11640" hidden="1" x14ac:dyDescent="0.35"/>
    <row r="11641" hidden="1" x14ac:dyDescent="0.35"/>
    <row r="11642" hidden="1" x14ac:dyDescent="0.35"/>
    <row r="11643" hidden="1" x14ac:dyDescent="0.35"/>
    <row r="11644" hidden="1" x14ac:dyDescent="0.35"/>
    <row r="11645" hidden="1" x14ac:dyDescent="0.35"/>
    <row r="11646" hidden="1" x14ac:dyDescent="0.35"/>
    <row r="11647" hidden="1" x14ac:dyDescent="0.35"/>
    <row r="11648" hidden="1" x14ac:dyDescent="0.35"/>
    <row r="11649" hidden="1" x14ac:dyDescent="0.35"/>
    <row r="11650" hidden="1" x14ac:dyDescent="0.35"/>
    <row r="11651" hidden="1" x14ac:dyDescent="0.35"/>
    <row r="11652" hidden="1" x14ac:dyDescent="0.35"/>
    <row r="11653" hidden="1" x14ac:dyDescent="0.35"/>
    <row r="11654" hidden="1" x14ac:dyDescent="0.35"/>
    <row r="11655" hidden="1" x14ac:dyDescent="0.35"/>
    <row r="11656" hidden="1" x14ac:dyDescent="0.35"/>
    <row r="11657" hidden="1" x14ac:dyDescent="0.35"/>
    <row r="11658" hidden="1" x14ac:dyDescent="0.35"/>
    <row r="11659" hidden="1" x14ac:dyDescent="0.35"/>
    <row r="11660" hidden="1" x14ac:dyDescent="0.35"/>
    <row r="11661" hidden="1" x14ac:dyDescent="0.35"/>
    <row r="11662" hidden="1" x14ac:dyDescent="0.35"/>
    <row r="11663" hidden="1" x14ac:dyDescent="0.35"/>
    <row r="11664" hidden="1" x14ac:dyDescent="0.35"/>
    <row r="11665" hidden="1" x14ac:dyDescent="0.35"/>
    <row r="11666" hidden="1" x14ac:dyDescent="0.35"/>
    <row r="11667" hidden="1" x14ac:dyDescent="0.35"/>
    <row r="11668" hidden="1" x14ac:dyDescent="0.35"/>
    <row r="11669" hidden="1" x14ac:dyDescent="0.35"/>
    <row r="11670" hidden="1" x14ac:dyDescent="0.35"/>
    <row r="11671" hidden="1" x14ac:dyDescent="0.35"/>
    <row r="11672" hidden="1" x14ac:dyDescent="0.35"/>
    <row r="11673" hidden="1" x14ac:dyDescent="0.35"/>
    <row r="11674" hidden="1" x14ac:dyDescent="0.35"/>
    <row r="11675" hidden="1" x14ac:dyDescent="0.35"/>
    <row r="11676" hidden="1" x14ac:dyDescent="0.35"/>
    <row r="11677" hidden="1" x14ac:dyDescent="0.35"/>
    <row r="11678" hidden="1" x14ac:dyDescent="0.35"/>
    <row r="11679" hidden="1" x14ac:dyDescent="0.35"/>
    <row r="11680" hidden="1" x14ac:dyDescent="0.35"/>
    <row r="11681" hidden="1" x14ac:dyDescent="0.35"/>
    <row r="11682" hidden="1" x14ac:dyDescent="0.35"/>
    <row r="11683" hidden="1" x14ac:dyDescent="0.35"/>
    <row r="11684" hidden="1" x14ac:dyDescent="0.35"/>
    <row r="11685" hidden="1" x14ac:dyDescent="0.35"/>
    <row r="11686" hidden="1" x14ac:dyDescent="0.35"/>
    <row r="11687" hidden="1" x14ac:dyDescent="0.35"/>
    <row r="11688" hidden="1" x14ac:dyDescent="0.35"/>
    <row r="11689" hidden="1" x14ac:dyDescent="0.35"/>
    <row r="11690" hidden="1" x14ac:dyDescent="0.35"/>
    <row r="11691" hidden="1" x14ac:dyDescent="0.35"/>
    <row r="11692" hidden="1" x14ac:dyDescent="0.35"/>
    <row r="11693" hidden="1" x14ac:dyDescent="0.35"/>
    <row r="11694" hidden="1" x14ac:dyDescent="0.35"/>
    <row r="11695" hidden="1" x14ac:dyDescent="0.35"/>
    <row r="11696" hidden="1" x14ac:dyDescent="0.35"/>
    <row r="11697" hidden="1" x14ac:dyDescent="0.35"/>
    <row r="11698" hidden="1" x14ac:dyDescent="0.35"/>
    <row r="11699" hidden="1" x14ac:dyDescent="0.35"/>
    <row r="11700" hidden="1" x14ac:dyDescent="0.35"/>
    <row r="11701" hidden="1" x14ac:dyDescent="0.35"/>
    <row r="11702" hidden="1" x14ac:dyDescent="0.35"/>
    <row r="11703" hidden="1" x14ac:dyDescent="0.35"/>
    <row r="11704" hidden="1" x14ac:dyDescent="0.35"/>
    <row r="11705" hidden="1" x14ac:dyDescent="0.35"/>
    <row r="11706" hidden="1" x14ac:dyDescent="0.35"/>
    <row r="11707" hidden="1" x14ac:dyDescent="0.35"/>
    <row r="11708" hidden="1" x14ac:dyDescent="0.35"/>
    <row r="11709" hidden="1" x14ac:dyDescent="0.35"/>
    <row r="11710" hidden="1" x14ac:dyDescent="0.35"/>
    <row r="11711" hidden="1" x14ac:dyDescent="0.35"/>
    <row r="11712" hidden="1" x14ac:dyDescent="0.35"/>
    <row r="11713" hidden="1" x14ac:dyDescent="0.35"/>
    <row r="11714" hidden="1" x14ac:dyDescent="0.35"/>
    <row r="11715" hidden="1" x14ac:dyDescent="0.35"/>
    <row r="11716" hidden="1" x14ac:dyDescent="0.35"/>
    <row r="11717" hidden="1" x14ac:dyDescent="0.35"/>
    <row r="11718" hidden="1" x14ac:dyDescent="0.35"/>
    <row r="11719" hidden="1" x14ac:dyDescent="0.35"/>
    <row r="11720" hidden="1" x14ac:dyDescent="0.35"/>
    <row r="11721" hidden="1" x14ac:dyDescent="0.35"/>
    <row r="11722" hidden="1" x14ac:dyDescent="0.35"/>
    <row r="11723" hidden="1" x14ac:dyDescent="0.35"/>
    <row r="11724" hidden="1" x14ac:dyDescent="0.35"/>
    <row r="11725" hidden="1" x14ac:dyDescent="0.35"/>
    <row r="11726" hidden="1" x14ac:dyDescent="0.35"/>
    <row r="11727" hidden="1" x14ac:dyDescent="0.35"/>
    <row r="11728" hidden="1" x14ac:dyDescent="0.35"/>
    <row r="11729" hidden="1" x14ac:dyDescent="0.35"/>
    <row r="11730" hidden="1" x14ac:dyDescent="0.35"/>
    <row r="11731" hidden="1" x14ac:dyDescent="0.35"/>
    <row r="11732" hidden="1" x14ac:dyDescent="0.35"/>
    <row r="11733" hidden="1" x14ac:dyDescent="0.35"/>
    <row r="11734" hidden="1" x14ac:dyDescent="0.35"/>
    <row r="11735" hidden="1" x14ac:dyDescent="0.35"/>
    <row r="11736" hidden="1" x14ac:dyDescent="0.35"/>
    <row r="11737" hidden="1" x14ac:dyDescent="0.35"/>
    <row r="11738" hidden="1" x14ac:dyDescent="0.35"/>
    <row r="11739" hidden="1" x14ac:dyDescent="0.35"/>
    <row r="11740" hidden="1" x14ac:dyDescent="0.35"/>
    <row r="11741" hidden="1" x14ac:dyDescent="0.35"/>
    <row r="11742" hidden="1" x14ac:dyDescent="0.35"/>
    <row r="11743" hidden="1" x14ac:dyDescent="0.35"/>
    <row r="11744" hidden="1" x14ac:dyDescent="0.35"/>
    <row r="11745" hidden="1" x14ac:dyDescent="0.35"/>
    <row r="11746" hidden="1" x14ac:dyDescent="0.35"/>
    <row r="11747" hidden="1" x14ac:dyDescent="0.35"/>
    <row r="11748" hidden="1" x14ac:dyDescent="0.35"/>
    <row r="11749" hidden="1" x14ac:dyDescent="0.35"/>
    <row r="11750" hidden="1" x14ac:dyDescent="0.35"/>
    <row r="11751" hidden="1" x14ac:dyDescent="0.35"/>
    <row r="11752" hidden="1" x14ac:dyDescent="0.35"/>
    <row r="11753" hidden="1" x14ac:dyDescent="0.35"/>
    <row r="11754" hidden="1" x14ac:dyDescent="0.35"/>
    <row r="11755" hidden="1" x14ac:dyDescent="0.35"/>
    <row r="11756" hidden="1" x14ac:dyDescent="0.35"/>
    <row r="11757" hidden="1" x14ac:dyDescent="0.35"/>
    <row r="11758" hidden="1" x14ac:dyDescent="0.35"/>
    <row r="11759" hidden="1" x14ac:dyDescent="0.35"/>
    <row r="11760" hidden="1" x14ac:dyDescent="0.35"/>
    <row r="11761" hidden="1" x14ac:dyDescent="0.35"/>
    <row r="11762" hidden="1" x14ac:dyDescent="0.35"/>
    <row r="11763" hidden="1" x14ac:dyDescent="0.35"/>
    <row r="11764" hidden="1" x14ac:dyDescent="0.35"/>
    <row r="11765" hidden="1" x14ac:dyDescent="0.35"/>
    <row r="11766" hidden="1" x14ac:dyDescent="0.35"/>
    <row r="11767" hidden="1" x14ac:dyDescent="0.35"/>
    <row r="11768" hidden="1" x14ac:dyDescent="0.35"/>
    <row r="11769" hidden="1" x14ac:dyDescent="0.35"/>
    <row r="11770" hidden="1" x14ac:dyDescent="0.35"/>
    <row r="11771" hidden="1" x14ac:dyDescent="0.35"/>
    <row r="11772" hidden="1" x14ac:dyDescent="0.35"/>
    <row r="11773" hidden="1" x14ac:dyDescent="0.35"/>
    <row r="11774" hidden="1" x14ac:dyDescent="0.35"/>
    <row r="11775" hidden="1" x14ac:dyDescent="0.35"/>
    <row r="11776" hidden="1" x14ac:dyDescent="0.35"/>
    <row r="11777" hidden="1" x14ac:dyDescent="0.35"/>
    <row r="11778" hidden="1" x14ac:dyDescent="0.35"/>
    <row r="11779" hidden="1" x14ac:dyDescent="0.35"/>
    <row r="11780" hidden="1" x14ac:dyDescent="0.35"/>
    <row r="11781" hidden="1" x14ac:dyDescent="0.35"/>
    <row r="11782" hidden="1" x14ac:dyDescent="0.35"/>
    <row r="11783" hidden="1" x14ac:dyDescent="0.35"/>
    <row r="11784" hidden="1" x14ac:dyDescent="0.35"/>
    <row r="11785" hidden="1" x14ac:dyDescent="0.35"/>
    <row r="11786" hidden="1" x14ac:dyDescent="0.35"/>
    <row r="11787" hidden="1" x14ac:dyDescent="0.35"/>
    <row r="11788" hidden="1" x14ac:dyDescent="0.35"/>
    <row r="11789" hidden="1" x14ac:dyDescent="0.35"/>
    <row r="11790" hidden="1" x14ac:dyDescent="0.35"/>
    <row r="11791" hidden="1" x14ac:dyDescent="0.35"/>
    <row r="11792" hidden="1" x14ac:dyDescent="0.35"/>
    <row r="11793" hidden="1" x14ac:dyDescent="0.35"/>
    <row r="11794" hidden="1" x14ac:dyDescent="0.35"/>
    <row r="11795" hidden="1" x14ac:dyDescent="0.35"/>
    <row r="11796" hidden="1" x14ac:dyDescent="0.35"/>
    <row r="11797" hidden="1" x14ac:dyDescent="0.35"/>
    <row r="11798" hidden="1" x14ac:dyDescent="0.35"/>
    <row r="11799" hidden="1" x14ac:dyDescent="0.35"/>
    <row r="11800" hidden="1" x14ac:dyDescent="0.35"/>
    <row r="11801" hidden="1" x14ac:dyDescent="0.35"/>
    <row r="11802" hidden="1" x14ac:dyDescent="0.35"/>
    <row r="11803" hidden="1" x14ac:dyDescent="0.35"/>
    <row r="11804" hidden="1" x14ac:dyDescent="0.35"/>
    <row r="11805" hidden="1" x14ac:dyDescent="0.35"/>
    <row r="11806" hidden="1" x14ac:dyDescent="0.35"/>
    <row r="11807" hidden="1" x14ac:dyDescent="0.35"/>
    <row r="11808" hidden="1" x14ac:dyDescent="0.35"/>
    <row r="11809" hidden="1" x14ac:dyDescent="0.35"/>
    <row r="11810" hidden="1" x14ac:dyDescent="0.35"/>
    <row r="11811" hidden="1" x14ac:dyDescent="0.35"/>
    <row r="11812" hidden="1" x14ac:dyDescent="0.35"/>
    <row r="11813" hidden="1" x14ac:dyDescent="0.35"/>
    <row r="11814" hidden="1" x14ac:dyDescent="0.35"/>
    <row r="11815" hidden="1" x14ac:dyDescent="0.35"/>
    <row r="11816" hidden="1" x14ac:dyDescent="0.35"/>
    <row r="11817" hidden="1" x14ac:dyDescent="0.35"/>
    <row r="11818" hidden="1" x14ac:dyDescent="0.35"/>
    <row r="11819" hidden="1" x14ac:dyDescent="0.35"/>
    <row r="11820" hidden="1" x14ac:dyDescent="0.35"/>
    <row r="11821" hidden="1" x14ac:dyDescent="0.35"/>
    <row r="11822" hidden="1" x14ac:dyDescent="0.35"/>
    <row r="11823" hidden="1" x14ac:dyDescent="0.35"/>
    <row r="11824" hidden="1" x14ac:dyDescent="0.35"/>
    <row r="11825" hidden="1" x14ac:dyDescent="0.35"/>
    <row r="11826" hidden="1" x14ac:dyDescent="0.35"/>
    <row r="11827" hidden="1" x14ac:dyDescent="0.35"/>
    <row r="11828" hidden="1" x14ac:dyDescent="0.35"/>
    <row r="11829" hidden="1" x14ac:dyDescent="0.35"/>
    <row r="11830" hidden="1" x14ac:dyDescent="0.35"/>
    <row r="11831" hidden="1" x14ac:dyDescent="0.35"/>
    <row r="11832" hidden="1" x14ac:dyDescent="0.35"/>
    <row r="11833" hidden="1" x14ac:dyDescent="0.35"/>
    <row r="11834" hidden="1" x14ac:dyDescent="0.35"/>
    <row r="11835" hidden="1" x14ac:dyDescent="0.35"/>
    <row r="11836" hidden="1" x14ac:dyDescent="0.35"/>
    <row r="11837" hidden="1" x14ac:dyDescent="0.35"/>
    <row r="11838" hidden="1" x14ac:dyDescent="0.35"/>
    <row r="11839" hidden="1" x14ac:dyDescent="0.35"/>
    <row r="11840" hidden="1" x14ac:dyDescent="0.35"/>
    <row r="11841" hidden="1" x14ac:dyDescent="0.35"/>
    <row r="11842" hidden="1" x14ac:dyDescent="0.35"/>
    <row r="11843" hidden="1" x14ac:dyDescent="0.35"/>
    <row r="11844" hidden="1" x14ac:dyDescent="0.35"/>
    <row r="11845" hidden="1" x14ac:dyDescent="0.35"/>
    <row r="11846" hidden="1" x14ac:dyDescent="0.35"/>
    <row r="11847" hidden="1" x14ac:dyDescent="0.35"/>
    <row r="11848" hidden="1" x14ac:dyDescent="0.35"/>
    <row r="11849" hidden="1" x14ac:dyDescent="0.35"/>
    <row r="11850" hidden="1" x14ac:dyDescent="0.35"/>
    <row r="11851" hidden="1" x14ac:dyDescent="0.35"/>
    <row r="11852" hidden="1" x14ac:dyDescent="0.35"/>
    <row r="11853" hidden="1" x14ac:dyDescent="0.35"/>
    <row r="11854" hidden="1" x14ac:dyDescent="0.35"/>
    <row r="11855" hidden="1" x14ac:dyDescent="0.35"/>
    <row r="11856" hidden="1" x14ac:dyDescent="0.35"/>
    <row r="11857" hidden="1" x14ac:dyDescent="0.35"/>
    <row r="11858" hidden="1" x14ac:dyDescent="0.35"/>
    <row r="11859" hidden="1" x14ac:dyDescent="0.35"/>
    <row r="11860" hidden="1" x14ac:dyDescent="0.35"/>
    <row r="11861" hidden="1" x14ac:dyDescent="0.35"/>
    <row r="11862" hidden="1" x14ac:dyDescent="0.35"/>
    <row r="11863" hidden="1" x14ac:dyDescent="0.35"/>
    <row r="11864" hidden="1" x14ac:dyDescent="0.35"/>
    <row r="11865" hidden="1" x14ac:dyDescent="0.35"/>
    <row r="11866" hidden="1" x14ac:dyDescent="0.35"/>
    <row r="11867" hidden="1" x14ac:dyDescent="0.35"/>
    <row r="11868" hidden="1" x14ac:dyDescent="0.35"/>
    <row r="11869" hidden="1" x14ac:dyDescent="0.35"/>
    <row r="11870" hidden="1" x14ac:dyDescent="0.35"/>
    <row r="11871" hidden="1" x14ac:dyDescent="0.35"/>
    <row r="11872" hidden="1" x14ac:dyDescent="0.35"/>
    <row r="11873" hidden="1" x14ac:dyDescent="0.35"/>
    <row r="11874" hidden="1" x14ac:dyDescent="0.35"/>
    <row r="11875" hidden="1" x14ac:dyDescent="0.35"/>
    <row r="11876" hidden="1" x14ac:dyDescent="0.35"/>
    <row r="11877" hidden="1" x14ac:dyDescent="0.35"/>
    <row r="11878" hidden="1" x14ac:dyDescent="0.35"/>
    <row r="11879" hidden="1" x14ac:dyDescent="0.35"/>
    <row r="11880" hidden="1" x14ac:dyDescent="0.35"/>
    <row r="11881" hidden="1" x14ac:dyDescent="0.35"/>
    <row r="11882" hidden="1" x14ac:dyDescent="0.35"/>
    <row r="11883" hidden="1" x14ac:dyDescent="0.35"/>
    <row r="11884" hidden="1" x14ac:dyDescent="0.35"/>
    <row r="11885" hidden="1" x14ac:dyDescent="0.35"/>
    <row r="11886" hidden="1" x14ac:dyDescent="0.35"/>
    <row r="11887" hidden="1" x14ac:dyDescent="0.35"/>
    <row r="11888" hidden="1" x14ac:dyDescent="0.35"/>
    <row r="11889" hidden="1" x14ac:dyDescent="0.35"/>
    <row r="11890" hidden="1" x14ac:dyDescent="0.35"/>
    <row r="11891" hidden="1" x14ac:dyDescent="0.35"/>
    <row r="11892" hidden="1" x14ac:dyDescent="0.35"/>
    <row r="11893" hidden="1" x14ac:dyDescent="0.35"/>
    <row r="11894" hidden="1" x14ac:dyDescent="0.35"/>
    <row r="11895" hidden="1" x14ac:dyDescent="0.35"/>
    <row r="11896" hidden="1" x14ac:dyDescent="0.35"/>
    <row r="11897" hidden="1" x14ac:dyDescent="0.35"/>
    <row r="11898" hidden="1" x14ac:dyDescent="0.35"/>
    <row r="11899" hidden="1" x14ac:dyDescent="0.35"/>
    <row r="11900" hidden="1" x14ac:dyDescent="0.35"/>
    <row r="11901" hidden="1" x14ac:dyDescent="0.35"/>
    <row r="11902" hidden="1" x14ac:dyDescent="0.35"/>
    <row r="11903" hidden="1" x14ac:dyDescent="0.35"/>
    <row r="11904" hidden="1" x14ac:dyDescent="0.35"/>
    <row r="11905" hidden="1" x14ac:dyDescent="0.35"/>
    <row r="11906" hidden="1" x14ac:dyDescent="0.35"/>
    <row r="11907" hidden="1" x14ac:dyDescent="0.35"/>
    <row r="11908" hidden="1" x14ac:dyDescent="0.35"/>
    <row r="11909" hidden="1" x14ac:dyDescent="0.35"/>
    <row r="11910" hidden="1" x14ac:dyDescent="0.35"/>
    <row r="11911" hidden="1" x14ac:dyDescent="0.35"/>
    <row r="11912" hidden="1" x14ac:dyDescent="0.35"/>
    <row r="11913" hidden="1" x14ac:dyDescent="0.35"/>
    <row r="11914" hidden="1" x14ac:dyDescent="0.35"/>
    <row r="11915" hidden="1" x14ac:dyDescent="0.35"/>
    <row r="11916" hidden="1" x14ac:dyDescent="0.35"/>
    <row r="11917" hidden="1" x14ac:dyDescent="0.35"/>
    <row r="11918" hidden="1" x14ac:dyDescent="0.35"/>
    <row r="11919" hidden="1" x14ac:dyDescent="0.35"/>
    <row r="11920" hidden="1" x14ac:dyDescent="0.35"/>
    <row r="11921" hidden="1" x14ac:dyDescent="0.35"/>
    <row r="11922" hidden="1" x14ac:dyDescent="0.35"/>
    <row r="11923" hidden="1" x14ac:dyDescent="0.35"/>
    <row r="11924" hidden="1" x14ac:dyDescent="0.35"/>
    <row r="11925" hidden="1" x14ac:dyDescent="0.35"/>
    <row r="11926" hidden="1" x14ac:dyDescent="0.35"/>
    <row r="11927" hidden="1" x14ac:dyDescent="0.35"/>
    <row r="11928" hidden="1" x14ac:dyDescent="0.35"/>
    <row r="11929" hidden="1" x14ac:dyDescent="0.35"/>
    <row r="11930" hidden="1" x14ac:dyDescent="0.35"/>
    <row r="11931" hidden="1" x14ac:dyDescent="0.35"/>
    <row r="11932" hidden="1" x14ac:dyDescent="0.35"/>
    <row r="11933" hidden="1" x14ac:dyDescent="0.35"/>
    <row r="11934" hidden="1" x14ac:dyDescent="0.35"/>
    <row r="11935" hidden="1" x14ac:dyDescent="0.35"/>
    <row r="11936" hidden="1" x14ac:dyDescent="0.35"/>
    <row r="11937" hidden="1" x14ac:dyDescent="0.35"/>
    <row r="11938" hidden="1" x14ac:dyDescent="0.35"/>
    <row r="11939" hidden="1" x14ac:dyDescent="0.35"/>
    <row r="11940" hidden="1" x14ac:dyDescent="0.35"/>
    <row r="11941" hidden="1" x14ac:dyDescent="0.35"/>
    <row r="11942" hidden="1" x14ac:dyDescent="0.35"/>
    <row r="11943" hidden="1" x14ac:dyDescent="0.35"/>
    <row r="11944" hidden="1" x14ac:dyDescent="0.35"/>
    <row r="11945" hidden="1" x14ac:dyDescent="0.35"/>
    <row r="11946" hidden="1" x14ac:dyDescent="0.35"/>
    <row r="11947" hidden="1" x14ac:dyDescent="0.35"/>
    <row r="11948" hidden="1" x14ac:dyDescent="0.35"/>
    <row r="11949" hidden="1" x14ac:dyDescent="0.35"/>
    <row r="11950" hidden="1" x14ac:dyDescent="0.35"/>
    <row r="11951" hidden="1" x14ac:dyDescent="0.35"/>
    <row r="11952" hidden="1" x14ac:dyDescent="0.35"/>
    <row r="11953" hidden="1" x14ac:dyDescent="0.35"/>
    <row r="11954" hidden="1" x14ac:dyDescent="0.35"/>
    <row r="11955" hidden="1" x14ac:dyDescent="0.35"/>
    <row r="11956" hidden="1" x14ac:dyDescent="0.35"/>
    <row r="11957" hidden="1" x14ac:dyDescent="0.35"/>
    <row r="11958" hidden="1" x14ac:dyDescent="0.35"/>
    <row r="11959" hidden="1" x14ac:dyDescent="0.35"/>
    <row r="11960" hidden="1" x14ac:dyDescent="0.35"/>
    <row r="11961" hidden="1" x14ac:dyDescent="0.35"/>
    <row r="11962" hidden="1" x14ac:dyDescent="0.35"/>
    <row r="11963" hidden="1" x14ac:dyDescent="0.35"/>
    <row r="11964" hidden="1" x14ac:dyDescent="0.35"/>
    <row r="11965" hidden="1" x14ac:dyDescent="0.35"/>
    <row r="11966" hidden="1" x14ac:dyDescent="0.35"/>
    <row r="11967" hidden="1" x14ac:dyDescent="0.35"/>
    <row r="11968" hidden="1" x14ac:dyDescent="0.35"/>
    <row r="11969" hidden="1" x14ac:dyDescent="0.35"/>
    <row r="11970" hidden="1" x14ac:dyDescent="0.35"/>
    <row r="11971" hidden="1" x14ac:dyDescent="0.35"/>
    <row r="11972" hidden="1" x14ac:dyDescent="0.35"/>
    <row r="11973" hidden="1" x14ac:dyDescent="0.35"/>
    <row r="11974" hidden="1" x14ac:dyDescent="0.35"/>
    <row r="11975" hidden="1" x14ac:dyDescent="0.35"/>
    <row r="11976" hidden="1" x14ac:dyDescent="0.35"/>
    <row r="11977" hidden="1" x14ac:dyDescent="0.35"/>
    <row r="11978" hidden="1" x14ac:dyDescent="0.35"/>
    <row r="11979" hidden="1" x14ac:dyDescent="0.35"/>
    <row r="11980" hidden="1" x14ac:dyDescent="0.35"/>
    <row r="11981" hidden="1" x14ac:dyDescent="0.35"/>
    <row r="11982" hidden="1" x14ac:dyDescent="0.35"/>
    <row r="11983" hidden="1" x14ac:dyDescent="0.35"/>
    <row r="11984" hidden="1" x14ac:dyDescent="0.35"/>
    <row r="11985" hidden="1" x14ac:dyDescent="0.35"/>
    <row r="11986" hidden="1" x14ac:dyDescent="0.35"/>
    <row r="11987" hidden="1" x14ac:dyDescent="0.35"/>
    <row r="11988" hidden="1" x14ac:dyDescent="0.35"/>
    <row r="11989" hidden="1" x14ac:dyDescent="0.35"/>
    <row r="11990" hidden="1" x14ac:dyDescent="0.35"/>
    <row r="11991" hidden="1" x14ac:dyDescent="0.35"/>
    <row r="11992" hidden="1" x14ac:dyDescent="0.35"/>
    <row r="11993" hidden="1" x14ac:dyDescent="0.35"/>
    <row r="11994" hidden="1" x14ac:dyDescent="0.35"/>
    <row r="11995" hidden="1" x14ac:dyDescent="0.35"/>
    <row r="11996" hidden="1" x14ac:dyDescent="0.35"/>
    <row r="11997" hidden="1" x14ac:dyDescent="0.35"/>
    <row r="11998" hidden="1" x14ac:dyDescent="0.35"/>
    <row r="11999" hidden="1" x14ac:dyDescent="0.35"/>
    <row r="12000" hidden="1" x14ac:dyDescent="0.35"/>
    <row r="12001" hidden="1" x14ac:dyDescent="0.35"/>
    <row r="12002" hidden="1" x14ac:dyDescent="0.35"/>
    <row r="12003" hidden="1" x14ac:dyDescent="0.35"/>
    <row r="12004" hidden="1" x14ac:dyDescent="0.35"/>
    <row r="12005" hidden="1" x14ac:dyDescent="0.35"/>
    <row r="12006" hidden="1" x14ac:dyDescent="0.35"/>
    <row r="12007" hidden="1" x14ac:dyDescent="0.35"/>
    <row r="12008" hidden="1" x14ac:dyDescent="0.35"/>
    <row r="12009" hidden="1" x14ac:dyDescent="0.35"/>
    <row r="12010" hidden="1" x14ac:dyDescent="0.35"/>
    <row r="12011" hidden="1" x14ac:dyDescent="0.35"/>
    <row r="12012" hidden="1" x14ac:dyDescent="0.35"/>
    <row r="12013" hidden="1" x14ac:dyDescent="0.35"/>
    <row r="12014" hidden="1" x14ac:dyDescent="0.35"/>
    <row r="12015" hidden="1" x14ac:dyDescent="0.35"/>
    <row r="12016" hidden="1" x14ac:dyDescent="0.35"/>
    <row r="12017" hidden="1" x14ac:dyDescent="0.35"/>
    <row r="12018" hidden="1" x14ac:dyDescent="0.35"/>
    <row r="12019" hidden="1" x14ac:dyDescent="0.35"/>
    <row r="12020" hidden="1" x14ac:dyDescent="0.35"/>
    <row r="12021" hidden="1" x14ac:dyDescent="0.35"/>
    <row r="12022" hidden="1" x14ac:dyDescent="0.35"/>
    <row r="12023" hidden="1" x14ac:dyDescent="0.35"/>
    <row r="12024" hidden="1" x14ac:dyDescent="0.35"/>
    <row r="12025" hidden="1" x14ac:dyDescent="0.35"/>
    <row r="12026" hidden="1" x14ac:dyDescent="0.35"/>
    <row r="12027" hidden="1" x14ac:dyDescent="0.35"/>
    <row r="12028" hidden="1" x14ac:dyDescent="0.35"/>
    <row r="12029" hidden="1" x14ac:dyDescent="0.35"/>
    <row r="12030" hidden="1" x14ac:dyDescent="0.35"/>
    <row r="12031" hidden="1" x14ac:dyDescent="0.35"/>
    <row r="12032" hidden="1" x14ac:dyDescent="0.35"/>
    <row r="12033" hidden="1" x14ac:dyDescent="0.35"/>
    <row r="12034" hidden="1" x14ac:dyDescent="0.35"/>
    <row r="12035" hidden="1" x14ac:dyDescent="0.35"/>
    <row r="12036" hidden="1" x14ac:dyDescent="0.35"/>
    <row r="12037" hidden="1" x14ac:dyDescent="0.35"/>
    <row r="12038" hidden="1" x14ac:dyDescent="0.35"/>
    <row r="12039" hidden="1" x14ac:dyDescent="0.35"/>
    <row r="12040" hidden="1" x14ac:dyDescent="0.35"/>
    <row r="12041" hidden="1" x14ac:dyDescent="0.35"/>
    <row r="12042" hidden="1" x14ac:dyDescent="0.35"/>
    <row r="12043" hidden="1" x14ac:dyDescent="0.35"/>
    <row r="12044" hidden="1" x14ac:dyDescent="0.35"/>
    <row r="12045" hidden="1" x14ac:dyDescent="0.35"/>
    <row r="12046" hidden="1" x14ac:dyDescent="0.35"/>
    <row r="12047" hidden="1" x14ac:dyDescent="0.35"/>
    <row r="12048" hidden="1" x14ac:dyDescent="0.35"/>
    <row r="12049" hidden="1" x14ac:dyDescent="0.35"/>
    <row r="12050" hidden="1" x14ac:dyDescent="0.35"/>
    <row r="12051" hidden="1" x14ac:dyDescent="0.35"/>
    <row r="12052" hidden="1" x14ac:dyDescent="0.35"/>
    <row r="12053" hidden="1" x14ac:dyDescent="0.35"/>
    <row r="12054" hidden="1" x14ac:dyDescent="0.35"/>
    <row r="12055" hidden="1" x14ac:dyDescent="0.35"/>
    <row r="12056" hidden="1" x14ac:dyDescent="0.35"/>
    <row r="12057" hidden="1" x14ac:dyDescent="0.35"/>
    <row r="12058" hidden="1" x14ac:dyDescent="0.35"/>
    <row r="12059" hidden="1" x14ac:dyDescent="0.35"/>
    <row r="12060" hidden="1" x14ac:dyDescent="0.35"/>
    <row r="12061" hidden="1" x14ac:dyDescent="0.35"/>
    <row r="12062" hidden="1" x14ac:dyDescent="0.35"/>
    <row r="12063" hidden="1" x14ac:dyDescent="0.35"/>
    <row r="12064" hidden="1" x14ac:dyDescent="0.35"/>
    <row r="12065" hidden="1" x14ac:dyDescent="0.35"/>
    <row r="12066" hidden="1" x14ac:dyDescent="0.35"/>
    <row r="12067" hidden="1" x14ac:dyDescent="0.35"/>
    <row r="12068" hidden="1" x14ac:dyDescent="0.35"/>
    <row r="12069" hidden="1" x14ac:dyDescent="0.35"/>
    <row r="12070" hidden="1" x14ac:dyDescent="0.35"/>
    <row r="12071" hidden="1" x14ac:dyDescent="0.35"/>
    <row r="12072" hidden="1" x14ac:dyDescent="0.35"/>
    <row r="12073" hidden="1" x14ac:dyDescent="0.35"/>
    <row r="12074" hidden="1" x14ac:dyDescent="0.35"/>
    <row r="12075" hidden="1" x14ac:dyDescent="0.35"/>
    <row r="12076" hidden="1" x14ac:dyDescent="0.35"/>
    <row r="12077" hidden="1" x14ac:dyDescent="0.35"/>
    <row r="12078" hidden="1" x14ac:dyDescent="0.35"/>
    <row r="12079" hidden="1" x14ac:dyDescent="0.35"/>
    <row r="12080" hidden="1" x14ac:dyDescent="0.35"/>
    <row r="12081" hidden="1" x14ac:dyDescent="0.35"/>
    <row r="12082" hidden="1" x14ac:dyDescent="0.35"/>
    <row r="12083" hidden="1" x14ac:dyDescent="0.35"/>
    <row r="12084" hidden="1" x14ac:dyDescent="0.35"/>
    <row r="12085" hidden="1" x14ac:dyDescent="0.35"/>
    <row r="12086" hidden="1" x14ac:dyDescent="0.35"/>
    <row r="12087" hidden="1" x14ac:dyDescent="0.35"/>
    <row r="12088" hidden="1" x14ac:dyDescent="0.35"/>
    <row r="12089" hidden="1" x14ac:dyDescent="0.35"/>
    <row r="12090" hidden="1" x14ac:dyDescent="0.35"/>
    <row r="12091" hidden="1" x14ac:dyDescent="0.35"/>
    <row r="12092" hidden="1" x14ac:dyDescent="0.35"/>
    <row r="12093" hidden="1" x14ac:dyDescent="0.35"/>
    <row r="12094" hidden="1" x14ac:dyDescent="0.35"/>
    <row r="12095" hidden="1" x14ac:dyDescent="0.35"/>
    <row r="12096" hidden="1" x14ac:dyDescent="0.35"/>
    <row r="12097" hidden="1" x14ac:dyDescent="0.35"/>
    <row r="12098" hidden="1" x14ac:dyDescent="0.35"/>
    <row r="12099" hidden="1" x14ac:dyDescent="0.35"/>
    <row r="12100" hidden="1" x14ac:dyDescent="0.35"/>
    <row r="12101" hidden="1" x14ac:dyDescent="0.35"/>
    <row r="12102" hidden="1" x14ac:dyDescent="0.35"/>
    <row r="12103" hidden="1" x14ac:dyDescent="0.35"/>
    <row r="12104" hidden="1" x14ac:dyDescent="0.35"/>
    <row r="12105" hidden="1" x14ac:dyDescent="0.35"/>
    <row r="12106" hidden="1" x14ac:dyDescent="0.35"/>
    <row r="12107" hidden="1" x14ac:dyDescent="0.35"/>
    <row r="12108" hidden="1" x14ac:dyDescent="0.35"/>
    <row r="12109" hidden="1" x14ac:dyDescent="0.35"/>
    <row r="12110" hidden="1" x14ac:dyDescent="0.35"/>
    <row r="12111" hidden="1" x14ac:dyDescent="0.35"/>
    <row r="12112" hidden="1" x14ac:dyDescent="0.35"/>
    <row r="12113" hidden="1" x14ac:dyDescent="0.35"/>
    <row r="12114" hidden="1" x14ac:dyDescent="0.35"/>
    <row r="12115" hidden="1" x14ac:dyDescent="0.35"/>
    <row r="12116" hidden="1" x14ac:dyDescent="0.35"/>
    <row r="12117" hidden="1" x14ac:dyDescent="0.35"/>
    <row r="12118" hidden="1" x14ac:dyDescent="0.35"/>
    <row r="12119" hidden="1" x14ac:dyDescent="0.35"/>
    <row r="12120" hidden="1" x14ac:dyDescent="0.35"/>
    <row r="12121" hidden="1" x14ac:dyDescent="0.35"/>
    <row r="12122" hidden="1" x14ac:dyDescent="0.35"/>
    <row r="12123" hidden="1" x14ac:dyDescent="0.35"/>
    <row r="12124" hidden="1" x14ac:dyDescent="0.35"/>
    <row r="12125" hidden="1" x14ac:dyDescent="0.35"/>
    <row r="12126" hidden="1" x14ac:dyDescent="0.35"/>
    <row r="12127" hidden="1" x14ac:dyDescent="0.35"/>
    <row r="12128" hidden="1" x14ac:dyDescent="0.35"/>
    <row r="12129" hidden="1" x14ac:dyDescent="0.35"/>
    <row r="12130" hidden="1" x14ac:dyDescent="0.35"/>
    <row r="12131" hidden="1" x14ac:dyDescent="0.35"/>
    <row r="12132" hidden="1" x14ac:dyDescent="0.35"/>
    <row r="12133" hidden="1" x14ac:dyDescent="0.35"/>
    <row r="12134" hidden="1" x14ac:dyDescent="0.35"/>
    <row r="12135" hidden="1" x14ac:dyDescent="0.35"/>
    <row r="12136" hidden="1" x14ac:dyDescent="0.35"/>
    <row r="12137" hidden="1" x14ac:dyDescent="0.35"/>
    <row r="12138" hidden="1" x14ac:dyDescent="0.35"/>
    <row r="12139" hidden="1" x14ac:dyDescent="0.35"/>
    <row r="12140" hidden="1" x14ac:dyDescent="0.35"/>
    <row r="12141" hidden="1" x14ac:dyDescent="0.35"/>
    <row r="12142" hidden="1" x14ac:dyDescent="0.35"/>
    <row r="12143" hidden="1" x14ac:dyDescent="0.35"/>
    <row r="12144" hidden="1" x14ac:dyDescent="0.35"/>
    <row r="12145" hidden="1" x14ac:dyDescent="0.35"/>
    <row r="12146" hidden="1" x14ac:dyDescent="0.35"/>
    <row r="12147" hidden="1" x14ac:dyDescent="0.35"/>
    <row r="12148" hidden="1" x14ac:dyDescent="0.35"/>
    <row r="12149" hidden="1" x14ac:dyDescent="0.35"/>
    <row r="12150" hidden="1" x14ac:dyDescent="0.35"/>
    <row r="12151" hidden="1" x14ac:dyDescent="0.35"/>
    <row r="12152" hidden="1" x14ac:dyDescent="0.35"/>
    <row r="12153" hidden="1" x14ac:dyDescent="0.35"/>
    <row r="12154" hidden="1" x14ac:dyDescent="0.35"/>
    <row r="12155" hidden="1" x14ac:dyDescent="0.35"/>
    <row r="12156" hidden="1" x14ac:dyDescent="0.35"/>
    <row r="12157" hidden="1" x14ac:dyDescent="0.35"/>
    <row r="12158" hidden="1" x14ac:dyDescent="0.35"/>
    <row r="12159" hidden="1" x14ac:dyDescent="0.35"/>
    <row r="12160" hidden="1" x14ac:dyDescent="0.35"/>
    <row r="12161" hidden="1" x14ac:dyDescent="0.35"/>
    <row r="12162" hidden="1" x14ac:dyDescent="0.35"/>
    <row r="12163" hidden="1" x14ac:dyDescent="0.35"/>
    <row r="12164" hidden="1" x14ac:dyDescent="0.35"/>
    <row r="12165" hidden="1" x14ac:dyDescent="0.35"/>
    <row r="12166" hidden="1" x14ac:dyDescent="0.35"/>
    <row r="12167" hidden="1" x14ac:dyDescent="0.35"/>
    <row r="12168" hidden="1" x14ac:dyDescent="0.35"/>
    <row r="12169" hidden="1" x14ac:dyDescent="0.35"/>
    <row r="12170" hidden="1" x14ac:dyDescent="0.35"/>
    <row r="12171" hidden="1" x14ac:dyDescent="0.35"/>
    <row r="12172" hidden="1" x14ac:dyDescent="0.35"/>
    <row r="12173" hidden="1" x14ac:dyDescent="0.35"/>
    <row r="12174" hidden="1" x14ac:dyDescent="0.35"/>
    <row r="12175" hidden="1" x14ac:dyDescent="0.35"/>
    <row r="12176" hidden="1" x14ac:dyDescent="0.35"/>
    <row r="12177" hidden="1" x14ac:dyDescent="0.35"/>
    <row r="12178" hidden="1" x14ac:dyDescent="0.35"/>
    <row r="12179" hidden="1" x14ac:dyDescent="0.35"/>
    <row r="12180" hidden="1" x14ac:dyDescent="0.35"/>
    <row r="12181" hidden="1" x14ac:dyDescent="0.35"/>
    <row r="12182" hidden="1" x14ac:dyDescent="0.35"/>
    <row r="12183" hidden="1" x14ac:dyDescent="0.35"/>
    <row r="12184" hidden="1" x14ac:dyDescent="0.35"/>
    <row r="12185" hidden="1" x14ac:dyDescent="0.35"/>
    <row r="12186" hidden="1" x14ac:dyDescent="0.35"/>
    <row r="12187" hidden="1" x14ac:dyDescent="0.35"/>
    <row r="12188" hidden="1" x14ac:dyDescent="0.35"/>
    <row r="12189" hidden="1" x14ac:dyDescent="0.35"/>
    <row r="12190" hidden="1" x14ac:dyDescent="0.35"/>
    <row r="12191" hidden="1" x14ac:dyDescent="0.35"/>
    <row r="12192" hidden="1" x14ac:dyDescent="0.35"/>
    <row r="12193" hidden="1" x14ac:dyDescent="0.35"/>
    <row r="12194" hidden="1" x14ac:dyDescent="0.35"/>
    <row r="12195" hidden="1" x14ac:dyDescent="0.35"/>
    <row r="12196" hidden="1" x14ac:dyDescent="0.35"/>
    <row r="12197" hidden="1" x14ac:dyDescent="0.35"/>
    <row r="12198" hidden="1" x14ac:dyDescent="0.35"/>
    <row r="12199" hidden="1" x14ac:dyDescent="0.35"/>
    <row r="12200" hidden="1" x14ac:dyDescent="0.35"/>
    <row r="12201" hidden="1" x14ac:dyDescent="0.35"/>
    <row r="12202" hidden="1" x14ac:dyDescent="0.35"/>
    <row r="12203" hidden="1" x14ac:dyDescent="0.35"/>
    <row r="12204" hidden="1" x14ac:dyDescent="0.35"/>
    <row r="12205" hidden="1" x14ac:dyDescent="0.35"/>
    <row r="12206" hidden="1" x14ac:dyDescent="0.35"/>
    <row r="12207" hidden="1" x14ac:dyDescent="0.35"/>
    <row r="12208" hidden="1" x14ac:dyDescent="0.35"/>
    <row r="12209" hidden="1" x14ac:dyDescent="0.35"/>
    <row r="12210" hidden="1" x14ac:dyDescent="0.35"/>
    <row r="12211" hidden="1" x14ac:dyDescent="0.35"/>
    <row r="12212" hidden="1" x14ac:dyDescent="0.35"/>
    <row r="12213" hidden="1" x14ac:dyDescent="0.35"/>
    <row r="12214" hidden="1" x14ac:dyDescent="0.35"/>
    <row r="12215" hidden="1" x14ac:dyDescent="0.35"/>
    <row r="12216" hidden="1" x14ac:dyDescent="0.35"/>
    <row r="12217" hidden="1" x14ac:dyDescent="0.35"/>
    <row r="12218" hidden="1" x14ac:dyDescent="0.35"/>
    <row r="12219" hidden="1" x14ac:dyDescent="0.35"/>
    <row r="12220" hidden="1" x14ac:dyDescent="0.35"/>
    <row r="12221" hidden="1" x14ac:dyDescent="0.35"/>
    <row r="12222" hidden="1" x14ac:dyDescent="0.35"/>
    <row r="12223" hidden="1" x14ac:dyDescent="0.35"/>
    <row r="12224" hidden="1" x14ac:dyDescent="0.35"/>
    <row r="12225" hidden="1" x14ac:dyDescent="0.35"/>
    <row r="12226" hidden="1" x14ac:dyDescent="0.35"/>
    <row r="12227" hidden="1" x14ac:dyDescent="0.35"/>
    <row r="12228" hidden="1" x14ac:dyDescent="0.35"/>
    <row r="12229" hidden="1" x14ac:dyDescent="0.35"/>
    <row r="12230" hidden="1" x14ac:dyDescent="0.35"/>
    <row r="12231" hidden="1" x14ac:dyDescent="0.35"/>
    <row r="12232" hidden="1" x14ac:dyDescent="0.35"/>
    <row r="12233" hidden="1" x14ac:dyDescent="0.35"/>
    <row r="12234" hidden="1" x14ac:dyDescent="0.35"/>
    <row r="12235" hidden="1" x14ac:dyDescent="0.35"/>
    <row r="12236" hidden="1" x14ac:dyDescent="0.35"/>
    <row r="12237" hidden="1" x14ac:dyDescent="0.35"/>
    <row r="12238" hidden="1" x14ac:dyDescent="0.35"/>
    <row r="12239" hidden="1" x14ac:dyDescent="0.35"/>
    <row r="12240" hidden="1" x14ac:dyDescent="0.35"/>
    <row r="12241" hidden="1" x14ac:dyDescent="0.35"/>
    <row r="12242" hidden="1" x14ac:dyDescent="0.35"/>
    <row r="12243" hidden="1" x14ac:dyDescent="0.35"/>
    <row r="12244" hidden="1" x14ac:dyDescent="0.35"/>
    <row r="12245" hidden="1" x14ac:dyDescent="0.35"/>
    <row r="12246" hidden="1" x14ac:dyDescent="0.35"/>
    <row r="12247" hidden="1" x14ac:dyDescent="0.35"/>
    <row r="12248" hidden="1" x14ac:dyDescent="0.35"/>
    <row r="12249" hidden="1" x14ac:dyDescent="0.35"/>
    <row r="12250" hidden="1" x14ac:dyDescent="0.35"/>
    <row r="12251" hidden="1" x14ac:dyDescent="0.35"/>
    <row r="12252" hidden="1" x14ac:dyDescent="0.35"/>
    <row r="12253" hidden="1" x14ac:dyDescent="0.35"/>
    <row r="12254" hidden="1" x14ac:dyDescent="0.35"/>
    <row r="12255" hidden="1" x14ac:dyDescent="0.35"/>
    <row r="12256" hidden="1" x14ac:dyDescent="0.35"/>
    <row r="12257" hidden="1" x14ac:dyDescent="0.35"/>
    <row r="12258" hidden="1" x14ac:dyDescent="0.35"/>
    <row r="12259" hidden="1" x14ac:dyDescent="0.35"/>
    <row r="12260" hidden="1" x14ac:dyDescent="0.35"/>
    <row r="12261" hidden="1" x14ac:dyDescent="0.35"/>
    <row r="12262" hidden="1" x14ac:dyDescent="0.35"/>
    <row r="12263" hidden="1" x14ac:dyDescent="0.35"/>
    <row r="12264" hidden="1" x14ac:dyDescent="0.35"/>
    <row r="12265" hidden="1" x14ac:dyDescent="0.35"/>
    <row r="12266" hidden="1" x14ac:dyDescent="0.35"/>
    <row r="12267" hidden="1" x14ac:dyDescent="0.35"/>
    <row r="12268" hidden="1" x14ac:dyDescent="0.35"/>
    <row r="12269" hidden="1" x14ac:dyDescent="0.35"/>
    <row r="12270" hidden="1" x14ac:dyDescent="0.35"/>
    <row r="12271" hidden="1" x14ac:dyDescent="0.35"/>
    <row r="12272" hidden="1" x14ac:dyDescent="0.35"/>
    <row r="12273" hidden="1" x14ac:dyDescent="0.35"/>
    <row r="12274" hidden="1" x14ac:dyDescent="0.35"/>
    <row r="12275" hidden="1" x14ac:dyDescent="0.35"/>
    <row r="12276" hidden="1" x14ac:dyDescent="0.35"/>
    <row r="12277" hidden="1" x14ac:dyDescent="0.35"/>
    <row r="12278" hidden="1" x14ac:dyDescent="0.35"/>
    <row r="12279" hidden="1" x14ac:dyDescent="0.35"/>
    <row r="12280" hidden="1" x14ac:dyDescent="0.35"/>
    <row r="12281" hidden="1" x14ac:dyDescent="0.35"/>
    <row r="12282" hidden="1" x14ac:dyDescent="0.35"/>
    <row r="12283" hidden="1" x14ac:dyDescent="0.35"/>
    <row r="12284" hidden="1" x14ac:dyDescent="0.35"/>
    <row r="12285" hidden="1" x14ac:dyDescent="0.35"/>
    <row r="12286" hidden="1" x14ac:dyDescent="0.35"/>
    <row r="12287" hidden="1" x14ac:dyDescent="0.35"/>
    <row r="12288" hidden="1" x14ac:dyDescent="0.35"/>
    <row r="12289" hidden="1" x14ac:dyDescent="0.35"/>
    <row r="12290" hidden="1" x14ac:dyDescent="0.35"/>
    <row r="12291" hidden="1" x14ac:dyDescent="0.35"/>
    <row r="12292" hidden="1" x14ac:dyDescent="0.35"/>
    <row r="12293" hidden="1" x14ac:dyDescent="0.35"/>
    <row r="12294" hidden="1" x14ac:dyDescent="0.35"/>
    <row r="12295" hidden="1" x14ac:dyDescent="0.35"/>
    <row r="12296" hidden="1" x14ac:dyDescent="0.35"/>
    <row r="12297" hidden="1" x14ac:dyDescent="0.35"/>
    <row r="12298" hidden="1" x14ac:dyDescent="0.35"/>
    <row r="12299" hidden="1" x14ac:dyDescent="0.35"/>
    <row r="12300" hidden="1" x14ac:dyDescent="0.35"/>
    <row r="12301" hidden="1" x14ac:dyDescent="0.35"/>
    <row r="12302" hidden="1" x14ac:dyDescent="0.35"/>
    <row r="12303" hidden="1" x14ac:dyDescent="0.35"/>
    <row r="12304" hidden="1" x14ac:dyDescent="0.35"/>
    <row r="12305" hidden="1" x14ac:dyDescent="0.35"/>
    <row r="12306" hidden="1" x14ac:dyDescent="0.35"/>
    <row r="12307" hidden="1" x14ac:dyDescent="0.35"/>
    <row r="12308" hidden="1" x14ac:dyDescent="0.35"/>
    <row r="12309" hidden="1" x14ac:dyDescent="0.35"/>
    <row r="12310" hidden="1" x14ac:dyDescent="0.35"/>
    <row r="12311" hidden="1" x14ac:dyDescent="0.35"/>
    <row r="12312" hidden="1" x14ac:dyDescent="0.35"/>
    <row r="12313" hidden="1" x14ac:dyDescent="0.35"/>
    <row r="12314" hidden="1" x14ac:dyDescent="0.35"/>
    <row r="12315" hidden="1" x14ac:dyDescent="0.35"/>
    <row r="12316" hidden="1" x14ac:dyDescent="0.35"/>
    <row r="12317" hidden="1" x14ac:dyDescent="0.35"/>
    <row r="12318" hidden="1" x14ac:dyDescent="0.35"/>
    <row r="12319" hidden="1" x14ac:dyDescent="0.35"/>
    <row r="12320" hidden="1" x14ac:dyDescent="0.35"/>
    <row r="12321" hidden="1" x14ac:dyDescent="0.35"/>
    <row r="12322" hidden="1" x14ac:dyDescent="0.35"/>
    <row r="12323" hidden="1" x14ac:dyDescent="0.35"/>
    <row r="12324" hidden="1" x14ac:dyDescent="0.35"/>
    <row r="12325" hidden="1" x14ac:dyDescent="0.35"/>
    <row r="12326" hidden="1" x14ac:dyDescent="0.35"/>
    <row r="12327" hidden="1" x14ac:dyDescent="0.35"/>
    <row r="12328" hidden="1" x14ac:dyDescent="0.35"/>
    <row r="12329" hidden="1" x14ac:dyDescent="0.35"/>
    <row r="12330" hidden="1" x14ac:dyDescent="0.35"/>
    <row r="12331" hidden="1" x14ac:dyDescent="0.35"/>
    <row r="12332" hidden="1" x14ac:dyDescent="0.35"/>
    <row r="12333" hidden="1" x14ac:dyDescent="0.35"/>
    <row r="12334" hidden="1" x14ac:dyDescent="0.35"/>
    <row r="12335" hidden="1" x14ac:dyDescent="0.35"/>
    <row r="12336" hidden="1" x14ac:dyDescent="0.35"/>
    <row r="12337" hidden="1" x14ac:dyDescent="0.35"/>
    <row r="12338" hidden="1" x14ac:dyDescent="0.35"/>
    <row r="12339" hidden="1" x14ac:dyDescent="0.35"/>
    <row r="12340" hidden="1" x14ac:dyDescent="0.35"/>
    <row r="12341" hidden="1" x14ac:dyDescent="0.35"/>
    <row r="12342" hidden="1" x14ac:dyDescent="0.35"/>
    <row r="12343" hidden="1" x14ac:dyDescent="0.35"/>
    <row r="12344" hidden="1" x14ac:dyDescent="0.35"/>
    <row r="12345" hidden="1" x14ac:dyDescent="0.35"/>
    <row r="12346" hidden="1" x14ac:dyDescent="0.35"/>
    <row r="12347" hidden="1" x14ac:dyDescent="0.35"/>
    <row r="12348" hidden="1" x14ac:dyDescent="0.35"/>
    <row r="12349" hidden="1" x14ac:dyDescent="0.35"/>
    <row r="12350" hidden="1" x14ac:dyDescent="0.35"/>
    <row r="12351" hidden="1" x14ac:dyDescent="0.35"/>
    <row r="12352" hidden="1" x14ac:dyDescent="0.35"/>
    <row r="12353" hidden="1" x14ac:dyDescent="0.35"/>
    <row r="12354" hidden="1" x14ac:dyDescent="0.35"/>
    <row r="12355" hidden="1" x14ac:dyDescent="0.35"/>
    <row r="12356" hidden="1" x14ac:dyDescent="0.35"/>
    <row r="12357" hidden="1" x14ac:dyDescent="0.35"/>
    <row r="12358" hidden="1" x14ac:dyDescent="0.35"/>
    <row r="12359" hidden="1" x14ac:dyDescent="0.35"/>
    <row r="12360" hidden="1" x14ac:dyDescent="0.35"/>
    <row r="12361" hidden="1" x14ac:dyDescent="0.35"/>
    <row r="12362" hidden="1" x14ac:dyDescent="0.35"/>
    <row r="12363" hidden="1" x14ac:dyDescent="0.35"/>
    <row r="12364" hidden="1" x14ac:dyDescent="0.35"/>
    <row r="12365" hidden="1" x14ac:dyDescent="0.35"/>
    <row r="12366" hidden="1" x14ac:dyDescent="0.35"/>
    <row r="12367" hidden="1" x14ac:dyDescent="0.35"/>
    <row r="12368" hidden="1" x14ac:dyDescent="0.35"/>
    <row r="12369" hidden="1" x14ac:dyDescent="0.35"/>
    <row r="12370" hidden="1" x14ac:dyDescent="0.35"/>
    <row r="12371" hidden="1" x14ac:dyDescent="0.35"/>
    <row r="12372" hidden="1" x14ac:dyDescent="0.35"/>
    <row r="12373" hidden="1" x14ac:dyDescent="0.35"/>
    <row r="12374" hidden="1" x14ac:dyDescent="0.35"/>
    <row r="12375" hidden="1" x14ac:dyDescent="0.35"/>
    <row r="12376" hidden="1" x14ac:dyDescent="0.35"/>
    <row r="12377" hidden="1" x14ac:dyDescent="0.35"/>
    <row r="12378" hidden="1" x14ac:dyDescent="0.35"/>
    <row r="12379" hidden="1" x14ac:dyDescent="0.35"/>
    <row r="12380" hidden="1" x14ac:dyDescent="0.35"/>
    <row r="12381" hidden="1" x14ac:dyDescent="0.35"/>
    <row r="12382" hidden="1" x14ac:dyDescent="0.35"/>
    <row r="12383" hidden="1" x14ac:dyDescent="0.35"/>
    <row r="12384" hidden="1" x14ac:dyDescent="0.35"/>
    <row r="12385" hidden="1" x14ac:dyDescent="0.35"/>
    <row r="12386" hidden="1" x14ac:dyDescent="0.35"/>
    <row r="12387" hidden="1" x14ac:dyDescent="0.35"/>
    <row r="12388" hidden="1" x14ac:dyDescent="0.35"/>
    <row r="12389" hidden="1" x14ac:dyDescent="0.35"/>
    <row r="12390" hidden="1" x14ac:dyDescent="0.35"/>
    <row r="12391" hidden="1" x14ac:dyDescent="0.35"/>
    <row r="12392" hidden="1" x14ac:dyDescent="0.35"/>
    <row r="12393" hidden="1" x14ac:dyDescent="0.35"/>
    <row r="12394" hidden="1" x14ac:dyDescent="0.35"/>
    <row r="12395" hidden="1" x14ac:dyDescent="0.35"/>
    <row r="12396" hidden="1" x14ac:dyDescent="0.35"/>
    <row r="12397" hidden="1" x14ac:dyDescent="0.35"/>
    <row r="12398" hidden="1" x14ac:dyDescent="0.35"/>
    <row r="12399" hidden="1" x14ac:dyDescent="0.35"/>
    <row r="12400" hidden="1" x14ac:dyDescent="0.35"/>
    <row r="12401" hidden="1" x14ac:dyDescent="0.35"/>
    <row r="12402" hidden="1" x14ac:dyDescent="0.35"/>
    <row r="12403" hidden="1" x14ac:dyDescent="0.35"/>
    <row r="12404" hidden="1" x14ac:dyDescent="0.35"/>
    <row r="12405" hidden="1" x14ac:dyDescent="0.35"/>
    <row r="12406" hidden="1" x14ac:dyDescent="0.35"/>
    <row r="12407" hidden="1" x14ac:dyDescent="0.35"/>
    <row r="12408" hidden="1" x14ac:dyDescent="0.35"/>
    <row r="12409" hidden="1" x14ac:dyDescent="0.35"/>
    <row r="12410" hidden="1" x14ac:dyDescent="0.35"/>
    <row r="12411" hidden="1" x14ac:dyDescent="0.35"/>
    <row r="12412" hidden="1" x14ac:dyDescent="0.35"/>
    <row r="12413" hidden="1" x14ac:dyDescent="0.35"/>
    <row r="12414" hidden="1" x14ac:dyDescent="0.35"/>
    <row r="12415" hidden="1" x14ac:dyDescent="0.35"/>
    <row r="12416" hidden="1" x14ac:dyDescent="0.35"/>
    <row r="12417" hidden="1" x14ac:dyDescent="0.35"/>
    <row r="12418" hidden="1" x14ac:dyDescent="0.35"/>
    <row r="12419" hidden="1" x14ac:dyDescent="0.35"/>
    <row r="12420" hidden="1" x14ac:dyDescent="0.35"/>
    <row r="12421" hidden="1" x14ac:dyDescent="0.35"/>
    <row r="12422" hidden="1" x14ac:dyDescent="0.35"/>
    <row r="12423" hidden="1" x14ac:dyDescent="0.35"/>
    <row r="12424" hidden="1" x14ac:dyDescent="0.35"/>
    <row r="12425" hidden="1" x14ac:dyDescent="0.35"/>
    <row r="12426" hidden="1" x14ac:dyDescent="0.35"/>
    <row r="12427" hidden="1" x14ac:dyDescent="0.35"/>
    <row r="12428" hidden="1" x14ac:dyDescent="0.35"/>
    <row r="12429" hidden="1" x14ac:dyDescent="0.35"/>
    <row r="12430" hidden="1" x14ac:dyDescent="0.35"/>
    <row r="12431" hidden="1" x14ac:dyDescent="0.35"/>
    <row r="12432" hidden="1" x14ac:dyDescent="0.35"/>
    <row r="12433" hidden="1" x14ac:dyDescent="0.35"/>
    <row r="12434" hidden="1" x14ac:dyDescent="0.35"/>
    <row r="12435" hidden="1" x14ac:dyDescent="0.35"/>
    <row r="12436" hidden="1" x14ac:dyDescent="0.35"/>
    <row r="12437" hidden="1" x14ac:dyDescent="0.35"/>
    <row r="12438" hidden="1" x14ac:dyDescent="0.35"/>
    <row r="12439" hidden="1" x14ac:dyDescent="0.35"/>
    <row r="12440" hidden="1" x14ac:dyDescent="0.35"/>
    <row r="12441" hidden="1" x14ac:dyDescent="0.35"/>
    <row r="12442" hidden="1" x14ac:dyDescent="0.35"/>
    <row r="12443" hidden="1" x14ac:dyDescent="0.35"/>
    <row r="12444" hidden="1" x14ac:dyDescent="0.35"/>
    <row r="12445" hidden="1" x14ac:dyDescent="0.35"/>
    <row r="12446" hidden="1" x14ac:dyDescent="0.35"/>
    <row r="12447" hidden="1" x14ac:dyDescent="0.35"/>
    <row r="12448" hidden="1" x14ac:dyDescent="0.35"/>
    <row r="12449" hidden="1" x14ac:dyDescent="0.35"/>
    <row r="12450" hidden="1" x14ac:dyDescent="0.35"/>
    <row r="12451" hidden="1" x14ac:dyDescent="0.35"/>
    <row r="12452" hidden="1" x14ac:dyDescent="0.35"/>
    <row r="12453" hidden="1" x14ac:dyDescent="0.35"/>
    <row r="12454" hidden="1" x14ac:dyDescent="0.35"/>
    <row r="12455" hidden="1" x14ac:dyDescent="0.35"/>
    <row r="12456" hidden="1" x14ac:dyDescent="0.35"/>
    <row r="12457" hidden="1" x14ac:dyDescent="0.35"/>
    <row r="12458" hidden="1" x14ac:dyDescent="0.35"/>
    <row r="12459" hidden="1" x14ac:dyDescent="0.35"/>
    <row r="12460" hidden="1" x14ac:dyDescent="0.35"/>
    <row r="12461" hidden="1" x14ac:dyDescent="0.35"/>
    <row r="12462" hidden="1" x14ac:dyDescent="0.35"/>
    <row r="12463" hidden="1" x14ac:dyDescent="0.35"/>
    <row r="12464" hidden="1" x14ac:dyDescent="0.35"/>
    <row r="12465" hidden="1" x14ac:dyDescent="0.35"/>
    <row r="12466" hidden="1" x14ac:dyDescent="0.35"/>
    <row r="12467" hidden="1" x14ac:dyDescent="0.35"/>
    <row r="12468" hidden="1" x14ac:dyDescent="0.35"/>
    <row r="12469" hidden="1" x14ac:dyDescent="0.35"/>
    <row r="12470" hidden="1" x14ac:dyDescent="0.35"/>
    <row r="12471" hidden="1" x14ac:dyDescent="0.35"/>
    <row r="12472" hidden="1" x14ac:dyDescent="0.35"/>
    <row r="12473" hidden="1" x14ac:dyDescent="0.35"/>
    <row r="12474" hidden="1" x14ac:dyDescent="0.35"/>
    <row r="12475" hidden="1" x14ac:dyDescent="0.35"/>
    <row r="12476" hidden="1" x14ac:dyDescent="0.35"/>
    <row r="12477" hidden="1" x14ac:dyDescent="0.35"/>
    <row r="12478" hidden="1" x14ac:dyDescent="0.35"/>
    <row r="12479" hidden="1" x14ac:dyDescent="0.35"/>
    <row r="12480" hidden="1" x14ac:dyDescent="0.35"/>
    <row r="12481" hidden="1" x14ac:dyDescent="0.35"/>
    <row r="12482" hidden="1" x14ac:dyDescent="0.35"/>
    <row r="12483" hidden="1" x14ac:dyDescent="0.35"/>
    <row r="12484" hidden="1" x14ac:dyDescent="0.35"/>
    <row r="12485" hidden="1" x14ac:dyDescent="0.35"/>
    <row r="12486" hidden="1" x14ac:dyDescent="0.35"/>
    <row r="12487" hidden="1" x14ac:dyDescent="0.35"/>
    <row r="12488" hidden="1" x14ac:dyDescent="0.35"/>
    <row r="12489" hidden="1" x14ac:dyDescent="0.35"/>
    <row r="12490" hidden="1" x14ac:dyDescent="0.35"/>
    <row r="12491" hidden="1" x14ac:dyDescent="0.35"/>
    <row r="12492" hidden="1" x14ac:dyDescent="0.35"/>
    <row r="12493" hidden="1" x14ac:dyDescent="0.35"/>
    <row r="12494" hidden="1" x14ac:dyDescent="0.35"/>
    <row r="12495" hidden="1" x14ac:dyDescent="0.35"/>
    <row r="12496" hidden="1" x14ac:dyDescent="0.35"/>
    <row r="12497" hidden="1" x14ac:dyDescent="0.35"/>
    <row r="12498" hidden="1" x14ac:dyDescent="0.35"/>
    <row r="12499" hidden="1" x14ac:dyDescent="0.35"/>
    <row r="12500" hidden="1" x14ac:dyDescent="0.35"/>
    <row r="12501" hidden="1" x14ac:dyDescent="0.35"/>
    <row r="12502" hidden="1" x14ac:dyDescent="0.35"/>
    <row r="12503" hidden="1" x14ac:dyDescent="0.35"/>
    <row r="12504" hidden="1" x14ac:dyDescent="0.35"/>
    <row r="12505" hidden="1" x14ac:dyDescent="0.35"/>
    <row r="12506" hidden="1" x14ac:dyDescent="0.35"/>
    <row r="12507" hidden="1" x14ac:dyDescent="0.35"/>
    <row r="12508" hidden="1" x14ac:dyDescent="0.35"/>
    <row r="12509" hidden="1" x14ac:dyDescent="0.35"/>
    <row r="12510" hidden="1" x14ac:dyDescent="0.35"/>
    <row r="12511" hidden="1" x14ac:dyDescent="0.35"/>
    <row r="12512" hidden="1" x14ac:dyDescent="0.35"/>
    <row r="12513" hidden="1" x14ac:dyDescent="0.35"/>
    <row r="12514" hidden="1" x14ac:dyDescent="0.35"/>
    <row r="12515" hidden="1" x14ac:dyDescent="0.35"/>
    <row r="12516" hidden="1" x14ac:dyDescent="0.35"/>
    <row r="12517" hidden="1" x14ac:dyDescent="0.35"/>
    <row r="12518" hidden="1" x14ac:dyDescent="0.35"/>
    <row r="12519" hidden="1" x14ac:dyDescent="0.35"/>
    <row r="12520" hidden="1" x14ac:dyDescent="0.35"/>
    <row r="12521" hidden="1" x14ac:dyDescent="0.35"/>
    <row r="12522" hidden="1" x14ac:dyDescent="0.35"/>
    <row r="12523" hidden="1" x14ac:dyDescent="0.35"/>
    <row r="12524" hidden="1" x14ac:dyDescent="0.35"/>
    <row r="12525" hidden="1" x14ac:dyDescent="0.35"/>
    <row r="12526" hidden="1" x14ac:dyDescent="0.35"/>
    <row r="12527" hidden="1" x14ac:dyDescent="0.35"/>
    <row r="12528" hidden="1" x14ac:dyDescent="0.35"/>
    <row r="12529" hidden="1" x14ac:dyDescent="0.35"/>
    <row r="12530" hidden="1" x14ac:dyDescent="0.35"/>
    <row r="12531" hidden="1" x14ac:dyDescent="0.35"/>
    <row r="12532" hidden="1" x14ac:dyDescent="0.35"/>
    <row r="12533" hidden="1" x14ac:dyDescent="0.35"/>
    <row r="12534" hidden="1" x14ac:dyDescent="0.35"/>
    <row r="12535" hidden="1" x14ac:dyDescent="0.35"/>
    <row r="12536" hidden="1" x14ac:dyDescent="0.35"/>
    <row r="12537" hidden="1" x14ac:dyDescent="0.35"/>
    <row r="12538" hidden="1" x14ac:dyDescent="0.35"/>
    <row r="12539" hidden="1" x14ac:dyDescent="0.35"/>
    <row r="12540" hidden="1" x14ac:dyDescent="0.35"/>
    <row r="12541" hidden="1" x14ac:dyDescent="0.35"/>
    <row r="12542" hidden="1" x14ac:dyDescent="0.35"/>
    <row r="12543" hidden="1" x14ac:dyDescent="0.35"/>
    <row r="12544" hidden="1" x14ac:dyDescent="0.35"/>
    <row r="12545" hidden="1" x14ac:dyDescent="0.35"/>
    <row r="12546" hidden="1" x14ac:dyDescent="0.35"/>
    <row r="12547" hidden="1" x14ac:dyDescent="0.35"/>
    <row r="12548" hidden="1" x14ac:dyDescent="0.35"/>
    <row r="12549" hidden="1" x14ac:dyDescent="0.35"/>
    <row r="12550" hidden="1" x14ac:dyDescent="0.35"/>
    <row r="12551" hidden="1" x14ac:dyDescent="0.35"/>
    <row r="12552" hidden="1" x14ac:dyDescent="0.35"/>
    <row r="12553" hidden="1" x14ac:dyDescent="0.35"/>
    <row r="12554" hidden="1" x14ac:dyDescent="0.35"/>
    <row r="12555" hidden="1" x14ac:dyDescent="0.35"/>
    <row r="12556" hidden="1" x14ac:dyDescent="0.35"/>
    <row r="12557" hidden="1" x14ac:dyDescent="0.35"/>
    <row r="12558" hidden="1" x14ac:dyDescent="0.35"/>
    <row r="12559" hidden="1" x14ac:dyDescent="0.35"/>
    <row r="12560" hidden="1" x14ac:dyDescent="0.35"/>
    <row r="12561" hidden="1" x14ac:dyDescent="0.35"/>
    <row r="12562" hidden="1" x14ac:dyDescent="0.35"/>
    <row r="12563" hidden="1" x14ac:dyDescent="0.35"/>
    <row r="12564" hidden="1" x14ac:dyDescent="0.35"/>
    <row r="12565" hidden="1" x14ac:dyDescent="0.35"/>
    <row r="12566" hidden="1" x14ac:dyDescent="0.35"/>
    <row r="12567" hidden="1" x14ac:dyDescent="0.35"/>
    <row r="12568" hidden="1" x14ac:dyDescent="0.35"/>
    <row r="12569" hidden="1" x14ac:dyDescent="0.35"/>
    <row r="12570" hidden="1" x14ac:dyDescent="0.35"/>
    <row r="12571" hidden="1" x14ac:dyDescent="0.35"/>
    <row r="12572" hidden="1" x14ac:dyDescent="0.35"/>
    <row r="12573" hidden="1" x14ac:dyDescent="0.35"/>
    <row r="12574" hidden="1" x14ac:dyDescent="0.35"/>
    <row r="12575" hidden="1" x14ac:dyDescent="0.35"/>
    <row r="12576" hidden="1" x14ac:dyDescent="0.35"/>
    <row r="12577" hidden="1" x14ac:dyDescent="0.35"/>
    <row r="12578" hidden="1" x14ac:dyDescent="0.35"/>
    <row r="12579" hidden="1" x14ac:dyDescent="0.35"/>
    <row r="12580" hidden="1" x14ac:dyDescent="0.35"/>
    <row r="12581" hidden="1" x14ac:dyDescent="0.35"/>
    <row r="12582" hidden="1" x14ac:dyDescent="0.35"/>
    <row r="12583" hidden="1" x14ac:dyDescent="0.35"/>
    <row r="12584" hidden="1" x14ac:dyDescent="0.35"/>
    <row r="12585" hidden="1" x14ac:dyDescent="0.35"/>
    <row r="12586" hidden="1" x14ac:dyDescent="0.35"/>
    <row r="12587" hidden="1" x14ac:dyDescent="0.35"/>
    <row r="12588" hidden="1" x14ac:dyDescent="0.35"/>
    <row r="12589" hidden="1" x14ac:dyDescent="0.35"/>
    <row r="12590" hidden="1" x14ac:dyDescent="0.35"/>
    <row r="12591" hidden="1" x14ac:dyDescent="0.35"/>
    <row r="12592" hidden="1" x14ac:dyDescent="0.35"/>
    <row r="12593" hidden="1" x14ac:dyDescent="0.35"/>
    <row r="12594" hidden="1" x14ac:dyDescent="0.35"/>
    <row r="12595" hidden="1" x14ac:dyDescent="0.35"/>
    <row r="12596" hidden="1" x14ac:dyDescent="0.35"/>
    <row r="12597" hidden="1" x14ac:dyDescent="0.35"/>
    <row r="12598" hidden="1" x14ac:dyDescent="0.35"/>
    <row r="12599" hidden="1" x14ac:dyDescent="0.35"/>
    <row r="12600" hidden="1" x14ac:dyDescent="0.35"/>
    <row r="12601" hidden="1" x14ac:dyDescent="0.35"/>
    <row r="12602" hidden="1" x14ac:dyDescent="0.35"/>
    <row r="12603" hidden="1" x14ac:dyDescent="0.35"/>
    <row r="12604" hidden="1" x14ac:dyDescent="0.35"/>
    <row r="12605" hidden="1" x14ac:dyDescent="0.35"/>
    <row r="12606" hidden="1" x14ac:dyDescent="0.35"/>
    <row r="12607" hidden="1" x14ac:dyDescent="0.35"/>
    <row r="12608" hidden="1" x14ac:dyDescent="0.35"/>
    <row r="12609" hidden="1" x14ac:dyDescent="0.35"/>
    <row r="12610" hidden="1" x14ac:dyDescent="0.35"/>
    <row r="12611" hidden="1" x14ac:dyDescent="0.35"/>
    <row r="12612" hidden="1" x14ac:dyDescent="0.35"/>
    <row r="12613" hidden="1" x14ac:dyDescent="0.35"/>
    <row r="12614" hidden="1" x14ac:dyDescent="0.35"/>
    <row r="12615" hidden="1" x14ac:dyDescent="0.35"/>
    <row r="12616" hidden="1" x14ac:dyDescent="0.35"/>
    <row r="12617" hidden="1" x14ac:dyDescent="0.35"/>
    <row r="12618" hidden="1" x14ac:dyDescent="0.35"/>
    <row r="12619" hidden="1" x14ac:dyDescent="0.35"/>
    <row r="12620" hidden="1" x14ac:dyDescent="0.35"/>
    <row r="12621" hidden="1" x14ac:dyDescent="0.35"/>
    <row r="12622" hidden="1" x14ac:dyDescent="0.35"/>
    <row r="12623" hidden="1" x14ac:dyDescent="0.35"/>
    <row r="12624" hidden="1" x14ac:dyDescent="0.35"/>
    <row r="12625" hidden="1" x14ac:dyDescent="0.35"/>
    <row r="12626" hidden="1" x14ac:dyDescent="0.35"/>
    <row r="12627" hidden="1" x14ac:dyDescent="0.35"/>
    <row r="12628" hidden="1" x14ac:dyDescent="0.35"/>
    <row r="12629" hidden="1" x14ac:dyDescent="0.35"/>
    <row r="12630" hidden="1" x14ac:dyDescent="0.35"/>
    <row r="12631" hidden="1" x14ac:dyDescent="0.35"/>
    <row r="12632" hidden="1" x14ac:dyDescent="0.35"/>
    <row r="12633" hidden="1" x14ac:dyDescent="0.35"/>
    <row r="12634" hidden="1" x14ac:dyDescent="0.35"/>
    <row r="12635" hidden="1" x14ac:dyDescent="0.35"/>
    <row r="12636" hidden="1" x14ac:dyDescent="0.35"/>
    <row r="12637" hidden="1" x14ac:dyDescent="0.35"/>
    <row r="12638" hidden="1" x14ac:dyDescent="0.35"/>
    <row r="12639" hidden="1" x14ac:dyDescent="0.35"/>
    <row r="12640" hidden="1" x14ac:dyDescent="0.35"/>
    <row r="12641" hidden="1" x14ac:dyDescent="0.35"/>
    <row r="12642" hidden="1" x14ac:dyDescent="0.35"/>
    <row r="12643" hidden="1" x14ac:dyDescent="0.35"/>
    <row r="12644" hidden="1" x14ac:dyDescent="0.35"/>
    <row r="12645" hidden="1" x14ac:dyDescent="0.35"/>
    <row r="12646" hidden="1" x14ac:dyDescent="0.35"/>
    <row r="12647" hidden="1" x14ac:dyDescent="0.35"/>
    <row r="12648" hidden="1" x14ac:dyDescent="0.35"/>
    <row r="12649" hidden="1" x14ac:dyDescent="0.35"/>
    <row r="12650" hidden="1" x14ac:dyDescent="0.35"/>
    <row r="12651" hidden="1" x14ac:dyDescent="0.35"/>
    <row r="12652" hidden="1" x14ac:dyDescent="0.35"/>
    <row r="12653" hidden="1" x14ac:dyDescent="0.35"/>
    <row r="12654" hidden="1" x14ac:dyDescent="0.35"/>
    <row r="12655" hidden="1" x14ac:dyDescent="0.35"/>
    <row r="12656" hidden="1" x14ac:dyDescent="0.35"/>
    <row r="12657" hidden="1" x14ac:dyDescent="0.35"/>
    <row r="12658" hidden="1" x14ac:dyDescent="0.35"/>
    <row r="12659" hidden="1" x14ac:dyDescent="0.35"/>
    <row r="12660" hidden="1" x14ac:dyDescent="0.35"/>
    <row r="12661" hidden="1" x14ac:dyDescent="0.35"/>
    <row r="12662" hidden="1" x14ac:dyDescent="0.35"/>
    <row r="12663" hidden="1" x14ac:dyDescent="0.35"/>
    <row r="12664" hidden="1" x14ac:dyDescent="0.35"/>
    <row r="12665" hidden="1" x14ac:dyDescent="0.35"/>
    <row r="12666" hidden="1" x14ac:dyDescent="0.35"/>
    <row r="12667" hidden="1" x14ac:dyDescent="0.35"/>
    <row r="12668" hidden="1" x14ac:dyDescent="0.35"/>
    <row r="12669" hidden="1" x14ac:dyDescent="0.35"/>
    <row r="12670" hidden="1" x14ac:dyDescent="0.35"/>
    <row r="12671" hidden="1" x14ac:dyDescent="0.35"/>
    <row r="12672" hidden="1" x14ac:dyDescent="0.35"/>
    <row r="12673" hidden="1" x14ac:dyDescent="0.35"/>
    <row r="12674" hidden="1" x14ac:dyDescent="0.35"/>
    <row r="12675" hidden="1" x14ac:dyDescent="0.35"/>
    <row r="12676" hidden="1" x14ac:dyDescent="0.35"/>
    <row r="12677" hidden="1" x14ac:dyDescent="0.35"/>
    <row r="12678" hidden="1" x14ac:dyDescent="0.35"/>
    <row r="12679" hidden="1" x14ac:dyDescent="0.35"/>
    <row r="12680" hidden="1" x14ac:dyDescent="0.35"/>
    <row r="12681" hidden="1" x14ac:dyDescent="0.35"/>
    <row r="12682" hidden="1" x14ac:dyDescent="0.35"/>
    <row r="12683" hidden="1" x14ac:dyDescent="0.35"/>
    <row r="12684" hidden="1" x14ac:dyDescent="0.35"/>
    <row r="12685" hidden="1" x14ac:dyDescent="0.35"/>
    <row r="12686" hidden="1" x14ac:dyDescent="0.35"/>
    <row r="12687" hidden="1" x14ac:dyDescent="0.35"/>
    <row r="12688" hidden="1" x14ac:dyDescent="0.35"/>
    <row r="12689" hidden="1" x14ac:dyDescent="0.35"/>
    <row r="12690" hidden="1" x14ac:dyDescent="0.35"/>
    <row r="12691" hidden="1" x14ac:dyDescent="0.35"/>
    <row r="12692" hidden="1" x14ac:dyDescent="0.35"/>
    <row r="12693" hidden="1" x14ac:dyDescent="0.35"/>
    <row r="12694" hidden="1" x14ac:dyDescent="0.35"/>
    <row r="12695" hidden="1" x14ac:dyDescent="0.35"/>
    <row r="12696" hidden="1" x14ac:dyDescent="0.35"/>
    <row r="12697" hidden="1" x14ac:dyDescent="0.35"/>
    <row r="12698" hidden="1" x14ac:dyDescent="0.35"/>
    <row r="12699" hidden="1" x14ac:dyDescent="0.35"/>
    <row r="12700" hidden="1" x14ac:dyDescent="0.35"/>
    <row r="12701" hidden="1" x14ac:dyDescent="0.35"/>
    <row r="12702" hidden="1" x14ac:dyDescent="0.35"/>
    <row r="12703" hidden="1" x14ac:dyDescent="0.35"/>
    <row r="12704" hidden="1" x14ac:dyDescent="0.35"/>
    <row r="12705" hidden="1" x14ac:dyDescent="0.35"/>
    <row r="12706" hidden="1" x14ac:dyDescent="0.35"/>
    <row r="12707" hidden="1" x14ac:dyDescent="0.35"/>
    <row r="12708" hidden="1" x14ac:dyDescent="0.35"/>
    <row r="12709" hidden="1" x14ac:dyDescent="0.35"/>
    <row r="12710" hidden="1" x14ac:dyDescent="0.35"/>
    <row r="12711" hidden="1" x14ac:dyDescent="0.35"/>
    <row r="12712" hidden="1" x14ac:dyDescent="0.35"/>
    <row r="12713" hidden="1" x14ac:dyDescent="0.35"/>
    <row r="12714" hidden="1" x14ac:dyDescent="0.35"/>
    <row r="12715" hidden="1" x14ac:dyDescent="0.35"/>
    <row r="12716" hidden="1" x14ac:dyDescent="0.35"/>
    <row r="12717" hidden="1" x14ac:dyDescent="0.35"/>
    <row r="12718" hidden="1" x14ac:dyDescent="0.35"/>
    <row r="12719" hidden="1" x14ac:dyDescent="0.35"/>
    <row r="12720" hidden="1" x14ac:dyDescent="0.35"/>
    <row r="12721" hidden="1" x14ac:dyDescent="0.35"/>
    <row r="12722" hidden="1" x14ac:dyDescent="0.35"/>
    <row r="12723" hidden="1" x14ac:dyDescent="0.35"/>
    <row r="12724" hidden="1" x14ac:dyDescent="0.35"/>
    <row r="12725" hidden="1" x14ac:dyDescent="0.35"/>
    <row r="12726" hidden="1" x14ac:dyDescent="0.35"/>
    <row r="12727" hidden="1" x14ac:dyDescent="0.35"/>
    <row r="12728" hidden="1" x14ac:dyDescent="0.35"/>
    <row r="12729" hidden="1" x14ac:dyDescent="0.35"/>
    <row r="12730" hidden="1" x14ac:dyDescent="0.35"/>
    <row r="12731" hidden="1" x14ac:dyDescent="0.35"/>
    <row r="12732" hidden="1" x14ac:dyDescent="0.35"/>
    <row r="12733" hidden="1" x14ac:dyDescent="0.35"/>
    <row r="12734" hidden="1" x14ac:dyDescent="0.35"/>
    <row r="12735" hidden="1" x14ac:dyDescent="0.35"/>
    <row r="12736" hidden="1" x14ac:dyDescent="0.35"/>
    <row r="12737" hidden="1" x14ac:dyDescent="0.35"/>
    <row r="12738" hidden="1" x14ac:dyDescent="0.35"/>
    <row r="12739" hidden="1" x14ac:dyDescent="0.35"/>
    <row r="12740" hidden="1" x14ac:dyDescent="0.35"/>
    <row r="12741" hidden="1" x14ac:dyDescent="0.35"/>
    <row r="12742" hidden="1" x14ac:dyDescent="0.35"/>
    <row r="12743" hidden="1" x14ac:dyDescent="0.35"/>
    <row r="12744" hidden="1" x14ac:dyDescent="0.35"/>
    <row r="12745" hidden="1" x14ac:dyDescent="0.35"/>
    <row r="12746" hidden="1" x14ac:dyDescent="0.35"/>
    <row r="12747" hidden="1" x14ac:dyDescent="0.35"/>
    <row r="12748" hidden="1" x14ac:dyDescent="0.35"/>
    <row r="12749" hidden="1" x14ac:dyDescent="0.35"/>
    <row r="12750" hidden="1" x14ac:dyDescent="0.35"/>
    <row r="12751" hidden="1" x14ac:dyDescent="0.35"/>
    <row r="12752" hidden="1" x14ac:dyDescent="0.35"/>
    <row r="12753" hidden="1" x14ac:dyDescent="0.35"/>
    <row r="12754" hidden="1" x14ac:dyDescent="0.35"/>
    <row r="12755" hidden="1" x14ac:dyDescent="0.35"/>
    <row r="12756" hidden="1" x14ac:dyDescent="0.35"/>
    <row r="12757" hidden="1" x14ac:dyDescent="0.35"/>
    <row r="12758" hidden="1" x14ac:dyDescent="0.35"/>
    <row r="12759" hidden="1" x14ac:dyDescent="0.35"/>
    <row r="12760" hidden="1" x14ac:dyDescent="0.35"/>
    <row r="12761" hidden="1" x14ac:dyDescent="0.35"/>
    <row r="12762" hidden="1" x14ac:dyDescent="0.35"/>
    <row r="12763" hidden="1" x14ac:dyDescent="0.35"/>
    <row r="12764" hidden="1" x14ac:dyDescent="0.35"/>
    <row r="12765" hidden="1" x14ac:dyDescent="0.35"/>
    <row r="12766" hidden="1" x14ac:dyDescent="0.35"/>
    <row r="12767" hidden="1" x14ac:dyDescent="0.35"/>
    <row r="12768" hidden="1" x14ac:dyDescent="0.35"/>
    <row r="12769" hidden="1" x14ac:dyDescent="0.35"/>
    <row r="12770" hidden="1" x14ac:dyDescent="0.35"/>
    <row r="12771" hidden="1" x14ac:dyDescent="0.35"/>
    <row r="12772" hidden="1" x14ac:dyDescent="0.35"/>
    <row r="12773" hidden="1" x14ac:dyDescent="0.35"/>
    <row r="12774" hidden="1" x14ac:dyDescent="0.35"/>
    <row r="12775" hidden="1" x14ac:dyDescent="0.35"/>
    <row r="12776" hidden="1" x14ac:dyDescent="0.35"/>
    <row r="12777" hidden="1" x14ac:dyDescent="0.35"/>
    <row r="12778" hidden="1" x14ac:dyDescent="0.35"/>
    <row r="12779" hidden="1" x14ac:dyDescent="0.35"/>
    <row r="12780" hidden="1" x14ac:dyDescent="0.35"/>
    <row r="12781" hidden="1" x14ac:dyDescent="0.35"/>
    <row r="12782" hidden="1" x14ac:dyDescent="0.35"/>
    <row r="12783" hidden="1" x14ac:dyDescent="0.35"/>
    <row r="12784" hidden="1" x14ac:dyDescent="0.35"/>
    <row r="12785" hidden="1" x14ac:dyDescent="0.35"/>
    <row r="12786" hidden="1" x14ac:dyDescent="0.35"/>
    <row r="12787" hidden="1" x14ac:dyDescent="0.35"/>
    <row r="12788" hidden="1" x14ac:dyDescent="0.35"/>
    <row r="12789" hidden="1" x14ac:dyDescent="0.35"/>
    <row r="12790" hidden="1" x14ac:dyDescent="0.35"/>
    <row r="12791" hidden="1" x14ac:dyDescent="0.35"/>
    <row r="12792" hidden="1" x14ac:dyDescent="0.35"/>
    <row r="12793" hidden="1" x14ac:dyDescent="0.35"/>
    <row r="12794" hidden="1" x14ac:dyDescent="0.35"/>
    <row r="12795" hidden="1" x14ac:dyDescent="0.35"/>
    <row r="12796" hidden="1" x14ac:dyDescent="0.35"/>
    <row r="12797" hidden="1" x14ac:dyDescent="0.35"/>
    <row r="12798" hidden="1" x14ac:dyDescent="0.35"/>
    <row r="12799" hidden="1" x14ac:dyDescent="0.35"/>
    <row r="12800" hidden="1" x14ac:dyDescent="0.35"/>
    <row r="12801" hidden="1" x14ac:dyDescent="0.35"/>
    <row r="12802" hidden="1" x14ac:dyDescent="0.35"/>
    <row r="12803" hidden="1" x14ac:dyDescent="0.35"/>
    <row r="12804" hidden="1" x14ac:dyDescent="0.35"/>
    <row r="12805" hidden="1" x14ac:dyDescent="0.35"/>
    <row r="12806" hidden="1" x14ac:dyDescent="0.35"/>
    <row r="12807" hidden="1" x14ac:dyDescent="0.35"/>
    <row r="12808" hidden="1" x14ac:dyDescent="0.35"/>
    <row r="12809" hidden="1" x14ac:dyDescent="0.35"/>
    <row r="12810" hidden="1" x14ac:dyDescent="0.35"/>
    <row r="12811" hidden="1" x14ac:dyDescent="0.35"/>
    <row r="12812" hidden="1" x14ac:dyDescent="0.35"/>
    <row r="12813" hidden="1" x14ac:dyDescent="0.35"/>
    <row r="12814" hidden="1" x14ac:dyDescent="0.35"/>
    <row r="12815" hidden="1" x14ac:dyDescent="0.35"/>
    <row r="12816" hidden="1" x14ac:dyDescent="0.35"/>
    <row r="12817" hidden="1" x14ac:dyDescent="0.35"/>
    <row r="12818" hidden="1" x14ac:dyDescent="0.35"/>
    <row r="12819" hidden="1" x14ac:dyDescent="0.35"/>
    <row r="12820" hidden="1" x14ac:dyDescent="0.35"/>
    <row r="12821" hidden="1" x14ac:dyDescent="0.35"/>
    <row r="12822" hidden="1" x14ac:dyDescent="0.35"/>
    <row r="12823" hidden="1" x14ac:dyDescent="0.35"/>
    <row r="12824" hidden="1" x14ac:dyDescent="0.35"/>
    <row r="12825" hidden="1" x14ac:dyDescent="0.35"/>
    <row r="12826" hidden="1" x14ac:dyDescent="0.35"/>
    <row r="12827" hidden="1" x14ac:dyDescent="0.35"/>
    <row r="12828" hidden="1" x14ac:dyDescent="0.35"/>
    <row r="12829" hidden="1" x14ac:dyDescent="0.35"/>
    <row r="12830" hidden="1" x14ac:dyDescent="0.35"/>
    <row r="12831" hidden="1" x14ac:dyDescent="0.35"/>
    <row r="12832" hidden="1" x14ac:dyDescent="0.35"/>
    <row r="12833" hidden="1" x14ac:dyDescent="0.35"/>
    <row r="12834" hidden="1" x14ac:dyDescent="0.35"/>
    <row r="12835" hidden="1" x14ac:dyDescent="0.35"/>
    <row r="12836" hidden="1" x14ac:dyDescent="0.35"/>
    <row r="12837" hidden="1" x14ac:dyDescent="0.35"/>
    <row r="12838" hidden="1" x14ac:dyDescent="0.35"/>
    <row r="12839" hidden="1" x14ac:dyDescent="0.35"/>
    <row r="12840" hidden="1" x14ac:dyDescent="0.35"/>
    <row r="12841" hidden="1" x14ac:dyDescent="0.35"/>
    <row r="12842" hidden="1" x14ac:dyDescent="0.35"/>
    <row r="12843" hidden="1" x14ac:dyDescent="0.35"/>
    <row r="12844" hidden="1" x14ac:dyDescent="0.35"/>
    <row r="12845" hidden="1" x14ac:dyDescent="0.35"/>
    <row r="12846" hidden="1" x14ac:dyDescent="0.35"/>
    <row r="12847" hidden="1" x14ac:dyDescent="0.35"/>
    <row r="12848" hidden="1" x14ac:dyDescent="0.35"/>
    <row r="12849" hidden="1" x14ac:dyDescent="0.35"/>
    <row r="12850" hidden="1" x14ac:dyDescent="0.35"/>
    <row r="12851" hidden="1" x14ac:dyDescent="0.35"/>
    <row r="12852" hidden="1" x14ac:dyDescent="0.35"/>
    <row r="12853" hidden="1" x14ac:dyDescent="0.35"/>
    <row r="12854" hidden="1" x14ac:dyDescent="0.35"/>
    <row r="12855" hidden="1" x14ac:dyDescent="0.35"/>
    <row r="12856" hidden="1" x14ac:dyDescent="0.35"/>
    <row r="12857" hidden="1" x14ac:dyDescent="0.35"/>
    <row r="12858" hidden="1" x14ac:dyDescent="0.35"/>
    <row r="12859" hidden="1" x14ac:dyDescent="0.35"/>
    <row r="12860" hidden="1" x14ac:dyDescent="0.35"/>
    <row r="12861" hidden="1" x14ac:dyDescent="0.35"/>
    <row r="12862" hidden="1" x14ac:dyDescent="0.35"/>
    <row r="12863" hidden="1" x14ac:dyDescent="0.35"/>
    <row r="12864" hidden="1" x14ac:dyDescent="0.35"/>
    <row r="12865" hidden="1" x14ac:dyDescent="0.35"/>
    <row r="12866" hidden="1" x14ac:dyDescent="0.35"/>
    <row r="12867" hidden="1" x14ac:dyDescent="0.35"/>
    <row r="12868" hidden="1" x14ac:dyDescent="0.35"/>
    <row r="12869" hidden="1" x14ac:dyDescent="0.35"/>
    <row r="12870" hidden="1" x14ac:dyDescent="0.35"/>
    <row r="12871" hidden="1" x14ac:dyDescent="0.35"/>
    <row r="12872" hidden="1" x14ac:dyDescent="0.35"/>
    <row r="12873" hidden="1" x14ac:dyDescent="0.35"/>
    <row r="12874" hidden="1" x14ac:dyDescent="0.35"/>
    <row r="12875" hidden="1" x14ac:dyDescent="0.35"/>
    <row r="12876" hidden="1" x14ac:dyDescent="0.35"/>
    <row r="12877" hidden="1" x14ac:dyDescent="0.35"/>
    <row r="12878" hidden="1" x14ac:dyDescent="0.35"/>
    <row r="12879" hidden="1" x14ac:dyDescent="0.35"/>
    <row r="12880" hidden="1" x14ac:dyDescent="0.35"/>
    <row r="12881" hidden="1" x14ac:dyDescent="0.35"/>
    <row r="12882" hidden="1" x14ac:dyDescent="0.35"/>
    <row r="12883" hidden="1" x14ac:dyDescent="0.35"/>
    <row r="12884" hidden="1" x14ac:dyDescent="0.35"/>
    <row r="12885" hidden="1" x14ac:dyDescent="0.35"/>
    <row r="12886" hidden="1" x14ac:dyDescent="0.35"/>
    <row r="12887" hidden="1" x14ac:dyDescent="0.35"/>
    <row r="12888" hidden="1" x14ac:dyDescent="0.35"/>
    <row r="12889" hidden="1" x14ac:dyDescent="0.35"/>
    <row r="12890" hidden="1" x14ac:dyDescent="0.35"/>
    <row r="12891" hidden="1" x14ac:dyDescent="0.35"/>
    <row r="12892" hidden="1" x14ac:dyDescent="0.35"/>
    <row r="12893" hidden="1" x14ac:dyDescent="0.35"/>
    <row r="12894" hidden="1" x14ac:dyDescent="0.35"/>
    <row r="12895" hidden="1" x14ac:dyDescent="0.35"/>
    <row r="12896" hidden="1" x14ac:dyDescent="0.35"/>
    <row r="12897" hidden="1" x14ac:dyDescent="0.35"/>
    <row r="12898" hidden="1" x14ac:dyDescent="0.35"/>
    <row r="12899" hidden="1" x14ac:dyDescent="0.35"/>
    <row r="12900" hidden="1" x14ac:dyDescent="0.35"/>
    <row r="12901" hidden="1" x14ac:dyDescent="0.35"/>
    <row r="12902" hidden="1" x14ac:dyDescent="0.35"/>
    <row r="12903" hidden="1" x14ac:dyDescent="0.35"/>
    <row r="12904" hidden="1" x14ac:dyDescent="0.35"/>
    <row r="12905" hidden="1" x14ac:dyDescent="0.35"/>
    <row r="12906" hidden="1" x14ac:dyDescent="0.35"/>
    <row r="12907" hidden="1" x14ac:dyDescent="0.35"/>
    <row r="12908" hidden="1" x14ac:dyDescent="0.35"/>
    <row r="12909" hidden="1" x14ac:dyDescent="0.35"/>
    <row r="12910" hidden="1" x14ac:dyDescent="0.35"/>
    <row r="12911" hidden="1" x14ac:dyDescent="0.35"/>
    <row r="12912" hidden="1" x14ac:dyDescent="0.35"/>
    <row r="12913" hidden="1" x14ac:dyDescent="0.35"/>
    <row r="12914" hidden="1" x14ac:dyDescent="0.35"/>
    <row r="12915" hidden="1" x14ac:dyDescent="0.35"/>
    <row r="12916" hidden="1" x14ac:dyDescent="0.35"/>
    <row r="12917" hidden="1" x14ac:dyDescent="0.35"/>
    <row r="12918" hidden="1" x14ac:dyDescent="0.35"/>
    <row r="12919" hidden="1" x14ac:dyDescent="0.35"/>
    <row r="12920" hidden="1" x14ac:dyDescent="0.35"/>
    <row r="12921" hidden="1" x14ac:dyDescent="0.35"/>
    <row r="12922" hidden="1" x14ac:dyDescent="0.35"/>
    <row r="12923" hidden="1" x14ac:dyDescent="0.35"/>
    <row r="12924" hidden="1" x14ac:dyDescent="0.35"/>
    <row r="12925" hidden="1" x14ac:dyDescent="0.35"/>
    <row r="12926" hidden="1" x14ac:dyDescent="0.35"/>
    <row r="12927" hidden="1" x14ac:dyDescent="0.35"/>
    <row r="12928" hidden="1" x14ac:dyDescent="0.35"/>
    <row r="12929" hidden="1" x14ac:dyDescent="0.35"/>
    <row r="12930" hidden="1" x14ac:dyDescent="0.35"/>
    <row r="12931" hidden="1" x14ac:dyDescent="0.35"/>
    <row r="12932" hidden="1" x14ac:dyDescent="0.35"/>
    <row r="12933" hidden="1" x14ac:dyDescent="0.35"/>
    <row r="12934" hidden="1" x14ac:dyDescent="0.35"/>
    <row r="12935" hidden="1" x14ac:dyDescent="0.35"/>
    <row r="12936" hidden="1" x14ac:dyDescent="0.35"/>
    <row r="12937" hidden="1" x14ac:dyDescent="0.35"/>
    <row r="12938" hidden="1" x14ac:dyDescent="0.35"/>
    <row r="12939" hidden="1" x14ac:dyDescent="0.35"/>
    <row r="12940" hidden="1" x14ac:dyDescent="0.35"/>
    <row r="12941" hidden="1" x14ac:dyDescent="0.35"/>
    <row r="12942" hidden="1" x14ac:dyDescent="0.35"/>
    <row r="12943" hidden="1" x14ac:dyDescent="0.35"/>
    <row r="12944" hidden="1" x14ac:dyDescent="0.35"/>
    <row r="12945" hidden="1" x14ac:dyDescent="0.35"/>
    <row r="12946" hidden="1" x14ac:dyDescent="0.35"/>
    <row r="12947" hidden="1" x14ac:dyDescent="0.35"/>
    <row r="12948" hidden="1" x14ac:dyDescent="0.35"/>
    <row r="12949" hidden="1" x14ac:dyDescent="0.35"/>
    <row r="12950" hidden="1" x14ac:dyDescent="0.35"/>
    <row r="12951" hidden="1" x14ac:dyDescent="0.35"/>
    <row r="12952" hidden="1" x14ac:dyDescent="0.35"/>
    <row r="12953" hidden="1" x14ac:dyDescent="0.35"/>
    <row r="12954" hidden="1" x14ac:dyDescent="0.35"/>
    <row r="12955" hidden="1" x14ac:dyDescent="0.35"/>
    <row r="12956" hidden="1" x14ac:dyDescent="0.35"/>
    <row r="12957" hidden="1" x14ac:dyDescent="0.35"/>
    <row r="12958" hidden="1" x14ac:dyDescent="0.35"/>
    <row r="12959" hidden="1" x14ac:dyDescent="0.35"/>
    <row r="12960" hidden="1" x14ac:dyDescent="0.35"/>
    <row r="12961" hidden="1" x14ac:dyDescent="0.35"/>
    <row r="12962" hidden="1" x14ac:dyDescent="0.35"/>
    <row r="12963" hidden="1" x14ac:dyDescent="0.35"/>
    <row r="12964" hidden="1" x14ac:dyDescent="0.35"/>
    <row r="12965" hidden="1" x14ac:dyDescent="0.35"/>
    <row r="12966" hidden="1" x14ac:dyDescent="0.35"/>
    <row r="12967" hidden="1" x14ac:dyDescent="0.35"/>
    <row r="12968" hidden="1" x14ac:dyDescent="0.35"/>
    <row r="12969" hidden="1" x14ac:dyDescent="0.35"/>
    <row r="12970" hidden="1" x14ac:dyDescent="0.35"/>
    <row r="12971" hidden="1" x14ac:dyDescent="0.35"/>
    <row r="12972" hidden="1" x14ac:dyDescent="0.35"/>
    <row r="12973" hidden="1" x14ac:dyDescent="0.35"/>
    <row r="12974" hidden="1" x14ac:dyDescent="0.35"/>
    <row r="12975" hidden="1" x14ac:dyDescent="0.35"/>
    <row r="12976" hidden="1" x14ac:dyDescent="0.35"/>
    <row r="12977" hidden="1" x14ac:dyDescent="0.35"/>
    <row r="12978" hidden="1" x14ac:dyDescent="0.35"/>
    <row r="12979" hidden="1" x14ac:dyDescent="0.35"/>
    <row r="12980" hidden="1" x14ac:dyDescent="0.35"/>
    <row r="12981" hidden="1" x14ac:dyDescent="0.35"/>
    <row r="12982" hidden="1" x14ac:dyDescent="0.35"/>
    <row r="12983" hidden="1" x14ac:dyDescent="0.35"/>
    <row r="12984" hidden="1" x14ac:dyDescent="0.35"/>
    <row r="12985" hidden="1" x14ac:dyDescent="0.35"/>
    <row r="12986" hidden="1" x14ac:dyDescent="0.35"/>
    <row r="12987" hidden="1" x14ac:dyDescent="0.35"/>
    <row r="12988" hidden="1" x14ac:dyDescent="0.35"/>
    <row r="12989" hidden="1" x14ac:dyDescent="0.35"/>
    <row r="12990" hidden="1" x14ac:dyDescent="0.35"/>
    <row r="12991" hidden="1" x14ac:dyDescent="0.35"/>
    <row r="12992" hidden="1" x14ac:dyDescent="0.35"/>
    <row r="12993" hidden="1" x14ac:dyDescent="0.35"/>
    <row r="12994" hidden="1" x14ac:dyDescent="0.35"/>
    <row r="12995" hidden="1" x14ac:dyDescent="0.35"/>
    <row r="12996" hidden="1" x14ac:dyDescent="0.35"/>
    <row r="12997" hidden="1" x14ac:dyDescent="0.35"/>
    <row r="12998" hidden="1" x14ac:dyDescent="0.35"/>
    <row r="12999" hidden="1" x14ac:dyDescent="0.35"/>
    <row r="13000" hidden="1" x14ac:dyDescent="0.35"/>
    <row r="13001" hidden="1" x14ac:dyDescent="0.35"/>
    <row r="13002" hidden="1" x14ac:dyDescent="0.35"/>
    <row r="13003" hidden="1" x14ac:dyDescent="0.35"/>
    <row r="13004" hidden="1" x14ac:dyDescent="0.35"/>
    <row r="13005" hidden="1" x14ac:dyDescent="0.35"/>
    <row r="13006" hidden="1" x14ac:dyDescent="0.35"/>
    <row r="13007" hidden="1" x14ac:dyDescent="0.35"/>
    <row r="13008" hidden="1" x14ac:dyDescent="0.35"/>
    <row r="13009" hidden="1" x14ac:dyDescent="0.35"/>
    <row r="13010" hidden="1" x14ac:dyDescent="0.35"/>
    <row r="13011" hidden="1" x14ac:dyDescent="0.35"/>
    <row r="13012" hidden="1" x14ac:dyDescent="0.35"/>
    <row r="13013" hidden="1" x14ac:dyDescent="0.35"/>
    <row r="13014" hidden="1" x14ac:dyDescent="0.35"/>
    <row r="13015" hidden="1" x14ac:dyDescent="0.35"/>
    <row r="13016" hidden="1" x14ac:dyDescent="0.35"/>
    <row r="13017" hidden="1" x14ac:dyDescent="0.35"/>
    <row r="13018" hidden="1" x14ac:dyDescent="0.35"/>
    <row r="13019" hidden="1" x14ac:dyDescent="0.35"/>
    <row r="13020" hidden="1" x14ac:dyDescent="0.35"/>
    <row r="13021" hidden="1" x14ac:dyDescent="0.35"/>
    <row r="13022" hidden="1" x14ac:dyDescent="0.35"/>
    <row r="13023" hidden="1" x14ac:dyDescent="0.35"/>
    <row r="13024" hidden="1" x14ac:dyDescent="0.35"/>
    <row r="13025" hidden="1" x14ac:dyDescent="0.35"/>
    <row r="13026" hidden="1" x14ac:dyDescent="0.35"/>
    <row r="13027" hidden="1" x14ac:dyDescent="0.35"/>
    <row r="13028" hidden="1" x14ac:dyDescent="0.35"/>
    <row r="13029" hidden="1" x14ac:dyDescent="0.35"/>
    <row r="13030" hidden="1" x14ac:dyDescent="0.35"/>
    <row r="13031" hidden="1" x14ac:dyDescent="0.35"/>
    <row r="13032" hidden="1" x14ac:dyDescent="0.35"/>
    <row r="13033" hidden="1" x14ac:dyDescent="0.35"/>
    <row r="13034" hidden="1" x14ac:dyDescent="0.35"/>
    <row r="13035" hidden="1" x14ac:dyDescent="0.35"/>
    <row r="13036" hidden="1" x14ac:dyDescent="0.35"/>
    <row r="13037" hidden="1" x14ac:dyDescent="0.35"/>
    <row r="13038" hidden="1" x14ac:dyDescent="0.35"/>
    <row r="13039" hidden="1" x14ac:dyDescent="0.35"/>
    <row r="13040" hidden="1" x14ac:dyDescent="0.35"/>
    <row r="13041" hidden="1" x14ac:dyDescent="0.35"/>
    <row r="13042" hidden="1" x14ac:dyDescent="0.35"/>
    <row r="13043" hidden="1" x14ac:dyDescent="0.35"/>
    <row r="13044" hidden="1" x14ac:dyDescent="0.35"/>
    <row r="13045" hidden="1" x14ac:dyDescent="0.35"/>
    <row r="13046" hidden="1" x14ac:dyDescent="0.35"/>
    <row r="13047" hidden="1" x14ac:dyDescent="0.35"/>
    <row r="13048" hidden="1" x14ac:dyDescent="0.35"/>
    <row r="13049" hidden="1" x14ac:dyDescent="0.35"/>
    <row r="13050" hidden="1" x14ac:dyDescent="0.35"/>
    <row r="13051" hidden="1" x14ac:dyDescent="0.35"/>
    <row r="13052" hidden="1" x14ac:dyDescent="0.35"/>
    <row r="13053" hidden="1" x14ac:dyDescent="0.35"/>
    <row r="13054" hidden="1" x14ac:dyDescent="0.35"/>
    <row r="13055" hidden="1" x14ac:dyDescent="0.35"/>
    <row r="13056" hidden="1" x14ac:dyDescent="0.35"/>
    <row r="13057" hidden="1" x14ac:dyDescent="0.35"/>
    <row r="13058" hidden="1" x14ac:dyDescent="0.35"/>
    <row r="13059" hidden="1" x14ac:dyDescent="0.35"/>
    <row r="13060" hidden="1" x14ac:dyDescent="0.35"/>
    <row r="13061" hidden="1" x14ac:dyDescent="0.35"/>
    <row r="13062" hidden="1" x14ac:dyDescent="0.35"/>
    <row r="13063" hidden="1" x14ac:dyDescent="0.35"/>
    <row r="13064" hidden="1" x14ac:dyDescent="0.35"/>
    <row r="13065" hidden="1" x14ac:dyDescent="0.35"/>
    <row r="13066" hidden="1" x14ac:dyDescent="0.35"/>
    <row r="13067" hidden="1" x14ac:dyDescent="0.35"/>
    <row r="13068" hidden="1" x14ac:dyDescent="0.35"/>
    <row r="13069" hidden="1" x14ac:dyDescent="0.35"/>
    <row r="13070" hidden="1" x14ac:dyDescent="0.35"/>
    <row r="13071" hidden="1" x14ac:dyDescent="0.35"/>
    <row r="13072" hidden="1" x14ac:dyDescent="0.35"/>
    <row r="13073" hidden="1" x14ac:dyDescent="0.35"/>
    <row r="13074" hidden="1" x14ac:dyDescent="0.35"/>
    <row r="13075" hidden="1" x14ac:dyDescent="0.35"/>
    <row r="13076" hidden="1" x14ac:dyDescent="0.35"/>
    <row r="13077" hidden="1" x14ac:dyDescent="0.35"/>
    <row r="13078" hidden="1" x14ac:dyDescent="0.35"/>
    <row r="13079" hidden="1" x14ac:dyDescent="0.35"/>
    <row r="13080" hidden="1" x14ac:dyDescent="0.35"/>
    <row r="13081" hidden="1" x14ac:dyDescent="0.35"/>
    <row r="13082" hidden="1" x14ac:dyDescent="0.35"/>
    <row r="13083" hidden="1" x14ac:dyDescent="0.35"/>
    <row r="13084" hidden="1" x14ac:dyDescent="0.35"/>
    <row r="13085" hidden="1" x14ac:dyDescent="0.35"/>
    <row r="13086" hidden="1" x14ac:dyDescent="0.35"/>
    <row r="13087" hidden="1" x14ac:dyDescent="0.35"/>
    <row r="13088" hidden="1" x14ac:dyDescent="0.35"/>
    <row r="13089" hidden="1" x14ac:dyDescent="0.35"/>
    <row r="13090" hidden="1" x14ac:dyDescent="0.35"/>
    <row r="13091" hidden="1" x14ac:dyDescent="0.35"/>
    <row r="13092" hidden="1" x14ac:dyDescent="0.35"/>
    <row r="13093" hidden="1" x14ac:dyDescent="0.35"/>
    <row r="13094" hidden="1" x14ac:dyDescent="0.35"/>
    <row r="13095" hidden="1" x14ac:dyDescent="0.35"/>
    <row r="13096" hidden="1" x14ac:dyDescent="0.35"/>
    <row r="13097" hidden="1" x14ac:dyDescent="0.35"/>
    <row r="13098" hidden="1" x14ac:dyDescent="0.35"/>
    <row r="13099" hidden="1" x14ac:dyDescent="0.35"/>
    <row r="13100" hidden="1" x14ac:dyDescent="0.35"/>
    <row r="13101" hidden="1" x14ac:dyDescent="0.35"/>
    <row r="13102" hidden="1" x14ac:dyDescent="0.35"/>
    <row r="13103" hidden="1" x14ac:dyDescent="0.35"/>
    <row r="13104" hidden="1" x14ac:dyDescent="0.35"/>
    <row r="13105" hidden="1" x14ac:dyDescent="0.35"/>
    <row r="13106" hidden="1" x14ac:dyDescent="0.35"/>
    <row r="13107" hidden="1" x14ac:dyDescent="0.35"/>
    <row r="13108" hidden="1" x14ac:dyDescent="0.35"/>
    <row r="13109" hidden="1" x14ac:dyDescent="0.35"/>
    <row r="13110" hidden="1" x14ac:dyDescent="0.35"/>
    <row r="13111" hidden="1" x14ac:dyDescent="0.35"/>
    <row r="13112" hidden="1" x14ac:dyDescent="0.35"/>
    <row r="13113" hidden="1" x14ac:dyDescent="0.35"/>
    <row r="13114" hidden="1" x14ac:dyDescent="0.35"/>
    <row r="13115" hidden="1" x14ac:dyDescent="0.35"/>
    <row r="13116" hidden="1" x14ac:dyDescent="0.35"/>
    <row r="13117" hidden="1" x14ac:dyDescent="0.35"/>
    <row r="13118" hidden="1" x14ac:dyDescent="0.35"/>
    <row r="13119" hidden="1" x14ac:dyDescent="0.35"/>
    <row r="13120" hidden="1" x14ac:dyDescent="0.35"/>
    <row r="13121" hidden="1" x14ac:dyDescent="0.35"/>
    <row r="13122" hidden="1" x14ac:dyDescent="0.35"/>
    <row r="13123" hidden="1" x14ac:dyDescent="0.35"/>
    <row r="13124" hidden="1" x14ac:dyDescent="0.35"/>
    <row r="13125" hidden="1" x14ac:dyDescent="0.35"/>
    <row r="13126" hidden="1" x14ac:dyDescent="0.35"/>
    <row r="13127" hidden="1" x14ac:dyDescent="0.35"/>
    <row r="13128" hidden="1" x14ac:dyDescent="0.35"/>
    <row r="13129" hidden="1" x14ac:dyDescent="0.35"/>
    <row r="13130" hidden="1" x14ac:dyDescent="0.35"/>
    <row r="13131" hidden="1" x14ac:dyDescent="0.35"/>
    <row r="13132" hidden="1" x14ac:dyDescent="0.35"/>
    <row r="13133" hidden="1" x14ac:dyDescent="0.35"/>
    <row r="13134" hidden="1" x14ac:dyDescent="0.35"/>
    <row r="13135" hidden="1" x14ac:dyDescent="0.35"/>
    <row r="13136" hidden="1" x14ac:dyDescent="0.35"/>
    <row r="13137" hidden="1" x14ac:dyDescent="0.35"/>
    <row r="13138" hidden="1" x14ac:dyDescent="0.35"/>
    <row r="13139" hidden="1" x14ac:dyDescent="0.35"/>
    <row r="13140" hidden="1" x14ac:dyDescent="0.35"/>
    <row r="13141" hidden="1" x14ac:dyDescent="0.35"/>
    <row r="13142" hidden="1" x14ac:dyDescent="0.35"/>
    <row r="13143" hidden="1" x14ac:dyDescent="0.35"/>
    <row r="13144" hidden="1" x14ac:dyDescent="0.35"/>
    <row r="13145" hidden="1" x14ac:dyDescent="0.35"/>
    <row r="13146" hidden="1" x14ac:dyDescent="0.35"/>
    <row r="13147" hidden="1" x14ac:dyDescent="0.35"/>
    <row r="13148" hidden="1" x14ac:dyDescent="0.35"/>
    <row r="13149" hidden="1" x14ac:dyDescent="0.35"/>
    <row r="13150" hidden="1" x14ac:dyDescent="0.35"/>
    <row r="13151" hidden="1" x14ac:dyDescent="0.35"/>
    <row r="13152" hidden="1" x14ac:dyDescent="0.35"/>
    <row r="13153" hidden="1" x14ac:dyDescent="0.35"/>
    <row r="13154" hidden="1" x14ac:dyDescent="0.35"/>
    <row r="13155" hidden="1" x14ac:dyDescent="0.35"/>
    <row r="13156" hidden="1" x14ac:dyDescent="0.35"/>
    <row r="13157" hidden="1" x14ac:dyDescent="0.35"/>
    <row r="13158" hidden="1" x14ac:dyDescent="0.35"/>
    <row r="13159" hidden="1" x14ac:dyDescent="0.35"/>
    <row r="13160" hidden="1" x14ac:dyDescent="0.35"/>
    <row r="13161" hidden="1" x14ac:dyDescent="0.35"/>
    <row r="13162" hidden="1" x14ac:dyDescent="0.35"/>
    <row r="13163" hidden="1" x14ac:dyDescent="0.35"/>
    <row r="13164" hidden="1" x14ac:dyDescent="0.35"/>
    <row r="13165" hidden="1" x14ac:dyDescent="0.35"/>
    <row r="13166" hidden="1" x14ac:dyDescent="0.35"/>
    <row r="13167" hidden="1" x14ac:dyDescent="0.35"/>
    <row r="13168" hidden="1" x14ac:dyDescent="0.35"/>
    <row r="13169" hidden="1" x14ac:dyDescent="0.35"/>
    <row r="13170" hidden="1" x14ac:dyDescent="0.35"/>
    <row r="13171" hidden="1" x14ac:dyDescent="0.35"/>
    <row r="13172" hidden="1" x14ac:dyDescent="0.35"/>
    <row r="13173" hidden="1" x14ac:dyDescent="0.35"/>
    <row r="13174" hidden="1" x14ac:dyDescent="0.35"/>
    <row r="13175" hidden="1" x14ac:dyDescent="0.35"/>
    <row r="13176" hidden="1" x14ac:dyDescent="0.35"/>
    <row r="13177" hidden="1" x14ac:dyDescent="0.35"/>
    <row r="13178" hidden="1" x14ac:dyDescent="0.35"/>
    <row r="13179" hidden="1" x14ac:dyDescent="0.35"/>
    <row r="13180" hidden="1" x14ac:dyDescent="0.35"/>
    <row r="13181" hidden="1" x14ac:dyDescent="0.35"/>
    <row r="13182" hidden="1" x14ac:dyDescent="0.35"/>
    <row r="13183" hidden="1" x14ac:dyDescent="0.35"/>
    <row r="13184" hidden="1" x14ac:dyDescent="0.35"/>
    <row r="13185" hidden="1" x14ac:dyDescent="0.35"/>
    <row r="13186" hidden="1" x14ac:dyDescent="0.35"/>
    <row r="13187" hidden="1" x14ac:dyDescent="0.35"/>
    <row r="13188" hidden="1" x14ac:dyDescent="0.35"/>
    <row r="13189" hidden="1" x14ac:dyDescent="0.35"/>
    <row r="13190" hidden="1" x14ac:dyDescent="0.35"/>
    <row r="13191" hidden="1" x14ac:dyDescent="0.35"/>
    <row r="13192" hidden="1" x14ac:dyDescent="0.35"/>
    <row r="13193" hidden="1" x14ac:dyDescent="0.35"/>
    <row r="13194" hidden="1" x14ac:dyDescent="0.35"/>
    <row r="13195" hidden="1" x14ac:dyDescent="0.35"/>
    <row r="13196" hidden="1" x14ac:dyDescent="0.35"/>
    <row r="13197" hidden="1" x14ac:dyDescent="0.35"/>
    <row r="13198" hidden="1" x14ac:dyDescent="0.35"/>
    <row r="13199" hidden="1" x14ac:dyDescent="0.35"/>
    <row r="13200" hidden="1" x14ac:dyDescent="0.35"/>
    <row r="13201" hidden="1" x14ac:dyDescent="0.35"/>
    <row r="13202" hidden="1" x14ac:dyDescent="0.35"/>
    <row r="13203" hidden="1" x14ac:dyDescent="0.35"/>
    <row r="13204" hidden="1" x14ac:dyDescent="0.35"/>
    <row r="13205" hidden="1" x14ac:dyDescent="0.35"/>
    <row r="13206" hidden="1" x14ac:dyDescent="0.35"/>
    <row r="13207" hidden="1" x14ac:dyDescent="0.35"/>
    <row r="13208" hidden="1" x14ac:dyDescent="0.35"/>
    <row r="13209" hidden="1" x14ac:dyDescent="0.35"/>
    <row r="13210" hidden="1" x14ac:dyDescent="0.35"/>
    <row r="13211" hidden="1" x14ac:dyDescent="0.35"/>
    <row r="13212" hidden="1" x14ac:dyDescent="0.35"/>
    <row r="13213" hidden="1" x14ac:dyDescent="0.35"/>
    <row r="13214" hidden="1" x14ac:dyDescent="0.35"/>
    <row r="13215" hidden="1" x14ac:dyDescent="0.35"/>
    <row r="13216" hidden="1" x14ac:dyDescent="0.35"/>
    <row r="13217" hidden="1" x14ac:dyDescent="0.35"/>
    <row r="13218" hidden="1" x14ac:dyDescent="0.35"/>
    <row r="13219" hidden="1" x14ac:dyDescent="0.35"/>
    <row r="13220" hidden="1" x14ac:dyDescent="0.35"/>
    <row r="13221" hidden="1" x14ac:dyDescent="0.35"/>
    <row r="13222" hidden="1" x14ac:dyDescent="0.35"/>
    <row r="13223" hidden="1" x14ac:dyDescent="0.35"/>
    <row r="13224" hidden="1" x14ac:dyDescent="0.35"/>
    <row r="13225" hidden="1" x14ac:dyDescent="0.35"/>
    <row r="13226" hidden="1" x14ac:dyDescent="0.35"/>
    <row r="13227" hidden="1" x14ac:dyDescent="0.35"/>
    <row r="13228" hidden="1" x14ac:dyDescent="0.35"/>
    <row r="13229" hidden="1" x14ac:dyDescent="0.35"/>
    <row r="13230" hidden="1" x14ac:dyDescent="0.35"/>
    <row r="13231" hidden="1" x14ac:dyDescent="0.35"/>
    <row r="13232" hidden="1" x14ac:dyDescent="0.35"/>
    <row r="13233" hidden="1" x14ac:dyDescent="0.35"/>
    <row r="13234" hidden="1" x14ac:dyDescent="0.35"/>
    <row r="13235" hidden="1" x14ac:dyDescent="0.35"/>
    <row r="13236" hidden="1" x14ac:dyDescent="0.35"/>
    <row r="13237" hidden="1" x14ac:dyDescent="0.35"/>
    <row r="13238" hidden="1" x14ac:dyDescent="0.35"/>
    <row r="13239" hidden="1" x14ac:dyDescent="0.35"/>
    <row r="13240" hidden="1" x14ac:dyDescent="0.35"/>
    <row r="13241" hidden="1" x14ac:dyDescent="0.35"/>
    <row r="13242" hidden="1" x14ac:dyDescent="0.35"/>
    <row r="13243" hidden="1" x14ac:dyDescent="0.35"/>
    <row r="13244" hidden="1" x14ac:dyDescent="0.35"/>
    <row r="13245" hidden="1" x14ac:dyDescent="0.35"/>
    <row r="13246" hidden="1" x14ac:dyDescent="0.35"/>
    <row r="13247" hidden="1" x14ac:dyDescent="0.35"/>
    <row r="13248" hidden="1" x14ac:dyDescent="0.35"/>
    <row r="13249" hidden="1" x14ac:dyDescent="0.35"/>
    <row r="13250" hidden="1" x14ac:dyDescent="0.35"/>
    <row r="13251" hidden="1" x14ac:dyDescent="0.35"/>
    <row r="13252" hidden="1" x14ac:dyDescent="0.35"/>
    <row r="13253" hidden="1" x14ac:dyDescent="0.35"/>
    <row r="13254" hidden="1" x14ac:dyDescent="0.35"/>
    <row r="13255" hidden="1" x14ac:dyDescent="0.35"/>
    <row r="13256" hidden="1" x14ac:dyDescent="0.35"/>
    <row r="13257" hidden="1" x14ac:dyDescent="0.35"/>
    <row r="13258" hidden="1" x14ac:dyDescent="0.35"/>
    <row r="13259" hidden="1" x14ac:dyDescent="0.35"/>
    <row r="13260" hidden="1" x14ac:dyDescent="0.35"/>
    <row r="13261" hidden="1" x14ac:dyDescent="0.35"/>
    <row r="13262" hidden="1" x14ac:dyDescent="0.35"/>
    <row r="13263" hidden="1" x14ac:dyDescent="0.35"/>
    <row r="13264" hidden="1" x14ac:dyDescent="0.35"/>
    <row r="13265" hidden="1" x14ac:dyDescent="0.35"/>
    <row r="13266" hidden="1" x14ac:dyDescent="0.35"/>
    <row r="13267" hidden="1" x14ac:dyDescent="0.35"/>
    <row r="13268" hidden="1" x14ac:dyDescent="0.35"/>
    <row r="13269" hidden="1" x14ac:dyDescent="0.35"/>
    <row r="13270" hidden="1" x14ac:dyDescent="0.35"/>
    <row r="13271" hidden="1" x14ac:dyDescent="0.35"/>
    <row r="13272" hidden="1" x14ac:dyDescent="0.35"/>
    <row r="13273" hidden="1" x14ac:dyDescent="0.35"/>
    <row r="13274" hidden="1" x14ac:dyDescent="0.35"/>
    <row r="13275" hidden="1" x14ac:dyDescent="0.35"/>
    <row r="13276" hidden="1" x14ac:dyDescent="0.35"/>
    <row r="13277" hidden="1" x14ac:dyDescent="0.35"/>
    <row r="13278" hidden="1" x14ac:dyDescent="0.35"/>
    <row r="13279" hidden="1" x14ac:dyDescent="0.35"/>
    <row r="13280" hidden="1" x14ac:dyDescent="0.35"/>
    <row r="13281" hidden="1" x14ac:dyDescent="0.35"/>
    <row r="13282" hidden="1" x14ac:dyDescent="0.35"/>
    <row r="13283" hidden="1" x14ac:dyDescent="0.35"/>
    <row r="13284" hidden="1" x14ac:dyDescent="0.35"/>
    <row r="13285" hidden="1" x14ac:dyDescent="0.35"/>
    <row r="13286" hidden="1" x14ac:dyDescent="0.35"/>
    <row r="13287" hidden="1" x14ac:dyDescent="0.35"/>
    <row r="13288" hidden="1" x14ac:dyDescent="0.35"/>
    <row r="13289" hidden="1" x14ac:dyDescent="0.35"/>
    <row r="13290" hidden="1" x14ac:dyDescent="0.35"/>
    <row r="13291" hidden="1" x14ac:dyDescent="0.35"/>
    <row r="13292" hidden="1" x14ac:dyDescent="0.35"/>
    <row r="13293" hidden="1" x14ac:dyDescent="0.35"/>
    <row r="13294" hidden="1" x14ac:dyDescent="0.35"/>
    <row r="13295" hidden="1" x14ac:dyDescent="0.35"/>
    <row r="13296" hidden="1" x14ac:dyDescent="0.35"/>
    <row r="13297" hidden="1" x14ac:dyDescent="0.35"/>
    <row r="13298" hidden="1" x14ac:dyDescent="0.35"/>
    <row r="13299" hidden="1" x14ac:dyDescent="0.35"/>
    <row r="13300" hidden="1" x14ac:dyDescent="0.35"/>
    <row r="13301" hidden="1" x14ac:dyDescent="0.35"/>
    <row r="13302" hidden="1" x14ac:dyDescent="0.35"/>
    <row r="13303" hidden="1" x14ac:dyDescent="0.35"/>
    <row r="13304" hidden="1" x14ac:dyDescent="0.35"/>
    <row r="13305" hidden="1" x14ac:dyDescent="0.35"/>
    <row r="13306" hidden="1" x14ac:dyDescent="0.35"/>
    <row r="13307" hidden="1" x14ac:dyDescent="0.35"/>
    <row r="13308" hidden="1" x14ac:dyDescent="0.35"/>
    <row r="13309" hidden="1" x14ac:dyDescent="0.35"/>
    <row r="13310" hidden="1" x14ac:dyDescent="0.35"/>
    <row r="13311" hidden="1" x14ac:dyDescent="0.35"/>
    <row r="13312" hidden="1" x14ac:dyDescent="0.35"/>
    <row r="13313" hidden="1" x14ac:dyDescent="0.35"/>
    <row r="13314" hidden="1" x14ac:dyDescent="0.35"/>
    <row r="13315" hidden="1" x14ac:dyDescent="0.35"/>
    <row r="13316" hidden="1" x14ac:dyDescent="0.35"/>
    <row r="13317" hidden="1" x14ac:dyDescent="0.35"/>
    <row r="13318" hidden="1" x14ac:dyDescent="0.35"/>
    <row r="13319" hidden="1" x14ac:dyDescent="0.35"/>
    <row r="13320" hidden="1" x14ac:dyDescent="0.35"/>
    <row r="13321" hidden="1" x14ac:dyDescent="0.35"/>
    <row r="13322" hidden="1" x14ac:dyDescent="0.35"/>
    <row r="13323" hidden="1" x14ac:dyDescent="0.35"/>
    <row r="13324" hidden="1" x14ac:dyDescent="0.35"/>
    <row r="13325" hidden="1" x14ac:dyDescent="0.35"/>
    <row r="13326" hidden="1" x14ac:dyDescent="0.35"/>
    <row r="13327" hidden="1" x14ac:dyDescent="0.35"/>
    <row r="13328" hidden="1" x14ac:dyDescent="0.35"/>
    <row r="13329" hidden="1" x14ac:dyDescent="0.35"/>
    <row r="13330" hidden="1" x14ac:dyDescent="0.35"/>
    <row r="13331" hidden="1" x14ac:dyDescent="0.35"/>
    <row r="13332" hidden="1" x14ac:dyDescent="0.35"/>
    <row r="13333" hidden="1" x14ac:dyDescent="0.35"/>
    <row r="13334" hidden="1" x14ac:dyDescent="0.35"/>
    <row r="13335" hidden="1" x14ac:dyDescent="0.35"/>
    <row r="13336" hidden="1" x14ac:dyDescent="0.35"/>
    <row r="13337" hidden="1" x14ac:dyDescent="0.35"/>
    <row r="13338" hidden="1" x14ac:dyDescent="0.35"/>
    <row r="13339" hidden="1" x14ac:dyDescent="0.35"/>
    <row r="13340" hidden="1" x14ac:dyDescent="0.35"/>
    <row r="13341" hidden="1" x14ac:dyDescent="0.35"/>
    <row r="13342" hidden="1" x14ac:dyDescent="0.35"/>
    <row r="13343" hidden="1" x14ac:dyDescent="0.35"/>
    <row r="13344" hidden="1" x14ac:dyDescent="0.35"/>
    <row r="13345" hidden="1" x14ac:dyDescent="0.35"/>
    <row r="13346" hidden="1" x14ac:dyDescent="0.35"/>
    <row r="13347" hidden="1" x14ac:dyDescent="0.35"/>
    <row r="13348" hidden="1" x14ac:dyDescent="0.35"/>
    <row r="13349" hidden="1" x14ac:dyDescent="0.35"/>
    <row r="13350" hidden="1" x14ac:dyDescent="0.35"/>
    <row r="13351" hidden="1" x14ac:dyDescent="0.35"/>
    <row r="13352" hidden="1" x14ac:dyDescent="0.35"/>
    <row r="13353" hidden="1" x14ac:dyDescent="0.35"/>
    <row r="13354" hidden="1" x14ac:dyDescent="0.35"/>
    <row r="13355" hidden="1" x14ac:dyDescent="0.35"/>
    <row r="13356" hidden="1" x14ac:dyDescent="0.35"/>
    <row r="13357" hidden="1" x14ac:dyDescent="0.35"/>
    <row r="13358" hidden="1" x14ac:dyDescent="0.35"/>
    <row r="13359" hidden="1" x14ac:dyDescent="0.35"/>
    <row r="13360" hidden="1" x14ac:dyDescent="0.35"/>
    <row r="13361" hidden="1" x14ac:dyDescent="0.35"/>
    <row r="13362" hidden="1" x14ac:dyDescent="0.35"/>
    <row r="13363" hidden="1" x14ac:dyDescent="0.35"/>
    <row r="13364" hidden="1" x14ac:dyDescent="0.35"/>
    <row r="13365" hidden="1" x14ac:dyDescent="0.35"/>
    <row r="13366" hidden="1" x14ac:dyDescent="0.35"/>
    <row r="13367" hidden="1" x14ac:dyDescent="0.35"/>
    <row r="13368" hidden="1" x14ac:dyDescent="0.35"/>
    <row r="13369" hidden="1" x14ac:dyDescent="0.35"/>
    <row r="13370" hidden="1" x14ac:dyDescent="0.35"/>
    <row r="13371" hidden="1" x14ac:dyDescent="0.35"/>
    <row r="13372" hidden="1" x14ac:dyDescent="0.35"/>
    <row r="13373" hidden="1" x14ac:dyDescent="0.35"/>
    <row r="13374" hidden="1" x14ac:dyDescent="0.35"/>
    <row r="13375" hidden="1" x14ac:dyDescent="0.35"/>
    <row r="13376" hidden="1" x14ac:dyDescent="0.35"/>
    <row r="13377" hidden="1" x14ac:dyDescent="0.35"/>
    <row r="13378" hidden="1" x14ac:dyDescent="0.35"/>
    <row r="13379" hidden="1" x14ac:dyDescent="0.35"/>
    <row r="13380" hidden="1" x14ac:dyDescent="0.35"/>
    <row r="13381" hidden="1" x14ac:dyDescent="0.35"/>
    <row r="13382" hidden="1" x14ac:dyDescent="0.35"/>
    <row r="13383" hidden="1" x14ac:dyDescent="0.35"/>
    <row r="13384" hidden="1" x14ac:dyDescent="0.35"/>
    <row r="13385" hidden="1" x14ac:dyDescent="0.35"/>
    <row r="13386" hidden="1" x14ac:dyDescent="0.35"/>
    <row r="13387" hidden="1" x14ac:dyDescent="0.35"/>
    <row r="13388" hidden="1" x14ac:dyDescent="0.35"/>
    <row r="13389" hidden="1" x14ac:dyDescent="0.35"/>
    <row r="13390" hidden="1" x14ac:dyDescent="0.35"/>
    <row r="13391" hidden="1" x14ac:dyDescent="0.35"/>
    <row r="13392" hidden="1" x14ac:dyDescent="0.35"/>
    <row r="13393" hidden="1" x14ac:dyDescent="0.35"/>
    <row r="13394" hidden="1" x14ac:dyDescent="0.35"/>
    <row r="13395" hidden="1" x14ac:dyDescent="0.35"/>
    <row r="13396" hidden="1" x14ac:dyDescent="0.35"/>
    <row r="13397" hidden="1" x14ac:dyDescent="0.35"/>
    <row r="13398" hidden="1" x14ac:dyDescent="0.35"/>
    <row r="13399" hidden="1" x14ac:dyDescent="0.35"/>
    <row r="13400" hidden="1" x14ac:dyDescent="0.35"/>
    <row r="13401" hidden="1" x14ac:dyDescent="0.35"/>
    <row r="13402" hidden="1" x14ac:dyDescent="0.35"/>
    <row r="13403" hidden="1" x14ac:dyDescent="0.35"/>
    <row r="13404" hidden="1" x14ac:dyDescent="0.35"/>
    <row r="13405" hidden="1" x14ac:dyDescent="0.35"/>
    <row r="13406" hidden="1" x14ac:dyDescent="0.35"/>
    <row r="13407" hidden="1" x14ac:dyDescent="0.35"/>
    <row r="13408" hidden="1" x14ac:dyDescent="0.35"/>
    <row r="13409" hidden="1" x14ac:dyDescent="0.35"/>
    <row r="13410" hidden="1" x14ac:dyDescent="0.35"/>
    <row r="13411" hidden="1" x14ac:dyDescent="0.35"/>
    <row r="13412" hidden="1" x14ac:dyDescent="0.35"/>
    <row r="13413" hidden="1" x14ac:dyDescent="0.35"/>
    <row r="13414" hidden="1" x14ac:dyDescent="0.35"/>
    <row r="13415" hidden="1" x14ac:dyDescent="0.35"/>
    <row r="13416" hidden="1" x14ac:dyDescent="0.35"/>
    <row r="13417" hidden="1" x14ac:dyDescent="0.35"/>
    <row r="13418" hidden="1" x14ac:dyDescent="0.35"/>
    <row r="13419" hidden="1" x14ac:dyDescent="0.35"/>
    <row r="13420" hidden="1" x14ac:dyDescent="0.35"/>
    <row r="13421" hidden="1" x14ac:dyDescent="0.35"/>
    <row r="13422" hidden="1" x14ac:dyDescent="0.35"/>
    <row r="13423" hidden="1" x14ac:dyDescent="0.35"/>
    <row r="13424" hidden="1" x14ac:dyDescent="0.35"/>
    <row r="13425" hidden="1" x14ac:dyDescent="0.35"/>
    <row r="13426" hidden="1" x14ac:dyDescent="0.35"/>
    <row r="13427" hidden="1" x14ac:dyDescent="0.35"/>
    <row r="13428" hidden="1" x14ac:dyDescent="0.35"/>
    <row r="13429" hidden="1" x14ac:dyDescent="0.35"/>
    <row r="13430" hidden="1" x14ac:dyDescent="0.35"/>
    <row r="13431" hidden="1" x14ac:dyDescent="0.35"/>
    <row r="13432" hidden="1" x14ac:dyDescent="0.35"/>
    <row r="13433" hidden="1" x14ac:dyDescent="0.35"/>
    <row r="13434" hidden="1" x14ac:dyDescent="0.35"/>
    <row r="13435" hidden="1" x14ac:dyDescent="0.35"/>
    <row r="13436" hidden="1" x14ac:dyDescent="0.35"/>
    <row r="13437" hidden="1" x14ac:dyDescent="0.35"/>
    <row r="13438" hidden="1" x14ac:dyDescent="0.35"/>
    <row r="13439" hidden="1" x14ac:dyDescent="0.35"/>
    <row r="13440" hidden="1" x14ac:dyDescent="0.35"/>
    <row r="13441" hidden="1" x14ac:dyDescent="0.35"/>
    <row r="13442" hidden="1" x14ac:dyDescent="0.35"/>
    <row r="13443" hidden="1" x14ac:dyDescent="0.35"/>
    <row r="13444" hidden="1" x14ac:dyDescent="0.35"/>
    <row r="13445" hidden="1" x14ac:dyDescent="0.35"/>
    <row r="13446" hidden="1" x14ac:dyDescent="0.35"/>
    <row r="13447" hidden="1" x14ac:dyDescent="0.35"/>
    <row r="13448" hidden="1" x14ac:dyDescent="0.35"/>
    <row r="13449" hidden="1" x14ac:dyDescent="0.35"/>
    <row r="13450" hidden="1" x14ac:dyDescent="0.35"/>
    <row r="13451" hidden="1" x14ac:dyDescent="0.35"/>
    <row r="13452" hidden="1" x14ac:dyDescent="0.35"/>
    <row r="13453" hidden="1" x14ac:dyDescent="0.35"/>
    <row r="13454" hidden="1" x14ac:dyDescent="0.35"/>
    <row r="13455" hidden="1" x14ac:dyDescent="0.35"/>
    <row r="13456" hidden="1" x14ac:dyDescent="0.35"/>
    <row r="13457" hidden="1" x14ac:dyDescent="0.35"/>
    <row r="13458" hidden="1" x14ac:dyDescent="0.35"/>
    <row r="13459" hidden="1" x14ac:dyDescent="0.35"/>
    <row r="13460" hidden="1" x14ac:dyDescent="0.35"/>
    <row r="13461" hidden="1" x14ac:dyDescent="0.35"/>
    <row r="13462" hidden="1" x14ac:dyDescent="0.35"/>
    <row r="13463" hidden="1" x14ac:dyDescent="0.35"/>
    <row r="13464" hidden="1" x14ac:dyDescent="0.35"/>
    <row r="13465" hidden="1" x14ac:dyDescent="0.35"/>
    <row r="13466" hidden="1" x14ac:dyDescent="0.35"/>
    <row r="13467" hidden="1" x14ac:dyDescent="0.35"/>
    <row r="13468" hidden="1" x14ac:dyDescent="0.35"/>
    <row r="13469" hidden="1" x14ac:dyDescent="0.35"/>
    <row r="13470" hidden="1" x14ac:dyDescent="0.35"/>
    <row r="13471" hidden="1" x14ac:dyDescent="0.35"/>
    <row r="13472" hidden="1" x14ac:dyDescent="0.35"/>
    <row r="13473" hidden="1" x14ac:dyDescent="0.35"/>
    <row r="13474" hidden="1" x14ac:dyDescent="0.35"/>
    <row r="13475" hidden="1" x14ac:dyDescent="0.35"/>
    <row r="13476" hidden="1" x14ac:dyDescent="0.35"/>
    <row r="13477" hidden="1" x14ac:dyDescent="0.35"/>
    <row r="13478" hidden="1" x14ac:dyDescent="0.35"/>
    <row r="13479" hidden="1" x14ac:dyDescent="0.35"/>
    <row r="13480" hidden="1" x14ac:dyDescent="0.35"/>
    <row r="13481" hidden="1" x14ac:dyDescent="0.35"/>
    <row r="13482" hidden="1" x14ac:dyDescent="0.35"/>
    <row r="13483" hidden="1" x14ac:dyDescent="0.35"/>
    <row r="13484" hidden="1" x14ac:dyDescent="0.35"/>
    <row r="13485" hidden="1" x14ac:dyDescent="0.35"/>
    <row r="13486" hidden="1" x14ac:dyDescent="0.35"/>
    <row r="13487" hidden="1" x14ac:dyDescent="0.35"/>
    <row r="13488" hidden="1" x14ac:dyDescent="0.35"/>
    <row r="13489" hidden="1" x14ac:dyDescent="0.35"/>
    <row r="13490" hidden="1" x14ac:dyDescent="0.35"/>
    <row r="13491" hidden="1" x14ac:dyDescent="0.35"/>
    <row r="13492" hidden="1" x14ac:dyDescent="0.35"/>
    <row r="13493" hidden="1" x14ac:dyDescent="0.35"/>
    <row r="13494" hidden="1" x14ac:dyDescent="0.35"/>
    <row r="13495" hidden="1" x14ac:dyDescent="0.35"/>
    <row r="13496" hidden="1" x14ac:dyDescent="0.35"/>
    <row r="13497" hidden="1" x14ac:dyDescent="0.35"/>
    <row r="13498" hidden="1" x14ac:dyDescent="0.35"/>
    <row r="13499" hidden="1" x14ac:dyDescent="0.35"/>
    <row r="13500" hidden="1" x14ac:dyDescent="0.35"/>
    <row r="13501" hidden="1" x14ac:dyDescent="0.35"/>
    <row r="13502" hidden="1" x14ac:dyDescent="0.35"/>
    <row r="13503" hidden="1" x14ac:dyDescent="0.35"/>
    <row r="13504" hidden="1" x14ac:dyDescent="0.35"/>
    <row r="13505" hidden="1" x14ac:dyDescent="0.35"/>
    <row r="13506" hidden="1" x14ac:dyDescent="0.35"/>
    <row r="13507" hidden="1" x14ac:dyDescent="0.35"/>
    <row r="13508" hidden="1" x14ac:dyDescent="0.35"/>
    <row r="13509" hidden="1" x14ac:dyDescent="0.35"/>
    <row r="13510" hidden="1" x14ac:dyDescent="0.35"/>
    <row r="13511" hidden="1" x14ac:dyDescent="0.35"/>
    <row r="13512" hidden="1" x14ac:dyDescent="0.35"/>
    <row r="13513" hidden="1" x14ac:dyDescent="0.35"/>
    <row r="13514" hidden="1" x14ac:dyDescent="0.35"/>
    <row r="13515" hidden="1" x14ac:dyDescent="0.35"/>
    <row r="13516" hidden="1" x14ac:dyDescent="0.35"/>
    <row r="13517" hidden="1" x14ac:dyDescent="0.35"/>
    <row r="13518" hidden="1" x14ac:dyDescent="0.35"/>
    <row r="13519" hidden="1" x14ac:dyDescent="0.35"/>
    <row r="13520" hidden="1" x14ac:dyDescent="0.35"/>
    <row r="13521" hidden="1" x14ac:dyDescent="0.35"/>
    <row r="13522" hidden="1" x14ac:dyDescent="0.35"/>
    <row r="13523" hidden="1" x14ac:dyDescent="0.35"/>
    <row r="13524" hidden="1" x14ac:dyDescent="0.35"/>
    <row r="13525" hidden="1" x14ac:dyDescent="0.35"/>
    <row r="13526" hidden="1" x14ac:dyDescent="0.35"/>
    <row r="13527" hidden="1" x14ac:dyDescent="0.35"/>
    <row r="13528" hidden="1" x14ac:dyDescent="0.35"/>
    <row r="13529" hidden="1" x14ac:dyDescent="0.35"/>
    <row r="13530" hidden="1" x14ac:dyDescent="0.35"/>
    <row r="13531" hidden="1" x14ac:dyDescent="0.35"/>
    <row r="13532" hidden="1" x14ac:dyDescent="0.35"/>
    <row r="13533" hidden="1" x14ac:dyDescent="0.35"/>
    <row r="13534" hidden="1" x14ac:dyDescent="0.35"/>
    <row r="13535" hidden="1" x14ac:dyDescent="0.35"/>
    <row r="13536" hidden="1" x14ac:dyDescent="0.35"/>
    <row r="13537" hidden="1" x14ac:dyDescent="0.35"/>
    <row r="13538" hidden="1" x14ac:dyDescent="0.35"/>
    <row r="13539" hidden="1" x14ac:dyDescent="0.35"/>
    <row r="13540" hidden="1" x14ac:dyDescent="0.35"/>
    <row r="13541" hidden="1" x14ac:dyDescent="0.35"/>
    <row r="13542" hidden="1" x14ac:dyDescent="0.35"/>
    <row r="13543" hidden="1" x14ac:dyDescent="0.35"/>
    <row r="13544" hidden="1" x14ac:dyDescent="0.35"/>
    <row r="13545" hidden="1" x14ac:dyDescent="0.35"/>
    <row r="13546" hidden="1" x14ac:dyDescent="0.35"/>
    <row r="13547" hidden="1" x14ac:dyDescent="0.35"/>
    <row r="13548" hidden="1" x14ac:dyDescent="0.35"/>
    <row r="13549" hidden="1" x14ac:dyDescent="0.35"/>
    <row r="13550" hidden="1" x14ac:dyDescent="0.35"/>
    <row r="13551" hidden="1" x14ac:dyDescent="0.35"/>
    <row r="13552" hidden="1" x14ac:dyDescent="0.35"/>
    <row r="13553" hidden="1" x14ac:dyDescent="0.35"/>
    <row r="13554" hidden="1" x14ac:dyDescent="0.35"/>
    <row r="13555" hidden="1" x14ac:dyDescent="0.35"/>
    <row r="13556" hidden="1" x14ac:dyDescent="0.35"/>
    <row r="13557" hidden="1" x14ac:dyDescent="0.35"/>
    <row r="13558" hidden="1" x14ac:dyDescent="0.35"/>
    <row r="13559" hidden="1" x14ac:dyDescent="0.35"/>
    <row r="13560" hidden="1" x14ac:dyDescent="0.35"/>
    <row r="13561" hidden="1" x14ac:dyDescent="0.35"/>
    <row r="13562" hidden="1" x14ac:dyDescent="0.35"/>
    <row r="13563" hidden="1" x14ac:dyDescent="0.35"/>
    <row r="13564" hidden="1" x14ac:dyDescent="0.35"/>
    <row r="13565" hidden="1" x14ac:dyDescent="0.35"/>
    <row r="13566" hidden="1" x14ac:dyDescent="0.35"/>
    <row r="13567" hidden="1" x14ac:dyDescent="0.35"/>
    <row r="13568" hidden="1" x14ac:dyDescent="0.35"/>
    <row r="13569" hidden="1" x14ac:dyDescent="0.35"/>
    <row r="13570" hidden="1" x14ac:dyDescent="0.35"/>
    <row r="13571" hidden="1" x14ac:dyDescent="0.35"/>
    <row r="13572" hidden="1" x14ac:dyDescent="0.35"/>
    <row r="13573" hidden="1" x14ac:dyDescent="0.35"/>
    <row r="13574" hidden="1" x14ac:dyDescent="0.35"/>
    <row r="13575" hidden="1" x14ac:dyDescent="0.35"/>
    <row r="13576" hidden="1" x14ac:dyDescent="0.35"/>
    <row r="13577" hidden="1" x14ac:dyDescent="0.35"/>
    <row r="13578" hidden="1" x14ac:dyDescent="0.35"/>
    <row r="13579" hidden="1" x14ac:dyDescent="0.35"/>
    <row r="13580" hidden="1" x14ac:dyDescent="0.35"/>
    <row r="13581" hidden="1" x14ac:dyDescent="0.35"/>
    <row r="13582" hidden="1" x14ac:dyDescent="0.35"/>
    <row r="13583" hidden="1" x14ac:dyDescent="0.35"/>
    <row r="13584" hidden="1" x14ac:dyDescent="0.35"/>
    <row r="13585" hidden="1" x14ac:dyDescent="0.35"/>
    <row r="13586" hidden="1" x14ac:dyDescent="0.35"/>
    <row r="13587" hidden="1" x14ac:dyDescent="0.35"/>
    <row r="13588" hidden="1" x14ac:dyDescent="0.35"/>
    <row r="13589" hidden="1" x14ac:dyDescent="0.35"/>
    <row r="13590" hidden="1" x14ac:dyDescent="0.35"/>
    <row r="13591" hidden="1" x14ac:dyDescent="0.35"/>
    <row r="13592" hidden="1" x14ac:dyDescent="0.35"/>
    <row r="13593" hidden="1" x14ac:dyDescent="0.35"/>
    <row r="13594" hidden="1" x14ac:dyDescent="0.35"/>
    <row r="13595" hidden="1" x14ac:dyDescent="0.35"/>
    <row r="13596" hidden="1" x14ac:dyDescent="0.35"/>
    <row r="13597" hidden="1" x14ac:dyDescent="0.35"/>
    <row r="13598" hidden="1" x14ac:dyDescent="0.35"/>
    <row r="13599" hidden="1" x14ac:dyDescent="0.35"/>
    <row r="13600" hidden="1" x14ac:dyDescent="0.35"/>
    <row r="13601" hidden="1" x14ac:dyDescent="0.35"/>
    <row r="13602" hidden="1" x14ac:dyDescent="0.35"/>
    <row r="13603" hidden="1" x14ac:dyDescent="0.35"/>
    <row r="13604" hidden="1" x14ac:dyDescent="0.35"/>
    <row r="13605" hidden="1" x14ac:dyDescent="0.35"/>
    <row r="13606" hidden="1" x14ac:dyDescent="0.35"/>
    <row r="13607" hidden="1" x14ac:dyDescent="0.35"/>
    <row r="13608" hidden="1" x14ac:dyDescent="0.35"/>
    <row r="13609" hidden="1" x14ac:dyDescent="0.35"/>
    <row r="13610" hidden="1" x14ac:dyDescent="0.35"/>
    <row r="13611" hidden="1" x14ac:dyDescent="0.35"/>
    <row r="13612" hidden="1" x14ac:dyDescent="0.35"/>
    <row r="13613" hidden="1" x14ac:dyDescent="0.35"/>
    <row r="13614" hidden="1" x14ac:dyDescent="0.35"/>
    <row r="13615" hidden="1" x14ac:dyDescent="0.35"/>
    <row r="13616" hidden="1" x14ac:dyDescent="0.35"/>
    <row r="13617" hidden="1" x14ac:dyDescent="0.35"/>
    <row r="13618" hidden="1" x14ac:dyDescent="0.35"/>
    <row r="13619" hidden="1" x14ac:dyDescent="0.35"/>
    <row r="13620" hidden="1" x14ac:dyDescent="0.35"/>
    <row r="13621" hidden="1" x14ac:dyDescent="0.35"/>
    <row r="13622" hidden="1" x14ac:dyDescent="0.35"/>
    <row r="13623" hidden="1" x14ac:dyDescent="0.35"/>
    <row r="13624" hidden="1" x14ac:dyDescent="0.35"/>
    <row r="13625" hidden="1" x14ac:dyDescent="0.35"/>
    <row r="13626" hidden="1" x14ac:dyDescent="0.35"/>
    <row r="13627" hidden="1" x14ac:dyDescent="0.35"/>
    <row r="13628" hidden="1" x14ac:dyDescent="0.35"/>
    <row r="13629" hidden="1" x14ac:dyDescent="0.35"/>
    <row r="13630" hidden="1" x14ac:dyDescent="0.35"/>
    <row r="13631" hidden="1" x14ac:dyDescent="0.35"/>
    <row r="13632" hidden="1" x14ac:dyDescent="0.35"/>
    <row r="13633" hidden="1" x14ac:dyDescent="0.35"/>
    <row r="13634" hidden="1" x14ac:dyDescent="0.35"/>
    <row r="13635" hidden="1" x14ac:dyDescent="0.35"/>
    <row r="13636" hidden="1" x14ac:dyDescent="0.35"/>
    <row r="13637" hidden="1" x14ac:dyDescent="0.35"/>
    <row r="13638" hidden="1" x14ac:dyDescent="0.35"/>
    <row r="13639" hidden="1" x14ac:dyDescent="0.35"/>
    <row r="13640" hidden="1" x14ac:dyDescent="0.35"/>
    <row r="13641" hidden="1" x14ac:dyDescent="0.35"/>
    <row r="13642" hidden="1" x14ac:dyDescent="0.35"/>
    <row r="13643" hidden="1" x14ac:dyDescent="0.35"/>
    <row r="13644" hidden="1" x14ac:dyDescent="0.35"/>
    <row r="13645" hidden="1" x14ac:dyDescent="0.35"/>
    <row r="13646" hidden="1" x14ac:dyDescent="0.35"/>
    <row r="13647" hidden="1" x14ac:dyDescent="0.35"/>
    <row r="13648" hidden="1" x14ac:dyDescent="0.35"/>
    <row r="13649" hidden="1" x14ac:dyDescent="0.35"/>
    <row r="13650" hidden="1" x14ac:dyDescent="0.35"/>
    <row r="13651" hidden="1" x14ac:dyDescent="0.35"/>
    <row r="13652" hidden="1" x14ac:dyDescent="0.35"/>
    <row r="13653" hidden="1" x14ac:dyDescent="0.35"/>
    <row r="13654" hidden="1" x14ac:dyDescent="0.35"/>
    <row r="13655" hidden="1" x14ac:dyDescent="0.35"/>
    <row r="13656" hidden="1" x14ac:dyDescent="0.35"/>
    <row r="13657" hidden="1" x14ac:dyDescent="0.35"/>
    <row r="13658" hidden="1" x14ac:dyDescent="0.35"/>
    <row r="13659" hidden="1" x14ac:dyDescent="0.35"/>
    <row r="13660" hidden="1" x14ac:dyDescent="0.35"/>
    <row r="13661" hidden="1" x14ac:dyDescent="0.35"/>
    <row r="13662" hidden="1" x14ac:dyDescent="0.35"/>
    <row r="13663" hidden="1" x14ac:dyDescent="0.35"/>
    <row r="13664" hidden="1" x14ac:dyDescent="0.35"/>
    <row r="13665" hidden="1" x14ac:dyDescent="0.35"/>
    <row r="13666" hidden="1" x14ac:dyDescent="0.35"/>
    <row r="13667" hidden="1" x14ac:dyDescent="0.35"/>
    <row r="13668" hidden="1" x14ac:dyDescent="0.35"/>
    <row r="13669" hidden="1" x14ac:dyDescent="0.35"/>
    <row r="13670" hidden="1" x14ac:dyDescent="0.35"/>
    <row r="13671" hidden="1" x14ac:dyDescent="0.35"/>
    <row r="13672" hidden="1" x14ac:dyDescent="0.35"/>
    <row r="13673" hidden="1" x14ac:dyDescent="0.35"/>
    <row r="13674" hidden="1" x14ac:dyDescent="0.35"/>
    <row r="13675" hidden="1" x14ac:dyDescent="0.35"/>
    <row r="13676" hidden="1" x14ac:dyDescent="0.35"/>
    <row r="13677" hidden="1" x14ac:dyDescent="0.35"/>
    <row r="13678" hidden="1" x14ac:dyDescent="0.35"/>
    <row r="13679" hidden="1" x14ac:dyDescent="0.35"/>
    <row r="13680" hidden="1" x14ac:dyDescent="0.35"/>
    <row r="13681" hidden="1" x14ac:dyDescent="0.35"/>
    <row r="13682" hidden="1" x14ac:dyDescent="0.35"/>
    <row r="13683" hidden="1" x14ac:dyDescent="0.35"/>
    <row r="13684" hidden="1" x14ac:dyDescent="0.35"/>
    <row r="13685" hidden="1" x14ac:dyDescent="0.35"/>
    <row r="13686" hidden="1" x14ac:dyDescent="0.35"/>
    <row r="13687" hidden="1" x14ac:dyDescent="0.35"/>
    <row r="13688" hidden="1" x14ac:dyDescent="0.35"/>
    <row r="13689" hidden="1" x14ac:dyDescent="0.35"/>
    <row r="13690" hidden="1" x14ac:dyDescent="0.35"/>
    <row r="13691" hidden="1" x14ac:dyDescent="0.35"/>
    <row r="13692" hidden="1" x14ac:dyDescent="0.35"/>
    <row r="13693" hidden="1" x14ac:dyDescent="0.35"/>
    <row r="13694" hidden="1" x14ac:dyDescent="0.35"/>
    <row r="13695" hidden="1" x14ac:dyDescent="0.35"/>
    <row r="13696" hidden="1" x14ac:dyDescent="0.35"/>
    <row r="13697" hidden="1" x14ac:dyDescent="0.35"/>
    <row r="13698" hidden="1" x14ac:dyDescent="0.35"/>
    <row r="13699" hidden="1" x14ac:dyDescent="0.35"/>
    <row r="13700" hidden="1" x14ac:dyDescent="0.35"/>
    <row r="13701" hidden="1" x14ac:dyDescent="0.35"/>
    <row r="13702" hidden="1" x14ac:dyDescent="0.35"/>
    <row r="13703" hidden="1" x14ac:dyDescent="0.35"/>
    <row r="13704" hidden="1" x14ac:dyDescent="0.35"/>
    <row r="13705" hidden="1" x14ac:dyDescent="0.35"/>
    <row r="13706" hidden="1" x14ac:dyDescent="0.35"/>
    <row r="13707" hidden="1" x14ac:dyDescent="0.35"/>
    <row r="13708" hidden="1" x14ac:dyDescent="0.35"/>
    <row r="13709" hidden="1" x14ac:dyDescent="0.35"/>
    <row r="13710" hidden="1" x14ac:dyDescent="0.35"/>
    <row r="13711" hidden="1" x14ac:dyDescent="0.35"/>
    <row r="13712" hidden="1" x14ac:dyDescent="0.35"/>
    <row r="13713" hidden="1" x14ac:dyDescent="0.35"/>
    <row r="13714" hidden="1" x14ac:dyDescent="0.35"/>
    <row r="13715" hidden="1" x14ac:dyDescent="0.35"/>
    <row r="13716" hidden="1" x14ac:dyDescent="0.35"/>
    <row r="13717" hidden="1" x14ac:dyDescent="0.35"/>
    <row r="13718" hidden="1" x14ac:dyDescent="0.35"/>
    <row r="13719" hidden="1" x14ac:dyDescent="0.35"/>
    <row r="13720" hidden="1" x14ac:dyDescent="0.35"/>
    <row r="13721" hidden="1" x14ac:dyDescent="0.35"/>
    <row r="13722" hidden="1" x14ac:dyDescent="0.35"/>
    <row r="13723" hidden="1" x14ac:dyDescent="0.35"/>
    <row r="13724" hidden="1" x14ac:dyDescent="0.35"/>
    <row r="13725" hidden="1" x14ac:dyDescent="0.35"/>
    <row r="13726" hidden="1" x14ac:dyDescent="0.35"/>
    <row r="13727" hidden="1" x14ac:dyDescent="0.35"/>
    <row r="13728" hidden="1" x14ac:dyDescent="0.35"/>
    <row r="13729" hidden="1" x14ac:dyDescent="0.35"/>
    <row r="13730" hidden="1" x14ac:dyDescent="0.35"/>
    <row r="13731" hidden="1" x14ac:dyDescent="0.35"/>
    <row r="13732" hidden="1" x14ac:dyDescent="0.35"/>
    <row r="13733" hidden="1" x14ac:dyDescent="0.35"/>
    <row r="13734" hidden="1" x14ac:dyDescent="0.35"/>
    <row r="13735" hidden="1" x14ac:dyDescent="0.35"/>
    <row r="13736" hidden="1" x14ac:dyDescent="0.35"/>
    <row r="13737" hidden="1" x14ac:dyDescent="0.35"/>
    <row r="13738" hidden="1" x14ac:dyDescent="0.35"/>
    <row r="13739" hidden="1" x14ac:dyDescent="0.35"/>
    <row r="13740" hidden="1" x14ac:dyDescent="0.35"/>
    <row r="13741" hidden="1" x14ac:dyDescent="0.35"/>
    <row r="13742" hidden="1" x14ac:dyDescent="0.35"/>
    <row r="13743" hidden="1" x14ac:dyDescent="0.35"/>
    <row r="13744" hidden="1" x14ac:dyDescent="0.35"/>
    <row r="13745" hidden="1" x14ac:dyDescent="0.35"/>
    <row r="13746" hidden="1" x14ac:dyDescent="0.35"/>
    <row r="13747" hidden="1" x14ac:dyDescent="0.35"/>
    <row r="13748" hidden="1" x14ac:dyDescent="0.35"/>
    <row r="13749" hidden="1" x14ac:dyDescent="0.35"/>
    <row r="13750" hidden="1" x14ac:dyDescent="0.35"/>
    <row r="13751" hidden="1" x14ac:dyDescent="0.35"/>
    <row r="13752" hidden="1" x14ac:dyDescent="0.35"/>
    <row r="13753" hidden="1" x14ac:dyDescent="0.35"/>
    <row r="13754" hidden="1" x14ac:dyDescent="0.35"/>
    <row r="13755" hidden="1" x14ac:dyDescent="0.35"/>
    <row r="13756" hidden="1" x14ac:dyDescent="0.35"/>
    <row r="13757" hidden="1" x14ac:dyDescent="0.35"/>
    <row r="13758" hidden="1" x14ac:dyDescent="0.35"/>
    <row r="13759" hidden="1" x14ac:dyDescent="0.35"/>
    <row r="13760" hidden="1" x14ac:dyDescent="0.35"/>
    <row r="13761" hidden="1" x14ac:dyDescent="0.35"/>
    <row r="13762" hidden="1" x14ac:dyDescent="0.35"/>
    <row r="13763" hidden="1" x14ac:dyDescent="0.35"/>
    <row r="13764" hidden="1" x14ac:dyDescent="0.35"/>
    <row r="13765" hidden="1" x14ac:dyDescent="0.35"/>
    <row r="13766" hidden="1" x14ac:dyDescent="0.35"/>
    <row r="13767" hidden="1" x14ac:dyDescent="0.35"/>
    <row r="13768" hidden="1" x14ac:dyDescent="0.35"/>
    <row r="13769" hidden="1" x14ac:dyDescent="0.35"/>
    <row r="13770" hidden="1" x14ac:dyDescent="0.35"/>
    <row r="13771" hidden="1" x14ac:dyDescent="0.35"/>
    <row r="13772" hidden="1" x14ac:dyDescent="0.35"/>
    <row r="13773" hidden="1" x14ac:dyDescent="0.35"/>
    <row r="13774" hidden="1" x14ac:dyDescent="0.35"/>
    <row r="13775" hidden="1" x14ac:dyDescent="0.35"/>
    <row r="13776" hidden="1" x14ac:dyDescent="0.35"/>
    <row r="13777" hidden="1" x14ac:dyDescent="0.35"/>
    <row r="13778" hidden="1" x14ac:dyDescent="0.35"/>
    <row r="13779" hidden="1" x14ac:dyDescent="0.35"/>
    <row r="13780" hidden="1" x14ac:dyDescent="0.35"/>
    <row r="13781" hidden="1" x14ac:dyDescent="0.35"/>
    <row r="13782" hidden="1" x14ac:dyDescent="0.35"/>
    <row r="13783" hidden="1" x14ac:dyDescent="0.35"/>
    <row r="13784" hidden="1" x14ac:dyDescent="0.35"/>
    <row r="13785" hidden="1" x14ac:dyDescent="0.35"/>
    <row r="13786" hidden="1" x14ac:dyDescent="0.35"/>
    <row r="13787" hidden="1" x14ac:dyDescent="0.35"/>
    <row r="13788" hidden="1" x14ac:dyDescent="0.35"/>
    <row r="13789" hidden="1" x14ac:dyDescent="0.35"/>
    <row r="13790" hidden="1" x14ac:dyDescent="0.35"/>
    <row r="13791" hidden="1" x14ac:dyDescent="0.35"/>
    <row r="13792" hidden="1" x14ac:dyDescent="0.35"/>
    <row r="13793" hidden="1" x14ac:dyDescent="0.35"/>
    <row r="13794" hidden="1" x14ac:dyDescent="0.35"/>
    <row r="13795" hidden="1" x14ac:dyDescent="0.35"/>
    <row r="13796" hidden="1" x14ac:dyDescent="0.35"/>
    <row r="13797" hidden="1" x14ac:dyDescent="0.35"/>
    <row r="13798" hidden="1" x14ac:dyDescent="0.35"/>
    <row r="13799" hidden="1" x14ac:dyDescent="0.35"/>
    <row r="13800" hidden="1" x14ac:dyDescent="0.35"/>
    <row r="13801" hidden="1" x14ac:dyDescent="0.35"/>
    <row r="13802" hidden="1" x14ac:dyDescent="0.35"/>
    <row r="13803" hidden="1" x14ac:dyDescent="0.35"/>
    <row r="13804" hidden="1" x14ac:dyDescent="0.35"/>
    <row r="13805" hidden="1" x14ac:dyDescent="0.35"/>
    <row r="13806" hidden="1" x14ac:dyDescent="0.35"/>
    <row r="13807" hidden="1" x14ac:dyDescent="0.35"/>
    <row r="13808" hidden="1" x14ac:dyDescent="0.35"/>
    <row r="13809" hidden="1" x14ac:dyDescent="0.35"/>
    <row r="13810" hidden="1" x14ac:dyDescent="0.35"/>
    <row r="13811" hidden="1" x14ac:dyDescent="0.35"/>
    <row r="13812" hidden="1" x14ac:dyDescent="0.35"/>
    <row r="13813" hidden="1" x14ac:dyDescent="0.35"/>
    <row r="13814" hidden="1" x14ac:dyDescent="0.35"/>
    <row r="13815" hidden="1" x14ac:dyDescent="0.35"/>
    <row r="13816" hidden="1" x14ac:dyDescent="0.35"/>
    <row r="13817" hidden="1" x14ac:dyDescent="0.35"/>
    <row r="13818" hidden="1" x14ac:dyDescent="0.35"/>
    <row r="13819" hidden="1" x14ac:dyDescent="0.35"/>
    <row r="13820" hidden="1" x14ac:dyDescent="0.35"/>
    <row r="13821" hidden="1" x14ac:dyDescent="0.35"/>
    <row r="13822" hidden="1" x14ac:dyDescent="0.35"/>
    <row r="13823" hidden="1" x14ac:dyDescent="0.35"/>
    <row r="13824" hidden="1" x14ac:dyDescent="0.35"/>
    <row r="13825" hidden="1" x14ac:dyDescent="0.35"/>
    <row r="13826" hidden="1" x14ac:dyDescent="0.35"/>
    <row r="13827" hidden="1" x14ac:dyDescent="0.35"/>
    <row r="13828" hidden="1" x14ac:dyDescent="0.35"/>
    <row r="13829" hidden="1" x14ac:dyDescent="0.35"/>
    <row r="13830" hidden="1" x14ac:dyDescent="0.35"/>
    <row r="13831" hidden="1" x14ac:dyDescent="0.35"/>
    <row r="13832" hidden="1" x14ac:dyDescent="0.35"/>
    <row r="13833" hidden="1" x14ac:dyDescent="0.35"/>
    <row r="13834" hidden="1" x14ac:dyDescent="0.35"/>
    <row r="13835" hidden="1" x14ac:dyDescent="0.35"/>
    <row r="13836" hidden="1" x14ac:dyDescent="0.35"/>
    <row r="13837" hidden="1" x14ac:dyDescent="0.35"/>
    <row r="13838" hidden="1" x14ac:dyDescent="0.35"/>
    <row r="13839" hidden="1" x14ac:dyDescent="0.35"/>
    <row r="13840" hidden="1" x14ac:dyDescent="0.35"/>
    <row r="13841" hidden="1" x14ac:dyDescent="0.35"/>
    <row r="13842" hidden="1" x14ac:dyDescent="0.35"/>
    <row r="13843" hidden="1" x14ac:dyDescent="0.35"/>
    <row r="13844" hidden="1" x14ac:dyDescent="0.35"/>
    <row r="13845" hidden="1" x14ac:dyDescent="0.35"/>
    <row r="13846" hidden="1" x14ac:dyDescent="0.35"/>
    <row r="13847" hidden="1" x14ac:dyDescent="0.35"/>
    <row r="13848" hidden="1" x14ac:dyDescent="0.35"/>
    <row r="13849" hidden="1" x14ac:dyDescent="0.35"/>
    <row r="13850" hidden="1" x14ac:dyDescent="0.35"/>
    <row r="13851" hidden="1" x14ac:dyDescent="0.35"/>
    <row r="13852" hidden="1" x14ac:dyDescent="0.35"/>
    <row r="13853" hidden="1" x14ac:dyDescent="0.35"/>
    <row r="13854" hidden="1" x14ac:dyDescent="0.35"/>
    <row r="13855" hidden="1" x14ac:dyDescent="0.35"/>
    <row r="13856" hidden="1" x14ac:dyDescent="0.35"/>
    <row r="13857" hidden="1" x14ac:dyDescent="0.35"/>
    <row r="13858" hidden="1" x14ac:dyDescent="0.35"/>
    <row r="13859" hidden="1" x14ac:dyDescent="0.35"/>
    <row r="13860" hidden="1" x14ac:dyDescent="0.35"/>
    <row r="13861" hidden="1" x14ac:dyDescent="0.35"/>
    <row r="13862" hidden="1" x14ac:dyDescent="0.35"/>
    <row r="13863" hidden="1" x14ac:dyDescent="0.35"/>
    <row r="13864" hidden="1" x14ac:dyDescent="0.35"/>
    <row r="13865" hidden="1" x14ac:dyDescent="0.35"/>
    <row r="13866" hidden="1" x14ac:dyDescent="0.35"/>
    <row r="13867" hidden="1" x14ac:dyDescent="0.35"/>
    <row r="13868" hidden="1" x14ac:dyDescent="0.35"/>
    <row r="13869" hidden="1" x14ac:dyDescent="0.35"/>
    <row r="13870" hidden="1" x14ac:dyDescent="0.35"/>
    <row r="13871" hidden="1" x14ac:dyDescent="0.35"/>
    <row r="13872" hidden="1" x14ac:dyDescent="0.35"/>
    <row r="13873" hidden="1" x14ac:dyDescent="0.35"/>
    <row r="13874" hidden="1" x14ac:dyDescent="0.35"/>
    <row r="13875" hidden="1" x14ac:dyDescent="0.35"/>
    <row r="13876" hidden="1" x14ac:dyDescent="0.35"/>
    <row r="13877" hidden="1" x14ac:dyDescent="0.35"/>
    <row r="13878" hidden="1" x14ac:dyDescent="0.35"/>
    <row r="13879" hidden="1" x14ac:dyDescent="0.35"/>
    <row r="13880" hidden="1" x14ac:dyDescent="0.35"/>
    <row r="13881" hidden="1" x14ac:dyDescent="0.35"/>
    <row r="13882" hidden="1" x14ac:dyDescent="0.35"/>
    <row r="13883" hidden="1" x14ac:dyDescent="0.35"/>
    <row r="13884" hidden="1" x14ac:dyDescent="0.35"/>
    <row r="13885" hidden="1" x14ac:dyDescent="0.35"/>
    <row r="13886" hidden="1" x14ac:dyDescent="0.35"/>
    <row r="13887" hidden="1" x14ac:dyDescent="0.35"/>
    <row r="13888" hidden="1" x14ac:dyDescent="0.35"/>
    <row r="13889" hidden="1" x14ac:dyDescent="0.35"/>
    <row r="13890" hidden="1" x14ac:dyDescent="0.35"/>
    <row r="13891" hidden="1" x14ac:dyDescent="0.35"/>
    <row r="13892" hidden="1" x14ac:dyDescent="0.35"/>
    <row r="13893" hidden="1" x14ac:dyDescent="0.35"/>
    <row r="13894" hidden="1" x14ac:dyDescent="0.35"/>
    <row r="13895" hidden="1" x14ac:dyDescent="0.35"/>
    <row r="13896" hidden="1" x14ac:dyDescent="0.35"/>
    <row r="13897" hidden="1" x14ac:dyDescent="0.35"/>
    <row r="13898" hidden="1" x14ac:dyDescent="0.35"/>
    <row r="13899" hidden="1" x14ac:dyDescent="0.35"/>
    <row r="13900" hidden="1" x14ac:dyDescent="0.35"/>
    <row r="13901" hidden="1" x14ac:dyDescent="0.35"/>
    <row r="13902" hidden="1" x14ac:dyDescent="0.35"/>
    <row r="13903" hidden="1" x14ac:dyDescent="0.35"/>
    <row r="13904" hidden="1" x14ac:dyDescent="0.35"/>
    <row r="13905" hidden="1" x14ac:dyDescent="0.35"/>
    <row r="13906" hidden="1" x14ac:dyDescent="0.35"/>
    <row r="13907" hidden="1" x14ac:dyDescent="0.35"/>
    <row r="13908" hidden="1" x14ac:dyDescent="0.35"/>
    <row r="13909" hidden="1" x14ac:dyDescent="0.35"/>
    <row r="13910" hidden="1" x14ac:dyDescent="0.35"/>
    <row r="13911" hidden="1" x14ac:dyDescent="0.35"/>
    <row r="13912" hidden="1" x14ac:dyDescent="0.35"/>
    <row r="13913" hidden="1" x14ac:dyDescent="0.35"/>
    <row r="13914" hidden="1" x14ac:dyDescent="0.35"/>
    <row r="13915" hidden="1" x14ac:dyDescent="0.35"/>
    <row r="13916" hidden="1" x14ac:dyDescent="0.35"/>
    <row r="13917" hidden="1" x14ac:dyDescent="0.35"/>
    <row r="13918" hidden="1" x14ac:dyDescent="0.35"/>
    <row r="13919" hidden="1" x14ac:dyDescent="0.35"/>
    <row r="13920" hidden="1" x14ac:dyDescent="0.35"/>
    <row r="13921" hidden="1" x14ac:dyDescent="0.35"/>
    <row r="13922" hidden="1" x14ac:dyDescent="0.35"/>
    <row r="13923" hidden="1" x14ac:dyDescent="0.35"/>
    <row r="13924" hidden="1" x14ac:dyDescent="0.35"/>
    <row r="13925" hidden="1" x14ac:dyDescent="0.35"/>
    <row r="13926" hidden="1" x14ac:dyDescent="0.35"/>
    <row r="13927" hidden="1" x14ac:dyDescent="0.35"/>
    <row r="13928" hidden="1" x14ac:dyDescent="0.35"/>
    <row r="13929" hidden="1" x14ac:dyDescent="0.35"/>
    <row r="13930" hidden="1" x14ac:dyDescent="0.35"/>
    <row r="13931" hidden="1" x14ac:dyDescent="0.35"/>
    <row r="13932" hidden="1" x14ac:dyDescent="0.35"/>
    <row r="13933" hidden="1" x14ac:dyDescent="0.35"/>
    <row r="13934" hidden="1" x14ac:dyDescent="0.35"/>
    <row r="13935" hidden="1" x14ac:dyDescent="0.35"/>
    <row r="13936" hidden="1" x14ac:dyDescent="0.35"/>
    <row r="13937" hidden="1" x14ac:dyDescent="0.35"/>
    <row r="13938" hidden="1" x14ac:dyDescent="0.35"/>
    <row r="13939" hidden="1" x14ac:dyDescent="0.35"/>
    <row r="13940" hidden="1" x14ac:dyDescent="0.35"/>
    <row r="13941" hidden="1" x14ac:dyDescent="0.35"/>
    <row r="13942" hidden="1" x14ac:dyDescent="0.35"/>
    <row r="13943" hidden="1" x14ac:dyDescent="0.35"/>
    <row r="13944" hidden="1" x14ac:dyDescent="0.35"/>
    <row r="13945" hidden="1" x14ac:dyDescent="0.35"/>
    <row r="13946" hidden="1" x14ac:dyDescent="0.35"/>
    <row r="13947" hidden="1" x14ac:dyDescent="0.35"/>
    <row r="13948" hidden="1" x14ac:dyDescent="0.35"/>
    <row r="13949" hidden="1" x14ac:dyDescent="0.35"/>
    <row r="13950" hidden="1" x14ac:dyDescent="0.35"/>
    <row r="13951" hidden="1" x14ac:dyDescent="0.35"/>
    <row r="13952" hidden="1" x14ac:dyDescent="0.35"/>
    <row r="13953" hidden="1" x14ac:dyDescent="0.35"/>
    <row r="13954" hidden="1" x14ac:dyDescent="0.35"/>
    <row r="13955" hidden="1" x14ac:dyDescent="0.35"/>
    <row r="13956" hidden="1" x14ac:dyDescent="0.35"/>
    <row r="13957" hidden="1" x14ac:dyDescent="0.35"/>
    <row r="13958" hidden="1" x14ac:dyDescent="0.35"/>
    <row r="13959" hidden="1" x14ac:dyDescent="0.35"/>
    <row r="13960" hidden="1" x14ac:dyDescent="0.35"/>
    <row r="13961" hidden="1" x14ac:dyDescent="0.35"/>
    <row r="13962" hidden="1" x14ac:dyDescent="0.35"/>
    <row r="13963" hidden="1" x14ac:dyDescent="0.35"/>
    <row r="13964" hidden="1" x14ac:dyDescent="0.35"/>
    <row r="13965" hidden="1" x14ac:dyDescent="0.35"/>
    <row r="13966" hidden="1" x14ac:dyDescent="0.35"/>
    <row r="13967" hidden="1" x14ac:dyDescent="0.35"/>
    <row r="13968" hidden="1" x14ac:dyDescent="0.35"/>
    <row r="13969" hidden="1" x14ac:dyDescent="0.35"/>
    <row r="13970" hidden="1" x14ac:dyDescent="0.35"/>
    <row r="13971" hidden="1" x14ac:dyDescent="0.35"/>
    <row r="13972" hidden="1" x14ac:dyDescent="0.35"/>
    <row r="13973" hidden="1" x14ac:dyDescent="0.35"/>
    <row r="13974" hidden="1" x14ac:dyDescent="0.35"/>
    <row r="13975" hidden="1" x14ac:dyDescent="0.35"/>
    <row r="13976" hidden="1" x14ac:dyDescent="0.35"/>
    <row r="13977" hidden="1" x14ac:dyDescent="0.35"/>
    <row r="13978" hidden="1" x14ac:dyDescent="0.35"/>
    <row r="13979" hidden="1" x14ac:dyDescent="0.35"/>
    <row r="13980" hidden="1" x14ac:dyDescent="0.35"/>
    <row r="13981" hidden="1" x14ac:dyDescent="0.35"/>
    <row r="13982" hidden="1" x14ac:dyDescent="0.35"/>
    <row r="13983" hidden="1" x14ac:dyDescent="0.35"/>
    <row r="13984" hidden="1" x14ac:dyDescent="0.35"/>
    <row r="13985" hidden="1" x14ac:dyDescent="0.35"/>
    <row r="13986" hidden="1" x14ac:dyDescent="0.35"/>
    <row r="13987" hidden="1" x14ac:dyDescent="0.35"/>
    <row r="13988" hidden="1" x14ac:dyDescent="0.35"/>
    <row r="13989" hidden="1" x14ac:dyDescent="0.35"/>
    <row r="13990" hidden="1" x14ac:dyDescent="0.35"/>
    <row r="13991" hidden="1" x14ac:dyDescent="0.35"/>
    <row r="13992" hidden="1" x14ac:dyDescent="0.35"/>
    <row r="13993" hidden="1" x14ac:dyDescent="0.35"/>
    <row r="13994" hidden="1" x14ac:dyDescent="0.35"/>
    <row r="13995" hidden="1" x14ac:dyDescent="0.35"/>
    <row r="13996" hidden="1" x14ac:dyDescent="0.35"/>
    <row r="13997" hidden="1" x14ac:dyDescent="0.35"/>
    <row r="13998" hidden="1" x14ac:dyDescent="0.35"/>
    <row r="13999" hidden="1" x14ac:dyDescent="0.35"/>
    <row r="14000" hidden="1" x14ac:dyDescent="0.35"/>
    <row r="14001" hidden="1" x14ac:dyDescent="0.35"/>
    <row r="14002" hidden="1" x14ac:dyDescent="0.35"/>
    <row r="14003" hidden="1" x14ac:dyDescent="0.35"/>
    <row r="14004" hidden="1" x14ac:dyDescent="0.35"/>
    <row r="14005" hidden="1" x14ac:dyDescent="0.35"/>
    <row r="14006" hidden="1" x14ac:dyDescent="0.35"/>
    <row r="14007" hidden="1" x14ac:dyDescent="0.35"/>
    <row r="14008" hidden="1" x14ac:dyDescent="0.35"/>
    <row r="14009" hidden="1" x14ac:dyDescent="0.35"/>
    <row r="14010" hidden="1" x14ac:dyDescent="0.35"/>
    <row r="14011" hidden="1" x14ac:dyDescent="0.35"/>
    <row r="14012" hidden="1" x14ac:dyDescent="0.35"/>
    <row r="14013" hidden="1" x14ac:dyDescent="0.35"/>
    <row r="14014" hidden="1" x14ac:dyDescent="0.35"/>
    <row r="14015" hidden="1" x14ac:dyDescent="0.35"/>
    <row r="14016" hidden="1" x14ac:dyDescent="0.35"/>
    <row r="14017" hidden="1" x14ac:dyDescent="0.35"/>
    <row r="14018" hidden="1" x14ac:dyDescent="0.35"/>
    <row r="14019" hidden="1" x14ac:dyDescent="0.35"/>
    <row r="14020" hidden="1" x14ac:dyDescent="0.35"/>
    <row r="14021" hidden="1" x14ac:dyDescent="0.35"/>
    <row r="14022" hidden="1" x14ac:dyDescent="0.35"/>
    <row r="14023" hidden="1" x14ac:dyDescent="0.35"/>
    <row r="14024" hidden="1" x14ac:dyDescent="0.35"/>
    <row r="14025" hidden="1" x14ac:dyDescent="0.35"/>
    <row r="14026" hidden="1" x14ac:dyDescent="0.35"/>
    <row r="14027" hidden="1" x14ac:dyDescent="0.35"/>
    <row r="14028" hidden="1" x14ac:dyDescent="0.35"/>
    <row r="14029" hidden="1" x14ac:dyDescent="0.35"/>
    <row r="14030" hidden="1" x14ac:dyDescent="0.35"/>
    <row r="14031" hidden="1" x14ac:dyDescent="0.35"/>
    <row r="14032" hidden="1" x14ac:dyDescent="0.35"/>
    <row r="14033" hidden="1" x14ac:dyDescent="0.35"/>
    <row r="14034" hidden="1" x14ac:dyDescent="0.35"/>
    <row r="14035" hidden="1" x14ac:dyDescent="0.35"/>
    <row r="14036" hidden="1" x14ac:dyDescent="0.35"/>
    <row r="14037" hidden="1" x14ac:dyDescent="0.35"/>
    <row r="14038" hidden="1" x14ac:dyDescent="0.35"/>
    <row r="14039" hidden="1" x14ac:dyDescent="0.35"/>
    <row r="14040" hidden="1" x14ac:dyDescent="0.35"/>
    <row r="14041" hidden="1" x14ac:dyDescent="0.35"/>
    <row r="14042" hidden="1" x14ac:dyDescent="0.35"/>
    <row r="14043" hidden="1" x14ac:dyDescent="0.35"/>
    <row r="14044" hidden="1" x14ac:dyDescent="0.35"/>
    <row r="14045" hidden="1" x14ac:dyDescent="0.35"/>
    <row r="14046" hidden="1" x14ac:dyDescent="0.35"/>
    <row r="14047" hidden="1" x14ac:dyDescent="0.35"/>
    <row r="14048" hidden="1" x14ac:dyDescent="0.35"/>
    <row r="14049" hidden="1" x14ac:dyDescent="0.35"/>
    <row r="14050" hidden="1" x14ac:dyDescent="0.35"/>
    <row r="14051" hidden="1" x14ac:dyDescent="0.35"/>
    <row r="14052" hidden="1" x14ac:dyDescent="0.35"/>
    <row r="14053" hidden="1" x14ac:dyDescent="0.35"/>
    <row r="14054" hidden="1" x14ac:dyDescent="0.35"/>
    <row r="14055" hidden="1" x14ac:dyDescent="0.35"/>
    <row r="14056" hidden="1" x14ac:dyDescent="0.35"/>
    <row r="14057" hidden="1" x14ac:dyDescent="0.35"/>
    <row r="14058" hidden="1" x14ac:dyDescent="0.35"/>
    <row r="14059" hidden="1" x14ac:dyDescent="0.35"/>
    <row r="14060" hidden="1" x14ac:dyDescent="0.35"/>
    <row r="14061" hidden="1" x14ac:dyDescent="0.35"/>
    <row r="14062" hidden="1" x14ac:dyDescent="0.35"/>
    <row r="14063" hidden="1" x14ac:dyDescent="0.35"/>
    <row r="14064" hidden="1" x14ac:dyDescent="0.35"/>
    <row r="14065" hidden="1" x14ac:dyDescent="0.35"/>
    <row r="14066" hidden="1" x14ac:dyDescent="0.35"/>
    <row r="14067" hidden="1" x14ac:dyDescent="0.35"/>
    <row r="14068" hidden="1" x14ac:dyDescent="0.35"/>
    <row r="14069" hidden="1" x14ac:dyDescent="0.35"/>
    <row r="14070" hidden="1" x14ac:dyDescent="0.35"/>
    <row r="14071" hidden="1" x14ac:dyDescent="0.35"/>
    <row r="14072" hidden="1" x14ac:dyDescent="0.35"/>
    <row r="14073" hidden="1" x14ac:dyDescent="0.35"/>
    <row r="14074" hidden="1" x14ac:dyDescent="0.35"/>
    <row r="14075" hidden="1" x14ac:dyDescent="0.35"/>
    <row r="14076" hidden="1" x14ac:dyDescent="0.35"/>
    <row r="14077" hidden="1" x14ac:dyDescent="0.35"/>
    <row r="14078" hidden="1" x14ac:dyDescent="0.35"/>
    <row r="14079" hidden="1" x14ac:dyDescent="0.35"/>
    <row r="14080" hidden="1" x14ac:dyDescent="0.35"/>
    <row r="14081" hidden="1" x14ac:dyDescent="0.35"/>
    <row r="14082" hidden="1" x14ac:dyDescent="0.35"/>
    <row r="14083" hidden="1" x14ac:dyDescent="0.35"/>
    <row r="14084" hidden="1" x14ac:dyDescent="0.35"/>
    <row r="14085" hidden="1" x14ac:dyDescent="0.35"/>
    <row r="14086" hidden="1" x14ac:dyDescent="0.35"/>
    <row r="14087" hidden="1" x14ac:dyDescent="0.35"/>
    <row r="14088" hidden="1" x14ac:dyDescent="0.35"/>
    <row r="14089" hidden="1" x14ac:dyDescent="0.35"/>
    <row r="14090" hidden="1" x14ac:dyDescent="0.35"/>
    <row r="14091" hidden="1" x14ac:dyDescent="0.35"/>
    <row r="14092" hidden="1" x14ac:dyDescent="0.35"/>
    <row r="14093" hidden="1" x14ac:dyDescent="0.35"/>
    <row r="14094" hidden="1" x14ac:dyDescent="0.35"/>
    <row r="14095" hidden="1" x14ac:dyDescent="0.35"/>
    <row r="14096" hidden="1" x14ac:dyDescent="0.35"/>
    <row r="14097" hidden="1" x14ac:dyDescent="0.35"/>
    <row r="14098" hidden="1" x14ac:dyDescent="0.35"/>
    <row r="14099" hidden="1" x14ac:dyDescent="0.35"/>
    <row r="14100" hidden="1" x14ac:dyDescent="0.35"/>
    <row r="14101" hidden="1" x14ac:dyDescent="0.35"/>
    <row r="14102" hidden="1" x14ac:dyDescent="0.35"/>
    <row r="14103" hidden="1" x14ac:dyDescent="0.35"/>
    <row r="14104" hidden="1" x14ac:dyDescent="0.35"/>
    <row r="14105" hidden="1" x14ac:dyDescent="0.35"/>
    <row r="14106" hidden="1" x14ac:dyDescent="0.35"/>
    <row r="14107" hidden="1" x14ac:dyDescent="0.35"/>
    <row r="14108" hidden="1" x14ac:dyDescent="0.35"/>
    <row r="14109" hidden="1" x14ac:dyDescent="0.35"/>
    <row r="14110" hidden="1" x14ac:dyDescent="0.35"/>
    <row r="14111" hidden="1" x14ac:dyDescent="0.35"/>
    <row r="14112" hidden="1" x14ac:dyDescent="0.35"/>
    <row r="14113" hidden="1" x14ac:dyDescent="0.35"/>
    <row r="14114" hidden="1" x14ac:dyDescent="0.35"/>
    <row r="14115" hidden="1" x14ac:dyDescent="0.35"/>
    <row r="14116" hidden="1" x14ac:dyDescent="0.35"/>
    <row r="14117" hidden="1" x14ac:dyDescent="0.35"/>
    <row r="14118" hidden="1" x14ac:dyDescent="0.35"/>
    <row r="14119" hidden="1" x14ac:dyDescent="0.35"/>
    <row r="14120" hidden="1" x14ac:dyDescent="0.35"/>
    <row r="14121" hidden="1" x14ac:dyDescent="0.35"/>
    <row r="14122" hidden="1" x14ac:dyDescent="0.35"/>
    <row r="14123" hidden="1" x14ac:dyDescent="0.35"/>
    <row r="14124" hidden="1" x14ac:dyDescent="0.35"/>
    <row r="14125" hidden="1" x14ac:dyDescent="0.35"/>
    <row r="14126" hidden="1" x14ac:dyDescent="0.35"/>
    <row r="14127" hidden="1" x14ac:dyDescent="0.35"/>
    <row r="14128" hidden="1" x14ac:dyDescent="0.35"/>
    <row r="14129" hidden="1" x14ac:dyDescent="0.35"/>
    <row r="14130" hidden="1" x14ac:dyDescent="0.35"/>
    <row r="14131" hidden="1" x14ac:dyDescent="0.35"/>
    <row r="14132" hidden="1" x14ac:dyDescent="0.35"/>
    <row r="14133" hidden="1" x14ac:dyDescent="0.35"/>
    <row r="14134" hidden="1" x14ac:dyDescent="0.35"/>
    <row r="14135" hidden="1" x14ac:dyDescent="0.35"/>
    <row r="14136" hidden="1" x14ac:dyDescent="0.35"/>
    <row r="14137" hidden="1" x14ac:dyDescent="0.35"/>
    <row r="14138" hidden="1" x14ac:dyDescent="0.35"/>
    <row r="14139" hidden="1" x14ac:dyDescent="0.35"/>
    <row r="14140" hidden="1" x14ac:dyDescent="0.35"/>
    <row r="14141" hidden="1" x14ac:dyDescent="0.35"/>
    <row r="14142" hidden="1" x14ac:dyDescent="0.35"/>
    <row r="14143" hidden="1" x14ac:dyDescent="0.35"/>
    <row r="14144" hidden="1" x14ac:dyDescent="0.35"/>
    <row r="14145" hidden="1" x14ac:dyDescent="0.35"/>
    <row r="14146" hidden="1" x14ac:dyDescent="0.35"/>
    <row r="14147" hidden="1" x14ac:dyDescent="0.35"/>
    <row r="14148" hidden="1" x14ac:dyDescent="0.35"/>
    <row r="14149" hidden="1" x14ac:dyDescent="0.35"/>
    <row r="14150" hidden="1" x14ac:dyDescent="0.35"/>
    <row r="14151" hidden="1" x14ac:dyDescent="0.35"/>
    <row r="14152" hidden="1" x14ac:dyDescent="0.35"/>
    <row r="14153" hidden="1" x14ac:dyDescent="0.35"/>
    <row r="14154" hidden="1" x14ac:dyDescent="0.35"/>
    <row r="14155" hidden="1" x14ac:dyDescent="0.35"/>
    <row r="14156" hidden="1" x14ac:dyDescent="0.35"/>
    <row r="14157" hidden="1" x14ac:dyDescent="0.35"/>
    <row r="14158" hidden="1" x14ac:dyDescent="0.35"/>
    <row r="14159" hidden="1" x14ac:dyDescent="0.35"/>
    <row r="14160" hidden="1" x14ac:dyDescent="0.35"/>
    <row r="14161" hidden="1" x14ac:dyDescent="0.35"/>
    <row r="14162" hidden="1" x14ac:dyDescent="0.35"/>
    <row r="14163" hidden="1" x14ac:dyDescent="0.35"/>
    <row r="14164" hidden="1" x14ac:dyDescent="0.35"/>
    <row r="14165" hidden="1" x14ac:dyDescent="0.35"/>
    <row r="14166" hidden="1" x14ac:dyDescent="0.35"/>
    <row r="14167" hidden="1" x14ac:dyDescent="0.35"/>
    <row r="14168" hidden="1" x14ac:dyDescent="0.35"/>
    <row r="14169" hidden="1" x14ac:dyDescent="0.35"/>
    <row r="14170" hidden="1" x14ac:dyDescent="0.35"/>
    <row r="14171" hidden="1" x14ac:dyDescent="0.35"/>
    <row r="14172" hidden="1" x14ac:dyDescent="0.35"/>
    <row r="14173" hidden="1" x14ac:dyDescent="0.35"/>
    <row r="14174" hidden="1" x14ac:dyDescent="0.35"/>
    <row r="14175" hidden="1" x14ac:dyDescent="0.35"/>
    <row r="14176" hidden="1" x14ac:dyDescent="0.35"/>
    <row r="14177" hidden="1" x14ac:dyDescent="0.35"/>
    <row r="14178" hidden="1" x14ac:dyDescent="0.35"/>
    <row r="14179" hidden="1" x14ac:dyDescent="0.35"/>
    <row r="14180" hidden="1" x14ac:dyDescent="0.35"/>
    <row r="14181" hidden="1" x14ac:dyDescent="0.35"/>
    <row r="14182" hidden="1" x14ac:dyDescent="0.35"/>
    <row r="14183" hidden="1" x14ac:dyDescent="0.35"/>
    <row r="14184" hidden="1" x14ac:dyDescent="0.35"/>
    <row r="14185" hidden="1" x14ac:dyDescent="0.35"/>
    <row r="14186" hidden="1" x14ac:dyDescent="0.35"/>
    <row r="14187" hidden="1" x14ac:dyDescent="0.35"/>
    <row r="14188" hidden="1" x14ac:dyDescent="0.35"/>
    <row r="14189" hidden="1" x14ac:dyDescent="0.35"/>
    <row r="14190" hidden="1" x14ac:dyDescent="0.35"/>
    <row r="14191" hidden="1" x14ac:dyDescent="0.35"/>
    <row r="14192" hidden="1" x14ac:dyDescent="0.35"/>
    <row r="14193" hidden="1" x14ac:dyDescent="0.35"/>
    <row r="14194" hidden="1" x14ac:dyDescent="0.35"/>
    <row r="14195" hidden="1" x14ac:dyDescent="0.35"/>
    <row r="14196" hidden="1" x14ac:dyDescent="0.35"/>
    <row r="14197" hidden="1" x14ac:dyDescent="0.35"/>
    <row r="14198" hidden="1" x14ac:dyDescent="0.35"/>
    <row r="14199" hidden="1" x14ac:dyDescent="0.35"/>
    <row r="14200" hidden="1" x14ac:dyDescent="0.35"/>
    <row r="14201" hidden="1" x14ac:dyDescent="0.35"/>
    <row r="14202" hidden="1" x14ac:dyDescent="0.35"/>
    <row r="14203" hidden="1" x14ac:dyDescent="0.35"/>
    <row r="14204" hidden="1" x14ac:dyDescent="0.35"/>
    <row r="14205" hidden="1" x14ac:dyDescent="0.35"/>
    <row r="14206" hidden="1" x14ac:dyDescent="0.35"/>
    <row r="14207" hidden="1" x14ac:dyDescent="0.35"/>
    <row r="14208" hidden="1" x14ac:dyDescent="0.35"/>
    <row r="14209" hidden="1" x14ac:dyDescent="0.35"/>
    <row r="14210" hidden="1" x14ac:dyDescent="0.35"/>
    <row r="14211" hidden="1" x14ac:dyDescent="0.35"/>
    <row r="14212" hidden="1" x14ac:dyDescent="0.35"/>
    <row r="14213" hidden="1" x14ac:dyDescent="0.35"/>
    <row r="14214" hidden="1" x14ac:dyDescent="0.35"/>
    <row r="14215" hidden="1" x14ac:dyDescent="0.35"/>
    <row r="14216" hidden="1" x14ac:dyDescent="0.35"/>
    <row r="14217" hidden="1" x14ac:dyDescent="0.35"/>
    <row r="14218" hidden="1" x14ac:dyDescent="0.35"/>
    <row r="14219" hidden="1" x14ac:dyDescent="0.35"/>
    <row r="14220" hidden="1" x14ac:dyDescent="0.35"/>
    <row r="14221" hidden="1" x14ac:dyDescent="0.35"/>
    <row r="14222" hidden="1" x14ac:dyDescent="0.35"/>
    <row r="14223" hidden="1" x14ac:dyDescent="0.35"/>
    <row r="14224" hidden="1" x14ac:dyDescent="0.35"/>
    <row r="14225" hidden="1" x14ac:dyDescent="0.35"/>
    <row r="14226" hidden="1" x14ac:dyDescent="0.35"/>
    <row r="14227" hidden="1" x14ac:dyDescent="0.35"/>
    <row r="14228" hidden="1" x14ac:dyDescent="0.35"/>
    <row r="14229" hidden="1" x14ac:dyDescent="0.35"/>
    <row r="14230" hidden="1" x14ac:dyDescent="0.35"/>
    <row r="14231" hidden="1" x14ac:dyDescent="0.35"/>
    <row r="14232" hidden="1" x14ac:dyDescent="0.35"/>
    <row r="14233" hidden="1" x14ac:dyDescent="0.35"/>
    <row r="14234" hidden="1" x14ac:dyDescent="0.35"/>
    <row r="14235" hidden="1" x14ac:dyDescent="0.35"/>
    <row r="14236" hidden="1" x14ac:dyDescent="0.35"/>
    <row r="14237" hidden="1" x14ac:dyDescent="0.35"/>
    <row r="14238" hidden="1" x14ac:dyDescent="0.35"/>
    <row r="14239" hidden="1" x14ac:dyDescent="0.35"/>
    <row r="14240" hidden="1" x14ac:dyDescent="0.35"/>
    <row r="14241" hidden="1" x14ac:dyDescent="0.35"/>
    <row r="14242" hidden="1" x14ac:dyDescent="0.35"/>
    <row r="14243" hidden="1" x14ac:dyDescent="0.35"/>
    <row r="14244" hidden="1" x14ac:dyDescent="0.35"/>
    <row r="14245" hidden="1" x14ac:dyDescent="0.35"/>
    <row r="14246" hidden="1" x14ac:dyDescent="0.35"/>
    <row r="14247" hidden="1" x14ac:dyDescent="0.35"/>
    <row r="14248" hidden="1" x14ac:dyDescent="0.35"/>
    <row r="14249" hidden="1" x14ac:dyDescent="0.35"/>
    <row r="14250" hidden="1" x14ac:dyDescent="0.35"/>
    <row r="14251" hidden="1" x14ac:dyDescent="0.35"/>
    <row r="14252" hidden="1" x14ac:dyDescent="0.35"/>
    <row r="14253" hidden="1" x14ac:dyDescent="0.35"/>
    <row r="14254" hidden="1" x14ac:dyDescent="0.35"/>
    <row r="14255" hidden="1" x14ac:dyDescent="0.35"/>
    <row r="14256" hidden="1" x14ac:dyDescent="0.35"/>
    <row r="14257" hidden="1" x14ac:dyDescent="0.35"/>
    <row r="14258" hidden="1" x14ac:dyDescent="0.35"/>
    <row r="14259" hidden="1" x14ac:dyDescent="0.35"/>
    <row r="14260" hidden="1" x14ac:dyDescent="0.35"/>
    <row r="14261" hidden="1" x14ac:dyDescent="0.35"/>
    <row r="14262" hidden="1" x14ac:dyDescent="0.35"/>
    <row r="14263" hidden="1" x14ac:dyDescent="0.35"/>
    <row r="14264" hidden="1" x14ac:dyDescent="0.35"/>
    <row r="14265" hidden="1" x14ac:dyDescent="0.35"/>
    <row r="14266" hidden="1" x14ac:dyDescent="0.35"/>
    <row r="14267" hidden="1" x14ac:dyDescent="0.35"/>
    <row r="14268" hidden="1" x14ac:dyDescent="0.35"/>
    <row r="14269" hidden="1" x14ac:dyDescent="0.35"/>
    <row r="14270" hidden="1" x14ac:dyDescent="0.35"/>
    <row r="14271" hidden="1" x14ac:dyDescent="0.35"/>
    <row r="14272" hidden="1" x14ac:dyDescent="0.35"/>
    <row r="14273" hidden="1" x14ac:dyDescent="0.35"/>
    <row r="14274" hidden="1" x14ac:dyDescent="0.35"/>
    <row r="14275" hidden="1" x14ac:dyDescent="0.35"/>
    <row r="14276" hidden="1" x14ac:dyDescent="0.35"/>
    <row r="14277" hidden="1" x14ac:dyDescent="0.35"/>
    <row r="14278" hidden="1" x14ac:dyDescent="0.35"/>
    <row r="14279" hidden="1" x14ac:dyDescent="0.35"/>
    <row r="14280" hidden="1" x14ac:dyDescent="0.35"/>
    <row r="14281" hidden="1" x14ac:dyDescent="0.35"/>
    <row r="14282" hidden="1" x14ac:dyDescent="0.35"/>
    <row r="14283" hidden="1" x14ac:dyDescent="0.35"/>
    <row r="14284" hidden="1" x14ac:dyDescent="0.35"/>
    <row r="14285" hidden="1" x14ac:dyDescent="0.35"/>
    <row r="14286" hidden="1" x14ac:dyDescent="0.35"/>
    <row r="14287" hidden="1" x14ac:dyDescent="0.35"/>
    <row r="14288" hidden="1" x14ac:dyDescent="0.35"/>
    <row r="14289" hidden="1" x14ac:dyDescent="0.35"/>
    <row r="14290" hidden="1" x14ac:dyDescent="0.35"/>
    <row r="14291" hidden="1" x14ac:dyDescent="0.35"/>
    <row r="14292" hidden="1" x14ac:dyDescent="0.35"/>
    <row r="14293" hidden="1" x14ac:dyDescent="0.35"/>
    <row r="14294" hidden="1" x14ac:dyDescent="0.35"/>
    <row r="14295" hidden="1" x14ac:dyDescent="0.35"/>
    <row r="14296" hidden="1" x14ac:dyDescent="0.35"/>
    <row r="14297" hidden="1" x14ac:dyDescent="0.35"/>
    <row r="14298" hidden="1" x14ac:dyDescent="0.35"/>
    <row r="14299" hidden="1" x14ac:dyDescent="0.35"/>
    <row r="14300" hidden="1" x14ac:dyDescent="0.35"/>
    <row r="14301" hidden="1" x14ac:dyDescent="0.35"/>
    <row r="14302" hidden="1" x14ac:dyDescent="0.35"/>
    <row r="14303" hidden="1" x14ac:dyDescent="0.35"/>
    <row r="14304" hidden="1" x14ac:dyDescent="0.35"/>
    <row r="14305" hidden="1" x14ac:dyDescent="0.35"/>
    <row r="14306" hidden="1" x14ac:dyDescent="0.35"/>
    <row r="14307" hidden="1" x14ac:dyDescent="0.35"/>
    <row r="14308" hidden="1" x14ac:dyDescent="0.35"/>
    <row r="14309" hidden="1" x14ac:dyDescent="0.35"/>
    <row r="14310" hidden="1" x14ac:dyDescent="0.35"/>
    <row r="14311" hidden="1" x14ac:dyDescent="0.35"/>
    <row r="14312" hidden="1" x14ac:dyDescent="0.35"/>
    <row r="14313" hidden="1" x14ac:dyDescent="0.35"/>
    <row r="14314" hidden="1" x14ac:dyDescent="0.35"/>
    <row r="14315" hidden="1" x14ac:dyDescent="0.35"/>
    <row r="14316" hidden="1" x14ac:dyDescent="0.35"/>
    <row r="14317" hidden="1" x14ac:dyDescent="0.35"/>
    <row r="14318" hidden="1" x14ac:dyDescent="0.35"/>
    <row r="14319" hidden="1" x14ac:dyDescent="0.35"/>
    <row r="14320" hidden="1" x14ac:dyDescent="0.35"/>
    <row r="14321" hidden="1" x14ac:dyDescent="0.35"/>
    <row r="14322" hidden="1" x14ac:dyDescent="0.35"/>
    <row r="14323" hidden="1" x14ac:dyDescent="0.35"/>
    <row r="14324" hidden="1" x14ac:dyDescent="0.35"/>
    <row r="14325" hidden="1" x14ac:dyDescent="0.35"/>
    <row r="14326" hidden="1" x14ac:dyDescent="0.35"/>
    <row r="14327" hidden="1" x14ac:dyDescent="0.35"/>
    <row r="14328" hidden="1" x14ac:dyDescent="0.35"/>
    <row r="14329" hidden="1" x14ac:dyDescent="0.35"/>
    <row r="14330" hidden="1" x14ac:dyDescent="0.35"/>
    <row r="14331" hidden="1" x14ac:dyDescent="0.35"/>
    <row r="14332" hidden="1" x14ac:dyDescent="0.35"/>
    <row r="14333" hidden="1" x14ac:dyDescent="0.35"/>
    <row r="14334" hidden="1" x14ac:dyDescent="0.35"/>
    <row r="14335" hidden="1" x14ac:dyDescent="0.35"/>
    <row r="14336" hidden="1" x14ac:dyDescent="0.35"/>
    <row r="14337" hidden="1" x14ac:dyDescent="0.35"/>
    <row r="14338" hidden="1" x14ac:dyDescent="0.35"/>
    <row r="14339" hidden="1" x14ac:dyDescent="0.35"/>
    <row r="14340" hidden="1" x14ac:dyDescent="0.35"/>
    <row r="14341" hidden="1" x14ac:dyDescent="0.35"/>
    <row r="14342" hidden="1" x14ac:dyDescent="0.35"/>
    <row r="14343" hidden="1" x14ac:dyDescent="0.35"/>
    <row r="14344" hidden="1" x14ac:dyDescent="0.35"/>
    <row r="14345" hidden="1" x14ac:dyDescent="0.35"/>
    <row r="14346" hidden="1" x14ac:dyDescent="0.35"/>
    <row r="14347" hidden="1" x14ac:dyDescent="0.35"/>
    <row r="14348" hidden="1" x14ac:dyDescent="0.35"/>
    <row r="14349" hidden="1" x14ac:dyDescent="0.35"/>
    <row r="14350" hidden="1" x14ac:dyDescent="0.35"/>
    <row r="14351" hidden="1" x14ac:dyDescent="0.35"/>
    <row r="14352" hidden="1" x14ac:dyDescent="0.35"/>
    <row r="14353" hidden="1" x14ac:dyDescent="0.35"/>
    <row r="14354" hidden="1" x14ac:dyDescent="0.35"/>
    <row r="14355" hidden="1" x14ac:dyDescent="0.35"/>
    <row r="14356" hidden="1" x14ac:dyDescent="0.35"/>
    <row r="14357" hidden="1" x14ac:dyDescent="0.35"/>
    <row r="14358" hidden="1" x14ac:dyDescent="0.35"/>
    <row r="14359" hidden="1" x14ac:dyDescent="0.35"/>
    <row r="14360" hidden="1" x14ac:dyDescent="0.35"/>
    <row r="14361" hidden="1" x14ac:dyDescent="0.35"/>
    <row r="14362" hidden="1" x14ac:dyDescent="0.35"/>
    <row r="14363" hidden="1" x14ac:dyDescent="0.35"/>
    <row r="14364" hidden="1" x14ac:dyDescent="0.35"/>
    <row r="14365" hidden="1" x14ac:dyDescent="0.35"/>
    <row r="14366" hidden="1" x14ac:dyDescent="0.35"/>
    <row r="14367" hidden="1" x14ac:dyDescent="0.35"/>
    <row r="14368" hidden="1" x14ac:dyDescent="0.35"/>
    <row r="14369" hidden="1" x14ac:dyDescent="0.35"/>
    <row r="14370" hidden="1" x14ac:dyDescent="0.35"/>
    <row r="14371" hidden="1" x14ac:dyDescent="0.35"/>
    <row r="14372" hidden="1" x14ac:dyDescent="0.35"/>
    <row r="14373" hidden="1" x14ac:dyDescent="0.35"/>
    <row r="14374" hidden="1" x14ac:dyDescent="0.35"/>
    <row r="14375" hidden="1" x14ac:dyDescent="0.35"/>
    <row r="14376" hidden="1" x14ac:dyDescent="0.35"/>
    <row r="14377" hidden="1" x14ac:dyDescent="0.35"/>
    <row r="14378" hidden="1" x14ac:dyDescent="0.35"/>
    <row r="14379" hidden="1" x14ac:dyDescent="0.35"/>
    <row r="14380" hidden="1" x14ac:dyDescent="0.35"/>
    <row r="14381" hidden="1" x14ac:dyDescent="0.35"/>
    <row r="14382" hidden="1" x14ac:dyDescent="0.35"/>
    <row r="14383" hidden="1" x14ac:dyDescent="0.35"/>
    <row r="14384" hidden="1" x14ac:dyDescent="0.35"/>
    <row r="14385" hidden="1" x14ac:dyDescent="0.35"/>
    <row r="14386" hidden="1" x14ac:dyDescent="0.35"/>
    <row r="14387" hidden="1" x14ac:dyDescent="0.35"/>
    <row r="14388" hidden="1" x14ac:dyDescent="0.35"/>
    <row r="14389" hidden="1" x14ac:dyDescent="0.35"/>
    <row r="14390" hidden="1" x14ac:dyDescent="0.35"/>
    <row r="14391" hidden="1" x14ac:dyDescent="0.35"/>
    <row r="14392" hidden="1" x14ac:dyDescent="0.35"/>
    <row r="14393" hidden="1" x14ac:dyDescent="0.35"/>
    <row r="14394" hidden="1" x14ac:dyDescent="0.35"/>
    <row r="14395" hidden="1" x14ac:dyDescent="0.35"/>
    <row r="14396" hidden="1" x14ac:dyDescent="0.35"/>
    <row r="14397" hidden="1" x14ac:dyDescent="0.35"/>
    <row r="14398" hidden="1" x14ac:dyDescent="0.35"/>
    <row r="14399" hidden="1" x14ac:dyDescent="0.35"/>
    <row r="14400" hidden="1" x14ac:dyDescent="0.35"/>
    <row r="14401" hidden="1" x14ac:dyDescent="0.35"/>
    <row r="14402" hidden="1" x14ac:dyDescent="0.35"/>
    <row r="14403" hidden="1" x14ac:dyDescent="0.35"/>
    <row r="14404" hidden="1" x14ac:dyDescent="0.35"/>
    <row r="14405" hidden="1" x14ac:dyDescent="0.35"/>
    <row r="14406" hidden="1" x14ac:dyDescent="0.35"/>
    <row r="14407" hidden="1" x14ac:dyDescent="0.35"/>
    <row r="14408" hidden="1" x14ac:dyDescent="0.35"/>
    <row r="14409" hidden="1" x14ac:dyDescent="0.35"/>
    <row r="14410" hidden="1" x14ac:dyDescent="0.35"/>
    <row r="14411" hidden="1" x14ac:dyDescent="0.35"/>
    <row r="14412" hidden="1" x14ac:dyDescent="0.35"/>
    <row r="14413" hidden="1" x14ac:dyDescent="0.35"/>
    <row r="14414" hidden="1" x14ac:dyDescent="0.35"/>
    <row r="14415" hidden="1" x14ac:dyDescent="0.35"/>
    <row r="14416" hidden="1" x14ac:dyDescent="0.35"/>
    <row r="14417" hidden="1" x14ac:dyDescent="0.35"/>
    <row r="14418" hidden="1" x14ac:dyDescent="0.35"/>
    <row r="14419" hidden="1" x14ac:dyDescent="0.35"/>
    <row r="14420" hidden="1" x14ac:dyDescent="0.35"/>
    <row r="14421" hidden="1" x14ac:dyDescent="0.35"/>
    <row r="14422" hidden="1" x14ac:dyDescent="0.35"/>
    <row r="14423" hidden="1" x14ac:dyDescent="0.35"/>
    <row r="14424" hidden="1" x14ac:dyDescent="0.35"/>
    <row r="14425" hidden="1" x14ac:dyDescent="0.35"/>
    <row r="14426" hidden="1" x14ac:dyDescent="0.35"/>
    <row r="14427" hidden="1" x14ac:dyDescent="0.35"/>
    <row r="14428" hidden="1" x14ac:dyDescent="0.35"/>
    <row r="14429" hidden="1" x14ac:dyDescent="0.35"/>
    <row r="14430" hidden="1" x14ac:dyDescent="0.35"/>
    <row r="14431" hidden="1" x14ac:dyDescent="0.35"/>
    <row r="14432" hidden="1" x14ac:dyDescent="0.35"/>
    <row r="14433" hidden="1" x14ac:dyDescent="0.35"/>
    <row r="14434" hidden="1" x14ac:dyDescent="0.35"/>
    <row r="14435" hidden="1" x14ac:dyDescent="0.35"/>
    <row r="14436" hidden="1" x14ac:dyDescent="0.35"/>
    <row r="14437" hidden="1" x14ac:dyDescent="0.35"/>
    <row r="14438" hidden="1" x14ac:dyDescent="0.35"/>
    <row r="14439" hidden="1" x14ac:dyDescent="0.35"/>
    <row r="14440" hidden="1" x14ac:dyDescent="0.35"/>
    <row r="14441" hidden="1" x14ac:dyDescent="0.35"/>
    <row r="14442" hidden="1" x14ac:dyDescent="0.35"/>
    <row r="14443" hidden="1" x14ac:dyDescent="0.35"/>
    <row r="14444" hidden="1" x14ac:dyDescent="0.35"/>
    <row r="14445" hidden="1" x14ac:dyDescent="0.35"/>
    <row r="14446" hidden="1" x14ac:dyDescent="0.35"/>
    <row r="14447" hidden="1" x14ac:dyDescent="0.35"/>
    <row r="14448" hidden="1" x14ac:dyDescent="0.35"/>
    <row r="14449" hidden="1" x14ac:dyDescent="0.35"/>
    <row r="14450" hidden="1" x14ac:dyDescent="0.35"/>
    <row r="14451" hidden="1" x14ac:dyDescent="0.35"/>
    <row r="14452" hidden="1" x14ac:dyDescent="0.35"/>
    <row r="14453" hidden="1" x14ac:dyDescent="0.35"/>
    <row r="14454" hidden="1" x14ac:dyDescent="0.35"/>
    <row r="14455" hidden="1" x14ac:dyDescent="0.35"/>
    <row r="14456" hidden="1" x14ac:dyDescent="0.35"/>
    <row r="14457" hidden="1" x14ac:dyDescent="0.35"/>
    <row r="14458" hidden="1" x14ac:dyDescent="0.35"/>
    <row r="14459" hidden="1" x14ac:dyDescent="0.35"/>
    <row r="14460" hidden="1" x14ac:dyDescent="0.35"/>
    <row r="14461" hidden="1" x14ac:dyDescent="0.35"/>
    <row r="14462" hidden="1" x14ac:dyDescent="0.35"/>
    <row r="14463" hidden="1" x14ac:dyDescent="0.35"/>
    <row r="14464" hidden="1" x14ac:dyDescent="0.35"/>
    <row r="14465" hidden="1" x14ac:dyDescent="0.35"/>
    <row r="14466" hidden="1" x14ac:dyDescent="0.35"/>
    <row r="14467" hidden="1" x14ac:dyDescent="0.35"/>
    <row r="14468" hidden="1" x14ac:dyDescent="0.35"/>
    <row r="14469" hidden="1" x14ac:dyDescent="0.35"/>
    <row r="14470" hidden="1" x14ac:dyDescent="0.35"/>
    <row r="14471" hidden="1" x14ac:dyDescent="0.35"/>
    <row r="14472" hidden="1" x14ac:dyDescent="0.35"/>
    <row r="14473" hidden="1" x14ac:dyDescent="0.35"/>
    <row r="14474" hidden="1" x14ac:dyDescent="0.35"/>
    <row r="14475" hidden="1" x14ac:dyDescent="0.35"/>
    <row r="14476" hidden="1" x14ac:dyDescent="0.35"/>
    <row r="14477" hidden="1" x14ac:dyDescent="0.35"/>
    <row r="14478" hidden="1" x14ac:dyDescent="0.35"/>
    <row r="14479" hidden="1" x14ac:dyDescent="0.35"/>
    <row r="14480" hidden="1" x14ac:dyDescent="0.35"/>
    <row r="14481" hidden="1" x14ac:dyDescent="0.35"/>
    <row r="14482" hidden="1" x14ac:dyDescent="0.35"/>
    <row r="14483" hidden="1" x14ac:dyDescent="0.35"/>
    <row r="14484" hidden="1" x14ac:dyDescent="0.35"/>
    <row r="14485" hidden="1" x14ac:dyDescent="0.35"/>
    <row r="14486" hidden="1" x14ac:dyDescent="0.35"/>
    <row r="14487" hidden="1" x14ac:dyDescent="0.35"/>
    <row r="14488" hidden="1" x14ac:dyDescent="0.35"/>
    <row r="14489" hidden="1" x14ac:dyDescent="0.35"/>
    <row r="14490" hidden="1" x14ac:dyDescent="0.35"/>
    <row r="14491" hidden="1" x14ac:dyDescent="0.35"/>
    <row r="14492" hidden="1" x14ac:dyDescent="0.35"/>
    <row r="14493" hidden="1" x14ac:dyDescent="0.35"/>
    <row r="14494" hidden="1" x14ac:dyDescent="0.35"/>
    <row r="14495" hidden="1" x14ac:dyDescent="0.35"/>
    <row r="14496" hidden="1" x14ac:dyDescent="0.35"/>
    <row r="14497" hidden="1" x14ac:dyDescent="0.35"/>
    <row r="14498" hidden="1" x14ac:dyDescent="0.35"/>
    <row r="14499" hidden="1" x14ac:dyDescent="0.35"/>
    <row r="14500" hidden="1" x14ac:dyDescent="0.35"/>
    <row r="14501" hidden="1" x14ac:dyDescent="0.35"/>
    <row r="14502" hidden="1" x14ac:dyDescent="0.35"/>
    <row r="14503" hidden="1" x14ac:dyDescent="0.35"/>
    <row r="14504" hidden="1" x14ac:dyDescent="0.35"/>
    <row r="14505" hidden="1" x14ac:dyDescent="0.35"/>
    <row r="14506" hidden="1" x14ac:dyDescent="0.35"/>
    <row r="14507" hidden="1" x14ac:dyDescent="0.35"/>
    <row r="14508" hidden="1" x14ac:dyDescent="0.35"/>
    <row r="14509" hidden="1" x14ac:dyDescent="0.35"/>
    <row r="14510" hidden="1" x14ac:dyDescent="0.35"/>
    <row r="14511" hidden="1" x14ac:dyDescent="0.35"/>
    <row r="14512" hidden="1" x14ac:dyDescent="0.35"/>
    <row r="14513" hidden="1" x14ac:dyDescent="0.35"/>
    <row r="14514" hidden="1" x14ac:dyDescent="0.35"/>
    <row r="14515" hidden="1" x14ac:dyDescent="0.35"/>
    <row r="14516" hidden="1" x14ac:dyDescent="0.35"/>
    <row r="14517" hidden="1" x14ac:dyDescent="0.35"/>
    <row r="14518" hidden="1" x14ac:dyDescent="0.35"/>
    <row r="14519" hidden="1" x14ac:dyDescent="0.35"/>
    <row r="14520" hidden="1" x14ac:dyDescent="0.35"/>
    <row r="14521" hidden="1" x14ac:dyDescent="0.35"/>
    <row r="14522" hidden="1" x14ac:dyDescent="0.35"/>
    <row r="14523" hidden="1" x14ac:dyDescent="0.35"/>
    <row r="14524" hidden="1" x14ac:dyDescent="0.35"/>
    <row r="14525" hidden="1" x14ac:dyDescent="0.35"/>
    <row r="14526" hidden="1" x14ac:dyDescent="0.35"/>
    <row r="14527" hidden="1" x14ac:dyDescent="0.35"/>
    <row r="14528" hidden="1" x14ac:dyDescent="0.35"/>
    <row r="14529" hidden="1" x14ac:dyDescent="0.35"/>
    <row r="14530" hidden="1" x14ac:dyDescent="0.35"/>
    <row r="14531" hidden="1" x14ac:dyDescent="0.35"/>
    <row r="14532" hidden="1" x14ac:dyDescent="0.35"/>
    <row r="14533" hidden="1" x14ac:dyDescent="0.35"/>
    <row r="14534" hidden="1" x14ac:dyDescent="0.35"/>
    <row r="14535" hidden="1" x14ac:dyDescent="0.35"/>
    <row r="14536" hidden="1" x14ac:dyDescent="0.35"/>
    <row r="14537" hidden="1" x14ac:dyDescent="0.35"/>
    <row r="14538" hidden="1" x14ac:dyDescent="0.35"/>
    <row r="14539" hidden="1" x14ac:dyDescent="0.35"/>
    <row r="14540" hidden="1" x14ac:dyDescent="0.35"/>
    <row r="14541" hidden="1" x14ac:dyDescent="0.35"/>
    <row r="14542" hidden="1" x14ac:dyDescent="0.35"/>
    <row r="14543" hidden="1" x14ac:dyDescent="0.35"/>
    <row r="14544" hidden="1" x14ac:dyDescent="0.35"/>
    <row r="14545" hidden="1" x14ac:dyDescent="0.35"/>
    <row r="14546" hidden="1" x14ac:dyDescent="0.35"/>
    <row r="14547" hidden="1" x14ac:dyDescent="0.35"/>
    <row r="14548" hidden="1" x14ac:dyDescent="0.35"/>
    <row r="14549" hidden="1" x14ac:dyDescent="0.35"/>
    <row r="14550" hidden="1" x14ac:dyDescent="0.35"/>
    <row r="14551" hidden="1" x14ac:dyDescent="0.35"/>
    <row r="14552" hidden="1" x14ac:dyDescent="0.35"/>
    <row r="14553" hidden="1" x14ac:dyDescent="0.35"/>
    <row r="14554" hidden="1" x14ac:dyDescent="0.35"/>
    <row r="14555" hidden="1" x14ac:dyDescent="0.35"/>
    <row r="14556" hidden="1" x14ac:dyDescent="0.35"/>
    <row r="14557" hidden="1" x14ac:dyDescent="0.35"/>
    <row r="14558" hidden="1" x14ac:dyDescent="0.35"/>
    <row r="14559" hidden="1" x14ac:dyDescent="0.35"/>
    <row r="14560" hidden="1" x14ac:dyDescent="0.35"/>
    <row r="14561" hidden="1" x14ac:dyDescent="0.35"/>
    <row r="14562" hidden="1" x14ac:dyDescent="0.35"/>
    <row r="14563" hidden="1" x14ac:dyDescent="0.35"/>
    <row r="14564" hidden="1" x14ac:dyDescent="0.35"/>
    <row r="14565" hidden="1" x14ac:dyDescent="0.35"/>
    <row r="14566" hidden="1" x14ac:dyDescent="0.35"/>
    <row r="14567" hidden="1" x14ac:dyDescent="0.35"/>
    <row r="14568" hidden="1" x14ac:dyDescent="0.35"/>
    <row r="14569" hidden="1" x14ac:dyDescent="0.35"/>
    <row r="14570" hidden="1" x14ac:dyDescent="0.35"/>
    <row r="14571" hidden="1" x14ac:dyDescent="0.35"/>
    <row r="14572" hidden="1" x14ac:dyDescent="0.35"/>
    <row r="14573" hidden="1" x14ac:dyDescent="0.35"/>
    <row r="14574" hidden="1" x14ac:dyDescent="0.35"/>
    <row r="14575" hidden="1" x14ac:dyDescent="0.35"/>
    <row r="14576" hidden="1" x14ac:dyDescent="0.35"/>
    <row r="14577" hidden="1" x14ac:dyDescent="0.35"/>
    <row r="14578" hidden="1" x14ac:dyDescent="0.35"/>
    <row r="14579" hidden="1" x14ac:dyDescent="0.35"/>
    <row r="14580" hidden="1" x14ac:dyDescent="0.35"/>
    <row r="14581" hidden="1" x14ac:dyDescent="0.35"/>
    <row r="14582" hidden="1" x14ac:dyDescent="0.35"/>
    <row r="14583" hidden="1" x14ac:dyDescent="0.35"/>
    <row r="14584" hidden="1" x14ac:dyDescent="0.35"/>
    <row r="14585" hidden="1" x14ac:dyDescent="0.35"/>
    <row r="14586" hidden="1" x14ac:dyDescent="0.35"/>
    <row r="14587" hidden="1" x14ac:dyDescent="0.35"/>
    <row r="14588" hidden="1" x14ac:dyDescent="0.35"/>
    <row r="14589" hidden="1" x14ac:dyDescent="0.35"/>
    <row r="14590" hidden="1" x14ac:dyDescent="0.35"/>
    <row r="14591" hidden="1" x14ac:dyDescent="0.35"/>
    <row r="14592" hidden="1" x14ac:dyDescent="0.35"/>
    <row r="14593" hidden="1" x14ac:dyDescent="0.35"/>
    <row r="14594" hidden="1" x14ac:dyDescent="0.35"/>
    <row r="14595" hidden="1" x14ac:dyDescent="0.35"/>
    <row r="14596" hidden="1" x14ac:dyDescent="0.35"/>
    <row r="14597" hidden="1" x14ac:dyDescent="0.35"/>
    <row r="14598" hidden="1" x14ac:dyDescent="0.35"/>
    <row r="14599" hidden="1" x14ac:dyDescent="0.35"/>
    <row r="14600" hidden="1" x14ac:dyDescent="0.35"/>
    <row r="14601" hidden="1" x14ac:dyDescent="0.35"/>
    <row r="14602" hidden="1" x14ac:dyDescent="0.35"/>
    <row r="14603" hidden="1" x14ac:dyDescent="0.35"/>
    <row r="14604" hidden="1" x14ac:dyDescent="0.35"/>
    <row r="14605" hidden="1" x14ac:dyDescent="0.35"/>
    <row r="14606" hidden="1" x14ac:dyDescent="0.35"/>
    <row r="14607" hidden="1" x14ac:dyDescent="0.35"/>
    <row r="14608" hidden="1" x14ac:dyDescent="0.35"/>
    <row r="14609" hidden="1" x14ac:dyDescent="0.35"/>
    <row r="14610" hidden="1" x14ac:dyDescent="0.35"/>
    <row r="14611" hidden="1" x14ac:dyDescent="0.35"/>
    <row r="14612" hidden="1" x14ac:dyDescent="0.35"/>
    <row r="14613" hidden="1" x14ac:dyDescent="0.35"/>
    <row r="14614" hidden="1" x14ac:dyDescent="0.35"/>
    <row r="14615" hidden="1" x14ac:dyDescent="0.35"/>
    <row r="14616" hidden="1" x14ac:dyDescent="0.35"/>
    <row r="14617" hidden="1" x14ac:dyDescent="0.35"/>
    <row r="14618" hidden="1" x14ac:dyDescent="0.35"/>
    <row r="14619" hidden="1" x14ac:dyDescent="0.35"/>
    <row r="14620" hidden="1" x14ac:dyDescent="0.35"/>
    <row r="14621" hidden="1" x14ac:dyDescent="0.35"/>
    <row r="14622" hidden="1" x14ac:dyDescent="0.35"/>
    <row r="14623" hidden="1" x14ac:dyDescent="0.35"/>
    <row r="14624" hidden="1" x14ac:dyDescent="0.35"/>
    <row r="14625" hidden="1" x14ac:dyDescent="0.35"/>
    <row r="14626" hidden="1" x14ac:dyDescent="0.35"/>
    <row r="14627" hidden="1" x14ac:dyDescent="0.35"/>
    <row r="14628" hidden="1" x14ac:dyDescent="0.35"/>
    <row r="14629" hidden="1" x14ac:dyDescent="0.35"/>
    <row r="14630" hidden="1" x14ac:dyDescent="0.35"/>
    <row r="14631" hidden="1" x14ac:dyDescent="0.35"/>
    <row r="14632" hidden="1" x14ac:dyDescent="0.35"/>
    <row r="14633" hidden="1" x14ac:dyDescent="0.35"/>
    <row r="14634" hidden="1" x14ac:dyDescent="0.35"/>
    <row r="14635" hidden="1" x14ac:dyDescent="0.35"/>
    <row r="14636" hidden="1" x14ac:dyDescent="0.35"/>
    <row r="14637" hidden="1" x14ac:dyDescent="0.35"/>
    <row r="14638" hidden="1" x14ac:dyDescent="0.35"/>
    <row r="14639" hidden="1" x14ac:dyDescent="0.35"/>
    <row r="14640" hidden="1" x14ac:dyDescent="0.35"/>
    <row r="14641" hidden="1" x14ac:dyDescent="0.35"/>
    <row r="14642" hidden="1" x14ac:dyDescent="0.35"/>
    <row r="14643" hidden="1" x14ac:dyDescent="0.35"/>
    <row r="14644" hidden="1" x14ac:dyDescent="0.35"/>
    <row r="14645" hidden="1" x14ac:dyDescent="0.35"/>
    <row r="14646" hidden="1" x14ac:dyDescent="0.35"/>
    <row r="14647" hidden="1" x14ac:dyDescent="0.35"/>
    <row r="14648" hidden="1" x14ac:dyDescent="0.35"/>
    <row r="14649" hidden="1" x14ac:dyDescent="0.35"/>
    <row r="14650" hidden="1" x14ac:dyDescent="0.35"/>
    <row r="14651" hidden="1" x14ac:dyDescent="0.35"/>
    <row r="14652" hidden="1" x14ac:dyDescent="0.35"/>
    <row r="14653" hidden="1" x14ac:dyDescent="0.35"/>
    <row r="14654" hidden="1" x14ac:dyDescent="0.35"/>
    <row r="14655" hidden="1" x14ac:dyDescent="0.35"/>
    <row r="14656" hidden="1" x14ac:dyDescent="0.35"/>
    <row r="14657" hidden="1" x14ac:dyDescent="0.35"/>
    <row r="14658" hidden="1" x14ac:dyDescent="0.35"/>
    <row r="14659" hidden="1" x14ac:dyDescent="0.35"/>
    <row r="14660" hidden="1" x14ac:dyDescent="0.35"/>
    <row r="14661" hidden="1" x14ac:dyDescent="0.35"/>
    <row r="14662" hidden="1" x14ac:dyDescent="0.35"/>
    <row r="14663" hidden="1" x14ac:dyDescent="0.35"/>
    <row r="14664" hidden="1" x14ac:dyDescent="0.35"/>
    <row r="14665" hidden="1" x14ac:dyDescent="0.35"/>
    <row r="14666" hidden="1" x14ac:dyDescent="0.35"/>
    <row r="14667" hidden="1" x14ac:dyDescent="0.35"/>
    <row r="14668" hidden="1" x14ac:dyDescent="0.35"/>
    <row r="14669" hidden="1" x14ac:dyDescent="0.35"/>
    <row r="14670" hidden="1" x14ac:dyDescent="0.35"/>
    <row r="14671" hidden="1" x14ac:dyDescent="0.35"/>
    <row r="14672" hidden="1" x14ac:dyDescent="0.35"/>
    <row r="14673" hidden="1" x14ac:dyDescent="0.35"/>
    <row r="14674" hidden="1" x14ac:dyDescent="0.35"/>
    <row r="14675" hidden="1" x14ac:dyDescent="0.35"/>
    <row r="14676" hidden="1" x14ac:dyDescent="0.35"/>
    <row r="14677" hidden="1" x14ac:dyDescent="0.35"/>
    <row r="14678" hidden="1" x14ac:dyDescent="0.35"/>
    <row r="14679" hidden="1" x14ac:dyDescent="0.35"/>
    <row r="14680" hidden="1" x14ac:dyDescent="0.35"/>
    <row r="14681" hidden="1" x14ac:dyDescent="0.35"/>
    <row r="14682" hidden="1" x14ac:dyDescent="0.35"/>
    <row r="14683" hidden="1" x14ac:dyDescent="0.35"/>
    <row r="14684" hidden="1" x14ac:dyDescent="0.35"/>
    <row r="14685" hidden="1" x14ac:dyDescent="0.35"/>
    <row r="14686" hidden="1" x14ac:dyDescent="0.35"/>
    <row r="14687" hidden="1" x14ac:dyDescent="0.35"/>
    <row r="14688" hidden="1" x14ac:dyDescent="0.35"/>
    <row r="14689" hidden="1" x14ac:dyDescent="0.35"/>
    <row r="14690" hidden="1" x14ac:dyDescent="0.35"/>
    <row r="14691" hidden="1" x14ac:dyDescent="0.35"/>
    <row r="14692" hidden="1" x14ac:dyDescent="0.35"/>
    <row r="14693" hidden="1" x14ac:dyDescent="0.35"/>
    <row r="14694" hidden="1" x14ac:dyDescent="0.35"/>
    <row r="14695" hidden="1" x14ac:dyDescent="0.35"/>
    <row r="14696" hidden="1" x14ac:dyDescent="0.35"/>
    <row r="14697" hidden="1" x14ac:dyDescent="0.35"/>
    <row r="14698" hidden="1" x14ac:dyDescent="0.35"/>
    <row r="14699" hidden="1" x14ac:dyDescent="0.35"/>
    <row r="14700" hidden="1" x14ac:dyDescent="0.35"/>
    <row r="14701" hidden="1" x14ac:dyDescent="0.35"/>
    <row r="14702" hidden="1" x14ac:dyDescent="0.35"/>
    <row r="14703" hidden="1" x14ac:dyDescent="0.35"/>
    <row r="14704" hidden="1" x14ac:dyDescent="0.35"/>
    <row r="14705" hidden="1" x14ac:dyDescent="0.35"/>
    <row r="14706" hidden="1" x14ac:dyDescent="0.35"/>
    <row r="14707" hidden="1" x14ac:dyDescent="0.35"/>
    <row r="14708" hidden="1" x14ac:dyDescent="0.35"/>
    <row r="14709" hidden="1" x14ac:dyDescent="0.35"/>
    <row r="14710" hidden="1" x14ac:dyDescent="0.35"/>
    <row r="14711" hidden="1" x14ac:dyDescent="0.35"/>
    <row r="14712" hidden="1" x14ac:dyDescent="0.35"/>
    <row r="14713" hidden="1" x14ac:dyDescent="0.35"/>
    <row r="14714" hidden="1" x14ac:dyDescent="0.35"/>
    <row r="14715" hidden="1" x14ac:dyDescent="0.35"/>
    <row r="14716" hidden="1" x14ac:dyDescent="0.35"/>
    <row r="14717" hidden="1" x14ac:dyDescent="0.35"/>
    <row r="14718" hidden="1" x14ac:dyDescent="0.35"/>
    <row r="14719" hidden="1" x14ac:dyDescent="0.35"/>
    <row r="14720" hidden="1" x14ac:dyDescent="0.35"/>
    <row r="14721" hidden="1" x14ac:dyDescent="0.35"/>
    <row r="14722" hidden="1" x14ac:dyDescent="0.35"/>
    <row r="14723" hidden="1" x14ac:dyDescent="0.35"/>
    <row r="14724" hidden="1" x14ac:dyDescent="0.35"/>
    <row r="14725" hidden="1" x14ac:dyDescent="0.35"/>
    <row r="14726" hidden="1" x14ac:dyDescent="0.35"/>
    <row r="14727" hidden="1" x14ac:dyDescent="0.35"/>
    <row r="14728" hidden="1" x14ac:dyDescent="0.35"/>
    <row r="14729" hidden="1" x14ac:dyDescent="0.35"/>
    <row r="14730" hidden="1" x14ac:dyDescent="0.35"/>
    <row r="14731" hidden="1" x14ac:dyDescent="0.35"/>
    <row r="14732" hidden="1" x14ac:dyDescent="0.35"/>
    <row r="14733" hidden="1" x14ac:dyDescent="0.35"/>
    <row r="14734" hidden="1" x14ac:dyDescent="0.35"/>
    <row r="14735" hidden="1" x14ac:dyDescent="0.35"/>
    <row r="14736" hidden="1" x14ac:dyDescent="0.35"/>
    <row r="14737" hidden="1" x14ac:dyDescent="0.35"/>
    <row r="14738" hidden="1" x14ac:dyDescent="0.35"/>
    <row r="14739" hidden="1" x14ac:dyDescent="0.35"/>
    <row r="14740" hidden="1" x14ac:dyDescent="0.35"/>
    <row r="14741" hidden="1" x14ac:dyDescent="0.35"/>
    <row r="14742" hidden="1" x14ac:dyDescent="0.35"/>
    <row r="14743" hidden="1" x14ac:dyDescent="0.35"/>
    <row r="14744" hidden="1" x14ac:dyDescent="0.35"/>
    <row r="14745" hidden="1" x14ac:dyDescent="0.35"/>
    <row r="14746" hidden="1" x14ac:dyDescent="0.35"/>
    <row r="14747" hidden="1" x14ac:dyDescent="0.35"/>
    <row r="14748" hidden="1" x14ac:dyDescent="0.35"/>
    <row r="14749" hidden="1" x14ac:dyDescent="0.35"/>
    <row r="14750" hidden="1" x14ac:dyDescent="0.35"/>
    <row r="14751" hidden="1" x14ac:dyDescent="0.35"/>
    <row r="14752" hidden="1" x14ac:dyDescent="0.35"/>
    <row r="14753" hidden="1" x14ac:dyDescent="0.35"/>
    <row r="14754" hidden="1" x14ac:dyDescent="0.35"/>
    <row r="14755" hidden="1" x14ac:dyDescent="0.35"/>
    <row r="14756" hidden="1" x14ac:dyDescent="0.35"/>
    <row r="14757" hidden="1" x14ac:dyDescent="0.35"/>
    <row r="14758" hidden="1" x14ac:dyDescent="0.35"/>
    <row r="14759" hidden="1" x14ac:dyDescent="0.35"/>
    <row r="14760" hidden="1" x14ac:dyDescent="0.35"/>
    <row r="14761" hidden="1" x14ac:dyDescent="0.35"/>
    <row r="14762" hidden="1" x14ac:dyDescent="0.35"/>
    <row r="14763" hidden="1" x14ac:dyDescent="0.35"/>
    <row r="14764" hidden="1" x14ac:dyDescent="0.35"/>
    <row r="14765" hidden="1" x14ac:dyDescent="0.35"/>
    <row r="14766" hidden="1" x14ac:dyDescent="0.35"/>
    <row r="14767" hidden="1" x14ac:dyDescent="0.35"/>
    <row r="14768" hidden="1" x14ac:dyDescent="0.35"/>
    <row r="14769" hidden="1" x14ac:dyDescent="0.35"/>
    <row r="14770" hidden="1" x14ac:dyDescent="0.35"/>
    <row r="14771" hidden="1" x14ac:dyDescent="0.35"/>
    <row r="14772" hidden="1" x14ac:dyDescent="0.35"/>
    <row r="14773" hidden="1" x14ac:dyDescent="0.35"/>
    <row r="14774" hidden="1" x14ac:dyDescent="0.35"/>
    <row r="14775" hidden="1" x14ac:dyDescent="0.35"/>
    <row r="14776" hidden="1" x14ac:dyDescent="0.35"/>
    <row r="14777" hidden="1" x14ac:dyDescent="0.35"/>
    <row r="14778" hidden="1" x14ac:dyDescent="0.35"/>
    <row r="14779" hidden="1" x14ac:dyDescent="0.35"/>
    <row r="14780" hidden="1" x14ac:dyDescent="0.35"/>
    <row r="14781" hidden="1" x14ac:dyDescent="0.35"/>
    <row r="14782" hidden="1" x14ac:dyDescent="0.35"/>
    <row r="14783" hidden="1" x14ac:dyDescent="0.35"/>
    <row r="14784" hidden="1" x14ac:dyDescent="0.35"/>
    <row r="14785" hidden="1" x14ac:dyDescent="0.35"/>
    <row r="14786" hidden="1" x14ac:dyDescent="0.35"/>
    <row r="14787" hidden="1" x14ac:dyDescent="0.35"/>
    <row r="14788" hidden="1" x14ac:dyDescent="0.35"/>
    <row r="14789" hidden="1" x14ac:dyDescent="0.35"/>
    <row r="14790" hidden="1" x14ac:dyDescent="0.35"/>
    <row r="14791" hidden="1" x14ac:dyDescent="0.35"/>
    <row r="14792" hidden="1" x14ac:dyDescent="0.35"/>
    <row r="14793" hidden="1" x14ac:dyDescent="0.35"/>
    <row r="14794" hidden="1" x14ac:dyDescent="0.35"/>
    <row r="14795" hidden="1" x14ac:dyDescent="0.35"/>
    <row r="14796" hidden="1" x14ac:dyDescent="0.35"/>
    <row r="14797" hidden="1" x14ac:dyDescent="0.35"/>
    <row r="14798" hidden="1" x14ac:dyDescent="0.35"/>
    <row r="14799" hidden="1" x14ac:dyDescent="0.35"/>
    <row r="14800" hidden="1" x14ac:dyDescent="0.35"/>
    <row r="14801" hidden="1" x14ac:dyDescent="0.35"/>
    <row r="14802" hidden="1" x14ac:dyDescent="0.35"/>
    <row r="14803" hidden="1" x14ac:dyDescent="0.35"/>
    <row r="14804" hidden="1" x14ac:dyDescent="0.35"/>
    <row r="14805" hidden="1" x14ac:dyDescent="0.35"/>
    <row r="14806" hidden="1" x14ac:dyDescent="0.35"/>
    <row r="14807" hidden="1" x14ac:dyDescent="0.35"/>
    <row r="14808" hidden="1" x14ac:dyDescent="0.35"/>
    <row r="14809" hidden="1" x14ac:dyDescent="0.35"/>
    <row r="14810" hidden="1" x14ac:dyDescent="0.35"/>
    <row r="14811" hidden="1" x14ac:dyDescent="0.35"/>
    <row r="14812" hidden="1" x14ac:dyDescent="0.35"/>
    <row r="14813" hidden="1" x14ac:dyDescent="0.35"/>
    <row r="14814" hidden="1" x14ac:dyDescent="0.35"/>
    <row r="14815" hidden="1" x14ac:dyDescent="0.35"/>
    <row r="14816" hidden="1" x14ac:dyDescent="0.35"/>
    <row r="14817" hidden="1" x14ac:dyDescent="0.35"/>
    <row r="14818" hidden="1" x14ac:dyDescent="0.35"/>
    <row r="14819" hidden="1" x14ac:dyDescent="0.35"/>
    <row r="14820" hidden="1" x14ac:dyDescent="0.35"/>
    <row r="14821" hidden="1" x14ac:dyDescent="0.35"/>
    <row r="14822" hidden="1" x14ac:dyDescent="0.35"/>
    <row r="14823" hidden="1" x14ac:dyDescent="0.35"/>
    <row r="14824" hidden="1" x14ac:dyDescent="0.35"/>
    <row r="14825" hidden="1" x14ac:dyDescent="0.35"/>
    <row r="14826" hidden="1" x14ac:dyDescent="0.35"/>
    <row r="14827" hidden="1" x14ac:dyDescent="0.35"/>
    <row r="14828" hidden="1" x14ac:dyDescent="0.35"/>
    <row r="14829" hidden="1" x14ac:dyDescent="0.35"/>
    <row r="14830" hidden="1" x14ac:dyDescent="0.35"/>
    <row r="14831" hidden="1" x14ac:dyDescent="0.35"/>
    <row r="14832" hidden="1" x14ac:dyDescent="0.35"/>
    <row r="14833" hidden="1" x14ac:dyDescent="0.35"/>
    <row r="14834" hidden="1" x14ac:dyDescent="0.35"/>
    <row r="14835" hidden="1" x14ac:dyDescent="0.35"/>
    <row r="14836" hidden="1" x14ac:dyDescent="0.35"/>
    <row r="14837" hidden="1" x14ac:dyDescent="0.35"/>
    <row r="14838" hidden="1" x14ac:dyDescent="0.35"/>
    <row r="14839" hidden="1" x14ac:dyDescent="0.35"/>
    <row r="14840" hidden="1" x14ac:dyDescent="0.35"/>
    <row r="14841" hidden="1" x14ac:dyDescent="0.35"/>
    <row r="14842" hidden="1" x14ac:dyDescent="0.35"/>
    <row r="14843" hidden="1" x14ac:dyDescent="0.35"/>
    <row r="14844" hidden="1" x14ac:dyDescent="0.35"/>
    <row r="14845" hidden="1" x14ac:dyDescent="0.35"/>
    <row r="14846" hidden="1" x14ac:dyDescent="0.35"/>
    <row r="14847" hidden="1" x14ac:dyDescent="0.35"/>
    <row r="14848" hidden="1" x14ac:dyDescent="0.35"/>
    <row r="14849" hidden="1" x14ac:dyDescent="0.35"/>
    <row r="14850" hidden="1" x14ac:dyDescent="0.35"/>
    <row r="14851" hidden="1" x14ac:dyDescent="0.35"/>
    <row r="14852" hidden="1" x14ac:dyDescent="0.35"/>
    <row r="14853" hidden="1" x14ac:dyDescent="0.35"/>
    <row r="14854" hidden="1" x14ac:dyDescent="0.35"/>
    <row r="14855" hidden="1" x14ac:dyDescent="0.35"/>
    <row r="14856" hidden="1" x14ac:dyDescent="0.35"/>
    <row r="14857" hidden="1" x14ac:dyDescent="0.35"/>
    <row r="14858" hidden="1" x14ac:dyDescent="0.35"/>
    <row r="14859" hidden="1" x14ac:dyDescent="0.35"/>
    <row r="14860" hidden="1" x14ac:dyDescent="0.35"/>
    <row r="14861" hidden="1" x14ac:dyDescent="0.35"/>
    <row r="14862" hidden="1" x14ac:dyDescent="0.35"/>
    <row r="14863" hidden="1" x14ac:dyDescent="0.35"/>
    <row r="14864" hidden="1" x14ac:dyDescent="0.35"/>
    <row r="14865" hidden="1" x14ac:dyDescent="0.35"/>
    <row r="14866" hidden="1" x14ac:dyDescent="0.35"/>
    <row r="14867" hidden="1" x14ac:dyDescent="0.35"/>
    <row r="14868" hidden="1" x14ac:dyDescent="0.35"/>
    <row r="14869" hidden="1" x14ac:dyDescent="0.35"/>
    <row r="14870" hidden="1" x14ac:dyDescent="0.35"/>
    <row r="14871" hidden="1" x14ac:dyDescent="0.35"/>
    <row r="14872" hidden="1" x14ac:dyDescent="0.35"/>
    <row r="14873" hidden="1" x14ac:dyDescent="0.35"/>
    <row r="14874" hidden="1" x14ac:dyDescent="0.35"/>
    <row r="14875" hidden="1" x14ac:dyDescent="0.35"/>
    <row r="14876" hidden="1" x14ac:dyDescent="0.35"/>
    <row r="14877" hidden="1" x14ac:dyDescent="0.35"/>
    <row r="14878" hidden="1" x14ac:dyDescent="0.35"/>
    <row r="14879" hidden="1" x14ac:dyDescent="0.35"/>
    <row r="14880" hidden="1" x14ac:dyDescent="0.35"/>
    <row r="14881" hidden="1" x14ac:dyDescent="0.35"/>
    <row r="14882" hidden="1" x14ac:dyDescent="0.35"/>
    <row r="14883" hidden="1" x14ac:dyDescent="0.35"/>
    <row r="14884" hidden="1" x14ac:dyDescent="0.35"/>
    <row r="14885" hidden="1" x14ac:dyDescent="0.35"/>
    <row r="14886" hidden="1" x14ac:dyDescent="0.35"/>
    <row r="14887" hidden="1" x14ac:dyDescent="0.35"/>
    <row r="14888" hidden="1" x14ac:dyDescent="0.35"/>
    <row r="14889" hidden="1" x14ac:dyDescent="0.35"/>
    <row r="14890" hidden="1" x14ac:dyDescent="0.35"/>
    <row r="14891" hidden="1" x14ac:dyDescent="0.35"/>
    <row r="14892" hidden="1" x14ac:dyDescent="0.35"/>
    <row r="14893" hidden="1" x14ac:dyDescent="0.35"/>
    <row r="14894" hidden="1" x14ac:dyDescent="0.35"/>
    <row r="14895" hidden="1" x14ac:dyDescent="0.35"/>
    <row r="14896" hidden="1" x14ac:dyDescent="0.35"/>
    <row r="14897" hidden="1" x14ac:dyDescent="0.35"/>
    <row r="14898" hidden="1" x14ac:dyDescent="0.35"/>
    <row r="14899" hidden="1" x14ac:dyDescent="0.35"/>
    <row r="14900" hidden="1" x14ac:dyDescent="0.35"/>
    <row r="14901" hidden="1" x14ac:dyDescent="0.35"/>
    <row r="14902" hidden="1" x14ac:dyDescent="0.35"/>
    <row r="14903" hidden="1" x14ac:dyDescent="0.35"/>
    <row r="14904" hidden="1" x14ac:dyDescent="0.35"/>
    <row r="14905" hidden="1" x14ac:dyDescent="0.35"/>
    <row r="14906" hidden="1" x14ac:dyDescent="0.35"/>
    <row r="14907" hidden="1" x14ac:dyDescent="0.35"/>
    <row r="14908" hidden="1" x14ac:dyDescent="0.35"/>
    <row r="14909" hidden="1" x14ac:dyDescent="0.35"/>
    <row r="14910" hidden="1" x14ac:dyDescent="0.35"/>
    <row r="14911" hidden="1" x14ac:dyDescent="0.35"/>
    <row r="14912" hidden="1" x14ac:dyDescent="0.35"/>
    <row r="14913" hidden="1" x14ac:dyDescent="0.35"/>
    <row r="14914" hidden="1" x14ac:dyDescent="0.35"/>
    <row r="14915" hidden="1" x14ac:dyDescent="0.35"/>
    <row r="14916" hidden="1" x14ac:dyDescent="0.35"/>
    <row r="14917" hidden="1" x14ac:dyDescent="0.35"/>
    <row r="14918" hidden="1" x14ac:dyDescent="0.35"/>
    <row r="14919" hidden="1" x14ac:dyDescent="0.35"/>
    <row r="14920" hidden="1" x14ac:dyDescent="0.35"/>
    <row r="14921" hidden="1" x14ac:dyDescent="0.35"/>
    <row r="14922" hidden="1" x14ac:dyDescent="0.35"/>
    <row r="14923" hidden="1" x14ac:dyDescent="0.35"/>
    <row r="14924" hidden="1" x14ac:dyDescent="0.35"/>
    <row r="14925" hidden="1" x14ac:dyDescent="0.35"/>
    <row r="14926" hidden="1" x14ac:dyDescent="0.35"/>
    <row r="14927" hidden="1" x14ac:dyDescent="0.35"/>
    <row r="14928" hidden="1" x14ac:dyDescent="0.35"/>
    <row r="14929" hidden="1" x14ac:dyDescent="0.35"/>
    <row r="14930" hidden="1" x14ac:dyDescent="0.35"/>
    <row r="14931" hidden="1" x14ac:dyDescent="0.35"/>
    <row r="14932" hidden="1" x14ac:dyDescent="0.35"/>
    <row r="14933" hidden="1" x14ac:dyDescent="0.35"/>
    <row r="14934" hidden="1" x14ac:dyDescent="0.35"/>
    <row r="14935" hidden="1" x14ac:dyDescent="0.35"/>
    <row r="14936" hidden="1" x14ac:dyDescent="0.35"/>
    <row r="14937" hidden="1" x14ac:dyDescent="0.35"/>
    <row r="14938" hidden="1" x14ac:dyDescent="0.35"/>
    <row r="14939" hidden="1" x14ac:dyDescent="0.35"/>
    <row r="14940" hidden="1" x14ac:dyDescent="0.35"/>
    <row r="14941" hidden="1" x14ac:dyDescent="0.35"/>
    <row r="14942" hidden="1" x14ac:dyDescent="0.35"/>
    <row r="14943" hidden="1" x14ac:dyDescent="0.35"/>
    <row r="14944" hidden="1" x14ac:dyDescent="0.35"/>
    <row r="14945" hidden="1" x14ac:dyDescent="0.35"/>
    <row r="14946" hidden="1" x14ac:dyDescent="0.35"/>
    <row r="14947" hidden="1" x14ac:dyDescent="0.35"/>
    <row r="14948" hidden="1" x14ac:dyDescent="0.35"/>
    <row r="14949" hidden="1" x14ac:dyDescent="0.35"/>
    <row r="14950" hidden="1" x14ac:dyDescent="0.35"/>
    <row r="14951" hidden="1" x14ac:dyDescent="0.35"/>
    <row r="14952" hidden="1" x14ac:dyDescent="0.35"/>
    <row r="14953" hidden="1" x14ac:dyDescent="0.35"/>
    <row r="14954" hidden="1" x14ac:dyDescent="0.35"/>
    <row r="14955" hidden="1" x14ac:dyDescent="0.35"/>
    <row r="14956" hidden="1" x14ac:dyDescent="0.35"/>
    <row r="14957" hidden="1" x14ac:dyDescent="0.35"/>
    <row r="14958" hidden="1" x14ac:dyDescent="0.35"/>
    <row r="14959" hidden="1" x14ac:dyDescent="0.35"/>
    <row r="14960" hidden="1" x14ac:dyDescent="0.35"/>
    <row r="14961" hidden="1" x14ac:dyDescent="0.35"/>
    <row r="14962" hidden="1" x14ac:dyDescent="0.35"/>
    <row r="14963" hidden="1" x14ac:dyDescent="0.35"/>
    <row r="14964" hidden="1" x14ac:dyDescent="0.35"/>
    <row r="14965" hidden="1" x14ac:dyDescent="0.35"/>
    <row r="14966" hidden="1" x14ac:dyDescent="0.35"/>
    <row r="14967" hidden="1" x14ac:dyDescent="0.35"/>
    <row r="14968" hidden="1" x14ac:dyDescent="0.35"/>
    <row r="14969" hidden="1" x14ac:dyDescent="0.35"/>
    <row r="14970" hidden="1" x14ac:dyDescent="0.35"/>
    <row r="14971" hidden="1" x14ac:dyDescent="0.35"/>
    <row r="14972" hidden="1" x14ac:dyDescent="0.35"/>
    <row r="14973" hidden="1" x14ac:dyDescent="0.35"/>
    <row r="14974" hidden="1" x14ac:dyDescent="0.35"/>
    <row r="14975" hidden="1" x14ac:dyDescent="0.35"/>
    <row r="14976" hidden="1" x14ac:dyDescent="0.35"/>
    <row r="14977" hidden="1" x14ac:dyDescent="0.35"/>
    <row r="14978" hidden="1" x14ac:dyDescent="0.35"/>
    <row r="14979" hidden="1" x14ac:dyDescent="0.35"/>
    <row r="14980" hidden="1" x14ac:dyDescent="0.35"/>
    <row r="14981" hidden="1" x14ac:dyDescent="0.35"/>
    <row r="14982" hidden="1" x14ac:dyDescent="0.35"/>
    <row r="14983" hidden="1" x14ac:dyDescent="0.35"/>
    <row r="14984" hidden="1" x14ac:dyDescent="0.35"/>
    <row r="14985" hidden="1" x14ac:dyDescent="0.35"/>
    <row r="14986" hidden="1" x14ac:dyDescent="0.35"/>
    <row r="14987" hidden="1" x14ac:dyDescent="0.35"/>
    <row r="14988" hidden="1" x14ac:dyDescent="0.35"/>
    <row r="14989" hidden="1" x14ac:dyDescent="0.35"/>
    <row r="14990" hidden="1" x14ac:dyDescent="0.35"/>
    <row r="14991" hidden="1" x14ac:dyDescent="0.35"/>
    <row r="14992" hidden="1" x14ac:dyDescent="0.35"/>
    <row r="14993" hidden="1" x14ac:dyDescent="0.35"/>
    <row r="14994" hidden="1" x14ac:dyDescent="0.35"/>
    <row r="14995" hidden="1" x14ac:dyDescent="0.35"/>
    <row r="14996" hidden="1" x14ac:dyDescent="0.35"/>
    <row r="14997" hidden="1" x14ac:dyDescent="0.35"/>
    <row r="14998" hidden="1" x14ac:dyDescent="0.35"/>
    <row r="14999" hidden="1" x14ac:dyDescent="0.35"/>
    <row r="15000" hidden="1" x14ac:dyDescent="0.35"/>
    <row r="15001" hidden="1" x14ac:dyDescent="0.35"/>
    <row r="15002" hidden="1" x14ac:dyDescent="0.35"/>
    <row r="15003" hidden="1" x14ac:dyDescent="0.35"/>
    <row r="15004" hidden="1" x14ac:dyDescent="0.35"/>
    <row r="15005" hidden="1" x14ac:dyDescent="0.35"/>
    <row r="15006" hidden="1" x14ac:dyDescent="0.35"/>
    <row r="15007" hidden="1" x14ac:dyDescent="0.35"/>
    <row r="15008" hidden="1" x14ac:dyDescent="0.35"/>
    <row r="15009" hidden="1" x14ac:dyDescent="0.35"/>
    <row r="15010" hidden="1" x14ac:dyDescent="0.35"/>
    <row r="15011" hidden="1" x14ac:dyDescent="0.35"/>
    <row r="15012" hidden="1" x14ac:dyDescent="0.35"/>
    <row r="15013" hidden="1" x14ac:dyDescent="0.35"/>
    <row r="15014" hidden="1" x14ac:dyDescent="0.35"/>
    <row r="15015" hidden="1" x14ac:dyDescent="0.35"/>
    <row r="15016" hidden="1" x14ac:dyDescent="0.35"/>
    <row r="15017" hidden="1" x14ac:dyDescent="0.35"/>
    <row r="15018" hidden="1" x14ac:dyDescent="0.35"/>
    <row r="15019" hidden="1" x14ac:dyDescent="0.35"/>
    <row r="15020" hidden="1" x14ac:dyDescent="0.35"/>
    <row r="15021" hidden="1" x14ac:dyDescent="0.35"/>
    <row r="15022" hidden="1" x14ac:dyDescent="0.35"/>
    <row r="15023" hidden="1" x14ac:dyDescent="0.35"/>
    <row r="15024" hidden="1" x14ac:dyDescent="0.35"/>
    <row r="15025" hidden="1" x14ac:dyDescent="0.35"/>
    <row r="15026" hidden="1" x14ac:dyDescent="0.35"/>
    <row r="15027" hidden="1" x14ac:dyDescent="0.35"/>
    <row r="15028" hidden="1" x14ac:dyDescent="0.35"/>
    <row r="15029" hidden="1" x14ac:dyDescent="0.35"/>
    <row r="15030" hidden="1" x14ac:dyDescent="0.35"/>
    <row r="15031" hidden="1" x14ac:dyDescent="0.35"/>
    <row r="15032" hidden="1" x14ac:dyDescent="0.35"/>
    <row r="15033" hidden="1" x14ac:dyDescent="0.35"/>
    <row r="15034" hidden="1" x14ac:dyDescent="0.35"/>
    <row r="15035" hidden="1" x14ac:dyDescent="0.35"/>
    <row r="15036" hidden="1" x14ac:dyDescent="0.35"/>
    <row r="15037" hidden="1" x14ac:dyDescent="0.35"/>
    <row r="15038" hidden="1" x14ac:dyDescent="0.35"/>
    <row r="15039" hidden="1" x14ac:dyDescent="0.35"/>
    <row r="15040" hidden="1" x14ac:dyDescent="0.35"/>
    <row r="15041" hidden="1" x14ac:dyDescent="0.35"/>
    <row r="15042" hidden="1" x14ac:dyDescent="0.35"/>
    <row r="15043" hidden="1" x14ac:dyDescent="0.35"/>
    <row r="15044" hidden="1" x14ac:dyDescent="0.35"/>
    <row r="15045" hidden="1" x14ac:dyDescent="0.35"/>
    <row r="15046" hidden="1" x14ac:dyDescent="0.35"/>
    <row r="15047" hidden="1" x14ac:dyDescent="0.35"/>
    <row r="15048" hidden="1" x14ac:dyDescent="0.35"/>
    <row r="15049" hidden="1" x14ac:dyDescent="0.35"/>
    <row r="15050" hidden="1" x14ac:dyDescent="0.35"/>
    <row r="15051" hidden="1" x14ac:dyDescent="0.35"/>
    <row r="15052" hidden="1" x14ac:dyDescent="0.35"/>
    <row r="15053" hidden="1" x14ac:dyDescent="0.35"/>
    <row r="15054" hidden="1" x14ac:dyDescent="0.35"/>
    <row r="15055" hidden="1" x14ac:dyDescent="0.35"/>
    <row r="15056" hidden="1" x14ac:dyDescent="0.35"/>
    <row r="15057" hidden="1" x14ac:dyDescent="0.35"/>
    <row r="15058" hidden="1" x14ac:dyDescent="0.35"/>
    <row r="15059" hidden="1" x14ac:dyDescent="0.35"/>
    <row r="15060" hidden="1" x14ac:dyDescent="0.35"/>
    <row r="15061" hidden="1" x14ac:dyDescent="0.35"/>
    <row r="15062" hidden="1" x14ac:dyDescent="0.35"/>
    <row r="15063" hidden="1" x14ac:dyDescent="0.35"/>
    <row r="15064" hidden="1" x14ac:dyDescent="0.35"/>
    <row r="15065" hidden="1" x14ac:dyDescent="0.35"/>
    <row r="15066" hidden="1" x14ac:dyDescent="0.35"/>
    <row r="15067" hidden="1" x14ac:dyDescent="0.35"/>
    <row r="15068" hidden="1" x14ac:dyDescent="0.35"/>
    <row r="15069" hidden="1" x14ac:dyDescent="0.35"/>
    <row r="15070" hidden="1" x14ac:dyDescent="0.35"/>
    <row r="15071" hidden="1" x14ac:dyDescent="0.35"/>
    <row r="15072" hidden="1" x14ac:dyDescent="0.35"/>
    <row r="15073" hidden="1" x14ac:dyDescent="0.35"/>
    <row r="15074" hidden="1" x14ac:dyDescent="0.35"/>
    <row r="15075" hidden="1" x14ac:dyDescent="0.35"/>
    <row r="15076" hidden="1" x14ac:dyDescent="0.35"/>
    <row r="15077" hidden="1" x14ac:dyDescent="0.35"/>
    <row r="15078" hidden="1" x14ac:dyDescent="0.35"/>
    <row r="15079" hidden="1" x14ac:dyDescent="0.35"/>
    <row r="15080" hidden="1" x14ac:dyDescent="0.35"/>
    <row r="15081" hidden="1" x14ac:dyDescent="0.35"/>
    <row r="15082" hidden="1" x14ac:dyDescent="0.35"/>
    <row r="15083" hidden="1" x14ac:dyDescent="0.35"/>
    <row r="15084" hidden="1" x14ac:dyDescent="0.35"/>
    <row r="15085" hidden="1" x14ac:dyDescent="0.35"/>
    <row r="15086" hidden="1" x14ac:dyDescent="0.35"/>
    <row r="15087" hidden="1" x14ac:dyDescent="0.35"/>
    <row r="15088" hidden="1" x14ac:dyDescent="0.35"/>
    <row r="15089" hidden="1" x14ac:dyDescent="0.35"/>
    <row r="15090" hidden="1" x14ac:dyDescent="0.35"/>
    <row r="15091" hidden="1" x14ac:dyDescent="0.35"/>
    <row r="15092" hidden="1" x14ac:dyDescent="0.35"/>
    <row r="15093" hidden="1" x14ac:dyDescent="0.35"/>
    <row r="15094" hidden="1" x14ac:dyDescent="0.35"/>
    <row r="15095" hidden="1" x14ac:dyDescent="0.35"/>
    <row r="15096" hidden="1" x14ac:dyDescent="0.35"/>
    <row r="15097" hidden="1" x14ac:dyDescent="0.35"/>
    <row r="15098" hidden="1" x14ac:dyDescent="0.35"/>
    <row r="15099" hidden="1" x14ac:dyDescent="0.35"/>
    <row r="15100" hidden="1" x14ac:dyDescent="0.35"/>
    <row r="15101" hidden="1" x14ac:dyDescent="0.35"/>
    <row r="15102" hidden="1" x14ac:dyDescent="0.35"/>
    <row r="15103" hidden="1" x14ac:dyDescent="0.35"/>
    <row r="15104" hidden="1" x14ac:dyDescent="0.35"/>
    <row r="15105" hidden="1" x14ac:dyDescent="0.35"/>
    <row r="15106" hidden="1" x14ac:dyDescent="0.35"/>
    <row r="15107" hidden="1" x14ac:dyDescent="0.35"/>
    <row r="15108" hidden="1" x14ac:dyDescent="0.35"/>
    <row r="15109" hidden="1" x14ac:dyDescent="0.35"/>
    <row r="15110" hidden="1" x14ac:dyDescent="0.35"/>
    <row r="15111" hidden="1" x14ac:dyDescent="0.35"/>
    <row r="15112" hidden="1" x14ac:dyDescent="0.35"/>
    <row r="15113" hidden="1" x14ac:dyDescent="0.35"/>
    <row r="15114" hidden="1" x14ac:dyDescent="0.35"/>
    <row r="15115" hidden="1" x14ac:dyDescent="0.35"/>
    <row r="15116" hidden="1" x14ac:dyDescent="0.35"/>
    <row r="15117" hidden="1" x14ac:dyDescent="0.35"/>
    <row r="15118" hidden="1" x14ac:dyDescent="0.35"/>
    <row r="15119" hidden="1" x14ac:dyDescent="0.35"/>
    <row r="15120" hidden="1" x14ac:dyDescent="0.35"/>
    <row r="15121" hidden="1" x14ac:dyDescent="0.35"/>
    <row r="15122" hidden="1" x14ac:dyDescent="0.35"/>
    <row r="15123" hidden="1" x14ac:dyDescent="0.35"/>
    <row r="15124" hidden="1" x14ac:dyDescent="0.35"/>
    <row r="15125" hidden="1" x14ac:dyDescent="0.35"/>
    <row r="15126" hidden="1" x14ac:dyDescent="0.35"/>
    <row r="15127" hidden="1" x14ac:dyDescent="0.35"/>
    <row r="15128" hidden="1" x14ac:dyDescent="0.35"/>
    <row r="15129" hidden="1" x14ac:dyDescent="0.35"/>
    <row r="15130" hidden="1" x14ac:dyDescent="0.35"/>
    <row r="15131" hidden="1" x14ac:dyDescent="0.35"/>
    <row r="15132" hidden="1" x14ac:dyDescent="0.35"/>
    <row r="15133" hidden="1" x14ac:dyDescent="0.35"/>
    <row r="15134" hidden="1" x14ac:dyDescent="0.35"/>
    <row r="15135" hidden="1" x14ac:dyDescent="0.35"/>
    <row r="15136" hidden="1" x14ac:dyDescent="0.35"/>
    <row r="15137" hidden="1" x14ac:dyDescent="0.35"/>
    <row r="15138" hidden="1" x14ac:dyDescent="0.35"/>
    <row r="15139" hidden="1" x14ac:dyDescent="0.35"/>
    <row r="15140" hidden="1" x14ac:dyDescent="0.35"/>
    <row r="15141" hidden="1" x14ac:dyDescent="0.35"/>
    <row r="15142" hidden="1" x14ac:dyDescent="0.35"/>
    <row r="15143" hidden="1" x14ac:dyDescent="0.35"/>
    <row r="15144" hidden="1" x14ac:dyDescent="0.35"/>
    <row r="15145" hidden="1" x14ac:dyDescent="0.35"/>
    <row r="15146" hidden="1" x14ac:dyDescent="0.35"/>
    <row r="15147" hidden="1" x14ac:dyDescent="0.35"/>
    <row r="15148" hidden="1" x14ac:dyDescent="0.35"/>
    <row r="15149" hidden="1" x14ac:dyDescent="0.35"/>
    <row r="15150" hidden="1" x14ac:dyDescent="0.35"/>
    <row r="15151" hidden="1" x14ac:dyDescent="0.35"/>
    <row r="15152" hidden="1" x14ac:dyDescent="0.35"/>
    <row r="15153" hidden="1" x14ac:dyDescent="0.35"/>
    <row r="15154" hidden="1" x14ac:dyDescent="0.35"/>
    <row r="15155" hidden="1" x14ac:dyDescent="0.35"/>
    <row r="15156" hidden="1" x14ac:dyDescent="0.35"/>
    <row r="15157" hidden="1" x14ac:dyDescent="0.35"/>
    <row r="15158" hidden="1" x14ac:dyDescent="0.35"/>
    <row r="15159" hidden="1" x14ac:dyDescent="0.35"/>
    <row r="15160" hidden="1" x14ac:dyDescent="0.35"/>
    <row r="15161" hidden="1" x14ac:dyDescent="0.35"/>
    <row r="15162" hidden="1" x14ac:dyDescent="0.35"/>
    <row r="15163" hidden="1" x14ac:dyDescent="0.35"/>
    <row r="15164" hidden="1" x14ac:dyDescent="0.35"/>
    <row r="15165" hidden="1" x14ac:dyDescent="0.35"/>
    <row r="15166" hidden="1" x14ac:dyDescent="0.35"/>
    <row r="15167" hidden="1" x14ac:dyDescent="0.35"/>
    <row r="15168" hidden="1" x14ac:dyDescent="0.35"/>
    <row r="15169" hidden="1" x14ac:dyDescent="0.35"/>
    <row r="15170" hidden="1" x14ac:dyDescent="0.35"/>
    <row r="15171" hidden="1" x14ac:dyDescent="0.35"/>
    <row r="15172" hidden="1" x14ac:dyDescent="0.35"/>
    <row r="15173" hidden="1" x14ac:dyDescent="0.35"/>
    <row r="15174" hidden="1" x14ac:dyDescent="0.35"/>
    <row r="15175" hidden="1" x14ac:dyDescent="0.35"/>
    <row r="15176" hidden="1" x14ac:dyDescent="0.35"/>
    <row r="15177" hidden="1" x14ac:dyDescent="0.35"/>
    <row r="15178" hidden="1" x14ac:dyDescent="0.35"/>
    <row r="15179" hidden="1" x14ac:dyDescent="0.35"/>
    <row r="15180" hidden="1" x14ac:dyDescent="0.35"/>
    <row r="15181" hidden="1" x14ac:dyDescent="0.35"/>
    <row r="15182" hidden="1" x14ac:dyDescent="0.35"/>
    <row r="15183" hidden="1" x14ac:dyDescent="0.35"/>
    <row r="15184" hidden="1" x14ac:dyDescent="0.35"/>
    <row r="15185" hidden="1" x14ac:dyDescent="0.35"/>
    <row r="15186" hidden="1" x14ac:dyDescent="0.35"/>
    <row r="15187" hidden="1" x14ac:dyDescent="0.35"/>
    <row r="15188" hidden="1" x14ac:dyDescent="0.35"/>
    <row r="15189" hidden="1" x14ac:dyDescent="0.35"/>
    <row r="15190" hidden="1" x14ac:dyDescent="0.35"/>
    <row r="15191" hidden="1" x14ac:dyDescent="0.35"/>
    <row r="15192" hidden="1" x14ac:dyDescent="0.35"/>
    <row r="15193" hidden="1" x14ac:dyDescent="0.35"/>
    <row r="15194" hidden="1" x14ac:dyDescent="0.35"/>
    <row r="15195" hidden="1" x14ac:dyDescent="0.35"/>
    <row r="15196" hidden="1" x14ac:dyDescent="0.35"/>
    <row r="15197" hidden="1" x14ac:dyDescent="0.35"/>
    <row r="15198" hidden="1" x14ac:dyDescent="0.35"/>
    <row r="15199" hidden="1" x14ac:dyDescent="0.35"/>
    <row r="15200" hidden="1" x14ac:dyDescent="0.35"/>
    <row r="15201" hidden="1" x14ac:dyDescent="0.35"/>
    <row r="15202" hidden="1" x14ac:dyDescent="0.35"/>
    <row r="15203" hidden="1" x14ac:dyDescent="0.35"/>
    <row r="15204" hidden="1" x14ac:dyDescent="0.35"/>
    <row r="15205" hidden="1" x14ac:dyDescent="0.35"/>
    <row r="15206" hidden="1" x14ac:dyDescent="0.35"/>
    <row r="15207" hidden="1" x14ac:dyDescent="0.35"/>
    <row r="15208" hidden="1" x14ac:dyDescent="0.35"/>
    <row r="15209" hidden="1" x14ac:dyDescent="0.35"/>
    <row r="15210" hidden="1" x14ac:dyDescent="0.35"/>
    <row r="15211" hidden="1" x14ac:dyDescent="0.35"/>
    <row r="15212" hidden="1" x14ac:dyDescent="0.35"/>
    <row r="15213" hidden="1" x14ac:dyDescent="0.35"/>
    <row r="15214" hidden="1" x14ac:dyDescent="0.35"/>
    <row r="15215" hidden="1" x14ac:dyDescent="0.35"/>
    <row r="15216" hidden="1" x14ac:dyDescent="0.35"/>
    <row r="15217" hidden="1" x14ac:dyDescent="0.35"/>
    <row r="15218" hidden="1" x14ac:dyDescent="0.35"/>
    <row r="15219" hidden="1" x14ac:dyDescent="0.35"/>
    <row r="15220" hidden="1" x14ac:dyDescent="0.35"/>
    <row r="15221" hidden="1" x14ac:dyDescent="0.35"/>
    <row r="15222" hidden="1" x14ac:dyDescent="0.35"/>
    <row r="15223" hidden="1" x14ac:dyDescent="0.35"/>
    <row r="15224" hidden="1" x14ac:dyDescent="0.35"/>
    <row r="15225" hidden="1" x14ac:dyDescent="0.35"/>
    <row r="15226" hidden="1" x14ac:dyDescent="0.35"/>
    <row r="15227" hidden="1" x14ac:dyDescent="0.35"/>
    <row r="15228" hidden="1" x14ac:dyDescent="0.35"/>
    <row r="15229" hidden="1" x14ac:dyDescent="0.35"/>
    <row r="15230" hidden="1" x14ac:dyDescent="0.35"/>
    <row r="15231" hidden="1" x14ac:dyDescent="0.35"/>
    <row r="15232" hidden="1" x14ac:dyDescent="0.35"/>
    <row r="15233" hidden="1" x14ac:dyDescent="0.35"/>
    <row r="15234" hidden="1" x14ac:dyDescent="0.35"/>
    <row r="15235" hidden="1" x14ac:dyDescent="0.35"/>
    <row r="15236" hidden="1" x14ac:dyDescent="0.35"/>
    <row r="15237" hidden="1" x14ac:dyDescent="0.35"/>
    <row r="15238" hidden="1" x14ac:dyDescent="0.35"/>
    <row r="15239" hidden="1" x14ac:dyDescent="0.35"/>
    <row r="15240" hidden="1" x14ac:dyDescent="0.35"/>
    <row r="15241" hidden="1" x14ac:dyDescent="0.35"/>
    <row r="15242" hidden="1" x14ac:dyDescent="0.35"/>
    <row r="15243" hidden="1" x14ac:dyDescent="0.35"/>
    <row r="15244" hidden="1" x14ac:dyDescent="0.35"/>
    <row r="15245" hidden="1" x14ac:dyDescent="0.35"/>
    <row r="15246" hidden="1" x14ac:dyDescent="0.35"/>
    <row r="15247" hidden="1" x14ac:dyDescent="0.35"/>
    <row r="15248" hidden="1" x14ac:dyDescent="0.35"/>
    <row r="15249" hidden="1" x14ac:dyDescent="0.35"/>
    <row r="15250" hidden="1" x14ac:dyDescent="0.35"/>
    <row r="15251" hidden="1" x14ac:dyDescent="0.35"/>
    <row r="15252" hidden="1" x14ac:dyDescent="0.35"/>
    <row r="15253" hidden="1" x14ac:dyDescent="0.35"/>
    <row r="15254" hidden="1" x14ac:dyDescent="0.35"/>
    <row r="15255" hidden="1" x14ac:dyDescent="0.35"/>
    <row r="15256" hidden="1" x14ac:dyDescent="0.35"/>
    <row r="15257" hidden="1" x14ac:dyDescent="0.35"/>
    <row r="15258" hidden="1" x14ac:dyDescent="0.35"/>
    <row r="15259" hidden="1" x14ac:dyDescent="0.35"/>
    <row r="15260" hidden="1" x14ac:dyDescent="0.35"/>
    <row r="15261" hidden="1" x14ac:dyDescent="0.35"/>
    <row r="15262" hidden="1" x14ac:dyDescent="0.35"/>
    <row r="15263" hidden="1" x14ac:dyDescent="0.35"/>
    <row r="15264" hidden="1" x14ac:dyDescent="0.35"/>
    <row r="15265" hidden="1" x14ac:dyDescent="0.35"/>
    <row r="15266" hidden="1" x14ac:dyDescent="0.35"/>
    <row r="15267" hidden="1" x14ac:dyDescent="0.35"/>
    <row r="15268" hidden="1" x14ac:dyDescent="0.35"/>
    <row r="15269" hidden="1" x14ac:dyDescent="0.35"/>
    <row r="15270" hidden="1" x14ac:dyDescent="0.35"/>
    <row r="15271" hidden="1" x14ac:dyDescent="0.35"/>
    <row r="15272" hidden="1" x14ac:dyDescent="0.35"/>
    <row r="15273" hidden="1" x14ac:dyDescent="0.35"/>
    <row r="15274" hidden="1" x14ac:dyDescent="0.35"/>
    <row r="15275" hidden="1" x14ac:dyDescent="0.35"/>
    <row r="15276" hidden="1" x14ac:dyDescent="0.35"/>
    <row r="15277" hidden="1" x14ac:dyDescent="0.35"/>
    <row r="15278" hidden="1" x14ac:dyDescent="0.35"/>
    <row r="15279" hidden="1" x14ac:dyDescent="0.35"/>
    <row r="15280" hidden="1" x14ac:dyDescent="0.35"/>
    <row r="15281" hidden="1" x14ac:dyDescent="0.35"/>
    <row r="15282" hidden="1" x14ac:dyDescent="0.35"/>
    <row r="15283" hidden="1" x14ac:dyDescent="0.35"/>
    <row r="15284" hidden="1" x14ac:dyDescent="0.35"/>
    <row r="15285" hidden="1" x14ac:dyDescent="0.35"/>
    <row r="15286" hidden="1" x14ac:dyDescent="0.35"/>
    <row r="15287" hidden="1" x14ac:dyDescent="0.35"/>
    <row r="15288" hidden="1" x14ac:dyDescent="0.35"/>
    <row r="15289" hidden="1" x14ac:dyDescent="0.35"/>
    <row r="15290" hidden="1" x14ac:dyDescent="0.35"/>
    <row r="15291" hidden="1" x14ac:dyDescent="0.35"/>
    <row r="15292" hidden="1" x14ac:dyDescent="0.35"/>
    <row r="15293" hidden="1" x14ac:dyDescent="0.35"/>
    <row r="15294" hidden="1" x14ac:dyDescent="0.35"/>
    <row r="15295" hidden="1" x14ac:dyDescent="0.35"/>
    <row r="15296" hidden="1" x14ac:dyDescent="0.35"/>
    <row r="15297" hidden="1" x14ac:dyDescent="0.35"/>
    <row r="15298" hidden="1" x14ac:dyDescent="0.35"/>
    <row r="15299" hidden="1" x14ac:dyDescent="0.35"/>
    <row r="15300" hidden="1" x14ac:dyDescent="0.35"/>
    <row r="15301" hidden="1" x14ac:dyDescent="0.35"/>
    <row r="15302" hidden="1" x14ac:dyDescent="0.35"/>
    <row r="15303" hidden="1" x14ac:dyDescent="0.35"/>
    <row r="15304" hidden="1" x14ac:dyDescent="0.35"/>
    <row r="15305" hidden="1" x14ac:dyDescent="0.35"/>
    <row r="15306" hidden="1" x14ac:dyDescent="0.35"/>
    <row r="15307" hidden="1" x14ac:dyDescent="0.35"/>
    <row r="15308" hidden="1" x14ac:dyDescent="0.35"/>
    <row r="15309" hidden="1" x14ac:dyDescent="0.35"/>
    <row r="15310" hidden="1" x14ac:dyDescent="0.35"/>
    <row r="15311" hidden="1" x14ac:dyDescent="0.35"/>
    <row r="15312" hidden="1" x14ac:dyDescent="0.35"/>
    <row r="15313" hidden="1" x14ac:dyDescent="0.35"/>
    <row r="15314" hidden="1" x14ac:dyDescent="0.35"/>
    <row r="15315" hidden="1" x14ac:dyDescent="0.35"/>
    <row r="15316" hidden="1" x14ac:dyDescent="0.35"/>
    <row r="15317" hidden="1" x14ac:dyDescent="0.35"/>
    <row r="15318" hidden="1" x14ac:dyDescent="0.35"/>
    <row r="15319" hidden="1" x14ac:dyDescent="0.35"/>
    <row r="15320" hidden="1" x14ac:dyDescent="0.35"/>
    <row r="15321" hidden="1" x14ac:dyDescent="0.35"/>
    <row r="15322" hidden="1" x14ac:dyDescent="0.35"/>
    <row r="15323" hidden="1" x14ac:dyDescent="0.35"/>
    <row r="15324" hidden="1" x14ac:dyDescent="0.35"/>
    <row r="15325" hidden="1" x14ac:dyDescent="0.35"/>
    <row r="15326" hidden="1" x14ac:dyDescent="0.35"/>
    <row r="15327" hidden="1" x14ac:dyDescent="0.35"/>
    <row r="15328" hidden="1" x14ac:dyDescent="0.35"/>
    <row r="15329" hidden="1" x14ac:dyDescent="0.35"/>
    <row r="15330" hidden="1" x14ac:dyDescent="0.35"/>
    <row r="15331" hidden="1" x14ac:dyDescent="0.35"/>
    <row r="15332" hidden="1" x14ac:dyDescent="0.35"/>
    <row r="15333" hidden="1" x14ac:dyDescent="0.35"/>
    <row r="15334" hidden="1" x14ac:dyDescent="0.35"/>
    <row r="15335" hidden="1" x14ac:dyDescent="0.35"/>
    <row r="15336" hidden="1" x14ac:dyDescent="0.35"/>
    <row r="15337" hidden="1" x14ac:dyDescent="0.35"/>
    <row r="15338" hidden="1" x14ac:dyDescent="0.35"/>
    <row r="15339" hidden="1" x14ac:dyDescent="0.35"/>
    <row r="15340" hidden="1" x14ac:dyDescent="0.35"/>
    <row r="15341" hidden="1" x14ac:dyDescent="0.35"/>
    <row r="15342" hidden="1" x14ac:dyDescent="0.35"/>
    <row r="15343" hidden="1" x14ac:dyDescent="0.35"/>
    <row r="15344" hidden="1" x14ac:dyDescent="0.35"/>
    <row r="15345" hidden="1" x14ac:dyDescent="0.35"/>
    <row r="15346" hidden="1" x14ac:dyDescent="0.35"/>
    <row r="15347" hidden="1" x14ac:dyDescent="0.35"/>
    <row r="15348" hidden="1" x14ac:dyDescent="0.35"/>
    <row r="15349" hidden="1" x14ac:dyDescent="0.35"/>
    <row r="15350" hidden="1" x14ac:dyDescent="0.35"/>
    <row r="15351" hidden="1" x14ac:dyDescent="0.35"/>
    <row r="15352" hidden="1" x14ac:dyDescent="0.35"/>
    <row r="15353" hidden="1" x14ac:dyDescent="0.35"/>
    <row r="15354" hidden="1" x14ac:dyDescent="0.35"/>
    <row r="15355" hidden="1" x14ac:dyDescent="0.35"/>
    <row r="15356" hidden="1" x14ac:dyDescent="0.35"/>
    <row r="15357" hidden="1" x14ac:dyDescent="0.35"/>
    <row r="15358" hidden="1" x14ac:dyDescent="0.35"/>
    <row r="15359" hidden="1" x14ac:dyDescent="0.35"/>
    <row r="15360" hidden="1" x14ac:dyDescent="0.35"/>
    <row r="15361" hidden="1" x14ac:dyDescent="0.35"/>
    <row r="15362" hidden="1" x14ac:dyDescent="0.35"/>
    <row r="15363" hidden="1" x14ac:dyDescent="0.35"/>
    <row r="15364" hidden="1" x14ac:dyDescent="0.35"/>
    <row r="15365" hidden="1" x14ac:dyDescent="0.35"/>
    <row r="15366" hidden="1" x14ac:dyDescent="0.35"/>
    <row r="15367" hidden="1" x14ac:dyDescent="0.35"/>
    <row r="15368" hidden="1" x14ac:dyDescent="0.35"/>
    <row r="15369" hidden="1" x14ac:dyDescent="0.35"/>
    <row r="15370" hidden="1" x14ac:dyDescent="0.35"/>
    <row r="15371" hidden="1" x14ac:dyDescent="0.35"/>
    <row r="15372" hidden="1" x14ac:dyDescent="0.35"/>
    <row r="15373" hidden="1" x14ac:dyDescent="0.35"/>
    <row r="15374" hidden="1" x14ac:dyDescent="0.35"/>
    <row r="15375" hidden="1" x14ac:dyDescent="0.35"/>
    <row r="15376" hidden="1" x14ac:dyDescent="0.35"/>
    <row r="15377" hidden="1" x14ac:dyDescent="0.35"/>
    <row r="15378" hidden="1" x14ac:dyDescent="0.35"/>
    <row r="15379" hidden="1" x14ac:dyDescent="0.35"/>
    <row r="15380" hidden="1" x14ac:dyDescent="0.35"/>
    <row r="15381" hidden="1" x14ac:dyDescent="0.35"/>
    <row r="15382" hidden="1" x14ac:dyDescent="0.35"/>
    <row r="15383" hidden="1" x14ac:dyDescent="0.35"/>
    <row r="15384" hidden="1" x14ac:dyDescent="0.35"/>
    <row r="15385" hidden="1" x14ac:dyDescent="0.35"/>
    <row r="15386" hidden="1" x14ac:dyDescent="0.35"/>
    <row r="15387" hidden="1" x14ac:dyDescent="0.35"/>
    <row r="15388" hidden="1" x14ac:dyDescent="0.35"/>
    <row r="15389" hidden="1" x14ac:dyDescent="0.35"/>
    <row r="15390" hidden="1" x14ac:dyDescent="0.35"/>
    <row r="15391" hidden="1" x14ac:dyDescent="0.35"/>
    <row r="15392" hidden="1" x14ac:dyDescent="0.35"/>
    <row r="15393" hidden="1" x14ac:dyDescent="0.35"/>
    <row r="15394" hidden="1" x14ac:dyDescent="0.35"/>
    <row r="15395" hidden="1" x14ac:dyDescent="0.35"/>
    <row r="15396" hidden="1" x14ac:dyDescent="0.35"/>
    <row r="15397" hidden="1" x14ac:dyDescent="0.35"/>
    <row r="15398" hidden="1" x14ac:dyDescent="0.35"/>
    <row r="15399" hidden="1" x14ac:dyDescent="0.35"/>
    <row r="15400" hidden="1" x14ac:dyDescent="0.35"/>
    <row r="15401" hidden="1" x14ac:dyDescent="0.35"/>
    <row r="15402" hidden="1" x14ac:dyDescent="0.35"/>
    <row r="15403" hidden="1" x14ac:dyDescent="0.35"/>
    <row r="15404" hidden="1" x14ac:dyDescent="0.35"/>
    <row r="15405" hidden="1" x14ac:dyDescent="0.35"/>
    <row r="15406" hidden="1" x14ac:dyDescent="0.35"/>
    <row r="15407" hidden="1" x14ac:dyDescent="0.35"/>
    <row r="15408" hidden="1" x14ac:dyDescent="0.35"/>
    <row r="15409" hidden="1" x14ac:dyDescent="0.35"/>
    <row r="15410" hidden="1" x14ac:dyDescent="0.35"/>
    <row r="15411" hidden="1" x14ac:dyDescent="0.35"/>
    <row r="15412" hidden="1" x14ac:dyDescent="0.35"/>
    <row r="15413" hidden="1" x14ac:dyDescent="0.35"/>
    <row r="15414" hidden="1" x14ac:dyDescent="0.35"/>
    <row r="15415" hidden="1" x14ac:dyDescent="0.35"/>
    <row r="15416" hidden="1" x14ac:dyDescent="0.35"/>
    <row r="15417" hidden="1" x14ac:dyDescent="0.35"/>
    <row r="15418" hidden="1" x14ac:dyDescent="0.35"/>
    <row r="15419" hidden="1" x14ac:dyDescent="0.35"/>
    <row r="15420" hidden="1" x14ac:dyDescent="0.35"/>
    <row r="15421" hidden="1" x14ac:dyDescent="0.35"/>
    <row r="15422" hidden="1" x14ac:dyDescent="0.35"/>
    <row r="15423" hidden="1" x14ac:dyDescent="0.35"/>
    <row r="15424" hidden="1" x14ac:dyDescent="0.35"/>
    <row r="15425" hidden="1" x14ac:dyDescent="0.35"/>
    <row r="15426" hidden="1" x14ac:dyDescent="0.35"/>
    <row r="15427" hidden="1" x14ac:dyDescent="0.35"/>
    <row r="15428" hidden="1" x14ac:dyDescent="0.35"/>
    <row r="15429" hidden="1" x14ac:dyDescent="0.35"/>
    <row r="15430" hidden="1" x14ac:dyDescent="0.35"/>
    <row r="15431" hidden="1" x14ac:dyDescent="0.35"/>
    <row r="15432" hidden="1" x14ac:dyDescent="0.35"/>
    <row r="15433" hidden="1" x14ac:dyDescent="0.35"/>
    <row r="15434" hidden="1" x14ac:dyDescent="0.35"/>
    <row r="15435" hidden="1" x14ac:dyDescent="0.35"/>
    <row r="15436" hidden="1" x14ac:dyDescent="0.35"/>
    <row r="15437" hidden="1" x14ac:dyDescent="0.35"/>
    <row r="15438" hidden="1" x14ac:dyDescent="0.35"/>
    <row r="15439" hidden="1" x14ac:dyDescent="0.35"/>
    <row r="15440" hidden="1" x14ac:dyDescent="0.35"/>
    <row r="15441" hidden="1" x14ac:dyDescent="0.35"/>
    <row r="15442" hidden="1" x14ac:dyDescent="0.35"/>
    <row r="15443" hidden="1" x14ac:dyDescent="0.35"/>
    <row r="15444" hidden="1" x14ac:dyDescent="0.35"/>
    <row r="15445" hidden="1" x14ac:dyDescent="0.35"/>
    <row r="15446" hidden="1" x14ac:dyDescent="0.35"/>
    <row r="15447" hidden="1" x14ac:dyDescent="0.35"/>
    <row r="15448" hidden="1" x14ac:dyDescent="0.35"/>
    <row r="15449" hidden="1" x14ac:dyDescent="0.35"/>
    <row r="15450" hidden="1" x14ac:dyDescent="0.35"/>
    <row r="15451" hidden="1" x14ac:dyDescent="0.35"/>
    <row r="15452" hidden="1" x14ac:dyDescent="0.35"/>
    <row r="15453" hidden="1" x14ac:dyDescent="0.35"/>
    <row r="15454" hidden="1" x14ac:dyDescent="0.35"/>
    <row r="15455" hidden="1" x14ac:dyDescent="0.35"/>
    <row r="15456" hidden="1" x14ac:dyDescent="0.35"/>
    <row r="15457" hidden="1" x14ac:dyDescent="0.35"/>
    <row r="15458" hidden="1" x14ac:dyDescent="0.35"/>
    <row r="15459" hidden="1" x14ac:dyDescent="0.35"/>
    <row r="15460" hidden="1" x14ac:dyDescent="0.35"/>
    <row r="15461" hidden="1" x14ac:dyDescent="0.35"/>
    <row r="15462" hidden="1" x14ac:dyDescent="0.35"/>
    <row r="15463" hidden="1" x14ac:dyDescent="0.35"/>
    <row r="15464" hidden="1" x14ac:dyDescent="0.35"/>
    <row r="15465" hidden="1" x14ac:dyDescent="0.35"/>
    <row r="15466" hidden="1" x14ac:dyDescent="0.35"/>
    <row r="15467" hidden="1" x14ac:dyDescent="0.35"/>
    <row r="15468" hidden="1" x14ac:dyDescent="0.35"/>
    <row r="15469" hidden="1" x14ac:dyDescent="0.35"/>
    <row r="15470" hidden="1" x14ac:dyDescent="0.35"/>
    <row r="15471" hidden="1" x14ac:dyDescent="0.35"/>
    <row r="15472" hidden="1" x14ac:dyDescent="0.35"/>
    <row r="15473" hidden="1" x14ac:dyDescent="0.35"/>
    <row r="15474" hidden="1" x14ac:dyDescent="0.35"/>
    <row r="15475" hidden="1" x14ac:dyDescent="0.35"/>
    <row r="15476" hidden="1" x14ac:dyDescent="0.35"/>
    <row r="15477" hidden="1" x14ac:dyDescent="0.35"/>
    <row r="15478" hidden="1" x14ac:dyDescent="0.35"/>
    <row r="15479" hidden="1" x14ac:dyDescent="0.35"/>
    <row r="15480" hidden="1" x14ac:dyDescent="0.35"/>
    <row r="15481" hidden="1" x14ac:dyDescent="0.35"/>
    <row r="15482" hidden="1" x14ac:dyDescent="0.35"/>
    <row r="15483" hidden="1" x14ac:dyDescent="0.35"/>
    <row r="15484" hidden="1" x14ac:dyDescent="0.35"/>
    <row r="15485" hidden="1" x14ac:dyDescent="0.35"/>
    <row r="15486" hidden="1" x14ac:dyDescent="0.35"/>
    <row r="15487" hidden="1" x14ac:dyDescent="0.35"/>
    <row r="15488" hidden="1" x14ac:dyDescent="0.35"/>
    <row r="15489" hidden="1" x14ac:dyDescent="0.35"/>
    <row r="15490" hidden="1" x14ac:dyDescent="0.35"/>
    <row r="15491" hidden="1" x14ac:dyDescent="0.35"/>
    <row r="15492" hidden="1" x14ac:dyDescent="0.35"/>
    <row r="15493" hidden="1" x14ac:dyDescent="0.35"/>
    <row r="15494" hidden="1" x14ac:dyDescent="0.35"/>
    <row r="15495" hidden="1" x14ac:dyDescent="0.35"/>
    <row r="15496" hidden="1" x14ac:dyDescent="0.35"/>
    <row r="15497" hidden="1" x14ac:dyDescent="0.35"/>
    <row r="15498" hidden="1" x14ac:dyDescent="0.35"/>
    <row r="15499" hidden="1" x14ac:dyDescent="0.35"/>
    <row r="15500" hidden="1" x14ac:dyDescent="0.35"/>
    <row r="15501" hidden="1" x14ac:dyDescent="0.35"/>
    <row r="15502" hidden="1" x14ac:dyDescent="0.35"/>
    <row r="15503" hidden="1" x14ac:dyDescent="0.35"/>
    <row r="15504" hidden="1" x14ac:dyDescent="0.35"/>
    <row r="15505" hidden="1" x14ac:dyDescent="0.35"/>
    <row r="15506" hidden="1" x14ac:dyDescent="0.35"/>
    <row r="15507" hidden="1" x14ac:dyDescent="0.35"/>
    <row r="15508" hidden="1" x14ac:dyDescent="0.35"/>
    <row r="15509" hidden="1" x14ac:dyDescent="0.35"/>
    <row r="15510" hidden="1" x14ac:dyDescent="0.35"/>
    <row r="15511" hidden="1" x14ac:dyDescent="0.35"/>
    <row r="15512" hidden="1" x14ac:dyDescent="0.35"/>
    <row r="15513" hidden="1" x14ac:dyDescent="0.35"/>
    <row r="15514" hidden="1" x14ac:dyDescent="0.35"/>
    <row r="15515" hidden="1" x14ac:dyDescent="0.35"/>
    <row r="15516" hidden="1" x14ac:dyDescent="0.35"/>
    <row r="15517" hidden="1" x14ac:dyDescent="0.35"/>
    <row r="15518" hidden="1" x14ac:dyDescent="0.35"/>
    <row r="15519" hidden="1" x14ac:dyDescent="0.35"/>
    <row r="15520" hidden="1" x14ac:dyDescent="0.35"/>
    <row r="15521" hidden="1" x14ac:dyDescent="0.35"/>
    <row r="15522" hidden="1" x14ac:dyDescent="0.35"/>
    <row r="15523" hidden="1" x14ac:dyDescent="0.35"/>
    <row r="15524" hidden="1" x14ac:dyDescent="0.35"/>
    <row r="15525" hidden="1" x14ac:dyDescent="0.35"/>
    <row r="15526" hidden="1" x14ac:dyDescent="0.35"/>
    <row r="15527" hidden="1" x14ac:dyDescent="0.35"/>
    <row r="15528" hidden="1" x14ac:dyDescent="0.35"/>
    <row r="15529" hidden="1" x14ac:dyDescent="0.35"/>
    <row r="15530" hidden="1" x14ac:dyDescent="0.35"/>
    <row r="15531" hidden="1" x14ac:dyDescent="0.35"/>
    <row r="15532" hidden="1" x14ac:dyDescent="0.35"/>
    <row r="15533" hidden="1" x14ac:dyDescent="0.35"/>
    <row r="15534" hidden="1" x14ac:dyDescent="0.35"/>
    <row r="15535" hidden="1" x14ac:dyDescent="0.35"/>
    <row r="15536" hidden="1" x14ac:dyDescent="0.35"/>
    <row r="15537" hidden="1" x14ac:dyDescent="0.35"/>
    <row r="15538" hidden="1" x14ac:dyDescent="0.35"/>
    <row r="15539" hidden="1" x14ac:dyDescent="0.35"/>
    <row r="15540" hidden="1" x14ac:dyDescent="0.35"/>
    <row r="15541" hidden="1" x14ac:dyDescent="0.35"/>
    <row r="15542" hidden="1" x14ac:dyDescent="0.35"/>
    <row r="15543" hidden="1" x14ac:dyDescent="0.35"/>
    <row r="15544" hidden="1" x14ac:dyDescent="0.35"/>
    <row r="15545" hidden="1" x14ac:dyDescent="0.35"/>
    <row r="15546" hidden="1" x14ac:dyDescent="0.35"/>
    <row r="15547" hidden="1" x14ac:dyDescent="0.35"/>
    <row r="15548" hidden="1" x14ac:dyDescent="0.35"/>
    <row r="15549" hidden="1" x14ac:dyDescent="0.35"/>
    <row r="15550" hidden="1" x14ac:dyDescent="0.35"/>
    <row r="15551" hidden="1" x14ac:dyDescent="0.35"/>
    <row r="15552" hidden="1" x14ac:dyDescent="0.35"/>
    <row r="15553" hidden="1" x14ac:dyDescent="0.35"/>
    <row r="15554" hidden="1" x14ac:dyDescent="0.35"/>
    <row r="15555" hidden="1" x14ac:dyDescent="0.35"/>
    <row r="15556" hidden="1" x14ac:dyDescent="0.35"/>
    <row r="15557" hidden="1" x14ac:dyDescent="0.35"/>
    <row r="15558" hidden="1" x14ac:dyDescent="0.35"/>
    <row r="15559" hidden="1" x14ac:dyDescent="0.35"/>
    <row r="15560" hidden="1" x14ac:dyDescent="0.35"/>
    <row r="15561" hidden="1" x14ac:dyDescent="0.35"/>
    <row r="15562" hidden="1" x14ac:dyDescent="0.35"/>
    <row r="15563" hidden="1" x14ac:dyDescent="0.35"/>
    <row r="15564" hidden="1" x14ac:dyDescent="0.35"/>
    <row r="15565" hidden="1" x14ac:dyDescent="0.35"/>
    <row r="15566" hidden="1" x14ac:dyDescent="0.35"/>
    <row r="15567" hidden="1" x14ac:dyDescent="0.35"/>
    <row r="15568" hidden="1" x14ac:dyDescent="0.35"/>
    <row r="15569" hidden="1" x14ac:dyDescent="0.35"/>
    <row r="15570" hidden="1" x14ac:dyDescent="0.35"/>
    <row r="15571" hidden="1" x14ac:dyDescent="0.35"/>
    <row r="15572" hidden="1" x14ac:dyDescent="0.35"/>
    <row r="15573" hidden="1" x14ac:dyDescent="0.35"/>
    <row r="15574" hidden="1" x14ac:dyDescent="0.35"/>
    <row r="15575" hidden="1" x14ac:dyDescent="0.35"/>
    <row r="15576" hidden="1" x14ac:dyDescent="0.35"/>
    <row r="15577" hidden="1" x14ac:dyDescent="0.35"/>
    <row r="15578" hidden="1" x14ac:dyDescent="0.35"/>
    <row r="15579" hidden="1" x14ac:dyDescent="0.35"/>
    <row r="15580" hidden="1" x14ac:dyDescent="0.35"/>
    <row r="15581" hidden="1" x14ac:dyDescent="0.35"/>
    <row r="15582" hidden="1" x14ac:dyDescent="0.35"/>
    <row r="15583" hidden="1" x14ac:dyDescent="0.35"/>
    <row r="15584" hidden="1" x14ac:dyDescent="0.35"/>
    <row r="15585" hidden="1" x14ac:dyDescent="0.35"/>
    <row r="15586" hidden="1" x14ac:dyDescent="0.35"/>
    <row r="15587" hidden="1" x14ac:dyDescent="0.35"/>
    <row r="15588" hidden="1" x14ac:dyDescent="0.35"/>
    <row r="15589" hidden="1" x14ac:dyDescent="0.35"/>
    <row r="15590" hidden="1" x14ac:dyDescent="0.35"/>
    <row r="15591" hidden="1" x14ac:dyDescent="0.35"/>
    <row r="15592" hidden="1" x14ac:dyDescent="0.35"/>
    <row r="15593" hidden="1" x14ac:dyDescent="0.35"/>
    <row r="15594" hidden="1" x14ac:dyDescent="0.35"/>
    <row r="15595" hidden="1" x14ac:dyDescent="0.35"/>
    <row r="15596" hidden="1" x14ac:dyDescent="0.35"/>
    <row r="15597" hidden="1" x14ac:dyDescent="0.35"/>
    <row r="15598" hidden="1" x14ac:dyDescent="0.35"/>
    <row r="15599" hidden="1" x14ac:dyDescent="0.35"/>
    <row r="15600" hidden="1" x14ac:dyDescent="0.35"/>
    <row r="15601" hidden="1" x14ac:dyDescent="0.35"/>
    <row r="15602" hidden="1" x14ac:dyDescent="0.35"/>
    <row r="15603" hidden="1" x14ac:dyDescent="0.35"/>
    <row r="15604" hidden="1" x14ac:dyDescent="0.35"/>
    <row r="15605" hidden="1" x14ac:dyDescent="0.35"/>
    <row r="15606" hidden="1" x14ac:dyDescent="0.35"/>
    <row r="15607" hidden="1" x14ac:dyDescent="0.35"/>
    <row r="15608" hidden="1" x14ac:dyDescent="0.35"/>
    <row r="15609" hidden="1" x14ac:dyDescent="0.35"/>
    <row r="15610" hidden="1" x14ac:dyDescent="0.35"/>
    <row r="15611" hidden="1" x14ac:dyDescent="0.35"/>
    <row r="15612" hidden="1" x14ac:dyDescent="0.35"/>
    <row r="15613" hidden="1" x14ac:dyDescent="0.35"/>
    <row r="15614" hidden="1" x14ac:dyDescent="0.35"/>
    <row r="15615" hidden="1" x14ac:dyDescent="0.35"/>
    <row r="15616" hidden="1" x14ac:dyDescent="0.35"/>
    <row r="15617" hidden="1" x14ac:dyDescent="0.35"/>
    <row r="15618" hidden="1" x14ac:dyDescent="0.35"/>
    <row r="15619" hidden="1" x14ac:dyDescent="0.35"/>
    <row r="15620" hidden="1" x14ac:dyDescent="0.35"/>
    <row r="15621" hidden="1" x14ac:dyDescent="0.35"/>
    <row r="15622" hidden="1" x14ac:dyDescent="0.35"/>
    <row r="15623" hidden="1" x14ac:dyDescent="0.35"/>
    <row r="15624" hidden="1" x14ac:dyDescent="0.35"/>
    <row r="15625" hidden="1" x14ac:dyDescent="0.35"/>
    <row r="15626" hidden="1" x14ac:dyDescent="0.35"/>
    <row r="15627" hidden="1" x14ac:dyDescent="0.35"/>
    <row r="15628" hidden="1" x14ac:dyDescent="0.35"/>
    <row r="15629" hidden="1" x14ac:dyDescent="0.35"/>
    <row r="15630" hidden="1" x14ac:dyDescent="0.35"/>
    <row r="15631" hidden="1" x14ac:dyDescent="0.35"/>
    <row r="15632" hidden="1" x14ac:dyDescent="0.35"/>
    <row r="15633" hidden="1" x14ac:dyDescent="0.35"/>
    <row r="15634" hidden="1" x14ac:dyDescent="0.35"/>
    <row r="15635" hidden="1" x14ac:dyDescent="0.35"/>
    <row r="15636" hidden="1" x14ac:dyDescent="0.35"/>
    <row r="15637" hidden="1" x14ac:dyDescent="0.35"/>
    <row r="15638" hidden="1" x14ac:dyDescent="0.35"/>
    <row r="15639" hidden="1" x14ac:dyDescent="0.35"/>
    <row r="15640" hidden="1" x14ac:dyDescent="0.35"/>
    <row r="15641" hidden="1" x14ac:dyDescent="0.35"/>
    <row r="15642" hidden="1" x14ac:dyDescent="0.35"/>
    <row r="15643" hidden="1" x14ac:dyDescent="0.35"/>
    <row r="15644" hidden="1" x14ac:dyDescent="0.35"/>
    <row r="15645" hidden="1" x14ac:dyDescent="0.35"/>
    <row r="15646" hidden="1" x14ac:dyDescent="0.35"/>
    <row r="15647" hidden="1" x14ac:dyDescent="0.35"/>
    <row r="15648" hidden="1" x14ac:dyDescent="0.35"/>
    <row r="15649" hidden="1" x14ac:dyDescent="0.35"/>
    <row r="15650" hidden="1" x14ac:dyDescent="0.35"/>
    <row r="15651" hidden="1" x14ac:dyDescent="0.35"/>
    <row r="15652" hidden="1" x14ac:dyDescent="0.35"/>
    <row r="15653" hidden="1" x14ac:dyDescent="0.35"/>
    <row r="15654" hidden="1" x14ac:dyDescent="0.35"/>
    <row r="15655" hidden="1" x14ac:dyDescent="0.35"/>
    <row r="15656" hidden="1" x14ac:dyDescent="0.35"/>
    <row r="15657" hidden="1" x14ac:dyDescent="0.35"/>
    <row r="15658" hidden="1" x14ac:dyDescent="0.35"/>
    <row r="15659" hidden="1" x14ac:dyDescent="0.35"/>
    <row r="15660" hidden="1" x14ac:dyDescent="0.35"/>
    <row r="15661" hidden="1" x14ac:dyDescent="0.35"/>
    <row r="15662" hidden="1" x14ac:dyDescent="0.35"/>
    <row r="15663" hidden="1" x14ac:dyDescent="0.35"/>
    <row r="15664" hidden="1" x14ac:dyDescent="0.35"/>
    <row r="15665" hidden="1" x14ac:dyDescent="0.35"/>
    <row r="15666" hidden="1" x14ac:dyDescent="0.35"/>
    <row r="15667" hidden="1" x14ac:dyDescent="0.35"/>
    <row r="15668" hidden="1" x14ac:dyDescent="0.35"/>
    <row r="15669" hidden="1" x14ac:dyDescent="0.35"/>
    <row r="15670" hidden="1" x14ac:dyDescent="0.35"/>
    <row r="15671" hidden="1" x14ac:dyDescent="0.35"/>
    <row r="15672" hidden="1" x14ac:dyDescent="0.35"/>
    <row r="15673" hidden="1" x14ac:dyDescent="0.35"/>
    <row r="15674" hidden="1" x14ac:dyDescent="0.35"/>
    <row r="15675" hidden="1" x14ac:dyDescent="0.35"/>
    <row r="15676" hidden="1" x14ac:dyDescent="0.35"/>
    <row r="15677" hidden="1" x14ac:dyDescent="0.35"/>
    <row r="15678" hidden="1" x14ac:dyDescent="0.35"/>
    <row r="15679" hidden="1" x14ac:dyDescent="0.35"/>
    <row r="15680" hidden="1" x14ac:dyDescent="0.35"/>
    <row r="15681" hidden="1" x14ac:dyDescent="0.35"/>
    <row r="15682" hidden="1" x14ac:dyDescent="0.35"/>
    <row r="15683" hidden="1" x14ac:dyDescent="0.35"/>
    <row r="15684" hidden="1" x14ac:dyDescent="0.35"/>
    <row r="15685" hidden="1" x14ac:dyDescent="0.35"/>
    <row r="15686" hidden="1" x14ac:dyDescent="0.35"/>
    <row r="15687" hidden="1" x14ac:dyDescent="0.35"/>
    <row r="15688" hidden="1" x14ac:dyDescent="0.35"/>
    <row r="15689" hidden="1" x14ac:dyDescent="0.35"/>
    <row r="15690" hidden="1" x14ac:dyDescent="0.35"/>
    <row r="15691" hidden="1" x14ac:dyDescent="0.35"/>
    <row r="15692" hidden="1" x14ac:dyDescent="0.35"/>
    <row r="15693" hidden="1" x14ac:dyDescent="0.35"/>
    <row r="15694" hidden="1" x14ac:dyDescent="0.35"/>
    <row r="15695" hidden="1" x14ac:dyDescent="0.35"/>
    <row r="15696" hidden="1" x14ac:dyDescent="0.35"/>
    <row r="15697" hidden="1" x14ac:dyDescent="0.35"/>
    <row r="15698" hidden="1" x14ac:dyDescent="0.35"/>
    <row r="15699" hidden="1" x14ac:dyDescent="0.35"/>
    <row r="15700" hidden="1" x14ac:dyDescent="0.35"/>
    <row r="15701" hidden="1" x14ac:dyDescent="0.35"/>
    <row r="15702" hidden="1" x14ac:dyDescent="0.35"/>
    <row r="15703" hidden="1" x14ac:dyDescent="0.35"/>
    <row r="15704" hidden="1" x14ac:dyDescent="0.35"/>
    <row r="15705" hidden="1" x14ac:dyDescent="0.35"/>
    <row r="15706" hidden="1" x14ac:dyDescent="0.35"/>
    <row r="15707" hidden="1" x14ac:dyDescent="0.35"/>
    <row r="15708" hidden="1" x14ac:dyDescent="0.35"/>
    <row r="15709" hidden="1" x14ac:dyDescent="0.35"/>
    <row r="15710" hidden="1" x14ac:dyDescent="0.35"/>
    <row r="15711" hidden="1" x14ac:dyDescent="0.35"/>
    <row r="15712" hidden="1" x14ac:dyDescent="0.35"/>
    <row r="15713" hidden="1" x14ac:dyDescent="0.35"/>
    <row r="15714" hidden="1" x14ac:dyDescent="0.35"/>
    <row r="15715" hidden="1" x14ac:dyDescent="0.35"/>
    <row r="15716" hidden="1" x14ac:dyDescent="0.35"/>
    <row r="15717" hidden="1" x14ac:dyDescent="0.35"/>
    <row r="15718" hidden="1" x14ac:dyDescent="0.35"/>
    <row r="15719" hidden="1" x14ac:dyDescent="0.35"/>
    <row r="15720" hidden="1" x14ac:dyDescent="0.35"/>
    <row r="15721" hidden="1" x14ac:dyDescent="0.35"/>
    <row r="15722" hidden="1" x14ac:dyDescent="0.35"/>
    <row r="15723" hidden="1" x14ac:dyDescent="0.35"/>
    <row r="15724" hidden="1" x14ac:dyDescent="0.35"/>
    <row r="15725" hidden="1" x14ac:dyDescent="0.35"/>
    <row r="15726" hidden="1" x14ac:dyDescent="0.35"/>
    <row r="15727" hidden="1" x14ac:dyDescent="0.35"/>
    <row r="15728" hidden="1" x14ac:dyDescent="0.35"/>
    <row r="15729" hidden="1" x14ac:dyDescent="0.35"/>
    <row r="15730" hidden="1" x14ac:dyDescent="0.35"/>
    <row r="15731" hidden="1" x14ac:dyDescent="0.35"/>
    <row r="15732" hidden="1" x14ac:dyDescent="0.35"/>
    <row r="15733" hidden="1" x14ac:dyDescent="0.35"/>
    <row r="15734" hidden="1" x14ac:dyDescent="0.35"/>
    <row r="15735" hidden="1" x14ac:dyDescent="0.35"/>
    <row r="15736" hidden="1" x14ac:dyDescent="0.35"/>
    <row r="15737" hidden="1" x14ac:dyDescent="0.35"/>
    <row r="15738" hidden="1" x14ac:dyDescent="0.35"/>
    <row r="15739" hidden="1" x14ac:dyDescent="0.35"/>
    <row r="15740" hidden="1" x14ac:dyDescent="0.35"/>
    <row r="15741" hidden="1" x14ac:dyDescent="0.35"/>
    <row r="15742" hidden="1" x14ac:dyDescent="0.35"/>
    <row r="15743" hidden="1" x14ac:dyDescent="0.35"/>
    <row r="15744" hidden="1" x14ac:dyDescent="0.35"/>
    <row r="15745" hidden="1" x14ac:dyDescent="0.35"/>
    <row r="15746" hidden="1" x14ac:dyDescent="0.35"/>
    <row r="15747" hidden="1" x14ac:dyDescent="0.35"/>
    <row r="15748" hidden="1" x14ac:dyDescent="0.35"/>
    <row r="15749" hidden="1" x14ac:dyDescent="0.35"/>
    <row r="15750" hidden="1" x14ac:dyDescent="0.35"/>
    <row r="15751" hidden="1" x14ac:dyDescent="0.35"/>
    <row r="15752" hidden="1" x14ac:dyDescent="0.35"/>
    <row r="15753" hidden="1" x14ac:dyDescent="0.35"/>
    <row r="15754" hidden="1" x14ac:dyDescent="0.35"/>
    <row r="15755" hidden="1" x14ac:dyDescent="0.35"/>
    <row r="15756" hidden="1" x14ac:dyDescent="0.35"/>
    <row r="15757" hidden="1" x14ac:dyDescent="0.35"/>
    <row r="15758" hidden="1" x14ac:dyDescent="0.35"/>
    <row r="15759" hidden="1" x14ac:dyDescent="0.35"/>
    <row r="15760" hidden="1" x14ac:dyDescent="0.35"/>
    <row r="15761" hidden="1" x14ac:dyDescent="0.35"/>
    <row r="15762" hidden="1" x14ac:dyDescent="0.35"/>
    <row r="15763" hidden="1" x14ac:dyDescent="0.35"/>
    <row r="15764" hidden="1" x14ac:dyDescent="0.35"/>
    <row r="15765" hidden="1" x14ac:dyDescent="0.35"/>
    <row r="15766" hidden="1" x14ac:dyDescent="0.35"/>
    <row r="15767" hidden="1" x14ac:dyDescent="0.35"/>
    <row r="15768" hidden="1" x14ac:dyDescent="0.35"/>
    <row r="15769" hidden="1" x14ac:dyDescent="0.35"/>
    <row r="15770" hidden="1" x14ac:dyDescent="0.35"/>
    <row r="15771" hidden="1" x14ac:dyDescent="0.35"/>
    <row r="15772" hidden="1" x14ac:dyDescent="0.35"/>
    <row r="15773" hidden="1" x14ac:dyDescent="0.35"/>
    <row r="15774" hidden="1" x14ac:dyDescent="0.35"/>
    <row r="15775" hidden="1" x14ac:dyDescent="0.35"/>
    <row r="15776" hidden="1" x14ac:dyDescent="0.35"/>
    <row r="15777" hidden="1" x14ac:dyDescent="0.35"/>
    <row r="15778" hidden="1" x14ac:dyDescent="0.35"/>
    <row r="15779" hidden="1" x14ac:dyDescent="0.35"/>
    <row r="15780" hidden="1" x14ac:dyDescent="0.35"/>
    <row r="15781" hidden="1" x14ac:dyDescent="0.35"/>
    <row r="15782" hidden="1" x14ac:dyDescent="0.35"/>
    <row r="15783" hidden="1" x14ac:dyDescent="0.35"/>
    <row r="15784" hidden="1" x14ac:dyDescent="0.35"/>
    <row r="15785" hidden="1" x14ac:dyDescent="0.35"/>
    <row r="15786" hidden="1" x14ac:dyDescent="0.35"/>
    <row r="15787" hidden="1" x14ac:dyDescent="0.35"/>
    <row r="15788" hidden="1" x14ac:dyDescent="0.35"/>
    <row r="15789" hidden="1" x14ac:dyDescent="0.35"/>
    <row r="15790" hidden="1" x14ac:dyDescent="0.35"/>
    <row r="15791" hidden="1" x14ac:dyDescent="0.35"/>
    <row r="15792" hidden="1" x14ac:dyDescent="0.35"/>
    <row r="15793" hidden="1" x14ac:dyDescent="0.35"/>
    <row r="15794" hidden="1" x14ac:dyDescent="0.35"/>
    <row r="15795" hidden="1" x14ac:dyDescent="0.35"/>
    <row r="15796" hidden="1" x14ac:dyDescent="0.35"/>
    <row r="15797" hidden="1" x14ac:dyDescent="0.35"/>
    <row r="15798" hidden="1" x14ac:dyDescent="0.35"/>
    <row r="15799" hidden="1" x14ac:dyDescent="0.35"/>
    <row r="15800" hidden="1" x14ac:dyDescent="0.35"/>
    <row r="15801" hidden="1" x14ac:dyDescent="0.35"/>
    <row r="15802" hidden="1" x14ac:dyDescent="0.35"/>
    <row r="15803" hidden="1" x14ac:dyDescent="0.35"/>
    <row r="15804" hidden="1" x14ac:dyDescent="0.35"/>
    <row r="15805" hidden="1" x14ac:dyDescent="0.35"/>
    <row r="15806" hidden="1" x14ac:dyDescent="0.35"/>
    <row r="15807" hidden="1" x14ac:dyDescent="0.35"/>
    <row r="15808" hidden="1" x14ac:dyDescent="0.35"/>
    <row r="15809" hidden="1" x14ac:dyDescent="0.35"/>
    <row r="15810" hidden="1" x14ac:dyDescent="0.35"/>
    <row r="15811" hidden="1" x14ac:dyDescent="0.35"/>
    <row r="15812" hidden="1" x14ac:dyDescent="0.35"/>
    <row r="15813" hidden="1" x14ac:dyDescent="0.35"/>
    <row r="15814" hidden="1" x14ac:dyDescent="0.35"/>
    <row r="15815" hidden="1" x14ac:dyDescent="0.35"/>
    <row r="15816" hidden="1" x14ac:dyDescent="0.35"/>
    <row r="15817" hidden="1" x14ac:dyDescent="0.35"/>
    <row r="15818" hidden="1" x14ac:dyDescent="0.35"/>
    <row r="15819" hidden="1" x14ac:dyDescent="0.35"/>
    <row r="15820" hidden="1" x14ac:dyDescent="0.35"/>
    <row r="15821" hidden="1" x14ac:dyDescent="0.35"/>
    <row r="15822" hidden="1" x14ac:dyDescent="0.35"/>
    <row r="15823" hidden="1" x14ac:dyDescent="0.35"/>
    <row r="15824" hidden="1" x14ac:dyDescent="0.35"/>
    <row r="15825" hidden="1" x14ac:dyDescent="0.35"/>
    <row r="15826" hidden="1" x14ac:dyDescent="0.35"/>
    <row r="15827" hidden="1" x14ac:dyDescent="0.35"/>
    <row r="15828" hidden="1" x14ac:dyDescent="0.35"/>
    <row r="15829" hidden="1" x14ac:dyDescent="0.35"/>
    <row r="15830" hidden="1" x14ac:dyDescent="0.35"/>
    <row r="15831" hidden="1" x14ac:dyDescent="0.35"/>
    <row r="15832" hidden="1" x14ac:dyDescent="0.35"/>
    <row r="15833" hidden="1" x14ac:dyDescent="0.35"/>
    <row r="15834" hidden="1" x14ac:dyDescent="0.35"/>
    <row r="15835" hidden="1" x14ac:dyDescent="0.35"/>
    <row r="15836" hidden="1" x14ac:dyDescent="0.35"/>
    <row r="15837" hidden="1" x14ac:dyDescent="0.35"/>
    <row r="15838" hidden="1" x14ac:dyDescent="0.35"/>
    <row r="15839" hidden="1" x14ac:dyDescent="0.35"/>
    <row r="15840" hidden="1" x14ac:dyDescent="0.35"/>
    <row r="15841" hidden="1" x14ac:dyDescent="0.35"/>
    <row r="15842" hidden="1" x14ac:dyDescent="0.35"/>
    <row r="15843" hidden="1" x14ac:dyDescent="0.35"/>
    <row r="15844" hidden="1" x14ac:dyDescent="0.35"/>
    <row r="15845" hidden="1" x14ac:dyDescent="0.35"/>
    <row r="15846" hidden="1" x14ac:dyDescent="0.35"/>
    <row r="15847" hidden="1" x14ac:dyDescent="0.35"/>
    <row r="15848" hidden="1" x14ac:dyDescent="0.35"/>
    <row r="15849" hidden="1" x14ac:dyDescent="0.35"/>
    <row r="15850" hidden="1" x14ac:dyDescent="0.35"/>
    <row r="15851" hidden="1" x14ac:dyDescent="0.35"/>
    <row r="15852" hidden="1" x14ac:dyDescent="0.35"/>
    <row r="15853" hidden="1" x14ac:dyDescent="0.35"/>
    <row r="15854" hidden="1" x14ac:dyDescent="0.35"/>
    <row r="15855" hidden="1" x14ac:dyDescent="0.35"/>
    <row r="15856" hidden="1" x14ac:dyDescent="0.35"/>
    <row r="15857" hidden="1" x14ac:dyDescent="0.35"/>
    <row r="15858" hidden="1" x14ac:dyDescent="0.35"/>
    <row r="15859" hidden="1" x14ac:dyDescent="0.35"/>
    <row r="15860" hidden="1" x14ac:dyDescent="0.35"/>
    <row r="15861" hidden="1" x14ac:dyDescent="0.35"/>
    <row r="15862" hidden="1" x14ac:dyDescent="0.35"/>
    <row r="15863" hidden="1" x14ac:dyDescent="0.35"/>
    <row r="15864" hidden="1" x14ac:dyDescent="0.35"/>
    <row r="15865" hidden="1" x14ac:dyDescent="0.35"/>
    <row r="15866" hidden="1" x14ac:dyDescent="0.35"/>
    <row r="15867" hidden="1" x14ac:dyDescent="0.35"/>
    <row r="15868" hidden="1" x14ac:dyDescent="0.35"/>
    <row r="15869" hidden="1" x14ac:dyDescent="0.35"/>
    <row r="15870" hidden="1" x14ac:dyDescent="0.35"/>
    <row r="15871" hidden="1" x14ac:dyDescent="0.35"/>
    <row r="15872" hidden="1" x14ac:dyDescent="0.35"/>
    <row r="15873" hidden="1" x14ac:dyDescent="0.35"/>
    <row r="15874" hidden="1" x14ac:dyDescent="0.35"/>
    <row r="15875" hidden="1" x14ac:dyDescent="0.35"/>
    <row r="15876" hidden="1" x14ac:dyDescent="0.35"/>
    <row r="15877" hidden="1" x14ac:dyDescent="0.35"/>
    <row r="15878" hidden="1" x14ac:dyDescent="0.35"/>
    <row r="15879" hidden="1" x14ac:dyDescent="0.35"/>
    <row r="15880" hidden="1" x14ac:dyDescent="0.35"/>
    <row r="15881" hidden="1" x14ac:dyDescent="0.35"/>
    <row r="15882" hidden="1" x14ac:dyDescent="0.35"/>
    <row r="15883" hidden="1" x14ac:dyDescent="0.35"/>
    <row r="15884" hidden="1" x14ac:dyDescent="0.35"/>
    <row r="15885" hidden="1" x14ac:dyDescent="0.35"/>
    <row r="15886" hidden="1" x14ac:dyDescent="0.35"/>
    <row r="15887" hidden="1" x14ac:dyDescent="0.35"/>
    <row r="15888" hidden="1" x14ac:dyDescent="0.35"/>
    <row r="15889" hidden="1" x14ac:dyDescent="0.35"/>
    <row r="15890" hidden="1" x14ac:dyDescent="0.35"/>
    <row r="15891" hidden="1" x14ac:dyDescent="0.35"/>
    <row r="15892" hidden="1" x14ac:dyDescent="0.35"/>
    <row r="15893" hidden="1" x14ac:dyDescent="0.35"/>
    <row r="15894" hidden="1" x14ac:dyDescent="0.35"/>
    <row r="15895" hidden="1" x14ac:dyDescent="0.35"/>
    <row r="15896" hidden="1" x14ac:dyDescent="0.35"/>
    <row r="15897" hidden="1" x14ac:dyDescent="0.35"/>
    <row r="15898" hidden="1" x14ac:dyDescent="0.35"/>
    <row r="15899" hidden="1" x14ac:dyDescent="0.35"/>
    <row r="15900" hidden="1" x14ac:dyDescent="0.35"/>
    <row r="15901" hidden="1" x14ac:dyDescent="0.35"/>
    <row r="15902" hidden="1" x14ac:dyDescent="0.35"/>
    <row r="15903" hidden="1" x14ac:dyDescent="0.35"/>
    <row r="15904" hidden="1" x14ac:dyDescent="0.35"/>
    <row r="15905" hidden="1" x14ac:dyDescent="0.35"/>
    <row r="15906" hidden="1" x14ac:dyDescent="0.35"/>
    <row r="15907" hidden="1" x14ac:dyDescent="0.35"/>
    <row r="15908" hidden="1" x14ac:dyDescent="0.35"/>
    <row r="15909" hidden="1" x14ac:dyDescent="0.35"/>
    <row r="15910" hidden="1" x14ac:dyDescent="0.35"/>
    <row r="15911" hidden="1" x14ac:dyDescent="0.35"/>
    <row r="15912" hidden="1" x14ac:dyDescent="0.35"/>
    <row r="15913" hidden="1" x14ac:dyDescent="0.35"/>
    <row r="15914" hidden="1" x14ac:dyDescent="0.35"/>
    <row r="15915" hidden="1" x14ac:dyDescent="0.35"/>
    <row r="15916" hidden="1" x14ac:dyDescent="0.35"/>
    <row r="15917" hidden="1" x14ac:dyDescent="0.35"/>
    <row r="15918" hidden="1" x14ac:dyDescent="0.35"/>
    <row r="15919" hidden="1" x14ac:dyDescent="0.35"/>
    <row r="15920" hidden="1" x14ac:dyDescent="0.35"/>
    <row r="15921" hidden="1" x14ac:dyDescent="0.35"/>
    <row r="15922" hidden="1" x14ac:dyDescent="0.35"/>
    <row r="15923" hidden="1" x14ac:dyDescent="0.35"/>
    <row r="15924" hidden="1" x14ac:dyDescent="0.35"/>
    <row r="15925" hidden="1" x14ac:dyDescent="0.35"/>
    <row r="15926" hidden="1" x14ac:dyDescent="0.35"/>
    <row r="15927" hidden="1" x14ac:dyDescent="0.35"/>
    <row r="15928" hidden="1" x14ac:dyDescent="0.35"/>
    <row r="15929" hidden="1" x14ac:dyDescent="0.35"/>
    <row r="15930" hidden="1" x14ac:dyDescent="0.35"/>
    <row r="15931" hidden="1" x14ac:dyDescent="0.35"/>
    <row r="15932" hidden="1" x14ac:dyDescent="0.35"/>
    <row r="15933" hidden="1" x14ac:dyDescent="0.35"/>
    <row r="15934" hidden="1" x14ac:dyDescent="0.35"/>
    <row r="15935" hidden="1" x14ac:dyDescent="0.35"/>
    <row r="15936" hidden="1" x14ac:dyDescent="0.35"/>
    <row r="15937" hidden="1" x14ac:dyDescent="0.35"/>
    <row r="15938" hidden="1" x14ac:dyDescent="0.35"/>
    <row r="15939" hidden="1" x14ac:dyDescent="0.35"/>
    <row r="15940" hidden="1" x14ac:dyDescent="0.35"/>
    <row r="15941" hidden="1" x14ac:dyDescent="0.35"/>
    <row r="15942" hidden="1" x14ac:dyDescent="0.35"/>
    <row r="15943" hidden="1" x14ac:dyDescent="0.35"/>
    <row r="15944" hidden="1" x14ac:dyDescent="0.35"/>
    <row r="15945" hidden="1" x14ac:dyDescent="0.35"/>
    <row r="15946" hidden="1" x14ac:dyDescent="0.35"/>
    <row r="15947" hidden="1" x14ac:dyDescent="0.35"/>
    <row r="15948" hidden="1" x14ac:dyDescent="0.35"/>
    <row r="15949" hidden="1" x14ac:dyDescent="0.35"/>
    <row r="15950" hidden="1" x14ac:dyDescent="0.35"/>
    <row r="15951" hidden="1" x14ac:dyDescent="0.35"/>
    <row r="15952" hidden="1" x14ac:dyDescent="0.35"/>
    <row r="15953" hidden="1" x14ac:dyDescent="0.35"/>
    <row r="15954" hidden="1" x14ac:dyDescent="0.35"/>
    <row r="15955" hidden="1" x14ac:dyDescent="0.35"/>
    <row r="15956" hidden="1" x14ac:dyDescent="0.35"/>
    <row r="15957" hidden="1" x14ac:dyDescent="0.35"/>
    <row r="15958" hidden="1" x14ac:dyDescent="0.35"/>
    <row r="15959" hidden="1" x14ac:dyDescent="0.35"/>
    <row r="15960" hidden="1" x14ac:dyDescent="0.35"/>
    <row r="15961" hidden="1" x14ac:dyDescent="0.35"/>
    <row r="15962" hidden="1" x14ac:dyDescent="0.35"/>
    <row r="15963" hidden="1" x14ac:dyDescent="0.35"/>
    <row r="15964" hidden="1" x14ac:dyDescent="0.35"/>
    <row r="15965" hidden="1" x14ac:dyDescent="0.35"/>
    <row r="15966" hidden="1" x14ac:dyDescent="0.35"/>
    <row r="15967" hidden="1" x14ac:dyDescent="0.35"/>
    <row r="15968" hidden="1" x14ac:dyDescent="0.35"/>
    <row r="15969" hidden="1" x14ac:dyDescent="0.35"/>
    <row r="15970" hidden="1" x14ac:dyDescent="0.35"/>
    <row r="15971" hidden="1" x14ac:dyDescent="0.35"/>
    <row r="15972" hidden="1" x14ac:dyDescent="0.35"/>
    <row r="15973" hidden="1" x14ac:dyDescent="0.35"/>
    <row r="15974" hidden="1" x14ac:dyDescent="0.35"/>
    <row r="15975" hidden="1" x14ac:dyDescent="0.35"/>
    <row r="15976" hidden="1" x14ac:dyDescent="0.35"/>
    <row r="15977" hidden="1" x14ac:dyDescent="0.35"/>
    <row r="15978" hidden="1" x14ac:dyDescent="0.35"/>
    <row r="15979" hidden="1" x14ac:dyDescent="0.35"/>
    <row r="15980" hidden="1" x14ac:dyDescent="0.35"/>
    <row r="15981" hidden="1" x14ac:dyDescent="0.35"/>
    <row r="15982" hidden="1" x14ac:dyDescent="0.35"/>
    <row r="15983" hidden="1" x14ac:dyDescent="0.35"/>
    <row r="15984" hidden="1" x14ac:dyDescent="0.35"/>
    <row r="15985" hidden="1" x14ac:dyDescent="0.35"/>
    <row r="15986" hidden="1" x14ac:dyDescent="0.35"/>
    <row r="15987" hidden="1" x14ac:dyDescent="0.35"/>
    <row r="15988" hidden="1" x14ac:dyDescent="0.35"/>
    <row r="15989" hidden="1" x14ac:dyDescent="0.35"/>
    <row r="15990" hidden="1" x14ac:dyDescent="0.35"/>
    <row r="15991" hidden="1" x14ac:dyDescent="0.35"/>
    <row r="15992" hidden="1" x14ac:dyDescent="0.35"/>
    <row r="15993" hidden="1" x14ac:dyDescent="0.35"/>
    <row r="15994" hidden="1" x14ac:dyDescent="0.35"/>
    <row r="15995" hidden="1" x14ac:dyDescent="0.35"/>
    <row r="15996" hidden="1" x14ac:dyDescent="0.35"/>
    <row r="15997" hidden="1" x14ac:dyDescent="0.35"/>
    <row r="15998" hidden="1" x14ac:dyDescent="0.35"/>
    <row r="15999" hidden="1" x14ac:dyDescent="0.35"/>
    <row r="16000" hidden="1" x14ac:dyDescent="0.35"/>
    <row r="16001" hidden="1" x14ac:dyDescent="0.35"/>
    <row r="16002" hidden="1" x14ac:dyDescent="0.35"/>
    <row r="16003" hidden="1" x14ac:dyDescent="0.35"/>
    <row r="16004" hidden="1" x14ac:dyDescent="0.35"/>
    <row r="16005" hidden="1" x14ac:dyDescent="0.35"/>
    <row r="16006" hidden="1" x14ac:dyDescent="0.35"/>
    <row r="16007" hidden="1" x14ac:dyDescent="0.35"/>
    <row r="16008" hidden="1" x14ac:dyDescent="0.35"/>
    <row r="16009" hidden="1" x14ac:dyDescent="0.35"/>
    <row r="16010" hidden="1" x14ac:dyDescent="0.35"/>
    <row r="16011" hidden="1" x14ac:dyDescent="0.35"/>
    <row r="16012" hidden="1" x14ac:dyDescent="0.35"/>
    <row r="16013" hidden="1" x14ac:dyDescent="0.35"/>
    <row r="16014" hidden="1" x14ac:dyDescent="0.35"/>
    <row r="16015" hidden="1" x14ac:dyDescent="0.35"/>
    <row r="16016" hidden="1" x14ac:dyDescent="0.35"/>
    <row r="16017" hidden="1" x14ac:dyDescent="0.35"/>
    <row r="16018" hidden="1" x14ac:dyDescent="0.35"/>
    <row r="16019" hidden="1" x14ac:dyDescent="0.35"/>
    <row r="16020" hidden="1" x14ac:dyDescent="0.35"/>
    <row r="16021" hidden="1" x14ac:dyDescent="0.35"/>
    <row r="16022" hidden="1" x14ac:dyDescent="0.35"/>
    <row r="16023" hidden="1" x14ac:dyDescent="0.35"/>
    <row r="16024" hidden="1" x14ac:dyDescent="0.35"/>
    <row r="16025" hidden="1" x14ac:dyDescent="0.35"/>
    <row r="16026" hidden="1" x14ac:dyDescent="0.35"/>
    <row r="16027" hidden="1" x14ac:dyDescent="0.35"/>
    <row r="16028" hidden="1" x14ac:dyDescent="0.35"/>
    <row r="16029" hidden="1" x14ac:dyDescent="0.35"/>
    <row r="16030" hidden="1" x14ac:dyDescent="0.35"/>
    <row r="16031" hidden="1" x14ac:dyDescent="0.35"/>
    <row r="16032" hidden="1" x14ac:dyDescent="0.35"/>
    <row r="16033" hidden="1" x14ac:dyDescent="0.35"/>
    <row r="16034" hidden="1" x14ac:dyDescent="0.35"/>
    <row r="16035" hidden="1" x14ac:dyDescent="0.35"/>
    <row r="16036" hidden="1" x14ac:dyDescent="0.35"/>
    <row r="16037" hidden="1" x14ac:dyDescent="0.35"/>
    <row r="16038" hidden="1" x14ac:dyDescent="0.35"/>
    <row r="16039" hidden="1" x14ac:dyDescent="0.35"/>
    <row r="16040" hidden="1" x14ac:dyDescent="0.35"/>
    <row r="16041" hidden="1" x14ac:dyDescent="0.35"/>
    <row r="16042" hidden="1" x14ac:dyDescent="0.35"/>
    <row r="16043" hidden="1" x14ac:dyDescent="0.35"/>
    <row r="16044" hidden="1" x14ac:dyDescent="0.35"/>
    <row r="16045" hidden="1" x14ac:dyDescent="0.35"/>
    <row r="16046" hidden="1" x14ac:dyDescent="0.35"/>
    <row r="16047" hidden="1" x14ac:dyDescent="0.35"/>
    <row r="16048" hidden="1" x14ac:dyDescent="0.35"/>
    <row r="16049" hidden="1" x14ac:dyDescent="0.35"/>
    <row r="16050" hidden="1" x14ac:dyDescent="0.35"/>
    <row r="16051" hidden="1" x14ac:dyDescent="0.35"/>
    <row r="16052" hidden="1" x14ac:dyDescent="0.35"/>
    <row r="16053" hidden="1" x14ac:dyDescent="0.35"/>
    <row r="16054" hidden="1" x14ac:dyDescent="0.35"/>
    <row r="16055" hidden="1" x14ac:dyDescent="0.35"/>
    <row r="16056" hidden="1" x14ac:dyDescent="0.35"/>
    <row r="16057" hidden="1" x14ac:dyDescent="0.35"/>
    <row r="16058" hidden="1" x14ac:dyDescent="0.35"/>
    <row r="16059" hidden="1" x14ac:dyDescent="0.35"/>
    <row r="16060" hidden="1" x14ac:dyDescent="0.35"/>
    <row r="16061" hidden="1" x14ac:dyDescent="0.35"/>
    <row r="16062" hidden="1" x14ac:dyDescent="0.35"/>
    <row r="16063" hidden="1" x14ac:dyDescent="0.35"/>
    <row r="16064" hidden="1" x14ac:dyDescent="0.35"/>
    <row r="16065" hidden="1" x14ac:dyDescent="0.35"/>
    <row r="16066" hidden="1" x14ac:dyDescent="0.35"/>
    <row r="16067" hidden="1" x14ac:dyDescent="0.35"/>
    <row r="16068" hidden="1" x14ac:dyDescent="0.35"/>
    <row r="16069" hidden="1" x14ac:dyDescent="0.35"/>
    <row r="16070" hidden="1" x14ac:dyDescent="0.35"/>
    <row r="16071" hidden="1" x14ac:dyDescent="0.35"/>
    <row r="16072" hidden="1" x14ac:dyDescent="0.35"/>
    <row r="16073" hidden="1" x14ac:dyDescent="0.35"/>
    <row r="16074" hidden="1" x14ac:dyDescent="0.35"/>
    <row r="16075" hidden="1" x14ac:dyDescent="0.35"/>
    <row r="16076" hidden="1" x14ac:dyDescent="0.35"/>
    <row r="16077" hidden="1" x14ac:dyDescent="0.35"/>
    <row r="16078" hidden="1" x14ac:dyDescent="0.35"/>
    <row r="16079" hidden="1" x14ac:dyDescent="0.35"/>
    <row r="16080" hidden="1" x14ac:dyDescent="0.35"/>
    <row r="16081" hidden="1" x14ac:dyDescent="0.35"/>
    <row r="16082" hidden="1" x14ac:dyDescent="0.35"/>
    <row r="16083" hidden="1" x14ac:dyDescent="0.35"/>
    <row r="16084" hidden="1" x14ac:dyDescent="0.35"/>
    <row r="16085" hidden="1" x14ac:dyDescent="0.35"/>
    <row r="16086" hidden="1" x14ac:dyDescent="0.35"/>
    <row r="16087" hidden="1" x14ac:dyDescent="0.35"/>
    <row r="16088" hidden="1" x14ac:dyDescent="0.35"/>
    <row r="16089" hidden="1" x14ac:dyDescent="0.35"/>
    <row r="16090" hidden="1" x14ac:dyDescent="0.35"/>
    <row r="16091" hidden="1" x14ac:dyDescent="0.35"/>
    <row r="16092" hidden="1" x14ac:dyDescent="0.35"/>
    <row r="16093" hidden="1" x14ac:dyDescent="0.35"/>
    <row r="16094" hidden="1" x14ac:dyDescent="0.35"/>
    <row r="16095" hidden="1" x14ac:dyDescent="0.35"/>
    <row r="16096" hidden="1" x14ac:dyDescent="0.35"/>
    <row r="16097" hidden="1" x14ac:dyDescent="0.35"/>
    <row r="16098" hidden="1" x14ac:dyDescent="0.35"/>
    <row r="16099" hidden="1" x14ac:dyDescent="0.35"/>
    <row r="16100" hidden="1" x14ac:dyDescent="0.35"/>
    <row r="16101" hidden="1" x14ac:dyDescent="0.35"/>
    <row r="16102" hidden="1" x14ac:dyDescent="0.35"/>
    <row r="16103" hidden="1" x14ac:dyDescent="0.35"/>
    <row r="16104" hidden="1" x14ac:dyDescent="0.35"/>
    <row r="16105" hidden="1" x14ac:dyDescent="0.35"/>
    <row r="16106" hidden="1" x14ac:dyDescent="0.35"/>
    <row r="16107" hidden="1" x14ac:dyDescent="0.35"/>
    <row r="16108" hidden="1" x14ac:dyDescent="0.35"/>
    <row r="16109" hidden="1" x14ac:dyDescent="0.35"/>
    <row r="16110" hidden="1" x14ac:dyDescent="0.35"/>
    <row r="16111" hidden="1" x14ac:dyDescent="0.35"/>
    <row r="16112" hidden="1" x14ac:dyDescent="0.35"/>
    <row r="16113" hidden="1" x14ac:dyDescent="0.35"/>
    <row r="16114" hidden="1" x14ac:dyDescent="0.35"/>
    <row r="16115" hidden="1" x14ac:dyDescent="0.35"/>
    <row r="16116" hidden="1" x14ac:dyDescent="0.35"/>
    <row r="16117" hidden="1" x14ac:dyDescent="0.35"/>
    <row r="16118" hidden="1" x14ac:dyDescent="0.35"/>
    <row r="16119" hidden="1" x14ac:dyDescent="0.35"/>
    <row r="16120" hidden="1" x14ac:dyDescent="0.35"/>
    <row r="16121" hidden="1" x14ac:dyDescent="0.35"/>
    <row r="16122" hidden="1" x14ac:dyDescent="0.35"/>
    <row r="16123" hidden="1" x14ac:dyDescent="0.35"/>
    <row r="16124" hidden="1" x14ac:dyDescent="0.35"/>
    <row r="16125" hidden="1" x14ac:dyDescent="0.35"/>
    <row r="16126" hidden="1" x14ac:dyDescent="0.35"/>
    <row r="16127" hidden="1" x14ac:dyDescent="0.35"/>
    <row r="16128" hidden="1" x14ac:dyDescent="0.35"/>
    <row r="16129" hidden="1" x14ac:dyDescent="0.35"/>
    <row r="16130" hidden="1" x14ac:dyDescent="0.35"/>
    <row r="16131" hidden="1" x14ac:dyDescent="0.35"/>
    <row r="16132" hidden="1" x14ac:dyDescent="0.35"/>
    <row r="16133" hidden="1" x14ac:dyDescent="0.35"/>
    <row r="16134" hidden="1" x14ac:dyDescent="0.35"/>
    <row r="16135" hidden="1" x14ac:dyDescent="0.35"/>
    <row r="16136" hidden="1" x14ac:dyDescent="0.35"/>
    <row r="16137" hidden="1" x14ac:dyDescent="0.35"/>
    <row r="16138" hidden="1" x14ac:dyDescent="0.35"/>
    <row r="16139" hidden="1" x14ac:dyDescent="0.35"/>
    <row r="16140" hidden="1" x14ac:dyDescent="0.35"/>
    <row r="16141" hidden="1" x14ac:dyDescent="0.35"/>
    <row r="16142" hidden="1" x14ac:dyDescent="0.35"/>
    <row r="16143" hidden="1" x14ac:dyDescent="0.35"/>
    <row r="16144" hidden="1" x14ac:dyDescent="0.35"/>
    <row r="16145" hidden="1" x14ac:dyDescent="0.35"/>
    <row r="16146" hidden="1" x14ac:dyDescent="0.35"/>
    <row r="16147" hidden="1" x14ac:dyDescent="0.35"/>
    <row r="16148" hidden="1" x14ac:dyDescent="0.35"/>
    <row r="16149" hidden="1" x14ac:dyDescent="0.35"/>
    <row r="16150" hidden="1" x14ac:dyDescent="0.35"/>
    <row r="16151" hidden="1" x14ac:dyDescent="0.35"/>
    <row r="16152" hidden="1" x14ac:dyDescent="0.35"/>
    <row r="16153" hidden="1" x14ac:dyDescent="0.35"/>
    <row r="16154" hidden="1" x14ac:dyDescent="0.35"/>
    <row r="16155" hidden="1" x14ac:dyDescent="0.35"/>
    <row r="16156" hidden="1" x14ac:dyDescent="0.35"/>
    <row r="16157" hidden="1" x14ac:dyDescent="0.35"/>
    <row r="16158" hidden="1" x14ac:dyDescent="0.35"/>
    <row r="16159" hidden="1" x14ac:dyDescent="0.35"/>
    <row r="16160" hidden="1" x14ac:dyDescent="0.35"/>
    <row r="16161" hidden="1" x14ac:dyDescent="0.35"/>
    <row r="16162" hidden="1" x14ac:dyDescent="0.35"/>
    <row r="16163" hidden="1" x14ac:dyDescent="0.35"/>
    <row r="16164" hidden="1" x14ac:dyDescent="0.35"/>
    <row r="16165" hidden="1" x14ac:dyDescent="0.35"/>
    <row r="16166" hidden="1" x14ac:dyDescent="0.35"/>
    <row r="16167" hidden="1" x14ac:dyDescent="0.35"/>
    <row r="16168" hidden="1" x14ac:dyDescent="0.35"/>
    <row r="16169" hidden="1" x14ac:dyDescent="0.35"/>
    <row r="16170" hidden="1" x14ac:dyDescent="0.35"/>
    <row r="16171" hidden="1" x14ac:dyDescent="0.35"/>
    <row r="16172" hidden="1" x14ac:dyDescent="0.35"/>
    <row r="16173" hidden="1" x14ac:dyDescent="0.35"/>
    <row r="16174" hidden="1" x14ac:dyDescent="0.35"/>
    <row r="16175" hidden="1" x14ac:dyDescent="0.35"/>
    <row r="16176" hidden="1" x14ac:dyDescent="0.35"/>
    <row r="16177" hidden="1" x14ac:dyDescent="0.35"/>
    <row r="16178" hidden="1" x14ac:dyDescent="0.35"/>
    <row r="16179" hidden="1" x14ac:dyDescent="0.35"/>
    <row r="16180" hidden="1" x14ac:dyDescent="0.35"/>
    <row r="16181" hidden="1" x14ac:dyDescent="0.35"/>
    <row r="16182" hidden="1" x14ac:dyDescent="0.35"/>
    <row r="16183" hidden="1" x14ac:dyDescent="0.35"/>
    <row r="16184" hidden="1" x14ac:dyDescent="0.35"/>
    <row r="16185" hidden="1" x14ac:dyDescent="0.35"/>
    <row r="16186" hidden="1" x14ac:dyDescent="0.35"/>
    <row r="16187" hidden="1" x14ac:dyDescent="0.35"/>
    <row r="16188" hidden="1" x14ac:dyDescent="0.35"/>
    <row r="16189" hidden="1" x14ac:dyDescent="0.35"/>
    <row r="16190" hidden="1" x14ac:dyDescent="0.35"/>
    <row r="16191" hidden="1" x14ac:dyDescent="0.35"/>
    <row r="16192" hidden="1" x14ac:dyDescent="0.35"/>
    <row r="16193" hidden="1" x14ac:dyDescent="0.35"/>
    <row r="16194" hidden="1" x14ac:dyDescent="0.35"/>
    <row r="16195" hidden="1" x14ac:dyDescent="0.35"/>
    <row r="16196" hidden="1" x14ac:dyDescent="0.35"/>
    <row r="16197" hidden="1" x14ac:dyDescent="0.35"/>
    <row r="16198" hidden="1" x14ac:dyDescent="0.35"/>
    <row r="16199" hidden="1" x14ac:dyDescent="0.35"/>
    <row r="16200" hidden="1" x14ac:dyDescent="0.35"/>
    <row r="16201" hidden="1" x14ac:dyDescent="0.35"/>
    <row r="16202" hidden="1" x14ac:dyDescent="0.35"/>
    <row r="16203" hidden="1" x14ac:dyDescent="0.35"/>
    <row r="16204" hidden="1" x14ac:dyDescent="0.35"/>
    <row r="16205" hidden="1" x14ac:dyDescent="0.35"/>
    <row r="16206" hidden="1" x14ac:dyDescent="0.35"/>
    <row r="16207" hidden="1" x14ac:dyDescent="0.35"/>
    <row r="16208" hidden="1" x14ac:dyDescent="0.35"/>
    <row r="16209" hidden="1" x14ac:dyDescent="0.35"/>
    <row r="16210" hidden="1" x14ac:dyDescent="0.35"/>
    <row r="16211" hidden="1" x14ac:dyDescent="0.35"/>
    <row r="16212" hidden="1" x14ac:dyDescent="0.35"/>
    <row r="16213" hidden="1" x14ac:dyDescent="0.35"/>
    <row r="16214" hidden="1" x14ac:dyDescent="0.35"/>
    <row r="16215" hidden="1" x14ac:dyDescent="0.35"/>
    <row r="16216" hidden="1" x14ac:dyDescent="0.35"/>
    <row r="16217" hidden="1" x14ac:dyDescent="0.35"/>
    <row r="16218" hidden="1" x14ac:dyDescent="0.35"/>
    <row r="16219" hidden="1" x14ac:dyDescent="0.35"/>
    <row r="16220" hidden="1" x14ac:dyDescent="0.35"/>
    <row r="16221" hidden="1" x14ac:dyDescent="0.35"/>
    <row r="16222" hidden="1" x14ac:dyDescent="0.35"/>
    <row r="16223" hidden="1" x14ac:dyDescent="0.35"/>
    <row r="16224" hidden="1" x14ac:dyDescent="0.35"/>
    <row r="16225" hidden="1" x14ac:dyDescent="0.35"/>
    <row r="16226" hidden="1" x14ac:dyDescent="0.35"/>
    <row r="16227" hidden="1" x14ac:dyDescent="0.35"/>
    <row r="16228" hidden="1" x14ac:dyDescent="0.35"/>
    <row r="16229" hidden="1" x14ac:dyDescent="0.35"/>
    <row r="16230" hidden="1" x14ac:dyDescent="0.35"/>
    <row r="16231" hidden="1" x14ac:dyDescent="0.35"/>
    <row r="16232" hidden="1" x14ac:dyDescent="0.35"/>
    <row r="16233" hidden="1" x14ac:dyDescent="0.35"/>
    <row r="16234" hidden="1" x14ac:dyDescent="0.35"/>
    <row r="16235" hidden="1" x14ac:dyDescent="0.35"/>
    <row r="16236" hidden="1" x14ac:dyDescent="0.35"/>
    <row r="16237" hidden="1" x14ac:dyDescent="0.35"/>
    <row r="16238" hidden="1" x14ac:dyDescent="0.35"/>
    <row r="16239" hidden="1" x14ac:dyDescent="0.35"/>
    <row r="16240" hidden="1" x14ac:dyDescent="0.35"/>
    <row r="16241" hidden="1" x14ac:dyDescent="0.35"/>
    <row r="16242" hidden="1" x14ac:dyDescent="0.35"/>
    <row r="16243" hidden="1" x14ac:dyDescent="0.35"/>
    <row r="16244" hidden="1" x14ac:dyDescent="0.35"/>
    <row r="16245" hidden="1" x14ac:dyDescent="0.35"/>
    <row r="16246" hidden="1" x14ac:dyDescent="0.35"/>
    <row r="16247" hidden="1" x14ac:dyDescent="0.35"/>
    <row r="16248" hidden="1" x14ac:dyDescent="0.35"/>
    <row r="16249" hidden="1" x14ac:dyDescent="0.35"/>
    <row r="16250" hidden="1" x14ac:dyDescent="0.35"/>
    <row r="16251" hidden="1" x14ac:dyDescent="0.35"/>
    <row r="16252" hidden="1" x14ac:dyDescent="0.35"/>
    <row r="16253" hidden="1" x14ac:dyDescent="0.35"/>
    <row r="16254" hidden="1" x14ac:dyDescent="0.35"/>
    <row r="16255" hidden="1" x14ac:dyDescent="0.35"/>
    <row r="16256" hidden="1" x14ac:dyDescent="0.35"/>
    <row r="16257" hidden="1" x14ac:dyDescent="0.35"/>
    <row r="16258" hidden="1" x14ac:dyDescent="0.35"/>
    <row r="16259" hidden="1" x14ac:dyDescent="0.35"/>
    <row r="16260" hidden="1" x14ac:dyDescent="0.35"/>
    <row r="16261" hidden="1" x14ac:dyDescent="0.35"/>
    <row r="16262" hidden="1" x14ac:dyDescent="0.35"/>
    <row r="16263" hidden="1" x14ac:dyDescent="0.35"/>
    <row r="16264" hidden="1" x14ac:dyDescent="0.35"/>
    <row r="16265" hidden="1" x14ac:dyDescent="0.35"/>
    <row r="16266" hidden="1" x14ac:dyDescent="0.35"/>
    <row r="16267" hidden="1" x14ac:dyDescent="0.35"/>
    <row r="16268" hidden="1" x14ac:dyDescent="0.35"/>
    <row r="16269" hidden="1" x14ac:dyDescent="0.35"/>
    <row r="16270" hidden="1" x14ac:dyDescent="0.35"/>
    <row r="16271" hidden="1" x14ac:dyDescent="0.35"/>
    <row r="16272" hidden="1" x14ac:dyDescent="0.35"/>
    <row r="16273" hidden="1" x14ac:dyDescent="0.35"/>
    <row r="16274" hidden="1" x14ac:dyDescent="0.35"/>
    <row r="16275" hidden="1" x14ac:dyDescent="0.35"/>
    <row r="16276" hidden="1" x14ac:dyDescent="0.35"/>
    <row r="16277" hidden="1" x14ac:dyDescent="0.35"/>
    <row r="16278" hidden="1" x14ac:dyDescent="0.35"/>
    <row r="16279" hidden="1" x14ac:dyDescent="0.35"/>
    <row r="16280" hidden="1" x14ac:dyDescent="0.35"/>
    <row r="16281" hidden="1" x14ac:dyDescent="0.35"/>
    <row r="16282" hidden="1" x14ac:dyDescent="0.35"/>
    <row r="16283" hidden="1" x14ac:dyDescent="0.35"/>
    <row r="16284" hidden="1" x14ac:dyDescent="0.35"/>
    <row r="16285" hidden="1" x14ac:dyDescent="0.35"/>
    <row r="16286" hidden="1" x14ac:dyDescent="0.35"/>
    <row r="16287" hidden="1" x14ac:dyDescent="0.35"/>
    <row r="16288" hidden="1" x14ac:dyDescent="0.35"/>
    <row r="16289" hidden="1" x14ac:dyDescent="0.35"/>
    <row r="16290" hidden="1" x14ac:dyDescent="0.35"/>
    <row r="16291" hidden="1" x14ac:dyDescent="0.35"/>
    <row r="16292" hidden="1" x14ac:dyDescent="0.35"/>
    <row r="16293" hidden="1" x14ac:dyDescent="0.35"/>
    <row r="16294" hidden="1" x14ac:dyDescent="0.35"/>
    <row r="16295" hidden="1" x14ac:dyDescent="0.35"/>
    <row r="16296" hidden="1" x14ac:dyDescent="0.35"/>
    <row r="16297" hidden="1" x14ac:dyDescent="0.35"/>
    <row r="16298" hidden="1" x14ac:dyDescent="0.35"/>
    <row r="16299" hidden="1" x14ac:dyDescent="0.35"/>
    <row r="16300" hidden="1" x14ac:dyDescent="0.35"/>
    <row r="16301" hidden="1" x14ac:dyDescent="0.35"/>
    <row r="16302" hidden="1" x14ac:dyDescent="0.35"/>
    <row r="16303" hidden="1" x14ac:dyDescent="0.35"/>
    <row r="16304" hidden="1" x14ac:dyDescent="0.35"/>
    <row r="16305" hidden="1" x14ac:dyDescent="0.35"/>
    <row r="16306" hidden="1" x14ac:dyDescent="0.35"/>
    <row r="16307" hidden="1" x14ac:dyDescent="0.35"/>
    <row r="16308" hidden="1" x14ac:dyDescent="0.35"/>
    <row r="16309" hidden="1" x14ac:dyDescent="0.35"/>
    <row r="16310" hidden="1" x14ac:dyDescent="0.35"/>
    <row r="16311" hidden="1" x14ac:dyDescent="0.35"/>
    <row r="16312" hidden="1" x14ac:dyDescent="0.35"/>
    <row r="16313" hidden="1" x14ac:dyDescent="0.35"/>
    <row r="16314" hidden="1" x14ac:dyDescent="0.35"/>
    <row r="16315" hidden="1" x14ac:dyDescent="0.35"/>
    <row r="16316" hidden="1" x14ac:dyDescent="0.35"/>
    <row r="16317" hidden="1" x14ac:dyDescent="0.35"/>
    <row r="16318" hidden="1" x14ac:dyDescent="0.35"/>
    <row r="16319" hidden="1" x14ac:dyDescent="0.35"/>
    <row r="16320" hidden="1" x14ac:dyDescent="0.35"/>
    <row r="16321" hidden="1" x14ac:dyDescent="0.35"/>
    <row r="16322" hidden="1" x14ac:dyDescent="0.35"/>
    <row r="16323" hidden="1" x14ac:dyDescent="0.35"/>
    <row r="16324" hidden="1" x14ac:dyDescent="0.35"/>
    <row r="16325" hidden="1" x14ac:dyDescent="0.35"/>
    <row r="16326" hidden="1" x14ac:dyDescent="0.35"/>
    <row r="16327" hidden="1" x14ac:dyDescent="0.35"/>
    <row r="16328" hidden="1" x14ac:dyDescent="0.35"/>
    <row r="16329" hidden="1" x14ac:dyDescent="0.35"/>
    <row r="16330" hidden="1" x14ac:dyDescent="0.35"/>
    <row r="16331" hidden="1" x14ac:dyDescent="0.35"/>
    <row r="16332" hidden="1" x14ac:dyDescent="0.35"/>
    <row r="16333" hidden="1" x14ac:dyDescent="0.35"/>
    <row r="16334" hidden="1" x14ac:dyDescent="0.35"/>
    <row r="16335" hidden="1" x14ac:dyDescent="0.35"/>
    <row r="16336" hidden="1" x14ac:dyDescent="0.35"/>
    <row r="16337" hidden="1" x14ac:dyDescent="0.35"/>
    <row r="16338" hidden="1" x14ac:dyDescent="0.35"/>
    <row r="16339" hidden="1" x14ac:dyDescent="0.35"/>
    <row r="16340" hidden="1" x14ac:dyDescent="0.35"/>
    <row r="16341" hidden="1" x14ac:dyDescent="0.35"/>
    <row r="16342" hidden="1" x14ac:dyDescent="0.35"/>
    <row r="16343" hidden="1" x14ac:dyDescent="0.35"/>
    <row r="16344" hidden="1" x14ac:dyDescent="0.35"/>
    <row r="16345" hidden="1" x14ac:dyDescent="0.35"/>
    <row r="16346" hidden="1" x14ac:dyDescent="0.35"/>
    <row r="16347" hidden="1" x14ac:dyDescent="0.35"/>
    <row r="16348" hidden="1" x14ac:dyDescent="0.35"/>
    <row r="16349" hidden="1" x14ac:dyDescent="0.35"/>
    <row r="16350" hidden="1" x14ac:dyDescent="0.35"/>
    <row r="16351" hidden="1" x14ac:dyDescent="0.35"/>
    <row r="16352" hidden="1" x14ac:dyDescent="0.35"/>
    <row r="16353" hidden="1" x14ac:dyDescent="0.35"/>
    <row r="16354" hidden="1" x14ac:dyDescent="0.35"/>
    <row r="16355" hidden="1" x14ac:dyDescent="0.35"/>
    <row r="16356" hidden="1" x14ac:dyDescent="0.35"/>
    <row r="16357" hidden="1" x14ac:dyDescent="0.35"/>
    <row r="16358" hidden="1" x14ac:dyDescent="0.35"/>
    <row r="16359" hidden="1" x14ac:dyDescent="0.35"/>
    <row r="16360" hidden="1" x14ac:dyDescent="0.35"/>
    <row r="16361" hidden="1" x14ac:dyDescent="0.35"/>
    <row r="16362" hidden="1" x14ac:dyDescent="0.35"/>
    <row r="16363" hidden="1" x14ac:dyDescent="0.35"/>
    <row r="16364" hidden="1" x14ac:dyDescent="0.35"/>
    <row r="16365" hidden="1" x14ac:dyDescent="0.35"/>
    <row r="16366" hidden="1" x14ac:dyDescent="0.35"/>
    <row r="16367" hidden="1" x14ac:dyDescent="0.35"/>
    <row r="16368" hidden="1" x14ac:dyDescent="0.35"/>
    <row r="16369" hidden="1" x14ac:dyDescent="0.35"/>
    <row r="16370" hidden="1" x14ac:dyDescent="0.35"/>
    <row r="16371" hidden="1" x14ac:dyDescent="0.35"/>
    <row r="16372" hidden="1" x14ac:dyDescent="0.35"/>
    <row r="16373" hidden="1" x14ac:dyDescent="0.35"/>
    <row r="16374" hidden="1" x14ac:dyDescent="0.35"/>
    <row r="16375" hidden="1" x14ac:dyDescent="0.35"/>
    <row r="16376" hidden="1" x14ac:dyDescent="0.35"/>
    <row r="16377" hidden="1" x14ac:dyDescent="0.35"/>
    <row r="16378" hidden="1" x14ac:dyDescent="0.35"/>
    <row r="16379" hidden="1" x14ac:dyDescent="0.35"/>
    <row r="16380" hidden="1" x14ac:dyDescent="0.35"/>
    <row r="16381" hidden="1" x14ac:dyDescent="0.35"/>
    <row r="16382" hidden="1" x14ac:dyDescent="0.35"/>
    <row r="16383" hidden="1" x14ac:dyDescent="0.35"/>
    <row r="16384" hidden="1" x14ac:dyDescent="0.35"/>
    <row r="16385" hidden="1" x14ac:dyDescent="0.35"/>
    <row r="16386" hidden="1" x14ac:dyDescent="0.35"/>
    <row r="16387" hidden="1" x14ac:dyDescent="0.35"/>
    <row r="16388" hidden="1" x14ac:dyDescent="0.35"/>
    <row r="16389" hidden="1" x14ac:dyDescent="0.35"/>
    <row r="16390" hidden="1" x14ac:dyDescent="0.35"/>
    <row r="16391" hidden="1" x14ac:dyDescent="0.35"/>
    <row r="16392" hidden="1" x14ac:dyDescent="0.35"/>
    <row r="16393" hidden="1" x14ac:dyDescent="0.35"/>
    <row r="16394" hidden="1" x14ac:dyDescent="0.35"/>
    <row r="16395" hidden="1" x14ac:dyDescent="0.35"/>
    <row r="16396" hidden="1" x14ac:dyDescent="0.35"/>
    <row r="16397" hidden="1" x14ac:dyDescent="0.35"/>
    <row r="16398" hidden="1" x14ac:dyDescent="0.35"/>
    <row r="16399" hidden="1" x14ac:dyDescent="0.35"/>
    <row r="16400" hidden="1" x14ac:dyDescent="0.35"/>
    <row r="16401" hidden="1" x14ac:dyDescent="0.35"/>
    <row r="16402" hidden="1" x14ac:dyDescent="0.35"/>
    <row r="16403" hidden="1" x14ac:dyDescent="0.35"/>
    <row r="16404" hidden="1" x14ac:dyDescent="0.35"/>
    <row r="16405" hidden="1" x14ac:dyDescent="0.35"/>
    <row r="16406" hidden="1" x14ac:dyDescent="0.35"/>
    <row r="16407" hidden="1" x14ac:dyDescent="0.35"/>
    <row r="16408" hidden="1" x14ac:dyDescent="0.35"/>
    <row r="16409" hidden="1" x14ac:dyDescent="0.35"/>
    <row r="16410" hidden="1" x14ac:dyDescent="0.35"/>
    <row r="16411" hidden="1" x14ac:dyDescent="0.35"/>
    <row r="16412" hidden="1" x14ac:dyDescent="0.35"/>
    <row r="16413" hidden="1" x14ac:dyDescent="0.35"/>
    <row r="16414" hidden="1" x14ac:dyDescent="0.35"/>
    <row r="16415" hidden="1" x14ac:dyDescent="0.35"/>
    <row r="16416" hidden="1" x14ac:dyDescent="0.35"/>
    <row r="16417" hidden="1" x14ac:dyDescent="0.35"/>
    <row r="16418" hidden="1" x14ac:dyDescent="0.35"/>
    <row r="16419" hidden="1" x14ac:dyDescent="0.35"/>
    <row r="16420" hidden="1" x14ac:dyDescent="0.35"/>
    <row r="16421" hidden="1" x14ac:dyDescent="0.35"/>
    <row r="16422" hidden="1" x14ac:dyDescent="0.35"/>
    <row r="16423" hidden="1" x14ac:dyDescent="0.35"/>
    <row r="16424" hidden="1" x14ac:dyDescent="0.35"/>
    <row r="16425" hidden="1" x14ac:dyDescent="0.35"/>
    <row r="16426" hidden="1" x14ac:dyDescent="0.35"/>
    <row r="16427" hidden="1" x14ac:dyDescent="0.35"/>
    <row r="16428" hidden="1" x14ac:dyDescent="0.35"/>
    <row r="16429" hidden="1" x14ac:dyDescent="0.35"/>
    <row r="16430" hidden="1" x14ac:dyDescent="0.35"/>
    <row r="16431" hidden="1" x14ac:dyDescent="0.35"/>
    <row r="16432" hidden="1" x14ac:dyDescent="0.35"/>
    <row r="16433" hidden="1" x14ac:dyDescent="0.35"/>
    <row r="16434" hidden="1" x14ac:dyDescent="0.35"/>
    <row r="16435" hidden="1" x14ac:dyDescent="0.35"/>
    <row r="16436" hidden="1" x14ac:dyDescent="0.35"/>
    <row r="16437" hidden="1" x14ac:dyDescent="0.35"/>
    <row r="16438" hidden="1" x14ac:dyDescent="0.35"/>
    <row r="16439" hidden="1" x14ac:dyDescent="0.35"/>
    <row r="16440" hidden="1" x14ac:dyDescent="0.35"/>
    <row r="16441" hidden="1" x14ac:dyDescent="0.35"/>
    <row r="16442" hidden="1" x14ac:dyDescent="0.35"/>
    <row r="16443" hidden="1" x14ac:dyDescent="0.35"/>
    <row r="16444" hidden="1" x14ac:dyDescent="0.35"/>
    <row r="16445" hidden="1" x14ac:dyDescent="0.35"/>
    <row r="16446" hidden="1" x14ac:dyDescent="0.35"/>
    <row r="16447" hidden="1" x14ac:dyDescent="0.35"/>
    <row r="16448" hidden="1" x14ac:dyDescent="0.35"/>
    <row r="16449" hidden="1" x14ac:dyDescent="0.35"/>
    <row r="16450" hidden="1" x14ac:dyDescent="0.35"/>
    <row r="16451" hidden="1" x14ac:dyDescent="0.35"/>
    <row r="16452" hidden="1" x14ac:dyDescent="0.35"/>
    <row r="16453" hidden="1" x14ac:dyDescent="0.35"/>
    <row r="16454" hidden="1" x14ac:dyDescent="0.35"/>
    <row r="16455" hidden="1" x14ac:dyDescent="0.35"/>
    <row r="16456" hidden="1" x14ac:dyDescent="0.35"/>
    <row r="16457" hidden="1" x14ac:dyDescent="0.35"/>
    <row r="16458" hidden="1" x14ac:dyDescent="0.35"/>
    <row r="16459" hidden="1" x14ac:dyDescent="0.35"/>
    <row r="16460" hidden="1" x14ac:dyDescent="0.35"/>
    <row r="16461" hidden="1" x14ac:dyDescent="0.35"/>
    <row r="16462" hidden="1" x14ac:dyDescent="0.35"/>
    <row r="16463" hidden="1" x14ac:dyDescent="0.35"/>
    <row r="16464" hidden="1" x14ac:dyDescent="0.35"/>
    <row r="16465" hidden="1" x14ac:dyDescent="0.35"/>
    <row r="16466" hidden="1" x14ac:dyDescent="0.35"/>
    <row r="16467" hidden="1" x14ac:dyDescent="0.35"/>
    <row r="16468" hidden="1" x14ac:dyDescent="0.35"/>
    <row r="16469" hidden="1" x14ac:dyDescent="0.35"/>
    <row r="16470" hidden="1" x14ac:dyDescent="0.35"/>
    <row r="16471" hidden="1" x14ac:dyDescent="0.35"/>
    <row r="16472" hidden="1" x14ac:dyDescent="0.35"/>
    <row r="16473" hidden="1" x14ac:dyDescent="0.35"/>
    <row r="16474" hidden="1" x14ac:dyDescent="0.35"/>
    <row r="16475" hidden="1" x14ac:dyDescent="0.35"/>
    <row r="16476" hidden="1" x14ac:dyDescent="0.35"/>
    <row r="16477" hidden="1" x14ac:dyDescent="0.35"/>
    <row r="16478" hidden="1" x14ac:dyDescent="0.35"/>
    <row r="16479" hidden="1" x14ac:dyDescent="0.35"/>
    <row r="16480" hidden="1" x14ac:dyDescent="0.35"/>
    <row r="16481" hidden="1" x14ac:dyDescent="0.35"/>
    <row r="16482" hidden="1" x14ac:dyDescent="0.35"/>
    <row r="16483" hidden="1" x14ac:dyDescent="0.35"/>
    <row r="16484" hidden="1" x14ac:dyDescent="0.35"/>
    <row r="16485" hidden="1" x14ac:dyDescent="0.35"/>
    <row r="16486" hidden="1" x14ac:dyDescent="0.35"/>
    <row r="16487" hidden="1" x14ac:dyDescent="0.35"/>
    <row r="16488" hidden="1" x14ac:dyDescent="0.35"/>
    <row r="16489" hidden="1" x14ac:dyDescent="0.35"/>
    <row r="16490" hidden="1" x14ac:dyDescent="0.35"/>
    <row r="16491" hidden="1" x14ac:dyDescent="0.35"/>
    <row r="16492" hidden="1" x14ac:dyDescent="0.35"/>
    <row r="16493" hidden="1" x14ac:dyDescent="0.35"/>
    <row r="16494" hidden="1" x14ac:dyDescent="0.35"/>
    <row r="16495" hidden="1" x14ac:dyDescent="0.35"/>
    <row r="16496" hidden="1" x14ac:dyDescent="0.35"/>
    <row r="16497" hidden="1" x14ac:dyDescent="0.35"/>
    <row r="16498" hidden="1" x14ac:dyDescent="0.35"/>
    <row r="16499" hidden="1" x14ac:dyDescent="0.35"/>
    <row r="16500" hidden="1" x14ac:dyDescent="0.35"/>
    <row r="16501" hidden="1" x14ac:dyDescent="0.35"/>
    <row r="16502" hidden="1" x14ac:dyDescent="0.35"/>
    <row r="16503" hidden="1" x14ac:dyDescent="0.35"/>
    <row r="16504" hidden="1" x14ac:dyDescent="0.35"/>
    <row r="16505" hidden="1" x14ac:dyDescent="0.35"/>
    <row r="16506" hidden="1" x14ac:dyDescent="0.35"/>
    <row r="16507" hidden="1" x14ac:dyDescent="0.35"/>
    <row r="16508" hidden="1" x14ac:dyDescent="0.35"/>
    <row r="16509" hidden="1" x14ac:dyDescent="0.35"/>
    <row r="16510" hidden="1" x14ac:dyDescent="0.35"/>
    <row r="16511" hidden="1" x14ac:dyDescent="0.35"/>
    <row r="16512" hidden="1" x14ac:dyDescent="0.35"/>
    <row r="16513" hidden="1" x14ac:dyDescent="0.35"/>
    <row r="16514" hidden="1" x14ac:dyDescent="0.35"/>
    <row r="16515" hidden="1" x14ac:dyDescent="0.35"/>
    <row r="16516" hidden="1" x14ac:dyDescent="0.35"/>
    <row r="16517" hidden="1" x14ac:dyDescent="0.35"/>
    <row r="16518" hidden="1" x14ac:dyDescent="0.35"/>
    <row r="16519" hidden="1" x14ac:dyDescent="0.35"/>
    <row r="16520" hidden="1" x14ac:dyDescent="0.35"/>
    <row r="16521" hidden="1" x14ac:dyDescent="0.35"/>
    <row r="16522" hidden="1" x14ac:dyDescent="0.35"/>
    <row r="16523" hidden="1" x14ac:dyDescent="0.35"/>
    <row r="16524" hidden="1" x14ac:dyDescent="0.35"/>
    <row r="16525" hidden="1" x14ac:dyDescent="0.35"/>
    <row r="16526" hidden="1" x14ac:dyDescent="0.35"/>
    <row r="16527" hidden="1" x14ac:dyDescent="0.35"/>
    <row r="16528" hidden="1" x14ac:dyDescent="0.35"/>
    <row r="16529" hidden="1" x14ac:dyDescent="0.35"/>
    <row r="16530" hidden="1" x14ac:dyDescent="0.35"/>
    <row r="16531" hidden="1" x14ac:dyDescent="0.35"/>
    <row r="16532" hidden="1" x14ac:dyDescent="0.35"/>
    <row r="16533" hidden="1" x14ac:dyDescent="0.35"/>
    <row r="16534" hidden="1" x14ac:dyDescent="0.35"/>
    <row r="16535" hidden="1" x14ac:dyDescent="0.35"/>
    <row r="16536" hidden="1" x14ac:dyDescent="0.35"/>
    <row r="16537" hidden="1" x14ac:dyDescent="0.35"/>
    <row r="16538" hidden="1" x14ac:dyDescent="0.35"/>
    <row r="16539" hidden="1" x14ac:dyDescent="0.35"/>
    <row r="16540" hidden="1" x14ac:dyDescent="0.35"/>
    <row r="16541" hidden="1" x14ac:dyDescent="0.35"/>
    <row r="16542" hidden="1" x14ac:dyDescent="0.35"/>
    <row r="16543" hidden="1" x14ac:dyDescent="0.35"/>
    <row r="16544" hidden="1" x14ac:dyDescent="0.35"/>
    <row r="16545" hidden="1" x14ac:dyDescent="0.35"/>
    <row r="16546" hidden="1" x14ac:dyDescent="0.35"/>
    <row r="16547" hidden="1" x14ac:dyDescent="0.35"/>
    <row r="16548" hidden="1" x14ac:dyDescent="0.35"/>
    <row r="16549" hidden="1" x14ac:dyDescent="0.35"/>
    <row r="16550" hidden="1" x14ac:dyDescent="0.35"/>
    <row r="16551" hidden="1" x14ac:dyDescent="0.35"/>
    <row r="16552" hidden="1" x14ac:dyDescent="0.35"/>
    <row r="16553" hidden="1" x14ac:dyDescent="0.35"/>
    <row r="16554" hidden="1" x14ac:dyDescent="0.35"/>
    <row r="16555" hidden="1" x14ac:dyDescent="0.35"/>
    <row r="16556" hidden="1" x14ac:dyDescent="0.35"/>
    <row r="16557" hidden="1" x14ac:dyDescent="0.35"/>
    <row r="16558" hidden="1" x14ac:dyDescent="0.35"/>
    <row r="16559" hidden="1" x14ac:dyDescent="0.35"/>
    <row r="16560" hidden="1" x14ac:dyDescent="0.35"/>
    <row r="16561" hidden="1" x14ac:dyDescent="0.35"/>
    <row r="16562" hidden="1" x14ac:dyDescent="0.35"/>
    <row r="16563" hidden="1" x14ac:dyDescent="0.35"/>
    <row r="16564" hidden="1" x14ac:dyDescent="0.35"/>
    <row r="16565" hidden="1" x14ac:dyDescent="0.35"/>
    <row r="16566" hidden="1" x14ac:dyDescent="0.35"/>
    <row r="16567" hidden="1" x14ac:dyDescent="0.35"/>
    <row r="16568" hidden="1" x14ac:dyDescent="0.35"/>
    <row r="16569" hidden="1" x14ac:dyDescent="0.35"/>
    <row r="16570" hidden="1" x14ac:dyDescent="0.35"/>
    <row r="16571" hidden="1" x14ac:dyDescent="0.35"/>
    <row r="16572" hidden="1" x14ac:dyDescent="0.35"/>
    <row r="16573" hidden="1" x14ac:dyDescent="0.35"/>
    <row r="16574" hidden="1" x14ac:dyDescent="0.35"/>
    <row r="16575" hidden="1" x14ac:dyDescent="0.35"/>
    <row r="16576" hidden="1" x14ac:dyDescent="0.35"/>
    <row r="16577" hidden="1" x14ac:dyDescent="0.35"/>
    <row r="16578" hidden="1" x14ac:dyDescent="0.35"/>
    <row r="16579" hidden="1" x14ac:dyDescent="0.35"/>
    <row r="16580" hidden="1" x14ac:dyDescent="0.35"/>
    <row r="16581" hidden="1" x14ac:dyDescent="0.35"/>
    <row r="16582" hidden="1" x14ac:dyDescent="0.35"/>
    <row r="16583" hidden="1" x14ac:dyDescent="0.35"/>
    <row r="16584" hidden="1" x14ac:dyDescent="0.35"/>
    <row r="16585" hidden="1" x14ac:dyDescent="0.35"/>
    <row r="16586" hidden="1" x14ac:dyDescent="0.35"/>
    <row r="16587" hidden="1" x14ac:dyDescent="0.35"/>
    <row r="16588" hidden="1" x14ac:dyDescent="0.35"/>
    <row r="16589" hidden="1" x14ac:dyDescent="0.35"/>
    <row r="16590" hidden="1" x14ac:dyDescent="0.35"/>
    <row r="16591" hidden="1" x14ac:dyDescent="0.35"/>
    <row r="16592" hidden="1" x14ac:dyDescent="0.35"/>
    <row r="16593" hidden="1" x14ac:dyDescent="0.35"/>
    <row r="16594" hidden="1" x14ac:dyDescent="0.35"/>
    <row r="16595" hidden="1" x14ac:dyDescent="0.35"/>
    <row r="16596" hidden="1" x14ac:dyDescent="0.35"/>
    <row r="16597" hidden="1" x14ac:dyDescent="0.35"/>
    <row r="16598" hidden="1" x14ac:dyDescent="0.35"/>
    <row r="16599" hidden="1" x14ac:dyDescent="0.35"/>
    <row r="16600" hidden="1" x14ac:dyDescent="0.35"/>
    <row r="16601" hidden="1" x14ac:dyDescent="0.35"/>
    <row r="16602" hidden="1" x14ac:dyDescent="0.35"/>
    <row r="16603" hidden="1" x14ac:dyDescent="0.35"/>
    <row r="16604" hidden="1" x14ac:dyDescent="0.35"/>
    <row r="16605" hidden="1" x14ac:dyDescent="0.35"/>
    <row r="16606" hidden="1" x14ac:dyDescent="0.35"/>
    <row r="16607" hidden="1" x14ac:dyDescent="0.35"/>
    <row r="16608" hidden="1" x14ac:dyDescent="0.35"/>
    <row r="16609" hidden="1" x14ac:dyDescent="0.35"/>
    <row r="16610" hidden="1" x14ac:dyDescent="0.35"/>
    <row r="16611" hidden="1" x14ac:dyDescent="0.35"/>
    <row r="16612" hidden="1" x14ac:dyDescent="0.35"/>
    <row r="16613" hidden="1" x14ac:dyDescent="0.35"/>
    <row r="16614" hidden="1" x14ac:dyDescent="0.35"/>
    <row r="16615" hidden="1" x14ac:dyDescent="0.35"/>
    <row r="16616" hidden="1" x14ac:dyDescent="0.35"/>
    <row r="16617" hidden="1" x14ac:dyDescent="0.35"/>
    <row r="16618" hidden="1" x14ac:dyDescent="0.35"/>
    <row r="16619" hidden="1" x14ac:dyDescent="0.35"/>
    <row r="16620" hidden="1" x14ac:dyDescent="0.35"/>
    <row r="16621" hidden="1" x14ac:dyDescent="0.35"/>
    <row r="16622" hidden="1" x14ac:dyDescent="0.35"/>
    <row r="16623" hidden="1" x14ac:dyDescent="0.35"/>
    <row r="16624" hidden="1" x14ac:dyDescent="0.35"/>
    <row r="16625" hidden="1" x14ac:dyDescent="0.35"/>
    <row r="16626" hidden="1" x14ac:dyDescent="0.35"/>
    <row r="16627" hidden="1" x14ac:dyDescent="0.35"/>
    <row r="16628" hidden="1" x14ac:dyDescent="0.35"/>
    <row r="16629" hidden="1" x14ac:dyDescent="0.35"/>
    <row r="16630" hidden="1" x14ac:dyDescent="0.35"/>
    <row r="16631" hidden="1" x14ac:dyDescent="0.35"/>
    <row r="16632" hidden="1" x14ac:dyDescent="0.35"/>
    <row r="16633" hidden="1" x14ac:dyDescent="0.35"/>
    <row r="16634" hidden="1" x14ac:dyDescent="0.35"/>
    <row r="16635" hidden="1" x14ac:dyDescent="0.35"/>
    <row r="16636" hidden="1" x14ac:dyDescent="0.35"/>
    <row r="16637" hidden="1" x14ac:dyDescent="0.35"/>
    <row r="16638" hidden="1" x14ac:dyDescent="0.35"/>
    <row r="16639" hidden="1" x14ac:dyDescent="0.35"/>
    <row r="16640" hidden="1" x14ac:dyDescent="0.35"/>
    <row r="16641" hidden="1" x14ac:dyDescent="0.35"/>
    <row r="16642" hidden="1" x14ac:dyDescent="0.35"/>
    <row r="16643" hidden="1" x14ac:dyDescent="0.35"/>
    <row r="16644" hidden="1" x14ac:dyDescent="0.35"/>
    <row r="16645" hidden="1" x14ac:dyDescent="0.35"/>
    <row r="16646" hidden="1" x14ac:dyDescent="0.35"/>
    <row r="16647" hidden="1" x14ac:dyDescent="0.35"/>
    <row r="16648" hidden="1" x14ac:dyDescent="0.35"/>
    <row r="16649" hidden="1" x14ac:dyDescent="0.35"/>
    <row r="16650" hidden="1" x14ac:dyDescent="0.35"/>
    <row r="16651" hidden="1" x14ac:dyDescent="0.35"/>
    <row r="16652" hidden="1" x14ac:dyDescent="0.35"/>
    <row r="16653" hidden="1" x14ac:dyDescent="0.35"/>
    <row r="16654" hidden="1" x14ac:dyDescent="0.35"/>
    <row r="16655" hidden="1" x14ac:dyDescent="0.35"/>
    <row r="16656" hidden="1" x14ac:dyDescent="0.35"/>
    <row r="16657" hidden="1" x14ac:dyDescent="0.35"/>
    <row r="16658" hidden="1" x14ac:dyDescent="0.35"/>
    <row r="16659" hidden="1" x14ac:dyDescent="0.35"/>
    <row r="16660" hidden="1" x14ac:dyDescent="0.35"/>
    <row r="16661" hidden="1" x14ac:dyDescent="0.35"/>
    <row r="16662" hidden="1" x14ac:dyDescent="0.35"/>
    <row r="16663" hidden="1" x14ac:dyDescent="0.35"/>
    <row r="16664" hidden="1" x14ac:dyDescent="0.35"/>
    <row r="16665" hidden="1" x14ac:dyDescent="0.35"/>
    <row r="16666" hidden="1" x14ac:dyDescent="0.35"/>
    <row r="16667" hidden="1" x14ac:dyDescent="0.35"/>
    <row r="16668" hidden="1" x14ac:dyDescent="0.35"/>
    <row r="16669" hidden="1" x14ac:dyDescent="0.35"/>
    <row r="16670" hidden="1" x14ac:dyDescent="0.35"/>
    <row r="16671" hidden="1" x14ac:dyDescent="0.35"/>
    <row r="16672" hidden="1" x14ac:dyDescent="0.35"/>
    <row r="16673" hidden="1" x14ac:dyDescent="0.35"/>
    <row r="16674" hidden="1" x14ac:dyDescent="0.35"/>
    <row r="16675" hidden="1" x14ac:dyDescent="0.35"/>
    <row r="16676" hidden="1" x14ac:dyDescent="0.35"/>
    <row r="16677" hidden="1" x14ac:dyDescent="0.35"/>
    <row r="16678" hidden="1" x14ac:dyDescent="0.35"/>
    <row r="16679" hidden="1" x14ac:dyDescent="0.35"/>
    <row r="16680" hidden="1" x14ac:dyDescent="0.35"/>
    <row r="16681" hidden="1" x14ac:dyDescent="0.35"/>
    <row r="16682" hidden="1" x14ac:dyDescent="0.35"/>
    <row r="16683" hidden="1" x14ac:dyDescent="0.35"/>
    <row r="16684" hidden="1" x14ac:dyDescent="0.35"/>
    <row r="16685" hidden="1" x14ac:dyDescent="0.35"/>
    <row r="16686" hidden="1" x14ac:dyDescent="0.35"/>
    <row r="16687" hidden="1" x14ac:dyDescent="0.35"/>
    <row r="16688" hidden="1" x14ac:dyDescent="0.35"/>
    <row r="16689" hidden="1" x14ac:dyDescent="0.35"/>
    <row r="16690" hidden="1" x14ac:dyDescent="0.35"/>
    <row r="16691" hidden="1" x14ac:dyDescent="0.35"/>
    <row r="16692" hidden="1" x14ac:dyDescent="0.35"/>
    <row r="16693" hidden="1" x14ac:dyDescent="0.35"/>
    <row r="16694" hidden="1" x14ac:dyDescent="0.35"/>
    <row r="16695" hidden="1" x14ac:dyDescent="0.35"/>
    <row r="16696" hidden="1" x14ac:dyDescent="0.35"/>
    <row r="16697" hidden="1" x14ac:dyDescent="0.35"/>
    <row r="16698" hidden="1" x14ac:dyDescent="0.35"/>
    <row r="16699" hidden="1" x14ac:dyDescent="0.35"/>
    <row r="16700" hidden="1" x14ac:dyDescent="0.35"/>
    <row r="16701" hidden="1" x14ac:dyDescent="0.35"/>
    <row r="16702" hidden="1" x14ac:dyDescent="0.35"/>
    <row r="16703" hidden="1" x14ac:dyDescent="0.35"/>
    <row r="16704" hidden="1" x14ac:dyDescent="0.35"/>
    <row r="16705" hidden="1" x14ac:dyDescent="0.35"/>
    <row r="16706" hidden="1" x14ac:dyDescent="0.35"/>
    <row r="16707" hidden="1" x14ac:dyDescent="0.35"/>
    <row r="16708" hidden="1" x14ac:dyDescent="0.35"/>
    <row r="16709" hidden="1" x14ac:dyDescent="0.35"/>
    <row r="16710" hidden="1" x14ac:dyDescent="0.35"/>
    <row r="16711" hidden="1" x14ac:dyDescent="0.35"/>
    <row r="16712" hidden="1" x14ac:dyDescent="0.35"/>
    <row r="16713" hidden="1" x14ac:dyDescent="0.35"/>
    <row r="16714" hidden="1" x14ac:dyDescent="0.35"/>
    <row r="16715" hidden="1" x14ac:dyDescent="0.35"/>
    <row r="16716" hidden="1" x14ac:dyDescent="0.35"/>
    <row r="16717" hidden="1" x14ac:dyDescent="0.35"/>
    <row r="16718" hidden="1" x14ac:dyDescent="0.35"/>
    <row r="16719" hidden="1" x14ac:dyDescent="0.35"/>
    <row r="16720" hidden="1" x14ac:dyDescent="0.35"/>
    <row r="16721" hidden="1" x14ac:dyDescent="0.35"/>
    <row r="16722" hidden="1" x14ac:dyDescent="0.35"/>
    <row r="16723" hidden="1" x14ac:dyDescent="0.35"/>
    <row r="16724" hidden="1" x14ac:dyDescent="0.35"/>
    <row r="16725" hidden="1" x14ac:dyDescent="0.35"/>
    <row r="16726" hidden="1" x14ac:dyDescent="0.35"/>
    <row r="16727" hidden="1" x14ac:dyDescent="0.35"/>
    <row r="16728" hidden="1" x14ac:dyDescent="0.35"/>
    <row r="16729" hidden="1" x14ac:dyDescent="0.35"/>
    <row r="16730" hidden="1" x14ac:dyDescent="0.35"/>
    <row r="16731" hidden="1" x14ac:dyDescent="0.35"/>
    <row r="16732" hidden="1" x14ac:dyDescent="0.35"/>
    <row r="16733" hidden="1" x14ac:dyDescent="0.35"/>
    <row r="16734" hidden="1" x14ac:dyDescent="0.35"/>
    <row r="16735" hidden="1" x14ac:dyDescent="0.35"/>
    <row r="16736" hidden="1" x14ac:dyDescent="0.35"/>
    <row r="16737" hidden="1" x14ac:dyDescent="0.35"/>
    <row r="16738" hidden="1" x14ac:dyDescent="0.35"/>
    <row r="16739" hidden="1" x14ac:dyDescent="0.35"/>
    <row r="16740" hidden="1" x14ac:dyDescent="0.35"/>
    <row r="16741" hidden="1" x14ac:dyDescent="0.35"/>
    <row r="16742" hidden="1" x14ac:dyDescent="0.35"/>
    <row r="16743" hidden="1" x14ac:dyDescent="0.35"/>
    <row r="16744" hidden="1" x14ac:dyDescent="0.35"/>
    <row r="16745" hidden="1" x14ac:dyDescent="0.35"/>
    <row r="16746" hidden="1" x14ac:dyDescent="0.35"/>
    <row r="16747" hidden="1" x14ac:dyDescent="0.35"/>
    <row r="16748" hidden="1" x14ac:dyDescent="0.35"/>
    <row r="16749" hidden="1" x14ac:dyDescent="0.35"/>
    <row r="16750" hidden="1" x14ac:dyDescent="0.35"/>
    <row r="16751" hidden="1" x14ac:dyDescent="0.35"/>
    <row r="16752" hidden="1" x14ac:dyDescent="0.35"/>
    <row r="16753" hidden="1" x14ac:dyDescent="0.35"/>
    <row r="16754" hidden="1" x14ac:dyDescent="0.35"/>
    <row r="16755" hidden="1" x14ac:dyDescent="0.35"/>
    <row r="16756" hidden="1" x14ac:dyDescent="0.35"/>
    <row r="16757" hidden="1" x14ac:dyDescent="0.35"/>
    <row r="16758" hidden="1" x14ac:dyDescent="0.35"/>
    <row r="16759" hidden="1" x14ac:dyDescent="0.35"/>
    <row r="16760" hidden="1" x14ac:dyDescent="0.35"/>
    <row r="16761" hidden="1" x14ac:dyDescent="0.35"/>
    <row r="16762" hidden="1" x14ac:dyDescent="0.35"/>
    <row r="16763" hidden="1" x14ac:dyDescent="0.35"/>
    <row r="16764" hidden="1" x14ac:dyDescent="0.35"/>
    <row r="16765" hidden="1" x14ac:dyDescent="0.35"/>
    <row r="16766" hidden="1" x14ac:dyDescent="0.35"/>
    <row r="16767" hidden="1" x14ac:dyDescent="0.35"/>
    <row r="16768" hidden="1" x14ac:dyDescent="0.35"/>
    <row r="16769" hidden="1" x14ac:dyDescent="0.35"/>
    <row r="16770" hidden="1" x14ac:dyDescent="0.35"/>
    <row r="16771" hidden="1" x14ac:dyDescent="0.35"/>
    <row r="16772" hidden="1" x14ac:dyDescent="0.35"/>
    <row r="16773" hidden="1" x14ac:dyDescent="0.35"/>
    <row r="16774" hidden="1" x14ac:dyDescent="0.35"/>
    <row r="16775" hidden="1" x14ac:dyDescent="0.35"/>
    <row r="16776" hidden="1" x14ac:dyDescent="0.35"/>
    <row r="16777" hidden="1" x14ac:dyDescent="0.35"/>
    <row r="16778" hidden="1" x14ac:dyDescent="0.35"/>
    <row r="16779" hidden="1" x14ac:dyDescent="0.35"/>
    <row r="16780" hidden="1" x14ac:dyDescent="0.35"/>
    <row r="16781" hidden="1" x14ac:dyDescent="0.35"/>
    <row r="16782" hidden="1" x14ac:dyDescent="0.35"/>
    <row r="16783" hidden="1" x14ac:dyDescent="0.35"/>
    <row r="16784" hidden="1" x14ac:dyDescent="0.35"/>
    <row r="16785" hidden="1" x14ac:dyDescent="0.35"/>
    <row r="16786" hidden="1" x14ac:dyDescent="0.35"/>
    <row r="16787" hidden="1" x14ac:dyDescent="0.35"/>
    <row r="16788" hidden="1" x14ac:dyDescent="0.35"/>
    <row r="16789" hidden="1" x14ac:dyDescent="0.35"/>
    <row r="16790" hidden="1" x14ac:dyDescent="0.35"/>
    <row r="16791" hidden="1" x14ac:dyDescent="0.35"/>
    <row r="16792" hidden="1" x14ac:dyDescent="0.35"/>
    <row r="16793" hidden="1" x14ac:dyDescent="0.35"/>
    <row r="16794" hidden="1" x14ac:dyDescent="0.35"/>
    <row r="16795" hidden="1" x14ac:dyDescent="0.35"/>
    <row r="16796" hidden="1" x14ac:dyDescent="0.35"/>
    <row r="16797" hidden="1" x14ac:dyDescent="0.35"/>
    <row r="16798" hidden="1" x14ac:dyDescent="0.35"/>
    <row r="16799" hidden="1" x14ac:dyDescent="0.35"/>
    <row r="16800" hidden="1" x14ac:dyDescent="0.35"/>
    <row r="16801" hidden="1" x14ac:dyDescent="0.35"/>
    <row r="16802" hidden="1" x14ac:dyDescent="0.35"/>
    <row r="16803" hidden="1" x14ac:dyDescent="0.35"/>
    <row r="16804" hidden="1" x14ac:dyDescent="0.35"/>
    <row r="16805" hidden="1" x14ac:dyDescent="0.35"/>
    <row r="16806" hidden="1" x14ac:dyDescent="0.35"/>
    <row r="16807" hidden="1" x14ac:dyDescent="0.35"/>
    <row r="16808" hidden="1" x14ac:dyDescent="0.35"/>
    <row r="16809" hidden="1" x14ac:dyDescent="0.35"/>
    <row r="16810" hidden="1" x14ac:dyDescent="0.35"/>
    <row r="16811" hidden="1" x14ac:dyDescent="0.35"/>
    <row r="16812" hidden="1" x14ac:dyDescent="0.35"/>
    <row r="16813" hidden="1" x14ac:dyDescent="0.35"/>
    <row r="16814" hidden="1" x14ac:dyDescent="0.35"/>
    <row r="16815" hidden="1" x14ac:dyDescent="0.35"/>
    <row r="16816" hidden="1" x14ac:dyDescent="0.35"/>
    <row r="16817" hidden="1" x14ac:dyDescent="0.35"/>
    <row r="16818" hidden="1" x14ac:dyDescent="0.35"/>
    <row r="16819" hidden="1" x14ac:dyDescent="0.35"/>
    <row r="16820" hidden="1" x14ac:dyDescent="0.35"/>
    <row r="16821" hidden="1" x14ac:dyDescent="0.35"/>
    <row r="16822" hidden="1" x14ac:dyDescent="0.35"/>
    <row r="16823" hidden="1" x14ac:dyDescent="0.35"/>
    <row r="16824" hidden="1" x14ac:dyDescent="0.35"/>
    <row r="16825" hidden="1" x14ac:dyDescent="0.35"/>
    <row r="16826" hidden="1" x14ac:dyDescent="0.35"/>
    <row r="16827" hidden="1" x14ac:dyDescent="0.35"/>
    <row r="16828" hidden="1" x14ac:dyDescent="0.35"/>
    <row r="16829" hidden="1" x14ac:dyDescent="0.35"/>
    <row r="16830" hidden="1" x14ac:dyDescent="0.35"/>
    <row r="16831" hidden="1" x14ac:dyDescent="0.35"/>
    <row r="16832" hidden="1" x14ac:dyDescent="0.35"/>
    <row r="16833" hidden="1" x14ac:dyDescent="0.35"/>
    <row r="16834" hidden="1" x14ac:dyDescent="0.35"/>
    <row r="16835" hidden="1" x14ac:dyDescent="0.35"/>
    <row r="16836" hidden="1" x14ac:dyDescent="0.35"/>
    <row r="16837" hidden="1" x14ac:dyDescent="0.35"/>
    <row r="16838" hidden="1" x14ac:dyDescent="0.35"/>
    <row r="16839" hidden="1" x14ac:dyDescent="0.35"/>
    <row r="16840" hidden="1" x14ac:dyDescent="0.35"/>
    <row r="16841" hidden="1" x14ac:dyDescent="0.35"/>
    <row r="16842" hidden="1" x14ac:dyDescent="0.35"/>
    <row r="16843" hidden="1" x14ac:dyDescent="0.35"/>
    <row r="16844" hidden="1" x14ac:dyDescent="0.35"/>
    <row r="16845" hidden="1" x14ac:dyDescent="0.35"/>
    <row r="16846" hidden="1" x14ac:dyDescent="0.35"/>
    <row r="16847" hidden="1" x14ac:dyDescent="0.35"/>
    <row r="16848" hidden="1" x14ac:dyDescent="0.35"/>
    <row r="16849" hidden="1" x14ac:dyDescent="0.35"/>
    <row r="16850" hidden="1" x14ac:dyDescent="0.35"/>
    <row r="16851" hidden="1" x14ac:dyDescent="0.35"/>
    <row r="16852" hidden="1" x14ac:dyDescent="0.35"/>
    <row r="16853" hidden="1" x14ac:dyDescent="0.35"/>
    <row r="16854" hidden="1" x14ac:dyDescent="0.35"/>
    <row r="16855" hidden="1" x14ac:dyDescent="0.35"/>
    <row r="16856" hidden="1" x14ac:dyDescent="0.35"/>
    <row r="16857" hidden="1" x14ac:dyDescent="0.35"/>
    <row r="16858" hidden="1" x14ac:dyDescent="0.35"/>
    <row r="16859" hidden="1" x14ac:dyDescent="0.35"/>
    <row r="16860" hidden="1" x14ac:dyDescent="0.35"/>
    <row r="16861" hidden="1" x14ac:dyDescent="0.35"/>
    <row r="16862" hidden="1" x14ac:dyDescent="0.35"/>
    <row r="16863" hidden="1" x14ac:dyDescent="0.35"/>
    <row r="16864" hidden="1" x14ac:dyDescent="0.35"/>
    <row r="16865" hidden="1" x14ac:dyDescent="0.35"/>
    <row r="16866" hidden="1" x14ac:dyDescent="0.35"/>
    <row r="16867" hidden="1" x14ac:dyDescent="0.35"/>
    <row r="16868" hidden="1" x14ac:dyDescent="0.35"/>
    <row r="16869" hidden="1" x14ac:dyDescent="0.35"/>
    <row r="16870" hidden="1" x14ac:dyDescent="0.35"/>
    <row r="16871" hidden="1" x14ac:dyDescent="0.35"/>
    <row r="16872" hidden="1" x14ac:dyDescent="0.35"/>
    <row r="16873" hidden="1" x14ac:dyDescent="0.35"/>
    <row r="16874" hidden="1" x14ac:dyDescent="0.35"/>
    <row r="16875" hidden="1" x14ac:dyDescent="0.35"/>
    <row r="16876" hidden="1" x14ac:dyDescent="0.35"/>
    <row r="16877" hidden="1" x14ac:dyDescent="0.35"/>
    <row r="16878" hidden="1" x14ac:dyDescent="0.35"/>
    <row r="16879" hidden="1" x14ac:dyDescent="0.35"/>
    <row r="16880" hidden="1" x14ac:dyDescent="0.35"/>
    <row r="16881" hidden="1" x14ac:dyDescent="0.35"/>
    <row r="16882" hidden="1" x14ac:dyDescent="0.35"/>
    <row r="16883" hidden="1" x14ac:dyDescent="0.35"/>
    <row r="16884" hidden="1" x14ac:dyDescent="0.35"/>
    <row r="16885" hidden="1" x14ac:dyDescent="0.35"/>
    <row r="16886" hidden="1" x14ac:dyDescent="0.35"/>
    <row r="16887" hidden="1" x14ac:dyDescent="0.35"/>
    <row r="16888" hidden="1" x14ac:dyDescent="0.35"/>
    <row r="16889" hidden="1" x14ac:dyDescent="0.35"/>
    <row r="16890" hidden="1" x14ac:dyDescent="0.35"/>
    <row r="16891" hidden="1" x14ac:dyDescent="0.35"/>
    <row r="16892" hidden="1" x14ac:dyDescent="0.35"/>
    <row r="16893" hidden="1" x14ac:dyDescent="0.35"/>
    <row r="16894" hidden="1" x14ac:dyDescent="0.35"/>
    <row r="16895" hidden="1" x14ac:dyDescent="0.35"/>
    <row r="16896" hidden="1" x14ac:dyDescent="0.35"/>
    <row r="16897" hidden="1" x14ac:dyDescent="0.35"/>
    <row r="16898" hidden="1" x14ac:dyDescent="0.35"/>
    <row r="16899" hidden="1" x14ac:dyDescent="0.35"/>
    <row r="16900" hidden="1" x14ac:dyDescent="0.35"/>
    <row r="16901" hidden="1" x14ac:dyDescent="0.35"/>
    <row r="16902" hidden="1" x14ac:dyDescent="0.35"/>
    <row r="16903" hidden="1" x14ac:dyDescent="0.35"/>
    <row r="16904" hidden="1" x14ac:dyDescent="0.35"/>
    <row r="16905" hidden="1" x14ac:dyDescent="0.35"/>
    <row r="16906" hidden="1" x14ac:dyDescent="0.35"/>
    <row r="16907" hidden="1" x14ac:dyDescent="0.35"/>
    <row r="16908" hidden="1" x14ac:dyDescent="0.35"/>
    <row r="16909" hidden="1" x14ac:dyDescent="0.35"/>
    <row r="16910" hidden="1" x14ac:dyDescent="0.35"/>
    <row r="16911" hidden="1" x14ac:dyDescent="0.35"/>
    <row r="16912" hidden="1" x14ac:dyDescent="0.35"/>
    <row r="16913" hidden="1" x14ac:dyDescent="0.35"/>
    <row r="16914" hidden="1" x14ac:dyDescent="0.35"/>
    <row r="16915" hidden="1" x14ac:dyDescent="0.35"/>
    <row r="16916" hidden="1" x14ac:dyDescent="0.35"/>
    <row r="16917" hidden="1" x14ac:dyDescent="0.35"/>
    <row r="16918" hidden="1" x14ac:dyDescent="0.35"/>
    <row r="16919" hidden="1" x14ac:dyDescent="0.35"/>
    <row r="16920" hidden="1" x14ac:dyDescent="0.35"/>
    <row r="16921" hidden="1" x14ac:dyDescent="0.35"/>
    <row r="16922" hidden="1" x14ac:dyDescent="0.35"/>
    <row r="16923" hidden="1" x14ac:dyDescent="0.35"/>
    <row r="16924" hidden="1" x14ac:dyDescent="0.35"/>
    <row r="16925" hidden="1" x14ac:dyDescent="0.35"/>
    <row r="16926" hidden="1" x14ac:dyDescent="0.35"/>
    <row r="16927" hidden="1" x14ac:dyDescent="0.35"/>
    <row r="16928" hidden="1" x14ac:dyDescent="0.35"/>
    <row r="16929" hidden="1" x14ac:dyDescent="0.35"/>
    <row r="16930" hidden="1" x14ac:dyDescent="0.35"/>
    <row r="16931" hidden="1" x14ac:dyDescent="0.35"/>
    <row r="16932" hidden="1" x14ac:dyDescent="0.35"/>
    <row r="16933" hidden="1" x14ac:dyDescent="0.35"/>
    <row r="16934" hidden="1" x14ac:dyDescent="0.35"/>
    <row r="16935" hidden="1" x14ac:dyDescent="0.35"/>
    <row r="16936" hidden="1" x14ac:dyDescent="0.35"/>
    <row r="16937" hidden="1" x14ac:dyDescent="0.35"/>
    <row r="16938" hidden="1" x14ac:dyDescent="0.35"/>
    <row r="16939" hidden="1" x14ac:dyDescent="0.35"/>
    <row r="16940" hidden="1" x14ac:dyDescent="0.35"/>
    <row r="16941" hidden="1" x14ac:dyDescent="0.35"/>
    <row r="16942" hidden="1" x14ac:dyDescent="0.35"/>
    <row r="16943" hidden="1" x14ac:dyDescent="0.35"/>
    <row r="16944" hidden="1" x14ac:dyDescent="0.35"/>
    <row r="16945" hidden="1" x14ac:dyDescent="0.35"/>
    <row r="16946" hidden="1" x14ac:dyDescent="0.35"/>
    <row r="16947" hidden="1" x14ac:dyDescent="0.35"/>
    <row r="16948" hidden="1" x14ac:dyDescent="0.35"/>
    <row r="16949" hidden="1" x14ac:dyDescent="0.35"/>
    <row r="16950" hidden="1" x14ac:dyDescent="0.35"/>
    <row r="16951" hidden="1" x14ac:dyDescent="0.35"/>
    <row r="16952" hidden="1" x14ac:dyDescent="0.35"/>
    <row r="16953" hidden="1" x14ac:dyDescent="0.35"/>
    <row r="16954" hidden="1" x14ac:dyDescent="0.35"/>
    <row r="16955" hidden="1" x14ac:dyDescent="0.35"/>
    <row r="16956" hidden="1" x14ac:dyDescent="0.35"/>
    <row r="16957" hidden="1" x14ac:dyDescent="0.35"/>
    <row r="16958" hidden="1" x14ac:dyDescent="0.35"/>
    <row r="16959" hidden="1" x14ac:dyDescent="0.35"/>
    <row r="16960" hidden="1" x14ac:dyDescent="0.35"/>
    <row r="16961" hidden="1" x14ac:dyDescent="0.35"/>
    <row r="16962" hidden="1" x14ac:dyDescent="0.35"/>
    <row r="16963" hidden="1" x14ac:dyDescent="0.35"/>
    <row r="16964" hidden="1" x14ac:dyDescent="0.35"/>
    <row r="16965" hidden="1" x14ac:dyDescent="0.35"/>
    <row r="16966" hidden="1" x14ac:dyDescent="0.35"/>
    <row r="16967" hidden="1" x14ac:dyDescent="0.35"/>
    <row r="16968" hidden="1" x14ac:dyDescent="0.35"/>
    <row r="16969" hidden="1" x14ac:dyDescent="0.35"/>
    <row r="16970" hidden="1" x14ac:dyDescent="0.35"/>
    <row r="16971" hidden="1" x14ac:dyDescent="0.35"/>
    <row r="16972" hidden="1" x14ac:dyDescent="0.35"/>
    <row r="16973" hidden="1" x14ac:dyDescent="0.35"/>
    <row r="16974" hidden="1" x14ac:dyDescent="0.35"/>
    <row r="16975" hidden="1" x14ac:dyDescent="0.35"/>
    <row r="16976" hidden="1" x14ac:dyDescent="0.35"/>
    <row r="16977" hidden="1" x14ac:dyDescent="0.35"/>
    <row r="16978" hidden="1" x14ac:dyDescent="0.35"/>
    <row r="16979" hidden="1" x14ac:dyDescent="0.35"/>
    <row r="16980" hidden="1" x14ac:dyDescent="0.35"/>
    <row r="16981" hidden="1" x14ac:dyDescent="0.35"/>
    <row r="16982" hidden="1" x14ac:dyDescent="0.35"/>
    <row r="16983" hidden="1" x14ac:dyDescent="0.35"/>
    <row r="16984" hidden="1" x14ac:dyDescent="0.35"/>
    <row r="16985" hidden="1" x14ac:dyDescent="0.35"/>
    <row r="16986" hidden="1" x14ac:dyDescent="0.35"/>
    <row r="16987" hidden="1" x14ac:dyDescent="0.35"/>
    <row r="16988" hidden="1" x14ac:dyDescent="0.35"/>
    <row r="16989" hidden="1" x14ac:dyDescent="0.35"/>
    <row r="16990" hidden="1" x14ac:dyDescent="0.35"/>
    <row r="16991" hidden="1" x14ac:dyDescent="0.35"/>
    <row r="16992" hidden="1" x14ac:dyDescent="0.35"/>
    <row r="16993" hidden="1" x14ac:dyDescent="0.35"/>
    <row r="16994" hidden="1" x14ac:dyDescent="0.35"/>
    <row r="16995" hidden="1" x14ac:dyDescent="0.35"/>
    <row r="16996" hidden="1" x14ac:dyDescent="0.35"/>
    <row r="16997" hidden="1" x14ac:dyDescent="0.35"/>
    <row r="16998" hidden="1" x14ac:dyDescent="0.35"/>
    <row r="16999" hidden="1" x14ac:dyDescent="0.35"/>
    <row r="17000" hidden="1" x14ac:dyDescent="0.35"/>
    <row r="17001" hidden="1" x14ac:dyDescent="0.35"/>
    <row r="17002" hidden="1" x14ac:dyDescent="0.35"/>
    <row r="17003" hidden="1" x14ac:dyDescent="0.35"/>
    <row r="17004" hidden="1" x14ac:dyDescent="0.35"/>
    <row r="17005" hidden="1" x14ac:dyDescent="0.35"/>
    <row r="17006" hidden="1" x14ac:dyDescent="0.35"/>
    <row r="17007" hidden="1" x14ac:dyDescent="0.35"/>
    <row r="17008" hidden="1" x14ac:dyDescent="0.35"/>
    <row r="17009" hidden="1" x14ac:dyDescent="0.35"/>
    <row r="17010" hidden="1" x14ac:dyDescent="0.35"/>
    <row r="17011" hidden="1" x14ac:dyDescent="0.35"/>
    <row r="17012" hidden="1" x14ac:dyDescent="0.35"/>
    <row r="17013" hidden="1" x14ac:dyDescent="0.35"/>
    <row r="17014" hidden="1" x14ac:dyDescent="0.35"/>
    <row r="17015" hidden="1" x14ac:dyDescent="0.35"/>
    <row r="17016" hidden="1" x14ac:dyDescent="0.35"/>
    <row r="17017" hidden="1" x14ac:dyDescent="0.35"/>
    <row r="17018" hidden="1" x14ac:dyDescent="0.35"/>
    <row r="17019" hidden="1" x14ac:dyDescent="0.35"/>
    <row r="17020" hidden="1" x14ac:dyDescent="0.35"/>
    <row r="17021" hidden="1" x14ac:dyDescent="0.35"/>
    <row r="17022" hidden="1" x14ac:dyDescent="0.35"/>
    <row r="17023" hidden="1" x14ac:dyDescent="0.35"/>
    <row r="17024" hidden="1" x14ac:dyDescent="0.35"/>
    <row r="17025" hidden="1" x14ac:dyDescent="0.35"/>
    <row r="17026" hidden="1" x14ac:dyDescent="0.35"/>
    <row r="17027" hidden="1" x14ac:dyDescent="0.35"/>
    <row r="17028" hidden="1" x14ac:dyDescent="0.35"/>
    <row r="17029" hidden="1" x14ac:dyDescent="0.35"/>
    <row r="17030" hidden="1" x14ac:dyDescent="0.35"/>
    <row r="17031" hidden="1" x14ac:dyDescent="0.35"/>
    <row r="17032" hidden="1" x14ac:dyDescent="0.35"/>
    <row r="17033" hidden="1" x14ac:dyDescent="0.35"/>
    <row r="17034" hidden="1" x14ac:dyDescent="0.35"/>
    <row r="17035" hidden="1" x14ac:dyDescent="0.35"/>
    <row r="17036" hidden="1" x14ac:dyDescent="0.35"/>
    <row r="17037" hidden="1" x14ac:dyDescent="0.35"/>
    <row r="17038" hidden="1" x14ac:dyDescent="0.35"/>
    <row r="17039" hidden="1" x14ac:dyDescent="0.35"/>
    <row r="17040" hidden="1" x14ac:dyDescent="0.35"/>
    <row r="17041" hidden="1" x14ac:dyDescent="0.35"/>
    <row r="17042" hidden="1" x14ac:dyDescent="0.35"/>
    <row r="17043" hidden="1" x14ac:dyDescent="0.35"/>
    <row r="17044" hidden="1" x14ac:dyDescent="0.35"/>
    <row r="17045" hidden="1" x14ac:dyDescent="0.35"/>
    <row r="17046" hidden="1" x14ac:dyDescent="0.35"/>
    <row r="17047" hidden="1" x14ac:dyDescent="0.35"/>
    <row r="17048" hidden="1" x14ac:dyDescent="0.35"/>
    <row r="17049" hidden="1" x14ac:dyDescent="0.35"/>
    <row r="17050" hidden="1" x14ac:dyDescent="0.35"/>
    <row r="17051" hidden="1" x14ac:dyDescent="0.35"/>
    <row r="17052" hidden="1" x14ac:dyDescent="0.35"/>
    <row r="17053" hidden="1" x14ac:dyDescent="0.35"/>
    <row r="17054" hidden="1" x14ac:dyDescent="0.35"/>
    <row r="17055" hidden="1" x14ac:dyDescent="0.35"/>
    <row r="17056" hidden="1" x14ac:dyDescent="0.35"/>
    <row r="17057" hidden="1" x14ac:dyDescent="0.35"/>
    <row r="17058" hidden="1" x14ac:dyDescent="0.35"/>
    <row r="17059" hidden="1" x14ac:dyDescent="0.35"/>
    <row r="17060" hidden="1" x14ac:dyDescent="0.35"/>
    <row r="17061" hidden="1" x14ac:dyDescent="0.35"/>
    <row r="17062" hidden="1" x14ac:dyDescent="0.35"/>
    <row r="17063" hidden="1" x14ac:dyDescent="0.35"/>
    <row r="17064" hidden="1" x14ac:dyDescent="0.35"/>
    <row r="17065" hidden="1" x14ac:dyDescent="0.35"/>
    <row r="17066" hidden="1" x14ac:dyDescent="0.35"/>
    <row r="17067" hidden="1" x14ac:dyDescent="0.35"/>
    <row r="17068" hidden="1" x14ac:dyDescent="0.35"/>
    <row r="17069" hidden="1" x14ac:dyDescent="0.35"/>
    <row r="17070" hidden="1" x14ac:dyDescent="0.35"/>
    <row r="17071" hidden="1" x14ac:dyDescent="0.35"/>
    <row r="17072" hidden="1" x14ac:dyDescent="0.35"/>
    <row r="17073" hidden="1" x14ac:dyDescent="0.35"/>
    <row r="17074" hidden="1" x14ac:dyDescent="0.35"/>
    <row r="17075" hidden="1" x14ac:dyDescent="0.35"/>
    <row r="17076" hidden="1" x14ac:dyDescent="0.35"/>
    <row r="17077" hidden="1" x14ac:dyDescent="0.35"/>
    <row r="17078" hidden="1" x14ac:dyDescent="0.35"/>
    <row r="17079" hidden="1" x14ac:dyDescent="0.35"/>
    <row r="17080" hidden="1" x14ac:dyDescent="0.35"/>
    <row r="17081" hidden="1" x14ac:dyDescent="0.35"/>
    <row r="17082" hidden="1" x14ac:dyDescent="0.35"/>
    <row r="17083" hidden="1" x14ac:dyDescent="0.35"/>
    <row r="17084" hidden="1" x14ac:dyDescent="0.35"/>
    <row r="17085" hidden="1" x14ac:dyDescent="0.35"/>
    <row r="17086" hidden="1" x14ac:dyDescent="0.35"/>
    <row r="17087" hidden="1" x14ac:dyDescent="0.35"/>
    <row r="17088" hidden="1" x14ac:dyDescent="0.35"/>
    <row r="17089" hidden="1" x14ac:dyDescent="0.35"/>
    <row r="17090" hidden="1" x14ac:dyDescent="0.35"/>
    <row r="17091" hidden="1" x14ac:dyDescent="0.35"/>
    <row r="17092" hidden="1" x14ac:dyDescent="0.35"/>
    <row r="17093" hidden="1" x14ac:dyDescent="0.35"/>
    <row r="17094" hidden="1" x14ac:dyDescent="0.35"/>
    <row r="17095" hidden="1" x14ac:dyDescent="0.35"/>
    <row r="17096" hidden="1" x14ac:dyDescent="0.35"/>
    <row r="17097" hidden="1" x14ac:dyDescent="0.35"/>
    <row r="17098" hidden="1" x14ac:dyDescent="0.35"/>
    <row r="17099" hidden="1" x14ac:dyDescent="0.35"/>
    <row r="17100" hidden="1" x14ac:dyDescent="0.35"/>
    <row r="17101" hidden="1" x14ac:dyDescent="0.35"/>
    <row r="17102" hidden="1" x14ac:dyDescent="0.35"/>
    <row r="17103" hidden="1" x14ac:dyDescent="0.35"/>
    <row r="17104" hidden="1" x14ac:dyDescent="0.35"/>
    <row r="17105" hidden="1" x14ac:dyDescent="0.35"/>
    <row r="17106" hidden="1" x14ac:dyDescent="0.35"/>
    <row r="17107" hidden="1" x14ac:dyDescent="0.35"/>
    <row r="17108" hidden="1" x14ac:dyDescent="0.35"/>
    <row r="17109" hidden="1" x14ac:dyDescent="0.35"/>
    <row r="17110" hidden="1" x14ac:dyDescent="0.35"/>
    <row r="17111" hidden="1" x14ac:dyDescent="0.35"/>
    <row r="17112" hidden="1" x14ac:dyDescent="0.35"/>
    <row r="17113" hidden="1" x14ac:dyDescent="0.35"/>
    <row r="17114" hidden="1" x14ac:dyDescent="0.35"/>
    <row r="17115" hidden="1" x14ac:dyDescent="0.35"/>
    <row r="17116" hidden="1" x14ac:dyDescent="0.35"/>
    <row r="17117" hidden="1" x14ac:dyDescent="0.35"/>
    <row r="17118" hidden="1" x14ac:dyDescent="0.35"/>
    <row r="17119" hidden="1" x14ac:dyDescent="0.35"/>
    <row r="17120" hidden="1" x14ac:dyDescent="0.35"/>
    <row r="17121" hidden="1" x14ac:dyDescent="0.35"/>
    <row r="17122" hidden="1" x14ac:dyDescent="0.35"/>
    <row r="17123" hidden="1" x14ac:dyDescent="0.35"/>
    <row r="17124" hidden="1" x14ac:dyDescent="0.35"/>
    <row r="17125" hidden="1" x14ac:dyDescent="0.35"/>
    <row r="17126" hidden="1" x14ac:dyDescent="0.35"/>
    <row r="17127" hidden="1" x14ac:dyDescent="0.35"/>
    <row r="17128" hidden="1" x14ac:dyDescent="0.35"/>
    <row r="17129" hidden="1" x14ac:dyDescent="0.35"/>
    <row r="17130" hidden="1" x14ac:dyDescent="0.35"/>
    <row r="17131" hidden="1" x14ac:dyDescent="0.35"/>
    <row r="17132" hidden="1" x14ac:dyDescent="0.35"/>
    <row r="17133" hidden="1" x14ac:dyDescent="0.35"/>
    <row r="17134" hidden="1" x14ac:dyDescent="0.35"/>
    <row r="17135" hidden="1" x14ac:dyDescent="0.35"/>
    <row r="17136" hidden="1" x14ac:dyDescent="0.35"/>
    <row r="17137" hidden="1" x14ac:dyDescent="0.35"/>
    <row r="17138" hidden="1" x14ac:dyDescent="0.35"/>
    <row r="17139" hidden="1" x14ac:dyDescent="0.35"/>
    <row r="17140" hidden="1" x14ac:dyDescent="0.35"/>
    <row r="17141" hidden="1" x14ac:dyDescent="0.35"/>
    <row r="17142" hidden="1" x14ac:dyDescent="0.35"/>
    <row r="17143" hidden="1" x14ac:dyDescent="0.35"/>
    <row r="17144" hidden="1" x14ac:dyDescent="0.35"/>
    <row r="17145" hidden="1" x14ac:dyDescent="0.35"/>
    <row r="17146" hidden="1" x14ac:dyDescent="0.35"/>
    <row r="17147" hidden="1" x14ac:dyDescent="0.35"/>
    <row r="17148" hidden="1" x14ac:dyDescent="0.35"/>
    <row r="17149" hidden="1" x14ac:dyDescent="0.35"/>
    <row r="17150" hidden="1" x14ac:dyDescent="0.35"/>
    <row r="17151" hidden="1" x14ac:dyDescent="0.35"/>
    <row r="17152" hidden="1" x14ac:dyDescent="0.35"/>
    <row r="17153" hidden="1" x14ac:dyDescent="0.35"/>
    <row r="17154" hidden="1" x14ac:dyDescent="0.35"/>
    <row r="17155" hidden="1" x14ac:dyDescent="0.35"/>
    <row r="17156" hidden="1" x14ac:dyDescent="0.35"/>
    <row r="17157" hidden="1" x14ac:dyDescent="0.35"/>
    <row r="17158" hidden="1" x14ac:dyDescent="0.35"/>
    <row r="17159" hidden="1" x14ac:dyDescent="0.35"/>
    <row r="17160" hidden="1" x14ac:dyDescent="0.35"/>
    <row r="17161" hidden="1" x14ac:dyDescent="0.35"/>
    <row r="17162" hidden="1" x14ac:dyDescent="0.35"/>
    <row r="17163" hidden="1" x14ac:dyDescent="0.35"/>
    <row r="17164" hidden="1" x14ac:dyDescent="0.35"/>
    <row r="17165" hidden="1" x14ac:dyDescent="0.35"/>
    <row r="17166" hidden="1" x14ac:dyDescent="0.35"/>
    <row r="17167" hidden="1" x14ac:dyDescent="0.35"/>
    <row r="17168" hidden="1" x14ac:dyDescent="0.35"/>
    <row r="17169" hidden="1" x14ac:dyDescent="0.35"/>
    <row r="17170" hidden="1" x14ac:dyDescent="0.35"/>
    <row r="17171" hidden="1" x14ac:dyDescent="0.35"/>
    <row r="17172" hidden="1" x14ac:dyDescent="0.35"/>
    <row r="17173" hidden="1" x14ac:dyDescent="0.35"/>
    <row r="17174" hidden="1" x14ac:dyDescent="0.35"/>
    <row r="17175" hidden="1" x14ac:dyDescent="0.35"/>
    <row r="17176" hidden="1" x14ac:dyDescent="0.35"/>
    <row r="17177" hidden="1" x14ac:dyDescent="0.35"/>
    <row r="17178" hidden="1" x14ac:dyDescent="0.35"/>
    <row r="17179" hidden="1" x14ac:dyDescent="0.35"/>
    <row r="17180" hidden="1" x14ac:dyDescent="0.35"/>
    <row r="17181" hidden="1" x14ac:dyDescent="0.35"/>
    <row r="17182" hidden="1" x14ac:dyDescent="0.35"/>
    <row r="17183" hidden="1" x14ac:dyDescent="0.35"/>
    <row r="17184" hidden="1" x14ac:dyDescent="0.35"/>
    <row r="17185" hidden="1" x14ac:dyDescent="0.35"/>
    <row r="17186" hidden="1" x14ac:dyDescent="0.35"/>
    <row r="17187" hidden="1" x14ac:dyDescent="0.35"/>
    <row r="17188" hidden="1" x14ac:dyDescent="0.35"/>
    <row r="17189" hidden="1" x14ac:dyDescent="0.35"/>
    <row r="17190" hidden="1" x14ac:dyDescent="0.35"/>
    <row r="17191" hidden="1" x14ac:dyDescent="0.35"/>
    <row r="17192" hidden="1" x14ac:dyDescent="0.35"/>
    <row r="17193" hidden="1" x14ac:dyDescent="0.35"/>
    <row r="17194" hidden="1" x14ac:dyDescent="0.35"/>
    <row r="17195" hidden="1" x14ac:dyDescent="0.35"/>
    <row r="17196" hidden="1" x14ac:dyDescent="0.35"/>
    <row r="17197" hidden="1" x14ac:dyDescent="0.35"/>
    <row r="17198" hidden="1" x14ac:dyDescent="0.35"/>
    <row r="17199" hidden="1" x14ac:dyDescent="0.35"/>
    <row r="17200" hidden="1" x14ac:dyDescent="0.35"/>
    <row r="17201" hidden="1" x14ac:dyDescent="0.35"/>
    <row r="17202" hidden="1" x14ac:dyDescent="0.35"/>
    <row r="17203" hidden="1" x14ac:dyDescent="0.35"/>
    <row r="17204" hidden="1" x14ac:dyDescent="0.35"/>
    <row r="17205" hidden="1" x14ac:dyDescent="0.35"/>
    <row r="17206" hidden="1" x14ac:dyDescent="0.35"/>
    <row r="17207" hidden="1" x14ac:dyDescent="0.35"/>
    <row r="17208" hidden="1" x14ac:dyDescent="0.35"/>
    <row r="17209" hidden="1" x14ac:dyDescent="0.35"/>
    <row r="17210" hidden="1" x14ac:dyDescent="0.35"/>
    <row r="17211" hidden="1" x14ac:dyDescent="0.35"/>
    <row r="17212" hidden="1" x14ac:dyDescent="0.35"/>
    <row r="17213" hidden="1" x14ac:dyDescent="0.35"/>
    <row r="17214" hidden="1" x14ac:dyDescent="0.35"/>
    <row r="17215" hidden="1" x14ac:dyDescent="0.35"/>
    <row r="17216" hidden="1" x14ac:dyDescent="0.35"/>
    <row r="17217" hidden="1" x14ac:dyDescent="0.35"/>
    <row r="17218" hidden="1" x14ac:dyDescent="0.35"/>
    <row r="17219" hidden="1" x14ac:dyDescent="0.35"/>
    <row r="17220" hidden="1" x14ac:dyDescent="0.35"/>
    <row r="17221" hidden="1" x14ac:dyDescent="0.35"/>
    <row r="17222" hidden="1" x14ac:dyDescent="0.35"/>
    <row r="17223" hidden="1" x14ac:dyDescent="0.35"/>
    <row r="17224" hidden="1" x14ac:dyDescent="0.35"/>
    <row r="17225" hidden="1" x14ac:dyDescent="0.35"/>
    <row r="17226" hidden="1" x14ac:dyDescent="0.35"/>
    <row r="17227" hidden="1" x14ac:dyDescent="0.35"/>
    <row r="17228" hidden="1" x14ac:dyDescent="0.35"/>
    <row r="17229" hidden="1" x14ac:dyDescent="0.35"/>
    <row r="17230" hidden="1" x14ac:dyDescent="0.35"/>
    <row r="17231" hidden="1" x14ac:dyDescent="0.35"/>
    <row r="17232" hidden="1" x14ac:dyDescent="0.35"/>
    <row r="17233" hidden="1" x14ac:dyDescent="0.35"/>
    <row r="17234" hidden="1" x14ac:dyDescent="0.35"/>
    <row r="17235" hidden="1" x14ac:dyDescent="0.35"/>
    <row r="17236" hidden="1" x14ac:dyDescent="0.35"/>
    <row r="17237" hidden="1" x14ac:dyDescent="0.35"/>
    <row r="17238" hidden="1" x14ac:dyDescent="0.35"/>
    <row r="17239" hidden="1" x14ac:dyDescent="0.35"/>
    <row r="17240" hidden="1" x14ac:dyDescent="0.35"/>
    <row r="17241" hidden="1" x14ac:dyDescent="0.35"/>
    <row r="17242" hidden="1" x14ac:dyDescent="0.35"/>
    <row r="17243" hidden="1" x14ac:dyDescent="0.35"/>
    <row r="17244" hidden="1" x14ac:dyDescent="0.35"/>
    <row r="17245" hidden="1" x14ac:dyDescent="0.35"/>
    <row r="17246" hidden="1" x14ac:dyDescent="0.35"/>
    <row r="17247" hidden="1" x14ac:dyDescent="0.35"/>
    <row r="17248" hidden="1" x14ac:dyDescent="0.35"/>
    <row r="17249" hidden="1" x14ac:dyDescent="0.35"/>
    <row r="17250" hidden="1" x14ac:dyDescent="0.35"/>
    <row r="17251" hidden="1" x14ac:dyDescent="0.35"/>
    <row r="17252" hidden="1" x14ac:dyDescent="0.35"/>
    <row r="17253" hidden="1" x14ac:dyDescent="0.35"/>
    <row r="17254" hidden="1" x14ac:dyDescent="0.35"/>
    <row r="17255" hidden="1" x14ac:dyDescent="0.35"/>
    <row r="17256" hidden="1" x14ac:dyDescent="0.35"/>
    <row r="17257" hidden="1" x14ac:dyDescent="0.35"/>
    <row r="17258" hidden="1" x14ac:dyDescent="0.35"/>
    <row r="17259" hidden="1" x14ac:dyDescent="0.35"/>
    <row r="17260" hidden="1" x14ac:dyDescent="0.35"/>
    <row r="17261" hidden="1" x14ac:dyDescent="0.35"/>
    <row r="17262" hidden="1" x14ac:dyDescent="0.35"/>
    <row r="17263" hidden="1" x14ac:dyDescent="0.35"/>
    <row r="17264" hidden="1" x14ac:dyDescent="0.35"/>
    <row r="17265" hidden="1" x14ac:dyDescent="0.35"/>
    <row r="17266" hidden="1" x14ac:dyDescent="0.35"/>
    <row r="17267" hidden="1" x14ac:dyDescent="0.35"/>
    <row r="17268" hidden="1" x14ac:dyDescent="0.35"/>
    <row r="17269" hidden="1" x14ac:dyDescent="0.35"/>
    <row r="17270" hidden="1" x14ac:dyDescent="0.35"/>
    <row r="17271" hidden="1" x14ac:dyDescent="0.35"/>
    <row r="17272" hidden="1" x14ac:dyDescent="0.35"/>
    <row r="17273" hidden="1" x14ac:dyDescent="0.35"/>
    <row r="17274" hidden="1" x14ac:dyDescent="0.35"/>
    <row r="17275" hidden="1" x14ac:dyDescent="0.35"/>
    <row r="17276" hidden="1" x14ac:dyDescent="0.35"/>
    <row r="17277" hidden="1" x14ac:dyDescent="0.35"/>
    <row r="17278" hidden="1" x14ac:dyDescent="0.35"/>
    <row r="17279" hidden="1" x14ac:dyDescent="0.35"/>
    <row r="17280" hidden="1" x14ac:dyDescent="0.35"/>
    <row r="17281" hidden="1" x14ac:dyDescent="0.35"/>
    <row r="17282" hidden="1" x14ac:dyDescent="0.35"/>
    <row r="17283" hidden="1" x14ac:dyDescent="0.35"/>
    <row r="17284" hidden="1" x14ac:dyDescent="0.35"/>
    <row r="17285" hidden="1" x14ac:dyDescent="0.35"/>
    <row r="17286" hidden="1" x14ac:dyDescent="0.35"/>
    <row r="17287" hidden="1" x14ac:dyDescent="0.35"/>
    <row r="17288" hidden="1" x14ac:dyDescent="0.35"/>
    <row r="17289" hidden="1" x14ac:dyDescent="0.35"/>
    <row r="17290" hidden="1" x14ac:dyDescent="0.35"/>
    <row r="17291" hidden="1" x14ac:dyDescent="0.35"/>
    <row r="17292" hidden="1" x14ac:dyDescent="0.35"/>
    <row r="17293" hidden="1" x14ac:dyDescent="0.35"/>
    <row r="17294" hidden="1" x14ac:dyDescent="0.35"/>
    <row r="17295" hidden="1" x14ac:dyDescent="0.35"/>
    <row r="17296" hidden="1" x14ac:dyDescent="0.35"/>
    <row r="17297" hidden="1" x14ac:dyDescent="0.35"/>
    <row r="17298" hidden="1" x14ac:dyDescent="0.35"/>
    <row r="17299" hidden="1" x14ac:dyDescent="0.35"/>
    <row r="17300" hidden="1" x14ac:dyDescent="0.35"/>
    <row r="17301" hidden="1" x14ac:dyDescent="0.35"/>
    <row r="17302" hidden="1" x14ac:dyDescent="0.35"/>
    <row r="17303" hidden="1" x14ac:dyDescent="0.35"/>
    <row r="17304" hidden="1" x14ac:dyDescent="0.35"/>
    <row r="17305" hidden="1" x14ac:dyDescent="0.35"/>
    <row r="17306" hidden="1" x14ac:dyDescent="0.35"/>
    <row r="17307" hidden="1" x14ac:dyDescent="0.35"/>
    <row r="17308" hidden="1" x14ac:dyDescent="0.35"/>
    <row r="17309" hidden="1" x14ac:dyDescent="0.35"/>
    <row r="17310" hidden="1" x14ac:dyDescent="0.35"/>
    <row r="17311" hidden="1" x14ac:dyDescent="0.35"/>
    <row r="17312" hidden="1" x14ac:dyDescent="0.35"/>
    <row r="17313" hidden="1" x14ac:dyDescent="0.35"/>
    <row r="17314" hidden="1" x14ac:dyDescent="0.35"/>
    <row r="17315" hidden="1" x14ac:dyDescent="0.35"/>
    <row r="17316" hidden="1" x14ac:dyDescent="0.35"/>
    <row r="17317" hidden="1" x14ac:dyDescent="0.35"/>
    <row r="17318" hidden="1" x14ac:dyDescent="0.35"/>
    <row r="17319" hidden="1" x14ac:dyDescent="0.35"/>
    <row r="17320" hidden="1" x14ac:dyDescent="0.35"/>
    <row r="17321" hidden="1" x14ac:dyDescent="0.35"/>
    <row r="17322" hidden="1" x14ac:dyDescent="0.35"/>
    <row r="17323" hidden="1" x14ac:dyDescent="0.35"/>
    <row r="17324" hidden="1" x14ac:dyDescent="0.35"/>
    <row r="17325" hidden="1" x14ac:dyDescent="0.35"/>
    <row r="17326" hidden="1" x14ac:dyDescent="0.35"/>
    <row r="17327" hidden="1" x14ac:dyDescent="0.35"/>
    <row r="17328" hidden="1" x14ac:dyDescent="0.35"/>
    <row r="17329" hidden="1" x14ac:dyDescent="0.35"/>
    <row r="17330" hidden="1" x14ac:dyDescent="0.35"/>
    <row r="17331" hidden="1" x14ac:dyDescent="0.35"/>
    <row r="17332" hidden="1" x14ac:dyDescent="0.35"/>
    <row r="17333" hidden="1" x14ac:dyDescent="0.35"/>
    <row r="17334" hidden="1" x14ac:dyDescent="0.35"/>
    <row r="17335" hidden="1" x14ac:dyDescent="0.35"/>
    <row r="17336" hidden="1" x14ac:dyDescent="0.35"/>
    <row r="17337" hidden="1" x14ac:dyDescent="0.35"/>
    <row r="17338" hidden="1" x14ac:dyDescent="0.35"/>
    <row r="17339" hidden="1" x14ac:dyDescent="0.35"/>
    <row r="17340" hidden="1" x14ac:dyDescent="0.35"/>
    <row r="17341" hidden="1" x14ac:dyDescent="0.35"/>
    <row r="17342" hidden="1" x14ac:dyDescent="0.35"/>
    <row r="17343" hidden="1" x14ac:dyDescent="0.35"/>
    <row r="17344" hidden="1" x14ac:dyDescent="0.35"/>
    <row r="17345" hidden="1" x14ac:dyDescent="0.35"/>
    <row r="17346" hidden="1" x14ac:dyDescent="0.35"/>
    <row r="17347" hidden="1" x14ac:dyDescent="0.35"/>
    <row r="17348" hidden="1" x14ac:dyDescent="0.35"/>
    <row r="17349" hidden="1" x14ac:dyDescent="0.35"/>
    <row r="17350" hidden="1" x14ac:dyDescent="0.35"/>
    <row r="17351" hidden="1" x14ac:dyDescent="0.35"/>
    <row r="17352" hidden="1" x14ac:dyDescent="0.35"/>
    <row r="17353" hidden="1" x14ac:dyDescent="0.35"/>
    <row r="17354" hidden="1" x14ac:dyDescent="0.35"/>
    <row r="17355" hidden="1" x14ac:dyDescent="0.35"/>
    <row r="17356" hidden="1" x14ac:dyDescent="0.35"/>
    <row r="17357" hidden="1" x14ac:dyDescent="0.35"/>
    <row r="17358" hidden="1" x14ac:dyDescent="0.35"/>
    <row r="17359" hidden="1" x14ac:dyDescent="0.35"/>
    <row r="17360" hidden="1" x14ac:dyDescent="0.35"/>
    <row r="17361" hidden="1" x14ac:dyDescent="0.35"/>
    <row r="17362" hidden="1" x14ac:dyDescent="0.35"/>
    <row r="17363" hidden="1" x14ac:dyDescent="0.35"/>
    <row r="17364" hidden="1" x14ac:dyDescent="0.35"/>
    <row r="17365" hidden="1" x14ac:dyDescent="0.35"/>
    <row r="17366" hidden="1" x14ac:dyDescent="0.35"/>
    <row r="17367" hidden="1" x14ac:dyDescent="0.35"/>
    <row r="17368" hidden="1" x14ac:dyDescent="0.35"/>
    <row r="17369" hidden="1" x14ac:dyDescent="0.35"/>
    <row r="17370" hidden="1" x14ac:dyDescent="0.35"/>
    <row r="17371" hidden="1" x14ac:dyDescent="0.35"/>
    <row r="17372" hidden="1" x14ac:dyDescent="0.35"/>
    <row r="17373" hidden="1" x14ac:dyDescent="0.35"/>
    <row r="17374" hidden="1" x14ac:dyDescent="0.35"/>
    <row r="17375" hidden="1" x14ac:dyDescent="0.35"/>
    <row r="17376" hidden="1" x14ac:dyDescent="0.35"/>
    <row r="17377" hidden="1" x14ac:dyDescent="0.35"/>
    <row r="17378" hidden="1" x14ac:dyDescent="0.35"/>
    <row r="17379" hidden="1" x14ac:dyDescent="0.35"/>
    <row r="17380" hidden="1" x14ac:dyDescent="0.35"/>
    <row r="17381" hidden="1" x14ac:dyDescent="0.35"/>
    <row r="17382" hidden="1" x14ac:dyDescent="0.35"/>
    <row r="17383" hidden="1" x14ac:dyDescent="0.35"/>
    <row r="17384" hidden="1" x14ac:dyDescent="0.35"/>
    <row r="17385" hidden="1" x14ac:dyDescent="0.35"/>
    <row r="17386" hidden="1" x14ac:dyDescent="0.35"/>
    <row r="17387" hidden="1" x14ac:dyDescent="0.35"/>
    <row r="17388" hidden="1" x14ac:dyDescent="0.35"/>
    <row r="17389" hidden="1" x14ac:dyDescent="0.35"/>
    <row r="17390" hidden="1" x14ac:dyDescent="0.35"/>
    <row r="17391" hidden="1" x14ac:dyDescent="0.35"/>
    <row r="17392" hidden="1" x14ac:dyDescent="0.35"/>
    <row r="17393" hidden="1" x14ac:dyDescent="0.35"/>
    <row r="17394" hidden="1" x14ac:dyDescent="0.35"/>
    <row r="17395" hidden="1" x14ac:dyDescent="0.35"/>
    <row r="17396" hidden="1" x14ac:dyDescent="0.35"/>
    <row r="17397" hidden="1" x14ac:dyDescent="0.35"/>
    <row r="17398" hidden="1" x14ac:dyDescent="0.35"/>
    <row r="17399" hidden="1" x14ac:dyDescent="0.35"/>
    <row r="17400" hidden="1" x14ac:dyDescent="0.35"/>
    <row r="17401" hidden="1" x14ac:dyDescent="0.35"/>
    <row r="17402" hidden="1" x14ac:dyDescent="0.35"/>
    <row r="17403" hidden="1" x14ac:dyDescent="0.35"/>
    <row r="17404" hidden="1" x14ac:dyDescent="0.35"/>
    <row r="17405" hidden="1" x14ac:dyDescent="0.35"/>
    <row r="17406" hidden="1" x14ac:dyDescent="0.35"/>
    <row r="17407" hidden="1" x14ac:dyDescent="0.35"/>
    <row r="17408" hidden="1" x14ac:dyDescent="0.35"/>
    <row r="17409" hidden="1" x14ac:dyDescent="0.35"/>
    <row r="17410" hidden="1" x14ac:dyDescent="0.35"/>
    <row r="17411" hidden="1" x14ac:dyDescent="0.35"/>
    <row r="17412" hidden="1" x14ac:dyDescent="0.35"/>
    <row r="17413" hidden="1" x14ac:dyDescent="0.35"/>
    <row r="17414" hidden="1" x14ac:dyDescent="0.35"/>
    <row r="17415" hidden="1" x14ac:dyDescent="0.35"/>
    <row r="17416" hidden="1" x14ac:dyDescent="0.35"/>
    <row r="17417" hidden="1" x14ac:dyDescent="0.35"/>
    <row r="17418" hidden="1" x14ac:dyDescent="0.35"/>
    <row r="17419" hidden="1" x14ac:dyDescent="0.35"/>
    <row r="17420" hidden="1" x14ac:dyDescent="0.35"/>
    <row r="17421" hidden="1" x14ac:dyDescent="0.35"/>
    <row r="17422" hidden="1" x14ac:dyDescent="0.35"/>
    <row r="17423" hidden="1" x14ac:dyDescent="0.35"/>
    <row r="17424" hidden="1" x14ac:dyDescent="0.35"/>
    <row r="17425" hidden="1" x14ac:dyDescent="0.35"/>
    <row r="17426" hidden="1" x14ac:dyDescent="0.35"/>
    <row r="17427" hidden="1" x14ac:dyDescent="0.35"/>
    <row r="17428" hidden="1" x14ac:dyDescent="0.35"/>
    <row r="17429" hidden="1" x14ac:dyDescent="0.35"/>
    <row r="17430" hidden="1" x14ac:dyDescent="0.35"/>
    <row r="17431" hidden="1" x14ac:dyDescent="0.35"/>
    <row r="17432" hidden="1" x14ac:dyDescent="0.35"/>
    <row r="17433" hidden="1" x14ac:dyDescent="0.35"/>
    <row r="17434" hidden="1" x14ac:dyDescent="0.35"/>
    <row r="17435" hidden="1" x14ac:dyDescent="0.35"/>
    <row r="17436" hidden="1" x14ac:dyDescent="0.35"/>
    <row r="17437" hidden="1" x14ac:dyDescent="0.35"/>
    <row r="17438" hidden="1" x14ac:dyDescent="0.35"/>
    <row r="17439" hidden="1" x14ac:dyDescent="0.35"/>
    <row r="17440" hidden="1" x14ac:dyDescent="0.35"/>
    <row r="17441" hidden="1" x14ac:dyDescent="0.35"/>
    <row r="17442" hidden="1" x14ac:dyDescent="0.35"/>
    <row r="17443" hidden="1" x14ac:dyDescent="0.35"/>
    <row r="17444" hidden="1" x14ac:dyDescent="0.35"/>
    <row r="17445" hidden="1" x14ac:dyDescent="0.35"/>
    <row r="17446" hidden="1" x14ac:dyDescent="0.35"/>
    <row r="17447" hidden="1" x14ac:dyDescent="0.35"/>
    <row r="17448" hidden="1" x14ac:dyDescent="0.35"/>
    <row r="17449" hidden="1" x14ac:dyDescent="0.35"/>
    <row r="17450" hidden="1" x14ac:dyDescent="0.35"/>
    <row r="17451" hidden="1" x14ac:dyDescent="0.35"/>
    <row r="17452" hidden="1" x14ac:dyDescent="0.35"/>
    <row r="17453" hidden="1" x14ac:dyDescent="0.35"/>
    <row r="17454" hidden="1" x14ac:dyDescent="0.35"/>
    <row r="17455" hidden="1" x14ac:dyDescent="0.35"/>
    <row r="17456" hidden="1" x14ac:dyDescent="0.35"/>
    <row r="17457" hidden="1" x14ac:dyDescent="0.35"/>
    <row r="17458" hidden="1" x14ac:dyDescent="0.35"/>
    <row r="17459" hidden="1" x14ac:dyDescent="0.35"/>
    <row r="17460" hidden="1" x14ac:dyDescent="0.35"/>
    <row r="17461" hidden="1" x14ac:dyDescent="0.35"/>
    <row r="17462" hidden="1" x14ac:dyDescent="0.35"/>
    <row r="17463" hidden="1" x14ac:dyDescent="0.35"/>
    <row r="17464" hidden="1" x14ac:dyDescent="0.35"/>
    <row r="17465" hidden="1" x14ac:dyDescent="0.35"/>
    <row r="17466" hidden="1" x14ac:dyDescent="0.35"/>
    <row r="17467" hidden="1" x14ac:dyDescent="0.35"/>
    <row r="17468" hidden="1" x14ac:dyDescent="0.35"/>
    <row r="17469" hidden="1" x14ac:dyDescent="0.35"/>
    <row r="17470" hidden="1" x14ac:dyDescent="0.35"/>
    <row r="17471" hidden="1" x14ac:dyDescent="0.35"/>
    <row r="17472" hidden="1" x14ac:dyDescent="0.35"/>
    <row r="17473" hidden="1" x14ac:dyDescent="0.35"/>
    <row r="17474" hidden="1" x14ac:dyDescent="0.35"/>
    <row r="17475" hidden="1" x14ac:dyDescent="0.35"/>
    <row r="17476" hidden="1" x14ac:dyDescent="0.35"/>
    <row r="17477" hidden="1" x14ac:dyDescent="0.35"/>
    <row r="17478" hidden="1" x14ac:dyDescent="0.35"/>
    <row r="17479" hidden="1" x14ac:dyDescent="0.35"/>
    <row r="17480" hidden="1" x14ac:dyDescent="0.35"/>
    <row r="17481" hidden="1" x14ac:dyDescent="0.35"/>
    <row r="17482" hidden="1" x14ac:dyDescent="0.35"/>
    <row r="17483" hidden="1" x14ac:dyDescent="0.35"/>
    <row r="17484" hidden="1" x14ac:dyDescent="0.35"/>
    <row r="17485" hidden="1" x14ac:dyDescent="0.35"/>
    <row r="17486" hidden="1" x14ac:dyDescent="0.35"/>
    <row r="17487" hidden="1" x14ac:dyDescent="0.35"/>
    <row r="17488" hidden="1" x14ac:dyDescent="0.35"/>
    <row r="17489" hidden="1" x14ac:dyDescent="0.35"/>
    <row r="17490" hidden="1" x14ac:dyDescent="0.35"/>
    <row r="17491" hidden="1" x14ac:dyDescent="0.35"/>
    <row r="17492" hidden="1" x14ac:dyDescent="0.35"/>
    <row r="17493" hidden="1" x14ac:dyDescent="0.35"/>
    <row r="17494" hidden="1" x14ac:dyDescent="0.35"/>
    <row r="17495" hidden="1" x14ac:dyDescent="0.35"/>
    <row r="17496" hidden="1" x14ac:dyDescent="0.35"/>
    <row r="17497" hidden="1" x14ac:dyDescent="0.35"/>
    <row r="17498" hidden="1" x14ac:dyDescent="0.35"/>
    <row r="17499" hidden="1" x14ac:dyDescent="0.35"/>
    <row r="17500" hidden="1" x14ac:dyDescent="0.35"/>
    <row r="17501" hidden="1" x14ac:dyDescent="0.35"/>
    <row r="17502" hidden="1" x14ac:dyDescent="0.35"/>
    <row r="17503" hidden="1" x14ac:dyDescent="0.35"/>
    <row r="17504" hidden="1" x14ac:dyDescent="0.35"/>
    <row r="17505" hidden="1" x14ac:dyDescent="0.35"/>
    <row r="17506" hidden="1" x14ac:dyDescent="0.35"/>
    <row r="17507" hidden="1" x14ac:dyDescent="0.35"/>
    <row r="17508" hidden="1" x14ac:dyDescent="0.35"/>
    <row r="17509" hidden="1" x14ac:dyDescent="0.35"/>
    <row r="17510" hidden="1" x14ac:dyDescent="0.35"/>
    <row r="17511" hidden="1" x14ac:dyDescent="0.35"/>
    <row r="17512" hidden="1" x14ac:dyDescent="0.35"/>
    <row r="17513" hidden="1" x14ac:dyDescent="0.35"/>
    <row r="17514" hidden="1" x14ac:dyDescent="0.35"/>
    <row r="17515" hidden="1" x14ac:dyDescent="0.35"/>
    <row r="17516" hidden="1" x14ac:dyDescent="0.35"/>
    <row r="17517" hidden="1" x14ac:dyDescent="0.35"/>
    <row r="17518" hidden="1" x14ac:dyDescent="0.35"/>
    <row r="17519" hidden="1" x14ac:dyDescent="0.35"/>
    <row r="17520" hidden="1" x14ac:dyDescent="0.35"/>
    <row r="17521" hidden="1" x14ac:dyDescent="0.35"/>
    <row r="17522" hidden="1" x14ac:dyDescent="0.35"/>
    <row r="17523" hidden="1" x14ac:dyDescent="0.35"/>
    <row r="17524" hidden="1" x14ac:dyDescent="0.35"/>
    <row r="17525" hidden="1" x14ac:dyDescent="0.35"/>
    <row r="17526" hidden="1" x14ac:dyDescent="0.35"/>
    <row r="17527" hidden="1" x14ac:dyDescent="0.35"/>
    <row r="17528" hidden="1" x14ac:dyDescent="0.35"/>
    <row r="17529" hidden="1" x14ac:dyDescent="0.35"/>
    <row r="17530" hidden="1" x14ac:dyDescent="0.35"/>
    <row r="17531" hidden="1" x14ac:dyDescent="0.35"/>
    <row r="17532" hidden="1" x14ac:dyDescent="0.35"/>
    <row r="17533" hidden="1" x14ac:dyDescent="0.35"/>
    <row r="17534" hidden="1" x14ac:dyDescent="0.35"/>
    <row r="17535" hidden="1" x14ac:dyDescent="0.35"/>
    <row r="17536" hidden="1" x14ac:dyDescent="0.35"/>
    <row r="17537" hidden="1" x14ac:dyDescent="0.35"/>
    <row r="17538" hidden="1" x14ac:dyDescent="0.35"/>
    <row r="17539" hidden="1" x14ac:dyDescent="0.35"/>
    <row r="17540" hidden="1" x14ac:dyDescent="0.35"/>
    <row r="17541" hidden="1" x14ac:dyDescent="0.35"/>
    <row r="17542" hidden="1" x14ac:dyDescent="0.35"/>
    <row r="17543" hidden="1" x14ac:dyDescent="0.35"/>
    <row r="17544" hidden="1" x14ac:dyDescent="0.35"/>
    <row r="17545" hidden="1" x14ac:dyDescent="0.35"/>
    <row r="17546" hidden="1" x14ac:dyDescent="0.35"/>
    <row r="17547" hidden="1" x14ac:dyDescent="0.35"/>
    <row r="17548" hidden="1" x14ac:dyDescent="0.35"/>
    <row r="17549" hidden="1" x14ac:dyDescent="0.35"/>
    <row r="17550" hidden="1" x14ac:dyDescent="0.35"/>
    <row r="17551" hidden="1" x14ac:dyDescent="0.35"/>
    <row r="17552" hidden="1" x14ac:dyDescent="0.35"/>
    <row r="17553" hidden="1" x14ac:dyDescent="0.35"/>
    <row r="17554" hidden="1" x14ac:dyDescent="0.35"/>
    <row r="17555" hidden="1" x14ac:dyDescent="0.35"/>
    <row r="17556" hidden="1" x14ac:dyDescent="0.35"/>
    <row r="17557" hidden="1" x14ac:dyDescent="0.35"/>
    <row r="17558" hidden="1" x14ac:dyDescent="0.35"/>
    <row r="17559" hidden="1" x14ac:dyDescent="0.35"/>
    <row r="17560" hidden="1" x14ac:dyDescent="0.35"/>
    <row r="17561" hidden="1" x14ac:dyDescent="0.35"/>
    <row r="17562" hidden="1" x14ac:dyDescent="0.35"/>
    <row r="17563" hidden="1" x14ac:dyDescent="0.35"/>
    <row r="17564" hidden="1" x14ac:dyDescent="0.35"/>
    <row r="17565" hidden="1" x14ac:dyDescent="0.35"/>
    <row r="17566" hidden="1" x14ac:dyDescent="0.35"/>
    <row r="17567" hidden="1" x14ac:dyDescent="0.35"/>
    <row r="17568" hidden="1" x14ac:dyDescent="0.35"/>
    <row r="17569" hidden="1" x14ac:dyDescent="0.35"/>
    <row r="17570" hidden="1" x14ac:dyDescent="0.35"/>
    <row r="17571" hidden="1" x14ac:dyDescent="0.35"/>
    <row r="17572" hidden="1" x14ac:dyDescent="0.35"/>
    <row r="17573" hidden="1" x14ac:dyDescent="0.35"/>
    <row r="17574" hidden="1" x14ac:dyDescent="0.35"/>
    <row r="17575" hidden="1" x14ac:dyDescent="0.35"/>
    <row r="17576" hidden="1" x14ac:dyDescent="0.35"/>
    <row r="17577" hidden="1" x14ac:dyDescent="0.35"/>
    <row r="17578" hidden="1" x14ac:dyDescent="0.35"/>
    <row r="17579" hidden="1" x14ac:dyDescent="0.35"/>
    <row r="17580" hidden="1" x14ac:dyDescent="0.35"/>
    <row r="17581" hidden="1" x14ac:dyDescent="0.35"/>
    <row r="17582" hidden="1" x14ac:dyDescent="0.35"/>
    <row r="17583" hidden="1" x14ac:dyDescent="0.35"/>
    <row r="17584" hidden="1" x14ac:dyDescent="0.35"/>
    <row r="17585" hidden="1" x14ac:dyDescent="0.35"/>
    <row r="17586" hidden="1" x14ac:dyDescent="0.35"/>
    <row r="17587" hidden="1" x14ac:dyDescent="0.35"/>
    <row r="17588" hidden="1" x14ac:dyDescent="0.35"/>
    <row r="17589" hidden="1" x14ac:dyDescent="0.35"/>
    <row r="17590" hidden="1" x14ac:dyDescent="0.35"/>
    <row r="17591" hidden="1" x14ac:dyDescent="0.35"/>
    <row r="17592" hidden="1" x14ac:dyDescent="0.35"/>
    <row r="17593" hidden="1" x14ac:dyDescent="0.35"/>
    <row r="17594" hidden="1" x14ac:dyDescent="0.35"/>
    <row r="17595" hidden="1" x14ac:dyDescent="0.35"/>
    <row r="17596" hidden="1" x14ac:dyDescent="0.35"/>
    <row r="17597" hidden="1" x14ac:dyDescent="0.35"/>
    <row r="17598" hidden="1" x14ac:dyDescent="0.35"/>
    <row r="17599" hidden="1" x14ac:dyDescent="0.35"/>
    <row r="17600" hidden="1" x14ac:dyDescent="0.35"/>
    <row r="17601" hidden="1" x14ac:dyDescent="0.35"/>
    <row r="17602" hidden="1" x14ac:dyDescent="0.35"/>
    <row r="17603" hidden="1" x14ac:dyDescent="0.35"/>
    <row r="17604" hidden="1" x14ac:dyDescent="0.35"/>
    <row r="17605" hidden="1" x14ac:dyDescent="0.35"/>
    <row r="17606" hidden="1" x14ac:dyDescent="0.35"/>
    <row r="17607" hidden="1" x14ac:dyDescent="0.35"/>
    <row r="17608" hidden="1" x14ac:dyDescent="0.35"/>
    <row r="17609" hidden="1" x14ac:dyDescent="0.35"/>
    <row r="17610" hidden="1" x14ac:dyDescent="0.35"/>
    <row r="17611" hidden="1" x14ac:dyDescent="0.35"/>
    <row r="17612" hidden="1" x14ac:dyDescent="0.35"/>
    <row r="17613" hidden="1" x14ac:dyDescent="0.35"/>
    <row r="17614" hidden="1" x14ac:dyDescent="0.35"/>
    <row r="17615" hidden="1" x14ac:dyDescent="0.35"/>
    <row r="17616" hidden="1" x14ac:dyDescent="0.35"/>
    <row r="17617" hidden="1" x14ac:dyDescent="0.35"/>
    <row r="17618" hidden="1" x14ac:dyDescent="0.35"/>
    <row r="17619" hidden="1" x14ac:dyDescent="0.35"/>
    <row r="17620" hidden="1" x14ac:dyDescent="0.35"/>
    <row r="17621" hidden="1" x14ac:dyDescent="0.35"/>
    <row r="17622" hidden="1" x14ac:dyDescent="0.35"/>
    <row r="17623" hidden="1" x14ac:dyDescent="0.35"/>
    <row r="17624" hidden="1" x14ac:dyDescent="0.35"/>
    <row r="17625" hidden="1" x14ac:dyDescent="0.35"/>
    <row r="17626" hidden="1" x14ac:dyDescent="0.35"/>
    <row r="17627" hidden="1" x14ac:dyDescent="0.35"/>
    <row r="17628" hidden="1" x14ac:dyDescent="0.35"/>
    <row r="17629" hidden="1" x14ac:dyDescent="0.35"/>
    <row r="17630" hidden="1" x14ac:dyDescent="0.35"/>
    <row r="17631" hidden="1" x14ac:dyDescent="0.35"/>
    <row r="17632" hidden="1" x14ac:dyDescent="0.35"/>
    <row r="17633" hidden="1" x14ac:dyDescent="0.35"/>
    <row r="17634" hidden="1" x14ac:dyDescent="0.35"/>
    <row r="17635" hidden="1" x14ac:dyDescent="0.35"/>
    <row r="17636" hidden="1" x14ac:dyDescent="0.35"/>
    <row r="17637" hidden="1" x14ac:dyDescent="0.35"/>
    <row r="17638" hidden="1" x14ac:dyDescent="0.35"/>
    <row r="17639" hidden="1" x14ac:dyDescent="0.35"/>
    <row r="17640" hidden="1" x14ac:dyDescent="0.35"/>
    <row r="17641" hidden="1" x14ac:dyDescent="0.35"/>
    <row r="17642" hidden="1" x14ac:dyDescent="0.35"/>
    <row r="17643" hidden="1" x14ac:dyDescent="0.35"/>
    <row r="17644" hidden="1" x14ac:dyDescent="0.35"/>
    <row r="17645" hidden="1" x14ac:dyDescent="0.35"/>
    <row r="17646" hidden="1" x14ac:dyDescent="0.35"/>
    <row r="17647" hidden="1" x14ac:dyDescent="0.35"/>
    <row r="17648" hidden="1" x14ac:dyDescent="0.35"/>
    <row r="17649" hidden="1" x14ac:dyDescent="0.35"/>
    <row r="17650" hidden="1" x14ac:dyDescent="0.35"/>
    <row r="17651" hidden="1" x14ac:dyDescent="0.35"/>
    <row r="17652" hidden="1" x14ac:dyDescent="0.35"/>
    <row r="17653" hidden="1" x14ac:dyDescent="0.35"/>
    <row r="17654" hidden="1" x14ac:dyDescent="0.35"/>
    <row r="17655" hidden="1" x14ac:dyDescent="0.35"/>
    <row r="17656" hidden="1" x14ac:dyDescent="0.35"/>
    <row r="17657" hidden="1" x14ac:dyDescent="0.35"/>
    <row r="17658" hidden="1" x14ac:dyDescent="0.35"/>
    <row r="17659" hidden="1" x14ac:dyDescent="0.35"/>
    <row r="17660" hidden="1" x14ac:dyDescent="0.35"/>
    <row r="17661" hidden="1" x14ac:dyDescent="0.35"/>
    <row r="17662" hidden="1" x14ac:dyDescent="0.35"/>
    <row r="17663" hidden="1" x14ac:dyDescent="0.35"/>
    <row r="17664" hidden="1" x14ac:dyDescent="0.35"/>
    <row r="17665" hidden="1" x14ac:dyDescent="0.35"/>
    <row r="17666" hidden="1" x14ac:dyDescent="0.35"/>
    <row r="17667" hidden="1" x14ac:dyDescent="0.35"/>
    <row r="17668" hidden="1" x14ac:dyDescent="0.35"/>
    <row r="17669" hidden="1" x14ac:dyDescent="0.35"/>
    <row r="17670" hidden="1" x14ac:dyDescent="0.35"/>
    <row r="17671" hidden="1" x14ac:dyDescent="0.35"/>
    <row r="17672" hidden="1" x14ac:dyDescent="0.35"/>
    <row r="17673" hidden="1" x14ac:dyDescent="0.35"/>
    <row r="17674" hidden="1" x14ac:dyDescent="0.35"/>
    <row r="17675" hidden="1" x14ac:dyDescent="0.35"/>
    <row r="17676" hidden="1" x14ac:dyDescent="0.35"/>
    <row r="17677" hidden="1" x14ac:dyDescent="0.35"/>
    <row r="17678" hidden="1" x14ac:dyDescent="0.35"/>
    <row r="17679" hidden="1" x14ac:dyDescent="0.35"/>
    <row r="17680" hidden="1" x14ac:dyDescent="0.35"/>
    <row r="17681" hidden="1" x14ac:dyDescent="0.35"/>
    <row r="17682" hidden="1" x14ac:dyDescent="0.35"/>
    <row r="17683" hidden="1" x14ac:dyDescent="0.35"/>
    <row r="17684" hidden="1" x14ac:dyDescent="0.35"/>
    <row r="17685" hidden="1" x14ac:dyDescent="0.35"/>
    <row r="17686" hidden="1" x14ac:dyDescent="0.35"/>
    <row r="17687" hidden="1" x14ac:dyDescent="0.35"/>
    <row r="17688" hidden="1" x14ac:dyDescent="0.35"/>
    <row r="17689" hidden="1" x14ac:dyDescent="0.35"/>
    <row r="17690" hidden="1" x14ac:dyDescent="0.35"/>
    <row r="17691" hidden="1" x14ac:dyDescent="0.35"/>
    <row r="17692" hidden="1" x14ac:dyDescent="0.35"/>
    <row r="17693" hidden="1" x14ac:dyDescent="0.35"/>
    <row r="17694" hidden="1" x14ac:dyDescent="0.35"/>
    <row r="17695" hidden="1" x14ac:dyDescent="0.35"/>
    <row r="17696" hidden="1" x14ac:dyDescent="0.35"/>
    <row r="17697" hidden="1" x14ac:dyDescent="0.35"/>
    <row r="17698" hidden="1" x14ac:dyDescent="0.35"/>
    <row r="17699" hidden="1" x14ac:dyDescent="0.35"/>
    <row r="17700" hidden="1" x14ac:dyDescent="0.35"/>
    <row r="17701" hidden="1" x14ac:dyDescent="0.35"/>
    <row r="17702" hidden="1" x14ac:dyDescent="0.35"/>
    <row r="17703" hidden="1" x14ac:dyDescent="0.35"/>
    <row r="17704" hidden="1" x14ac:dyDescent="0.35"/>
    <row r="17705" hidden="1" x14ac:dyDescent="0.35"/>
    <row r="17706" hidden="1" x14ac:dyDescent="0.35"/>
    <row r="17707" hidden="1" x14ac:dyDescent="0.35"/>
    <row r="17708" hidden="1" x14ac:dyDescent="0.35"/>
    <row r="17709" hidden="1" x14ac:dyDescent="0.35"/>
    <row r="17710" hidden="1" x14ac:dyDescent="0.35"/>
    <row r="17711" hidden="1" x14ac:dyDescent="0.35"/>
    <row r="17712" hidden="1" x14ac:dyDescent="0.35"/>
    <row r="17713" hidden="1" x14ac:dyDescent="0.35"/>
    <row r="17714" hidden="1" x14ac:dyDescent="0.35"/>
    <row r="17715" hidden="1" x14ac:dyDescent="0.35"/>
    <row r="17716" hidden="1" x14ac:dyDescent="0.35"/>
    <row r="17717" hidden="1" x14ac:dyDescent="0.35"/>
    <row r="17718" hidden="1" x14ac:dyDescent="0.35"/>
    <row r="17719" hidden="1" x14ac:dyDescent="0.35"/>
    <row r="17720" hidden="1" x14ac:dyDescent="0.35"/>
    <row r="17721" hidden="1" x14ac:dyDescent="0.35"/>
    <row r="17722" hidden="1" x14ac:dyDescent="0.35"/>
    <row r="17723" hidden="1" x14ac:dyDescent="0.35"/>
    <row r="17724" hidden="1" x14ac:dyDescent="0.35"/>
    <row r="17725" hidden="1" x14ac:dyDescent="0.35"/>
    <row r="17726" hidden="1" x14ac:dyDescent="0.35"/>
    <row r="17727" hidden="1" x14ac:dyDescent="0.35"/>
    <row r="17728" hidden="1" x14ac:dyDescent="0.35"/>
    <row r="17729" hidden="1" x14ac:dyDescent="0.35"/>
    <row r="17730" hidden="1" x14ac:dyDescent="0.35"/>
    <row r="17731" hidden="1" x14ac:dyDescent="0.35"/>
    <row r="17732" hidden="1" x14ac:dyDescent="0.35"/>
    <row r="17733" hidden="1" x14ac:dyDescent="0.35"/>
    <row r="17734" hidden="1" x14ac:dyDescent="0.35"/>
    <row r="17735" hidden="1" x14ac:dyDescent="0.35"/>
    <row r="17736" hidden="1" x14ac:dyDescent="0.35"/>
    <row r="17737" hidden="1" x14ac:dyDescent="0.35"/>
    <row r="17738" hidden="1" x14ac:dyDescent="0.35"/>
    <row r="17739" hidden="1" x14ac:dyDescent="0.35"/>
    <row r="17740" hidden="1" x14ac:dyDescent="0.35"/>
    <row r="17741" hidden="1" x14ac:dyDescent="0.35"/>
    <row r="17742" hidden="1" x14ac:dyDescent="0.35"/>
    <row r="17743" hidden="1" x14ac:dyDescent="0.35"/>
    <row r="17744" hidden="1" x14ac:dyDescent="0.35"/>
    <row r="17745" hidden="1" x14ac:dyDescent="0.35"/>
    <row r="17746" hidden="1" x14ac:dyDescent="0.35"/>
    <row r="17747" hidden="1" x14ac:dyDescent="0.35"/>
    <row r="17748" hidden="1" x14ac:dyDescent="0.35"/>
    <row r="17749" hidden="1" x14ac:dyDescent="0.35"/>
    <row r="17750" hidden="1" x14ac:dyDescent="0.35"/>
    <row r="17751" hidden="1" x14ac:dyDescent="0.35"/>
    <row r="17752" hidden="1" x14ac:dyDescent="0.35"/>
    <row r="17753" hidden="1" x14ac:dyDescent="0.35"/>
    <row r="17754" hidden="1" x14ac:dyDescent="0.35"/>
    <row r="17755" hidden="1" x14ac:dyDescent="0.35"/>
    <row r="17756" hidden="1" x14ac:dyDescent="0.35"/>
    <row r="17757" hidden="1" x14ac:dyDescent="0.35"/>
    <row r="17758" hidden="1" x14ac:dyDescent="0.35"/>
    <row r="17759" hidden="1" x14ac:dyDescent="0.35"/>
    <row r="17760" hidden="1" x14ac:dyDescent="0.35"/>
    <row r="17761" hidden="1" x14ac:dyDescent="0.35"/>
    <row r="17762" hidden="1" x14ac:dyDescent="0.35"/>
    <row r="17763" hidden="1" x14ac:dyDescent="0.35"/>
    <row r="17764" hidden="1" x14ac:dyDescent="0.35"/>
    <row r="17765" hidden="1" x14ac:dyDescent="0.35"/>
    <row r="17766" hidden="1" x14ac:dyDescent="0.35"/>
    <row r="17767" hidden="1" x14ac:dyDescent="0.35"/>
    <row r="17768" hidden="1" x14ac:dyDescent="0.35"/>
    <row r="17769" hidden="1" x14ac:dyDescent="0.35"/>
    <row r="17770" hidden="1" x14ac:dyDescent="0.35"/>
    <row r="17771" hidden="1" x14ac:dyDescent="0.35"/>
    <row r="17772" hidden="1" x14ac:dyDescent="0.35"/>
    <row r="17773" hidden="1" x14ac:dyDescent="0.35"/>
    <row r="17774" hidden="1" x14ac:dyDescent="0.35"/>
    <row r="17775" hidden="1" x14ac:dyDescent="0.35"/>
    <row r="17776" hidden="1" x14ac:dyDescent="0.35"/>
    <row r="17777" hidden="1" x14ac:dyDescent="0.35"/>
    <row r="17778" hidden="1" x14ac:dyDescent="0.35"/>
    <row r="17779" hidden="1" x14ac:dyDescent="0.35"/>
    <row r="17780" hidden="1" x14ac:dyDescent="0.35"/>
    <row r="17781" hidden="1" x14ac:dyDescent="0.35"/>
    <row r="17782" hidden="1" x14ac:dyDescent="0.35"/>
    <row r="17783" hidden="1" x14ac:dyDescent="0.35"/>
    <row r="17784" hidden="1" x14ac:dyDescent="0.35"/>
    <row r="17785" hidden="1" x14ac:dyDescent="0.35"/>
    <row r="17786" hidden="1" x14ac:dyDescent="0.35"/>
    <row r="17787" hidden="1" x14ac:dyDescent="0.35"/>
    <row r="17788" hidden="1" x14ac:dyDescent="0.35"/>
    <row r="17789" hidden="1" x14ac:dyDescent="0.35"/>
    <row r="17790" hidden="1" x14ac:dyDescent="0.35"/>
    <row r="17791" hidden="1" x14ac:dyDescent="0.35"/>
    <row r="17792" hidden="1" x14ac:dyDescent="0.35"/>
    <row r="17793" hidden="1" x14ac:dyDescent="0.35"/>
    <row r="17794" hidden="1" x14ac:dyDescent="0.35"/>
    <row r="17795" hidden="1" x14ac:dyDescent="0.35"/>
    <row r="17796" hidden="1" x14ac:dyDescent="0.35"/>
    <row r="17797" hidden="1" x14ac:dyDescent="0.35"/>
    <row r="17798" hidden="1" x14ac:dyDescent="0.35"/>
    <row r="17799" hidden="1" x14ac:dyDescent="0.35"/>
    <row r="17800" hidden="1" x14ac:dyDescent="0.35"/>
    <row r="17801" hidden="1" x14ac:dyDescent="0.35"/>
    <row r="17802" hidden="1" x14ac:dyDescent="0.35"/>
    <row r="17803" hidden="1" x14ac:dyDescent="0.35"/>
    <row r="17804" hidden="1" x14ac:dyDescent="0.35"/>
    <row r="17805" hidden="1" x14ac:dyDescent="0.35"/>
    <row r="17806" hidden="1" x14ac:dyDescent="0.35"/>
    <row r="17807" hidden="1" x14ac:dyDescent="0.35"/>
    <row r="17808" hidden="1" x14ac:dyDescent="0.35"/>
    <row r="17809" hidden="1" x14ac:dyDescent="0.35"/>
    <row r="17810" hidden="1" x14ac:dyDescent="0.35"/>
    <row r="17811" hidden="1" x14ac:dyDescent="0.35"/>
    <row r="17812" hidden="1" x14ac:dyDescent="0.35"/>
    <row r="17813" hidden="1" x14ac:dyDescent="0.35"/>
    <row r="17814" hidden="1" x14ac:dyDescent="0.35"/>
    <row r="17815" hidden="1" x14ac:dyDescent="0.35"/>
    <row r="17816" hidden="1" x14ac:dyDescent="0.35"/>
    <row r="17817" hidden="1" x14ac:dyDescent="0.35"/>
    <row r="17818" hidden="1" x14ac:dyDescent="0.35"/>
    <row r="17819" hidden="1" x14ac:dyDescent="0.35"/>
    <row r="17820" hidden="1" x14ac:dyDescent="0.35"/>
    <row r="17821" hidden="1" x14ac:dyDescent="0.35"/>
    <row r="17822" hidden="1" x14ac:dyDescent="0.35"/>
    <row r="17823" hidden="1" x14ac:dyDescent="0.35"/>
    <row r="17824" hidden="1" x14ac:dyDescent="0.35"/>
    <row r="17825" hidden="1" x14ac:dyDescent="0.35"/>
    <row r="17826" hidden="1" x14ac:dyDescent="0.35"/>
    <row r="17827" hidden="1" x14ac:dyDescent="0.35"/>
    <row r="17828" hidden="1" x14ac:dyDescent="0.35"/>
    <row r="17829" hidden="1" x14ac:dyDescent="0.35"/>
    <row r="17830" hidden="1" x14ac:dyDescent="0.35"/>
    <row r="17831" hidden="1" x14ac:dyDescent="0.35"/>
    <row r="17832" hidden="1" x14ac:dyDescent="0.35"/>
    <row r="17833" hidden="1" x14ac:dyDescent="0.35"/>
    <row r="17834" hidden="1" x14ac:dyDescent="0.35"/>
    <row r="17835" hidden="1" x14ac:dyDescent="0.35"/>
    <row r="17836" hidden="1" x14ac:dyDescent="0.35"/>
    <row r="17837" hidden="1" x14ac:dyDescent="0.35"/>
    <row r="17838" hidden="1" x14ac:dyDescent="0.35"/>
    <row r="17839" hidden="1" x14ac:dyDescent="0.35"/>
    <row r="17840" hidden="1" x14ac:dyDescent="0.35"/>
    <row r="17841" hidden="1" x14ac:dyDescent="0.35"/>
    <row r="17842" hidden="1" x14ac:dyDescent="0.35"/>
    <row r="17843" hidden="1" x14ac:dyDescent="0.35"/>
    <row r="17844" hidden="1" x14ac:dyDescent="0.35"/>
    <row r="17845" hidden="1" x14ac:dyDescent="0.35"/>
    <row r="17846" hidden="1" x14ac:dyDescent="0.35"/>
    <row r="17847" hidden="1" x14ac:dyDescent="0.35"/>
    <row r="17848" hidden="1" x14ac:dyDescent="0.35"/>
    <row r="17849" hidden="1" x14ac:dyDescent="0.35"/>
    <row r="17850" hidden="1" x14ac:dyDescent="0.35"/>
    <row r="17851" hidden="1" x14ac:dyDescent="0.35"/>
    <row r="17852" hidden="1" x14ac:dyDescent="0.35"/>
    <row r="17853" hidden="1" x14ac:dyDescent="0.35"/>
    <row r="17854" hidden="1" x14ac:dyDescent="0.35"/>
    <row r="17855" hidden="1" x14ac:dyDescent="0.35"/>
    <row r="17856" hidden="1" x14ac:dyDescent="0.35"/>
    <row r="17857" hidden="1" x14ac:dyDescent="0.35"/>
    <row r="17858" hidden="1" x14ac:dyDescent="0.35"/>
    <row r="17859" hidden="1" x14ac:dyDescent="0.35"/>
    <row r="17860" hidden="1" x14ac:dyDescent="0.35"/>
    <row r="17861" hidden="1" x14ac:dyDescent="0.35"/>
    <row r="17862" hidden="1" x14ac:dyDescent="0.35"/>
    <row r="17863" hidden="1" x14ac:dyDescent="0.35"/>
    <row r="17864" hidden="1" x14ac:dyDescent="0.35"/>
    <row r="17865" hidden="1" x14ac:dyDescent="0.35"/>
    <row r="17866" hidden="1" x14ac:dyDescent="0.35"/>
    <row r="17867" hidden="1" x14ac:dyDescent="0.35"/>
    <row r="17868" hidden="1" x14ac:dyDescent="0.35"/>
    <row r="17869" hidden="1" x14ac:dyDescent="0.35"/>
    <row r="17870" hidden="1" x14ac:dyDescent="0.35"/>
    <row r="17871" hidden="1" x14ac:dyDescent="0.35"/>
    <row r="17872" hidden="1" x14ac:dyDescent="0.35"/>
    <row r="17873" hidden="1" x14ac:dyDescent="0.35"/>
    <row r="17874" hidden="1" x14ac:dyDescent="0.35"/>
    <row r="17875" hidden="1" x14ac:dyDescent="0.35"/>
    <row r="17876" hidden="1" x14ac:dyDescent="0.35"/>
    <row r="17877" hidden="1" x14ac:dyDescent="0.35"/>
    <row r="17878" hidden="1" x14ac:dyDescent="0.35"/>
    <row r="17879" hidden="1" x14ac:dyDescent="0.35"/>
    <row r="17880" hidden="1" x14ac:dyDescent="0.35"/>
    <row r="17881" hidden="1" x14ac:dyDescent="0.35"/>
    <row r="17882" hidden="1" x14ac:dyDescent="0.35"/>
    <row r="17883" hidden="1" x14ac:dyDescent="0.35"/>
    <row r="17884" hidden="1" x14ac:dyDescent="0.35"/>
    <row r="17885" hidden="1" x14ac:dyDescent="0.35"/>
    <row r="17886" hidden="1" x14ac:dyDescent="0.35"/>
    <row r="17887" hidden="1" x14ac:dyDescent="0.35"/>
    <row r="17888" hidden="1" x14ac:dyDescent="0.35"/>
    <row r="17889" hidden="1" x14ac:dyDescent="0.35"/>
    <row r="17890" hidden="1" x14ac:dyDescent="0.35"/>
    <row r="17891" hidden="1" x14ac:dyDescent="0.35"/>
    <row r="17892" hidden="1" x14ac:dyDescent="0.35"/>
    <row r="17893" hidden="1" x14ac:dyDescent="0.35"/>
    <row r="17894" hidden="1" x14ac:dyDescent="0.35"/>
    <row r="17895" hidden="1" x14ac:dyDescent="0.35"/>
    <row r="17896" hidden="1" x14ac:dyDescent="0.35"/>
    <row r="17897" hidden="1" x14ac:dyDescent="0.35"/>
    <row r="17898" hidden="1" x14ac:dyDescent="0.35"/>
    <row r="17899" hidden="1" x14ac:dyDescent="0.35"/>
    <row r="17900" hidden="1" x14ac:dyDescent="0.35"/>
    <row r="17901" hidden="1" x14ac:dyDescent="0.35"/>
    <row r="17902" hidden="1" x14ac:dyDescent="0.35"/>
    <row r="17903" hidden="1" x14ac:dyDescent="0.35"/>
    <row r="17904" hidden="1" x14ac:dyDescent="0.35"/>
    <row r="17905" hidden="1" x14ac:dyDescent="0.35"/>
    <row r="17906" hidden="1" x14ac:dyDescent="0.35"/>
    <row r="17907" hidden="1" x14ac:dyDescent="0.35"/>
    <row r="17908" hidden="1" x14ac:dyDescent="0.35"/>
    <row r="17909" hidden="1" x14ac:dyDescent="0.35"/>
    <row r="17910" hidden="1" x14ac:dyDescent="0.35"/>
    <row r="17911" hidden="1" x14ac:dyDescent="0.35"/>
    <row r="17912" hidden="1" x14ac:dyDescent="0.35"/>
    <row r="17913" hidden="1" x14ac:dyDescent="0.35"/>
    <row r="17914" hidden="1" x14ac:dyDescent="0.35"/>
    <row r="17915" hidden="1" x14ac:dyDescent="0.35"/>
    <row r="17916" hidden="1" x14ac:dyDescent="0.35"/>
    <row r="17917" hidden="1" x14ac:dyDescent="0.35"/>
    <row r="17918" hidden="1" x14ac:dyDescent="0.35"/>
    <row r="17919" hidden="1" x14ac:dyDescent="0.35"/>
    <row r="17920" hidden="1" x14ac:dyDescent="0.35"/>
    <row r="17921" hidden="1" x14ac:dyDescent="0.35"/>
    <row r="17922" hidden="1" x14ac:dyDescent="0.35"/>
    <row r="17923" hidden="1" x14ac:dyDescent="0.35"/>
    <row r="17924" hidden="1" x14ac:dyDescent="0.35"/>
    <row r="17925" hidden="1" x14ac:dyDescent="0.35"/>
    <row r="17926" hidden="1" x14ac:dyDescent="0.35"/>
    <row r="17927" hidden="1" x14ac:dyDescent="0.35"/>
    <row r="17928" hidden="1" x14ac:dyDescent="0.35"/>
    <row r="17929" hidden="1" x14ac:dyDescent="0.35"/>
    <row r="17930" hidden="1" x14ac:dyDescent="0.35"/>
    <row r="17931" hidden="1" x14ac:dyDescent="0.35"/>
    <row r="17932" hidden="1" x14ac:dyDescent="0.35"/>
    <row r="17933" hidden="1" x14ac:dyDescent="0.35"/>
    <row r="17934" hidden="1" x14ac:dyDescent="0.35"/>
    <row r="17935" hidden="1" x14ac:dyDescent="0.35"/>
    <row r="17936" hidden="1" x14ac:dyDescent="0.35"/>
    <row r="17937" hidden="1" x14ac:dyDescent="0.35"/>
    <row r="17938" hidden="1" x14ac:dyDescent="0.35"/>
    <row r="17939" hidden="1" x14ac:dyDescent="0.35"/>
    <row r="17940" hidden="1" x14ac:dyDescent="0.35"/>
    <row r="17941" hidden="1" x14ac:dyDescent="0.35"/>
    <row r="17942" hidden="1" x14ac:dyDescent="0.35"/>
    <row r="17943" hidden="1" x14ac:dyDescent="0.35"/>
    <row r="17944" hidden="1" x14ac:dyDescent="0.35"/>
    <row r="17945" hidden="1" x14ac:dyDescent="0.35"/>
    <row r="17946" hidden="1" x14ac:dyDescent="0.35"/>
    <row r="17947" hidden="1" x14ac:dyDescent="0.35"/>
    <row r="17948" hidden="1" x14ac:dyDescent="0.35"/>
    <row r="17949" hidden="1" x14ac:dyDescent="0.35"/>
    <row r="17950" hidden="1" x14ac:dyDescent="0.35"/>
    <row r="17951" hidden="1" x14ac:dyDescent="0.35"/>
    <row r="17952" hidden="1" x14ac:dyDescent="0.35"/>
    <row r="17953" hidden="1" x14ac:dyDescent="0.35"/>
    <row r="17954" hidden="1" x14ac:dyDescent="0.35"/>
    <row r="17955" hidden="1" x14ac:dyDescent="0.35"/>
    <row r="17956" hidden="1" x14ac:dyDescent="0.35"/>
    <row r="17957" hidden="1" x14ac:dyDescent="0.35"/>
    <row r="17958" hidden="1" x14ac:dyDescent="0.35"/>
    <row r="17959" hidden="1" x14ac:dyDescent="0.35"/>
    <row r="17960" hidden="1" x14ac:dyDescent="0.35"/>
    <row r="17961" hidden="1" x14ac:dyDescent="0.35"/>
    <row r="17962" hidden="1" x14ac:dyDescent="0.35"/>
    <row r="17963" hidden="1" x14ac:dyDescent="0.35"/>
    <row r="17964" hidden="1" x14ac:dyDescent="0.35"/>
    <row r="17965" hidden="1" x14ac:dyDescent="0.35"/>
    <row r="17966" hidden="1" x14ac:dyDescent="0.35"/>
    <row r="17967" hidden="1" x14ac:dyDescent="0.35"/>
    <row r="17968" hidden="1" x14ac:dyDescent="0.35"/>
    <row r="17969" hidden="1" x14ac:dyDescent="0.35"/>
    <row r="17970" hidden="1" x14ac:dyDescent="0.35"/>
    <row r="17971" hidden="1" x14ac:dyDescent="0.35"/>
    <row r="17972" hidden="1" x14ac:dyDescent="0.35"/>
    <row r="17973" hidden="1" x14ac:dyDescent="0.35"/>
    <row r="17974" hidden="1" x14ac:dyDescent="0.35"/>
    <row r="17975" hidden="1" x14ac:dyDescent="0.35"/>
    <row r="17976" hidden="1" x14ac:dyDescent="0.35"/>
    <row r="17977" hidden="1" x14ac:dyDescent="0.35"/>
    <row r="17978" hidden="1" x14ac:dyDescent="0.35"/>
    <row r="17979" hidden="1" x14ac:dyDescent="0.35"/>
    <row r="17980" hidden="1" x14ac:dyDescent="0.35"/>
    <row r="17981" hidden="1" x14ac:dyDescent="0.35"/>
    <row r="17982" hidden="1" x14ac:dyDescent="0.35"/>
    <row r="17983" hidden="1" x14ac:dyDescent="0.35"/>
    <row r="17984" hidden="1" x14ac:dyDescent="0.35"/>
    <row r="17985" hidden="1" x14ac:dyDescent="0.35"/>
    <row r="17986" hidden="1" x14ac:dyDescent="0.35"/>
    <row r="17987" hidden="1" x14ac:dyDescent="0.35"/>
    <row r="17988" hidden="1" x14ac:dyDescent="0.35"/>
    <row r="17989" hidden="1" x14ac:dyDescent="0.35"/>
    <row r="17990" hidden="1" x14ac:dyDescent="0.35"/>
    <row r="17991" hidden="1" x14ac:dyDescent="0.35"/>
    <row r="17992" hidden="1" x14ac:dyDescent="0.35"/>
    <row r="17993" hidden="1" x14ac:dyDescent="0.35"/>
    <row r="17994" hidden="1" x14ac:dyDescent="0.35"/>
    <row r="17995" hidden="1" x14ac:dyDescent="0.35"/>
    <row r="17996" hidden="1" x14ac:dyDescent="0.35"/>
    <row r="17997" hidden="1" x14ac:dyDescent="0.35"/>
    <row r="17998" hidden="1" x14ac:dyDescent="0.35"/>
    <row r="17999" hidden="1" x14ac:dyDescent="0.35"/>
    <row r="18000" hidden="1" x14ac:dyDescent="0.35"/>
    <row r="18001" hidden="1" x14ac:dyDescent="0.35"/>
    <row r="18002" hidden="1" x14ac:dyDescent="0.35"/>
    <row r="18003" hidden="1" x14ac:dyDescent="0.35"/>
    <row r="18004" hidden="1" x14ac:dyDescent="0.35"/>
    <row r="18005" hidden="1" x14ac:dyDescent="0.35"/>
    <row r="18006" hidden="1" x14ac:dyDescent="0.35"/>
    <row r="18007" hidden="1" x14ac:dyDescent="0.35"/>
    <row r="18008" hidden="1" x14ac:dyDescent="0.35"/>
    <row r="18009" hidden="1" x14ac:dyDescent="0.35"/>
    <row r="18010" hidden="1" x14ac:dyDescent="0.35"/>
    <row r="18011" hidden="1" x14ac:dyDescent="0.35"/>
    <row r="18012" hidden="1" x14ac:dyDescent="0.35"/>
    <row r="18013" hidden="1" x14ac:dyDescent="0.35"/>
    <row r="18014" hidden="1" x14ac:dyDescent="0.35"/>
    <row r="18015" hidden="1" x14ac:dyDescent="0.35"/>
    <row r="18016" hidden="1" x14ac:dyDescent="0.35"/>
    <row r="18017" hidden="1" x14ac:dyDescent="0.35"/>
    <row r="18018" hidden="1" x14ac:dyDescent="0.35"/>
    <row r="18019" hidden="1" x14ac:dyDescent="0.35"/>
    <row r="18020" hidden="1" x14ac:dyDescent="0.35"/>
    <row r="18021" hidden="1" x14ac:dyDescent="0.35"/>
    <row r="18022" hidden="1" x14ac:dyDescent="0.35"/>
    <row r="18023" hidden="1" x14ac:dyDescent="0.35"/>
    <row r="18024" hidden="1" x14ac:dyDescent="0.35"/>
    <row r="18025" hidden="1" x14ac:dyDescent="0.35"/>
    <row r="18026" hidden="1" x14ac:dyDescent="0.35"/>
    <row r="18027" hidden="1" x14ac:dyDescent="0.35"/>
    <row r="18028" hidden="1" x14ac:dyDescent="0.35"/>
    <row r="18029" hidden="1" x14ac:dyDescent="0.35"/>
    <row r="18030" hidden="1" x14ac:dyDescent="0.35"/>
    <row r="18031" hidden="1" x14ac:dyDescent="0.35"/>
    <row r="18032" hidden="1" x14ac:dyDescent="0.35"/>
    <row r="18033" hidden="1" x14ac:dyDescent="0.35"/>
    <row r="18034" hidden="1" x14ac:dyDescent="0.35"/>
    <row r="18035" hidden="1" x14ac:dyDescent="0.35"/>
    <row r="18036" hidden="1" x14ac:dyDescent="0.35"/>
    <row r="18037" hidden="1" x14ac:dyDescent="0.35"/>
    <row r="18038" hidden="1" x14ac:dyDescent="0.35"/>
    <row r="18039" hidden="1" x14ac:dyDescent="0.35"/>
    <row r="18040" hidden="1" x14ac:dyDescent="0.35"/>
    <row r="18041" hidden="1" x14ac:dyDescent="0.35"/>
    <row r="18042" hidden="1" x14ac:dyDescent="0.35"/>
    <row r="18043" hidden="1" x14ac:dyDescent="0.35"/>
    <row r="18044" hidden="1" x14ac:dyDescent="0.35"/>
    <row r="18045" hidden="1" x14ac:dyDescent="0.35"/>
    <row r="18046" hidden="1" x14ac:dyDescent="0.35"/>
    <row r="18047" hidden="1" x14ac:dyDescent="0.35"/>
    <row r="18048" hidden="1" x14ac:dyDescent="0.35"/>
    <row r="18049" hidden="1" x14ac:dyDescent="0.35"/>
    <row r="18050" hidden="1" x14ac:dyDescent="0.35"/>
    <row r="18051" hidden="1" x14ac:dyDescent="0.35"/>
    <row r="18052" hidden="1" x14ac:dyDescent="0.35"/>
    <row r="18053" hidden="1" x14ac:dyDescent="0.35"/>
    <row r="18054" hidden="1" x14ac:dyDescent="0.35"/>
    <row r="18055" hidden="1" x14ac:dyDescent="0.35"/>
    <row r="18056" hidden="1" x14ac:dyDescent="0.35"/>
    <row r="18057" hidden="1" x14ac:dyDescent="0.35"/>
    <row r="18058" hidden="1" x14ac:dyDescent="0.35"/>
    <row r="18059" hidden="1" x14ac:dyDescent="0.35"/>
    <row r="18060" hidden="1" x14ac:dyDescent="0.35"/>
    <row r="18061" hidden="1" x14ac:dyDescent="0.35"/>
    <row r="18062" hidden="1" x14ac:dyDescent="0.35"/>
    <row r="18063" hidden="1" x14ac:dyDescent="0.35"/>
    <row r="18064" hidden="1" x14ac:dyDescent="0.35"/>
    <row r="18065" hidden="1" x14ac:dyDescent="0.35"/>
    <row r="18066" hidden="1" x14ac:dyDescent="0.35"/>
    <row r="18067" hidden="1" x14ac:dyDescent="0.35"/>
    <row r="18068" hidden="1" x14ac:dyDescent="0.35"/>
    <row r="18069" hidden="1" x14ac:dyDescent="0.35"/>
    <row r="18070" hidden="1" x14ac:dyDescent="0.35"/>
    <row r="18071" hidden="1" x14ac:dyDescent="0.35"/>
    <row r="18072" hidden="1" x14ac:dyDescent="0.35"/>
    <row r="18073" hidden="1" x14ac:dyDescent="0.35"/>
    <row r="18074" hidden="1" x14ac:dyDescent="0.35"/>
    <row r="18075" hidden="1" x14ac:dyDescent="0.35"/>
    <row r="18076" hidden="1" x14ac:dyDescent="0.35"/>
    <row r="18077" hidden="1" x14ac:dyDescent="0.35"/>
    <row r="18078" hidden="1" x14ac:dyDescent="0.35"/>
    <row r="18079" hidden="1" x14ac:dyDescent="0.35"/>
    <row r="18080" hidden="1" x14ac:dyDescent="0.35"/>
    <row r="18081" hidden="1" x14ac:dyDescent="0.35"/>
    <row r="18082" hidden="1" x14ac:dyDescent="0.35"/>
    <row r="18083" hidden="1" x14ac:dyDescent="0.35"/>
    <row r="18084" hidden="1" x14ac:dyDescent="0.35"/>
    <row r="18085" hidden="1" x14ac:dyDescent="0.35"/>
    <row r="18086" hidden="1" x14ac:dyDescent="0.35"/>
    <row r="18087" hidden="1" x14ac:dyDescent="0.35"/>
    <row r="18088" hidden="1" x14ac:dyDescent="0.35"/>
    <row r="18089" hidden="1" x14ac:dyDescent="0.35"/>
    <row r="18090" hidden="1" x14ac:dyDescent="0.35"/>
    <row r="18091" hidden="1" x14ac:dyDescent="0.35"/>
    <row r="18092" hidden="1" x14ac:dyDescent="0.35"/>
    <row r="18093" hidden="1" x14ac:dyDescent="0.35"/>
    <row r="18094" hidden="1" x14ac:dyDescent="0.35"/>
    <row r="18095" hidden="1" x14ac:dyDescent="0.35"/>
    <row r="18096" hidden="1" x14ac:dyDescent="0.35"/>
    <row r="18097" hidden="1" x14ac:dyDescent="0.35"/>
    <row r="18098" hidden="1" x14ac:dyDescent="0.35"/>
    <row r="18099" hidden="1" x14ac:dyDescent="0.35"/>
    <row r="18100" hidden="1" x14ac:dyDescent="0.35"/>
    <row r="18101" hidden="1" x14ac:dyDescent="0.35"/>
    <row r="18102" hidden="1" x14ac:dyDescent="0.35"/>
    <row r="18103" hidden="1" x14ac:dyDescent="0.35"/>
    <row r="18104" hidden="1" x14ac:dyDescent="0.35"/>
    <row r="18105" hidden="1" x14ac:dyDescent="0.35"/>
    <row r="18106" hidden="1" x14ac:dyDescent="0.35"/>
    <row r="18107" hidden="1" x14ac:dyDescent="0.35"/>
    <row r="18108" hidden="1" x14ac:dyDescent="0.35"/>
    <row r="18109" hidden="1" x14ac:dyDescent="0.35"/>
    <row r="18110" hidden="1" x14ac:dyDescent="0.35"/>
    <row r="18111" hidden="1" x14ac:dyDescent="0.35"/>
    <row r="18112" hidden="1" x14ac:dyDescent="0.35"/>
    <row r="18113" hidden="1" x14ac:dyDescent="0.35"/>
    <row r="18114" hidden="1" x14ac:dyDescent="0.35"/>
    <row r="18115" hidden="1" x14ac:dyDescent="0.35"/>
    <row r="18116" hidden="1" x14ac:dyDescent="0.35"/>
    <row r="18117" hidden="1" x14ac:dyDescent="0.35"/>
    <row r="18118" hidden="1" x14ac:dyDescent="0.35"/>
    <row r="18119" hidden="1" x14ac:dyDescent="0.35"/>
    <row r="18120" hidden="1" x14ac:dyDescent="0.35"/>
    <row r="18121" hidden="1" x14ac:dyDescent="0.35"/>
    <row r="18122" hidden="1" x14ac:dyDescent="0.35"/>
    <row r="18123" hidden="1" x14ac:dyDescent="0.35"/>
    <row r="18124" hidden="1" x14ac:dyDescent="0.35"/>
    <row r="18125" hidden="1" x14ac:dyDescent="0.35"/>
    <row r="18126" hidden="1" x14ac:dyDescent="0.35"/>
    <row r="18127" hidden="1" x14ac:dyDescent="0.35"/>
    <row r="18128" hidden="1" x14ac:dyDescent="0.35"/>
    <row r="18129" hidden="1" x14ac:dyDescent="0.35"/>
    <row r="18130" hidden="1" x14ac:dyDescent="0.35"/>
    <row r="18131" hidden="1" x14ac:dyDescent="0.35"/>
    <row r="18132" hidden="1" x14ac:dyDescent="0.35"/>
    <row r="18133" hidden="1" x14ac:dyDescent="0.35"/>
    <row r="18134" hidden="1" x14ac:dyDescent="0.35"/>
    <row r="18135" hidden="1" x14ac:dyDescent="0.35"/>
    <row r="18136" hidden="1" x14ac:dyDescent="0.35"/>
    <row r="18137" hidden="1" x14ac:dyDescent="0.35"/>
    <row r="18138" hidden="1" x14ac:dyDescent="0.35"/>
    <row r="18139" hidden="1" x14ac:dyDescent="0.35"/>
    <row r="18140" hidden="1" x14ac:dyDescent="0.35"/>
    <row r="18141" hidden="1" x14ac:dyDescent="0.35"/>
    <row r="18142" hidden="1" x14ac:dyDescent="0.35"/>
    <row r="18143" hidden="1" x14ac:dyDescent="0.35"/>
    <row r="18144" hidden="1" x14ac:dyDescent="0.35"/>
    <row r="18145" hidden="1" x14ac:dyDescent="0.35"/>
    <row r="18146" hidden="1" x14ac:dyDescent="0.35"/>
    <row r="18147" hidden="1" x14ac:dyDescent="0.35"/>
    <row r="18148" hidden="1" x14ac:dyDescent="0.35"/>
    <row r="18149" hidden="1" x14ac:dyDescent="0.35"/>
    <row r="18150" hidden="1" x14ac:dyDescent="0.35"/>
    <row r="18151" hidden="1" x14ac:dyDescent="0.35"/>
    <row r="18152" hidden="1" x14ac:dyDescent="0.35"/>
    <row r="18153" hidden="1" x14ac:dyDescent="0.35"/>
    <row r="18154" hidden="1" x14ac:dyDescent="0.35"/>
    <row r="18155" hidden="1" x14ac:dyDescent="0.35"/>
    <row r="18156" hidden="1" x14ac:dyDescent="0.35"/>
    <row r="18157" hidden="1" x14ac:dyDescent="0.35"/>
    <row r="18158" hidden="1" x14ac:dyDescent="0.35"/>
    <row r="18159" hidden="1" x14ac:dyDescent="0.35"/>
    <row r="18160" hidden="1" x14ac:dyDescent="0.35"/>
    <row r="18161" hidden="1" x14ac:dyDescent="0.35"/>
    <row r="18162" hidden="1" x14ac:dyDescent="0.35"/>
    <row r="18163" hidden="1" x14ac:dyDescent="0.35"/>
    <row r="18164" hidden="1" x14ac:dyDescent="0.35"/>
    <row r="18165" hidden="1" x14ac:dyDescent="0.35"/>
    <row r="18166" hidden="1" x14ac:dyDescent="0.35"/>
    <row r="18167" hidden="1" x14ac:dyDescent="0.35"/>
    <row r="18168" hidden="1" x14ac:dyDescent="0.35"/>
    <row r="18169" hidden="1" x14ac:dyDescent="0.35"/>
    <row r="18170" hidden="1" x14ac:dyDescent="0.35"/>
    <row r="18171" hidden="1" x14ac:dyDescent="0.35"/>
    <row r="18172" hidden="1" x14ac:dyDescent="0.35"/>
    <row r="18173" hidden="1" x14ac:dyDescent="0.35"/>
    <row r="18174" hidden="1" x14ac:dyDescent="0.35"/>
    <row r="18175" hidden="1" x14ac:dyDescent="0.35"/>
    <row r="18176" hidden="1" x14ac:dyDescent="0.35"/>
    <row r="18177" hidden="1" x14ac:dyDescent="0.35"/>
    <row r="18178" hidden="1" x14ac:dyDescent="0.35"/>
    <row r="18179" hidden="1" x14ac:dyDescent="0.35"/>
    <row r="18180" hidden="1" x14ac:dyDescent="0.35"/>
    <row r="18181" hidden="1" x14ac:dyDescent="0.35"/>
    <row r="18182" hidden="1" x14ac:dyDescent="0.35"/>
    <row r="18183" hidden="1" x14ac:dyDescent="0.35"/>
    <row r="18184" hidden="1" x14ac:dyDescent="0.35"/>
    <row r="18185" hidden="1" x14ac:dyDescent="0.35"/>
    <row r="18186" hidden="1" x14ac:dyDescent="0.35"/>
    <row r="18187" hidden="1" x14ac:dyDescent="0.35"/>
    <row r="18188" hidden="1" x14ac:dyDescent="0.35"/>
    <row r="18189" hidden="1" x14ac:dyDescent="0.35"/>
    <row r="18190" hidden="1" x14ac:dyDescent="0.35"/>
    <row r="18191" hidden="1" x14ac:dyDescent="0.35"/>
    <row r="18192" hidden="1" x14ac:dyDescent="0.35"/>
    <row r="18193" hidden="1" x14ac:dyDescent="0.35"/>
    <row r="18194" hidden="1" x14ac:dyDescent="0.35"/>
    <row r="18195" hidden="1" x14ac:dyDescent="0.35"/>
    <row r="18196" hidden="1" x14ac:dyDescent="0.35"/>
    <row r="18197" hidden="1" x14ac:dyDescent="0.35"/>
    <row r="18198" hidden="1" x14ac:dyDescent="0.35"/>
    <row r="18199" hidden="1" x14ac:dyDescent="0.35"/>
    <row r="18200" hidden="1" x14ac:dyDescent="0.35"/>
    <row r="18201" hidden="1" x14ac:dyDescent="0.35"/>
    <row r="18202" hidden="1" x14ac:dyDescent="0.35"/>
    <row r="18203" hidden="1" x14ac:dyDescent="0.35"/>
    <row r="18204" hidden="1" x14ac:dyDescent="0.35"/>
    <row r="18205" hidden="1" x14ac:dyDescent="0.35"/>
    <row r="18206" hidden="1" x14ac:dyDescent="0.35"/>
    <row r="18207" hidden="1" x14ac:dyDescent="0.35"/>
    <row r="18208" hidden="1" x14ac:dyDescent="0.35"/>
    <row r="18209" hidden="1" x14ac:dyDescent="0.35"/>
    <row r="18210" hidden="1" x14ac:dyDescent="0.35"/>
    <row r="18211" hidden="1" x14ac:dyDescent="0.35"/>
    <row r="18212" hidden="1" x14ac:dyDescent="0.35"/>
    <row r="18213" hidden="1" x14ac:dyDescent="0.35"/>
    <row r="18214" hidden="1" x14ac:dyDescent="0.35"/>
    <row r="18215" hidden="1" x14ac:dyDescent="0.35"/>
    <row r="18216" hidden="1" x14ac:dyDescent="0.35"/>
    <row r="18217" hidden="1" x14ac:dyDescent="0.35"/>
    <row r="18218" hidden="1" x14ac:dyDescent="0.35"/>
    <row r="18219" hidden="1" x14ac:dyDescent="0.35"/>
    <row r="18220" hidden="1" x14ac:dyDescent="0.35"/>
    <row r="18221" hidden="1" x14ac:dyDescent="0.35"/>
    <row r="18222" hidden="1" x14ac:dyDescent="0.35"/>
    <row r="18223" hidden="1" x14ac:dyDescent="0.35"/>
    <row r="18224" hidden="1" x14ac:dyDescent="0.35"/>
    <row r="18225" hidden="1" x14ac:dyDescent="0.35"/>
    <row r="18226" hidden="1" x14ac:dyDescent="0.35"/>
    <row r="18227" hidden="1" x14ac:dyDescent="0.35"/>
    <row r="18228" hidden="1" x14ac:dyDescent="0.35"/>
    <row r="18229" hidden="1" x14ac:dyDescent="0.35"/>
    <row r="18230" hidden="1" x14ac:dyDescent="0.35"/>
    <row r="18231" hidden="1" x14ac:dyDescent="0.35"/>
    <row r="18232" hidden="1" x14ac:dyDescent="0.35"/>
    <row r="18233" hidden="1" x14ac:dyDescent="0.35"/>
    <row r="18234" hidden="1" x14ac:dyDescent="0.35"/>
    <row r="18235" hidden="1" x14ac:dyDescent="0.35"/>
    <row r="18236" hidden="1" x14ac:dyDescent="0.35"/>
    <row r="18237" hidden="1" x14ac:dyDescent="0.35"/>
    <row r="18238" hidden="1" x14ac:dyDescent="0.35"/>
    <row r="18239" hidden="1" x14ac:dyDescent="0.35"/>
    <row r="18240" hidden="1" x14ac:dyDescent="0.35"/>
    <row r="18241" hidden="1" x14ac:dyDescent="0.35"/>
    <row r="18242" hidden="1" x14ac:dyDescent="0.35"/>
    <row r="18243" hidden="1" x14ac:dyDescent="0.35"/>
    <row r="18244" hidden="1" x14ac:dyDescent="0.35"/>
    <row r="18245" hidden="1" x14ac:dyDescent="0.35"/>
    <row r="18246" hidden="1" x14ac:dyDescent="0.35"/>
    <row r="18247" hidden="1" x14ac:dyDescent="0.35"/>
    <row r="18248" hidden="1" x14ac:dyDescent="0.35"/>
    <row r="18249" hidden="1" x14ac:dyDescent="0.35"/>
    <row r="18250" hidden="1" x14ac:dyDescent="0.35"/>
    <row r="18251" hidden="1" x14ac:dyDescent="0.35"/>
    <row r="18252" hidden="1" x14ac:dyDescent="0.35"/>
    <row r="18253" hidden="1" x14ac:dyDescent="0.35"/>
    <row r="18254" hidden="1" x14ac:dyDescent="0.35"/>
    <row r="18255" hidden="1" x14ac:dyDescent="0.35"/>
    <row r="18256" hidden="1" x14ac:dyDescent="0.35"/>
    <row r="18257" hidden="1" x14ac:dyDescent="0.35"/>
    <row r="18258" hidden="1" x14ac:dyDescent="0.35"/>
    <row r="18259" hidden="1" x14ac:dyDescent="0.35"/>
    <row r="18260" hidden="1" x14ac:dyDescent="0.35"/>
    <row r="18261" hidden="1" x14ac:dyDescent="0.35"/>
    <row r="18262" hidden="1" x14ac:dyDescent="0.35"/>
    <row r="18263" hidden="1" x14ac:dyDescent="0.35"/>
    <row r="18264" hidden="1" x14ac:dyDescent="0.35"/>
    <row r="18265" hidden="1" x14ac:dyDescent="0.35"/>
    <row r="18266" hidden="1" x14ac:dyDescent="0.35"/>
    <row r="18267" hidden="1" x14ac:dyDescent="0.35"/>
    <row r="18268" hidden="1" x14ac:dyDescent="0.35"/>
    <row r="18269" hidden="1" x14ac:dyDescent="0.35"/>
    <row r="18270" hidden="1" x14ac:dyDescent="0.35"/>
    <row r="18271" hidden="1" x14ac:dyDescent="0.35"/>
    <row r="18272" hidden="1" x14ac:dyDescent="0.35"/>
    <row r="18273" hidden="1" x14ac:dyDescent="0.35"/>
    <row r="18274" hidden="1" x14ac:dyDescent="0.35"/>
    <row r="18275" hidden="1" x14ac:dyDescent="0.35"/>
    <row r="18276" hidden="1" x14ac:dyDescent="0.35"/>
    <row r="18277" hidden="1" x14ac:dyDescent="0.35"/>
    <row r="18278" hidden="1" x14ac:dyDescent="0.35"/>
    <row r="18279" hidden="1" x14ac:dyDescent="0.35"/>
    <row r="18280" hidden="1" x14ac:dyDescent="0.35"/>
    <row r="18281" hidden="1" x14ac:dyDescent="0.35"/>
    <row r="18282" hidden="1" x14ac:dyDescent="0.35"/>
    <row r="18283" hidden="1" x14ac:dyDescent="0.35"/>
    <row r="18284" hidden="1" x14ac:dyDescent="0.35"/>
    <row r="18285" hidden="1" x14ac:dyDescent="0.35"/>
    <row r="18286" hidden="1" x14ac:dyDescent="0.35"/>
    <row r="18287" hidden="1" x14ac:dyDescent="0.35"/>
    <row r="18288" hidden="1" x14ac:dyDescent="0.35"/>
    <row r="18289" hidden="1" x14ac:dyDescent="0.35"/>
    <row r="18290" hidden="1" x14ac:dyDescent="0.35"/>
    <row r="18291" hidden="1" x14ac:dyDescent="0.35"/>
    <row r="18292" hidden="1" x14ac:dyDescent="0.35"/>
    <row r="18293" hidden="1" x14ac:dyDescent="0.35"/>
    <row r="18294" hidden="1" x14ac:dyDescent="0.35"/>
    <row r="18295" hidden="1" x14ac:dyDescent="0.35"/>
    <row r="18296" hidden="1" x14ac:dyDescent="0.35"/>
    <row r="18297" hidden="1" x14ac:dyDescent="0.35"/>
    <row r="18298" hidden="1" x14ac:dyDescent="0.35"/>
    <row r="18299" hidden="1" x14ac:dyDescent="0.35"/>
    <row r="18300" hidden="1" x14ac:dyDescent="0.35"/>
    <row r="18301" hidden="1" x14ac:dyDescent="0.35"/>
    <row r="18302" hidden="1" x14ac:dyDescent="0.35"/>
    <row r="18303" hidden="1" x14ac:dyDescent="0.35"/>
    <row r="18304" hidden="1" x14ac:dyDescent="0.35"/>
    <row r="18305" hidden="1" x14ac:dyDescent="0.35"/>
    <row r="18306" hidden="1" x14ac:dyDescent="0.35"/>
    <row r="18307" hidden="1" x14ac:dyDescent="0.35"/>
    <row r="18308" hidden="1" x14ac:dyDescent="0.35"/>
    <row r="18309" hidden="1" x14ac:dyDescent="0.35"/>
    <row r="18310" hidden="1" x14ac:dyDescent="0.35"/>
    <row r="18311" hidden="1" x14ac:dyDescent="0.35"/>
    <row r="18312" hidden="1" x14ac:dyDescent="0.35"/>
    <row r="18313" hidden="1" x14ac:dyDescent="0.35"/>
    <row r="18314" hidden="1" x14ac:dyDescent="0.35"/>
    <row r="18315" hidden="1" x14ac:dyDescent="0.35"/>
    <row r="18316" hidden="1" x14ac:dyDescent="0.35"/>
    <row r="18317" hidden="1" x14ac:dyDescent="0.35"/>
    <row r="18318" hidden="1" x14ac:dyDescent="0.35"/>
    <row r="18319" hidden="1" x14ac:dyDescent="0.35"/>
    <row r="18320" hidden="1" x14ac:dyDescent="0.35"/>
    <row r="18321" hidden="1" x14ac:dyDescent="0.35"/>
    <row r="18322" hidden="1" x14ac:dyDescent="0.35"/>
    <row r="18323" hidden="1" x14ac:dyDescent="0.35"/>
    <row r="18324" hidden="1" x14ac:dyDescent="0.35"/>
    <row r="18325" hidden="1" x14ac:dyDescent="0.35"/>
    <row r="18326" hidden="1" x14ac:dyDescent="0.35"/>
    <row r="18327" hidden="1" x14ac:dyDescent="0.35"/>
    <row r="18328" hidden="1" x14ac:dyDescent="0.35"/>
    <row r="18329" hidden="1" x14ac:dyDescent="0.35"/>
    <row r="18330" hidden="1" x14ac:dyDescent="0.35"/>
    <row r="18331" hidden="1" x14ac:dyDescent="0.35"/>
    <row r="18332" hidden="1" x14ac:dyDescent="0.35"/>
    <row r="18333" hidden="1" x14ac:dyDescent="0.35"/>
    <row r="18334" hidden="1" x14ac:dyDescent="0.35"/>
    <row r="18335" hidden="1" x14ac:dyDescent="0.35"/>
    <row r="18336" hidden="1" x14ac:dyDescent="0.35"/>
    <row r="18337" hidden="1" x14ac:dyDescent="0.35"/>
    <row r="18338" hidden="1" x14ac:dyDescent="0.35"/>
    <row r="18339" hidden="1" x14ac:dyDescent="0.35"/>
    <row r="18340" hidden="1" x14ac:dyDescent="0.35"/>
    <row r="18341" hidden="1" x14ac:dyDescent="0.35"/>
    <row r="18342" hidden="1" x14ac:dyDescent="0.35"/>
    <row r="18343" hidden="1" x14ac:dyDescent="0.35"/>
    <row r="18344" hidden="1" x14ac:dyDescent="0.35"/>
    <row r="18345" hidden="1" x14ac:dyDescent="0.35"/>
    <row r="18346" hidden="1" x14ac:dyDescent="0.35"/>
    <row r="18347" hidden="1" x14ac:dyDescent="0.35"/>
    <row r="18348" hidden="1" x14ac:dyDescent="0.35"/>
    <row r="18349" hidden="1" x14ac:dyDescent="0.35"/>
    <row r="18350" hidden="1" x14ac:dyDescent="0.35"/>
    <row r="18351" hidden="1" x14ac:dyDescent="0.35"/>
    <row r="18352" hidden="1" x14ac:dyDescent="0.35"/>
    <row r="18353" hidden="1" x14ac:dyDescent="0.35"/>
    <row r="18354" hidden="1" x14ac:dyDescent="0.35"/>
    <row r="18355" hidden="1" x14ac:dyDescent="0.35"/>
    <row r="18356" hidden="1" x14ac:dyDescent="0.35"/>
    <row r="18357" hidden="1" x14ac:dyDescent="0.35"/>
    <row r="18358" hidden="1" x14ac:dyDescent="0.35"/>
    <row r="18359" hidden="1" x14ac:dyDescent="0.35"/>
    <row r="18360" hidden="1" x14ac:dyDescent="0.35"/>
    <row r="18361" hidden="1" x14ac:dyDescent="0.35"/>
    <row r="18362" hidden="1" x14ac:dyDescent="0.35"/>
    <row r="18363" hidden="1" x14ac:dyDescent="0.35"/>
    <row r="18364" hidden="1" x14ac:dyDescent="0.35"/>
    <row r="18365" hidden="1" x14ac:dyDescent="0.35"/>
    <row r="18366" hidden="1" x14ac:dyDescent="0.35"/>
    <row r="18367" hidden="1" x14ac:dyDescent="0.35"/>
    <row r="18368" hidden="1" x14ac:dyDescent="0.35"/>
    <row r="18369" hidden="1" x14ac:dyDescent="0.35"/>
    <row r="18370" hidden="1" x14ac:dyDescent="0.35"/>
    <row r="18371" hidden="1" x14ac:dyDescent="0.35"/>
    <row r="18372" hidden="1" x14ac:dyDescent="0.35"/>
    <row r="18373" hidden="1" x14ac:dyDescent="0.35"/>
    <row r="18374" hidden="1" x14ac:dyDescent="0.35"/>
    <row r="18375" hidden="1" x14ac:dyDescent="0.35"/>
    <row r="18376" hidden="1" x14ac:dyDescent="0.35"/>
    <row r="18377" hidden="1" x14ac:dyDescent="0.35"/>
    <row r="18378" hidden="1" x14ac:dyDescent="0.35"/>
    <row r="18379" hidden="1" x14ac:dyDescent="0.35"/>
    <row r="18380" hidden="1" x14ac:dyDescent="0.35"/>
    <row r="18381" hidden="1" x14ac:dyDescent="0.35"/>
    <row r="18382" hidden="1" x14ac:dyDescent="0.35"/>
    <row r="18383" hidden="1" x14ac:dyDescent="0.35"/>
    <row r="18384" hidden="1" x14ac:dyDescent="0.35"/>
    <row r="18385" hidden="1" x14ac:dyDescent="0.35"/>
    <row r="18386" hidden="1" x14ac:dyDescent="0.35"/>
    <row r="18387" hidden="1" x14ac:dyDescent="0.35"/>
    <row r="18388" hidden="1" x14ac:dyDescent="0.35"/>
    <row r="18389" hidden="1" x14ac:dyDescent="0.35"/>
    <row r="18390" hidden="1" x14ac:dyDescent="0.35"/>
    <row r="18391" hidden="1" x14ac:dyDescent="0.35"/>
    <row r="18392" hidden="1" x14ac:dyDescent="0.35"/>
    <row r="18393" hidden="1" x14ac:dyDescent="0.35"/>
    <row r="18394" hidden="1" x14ac:dyDescent="0.35"/>
    <row r="18395" hidden="1" x14ac:dyDescent="0.35"/>
    <row r="18396" hidden="1" x14ac:dyDescent="0.35"/>
    <row r="18397" hidden="1" x14ac:dyDescent="0.35"/>
    <row r="18398" hidden="1" x14ac:dyDescent="0.35"/>
    <row r="18399" hidden="1" x14ac:dyDescent="0.35"/>
    <row r="18400" hidden="1" x14ac:dyDescent="0.35"/>
    <row r="18401" hidden="1" x14ac:dyDescent="0.35"/>
    <row r="18402" hidden="1" x14ac:dyDescent="0.35"/>
    <row r="18403" hidden="1" x14ac:dyDescent="0.35"/>
    <row r="18404" hidden="1" x14ac:dyDescent="0.35"/>
    <row r="18405" hidden="1" x14ac:dyDescent="0.35"/>
    <row r="18406" hidden="1" x14ac:dyDescent="0.35"/>
    <row r="18407" hidden="1" x14ac:dyDescent="0.35"/>
    <row r="18408" hidden="1" x14ac:dyDescent="0.35"/>
    <row r="18409" hidden="1" x14ac:dyDescent="0.35"/>
    <row r="18410" hidden="1" x14ac:dyDescent="0.35"/>
    <row r="18411" hidden="1" x14ac:dyDescent="0.35"/>
    <row r="18412" hidden="1" x14ac:dyDescent="0.35"/>
    <row r="18413" hidden="1" x14ac:dyDescent="0.35"/>
    <row r="18414" hidden="1" x14ac:dyDescent="0.35"/>
    <row r="18415" hidden="1" x14ac:dyDescent="0.35"/>
    <row r="18416" hidden="1" x14ac:dyDescent="0.35"/>
    <row r="18417" hidden="1" x14ac:dyDescent="0.35"/>
    <row r="18418" hidden="1" x14ac:dyDescent="0.35"/>
    <row r="18419" hidden="1" x14ac:dyDescent="0.35"/>
    <row r="18420" hidden="1" x14ac:dyDescent="0.35"/>
    <row r="18421" hidden="1" x14ac:dyDescent="0.35"/>
    <row r="18422" hidden="1" x14ac:dyDescent="0.35"/>
    <row r="18423" hidden="1" x14ac:dyDescent="0.35"/>
    <row r="18424" hidden="1" x14ac:dyDescent="0.35"/>
    <row r="18425" hidden="1" x14ac:dyDescent="0.35"/>
    <row r="18426" hidden="1" x14ac:dyDescent="0.35"/>
    <row r="18427" hidden="1" x14ac:dyDescent="0.35"/>
    <row r="18428" hidden="1" x14ac:dyDescent="0.35"/>
    <row r="18429" hidden="1" x14ac:dyDescent="0.35"/>
    <row r="18430" hidden="1" x14ac:dyDescent="0.35"/>
    <row r="18431" hidden="1" x14ac:dyDescent="0.35"/>
    <row r="18432" hidden="1" x14ac:dyDescent="0.35"/>
    <row r="18433" hidden="1" x14ac:dyDescent="0.35"/>
    <row r="18434" hidden="1" x14ac:dyDescent="0.35"/>
    <row r="18435" hidden="1" x14ac:dyDescent="0.35"/>
    <row r="18436" hidden="1" x14ac:dyDescent="0.35"/>
    <row r="18437" hidden="1" x14ac:dyDescent="0.35"/>
    <row r="18438" hidden="1" x14ac:dyDescent="0.35"/>
    <row r="18439" hidden="1" x14ac:dyDescent="0.35"/>
    <row r="18440" hidden="1" x14ac:dyDescent="0.35"/>
    <row r="18441" hidden="1" x14ac:dyDescent="0.35"/>
    <row r="18442" hidden="1" x14ac:dyDescent="0.35"/>
    <row r="18443" hidden="1" x14ac:dyDescent="0.35"/>
    <row r="18444" hidden="1" x14ac:dyDescent="0.35"/>
    <row r="18445" hidden="1" x14ac:dyDescent="0.35"/>
    <row r="18446" hidden="1" x14ac:dyDescent="0.35"/>
    <row r="18447" hidden="1" x14ac:dyDescent="0.35"/>
    <row r="18448" hidden="1" x14ac:dyDescent="0.35"/>
    <row r="18449" hidden="1" x14ac:dyDescent="0.35"/>
    <row r="18450" hidden="1" x14ac:dyDescent="0.35"/>
    <row r="18451" hidden="1" x14ac:dyDescent="0.35"/>
    <row r="18452" hidden="1" x14ac:dyDescent="0.35"/>
    <row r="18453" hidden="1" x14ac:dyDescent="0.35"/>
    <row r="18454" hidden="1" x14ac:dyDescent="0.35"/>
    <row r="18455" hidden="1" x14ac:dyDescent="0.35"/>
    <row r="18456" hidden="1" x14ac:dyDescent="0.35"/>
    <row r="18457" hidden="1" x14ac:dyDescent="0.35"/>
    <row r="18458" hidden="1" x14ac:dyDescent="0.35"/>
    <row r="18459" hidden="1" x14ac:dyDescent="0.35"/>
    <row r="18460" hidden="1" x14ac:dyDescent="0.35"/>
    <row r="18461" hidden="1" x14ac:dyDescent="0.35"/>
    <row r="18462" hidden="1" x14ac:dyDescent="0.35"/>
    <row r="18463" hidden="1" x14ac:dyDescent="0.35"/>
    <row r="18464" hidden="1" x14ac:dyDescent="0.35"/>
    <row r="18465" hidden="1" x14ac:dyDescent="0.35"/>
    <row r="18466" hidden="1" x14ac:dyDescent="0.35"/>
    <row r="18467" hidden="1" x14ac:dyDescent="0.35"/>
    <row r="18468" hidden="1" x14ac:dyDescent="0.35"/>
    <row r="18469" hidden="1" x14ac:dyDescent="0.35"/>
    <row r="18470" hidden="1" x14ac:dyDescent="0.35"/>
    <row r="18471" hidden="1" x14ac:dyDescent="0.35"/>
    <row r="18472" hidden="1" x14ac:dyDescent="0.35"/>
    <row r="18473" hidden="1" x14ac:dyDescent="0.35"/>
    <row r="18474" hidden="1" x14ac:dyDescent="0.35"/>
    <row r="18475" hidden="1" x14ac:dyDescent="0.35"/>
    <row r="18476" hidden="1" x14ac:dyDescent="0.35"/>
    <row r="18477" hidden="1" x14ac:dyDescent="0.35"/>
    <row r="18478" hidden="1" x14ac:dyDescent="0.35"/>
    <row r="18479" hidden="1" x14ac:dyDescent="0.35"/>
    <row r="18480" hidden="1" x14ac:dyDescent="0.35"/>
    <row r="18481" hidden="1" x14ac:dyDescent="0.35"/>
    <row r="18482" hidden="1" x14ac:dyDescent="0.35"/>
    <row r="18483" hidden="1" x14ac:dyDescent="0.35"/>
    <row r="18484" hidden="1" x14ac:dyDescent="0.35"/>
    <row r="18485" hidden="1" x14ac:dyDescent="0.35"/>
    <row r="18486" hidden="1" x14ac:dyDescent="0.35"/>
    <row r="18487" hidden="1" x14ac:dyDescent="0.35"/>
    <row r="18488" hidden="1" x14ac:dyDescent="0.35"/>
    <row r="18489" hidden="1" x14ac:dyDescent="0.35"/>
    <row r="18490" hidden="1" x14ac:dyDescent="0.35"/>
    <row r="18491" hidden="1" x14ac:dyDescent="0.35"/>
    <row r="18492" hidden="1" x14ac:dyDescent="0.35"/>
    <row r="18493" hidden="1" x14ac:dyDescent="0.35"/>
    <row r="18494" hidden="1" x14ac:dyDescent="0.35"/>
    <row r="18495" hidden="1" x14ac:dyDescent="0.35"/>
    <row r="18496" hidden="1" x14ac:dyDescent="0.35"/>
    <row r="18497" hidden="1" x14ac:dyDescent="0.35"/>
    <row r="18498" hidden="1" x14ac:dyDescent="0.35"/>
    <row r="18499" hidden="1" x14ac:dyDescent="0.35"/>
    <row r="18500" hidden="1" x14ac:dyDescent="0.35"/>
    <row r="18501" hidden="1" x14ac:dyDescent="0.35"/>
    <row r="18502" hidden="1" x14ac:dyDescent="0.35"/>
    <row r="18503" hidden="1" x14ac:dyDescent="0.35"/>
    <row r="18504" hidden="1" x14ac:dyDescent="0.35"/>
    <row r="18505" hidden="1" x14ac:dyDescent="0.35"/>
    <row r="18506" hidden="1" x14ac:dyDescent="0.35"/>
    <row r="18507" hidden="1" x14ac:dyDescent="0.35"/>
    <row r="18508" hidden="1" x14ac:dyDescent="0.35"/>
    <row r="18509" hidden="1" x14ac:dyDescent="0.35"/>
    <row r="18510" hidden="1" x14ac:dyDescent="0.35"/>
    <row r="18511" hidden="1" x14ac:dyDescent="0.35"/>
    <row r="18512" hidden="1" x14ac:dyDescent="0.35"/>
    <row r="18513" hidden="1" x14ac:dyDescent="0.35"/>
    <row r="18514" hidden="1" x14ac:dyDescent="0.35"/>
    <row r="18515" hidden="1" x14ac:dyDescent="0.35"/>
    <row r="18516" hidden="1" x14ac:dyDescent="0.35"/>
    <row r="18517" hidden="1" x14ac:dyDescent="0.35"/>
    <row r="18518" hidden="1" x14ac:dyDescent="0.35"/>
    <row r="18519" hidden="1" x14ac:dyDescent="0.35"/>
    <row r="18520" hidden="1" x14ac:dyDescent="0.35"/>
    <row r="18521" hidden="1" x14ac:dyDescent="0.35"/>
    <row r="18522" hidden="1" x14ac:dyDescent="0.35"/>
    <row r="18523" hidden="1" x14ac:dyDescent="0.35"/>
    <row r="18524" hidden="1" x14ac:dyDescent="0.35"/>
    <row r="18525" hidden="1" x14ac:dyDescent="0.35"/>
    <row r="18526" hidden="1" x14ac:dyDescent="0.35"/>
    <row r="18527" hidden="1" x14ac:dyDescent="0.35"/>
    <row r="18528" hidden="1" x14ac:dyDescent="0.35"/>
    <row r="18529" hidden="1" x14ac:dyDescent="0.35"/>
    <row r="18530" hidden="1" x14ac:dyDescent="0.35"/>
    <row r="18531" hidden="1" x14ac:dyDescent="0.35"/>
    <row r="18532" hidden="1" x14ac:dyDescent="0.35"/>
    <row r="18533" hidden="1" x14ac:dyDescent="0.35"/>
    <row r="18534" hidden="1" x14ac:dyDescent="0.35"/>
    <row r="18535" hidden="1" x14ac:dyDescent="0.35"/>
    <row r="18536" hidden="1" x14ac:dyDescent="0.35"/>
    <row r="18537" hidden="1" x14ac:dyDescent="0.35"/>
    <row r="18538" hidden="1" x14ac:dyDescent="0.35"/>
    <row r="18539" hidden="1" x14ac:dyDescent="0.35"/>
    <row r="18540" hidden="1" x14ac:dyDescent="0.35"/>
    <row r="18541" hidden="1" x14ac:dyDescent="0.35"/>
    <row r="18542" hidden="1" x14ac:dyDescent="0.35"/>
    <row r="18543" hidden="1" x14ac:dyDescent="0.35"/>
    <row r="18544" hidden="1" x14ac:dyDescent="0.35"/>
    <row r="18545" hidden="1" x14ac:dyDescent="0.35"/>
    <row r="18546" hidden="1" x14ac:dyDescent="0.35"/>
    <row r="18547" hidden="1" x14ac:dyDescent="0.35"/>
    <row r="18548" hidden="1" x14ac:dyDescent="0.35"/>
    <row r="18549" hidden="1" x14ac:dyDescent="0.35"/>
    <row r="18550" hidden="1" x14ac:dyDescent="0.35"/>
    <row r="18551" hidden="1" x14ac:dyDescent="0.35"/>
    <row r="18552" hidden="1" x14ac:dyDescent="0.35"/>
    <row r="18553" hidden="1" x14ac:dyDescent="0.35"/>
    <row r="18554" hidden="1" x14ac:dyDescent="0.35"/>
    <row r="18555" hidden="1" x14ac:dyDescent="0.35"/>
    <row r="18556" hidden="1" x14ac:dyDescent="0.35"/>
    <row r="18557" hidden="1" x14ac:dyDescent="0.35"/>
    <row r="18558" hidden="1" x14ac:dyDescent="0.35"/>
    <row r="18559" hidden="1" x14ac:dyDescent="0.35"/>
    <row r="18560" hidden="1" x14ac:dyDescent="0.35"/>
    <row r="18561" hidden="1" x14ac:dyDescent="0.35"/>
    <row r="18562" hidden="1" x14ac:dyDescent="0.35"/>
    <row r="18563" hidden="1" x14ac:dyDescent="0.35"/>
    <row r="18564" hidden="1" x14ac:dyDescent="0.35"/>
    <row r="18565" hidden="1" x14ac:dyDescent="0.35"/>
    <row r="18566" hidden="1" x14ac:dyDescent="0.35"/>
    <row r="18567" hidden="1" x14ac:dyDescent="0.35"/>
    <row r="18568" hidden="1" x14ac:dyDescent="0.35"/>
    <row r="18569" hidden="1" x14ac:dyDescent="0.35"/>
    <row r="18570" hidden="1" x14ac:dyDescent="0.35"/>
    <row r="18571" hidden="1" x14ac:dyDescent="0.35"/>
    <row r="18572" hidden="1" x14ac:dyDescent="0.35"/>
    <row r="18573" hidden="1" x14ac:dyDescent="0.35"/>
    <row r="18574" hidden="1" x14ac:dyDescent="0.35"/>
    <row r="18575" hidden="1" x14ac:dyDescent="0.35"/>
    <row r="18576" hidden="1" x14ac:dyDescent="0.35"/>
    <row r="18577" hidden="1" x14ac:dyDescent="0.35"/>
    <row r="18578" hidden="1" x14ac:dyDescent="0.35"/>
    <row r="18579" hidden="1" x14ac:dyDescent="0.35"/>
    <row r="18580" hidden="1" x14ac:dyDescent="0.35"/>
    <row r="18581" hidden="1" x14ac:dyDescent="0.35"/>
    <row r="18582" hidden="1" x14ac:dyDescent="0.35"/>
    <row r="18583" hidden="1" x14ac:dyDescent="0.35"/>
    <row r="18584" hidden="1" x14ac:dyDescent="0.35"/>
    <row r="18585" hidden="1" x14ac:dyDescent="0.35"/>
    <row r="18586" hidden="1" x14ac:dyDescent="0.35"/>
    <row r="18587" hidden="1" x14ac:dyDescent="0.35"/>
    <row r="18588" hidden="1" x14ac:dyDescent="0.35"/>
    <row r="18589" hidden="1" x14ac:dyDescent="0.35"/>
    <row r="18590" hidden="1" x14ac:dyDescent="0.35"/>
    <row r="18591" hidden="1" x14ac:dyDescent="0.35"/>
    <row r="18592" hidden="1" x14ac:dyDescent="0.35"/>
    <row r="18593" hidden="1" x14ac:dyDescent="0.35"/>
    <row r="18594" hidden="1" x14ac:dyDescent="0.35"/>
    <row r="18595" hidden="1" x14ac:dyDescent="0.35"/>
    <row r="18596" hidden="1" x14ac:dyDescent="0.35"/>
    <row r="18597" hidden="1" x14ac:dyDescent="0.35"/>
    <row r="18598" hidden="1" x14ac:dyDescent="0.35"/>
    <row r="18599" hidden="1" x14ac:dyDescent="0.35"/>
    <row r="18600" hidden="1" x14ac:dyDescent="0.35"/>
    <row r="18601" hidden="1" x14ac:dyDescent="0.35"/>
    <row r="18602" hidden="1" x14ac:dyDescent="0.35"/>
    <row r="18603" hidden="1" x14ac:dyDescent="0.35"/>
    <row r="18604" hidden="1" x14ac:dyDescent="0.35"/>
    <row r="18605" hidden="1" x14ac:dyDescent="0.35"/>
    <row r="18606" hidden="1" x14ac:dyDescent="0.35"/>
    <row r="18607" hidden="1" x14ac:dyDescent="0.35"/>
    <row r="18608" hidden="1" x14ac:dyDescent="0.35"/>
    <row r="18609" hidden="1" x14ac:dyDescent="0.35"/>
    <row r="18610" hidden="1" x14ac:dyDescent="0.35"/>
    <row r="18611" hidden="1" x14ac:dyDescent="0.35"/>
    <row r="18612" hidden="1" x14ac:dyDescent="0.35"/>
    <row r="18613" hidden="1" x14ac:dyDescent="0.35"/>
    <row r="18614" hidden="1" x14ac:dyDescent="0.35"/>
    <row r="18615" hidden="1" x14ac:dyDescent="0.35"/>
    <row r="18616" hidden="1" x14ac:dyDescent="0.35"/>
    <row r="18617" hidden="1" x14ac:dyDescent="0.35"/>
    <row r="18618" hidden="1" x14ac:dyDescent="0.35"/>
    <row r="18619" hidden="1" x14ac:dyDescent="0.35"/>
    <row r="18620" hidden="1" x14ac:dyDescent="0.35"/>
    <row r="18621" hidden="1" x14ac:dyDescent="0.35"/>
    <row r="18622" hidden="1" x14ac:dyDescent="0.35"/>
    <row r="18623" hidden="1" x14ac:dyDescent="0.35"/>
    <row r="18624" hidden="1" x14ac:dyDescent="0.35"/>
    <row r="18625" hidden="1" x14ac:dyDescent="0.35"/>
    <row r="18626" hidden="1" x14ac:dyDescent="0.35"/>
    <row r="18627" hidden="1" x14ac:dyDescent="0.35"/>
    <row r="18628" hidden="1" x14ac:dyDescent="0.35"/>
    <row r="18629" hidden="1" x14ac:dyDescent="0.35"/>
    <row r="18630" hidden="1" x14ac:dyDescent="0.35"/>
    <row r="18631" hidden="1" x14ac:dyDescent="0.35"/>
    <row r="18632" hidden="1" x14ac:dyDescent="0.35"/>
    <row r="18633" hidden="1" x14ac:dyDescent="0.35"/>
    <row r="18634" hidden="1" x14ac:dyDescent="0.35"/>
    <row r="18635" hidden="1" x14ac:dyDescent="0.35"/>
    <row r="18636" hidden="1" x14ac:dyDescent="0.35"/>
    <row r="18637" hidden="1" x14ac:dyDescent="0.35"/>
    <row r="18638" hidden="1" x14ac:dyDescent="0.35"/>
    <row r="18639" hidden="1" x14ac:dyDescent="0.35"/>
    <row r="18640" hidden="1" x14ac:dyDescent="0.35"/>
    <row r="18641" hidden="1" x14ac:dyDescent="0.35"/>
    <row r="18642" hidden="1" x14ac:dyDescent="0.35"/>
    <row r="18643" hidden="1" x14ac:dyDescent="0.35"/>
    <row r="18644" hidden="1" x14ac:dyDescent="0.35"/>
    <row r="18645" hidden="1" x14ac:dyDescent="0.35"/>
    <row r="18646" hidden="1" x14ac:dyDescent="0.35"/>
    <row r="18647" hidden="1" x14ac:dyDescent="0.35"/>
    <row r="18648" hidden="1" x14ac:dyDescent="0.35"/>
    <row r="18649" hidden="1" x14ac:dyDescent="0.35"/>
    <row r="18650" hidden="1" x14ac:dyDescent="0.35"/>
    <row r="18651" hidden="1" x14ac:dyDescent="0.35"/>
    <row r="18652" hidden="1" x14ac:dyDescent="0.35"/>
    <row r="18653" hidden="1" x14ac:dyDescent="0.35"/>
    <row r="18654" hidden="1" x14ac:dyDescent="0.35"/>
    <row r="18655" hidden="1" x14ac:dyDescent="0.35"/>
    <row r="18656" hidden="1" x14ac:dyDescent="0.35"/>
    <row r="18657" hidden="1" x14ac:dyDescent="0.35"/>
    <row r="18658" hidden="1" x14ac:dyDescent="0.35"/>
    <row r="18659" hidden="1" x14ac:dyDescent="0.35"/>
    <row r="18660" hidden="1" x14ac:dyDescent="0.35"/>
    <row r="18661" hidden="1" x14ac:dyDescent="0.35"/>
    <row r="18662" hidden="1" x14ac:dyDescent="0.35"/>
    <row r="18663" hidden="1" x14ac:dyDescent="0.35"/>
    <row r="18664" hidden="1" x14ac:dyDescent="0.35"/>
    <row r="18665" hidden="1" x14ac:dyDescent="0.35"/>
    <row r="18666" hidden="1" x14ac:dyDescent="0.35"/>
    <row r="18667" hidden="1" x14ac:dyDescent="0.35"/>
    <row r="18668" hidden="1" x14ac:dyDescent="0.35"/>
    <row r="18669" hidden="1" x14ac:dyDescent="0.35"/>
    <row r="18670" hidden="1" x14ac:dyDescent="0.35"/>
    <row r="18671" hidden="1" x14ac:dyDescent="0.35"/>
    <row r="18672" hidden="1" x14ac:dyDescent="0.35"/>
    <row r="18673" hidden="1" x14ac:dyDescent="0.35"/>
    <row r="18674" hidden="1" x14ac:dyDescent="0.35"/>
    <row r="18675" hidden="1" x14ac:dyDescent="0.35"/>
    <row r="18676" hidden="1" x14ac:dyDescent="0.35"/>
    <row r="18677" hidden="1" x14ac:dyDescent="0.35"/>
    <row r="18678" hidden="1" x14ac:dyDescent="0.35"/>
    <row r="18679" hidden="1" x14ac:dyDescent="0.35"/>
    <row r="18680" hidden="1" x14ac:dyDescent="0.35"/>
    <row r="18681" hidden="1" x14ac:dyDescent="0.35"/>
    <row r="18682" hidden="1" x14ac:dyDescent="0.35"/>
    <row r="18683" hidden="1" x14ac:dyDescent="0.35"/>
    <row r="18684" hidden="1" x14ac:dyDescent="0.35"/>
    <row r="18685" hidden="1" x14ac:dyDescent="0.35"/>
    <row r="18686" hidden="1" x14ac:dyDescent="0.35"/>
    <row r="18687" hidden="1" x14ac:dyDescent="0.35"/>
    <row r="18688" hidden="1" x14ac:dyDescent="0.35"/>
    <row r="18689" hidden="1" x14ac:dyDescent="0.35"/>
    <row r="18690" hidden="1" x14ac:dyDescent="0.35"/>
    <row r="18691" hidden="1" x14ac:dyDescent="0.35"/>
    <row r="18692" hidden="1" x14ac:dyDescent="0.35"/>
    <row r="18693" hidden="1" x14ac:dyDescent="0.35"/>
    <row r="18694" hidden="1" x14ac:dyDescent="0.35"/>
    <row r="18695" hidden="1" x14ac:dyDescent="0.35"/>
    <row r="18696" hidden="1" x14ac:dyDescent="0.35"/>
    <row r="18697" hidden="1" x14ac:dyDescent="0.35"/>
    <row r="18698" hidden="1" x14ac:dyDescent="0.35"/>
    <row r="18699" hidden="1" x14ac:dyDescent="0.35"/>
    <row r="18700" hidden="1" x14ac:dyDescent="0.35"/>
    <row r="18701" hidden="1" x14ac:dyDescent="0.35"/>
    <row r="18702" hidden="1" x14ac:dyDescent="0.35"/>
    <row r="18703" hidden="1" x14ac:dyDescent="0.35"/>
    <row r="18704" hidden="1" x14ac:dyDescent="0.35"/>
    <row r="18705" hidden="1" x14ac:dyDescent="0.35"/>
    <row r="18706" hidden="1" x14ac:dyDescent="0.35"/>
    <row r="18707" hidden="1" x14ac:dyDescent="0.35"/>
    <row r="18708" hidden="1" x14ac:dyDescent="0.35"/>
    <row r="18709" hidden="1" x14ac:dyDescent="0.35"/>
    <row r="18710" hidden="1" x14ac:dyDescent="0.35"/>
    <row r="18711" hidden="1" x14ac:dyDescent="0.35"/>
    <row r="18712" hidden="1" x14ac:dyDescent="0.35"/>
    <row r="18713" hidden="1" x14ac:dyDescent="0.35"/>
    <row r="18714" hidden="1" x14ac:dyDescent="0.35"/>
    <row r="18715" hidden="1" x14ac:dyDescent="0.35"/>
    <row r="18716" hidden="1" x14ac:dyDescent="0.35"/>
    <row r="18717" hidden="1" x14ac:dyDescent="0.35"/>
    <row r="18718" hidden="1" x14ac:dyDescent="0.35"/>
    <row r="18719" hidden="1" x14ac:dyDescent="0.35"/>
    <row r="18720" hidden="1" x14ac:dyDescent="0.35"/>
    <row r="18721" hidden="1" x14ac:dyDescent="0.35"/>
    <row r="18722" hidden="1" x14ac:dyDescent="0.35"/>
    <row r="18723" hidden="1" x14ac:dyDescent="0.35"/>
    <row r="18724" hidden="1" x14ac:dyDescent="0.35"/>
    <row r="18725" hidden="1" x14ac:dyDescent="0.35"/>
    <row r="18726" hidden="1" x14ac:dyDescent="0.35"/>
    <row r="18727" hidden="1" x14ac:dyDescent="0.35"/>
    <row r="18728" hidden="1" x14ac:dyDescent="0.35"/>
    <row r="18729" hidden="1" x14ac:dyDescent="0.35"/>
    <row r="18730" hidden="1" x14ac:dyDescent="0.35"/>
    <row r="18731" hidden="1" x14ac:dyDescent="0.35"/>
    <row r="18732" hidden="1" x14ac:dyDescent="0.35"/>
    <row r="18733" hidden="1" x14ac:dyDescent="0.35"/>
    <row r="18734" hidden="1" x14ac:dyDescent="0.35"/>
    <row r="18735" hidden="1" x14ac:dyDescent="0.35"/>
    <row r="18736" hidden="1" x14ac:dyDescent="0.35"/>
    <row r="18737" hidden="1" x14ac:dyDescent="0.35"/>
    <row r="18738" hidden="1" x14ac:dyDescent="0.35"/>
    <row r="18739" hidden="1" x14ac:dyDescent="0.35"/>
    <row r="18740" hidden="1" x14ac:dyDescent="0.35"/>
    <row r="18741" hidden="1" x14ac:dyDescent="0.35"/>
    <row r="18742" hidden="1" x14ac:dyDescent="0.35"/>
    <row r="18743" hidden="1" x14ac:dyDescent="0.35"/>
    <row r="18744" hidden="1" x14ac:dyDescent="0.35"/>
    <row r="18745" hidden="1" x14ac:dyDescent="0.35"/>
    <row r="18746" hidden="1" x14ac:dyDescent="0.35"/>
    <row r="18747" hidden="1" x14ac:dyDescent="0.35"/>
    <row r="18748" hidden="1" x14ac:dyDescent="0.35"/>
    <row r="18749" hidden="1" x14ac:dyDescent="0.35"/>
    <row r="18750" hidden="1" x14ac:dyDescent="0.35"/>
    <row r="18751" hidden="1" x14ac:dyDescent="0.35"/>
    <row r="18752" hidden="1" x14ac:dyDescent="0.35"/>
    <row r="18753" hidden="1" x14ac:dyDescent="0.35"/>
    <row r="18754" hidden="1" x14ac:dyDescent="0.35"/>
    <row r="18755" hidden="1" x14ac:dyDescent="0.35"/>
    <row r="18756" hidden="1" x14ac:dyDescent="0.35"/>
    <row r="18757" hidden="1" x14ac:dyDescent="0.35"/>
    <row r="18758" hidden="1" x14ac:dyDescent="0.35"/>
    <row r="18759" hidden="1" x14ac:dyDescent="0.35"/>
    <row r="18760" hidden="1" x14ac:dyDescent="0.35"/>
    <row r="18761" hidden="1" x14ac:dyDescent="0.35"/>
    <row r="18762" hidden="1" x14ac:dyDescent="0.35"/>
    <row r="18763" hidden="1" x14ac:dyDescent="0.35"/>
    <row r="18764" hidden="1" x14ac:dyDescent="0.35"/>
    <row r="18765" hidden="1" x14ac:dyDescent="0.35"/>
    <row r="18766" hidden="1" x14ac:dyDescent="0.35"/>
    <row r="18767" hidden="1" x14ac:dyDescent="0.35"/>
    <row r="18768" hidden="1" x14ac:dyDescent="0.35"/>
    <row r="18769" hidden="1" x14ac:dyDescent="0.35"/>
    <row r="18770" hidden="1" x14ac:dyDescent="0.35"/>
    <row r="18771" hidden="1" x14ac:dyDescent="0.35"/>
    <row r="18772" hidden="1" x14ac:dyDescent="0.35"/>
    <row r="18773" hidden="1" x14ac:dyDescent="0.35"/>
    <row r="18774" hidden="1" x14ac:dyDescent="0.35"/>
    <row r="18775" hidden="1" x14ac:dyDescent="0.35"/>
    <row r="18776" hidden="1" x14ac:dyDescent="0.35"/>
    <row r="18777" hidden="1" x14ac:dyDescent="0.35"/>
    <row r="18778" hidden="1" x14ac:dyDescent="0.35"/>
    <row r="18779" hidden="1" x14ac:dyDescent="0.35"/>
    <row r="18780" hidden="1" x14ac:dyDescent="0.35"/>
    <row r="18781" hidden="1" x14ac:dyDescent="0.35"/>
    <row r="18782" hidden="1" x14ac:dyDescent="0.35"/>
    <row r="18783" hidden="1" x14ac:dyDescent="0.35"/>
    <row r="18784" hidden="1" x14ac:dyDescent="0.35"/>
    <row r="18785" hidden="1" x14ac:dyDescent="0.35"/>
    <row r="18786" hidden="1" x14ac:dyDescent="0.35"/>
    <row r="18787" hidden="1" x14ac:dyDescent="0.35"/>
    <row r="18788" hidden="1" x14ac:dyDescent="0.35"/>
    <row r="18789" hidden="1" x14ac:dyDescent="0.35"/>
    <row r="18790" hidden="1" x14ac:dyDescent="0.35"/>
    <row r="18791" hidden="1" x14ac:dyDescent="0.35"/>
    <row r="18792" hidden="1" x14ac:dyDescent="0.35"/>
    <row r="18793" hidden="1" x14ac:dyDescent="0.35"/>
    <row r="18794" hidden="1" x14ac:dyDescent="0.35"/>
    <row r="18795" hidden="1" x14ac:dyDescent="0.35"/>
    <row r="18796" hidden="1" x14ac:dyDescent="0.35"/>
    <row r="18797" hidden="1" x14ac:dyDescent="0.35"/>
    <row r="18798" hidden="1" x14ac:dyDescent="0.35"/>
    <row r="18799" hidden="1" x14ac:dyDescent="0.35"/>
    <row r="18800" hidden="1" x14ac:dyDescent="0.35"/>
    <row r="18801" hidden="1" x14ac:dyDescent="0.35"/>
    <row r="18802" hidden="1" x14ac:dyDescent="0.35"/>
    <row r="18803" hidden="1" x14ac:dyDescent="0.35"/>
    <row r="18804" hidden="1" x14ac:dyDescent="0.35"/>
    <row r="18805" hidden="1" x14ac:dyDescent="0.35"/>
    <row r="18806" hidden="1" x14ac:dyDescent="0.35"/>
    <row r="18807" hidden="1" x14ac:dyDescent="0.35"/>
    <row r="18808" hidden="1" x14ac:dyDescent="0.35"/>
    <row r="18809" hidden="1" x14ac:dyDescent="0.35"/>
    <row r="18810" hidden="1" x14ac:dyDescent="0.35"/>
    <row r="18811" hidden="1" x14ac:dyDescent="0.35"/>
    <row r="18812" hidden="1" x14ac:dyDescent="0.35"/>
    <row r="18813" hidden="1" x14ac:dyDescent="0.35"/>
    <row r="18814" hidden="1" x14ac:dyDescent="0.35"/>
    <row r="18815" hidden="1" x14ac:dyDescent="0.35"/>
    <row r="18816" hidden="1" x14ac:dyDescent="0.35"/>
    <row r="18817" hidden="1" x14ac:dyDescent="0.35"/>
    <row r="18818" hidden="1" x14ac:dyDescent="0.35"/>
    <row r="18819" hidden="1" x14ac:dyDescent="0.35"/>
    <row r="18820" hidden="1" x14ac:dyDescent="0.35"/>
    <row r="18821" hidden="1" x14ac:dyDescent="0.35"/>
    <row r="18822" hidden="1" x14ac:dyDescent="0.35"/>
    <row r="18823" hidden="1" x14ac:dyDescent="0.35"/>
    <row r="18824" hidden="1" x14ac:dyDescent="0.35"/>
    <row r="18825" hidden="1" x14ac:dyDescent="0.35"/>
    <row r="18826" hidden="1" x14ac:dyDescent="0.35"/>
    <row r="18827" hidden="1" x14ac:dyDescent="0.35"/>
    <row r="18828" hidden="1" x14ac:dyDescent="0.35"/>
    <row r="18829" hidden="1" x14ac:dyDescent="0.35"/>
    <row r="18830" hidden="1" x14ac:dyDescent="0.35"/>
    <row r="18831" hidden="1" x14ac:dyDescent="0.35"/>
    <row r="18832" hidden="1" x14ac:dyDescent="0.35"/>
    <row r="18833" hidden="1" x14ac:dyDescent="0.35"/>
    <row r="18834" hidden="1" x14ac:dyDescent="0.35"/>
    <row r="18835" hidden="1" x14ac:dyDescent="0.35"/>
    <row r="18836" hidden="1" x14ac:dyDescent="0.35"/>
    <row r="18837" hidden="1" x14ac:dyDescent="0.35"/>
    <row r="18838" hidden="1" x14ac:dyDescent="0.35"/>
    <row r="18839" hidden="1" x14ac:dyDescent="0.35"/>
    <row r="18840" hidden="1" x14ac:dyDescent="0.35"/>
    <row r="18841" hidden="1" x14ac:dyDescent="0.35"/>
    <row r="18842" hidden="1" x14ac:dyDescent="0.35"/>
    <row r="18843" hidden="1" x14ac:dyDescent="0.35"/>
    <row r="18844" hidden="1" x14ac:dyDescent="0.35"/>
    <row r="18845" hidden="1" x14ac:dyDescent="0.35"/>
    <row r="18846" hidden="1" x14ac:dyDescent="0.35"/>
    <row r="18847" hidden="1" x14ac:dyDescent="0.35"/>
    <row r="18848" hidden="1" x14ac:dyDescent="0.35"/>
    <row r="18849" hidden="1" x14ac:dyDescent="0.35"/>
    <row r="18850" hidden="1" x14ac:dyDescent="0.35"/>
    <row r="18851" hidden="1" x14ac:dyDescent="0.35"/>
    <row r="18852" hidden="1" x14ac:dyDescent="0.35"/>
    <row r="18853" hidden="1" x14ac:dyDescent="0.35"/>
    <row r="18854" hidden="1" x14ac:dyDescent="0.35"/>
    <row r="18855" hidden="1" x14ac:dyDescent="0.35"/>
    <row r="18856" hidden="1" x14ac:dyDescent="0.35"/>
    <row r="18857" hidden="1" x14ac:dyDescent="0.35"/>
    <row r="18858" hidden="1" x14ac:dyDescent="0.35"/>
    <row r="18859" hidden="1" x14ac:dyDescent="0.35"/>
    <row r="18860" hidden="1" x14ac:dyDescent="0.35"/>
    <row r="18861" hidden="1" x14ac:dyDescent="0.35"/>
    <row r="18862" hidden="1" x14ac:dyDescent="0.35"/>
    <row r="18863" hidden="1" x14ac:dyDescent="0.35"/>
    <row r="18864" hidden="1" x14ac:dyDescent="0.35"/>
    <row r="18865" hidden="1" x14ac:dyDescent="0.35"/>
    <row r="18866" hidden="1" x14ac:dyDescent="0.35"/>
    <row r="18867" hidden="1" x14ac:dyDescent="0.35"/>
    <row r="18868" hidden="1" x14ac:dyDescent="0.35"/>
    <row r="18869" hidden="1" x14ac:dyDescent="0.35"/>
    <row r="18870" hidden="1" x14ac:dyDescent="0.35"/>
    <row r="18871" hidden="1" x14ac:dyDescent="0.35"/>
    <row r="18872" hidden="1" x14ac:dyDescent="0.35"/>
    <row r="18873" hidden="1" x14ac:dyDescent="0.35"/>
    <row r="18874" hidden="1" x14ac:dyDescent="0.35"/>
    <row r="18875" hidden="1" x14ac:dyDescent="0.35"/>
    <row r="18876" hidden="1" x14ac:dyDescent="0.35"/>
    <row r="18877" hidden="1" x14ac:dyDescent="0.35"/>
    <row r="18878" hidden="1" x14ac:dyDescent="0.35"/>
    <row r="18879" hidden="1" x14ac:dyDescent="0.35"/>
    <row r="18880" hidden="1" x14ac:dyDescent="0.35"/>
    <row r="18881" hidden="1" x14ac:dyDescent="0.35"/>
    <row r="18882" hidden="1" x14ac:dyDescent="0.35"/>
    <row r="18883" hidden="1" x14ac:dyDescent="0.35"/>
    <row r="18884" hidden="1" x14ac:dyDescent="0.35"/>
    <row r="18885" hidden="1" x14ac:dyDescent="0.35"/>
    <row r="18886" hidden="1" x14ac:dyDescent="0.35"/>
    <row r="18887" hidden="1" x14ac:dyDescent="0.35"/>
    <row r="18888" hidden="1" x14ac:dyDescent="0.35"/>
    <row r="18889" hidden="1" x14ac:dyDescent="0.35"/>
    <row r="18890" hidden="1" x14ac:dyDescent="0.35"/>
    <row r="18891" hidden="1" x14ac:dyDescent="0.35"/>
    <row r="18892" hidden="1" x14ac:dyDescent="0.35"/>
    <row r="18893" hidden="1" x14ac:dyDescent="0.35"/>
    <row r="18894" hidden="1" x14ac:dyDescent="0.35"/>
    <row r="18895" hidden="1" x14ac:dyDescent="0.35"/>
    <row r="18896" hidden="1" x14ac:dyDescent="0.35"/>
    <row r="18897" hidden="1" x14ac:dyDescent="0.35"/>
    <row r="18898" hidden="1" x14ac:dyDescent="0.35"/>
    <row r="18899" hidden="1" x14ac:dyDescent="0.35"/>
    <row r="18900" hidden="1" x14ac:dyDescent="0.35"/>
    <row r="18901" hidden="1" x14ac:dyDescent="0.35"/>
    <row r="18902" hidden="1" x14ac:dyDescent="0.35"/>
    <row r="18903" hidden="1" x14ac:dyDescent="0.35"/>
    <row r="18904" hidden="1" x14ac:dyDescent="0.35"/>
    <row r="18905" hidden="1" x14ac:dyDescent="0.35"/>
    <row r="18906" hidden="1" x14ac:dyDescent="0.35"/>
    <row r="18907" hidden="1" x14ac:dyDescent="0.35"/>
    <row r="18908" hidden="1" x14ac:dyDescent="0.35"/>
    <row r="18909" hidden="1" x14ac:dyDescent="0.35"/>
    <row r="18910" hidden="1" x14ac:dyDescent="0.35"/>
    <row r="18911" hidden="1" x14ac:dyDescent="0.35"/>
    <row r="18912" hidden="1" x14ac:dyDescent="0.35"/>
    <row r="18913" hidden="1" x14ac:dyDescent="0.35"/>
    <row r="18914" hidden="1" x14ac:dyDescent="0.35"/>
    <row r="18915" hidden="1" x14ac:dyDescent="0.35"/>
    <row r="18916" hidden="1" x14ac:dyDescent="0.35"/>
    <row r="18917" hidden="1" x14ac:dyDescent="0.35"/>
    <row r="18918" hidden="1" x14ac:dyDescent="0.35"/>
    <row r="18919" hidden="1" x14ac:dyDescent="0.35"/>
    <row r="18920" hidden="1" x14ac:dyDescent="0.35"/>
    <row r="18921" hidden="1" x14ac:dyDescent="0.35"/>
    <row r="18922" hidden="1" x14ac:dyDescent="0.35"/>
    <row r="18923" hidden="1" x14ac:dyDescent="0.35"/>
    <row r="18924" hidden="1" x14ac:dyDescent="0.35"/>
    <row r="18925" hidden="1" x14ac:dyDescent="0.35"/>
    <row r="18926" hidden="1" x14ac:dyDescent="0.35"/>
    <row r="18927" hidden="1" x14ac:dyDescent="0.35"/>
    <row r="18928" hidden="1" x14ac:dyDescent="0.35"/>
    <row r="18929" hidden="1" x14ac:dyDescent="0.35"/>
    <row r="18930" hidden="1" x14ac:dyDescent="0.35"/>
    <row r="18931" hidden="1" x14ac:dyDescent="0.35"/>
    <row r="18932" hidden="1" x14ac:dyDescent="0.35"/>
    <row r="18933" hidden="1" x14ac:dyDescent="0.35"/>
    <row r="18934" hidden="1" x14ac:dyDescent="0.35"/>
    <row r="18935" hidden="1" x14ac:dyDescent="0.35"/>
    <row r="18936" hidden="1" x14ac:dyDescent="0.35"/>
    <row r="18937" hidden="1" x14ac:dyDescent="0.35"/>
    <row r="18938" hidden="1" x14ac:dyDescent="0.35"/>
    <row r="18939" hidden="1" x14ac:dyDescent="0.35"/>
    <row r="18940" hidden="1" x14ac:dyDescent="0.35"/>
    <row r="18941" hidden="1" x14ac:dyDescent="0.35"/>
    <row r="18942" hidden="1" x14ac:dyDescent="0.35"/>
    <row r="18943" hidden="1" x14ac:dyDescent="0.35"/>
    <row r="18944" hidden="1" x14ac:dyDescent="0.35"/>
    <row r="18945" hidden="1" x14ac:dyDescent="0.35"/>
    <row r="18946" hidden="1" x14ac:dyDescent="0.35"/>
    <row r="18947" hidden="1" x14ac:dyDescent="0.35"/>
    <row r="18948" hidden="1" x14ac:dyDescent="0.35"/>
    <row r="18949" hidden="1" x14ac:dyDescent="0.35"/>
    <row r="18950" hidden="1" x14ac:dyDescent="0.35"/>
    <row r="18951" hidden="1" x14ac:dyDescent="0.35"/>
    <row r="18952" hidden="1" x14ac:dyDescent="0.35"/>
    <row r="18953" hidden="1" x14ac:dyDescent="0.35"/>
    <row r="18954" hidden="1" x14ac:dyDescent="0.35"/>
    <row r="18955" hidden="1" x14ac:dyDescent="0.35"/>
    <row r="18956" hidden="1" x14ac:dyDescent="0.35"/>
    <row r="18957" hidden="1" x14ac:dyDescent="0.35"/>
    <row r="18958" hidden="1" x14ac:dyDescent="0.35"/>
    <row r="18959" hidden="1" x14ac:dyDescent="0.35"/>
    <row r="18960" hidden="1" x14ac:dyDescent="0.35"/>
    <row r="18961" hidden="1" x14ac:dyDescent="0.35"/>
    <row r="18962" hidden="1" x14ac:dyDescent="0.35"/>
    <row r="18963" hidden="1" x14ac:dyDescent="0.35"/>
    <row r="18964" hidden="1" x14ac:dyDescent="0.35"/>
    <row r="18965" hidden="1" x14ac:dyDescent="0.35"/>
    <row r="18966" hidden="1" x14ac:dyDescent="0.35"/>
    <row r="18967" hidden="1" x14ac:dyDescent="0.35"/>
    <row r="18968" hidden="1" x14ac:dyDescent="0.35"/>
    <row r="18969" hidden="1" x14ac:dyDescent="0.35"/>
    <row r="18970" hidden="1" x14ac:dyDescent="0.35"/>
    <row r="18971" hidden="1" x14ac:dyDescent="0.35"/>
    <row r="18972" hidden="1" x14ac:dyDescent="0.35"/>
    <row r="18973" hidden="1" x14ac:dyDescent="0.35"/>
    <row r="18974" hidden="1" x14ac:dyDescent="0.35"/>
    <row r="18975" hidden="1" x14ac:dyDescent="0.35"/>
    <row r="18976" hidden="1" x14ac:dyDescent="0.35"/>
    <row r="18977" hidden="1" x14ac:dyDescent="0.35"/>
    <row r="18978" hidden="1" x14ac:dyDescent="0.35"/>
    <row r="18979" hidden="1" x14ac:dyDescent="0.35"/>
    <row r="18980" hidden="1" x14ac:dyDescent="0.35"/>
    <row r="18981" hidden="1" x14ac:dyDescent="0.35"/>
    <row r="18982" hidden="1" x14ac:dyDescent="0.35"/>
    <row r="18983" hidden="1" x14ac:dyDescent="0.35"/>
    <row r="18984" hidden="1" x14ac:dyDescent="0.35"/>
    <row r="18985" hidden="1" x14ac:dyDescent="0.35"/>
    <row r="18986" hidden="1" x14ac:dyDescent="0.35"/>
    <row r="18987" hidden="1" x14ac:dyDescent="0.35"/>
    <row r="18988" hidden="1" x14ac:dyDescent="0.35"/>
    <row r="18989" hidden="1" x14ac:dyDescent="0.35"/>
    <row r="18990" hidden="1" x14ac:dyDescent="0.35"/>
    <row r="18991" hidden="1" x14ac:dyDescent="0.35"/>
    <row r="18992" hidden="1" x14ac:dyDescent="0.35"/>
    <row r="18993" hidden="1" x14ac:dyDescent="0.35"/>
    <row r="18994" hidden="1" x14ac:dyDescent="0.35"/>
    <row r="18995" hidden="1" x14ac:dyDescent="0.35"/>
    <row r="18996" hidden="1" x14ac:dyDescent="0.35"/>
    <row r="18997" hidden="1" x14ac:dyDescent="0.35"/>
    <row r="18998" hidden="1" x14ac:dyDescent="0.35"/>
    <row r="18999" hidden="1" x14ac:dyDescent="0.35"/>
    <row r="19000" hidden="1" x14ac:dyDescent="0.35"/>
    <row r="19001" hidden="1" x14ac:dyDescent="0.35"/>
    <row r="19002" hidden="1" x14ac:dyDescent="0.35"/>
    <row r="19003" hidden="1" x14ac:dyDescent="0.35"/>
    <row r="19004" hidden="1" x14ac:dyDescent="0.35"/>
    <row r="19005" hidden="1" x14ac:dyDescent="0.35"/>
    <row r="19006" hidden="1" x14ac:dyDescent="0.35"/>
    <row r="19007" hidden="1" x14ac:dyDescent="0.35"/>
    <row r="19008" hidden="1" x14ac:dyDescent="0.35"/>
    <row r="19009" hidden="1" x14ac:dyDescent="0.35"/>
    <row r="19010" hidden="1" x14ac:dyDescent="0.35"/>
    <row r="19011" hidden="1" x14ac:dyDescent="0.35"/>
    <row r="19012" hidden="1" x14ac:dyDescent="0.35"/>
    <row r="19013" hidden="1" x14ac:dyDescent="0.35"/>
    <row r="19014" hidden="1" x14ac:dyDescent="0.35"/>
    <row r="19015" hidden="1" x14ac:dyDescent="0.35"/>
    <row r="19016" hidden="1" x14ac:dyDescent="0.35"/>
    <row r="19017" hidden="1" x14ac:dyDescent="0.35"/>
    <row r="19018" hidden="1" x14ac:dyDescent="0.35"/>
    <row r="19019" hidden="1" x14ac:dyDescent="0.35"/>
    <row r="19020" hidden="1" x14ac:dyDescent="0.35"/>
    <row r="19021" hidden="1" x14ac:dyDescent="0.35"/>
    <row r="19022" hidden="1" x14ac:dyDescent="0.35"/>
    <row r="19023" hidden="1" x14ac:dyDescent="0.35"/>
    <row r="19024" hidden="1" x14ac:dyDescent="0.35"/>
    <row r="19025" hidden="1" x14ac:dyDescent="0.35"/>
    <row r="19026" hidden="1" x14ac:dyDescent="0.35"/>
    <row r="19027" hidden="1" x14ac:dyDescent="0.35"/>
    <row r="19028" hidden="1" x14ac:dyDescent="0.35"/>
    <row r="19029" hidden="1" x14ac:dyDescent="0.35"/>
    <row r="19030" hidden="1" x14ac:dyDescent="0.35"/>
    <row r="19031" hidden="1" x14ac:dyDescent="0.35"/>
    <row r="19032" hidden="1" x14ac:dyDescent="0.35"/>
    <row r="19033" hidden="1" x14ac:dyDescent="0.35"/>
    <row r="19034" hidden="1" x14ac:dyDescent="0.35"/>
    <row r="19035" hidden="1" x14ac:dyDescent="0.35"/>
    <row r="19036" hidden="1" x14ac:dyDescent="0.35"/>
    <row r="19037" hidden="1" x14ac:dyDescent="0.35"/>
    <row r="19038" hidden="1" x14ac:dyDescent="0.35"/>
    <row r="19039" hidden="1" x14ac:dyDescent="0.35"/>
    <row r="19040" hidden="1" x14ac:dyDescent="0.35"/>
    <row r="19041" hidden="1" x14ac:dyDescent="0.35"/>
    <row r="19042" hidden="1" x14ac:dyDescent="0.35"/>
    <row r="19043" hidden="1" x14ac:dyDescent="0.35"/>
    <row r="19044" hidden="1" x14ac:dyDescent="0.35"/>
    <row r="19045" hidden="1" x14ac:dyDescent="0.35"/>
    <row r="19046" hidden="1" x14ac:dyDescent="0.35"/>
    <row r="19047" hidden="1" x14ac:dyDescent="0.35"/>
    <row r="19048" hidden="1" x14ac:dyDescent="0.35"/>
    <row r="19049" hidden="1" x14ac:dyDescent="0.35"/>
    <row r="19050" hidden="1" x14ac:dyDescent="0.35"/>
    <row r="19051" hidden="1" x14ac:dyDescent="0.35"/>
    <row r="19052" hidden="1" x14ac:dyDescent="0.35"/>
    <row r="19053" hidden="1" x14ac:dyDescent="0.35"/>
    <row r="19054" hidden="1" x14ac:dyDescent="0.35"/>
    <row r="19055" hidden="1" x14ac:dyDescent="0.35"/>
    <row r="19056" hidden="1" x14ac:dyDescent="0.35"/>
    <row r="19057" hidden="1" x14ac:dyDescent="0.35"/>
    <row r="19058" hidden="1" x14ac:dyDescent="0.35"/>
    <row r="19059" hidden="1" x14ac:dyDescent="0.35"/>
    <row r="19060" hidden="1" x14ac:dyDescent="0.35"/>
    <row r="19061" hidden="1" x14ac:dyDescent="0.35"/>
    <row r="19062" hidden="1" x14ac:dyDescent="0.35"/>
    <row r="19063" hidden="1" x14ac:dyDescent="0.35"/>
    <row r="19064" hidden="1" x14ac:dyDescent="0.35"/>
    <row r="19065" hidden="1" x14ac:dyDescent="0.35"/>
    <row r="19066" hidden="1" x14ac:dyDescent="0.35"/>
    <row r="19067" hidden="1" x14ac:dyDescent="0.35"/>
    <row r="19068" hidden="1" x14ac:dyDescent="0.35"/>
    <row r="19069" hidden="1" x14ac:dyDescent="0.35"/>
    <row r="19070" hidden="1" x14ac:dyDescent="0.35"/>
    <row r="19071" hidden="1" x14ac:dyDescent="0.35"/>
    <row r="19072" hidden="1" x14ac:dyDescent="0.35"/>
    <row r="19073" hidden="1" x14ac:dyDescent="0.35"/>
    <row r="19074" hidden="1" x14ac:dyDescent="0.35"/>
    <row r="19075" hidden="1" x14ac:dyDescent="0.35"/>
    <row r="19076" hidden="1" x14ac:dyDescent="0.35"/>
    <row r="19077" hidden="1" x14ac:dyDescent="0.35"/>
    <row r="19078" hidden="1" x14ac:dyDescent="0.35"/>
    <row r="19079" hidden="1" x14ac:dyDescent="0.35"/>
    <row r="19080" hidden="1" x14ac:dyDescent="0.35"/>
    <row r="19081" hidden="1" x14ac:dyDescent="0.35"/>
    <row r="19082" hidden="1" x14ac:dyDescent="0.35"/>
    <row r="19083" hidden="1" x14ac:dyDescent="0.35"/>
    <row r="19084" hidden="1" x14ac:dyDescent="0.35"/>
    <row r="19085" hidden="1" x14ac:dyDescent="0.35"/>
    <row r="19086" hidden="1" x14ac:dyDescent="0.35"/>
    <row r="19087" hidden="1" x14ac:dyDescent="0.35"/>
    <row r="19088" hidden="1" x14ac:dyDescent="0.35"/>
    <row r="19089" hidden="1" x14ac:dyDescent="0.35"/>
    <row r="19090" hidden="1" x14ac:dyDescent="0.35"/>
    <row r="19091" hidden="1" x14ac:dyDescent="0.35"/>
    <row r="19092" hidden="1" x14ac:dyDescent="0.35"/>
    <row r="19093" hidden="1" x14ac:dyDescent="0.35"/>
    <row r="19094" hidden="1" x14ac:dyDescent="0.35"/>
    <row r="19095" hidden="1" x14ac:dyDescent="0.35"/>
    <row r="19096" hidden="1" x14ac:dyDescent="0.35"/>
    <row r="19097" hidden="1" x14ac:dyDescent="0.35"/>
    <row r="19098" hidden="1" x14ac:dyDescent="0.35"/>
    <row r="19099" hidden="1" x14ac:dyDescent="0.35"/>
    <row r="19100" hidden="1" x14ac:dyDescent="0.35"/>
    <row r="19101" hidden="1" x14ac:dyDescent="0.35"/>
    <row r="19102" hidden="1" x14ac:dyDescent="0.35"/>
    <row r="19103" hidden="1" x14ac:dyDescent="0.35"/>
    <row r="19104" hidden="1" x14ac:dyDescent="0.35"/>
    <row r="19105" hidden="1" x14ac:dyDescent="0.35"/>
    <row r="19106" hidden="1" x14ac:dyDescent="0.35"/>
    <row r="19107" hidden="1" x14ac:dyDescent="0.35"/>
    <row r="19108" hidden="1" x14ac:dyDescent="0.35"/>
    <row r="19109" hidden="1" x14ac:dyDescent="0.35"/>
    <row r="19110" hidden="1" x14ac:dyDescent="0.35"/>
    <row r="19111" hidden="1" x14ac:dyDescent="0.35"/>
    <row r="19112" hidden="1" x14ac:dyDescent="0.35"/>
    <row r="19113" hidden="1" x14ac:dyDescent="0.35"/>
    <row r="19114" hidden="1" x14ac:dyDescent="0.35"/>
    <row r="19115" hidden="1" x14ac:dyDescent="0.35"/>
    <row r="19116" hidden="1" x14ac:dyDescent="0.35"/>
    <row r="19117" hidden="1" x14ac:dyDescent="0.35"/>
    <row r="19118" hidden="1" x14ac:dyDescent="0.35"/>
    <row r="19119" hidden="1" x14ac:dyDescent="0.35"/>
    <row r="19120" hidden="1" x14ac:dyDescent="0.35"/>
    <row r="19121" hidden="1" x14ac:dyDescent="0.35"/>
    <row r="19122" hidden="1" x14ac:dyDescent="0.35"/>
    <row r="19123" hidden="1" x14ac:dyDescent="0.35"/>
    <row r="19124" hidden="1" x14ac:dyDescent="0.35"/>
    <row r="19125" hidden="1" x14ac:dyDescent="0.35"/>
    <row r="19126" hidden="1" x14ac:dyDescent="0.35"/>
    <row r="19127" hidden="1" x14ac:dyDescent="0.35"/>
    <row r="19128" hidden="1" x14ac:dyDescent="0.35"/>
    <row r="19129" hidden="1" x14ac:dyDescent="0.35"/>
    <row r="19130" hidden="1" x14ac:dyDescent="0.35"/>
    <row r="19131" hidden="1" x14ac:dyDescent="0.35"/>
    <row r="19132" hidden="1" x14ac:dyDescent="0.35"/>
    <row r="19133" hidden="1" x14ac:dyDescent="0.35"/>
    <row r="19134" hidden="1" x14ac:dyDescent="0.35"/>
    <row r="19135" hidden="1" x14ac:dyDescent="0.35"/>
    <row r="19136" hidden="1" x14ac:dyDescent="0.35"/>
    <row r="19137" hidden="1" x14ac:dyDescent="0.35"/>
    <row r="19138" hidden="1" x14ac:dyDescent="0.35"/>
    <row r="19139" hidden="1" x14ac:dyDescent="0.35"/>
    <row r="19140" hidden="1" x14ac:dyDescent="0.35"/>
    <row r="19141" hidden="1" x14ac:dyDescent="0.35"/>
    <row r="19142" hidden="1" x14ac:dyDescent="0.35"/>
    <row r="19143" hidden="1" x14ac:dyDescent="0.35"/>
    <row r="19144" hidden="1" x14ac:dyDescent="0.35"/>
    <row r="19145" hidden="1" x14ac:dyDescent="0.35"/>
    <row r="19146" hidden="1" x14ac:dyDescent="0.35"/>
    <row r="19147" hidden="1" x14ac:dyDescent="0.35"/>
    <row r="19148" hidden="1" x14ac:dyDescent="0.35"/>
    <row r="19149" hidden="1" x14ac:dyDescent="0.35"/>
    <row r="19150" hidden="1" x14ac:dyDescent="0.35"/>
    <row r="19151" hidden="1" x14ac:dyDescent="0.35"/>
    <row r="19152" hidden="1" x14ac:dyDescent="0.35"/>
    <row r="19153" hidden="1" x14ac:dyDescent="0.35"/>
    <row r="19154" hidden="1" x14ac:dyDescent="0.35"/>
    <row r="19155" hidden="1" x14ac:dyDescent="0.35"/>
    <row r="19156" hidden="1" x14ac:dyDescent="0.35"/>
    <row r="19157" hidden="1" x14ac:dyDescent="0.35"/>
    <row r="19158" hidden="1" x14ac:dyDescent="0.35"/>
    <row r="19159" hidden="1" x14ac:dyDescent="0.35"/>
    <row r="19160" hidden="1" x14ac:dyDescent="0.35"/>
    <row r="19161" hidden="1" x14ac:dyDescent="0.35"/>
    <row r="19162" hidden="1" x14ac:dyDescent="0.35"/>
    <row r="19163" hidden="1" x14ac:dyDescent="0.35"/>
    <row r="19164" hidden="1" x14ac:dyDescent="0.35"/>
    <row r="19165" hidden="1" x14ac:dyDescent="0.35"/>
    <row r="19166" hidden="1" x14ac:dyDescent="0.35"/>
    <row r="19167" hidden="1" x14ac:dyDescent="0.35"/>
    <row r="19168" hidden="1" x14ac:dyDescent="0.35"/>
    <row r="19169" hidden="1" x14ac:dyDescent="0.35"/>
    <row r="19170" hidden="1" x14ac:dyDescent="0.35"/>
    <row r="19171" hidden="1" x14ac:dyDescent="0.35"/>
    <row r="19172" hidden="1" x14ac:dyDescent="0.35"/>
    <row r="19173" hidden="1" x14ac:dyDescent="0.35"/>
    <row r="19174" hidden="1" x14ac:dyDescent="0.35"/>
    <row r="19175" hidden="1" x14ac:dyDescent="0.35"/>
    <row r="19176" hidden="1" x14ac:dyDescent="0.35"/>
    <row r="19177" hidden="1" x14ac:dyDescent="0.35"/>
    <row r="19178" hidden="1" x14ac:dyDescent="0.35"/>
    <row r="19179" hidden="1" x14ac:dyDescent="0.35"/>
    <row r="19180" hidden="1" x14ac:dyDescent="0.35"/>
    <row r="19181" hidden="1" x14ac:dyDescent="0.35"/>
    <row r="19182" hidden="1" x14ac:dyDescent="0.35"/>
    <row r="19183" hidden="1" x14ac:dyDescent="0.35"/>
    <row r="19184" hidden="1" x14ac:dyDescent="0.35"/>
    <row r="19185" hidden="1" x14ac:dyDescent="0.35"/>
    <row r="19186" hidden="1" x14ac:dyDescent="0.35"/>
    <row r="19187" hidden="1" x14ac:dyDescent="0.35"/>
    <row r="19188" hidden="1" x14ac:dyDescent="0.35"/>
    <row r="19189" hidden="1" x14ac:dyDescent="0.35"/>
    <row r="19190" hidden="1" x14ac:dyDescent="0.35"/>
    <row r="19191" hidden="1" x14ac:dyDescent="0.35"/>
    <row r="19192" hidden="1" x14ac:dyDescent="0.35"/>
    <row r="19193" hidden="1" x14ac:dyDescent="0.35"/>
    <row r="19194" hidden="1" x14ac:dyDescent="0.35"/>
    <row r="19195" hidden="1" x14ac:dyDescent="0.35"/>
    <row r="19196" hidden="1" x14ac:dyDescent="0.35"/>
    <row r="19197" hidden="1" x14ac:dyDescent="0.35"/>
    <row r="19198" hidden="1" x14ac:dyDescent="0.35"/>
    <row r="19199" hidden="1" x14ac:dyDescent="0.35"/>
    <row r="19200" hidden="1" x14ac:dyDescent="0.35"/>
    <row r="19201" hidden="1" x14ac:dyDescent="0.35"/>
    <row r="19202" hidden="1" x14ac:dyDescent="0.35"/>
    <row r="19203" hidden="1" x14ac:dyDescent="0.35"/>
    <row r="19204" hidden="1" x14ac:dyDescent="0.35"/>
    <row r="19205" hidden="1" x14ac:dyDescent="0.35"/>
    <row r="19206" hidden="1" x14ac:dyDescent="0.35"/>
    <row r="19207" hidden="1" x14ac:dyDescent="0.35"/>
    <row r="19208" hidden="1" x14ac:dyDescent="0.35"/>
    <row r="19209" hidden="1" x14ac:dyDescent="0.35"/>
    <row r="19210" hidden="1" x14ac:dyDescent="0.35"/>
    <row r="19211" hidden="1" x14ac:dyDescent="0.35"/>
    <row r="19212" hidden="1" x14ac:dyDescent="0.35"/>
    <row r="19213" hidden="1" x14ac:dyDescent="0.35"/>
    <row r="19214" hidden="1" x14ac:dyDescent="0.35"/>
    <row r="19215" hidden="1" x14ac:dyDescent="0.35"/>
    <row r="19216" hidden="1" x14ac:dyDescent="0.35"/>
    <row r="19217" hidden="1" x14ac:dyDescent="0.35"/>
    <row r="19218" hidden="1" x14ac:dyDescent="0.35"/>
    <row r="19219" hidden="1" x14ac:dyDescent="0.35"/>
    <row r="19220" hidden="1" x14ac:dyDescent="0.35"/>
    <row r="19221" hidden="1" x14ac:dyDescent="0.35"/>
    <row r="19222" hidden="1" x14ac:dyDescent="0.35"/>
    <row r="19223" hidden="1" x14ac:dyDescent="0.35"/>
    <row r="19224" hidden="1" x14ac:dyDescent="0.35"/>
    <row r="19225" hidden="1" x14ac:dyDescent="0.35"/>
    <row r="19226" hidden="1" x14ac:dyDescent="0.35"/>
    <row r="19227" hidden="1" x14ac:dyDescent="0.35"/>
    <row r="19228" hidden="1" x14ac:dyDescent="0.35"/>
    <row r="19229" hidden="1" x14ac:dyDescent="0.35"/>
    <row r="19230" hidden="1" x14ac:dyDescent="0.35"/>
    <row r="19231" hidden="1" x14ac:dyDescent="0.35"/>
    <row r="19232" hidden="1" x14ac:dyDescent="0.35"/>
    <row r="19233" hidden="1" x14ac:dyDescent="0.35"/>
    <row r="19234" hidden="1" x14ac:dyDescent="0.35"/>
    <row r="19235" hidden="1" x14ac:dyDescent="0.35"/>
    <row r="19236" hidden="1" x14ac:dyDescent="0.35"/>
    <row r="19237" hidden="1" x14ac:dyDescent="0.35"/>
    <row r="19238" hidden="1" x14ac:dyDescent="0.35"/>
    <row r="19239" hidden="1" x14ac:dyDescent="0.35"/>
    <row r="19240" hidden="1" x14ac:dyDescent="0.35"/>
    <row r="19241" hidden="1" x14ac:dyDescent="0.35"/>
    <row r="19242" hidden="1" x14ac:dyDescent="0.35"/>
    <row r="19243" hidden="1" x14ac:dyDescent="0.35"/>
    <row r="19244" hidden="1" x14ac:dyDescent="0.35"/>
    <row r="19245" hidden="1" x14ac:dyDescent="0.35"/>
    <row r="19246" hidden="1" x14ac:dyDescent="0.35"/>
    <row r="19247" hidden="1" x14ac:dyDescent="0.35"/>
    <row r="19248" hidden="1" x14ac:dyDescent="0.35"/>
    <row r="19249" hidden="1" x14ac:dyDescent="0.35"/>
    <row r="19250" hidden="1" x14ac:dyDescent="0.35"/>
    <row r="19251" hidden="1" x14ac:dyDescent="0.35"/>
    <row r="19252" hidden="1" x14ac:dyDescent="0.35"/>
    <row r="19253" hidden="1" x14ac:dyDescent="0.35"/>
    <row r="19254" hidden="1" x14ac:dyDescent="0.35"/>
    <row r="19255" hidden="1" x14ac:dyDescent="0.35"/>
    <row r="19256" hidden="1" x14ac:dyDescent="0.35"/>
    <row r="19257" hidden="1" x14ac:dyDescent="0.35"/>
    <row r="19258" hidden="1" x14ac:dyDescent="0.35"/>
    <row r="19259" hidden="1" x14ac:dyDescent="0.35"/>
    <row r="19260" hidden="1" x14ac:dyDescent="0.35"/>
    <row r="19261" hidden="1" x14ac:dyDescent="0.35"/>
    <row r="19262" hidden="1" x14ac:dyDescent="0.35"/>
    <row r="19263" hidden="1" x14ac:dyDescent="0.35"/>
    <row r="19264" hidden="1" x14ac:dyDescent="0.35"/>
    <row r="19265" hidden="1" x14ac:dyDescent="0.35"/>
    <row r="19266" hidden="1" x14ac:dyDescent="0.35"/>
    <row r="19267" hidden="1" x14ac:dyDescent="0.35"/>
    <row r="19268" hidden="1" x14ac:dyDescent="0.35"/>
    <row r="19269" hidden="1" x14ac:dyDescent="0.35"/>
    <row r="19270" hidden="1" x14ac:dyDescent="0.35"/>
    <row r="19271" hidden="1" x14ac:dyDescent="0.35"/>
    <row r="19272" hidden="1" x14ac:dyDescent="0.35"/>
    <row r="19273" hidden="1" x14ac:dyDescent="0.35"/>
    <row r="19274" hidden="1" x14ac:dyDescent="0.35"/>
    <row r="19275" hidden="1" x14ac:dyDescent="0.35"/>
    <row r="19276" hidden="1" x14ac:dyDescent="0.35"/>
    <row r="19277" hidden="1" x14ac:dyDescent="0.35"/>
    <row r="19278" hidden="1" x14ac:dyDescent="0.35"/>
    <row r="19279" hidden="1" x14ac:dyDescent="0.35"/>
    <row r="19280" hidden="1" x14ac:dyDescent="0.35"/>
    <row r="19281" hidden="1" x14ac:dyDescent="0.35"/>
    <row r="19282" hidden="1" x14ac:dyDescent="0.35"/>
    <row r="19283" hidden="1" x14ac:dyDescent="0.35"/>
    <row r="19284" hidden="1" x14ac:dyDescent="0.35"/>
    <row r="19285" hidden="1" x14ac:dyDescent="0.35"/>
    <row r="19286" hidden="1" x14ac:dyDescent="0.35"/>
    <row r="19287" hidden="1" x14ac:dyDescent="0.35"/>
    <row r="19288" hidden="1" x14ac:dyDescent="0.35"/>
    <row r="19289" hidden="1" x14ac:dyDescent="0.35"/>
    <row r="19290" hidden="1" x14ac:dyDescent="0.35"/>
    <row r="19291" hidden="1" x14ac:dyDescent="0.35"/>
    <row r="19292" hidden="1" x14ac:dyDescent="0.35"/>
    <row r="19293" hidden="1" x14ac:dyDescent="0.35"/>
    <row r="19294" hidden="1" x14ac:dyDescent="0.35"/>
    <row r="19295" hidden="1" x14ac:dyDescent="0.35"/>
    <row r="19296" hidden="1" x14ac:dyDescent="0.35"/>
    <row r="19297" hidden="1" x14ac:dyDescent="0.35"/>
    <row r="19298" hidden="1" x14ac:dyDescent="0.35"/>
    <row r="19299" hidden="1" x14ac:dyDescent="0.35"/>
    <row r="19300" hidden="1" x14ac:dyDescent="0.35"/>
    <row r="19301" hidden="1" x14ac:dyDescent="0.35"/>
    <row r="19302" hidden="1" x14ac:dyDescent="0.35"/>
    <row r="19303" hidden="1" x14ac:dyDescent="0.35"/>
    <row r="19304" hidden="1" x14ac:dyDescent="0.35"/>
    <row r="19305" hidden="1" x14ac:dyDescent="0.35"/>
    <row r="19306" hidden="1" x14ac:dyDescent="0.35"/>
    <row r="19307" hidden="1" x14ac:dyDescent="0.35"/>
    <row r="19308" hidden="1" x14ac:dyDescent="0.35"/>
    <row r="19309" hidden="1" x14ac:dyDescent="0.35"/>
    <row r="19310" hidden="1" x14ac:dyDescent="0.35"/>
    <row r="19311" hidden="1" x14ac:dyDescent="0.35"/>
    <row r="19312" hidden="1" x14ac:dyDescent="0.35"/>
    <row r="19313" hidden="1" x14ac:dyDescent="0.35"/>
    <row r="19314" hidden="1" x14ac:dyDescent="0.35"/>
    <row r="19315" hidden="1" x14ac:dyDescent="0.35"/>
    <row r="19316" hidden="1" x14ac:dyDescent="0.35"/>
    <row r="19317" hidden="1" x14ac:dyDescent="0.35"/>
    <row r="19318" hidden="1" x14ac:dyDescent="0.35"/>
    <row r="19319" hidden="1" x14ac:dyDescent="0.35"/>
    <row r="19320" hidden="1" x14ac:dyDescent="0.35"/>
    <row r="19321" hidden="1" x14ac:dyDescent="0.35"/>
    <row r="19322" hidden="1" x14ac:dyDescent="0.35"/>
    <row r="19323" hidden="1" x14ac:dyDescent="0.35"/>
    <row r="19324" hidden="1" x14ac:dyDescent="0.35"/>
    <row r="19325" hidden="1" x14ac:dyDescent="0.35"/>
    <row r="19326" hidden="1" x14ac:dyDescent="0.35"/>
    <row r="19327" hidden="1" x14ac:dyDescent="0.35"/>
    <row r="19328" hidden="1" x14ac:dyDescent="0.35"/>
    <row r="19329" hidden="1" x14ac:dyDescent="0.35"/>
    <row r="19330" hidden="1" x14ac:dyDescent="0.35"/>
    <row r="19331" hidden="1" x14ac:dyDescent="0.35"/>
    <row r="19332" hidden="1" x14ac:dyDescent="0.35"/>
    <row r="19333" hidden="1" x14ac:dyDescent="0.35"/>
    <row r="19334" hidden="1" x14ac:dyDescent="0.35"/>
    <row r="19335" hidden="1" x14ac:dyDescent="0.35"/>
    <row r="19336" hidden="1" x14ac:dyDescent="0.35"/>
    <row r="19337" hidden="1" x14ac:dyDescent="0.35"/>
    <row r="19338" hidden="1" x14ac:dyDescent="0.35"/>
    <row r="19339" hidden="1" x14ac:dyDescent="0.35"/>
    <row r="19340" hidden="1" x14ac:dyDescent="0.35"/>
    <row r="19341" hidden="1" x14ac:dyDescent="0.35"/>
    <row r="19342" hidden="1" x14ac:dyDescent="0.35"/>
    <row r="19343" hidden="1" x14ac:dyDescent="0.35"/>
    <row r="19344" hidden="1" x14ac:dyDescent="0.35"/>
    <row r="19345" hidden="1" x14ac:dyDescent="0.35"/>
    <row r="19346" hidden="1" x14ac:dyDescent="0.35"/>
    <row r="19347" hidden="1" x14ac:dyDescent="0.35"/>
    <row r="19348" hidden="1" x14ac:dyDescent="0.35"/>
    <row r="19349" hidden="1" x14ac:dyDescent="0.35"/>
    <row r="19350" hidden="1" x14ac:dyDescent="0.35"/>
    <row r="19351" hidden="1" x14ac:dyDescent="0.35"/>
    <row r="19352" hidden="1" x14ac:dyDescent="0.35"/>
    <row r="19353" hidden="1" x14ac:dyDescent="0.35"/>
    <row r="19354" hidden="1" x14ac:dyDescent="0.35"/>
    <row r="19355" hidden="1" x14ac:dyDescent="0.35"/>
    <row r="19356" hidden="1" x14ac:dyDescent="0.35"/>
    <row r="19357" hidden="1" x14ac:dyDescent="0.35"/>
    <row r="19358" hidden="1" x14ac:dyDescent="0.35"/>
    <row r="19359" hidden="1" x14ac:dyDescent="0.35"/>
    <row r="19360" hidden="1" x14ac:dyDescent="0.35"/>
    <row r="19361" hidden="1" x14ac:dyDescent="0.35"/>
    <row r="19362" hidden="1" x14ac:dyDescent="0.35"/>
    <row r="19363" hidden="1" x14ac:dyDescent="0.35"/>
    <row r="19364" hidden="1" x14ac:dyDescent="0.35"/>
    <row r="19365" hidden="1" x14ac:dyDescent="0.35"/>
    <row r="19366" hidden="1" x14ac:dyDescent="0.35"/>
    <row r="19367" hidden="1" x14ac:dyDescent="0.35"/>
    <row r="19368" hidden="1" x14ac:dyDescent="0.35"/>
    <row r="19369" hidden="1" x14ac:dyDescent="0.35"/>
    <row r="19370" hidden="1" x14ac:dyDescent="0.35"/>
    <row r="19371" hidden="1" x14ac:dyDescent="0.35"/>
    <row r="19372" hidden="1" x14ac:dyDescent="0.35"/>
    <row r="19373" hidden="1" x14ac:dyDescent="0.35"/>
    <row r="19374" hidden="1" x14ac:dyDescent="0.35"/>
    <row r="19375" hidden="1" x14ac:dyDescent="0.35"/>
    <row r="19376" hidden="1" x14ac:dyDescent="0.35"/>
    <row r="19377" hidden="1" x14ac:dyDescent="0.35"/>
    <row r="19378" hidden="1" x14ac:dyDescent="0.35"/>
    <row r="19379" hidden="1" x14ac:dyDescent="0.35"/>
    <row r="19380" hidden="1" x14ac:dyDescent="0.35"/>
    <row r="19381" hidden="1" x14ac:dyDescent="0.35"/>
    <row r="19382" hidden="1" x14ac:dyDescent="0.35"/>
    <row r="19383" hidden="1" x14ac:dyDescent="0.35"/>
    <row r="19384" hidden="1" x14ac:dyDescent="0.35"/>
    <row r="19385" hidden="1" x14ac:dyDescent="0.35"/>
    <row r="19386" hidden="1" x14ac:dyDescent="0.35"/>
    <row r="19387" hidden="1" x14ac:dyDescent="0.35"/>
    <row r="19388" hidden="1" x14ac:dyDescent="0.35"/>
    <row r="19389" hidden="1" x14ac:dyDescent="0.35"/>
    <row r="19390" hidden="1" x14ac:dyDescent="0.35"/>
    <row r="19391" hidden="1" x14ac:dyDescent="0.35"/>
    <row r="19392" hidden="1" x14ac:dyDescent="0.35"/>
    <row r="19393" hidden="1" x14ac:dyDescent="0.35"/>
    <row r="19394" hidden="1" x14ac:dyDescent="0.35"/>
    <row r="19395" hidden="1" x14ac:dyDescent="0.35"/>
    <row r="19396" hidden="1" x14ac:dyDescent="0.35"/>
    <row r="19397" hidden="1" x14ac:dyDescent="0.35"/>
    <row r="19398" hidden="1" x14ac:dyDescent="0.35"/>
    <row r="19399" hidden="1" x14ac:dyDescent="0.35"/>
    <row r="19400" hidden="1" x14ac:dyDescent="0.35"/>
    <row r="19401" hidden="1" x14ac:dyDescent="0.35"/>
    <row r="19402" hidden="1" x14ac:dyDescent="0.35"/>
    <row r="19403" hidden="1" x14ac:dyDescent="0.35"/>
    <row r="19404" hidden="1" x14ac:dyDescent="0.35"/>
    <row r="19405" hidden="1" x14ac:dyDescent="0.35"/>
    <row r="19406" hidden="1" x14ac:dyDescent="0.35"/>
    <row r="19407" hidden="1" x14ac:dyDescent="0.35"/>
    <row r="19408" hidden="1" x14ac:dyDescent="0.35"/>
    <row r="19409" hidden="1" x14ac:dyDescent="0.35"/>
    <row r="19410" hidden="1" x14ac:dyDescent="0.35"/>
    <row r="19411" hidden="1" x14ac:dyDescent="0.35"/>
    <row r="19412" hidden="1" x14ac:dyDescent="0.35"/>
    <row r="19413" hidden="1" x14ac:dyDescent="0.35"/>
    <row r="19414" hidden="1" x14ac:dyDescent="0.35"/>
    <row r="19415" hidden="1" x14ac:dyDescent="0.35"/>
    <row r="19416" hidden="1" x14ac:dyDescent="0.35"/>
    <row r="19417" hidden="1" x14ac:dyDescent="0.35"/>
    <row r="19418" hidden="1" x14ac:dyDescent="0.35"/>
    <row r="19419" hidden="1" x14ac:dyDescent="0.35"/>
    <row r="19420" hidden="1" x14ac:dyDescent="0.35"/>
    <row r="19421" hidden="1" x14ac:dyDescent="0.35"/>
    <row r="19422" hidden="1" x14ac:dyDescent="0.35"/>
    <row r="19423" hidden="1" x14ac:dyDescent="0.35"/>
    <row r="19424" hidden="1" x14ac:dyDescent="0.35"/>
    <row r="19425" hidden="1" x14ac:dyDescent="0.35"/>
    <row r="19426" hidden="1" x14ac:dyDescent="0.35"/>
    <row r="19427" hidden="1" x14ac:dyDescent="0.35"/>
    <row r="19428" hidden="1" x14ac:dyDescent="0.35"/>
    <row r="19429" hidden="1" x14ac:dyDescent="0.35"/>
    <row r="19430" hidden="1" x14ac:dyDescent="0.35"/>
    <row r="19431" hidden="1" x14ac:dyDescent="0.35"/>
    <row r="19432" hidden="1" x14ac:dyDescent="0.35"/>
    <row r="19433" hidden="1" x14ac:dyDescent="0.35"/>
    <row r="19434" hidden="1" x14ac:dyDescent="0.35"/>
    <row r="19435" hidden="1" x14ac:dyDescent="0.35"/>
    <row r="19436" hidden="1" x14ac:dyDescent="0.35"/>
    <row r="19437" hidden="1" x14ac:dyDescent="0.35"/>
    <row r="19438" hidden="1" x14ac:dyDescent="0.35"/>
    <row r="19439" hidden="1" x14ac:dyDescent="0.35"/>
    <row r="19440" hidden="1" x14ac:dyDescent="0.35"/>
    <row r="19441" hidden="1" x14ac:dyDescent="0.35"/>
    <row r="19442" hidden="1" x14ac:dyDescent="0.35"/>
    <row r="19443" hidden="1" x14ac:dyDescent="0.35"/>
    <row r="19444" hidden="1" x14ac:dyDescent="0.35"/>
    <row r="19445" hidden="1" x14ac:dyDescent="0.35"/>
    <row r="19446" hidden="1" x14ac:dyDescent="0.35"/>
    <row r="19447" hidden="1" x14ac:dyDescent="0.35"/>
    <row r="19448" hidden="1" x14ac:dyDescent="0.35"/>
    <row r="19449" hidden="1" x14ac:dyDescent="0.35"/>
    <row r="19450" hidden="1" x14ac:dyDescent="0.35"/>
    <row r="19451" hidden="1" x14ac:dyDescent="0.35"/>
    <row r="19452" hidden="1" x14ac:dyDescent="0.35"/>
    <row r="19453" hidden="1" x14ac:dyDescent="0.35"/>
    <row r="19454" hidden="1" x14ac:dyDescent="0.35"/>
    <row r="19455" hidden="1" x14ac:dyDescent="0.35"/>
    <row r="19456" hidden="1" x14ac:dyDescent="0.35"/>
    <row r="19457" hidden="1" x14ac:dyDescent="0.35"/>
    <row r="19458" hidden="1" x14ac:dyDescent="0.35"/>
    <row r="19459" hidden="1" x14ac:dyDescent="0.35"/>
    <row r="19460" hidden="1" x14ac:dyDescent="0.35"/>
    <row r="19461" hidden="1" x14ac:dyDescent="0.35"/>
    <row r="19462" hidden="1" x14ac:dyDescent="0.35"/>
    <row r="19463" hidden="1" x14ac:dyDescent="0.35"/>
    <row r="19464" hidden="1" x14ac:dyDescent="0.35"/>
    <row r="19465" hidden="1" x14ac:dyDescent="0.35"/>
    <row r="19466" hidden="1" x14ac:dyDescent="0.35"/>
    <row r="19467" hidden="1" x14ac:dyDescent="0.35"/>
    <row r="19468" hidden="1" x14ac:dyDescent="0.35"/>
    <row r="19469" hidden="1" x14ac:dyDescent="0.35"/>
    <row r="19470" hidden="1" x14ac:dyDescent="0.35"/>
    <row r="19471" hidden="1" x14ac:dyDescent="0.35"/>
    <row r="19472" hidden="1" x14ac:dyDescent="0.35"/>
    <row r="19473" hidden="1" x14ac:dyDescent="0.35"/>
    <row r="19474" hidden="1" x14ac:dyDescent="0.35"/>
    <row r="19475" hidden="1" x14ac:dyDescent="0.35"/>
    <row r="19476" hidden="1" x14ac:dyDescent="0.35"/>
    <row r="19477" hidden="1" x14ac:dyDescent="0.35"/>
    <row r="19478" hidden="1" x14ac:dyDescent="0.35"/>
    <row r="19479" hidden="1" x14ac:dyDescent="0.35"/>
    <row r="19480" hidden="1" x14ac:dyDescent="0.35"/>
    <row r="19481" hidden="1" x14ac:dyDescent="0.35"/>
    <row r="19482" hidden="1" x14ac:dyDescent="0.35"/>
    <row r="19483" hidden="1" x14ac:dyDescent="0.35"/>
    <row r="19484" hidden="1" x14ac:dyDescent="0.35"/>
    <row r="19485" hidden="1" x14ac:dyDescent="0.35"/>
    <row r="19486" hidden="1" x14ac:dyDescent="0.35"/>
    <row r="19487" hidden="1" x14ac:dyDescent="0.35"/>
    <row r="19488" hidden="1" x14ac:dyDescent="0.35"/>
    <row r="19489" hidden="1" x14ac:dyDescent="0.35"/>
    <row r="19490" hidden="1" x14ac:dyDescent="0.35"/>
    <row r="19491" hidden="1" x14ac:dyDescent="0.35"/>
    <row r="19492" hidden="1" x14ac:dyDescent="0.35"/>
    <row r="19493" hidden="1" x14ac:dyDescent="0.35"/>
    <row r="19494" hidden="1" x14ac:dyDescent="0.35"/>
    <row r="19495" hidden="1" x14ac:dyDescent="0.35"/>
    <row r="19496" hidden="1" x14ac:dyDescent="0.35"/>
    <row r="19497" hidden="1" x14ac:dyDescent="0.35"/>
    <row r="19498" hidden="1" x14ac:dyDescent="0.35"/>
    <row r="19499" hidden="1" x14ac:dyDescent="0.35"/>
    <row r="19500" hidden="1" x14ac:dyDescent="0.35"/>
    <row r="19501" hidden="1" x14ac:dyDescent="0.35"/>
    <row r="19502" hidden="1" x14ac:dyDescent="0.35"/>
    <row r="19503" hidden="1" x14ac:dyDescent="0.35"/>
    <row r="19504" hidden="1" x14ac:dyDescent="0.35"/>
    <row r="19505" hidden="1" x14ac:dyDescent="0.35"/>
    <row r="19506" hidden="1" x14ac:dyDescent="0.35"/>
    <row r="19507" hidden="1" x14ac:dyDescent="0.35"/>
    <row r="19508" hidden="1" x14ac:dyDescent="0.35"/>
    <row r="19509" hidden="1" x14ac:dyDescent="0.35"/>
    <row r="19510" hidden="1" x14ac:dyDescent="0.35"/>
    <row r="19511" hidden="1" x14ac:dyDescent="0.35"/>
    <row r="19512" hidden="1" x14ac:dyDescent="0.35"/>
    <row r="19513" hidden="1" x14ac:dyDescent="0.35"/>
    <row r="19514" hidden="1" x14ac:dyDescent="0.35"/>
    <row r="19515" hidden="1" x14ac:dyDescent="0.35"/>
    <row r="19516" hidden="1" x14ac:dyDescent="0.35"/>
    <row r="19517" hidden="1" x14ac:dyDescent="0.35"/>
    <row r="19518" hidden="1" x14ac:dyDescent="0.35"/>
    <row r="19519" hidden="1" x14ac:dyDescent="0.35"/>
    <row r="19520" hidden="1" x14ac:dyDescent="0.35"/>
    <row r="19521" hidden="1" x14ac:dyDescent="0.35"/>
    <row r="19522" hidden="1" x14ac:dyDescent="0.35"/>
    <row r="19523" hidden="1" x14ac:dyDescent="0.35"/>
    <row r="19524" hidden="1" x14ac:dyDescent="0.35"/>
    <row r="19525" hidden="1" x14ac:dyDescent="0.35"/>
    <row r="19526" hidden="1" x14ac:dyDescent="0.35"/>
    <row r="19527" hidden="1" x14ac:dyDescent="0.35"/>
    <row r="19528" hidden="1" x14ac:dyDescent="0.35"/>
    <row r="19529" hidden="1" x14ac:dyDescent="0.35"/>
    <row r="19530" hidden="1" x14ac:dyDescent="0.35"/>
    <row r="19531" hidden="1" x14ac:dyDescent="0.35"/>
    <row r="19532" hidden="1" x14ac:dyDescent="0.35"/>
    <row r="19533" hidden="1" x14ac:dyDescent="0.35"/>
    <row r="19534" hidden="1" x14ac:dyDescent="0.35"/>
    <row r="19535" hidden="1" x14ac:dyDescent="0.35"/>
    <row r="19536" hidden="1" x14ac:dyDescent="0.35"/>
    <row r="19537" hidden="1" x14ac:dyDescent="0.35"/>
    <row r="19538" hidden="1" x14ac:dyDescent="0.35"/>
    <row r="19539" hidden="1" x14ac:dyDescent="0.35"/>
    <row r="19540" hidden="1" x14ac:dyDescent="0.35"/>
    <row r="19541" hidden="1" x14ac:dyDescent="0.35"/>
    <row r="19542" hidden="1" x14ac:dyDescent="0.35"/>
    <row r="19543" hidden="1" x14ac:dyDescent="0.35"/>
    <row r="19544" hidden="1" x14ac:dyDescent="0.35"/>
    <row r="19545" hidden="1" x14ac:dyDescent="0.35"/>
    <row r="19546" hidden="1" x14ac:dyDescent="0.35"/>
    <row r="19547" hidden="1" x14ac:dyDescent="0.35"/>
    <row r="19548" hidden="1" x14ac:dyDescent="0.35"/>
    <row r="19549" hidden="1" x14ac:dyDescent="0.35"/>
    <row r="19550" hidden="1" x14ac:dyDescent="0.35"/>
    <row r="19551" hidden="1" x14ac:dyDescent="0.35"/>
    <row r="19552" hidden="1" x14ac:dyDescent="0.35"/>
    <row r="19553" hidden="1" x14ac:dyDescent="0.35"/>
    <row r="19554" hidden="1" x14ac:dyDescent="0.35"/>
    <row r="19555" hidden="1" x14ac:dyDescent="0.35"/>
    <row r="19556" hidden="1" x14ac:dyDescent="0.35"/>
    <row r="19557" hidden="1" x14ac:dyDescent="0.35"/>
    <row r="19558" hidden="1" x14ac:dyDescent="0.35"/>
    <row r="19559" hidden="1" x14ac:dyDescent="0.35"/>
    <row r="19560" hidden="1" x14ac:dyDescent="0.35"/>
    <row r="19561" hidden="1" x14ac:dyDescent="0.35"/>
    <row r="19562" hidden="1" x14ac:dyDescent="0.35"/>
    <row r="19563" hidden="1" x14ac:dyDescent="0.35"/>
    <row r="19564" hidden="1" x14ac:dyDescent="0.35"/>
    <row r="19565" hidden="1" x14ac:dyDescent="0.35"/>
    <row r="19566" hidden="1" x14ac:dyDescent="0.35"/>
    <row r="19567" hidden="1" x14ac:dyDescent="0.35"/>
    <row r="19568" hidden="1" x14ac:dyDescent="0.35"/>
    <row r="19569" hidden="1" x14ac:dyDescent="0.35"/>
    <row r="19570" hidden="1" x14ac:dyDescent="0.35"/>
    <row r="19571" hidden="1" x14ac:dyDescent="0.35"/>
    <row r="19572" hidden="1" x14ac:dyDescent="0.35"/>
    <row r="19573" hidden="1" x14ac:dyDescent="0.35"/>
    <row r="19574" hidden="1" x14ac:dyDescent="0.35"/>
    <row r="19575" hidden="1" x14ac:dyDescent="0.35"/>
    <row r="19576" hidden="1" x14ac:dyDescent="0.35"/>
    <row r="19577" hidden="1" x14ac:dyDescent="0.35"/>
    <row r="19578" hidden="1" x14ac:dyDescent="0.35"/>
    <row r="19579" hidden="1" x14ac:dyDescent="0.35"/>
    <row r="19580" hidden="1" x14ac:dyDescent="0.35"/>
    <row r="19581" hidden="1" x14ac:dyDescent="0.35"/>
    <row r="19582" hidden="1" x14ac:dyDescent="0.35"/>
    <row r="19583" hidden="1" x14ac:dyDescent="0.35"/>
    <row r="19584" hidden="1" x14ac:dyDescent="0.35"/>
    <row r="19585" hidden="1" x14ac:dyDescent="0.35"/>
    <row r="19586" hidden="1" x14ac:dyDescent="0.35"/>
    <row r="19587" hidden="1" x14ac:dyDescent="0.35"/>
    <row r="19588" hidden="1" x14ac:dyDescent="0.35"/>
    <row r="19589" hidden="1" x14ac:dyDescent="0.35"/>
    <row r="19590" hidden="1" x14ac:dyDescent="0.35"/>
    <row r="19591" hidden="1" x14ac:dyDescent="0.35"/>
    <row r="19592" hidden="1" x14ac:dyDescent="0.35"/>
    <row r="19593" hidden="1" x14ac:dyDescent="0.35"/>
    <row r="19594" hidden="1" x14ac:dyDescent="0.35"/>
    <row r="19595" hidden="1" x14ac:dyDescent="0.35"/>
    <row r="19596" hidden="1" x14ac:dyDescent="0.35"/>
    <row r="19597" hidden="1" x14ac:dyDescent="0.35"/>
    <row r="19598" hidden="1" x14ac:dyDescent="0.35"/>
    <row r="19599" hidden="1" x14ac:dyDescent="0.35"/>
    <row r="19600" hidden="1" x14ac:dyDescent="0.35"/>
    <row r="19601" hidden="1" x14ac:dyDescent="0.35"/>
    <row r="19602" hidden="1" x14ac:dyDescent="0.35"/>
    <row r="19603" hidden="1" x14ac:dyDescent="0.35"/>
    <row r="19604" hidden="1" x14ac:dyDescent="0.35"/>
    <row r="19605" hidden="1" x14ac:dyDescent="0.35"/>
    <row r="19606" hidden="1" x14ac:dyDescent="0.35"/>
    <row r="19607" hidden="1" x14ac:dyDescent="0.35"/>
    <row r="19608" hidden="1" x14ac:dyDescent="0.35"/>
    <row r="19609" hidden="1" x14ac:dyDescent="0.35"/>
    <row r="19610" hidden="1" x14ac:dyDescent="0.35"/>
    <row r="19611" hidden="1" x14ac:dyDescent="0.35"/>
    <row r="19612" hidden="1" x14ac:dyDescent="0.35"/>
    <row r="19613" hidden="1" x14ac:dyDescent="0.35"/>
    <row r="19614" hidden="1" x14ac:dyDescent="0.35"/>
    <row r="19615" hidden="1" x14ac:dyDescent="0.35"/>
    <row r="19616" hidden="1" x14ac:dyDescent="0.35"/>
    <row r="19617" hidden="1" x14ac:dyDescent="0.35"/>
    <row r="19618" hidden="1" x14ac:dyDescent="0.35"/>
    <row r="19619" hidden="1" x14ac:dyDescent="0.35"/>
    <row r="19620" hidden="1" x14ac:dyDescent="0.35"/>
    <row r="19621" hidden="1" x14ac:dyDescent="0.35"/>
    <row r="19622" hidden="1" x14ac:dyDescent="0.35"/>
    <row r="19623" hidden="1" x14ac:dyDescent="0.35"/>
    <row r="19624" hidden="1" x14ac:dyDescent="0.35"/>
    <row r="19625" hidden="1" x14ac:dyDescent="0.35"/>
    <row r="19626" hidden="1" x14ac:dyDescent="0.35"/>
    <row r="19627" hidden="1" x14ac:dyDescent="0.35"/>
    <row r="19628" hidden="1" x14ac:dyDescent="0.35"/>
    <row r="19629" hidden="1" x14ac:dyDescent="0.35"/>
    <row r="19630" hidden="1" x14ac:dyDescent="0.35"/>
    <row r="19631" hidden="1" x14ac:dyDescent="0.35"/>
    <row r="19632" hidden="1" x14ac:dyDescent="0.35"/>
    <row r="19633" hidden="1" x14ac:dyDescent="0.35"/>
    <row r="19634" hidden="1" x14ac:dyDescent="0.35"/>
    <row r="19635" hidden="1" x14ac:dyDescent="0.35"/>
    <row r="19636" hidden="1" x14ac:dyDescent="0.35"/>
    <row r="19637" hidden="1" x14ac:dyDescent="0.35"/>
    <row r="19638" hidden="1" x14ac:dyDescent="0.35"/>
    <row r="19639" hidden="1" x14ac:dyDescent="0.35"/>
    <row r="19640" hidden="1" x14ac:dyDescent="0.35"/>
    <row r="19641" hidden="1" x14ac:dyDescent="0.35"/>
    <row r="19642" hidden="1" x14ac:dyDescent="0.35"/>
    <row r="19643" hidden="1" x14ac:dyDescent="0.35"/>
    <row r="19644" hidden="1" x14ac:dyDescent="0.35"/>
    <row r="19645" hidden="1" x14ac:dyDescent="0.35"/>
    <row r="19646" hidden="1" x14ac:dyDescent="0.35"/>
    <row r="19647" hidden="1" x14ac:dyDescent="0.35"/>
    <row r="19648" hidden="1" x14ac:dyDescent="0.35"/>
    <row r="19649" hidden="1" x14ac:dyDescent="0.35"/>
    <row r="19650" hidden="1" x14ac:dyDescent="0.35"/>
    <row r="19651" hidden="1" x14ac:dyDescent="0.35"/>
    <row r="19652" hidden="1" x14ac:dyDescent="0.35"/>
    <row r="19653" hidden="1" x14ac:dyDescent="0.35"/>
    <row r="19654" hidden="1" x14ac:dyDescent="0.35"/>
    <row r="19655" hidden="1" x14ac:dyDescent="0.35"/>
    <row r="19656" hidden="1" x14ac:dyDescent="0.35"/>
    <row r="19657" hidden="1" x14ac:dyDescent="0.35"/>
    <row r="19658" hidden="1" x14ac:dyDescent="0.35"/>
    <row r="19659" hidden="1" x14ac:dyDescent="0.35"/>
    <row r="19660" hidden="1" x14ac:dyDescent="0.35"/>
    <row r="19661" hidden="1" x14ac:dyDescent="0.35"/>
    <row r="19662" hidden="1" x14ac:dyDescent="0.35"/>
    <row r="19663" hidden="1" x14ac:dyDescent="0.35"/>
    <row r="19664" hidden="1" x14ac:dyDescent="0.35"/>
    <row r="19665" hidden="1" x14ac:dyDescent="0.35"/>
    <row r="19666" hidden="1" x14ac:dyDescent="0.35"/>
    <row r="19667" hidden="1" x14ac:dyDescent="0.35"/>
    <row r="19668" hidden="1" x14ac:dyDescent="0.35"/>
    <row r="19669" hidden="1" x14ac:dyDescent="0.35"/>
    <row r="19670" hidden="1" x14ac:dyDescent="0.35"/>
    <row r="19671" hidden="1" x14ac:dyDescent="0.35"/>
    <row r="19672" hidden="1" x14ac:dyDescent="0.35"/>
    <row r="19673" hidden="1" x14ac:dyDescent="0.35"/>
    <row r="19674" hidden="1" x14ac:dyDescent="0.35"/>
    <row r="19675" hidden="1" x14ac:dyDescent="0.35"/>
    <row r="19676" hidden="1" x14ac:dyDescent="0.35"/>
    <row r="19677" hidden="1" x14ac:dyDescent="0.35"/>
    <row r="19678" hidden="1" x14ac:dyDescent="0.35"/>
    <row r="19679" hidden="1" x14ac:dyDescent="0.35"/>
    <row r="19680" hidden="1" x14ac:dyDescent="0.35"/>
    <row r="19681" hidden="1" x14ac:dyDescent="0.35"/>
    <row r="19682" hidden="1" x14ac:dyDescent="0.35"/>
    <row r="19683" hidden="1" x14ac:dyDescent="0.35"/>
    <row r="19684" hidden="1" x14ac:dyDescent="0.35"/>
    <row r="19685" hidden="1" x14ac:dyDescent="0.35"/>
    <row r="19686" hidden="1" x14ac:dyDescent="0.35"/>
    <row r="19687" hidden="1" x14ac:dyDescent="0.35"/>
    <row r="19688" hidden="1" x14ac:dyDescent="0.35"/>
    <row r="19689" hidden="1" x14ac:dyDescent="0.35"/>
    <row r="19690" hidden="1" x14ac:dyDescent="0.35"/>
    <row r="19691" hidden="1" x14ac:dyDescent="0.35"/>
    <row r="19692" hidden="1" x14ac:dyDescent="0.35"/>
    <row r="19693" hidden="1" x14ac:dyDescent="0.35"/>
    <row r="19694" hidden="1" x14ac:dyDescent="0.35"/>
    <row r="19695" hidden="1" x14ac:dyDescent="0.35"/>
    <row r="19696" hidden="1" x14ac:dyDescent="0.35"/>
    <row r="19697" hidden="1" x14ac:dyDescent="0.35"/>
    <row r="19698" hidden="1" x14ac:dyDescent="0.35"/>
    <row r="19699" hidden="1" x14ac:dyDescent="0.35"/>
    <row r="19700" hidden="1" x14ac:dyDescent="0.35"/>
    <row r="19701" hidden="1" x14ac:dyDescent="0.35"/>
    <row r="19702" hidden="1" x14ac:dyDescent="0.35"/>
    <row r="19703" hidden="1" x14ac:dyDescent="0.35"/>
    <row r="19704" hidden="1" x14ac:dyDescent="0.35"/>
    <row r="19705" hidden="1" x14ac:dyDescent="0.35"/>
    <row r="19706" hidden="1" x14ac:dyDescent="0.35"/>
    <row r="19707" hidden="1" x14ac:dyDescent="0.35"/>
    <row r="19708" hidden="1" x14ac:dyDescent="0.35"/>
    <row r="19709" hidden="1" x14ac:dyDescent="0.35"/>
    <row r="19710" hidden="1" x14ac:dyDescent="0.35"/>
    <row r="19711" hidden="1" x14ac:dyDescent="0.35"/>
    <row r="19712" hidden="1" x14ac:dyDescent="0.35"/>
    <row r="19713" hidden="1" x14ac:dyDescent="0.35"/>
    <row r="19714" hidden="1" x14ac:dyDescent="0.35"/>
    <row r="19715" hidden="1" x14ac:dyDescent="0.35"/>
    <row r="19716" hidden="1" x14ac:dyDescent="0.35"/>
    <row r="19717" hidden="1" x14ac:dyDescent="0.35"/>
    <row r="19718" hidden="1" x14ac:dyDescent="0.35"/>
    <row r="19719" hidden="1" x14ac:dyDescent="0.35"/>
    <row r="19720" hidden="1" x14ac:dyDescent="0.35"/>
    <row r="19721" hidden="1" x14ac:dyDescent="0.35"/>
    <row r="19722" hidden="1" x14ac:dyDescent="0.35"/>
    <row r="19723" hidden="1" x14ac:dyDescent="0.35"/>
    <row r="19724" hidden="1" x14ac:dyDescent="0.35"/>
    <row r="19725" hidden="1" x14ac:dyDescent="0.35"/>
    <row r="19726" hidden="1" x14ac:dyDescent="0.35"/>
    <row r="19727" hidden="1" x14ac:dyDescent="0.35"/>
    <row r="19728" hidden="1" x14ac:dyDescent="0.35"/>
    <row r="19729" hidden="1" x14ac:dyDescent="0.35"/>
    <row r="19730" hidden="1" x14ac:dyDescent="0.35"/>
    <row r="19731" hidden="1" x14ac:dyDescent="0.35"/>
    <row r="19732" hidden="1" x14ac:dyDescent="0.35"/>
    <row r="19733" hidden="1" x14ac:dyDescent="0.35"/>
    <row r="19734" hidden="1" x14ac:dyDescent="0.35"/>
    <row r="19735" hidden="1" x14ac:dyDescent="0.35"/>
    <row r="19736" hidden="1" x14ac:dyDescent="0.35"/>
    <row r="19737" hidden="1" x14ac:dyDescent="0.35"/>
    <row r="19738" hidden="1" x14ac:dyDescent="0.35"/>
    <row r="19739" hidden="1" x14ac:dyDescent="0.35"/>
    <row r="19740" hidden="1" x14ac:dyDescent="0.35"/>
    <row r="19741" hidden="1" x14ac:dyDescent="0.35"/>
    <row r="19742" hidden="1" x14ac:dyDescent="0.35"/>
    <row r="19743" hidden="1" x14ac:dyDescent="0.35"/>
    <row r="19744" hidden="1" x14ac:dyDescent="0.35"/>
    <row r="19745" hidden="1" x14ac:dyDescent="0.35"/>
    <row r="19746" hidden="1" x14ac:dyDescent="0.35"/>
    <row r="19747" hidden="1" x14ac:dyDescent="0.35"/>
    <row r="19748" hidden="1" x14ac:dyDescent="0.35"/>
    <row r="19749" hidden="1" x14ac:dyDescent="0.35"/>
    <row r="19750" hidden="1" x14ac:dyDescent="0.35"/>
    <row r="19751" hidden="1" x14ac:dyDescent="0.35"/>
    <row r="19752" hidden="1" x14ac:dyDescent="0.35"/>
    <row r="19753" hidden="1" x14ac:dyDescent="0.35"/>
    <row r="19754" hidden="1" x14ac:dyDescent="0.35"/>
    <row r="19755" hidden="1" x14ac:dyDescent="0.35"/>
    <row r="19756" hidden="1" x14ac:dyDescent="0.35"/>
    <row r="19757" hidden="1" x14ac:dyDescent="0.35"/>
    <row r="19758" hidden="1" x14ac:dyDescent="0.35"/>
    <row r="19759" hidden="1" x14ac:dyDescent="0.35"/>
    <row r="19760" hidden="1" x14ac:dyDescent="0.35"/>
    <row r="19761" hidden="1" x14ac:dyDescent="0.35"/>
    <row r="19762" hidden="1" x14ac:dyDescent="0.35"/>
    <row r="19763" hidden="1" x14ac:dyDescent="0.35"/>
    <row r="19764" hidden="1" x14ac:dyDescent="0.35"/>
    <row r="19765" hidden="1" x14ac:dyDescent="0.35"/>
    <row r="19766" hidden="1" x14ac:dyDescent="0.35"/>
    <row r="19767" hidden="1" x14ac:dyDescent="0.35"/>
    <row r="19768" hidden="1" x14ac:dyDescent="0.35"/>
    <row r="19769" hidden="1" x14ac:dyDescent="0.35"/>
    <row r="19770" hidden="1" x14ac:dyDescent="0.35"/>
    <row r="19771" hidden="1" x14ac:dyDescent="0.35"/>
    <row r="19772" hidden="1" x14ac:dyDescent="0.35"/>
    <row r="19773" hidden="1" x14ac:dyDescent="0.35"/>
    <row r="19774" hidden="1" x14ac:dyDescent="0.35"/>
    <row r="19775" hidden="1" x14ac:dyDescent="0.35"/>
    <row r="19776" hidden="1" x14ac:dyDescent="0.35"/>
    <row r="19777" hidden="1" x14ac:dyDescent="0.35"/>
    <row r="19778" hidden="1" x14ac:dyDescent="0.35"/>
    <row r="19779" hidden="1" x14ac:dyDescent="0.35"/>
    <row r="19780" hidden="1" x14ac:dyDescent="0.35"/>
    <row r="19781" hidden="1" x14ac:dyDescent="0.35"/>
    <row r="19782" hidden="1" x14ac:dyDescent="0.35"/>
    <row r="19783" hidden="1" x14ac:dyDescent="0.35"/>
    <row r="19784" hidden="1" x14ac:dyDescent="0.35"/>
    <row r="19785" hidden="1" x14ac:dyDescent="0.35"/>
    <row r="19786" hidden="1" x14ac:dyDescent="0.35"/>
    <row r="19787" hidden="1" x14ac:dyDescent="0.35"/>
    <row r="19788" hidden="1" x14ac:dyDescent="0.35"/>
    <row r="19789" hidden="1" x14ac:dyDescent="0.35"/>
    <row r="19790" hidden="1" x14ac:dyDescent="0.35"/>
    <row r="19791" hidden="1" x14ac:dyDescent="0.35"/>
    <row r="19792" hidden="1" x14ac:dyDescent="0.35"/>
    <row r="19793" hidden="1" x14ac:dyDescent="0.35"/>
    <row r="19794" hidden="1" x14ac:dyDescent="0.35"/>
    <row r="19795" hidden="1" x14ac:dyDescent="0.35"/>
    <row r="19796" hidden="1" x14ac:dyDescent="0.35"/>
    <row r="19797" hidden="1" x14ac:dyDescent="0.35"/>
    <row r="19798" hidden="1" x14ac:dyDescent="0.35"/>
    <row r="19799" hidden="1" x14ac:dyDescent="0.35"/>
    <row r="19800" hidden="1" x14ac:dyDescent="0.35"/>
    <row r="19801" hidden="1" x14ac:dyDescent="0.35"/>
    <row r="19802" hidden="1" x14ac:dyDescent="0.35"/>
    <row r="19803" hidden="1" x14ac:dyDescent="0.35"/>
    <row r="19804" hidden="1" x14ac:dyDescent="0.35"/>
    <row r="19805" hidden="1" x14ac:dyDescent="0.35"/>
    <row r="19806" hidden="1" x14ac:dyDescent="0.35"/>
    <row r="19807" hidden="1" x14ac:dyDescent="0.35"/>
    <row r="19808" hidden="1" x14ac:dyDescent="0.35"/>
    <row r="19809" hidden="1" x14ac:dyDescent="0.35"/>
    <row r="19810" hidden="1" x14ac:dyDescent="0.35"/>
    <row r="19811" hidden="1" x14ac:dyDescent="0.35"/>
    <row r="19812" hidden="1" x14ac:dyDescent="0.35"/>
    <row r="19813" hidden="1" x14ac:dyDescent="0.35"/>
    <row r="19814" hidden="1" x14ac:dyDescent="0.35"/>
    <row r="19815" hidden="1" x14ac:dyDescent="0.35"/>
    <row r="19816" hidden="1" x14ac:dyDescent="0.35"/>
    <row r="19817" hidden="1" x14ac:dyDescent="0.35"/>
    <row r="19818" hidden="1" x14ac:dyDescent="0.35"/>
    <row r="19819" hidden="1" x14ac:dyDescent="0.35"/>
    <row r="19820" hidden="1" x14ac:dyDescent="0.35"/>
    <row r="19821" hidden="1" x14ac:dyDescent="0.35"/>
    <row r="19822" hidden="1" x14ac:dyDescent="0.35"/>
    <row r="19823" hidden="1" x14ac:dyDescent="0.35"/>
    <row r="19824" hidden="1" x14ac:dyDescent="0.35"/>
    <row r="19825" hidden="1" x14ac:dyDescent="0.35"/>
    <row r="19826" hidden="1" x14ac:dyDescent="0.35"/>
    <row r="19827" hidden="1" x14ac:dyDescent="0.35"/>
    <row r="19828" hidden="1" x14ac:dyDescent="0.35"/>
    <row r="19829" hidden="1" x14ac:dyDescent="0.35"/>
    <row r="19830" hidden="1" x14ac:dyDescent="0.35"/>
    <row r="19831" hidden="1" x14ac:dyDescent="0.35"/>
    <row r="19832" hidden="1" x14ac:dyDescent="0.35"/>
    <row r="19833" hidden="1" x14ac:dyDescent="0.35"/>
    <row r="19834" hidden="1" x14ac:dyDescent="0.35"/>
    <row r="19835" hidden="1" x14ac:dyDescent="0.35"/>
    <row r="19836" hidden="1" x14ac:dyDescent="0.35"/>
    <row r="19837" hidden="1" x14ac:dyDescent="0.35"/>
    <row r="19838" hidden="1" x14ac:dyDescent="0.35"/>
    <row r="19839" hidden="1" x14ac:dyDescent="0.35"/>
    <row r="19840" hidden="1" x14ac:dyDescent="0.35"/>
    <row r="19841" hidden="1" x14ac:dyDescent="0.35"/>
    <row r="19842" hidden="1" x14ac:dyDescent="0.35"/>
    <row r="19843" hidden="1" x14ac:dyDescent="0.35"/>
    <row r="19844" hidden="1" x14ac:dyDescent="0.35"/>
    <row r="19845" hidden="1" x14ac:dyDescent="0.35"/>
    <row r="19846" hidden="1" x14ac:dyDescent="0.35"/>
    <row r="19847" hidden="1" x14ac:dyDescent="0.35"/>
    <row r="19848" hidden="1" x14ac:dyDescent="0.35"/>
    <row r="19849" hidden="1" x14ac:dyDescent="0.35"/>
    <row r="19850" hidden="1" x14ac:dyDescent="0.35"/>
    <row r="19851" hidden="1" x14ac:dyDescent="0.35"/>
    <row r="19852" hidden="1" x14ac:dyDescent="0.35"/>
    <row r="19853" hidden="1" x14ac:dyDescent="0.35"/>
    <row r="19854" hidden="1" x14ac:dyDescent="0.35"/>
    <row r="19855" hidden="1" x14ac:dyDescent="0.35"/>
    <row r="19856" hidden="1" x14ac:dyDescent="0.35"/>
    <row r="19857" hidden="1" x14ac:dyDescent="0.35"/>
    <row r="19858" hidden="1" x14ac:dyDescent="0.35"/>
    <row r="19859" hidden="1" x14ac:dyDescent="0.35"/>
    <row r="19860" hidden="1" x14ac:dyDescent="0.35"/>
    <row r="19861" hidden="1" x14ac:dyDescent="0.35"/>
    <row r="19862" hidden="1" x14ac:dyDescent="0.35"/>
    <row r="19863" hidden="1" x14ac:dyDescent="0.35"/>
    <row r="19864" hidden="1" x14ac:dyDescent="0.35"/>
    <row r="19865" hidden="1" x14ac:dyDescent="0.35"/>
    <row r="19866" hidden="1" x14ac:dyDescent="0.35"/>
    <row r="19867" hidden="1" x14ac:dyDescent="0.35"/>
    <row r="19868" hidden="1" x14ac:dyDescent="0.35"/>
    <row r="19869" hidden="1" x14ac:dyDescent="0.35"/>
    <row r="19870" hidden="1" x14ac:dyDescent="0.35"/>
    <row r="19871" hidden="1" x14ac:dyDescent="0.35"/>
    <row r="19872" hidden="1" x14ac:dyDescent="0.35"/>
    <row r="19873" hidden="1" x14ac:dyDescent="0.35"/>
    <row r="19874" hidden="1" x14ac:dyDescent="0.35"/>
    <row r="19875" hidden="1" x14ac:dyDescent="0.35"/>
    <row r="19876" hidden="1" x14ac:dyDescent="0.35"/>
    <row r="19877" hidden="1" x14ac:dyDescent="0.35"/>
    <row r="19878" hidden="1" x14ac:dyDescent="0.35"/>
    <row r="19879" hidden="1" x14ac:dyDescent="0.35"/>
    <row r="19880" hidden="1" x14ac:dyDescent="0.35"/>
    <row r="19881" hidden="1" x14ac:dyDescent="0.35"/>
    <row r="19882" hidden="1" x14ac:dyDescent="0.35"/>
    <row r="19883" hidden="1" x14ac:dyDescent="0.35"/>
    <row r="19884" hidden="1" x14ac:dyDescent="0.35"/>
    <row r="19885" hidden="1" x14ac:dyDescent="0.35"/>
    <row r="19886" hidden="1" x14ac:dyDescent="0.35"/>
    <row r="19887" hidden="1" x14ac:dyDescent="0.35"/>
    <row r="19888" hidden="1" x14ac:dyDescent="0.35"/>
    <row r="19889" hidden="1" x14ac:dyDescent="0.35"/>
    <row r="19890" hidden="1" x14ac:dyDescent="0.35"/>
    <row r="19891" hidden="1" x14ac:dyDescent="0.35"/>
    <row r="19892" hidden="1" x14ac:dyDescent="0.35"/>
    <row r="19893" hidden="1" x14ac:dyDescent="0.35"/>
    <row r="19894" hidden="1" x14ac:dyDescent="0.35"/>
    <row r="19895" hidden="1" x14ac:dyDescent="0.35"/>
    <row r="19896" hidden="1" x14ac:dyDescent="0.35"/>
    <row r="19897" hidden="1" x14ac:dyDescent="0.35"/>
    <row r="19898" hidden="1" x14ac:dyDescent="0.35"/>
    <row r="19899" hidden="1" x14ac:dyDescent="0.35"/>
    <row r="19900" hidden="1" x14ac:dyDescent="0.35"/>
    <row r="19901" hidden="1" x14ac:dyDescent="0.35"/>
    <row r="19902" hidden="1" x14ac:dyDescent="0.35"/>
    <row r="19903" hidden="1" x14ac:dyDescent="0.35"/>
    <row r="19904" hidden="1" x14ac:dyDescent="0.35"/>
    <row r="19905" hidden="1" x14ac:dyDescent="0.35"/>
    <row r="19906" hidden="1" x14ac:dyDescent="0.35"/>
    <row r="19907" hidden="1" x14ac:dyDescent="0.35"/>
    <row r="19908" hidden="1" x14ac:dyDescent="0.35"/>
    <row r="19909" hidden="1" x14ac:dyDescent="0.35"/>
    <row r="19910" hidden="1" x14ac:dyDescent="0.35"/>
    <row r="19911" hidden="1" x14ac:dyDescent="0.35"/>
    <row r="19912" hidden="1" x14ac:dyDescent="0.35"/>
    <row r="19913" hidden="1" x14ac:dyDescent="0.35"/>
    <row r="19914" hidden="1" x14ac:dyDescent="0.35"/>
    <row r="19915" hidden="1" x14ac:dyDescent="0.35"/>
    <row r="19916" hidden="1" x14ac:dyDescent="0.35"/>
    <row r="19917" hidden="1" x14ac:dyDescent="0.35"/>
    <row r="19918" hidden="1" x14ac:dyDescent="0.35"/>
    <row r="19919" hidden="1" x14ac:dyDescent="0.35"/>
    <row r="19920" hidden="1" x14ac:dyDescent="0.35"/>
    <row r="19921" hidden="1" x14ac:dyDescent="0.35"/>
    <row r="19922" hidden="1" x14ac:dyDescent="0.35"/>
    <row r="19923" hidden="1" x14ac:dyDescent="0.35"/>
    <row r="19924" hidden="1" x14ac:dyDescent="0.35"/>
    <row r="19925" hidden="1" x14ac:dyDescent="0.35"/>
    <row r="19926" hidden="1" x14ac:dyDescent="0.35"/>
    <row r="19927" hidden="1" x14ac:dyDescent="0.35"/>
    <row r="19928" hidden="1" x14ac:dyDescent="0.35"/>
    <row r="19929" hidden="1" x14ac:dyDescent="0.35"/>
    <row r="19930" hidden="1" x14ac:dyDescent="0.35"/>
    <row r="19931" hidden="1" x14ac:dyDescent="0.35"/>
    <row r="19932" hidden="1" x14ac:dyDescent="0.35"/>
    <row r="19933" hidden="1" x14ac:dyDescent="0.35"/>
    <row r="19934" hidden="1" x14ac:dyDescent="0.35"/>
    <row r="19935" hidden="1" x14ac:dyDescent="0.35"/>
    <row r="19936" hidden="1" x14ac:dyDescent="0.35"/>
    <row r="19937" hidden="1" x14ac:dyDescent="0.35"/>
    <row r="19938" hidden="1" x14ac:dyDescent="0.35"/>
    <row r="19939" hidden="1" x14ac:dyDescent="0.35"/>
    <row r="19940" hidden="1" x14ac:dyDescent="0.35"/>
    <row r="19941" hidden="1" x14ac:dyDescent="0.35"/>
    <row r="19942" hidden="1" x14ac:dyDescent="0.35"/>
    <row r="19943" hidden="1" x14ac:dyDescent="0.35"/>
    <row r="19944" hidden="1" x14ac:dyDescent="0.35"/>
    <row r="19945" hidden="1" x14ac:dyDescent="0.35"/>
    <row r="19946" hidden="1" x14ac:dyDescent="0.35"/>
    <row r="19947" hidden="1" x14ac:dyDescent="0.35"/>
    <row r="19948" hidden="1" x14ac:dyDescent="0.35"/>
    <row r="19949" hidden="1" x14ac:dyDescent="0.35"/>
    <row r="19950" hidden="1" x14ac:dyDescent="0.35"/>
    <row r="19951" hidden="1" x14ac:dyDescent="0.35"/>
    <row r="19952" hidden="1" x14ac:dyDescent="0.35"/>
    <row r="19953" hidden="1" x14ac:dyDescent="0.35"/>
    <row r="19954" hidden="1" x14ac:dyDescent="0.35"/>
    <row r="19955" hidden="1" x14ac:dyDescent="0.35"/>
    <row r="19956" hidden="1" x14ac:dyDescent="0.35"/>
    <row r="19957" hidden="1" x14ac:dyDescent="0.35"/>
    <row r="19958" hidden="1" x14ac:dyDescent="0.35"/>
    <row r="19959" hidden="1" x14ac:dyDescent="0.35"/>
    <row r="19960" hidden="1" x14ac:dyDescent="0.35"/>
    <row r="19961" hidden="1" x14ac:dyDescent="0.35"/>
    <row r="19962" hidden="1" x14ac:dyDescent="0.35"/>
    <row r="19963" hidden="1" x14ac:dyDescent="0.35"/>
    <row r="19964" hidden="1" x14ac:dyDescent="0.35"/>
    <row r="19965" hidden="1" x14ac:dyDescent="0.35"/>
    <row r="19966" hidden="1" x14ac:dyDescent="0.35"/>
    <row r="19967" hidden="1" x14ac:dyDescent="0.35"/>
    <row r="19968" hidden="1" x14ac:dyDescent="0.35"/>
    <row r="19969" hidden="1" x14ac:dyDescent="0.35"/>
    <row r="19970" hidden="1" x14ac:dyDescent="0.35"/>
    <row r="19971" hidden="1" x14ac:dyDescent="0.35"/>
    <row r="19972" hidden="1" x14ac:dyDescent="0.35"/>
    <row r="19973" hidden="1" x14ac:dyDescent="0.35"/>
    <row r="19974" hidden="1" x14ac:dyDescent="0.35"/>
    <row r="19975" hidden="1" x14ac:dyDescent="0.35"/>
    <row r="19976" hidden="1" x14ac:dyDescent="0.35"/>
    <row r="19977" hidden="1" x14ac:dyDescent="0.35"/>
    <row r="19978" hidden="1" x14ac:dyDescent="0.35"/>
    <row r="19979" hidden="1" x14ac:dyDescent="0.35"/>
    <row r="19980" hidden="1" x14ac:dyDescent="0.35"/>
    <row r="19981" hidden="1" x14ac:dyDescent="0.35"/>
    <row r="19982" hidden="1" x14ac:dyDescent="0.35"/>
    <row r="19983" hidden="1" x14ac:dyDescent="0.35"/>
    <row r="19984" hidden="1" x14ac:dyDescent="0.35"/>
    <row r="19985" hidden="1" x14ac:dyDescent="0.35"/>
    <row r="19986" hidden="1" x14ac:dyDescent="0.35"/>
    <row r="19987" hidden="1" x14ac:dyDescent="0.35"/>
    <row r="19988" hidden="1" x14ac:dyDescent="0.35"/>
    <row r="19989" hidden="1" x14ac:dyDescent="0.35"/>
    <row r="19990" hidden="1" x14ac:dyDescent="0.35"/>
    <row r="19991" hidden="1" x14ac:dyDescent="0.35"/>
    <row r="19992" hidden="1" x14ac:dyDescent="0.35"/>
    <row r="19993" hidden="1" x14ac:dyDescent="0.35"/>
    <row r="19994" hidden="1" x14ac:dyDescent="0.35"/>
    <row r="19995" hidden="1" x14ac:dyDescent="0.35"/>
    <row r="19996" hidden="1" x14ac:dyDescent="0.35"/>
    <row r="19997" hidden="1" x14ac:dyDescent="0.35"/>
    <row r="19998" hidden="1" x14ac:dyDescent="0.35"/>
    <row r="19999" hidden="1" x14ac:dyDescent="0.35"/>
    <row r="20000" hidden="1" x14ac:dyDescent="0.35"/>
    <row r="20001" hidden="1" x14ac:dyDescent="0.35"/>
    <row r="20002" hidden="1" x14ac:dyDescent="0.35"/>
    <row r="20003" hidden="1" x14ac:dyDescent="0.35"/>
    <row r="20004" hidden="1" x14ac:dyDescent="0.35"/>
    <row r="20005" hidden="1" x14ac:dyDescent="0.35"/>
    <row r="20006" hidden="1" x14ac:dyDescent="0.35"/>
    <row r="20007" hidden="1" x14ac:dyDescent="0.35"/>
    <row r="20008" hidden="1" x14ac:dyDescent="0.35"/>
    <row r="20009" hidden="1" x14ac:dyDescent="0.35"/>
    <row r="20010" hidden="1" x14ac:dyDescent="0.35"/>
    <row r="20011" hidden="1" x14ac:dyDescent="0.35"/>
    <row r="20012" hidden="1" x14ac:dyDescent="0.35"/>
    <row r="20013" hidden="1" x14ac:dyDescent="0.35"/>
    <row r="20014" hidden="1" x14ac:dyDescent="0.35"/>
    <row r="20015" hidden="1" x14ac:dyDescent="0.35"/>
    <row r="20016" hidden="1" x14ac:dyDescent="0.35"/>
    <row r="20017" hidden="1" x14ac:dyDescent="0.35"/>
    <row r="20018" hidden="1" x14ac:dyDescent="0.35"/>
    <row r="20019" hidden="1" x14ac:dyDescent="0.35"/>
    <row r="20020" hidden="1" x14ac:dyDescent="0.35"/>
    <row r="20021" hidden="1" x14ac:dyDescent="0.35"/>
    <row r="20022" hidden="1" x14ac:dyDescent="0.35"/>
    <row r="20023" hidden="1" x14ac:dyDescent="0.35"/>
    <row r="20024" hidden="1" x14ac:dyDescent="0.35"/>
    <row r="20025" hidden="1" x14ac:dyDescent="0.35"/>
    <row r="20026" hidden="1" x14ac:dyDescent="0.35"/>
    <row r="20027" hidden="1" x14ac:dyDescent="0.35"/>
    <row r="20028" hidden="1" x14ac:dyDescent="0.35"/>
    <row r="20029" hidden="1" x14ac:dyDescent="0.35"/>
    <row r="20030" hidden="1" x14ac:dyDescent="0.35"/>
    <row r="20031" hidden="1" x14ac:dyDescent="0.35"/>
    <row r="20032" hidden="1" x14ac:dyDescent="0.35"/>
    <row r="20033" hidden="1" x14ac:dyDescent="0.35"/>
    <row r="20034" hidden="1" x14ac:dyDescent="0.35"/>
    <row r="20035" hidden="1" x14ac:dyDescent="0.35"/>
    <row r="20036" hidden="1" x14ac:dyDescent="0.35"/>
    <row r="20037" hidden="1" x14ac:dyDescent="0.35"/>
    <row r="20038" hidden="1" x14ac:dyDescent="0.35"/>
    <row r="20039" hidden="1" x14ac:dyDescent="0.35"/>
    <row r="20040" hidden="1" x14ac:dyDescent="0.35"/>
    <row r="20041" hidden="1" x14ac:dyDescent="0.35"/>
    <row r="20042" hidden="1" x14ac:dyDescent="0.35"/>
    <row r="20043" hidden="1" x14ac:dyDescent="0.35"/>
    <row r="20044" hidden="1" x14ac:dyDescent="0.35"/>
    <row r="20045" hidden="1" x14ac:dyDescent="0.35"/>
    <row r="20046" hidden="1" x14ac:dyDescent="0.35"/>
    <row r="20047" hidden="1" x14ac:dyDescent="0.35"/>
    <row r="20048" hidden="1" x14ac:dyDescent="0.35"/>
    <row r="20049" hidden="1" x14ac:dyDescent="0.35"/>
    <row r="20050" hidden="1" x14ac:dyDescent="0.35"/>
    <row r="20051" hidden="1" x14ac:dyDescent="0.35"/>
    <row r="20052" hidden="1" x14ac:dyDescent="0.35"/>
    <row r="20053" hidden="1" x14ac:dyDescent="0.35"/>
    <row r="20054" hidden="1" x14ac:dyDescent="0.35"/>
    <row r="20055" hidden="1" x14ac:dyDescent="0.35"/>
    <row r="20056" hidden="1" x14ac:dyDescent="0.35"/>
    <row r="20057" hidden="1" x14ac:dyDescent="0.35"/>
    <row r="20058" hidden="1" x14ac:dyDescent="0.35"/>
    <row r="20059" hidden="1" x14ac:dyDescent="0.35"/>
    <row r="20060" hidden="1" x14ac:dyDescent="0.35"/>
    <row r="20061" hidden="1" x14ac:dyDescent="0.35"/>
    <row r="20062" hidden="1" x14ac:dyDescent="0.35"/>
    <row r="20063" hidden="1" x14ac:dyDescent="0.35"/>
    <row r="20064" hidden="1" x14ac:dyDescent="0.35"/>
    <row r="20065" hidden="1" x14ac:dyDescent="0.35"/>
    <row r="20066" hidden="1" x14ac:dyDescent="0.35"/>
    <row r="20067" hidden="1" x14ac:dyDescent="0.35"/>
    <row r="20068" hidden="1" x14ac:dyDescent="0.35"/>
    <row r="20069" hidden="1" x14ac:dyDescent="0.35"/>
    <row r="20070" hidden="1" x14ac:dyDescent="0.35"/>
    <row r="20071" hidden="1" x14ac:dyDescent="0.35"/>
    <row r="20072" hidden="1" x14ac:dyDescent="0.35"/>
    <row r="20073" hidden="1" x14ac:dyDescent="0.35"/>
    <row r="20074" hidden="1" x14ac:dyDescent="0.35"/>
    <row r="20075" hidden="1" x14ac:dyDescent="0.35"/>
    <row r="20076" hidden="1" x14ac:dyDescent="0.35"/>
    <row r="20077" hidden="1" x14ac:dyDescent="0.35"/>
    <row r="20078" hidden="1" x14ac:dyDescent="0.35"/>
    <row r="20079" hidden="1" x14ac:dyDescent="0.35"/>
    <row r="20080" hidden="1" x14ac:dyDescent="0.35"/>
    <row r="20081" hidden="1" x14ac:dyDescent="0.35"/>
    <row r="20082" hidden="1" x14ac:dyDescent="0.35"/>
    <row r="20083" hidden="1" x14ac:dyDescent="0.35"/>
    <row r="20084" hidden="1" x14ac:dyDescent="0.35"/>
    <row r="20085" hidden="1" x14ac:dyDescent="0.35"/>
    <row r="20086" hidden="1" x14ac:dyDescent="0.35"/>
    <row r="20087" hidden="1" x14ac:dyDescent="0.35"/>
    <row r="20088" hidden="1" x14ac:dyDescent="0.35"/>
    <row r="20089" hidden="1" x14ac:dyDescent="0.35"/>
    <row r="20090" hidden="1" x14ac:dyDescent="0.35"/>
    <row r="20091" hidden="1" x14ac:dyDescent="0.35"/>
    <row r="20092" hidden="1" x14ac:dyDescent="0.35"/>
    <row r="20093" hidden="1" x14ac:dyDescent="0.35"/>
    <row r="20094" hidden="1" x14ac:dyDescent="0.35"/>
    <row r="20095" hidden="1" x14ac:dyDescent="0.35"/>
    <row r="20096" hidden="1" x14ac:dyDescent="0.35"/>
    <row r="20097" hidden="1" x14ac:dyDescent="0.35"/>
    <row r="20098" hidden="1" x14ac:dyDescent="0.35"/>
    <row r="20099" hidden="1" x14ac:dyDescent="0.35"/>
    <row r="20100" hidden="1" x14ac:dyDescent="0.35"/>
    <row r="20101" hidden="1" x14ac:dyDescent="0.35"/>
    <row r="20102" hidden="1" x14ac:dyDescent="0.35"/>
    <row r="20103" hidden="1" x14ac:dyDescent="0.35"/>
    <row r="20104" hidden="1" x14ac:dyDescent="0.35"/>
    <row r="20105" hidden="1" x14ac:dyDescent="0.35"/>
    <row r="20106" hidden="1" x14ac:dyDescent="0.35"/>
    <row r="20107" hidden="1" x14ac:dyDescent="0.35"/>
    <row r="20108" hidden="1" x14ac:dyDescent="0.35"/>
    <row r="20109" hidden="1" x14ac:dyDescent="0.35"/>
    <row r="20110" hidden="1" x14ac:dyDescent="0.35"/>
    <row r="20111" hidden="1" x14ac:dyDescent="0.35"/>
    <row r="20112" hidden="1" x14ac:dyDescent="0.35"/>
    <row r="20113" hidden="1" x14ac:dyDescent="0.35"/>
    <row r="20114" hidden="1" x14ac:dyDescent="0.35"/>
    <row r="20115" hidden="1" x14ac:dyDescent="0.35"/>
    <row r="20116" hidden="1" x14ac:dyDescent="0.35"/>
    <row r="20117" hidden="1" x14ac:dyDescent="0.35"/>
    <row r="20118" hidden="1" x14ac:dyDescent="0.35"/>
    <row r="20119" hidden="1" x14ac:dyDescent="0.35"/>
    <row r="20120" hidden="1" x14ac:dyDescent="0.35"/>
    <row r="20121" hidden="1" x14ac:dyDescent="0.35"/>
    <row r="20122" hidden="1" x14ac:dyDescent="0.35"/>
    <row r="20123" hidden="1" x14ac:dyDescent="0.35"/>
    <row r="20124" hidden="1" x14ac:dyDescent="0.35"/>
    <row r="20125" hidden="1" x14ac:dyDescent="0.35"/>
    <row r="20126" hidden="1" x14ac:dyDescent="0.35"/>
    <row r="20127" hidden="1" x14ac:dyDescent="0.35"/>
    <row r="20128" hidden="1" x14ac:dyDescent="0.35"/>
    <row r="20129" hidden="1" x14ac:dyDescent="0.35"/>
    <row r="20130" hidden="1" x14ac:dyDescent="0.35"/>
    <row r="20131" hidden="1" x14ac:dyDescent="0.35"/>
    <row r="20132" hidden="1" x14ac:dyDescent="0.35"/>
    <row r="20133" hidden="1" x14ac:dyDescent="0.35"/>
    <row r="20134" hidden="1" x14ac:dyDescent="0.35"/>
    <row r="20135" hidden="1" x14ac:dyDescent="0.35"/>
    <row r="20136" hidden="1" x14ac:dyDescent="0.35"/>
    <row r="20137" hidden="1" x14ac:dyDescent="0.35"/>
    <row r="20138" hidden="1" x14ac:dyDescent="0.35"/>
    <row r="20139" hidden="1" x14ac:dyDescent="0.35"/>
    <row r="20140" hidden="1" x14ac:dyDescent="0.35"/>
    <row r="20141" hidden="1" x14ac:dyDescent="0.35"/>
    <row r="20142" hidden="1" x14ac:dyDescent="0.35"/>
    <row r="20143" hidden="1" x14ac:dyDescent="0.35"/>
    <row r="20144" hidden="1" x14ac:dyDescent="0.35"/>
    <row r="20145" hidden="1" x14ac:dyDescent="0.35"/>
    <row r="20146" hidden="1" x14ac:dyDescent="0.35"/>
    <row r="20147" hidden="1" x14ac:dyDescent="0.35"/>
    <row r="20148" hidden="1" x14ac:dyDescent="0.35"/>
    <row r="20149" hidden="1" x14ac:dyDescent="0.35"/>
    <row r="20150" hidden="1" x14ac:dyDescent="0.35"/>
    <row r="20151" hidden="1" x14ac:dyDescent="0.35"/>
    <row r="20152" hidden="1" x14ac:dyDescent="0.35"/>
    <row r="20153" hidden="1" x14ac:dyDescent="0.35"/>
    <row r="20154" hidden="1" x14ac:dyDescent="0.35"/>
    <row r="20155" hidden="1" x14ac:dyDescent="0.35"/>
    <row r="20156" hidden="1" x14ac:dyDescent="0.35"/>
    <row r="20157" hidden="1" x14ac:dyDescent="0.35"/>
    <row r="20158" hidden="1" x14ac:dyDescent="0.35"/>
    <row r="20159" hidden="1" x14ac:dyDescent="0.35"/>
    <row r="20160" hidden="1" x14ac:dyDescent="0.35"/>
    <row r="20161" hidden="1" x14ac:dyDescent="0.35"/>
    <row r="20162" hidden="1" x14ac:dyDescent="0.35"/>
    <row r="20163" hidden="1" x14ac:dyDescent="0.35"/>
    <row r="20164" hidden="1" x14ac:dyDescent="0.35"/>
    <row r="20165" hidden="1" x14ac:dyDescent="0.35"/>
    <row r="20166" hidden="1" x14ac:dyDescent="0.35"/>
    <row r="20167" hidden="1" x14ac:dyDescent="0.35"/>
    <row r="20168" hidden="1" x14ac:dyDescent="0.35"/>
    <row r="20169" hidden="1" x14ac:dyDescent="0.35"/>
    <row r="20170" hidden="1" x14ac:dyDescent="0.35"/>
    <row r="20171" hidden="1" x14ac:dyDescent="0.35"/>
    <row r="20172" hidden="1" x14ac:dyDescent="0.35"/>
    <row r="20173" hidden="1" x14ac:dyDescent="0.35"/>
    <row r="20174" hidden="1" x14ac:dyDescent="0.35"/>
    <row r="20175" hidden="1" x14ac:dyDescent="0.35"/>
    <row r="20176" hidden="1" x14ac:dyDescent="0.35"/>
    <row r="20177" hidden="1" x14ac:dyDescent="0.35"/>
    <row r="20178" hidden="1" x14ac:dyDescent="0.35"/>
    <row r="20179" hidden="1" x14ac:dyDescent="0.35"/>
    <row r="20180" hidden="1" x14ac:dyDescent="0.35"/>
    <row r="20181" hidden="1" x14ac:dyDescent="0.35"/>
    <row r="20182" hidden="1" x14ac:dyDescent="0.35"/>
    <row r="20183" hidden="1" x14ac:dyDescent="0.35"/>
    <row r="20184" hidden="1" x14ac:dyDescent="0.35"/>
    <row r="20185" hidden="1" x14ac:dyDescent="0.35"/>
    <row r="20186" hidden="1" x14ac:dyDescent="0.35"/>
    <row r="20187" hidden="1" x14ac:dyDescent="0.35"/>
    <row r="20188" hidden="1" x14ac:dyDescent="0.35"/>
    <row r="20189" hidden="1" x14ac:dyDescent="0.35"/>
    <row r="20190" hidden="1" x14ac:dyDescent="0.35"/>
    <row r="20191" hidden="1" x14ac:dyDescent="0.35"/>
    <row r="20192" hidden="1" x14ac:dyDescent="0.35"/>
    <row r="20193" hidden="1" x14ac:dyDescent="0.35"/>
    <row r="20194" hidden="1" x14ac:dyDescent="0.35"/>
    <row r="20195" hidden="1" x14ac:dyDescent="0.35"/>
    <row r="20196" hidden="1" x14ac:dyDescent="0.35"/>
    <row r="20197" hidden="1" x14ac:dyDescent="0.35"/>
    <row r="20198" hidden="1" x14ac:dyDescent="0.35"/>
    <row r="20199" hidden="1" x14ac:dyDescent="0.35"/>
    <row r="20200" hidden="1" x14ac:dyDescent="0.35"/>
    <row r="20201" hidden="1" x14ac:dyDescent="0.35"/>
    <row r="20202" hidden="1" x14ac:dyDescent="0.35"/>
    <row r="20203" hidden="1" x14ac:dyDescent="0.35"/>
    <row r="20204" hidden="1" x14ac:dyDescent="0.35"/>
    <row r="20205" hidden="1" x14ac:dyDescent="0.35"/>
    <row r="20206" hidden="1" x14ac:dyDescent="0.35"/>
    <row r="20207" hidden="1" x14ac:dyDescent="0.35"/>
    <row r="20208" hidden="1" x14ac:dyDescent="0.35"/>
    <row r="20209" hidden="1" x14ac:dyDescent="0.35"/>
    <row r="20210" hidden="1" x14ac:dyDescent="0.35"/>
    <row r="20211" hidden="1" x14ac:dyDescent="0.35"/>
    <row r="20212" hidden="1" x14ac:dyDescent="0.35"/>
    <row r="20213" hidden="1" x14ac:dyDescent="0.35"/>
    <row r="20214" hidden="1" x14ac:dyDescent="0.35"/>
    <row r="20215" hidden="1" x14ac:dyDescent="0.35"/>
    <row r="20216" hidden="1" x14ac:dyDescent="0.35"/>
    <row r="20217" hidden="1" x14ac:dyDescent="0.35"/>
    <row r="20218" hidden="1" x14ac:dyDescent="0.35"/>
    <row r="20219" hidden="1" x14ac:dyDescent="0.35"/>
    <row r="20220" hidden="1" x14ac:dyDescent="0.35"/>
    <row r="20221" hidden="1" x14ac:dyDescent="0.35"/>
    <row r="20222" hidden="1" x14ac:dyDescent="0.35"/>
    <row r="20223" hidden="1" x14ac:dyDescent="0.35"/>
    <row r="20224" hidden="1" x14ac:dyDescent="0.35"/>
    <row r="20225" hidden="1" x14ac:dyDescent="0.35"/>
    <row r="20226" hidden="1" x14ac:dyDescent="0.35"/>
    <row r="20227" hidden="1" x14ac:dyDescent="0.35"/>
    <row r="20228" hidden="1" x14ac:dyDescent="0.35"/>
    <row r="20229" hidden="1" x14ac:dyDescent="0.35"/>
    <row r="20230" hidden="1" x14ac:dyDescent="0.35"/>
    <row r="20231" hidden="1" x14ac:dyDescent="0.35"/>
    <row r="20232" hidden="1" x14ac:dyDescent="0.35"/>
    <row r="20233" hidden="1" x14ac:dyDescent="0.35"/>
    <row r="20234" hidden="1" x14ac:dyDescent="0.35"/>
    <row r="20235" hidden="1" x14ac:dyDescent="0.35"/>
    <row r="20236" hidden="1" x14ac:dyDescent="0.35"/>
    <row r="20237" hidden="1" x14ac:dyDescent="0.35"/>
    <row r="20238" hidden="1" x14ac:dyDescent="0.35"/>
    <row r="20239" hidden="1" x14ac:dyDescent="0.35"/>
    <row r="20240" hidden="1" x14ac:dyDescent="0.35"/>
    <row r="20241" hidden="1" x14ac:dyDescent="0.35"/>
    <row r="20242" hidden="1" x14ac:dyDescent="0.35"/>
    <row r="20243" hidden="1" x14ac:dyDescent="0.35"/>
    <row r="20244" hidden="1" x14ac:dyDescent="0.35"/>
    <row r="20245" hidden="1" x14ac:dyDescent="0.35"/>
    <row r="20246" hidden="1" x14ac:dyDescent="0.35"/>
    <row r="20247" hidden="1" x14ac:dyDescent="0.35"/>
    <row r="20248" hidden="1" x14ac:dyDescent="0.35"/>
    <row r="20249" hidden="1" x14ac:dyDescent="0.35"/>
    <row r="20250" hidden="1" x14ac:dyDescent="0.35"/>
    <row r="20251" hidden="1" x14ac:dyDescent="0.35"/>
    <row r="20252" hidden="1" x14ac:dyDescent="0.35"/>
    <row r="20253" hidden="1" x14ac:dyDescent="0.35"/>
    <row r="20254" hidden="1" x14ac:dyDescent="0.35"/>
    <row r="20255" hidden="1" x14ac:dyDescent="0.35"/>
    <row r="20256" hidden="1" x14ac:dyDescent="0.35"/>
    <row r="20257" hidden="1" x14ac:dyDescent="0.35"/>
    <row r="20258" hidden="1" x14ac:dyDescent="0.35"/>
    <row r="20259" hidden="1" x14ac:dyDescent="0.35"/>
    <row r="20260" hidden="1" x14ac:dyDescent="0.35"/>
    <row r="20261" hidden="1" x14ac:dyDescent="0.35"/>
    <row r="20262" hidden="1" x14ac:dyDescent="0.35"/>
    <row r="20263" hidden="1" x14ac:dyDescent="0.35"/>
    <row r="20264" hidden="1" x14ac:dyDescent="0.35"/>
    <row r="20265" hidden="1" x14ac:dyDescent="0.35"/>
    <row r="20266" hidden="1" x14ac:dyDescent="0.35"/>
    <row r="20267" hidden="1" x14ac:dyDescent="0.35"/>
    <row r="20268" hidden="1" x14ac:dyDescent="0.35"/>
    <row r="20269" hidden="1" x14ac:dyDescent="0.35"/>
    <row r="20270" hidden="1" x14ac:dyDescent="0.35"/>
    <row r="20271" hidden="1" x14ac:dyDescent="0.35"/>
    <row r="20272" hidden="1" x14ac:dyDescent="0.35"/>
    <row r="20273" hidden="1" x14ac:dyDescent="0.35"/>
    <row r="20274" hidden="1" x14ac:dyDescent="0.35"/>
    <row r="20275" hidden="1" x14ac:dyDescent="0.35"/>
    <row r="20276" hidden="1" x14ac:dyDescent="0.35"/>
    <row r="20277" hidden="1" x14ac:dyDescent="0.35"/>
    <row r="20278" hidden="1" x14ac:dyDescent="0.35"/>
    <row r="20279" hidden="1" x14ac:dyDescent="0.35"/>
    <row r="20280" hidden="1" x14ac:dyDescent="0.35"/>
    <row r="20281" hidden="1" x14ac:dyDescent="0.35"/>
    <row r="20282" hidden="1" x14ac:dyDescent="0.35"/>
    <row r="20283" hidden="1" x14ac:dyDescent="0.35"/>
    <row r="20284" hidden="1" x14ac:dyDescent="0.35"/>
    <row r="20285" hidden="1" x14ac:dyDescent="0.35"/>
    <row r="20286" hidden="1" x14ac:dyDescent="0.35"/>
    <row r="20287" hidden="1" x14ac:dyDescent="0.35"/>
    <row r="20288" hidden="1" x14ac:dyDescent="0.35"/>
    <row r="20289" hidden="1" x14ac:dyDescent="0.35"/>
    <row r="20290" hidden="1" x14ac:dyDescent="0.35"/>
    <row r="20291" hidden="1" x14ac:dyDescent="0.35"/>
    <row r="20292" hidden="1" x14ac:dyDescent="0.35"/>
    <row r="20293" hidden="1" x14ac:dyDescent="0.35"/>
    <row r="20294" hidden="1" x14ac:dyDescent="0.35"/>
    <row r="20295" hidden="1" x14ac:dyDescent="0.35"/>
    <row r="20296" hidden="1" x14ac:dyDescent="0.35"/>
    <row r="20297" hidden="1" x14ac:dyDescent="0.35"/>
    <row r="20298" hidden="1" x14ac:dyDescent="0.35"/>
    <row r="20299" hidden="1" x14ac:dyDescent="0.35"/>
    <row r="20300" hidden="1" x14ac:dyDescent="0.35"/>
    <row r="20301" hidden="1" x14ac:dyDescent="0.35"/>
    <row r="20302" hidden="1" x14ac:dyDescent="0.35"/>
    <row r="20303" hidden="1" x14ac:dyDescent="0.35"/>
    <row r="20304" hidden="1" x14ac:dyDescent="0.35"/>
    <row r="20305" hidden="1" x14ac:dyDescent="0.35"/>
    <row r="20306" hidden="1" x14ac:dyDescent="0.35"/>
    <row r="20307" hidden="1" x14ac:dyDescent="0.35"/>
    <row r="20308" hidden="1" x14ac:dyDescent="0.35"/>
    <row r="20309" hidden="1" x14ac:dyDescent="0.35"/>
    <row r="20310" hidden="1" x14ac:dyDescent="0.35"/>
    <row r="20311" hidden="1" x14ac:dyDescent="0.35"/>
    <row r="20312" hidden="1" x14ac:dyDescent="0.35"/>
    <row r="20313" hidden="1" x14ac:dyDescent="0.35"/>
    <row r="20314" hidden="1" x14ac:dyDescent="0.35"/>
    <row r="20315" hidden="1" x14ac:dyDescent="0.35"/>
    <row r="20316" hidden="1" x14ac:dyDescent="0.35"/>
    <row r="20317" hidden="1" x14ac:dyDescent="0.35"/>
    <row r="20318" hidden="1" x14ac:dyDescent="0.35"/>
    <row r="20319" hidden="1" x14ac:dyDescent="0.35"/>
    <row r="20320" hidden="1" x14ac:dyDescent="0.35"/>
    <row r="20321" hidden="1" x14ac:dyDescent="0.35"/>
    <row r="20322" hidden="1" x14ac:dyDescent="0.35"/>
    <row r="20323" hidden="1" x14ac:dyDescent="0.35"/>
    <row r="20324" hidden="1" x14ac:dyDescent="0.35"/>
    <row r="20325" hidden="1" x14ac:dyDescent="0.35"/>
    <row r="20326" hidden="1" x14ac:dyDescent="0.35"/>
    <row r="20327" hidden="1" x14ac:dyDescent="0.35"/>
    <row r="20328" hidden="1" x14ac:dyDescent="0.35"/>
    <row r="20329" hidden="1" x14ac:dyDescent="0.35"/>
    <row r="20330" hidden="1" x14ac:dyDescent="0.35"/>
    <row r="20331" hidden="1" x14ac:dyDescent="0.35"/>
    <row r="20332" hidden="1" x14ac:dyDescent="0.35"/>
    <row r="20333" hidden="1" x14ac:dyDescent="0.35"/>
    <row r="20334" hidden="1" x14ac:dyDescent="0.35"/>
    <row r="20335" hidden="1" x14ac:dyDescent="0.35"/>
    <row r="20336" hidden="1" x14ac:dyDescent="0.35"/>
    <row r="20337" hidden="1" x14ac:dyDescent="0.35"/>
    <row r="20338" hidden="1" x14ac:dyDescent="0.35"/>
    <row r="20339" hidden="1" x14ac:dyDescent="0.35"/>
    <row r="20340" hidden="1" x14ac:dyDescent="0.35"/>
    <row r="20341" hidden="1" x14ac:dyDescent="0.35"/>
    <row r="20342" hidden="1" x14ac:dyDescent="0.35"/>
    <row r="20343" hidden="1" x14ac:dyDescent="0.35"/>
    <row r="20344" hidden="1" x14ac:dyDescent="0.35"/>
    <row r="20345" hidden="1" x14ac:dyDescent="0.35"/>
    <row r="20346" hidden="1" x14ac:dyDescent="0.35"/>
    <row r="20347" hidden="1" x14ac:dyDescent="0.35"/>
    <row r="20348" hidden="1" x14ac:dyDescent="0.35"/>
    <row r="20349" hidden="1" x14ac:dyDescent="0.35"/>
    <row r="20350" hidden="1" x14ac:dyDescent="0.35"/>
    <row r="20351" hidden="1" x14ac:dyDescent="0.35"/>
    <row r="20352" hidden="1" x14ac:dyDescent="0.35"/>
    <row r="20353" hidden="1" x14ac:dyDescent="0.35"/>
    <row r="20354" hidden="1" x14ac:dyDescent="0.35"/>
    <row r="20355" hidden="1" x14ac:dyDescent="0.35"/>
    <row r="20356" hidden="1" x14ac:dyDescent="0.35"/>
    <row r="20357" hidden="1" x14ac:dyDescent="0.35"/>
    <row r="20358" hidden="1" x14ac:dyDescent="0.35"/>
    <row r="20359" hidden="1" x14ac:dyDescent="0.35"/>
    <row r="20360" hidden="1" x14ac:dyDescent="0.35"/>
    <row r="20361" hidden="1" x14ac:dyDescent="0.35"/>
    <row r="20362" hidden="1" x14ac:dyDescent="0.35"/>
    <row r="20363" hidden="1" x14ac:dyDescent="0.35"/>
    <row r="20364" hidden="1" x14ac:dyDescent="0.35"/>
    <row r="20365" hidden="1" x14ac:dyDescent="0.35"/>
    <row r="20366" hidden="1" x14ac:dyDescent="0.35"/>
    <row r="20367" hidden="1" x14ac:dyDescent="0.35"/>
    <row r="20368" hidden="1" x14ac:dyDescent="0.35"/>
    <row r="20369" hidden="1" x14ac:dyDescent="0.35"/>
    <row r="20370" hidden="1" x14ac:dyDescent="0.35"/>
    <row r="20371" hidden="1" x14ac:dyDescent="0.35"/>
    <row r="20372" hidden="1" x14ac:dyDescent="0.35"/>
    <row r="20373" hidden="1" x14ac:dyDescent="0.35"/>
    <row r="20374" hidden="1" x14ac:dyDescent="0.35"/>
    <row r="20375" hidden="1" x14ac:dyDescent="0.35"/>
    <row r="20376" hidden="1" x14ac:dyDescent="0.35"/>
    <row r="20377" hidden="1" x14ac:dyDescent="0.35"/>
    <row r="20378" hidden="1" x14ac:dyDescent="0.35"/>
    <row r="20379" hidden="1" x14ac:dyDescent="0.35"/>
    <row r="20380" hidden="1" x14ac:dyDescent="0.35"/>
    <row r="20381" hidden="1" x14ac:dyDescent="0.35"/>
    <row r="20382" hidden="1" x14ac:dyDescent="0.35"/>
    <row r="20383" hidden="1" x14ac:dyDescent="0.35"/>
    <row r="20384" hidden="1" x14ac:dyDescent="0.35"/>
    <row r="20385" hidden="1" x14ac:dyDescent="0.35"/>
    <row r="20386" hidden="1" x14ac:dyDescent="0.35"/>
    <row r="20387" hidden="1" x14ac:dyDescent="0.35"/>
    <row r="20388" hidden="1" x14ac:dyDescent="0.35"/>
    <row r="20389" hidden="1" x14ac:dyDescent="0.35"/>
    <row r="20390" hidden="1" x14ac:dyDescent="0.35"/>
    <row r="20391" hidden="1" x14ac:dyDescent="0.35"/>
    <row r="20392" hidden="1" x14ac:dyDescent="0.35"/>
    <row r="20393" hidden="1" x14ac:dyDescent="0.35"/>
    <row r="20394" hidden="1" x14ac:dyDescent="0.35"/>
    <row r="20395" hidden="1" x14ac:dyDescent="0.35"/>
    <row r="20396" hidden="1" x14ac:dyDescent="0.35"/>
    <row r="20397" hidden="1" x14ac:dyDescent="0.35"/>
    <row r="20398" hidden="1" x14ac:dyDescent="0.35"/>
    <row r="20399" hidden="1" x14ac:dyDescent="0.35"/>
    <row r="20400" hidden="1" x14ac:dyDescent="0.35"/>
    <row r="20401" hidden="1" x14ac:dyDescent="0.35"/>
    <row r="20402" hidden="1" x14ac:dyDescent="0.35"/>
    <row r="20403" hidden="1" x14ac:dyDescent="0.35"/>
    <row r="20404" hidden="1" x14ac:dyDescent="0.35"/>
    <row r="20405" hidden="1" x14ac:dyDescent="0.35"/>
    <row r="20406" hidden="1" x14ac:dyDescent="0.35"/>
    <row r="20407" hidden="1" x14ac:dyDescent="0.35"/>
    <row r="20408" hidden="1" x14ac:dyDescent="0.35"/>
    <row r="20409" hidden="1" x14ac:dyDescent="0.35"/>
    <row r="20410" hidden="1" x14ac:dyDescent="0.35"/>
    <row r="20411" hidden="1" x14ac:dyDescent="0.35"/>
    <row r="20412" hidden="1" x14ac:dyDescent="0.35"/>
    <row r="20413" hidden="1" x14ac:dyDescent="0.35"/>
    <row r="20414" hidden="1" x14ac:dyDescent="0.35"/>
    <row r="20415" hidden="1" x14ac:dyDescent="0.35"/>
    <row r="20416" hidden="1" x14ac:dyDescent="0.35"/>
    <row r="20417" hidden="1" x14ac:dyDescent="0.35"/>
    <row r="20418" hidden="1" x14ac:dyDescent="0.35"/>
    <row r="20419" hidden="1" x14ac:dyDescent="0.35"/>
    <row r="20420" hidden="1" x14ac:dyDescent="0.35"/>
    <row r="20421" hidden="1" x14ac:dyDescent="0.35"/>
    <row r="20422" hidden="1" x14ac:dyDescent="0.35"/>
    <row r="20423" hidden="1" x14ac:dyDescent="0.35"/>
    <row r="20424" hidden="1" x14ac:dyDescent="0.35"/>
    <row r="20425" hidden="1" x14ac:dyDescent="0.35"/>
    <row r="20426" hidden="1" x14ac:dyDescent="0.35"/>
    <row r="20427" hidden="1" x14ac:dyDescent="0.35"/>
    <row r="20428" hidden="1" x14ac:dyDescent="0.35"/>
    <row r="20429" hidden="1" x14ac:dyDescent="0.35"/>
    <row r="20430" hidden="1" x14ac:dyDescent="0.35"/>
    <row r="20431" hidden="1" x14ac:dyDescent="0.35"/>
    <row r="20432" hidden="1" x14ac:dyDescent="0.35"/>
    <row r="20433" hidden="1" x14ac:dyDescent="0.35"/>
    <row r="20434" hidden="1" x14ac:dyDescent="0.35"/>
    <row r="20435" hidden="1" x14ac:dyDescent="0.35"/>
    <row r="20436" hidden="1" x14ac:dyDescent="0.35"/>
    <row r="20437" hidden="1" x14ac:dyDescent="0.35"/>
    <row r="20438" hidden="1" x14ac:dyDescent="0.35"/>
    <row r="20439" hidden="1" x14ac:dyDescent="0.35"/>
    <row r="20440" hidden="1" x14ac:dyDescent="0.35"/>
    <row r="20441" hidden="1" x14ac:dyDescent="0.35"/>
    <row r="20442" hidden="1" x14ac:dyDescent="0.35"/>
    <row r="20443" hidden="1" x14ac:dyDescent="0.35"/>
    <row r="20444" hidden="1" x14ac:dyDescent="0.35"/>
    <row r="20445" hidden="1" x14ac:dyDescent="0.35"/>
    <row r="20446" hidden="1" x14ac:dyDescent="0.35"/>
    <row r="20447" hidden="1" x14ac:dyDescent="0.35"/>
    <row r="20448" hidden="1" x14ac:dyDescent="0.35"/>
    <row r="20449" hidden="1" x14ac:dyDescent="0.35"/>
    <row r="20450" hidden="1" x14ac:dyDescent="0.35"/>
    <row r="20451" hidden="1" x14ac:dyDescent="0.35"/>
    <row r="20452" hidden="1" x14ac:dyDescent="0.35"/>
    <row r="20453" hidden="1" x14ac:dyDescent="0.35"/>
    <row r="20454" hidden="1" x14ac:dyDescent="0.35"/>
    <row r="20455" hidden="1" x14ac:dyDescent="0.35"/>
    <row r="20456" hidden="1" x14ac:dyDescent="0.35"/>
    <row r="20457" hidden="1" x14ac:dyDescent="0.35"/>
    <row r="20458" hidden="1" x14ac:dyDescent="0.35"/>
    <row r="20459" hidden="1" x14ac:dyDescent="0.35"/>
    <row r="20460" hidden="1" x14ac:dyDescent="0.35"/>
    <row r="20461" hidden="1" x14ac:dyDescent="0.35"/>
    <row r="20462" hidden="1" x14ac:dyDescent="0.35"/>
    <row r="20463" hidden="1" x14ac:dyDescent="0.35"/>
    <row r="20464" hidden="1" x14ac:dyDescent="0.35"/>
    <row r="20465" hidden="1" x14ac:dyDescent="0.35"/>
    <row r="20466" hidden="1" x14ac:dyDescent="0.35"/>
    <row r="20467" hidden="1" x14ac:dyDescent="0.35"/>
    <row r="20468" hidden="1" x14ac:dyDescent="0.35"/>
    <row r="20469" hidden="1" x14ac:dyDescent="0.35"/>
    <row r="20470" hidden="1" x14ac:dyDescent="0.35"/>
    <row r="20471" hidden="1" x14ac:dyDescent="0.35"/>
    <row r="20472" hidden="1" x14ac:dyDescent="0.35"/>
    <row r="20473" hidden="1" x14ac:dyDescent="0.35"/>
    <row r="20474" hidden="1" x14ac:dyDescent="0.35"/>
    <row r="20475" hidden="1" x14ac:dyDescent="0.35"/>
    <row r="20476" hidden="1" x14ac:dyDescent="0.35"/>
    <row r="20477" hidden="1" x14ac:dyDescent="0.35"/>
    <row r="20478" hidden="1" x14ac:dyDescent="0.35"/>
    <row r="20479" hidden="1" x14ac:dyDescent="0.35"/>
    <row r="20480" hidden="1" x14ac:dyDescent="0.35"/>
    <row r="20481" hidden="1" x14ac:dyDescent="0.35"/>
    <row r="20482" hidden="1" x14ac:dyDescent="0.35"/>
    <row r="20483" hidden="1" x14ac:dyDescent="0.35"/>
    <row r="20484" hidden="1" x14ac:dyDescent="0.35"/>
    <row r="20485" hidden="1" x14ac:dyDescent="0.35"/>
    <row r="20486" hidden="1" x14ac:dyDescent="0.35"/>
    <row r="20487" hidden="1" x14ac:dyDescent="0.35"/>
    <row r="20488" hidden="1" x14ac:dyDescent="0.35"/>
    <row r="20489" hidden="1" x14ac:dyDescent="0.35"/>
    <row r="20490" hidden="1" x14ac:dyDescent="0.35"/>
    <row r="20491" hidden="1" x14ac:dyDescent="0.35"/>
    <row r="20492" hidden="1" x14ac:dyDescent="0.35"/>
    <row r="20493" hidden="1" x14ac:dyDescent="0.35"/>
    <row r="20494" hidden="1" x14ac:dyDescent="0.35"/>
    <row r="20495" hidden="1" x14ac:dyDescent="0.35"/>
    <row r="20496" hidden="1" x14ac:dyDescent="0.35"/>
    <row r="20497" hidden="1" x14ac:dyDescent="0.35"/>
    <row r="20498" hidden="1" x14ac:dyDescent="0.35"/>
    <row r="20499" hidden="1" x14ac:dyDescent="0.35"/>
    <row r="20500" hidden="1" x14ac:dyDescent="0.35"/>
    <row r="20501" hidden="1" x14ac:dyDescent="0.35"/>
    <row r="20502" hidden="1" x14ac:dyDescent="0.35"/>
    <row r="20503" hidden="1" x14ac:dyDescent="0.35"/>
    <row r="20504" hidden="1" x14ac:dyDescent="0.35"/>
    <row r="20505" hidden="1" x14ac:dyDescent="0.35"/>
    <row r="20506" hidden="1" x14ac:dyDescent="0.35"/>
    <row r="20507" hidden="1" x14ac:dyDescent="0.35"/>
    <row r="20508" hidden="1" x14ac:dyDescent="0.35"/>
    <row r="20509" hidden="1" x14ac:dyDescent="0.35"/>
    <row r="20510" hidden="1" x14ac:dyDescent="0.35"/>
    <row r="20511" hidden="1" x14ac:dyDescent="0.35"/>
    <row r="20512" hidden="1" x14ac:dyDescent="0.35"/>
    <row r="20513" hidden="1" x14ac:dyDescent="0.35"/>
    <row r="20514" hidden="1" x14ac:dyDescent="0.35"/>
    <row r="20515" hidden="1" x14ac:dyDescent="0.35"/>
    <row r="20516" hidden="1" x14ac:dyDescent="0.35"/>
    <row r="20517" hidden="1" x14ac:dyDescent="0.35"/>
    <row r="20518" hidden="1" x14ac:dyDescent="0.35"/>
    <row r="20519" hidden="1" x14ac:dyDescent="0.35"/>
    <row r="20520" hidden="1" x14ac:dyDescent="0.35"/>
    <row r="20521" hidden="1" x14ac:dyDescent="0.35"/>
    <row r="20522" hidden="1" x14ac:dyDescent="0.35"/>
    <row r="20523" hidden="1" x14ac:dyDescent="0.35"/>
    <row r="20524" hidden="1" x14ac:dyDescent="0.35"/>
    <row r="20525" hidden="1" x14ac:dyDescent="0.35"/>
    <row r="20526" hidden="1" x14ac:dyDescent="0.35"/>
    <row r="20527" hidden="1" x14ac:dyDescent="0.35"/>
    <row r="20528" hidden="1" x14ac:dyDescent="0.35"/>
    <row r="20529" hidden="1" x14ac:dyDescent="0.35"/>
    <row r="20530" hidden="1" x14ac:dyDescent="0.35"/>
    <row r="20531" hidden="1" x14ac:dyDescent="0.35"/>
    <row r="20532" hidden="1" x14ac:dyDescent="0.35"/>
    <row r="20533" hidden="1" x14ac:dyDescent="0.35"/>
    <row r="20534" hidden="1" x14ac:dyDescent="0.35"/>
    <row r="20535" hidden="1" x14ac:dyDescent="0.35"/>
    <row r="20536" hidden="1" x14ac:dyDescent="0.35"/>
    <row r="20537" hidden="1" x14ac:dyDescent="0.35"/>
    <row r="20538" hidden="1" x14ac:dyDescent="0.35"/>
    <row r="20539" hidden="1" x14ac:dyDescent="0.35"/>
    <row r="20540" hidden="1" x14ac:dyDescent="0.35"/>
    <row r="20541" hidden="1" x14ac:dyDescent="0.35"/>
    <row r="20542" hidden="1" x14ac:dyDescent="0.35"/>
    <row r="20543" hidden="1" x14ac:dyDescent="0.35"/>
    <row r="20544" hidden="1" x14ac:dyDescent="0.35"/>
    <row r="20545" hidden="1" x14ac:dyDescent="0.35"/>
    <row r="20546" hidden="1" x14ac:dyDescent="0.35"/>
    <row r="20547" hidden="1" x14ac:dyDescent="0.35"/>
    <row r="20548" hidden="1" x14ac:dyDescent="0.35"/>
    <row r="20549" hidden="1" x14ac:dyDescent="0.35"/>
    <row r="20550" hidden="1" x14ac:dyDescent="0.35"/>
    <row r="20551" hidden="1" x14ac:dyDescent="0.35"/>
    <row r="20552" hidden="1" x14ac:dyDescent="0.35"/>
    <row r="20553" hidden="1" x14ac:dyDescent="0.35"/>
    <row r="20554" hidden="1" x14ac:dyDescent="0.35"/>
    <row r="20555" hidden="1" x14ac:dyDescent="0.35"/>
    <row r="20556" hidden="1" x14ac:dyDescent="0.35"/>
    <row r="20557" hidden="1" x14ac:dyDescent="0.35"/>
    <row r="20558" hidden="1" x14ac:dyDescent="0.35"/>
    <row r="20559" hidden="1" x14ac:dyDescent="0.35"/>
    <row r="20560" hidden="1" x14ac:dyDescent="0.35"/>
    <row r="20561" hidden="1" x14ac:dyDescent="0.35"/>
    <row r="20562" hidden="1" x14ac:dyDescent="0.35"/>
    <row r="20563" hidden="1" x14ac:dyDescent="0.35"/>
    <row r="20564" hidden="1" x14ac:dyDescent="0.35"/>
    <row r="20565" hidden="1" x14ac:dyDescent="0.35"/>
    <row r="20566" hidden="1" x14ac:dyDescent="0.35"/>
    <row r="20567" hidden="1" x14ac:dyDescent="0.35"/>
    <row r="20568" hidden="1" x14ac:dyDescent="0.35"/>
    <row r="20569" hidden="1" x14ac:dyDescent="0.35"/>
    <row r="20570" hidden="1" x14ac:dyDescent="0.35"/>
    <row r="20571" hidden="1" x14ac:dyDescent="0.35"/>
    <row r="20572" hidden="1" x14ac:dyDescent="0.35"/>
    <row r="20573" hidden="1" x14ac:dyDescent="0.35"/>
    <row r="20574" hidden="1" x14ac:dyDescent="0.35"/>
    <row r="20575" hidden="1" x14ac:dyDescent="0.35"/>
    <row r="20576" hidden="1" x14ac:dyDescent="0.35"/>
    <row r="20577" hidden="1" x14ac:dyDescent="0.35"/>
    <row r="20578" hidden="1" x14ac:dyDescent="0.35"/>
    <row r="20579" hidden="1" x14ac:dyDescent="0.35"/>
    <row r="20580" hidden="1" x14ac:dyDescent="0.35"/>
    <row r="20581" hidden="1" x14ac:dyDescent="0.35"/>
    <row r="20582" hidden="1" x14ac:dyDescent="0.35"/>
    <row r="20583" hidden="1" x14ac:dyDescent="0.35"/>
    <row r="20584" hidden="1" x14ac:dyDescent="0.35"/>
    <row r="20585" hidden="1" x14ac:dyDescent="0.35"/>
    <row r="20586" hidden="1" x14ac:dyDescent="0.35"/>
    <row r="20587" hidden="1" x14ac:dyDescent="0.35"/>
    <row r="20588" hidden="1" x14ac:dyDescent="0.35"/>
    <row r="20589" hidden="1" x14ac:dyDescent="0.35"/>
    <row r="20590" hidden="1" x14ac:dyDescent="0.35"/>
    <row r="20591" hidden="1" x14ac:dyDescent="0.35"/>
    <row r="20592" hidden="1" x14ac:dyDescent="0.35"/>
    <row r="20593" hidden="1" x14ac:dyDescent="0.35"/>
    <row r="20594" hidden="1" x14ac:dyDescent="0.35"/>
    <row r="20595" hidden="1" x14ac:dyDescent="0.35"/>
    <row r="20596" hidden="1" x14ac:dyDescent="0.35"/>
    <row r="20597" hidden="1" x14ac:dyDescent="0.35"/>
    <row r="20598" hidden="1" x14ac:dyDescent="0.35"/>
    <row r="20599" hidden="1" x14ac:dyDescent="0.35"/>
    <row r="20600" hidden="1" x14ac:dyDescent="0.35"/>
    <row r="20601" hidden="1" x14ac:dyDescent="0.35"/>
    <row r="20602" hidden="1" x14ac:dyDescent="0.35"/>
    <row r="20603" hidden="1" x14ac:dyDescent="0.35"/>
    <row r="20604" hidden="1" x14ac:dyDescent="0.35"/>
    <row r="20605" hidden="1" x14ac:dyDescent="0.35"/>
    <row r="20606" hidden="1" x14ac:dyDescent="0.35"/>
    <row r="20607" hidden="1" x14ac:dyDescent="0.35"/>
    <row r="20608" hidden="1" x14ac:dyDescent="0.35"/>
    <row r="20609" hidden="1" x14ac:dyDescent="0.35"/>
    <row r="20610" hidden="1" x14ac:dyDescent="0.35"/>
    <row r="20611" hidden="1" x14ac:dyDescent="0.35"/>
    <row r="20612" hidden="1" x14ac:dyDescent="0.35"/>
    <row r="20613" hidden="1" x14ac:dyDescent="0.35"/>
    <row r="20614" hidden="1" x14ac:dyDescent="0.35"/>
    <row r="20615" hidden="1" x14ac:dyDescent="0.35"/>
    <row r="20616" hidden="1" x14ac:dyDescent="0.35"/>
    <row r="20617" hidden="1" x14ac:dyDescent="0.35"/>
    <row r="20618" hidden="1" x14ac:dyDescent="0.35"/>
    <row r="20619" hidden="1" x14ac:dyDescent="0.35"/>
    <row r="20620" hidden="1" x14ac:dyDescent="0.35"/>
    <row r="20621" hidden="1" x14ac:dyDescent="0.35"/>
    <row r="20622" hidden="1" x14ac:dyDescent="0.35"/>
    <row r="20623" hidden="1" x14ac:dyDescent="0.35"/>
    <row r="20624" hidden="1" x14ac:dyDescent="0.35"/>
    <row r="20625" hidden="1" x14ac:dyDescent="0.35"/>
    <row r="20626" hidden="1" x14ac:dyDescent="0.35"/>
    <row r="20627" hidden="1" x14ac:dyDescent="0.35"/>
    <row r="20628" hidden="1" x14ac:dyDescent="0.35"/>
    <row r="20629" hidden="1" x14ac:dyDescent="0.35"/>
    <row r="20630" hidden="1" x14ac:dyDescent="0.35"/>
    <row r="20631" hidden="1" x14ac:dyDescent="0.35"/>
    <row r="20632" hidden="1" x14ac:dyDescent="0.35"/>
    <row r="20633" hidden="1" x14ac:dyDescent="0.35"/>
    <row r="20634" hidden="1" x14ac:dyDescent="0.35"/>
    <row r="20635" hidden="1" x14ac:dyDescent="0.35"/>
    <row r="20636" hidden="1" x14ac:dyDescent="0.35"/>
    <row r="20637" hidden="1" x14ac:dyDescent="0.35"/>
    <row r="20638" hidden="1" x14ac:dyDescent="0.35"/>
    <row r="20639" hidden="1" x14ac:dyDescent="0.35"/>
    <row r="20640" hidden="1" x14ac:dyDescent="0.35"/>
    <row r="20641" hidden="1" x14ac:dyDescent="0.35"/>
    <row r="20642" hidden="1" x14ac:dyDescent="0.35"/>
    <row r="20643" hidden="1" x14ac:dyDescent="0.35"/>
    <row r="20644" hidden="1" x14ac:dyDescent="0.35"/>
    <row r="20645" hidden="1" x14ac:dyDescent="0.35"/>
    <row r="20646" hidden="1" x14ac:dyDescent="0.35"/>
    <row r="20647" hidden="1" x14ac:dyDescent="0.35"/>
    <row r="20648" hidden="1" x14ac:dyDescent="0.35"/>
    <row r="20649" hidden="1" x14ac:dyDescent="0.35"/>
    <row r="20650" hidden="1" x14ac:dyDescent="0.35"/>
    <row r="20651" hidden="1" x14ac:dyDescent="0.35"/>
    <row r="20652" hidden="1" x14ac:dyDescent="0.35"/>
    <row r="20653" hidden="1" x14ac:dyDescent="0.35"/>
    <row r="20654" hidden="1" x14ac:dyDescent="0.35"/>
    <row r="20655" hidden="1" x14ac:dyDescent="0.35"/>
    <row r="20656" hidden="1" x14ac:dyDescent="0.35"/>
    <row r="20657" hidden="1" x14ac:dyDescent="0.35"/>
    <row r="20658" hidden="1" x14ac:dyDescent="0.35"/>
    <row r="20659" hidden="1" x14ac:dyDescent="0.35"/>
    <row r="20660" hidden="1" x14ac:dyDescent="0.35"/>
    <row r="20661" hidden="1" x14ac:dyDescent="0.35"/>
    <row r="20662" hidden="1" x14ac:dyDescent="0.35"/>
    <row r="20663" hidden="1" x14ac:dyDescent="0.35"/>
    <row r="20664" hidden="1" x14ac:dyDescent="0.35"/>
    <row r="20665" hidden="1" x14ac:dyDescent="0.35"/>
    <row r="20666" hidden="1" x14ac:dyDescent="0.35"/>
    <row r="20667" hidden="1" x14ac:dyDescent="0.35"/>
    <row r="20668" hidden="1" x14ac:dyDescent="0.35"/>
    <row r="20669" hidden="1" x14ac:dyDescent="0.35"/>
    <row r="20670" hidden="1" x14ac:dyDescent="0.35"/>
    <row r="20671" hidden="1" x14ac:dyDescent="0.35"/>
    <row r="20672" hidden="1" x14ac:dyDescent="0.35"/>
    <row r="20673" hidden="1" x14ac:dyDescent="0.35"/>
    <row r="20674" hidden="1" x14ac:dyDescent="0.35"/>
    <row r="20675" hidden="1" x14ac:dyDescent="0.35"/>
    <row r="20676" hidden="1" x14ac:dyDescent="0.35"/>
    <row r="20677" hidden="1" x14ac:dyDescent="0.35"/>
    <row r="20678" hidden="1" x14ac:dyDescent="0.35"/>
    <row r="20679" hidden="1" x14ac:dyDescent="0.35"/>
    <row r="20680" hidden="1" x14ac:dyDescent="0.35"/>
    <row r="20681" hidden="1" x14ac:dyDescent="0.35"/>
    <row r="20682" hidden="1" x14ac:dyDescent="0.35"/>
    <row r="20683" hidden="1" x14ac:dyDescent="0.35"/>
    <row r="20684" hidden="1" x14ac:dyDescent="0.35"/>
    <row r="20685" hidden="1" x14ac:dyDescent="0.35"/>
    <row r="20686" hidden="1" x14ac:dyDescent="0.35"/>
    <row r="20687" hidden="1" x14ac:dyDescent="0.35"/>
    <row r="20688" hidden="1" x14ac:dyDescent="0.35"/>
    <row r="20689" hidden="1" x14ac:dyDescent="0.35"/>
    <row r="20690" hidden="1" x14ac:dyDescent="0.35"/>
    <row r="20691" hidden="1" x14ac:dyDescent="0.35"/>
    <row r="20692" hidden="1" x14ac:dyDescent="0.35"/>
    <row r="20693" hidden="1" x14ac:dyDescent="0.35"/>
    <row r="20694" hidden="1" x14ac:dyDescent="0.35"/>
    <row r="20695" hidden="1" x14ac:dyDescent="0.35"/>
    <row r="20696" hidden="1" x14ac:dyDescent="0.35"/>
    <row r="20697" hidden="1" x14ac:dyDescent="0.35"/>
    <row r="20698" hidden="1" x14ac:dyDescent="0.35"/>
    <row r="20699" hidden="1" x14ac:dyDescent="0.35"/>
    <row r="20700" hidden="1" x14ac:dyDescent="0.35"/>
    <row r="20701" hidden="1" x14ac:dyDescent="0.35"/>
    <row r="20702" hidden="1" x14ac:dyDescent="0.35"/>
    <row r="20703" hidden="1" x14ac:dyDescent="0.35"/>
    <row r="20704" hidden="1" x14ac:dyDescent="0.35"/>
    <row r="20705" hidden="1" x14ac:dyDescent="0.35"/>
    <row r="20706" hidden="1" x14ac:dyDescent="0.35"/>
    <row r="20707" hidden="1" x14ac:dyDescent="0.35"/>
    <row r="20708" hidden="1" x14ac:dyDescent="0.35"/>
    <row r="20709" hidden="1" x14ac:dyDescent="0.35"/>
    <row r="20710" hidden="1" x14ac:dyDescent="0.35"/>
    <row r="20711" hidden="1" x14ac:dyDescent="0.35"/>
    <row r="20712" hidden="1" x14ac:dyDescent="0.35"/>
    <row r="20713" hidden="1" x14ac:dyDescent="0.35"/>
    <row r="20714" hidden="1" x14ac:dyDescent="0.35"/>
    <row r="20715" hidden="1" x14ac:dyDescent="0.35"/>
    <row r="20716" hidden="1" x14ac:dyDescent="0.35"/>
    <row r="20717" hidden="1" x14ac:dyDescent="0.35"/>
    <row r="20718" hidden="1" x14ac:dyDescent="0.35"/>
    <row r="20719" hidden="1" x14ac:dyDescent="0.35"/>
    <row r="20720" hidden="1" x14ac:dyDescent="0.35"/>
    <row r="20721" hidden="1" x14ac:dyDescent="0.35"/>
    <row r="20722" hidden="1" x14ac:dyDescent="0.35"/>
    <row r="20723" hidden="1" x14ac:dyDescent="0.35"/>
    <row r="20724" hidden="1" x14ac:dyDescent="0.35"/>
    <row r="20725" hidden="1" x14ac:dyDescent="0.35"/>
    <row r="20726" hidden="1" x14ac:dyDescent="0.35"/>
    <row r="20727" hidden="1" x14ac:dyDescent="0.35"/>
    <row r="20728" hidden="1" x14ac:dyDescent="0.35"/>
    <row r="20729" hidden="1" x14ac:dyDescent="0.35"/>
    <row r="20730" hidden="1" x14ac:dyDescent="0.35"/>
    <row r="20731" hidden="1" x14ac:dyDescent="0.35"/>
    <row r="20732" hidden="1" x14ac:dyDescent="0.35"/>
    <row r="20733" hidden="1" x14ac:dyDescent="0.35"/>
    <row r="20734" hidden="1" x14ac:dyDescent="0.35"/>
    <row r="20735" hidden="1" x14ac:dyDescent="0.35"/>
    <row r="20736" hidden="1" x14ac:dyDescent="0.35"/>
    <row r="20737" hidden="1" x14ac:dyDescent="0.35"/>
    <row r="20738" hidden="1" x14ac:dyDescent="0.35"/>
    <row r="20739" hidden="1" x14ac:dyDescent="0.35"/>
    <row r="20740" hidden="1" x14ac:dyDescent="0.35"/>
    <row r="20741" hidden="1" x14ac:dyDescent="0.35"/>
    <row r="20742" hidden="1" x14ac:dyDescent="0.35"/>
    <row r="20743" hidden="1" x14ac:dyDescent="0.35"/>
    <row r="20744" hidden="1" x14ac:dyDescent="0.35"/>
    <row r="20745" hidden="1" x14ac:dyDescent="0.35"/>
    <row r="20746" hidden="1" x14ac:dyDescent="0.35"/>
    <row r="20747" hidden="1" x14ac:dyDescent="0.35"/>
    <row r="20748" hidden="1" x14ac:dyDescent="0.35"/>
    <row r="20749" hidden="1" x14ac:dyDescent="0.35"/>
    <row r="20750" hidden="1" x14ac:dyDescent="0.35"/>
    <row r="20751" hidden="1" x14ac:dyDescent="0.35"/>
    <row r="20752" hidden="1" x14ac:dyDescent="0.35"/>
    <row r="20753" hidden="1" x14ac:dyDescent="0.35"/>
    <row r="20754" hidden="1" x14ac:dyDescent="0.35"/>
    <row r="20755" hidden="1" x14ac:dyDescent="0.35"/>
    <row r="20756" hidden="1" x14ac:dyDescent="0.35"/>
    <row r="20757" hidden="1" x14ac:dyDescent="0.35"/>
    <row r="20758" hidden="1" x14ac:dyDescent="0.35"/>
    <row r="20759" hidden="1" x14ac:dyDescent="0.35"/>
    <row r="20760" hidden="1" x14ac:dyDescent="0.35"/>
    <row r="20761" hidden="1" x14ac:dyDescent="0.35"/>
    <row r="20762" hidden="1" x14ac:dyDescent="0.35"/>
    <row r="20763" hidden="1" x14ac:dyDescent="0.35"/>
    <row r="20764" hidden="1" x14ac:dyDescent="0.35"/>
    <row r="20765" hidden="1" x14ac:dyDescent="0.35"/>
    <row r="20766" hidden="1" x14ac:dyDescent="0.35"/>
    <row r="20767" hidden="1" x14ac:dyDescent="0.35"/>
    <row r="20768" hidden="1" x14ac:dyDescent="0.35"/>
    <row r="20769" hidden="1" x14ac:dyDescent="0.35"/>
    <row r="20770" hidden="1" x14ac:dyDescent="0.35"/>
    <row r="20771" hidden="1" x14ac:dyDescent="0.35"/>
    <row r="20772" hidden="1" x14ac:dyDescent="0.35"/>
    <row r="20773" hidden="1" x14ac:dyDescent="0.35"/>
    <row r="20774" hidden="1" x14ac:dyDescent="0.35"/>
    <row r="20775" hidden="1" x14ac:dyDescent="0.35"/>
    <row r="20776" hidden="1" x14ac:dyDescent="0.35"/>
    <row r="20777" hidden="1" x14ac:dyDescent="0.35"/>
    <row r="20778" hidden="1" x14ac:dyDescent="0.35"/>
    <row r="20779" hidden="1" x14ac:dyDescent="0.35"/>
    <row r="20780" hidden="1" x14ac:dyDescent="0.35"/>
    <row r="20781" hidden="1" x14ac:dyDescent="0.35"/>
    <row r="20782" hidden="1" x14ac:dyDescent="0.35"/>
    <row r="20783" hidden="1" x14ac:dyDescent="0.35"/>
    <row r="20784" hidden="1" x14ac:dyDescent="0.35"/>
    <row r="20785" hidden="1" x14ac:dyDescent="0.35"/>
    <row r="20786" hidden="1" x14ac:dyDescent="0.35"/>
    <row r="20787" hidden="1" x14ac:dyDescent="0.35"/>
    <row r="20788" hidden="1" x14ac:dyDescent="0.35"/>
    <row r="20789" hidden="1" x14ac:dyDescent="0.35"/>
    <row r="20790" hidden="1" x14ac:dyDescent="0.35"/>
    <row r="20791" hidden="1" x14ac:dyDescent="0.35"/>
    <row r="20792" hidden="1" x14ac:dyDescent="0.35"/>
    <row r="20793" hidden="1" x14ac:dyDescent="0.35"/>
    <row r="20794" hidden="1" x14ac:dyDescent="0.35"/>
    <row r="20795" hidden="1" x14ac:dyDescent="0.35"/>
    <row r="20796" hidden="1" x14ac:dyDescent="0.35"/>
    <row r="20797" hidden="1" x14ac:dyDescent="0.35"/>
    <row r="20798" hidden="1" x14ac:dyDescent="0.35"/>
    <row r="20799" hidden="1" x14ac:dyDescent="0.35"/>
    <row r="20800" hidden="1" x14ac:dyDescent="0.35"/>
    <row r="20801" hidden="1" x14ac:dyDescent="0.35"/>
    <row r="20802" hidden="1" x14ac:dyDescent="0.35"/>
    <row r="20803" hidden="1" x14ac:dyDescent="0.35"/>
    <row r="20804" hidden="1" x14ac:dyDescent="0.35"/>
    <row r="20805" hidden="1" x14ac:dyDescent="0.35"/>
    <row r="20806" hidden="1" x14ac:dyDescent="0.35"/>
    <row r="20807" hidden="1" x14ac:dyDescent="0.35"/>
    <row r="20808" hidden="1" x14ac:dyDescent="0.35"/>
    <row r="20809" hidden="1" x14ac:dyDescent="0.35"/>
    <row r="20810" hidden="1" x14ac:dyDescent="0.35"/>
    <row r="20811" hidden="1" x14ac:dyDescent="0.35"/>
    <row r="20812" hidden="1" x14ac:dyDescent="0.35"/>
    <row r="20813" hidden="1" x14ac:dyDescent="0.35"/>
    <row r="20814" hidden="1" x14ac:dyDescent="0.35"/>
    <row r="20815" hidden="1" x14ac:dyDescent="0.35"/>
    <row r="20816" hidden="1" x14ac:dyDescent="0.35"/>
    <row r="20817" hidden="1" x14ac:dyDescent="0.35"/>
    <row r="20818" hidden="1" x14ac:dyDescent="0.35"/>
    <row r="20819" hidden="1" x14ac:dyDescent="0.35"/>
    <row r="20820" hidden="1" x14ac:dyDescent="0.35"/>
    <row r="20821" hidden="1" x14ac:dyDescent="0.35"/>
    <row r="20822" hidden="1" x14ac:dyDescent="0.35"/>
    <row r="20823" hidden="1" x14ac:dyDescent="0.35"/>
    <row r="20824" hidden="1" x14ac:dyDescent="0.35"/>
    <row r="20825" hidden="1" x14ac:dyDescent="0.35"/>
    <row r="20826" hidden="1" x14ac:dyDescent="0.35"/>
    <row r="20827" hidden="1" x14ac:dyDescent="0.35"/>
    <row r="20828" hidden="1" x14ac:dyDescent="0.35"/>
    <row r="20829" hidden="1" x14ac:dyDescent="0.35"/>
    <row r="20830" hidden="1" x14ac:dyDescent="0.35"/>
    <row r="20831" hidden="1" x14ac:dyDescent="0.35"/>
    <row r="20832" hidden="1" x14ac:dyDescent="0.35"/>
    <row r="20833" hidden="1" x14ac:dyDescent="0.35"/>
    <row r="20834" hidden="1" x14ac:dyDescent="0.35"/>
    <row r="20835" hidden="1" x14ac:dyDescent="0.35"/>
    <row r="20836" hidden="1" x14ac:dyDescent="0.35"/>
    <row r="20837" hidden="1" x14ac:dyDescent="0.35"/>
    <row r="20838" hidden="1" x14ac:dyDescent="0.35"/>
    <row r="20839" hidden="1" x14ac:dyDescent="0.35"/>
    <row r="20840" hidden="1" x14ac:dyDescent="0.35"/>
    <row r="20841" hidden="1" x14ac:dyDescent="0.35"/>
    <row r="20842" hidden="1" x14ac:dyDescent="0.35"/>
    <row r="20843" hidden="1" x14ac:dyDescent="0.35"/>
    <row r="20844" hidden="1" x14ac:dyDescent="0.35"/>
    <row r="20845" hidden="1" x14ac:dyDescent="0.35"/>
    <row r="20846" hidden="1" x14ac:dyDescent="0.35"/>
    <row r="20847" hidden="1" x14ac:dyDescent="0.35"/>
    <row r="20848" hidden="1" x14ac:dyDescent="0.35"/>
    <row r="20849" hidden="1" x14ac:dyDescent="0.35"/>
    <row r="20850" hidden="1" x14ac:dyDescent="0.35"/>
    <row r="20851" hidden="1" x14ac:dyDescent="0.35"/>
    <row r="20852" hidden="1" x14ac:dyDescent="0.35"/>
    <row r="20853" hidden="1" x14ac:dyDescent="0.35"/>
    <row r="20854" hidden="1" x14ac:dyDescent="0.35"/>
    <row r="20855" hidden="1" x14ac:dyDescent="0.35"/>
    <row r="20856" hidden="1" x14ac:dyDescent="0.35"/>
    <row r="20857" hidden="1" x14ac:dyDescent="0.35"/>
    <row r="20858" hidden="1" x14ac:dyDescent="0.35"/>
    <row r="20859" hidden="1" x14ac:dyDescent="0.35"/>
    <row r="20860" hidden="1" x14ac:dyDescent="0.35"/>
    <row r="20861" hidden="1" x14ac:dyDescent="0.35"/>
    <row r="20862" hidden="1" x14ac:dyDescent="0.35"/>
    <row r="20863" hidden="1" x14ac:dyDescent="0.35"/>
    <row r="20864" hidden="1" x14ac:dyDescent="0.35"/>
    <row r="20865" hidden="1" x14ac:dyDescent="0.35"/>
    <row r="20866" hidden="1" x14ac:dyDescent="0.35"/>
    <row r="20867" hidden="1" x14ac:dyDescent="0.35"/>
    <row r="20868" hidden="1" x14ac:dyDescent="0.35"/>
    <row r="20869" hidden="1" x14ac:dyDescent="0.35"/>
    <row r="20870" hidden="1" x14ac:dyDescent="0.35"/>
    <row r="20871" hidden="1" x14ac:dyDescent="0.35"/>
    <row r="20872" hidden="1" x14ac:dyDescent="0.35"/>
    <row r="20873" hidden="1" x14ac:dyDescent="0.35"/>
    <row r="20874" hidden="1" x14ac:dyDescent="0.35"/>
    <row r="20875" hidden="1" x14ac:dyDescent="0.35"/>
    <row r="20876" hidden="1" x14ac:dyDescent="0.35"/>
    <row r="20877" hidden="1" x14ac:dyDescent="0.35"/>
    <row r="20878" hidden="1" x14ac:dyDescent="0.35"/>
    <row r="20879" hidden="1" x14ac:dyDescent="0.35"/>
    <row r="20880" hidden="1" x14ac:dyDescent="0.35"/>
    <row r="20881" hidden="1" x14ac:dyDescent="0.35"/>
    <row r="20882" hidden="1" x14ac:dyDescent="0.35"/>
    <row r="20883" hidden="1" x14ac:dyDescent="0.35"/>
    <row r="20884" hidden="1" x14ac:dyDescent="0.35"/>
    <row r="20885" hidden="1" x14ac:dyDescent="0.35"/>
    <row r="20886" hidden="1" x14ac:dyDescent="0.35"/>
    <row r="20887" hidden="1" x14ac:dyDescent="0.35"/>
    <row r="20888" hidden="1" x14ac:dyDescent="0.35"/>
    <row r="20889" hidden="1" x14ac:dyDescent="0.35"/>
    <row r="20890" hidden="1" x14ac:dyDescent="0.35"/>
    <row r="20891" hidden="1" x14ac:dyDescent="0.35"/>
    <row r="20892" hidden="1" x14ac:dyDescent="0.35"/>
    <row r="20893" hidden="1" x14ac:dyDescent="0.35"/>
    <row r="20894" hidden="1" x14ac:dyDescent="0.35"/>
    <row r="20895" hidden="1" x14ac:dyDescent="0.35"/>
    <row r="20896" hidden="1" x14ac:dyDescent="0.35"/>
    <row r="20897" hidden="1" x14ac:dyDescent="0.35"/>
    <row r="20898" hidden="1" x14ac:dyDescent="0.35"/>
    <row r="20899" hidden="1" x14ac:dyDescent="0.35"/>
    <row r="20900" hidden="1" x14ac:dyDescent="0.35"/>
    <row r="20901" hidden="1" x14ac:dyDescent="0.35"/>
    <row r="20902" hidden="1" x14ac:dyDescent="0.35"/>
    <row r="20903" hidden="1" x14ac:dyDescent="0.35"/>
    <row r="20904" hidden="1" x14ac:dyDescent="0.35"/>
    <row r="20905" hidden="1" x14ac:dyDescent="0.35"/>
    <row r="20906" hidden="1" x14ac:dyDescent="0.35"/>
    <row r="20907" hidden="1" x14ac:dyDescent="0.35"/>
    <row r="20908" hidden="1" x14ac:dyDescent="0.35"/>
    <row r="20909" hidden="1" x14ac:dyDescent="0.35"/>
    <row r="20910" hidden="1" x14ac:dyDescent="0.35"/>
    <row r="20911" hidden="1" x14ac:dyDescent="0.35"/>
    <row r="20912" hidden="1" x14ac:dyDescent="0.35"/>
    <row r="20913" hidden="1" x14ac:dyDescent="0.35"/>
    <row r="20914" hidden="1" x14ac:dyDescent="0.35"/>
    <row r="20915" hidden="1" x14ac:dyDescent="0.35"/>
    <row r="20916" hidden="1" x14ac:dyDescent="0.35"/>
    <row r="20917" hidden="1" x14ac:dyDescent="0.35"/>
    <row r="20918" hidden="1" x14ac:dyDescent="0.35"/>
    <row r="20919" hidden="1" x14ac:dyDescent="0.35"/>
    <row r="20920" hidden="1" x14ac:dyDescent="0.35"/>
    <row r="20921" hidden="1" x14ac:dyDescent="0.35"/>
    <row r="20922" hidden="1" x14ac:dyDescent="0.35"/>
    <row r="20923" hidden="1" x14ac:dyDescent="0.35"/>
    <row r="20924" hidden="1" x14ac:dyDescent="0.35"/>
    <row r="20925" hidden="1" x14ac:dyDescent="0.35"/>
    <row r="20926" hidden="1" x14ac:dyDescent="0.35"/>
    <row r="20927" hidden="1" x14ac:dyDescent="0.35"/>
    <row r="20928" hidden="1" x14ac:dyDescent="0.35"/>
    <row r="20929" hidden="1" x14ac:dyDescent="0.35"/>
    <row r="20930" hidden="1" x14ac:dyDescent="0.35"/>
    <row r="20931" hidden="1" x14ac:dyDescent="0.35"/>
    <row r="20932" hidden="1" x14ac:dyDescent="0.35"/>
    <row r="20933" hidden="1" x14ac:dyDescent="0.35"/>
    <row r="20934" hidden="1" x14ac:dyDescent="0.35"/>
    <row r="20935" hidden="1" x14ac:dyDescent="0.35"/>
    <row r="20936" hidden="1" x14ac:dyDescent="0.35"/>
    <row r="20937" hidden="1" x14ac:dyDescent="0.35"/>
    <row r="20938" hidden="1" x14ac:dyDescent="0.35"/>
    <row r="20939" hidden="1" x14ac:dyDescent="0.35"/>
    <row r="20940" hidden="1" x14ac:dyDescent="0.35"/>
    <row r="20941" hidden="1" x14ac:dyDescent="0.35"/>
    <row r="20942" hidden="1" x14ac:dyDescent="0.35"/>
    <row r="20943" hidden="1" x14ac:dyDescent="0.35"/>
    <row r="20944" hidden="1" x14ac:dyDescent="0.35"/>
    <row r="20945" hidden="1" x14ac:dyDescent="0.35"/>
    <row r="20946" hidden="1" x14ac:dyDescent="0.35"/>
    <row r="20947" hidden="1" x14ac:dyDescent="0.35"/>
    <row r="20948" hidden="1" x14ac:dyDescent="0.35"/>
    <row r="20949" hidden="1" x14ac:dyDescent="0.35"/>
    <row r="20950" hidden="1" x14ac:dyDescent="0.35"/>
    <row r="20951" hidden="1" x14ac:dyDescent="0.35"/>
    <row r="20952" hidden="1" x14ac:dyDescent="0.35"/>
    <row r="20953" hidden="1" x14ac:dyDescent="0.35"/>
    <row r="20954" hidden="1" x14ac:dyDescent="0.35"/>
    <row r="20955" hidden="1" x14ac:dyDescent="0.35"/>
    <row r="20956" hidden="1" x14ac:dyDescent="0.35"/>
    <row r="20957" hidden="1" x14ac:dyDescent="0.35"/>
    <row r="20958" hidden="1" x14ac:dyDescent="0.35"/>
    <row r="20959" hidden="1" x14ac:dyDescent="0.35"/>
    <row r="20960" hidden="1" x14ac:dyDescent="0.35"/>
    <row r="20961" hidden="1" x14ac:dyDescent="0.35"/>
    <row r="20962" hidden="1" x14ac:dyDescent="0.35"/>
    <row r="20963" hidden="1" x14ac:dyDescent="0.35"/>
    <row r="20964" hidden="1" x14ac:dyDescent="0.35"/>
    <row r="20965" hidden="1" x14ac:dyDescent="0.35"/>
    <row r="20966" hidden="1" x14ac:dyDescent="0.35"/>
    <row r="20967" hidden="1" x14ac:dyDescent="0.35"/>
    <row r="20968" hidden="1" x14ac:dyDescent="0.35"/>
    <row r="20969" hidden="1" x14ac:dyDescent="0.35"/>
    <row r="20970" hidden="1" x14ac:dyDescent="0.35"/>
    <row r="20971" hidden="1" x14ac:dyDescent="0.35"/>
    <row r="20972" hidden="1" x14ac:dyDescent="0.35"/>
    <row r="20973" hidden="1" x14ac:dyDescent="0.35"/>
    <row r="20974" hidden="1" x14ac:dyDescent="0.35"/>
    <row r="20975" hidden="1" x14ac:dyDescent="0.35"/>
    <row r="20976" hidden="1" x14ac:dyDescent="0.35"/>
    <row r="20977" hidden="1" x14ac:dyDescent="0.35"/>
    <row r="20978" hidden="1" x14ac:dyDescent="0.35"/>
    <row r="20979" hidden="1" x14ac:dyDescent="0.35"/>
    <row r="20980" hidden="1" x14ac:dyDescent="0.35"/>
    <row r="20981" hidden="1" x14ac:dyDescent="0.35"/>
    <row r="20982" hidden="1" x14ac:dyDescent="0.35"/>
    <row r="20983" hidden="1" x14ac:dyDescent="0.35"/>
    <row r="20984" hidden="1" x14ac:dyDescent="0.35"/>
    <row r="20985" hidden="1" x14ac:dyDescent="0.35"/>
    <row r="20986" hidden="1" x14ac:dyDescent="0.35"/>
    <row r="20987" hidden="1" x14ac:dyDescent="0.35"/>
    <row r="20988" hidden="1" x14ac:dyDescent="0.35"/>
    <row r="20989" hidden="1" x14ac:dyDescent="0.35"/>
    <row r="20990" hidden="1" x14ac:dyDescent="0.35"/>
    <row r="20991" hidden="1" x14ac:dyDescent="0.35"/>
    <row r="20992" hidden="1" x14ac:dyDescent="0.35"/>
    <row r="20993" hidden="1" x14ac:dyDescent="0.35"/>
    <row r="20994" hidden="1" x14ac:dyDescent="0.35"/>
    <row r="20995" hidden="1" x14ac:dyDescent="0.35"/>
    <row r="20996" hidden="1" x14ac:dyDescent="0.35"/>
    <row r="20997" hidden="1" x14ac:dyDescent="0.35"/>
    <row r="20998" hidden="1" x14ac:dyDescent="0.35"/>
    <row r="20999" hidden="1" x14ac:dyDescent="0.35"/>
    <row r="21000" hidden="1" x14ac:dyDescent="0.35"/>
    <row r="21001" hidden="1" x14ac:dyDescent="0.35"/>
    <row r="21002" hidden="1" x14ac:dyDescent="0.35"/>
    <row r="21003" hidden="1" x14ac:dyDescent="0.35"/>
    <row r="21004" hidden="1" x14ac:dyDescent="0.35"/>
    <row r="21005" hidden="1" x14ac:dyDescent="0.35"/>
    <row r="21006" hidden="1" x14ac:dyDescent="0.35"/>
    <row r="21007" hidden="1" x14ac:dyDescent="0.35"/>
    <row r="21008" hidden="1" x14ac:dyDescent="0.35"/>
    <row r="21009" hidden="1" x14ac:dyDescent="0.35"/>
    <row r="21010" hidden="1" x14ac:dyDescent="0.35"/>
    <row r="21011" hidden="1" x14ac:dyDescent="0.35"/>
    <row r="21012" hidden="1" x14ac:dyDescent="0.35"/>
    <row r="21013" hidden="1" x14ac:dyDescent="0.35"/>
    <row r="21014" hidden="1" x14ac:dyDescent="0.35"/>
    <row r="21015" hidden="1" x14ac:dyDescent="0.35"/>
    <row r="21016" hidden="1" x14ac:dyDescent="0.35"/>
    <row r="21017" hidden="1" x14ac:dyDescent="0.35"/>
    <row r="21018" hidden="1" x14ac:dyDescent="0.35"/>
    <row r="21019" hidden="1" x14ac:dyDescent="0.35"/>
    <row r="21020" hidden="1" x14ac:dyDescent="0.35"/>
    <row r="21021" hidden="1" x14ac:dyDescent="0.35"/>
    <row r="21022" hidden="1" x14ac:dyDescent="0.35"/>
    <row r="21023" hidden="1" x14ac:dyDescent="0.35"/>
    <row r="21024" hidden="1" x14ac:dyDescent="0.35"/>
    <row r="21025" hidden="1" x14ac:dyDescent="0.35"/>
    <row r="21026" hidden="1" x14ac:dyDescent="0.35"/>
    <row r="21027" hidden="1" x14ac:dyDescent="0.35"/>
    <row r="21028" hidden="1" x14ac:dyDescent="0.35"/>
    <row r="21029" hidden="1" x14ac:dyDescent="0.35"/>
    <row r="21030" hidden="1" x14ac:dyDescent="0.35"/>
    <row r="21031" hidden="1" x14ac:dyDescent="0.35"/>
    <row r="21032" hidden="1" x14ac:dyDescent="0.35"/>
    <row r="21033" hidden="1" x14ac:dyDescent="0.35"/>
    <row r="21034" hidden="1" x14ac:dyDescent="0.35"/>
    <row r="21035" hidden="1" x14ac:dyDescent="0.35"/>
    <row r="21036" hidden="1" x14ac:dyDescent="0.35"/>
    <row r="21037" hidden="1" x14ac:dyDescent="0.35"/>
    <row r="21038" hidden="1" x14ac:dyDescent="0.35"/>
    <row r="21039" hidden="1" x14ac:dyDescent="0.35"/>
    <row r="21040" hidden="1" x14ac:dyDescent="0.35"/>
    <row r="21041" hidden="1" x14ac:dyDescent="0.35"/>
    <row r="21042" hidden="1" x14ac:dyDescent="0.35"/>
    <row r="21043" hidden="1" x14ac:dyDescent="0.35"/>
    <row r="21044" hidden="1" x14ac:dyDescent="0.35"/>
    <row r="21045" hidden="1" x14ac:dyDescent="0.35"/>
    <row r="21046" hidden="1" x14ac:dyDescent="0.35"/>
    <row r="21047" hidden="1" x14ac:dyDescent="0.35"/>
    <row r="21048" hidden="1" x14ac:dyDescent="0.35"/>
    <row r="21049" hidden="1" x14ac:dyDescent="0.35"/>
    <row r="21050" hidden="1" x14ac:dyDescent="0.35"/>
    <row r="21051" hidden="1" x14ac:dyDescent="0.35"/>
    <row r="21052" hidden="1" x14ac:dyDescent="0.35"/>
    <row r="21053" hidden="1" x14ac:dyDescent="0.35"/>
    <row r="21054" hidden="1" x14ac:dyDescent="0.35"/>
    <row r="21055" hidden="1" x14ac:dyDescent="0.35"/>
    <row r="21056" hidden="1" x14ac:dyDescent="0.35"/>
    <row r="21057" hidden="1" x14ac:dyDescent="0.35"/>
    <row r="21058" hidden="1" x14ac:dyDescent="0.35"/>
    <row r="21059" hidden="1" x14ac:dyDescent="0.35"/>
    <row r="21060" hidden="1" x14ac:dyDescent="0.35"/>
    <row r="21061" hidden="1" x14ac:dyDescent="0.35"/>
    <row r="21062" hidden="1" x14ac:dyDescent="0.35"/>
    <row r="21063" hidden="1" x14ac:dyDescent="0.35"/>
    <row r="21064" hidden="1" x14ac:dyDescent="0.35"/>
    <row r="21065" hidden="1" x14ac:dyDescent="0.35"/>
    <row r="21066" hidden="1" x14ac:dyDescent="0.35"/>
    <row r="21067" hidden="1" x14ac:dyDescent="0.35"/>
    <row r="21068" hidden="1" x14ac:dyDescent="0.35"/>
    <row r="21069" hidden="1" x14ac:dyDescent="0.35"/>
    <row r="21070" hidden="1" x14ac:dyDescent="0.35"/>
    <row r="21071" hidden="1" x14ac:dyDescent="0.35"/>
    <row r="21072" hidden="1" x14ac:dyDescent="0.35"/>
    <row r="21073" hidden="1" x14ac:dyDescent="0.35"/>
    <row r="21074" hidden="1" x14ac:dyDescent="0.35"/>
    <row r="21075" hidden="1" x14ac:dyDescent="0.35"/>
    <row r="21076" hidden="1" x14ac:dyDescent="0.35"/>
    <row r="21077" hidden="1" x14ac:dyDescent="0.35"/>
    <row r="21078" hidden="1" x14ac:dyDescent="0.35"/>
    <row r="21079" hidden="1" x14ac:dyDescent="0.35"/>
    <row r="21080" hidden="1" x14ac:dyDescent="0.35"/>
    <row r="21081" hidden="1" x14ac:dyDescent="0.35"/>
    <row r="21082" hidden="1" x14ac:dyDescent="0.35"/>
    <row r="21083" hidden="1" x14ac:dyDescent="0.35"/>
    <row r="21084" hidden="1" x14ac:dyDescent="0.35"/>
    <row r="21085" hidden="1" x14ac:dyDescent="0.35"/>
    <row r="21086" hidden="1" x14ac:dyDescent="0.35"/>
    <row r="21087" hidden="1" x14ac:dyDescent="0.35"/>
    <row r="21088" hidden="1" x14ac:dyDescent="0.35"/>
    <row r="21089" hidden="1" x14ac:dyDescent="0.35"/>
    <row r="21090" hidden="1" x14ac:dyDescent="0.35"/>
    <row r="21091" hidden="1" x14ac:dyDescent="0.35"/>
    <row r="21092" hidden="1" x14ac:dyDescent="0.35"/>
    <row r="21093" hidden="1" x14ac:dyDescent="0.35"/>
    <row r="21094" hidden="1" x14ac:dyDescent="0.35"/>
    <row r="21095" hidden="1" x14ac:dyDescent="0.35"/>
    <row r="21096" hidden="1" x14ac:dyDescent="0.35"/>
    <row r="21097" hidden="1" x14ac:dyDescent="0.35"/>
    <row r="21098" hidden="1" x14ac:dyDescent="0.35"/>
    <row r="21099" hidden="1" x14ac:dyDescent="0.35"/>
    <row r="21100" hidden="1" x14ac:dyDescent="0.35"/>
    <row r="21101" hidden="1" x14ac:dyDescent="0.35"/>
    <row r="21102" hidden="1" x14ac:dyDescent="0.35"/>
    <row r="21103" hidden="1" x14ac:dyDescent="0.35"/>
    <row r="21104" hidden="1" x14ac:dyDescent="0.35"/>
    <row r="21105" hidden="1" x14ac:dyDescent="0.35"/>
    <row r="21106" hidden="1" x14ac:dyDescent="0.35"/>
    <row r="21107" hidden="1" x14ac:dyDescent="0.35"/>
    <row r="21108" hidden="1" x14ac:dyDescent="0.35"/>
    <row r="21109" hidden="1" x14ac:dyDescent="0.35"/>
    <row r="21110" hidden="1" x14ac:dyDescent="0.35"/>
    <row r="21111" hidden="1" x14ac:dyDescent="0.35"/>
    <row r="21112" hidden="1" x14ac:dyDescent="0.35"/>
    <row r="21113" hidden="1" x14ac:dyDescent="0.35"/>
    <row r="21114" hidden="1" x14ac:dyDescent="0.35"/>
    <row r="21115" hidden="1" x14ac:dyDescent="0.35"/>
    <row r="21116" hidden="1" x14ac:dyDescent="0.35"/>
    <row r="21117" hidden="1" x14ac:dyDescent="0.35"/>
    <row r="21118" hidden="1" x14ac:dyDescent="0.35"/>
    <row r="21119" hidden="1" x14ac:dyDescent="0.35"/>
    <row r="21120" hidden="1" x14ac:dyDescent="0.35"/>
    <row r="21121" hidden="1" x14ac:dyDescent="0.35"/>
    <row r="21122" hidden="1" x14ac:dyDescent="0.35"/>
    <row r="21123" hidden="1" x14ac:dyDescent="0.35"/>
    <row r="21124" hidden="1" x14ac:dyDescent="0.35"/>
    <row r="21125" hidden="1" x14ac:dyDescent="0.35"/>
    <row r="21126" hidden="1" x14ac:dyDescent="0.35"/>
    <row r="21127" hidden="1" x14ac:dyDescent="0.35"/>
    <row r="21128" hidden="1" x14ac:dyDescent="0.35"/>
    <row r="21129" hidden="1" x14ac:dyDescent="0.35"/>
    <row r="21130" hidden="1" x14ac:dyDescent="0.35"/>
    <row r="21131" hidden="1" x14ac:dyDescent="0.35"/>
    <row r="21132" hidden="1" x14ac:dyDescent="0.35"/>
    <row r="21133" hidden="1" x14ac:dyDescent="0.35"/>
    <row r="21134" hidden="1" x14ac:dyDescent="0.35"/>
    <row r="21135" hidden="1" x14ac:dyDescent="0.35"/>
    <row r="21136" hidden="1" x14ac:dyDescent="0.35"/>
    <row r="21137" hidden="1" x14ac:dyDescent="0.35"/>
    <row r="21138" hidden="1" x14ac:dyDescent="0.35"/>
    <row r="21139" hidden="1" x14ac:dyDescent="0.35"/>
    <row r="21140" hidden="1" x14ac:dyDescent="0.35"/>
    <row r="21141" hidden="1" x14ac:dyDescent="0.35"/>
    <row r="21142" hidden="1" x14ac:dyDescent="0.35"/>
    <row r="21143" hidden="1" x14ac:dyDescent="0.35"/>
    <row r="21144" hidden="1" x14ac:dyDescent="0.35"/>
    <row r="21145" hidden="1" x14ac:dyDescent="0.35"/>
    <row r="21146" hidden="1" x14ac:dyDescent="0.35"/>
    <row r="21147" hidden="1" x14ac:dyDescent="0.35"/>
    <row r="21148" hidden="1" x14ac:dyDescent="0.35"/>
    <row r="21149" hidden="1" x14ac:dyDescent="0.35"/>
    <row r="21150" hidden="1" x14ac:dyDescent="0.35"/>
    <row r="21151" hidden="1" x14ac:dyDescent="0.35"/>
    <row r="21152" hidden="1" x14ac:dyDescent="0.35"/>
    <row r="21153" hidden="1" x14ac:dyDescent="0.35"/>
    <row r="21154" hidden="1" x14ac:dyDescent="0.35"/>
    <row r="21155" hidden="1" x14ac:dyDescent="0.35"/>
    <row r="21156" hidden="1" x14ac:dyDescent="0.35"/>
    <row r="21157" hidden="1" x14ac:dyDescent="0.35"/>
    <row r="21158" hidden="1" x14ac:dyDescent="0.35"/>
    <row r="21159" hidden="1" x14ac:dyDescent="0.35"/>
    <row r="21160" hidden="1" x14ac:dyDescent="0.35"/>
    <row r="21161" hidden="1" x14ac:dyDescent="0.35"/>
    <row r="21162" hidden="1" x14ac:dyDescent="0.35"/>
    <row r="21163" hidden="1" x14ac:dyDescent="0.35"/>
    <row r="21164" hidden="1" x14ac:dyDescent="0.35"/>
    <row r="21165" hidden="1" x14ac:dyDescent="0.35"/>
    <row r="21166" hidden="1" x14ac:dyDescent="0.35"/>
    <row r="21167" hidden="1" x14ac:dyDescent="0.35"/>
    <row r="21168" hidden="1" x14ac:dyDescent="0.35"/>
    <row r="21169" hidden="1" x14ac:dyDescent="0.35"/>
    <row r="21170" hidden="1" x14ac:dyDescent="0.35"/>
    <row r="21171" hidden="1" x14ac:dyDescent="0.35"/>
    <row r="21172" hidden="1" x14ac:dyDescent="0.35"/>
    <row r="21173" hidden="1" x14ac:dyDescent="0.35"/>
    <row r="21174" hidden="1" x14ac:dyDescent="0.35"/>
    <row r="21175" hidden="1" x14ac:dyDescent="0.35"/>
    <row r="21176" hidden="1" x14ac:dyDescent="0.35"/>
    <row r="21177" hidden="1" x14ac:dyDescent="0.35"/>
    <row r="21178" hidden="1" x14ac:dyDescent="0.35"/>
    <row r="21179" hidden="1" x14ac:dyDescent="0.35"/>
    <row r="21180" hidden="1" x14ac:dyDescent="0.35"/>
    <row r="21181" hidden="1" x14ac:dyDescent="0.35"/>
    <row r="21182" hidden="1" x14ac:dyDescent="0.35"/>
    <row r="21183" hidden="1" x14ac:dyDescent="0.35"/>
    <row r="21184" hidden="1" x14ac:dyDescent="0.35"/>
    <row r="21185" hidden="1" x14ac:dyDescent="0.35"/>
    <row r="21186" hidden="1" x14ac:dyDescent="0.35"/>
    <row r="21187" hidden="1" x14ac:dyDescent="0.35"/>
    <row r="21188" hidden="1" x14ac:dyDescent="0.35"/>
    <row r="21189" hidden="1" x14ac:dyDescent="0.35"/>
    <row r="21190" hidden="1" x14ac:dyDescent="0.35"/>
    <row r="21191" hidden="1" x14ac:dyDescent="0.35"/>
    <row r="21192" hidden="1" x14ac:dyDescent="0.35"/>
    <row r="21193" hidden="1" x14ac:dyDescent="0.35"/>
    <row r="21194" hidden="1" x14ac:dyDescent="0.35"/>
    <row r="21195" hidden="1" x14ac:dyDescent="0.35"/>
    <row r="21196" hidden="1" x14ac:dyDescent="0.35"/>
    <row r="21197" hidden="1" x14ac:dyDescent="0.35"/>
    <row r="21198" hidden="1" x14ac:dyDescent="0.35"/>
    <row r="21199" hidden="1" x14ac:dyDescent="0.35"/>
    <row r="21200" hidden="1" x14ac:dyDescent="0.35"/>
    <row r="21201" hidden="1" x14ac:dyDescent="0.35"/>
    <row r="21202" hidden="1" x14ac:dyDescent="0.35"/>
    <row r="21203" hidden="1" x14ac:dyDescent="0.35"/>
    <row r="21204" hidden="1" x14ac:dyDescent="0.35"/>
    <row r="21205" hidden="1" x14ac:dyDescent="0.35"/>
    <row r="21206" hidden="1" x14ac:dyDescent="0.35"/>
    <row r="21207" hidden="1" x14ac:dyDescent="0.35"/>
    <row r="21208" hidden="1" x14ac:dyDescent="0.35"/>
    <row r="21209" hidden="1" x14ac:dyDescent="0.35"/>
    <row r="21210" hidden="1" x14ac:dyDescent="0.35"/>
    <row r="21211" hidden="1" x14ac:dyDescent="0.35"/>
    <row r="21212" hidden="1" x14ac:dyDescent="0.35"/>
    <row r="21213" hidden="1" x14ac:dyDescent="0.35"/>
    <row r="21214" hidden="1" x14ac:dyDescent="0.35"/>
    <row r="21215" hidden="1" x14ac:dyDescent="0.35"/>
    <row r="21216" hidden="1" x14ac:dyDescent="0.35"/>
    <row r="21217" hidden="1" x14ac:dyDescent="0.35"/>
    <row r="21218" hidden="1" x14ac:dyDescent="0.35"/>
    <row r="21219" hidden="1" x14ac:dyDescent="0.35"/>
    <row r="21220" hidden="1" x14ac:dyDescent="0.35"/>
    <row r="21221" hidden="1" x14ac:dyDescent="0.35"/>
    <row r="21222" hidden="1" x14ac:dyDescent="0.35"/>
    <row r="21223" hidden="1" x14ac:dyDescent="0.35"/>
    <row r="21224" hidden="1" x14ac:dyDescent="0.35"/>
    <row r="21225" hidden="1" x14ac:dyDescent="0.35"/>
    <row r="21226" hidden="1" x14ac:dyDescent="0.35"/>
    <row r="21227" hidden="1" x14ac:dyDescent="0.35"/>
    <row r="21228" hidden="1" x14ac:dyDescent="0.35"/>
    <row r="21229" hidden="1" x14ac:dyDescent="0.35"/>
    <row r="21230" hidden="1" x14ac:dyDescent="0.35"/>
    <row r="21231" hidden="1" x14ac:dyDescent="0.35"/>
    <row r="21232" hidden="1" x14ac:dyDescent="0.35"/>
    <row r="21233" hidden="1" x14ac:dyDescent="0.35"/>
    <row r="21234" hidden="1" x14ac:dyDescent="0.35"/>
    <row r="21235" hidden="1" x14ac:dyDescent="0.35"/>
    <row r="21236" hidden="1" x14ac:dyDescent="0.35"/>
    <row r="21237" hidden="1" x14ac:dyDescent="0.35"/>
    <row r="21238" hidden="1" x14ac:dyDescent="0.35"/>
    <row r="21239" hidden="1" x14ac:dyDescent="0.35"/>
    <row r="21240" hidden="1" x14ac:dyDescent="0.35"/>
    <row r="21241" hidden="1" x14ac:dyDescent="0.35"/>
    <row r="21242" hidden="1" x14ac:dyDescent="0.35"/>
    <row r="21243" hidden="1" x14ac:dyDescent="0.35"/>
    <row r="21244" hidden="1" x14ac:dyDescent="0.35"/>
    <row r="21245" hidden="1" x14ac:dyDescent="0.35"/>
    <row r="21246" hidden="1" x14ac:dyDescent="0.35"/>
    <row r="21247" hidden="1" x14ac:dyDescent="0.35"/>
    <row r="21248" hidden="1" x14ac:dyDescent="0.35"/>
    <row r="21249" hidden="1" x14ac:dyDescent="0.35"/>
    <row r="21250" hidden="1" x14ac:dyDescent="0.35"/>
    <row r="21251" hidden="1" x14ac:dyDescent="0.35"/>
    <row r="21252" hidden="1" x14ac:dyDescent="0.35"/>
    <row r="21253" hidden="1" x14ac:dyDescent="0.35"/>
    <row r="21254" hidden="1" x14ac:dyDescent="0.35"/>
    <row r="21255" hidden="1" x14ac:dyDescent="0.35"/>
    <row r="21256" hidden="1" x14ac:dyDescent="0.35"/>
    <row r="21257" hidden="1" x14ac:dyDescent="0.35"/>
    <row r="21258" hidden="1" x14ac:dyDescent="0.35"/>
    <row r="21259" hidden="1" x14ac:dyDescent="0.35"/>
    <row r="21260" hidden="1" x14ac:dyDescent="0.35"/>
    <row r="21261" hidden="1" x14ac:dyDescent="0.35"/>
    <row r="21262" hidden="1" x14ac:dyDescent="0.35"/>
    <row r="21263" hidden="1" x14ac:dyDescent="0.35"/>
    <row r="21264" hidden="1" x14ac:dyDescent="0.35"/>
    <row r="21265" hidden="1" x14ac:dyDescent="0.35"/>
    <row r="21266" hidden="1" x14ac:dyDescent="0.35"/>
    <row r="21267" hidden="1" x14ac:dyDescent="0.35"/>
    <row r="21268" hidden="1" x14ac:dyDescent="0.35"/>
    <row r="21269" hidden="1" x14ac:dyDescent="0.35"/>
    <row r="21270" hidden="1" x14ac:dyDescent="0.35"/>
    <row r="21271" hidden="1" x14ac:dyDescent="0.35"/>
    <row r="21272" hidden="1" x14ac:dyDescent="0.35"/>
    <row r="21273" hidden="1" x14ac:dyDescent="0.35"/>
    <row r="21274" hidden="1" x14ac:dyDescent="0.35"/>
    <row r="21275" hidden="1" x14ac:dyDescent="0.35"/>
    <row r="21276" hidden="1" x14ac:dyDescent="0.35"/>
    <row r="21277" hidden="1" x14ac:dyDescent="0.35"/>
    <row r="21278" hidden="1" x14ac:dyDescent="0.35"/>
    <row r="21279" hidden="1" x14ac:dyDescent="0.35"/>
    <row r="21280" hidden="1" x14ac:dyDescent="0.35"/>
    <row r="21281" hidden="1" x14ac:dyDescent="0.35"/>
    <row r="21282" hidden="1" x14ac:dyDescent="0.35"/>
    <row r="21283" hidden="1" x14ac:dyDescent="0.35"/>
    <row r="21284" hidden="1" x14ac:dyDescent="0.35"/>
    <row r="21285" hidden="1" x14ac:dyDescent="0.35"/>
    <row r="21286" hidden="1" x14ac:dyDescent="0.35"/>
    <row r="21287" hidden="1" x14ac:dyDescent="0.35"/>
    <row r="21288" hidden="1" x14ac:dyDescent="0.35"/>
    <row r="21289" hidden="1" x14ac:dyDescent="0.35"/>
    <row r="21290" hidden="1" x14ac:dyDescent="0.35"/>
    <row r="21291" hidden="1" x14ac:dyDescent="0.35"/>
    <row r="21292" hidden="1" x14ac:dyDescent="0.35"/>
    <row r="21293" hidden="1" x14ac:dyDescent="0.35"/>
    <row r="21294" hidden="1" x14ac:dyDescent="0.35"/>
    <row r="21295" hidden="1" x14ac:dyDescent="0.35"/>
    <row r="21296" hidden="1" x14ac:dyDescent="0.35"/>
    <row r="21297" hidden="1" x14ac:dyDescent="0.35"/>
    <row r="21298" hidden="1" x14ac:dyDescent="0.35"/>
    <row r="21299" hidden="1" x14ac:dyDescent="0.35"/>
    <row r="21300" hidden="1" x14ac:dyDescent="0.35"/>
    <row r="21301" hidden="1" x14ac:dyDescent="0.35"/>
    <row r="21302" hidden="1" x14ac:dyDescent="0.35"/>
    <row r="21303" hidden="1" x14ac:dyDescent="0.35"/>
    <row r="21304" hidden="1" x14ac:dyDescent="0.35"/>
    <row r="21305" hidden="1" x14ac:dyDescent="0.35"/>
    <row r="21306" hidden="1" x14ac:dyDescent="0.35"/>
    <row r="21307" hidden="1" x14ac:dyDescent="0.35"/>
    <row r="21308" hidden="1" x14ac:dyDescent="0.35"/>
    <row r="21309" hidden="1" x14ac:dyDescent="0.35"/>
    <row r="21310" hidden="1" x14ac:dyDescent="0.35"/>
    <row r="21311" hidden="1" x14ac:dyDescent="0.35"/>
    <row r="21312" hidden="1" x14ac:dyDescent="0.35"/>
    <row r="21313" hidden="1" x14ac:dyDescent="0.35"/>
    <row r="21314" hidden="1" x14ac:dyDescent="0.35"/>
    <row r="21315" hidden="1" x14ac:dyDescent="0.35"/>
    <row r="21316" hidden="1" x14ac:dyDescent="0.35"/>
    <row r="21317" hidden="1" x14ac:dyDescent="0.35"/>
    <row r="21318" hidden="1" x14ac:dyDescent="0.35"/>
    <row r="21319" hidden="1" x14ac:dyDescent="0.35"/>
    <row r="21320" hidden="1" x14ac:dyDescent="0.35"/>
    <row r="21321" hidden="1" x14ac:dyDescent="0.35"/>
    <row r="21322" hidden="1" x14ac:dyDescent="0.35"/>
    <row r="21323" hidden="1" x14ac:dyDescent="0.35"/>
    <row r="21324" hidden="1" x14ac:dyDescent="0.35"/>
    <row r="21325" hidden="1" x14ac:dyDescent="0.35"/>
    <row r="21326" hidden="1" x14ac:dyDescent="0.35"/>
    <row r="21327" hidden="1" x14ac:dyDescent="0.35"/>
    <row r="21328" hidden="1" x14ac:dyDescent="0.35"/>
    <row r="21329" hidden="1" x14ac:dyDescent="0.35"/>
    <row r="21330" hidden="1" x14ac:dyDescent="0.35"/>
    <row r="21331" hidden="1" x14ac:dyDescent="0.35"/>
    <row r="21332" hidden="1" x14ac:dyDescent="0.35"/>
    <row r="21333" hidden="1" x14ac:dyDescent="0.35"/>
    <row r="21334" hidden="1" x14ac:dyDescent="0.35"/>
    <row r="21335" hidden="1" x14ac:dyDescent="0.35"/>
    <row r="21336" hidden="1" x14ac:dyDescent="0.35"/>
    <row r="21337" hidden="1" x14ac:dyDescent="0.35"/>
    <row r="21338" hidden="1" x14ac:dyDescent="0.35"/>
    <row r="21339" hidden="1" x14ac:dyDescent="0.35"/>
    <row r="21340" hidden="1" x14ac:dyDescent="0.35"/>
    <row r="21341" hidden="1" x14ac:dyDescent="0.35"/>
    <row r="21342" hidden="1" x14ac:dyDescent="0.35"/>
    <row r="21343" hidden="1" x14ac:dyDescent="0.35"/>
    <row r="21344" hidden="1" x14ac:dyDescent="0.35"/>
    <row r="21345" hidden="1" x14ac:dyDescent="0.35"/>
    <row r="21346" hidden="1" x14ac:dyDescent="0.35"/>
    <row r="21347" hidden="1" x14ac:dyDescent="0.35"/>
    <row r="21348" hidden="1" x14ac:dyDescent="0.35"/>
    <row r="21349" hidden="1" x14ac:dyDescent="0.35"/>
    <row r="21350" hidden="1" x14ac:dyDescent="0.35"/>
    <row r="21351" hidden="1" x14ac:dyDescent="0.35"/>
    <row r="21352" hidden="1" x14ac:dyDescent="0.35"/>
    <row r="21353" hidden="1" x14ac:dyDescent="0.35"/>
    <row r="21354" hidden="1" x14ac:dyDescent="0.35"/>
    <row r="21355" hidden="1" x14ac:dyDescent="0.35"/>
    <row r="21356" hidden="1" x14ac:dyDescent="0.35"/>
    <row r="21357" hidden="1" x14ac:dyDescent="0.35"/>
    <row r="21358" hidden="1" x14ac:dyDescent="0.35"/>
    <row r="21359" hidden="1" x14ac:dyDescent="0.35"/>
    <row r="21360" hidden="1" x14ac:dyDescent="0.35"/>
    <row r="21361" hidden="1" x14ac:dyDescent="0.35"/>
    <row r="21362" hidden="1" x14ac:dyDescent="0.35"/>
    <row r="21363" hidden="1" x14ac:dyDescent="0.35"/>
    <row r="21364" hidden="1" x14ac:dyDescent="0.35"/>
    <row r="21365" hidden="1" x14ac:dyDescent="0.35"/>
    <row r="21366" hidden="1" x14ac:dyDescent="0.35"/>
    <row r="21367" hidden="1" x14ac:dyDescent="0.35"/>
    <row r="21368" hidden="1" x14ac:dyDescent="0.35"/>
    <row r="21369" hidden="1" x14ac:dyDescent="0.35"/>
    <row r="21370" hidden="1" x14ac:dyDescent="0.35"/>
    <row r="21371" hidden="1" x14ac:dyDescent="0.35"/>
    <row r="21372" hidden="1" x14ac:dyDescent="0.35"/>
    <row r="21373" hidden="1" x14ac:dyDescent="0.35"/>
    <row r="21374" hidden="1" x14ac:dyDescent="0.35"/>
    <row r="21375" hidden="1" x14ac:dyDescent="0.35"/>
    <row r="21376" hidden="1" x14ac:dyDescent="0.35"/>
    <row r="21377" hidden="1" x14ac:dyDescent="0.35"/>
    <row r="21378" hidden="1" x14ac:dyDescent="0.35"/>
    <row r="21379" hidden="1" x14ac:dyDescent="0.35"/>
    <row r="21380" hidden="1" x14ac:dyDescent="0.35"/>
    <row r="21381" hidden="1" x14ac:dyDescent="0.35"/>
    <row r="21382" hidden="1" x14ac:dyDescent="0.35"/>
    <row r="21383" hidden="1" x14ac:dyDescent="0.35"/>
    <row r="21384" hidden="1" x14ac:dyDescent="0.35"/>
    <row r="21385" hidden="1" x14ac:dyDescent="0.35"/>
    <row r="21386" hidden="1" x14ac:dyDescent="0.35"/>
    <row r="21387" hidden="1" x14ac:dyDescent="0.35"/>
    <row r="21388" hidden="1" x14ac:dyDescent="0.35"/>
    <row r="21389" hidden="1" x14ac:dyDescent="0.35"/>
    <row r="21390" hidden="1" x14ac:dyDescent="0.35"/>
    <row r="21391" hidden="1" x14ac:dyDescent="0.35"/>
    <row r="21392" hidden="1" x14ac:dyDescent="0.35"/>
    <row r="21393" hidden="1" x14ac:dyDescent="0.35"/>
    <row r="21394" hidden="1" x14ac:dyDescent="0.35"/>
    <row r="21395" hidden="1" x14ac:dyDescent="0.35"/>
    <row r="21396" hidden="1" x14ac:dyDescent="0.35"/>
    <row r="21397" hidden="1" x14ac:dyDescent="0.35"/>
    <row r="21398" hidden="1" x14ac:dyDescent="0.35"/>
    <row r="21399" hidden="1" x14ac:dyDescent="0.35"/>
    <row r="21400" hidden="1" x14ac:dyDescent="0.35"/>
    <row r="21401" hidden="1" x14ac:dyDescent="0.35"/>
    <row r="21402" hidden="1" x14ac:dyDescent="0.35"/>
    <row r="21403" hidden="1" x14ac:dyDescent="0.35"/>
    <row r="21404" hidden="1" x14ac:dyDescent="0.35"/>
    <row r="21405" hidden="1" x14ac:dyDescent="0.35"/>
    <row r="21406" hidden="1" x14ac:dyDescent="0.35"/>
    <row r="21407" hidden="1" x14ac:dyDescent="0.35"/>
    <row r="21408" hidden="1" x14ac:dyDescent="0.35"/>
    <row r="21409" hidden="1" x14ac:dyDescent="0.35"/>
    <row r="21410" hidden="1" x14ac:dyDescent="0.35"/>
    <row r="21411" hidden="1" x14ac:dyDescent="0.35"/>
    <row r="21412" hidden="1" x14ac:dyDescent="0.35"/>
    <row r="21413" hidden="1" x14ac:dyDescent="0.35"/>
    <row r="21414" hidden="1" x14ac:dyDescent="0.35"/>
    <row r="21415" hidden="1" x14ac:dyDescent="0.35"/>
    <row r="21416" hidden="1" x14ac:dyDescent="0.35"/>
    <row r="21417" hidden="1" x14ac:dyDescent="0.35"/>
    <row r="21418" hidden="1" x14ac:dyDescent="0.35"/>
    <row r="21419" hidden="1" x14ac:dyDescent="0.35"/>
    <row r="21420" hidden="1" x14ac:dyDescent="0.35"/>
    <row r="21421" hidden="1" x14ac:dyDescent="0.35"/>
    <row r="21422" hidden="1" x14ac:dyDescent="0.35"/>
    <row r="21423" hidden="1" x14ac:dyDescent="0.35"/>
    <row r="21424" hidden="1" x14ac:dyDescent="0.35"/>
    <row r="21425" hidden="1" x14ac:dyDescent="0.35"/>
    <row r="21426" hidden="1" x14ac:dyDescent="0.35"/>
    <row r="21427" hidden="1" x14ac:dyDescent="0.35"/>
    <row r="21428" hidden="1" x14ac:dyDescent="0.35"/>
    <row r="21429" hidden="1" x14ac:dyDescent="0.35"/>
    <row r="21430" hidden="1" x14ac:dyDescent="0.35"/>
    <row r="21431" hidden="1" x14ac:dyDescent="0.35"/>
    <row r="21432" hidden="1" x14ac:dyDescent="0.35"/>
    <row r="21433" hidden="1" x14ac:dyDescent="0.35"/>
    <row r="21434" hidden="1" x14ac:dyDescent="0.35"/>
    <row r="21435" hidden="1" x14ac:dyDescent="0.35"/>
    <row r="21436" hidden="1" x14ac:dyDescent="0.35"/>
    <row r="21437" hidden="1" x14ac:dyDescent="0.35"/>
    <row r="21438" hidden="1" x14ac:dyDescent="0.35"/>
    <row r="21439" hidden="1" x14ac:dyDescent="0.35"/>
    <row r="21440" hidden="1" x14ac:dyDescent="0.35"/>
    <row r="21441" hidden="1" x14ac:dyDescent="0.35"/>
    <row r="21442" hidden="1" x14ac:dyDescent="0.35"/>
    <row r="21443" hidden="1" x14ac:dyDescent="0.35"/>
    <row r="21444" hidden="1" x14ac:dyDescent="0.35"/>
    <row r="21445" hidden="1" x14ac:dyDescent="0.35"/>
    <row r="21446" hidden="1" x14ac:dyDescent="0.35"/>
    <row r="21447" hidden="1" x14ac:dyDescent="0.35"/>
    <row r="21448" hidden="1" x14ac:dyDescent="0.35"/>
    <row r="21449" hidden="1" x14ac:dyDescent="0.35"/>
    <row r="21450" hidden="1" x14ac:dyDescent="0.35"/>
    <row r="21451" hidden="1" x14ac:dyDescent="0.35"/>
    <row r="21452" hidden="1" x14ac:dyDescent="0.35"/>
    <row r="21453" hidden="1" x14ac:dyDescent="0.35"/>
    <row r="21454" hidden="1" x14ac:dyDescent="0.35"/>
    <row r="21455" hidden="1" x14ac:dyDescent="0.35"/>
    <row r="21456" hidden="1" x14ac:dyDescent="0.35"/>
    <row r="21457" hidden="1" x14ac:dyDescent="0.35"/>
    <row r="21458" hidden="1" x14ac:dyDescent="0.35"/>
    <row r="21459" hidden="1" x14ac:dyDescent="0.35"/>
    <row r="21460" hidden="1" x14ac:dyDescent="0.35"/>
    <row r="21461" hidden="1" x14ac:dyDescent="0.35"/>
    <row r="21462" hidden="1" x14ac:dyDescent="0.35"/>
    <row r="21463" hidden="1" x14ac:dyDescent="0.35"/>
    <row r="21464" hidden="1" x14ac:dyDescent="0.35"/>
    <row r="21465" hidden="1" x14ac:dyDescent="0.35"/>
    <row r="21466" hidden="1" x14ac:dyDescent="0.35"/>
    <row r="21467" hidden="1" x14ac:dyDescent="0.35"/>
    <row r="21468" hidden="1" x14ac:dyDescent="0.35"/>
    <row r="21469" hidden="1" x14ac:dyDescent="0.35"/>
    <row r="21470" hidden="1" x14ac:dyDescent="0.35"/>
    <row r="21471" hidden="1" x14ac:dyDescent="0.35"/>
    <row r="21472" hidden="1" x14ac:dyDescent="0.35"/>
    <row r="21473" hidden="1" x14ac:dyDescent="0.35"/>
    <row r="21474" hidden="1" x14ac:dyDescent="0.35"/>
    <row r="21475" hidden="1" x14ac:dyDescent="0.35"/>
    <row r="21476" hidden="1" x14ac:dyDescent="0.35"/>
    <row r="21477" hidden="1" x14ac:dyDescent="0.35"/>
    <row r="21478" hidden="1" x14ac:dyDescent="0.35"/>
    <row r="21479" hidden="1" x14ac:dyDescent="0.35"/>
    <row r="21480" hidden="1" x14ac:dyDescent="0.35"/>
    <row r="21481" hidden="1" x14ac:dyDescent="0.35"/>
    <row r="21482" hidden="1" x14ac:dyDescent="0.35"/>
    <row r="21483" hidden="1" x14ac:dyDescent="0.35"/>
    <row r="21484" hidden="1" x14ac:dyDescent="0.35"/>
    <row r="21485" hidden="1" x14ac:dyDescent="0.35"/>
    <row r="21486" hidden="1" x14ac:dyDescent="0.35"/>
    <row r="21487" hidden="1" x14ac:dyDescent="0.35"/>
    <row r="21488" hidden="1" x14ac:dyDescent="0.35"/>
    <row r="21489" hidden="1" x14ac:dyDescent="0.35"/>
    <row r="21490" hidden="1" x14ac:dyDescent="0.35"/>
    <row r="21491" hidden="1" x14ac:dyDescent="0.35"/>
    <row r="21492" hidden="1" x14ac:dyDescent="0.35"/>
    <row r="21493" hidden="1" x14ac:dyDescent="0.35"/>
    <row r="21494" hidden="1" x14ac:dyDescent="0.35"/>
    <row r="21495" hidden="1" x14ac:dyDescent="0.35"/>
    <row r="21496" hidden="1" x14ac:dyDescent="0.35"/>
    <row r="21497" hidden="1" x14ac:dyDescent="0.35"/>
    <row r="21498" hidden="1" x14ac:dyDescent="0.35"/>
    <row r="21499" hidden="1" x14ac:dyDescent="0.35"/>
    <row r="21500" hidden="1" x14ac:dyDescent="0.35"/>
    <row r="21501" hidden="1" x14ac:dyDescent="0.35"/>
    <row r="21502" hidden="1" x14ac:dyDescent="0.35"/>
    <row r="21503" hidden="1" x14ac:dyDescent="0.35"/>
    <row r="21504" hidden="1" x14ac:dyDescent="0.35"/>
    <row r="21505" hidden="1" x14ac:dyDescent="0.35"/>
    <row r="21506" hidden="1" x14ac:dyDescent="0.35"/>
    <row r="21507" hidden="1" x14ac:dyDescent="0.35"/>
    <row r="21508" hidden="1" x14ac:dyDescent="0.35"/>
    <row r="21509" hidden="1" x14ac:dyDescent="0.35"/>
    <row r="21510" hidden="1" x14ac:dyDescent="0.35"/>
    <row r="21511" hidden="1" x14ac:dyDescent="0.35"/>
    <row r="21512" hidden="1" x14ac:dyDescent="0.35"/>
    <row r="21513" hidden="1" x14ac:dyDescent="0.35"/>
    <row r="21514" hidden="1" x14ac:dyDescent="0.35"/>
    <row r="21515" hidden="1" x14ac:dyDescent="0.35"/>
    <row r="21516" hidden="1" x14ac:dyDescent="0.35"/>
    <row r="21517" hidden="1" x14ac:dyDescent="0.35"/>
    <row r="21518" hidden="1" x14ac:dyDescent="0.35"/>
    <row r="21519" hidden="1" x14ac:dyDescent="0.35"/>
    <row r="21520" hidden="1" x14ac:dyDescent="0.35"/>
    <row r="21521" hidden="1" x14ac:dyDescent="0.35"/>
    <row r="21522" hidden="1" x14ac:dyDescent="0.35"/>
    <row r="21523" hidden="1" x14ac:dyDescent="0.35"/>
    <row r="21524" hidden="1" x14ac:dyDescent="0.35"/>
    <row r="21525" hidden="1" x14ac:dyDescent="0.35"/>
    <row r="21526" hidden="1" x14ac:dyDescent="0.35"/>
    <row r="21527" hidden="1" x14ac:dyDescent="0.35"/>
    <row r="21528" hidden="1" x14ac:dyDescent="0.35"/>
    <row r="21529" hidden="1" x14ac:dyDescent="0.35"/>
    <row r="21530" hidden="1" x14ac:dyDescent="0.35"/>
    <row r="21531" hidden="1" x14ac:dyDescent="0.35"/>
    <row r="21532" hidden="1" x14ac:dyDescent="0.35"/>
    <row r="21533" hidden="1" x14ac:dyDescent="0.35"/>
    <row r="21534" hidden="1" x14ac:dyDescent="0.35"/>
    <row r="21535" hidden="1" x14ac:dyDescent="0.35"/>
    <row r="21536" hidden="1" x14ac:dyDescent="0.35"/>
    <row r="21537" hidden="1" x14ac:dyDescent="0.35"/>
    <row r="21538" hidden="1" x14ac:dyDescent="0.35"/>
    <row r="21539" hidden="1" x14ac:dyDescent="0.35"/>
    <row r="21540" hidden="1" x14ac:dyDescent="0.35"/>
    <row r="21541" hidden="1" x14ac:dyDescent="0.35"/>
    <row r="21542" hidden="1" x14ac:dyDescent="0.35"/>
    <row r="21543" hidden="1" x14ac:dyDescent="0.35"/>
    <row r="21544" hidden="1" x14ac:dyDescent="0.35"/>
    <row r="21545" hidden="1" x14ac:dyDescent="0.35"/>
    <row r="21546" hidden="1" x14ac:dyDescent="0.35"/>
    <row r="21547" hidden="1" x14ac:dyDescent="0.35"/>
    <row r="21548" hidden="1" x14ac:dyDescent="0.35"/>
    <row r="21549" hidden="1" x14ac:dyDescent="0.35"/>
    <row r="21550" hidden="1" x14ac:dyDescent="0.35"/>
    <row r="21551" hidden="1" x14ac:dyDescent="0.35"/>
    <row r="21552" hidden="1" x14ac:dyDescent="0.35"/>
    <row r="21553" hidden="1" x14ac:dyDescent="0.35"/>
    <row r="21554" hidden="1" x14ac:dyDescent="0.35"/>
    <row r="21555" hidden="1" x14ac:dyDescent="0.35"/>
    <row r="21556" hidden="1" x14ac:dyDescent="0.35"/>
    <row r="21557" hidden="1" x14ac:dyDescent="0.35"/>
    <row r="21558" hidden="1" x14ac:dyDescent="0.35"/>
    <row r="21559" hidden="1" x14ac:dyDescent="0.35"/>
    <row r="21560" hidden="1" x14ac:dyDescent="0.35"/>
    <row r="21561" hidden="1" x14ac:dyDescent="0.35"/>
    <row r="21562" hidden="1" x14ac:dyDescent="0.35"/>
    <row r="21563" hidden="1" x14ac:dyDescent="0.35"/>
    <row r="21564" hidden="1" x14ac:dyDescent="0.35"/>
    <row r="21565" hidden="1" x14ac:dyDescent="0.35"/>
    <row r="21566" hidden="1" x14ac:dyDescent="0.35"/>
    <row r="21567" hidden="1" x14ac:dyDescent="0.35"/>
    <row r="21568" hidden="1" x14ac:dyDescent="0.35"/>
    <row r="21569" hidden="1" x14ac:dyDescent="0.35"/>
    <row r="21570" hidden="1" x14ac:dyDescent="0.35"/>
    <row r="21571" hidden="1" x14ac:dyDescent="0.35"/>
    <row r="21572" hidden="1" x14ac:dyDescent="0.35"/>
    <row r="21573" hidden="1" x14ac:dyDescent="0.35"/>
    <row r="21574" hidden="1" x14ac:dyDescent="0.35"/>
    <row r="21575" hidden="1" x14ac:dyDescent="0.35"/>
    <row r="21576" hidden="1" x14ac:dyDescent="0.35"/>
    <row r="21577" hidden="1" x14ac:dyDescent="0.35"/>
    <row r="21578" hidden="1" x14ac:dyDescent="0.35"/>
    <row r="21579" hidden="1" x14ac:dyDescent="0.35"/>
    <row r="21580" hidden="1" x14ac:dyDescent="0.35"/>
    <row r="21581" hidden="1" x14ac:dyDescent="0.35"/>
    <row r="21582" hidden="1" x14ac:dyDescent="0.35"/>
    <row r="21583" hidden="1" x14ac:dyDescent="0.35"/>
    <row r="21584" hidden="1" x14ac:dyDescent="0.35"/>
    <row r="21585" hidden="1" x14ac:dyDescent="0.35"/>
    <row r="21586" hidden="1" x14ac:dyDescent="0.35"/>
    <row r="21587" hidden="1" x14ac:dyDescent="0.35"/>
    <row r="21588" hidden="1" x14ac:dyDescent="0.35"/>
    <row r="21589" hidden="1" x14ac:dyDescent="0.35"/>
    <row r="21590" hidden="1" x14ac:dyDescent="0.35"/>
    <row r="21591" hidden="1" x14ac:dyDescent="0.35"/>
    <row r="21592" hidden="1" x14ac:dyDescent="0.35"/>
    <row r="21593" hidden="1" x14ac:dyDescent="0.35"/>
    <row r="21594" hidden="1" x14ac:dyDescent="0.35"/>
    <row r="21595" hidden="1" x14ac:dyDescent="0.35"/>
    <row r="21596" hidden="1" x14ac:dyDescent="0.35"/>
    <row r="21597" hidden="1" x14ac:dyDescent="0.35"/>
    <row r="21598" hidden="1" x14ac:dyDescent="0.35"/>
    <row r="21599" hidden="1" x14ac:dyDescent="0.35"/>
    <row r="21600" hidden="1" x14ac:dyDescent="0.35"/>
    <row r="21601" hidden="1" x14ac:dyDescent="0.35"/>
    <row r="21602" hidden="1" x14ac:dyDescent="0.35"/>
    <row r="21603" hidden="1" x14ac:dyDescent="0.35"/>
    <row r="21604" hidden="1" x14ac:dyDescent="0.35"/>
    <row r="21605" hidden="1" x14ac:dyDescent="0.35"/>
    <row r="21606" hidden="1" x14ac:dyDescent="0.35"/>
    <row r="21607" hidden="1" x14ac:dyDescent="0.35"/>
    <row r="21608" hidden="1" x14ac:dyDescent="0.35"/>
    <row r="21609" hidden="1" x14ac:dyDescent="0.35"/>
    <row r="21610" hidden="1" x14ac:dyDescent="0.35"/>
    <row r="21611" hidden="1" x14ac:dyDescent="0.35"/>
    <row r="21612" hidden="1" x14ac:dyDescent="0.35"/>
    <row r="21613" hidden="1" x14ac:dyDescent="0.35"/>
    <row r="21614" hidden="1" x14ac:dyDescent="0.35"/>
    <row r="21615" hidden="1" x14ac:dyDescent="0.35"/>
    <row r="21616" hidden="1" x14ac:dyDescent="0.35"/>
    <row r="21617" hidden="1" x14ac:dyDescent="0.35"/>
    <row r="21618" hidden="1" x14ac:dyDescent="0.35"/>
    <row r="21619" hidden="1" x14ac:dyDescent="0.35"/>
    <row r="21620" hidden="1" x14ac:dyDescent="0.35"/>
    <row r="21621" hidden="1" x14ac:dyDescent="0.35"/>
    <row r="21622" hidden="1" x14ac:dyDescent="0.35"/>
    <row r="21623" hidden="1" x14ac:dyDescent="0.35"/>
    <row r="21624" hidden="1" x14ac:dyDescent="0.35"/>
    <row r="21625" hidden="1" x14ac:dyDescent="0.35"/>
    <row r="21626" hidden="1" x14ac:dyDescent="0.35"/>
    <row r="21627" hidden="1" x14ac:dyDescent="0.35"/>
    <row r="21628" hidden="1" x14ac:dyDescent="0.35"/>
    <row r="21629" hidden="1" x14ac:dyDescent="0.35"/>
    <row r="21630" hidden="1" x14ac:dyDescent="0.35"/>
    <row r="21631" hidden="1" x14ac:dyDescent="0.35"/>
    <row r="21632" hidden="1" x14ac:dyDescent="0.35"/>
    <row r="21633" hidden="1" x14ac:dyDescent="0.35"/>
    <row r="21634" hidden="1" x14ac:dyDescent="0.35"/>
    <row r="21635" hidden="1" x14ac:dyDescent="0.35"/>
    <row r="21636" hidden="1" x14ac:dyDescent="0.35"/>
    <row r="21637" hidden="1" x14ac:dyDescent="0.35"/>
    <row r="21638" hidden="1" x14ac:dyDescent="0.35"/>
    <row r="21639" hidden="1" x14ac:dyDescent="0.35"/>
    <row r="21640" hidden="1" x14ac:dyDescent="0.35"/>
    <row r="21641" hidden="1" x14ac:dyDescent="0.35"/>
    <row r="21642" hidden="1" x14ac:dyDescent="0.35"/>
    <row r="21643" hidden="1" x14ac:dyDescent="0.35"/>
    <row r="21644" hidden="1" x14ac:dyDescent="0.35"/>
    <row r="21645" hidden="1" x14ac:dyDescent="0.35"/>
    <row r="21646" hidden="1" x14ac:dyDescent="0.35"/>
    <row r="21647" hidden="1" x14ac:dyDescent="0.35"/>
    <row r="21648" hidden="1" x14ac:dyDescent="0.35"/>
    <row r="21649" hidden="1" x14ac:dyDescent="0.35"/>
    <row r="21650" hidden="1" x14ac:dyDescent="0.35"/>
    <row r="21651" hidden="1" x14ac:dyDescent="0.35"/>
    <row r="21652" hidden="1" x14ac:dyDescent="0.35"/>
    <row r="21653" hidden="1" x14ac:dyDescent="0.35"/>
    <row r="21654" hidden="1" x14ac:dyDescent="0.35"/>
    <row r="21655" hidden="1" x14ac:dyDescent="0.35"/>
    <row r="21656" hidden="1" x14ac:dyDescent="0.35"/>
    <row r="21657" hidden="1" x14ac:dyDescent="0.35"/>
    <row r="21658" hidden="1" x14ac:dyDescent="0.35"/>
    <row r="21659" hidden="1" x14ac:dyDescent="0.35"/>
    <row r="21660" hidden="1" x14ac:dyDescent="0.35"/>
    <row r="21661" hidden="1" x14ac:dyDescent="0.35"/>
    <row r="21662" hidden="1" x14ac:dyDescent="0.35"/>
    <row r="21663" hidden="1" x14ac:dyDescent="0.35"/>
    <row r="21664" hidden="1" x14ac:dyDescent="0.35"/>
    <row r="21665" hidden="1" x14ac:dyDescent="0.35"/>
    <row r="21666" hidden="1" x14ac:dyDescent="0.35"/>
    <row r="21667" hidden="1" x14ac:dyDescent="0.35"/>
    <row r="21668" hidden="1" x14ac:dyDescent="0.35"/>
    <row r="21669" hidden="1" x14ac:dyDescent="0.35"/>
    <row r="21670" hidden="1" x14ac:dyDescent="0.35"/>
    <row r="21671" hidden="1" x14ac:dyDescent="0.35"/>
    <row r="21672" hidden="1" x14ac:dyDescent="0.35"/>
    <row r="21673" hidden="1" x14ac:dyDescent="0.35"/>
    <row r="21674" hidden="1" x14ac:dyDescent="0.35"/>
    <row r="21675" hidden="1" x14ac:dyDescent="0.35"/>
    <row r="21676" hidden="1" x14ac:dyDescent="0.35"/>
    <row r="21677" hidden="1" x14ac:dyDescent="0.35"/>
    <row r="21678" hidden="1" x14ac:dyDescent="0.35"/>
    <row r="21679" hidden="1" x14ac:dyDescent="0.35"/>
    <row r="21680" hidden="1" x14ac:dyDescent="0.35"/>
    <row r="21681" hidden="1" x14ac:dyDescent="0.35"/>
    <row r="21682" hidden="1" x14ac:dyDescent="0.35"/>
    <row r="21683" hidden="1" x14ac:dyDescent="0.35"/>
    <row r="21684" hidden="1" x14ac:dyDescent="0.35"/>
    <row r="21685" hidden="1" x14ac:dyDescent="0.35"/>
    <row r="21686" hidden="1" x14ac:dyDescent="0.35"/>
    <row r="21687" hidden="1" x14ac:dyDescent="0.35"/>
    <row r="21688" hidden="1" x14ac:dyDescent="0.35"/>
    <row r="21689" hidden="1" x14ac:dyDescent="0.35"/>
    <row r="21690" hidden="1" x14ac:dyDescent="0.35"/>
    <row r="21691" hidden="1" x14ac:dyDescent="0.35"/>
    <row r="21692" hidden="1" x14ac:dyDescent="0.35"/>
    <row r="21693" hidden="1" x14ac:dyDescent="0.35"/>
    <row r="21694" hidden="1" x14ac:dyDescent="0.35"/>
    <row r="21695" hidden="1" x14ac:dyDescent="0.35"/>
    <row r="21696" hidden="1" x14ac:dyDescent="0.35"/>
    <row r="21697" hidden="1" x14ac:dyDescent="0.35"/>
    <row r="21698" hidden="1" x14ac:dyDescent="0.35"/>
    <row r="21699" hidden="1" x14ac:dyDescent="0.35"/>
    <row r="21700" hidden="1" x14ac:dyDescent="0.35"/>
    <row r="21701" hidden="1" x14ac:dyDescent="0.35"/>
    <row r="21702" hidden="1" x14ac:dyDescent="0.35"/>
    <row r="21703" hidden="1" x14ac:dyDescent="0.35"/>
    <row r="21704" hidden="1" x14ac:dyDescent="0.35"/>
    <row r="21705" hidden="1" x14ac:dyDescent="0.35"/>
    <row r="21706" hidden="1" x14ac:dyDescent="0.35"/>
    <row r="21707" hidden="1" x14ac:dyDescent="0.35"/>
    <row r="21708" hidden="1" x14ac:dyDescent="0.35"/>
    <row r="21709" hidden="1" x14ac:dyDescent="0.35"/>
    <row r="21710" hidden="1" x14ac:dyDescent="0.35"/>
    <row r="21711" hidden="1" x14ac:dyDescent="0.35"/>
    <row r="21712" hidden="1" x14ac:dyDescent="0.35"/>
    <row r="21713" hidden="1" x14ac:dyDescent="0.35"/>
    <row r="21714" hidden="1" x14ac:dyDescent="0.35"/>
    <row r="21715" hidden="1" x14ac:dyDescent="0.35"/>
    <row r="21716" hidden="1" x14ac:dyDescent="0.35"/>
    <row r="21717" hidden="1" x14ac:dyDescent="0.35"/>
    <row r="21718" hidden="1" x14ac:dyDescent="0.35"/>
    <row r="21719" hidden="1" x14ac:dyDescent="0.35"/>
    <row r="21720" hidden="1" x14ac:dyDescent="0.35"/>
    <row r="21721" hidden="1" x14ac:dyDescent="0.35"/>
    <row r="21722" hidden="1" x14ac:dyDescent="0.35"/>
    <row r="21723" hidden="1" x14ac:dyDescent="0.35"/>
    <row r="21724" hidden="1" x14ac:dyDescent="0.35"/>
    <row r="21725" hidden="1" x14ac:dyDescent="0.35"/>
    <row r="21726" hidden="1" x14ac:dyDescent="0.35"/>
    <row r="21727" hidden="1" x14ac:dyDescent="0.35"/>
    <row r="21728" hidden="1" x14ac:dyDescent="0.35"/>
    <row r="21729" hidden="1" x14ac:dyDescent="0.35"/>
    <row r="21730" hidden="1" x14ac:dyDescent="0.35"/>
    <row r="21731" hidden="1" x14ac:dyDescent="0.35"/>
    <row r="21732" hidden="1" x14ac:dyDescent="0.35"/>
    <row r="21733" hidden="1" x14ac:dyDescent="0.35"/>
    <row r="21734" hidden="1" x14ac:dyDescent="0.35"/>
    <row r="21735" hidden="1" x14ac:dyDescent="0.35"/>
    <row r="21736" hidden="1" x14ac:dyDescent="0.35"/>
    <row r="21737" hidden="1" x14ac:dyDescent="0.35"/>
    <row r="21738" hidden="1" x14ac:dyDescent="0.35"/>
    <row r="21739" hidden="1" x14ac:dyDescent="0.35"/>
    <row r="21740" hidden="1" x14ac:dyDescent="0.35"/>
    <row r="21741" hidden="1" x14ac:dyDescent="0.35"/>
    <row r="21742" hidden="1" x14ac:dyDescent="0.35"/>
    <row r="21743" hidden="1" x14ac:dyDescent="0.35"/>
    <row r="21744" hidden="1" x14ac:dyDescent="0.35"/>
    <row r="21745" hidden="1" x14ac:dyDescent="0.35"/>
    <row r="21746" hidden="1" x14ac:dyDescent="0.35"/>
    <row r="21747" hidden="1" x14ac:dyDescent="0.35"/>
    <row r="21748" hidden="1" x14ac:dyDescent="0.35"/>
    <row r="21749" hidden="1" x14ac:dyDescent="0.35"/>
    <row r="21750" hidden="1" x14ac:dyDescent="0.35"/>
    <row r="21751" hidden="1" x14ac:dyDescent="0.35"/>
    <row r="21752" hidden="1" x14ac:dyDescent="0.35"/>
    <row r="21753" hidden="1" x14ac:dyDescent="0.35"/>
    <row r="21754" hidden="1" x14ac:dyDescent="0.35"/>
    <row r="21755" hidden="1" x14ac:dyDescent="0.35"/>
    <row r="21756" hidden="1" x14ac:dyDescent="0.35"/>
    <row r="21757" hidden="1" x14ac:dyDescent="0.35"/>
    <row r="21758" hidden="1" x14ac:dyDescent="0.35"/>
    <row r="21759" hidden="1" x14ac:dyDescent="0.35"/>
    <row r="21760" hidden="1" x14ac:dyDescent="0.35"/>
    <row r="21761" hidden="1" x14ac:dyDescent="0.35"/>
    <row r="21762" hidden="1" x14ac:dyDescent="0.35"/>
    <row r="21763" hidden="1" x14ac:dyDescent="0.35"/>
    <row r="21764" hidden="1" x14ac:dyDescent="0.35"/>
    <row r="21765" hidden="1" x14ac:dyDescent="0.35"/>
    <row r="21766" hidden="1" x14ac:dyDescent="0.35"/>
    <row r="21767" hidden="1" x14ac:dyDescent="0.35"/>
    <row r="21768" hidden="1" x14ac:dyDescent="0.35"/>
    <row r="21769" hidden="1" x14ac:dyDescent="0.35"/>
    <row r="21770" hidden="1" x14ac:dyDescent="0.35"/>
    <row r="21771" hidden="1" x14ac:dyDescent="0.35"/>
    <row r="21772" hidden="1" x14ac:dyDescent="0.35"/>
    <row r="21773" hidden="1" x14ac:dyDescent="0.35"/>
    <row r="21774" hidden="1" x14ac:dyDescent="0.35"/>
    <row r="21775" hidden="1" x14ac:dyDescent="0.35"/>
    <row r="21776" hidden="1" x14ac:dyDescent="0.35"/>
    <row r="21777" hidden="1" x14ac:dyDescent="0.35"/>
    <row r="21778" hidden="1" x14ac:dyDescent="0.35"/>
    <row r="21779" hidden="1" x14ac:dyDescent="0.35"/>
    <row r="21780" hidden="1" x14ac:dyDescent="0.35"/>
    <row r="21781" hidden="1" x14ac:dyDescent="0.35"/>
    <row r="21782" hidden="1" x14ac:dyDescent="0.35"/>
    <row r="21783" hidden="1" x14ac:dyDescent="0.35"/>
    <row r="21784" hidden="1" x14ac:dyDescent="0.35"/>
    <row r="21785" hidden="1" x14ac:dyDescent="0.35"/>
    <row r="21786" hidden="1" x14ac:dyDescent="0.35"/>
    <row r="21787" hidden="1" x14ac:dyDescent="0.35"/>
    <row r="21788" hidden="1" x14ac:dyDescent="0.35"/>
    <row r="21789" hidden="1" x14ac:dyDescent="0.35"/>
    <row r="21790" hidden="1" x14ac:dyDescent="0.35"/>
    <row r="21791" hidden="1" x14ac:dyDescent="0.35"/>
    <row r="21792" hidden="1" x14ac:dyDescent="0.35"/>
    <row r="21793" hidden="1" x14ac:dyDescent="0.35"/>
    <row r="21794" hidden="1" x14ac:dyDescent="0.35"/>
    <row r="21795" hidden="1" x14ac:dyDescent="0.35"/>
    <row r="21796" hidden="1" x14ac:dyDescent="0.35"/>
    <row r="21797" hidden="1" x14ac:dyDescent="0.35"/>
    <row r="21798" hidden="1" x14ac:dyDescent="0.35"/>
    <row r="21799" hidden="1" x14ac:dyDescent="0.35"/>
    <row r="21800" hidden="1" x14ac:dyDescent="0.35"/>
    <row r="21801" hidden="1" x14ac:dyDescent="0.35"/>
    <row r="21802" hidden="1" x14ac:dyDescent="0.35"/>
    <row r="21803" hidden="1" x14ac:dyDescent="0.35"/>
    <row r="21804" hidden="1" x14ac:dyDescent="0.35"/>
    <row r="21805" hidden="1" x14ac:dyDescent="0.35"/>
    <row r="21806" hidden="1" x14ac:dyDescent="0.35"/>
    <row r="21807" hidden="1" x14ac:dyDescent="0.35"/>
    <row r="21808" hidden="1" x14ac:dyDescent="0.35"/>
    <row r="21809" hidden="1" x14ac:dyDescent="0.35"/>
    <row r="21810" hidden="1" x14ac:dyDescent="0.35"/>
    <row r="21811" hidden="1" x14ac:dyDescent="0.35"/>
    <row r="21812" hidden="1" x14ac:dyDescent="0.35"/>
    <row r="21813" hidden="1" x14ac:dyDescent="0.35"/>
    <row r="21814" hidden="1" x14ac:dyDescent="0.35"/>
    <row r="21815" hidden="1" x14ac:dyDescent="0.35"/>
    <row r="21816" hidden="1" x14ac:dyDescent="0.35"/>
    <row r="21817" hidden="1" x14ac:dyDescent="0.35"/>
    <row r="21818" hidden="1" x14ac:dyDescent="0.35"/>
    <row r="21819" hidden="1" x14ac:dyDescent="0.35"/>
    <row r="21820" hidden="1" x14ac:dyDescent="0.35"/>
    <row r="21821" hidden="1" x14ac:dyDescent="0.35"/>
    <row r="21822" hidden="1" x14ac:dyDescent="0.35"/>
    <row r="21823" hidden="1" x14ac:dyDescent="0.35"/>
    <row r="21824" hidden="1" x14ac:dyDescent="0.35"/>
    <row r="21825" hidden="1" x14ac:dyDescent="0.35"/>
    <row r="21826" hidden="1" x14ac:dyDescent="0.35"/>
    <row r="21827" hidden="1" x14ac:dyDescent="0.35"/>
    <row r="21828" hidden="1" x14ac:dyDescent="0.35"/>
    <row r="21829" hidden="1" x14ac:dyDescent="0.35"/>
    <row r="21830" hidden="1" x14ac:dyDescent="0.35"/>
    <row r="21831" hidden="1" x14ac:dyDescent="0.35"/>
    <row r="21832" hidden="1" x14ac:dyDescent="0.35"/>
    <row r="21833" hidden="1" x14ac:dyDescent="0.35"/>
    <row r="21834" hidden="1" x14ac:dyDescent="0.35"/>
    <row r="21835" hidden="1" x14ac:dyDescent="0.35"/>
    <row r="21836" hidden="1" x14ac:dyDescent="0.35"/>
    <row r="21837" hidden="1" x14ac:dyDescent="0.35"/>
    <row r="21838" hidden="1" x14ac:dyDescent="0.35"/>
    <row r="21839" hidden="1" x14ac:dyDescent="0.35"/>
    <row r="21840" hidden="1" x14ac:dyDescent="0.35"/>
    <row r="21841" hidden="1" x14ac:dyDescent="0.35"/>
    <row r="21842" hidden="1" x14ac:dyDescent="0.35"/>
    <row r="21843" hidden="1" x14ac:dyDescent="0.35"/>
    <row r="21844" hidden="1" x14ac:dyDescent="0.35"/>
    <row r="21845" hidden="1" x14ac:dyDescent="0.35"/>
    <row r="21846" hidden="1" x14ac:dyDescent="0.35"/>
    <row r="21847" hidden="1" x14ac:dyDescent="0.35"/>
    <row r="21848" hidden="1" x14ac:dyDescent="0.35"/>
    <row r="21849" hidden="1" x14ac:dyDescent="0.35"/>
    <row r="21850" hidden="1" x14ac:dyDescent="0.35"/>
    <row r="21851" hidden="1" x14ac:dyDescent="0.35"/>
    <row r="21852" hidden="1" x14ac:dyDescent="0.35"/>
    <row r="21853" hidden="1" x14ac:dyDescent="0.35"/>
    <row r="21854" hidden="1" x14ac:dyDescent="0.35"/>
    <row r="21855" hidden="1" x14ac:dyDescent="0.35"/>
    <row r="21856" hidden="1" x14ac:dyDescent="0.35"/>
    <row r="21857" hidden="1" x14ac:dyDescent="0.35"/>
    <row r="21858" hidden="1" x14ac:dyDescent="0.35"/>
    <row r="21859" hidden="1" x14ac:dyDescent="0.35"/>
    <row r="21860" hidden="1" x14ac:dyDescent="0.35"/>
    <row r="21861" hidden="1" x14ac:dyDescent="0.35"/>
    <row r="21862" hidden="1" x14ac:dyDescent="0.35"/>
    <row r="21863" hidden="1" x14ac:dyDescent="0.35"/>
    <row r="21864" hidden="1" x14ac:dyDescent="0.35"/>
    <row r="21865" hidden="1" x14ac:dyDescent="0.35"/>
    <row r="21866" hidden="1" x14ac:dyDescent="0.35"/>
    <row r="21867" hidden="1" x14ac:dyDescent="0.35"/>
    <row r="21868" hidden="1" x14ac:dyDescent="0.35"/>
    <row r="21869" hidden="1" x14ac:dyDescent="0.35"/>
    <row r="21870" hidden="1" x14ac:dyDescent="0.35"/>
    <row r="21871" hidden="1" x14ac:dyDescent="0.35"/>
    <row r="21872" hidden="1" x14ac:dyDescent="0.35"/>
    <row r="21873" hidden="1" x14ac:dyDescent="0.35"/>
    <row r="21874" hidden="1" x14ac:dyDescent="0.35"/>
    <row r="21875" hidden="1" x14ac:dyDescent="0.35"/>
    <row r="21876" hidden="1" x14ac:dyDescent="0.35"/>
    <row r="21877" hidden="1" x14ac:dyDescent="0.35"/>
    <row r="21878" hidden="1" x14ac:dyDescent="0.35"/>
    <row r="21879" hidden="1" x14ac:dyDescent="0.35"/>
    <row r="21880" hidden="1" x14ac:dyDescent="0.35"/>
    <row r="21881" hidden="1" x14ac:dyDescent="0.35"/>
    <row r="21882" hidden="1" x14ac:dyDescent="0.35"/>
    <row r="21883" hidden="1" x14ac:dyDescent="0.35"/>
    <row r="21884" hidden="1" x14ac:dyDescent="0.35"/>
    <row r="21885" hidden="1" x14ac:dyDescent="0.35"/>
    <row r="21886" hidden="1" x14ac:dyDescent="0.35"/>
    <row r="21887" hidden="1" x14ac:dyDescent="0.35"/>
    <row r="21888" hidden="1" x14ac:dyDescent="0.35"/>
    <row r="21889" hidden="1" x14ac:dyDescent="0.35"/>
    <row r="21890" hidden="1" x14ac:dyDescent="0.35"/>
    <row r="21891" hidden="1" x14ac:dyDescent="0.35"/>
    <row r="21892" hidden="1" x14ac:dyDescent="0.35"/>
    <row r="21893" hidden="1" x14ac:dyDescent="0.35"/>
    <row r="21894" hidden="1" x14ac:dyDescent="0.35"/>
    <row r="21895" hidden="1" x14ac:dyDescent="0.35"/>
    <row r="21896" hidden="1" x14ac:dyDescent="0.35"/>
    <row r="21897" hidden="1" x14ac:dyDescent="0.35"/>
    <row r="21898" hidden="1" x14ac:dyDescent="0.35"/>
    <row r="21899" hidden="1" x14ac:dyDescent="0.35"/>
    <row r="21900" hidden="1" x14ac:dyDescent="0.35"/>
    <row r="21901" hidden="1" x14ac:dyDescent="0.35"/>
    <row r="21902" hidden="1" x14ac:dyDescent="0.35"/>
    <row r="21903" hidden="1" x14ac:dyDescent="0.35"/>
    <row r="21904" hidden="1" x14ac:dyDescent="0.35"/>
    <row r="21905" hidden="1" x14ac:dyDescent="0.35"/>
    <row r="21906" hidden="1" x14ac:dyDescent="0.35"/>
    <row r="21907" hidden="1" x14ac:dyDescent="0.35"/>
    <row r="21908" hidden="1" x14ac:dyDescent="0.35"/>
    <row r="21909" hidden="1" x14ac:dyDescent="0.35"/>
    <row r="21910" hidden="1" x14ac:dyDescent="0.35"/>
    <row r="21911" hidden="1" x14ac:dyDescent="0.35"/>
    <row r="21912" hidden="1" x14ac:dyDescent="0.35"/>
    <row r="21913" hidden="1" x14ac:dyDescent="0.35"/>
    <row r="21914" hidden="1" x14ac:dyDescent="0.35"/>
    <row r="21915" hidden="1" x14ac:dyDescent="0.35"/>
    <row r="21916" hidden="1" x14ac:dyDescent="0.35"/>
    <row r="21917" hidden="1" x14ac:dyDescent="0.35"/>
    <row r="21918" hidden="1" x14ac:dyDescent="0.35"/>
    <row r="21919" hidden="1" x14ac:dyDescent="0.35"/>
    <row r="21920" hidden="1" x14ac:dyDescent="0.35"/>
    <row r="21921" hidden="1" x14ac:dyDescent="0.35"/>
    <row r="21922" hidden="1" x14ac:dyDescent="0.35"/>
    <row r="21923" hidden="1" x14ac:dyDescent="0.35"/>
    <row r="21924" hidden="1" x14ac:dyDescent="0.35"/>
    <row r="21925" hidden="1" x14ac:dyDescent="0.35"/>
    <row r="21926" hidden="1" x14ac:dyDescent="0.35"/>
    <row r="21927" hidden="1" x14ac:dyDescent="0.35"/>
    <row r="21928" hidden="1" x14ac:dyDescent="0.35"/>
    <row r="21929" hidden="1" x14ac:dyDescent="0.35"/>
    <row r="21930" hidden="1" x14ac:dyDescent="0.35"/>
    <row r="21931" hidden="1" x14ac:dyDescent="0.35"/>
    <row r="21932" hidden="1" x14ac:dyDescent="0.35"/>
    <row r="21933" hidden="1" x14ac:dyDescent="0.35"/>
    <row r="21934" hidden="1" x14ac:dyDescent="0.35"/>
    <row r="21935" hidden="1" x14ac:dyDescent="0.35"/>
    <row r="21936" hidden="1" x14ac:dyDescent="0.35"/>
    <row r="21937" hidden="1" x14ac:dyDescent="0.35"/>
    <row r="21938" hidden="1" x14ac:dyDescent="0.35"/>
    <row r="21939" hidden="1" x14ac:dyDescent="0.35"/>
    <row r="21940" hidden="1" x14ac:dyDescent="0.35"/>
    <row r="21941" hidden="1" x14ac:dyDescent="0.35"/>
    <row r="21942" hidden="1" x14ac:dyDescent="0.35"/>
    <row r="21943" hidden="1" x14ac:dyDescent="0.35"/>
    <row r="21944" hidden="1" x14ac:dyDescent="0.35"/>
    <row r="21945" hidden="1" x14ac:dyDescent="0.35"/>
    <row r="21946" hidden="1" x14ac:dyDescent="0.35"/>
    <row r="21947" hidden="1" x14ac:dyDescent="0.35"/>
    <row r="21948" hidden="1" x14ac:dyDescent="0.35"/>
    <row r="21949" hidden="1" x14ac:dyDescent="0.35"/>
    <row r="21950" hidden="1" x14ac:dyDescent="0.35"/>
    <row r="21951" hidden="1" x14ac:dyDescent="0.35"/>
    <row r="21952" hidden="1" x14ac:dyDescent="0.35"/>
    <row r="21953" hidden="1" x14ac:dyDescent="0.35"/>
    <row r="21954" hidden="1" x14ac:dyDescent="0.35"/>
    <row r="21955" hidden="1" x14ac:dyDescent="0.35"/>
    <row r="21956" hidden="1" x14ac:dyDescent="0.35"/>
    <row r="21957" hidden="1" x14ac:dyDescent="0.35"/>
    <row r="21958" hidden="1" x14ac:dyDescent="0.35"/>
    <row r="21959" hidden="1" x14ac:dyDescent="0.35"/>
    <row r="21960" hidden="1" x14ac:dyDescent="0.35"/>
    <row r="21961" hidden="1" x14ac:dyDescent="0.35"/>
    <row r="21962" hidden="1" x14ac:dyDescent="0.35"/>
    <row r="21963" hidden="1" x14ac:dyDescent="0.35"/>
    <row r="21964" hidden="1" x14ac:dyDescent="0.35"/>
    <row r="21965" hidden="1" x14ac:dyDescent="0.35"/>
    <row r="21966" hidden="1" x14ac:dyDescent="0.35"/>
    <row r="21967" hidden="1" x14ac:dyDescent="0.35"/>
    <row r="21968" hidden="1" x14ac:dyDescent="0.35"/>
    <row r="21969" hidden="1" x14ac:dyDescent="0.35"/>
    <row r="21970" hidden="1" x14ac:dyDescent="0.35"/>
    <row r="21971" hidden="1" x14ac:dyDescent="0.35"/>
    <row r="21972" hidden="1" x14ac:dyDescent="0.35"/>
    <row r="21973" hidden="1" x14ac:dyDescent="0.35"/>
    <row r="21974" hidden="1" x14ac:dyDescent="0.35"/>
    <row r="21975" hidden="1" x14ac:dyDescent="0.35"/>
    <row r="21976" hidden="1" x14ac:dyDescent="0.35"/>
    <row r="21977" hidden="1" x14ac:dyDescent="0.35"/>
    <row r="21978" hidden="1" x14ac:dyDescent="0.35"/>
    <row r="21979" hidden="1" x14ac:dyDescent="0.35"/>
    <row r="21980" hidden="1" x14ac:dyDescent="0.35"/>
    <row r="21981" hidden="1" x14ac:dyDescent="0.35"/>
    <row r="21982" hidden="1" x14ac:dyDescent="0.35"/>
    <row r="21983" hidden="1" x14ac:dyDescent="0.35"/>
    <row r="21984" hidden="1" x14ac:dyDescent="0.35"/>
    <row r="21985" hidden="1" x14ac:dyDescent="0.35"/>
    <row r="21986" hidden="1" x14ac:dyDescent="0.35"/>
    <row r="21987" hidden="1" x14ac:dyDescent="0.35"/>
    <row r="21988" hidden="1" x14ac:dyDescent="0.35"/>
    <row r="21989" hidden="1" x14ac:dyDescent="0.35"/>
    <row r="21990" hidden="1" x14ac:dyDescent="0.35"/>
    <row r="21991" hidden="1" x14ac:dyDescent="0.35"/>
    <row r="21992" hidden="1" x14ac:dyDescent="0.35"/>
    <row r="21993" hidden="1" x14ac:dyDescent="0.35"/>
    <row r="21994" hidden="1" x14ac:dyDescent="0.35"/>
    <row r="21995" hidden="1" x14ac:dyDescent="0.35"/>
    <row r="21996" hidden="1" x14ac:dyDescent="0.35"/>
    <row r="21997" hidden="1" x14ac:dyDescent="0.35"/>
    <row r="21998" hidden="1" x14ac:dyDescent="0.35"/>
    <row r="21999" hidden="1" x14ac:dyDescent="0.35"/>
    <row r="22000" hidden="1" x14ac:dyDescent="0.35"/>
    <row r="22001" hidden="1" x14ac:dyDescent="0.35"/>
    <row r="22002" hidden="1" x14ac:dyDescent="0.35"/>
    <row r="22003" hidden="1" x14ac:dyDescent="0.35"/>
    <row r="22004" hidden="1" x14ac:dyDescent="0.35"/>
    <row r="22005" hidden="1" x14ac:dyDescent="0.35"/>
    <row r="22006" hidden="1" x14ac:dyDescent="0.35"/>
    <row r="22007" hidden="1" x14ac:dyDescent="0.35"/>
    <row r="22008" hidden="1" x14ac:dyDescent="0.35"/>
    <row r="22009" hidden="1" x14ac:dyDescent="0.35"/>
    <row r="22010" hidden="1" x14ac:dyDescent="0.35"/>
    <row r="22011" hidden="1" x14ac:dyDescent="0.35"/>
    <row r="22012" hidden="1" x14ac:dyDescent="0.35"/>
    <row r="22013" hidden="1" x14ac:dyDescent="0.35"/>
    <row r="22014" hidden="1" x14ac:dyDescent="0.35"/>
    <row r="22015" hidden="1" x14ac:dyDescent="0.35"/>
    <row r="22016" hidden="1" x14ac:dyDescent="0.35"/>
    <row r="22017" hidden="1" x14ac:dyDescent="0.35"/>
    <row r="22018" hidden="1" x14ac:dyDescent="0.35"/>
    <row r="22019" hidden="1" x14ac:dyDescent="0.35"/>
    <row r="22020" hidden="1" x14ac:dyDescent="0.35"/>
    <row r="22021" hidden="1" x14ac:dyDescent="0.35"/>
    <row r="22022" hidden="1" x14ac:dyDescent="0.35"/>
    <row r="22023" hidden="1" x14ac:dyDescent="0.35"/>
    <row r="22024" hidden="1" x14ac:dyDescent="0.35"/>
    <row r="22025" hidden="1" x14ac:dyDescent="0.35"/>
    <row r="22026" hidden="1" x14ac:dyDescent="0.35"/>
    <row r="22027" hidden="1" x14ac:dyDescent="0.35"/>
    <row r="22028" hidden="1" x14ac:dyDescent="0.35"/>
    <row r="22029" hidden="1" x14ac:dyDescent="0.35"/>
    <row r="22030" hidden="1" x14ac:dyDescent="0.35"/>
    <row r="22031" hidden="1" x14ac:dyDescent="0.35"/>
    <row r="22032" hidden="1" x14ac:dyDescent="0.35"/>
    <row r="22033" hidden="1" x14ac:dyDescent="0.35"/>
    <row r="22034" hidden="1" x14ac:dyDescent="0.35"/>
    <row r="22035" hidden="1" x14ac:dyDescent="0.35"/>
    <row r="22036" hidden="1" x14ac:dyDescent="0.35"/>
    <row r="22037" hidden="1" x14ac:dyDescent="0.35"/>
    <row r="22038" hidden="1" x14ac:dyDescent="0.35"/>
    <row r="22039" hidden="1" x14ac:dyDescent="0.35"/>
    <row r="22040" hidden="1" x14ac:dyDescent="0.35"/>
    <row r="22041" hidden="1" x14ac:dyDescent="0.35"/>
    <row r="22042" hidden="1" x14ac:dyDescent="0.35"/>
    <row r="22043" hidden="1" x14ac:dyDescent="0.35"/>
    <row r="22044" hidden="1" x14ac:dyDescent="0.35"/>
    <row r="22045" hidden="1" x14ac:dyDescent="0.35"/>
    <row r="22046" hidden="1" x14ac:dyDescent="0.35"/>
    <row r="22047" hidden="1" x14ac:dyDescent="0.35"/>
    <row r="22048" hidden="1" x14ac:dyDescent="0.35"/>
    <row r="22049" hidden="1" x14ac:dyDescent="0.35"/>
    <row r="22050" hidden="1" x14ac:dyDescent="0.35"/>
    <row r="22051" hidden="1" x14ac:dyDescent="0.35"/>
    <row r="22052" hidden="1" x14ac:dyDescent="0.35"/>
    <row r="22053" hidden="1" x14ac:dyDescent="0.35"/>
    <row r="22054" hidden="1" x14ac:dyDescent="0.35"/>
    <row r="22055" hidden="1" x14ac:dyDescent="0.35"/>
    <row r="22056" hidden="1" x14ac:dyDescent="0.35"/>
    <row r="22057" hidden="1" x14ac:dyDescent="0.35"/>
    <row r="22058" hidden="1" x14ac:dyDescent="0.35"/>
    <row r="22059" hidden="1" x14ac:dyDescent="0.35"/>
    <row r="22060" hidden="1" x14ac:dyDescent="0.35"/>
    <row r="22061" hidden="1" x14ac:dyDescent="0.35"/>
    <row r="22062" hidden="1" x14ac:dyDescent="0.35"/>
    <row r="22063" hidden="1" x14ac:dyDescent="0.35"/>
    <row r="22064" hidden="1" x14ac:dyDescent="0.35"/>
    <row r="22065" hidden="1" x14ac:dyDescent="0.35"/>
    <row r="22066" hidden="1" x14ac:dyDescent="0.35"/>
    <row r="22067" hidden="1" x14ac:dyDescent="0.35"/>
    <row r="22068" hidden="1" x14ac:dyDescent="0.35"/>
    <row r="22069" hidden="1" x14ac:dyDescent="0.35"/>
    <row r="22070" hidden="1" x14ac:dyDescent="0.35"/>
    <row r="22071" hidden="1" x14ac:dyDescent="0.35"/>
    <row r="22072" hidden="1" x14ac:dyDescent="0.35"/>
    <row r="22073" hidden="1" x14ac:dyDescent="0.35"/>
    <row r="22074" hidden="1" x14ac:dyDescent="0.35"/>
    <row r="22075" hidden="1" x14ac:dyDescent="0.35"/>
    <row r="22076" hidden="1" x14ac:dyDescent="0.35"/>
    <row r="22077" hidden="1" x14ac:dyDescent="0.35"/>
    <row r="22078" hidden="1" x14ac:dyDescent="0.35"/>
    <row r="22079" hidden="1" x14ac:dyDescent="0.35"/>
    <row r="22080" hidden="1" x14ac:dyDescent="0.35"/>
    <row r="22081" hidden="1" x14ac:dyDescent="0.35"/>
    <row r="22082" hidden="1" x14ac:dyDescent="0.35"/>
    <row r="22083" hidden="1" x14ac:dyDescent="0.35"/>
    <row r="22084" hidden="1" x14ac:dyDescent="0.35"/>
    <row r="22085" hidden="1" x14ac:dyDescent="0.35"/>
    <row r="22086" hidden="1" x14ac:dyDescent="0.35"/>
    <row r="22087" hidden="1" x14ac:dyDescent="0.35"/>
    <row r="22088" hidden="1" x14ac:dyDescent="0.35"/>
    <row r="22089" hidden="1" x14ac:dyDescent="0.35"/>
    <row r="22090" hidden="1" x14ac:dyDescent="0.35"/>
    <row r="22091" hidden="1" x14ac:dyDescent="0.35"/>
    <row r="22092" hidden="1" x14ac:dyDescent="0.35"/>
    <row r="22093" hidden="1" x14ac:dyDescent="0.35"/>
    <row r="22094" hidden="1" x14ac:dyDescent="0.35"/>
    <row r="22095" hidden="1" x14ac:dyDescent="0.35"/>
    <row r="22096" hidden="1" x14ac:dyDescent="0.35"/>
    <row r="22097" hidden="1" x14ac:dyDescent="0.35"/>
    <row r="22098" hidden="1" x14ac:dyDescent="0.35"/>
    <row r="22099" hidden="1" x14ac:dyDescent="0.35"/>
    <row r="22100" hidden="1" x14ac:dyDescent="0.35"/>
    <row r="22101" hidden="1" x14ac:dyDescent="0.35"/>
    <row r="22102" hidden="1" x14ac:dyDescent="0.35"/>
    <row r="22103" hidden="1" x14ac:dyDescent="0.35"/>
    <row r="22104" hidden="1" x14ac:dyDescent="0.35"/>
    <row r="22105" hidden="1" x14ac:dyDescent="0.35"/>
    <row r="22106" hidden="1" x14ac:dyDescent="0.35"/>
    <row r="22107" hidden="1" x14ac:dyDescent="0.35"/>
    <row r="22108" hidden="1" x14ac:dyDescent="0.35"/>
    <row r="22109" hidden="1" x14ac:dyDescent="0.35"/>
    <row r="22110" hidden="1" x14ac:dyDescent="0.35"/>
    <row r="22111" hidden="1" x14ac:dyDescent="0.35"/>
    <row r="22112" hidden="1" x14ac:dyDescent="0.35"/>
    <row r="22113" hidden="1" x14ac:dyDescent="0.35"/>
    <row r="22114" hidden="1" x14ac:dyDescent="0.35"/>
    <row r="22115" hidden="1" x14ac:dyDescent="0.35"/>
    <row r="22116" hidden="1" x14ac:dyDescent="0.35"/>
    <row r="22117" hidden="1" x14ac:dyDescent="0.35"/>
    <row r="22118" hidden="1" x14ac:dyDescent="0.35"/>
    <row r="22119" hidden="1" x14ac:dyDescent="0.35"/>
    <row r="22120" hidden="1" x14ac:dyDescent="0.35"/>
    <row r="22121" hidden="1" x14ac:dyDescent="0.35"/>
    <row r="22122" hidden="1" x14ac:dyDescent="0.35"/>
    <row r="22123" hidden="1" x14ac:dyDescent="0.35"/>
    <row r="22124" hidden="1" x14ac:dyDescent="0.35"/>
    <row r="22125" hidden="1" x14ac:dyDescent="0.35"/>
    <row r="22126" hidden="1" x14ac:dyDescent="0.35"/>
    <row r="22127" hidden="1" x14ac:dyDescent="0.35"/>
    <row r="22128" hidden="1" x14ac:dyDescent="0.35"/>
    <row r="22129" hidden="1" x14ac:dyDescent="0.35"/>
    <row r="22130" hidden="1" x14ac:dyDescent="0.35"/>
    <row r="22131" hidden="1" x14ac:dyDescent="0.35"/>
    <row r="22132" hidden="1" x14ac:dyDescent="0.35"/>
    <row r="22133" hidden="1" x14ac:dyDescent="0.35"/>
    <row r="22134" hidden="1" x14ac:dyDescent="0.35"/>
    <row r="22135" hidden="1" x14ac:dyDescent="0.35"/>
    <row r="22136" hidden="1" x14ac:dyDescent="0.35"/>
    <row r="22137" hidden="1" x14ac:dyDescent="0.35"/>
    <row r="22138" hidden="1" x14ac:dyDescent="0.35"/>
    <row r="22139" hidden="1" x14ac:dyDescent="0.35"/>
    <row r="22140" hidden="1" x14ac:dyDescent="0.35"/>
    <row r="22141" hidden="1" x14ac:dyDescent="0.35"/>
    <row r="22142" hidden="1" x14ac:dyDescent="0.35"/>
    <row r="22143" hidden="1" x14ac:dyDescent="0.35"/>
    <row r="22144" hidden="1" x14ac:dyDescent="0.35"/>
    <row r="22145" hidden="1" x14ac:dyDescent="0.35"/>
    <row r="22146" hidden="1" x14ac:dyDescent="0.35"/>
    <row r="22147" hidden="1" x14ac:dyDescent="0.35"/>
    <row r="22148" hidden="1" x14ac:dyDescent="0.35"/>
    <row r="22149" hidden="1" x14ac:dyDescent="0.35"/>
    <row r="22150" hidden="1" x14ac:dyDescent="0.35"/>
    <row r="22151" hidden="1" x14ac:dyDescent="0.35"/>
    <row r="22152" hidden="1" x14ac:dyDescent="0.35"/>
    <row r="22153" hidden="1" x14ac:dyDescent="0.35"/>
    <row r="22154" hidden="1" x14ac:dyDescent="0.35"/>
    <row r="22155" hidden="1" x14ac:dyDescent="0.35"/>
    <row r="22156" hidden="1" x14ac:dyDescent="0.35"/>
    <row r="22157" hidden="1" x14ac:dyDescent="0.35"/>
    <row r="22158" hidden="1" x14ac:dyDescent="0.35"/>
    <row r="22159" hidden="1" x14ac:dyDescent="0.35"/>
    <row r="22160" hidden="1" x14ac:dyDescent="0.35"/>
    <row r="22161" hidden="1" x14ac:dyDescent="0.35"/>
    <row r="22162" hidden="1" x14ac:dyDescent="0.35"/>
    <row r="22163" hidden="1" x14ac:dyDescent="0.35"/>
    <row r="22164" hidden="1" x14ac:dyDescent="0.35"/>
    <row r="22165" hidden="1" x14ac:dyDescent="0.35"/>
    <row r="22166" hidden="1" x14ac:dyDescent="0.35"/>
    <row r="22167" hidden="1" x14ac:dyDescent="0.35"/>
    <row r="22168" hidden="1" x14ac:dyDescent="0.35"/>
    <row r="22169" hidden="1" x14ac:dyDescent="0.35"/>
    <row r="22170" hidden="1" x14ac:dyDescent="0.35"/>
    <row r="22171" hidden="1" x14ac:dyDescent="0.35"/>
    <row r="22172" hidden="1" x14ac:dyDescent="0.35"/>
    <row r="22173" hidden="1" x14ac:dyDescent="0.35"/>
    <row r="22174" hidden="1" x14ac:dyDescent="0.35"/>
    <row r="22175" hidden="1" x14ac:dyDescent="0.35"/>
    <row r="22176" hidden="1" x14ac:dyDescent="0.35"/>
    <row r="22177" hidden="1" x14ac:dyDescent="0.35"/>
    <row r="22178" hidden="1" x14ac:dyDescent="0.35"/>
    <row r="22179" hidden="1" x14ac:dyDescent="0.35"/>
    <row r="22180" hidden="1" x14ac:dyDescent="0.35"/>
    <row r="22181" hidden="1" x14ac:dyDescent="0.35"/>
    <row r="22182" hidden="1" x14ac:dyDescent="0.35"/>
    <row r="22183" hidden="1" x14ac:dyDescent="0.35"/>
    <row r="22184" hidden="1" x14ac:dyDescent="0.35"/>
    <row r="22185" hidden="1" x14ac:dyDescent="0.35"/>
    <row r="22186" hidden="1" x14ac:dyDescent="0.35"/>
    <row r="22187" hidden="1" x14ac:dyDescent="0.35"/>
    <row r="22188" hidden="1" x14ac:dyDescent="0.35"/>
    <row r="22189" hidden="1" x14ac:dyDescent="0.35"/>
    <row r="22190" hidden="1" x14ac:dyDescent="0.35"/>
    <row r="22191" hidden="1" x14ac:dyDescent="0.35"/>
    <row r="22192" hidden="1" x14ac:dyDescent="0.35"/>
    <row r="22193" hidden="1" x14ac:dyDescent="0.35"/>
    <row r="22194" hidden="1" x14ac:dyDescent="0.35"/>
    <row r="22195" hidden="1" x14ac:dyDescent="0.35"/>
    <row r="22196" hidden="1" x14ac:dyDescent="0.35"/>
    <row r="22197" hidden="1" x14ac:dyDescent="0.35"/>
    <row r="22198" hidden="1" x14ac:dyDescent="0.35"/>
    <row r="22199" hidden="1" x14ac:dyDescent="0.35"/>
    <row r="22200" hidden="1" x14ac:dyDescent="0.35"/>
    <row r="22201" hidden="1" x14ac:dyDescent="0.35"/>
    <row r="22202" hidden="1" x14ac:dyDescent="0.35"/>
    <row r="22203" hidden="1" x14ac:dyDescent="0.35"/>
    <row r="22204" hidden="1" x14ac:dyDescent="0.35"/>
    <row r="22205" hidden="1" x14ac:dyDescent="0.35"/>
    <row r="22206" hidden="1" x14ac:dyDescent="0.35"/>
    <row r="22207" hidden="1" x14ac:dyDescent="0.35"/>
    <row r="22208" hidden="1" x14ac:dyDescent="0.35"/>
    <row r="22209" hidden="1" x14ac:dyDescent="0.35"/>
    <row r="22210" hidden="1" x14ac:dyDescent="0.35"/>
    <row r="22211" hidden="1" x14ac:dyDescent="0.35"/>
    <row r="22212" hidden="1" x14ac:dyDescent="0.35"/>
    <row r="22213" hidden="1" x14ac:dyDescent="0.35"/>
    <row r="22214" hidden="1" x14ac:dyDescent="0.35"/>
    <row r="22215" hidden="1" x14ac:dyDescent="0.35"/>
    <row r="22216" hidden="1" x14ac:dyDescent="0.35"/>
    <row r="22217" hidden="1" x14ac:dyDescent="0.35"/>
    <row r="22218" hidden="1" x14ac:dyDescent="0.35"/>
    <row r="22219" hidden="1" x14ac:dyDescent="0.35"/>
    <row r="22220" hidden="1" x14ac:dyDescent="0.35"/>
    <row r="22221" hidden="1" x14ac:dyDescent="0.35"/>
    <row r="22222" hidden="1" x14ac:dyDescent="0.35"/>
    <row r="22223" hidden="1" x14ac:dyDescent="0.35"/>
    <row r="22224" hidden="1" x14ac:dyDescent="0.35"/>
    <row r="22225" hidden="1" x14ac:dyDescent="0.35"/>
    <row r="22226" hidden="1" x14ac:dyDescent="0.35"/>
    <row r="22227" hidden="1" x14ac:dyDescent="0.35"/>
    <row r="22228" hidden="1" x14ac:dyDescent="0.35"/>
    <row r="22229" hidden="1" x14ac:dyDescent="0.35"/>
    <row r="22230" hidden="1" x14ac:dyDescent="0.35"/>
    <row r="22231" hidden="1" x14ac:dyDescent="0.35"/>
    <row r="22232" hidden="1" x14ac:dyDescent="0.35"/>
    <row r="22233" hidden="1" x14ac:dyDescent="0.35"/>
    <row r="22234" hidden="1" x14ac:dyDescent="0.35"/>
    <row r="22235" hidden="1" x14ac:dyDescent="0.35"/>
    <row r="22236" hidden="1" x14ac:dyDescent="0.35"/>
    <row r="22237" hidden="1" x14ac:dyDescent="0.35"/>
    <row r="22238" hidden="1" x14ac:dyDescent="0.35"/>
    <row r="22239" hidden="1" x14ac:dyDescent="0.35"/>
    <row r="22240" hidden="1" x14ac:dyDescent="0.35"/>
    <row r="22241" hidden="1" x14ac:dyDescent="0.35"/>
    <row r="22242" hidden="1" x14ac:dyDescent="0.35"/>
    <row r="22243" hidden="1" x14ac:dyDescent="0.35"/>
    <row r="22244" hidden="1" x14ac:dyDescent="0.35"/>
    <row r="22245" hidden="1" x14ac:dyDescent="0.35"/>
    <row r="22246" hidden="1" x14ac:dyDescent="0.35"/>
    <row r="22247" hidden="1" x14ac:dyDescent="0.35"/>
    <row r="22248" hidden="1" x14ac:dyDescent="0.35"/>
    <row r="22249" hidden="1" x14ac:dyDescent="0.35"/>
    <row r="22250" hidden="1" x14ac:dyDescent="0.35"/>
    <row r="22251" hidden="1" x14ac:dyDescent="0.35"/>
    <row r="22252" hidden="1" x14ac:dyDescent="0.35"/>
    <row r="22253" hidden="1" x14ac:dyDescent="0.35"/>
    <row r="22254" hidden="1" x14ac:dyDescent="0.35"/>
    <row r="22255" hidden="1" x14ac:dyDescent="0.35"/>
    <row r="22256" hidden="1" x14ac:dyDescent="0.35"/>
    <row r="22257" hidden="1" x14ac:dyDescent="0.35"/>
    <row r="22258" hidden="1" x14ac:dyDescent="0.35"/>
    <row r="22259" hidden="1" x14ac:dyDescent="0.35"/>
    <row r="22260" hidden="1" x14ac:dyDescent="0.35"/>
    <row r="22261" hidden="1" x14ac:dyDescent="0.35"/>
    <row r="22262" hidden="1" x14ac:dyDescent="0.35"/>
    <row r="22263" hidden="1" x14ac:dyDescent="0.35"/>
    <row r="22264" hidden="1" x14ac:dyDescent="0.35"/>
    <row r="22265" hidden="1" x14ac:dyDescent="0.35"/>
    <row r="22266" hidden="1" x14ac:dyDescent="0.35"/>
    <row r="22267" hidden="1" x14ac:dyDescent="0.35"/>
    <row r="22268" hidden="1" x14ac:dyDescent="0.35"/>
    <row r="22269" hidden="1" x14ac:dyDescent="0.35"/>
    <row r="22270" hidden="1" x14ac:dyDescent="0.35"/>
    <row r="22271" hidden="1" x14ac:dyDescent="0.35"/>
    <row r="22272" hidden="1" x14ac:dyDescent="0.35"/>
    <row r="22273" hidden="1" x14ac:dyDescent="0.35"/>
    <row r="22274" hidden="1" x14ac:dyDescent="0.35"/>
    <row r="22275" hidden="1" x14ac:dyDescent="0.35"/>
    <row r="22276" hidden="1" x14ac:dyDescent="0.35"/>
    <row r="22277" hidden="1" x14ac:dyDescent="0.35"/>
    <row r="22278" hidden="1" x14ac:dyDescent="0.35"/>
    <row r="22279" hidden="1" x14ac:dyDescent="0.35"/>
    <row r="22280" hidden="1" x14ac:dyDescent="0.35"/>
    <row r="22281" hidden="1" x14ac:dyDescent="0.35"/>
    <row r="22282" hidden="1" x14ac:dyDescent="0.35"/>
    <row r="22283" hidden="1" x14ac:dyDescent="0.35"/>
    <row r="22284" hidden="1" x14ac:dyDescent="0.35"/>
    <row r="22285" hidden="1" x14ac:dyDescent="0.35"/>
    <row r="22286" hidden="1" x14ac:dyDescent="0.35"/>
    <row r="22287" hidden="1" x14ac:dyDescent="0.35"/>
    <row r="22288" hidden="1" x14ac:dyDescent="0.35"/>
    <row r="22289" hidden="1" x14ac:dyDescent="0.35"/>
    <row r="22290" hidden="1" x14ac:dyDescent="0.35"/>
    <row r="22291" hidden="1" x14ac:dyDescent="0.35"/>
    <row r="22292" hidden="1" x14ac:dyDescent="0.35"/>
    <row r="22293" hidden="1" x14ac:dyDescent="0.35"/>
    <row r="22294" hidden="1" x14ac:dyDescent="0.35"/>
    <row r="22295" hidden="1" x14ac:dyDescent="0.35"/>
    <row r="22296" hidden="1" x14ac:dyDescent="0.35"/>
    <row r="22297" hidden="1" x14ac:dyDescent="0.35"/>
    <row r="22298" hidden="1" x14ac:dyDescent="0.35"/>
    <row r="22299" hidden="1" x14ac:dyDescent="0.35"/>
    <row r="22300" hidden="1" x14ac:dyDescent="0.35"/>
    <row r="22301" hidden="1" x14ac:dyDescent="0.35"/>
    <row r="22302" hidden="1" x14ac:dyDescent="0.35"/>
    <row r="22303" hidden="1" x14ac:dyDescent="0.35"/>
    <row r="22304" hidden="1" x14ac:dyDescent="0.35"/>
    <row r="22305" hidden="1" x14ac:dyDescent="0.35"/>
    <row r="22306" hidden="1" x14ac:dyDescent="0.35"/>
    <row r="22307" hidden="1" x14ac:dyDescent="0.35"/>
    <row r="22308" hidden="1" x14ac:dyDescent="0.35"/>
    <row r="22309" hidden="1" x14ac:dyDescent="0.35"/>
    <row r="22310" hidden="1" x14ac:dyDescent="0.35"/>
    <row r="22311" hidden="1" x14ac:dyDescent="0.35"/>
    <row r="22312" hidden="1" x14ac:dyDescent="0.35"/>
    <row r="22313" hidden="1" x14ac:dyDescent="0.35"/>
    <row r="22314" hidden="1" x14ac:dyDescent="0.35"/>
    <row r="22315" hidden="1" x14ac:dyDescent="0.35"/>
    <row r="22316" hidden="1" x14ac:dyDescent="0.35"/>
    <row r="22317" hidden="1" x14ac:dyDescent="0.35"/>
    <row r="22318" hidden="1" x14ac:dyDescent="0.35"/>
    <row r="22319" hidden="1" x14ac:dyDescent="0.35"/>
    <row r="22320" hidden="1" x14ac:dyDescent="0.35"/>
    <row r="22321" hidden="1" x14ac:dyDescent="0.35"/>
    <row r="22322" hidden="1" x14ac:dyDescent="0.35"/>
    <row r="22323" hidden="1" x14ac:dyDescent="0.35"/>
    <row r="22324" hidden="1" x14ac:dyDescent="0.35"/>
    <row r="22325" hidden="1" x14ac:dyDescent="0.35"/>
    <row r="22326" hidden="1" x14ac:dyDescent="0.35"/>
    <row r="22327" hidden="1" x14ac:dyDescent="0.35"/>
    <row r="22328" hidden="1" x14ac:dyDescent="0.35"/>
    <row r="22329" hidden="1" x14ac:dyDescent="0.35"/>
    <row r="22330" hidden="1" x14ac:dyDescent="0.35"/>
    <row r="22331" hidden="1" x14ac:dyDescent="0.35"/>
    <row r="22332" hidden="1" x14ac:dyDescent="0.35"/>
    <row r="22333" hidden="1" x14ac:dyDescent="0.35"/>
    <row r="22334" hidden="1" x14ac:dyDescent="0.35"/>
    <row r="22335" hidden="1" x14ac:dyDescent="0.35"/>
    <row r="22336" hidden="1" x14ac:dyDescent="0.35"/>
    <row r="22337" hidden="1" x14ac:dyDescent="0.35"/>
    <row r="22338" hidden="1" x14ac:dyDescent="0.35"/>
    <row r="22339" hidden="1" x14ac:dyDescent="0.35"/>
    <row r="22340" hidden="1" x14ac:dyDescent="0.35"/>
    <row r="22341" hidden="1" x14ac:dyDescent="0.35"/>
    <row r="22342" hidden="1" x14ac:dyDescent="0.35"/>
    <row r="22343" hidden="1" x14ac:dyDescent="0.35"/>
    <row r="22344" hidden="1" x14ac:dyDescent="0.35"/>
    <row r="22345" hidden="1" x14ac:dyDescent="0.35"/>
    <row r="22346" hidden="1" x14ac:dyDescent="0.35"/>
    <row r="22347" hidden="1" x14ac:dyDescent="0.35"/>
    <row r="22348" hidden="1" x14ac:dyDescent="0.35"/>
    <row r="22349" hidden="1" x14ac:dyDescent="0.35"/>
    <row r="22350" hidden="1" x14ac:dyDescent="0.35"/>
    <row r="22351" hidden="1" x14ac:dyDescent="0.35"/>
    <row r="22352" hidden="1" x14ac:dyDescent="0.35"/>
    <row r="22353" hidden="1" x14ac:dyDescent="0.35"/>
    <row r="22354" hidden="1" x14ac:dyDescent="0.35"/>
    <row r="22355" hidden="1" x14ac:dyDescent="0.35"/>
    <row r="22356" hidden="1" x14ac:dyDescent="0.35"/>
    <row r="22357" hidden="1" x14ac:dyDescent="0.35"/>
    <row r="22358" hidden="1" x14ac:dyDescent="0.35"/>
    <row r="22359" hidden="1" x14ac:dyDescent="0.35"/>
    <row r="22360" hidden="1" x14ac:dyDescent="0.35"/>
    <row r="22361" hidden="1" x14ac:dyDescent="0.35"/>
    <row r="22362" hidden="1" x14ac:dyDescent="0.35"/>
    <row r="22363" hidden="1" x14ac:dyDescent="0.35"/>
    <row r="22364" hidden="1" x14ac:dyDescent="0.35"/>
    <row r="22365" hidden="1" x14ac:dyDescent="0.35"/>
    <row r="22366" hidden="1" x14ac:dyDescent="0.35"/>
    <row r="22367" hidden="1" x14ac:dyDescent="0.35"/>
    <row r="22368" hidden="1" x14ac:dyDescent="0.35"/>
    <row r="22369" hidden="1" x14ac:dyDescent="0.35"/>
    <row r="22370" hidden="1" x14ac:dyDescent="0.35"/>
    <row r="22371" hidden="1" x14ac:dyDescent="0.35"/>
    <row r="22372" hidden="1" x14ac:dyDescent="0.35"/>
    <row r="22373" hidden="1" x14ac:dyDescent="0.35"/>
    <row r="22374" hidden="1" x14ac:dyDescent="0.35"/>
    <row r="22375" hidden="1" x14ac:dyDescent="0.35"/>
    <row r="22376" hidden="1" x14ac:dyDescent="0.35"/>
    <row r="22377" hidden="1" x14ac:dyDescent="0.35"/>
    <row r="22378" hidden="1" x14ac:dyDescent="0.35"/>
    <row r="22379" hidden="1" x14ac:dyDescent="0.35"/>
    <row r="22380" hidden="1" x14ac:dyDescent="0.35"/>
    <row r="22381" hidden="1" x14ac:dyDescent="0.35"/>
    <row r="22382" hidden="1" x14ac:dyDescent="0.35"/>
    <row r="22383" hidden="1" x14ac:dyDescent="0.35"/>
    <row r="22384" hidden="1" x14ac:dyDescent="0.35"/>
    <row r="22385" hidden="1" x14ac:dyDescent="0.35"/>
    <row r="22386" hidden="1" x14ac:dyDescent="0.35"/>
    <row r="22387" hidden="1" x14ac:dyDescent="0.35"/>
    <row r="22388" hidden="1" x14ac:dyDescent="0.35"/>
    <row r="22389" hidden="1" x14ac:dyDescent="0.35"/>
    <row r="22390" hidden="1" x14ac:dyDescent="0.35"/>
    <row r="22391" hidden="1" x14ac:dyDescent="0.35"/>
    <row r="22392" hidden="1" x14ac:dyDescent="0.35"/>
    <row r="22393" hidden="1" x14ac:dyDescent="0.35"/>
    <row r="22394" hidden="1" x14ac:dyDescent="0.35"/>
    <row r="22395" hidden="1" x14ac:dyDescent="0.35"/>
    <row r="22396" hidden="1" x14ac:dyDescent="0.35"/>
    <row r="22397" hidden="1" x14ac:dyDescent="0.35"/>
    <row r="22398" hidden="1" x14ac:dyDescent="0.35"/>
    <row r="22399" hidden="1" x14ac:dyDescent="0.35"/>
    <row r="22400" hidden="1" x14ac:dyDescent="0.35"/>
    <row r="22401" hidden="1" x14ac:dyDescent="0.35"/>
    <row r="22402" hidden="1" x14ac:dyDescent="0.35"/>
    <row r="22403" hidden="1" x14ac:dyDescent="0.35"/>
    <row r="22404" hidden="1" x14ac:dyDescent="0.35"/>
    <row r="22405" hidden="1" x14ac:dyDescent="0.35"/>
    <row r="22406" hidden="1" x14ac:dyDescent="0.35"/>
    <row r="22407" hidden="1" x14ac:dyDescent="0.35"/>
    <row r="22408" hidden="1" x14ac:dyDescent="0.35"/>
    <row r="22409" hidden="1" x14ac:dyDescent="0.35"/>
    <row r="22410" hidden="1" x14ac:dyDescent="0.35"/>
    <row r="22411" hidden="1" x14ac:dyDescent="0.35"/>
    <row r="22412" hidden="1" x14ac:dyDescent="0.35"/>
    <row r="22413" hidden="1" x14ac:dyDescent="0.35"/>
    <row r="22414" hidden="1" x14ac:dyDescent="0.35"/>
    <row r="22415" hidden="1" x14ac:dyDescent="0.35"/>
    <row r="22416" hidden="1" x14ac:dyDescent="0.35"/>
    <row r="22417" hidden="1" x14ac:dyDescent="0.35"/>
    <row r="22418" hidden="1" x14ac:dyDescent="0.35"/>
    <row r="22419" hidden="1" x14ac:dyDescent="0.35"/>
    <row r="22420" hidden="1" x14ac:dyDescent="0.35"/>
    <row r="22421" hidden="1" x14ac:dyDescent="0.35"/>
    <row r="22422" hidden="1" x14ac:dyDescent="0.35"/>
    <row r="22423" hidden="1" x14ac:dyDescent="0.35"/>
    <row r="22424" hidden="1" x14ac:dyDescent="0.35"/>
    <row r="22425" hidden="1" x14ac:dyDescent="0.35"/>
    <row r="22426" hidden="1" x14ac:dyDescent="0.35"/>
    <row r="22427" hidden="1" x14ac:dyDescent="0.35"/>
    <row r="22428" hidden="1" x14ac:dyDescent="0.35"/>
    <row r="22429" hidden="1" x14ac:dyDescent="0.35"/>
    <row r="22430" hidden="1" x14ac:dyDescent="0.35"/>
    <row r="22431" hidden="1" x14ac:dyDescent="0.35"/>
    <row r="22432" hidden="1" x14ac:dyDescent="0.35"/>
    <row r="22433" hidden="1" x14ac:dyDescent="0.35"/>
    <row r="22434" hidden="1" x14ac:dyDescent="0.35"/>
    <row r="22435" hidden="1" x14ac:dyDescent="0.35"/>
    <row r="22436" hidden="1" x14ac:dyDescent="0.35"/>
    <row r="22437" hidden="1" x14ac:dyDescent="0.35"/>
    <row r="22438" hidden="1" x14ac:dyDescent="0.35"/>
    <row r="22439" hidden="1" x14ac:dyDescent="0.35"/>
    <row r="22440" hidden="1" x14ac:dyDescent="0.35"/>
    <row r="22441" hidden="1" x14ac:dyDescent="0.35"/>
    <row r="22442" hidden="1" x14ac:dyDescent="0.35"/>
    <row r="22443" hidden="1" x14ac:dyDescent="0.35"/>
    <row r="22444" hidden="1" x14ac:dyDescent="0.35"/>
    <row r="22445" hidden="1" x14ac:dyDescent="0.35"/>
    <row r="22446" hidden="1" x14ac:dyDescent="0.35"/>
    <row r="22447" hidden="1" x14ac:dyDescent="0.35"/>
    <row r="22448" hidden="1" x14ac:dyDescent="0.35"/>
    <row r="22449" hidden="1" x14ac:dyDescent="0.35"/>
    <row r="22450" hidden="1" x14ac:dyDescent="0.35"/>
    <row r="22451" hidden="1" x14ac:dyDescent="0.35"/>
    <row r="22452" hidden="1" x14ac:dyDescent="0.35"/>
    <row r="22453" hidden="1" x14ac:dyDescent="0.35"/>
    <row r="22454" hidden="1" x14ac:dyDescent="0.35"/>
    <row r="22455" hidden="1" x14ac:dyDescent="0.35"/>
    <row r="22456" hidden="1" x14ac:dyDescent="0.35"/>
    <row r="22457" hidden="1" x14ac:dyDescent="0.35"/>
    <row r="22458" hidden="1" x14ac:dyDescent="0.35"/>
    <row r="22459" hidden="1" x14ac:dyDescent="0.35"/>
    <row r="22460" hidden="1" x14ac:dyDescent="0.35"/>
    <row r="22461" hidden="1" x14ac:dyDescent="0.35"/>
    <row r="22462" hidden="1" x14ac:dyDescent="0.35"/>
    <row r="22463" hidden="1" x14ac:dyDescent="0.35"/>
    <row r="22464" hidden="1" x14ac:dyDescent="0.35"/>
    <row r="22465" hidden="1" x14ac:dyDescent="0.35"/>
    <row r="22466" hidden="1" x14ac:dyDescent="0.35"/>
    <row r="22467" hidden="1" x14ac:dyDescent="0.35"/>
    <row r="22468" hidden="1" x14ac:dyDescent="0.35"/>
    <row r="22469" hidden="1" x14ac:dyDescent="0.35"/>
    <row r="22470" hidden="1" x14ac:dyDescent="0.35"/>
    <row r="22471" hidden="1" x14ac:dyDescent="0.35"/>
    <row r="22472" hidden="1" x14ac:dyDescent="0.35"/>
    <row r="22473" hidden="1" x14ac:dyDescent="0.35"/>
    <row r="22474" hidden="1" x14ac:dyDescent="0.35"/>
    <row r="22475" hidden="1" x14ac:dyDescent="0.35"/>
    <row r="22476" hidden="1" x14ac:dyDescent="0.35"/>
    <row r="22477" hidden="1" x14ac:dyDescent="0.35"/>
    <row r="22478" hidden="1" x14ac:dyDescent="0.35"/>
    <row r="22479" hidden="1" x14ac:dyDescent="0.35"/>
    <row r="22480" hidden="1" x14ac:dyDescent="0.35"/>
    <row r="22481" hidden="1" x14ac:dyDescent="0.35"/>
    <row r="22482" hidden="1" x14ac:dyDescent="0.35"/>
    <row r="22483" hidden="1" x14ac:dyDescent="0.35"/>
    <row r="22484" hidden="1" x14ac:dyDescent="0.35"/>
    <row r="22485" hidden="1" x14ac:dyDescent="0.35"/>
    <row r="22486" hidden="1" x14ac:dyDescent="0.35"/>
    <row r="22487" hidden="1" x14ac:dyDescent="0.35"/>
    <row r="22488" hidden="1" x14ac:dyDescent="0.35"/>
    <row r="22489" hidden="1" x14ac:dyDescent="0.35"/>
    <row r="22490" hidden="1" x14ac:dyDescent="0.35"/>
    <row r="22491" hidden="1" x14ac:dyDescent="0.35"/>
    <row r="22492" hidden="1" x14ac:dyDescent="0.35"/>
    <row r="22493" hidden="1" x14ac:dyDescent="0.35"/>
    <row r="22494" hidden="1" x14ac:dyDescent="0.35"/>
    <row r="22495" hidden="1" x14ac:dyDescent="0.35"/>
    <row r="22496" hidden="1" x14ac:dyDescent="0.35"/>
    <row r="22497" hidden="1" x14ac:dyDescent="0.35"/>
    <row r="22498" hidden="1" x14ac:dyDescent="0.35"/>
    <row r="22499" hidden="1" x14ac:dyDescent="0.35"/>
    <row r="22500" hidden="1" x14ac:dyDescent="0.35"/>
    <row r="22501" hidden="1" x14ac:dyDescent="0.35"/>
    <row r="22502" hidden="1" x14ac:dyDescent="0.35"/>
    <row r="22503" hidden="1" x14ac:dyDescent="0.35"/>
    <row r="22504" hidden="1" x14ac:dyDescent="0.35"/>
    <row r="22505" hidden="1" x14ac:dyDescent="0.35"/>
    <row r="22506" hidden="1" x14ac:dyDescent="0.35"/>
    <row r="22507" hidden="1" x14ac:dyDescent="0.35"/>
    <row r="22508" hidden="1" x14ac:dyDescent="0.35"/>
    <row r="22509" hidden="1" x14ac:dyDescent="0.35"/>
    <row r="22510" hidden="1" x14ac:dyDescent="0.35"/>
    <row r="22511" hidden="1" x14ac:dyDescent="0.35"/>
    <row r="22512" hidden="1" x14ac:dyDescent="0.35"/>
    <row r="22513" hidden="1" x14ac:dyDescent="0.35"/>
    <row r="22514" hidden="1" x14ac:dyDescent="0.35"/>
    <row r="22515" hidden="1" x14ac:dyDescent="0.35"/>
    <row r="22516" hidden="1" x14ac:dyDescent="0.35"/>
    <row r="22517" hidden="1" x14ac:dyDescent="0.35"/>
    <row r="22518" hidden="1" x14ac:dyDescent="0.35"/>
    <row r="22519" hidden="1" x14ac:dyDescent="0.35"/>
    <row r="22520" hidden="1" x14ac:dyDescent="0.35"/>
    <row r="22521" hidden="1" x14ac:dyDescent="0.35"/>
    <row r="22522" hidden="1" x14ac:dyDescent="0.35"/>
    <row r="22523" hidden="1" x14ac:dyDescent="0.35"/>
    <row r="22524" hidden="1" x14ac:dyDescent="0.35"/>
    <row r="22525" hidden="1" x14ac:dyDescent="0.35"/>
    <row r="22526" hidden="1" x14ac:dyDescent="0.35"/>
    <row r="22527" hidden="1" x14ac:dyDescent="0.35"/>
    <row r="22528" hidden="1" x14ac:dyDescent="0.35"/>
    <row r="22529" hidden="1" x14ac:dyDescent="0.35"/>
    <row r="22530" hidden="1" x14ac:dyDescent="0.35"/>
    <row r="22531" hidden="1" x14ac:dyDescent="0.35"/>
    <row r="22532" hidden="1" x14ac:dyDescent="0.35"/>
    <row r="22533" hidden="1" x14ac:dyDescent="0.35"/>
    <row r="22534" hidden="1" x14ac:dyDescent="0.35"/>
    <row r="22535" hidden="1" x14ac:dyDescent="0.35"/>
    <row r="22536" hidden="1" x14ac:dyDescent="0.35"/>
    <row r="22537" hidden="1" x14ac:dyDescent="0.35"/>
    <row r="22538" hidden="1" x14ac:dyDescent="0.35"/>
    <row r="22539" hidden="1" x14ac:dyDescent="0.35"/>
    <row r="22540" hidden="1" x14ac:dyDescent="0.35"/>
    <row r="22541" hidden="1" x14ac:dyDescent="0.35"/>
    <row r="22542" hidden="1" x14ac:dyDescent="0.35"/>
    <row r="22543" hidden="1" x14ac:dyDescent="0.35"/>
    <row r="22544" hidden="1" x14ac:dyDescent="0.35"/>
    <row r="22545" hidden="1" x14ac:dyDescent="0.35"/>
    <row r="22546" hidden="1" x14ac:dyDescent="0.35"/>
    <row r="22547" hidden="1" x14ac:dyDescent="0.35"/>
    <row r="22548" hidden="1" x14ac:dyDescent="0.35"/>
    <row r="22549" hidden="1" x14ac:dyDescent="0.35"/>
    <row r="22550" hidden="1" x14ac:dyDescent="0.35"/>
    <row r="22551" hidden="1" x14ac:dyDescent="0.35"/>
    <row r="22552" hidden="1" x14ac:dyDescent="0.35"/>
    <row r="22553" hidden="1" x14ac:dyDescent="0.35"/>
    <row r="22554" hidden="1" x14ac:dyDescent="0.35"/>
    <row r="22555" hidden="1" x14ac:dyDescent="0.35"/>
    <row r="22556" hidden="1" x14ac:dyDescent="0.35"/>
    <row r="22557" hidden="1" x14ac:dyDescent="0.35"/>
    <row r="22558" hidden="1" x14ac:dyDescent="0.35"/>
    <row r="22559" hidden="1" x14ac:dyDescent="0.35"/>
    <row r="22560" hidden="1" x14ac:dyDescent="0.35"/>
    <row r="22561" hidden="1" x14ac:dyDescent="0.35"/>
    <row r="22562" hidden="1" x14ac:dyDescent="0.35"/>
    <row r="22563" hidden="1" x14ac:dyDescent="0.35"/>
    <row r="22564" hidden="1" x14ac:dyDescent="0.35"/>
    <row r="22565" hidden="1" x14ac:dyDescent="0.35"/>
    <row r="22566" hidden="1" x14ac:dyDescent="0.35"/>
    <row r="22567" hidden="1" x14ac:dyDescent="0.35"/>
    <row r="22568" hidden="1" x14ac:dyDescent="0.35"/>
    <row r="22569" hidden="1" x14ac:dyDescent="0.35"/>
    <row r="22570" hidden="1" x14ac:dyDescent="0.35"/>
    <row r="22571" hidden="1" x14ac:dyDescent="0.35"/>
    <row r="22572" hidden="1" x14ac:dyDescent="0.35"/>
    <row r="22573" hidden="1" x14ac:dyDescent="0.35"/>
    <row r="22574" hidden="1" x14ac:dyDescent="0.35"/>
    <row r="22575" hidden="1" x14ac:dyDescent="0.35"/>
    <row r="22576" hidden="1" x14ac:dyDescent="0.35"/>
    <row r="22577" hidden="1" x14ac:dyDescent="0.35"/>
    <row r="22578" hidden="1" x14ac:dyDescent="0.35"/>
    <row r="22579" hidden="1" x14ac:dyDescent="0.35"/>
    <row r="22580" hidden="1" x14ac:dyDescent="0.35"/>
    <row r="22581" hidden="1" x14ac:dyDescent="0.35"/>
    <row r="22582" hidden="1" x14ac:dyDescent="0.35"/>
    <row r="22583" hidden="1" x14ac:dyDescent="0.35"/>
    <row r="22584" hidden="1" x14ac:dyDescent="0.35"/>
    <row r="22585" hidden="1" x14ac:dyDescent="0.35"/>
    <row r="22586" hidden="1" x14ac:dyDescent="0.35"/>
    <row r="22587" hidden="1" x14ac:dyDescent="0.35"/>
    <row r="22588" hidden="1" x14ac:dyDescent="0.35"/>
    <row r="22589" hidden="1" x14ac:dyDescent="0.35"/>
    <row r="22590" hidden="1" x14ac:dyDescent="0.35"/>
    <row r="22591" hidden="1" x14ac:dyDescent="0.35"/>
    <row r="22592" hidden="1" x14ac:dyDescent="0.35"/>
    <row r="22593" hidden="1" x14ac:dyDescent="0.35"/>
    <row r="22594" hidden="1" x14ac:dyDescent="0.35"/>
    <row r="22595" hidden="1" x14ac:dyDescent="0.35"/>
    <row r="22596" hidden="1" x14ac:dyDescent="0.35"/>
    <row r="22597" hidden="1" x14ac:dyDescent="0.35"/>
    <row r="22598" hidden="1" x14ac:dyDescent="0.35"/>
    <row r="22599" hidden="1" x14ac:dyDescent="0.35"/>
    <row r="22600" hidden="1" x14ac:dyDescent="0.35"/>
    <row r="22601" hidden="1" x14ac:dyDescent="0.35"/>
    <row r="22602" hidden="1" x14ac:dyDescent="0.35"/>
    <row r="22603" hidden="1" x14ac:dyDescent="0.35"/>
    <row r="22604" hidden="1" x14ac:dyDescent="0.35"/>
    <row r="22605" hidden="1" x14ac:dyDescent="0.35"/>
    <row r="22606" hidden="1" x14ac:dyDescent="0.35"/>
    <row r="22607" hidden="1" x14ac:dyDescent="0.35"/>
    <row r="22608" hidden="1" x14ac:dyDescent="0.35"/>
    <row r="22609" hidden="1" x14ac:dyDescent="0.35"/>
    <row r="22610" hidden="1" x14ac:dyDescent="0.35"/>
    <row r="22611" hidden="1" x14ac:dyDescent="0.35"/>
    <row r="22612" hidden="1" x14ac:dyDescent="0.35"/>
    <row r="22613" hidden="1" x14ac:dyDescent="0.35"/>
    <row r="22614" hidden="1" x14ac:dyDescent="0.35"/>
    <row r="22615" hidden="1" x14ac:dyDescent="0.35"/>
    <row r="22616" hidden="1" x14ac:dyDescent="0.35"/>
    <row r="22617" hidden="1" x14ac:dyDescent="0.35"/>
    <row r="22618" hidden="1" x14ac:dyDescent="0.35"/>
    <row r="22619" hidden="1" x14ac:dyDescent="0.35"/>
    <row r="22620" hidden="1" x14ac:dyDescent="0.35"/>
    <row r="22621" hidden="1" x14ac:dyDescent="0.35"/>
    <row r="22622" hidden="1" x14ac:dyDescent="0.35"/>
    <row r="22623" hidden="1" x14ac:dyDescent="0.35"/>
    <row r="22624" hidden="1" x14ac:dyDescent="0.35"/>
    <row r="22625" hidden="1" x14ac:dyDescent="0.35"/>
    <row r="22626" hidden="1" x14ac:dyDescent="0.35"/>
    <row r="22627" hidden="1" x14ac:dyDescent="0.35"/>
    <row r="22628" hidden="1" x14ac:dyDescent="0.35"/>
    <row r="22629" hidden="1" x14ac:dyDescent="0.35"/>
    <row r="22630" hidden="1" x14ac:dyDescent="0.35"/>
    <row r="22631" hidden="1" x14ac:dyDescent="0.35"/>
    <row r="22632" hidden="1" x14ac:dyDescent="0.35"/>
    <row r="22633" hidden="1" x14ac:dyDescent="0.35"/>
    <row r="22634" hidden="1" x14ac:dyDescent="0.35"/>
    <row r="22635" hidden="1" x14ac:dyDescent="0.35"/>
    <row r="22636" hidden="1" x14ac:dyDescent="0.35"/>
    <row r="22637" hidden="1" x14ac:dyDescent="0.35"/>
    <row r="22638" hidden="1" x14ac:dyDescent="0.35"/>
    <row r="22639" hidden="1" x14ac:dyDescent="0.35"/>
    <row r="22640" hidden="1" x14ac:dyDescent="0.35"/>
    <row r="22641" hidden="1" x14ac:dyDescent="0.35"/>
    <row r="22642" hidden="1" x14ac:dyDescent="0.35"/>
    <row r="22643" hidden="1" x14ac:dyDescent="0.35"/>
    <row r="22644" hidden="1" x14ac:dyDescent="0.35"/>
    <row r="22645" hidden="1" x14ac:dyDescent="0.35"/>
    <row r="22646" hidden="1" x14ac:dyDescent="0.35"/>
    <row r="22647" hidden="1" x14ac:dyDescent="0.35"/>
    <row r="22648" hidden="1" x14ac:dyDescent="0.35"/>
    <row r="22649" hidden="1" x14ac:dyDescent="0.35"/>
    <row r="22650" hidden="1" x14ac:dyDescent="0.35"/>
    <row r="22651" hidden="1" x14ac:dyDescent="0.35"/>
    <row r="22652" hidden="1" x14ac:dyDescent="0.35"/>
    <row r="22653" hidden="1" x14ac:dyDescent="0.35"/>
    <row r="22654" hidden="1" x14ac:dyDescent="0.35"/>
    <row r="22655" hidden="1" x14ac:dyDescent="0.35"/>
    <row r="22656" hidden="1" x14ac:dyDescent="0.35"/>
    <row r="22657" hidden="1" x14ac:dyDescent="0.35"/>
    <row r="22658" hidden="1" x14ac:dyDescent="0.35"/>
    <row r="22659" hidden="1" x14ac:dyDescent="0.35"/>
    <row r="22660" hidden="1" x14ac:dyDescent="0.35"/>
    <row r="22661" hidden="1" x14ac:dyDescent="0.35"/>
    <row r="22662" hidden="1" x14ac:dyDescent="0.35"/>
    <row r="22663" hidden="1" x14ac:dyDescent="0.35"/>
    <row r="22664" hidden="1" x14ac:dyDescent="0.35"/>
    <row r="22665" hidden="1" x14ac:dyDescent="0.35"/>
    <row r="22666" hidden="1" x14ac:dyDescent="0.35"/>
    <row r="22667" hidden="1" x14ac:dyDescent="0.35"/>
    <row r="22668" hidden="1" x14ac:dyDescent="0.35"/>
    <row r="22669" hidden="1" x14ac:dyDescent="0.35"/>
    <row r="22670" hidden="1" x14ac:dyDescent="0.35"/>
    <row r="22671" hidden="1" x14ac:dyDescent="0.35"/>
    <row r="22672" hidden="1" x14ac:dyDescent="0.35"/>
    <row r="22673" hidden="1" x14ac:dyDescent="0.35"/>
    <row r="22674" hidden="1" x14ac:dyDescent="0.35"/>
    <row r="22675" hidden="1" x14ac:dyDescent="0.35"/>
    <row r="22676" hidden="1" x14ac:dyDescent="0.35"/>
    <row r="22677" hidden="1" x14ac:dyDescent="0.35"/>
    <row r="22678" hidden="1" x14ac:dyDescent="0.35"/>
    <row r="22679" hidden="1" x14ac:dyDescent="0.35"/>
    <row r="22680" hidden="1" x14ac:dyDescent="0.35"/>
    <row r="22681" hidden="1" x14ac:dyDescent="0.35"/>
    <row r="22682" hidden="1" x14ac:dyDescent="0.35"/>
    <row r="22683" hidden="1" x14ac:dyDescent="0.35"/>
    <row r="22684" hidden="1" x14ac:dyDescent="0.35"/>
    <row r="22685" hidden="1" x14ac:dyDescent="0.35"/>
    <row r="22686" hidden="1" x14ac:dyDescent="0.35"/>
    <row r="22687" hidden="1" x14ac:dyDescent="0.35"/>
    <row r="22688" hidden="1" x14ac:dyDescent="0.35"/>
    <row r="22689" hidden="1" x14ac:dyDescent="0.35"/>
    <row r="22690" hidden="1" x14ac:dyDescent="0.35"/>
    <row r="22691" hidden="1" x14ac:dyDescent="0.35"/>
    <row r="22692" hidden="1" x14ac:dyDescent="0.35"/>
    <row r="22693" hidden="1" x14ac:dyDescent="0.35"/>
    <row r="22694" hidden="1" x14ac:dyDescent="0.35"/>
    <row r="22695" hidden="1" x14ac:dyDescent="0.35"/>
    <row r="22696" hidden="1" x14ac:dyDescent="0.35"/>
    <row r="22697" hidden="1" x14ac:dyDescent="0.35"/>
    <row r="22698" hidden="1" x14ac:dyDescent="0.35"/>
    <row r="22699" hidden="1" x14ac:dyDescent="0.35"/>
    <row r="22700" hidden="1" x14ac:dyDescent="0.35"/>
    <row r="22701" hidden="1" x14ac:dyDescent="0.35"/>
    <row r="22702" hidden="1" x14ac:dyDescent="0.35"/>
    <row r="22703" hidden="1" x14ac:dyDescent="0.35"/>
    <row r="22704" hidden="1" x14ac:dyDescent="0.35"/>
    <row r="22705" hidden="1" x14ac:dyDescent="0.35"/>
    <row r="22706" hidden="1" x14ac:dyDescent="0.35"/>
    <row r="22707" hidden="1" x14ac:dyDescent="0.35"/>
    <row r="22708" hidden="1" x14ac:dyDescent="0.35"/>
    <row r="22709" hidden="1" x14ac:dyDescent="0.35"/>
    <row r="22710" hidden="1" x14ac:dyDescent="0.35"/>
    <row r="22711" hidden="1" x14ac:dyDescent="0.35"/>
    <row r="22712" hidden="1" x14ac:dyDescent="0.35"/>
    <row r="22713" hidden="1" x14ac:dyDescent="0.35"/>
    <row r="22714" hidden="1" x14ac:dyDescent="0.35"/>
    <row r="22715" hidden="1" x14ac:dyDescent="0.35"/>
    <row r="22716" hidden="1" x14ac:dyDescent="0.35"/>
    <row r="22717" hidden="1" x14ac:dyDescent="0.35"/>
    <row r="22718" hidden="1" x14ac:dyDescent="0.35"/>
    <row r="22719" hidden="1" x14ac:dyDescent="0.35"/>
    <row r="22720" hidden="1" x14ac:dyDescent="0.35"/>
    <row r="22721" hidden="1" x14ac:dyDescent="0.35"/>
    <row r="22722" hidden="1" x14ac:dyDescent="0.35"/>
    <row r="22723" hidden="1" x14ac:dyDescent="0.35"/>
    <row r="22724" hidden="1" x14ac:dyDescent="0.35"/>
    <row r="22725" hidden="1" x14ac:dyDescent="0.35"/>
    <row r="22726" hidden="1" x14ac:dyDescent="0.35"/>
    <row r="22727" hidden="1" x14ac:dyDescent="0.35"/>
    <row r="22728" hidden="1" x14ac:dyDescent="0.35"/>
    <row r="22729" hidden="1" x14ac:dyDescent="0.35"/>
    <row r="22730" hidden="1" x14ac:dyDescent="0.35"/>
    <row r="22731" hidden="1" x14ac:dyDescent="0.35"/>
    <row r="22732" hidden="1" x14ac:dyDescent="0.35"/>
    <row r="22733" hidden="1" x14ac:dyDescent="0.35"/>
    <row r="22734" hidden="1" x14ac:dyDescent="0.35"/>
    <row r="22735" hidden="1" x14ac:dyDescent="0.35"/>
    <row r="22736" hidden="1" x14ac:dyDescent="0.35"/>
    <row r="22737" hidden="1" x14ac:dyDescent="0.35"/>
    <row r="22738" hidden="1" x14ac:dyDescent="0.35"/>
    <row r="22739" hidden="1" x14ac:dyDescent="0.35"/>
    <row r="22740" hidden="1" x14ac:dyDescent="0.35"/>
    <row r="22741" hidden="1" x14ac:dyDescent="0.35"/>
    <row r="22742" hidden="1" x14ac:dyDescent="0.35"/>
    <row r="22743" hidden="1" x14ac:dyDescent="0.35"/>
    <row r="22744" hidden="1" x14ac:dyDescent="0.35"/>
    <row r="22745" hidden="1" x14ac:dyDescent="0.35"/>
    <row r="22746" hidden="1" x14ac:dyDescent="0.35"/>
    <row r="22747" hidden="1" x14ac:dyDescent="0.35"/>
    <row r="22748" hidden="1" x14ac:dyDescent="0.35"/>
    <row r="22749" hidden="1" x14ac:dyDescent="0.35"/>
    <row r="22750" hidden="1" x14ac:dyDescent="0.35"/>
    <row r="22751" hidden="1" x14ac:dyDescent="0.35"/>
    <row r="22752" hidden="1" x14ac:dyDescent="0.35"/>
    <row r="22753" hidden="1" x14ac:dyDescent="0.35"/>
    <row r="22754" hidden="1" x14ac:dyDescent="0.35"/>
    <row r="22755" hidden="1" x14ac:dyDescent="0.35"/>
    <row r="22756" hidden="1" x14ac:dyDescent="0.35"/>
    <row r="22757" hidden="1" x14ac:dyDescent="0.35"/>
    <row r="22758" hidden="1" x14ac:dyDescent="0.35"/>
    <row r="22759" hidden="1" x14ac:dyDescent="0.35"/>
    <row r="22760" hidden="1" x14ac:dyDescent="0.35"/>
    <row r="22761" hidden="1" x14ac:dyDescent="0.35"/>
    <row r="22762" hidden="1" x14ac:dyDescent="0.35"/>
    <row r="22763" hidden="1" x14ac:dyDescent="0.35"/>
    <row r="22764" hidden="1" x14ac:dyDescent="0.35"/>
    <row r="22765" hidden="1" x14ac:dyDescent="0.35"/>
    <row r="22766" hidden="1" x14ac:dyDescent="0.35"/>
    <row r="22767" hidden="1" x14ac:dyDescent="0.35"/>
    <row r="22768" hidden="1" x14ac:dyDescent="0.35"/>
    <row r="22769" hidden="1" x14ac:dyDescent="0.35"/>
    <row r="22770" hidden="1" x14ac:dyDescent="0.35"/>
    <row r="22771" hidden="1" x14ac:dyDescent="0.35"/>
    <row r="22772" hidden="1" x14ac:dyDescent="0.35"/>
    <row r="22773" hidden="1" x14ac:dyDescent="0.35"/>
    <row r="22774" hidden="1" x14ac:dyDescent="0.35"/>
    <row r="22775" hidden="1" x14ac:dyDescent="0.35"/>
    <row r="22776" hidden="1" x14ac:dyDescent="0.35"/>
    <row r="22777" hidden="1" x14ac:dyDescent="0.35"/>
    <row r="22778" hidden="1" x14ac:dyDescent="0.35"/>
    <row r="22779" hidden="1" x14ac:dyDescent="0.35"/>
    <row r="22780" hidden="1" x14ac:dyDescent="0.35"/>
    <row r="22781" hidden="1" x14ac:dyDescent="0.35"/>
    <row r="22782" hidden="1" x14ac:dyDescent="0.35"/>
    <row r="22783" hidden="1" x14ac:dyDescent="0.35"/>
    <row r="22784" hidden="1" x14ac:dyDescent="0.35"/>
    <row r="22785" hidden="1" x14ac:dyDescent="0.35"/>
    <row r="22786" hidden="1" x14ac:dyDescent="0.35"/>
    <row r="22787" hidden="1" x14ac:dyDescent="0.35"/>
    <row r="22788" hidden="1" x14ac:dyDescent="0.35"/>
    <row r="22789" hidden="1" x14ac:dyDescent="0.35"/>
    <row r="22790" hidden="1" x14ac:dyDescent="0.35"/>
    <row r="22791" hidden="1" x14ac:dyDescent="0.35"/>
    <row r="22792" hidden="1" x14ac:dyDescent="0.35"/>
    <row r="22793" hidden="1" x14ac:dyDescent="0.35"/>
    <row r="22794" hidden="1" x14ac:dyDescent="0.35"/>
    <row r="22795" hidden="1" x14ac:dyDescent="0.35"/>
    <row r="22796" hidden="1" x14ac:dyDescent="0.35"/>
    <row r="22797" hidden="1" x14ac:dyDescent="0.35"/>
    <row r="22798" hidden="1" x14ac:dyDescent="0.35"/>
    <row r="22799" hidden="1" x14ac:dyDescent="0.35"/>
    <row r="22800" hidden="1" x14ac:dyDescent="0.35"/>
    <row r="22801" hidden="1" x14ac:dyDescent="0.35"/>
    <row r="22802" hidden="1" x14ac:dyDescent="0.35"/>
    <row r="22803" hidden="1" x14ac:dyDescent="0.35"/>
    <row r="22804" hidden="1" x14ac:dyDescent="0.35"/>
    <row r="22805" hidden="1" x14ac:dyDescent="0.35"/>
    <row r="22806" hidden="1" x14ac:dyDescent="0.35"/>
    <row r="22807" hidden="1" x14ac:dyDescent="0.35"/>
    <row r="22808" hidden="1" x14ac:dyDescent="0.35"/>
    <row r="22809" hidden="1" x14ac:dyDescent="0.35"/>
    <row r="22810" hidden="1" x14ac:dyDescent="0.35"/>
    <row r="22811" hidden="1" x14ac:dyDescent="0.35"/>
    <row r="22812" hidden="1" x14ac:dyDescent="0.35"/>
    <row r="22813" hidden="1" x14ac:dyDescent="0.35"/>
    <row r="22814" hidden="1" x14ac:dyDescent="0.35"/>
    <row r="22815" hidden="1" x14ac:dyDescent="0.35"/>
    <row r="22816" hidden="1" x14ac:dyDescent="0.35"/>
    <row r="22817" hidden="1" x14ac:dyDescent="0.35"/>
    <row r="22818" hidden="1" x14ac:dyDescent="0.35"/>
    <row r="22819" hidden="1" x14ac:dyDescent="0.35"/>
    <row r="22820" hidden="1" x14ac:dyDescent="0.35"/>
    <row r="22821" hidden="1" x14ac:dyDescent="0.35"/>
    <row r="22822" hidden="1" x14ac:dyDescent="0.35"/>
    <row r="22823" hidden="1" x14ac:dyDescent="0.35"/>
    <row r="22824" hidden="1" x14ac:dyDescent="0.35"/>
    <row r="22825" hidden="1" x14ac:dyDescent="0.35"/>
    <row r="22826" hidden="1" x14ac:dyDescent="0.35"/>
    <row r="22827" hidden="1" x14ac:dyDescent="0.35"/>
    <row r="22828" hidden="1" x14ac:dyDescent="0.35"/>
    <row r="22829" hidden="1" x14ac:dyDescent="0.35"/>
    <row r="22830" hidden="1" x14ac:dyDescent="0.35"/>
    <row r="22831" hidden="1" x14ac:dyDescent="0.35"/>
    <row r="22832" hidden="1" x14ac:dyDescent="0.35"/>
    <row r="22833" hidden="1" x14ac:dyDescent="0.35"/>
    <row r="22834" hidden="1" x14ac:dyDescent="0.35"/>
    <row r="22835" hidden="1" x14ac:dyDescent="0.35"/>
    <row r="22836" hidden="1" x14ac:dyDescent="0.35"/>
    <row r="22837" hidden="1" x14ac:dyDescent="0.35"/>
    <row r="22838" hidden="1" x14ac:dyDescent="0.35"/>
    <row r="22839" hidden="1" x14ac:dyDescent="0.35"/>
    <row r="22840" hidden="1" x14ac:dyDescent="0.35"/>
    <row r="22841" hidden="1" x14ac:dyDescent="0.35"/>
    <row r="22842" hidden="1" x14ac:dyDescent="0.35"/>
    <row r="22843" hidden="1" x14ac:dyDescent="0.35"/>
    <row r="22844" hidden="1" x14ac:dyDescent="0.35"/>
    <row r="22845" hidden="1" x14ac:dyDescent="0.35"/>
    <row r="22846" hidden="1" x14ac:dyDescent="0.35"/>
    <row r="22847" hidden="1" x14ac:dyDescent="0.35"/>
    <row r="22848" hidden="1" x14ac:dyDescent="0.35"/>
    <row r="22849" hidden="1" x14ac:dyDescent="0.35"/>
    <row r="22850" hidden="1" x14ac:dyDescent="0.35"/>
    <row r="22851" hidden="1" x14ac:dyDescent="0.35"/>
    <row r="22852" hidden="1" x14ac:dyDescent="0.35"/>
    <row r="22853" hidden="1" x14ac:dyDescent="0.35"/>
    <row r="22854" hidden="1" x14ac:dyDescent="0.35"/>
    <row r="22855" hidden="1" x14ac:dyDescent="0.35"/>
    <row r="22856" hidden="1" x14ac:dyDescent="0.35"/>
    <row r="22857" hidden="1" x14ac:dyDescent="0.35"/>
    <row r="22858" hidden="1" x14ac:dyDescent="0.35"/>
    <row r="22859" hidden="1" x14ac:dyDescent="0.35"/>
    <row r="22860" hidden="1" x14ac:dyDescent="0.35"/>
    <row r="22861" hidden="1" x14ac:dyDescent="0.35"/>
    <row r="22862" hidden="1" x14ac:dyDescent="0.35"/>
    <row r="22863" hidden="1" x14ac:dyDescent="0.35"/>
    <row r="22864" hidden="1" x14ac:dyDescent="0.35"/>
    <row r="22865" hidden="1" x14ac:dyDescent="0.35"/>
    <row r="22866" hidden="1" x14ac:dyDescent="0.35"/>
    <row r="22867" hidden="1" x14ac:dyDescent="0.35"/>
    <row r="22868" hidden="1" x14ac:dyDescent="0.35"/>
    <row r="22869" hidden="1" x14ac:dyDescent="0.35"/>
    <row r="22870" hidden="1" x14ac:dyDescent="0.35"/>
    <row r="22871" hidden="1" x14ac:dyDescent="0.35"/>
    <row r="22872" hidden="1" x14ac:dyDescent="0.35"/>
    <row r="22873" hidden="1" x14ac:dyDescent="0.35"/>
    <row r="22874" hidden="1" x14ac:dyDescent="0.35"/>
    <row r="22875" hidden="1" x14ac:dyDescent="0.35"/>
    <row r="22876" hidden="1" x14ac:dyDescent="0.35"/>
    <row r="22877" hidden="1" x14ac:dyDescent="0.35"/>
    <row r="22878" hidden="1" x14ac:dyDescent="0.35"/>
    <row r="22879" hidden="1" x14ac:dyDescent="0.35"/>
    <row r="22880" hidden="1" x14ac:dyDescent="0.35"/>
    <row r="22881" hidden="1" x14ac:dyDescent="0.35"/>
    <row r="22882" hidden="1" x14ac:dyDescent="0.35"/>
    <row r="22883" hidden="1" x14ac:dyDescent="0.35"/>
    <row r="22884" hidden="1" x14ac:dyDescent="0.35"/>
    <row r="22885" hidden="1" x14ac:dyDescent="0.35"/>
    <row r="22886" hidden="1" x14ac:dyDescent="0.35"/>
    <row r="22887" hidden="1" x14ac:dyDescent="0.35"/>
    <row r="22888" hidden="1" x14ac:dyDescent="0.35"/>
    <row r="22889" hidden="1" x14ac:dyDescent="0.35"/>
    <row r="22890" hidden="1" x14ac:dyDescent="0.35"/>
    <row r="22891" hidden="1" x14ac:dyDescent="0.35"/>
    <row r="22892" hidden="1" x14ac:dyDescent="0.35"/>
    <row r="22893" hidden="1" x14ac:dyDescent="0.35"/>
    <row r="22894" hidden="1" x14ac:dyDescent="0.35"/>
    <row r="22895" hidden="1" x14ac:dyDescent="0.35"/>
    <row r="22896" hidden="1" x14ac:dyDescent="0.35"/>
    <row r="22897" hidden="1" x14ac:dyDescent="0.35"/>
    <row r="22898" hidden="1" x14ac:dyDescent="0.35"/>
    <row r="22899" hidden="1" x14ac:dyDescent="0.35"/>
    <row r="22900" hidden="1" x14ac:dyDescent="0.35"/>
    <row r="22901" hidden="1" x14ac:dyDescent="0.35"/>
    <row r="22902" hidden="1" x14ac:dyDescent="0.35"/>
    <row r="22903" hidden="1" x14ac:dyDescent="0.35"/>
    <row r="22904" hidden="1" x14ac:dyDescent="0.35"/>
    <row r="22905" hidden="1" x14ac:dyDescent="0.35"/>
    <row r="22906" hidden="1" x14ac:dyDescent="0.35"/>
    <row r="22907" hidden="1" x14ac:dyDescent="0.35"/>
    <row r="22908" hidden="1" x14ac:dyDescent="0.35"/>
    <row r="22909" hidden="1" x14ac:dyDescent="0.35"/>
    <row r="22910" hidden="1" x14ac:dyDescent="0.35"/>
    <row r="22911" hidden="1" x14ac:dyDescent="0.35"/>
    <row r="22912" hidden="1" x14ac:dyDescent="0.35"/>
    <row r="22913" hidden="1" x14ac:dyDescent="0.35"/>
    <row r="22914" hidden="1" x14ac:dyDescent="0.35"/>
    <row r="22915" hidden="1" x14ac:dyDescent="0.35"/>
    <row r="22916" hidden="1" x14ac:dyDescent="0.35"/>
    <row r="22917" hidden="1" x14ac:dyDescent="0.35"/>
    <row r="22918" hidden="1" x14ac:dyDescent="0.35"/>
    <row r="22919" hidden="1" x14ac:dyDescent="0.35"/>
    <row r="22920" hidden="1" x14ac:dyDescent="0.35"/>
    <row r="22921" hidden="1" x14ac:dyDescent="0.35"/>
    <row r="22922" hidden="1" x14ac:dyDescent="0.35"/>
    <row r="22923" hidden="1" x14ac:dyDescent="0.35"/>
    <row r="22924" hidden="1" x14ac:dyDescent="0.35"/>
    <row r="22925" hidden="1" x14ac:dyDescent="0.35"/>
    <row r="22926" hidden="1" x14ac:dyDescent="0.35"/>
    <row r="22927" hidden="1" x14ac:dyDescent="0.35"/>
    <row r="22928" hidden="1" x14ac:dyDescent="0.35"/>
    <row r="22929" hidden="1" x14ac:dyDescent="0.35"/>
    <row r="22930" hidden="1" x14ac:dyDescent="0.35"/>
    <row r="22931" hidden="1" x14ac:dyDescent="0.35"/>
    <row r="22932" hidden="1" x14ac:dyDescent="0.35"/>
    <row r="22933" hidden="1" x14ac:dyDescent="0.35"/>
    <row r="22934" hidden="1" x14ac:dyDescent="0.35"/>
    <row r="22935" hidden="1" x14ac:dyDescent="0.35"/>
    <row r="22936" hidden="1" x14ac:dyDescent="0.35"/>
    <row r="22937" hidden="1" x14ac:dyDescent="0.35"/>
    <row r="22938" hidden="1" x14ac:dyDescent="0.35"/>
    <row r="22939" hidden="1" x14ac:dyDescent="0.35"/>
    <row r="22940" hidden="1" x14ac:dyDescent="0.35"/>
    <row r="22941" hidden="1" x14ac:dyDescent="0.35"/>
    <row r="22942" hidden="1" x14ac:dyDescent="0.35"/>
    <row r="22943" hidden="1" x14ac:dyDescent="0.35"/>
    <row r="22944" hidden="1" x14ac:dyDescent="0.35"/>
    <row r="22945" hidden="1" x14ac:dyDescent="0.35"/>
    <row r="22946" hidden="1" x14ac:dyDescent="0.35"/>
    <row r="22947" hidden="1" x14ac:dyDescent="0.35"/>
    <row r="22948" hidden="1" x14ac:dyDescent="0.35"/>
    <row r="22949" hidden="1" x14ac:dyDescent="0.35"/>
    <row r="22950" hidden="1" x14ac:dyDescent="0.35"/>
    <row r="22951" hidden="1" x14ac:dyDescent="0.35"/>
    <row r="22952" hidden="1" x14ac:dyDescent="0.35"/>
    <row r="22953" hidden="1" x14ac:dyDescent="0.35"/>
    <row r="22954" hidden="1" x14ac:dyDescent="0.35"/>
    <row r="22955" hidden="1" x14ac:dyDescent="0.35"/>
    <row r="22956" hidden="1" x14ac:dyDescent="0.35"/>
    <row r="22957" hidden="1" x14ac:dyDescent="0.35"/>
    <row r="22958" hidden="1" x14ac:dyDescent="0.35"/>
    <row r="22959" hidden="1" x14ac:dyDescent="0.35"/>
    <row r="22960" hidden="1" x14ac:dyDescent="0.35"/>
    <row r="22961" hidden="1" x14ac:dyDescent="0.35"/>
    <row r="22962" hidden="1" x14ac:dyDescent="0.35"/>
    <row r="22963" hidden="1" x14ac:dyDescent="0.35"/>
    <row r="22964" hidden="1" x14ac:dyDescent="0.35"/>
    <row r="22965" hidden="1" x14ac:dyDescent="0.35"/>
    <row r="22966" hidden="1" x14ac:dyDescent="0.35"/>
    <row r="22967" hidden="1" x14ac:dyDescent="0.35"/>
    <row r="22968" hidden="1" x14ac:dyDescent="0.35"/>
    <row r="22969" hidden="1" x14ac:dyDescent="0.35"/>
    <row r="22970" hidden="1" x14ac:dyDescent="0.35"/>
    <row r="22971" hidden="1" x14ac:dyDescent="0.35"/>
    <row r="22972" hidden="1" x14ac:dyDescent="0.35"/>
    <row r="22973" hidden="1" x14ac:dyDescent="0.35"/>
    <row r="22974" hidden="1" x14ac:dyDescent="0.35"/>
    <row r="22975" hidden="1" x14ac:dyDescent="0.35"/>
    <row r="22976" hidden="1" x14ac:dyDescent="0.35"/>
    <row r="22977" hidden="1" x14ac:dyDescent="0.35"/>
    <row r="22978" hidden="1" x14ac:dyDescent="0.35"/>
    <row r="22979" hidden="1" x14ac:dyDescent="0.35"/>
    <row r="22980" hidden="1" x14ac:dyDescent="0.35"/>
    <row r="22981" hidden="1" x14ac:dyDescent="0.35"/>
    <row r="22982" hidden="1" x14ac:dyDescent="0.35"/>
    <row r="22983" hidden="1" x14ac:dyDescent="0.35"/>
    <row r="22984" hidden="1" x14ac:dyDescent="0.35"/>
    <row r="22985" hidden="1" x14ac:dyDescent="0.35"/>
    <row r="22986" hidden="1" x14ac:dyDescent="0.35"/>
    <row r="22987" hidden="1" x14ac:dyDescent="0.35"/>
    <row r="22988" hidden="1" x14ac:dyDescent="0.35"/>
    <row r="22989" hidden="1" x14ac:dyDescent="0.35"/>
    <row r="22990" hidden="1" x14ac:dyDescent="0.35"/>
    <row r="22991" hidden="1" x14ac:dyDescent="0.35"/>
    <row r="22992" hidden="1" x14ac:dyDescent="0.35"/>
    <row r="22993" hidden="1" x14ac:dyDescent="0.35"/>
    <row r="22994" hidden="1" x14ac:dyDescent="0.35"/>
    <row r="22995" hidden="1" x14ac:dyDescent="0.35"/>
    <row r="22996" hidden="1" x14ac:dyDescent="0.35"/>
    <row r="22997" hidden="1" x14ac:dyDescent="0.35"/>
    <row r="22998" hidden="1" x14ac:dyDescent="0.35"/>
    <row r="22999" hidden="1" x14ac:dyDescent="0.35"/>
    <row r="23000" hidden="1" x14ac:dyDescent="0.35"/>
    <row r="23001" hidden="1" x14ac:dyDescent="0.35"/>
    <row r="23002" hidden="1" x14ac:dyDescent="0.35"/>
    <row r="23003" hidden="1" x14ac:dyDescent="0.35"/>
    <row r="23004" hidden="1" x14ac:dyDescent="0.35"/>
    <row r="23005" hidden="1" x14ac:dyDescent="0.35"/>
    <row r="23006" hidden="1" x14ac:dyDescent="0.35"/>
    <row r="23007" hidden="1" x14ac:dyDescent="0.35"/>
    <row r="23008" hidden="1" x14ac:dyDescent="0.35"/>
    <row r="23009" hidden="1" x14ac:dyDescent="0.35"/>
    <row r="23010" hidden="1" x14ac:dyDescent="0.35"/>
    <row r="23011" hidden="1" x14ac:dyDescent="0.35"/>
    <row r="23012" hidden="1" x14ac:dyDescent="0.35"/>
    <row r="23013" hidden="1" x14ac:dyDescent="0.35"/>
    <row r="23014" hidden="1" x14ac:dyDescent="0.35"/>
    <row r="23015" hidden="1" x14ac:dyDescent="0.35"/>
    <row r="23016" hidden="1" x14ac:dyDescent="0.35"/>
    <row r="23017" hidden="1" x14ac:dyDescent="0.35"/>
    <row r="23018" hidden="1" x14ac:dyDescent="0.35"/>
    <row r="23019" hidden="1" x14ac:dyDescent="0.35"/>
    <row r="23020" hidden="1" x14ac:dyDescent="0.35"/>
    <row r="23021" hidden="1" x14ac:dyDescent="0.35"/>
    <row r="23022" hidden="1" x14ac:dyDescent="0.35"/>
    <row r="23023" hidden="1" x14ac:dyDescent="0.35"/>
    <row r="23024" hidden="1" x14ac:dyDescent="0.35"/>
    <row r="23025" hidden="1" x14ac:dyDescent="0.35"/>
    <row r="23026" hidden="1" x14ac:dyDescent="0.35"/>
    <row r="23027" hidden="1" x14ac:dyDescent="0.35"/>
    <row r="23028" hidden="1" x14ac:dyDescent="0.35"/>
    <row r="23029" hidden="1" x14ac:dyDescent="0.35"/>
    <row r="23030" hidden="1" x14ac:dyDescent="0.35"/>
    <row r="23031" hidden="1" x14ac:dyDescent="0.35"/>
    <row r="23032" hidden="1" x14ac:dyDescent="0.35"/>
    <row r="23033" hidden="1" x14ac:dyDescent="0.35"/>
    <row r="23034" hidden="1" x14ac:dyDescent="0.35"/>
    <row r="23035" hidden="1" x14ac:dyDescent="0.35"/>
    <row r="23036" hidden="1" x14ac:dyDescent="0.35"/>
    <row r="23037" hidden="1" x14ac:dyDescent="0.35"/>
    <row r="23038" hidden="1" x14ac:dyDescent="0.35"/>
    <row r="23039" hidden="1" x14ac:dyDescent="0.35"/>
    <row r="23040" hidden="1" x14ac:dyDescent="0.35"/>
    <row r="23041" hidden="1" x14ac:dyDescent="0.35"/>
    <row r="23042" hidden="1" x14ac:dyDescent="0.35"/>
    <row r="23043" hidden="1" x14ac:dyDescent="0.35"/>
    <row r="23044" hidden="1" x14ac:dyDescent="0.35"/>
    <row r="23045" hidden="1" x14ac:dyDescent="0.35"/>
    <row r="23046" hidden="1" x14ac:dyDescent="0.35"/>
    <row r="23047" hidden="1" x14ac:dyDescent="0.35"/>
    <row r="23048" hidden="1" x14ac:dyDescent="0.35"/>
    <row r="23049" hidden="1" x14ac:dyDescent="0.35"/>
    <row r="23050" hidden="1" x14ac:dyDescent="0.35"/>
    <row r="23051" hidden="1" x14ac:dyDescent="0.35"/>
    <row r="23052" hidden="1" x14ac:dyDescent="0.35"/>
    <row r="23053" hidden="1" x14ac:dyDescent="0.35"/>
    <row r="23054" hidden="1" x14ac:dyDescent="0.35"/>
    <row r="23055" hidden="1" x14ac:dyDescent="0.35"/>
    <row r="23056" hidden="1" x14ac:dyDescent="0.35"/>
    <row r="23057" hidden="1" x14ac:dyDescent="0.35"/>
    <row r="23058" hidden="1" x14ac:dyDescent="0.35"/>
    <row r="23059" hidden="1" x14ac:dyDescent="0.35"/>
    <row r="23060" hidden="1" x14ac:dyDescent="0.35"/>
    <row r="23061" hidden="1" x14ac:dyDescent="0.35"/>
    <row r="23062" hidden="1" x14ac:dyDescent="0.35"/>
    <row r="23063" hidden="1" x14ac:dyDescent="0.35"/>
    <row r="23064" hidden="1" x14ac:dyDescent="0.35"/>
    <row r="23065" hidden="1" x14ac:dyDescent="0.35"/>
    <row r="23066" hidden="1" x14ac:dyDescent="0.35"/>
    <row r="23067" hidden="1" x14ac:dyDescent="0.35"/>
    <row r="23068" hidden="1" x14ac:dyDescent="0.35"/>
    <row r="23069" hidden="1" x14ac:dyDescent="0.35"/>
    <row r="23070" hidden="1" x14ac:dyDescent="0.35"/>
    <row r="23071" hidden="1" x14ac:dyDescent="0.35"/>
    <row r="23072" hidden="1" x14ac:dyDescent="0.35"/>
    <row r="23073" hidden="1" x14ac:dyDescent="0.35"/>
    <row r="23074" hidden="1" x14ac:dyDescent="0.35"/>
    <row r="23075" hidden="1" x14ac:dyDescent="0.35"/>
    <row r="23076" hidden="1" x14ac:dyDescent="0.35"/>
    <row r="23077" hidden="1" x14ac:dyDescent="0.35"/>
    <row r="23078" hidden="1" x14ac:dyDescent="0.35"/>
    <row r="23079" hidden="1" x14ac:dyDescent="0.35"/>
    <row r="23080" hidden="1" x14ac:dyDescent="0.35"/>
    <row r="23081" hidden="1" x14ac:dyDescent="0.35"/>
    <row r="23082" hidden="1" x14ac:dyDescent="0.35"/>
    <row r="23083" hidden="1" x14ac:dyDescent="0.35"/>
    <row r="23084" hidden="1" x14ac:dyDescent="0.35"/>
    <row r="23085" hidden="1" x14ac:dyDescent="0.35"/>
    <row r="23086" hidden="1" x14ac:dyDescent="0.35"/>
    <row r="23087" hidden="1" x14ac:dyDescent="0.35"/>
    <row r="23088" hidden="1" x14ac:dyDescent="0.35"/>
    <row r="23089" hidden="1" x14ac:dyDescent="0.35"/>
    <row r="23090" hidden="1" x14ac:dyDescent="0.35"/>
    <row r="23091" hidden="1" x14ac:dyDescent="0.35"/>
    <row r="23092" hidden="1" x14ac:dyDescent="0.35"/>
    <row r="23093" hidden="1" x14ac:dyDescent="0.35"/>
    <row r="23094" hidden="1" x14ac:dyDescent="0.35"/>
    <row r="23095" hidden="1" x14ac:dyDescent="0.35"/>
    <row r="23096" hidden="1" x14ac:dyDescent="0.35"/>
    <row r="23097" hidden="1" x14ac:dyDescent="0.35"/>
    <row r="23098" hidden="1" x14ac:dyDescent="0.35"/>
    <row r="23099" hidden="1" x14ac:dyDescent="0.35"/>
    <row r="23100" hidden="1" x14ac:dyDescent="0.35"/>
    <row r="23101" hidden="1" x14ac:dyDescent="0.35"/>
    <row r="23102" hidden="1" x14ac:dyDescent="0.35"/>
    <row r="23103" hidden="1" x14ac:dyDescent="0.35"/>
    <row r="23104" hidden="1" x14ac:dyDescent="0.35"/>
    <row r="23105" hidden="1" x14ac:dyDescent="0.35"/>
    <row r="23106" hidden="1" x14ac:dyDescent="0.35"/>
    <row r="23107" hidden="1" x14ac:dyDescent="0.35"/>
    <row r="23108" hidden="1" x14ac:dyDescent="0.35"/>
    <row r="23109" hidden="1" x14ac:dyDescent="0.35"/>
    <row r="23110" hidden="1" x14ac:dyDescent="0.35"/>
    <row r="23111" hidden="1" x14ac:dyDescent="0.35"/>
    <row r="23112" hidden="1" x14ac:dyDescent="0.35"/>
    <row r="23113" hidden="1" x14ac:dyDescent="0.35"/>
    <row r="23114" hidden="1" x14ac:dyDescent="0.35"/>
    <row r="23115" hidden="1" x14ac:dyDescent="0.35"/>
    <row r="23116" hidden="1" x14ac:dyDescent="0.35"/>
    <row r="23117" hidden="1" x14ac:dyDescent="0.35"/>
    <row r="23118" hidden="1" x14ac:dyDescent="0.35"/>
    <row r="23119" hidden="1" x14ac:dyDescent="0.35"/>
    <row r="23120" hidden="1" x14ac:dyDescent="0.35"/>
    <row r="23121" hidden="1" x14ac:dyDescent="0.35"/>
    <row r="23122" hidden="1" x14ac:dyDescent="0.35"/>
    <row r="23123" hidden="1" x14ac:dyDescent="0.35"/>
    <row r="23124" hidden="1" x14ac:dyDescent="0.35"/>
    <row r="23125" hidden="1" x14ac:dyDescent="0.35"/>
    <row r="23126" hidden="1" x14ac:dyDescent="0.35"/>
    <row r="23127" hidden="1" x14ac:dyDescent="0.35"/>
    <row r="23128" hidden="1" x14ac:dyDescent="0.35"/>
    <row r="23129" hidden="1" x14ac:dyDescent="0.35"/>
    <row r="23130" hidden="1" x14ac:dyDescent="0.35"/>
    <row r="23131" hidden="1" x14ac:dyDescent="0.35"/>
    <row r="23132" hidden="1" x14ac:dyDescent="0.35"/>
    <row r="23133" hidden="1" x14ac:dyDescent="0.35"/>
    <row r="23134" hidden="1" x14ac:dyDescent="0.35"/>
    <row r="23135" hidden="1" x14ac:dyDescent="0.35"/>
    <row r="23136" hidden="1" x14ac:dyDescent="0.35"/>
    <row r="23137" hidden="1" x14ac:dyDescent="0.35"/>
    <row r="23138" hidden="1" x14ac:dyDescent="0.35"/>
    <row r="23139" hidden="1" x14ac:dyDescent="0.35"/>
    <row r="23140" hidden="1" x14ac:dyDescent="0.35"/>
    <row r="23141" hidden="1" x14ac:dyDescent="0.35"/>
    <row r="23142" hidden="1" x14ac:dyDescent="0.35"/>
    <row r="23143" hidden="1" x14ac:dyDescent="0.35"/>
    <row r="23144" hidden="1" x14ac:dyDescent="0.35"/>
    <row r="23145" hidden="1" x14ac:dyDescent="0.35"/>
    <row r="23146" hidden="1" x14ac:dyDescent="0.35"/>
    <row r="23147" hidden="1" x14ac:dyDescent="0.35"/>
    <row r="23148" hidden="1" x14ac:dyDescent="0.35"/>
    <row r="23149" hidden="1" x14ac:dyDescent="0.35"/>
    <row r="23150" hidden="1" x14ac:dyDescent="0.35"/>
    <row r="23151" hidden="1" x14ac:dyDescent="0.35"/>
    <row r="23152" hidden="1" x14ac:dyDescent="0.35"/>
    <row r="23153" hidden="1" x14ac:dyDescent="0.35"/>
    <row r="23154" hidden="1" x14ac:dyDescent="0.35"/>
    <row r="23155" hidden="1" x14ac:dyDescent="0.35"/>
    <row r="23156" hidden="1" x14ac:dyDescent="0.35"/>
    <row r="23157" hidden="1" x14ac:dyDescent="0.35"/>
    <row r="23158" hidden="1" x14ac:dyDescent="0.35"/>
    <row r="23159" hidden="1" x14ac:dyDescent="0.35"/>
    <row r="23160" hidden="1" x14ac:dyDescent="0.35"/>
    <row r="23161" hidden="1" x14ac:dyDescent="0.35"/>
    <row r="23162" hidden="1" x14ac:dyDescent="0.35"/>
    <row r="23163" hidden="1" x14ac:dyDescent="0.35"/>
    <row r="23164" hidden="1" x14ac:dyDescent="0.35"/>
    <row r="23165" hidden="1" x14ac:dyDescent="0.35"/>
    <row r="23166" hidden="1" x14ac:dyDescent="0.35"/>
    <row r="23167" hidden="1" x14ac:dyDescent="0.35"/>
    <row r="23168" hidden="1" x14ac:dyDescent="0.35"/>
    <row r="23169" hidden="1" x14ac:dyDescent="0.35"/>
    <row r="23170" hidden="1" x14ac:dyDescent="0.35"/>
    <row r="23171" hidden="1" x14ac:dyDescent="0.35"/>
    <row r="23172" hidden="1" x14ac:dyDescent="0.35"/>
    <row r="23173" hidden="1" x14ac:dyDescent="0.35"/>
    <row r="23174" hidden="1" x14ac:dyDescent="0.35"/>
    <row r="23175" hidden="1" x14ac:dyDescent="0.35"/>
    <row r="23176" hidden="1" x14ac:dyDescent="0.35"/>
    <row r="23177" hidden="1" x14ac:dyDescent="0.35"/>
    <row r="23178" hidden="1" x14ac:dyDescent="0.35"/>
    <row r="23179" hidden="1" x14ac:dyDescent="0.35"/>
    <row r="23180" hidden="1" x14ac:dyDescent="0.35"/>
    <row r="23181" hidden="1" x14ac:dyDescent="0.35"/>
    <row r="23182" hidden="1" x14ac:dyDescent="0.35"/>
    <row r="23183" hidden="1" x14ac:dyDescent="0.35"/>
    <row r="23184" hidden="1" x14ac:dyDescent="0.35"/>
    <row r="23185" hidden="1" x14ac:dyDescent="0.35"/>
    <row r="23186" hidden="1" x14ac:dyDescent="0.35"/>
    <row r="23187" hidden="1" x14ac:dyDescent="0.35"/>
    <row r="23188" hidden="1" x14ac:dyDescent="0.35"/>
    <row r="23189" hidden="1" x14ac:dyDescent="0.35"/>
    <row r="23190" hidden="1" x14ac:dyDescent="0.35"/>
    <row r="23191" hidden="1" x14ac:dyDescent="0.35"/>
    <row r="23192" hidden="1" x14ac:dyDescent="0.35"/>
    <row r="23193" hidden="1" x14ac:dyDescent="0.35"/>
    <row r="23194" hidden="1" x14ac:dyDescent="0.35"/>
    <row r="23195" hidden="1" x14ac:dyDescent="0.35"/>
    <row r="23196" hidden="1" x14ac:dyDescent="0.35"/>
    <row r="23197" hidden="1" x14ac:dyDescent="0.35"/>
    <row r="23198" hidden="1" x14ac:dyDescent="0.35"/>
    <row r="23199" hidden="1" x14ac:dyDescent="0.35"/>
    <row r="23200" hidden="1" x14ac:dyDescent="0.35"/>
    <row r="23201" hidden="1" x14ac:dyDescent="0.35"/>
    <row r="23202" hidden="1" x14ac:dyDescent="0.35"/>
    <row r="23203" hidden="1" x14ac:dyDescent="0.35"/>
    <row r="23204" hidden="1" x14ac:dyDescent="0.35"/>
    <row r="23205" hidden="1" x14ac:dyDescent="0.35"/>
    <row r="23206" hidden="1" x14ac:dyDescent="0.35"/>
    <row r="23207" hidden="1" x14ac:dyDescent="0.35"/>
    <row r="23208" hidden="1" x14ac:dyDescent="0.35"/>
    <row r="23209" hidden="1" x14ac:dyDescent="0.35"/>
    <row r="23210" hidden="1" x14ac:dyDescent="0.35"/>
    <row r="23211" hidden="1" x14ac:dyDescent="0.35"/>
    <row r="23212" hidden="1" x14ac:dyDescent="0.35"/>
    <row r="23213" hidden="1" x14ac:dyDescent="0.35"/>
    <row r="23214" hidden="1" x14ac:dyDescent="0.35"/>
    <row r="23215" hidden="1" x14ac:dyDescent="0.35"/>
    <row r="23216" hidden="1" x14ac:dyDescent="0.35"/>
    <row r="23217" hidden="1" x14ac:dyDescent="0.35"/>
    <row r="23218" hidden="1" x14ac:dyDescent="0.35"/>
    <row r="23219" hidden="1" x14ac:dyDescent="0.35"/>
    <row r="23220" hidden="1" x14ac:dyDescent="0.35"/>
    <row r="23221" hidden="1" x14ac:dyDescent="0.35"/>
    <row r="23222" hidden="1" x14ac:dyDescent="0.35"/>
    <row r="23223" hidden="1" x14ac:dyDescent="0.35"/>
    <row r="23224" hidden="1" x14ac:dyDescent="0.35"/>
    <row r="23225" hidden="1" x14ac:dyDescent="0.35"/>
    <row r="23226" hidden="1" x14ac:dyDescent="0.35"/>
    <row r="23227" hidden="1" x14ac:dyDescent="0.35"/>
    <row r="23228" hidden="1" x14ac:dyDescent="0.35"/>
    <row r="23229" hidden="1" x14ac:dyDescent="0.35"/>
    <row r="23230" hidden="1" x14ac:dyDescent="0.35"/>
    <row r="23231" hidden="1" x14ac:dyDescent="0.35"/>
    <row r="23232" hidden="1" x14ac:dyDescent="0.35"/>
    <row r="23233" hidden="1" x14ac:dyDescent="0.35"/>
    <row r="23234" hidden="1" x14ac:dyDescent="0.35"/>
    <row r="23235" hidden="1" x14ac:dyDescent="0.35"/>
    <row r="23236" hidden="1" x14ac:dyDescent="0.35"/>
    <row r="23237" hidden="1" x14ac:dyDescent="0.35"/>
    <row r="23238" hidden="1" x14ac:dyDescent="0.35"/>
    <row r="23239" hidden="1" x14ac:dyDescent="0.35"/>
    <row r="23240" hidden="1" x14ac:dyDescent="0.35"/>
    <row r="23241" hidden="1" x14ac:dyDescent="0.35"/>
    <row r="23242" hidden="1" x14ac:dyDescent="0.35"/>
    <row r="23243" hidden="1" x14ac:dyDescent="0.35"/>
    <row r="23244" hidden="1" x14ac:dyDescent="0.35"/>
    <row r="23245" hidden="1" x14ac:dyDescent="0.35"/>
    <row r="23246" hidden="1" x14ac:dyDescent="0.35"/>
    <row r="23247" hidden="1" x14ac:dyDescent="0.35"/>
    <row r="23248" hidden="1" x14ac:dyDescent="0.35"/>
    <row r="23249" hidden="1" x14ac:dyDescent="0.35"/>
    <row r="23250" hidden="1" x14ac:dyDescent="0.35"/>
    <row r="23251" hidden="1" x14ac:dyDescent="0.35"/>
    <row r="23252" hidden="1" x14ac:dyDescent="0.35"/>
    <row r="23253" hidden="1" x14ac:dyDescent="0.35"/>
    <row r="23254" hidden="1" x14ac:dyDescent="0.35"/>
    <row r="23255" hidden="1" x14ac:dyDescent="0.35"/>
    <row r="23256" hidden="1" x14ac:dyDescent="0.35"/>
    <row r="23257" hidden="1" x14ac:dyDescent="0.35"/>
    <row r="23258" hidden="1" x14ac:dyDescent="0.35"/>
    <row r="23259" hidden="1" x14ac:dyDescent="0.35"/>
    <row r="23260" hidden="1" x14ac:dyDescent="0.35"/>
    <row r="23261" hidden="1" x14ac:dyDescent="0.35"/>
    <row r="23262" hidden="1" x14ac:dyDescent="0.35"/>
    <row r="23263" hidden="1" x14ac:dyDescent="0.35"/>
    <row r="23264" hidden="1" x14ac:dyDescent="0.35"/>
    <row r="23265" hidden="1" x14ac:dyDescent="0.35"/>
    <row r="23266" hidden="1" x14ac:dyDescent="0.35"/>
    <row r="23267" hidden="1" x14ac:dyDescent="0.35"/>
    <row r="23268" hidden="1" x14ac:dyDescent="0.35"/>
    <row r="23269" hidden="1" x14ac:dyDescent="0.35"/>
    <row r="23270" hidden="1" x14ac:dyDescent="0.35"/>
    <row r="23271" hidden="1" x14ac:dyDescent="0.35"/>
    <row r="23272" hidden="1" x14ac:dyDescent="0.35"/>
    <row r="23273" hidden="1" x14ac:dyDescent="0.35"/>
    <row r="23274" hidden="1" x14ac:dyDescent="0.35"/>
    <row r="23275" hidden="1" x14ac:dyDescent="0.35"/>
    <row r="23276" hidden="1" x14ac:dyDescent="0.35"/>
    <row r="23277" hidden="1" x14ac:dyDescent="0.35"/>
    <row r="23278" hidden="1" x14ac:dyDescent="0.35"/>
    <row r="23279" hidden="1" x14ac:dyDescent="0.35"/>
    <row r="23280" hidden="1" x14ac:dyDescent="0.35"/>
    <row r="23281" hidden="1" x14ac:dyDescent="0.35"/>
    <row r="23282" hidden="1" x14ac:dyDescent="0.35"/>
    <row r="23283" hidden="1" x14ac:dyDescent="0.35"/>
    <row r="23284" hidden="1" x14ac:dyDescent="0.35"/>
    <row r="23285" hidden="1" x14ac:dyDescent="0.35"/>
    <row r="23286" hidden="1" x14ac:dyDescent="0.35"/>
    <row r="23287" hidden="1" x14ac:dyDescent="0.35"/>
    <row r="23288" hidden="1" x14ac:dyDescent="0.35"/>
    <row r="23289" hidden="1" x14ac:dyDescent="0.35"/>
    <row r="23290" hidden="1" x14ac:dyDescent="0.35"/>
    <row r="23291" hidden="1" x14ac:dyDescent="0.35"/>
    <row r="23292" hidden="1" x14ac:dyDescent="0.35"/>
    <row r="23293" hidden="1" x14ac:dyDescent="0.35"/>
    <row r="23294" hidden="1" x14ac:dyDescent="0.35"/>
    <row r="23295" hidden="1" x14ac:dyDescent="0.35"/>
    <row r="23296" hidden="1" x14ac:dyDescent="0.35"/>
    <row r="23297" hidden="1" x14ac:dyDescent="0.35"/>
    <row r="23298" hidden="1" x14ac:dyDescent="0.35"/>
    <row r="23299" hidden="1" x14ac:dyDescent="0.35"/>
    <row r="23300" hidden="1" x14ac:dyDescent="0.35"/>
    <row r="23301" hidden="1" x14ac:dyDescent="0.35"/>
    <row r="23302" hidden="1" x14ac:dyDescent="0.35"/>
    <row r="23303" hidden="1" x14ac:dyDescent="0.35"/>
    <row r="23304" hidden="1" x14ac:dyDescent="0.35"/>
    <row r="23305" hidden="1" x14ac:dyDescent="0.35"/>
    <row r="23306" hidden="1" x14ac:dyDescent="0.35"/>
    <row r="23307" hidden="1" x14ac:dyDescent="0.35"/>
    <row r="23308" hidden="1" x14ac:dyDescent="0.35"/>
    <row r="23309" hidden="1" x14ac:dyDescent="0.35"/>
    <row r="23310" hidden="1" x14ac:dyDescent="0.35"/>
    <row r="23311" hidden="1" x14ac:dyDescent="0.35"/>
    <row r="23312" hidden="1" x14ac:dyDescent="0.35"/>
    <row r="23313" hidden="1" x14ac:dyDescent="0.35"/>
    <row r="23314" hidden="1" x14ac:dyDescent="0.35"/>
    <row r="23315" hidden="1" x14ac:dyDescent="0.35"/>
    <row r="23316" hidden="1" x14ac:dyDescent="0.35"/>
    <row r="23317" hidden="1" x14ac:dyDescent="0.35"/>
    <row r="23318" hidden="1" x14ac:dyDescent="0.35"/>
    <row r="23319" hidden="1" x14ac:dyDescent="0.35"/>
    <row r="23320" hidden="1" x14ac:dyDescent="0.35"/>
    <row r="23321" hidden="1" x14ac:dyDescent="0.35"/>
    <row r="23322" hidden="1" x14ac:dyDescent="0.35"/>
    <row r="23323" hidden="1" x14ac:dyDescent="0.35"/>
    <row r="23324" hidden="1" x14ac:dyDescent="0.35"/>
    <row r="23325" hidden="1" x14ac:dyDescent="0.35"/>
    <row r="23326" hidden="1" x14ac:dyDescent="0.35"/>
    <row r="23327" hidden="1" x14ac:dyDescent="0.35"/>
    <row r="23328" hidden="1" x14ac:dyDescent="0.35"/>
    <row r="23329" hidden="1" x14ac:dyDescent="0.35"/>
    <row r="23330" hidden="1" x14ac:dyDescent="0.35"/>
    <row r="23331" hidden="1" x14ac:dyDescent="0.35"/>
    <row r="23332" hidden="1" x14ac:dyDescent="0.35"/>
    <row r="23333" hidden="1" x14ac:dyDescent="0.35"/>
    <row r="23334" hidden="1" x14ac:dyDescent="0.35"/>
    <row r="23335" hidden="1" x14ac:dyDescent="0.35"/>
    <row r="23336" hidden="1" x14ac:dyDescent="0.35"/>
    <row r="23337" hidden="1" x14ac:dyDescent="0.35"/>
    <row r="23338" hidden="1" x14ac:dyDescent="0.35"/>
    <row r="23339" hidden="1" x14ac:dyDescent="0.35"/>
    <row r="23340" hidden="1" x14ac:dyDescent="0.35"/>
    <row r="23341" hidden="1" x14ac:dyDescent="0.35"/>
    <row r="23342" hidden="1" x14ac:dyDescent="0.35"/>
    <row r="23343" hidden="1" x14ac:dyDescent="0.35"/>
    <row r="23344" hidden="1" x14ac:dyDescent="0.35"/>
    <row r="23345" hidden="1" x14ac:dyDescent="0.35"/>
    <row r="23346" hidden="1" x14ac:dyDescent="0.35"/>
    <row r="23347" hidden="1" x14ac:dyDescent="0.35"/>
    <row r="23348" hidden="1" x14ac:dyDescent="0.35"/>
    <row r="23349" hidden="1" x14ac:dyDescent="0.35"/>
    <row r="23350" hidden="1" x14ac:dyDescent="0.35"/>
    <row r="23351" hidden="1" x14ac:dyDescent="0.35"/>
    <row r="23352" hidden="1" x14ac:dyDescent="0.35"/>
    <row r="23353" hidden="1" x14ac:dyDescent="0.35"/>
    <row r="23354" hidden="1" x14ac:dyDescent="0.35"/>
    <row r="23355" hidden="1" x14ac:dyDescent="0.35"/>
    <row r="23356" hidden="1" x14ac:dyDescent="0.35"/>
    <row r="23357" hidden="1" x14ac:dyDescent="0.35"/>
    <row r="23358" hidden="1" x14ac:dyDescent="0.35"/>
    <row r="23359" hidden="1" x14ac:dyDescent="0.35"/>
    <row r="23360" hidden="1" x14ac:dyDescent="0.35"/>
    <row r="23361" hidden="1" x14ac:dyDescent="0.35"/>
    <row r="23362" hidden="1" x14ac:dyDescent="0.35"/>
    <row r="23363" hidden="1" x14ac:dyDescent="0.35"/>
    <row r="23364" hidden="1" x14ac:dyDescent="0.35"/>
    <row r="23365" hidden="1" x14ac:dyDescent="0.35"/>
    <row r="23366" hidden="1" x14ac:dyDescent="0.35"/>
    <row r="23367" hidden="1" x14ac:dyDescent="0.35"/>
    <row r="23368" hidden="1" x14ac:dyDescent="0.35"/>
    <row r="23369" hidden="1" x14ac:dyDescent="0.35"/>
    <row r="23370" hidden="1" x14ac:dyDescent="0.35"/>
    <row r="23371" hidden="1" x14ac:dyDescent="0.35"/>
    <row r="23372" hidden="1" x14ac:dyDescent="0.35"/>
    <row r="23373" hidden="1" x14ac:dyDescent="0.35"/>
    <row r="23374" hidden="1" x14ac:dyDescent="0.35"/>
    <row r="23375" hidden="1" x14ac:dyDescent="0.35"/>
    <row r="23376" hidden="1" x14ac:dyDescent="0.35"/>
    <row r="23377" hidden="1" x14ac:dyDescent="0.35"/>
    <row r="23378" hidden="1" x14ac:dyDescent="0.35"/>
    <row r="23379" hidden="1" x14ac:dyDescent="0.35"/>
    <row r="23380" hidden="1" x14ac:dyDescent="0.35"/>
    <row r="23381" hidden="1" x14ac:dyDescent="0.35"/>
    <row r="23382" hidden="1" x14ac:dyDescent="0.35"/>
    <row r="23383" hidden="1" x14ac:dyDescent="0.35"/>
    <row r="23384" hidden="1" x14ac:dyDescent="0.35"/>
    <row r="23385" hidden="1" x14ac:dyDescent="0.35"/>
    <row r="23386" hidden="1" x14ac:dyDescent="0.35"/>
    <row r="23387" hidden="1" x14ac:dyDescent="0.35"/>
    <row r="23388" hidden="1" x14ac:dyDescent="0.35"/>
    <row r="23389" hidden="1" x14ac:dyDescent="0.35"/>
    <row r="23390" hidden="1" x14ac:dyDescent="0.35"/>
    <row r="23391" hidden="1" x14ac:dyDescent="0.35"/>
    <row r="23392" hidden="1" x14ac:dyDescent="0.35"/>
    <row r="23393" hidden="1" x14ac:dyDescent="0.35"/>
    <row r="23394" hidden="1" x14ac:dyDescent="0.35"/>
    <row r="23395" hidden="1" x14ac:dyDescent="0.35"/>
    <row r="23396" hidden="1" x14ac:dyDescent="0.35"/>
    <row r="23397" hidden="1" x14ac:dyDescent="0.35"/>
    <row r="23398" hidden="1" x14ac:dyDescent="0.35"/>
    <row r="23399" hidden="1" x14ac:dyDescent="0.35"/>
    <row r="23400" hidden="1" x14ac:dyDescent="0.35"/>
    <row r="23401" hidden="1" x14ac:dyDescent="0.35"/>
    <row r="23402" hidden="1" x14ac:dyDescent="0.35"/>
    <row r="23403" hidden="1" x14ac:dyDescent="0.35"/>
    <row r="23404" hidden="1" x14ac:dyDescent="0.35"/>
    <row r="23405" hidden="1" x14ac:dyDescent="0.35"/>
    <row r="23406" hidden="1" x14ac:dyDescent="0.35"/>
    <row r="23407" hidden="1" x14ac:dyDescent="0.35"/>
    <row r="23408" hidden="1" x14ac:dyDescent="0.35"/>
    <row r="23409" hidden="1" x14ac:dyDescent="0.35"/>
    <row r="23410" hidden="1" x14ac:dyDescent="0.35"/>
    <row r="23411" hidden="1" x14ac:dyDescent="0.35"/>
    <row r="23412" hidden="1" x14ac:dyDescent="0.35"/>
    <row r="23413" hidden="1" x14ac:dyDescent="0.35"/>
    <row r="23414" hidden="1" x14ac:dyDescent="0.35"/>
    <row r="23415" hidden="1" x14ac:dyDescent="0.35"/>
    <row r="23416" hidden="1" x14ac:dyDescent="0.35"/>
    <row r="23417" hidden="1" x14ac:dyDescent="0.35"/>
    <row r="23418" hidden="1" x14ac:dyDescent="0.35"/>
    <row r="23419" hidden="1" x14ac:dyDescent="0.35"/>
    <row r="23420" hidden="1" x14ac:dyDescent="0.35"/>
    <row r="23421" hidden="1" x14ac:dyDescent="0.35"/>
    <row r="23422" hidden="1" x14ac:dyDescent="0.35"/>
    <row r="23423" hidden="1" x14ac:dyDescent="0.35"/>
    <row r="23424" hidden="1" x14ac:dyDescent="0.35"/>
    <row r="23425" hidden="1" x14ac:dyDescent="0.35"/>
    <row r="23426" hidden="1" x14ac:dyDescent="0.35"/>
    <row r="23427" hidden="1" x14ac:dyDescent="0.35"/>
    <row r="23428" hidden="1" x14ac:dyDescent="0.35"/>
    <row r="23429" hidden="1" x14ac:dyDescent="0.35"/>
    <row r="23430" hidden="1" x14ac:dyDescent="0.35"/>
    <row r="23431" hidden="1" x14ac:dyDescent="0.35"/>
    <row r="23432" hidden="1" x14ac:dyDescent="0.35"/>
    <row r="23433" hidden="1" x14ac:dyDescent="0.35"/>
    <row r="23434" hidden="1" x14ac:dyDescent="0.35"/>
    <row r="23435" hidden="1" x14ac:dyDescent="0.35"/>
    <row r="23436" hidden="1" x14ac:dyDescent="0.35"/>
    <row r="23437" hidden="1" x14ac:dyDescent="0.35"/>
    <row r="23438" hidden="1" x14ac:dyDescent="0.35"/>
    <row r="23439" hidden="1" x14ac:dyDescent="0.35"/>
    <row r="23440" hidden="1" x14ac:dyDescent="0.35"/>
    <row r="23441" hidden="1" x14ac:dyDescent="0.35"/>
    <row r="23442" hidden="1" x14ac:dyDescent="0.35"/>
    <row r="23443" hidden="1" x14ac:dyDescent="0.35"/>
    <row r="23444" hidden="1" x14ac:dyDescent="0.35"/>
    <row r="23445" hidden="1" x14ac:dyDescent="0.35"/>
    <row r="23446" hidden="1" x14ac:dyDescent="0.35"/>
    <row r="23447" hidden="1" x14ac:dyDescent="0.35"/>
    <row r="23448" hidden="1" x14ac:dyDescent="0.35"/>
    <row r="23449" hidden="1" x14ac:dyDescent="0.35"/>
    <row r="23450" hidden="1" x14ac:dyDescent="0.35"/>
    <row r="23451" hidden="1" x14ac:dyDescent="0.35"/>
    <row r="23452" hidden="1" x14ac:dyDescent="0.35"/>
    <row r="23453" hidden="1" x14ac:dyDescent="0.35"/>
    <row r="23454" hidden="1" x14ac:dyDescent="0.35"/>
    <row r="23455" hidden="1" x14ac:dyDescent="0.35"/>
    <row r="23456" hidden="1" x14ac:dyDescent="0.35"/>
    <row r="23457" hidden="1" x14ac:dyDescent="0.35"/>
    <row r="23458" hidden="1" x14ac:dyDescent="0.35"/>
    <row r="23459" hidden="1" x14ac:dyDescent="0.35"/>
    <row r="23460" hidden="1" x14ac:dyDescent="0.35"/>
    <row r="23461" hidden="1" x14ac:dyDescent="0.35"/>
    <row r="23462" hidden="1" x14ac:dyDescent="0.35"/>
    <row r="23463" hidden="1" x14ac:dyDescent="0.35"/>
    <row r="23464" hidden="1" x14ac:dyDescent="0.35"/>
    <row r="23465" hidden="1" x14ac:dyDescent="0.35"/>
    <row r="23466" hidden="1" x14ac:dyDescent="0.35"/>
    <row r="23467" hidden="1" x14ac:dyDescent="0.35"/>
    <row r="23468" hidden="1" x14ac:dyDescent="0.35"/>
    <row r="23469" hidden="1" x14ac:dyDescent="0.35"/>
    <row r="23470" hidden="1" x14ac:dyDescent="0.35"/>
    <row r="23471" hidden="1" x14ac:dyDescent="0.35"/>
    <row r="23472" hidden="1" x14ac:dyDescent="0.35"/>
    <row r="23473" hidden="1" x14ac:dyDescent="0.35"/>
    <row r="23474" hidden="1" x14ac:dyDescent="0.35"/>
    <row r="23475" hidden="1" x14ac:dyDescent="0.35"/>
    <row r="23476" hidden="1" x14ac:dyDescent="0.35"/>
    <row r="23477" hidden="1" x14ac:dyDescent="0.35"/>
    <row r="23478" hidden="1" x14ac:dyDescent="0.35"/>
    <row r="23479" hidden="1" x14ac:dyDescent="0.35"/>
    <row r="23480" hidden="1" x14ac:dyDescent="0.35"/>
    <row r="23481" hidden="1" x14ac:dyDescent="0.35"/>
    <row r="23482" hidden="1" x14ac:dyDescent="0.35"/>
    <row r="23483" hidden="1" x14ac:dyDescent="0.35"/>
    <row r="23484" hidden="1" x14ac:dyDescent="0.35"/>
    <row r="23485" hidden="1" x14ac:dyDescent="0.35"/>
    <row r="23486" hidden="1" x14ac:dyDescent="0.35"/>
    <row r="23487" hidden="1" x14ac:dyDescent="0.35"/>
    <row r="23488" hidden="1" x14ac:dyDescent="0.35"/>
    <row r="23489" hidden="1" x14ac:dyDescent="0.35"/>
    <row r="23490" hidden="1" x14ac:dyDescent="0.35"/>
    <row r="23491" hidden="1" x14ac:dyDescent="0.35"/>
    <row r="23492" hidden="1" x14ac:dyDescent="0.35"/>
    <row r="23493" hidden="1" x14ac:dyDescent="0.35"/>
    <row r="23494" hidden="1" x14ac:dyDescent="0.35"/>
    <row r="23495" hidden="1" x14ac:dyDescent="0.35"/>
    <row r="23496" hidden="1" x14ac:dyDescent="0.35"/>
    <row r="23497" hidden="1" x14ac:dyDescent="0.35"/>
    <row r="23498" hidden="1" x14ac:dyDescent="0.35"/>
    <row r="23499" hidden="1" x14ac:dyDescent="0.35"/>
    <row r="23500" hidden="1" x14ac:dyDescent="0.35"/>
    <row r="23501" hidden="1" x14ac:dyDescent="0.35"/>
    <row r="23502" hidden="1" x14ac:dyDescent="0.35"/>
    <row r="23503" hidden="1" x14ac:dyDescent="0.35"/>
    <row r="23504" hidden="1" x14ac:dyDescent="0.35"/>
    <row r="23505" hidden="1" x14ac:dyDescent="0.35"/>
    <row r="23506" hidden="1" x14ac:dyDescent="0.35"/>
    <row r="23507" hidden="1" x14ac:dyDescent="0.35"/>
    <row r="23508" hidden="1" x14ac:dyDescent="0.35"/>
    <row r="23509" hidden="1" x14ac:dyDescent="0.35"/>
    <row r="23510" hidden="1" x14ac:dyDescent="0.35"/>
    <row r="23511" hidden="1" x14ac:dyDescent="0.35"/>
    <row r="23512" hidden="1" x14ac:dyDescent="0.35"/>
    <row r="23513" hidden="1" x14ac:dyDescent="0.35"/>
    <row r="23514" hidden="1" x14ac:dyDescent="0.35"/>
    <row r="23515" hidden="1" x14ac:dyDescent="0.35"/>
    <row r="23516" hidden="1" x14ac:dyDescent="0.35"/>
    <row r="23517" hidden="1" x14ac:dyDescent="0.35"/>
    <row r="23518" hidden="1" x14ac:dyDescent="0.35"/>
    <row r="23519" hidden="1" x14ac:dyDescent="0.35"/>
    <row r="23520" hidden="1" x14ac:dyDescent="0.35"/>
    <row r="23521" hidden="1" x14ac:dyDescent="0.35"/>
    <row r="23522" hidden="1" x14ac:dyDescent="0.35"/>
    <row r="23523" hidden="1" x14ac:dyDescent="0.35"/>
    <row r="23524" hidden="1" x14ac:dyDescent="0.35"/>
    <row r="23525" hidden="1" x14ac:dyDescent="0.35"/>
    <row r="23526" hidden="1" x14ac:dyDescent="0.35"/>
    <row r="23527" hidden="1" x14ac:dyDescent="0.35"/>
    <row r="23528" hidden="1" x14ac:dyDescent="0.35"/>
    <row r="23529" hidden="1" x14ac:dyDescent="0.35"/>
    <row r="23530" hidden="1" x14ac:dyDescent="0.35"/>
    <row r="23531" hidden="1" x14ac:dyDescent="0.35"/>
    <row r="23532" hidden="1" x14ac:dyDescent="0.35"/>
    <row r="23533" hidden="1" x14ac:dyDescent="0.35"/>
    <row r="23534" hidden="1" x14ac:dyDescent="0.35"/>
    <row r="23535" hidden="1" x14ac:dyDescent="0.35"/>
    <row r="23536" hidden="1" x14ac:dyDescent="0.35"/>
    <row r="23537" hidden="1" x14ac:dyDescent="0.35"/>
    <row r="23538" hidden="1" x14ac:dyDescent="0.35"/>
    <row r="23539" hidden="1" x14ac:dyDescent="0.35"/>
    <row r="23540" hidden="1" x14ac:dyDescent="0.35"/>
    <row r="23541" hidden="1" x14ac:dyDescent="0.35"/>
    <row r="23542" hidden="1" x14ac:dyDescent="0.35"/>
    <row r="23543" hidden="1" x14ac:dyDescent="0.35"/>
    <row r="23544" hidden="1" x14ac:dyDescent="0.35"/>
    <row r="23545" hidden="1" x14ac:dyDescent="0.35"/>
    <row r="23546" hidden="1" x14ac:dyDescent="0.35"/>
    <row r="23547" hidden="1" x14ac:dyDescent="0.35"/>
    <row r="23548" hidden="1" x14ac:dyDescent="0.35"/>
    <row r="23549" hidden="1" x14ac:dyDescent="0.35"/>
    <row r="23550" hidden="1" x14ac:dyDescent="0.35"/>
    <row r="23551" hidden="1" x14ac:dyDescent="0.35"/>
    <row r="23552" hidden="1" x14ac:dyDescent="0.35"/>
    <row r="23553" hidden="1" x14ac:dyDescent="0.35"/>
    <row r="23554" hidden="1" x14ac:dyDescent="0.35"/>
    <row r="23555" hidden="1" x14ac:dyDescent="0.35"/>
    <row r="23556" hidden="1" x14ac:dyDescent="0.35"/>
    <row r="23557" hidden="1" x14ac:dyDescent="0.35"/>
    <row r="23558" hidden="1" x14ac:dyDescent="0.35"/>
    <row r="23559" hidden="1" x14ac:dyDescent="0.35"/>
    <row r="23560" hidden="1" x14ac:dyDescent="0.35"/>
    <row r="23561" hidden="1" x14ac:dyDescent="0.35"/>
    <row r="23562" hidden="1" x14ac:dyDescent="0.35"/>
    <row r="23563" hidden="1" x14ac:dyDescent="0.35"/>
    <row r="23564" hidden="1" x14ac:dyDescent="0.35"/>
    <row r="23565" hidden="1" x14ac:dyDescent="0.35"/>
    <row r="23566" hidden="1" x14ac:dyDescent="0.35"/>
    <row r="23567" hidden="1" x14ac:dyDescent="0.35"/>
    <row r="23568" hidden="1" x14ac:dyDescent="0.35"/>
    <row r="23569" hidden="1" x14ac:dyDescent="0.35"/>
    <row r="23570" hidden="1" x14ac:dyDescent="0.35"/>
    <row r="23571" hidden="1" x14ac:dyDescent="0.35"/>
    <row r="23572" hidden="1" x14ac:dyDescent="0.35"/>
    <row r="23573" hidden="1" x14ac:dyDescent="0.35"/>
    <row r="23574" hidden="1" x14ac:dyDescent="0.35"/>
    <row r="23575" hidden="1" x14ac:dyDescent="0.35"/>
    <row r="23576" hidden="1" x14ac:dyDescent="0.35"/>
    <row r="23577" hidden="1" x14ac:dyDescent="0.35"/>
    <row r="23578" hidden="1" x14ac:dyDescent="0.35"/>
    <row r="23579" hidden="1" x14ac:dyDescent="0.35"/>
    <row r="23580" hidden="1" x14ac:dyDescent="0.35"/>
    <row r="23581" hidden="1" x14ac:dyDescent="0.35"/>
    <row r="23582" hidden="1" x14ac:dyDescent="0.35"/>
    <row r="23583" hidden="1" x14ac:dyDescent="0.35"/>
    <row r="23584" hidden="1" x14ac:dyDescent="0.35"/>
    <row r="23585" hidden="1" x14ac:dyDescent="0.35"/>
    <row r="23586" hidden="1" x14ac:dyDescent="0.35"/>
    <row r="23587" hidden="1" x14ac:dyDescent="0.35"/>
    <row r="23588" hidden="1" x14ac:dyDescent="0.35"/>
    <row r="23589" hidden="1" x14ac:dyDescent="0.35"/>
    <row r="23590" hidden="1" x14ac:dyDescent="0.35"/>
    <row r="23591" hidden="1" x14ac:dyDescent="0.35"/>
    <row r="23592" hidden="1" x14ac:dyDescent="0.35"/>
    <row r="23593" hidden="1" x14ac:dyDescent="0.35"/>
    <row r="23594" hidden="1" x14ac:dyDescent="0.35"/>
    <row r="23595" hidden="1" x14ac:dyDescent="0.35"/>
    <row r="23596" hidden="1" x14ac:dyDescent="0.35"/>
    <row r="23597" hidden="1" x14ac:dyDescent="0.35"/>
    <row r="23598" hidden="1" x14ac:dyDescent="0.35"/>
    <row r="23599" hidden="1" x14ac:dyDescent="0.35"/>
    <row r="23600" hidden="1" x14ac:dyDescent="0.35"/>
    <row r="23601" hidden="1" x14ac:dyDescent="0.35"/>
    <row r="23602" hidden="1" x14ac:dyDescent="0.35"/>
    <row r="23603" hidden="1" x14ac:dyDescent="0.35"/>
    <row r="23604" hidden="1" x14ac:dyDescent="0.35"/>
    <row r="23605" hidden="1" x14ac:dyDescent="0.35"/>
    <row r="23606" hidden="1" x14ac:dyDescent="0.35"/>
    <row r="23607" hidden="1" x14ac:dyDescent="0.35"/>
    <row r="23608" hidden="1" x14ac:dyDescent="0.35"/>
    <row r="23609" hidden="1" x14ac:dyDescent="0.35"/>
    <row r="23610" hidden="1" x14ac:dyDescent="0.35"/>
    <row r="23611" hidden="1" x14ac:dyDescent="0.35"/>
    <row r="23612" hidden="1" x14ac:dyDescent="0.35"/>
    <row r="23613" hidden="1" x14ac:dyDescent="0.35"/>
    <row r="23614" hidden="1" x14ac:dyDescent="0.35"/>
    <row r="23615" hidden="1" x14ac:dyDescent="0.35"/>
    <row r="23616" hidden="1" x14ac:dyDescent="0.35"/>
    <row r="23617" hidden="1" x14ac:dyDescent="0.35"/>
    <row r="23618" hidden="1" x14ac:dyDescent="0.35"/>
    <row r="23619" hidden="1" x14ac:dyDescent="0.35"/>
    <row r="23620" hidden="1" x14ac:dyDescent="0.35"/>
    <row r="23621" hidden="1" x14ac:dyDescent="0.35"/>
    <row r="23622" hidden="1" x14ac:dyDescent="0.35"/>
    <row r="23623" hidden="1" x14ac:dyDescent="0.35"/>
    <row r="23624" hidden="1" x14ac:dyDescent="0.35"/>
    <row r="23625" hidden="1" x14ac:dyDescent="0.35"/>
    <row r="23626" hidden="1" x14ac:dyDescent="0.35"/>
    <row r="23627" hidden="1" x14ac:dyDescent="0.35"/>
    <row r="23628" hidden="1" x14ac:dyDescent="0.35"/>
    <row r="23629" hidden="1" x14ac:dyDescent="0.35"/>
    <row r="23630" hidden="1" x14ac:dyDescent="0.35"/>
    <row r="23631" hidden="1" x14ac:dyDescent="0.35"/>
    <row r="23632" hidden="1" x14ac:dyDescent="0.35"/>
    <row r="23633" hidden="1" x14ac:dyDescent="0.35"/>
    <row r="23634" hidden="1" x14ac:dyDescent="0.35"/>
    <row r="23635" hidden="1" x14ac:dyDescent="0.35"/>
    <row r="23636" hidden="1" x14ac:dyDescent="0.35"/>
    <row r="23637" hidden="1" x14ac:dyDescent="0.35"/>
    <row r="23638" hidden="1" x14ac:dyDescent="0.35"/>
    <row r="23639" hidden="1" x14ac:dyDescent="0.35"/>
    <row r="23640" hidden="1" x14ac:dyDescent="0.35"/>
    <row r="23641" hidden="1" x14ac:dyDescent="0.35"/>
    <row r="23642" hidden="1" x14ac:dyDescent="0.35"/>
    <row r="23643" hidden="1" x14ac:dyDescent="0.35"/>
    <row r="23644" hidden="1" x14ac:dyDescent="0.35"/>
    <row r="23645" hidden="1" x14ac:dyDescent="0.35"/>
    <row r="23646" hidden="1" x14ac:dyDescent="0.35"/>
    <row r="23647" hidden="1" x14ac:dyDescent="0.35"/>
    <row r="23648" hidden="1" x14ac:dyDescent="0.35"/>
    <row r="23649" hidden="1" x14ac:dyDescent="0.35"/>
    <row r="23650" hidden="1" x14ac:dyDescent="0.35"/>
    <row r="23651" hidden="1" x14ac:dyDescent="0.35"/>
    <row r="23652" hidden="1" x14ac:dyDescent="0.35"/>
    <row r="23653" hidden="1" x14ac:dyDescent="0.35"/>
    <row r="23654" hidden="1" x14ac:dyDescent="0.35"/>
    <row r="23655" hidden="1" x14ac:dyDescent="0.35"/>
    <row r="23656" hidden="1" x14ac:dyDescent="0.35"/>
    <row r="23657" hidden="1" x14ac:dyDescent="0.35"/>
    <row r="23658" hidden="1" x14ac:dyDescent="0.35"/>
    <row r="23659" hidden="1" x14ac:dyDescent="0.35"/>
    <row r="23660" hidden="1" x14ac:dyDescent="0.35"/>
    <row r="23661" hidden="1" x14ac:dyDescent="0.35"/>
    <row r="23662" hidden="1" x14ac:dyDescent="0.35"/>
    <row r="23663" hidden="1" x14ac:dyDescent="0.35"/>
    <row r="23664" hidden="1" x14ac:dyDescent="0.35"/>
    <row r="23665" hidden="1" x14ac:dyDescent="0.35"/>
    <row r="23666" hidden="1" x14ac:dyDescent="0.35"/>
    <row r="23667" hidden="1" x14ac:dyDescent="0.35"/>
    <row r="23668" hidden="1" x14ac:dyDescent="0.35"/>
    <row r="23669" hidden="1" x14ac:dyDescent="0.35"/>
    <row r="23670" hidden="1" x14ac:dyDescent="0.35"/>
    <row r="23671" hidden="1" x14ac:dyDescent="0.35"/>
    <row r="23672" hidden="1" x14ac:dyDescent="0.35"/>
    <row r="23673" hidden="1" x14ac:dyDescent="0.35"/>
    <row r="23674" hidden="1" x14ac:dyDescent="0.35"/>
    <row r="23675" hidden="1" x14ac:dyDescent="0.35"/>
    <row r="23676" hidden="1" x14ac:dyDescent="0.35"/>
    <row r="23677" hidden="1" x14ac:dyDescent="0.35"/>
    <row r="23678" hidden="1" x14ac:dyDescent="0.35"/>
    <row r="23679" hidden="1" x14ac:dyDescent="0.35"/>
    <row r="23680" hidden="1" x14ac:dyDescent="0.35"/>
    <row r="23681" hidden="1" x14ac:dyDescent="0.35"/>
    <row r="23682" hidden="1" x14ac:dyDescent="0.35"/>
    <row r="23683" hidden="1" x14ac:dyDescent="0.35"/>
    <row r="23684" hidden="1" x14ac:dyDescent="0.35"/>
    <row r="23685" hidden="1" x14ac:dyDescent="0.35"/>
    <row r="23686" hidden="1" x14ac:dyDescent="0.35"/>
    <row r="23687" hidden="1" x14ac:dyDescent="0.35"/>
    <row r="23688" hidden="1" x14ac:dyDescent="0.35"/>
    <row r="23689" hidden="1" x14ac:dyDescent="0.35"/>
    <row r="23690" hidden="1" x14ac:dyDescent="0.35"/>
    <row r="23691" hidden="1" x14ac:dyDescent="0.35"/>
    <row r="23692" hidden="1" x14ac:dyDescent="0.35"/>
    <row r="23693" hidden="1" x14ac:dyDescent="0.35"/>
    <row r="23694" hidden="1" x14ac:dyDescent="0.35"/>
    <row r="23695" hidden="1" x14ac:dyDescent="0.35"/>
    <row r="23696" hidden="1" x14ac:dyDescent="0.35"/>
    <row r="23697" hidden="1" x14ac:dyDescent="0.35"/>
    <row r="23698" hidden="1" x14ac:dyDescent="0.35"/>
    <row r="23699" hidden="1" x14ac:dyDescent="0.35"/>
    <row r="23700" hidden="1" x14ac:dyDescent="0.35"/>
    <row r="23701" hidden="1" x14ac:dyDescent="0.35"/>
    <row r="23702" hidden="1" x14ac:dyDescent="0.35"/>
    <row r="23703" hidden="1" x14ac:dyDescent="0.35"/>
    <row r="23704" hidden="1" x14ac:dyDescent="0.35"/>
    <row r="23705" hidden="1" x14ac:dyDescent="0.35"/>
    <row r="23706" hidden="1" x14ac:dyDescent="0.35"/>
    <row r="23707" hidden="1" x14ac:dyDescent="0.35"/>
    <row r="23708" hidden="1" x14ac:dyDescent="0.35"/>
    <row r="23709" hidden="1" x14ac:dyDescent="0.35"/>
    <row r="23710" hidden="1" x14ac:dyDescent="0.35"/>
    <row r="23711" hidden="1" x14ac:dyDescent="0.35"/>
    <row r="23712" hidden="1" x14ac:dyDescent="0.35"/>
    <row r="23713" hidden="1" x14ac:dyDescent="0.35"/>
    <row r="23714" hidden="1" x14ac:dyDescent="0.35"/>
    <row r="23715" hidden="1" x14ac:dyDescent="0.35"/>
    <row r="23716" hidden="1" x14ac:dyDescent="0.35"/>
    <row r="23717" hidden="1" x14ac:dyDescent="0.35"/>
    <row r="23718" hidden="1" x14ac:dyDescent="0.35"/>
    <row r="23719" hidden="1" x14ac:dyDescent="0.35"/>
    <row r="23720" hidden="1" x14ac:dyDescent="0.35"/>
    <row r="23721" hidden="1" x14ac:dyDescent="0.35"/>
    <row r="23722" hidden="1" x14ac:dyDescent="0.35"/>
    <row r="23723" hidden="1" x14ac:dyDescent="0.35"/>
    <row r="23724" hidden="1" x14ac:dyDescent="0.35"/>
    <row r="23725" hidden="1" x14ac:dyDescent="0.35"/>
    <row r="23726" hidden="1" x14ac:dyDescent="0.35"/>
    <row r="23727" hidden="1" x14ac:dyDescent="0.35"/>
    <row r="23728" hidden="1" x14ac:dyDescent="0.35"/>
    <row r="23729" hidden="1" x14ac:dyDescent="0.35"/>
    <row r="23730" hidden="1" x14ac:dyDescent="0.35"/>
    <row r="23731" hidden="1" x14ac:dyDescent="0.35"/>
    <row r="23732" hidden="1" x14ac:dyDescent="0.35"/>
    <row r="23733" hidden="1" x14ac:dyDescent="0.35"/>
    <row r="23734" hidden="1" x14ac:dyDescent="0.35"/>
    <row r="23735" hidden="1" x14ac:dyDescent="0.35"/>
    <row r="23736" hidden="1" x14ac:dyDescent="0.35"/>
    <row r="23737" hidden="1" x14ac:dyDescent="0.35"/>
    <row r="23738" hidden="1" x14ac:dyDescent="0.35"/>
    <row r="23739" hidden="1" x14ac:dyDescent="0.35"/>
    <row r="23740" hidden="1" x14ac:dyDescent="0.35"/>
    <row r="23741" hidden="1" x14ac:dyDescent="0.35"/>
    <row r="23742" hidden="1" x14ac:dyDescent="0.35"/>
    <row r="23743" hidden="1" x14ac:dyDescent="0.35"/>
    <row r="23744" hidden="1" x14ac:dyDescent="0.35"/>
    <row r="23745" hidden="1" x14ac:dyDescent="0.35"/>
    <row r="23746" hidden="1" x14ac:dyDescent="0.35"/>
    <row r="23747" hidden="1" x14ac:dyDescent="0.35"/>
    <row r="23748" hidden="1" x14ac:dyDescent="0.35"/>
    <row r="23749" hidden="1" x14ac:dyDescent="0.35"/>
    <row r="23750" hidden="1" x14ac:dyDescent="0.35"/>
    <row r="23751" hidden="1" x14ac:dyDescent="0.35"/>
    <row r="23752" hidden="1" x14ac:dyDescent="0.35"/>
    <row r="23753" hidden="1" x14ac:dyDescent="0.35"/>
    <row r="23754" hidden="1" x14ac:dyDescent="0.35"/>
    <row r="23755" hidden="1" x14ac:dyDescent="0.35"/>
    <row r="23756" hidden="1" x14ac:dyDescent="0.35"/>
    <row r="23757" hidden="1" x14ac:dyDescent="0.35"/>
    <row r="23758" hidden="1" x14ac:dyDescent="0.35"/>
    <row r="23759" hidden="1" x14ac:dyDescent="0.35"/>
    <row r="23760" hidden="1" x14ac:dyDescent="0.35"/>
    <row r="23761" hidden="1" x14ac:dyDescent="0.35"/>
    <row r="23762" hidden="1" x14ac:dyDescent="0.35"/>
    <row r="23763" hidden="1" x14ac:dyDescent="0.35"/>
    <row r="23764" hidden="1" x14ac:dyDescent="0.35"/>
    <row r="23765" hidden="1" x14ac:dyDescent="0.35"/>
    <row r="23766" hidden="1" x14ac:dyDescent="0.35"/>
    <row r="23767" hidden="1" x14ac:dyDescent="0.35"/>
    <row r="23768" hidden="1" x14ac:dyDescent="0.35"/>
    <row r="23769" hidden="1" x14ac:dyDescent="0.35"/>
    <row r="23770" hidden="1" x14ac:dyDescent="0.35"/>
    <row r="23771" hidden="1" x14ac:dyDescent="0.35"/>
    <row r="23772" hidden="1" x14ac:dyDescent="0.35"/>
    <row r="23773" hidden="1" x14ac:dyDescent="0.35"/>
    <row r="23774" hidden="1" x14ac:dyDescent="0.35"/>
    <row r="23775" hidden="1" x14ac:dyDescent="0.35"/>
    <row r="23776" hidden="1" x14ac:dyDescent="0.35"/>
    <row r="23777" hidden="1" x14ac:dyDescent="0.35"/>
    <row r="23778" hidden="1" x14ac:dyDescent="0.35"/>
    <row r="23779" hidden="1" x14ac:dyDescent="0.35"/>
    <row r="23780" hidden="1" x14ac:dyDescent="0.35"/>
    <row r="23781" hidden="1" x14ac:dyDescent="0.35"/>
    <row r="23782" hidden="1" x14ac:dyDescent="0.35"/>
    <row r="23783" hidden="1" x14ac:dyDescent="0.35"/>
    <row r="23784" hidden="1" x14ac:dyDescent="0.35"/>
    <row r="23785" hidden="1" x14ac:dyDescent="0.35"/>
    <row r="23786" hidden="1" x14ac:dyDescent="0.35"/>
    <row r="23787" hidden="1" x14ac:dyDescent="0.35"/>
    <row r="23788" hidden="1" x14ac:dyDescent="0.35"/>
    <row r="23789" hidden="1" x14ac:dyDescent="0.35"/>
    <row r="23790" hidden="1" x14ac:dyDescent="0.35"/>
    <row r="23791" hidden="1" x14ac:dyDescent="0.35"/>
    <row r="23792" hidden="1" x14ac:dyDescent="0.35"/>
    <row r="23793" hidden="1" x14ac:dyDescent="0.35"/>
    <row r="23794" hidden="1" x14ac:dyDescent="0.35"/>
    <row r="23795" hidden="1" x14ac:dyDescent="0.35"/>
    <row r="23796" hidden="1" x14ac:dyDescent="0.35"/>
    <row r="23797" hidden="1" x14ac:dyDescent="0.35"/>
    <row r="23798" hidden="1" x14ac:dyDescent="0.35"/>
    <row r="23799" hidden="1" x14ac:dyDescent="0.35"/>
    <row r="23800" hidden="1" x14ac:dyDescent="0.35"/>
    <row r="23801" hidden="1" x14ac:dyDescent="0.35"/>
    <row r="23802" hidden="1" x14ac:dyDescent="0.35"/>
    <row r="23803" hidden="1" x14ac:dyDescent="0.35"/>
    <row r="23804" hidden="1" x14ac:dyDescent="0.35"/>
    <row r="23805" hidden="1" x14ac:dyDescent="0.35"/>
    <row r="23806" hidden="1" x14ac:dyDescent="0.35"/>
    <row r="23807" hidden="1" x14ac:dyDescent="0.35"/>
    <row r="23808" hidden="1" x14ac:dyDescent="0.35"/>
    <row r="23809" hidden="1" x14ac:dyDescent="0.35"/>
    <row r="23810" hidden="1" x14ac:dyDescent="0.35"/>
    <row r="23811" hidden="1" x14ac:dyDescent="0.35"/>
    <row r="23812" hidden="1" x14ac:dyDescent="0.35"/>
    <row r="23813" hidden="1" x14ac:dyDescent="0.35"/>
    <row r="23814" hidden="1" x14ac:dyDescent="0.35"/>
    <row r="23815" hidden="1" x14ac:dyDescent="0.35"/>
    <row r="23816" hidden="1" x14ac:dyDescent="0.35"/>
    <row r="23817" hidden="1" x14ac:dyDescent="0.35"/>
    <row r="23818" hidden="1" x14ac:dyDescent="0.35"/>
    <row r="23819" hidden="1" x14ac:dyDescent="0.35"/>
    <row r="23820" hidden="1" x14ac:dyDescent="0.35"/>
    <row r="23821" hidden="1" x14ac:dyDescent="0.35"/>
    <row r="23822" hidden="1" x14ac:dyDescent="0.35"/>
    <row r="23823" hidden="1" x14ac:dyDescent="0.35"/>
    <row r="23824" hidden="1" x14ac:dyDescent="0.35"/>
    <row r="23825" hidden="1" x14ac:dyDescent="0.35"/>
    <row r="23826" hidden="1" x14ac:dyDescent="0.35"/>
    <row r="23827" hidden="1" x14ac:dyDescent="0.35"/>
    <row r="23828" hidden="1" x14ac:dyDescent="0.35"/>
    <row r="23829" hidden="1" x14ac:dyDescent="0.35"/>
    <row r="23830" hidden="1" x14ac:dyDescent="0.35"/>
    <row r="23831" hidden="1" x14ac:dyDescent="0.35"/>
    <row r="23832" hidden="1" x14ac:dyDescent="0.35"/>
    <row r="23833" hidden="1" x14ac:dyDescent="0.35"/>
    <row r="23834" hidden="1" x14ac:dyDescent="0.35"/>
    <row r="23835" hidden="1" x14ac:dyDescent="0.35"/>
    <row r="23836" hidden="1" x14ac:dyDescent="0.35"/>
    <row r="23837" hidden="1" x14ac:dyDescent="0.35"/>
    <row r="23838" hidden="1" x14ac:dyDescent="0.35"/>
    <row r="23839" hidden="1" x14ac:dyDescent="0.35"/>
    <row r="23840" hidden="1" x14ac:dyDescent="0.35"/>
    <row r="23841" hidden="1" x14ac:dyDescent="0.35"/>
    <row r="23842" hidden="1" x14ac:dyDescent="0.35"/>
    <row r="23843" hidden="1" x14ac:dyDescent="0.35"/>
    <row r="23844" hidden="1" x14ac:dyDescent="0.35"/>
    <row r="23845" hidden="1" x14ac:dyDescent="0.35"/>
    <row r="23846" hidden="1" x14ac:dyDescent="0.35"/>
    <row r="23847" hidden="1" x14ac:dyDescent="0.35"/>
    <row r="23848" hidden="1" x14ac:dyDescent="0.35"/>
    <row r="23849" hidden="1" x14ac:dyDescent="0.35"/>
    <row r="23850" hidden="1" x14ac:dyDescent="0.35"/>
    <row r="23851" hidden="1" x14ac:dyDescent="0.35"/>
    <row r="23852" hidden="1" x14ac:dyDescent="0.35"/>
    <row r="23853" hidden="1" x14ac:dyDescent="0.35"/>
    <row r="23854" hidden="1" x14ac:dyDescent="0.35"/>
    <row r="23855" hidden="1" x14ac:dyDescent="0.35"/>
    <row r="23856" hidden="1" x14ac:dyDescent="0.35"/>
    <row r="23857" hidden="1" x14ac:dyDescent="0.35"/>
    <row r="23858" hidden="1" x14ac:dyDescent="0.35"/>
    <row r="23859" hidden="1" x14ac:dyDescent="0.35"/>
    <row r="23860" hidden="1" x14ac:dyDescent="0.35"/>
    <row r="23861" hidden="1" x14ac:dyDescent="0.35"/>
    <row r="23862" hidden="1" x14ac:dyDescent="0.35"/>
    <row r="23863" hidden="1" x14ac:dyDescent="0.35"/>
    <row r="23864" hidden="1" x14ac:dyDescent="0.35"/>
    <row r="23865" hidden="1" x14ac:dyDescent="0.35"/>
    <row r="23866" hidden="1" x14ac:dyDescent="0.35"/>
    <row r="23867" hidden="1" x14ac:dyDescent="0.35"/>
    <row r="23868" hidden="1" x14ac:dyDescent="0.35"/>
    <row r="23869" hidden="1" x14ac:dyDescent="0.35"/>
    <row r="23870" hidden="1" x14ac:dyDescent="0.35"/>
    <row r="23871" hidden="1" x14ac:dyDescent="0.35"/>
    <row r="23872" hidden="1" x14ac:dyDescent="0.35"/>
    <row r="23873" hidden="1" x14ac:dyDescent="0.35"/>
    <row r="23874" hidden="1" x14ac:dyDescent="0.35"/>
    <row r="23875" hidden="1" x14ac:dyDescent="0.35"/>
    <row r="23876" hidden="1" x14ac:dyDescent="0.35"/>
    <row r="23877" hidden="1" x14ac:dyDescent="0.35"/>
    <row r="23878" hidden="1" x14ac:dyDescent="0.35"/>
    <row r="23879" hidden="1" x14ac:dyDescent="0.35"/>
    <row r="23880" hidden="1" x14ac:dyDescent="0.35"/>
    <row r="23881" hidden="1" x14ac:dyDescent="0.35"/>
    <row r="23882" hidden="1" x14ac:dyDescent="0.35"/>
    <row r="23883" hidden="1" x14ac:dyDescent="0.35"/>
    <row r="23884" hidden="1" x14ac:dyDescent="0.35"/>
    <row r="23885" hidden="1" x14ac:dyDescent="0.35"/>
    <row r="23886" hidden="1" x14ac:dyDescent="0.35"/>
    <row r="23887" hidden="1" x14ac:dyDescent="0.35"/>
    <row r="23888" hidden="1" x14ac:dyDescent="0.35"/>
    <row r="23889" hidden="1" x14ac:dyDescent="0.35"/>
    <row r="23890" hidden="1" x14ac:dyDescent="0.35"/>
    <row r="23891" hidden="1" x14ac:dyDescent="0.35"/>
    <row r="23892" hidden="1" x14ac:dyDescent="0.35"/>
    <row r="23893" hidden="1" x14ac:dyDescent="0.35"/>
    <row r="23894" hidden="1" x14ac:dyDescent="0.35"/>
    <row r="23895" hidden="1" x14ac:dyDescent="0.35"/>
    <row r="23896" hidden="1" x14ac:dyDescent="0.35"/>
    <row r="23897" hidden="1" x14ac:dyDescent="0.35"/>
    <row r="23898" hidden="1" x14ac:dyDescent="0.35"/>
    <row r="23899" hidden="1" x14ac:dyDescent="0.35"/>
    <row r="23900" hidden="1" x14ac:dyDescent="0.35"/>
    <row r="23901" hidden="1" x14ac:dyDescent="0.35"/>
    <row r="23902" hidden="1" x14ac:dyDescent="0.35"/>
    <row r="23903" hidden="1" x14ac:dyDescent="0.35"/>
    <row r="23904" hidden="1" x14ac:dyDescent="0.35"/>
    <row r="23905" hidden="1" x14ac:dyDescent="0.35"/>
    <row r="23906" hidden="1" x14ac:dyDescent="0.35"/>
    <row r="23907" hidden="1" x14ac:dyDescent="0.35"/>
    <row r="23908" hidden="1" x14ac:dyDescent="0.35"/>
    <row r="23909" hidden="1" x14ac:dyDescent="0.35"/>
    <row r="23910" hidden="1" x14ac:dyDescent="0.35"/>
    <row r="23911" hidden="1" x14ac:dyDescent="0.35"/>
    <row r="23912" hidden="1" x14ac:dyDescent="0.35"/>
    <row r="23913" hidden="1" x14ac:dyDescent="0.35"/>
    <row r="23914" hidden="1" x14ac:dyDescent="0.35"/>
    <row r="23915" hidden="1" x14ac:dyDescent="0.35"/>
    <row r="23916" hidden="1" x14ac:dyDescent="0.35"/>
    <row r="23917" hidden="1" x14ac:dyDescent="0.35"/>
    <row r="23918" hidden="1" x14ac:dyDescent="0.35"/>
    <row r="23919" hidden="1" x14ac:dyDescent="0.35"/>
    <row r="23920" hidden="1" x14ac:dyDescent="0.35"/>
    <row r="23921" hidden="1" x14ac:dyDescent="0.35"/>
    <row r="23922" hidden="1" x14ac:dyDescent="0.35"/>
    <row r="23923" hidden="1" x14ac:dyDescent="0.35"/>
    <row r="23924" hidden="1" x14ac:dyDescent="0.35"/>
    <row r="23925" hidden="1" x14ac:dyDescent="0.35"/>
    <row r="23926" hidden="1" x14ac:dyDescent="0.35"/>
    <row r="23927" hidden="1" x14ac:dyDescent="0.35"/>
    <row r="23928" hidden="1" x14ac:dyDescent="0.35"/>
    <row r="23929" hidden="1" x14ac:dyDescent="0.35"/>
    <row r="23930" hidden="1" x14ac:dyDescent="0.35"/>
    <row r="23931" hidden="1" x14ac:dyDescent="0.35"/>
    <row r="23932" hidden="1" x14ac:dyDescent="0.35"/>
    <row r="23933" hidden="1" x14ac:dyDescent="0.35"/>
    <row r="23934" hidden="1" x14ac:dyDescent="0.35"/>
    <row r="23935" hidden="1" x14ac:dyDescent="0.35"/>
    <row r="23936" hidden="1" x14ac:dyDescent="0.35"/>
    <row r="23937" hidden="1" x14ac:dyDescent="0.35"/>
    <row r="23938" hidden="1" x14ac:dyDescent="0.35"/>
    <row r="23939" hidden="1" x14ac:dyDescent="0.35"/>
    <row r="23940" hidden="1" x14ac:dyDescent="0.35"/>
    <row r="23941" hidden="1" x14ac:dyDescent="0.35"/>
    <row r="23942" hidden="1" x14ac:dyDescent="0.35"/>
    <row r="23943" hidden="1" x14ac:dyDescent="0.35"/>
    <row r="23944" hidden="1" x14ac:dyDescent="0.35"/>
    <row r="23945" hidden="1" x14ac:dyDescent="0.35"/>
    <row r="23946" hidden="1" x14ac:dyDescent="0.35"/>
    <row r="23947" hidden="1" x14ac:dyDescent="0.35"/>
    <row r="23948" hidden="1" x14ac:dyDescent="0.35"/>
    <row r="23949" hidden="1" x14ac:dyDescent="0.35"/>
    <row r="23950" hidden="1" x14ac:dyDescent="0.35"/>
    <row r="23951" hidden="1" x14ac:dyDescent="0.35"/>
    <row r="23952" hidden="1" x14ac:dyDescent="0.35"/>
    <row r="23953" hidden="1" x14ac:dyDescent="0.35"/>
    <row r="23954" hidden="1" x14ac:dyDescent="0.35"/>
    <row r="23955" hidden="1" x14ac:dyDescent="0.35"/>
    <row r="23956" hidden="1" x14ac:dyDescent="0.35"/>
    <row r="23957" hidden="1" x14ac:dyDescent="0.35"/>
    <row r="23958" hidden="1" x14ac:dyDescent="0.35"/>
    <row r="23959" hidden="1" x14ac:dyDescent="0.35"/>
    <row r="23960" hidden="1" x14ac:dyDescent="0.35"/>
    <row r="23961" hidden="1" x14ac:dyDescent="0.35"/>
    <row r="23962" hidden="1" x14ac:dyDescent="0.35"/>
    <row r="23963" hidden="1" x14ac:dyDescent="0.35"/>
    <row r="23964" hidden="1" x14ac:dyDescent="0.35"/>
    <row r="23965" hidden="1" x14ac:dyDescent="0.35"/>
    <row r="23966" hidden="1" x14ac:dyDescent="0.35"/>
    <row r="23967" hidden="1" x14ac:dyDescent="0.35"/>
    <row r="23968" hidden="1" x14ac:dyDescent="0.35"/>
    <row r="23969" hidden="1" x14ac:dyDescent="0.35"/>
    <row r="23970" hidden="1" x14ac:dyDescent="0.35"/>
    <row r="23971" hidden="1" x14ac:dyDescent="0.35"/>
    <row r="23972" hidden="1" x14ac:dyDescent="0.35"/>
    <row r="23973" hidden="1" x14ac:dyDescent="0.35"/>
    <row r="23974" hidden="1" x14ac:dyDescent="0.35"/>
    <row r="23975" hidden="1" x14ac:dyDescent="0.35"/>
    <row r="23976" hidden="1" x14ac:dyDescent="0.35"/>
    <row r="23977" hidden="1" x14ac:dyDescent="0.35"/>
    <row r="23978" hidden="1" x14ac:dyDescent="0.35"/>
    <row r="23979" hidden="1" x14ac:dyDescent="0.35"/>
    <row r="23980" hidden="1" x14ac:dyDescent="0.35"/>
    <row r="23981" hidden="1" x14ac:dyDescent="0.35"/>
    <row r="23982" hidden="1" x14ac:dyDescent="0.35"/>
    <row r="23983" hidden="1" x14ac:dyDescent="0.35"/>
    <row r="23984" hidden="1" x14ac:dyDescent="0.35"/>
    <row r="23985" hidden="1" x14ac:dyDescent="0.35"/>
    <row r="23986" hidden="1" x14ac:dyDescent="0.35"/>
    <row r="23987" hidden="1" x14ac:dyDescent="0.35"/>
    <row r="23988" hidden="1" x14ac:dyDescent="0.35"/>
    <row r="23989" hidden="1" x14ac:dyDescent="0.35"/>
    <row r="23990" hidden="1" x14ac:dyDescent="0.35"/>
    <row r="23991" hidden="1" x14ac:dyDescent="0.35"/>
    <row r="23992" hidden="1" x14ac:dyDescent="0.35"/>
    <row r="23993" hidden="1" x14ac:dyDescent="0.35"/>
    <row r="23994" hidden="1" x14ac:dyDescent="0.35"/>
    <row r="23995" hidden="1" x14ac:dyDescent="0.35"/>
    <row r="23996" hidden="1" x14ac:dyDescent="0.35"/>
    <row r="23997" hidden="1" x14ac:dyDescent="0.35"/>
    <row r="23998" hidden="1" x14ac:dyDescent="0.35"/>
    <row r="23999" hidden="1" x14ac:dyDescent="0.35"/>
    <row r="24000" hidden="1" x14ac:dyDescent="0.35"/>
    <row r="24001" hidden="1" x14ac:dyDescent="0.35"/>
    <row r="24002" hidden="1" x14ac:dyDescent="0.35"/>
    <row r="24003" hidden="1" x14ac:dyDescent="0.35"/>
    <row r="24004" hidden="1" x14ac:dyDescent="0.35"/>
    <row r="24005" hidden="1" x14ac:dyDescent="0.35"/>
    <row r="24006" hidden="1" x14ac:dyDescent="0.35"/>
    <row r="24007" hidden="1" x14ac:dyDescent="0.35"/>
    <row r="24008" hidden="1" x14ac:dyDescent="0.35"/>
    <row r="24009" hidden="1" x14ac:dyDescent="0.35"/>
    <row r="24010" hidden="1" x14ac:dyDescent="0.35"/>
    <row r="24011" hidden="1" x14ac:dyDescent="0.35"/>
    <row r="24012" hidden="1" x14ac:dyDescent="0.35"/>
    <row r="24013" hidden="1" x14ac:dyDescent="0.35"/>
    <row r="24014" hidden="1" x14ac:dyDescent="0.35"/>
    <row r="24015" hidden="1" x14ac:dyDescent="0.35"/>
    <row r="24016" hidden="1" x14ac:dyDescent="0.35"/>
    <row r="24017" hidden="1" x14ac:dyDescent="0.35"/>
    <row r="24018" hidden="1" x14ac:dyDescent="0.35"/>
    <row r="24019" hidden="1" x14ac:dyDescent="0.35"/>
    <row r="24020" hidden="1" x14ac:dyDescent="0.35"/>
    <row r="24021" hidden="1" x14ac:dyDescent="0.35"/>
    <row r="24022" hidden="1" x14ac:dyDescent="0.35"/>
    <row r="24023" hidden="1" x14ac:dyDescent="0.35"/>
    <row r="24024" hidden="1" x14ac:dyDescent="0.35"/>
    <row r="24025" hidden="1" x14ac:dyDescent="0.35"/>
    <row r="24026" hidden="1" x14ac:dyDescent="0.35"/>
    <row r="24027" hidden="1" x14ac:dyDescent="0.35"/>
    <row r="24028" hidden="1" x14ac:dyDescent="0.35"/>
    <row r="24029" hidden="1" x14ac:dyDescent="0.35"/>
    <row r="24030" hidden="1" x14ac:dyDescent="0.35"/>
    <row r="24031" hidden="1" x14ac:dyDescent="0.35"/>
    <row r="24032" hidden="1" x14ac:dyDescent="0.35"/>
    <row r="24033" hidden="1" x14ac:dyDescent="0.35"/>
    <row r="24034" hidden="1" x14ac:dyDescent="0.35"/>
    <row r="24035" hidden="1" x14ac:dyDescent="0.35"/>
    <row r="24036" hidden="1" x14ac:dyDescent="0.35"/>
    <row r="24037" hidden="1" x14ac:dyDescent="0.35"/>
    <row r="24038" hidden="1" x14ac:dyDescent="0.35"/>
    <row r="24039" hidden="1" x14ac:dyDescent="0.35"/>
    <row r="24040" hidden="1" x14ac:dyDescent="0.35"/>
    <row r="24041" hidden="1" x14ac:dyDescent="0.35"/>
    <row r="24042" hidden="1" x14ac:dyDescent="0.35"/>
    <row r="24043" hidden="1" x14ac:dyDescent="0.35"/>
    <row r="24044" hidden="1" x14ac:dyDescent="0.35"/>
    <row r="24045" hidden="1" x14ac:dyDescent="0.35"/>
    <row r="24046" hidden="1" x14ac:dyDescent="0.35"/>
    <row r="24047" hidden="1" x14ac:dyDescent="0.35"/>
    <row r="24048" hidden="1" x14ac:dyDescent="0.35"/>
    <row r="24049" hidden="1" x14ac:dyDescent="0.35"/>
    <row r="24050" hidden="1" x14ac:dyDescent="0.35"/>
    <row r="24051" hidden="1" x14ac:dyDescent="0.35"/>
    <row r="24052" hidden="1" x14ac:dyDescent="0.35"/>
    <row r="24053" hidden="1" x14ac:dyDescent="0.35"/>
    <row r="24054" hidden="1" x14ac:dyDescent="0.35"/>
    <row r="24055" hidden="1" x14ac:dyDescent="0.35"/>
    <row r="24056" hidden="1" x14ac:dyDescent="0.35"/>
    <row r="24057" hidden="1" x14ac:dyDescent="0.35"/>
    <row r="24058" hidden="1" x14ac:dyDescent="0.35"/>
    <row r="24059" hidden="1" x14ac:dyDescent="0.35"/>
    <row r="24060" hidden="1" x14ac:dyDescent="0.35"/>
    <row r="24061" hidden="1" x14ac:dyDescent="0.35"/>
    <row r="24062" hidden="1" x14ac:dyDescent="0.35"/>
    <row r="24063" hidden="1" x14ac:dyDescent="0.35"/>
    <row r="24064" hidden="1" x14ac:dyDescent="0.35"/>
    <row r="24065" hidden="1" x14ac:dyDescent="0.35"/>
    <row r="24066" hidden="1" x14ac:dyDescent="0.35"/>
    <row r="24067" hidden="1" x14ac:dyDescent="0.35"/>
    <row r="24068" hidden="1" x14ac:dyDescent="0.35"/>
    <row r="24069" hidden="1" x14ac:dyDescent="0.35"/>
    <row r="24070" hidden="1" x14ac:dyDescent="0.35"/>
    <row r="24071" hidden="1" x14ac:dyDescent="0.35"/>
    <row r="24072" hidden="1" x14ac:dyDescent="0.35"/>
    <row r="24073" hidden="1" x14ac:dyDescent="0.35"/>
    <row r="24074" hidden="1" x14ac:dyDescent="0.35"/>
    <row r="24075" hidden="1" x14ac:dyDescent="0.35"/>
    <row r="24076" hidden="1" x14ac:dyDescent="0.35"/>
    <row r="24077" hidden="1" x14ac:dyDescent="0.35"/>
    <row r="24078" hidden="1" x14ac:dyDescent="0.35"/>
    <row r="24079" hidden="1" x14ac:dyDescent="0.35"/>
    <row r="24080" hidden="1" x14ac:dyDescent="0.35"/>
    <row r="24081" hidden="1" x14ac:dyDescent="0.35"/>
    <row r="24082" hidden="1" x14ac:dyDescent="0.35"/>
    <row r="24083" hidden="1" x14ac:dyDescent="0.35"/>
    <row r="24084" hidden="1" x14ac:dyDescent="0.35"/>
    <row r="24085" hidden="1" x14ac:dyDescent="0.35"/>
    <row r="24086" hidden="1" x14ac:dyDescent="0.35"/>
    <row r="24087" hidden="1" x14ac:dyDescent="0.35"/>
    <row r="24088" hidden="1" x14ac:dyDescent="0.35"/>
    <row r="24089" hidden="1" x14ac:dyDescent="0.35"/>
    <row r="24090" hidden="1" x14ac:dyDescent="0.35"/>
    <row r="24091" hidden="1" x14ac:dyDescent="0.35"/>
    <row r="24092" hidden="1" x14ac:dyDescent="0.35"/>
    <row r="24093" hidden="1" x14ac:dyDescent="0.35"/>
    <row r="24094" hidden="1" x14ac:dyDescent="0.35"/>
    <row r="24095" hidden="1" x14ac:dyDescent="0.35"/>
    <row r="24096" hidden="1" x14ac:dyDescent="0.35"/>
    <row r="24097" hidden="1" x14ac:dyDescent="0.35"/>
    <row r="24098" hidden="1" x14ac:dyDescent="0.35"/>
    <row r="24099" hidden="1" x14ac:dyDescent="0.35"/>
    <row r="24100" hidden="1" x14ac:dyDescent="0.35"/>
    <row r="24101" hidden="1" x14ac:dyDescent="0.35"/>
    <row r="24102" hidden="1" x14ac:dyDescent="0.35"/>
    <row r="24103" hidden="1" x14ac:dyDescent="0.35"/>
    <row r="24104" hidden="1" x14ac:dyDescent="0.35"/>
    <row r="24105" hidden="1" x14ac:dyDescent="0.35"/>
    <row r="24106" hidden="1" x14ac:dyDescent="0.35"/>
    <row r="24107" hidden="1" x14ac:dyDescent="0.35"/>
    <row r="24108" hidden="1" x14ac:dyDescent="0.35"/>
    <row r="24109" hidden="1" x14ac:dyDescent="0.35"/>
    <row r="24110" hidden="1" x14ac:dyDescent="0.35"/>
    <row r="24111" hidden="1" x14ac:dyDescent="0.35"/>
    <row r="24112" hidden="1" x14ac:dyDescent="0.35"/>
    <row r="24113" hidden="1" x14ac:dyDescent="0.35"/>
    <row r="24114" hidden="1" x14ac:dyDescent="0.35"/>
    <row r="24115" hidden="1" x14ac:dyDescent="0.35"/>
    <row r="24116" hidden="1" x14ac:dyDescent="0.35"/>
    <row r="24117" hidden="1" x14ac:dyDescent="0.35"/>
    <row r="24118" hidden="1" x14ac:dyDescent="0.35"/>
    <row r="24119" hidden="1" x14ac:dyDescent="0.35"/>
    <row r="24120" hidden="1" x14ac:dyDescent="0.35"/>
    <row r="24121" hidden="1" x14ac:dyDescent="0.35"/>
    <row r="24122" hidden="1" x14ac:dyDescent="0.35"/>
    <row r="24123" hidden="1" x14ac:dyDescent="0.35"/>
    <row r="24124" hidden="1" x14ac:dyDescent="0.35"/>
    <row r="24125" hidden="1" x14ac:dyDescent="0.35"/>
    <row r="24126" hidden="1" x14ac:dyDescent="0.35"/>
    <row r="24127" hidden="1" x14ac:dyDescent="0.35"/>
    <row r="24128" hidden="1" x14ac:dyDescent="0.35"/>
    <row r="24129" hidden="1" x14ac:dyDescent="0.35"/>
    <row r="24130" hidden="1" x14ac:dyDescent="0.35"/>
    <row r="24131" hidden="1" x14ac:dyDescent="0.35"/>
    <row r="24132" hidden="1" x14ac:dyDescent="0.35"/>
    <row r="24133" hidden="1" x14ac:dyDescent="0.35"/>
    <row r="24134" hidden="1" x14ac:dyDescent="0.35"/>
    <row r="24135" hidden="1" x14ac:dyDescent="0.35"/>
    <row r="24136" hidden="1" x14ac:dyDescent="0.35"/>
    <row r="24137" hidden="1" x14ac:dyDescent="0.35"/>
    <row r="24138" hidden="1" x14ac:dyDescent="0.35"/>
    <row r="24139" hidden="1" x14ac:dyDescent="0.35"/>
    <row r="24140" hidden="1" x14ac:dyDescent="0.35"/>
    <row r="24141" hidden="1" x14ac:dyDescent="0.35"/>
    <row r="24142" hidden="1" x14ac:dyDescent="0.35"/>
    <row r="24143" hidden="1" x14ac:dyDescent="0.35"/>
    <row r="24144" hidden="1" x14ac:dyDescent="0.35"/>
    <row r="24145" hidden="1" x14ac:dyDescent="0.35"/>
    <row r="24146" hidden="1" x14ac:dyDescent="0.35"/>
    <row r="24147" hidden="1" x14ac:dyDescent="0.35"/>
    <row r="24148" hidden="1" x14ac:dyDescent="0.35"/>
    <row r="24149" hidden="1" x14ac:dyDescent="0.35"/>
    <row r="24150" hidden="1" x14ac:dyDescent="0.35"/>
    <row r="24151" hidden="1" x14ac:dyDescent="0.35"/>
    <row r="24152" hidden="1" x14ac:dyDescent="0.35"/>
    <row r="24153" hidden="1" x14ac:dyDescent="0.35"/>
    <row r="24154" hidden="1" x14ac:dyDescent="0.35"/>
    <row r="24155" hidden="1" x14ac:dyDescent="0.35"/>
    <row r="24156" hidden="1" x14ac:dyDescent="0.35"/>
    <row r="24157" hidden="1" x14ac:dyDescent="0.35"/>
    <row r="24158" hidden="1" x14ac:dyDescent="0.35"/>
    <row r="24159" hidden="1" x14ac:dyDescent="0.35"/>
    <row r="24160" hidden="1" x14ac:dyDescent="0.35"/>
    <row r="24161" hidden="1" x14ac:dyDescent="0.35"/>
    <row r="24162" hidden="1" x14ac:dyDescent="0.35"/>
    <row r="24163" hidden="1" x14ac:dyDescent="0.35"/>
    <row r="24164" hidden="1" x14ac:dyDescent="0.35"/>
    <row r="24165" hidden="1" x14ac:dyDescent="0.35"/>
    <row r="24166" hidden="1" x14ac:dyDescent="0.35"/>
    <row r="24167" hidden="1" x14ac:dyDescent="0.35"/>
    <row r="24168" hidden="1" x14ac:dyDescent="0.35"/>
    <row r="24169" hidden="1" x14ac:dyDescent="0.35"/>
    <row r="24170" hidden="1" x14ac:dyDescent="0.35"/>
    <row r="24171" hidden="1" x14ac:dyDescent="0.35"/>
    <row r="24172" hidden="1" x14ac:dyDescent="0.35"/>
    <row r="24173" hidden="1" x14ac:dyDescent="0.35"/>
    <row r="24174" hidden="1" x14ac:dyDescent="0.35"/>
    <row r="24175" hidden="1" x14ac:dyDescent="0.35"/>
    <row r="24176" hidden="1" x14ac:dyDescent="0.35"/>
    <row r="24177" hidden="1" x14ac:dyDescent="0.35"/>
    <row r="24178" hidden="1" x14ac:dyDescent="0.35"/>
    <row r="24179" hidden="1" x14ac:dyDescent="0.35"/>
    <row r="24180" hidden="1" x14ac:dyDescent="0.35"/>
    <row r="24181" hidden="1" x14ac:dyDescent="0.35"/>
    <row r="24182" hidden="1" x14ac:dyDescent="0.35"/>
    <row r="24183" hidden="1" x14ac:dyDescent="0.35"/>
    <row r="24184" hidden="1" x14ac:dyDescent="0.35"/>
    <row r="24185" hidden="1" x14ac:dyDescent="0.35"/>
    <row r="24186" hidden="1" x14ac:dyDescent="0.35"/>
    <row r="24187" hidden="1" x14ac:dyDescent="0.35"/>
    <row r="24188" hidden="1" x14ac:dyDescent="0.35"/>
    <row r="24189" hidden="1" x14ac:dyDescent="0.35"/>
    <row r="24190" hidden="1" x14ac:dyDescent="0.35"/>
    <row r="24191" hidden="1" x14ac:dyDescent="0.35"/>
    <row r="24192" hidden="1" x14ac:dyDescent="0.35"/>
    <row r="24193" hidden="1" x14ac:dyDescent="0.35"/>
    <row r="24194" hidden="1" x14ac:dyDescent="0.35"/>
    <row r="24195" hidden="1" x14ac:dyDescent="0.35"/>
    <row r="24196" hidden="1" x14ac:dyDescent="0.35"/>
    <row r="24197" hidden="1" x14ac:dyDescent="0.35"/>
    <row r="24198" hidden="1" x14ac:dyDescent="0.35"/>
    <row r="24199" hidden="1" x14ac:dyDescent="0.35"/>
    <row r="24200" hidden="1" x14ac:dyDescent="0.35"/>
    <row r="24201" hidden="1" x14ac:dyDescent="0.35"/>
    <row r="24202" hidden="1" x14ac:dyDescent="0.35"/>
    <row r="24203" hidden="1" x14ac:dyDescent="0.35"/>
    <row r="24204" hidden="1" x14ac:dyDescent="0.35"/>
    <row r="24205" hidden="1" x14ac:dyDescent="0.35"/>
    <row r="24206" hidden="1" x14ac:dyDescent="0.35"/>
    <row r="24207" hidden="1" x14ac:dyDescent="0.35"/>
    <row r="24208" hidden="1" x14ac:dyDescent="0.35"/>
    <row r="24209" hidden="1" x14ac:dyDescent="0.35"/>
    <row r="24210" hidden="1" x14ac:dyDescent="0.35"/>
    <row r="24211" hidden="1" x14ac:dyDescent="0.35"/>
    <row r="24212" hidden="1" x14ac:dyDescent="0.35"/>
    <row r="24213" hidden="1" x14ac:dyDescent="0.35"/>
    <row r="24214" hidden="1" x14ac:dyDescent="0.35"/>
    <row r="24215" hidden="1" x14ac:dyDescent="0.35"/>
    <row r="24216" hidden="1" x14ac:dyDescent="0.35"/>
    <row r="24217" hidden="1" x14ac:dyDescent="0.35"/>
    <row r="24218" hidden="1" x14ac:dyDescent="0.35"/>
    <row r="24219" hidden="1" x14ac:dyDescent="0.35"/>
    <row r="24220" hidden="1" x14ac:dyDescent="0.35"/>
    <row r="24221" hidden="1" x14ac:dyDescent="0.35"/>
    <row r="24222" hidden="1" x14ac:dyDescent="0.35"/>
    <row r="24223" hidden="1" x14ac:dyDescent="0.35"/>
    <row r="24224" hidden="1" x14ac:dyDescent="0.35"/>
    <row r="24225" hidden="1" x14ac:dyDescent="0.35"/>
    <row r="24226" hidden="1" x14ac:dyDescent="0.35"/>
    <row r="24227" hidden="1" x14ac:dyDescent="0.35"/>
    <row r="24228" hidden="1" x14ac:dyDescent="0.35"/>
    <row r="24229" hidden="1" x14ac:dyDescent="0.35"/>
    <row r="24230" hidden="1" x14ac:dyDescent="0.35"/>
    <row r="24231" hidden="1" x14ac:dyDescent="0.35"/>
    <row r="24232" hidden="1" x14ac:dyDescent="0.35"/>
    <row r="24233" hidden="1" x14ac:dyDescent="0.35"/>
    <row r="24234" hidden="1" x14ac:dyDescent="0.35"/>
    <row r="24235" hidden="1" x14ac:dyDescent="0.35"/>
    <row r="24236" hidden="1" x14ac:dyDescent="0.35"/>
    <row r="24237" hidden="1" x14ac:dyDescent="0.35"/>
    <row r="24238" hidden="1" x14ac:dyDescent="0.35"/>
    <row r="24239" hidden="1" x14ac:dyDescent="0.35"/>
    <row r="24240" hidden="1" x14ac:dyDescent="0.35"/>
    <row r="24241" hidden="1" x14ac:dyDescent="0.35"/>
    <row r="24242" hidden="1" x14ac:dyDescent="0.35"/>
    <row r="24243" hidden="1" x14ac:dyDescent="0.35"/>
    <row r="24244" hidden="1" x14ac:dyDescent="0.35"/>
    <row r="24245" hidden="1" x14ac:dyDescent="0.35"/>
    <row r="24246" hidden="1" x14ac:dyDescent="0.35"/>
    <row r="24247" hidden="1" x14ac:dyDescent="0.35"/>
    <row r="24248" hidden="1" x14ac:dyDescent="0.35"/>
    <row r="24249" hidden="1" x14ac:dyDescent="0.35"/>
    <row r="24250" hidden="1" x14ac:dyDescent="0.35"/>
    <row r="24251" hidden="1" x14ac:dyDescent="0.35"/>
    <row r="24252" hidden="1" x14ac:dyDescent="0.35"/>
    <row r="24253" hidden="1" x14ac:dyDescent="0.35"/>
    <row r="24254" hidden="1" x14ac:dyDescent="0.35"/>
    <row r="24255" hidden="1" x14ac:dyDescent="0.35"/>
    <row r="24256" hidden="1" x14ac:dyDescent="0.35"/>
    <row r="24257" hidden="1" x14ac:dyDescent="0.35"/>
    <row r="24258" hidden="1" x14ac:dyDescent="0.35"/>
    <row r="24259" hidden="1" x14ac:dyDescent="0.35"/>
    <row r="24260" hidden="1" x14ac:dyDescent="0.35"/>
    <row r="24261" hidden="1" x14ac:dyDescent="0.35"/>
    <row r="24262" hidden="1" x14ac:dyDescent="0.35"/>
    <row r="24263" hidden="1" x14ac:dyDescent="0.35"/>
    <row r="24264" hidden="1" x14ac:dyDescent="0.35"/>
    <row r="24265" hidden="1" x14ac:dyDescent="0.35"/>
    <row r="24266" hidden="1" x14ac:dyDescent="0.35"/>
    <row r="24267" hidden="1" x14ac:dyDescent="0.35"/>
    <row r="24268" hidden="1" x14ac:dyDescent="0.35"/>
    <row r="24269" hidden="1" x14ac:dyDescent="0.35"/>
    <row r="24270" hidden="1" x14ac:dyDescent="0.35"/>
    <row r="24271" hidden="1" x14ac:dyDescent="0.35"/>
    <row r="24272" hidden="1" x14ac:dyDescent="0.35"/>
    <row r="24273" hidden="1" x14ac:dyDescent="0.35"/>
    <row r="24274" hidden="1" x14ac:dyDescent="0.35"/>
    <row r="24275" hidden="1" x14ac:dyDescent="0.35"/>
    <row r="24276" hidden="1" x14ac:dyDescent="0.35"/>
    <row r="24277" hidden="1" x14ac:dyDescent="0.35"/>
    <row r="24278" hidden="1" x14ac:dyDescent="0.35"/>
    <row r="24279" hidden="1" x14ac:dyDescent="0.35"/>
    <row r="24280" hidden="1" x14ac:dyDescent="0.35"/>
    <row r="24281" hidden="1" x14ac:dyDescent="0.35"/>
    <row r="24282" hidden="1" x14ac:dyDescent="0.35"/>
    <row r="24283" hidden="1" x14ac:dyDescent="0.35"/>
    <row r="24284" hidden="1" x14ac:dyDescent="0.35"/>
    <row r="24285" hidden="1" x14ac:dyDescent="0.35"/>
    <row r="24286" hidden="1" x14ac:dyDescent="0.35"/>
    <row r="24287" hidden="1" x14ac:dyDescent="0.35"/>
    <row r="24288" hidden="1" x14ac:dyDescent="0.35"/>
    <row r="24289" hidden="1" x14ac:dyDescent="0.35"/>
    <row r="24290" hidden="1" x14ac:dyDescent="0.35"/>
    <row r="24291" hidden="1" x14ac:dyDescent="0.35"/>
    <row r="24292" hidden="1" x14ac:dyDescent="0.35"/>
    <row r="24293" hidden="1" x14ac:dyDescent="0.35"/>
    <row r="24294" hidden="1" x14ac:dyDescent="0.35"/>
    <row r="24295" hidden="1" x14ac:dyDescent="0.35"/>
    <row r="24296" hidden="1" x14ac:dyDescent="0.35"/>
    <row r="24297" hidden="1" x14ac:dyDescent="0.35"/>
    <row r="24298" hidden="1" x14ac:dyDescent="0.35"/>
    <row r="24299" hidden="1" x14ac:dyDescent="0.35"/>
    <row r="24300" hidden="1" x14ac:dyDescent="0.35"/>
    <row r="24301" hidden="1" x14ac:dyDescent="0.35"/>
    <row r="24302" hidden="1" x14ac:dyDescent="0.35"/>
    <row r="24303" hidden="1" x14ac:dyDescent="0.35"/>
    <row r="24304" hidden="1" x14ac:dyDescent="0.35"/>
    <row r="24305" hidden="1" x14ac:dyDescent="0.35"/>
    <row r="24306" hidden="1" x14ac:dyDescent="0.35"/>
    <row r="24307" hidden="1" x14ac:dyDescent="0.35"/>
    <row r="24308" hidden="1" x14ac:dyDescent="0.35"/>
    <row r="24309" hidden="1" x14ac:dyDescent="0.35"/>
    <row r="24310" hidden="1" x14ac:dyDescent="0.35"/>
    <row r="24311" hidden="1" x14ac:dyDescent="0.35"/>
    <row r="24312" hidden="1" x14ac:dyDescent="0.35"/>
    <row r="24313" hidden="1" x14ac:dyDescent="0.35"/>
    <row r="24314" hidden="1" x14ac:dyDescent="0.35"/>
    <row r="24315" hidden="1" x14ac:dyDescent="0.35"/>
    <row r="24316" hidden="1" x14ac:dyDescent="0.35"/>
    <row r="24317" hidden="1" x14ac:dyDescent="0.35"/>
    <row r="24318" hidden="1" x14ac:dyDescent="0.35"/>
    <row r="24319" hidden="1" x14ac:dyDescent="0.35"/>
    <row r="24320" hidden="1" x14ac:dyDescent="0.35"/>
    <row r="24321" hidden="1" x14ac:dyDescent="0.35"/>
    <row r="24322" hidden="1" x14ac:dyDescent="0.35"/>
    <row r="24323" hidden="1" x14ac:dyDescent="0.35"/>
    <row r="24324" hidden="1" x14ac:dyDescent="0.35"/>
    <row r="24325" hidden="1" x14ac:dyDescent="0.35"/>
    <row r="24326" hidden="1" x14ac:dyDescent="0.35"/>
    <row r="24327" hidden="1" x14ac:dyDescent="0.35"/>
    <row r="24328" hidden="1" x14ac:dyDescent="0.35"/>
    <row r="24329" hidden="1" x14ac:dyDescent="0.35"/>
    <row r="24330" hidden="1" x14ac:dyDescent="0.35"/>
    <row r="24331" hidden="1" x14ac:dyDescent="0.35"/>
    <row r="24332" hidden="1" x14ac:dyDescent="0.35"/>
    <row r="24333" hidden="1" x14ac:dyDescent="0.35"/>
    <row r="24334" hidden="1" x14ac:dyDescent="0.35"/>
    <row r="24335" hidden="1" x14ac:dyDescent="0.35"/>
    <row r="24336" hidden="1" x14ac:dyDescent="0.35"/>
    <row r="24337" hidden="1" x14ac:dyDescent="0.35"/>
    <row r="24338" hidden="1" x14ac:dyDescent="0.35"/>
    <row r="24339" hidden="1" x14ac:dyDescent="0.35"/>
    <row r="24340" hidden="1" x14ac:dyDescent="0.35"/>
    <row r="24341" hidden="1" x14ac:dyDescent="0.35"/>
    <row r="24342" hidden="1" x14ac:dyDescent="0.35"/>
    <row r="24343" hidden="1" x14ac:dyDescent="0.35"/>
    <row r="24344" hidden="1" x14ac:dyDescent="0.35"/>
    <row r="24345" hidden="1" x14ac:dyDescent="0.35"/>
    <row r="24346" hidden="1" x14ac:dyDescent="0.35"/>
    <row r="24347" hidden="1" x14ac:dyDescent="0.35"/>
    <row r="24348" hidden="1" x14ac:dyDescent="0.35"/>
    <row r="24349" hidden="1" x14ac:dyDescent="0.35"/>
    <row r="24350" hidden="1" x14ac:dyDescent="0.35"/>
    <row r="24351" hidden="1" x14ac:dyDescent="0.35"/>
    <row r="24352" hidden="1" x14ac:dyDescent="0.35"/>
    <row r="24353" hidden="1" x14ac:dyDescent="0.35"/>
    <row r="24354" hidden="1" x14ac:dyDescent="0.35"/>
    <row r="24355" hidden="1" x14ac:dyDescent="0.35"/>
    <row r="24356" hidden="1" x14ac:dyDescent="0.35"/>
    <row r="24357" hidden="1" x14ac:dyDescent="0.35"/>
    <row r="24358" hidden="1" x14ac:dyDescent="0.35"/>
    <row r="24359" hidden="1" x14ac:dyDescent="0.35"/>
    <row r="24360" hidden="1" x14ac:dyDescent="0.35"/>
    <row r="24361" hidden="1" x14ac:dyDescent="0.35"/>
    <row r="24362" hidden="1" x14ac:dyDescent="0.35"/>
    <row r="24363" hidden="1" x14ac:dyDescent="0.35"/>
    <row r="24364" hidden="1" x14ac:dyDescent="0.35"/>
    <row r="24365" hidden="1" x14ac:dyDescent="0.35"/>
    <row r="24366" hidden="1" x14ac:dyDescent="0.35"/>
    <row r="24367" hidden="1" x14ac:dyDescent="0.35"/>
    <row r="24368" hidden="1" x14ac:dyDescent="0.35"/>
    <row r="24369" hidden="1" x14ac:dyDescent="0.35"/>
    <row r="24370" hidden="1" x14ac:dyDescent="0.35"/>
    <row r="24371" hidden="1" x14ac:dyDescent="0.35"/>
    <row r="24372" hidden="1" x14ac:dyDescent="0.35"/>
    <row r="24373" hidden="1" x14ac:dyDescent="0.35"/>
    <row r="24374" hidden="1" x14ac:dyDescent="0.35"/>
    <row r="24375" hidden="1" x14ac:dyDescent="0.35"/>
    <row r="24376" hidden="1" x14ac:dyDescent="0.35"/>
    <row r="24377" hidden="1" x14ac:dyDescent="0.35"/>
    <row r="24378" hidden="1" x14ac:dyDescent="0.35"/>
    <row r="24379" hidden="1" x14ac:dyDescent="0.35"/>
    <row r="24380" hidden="1" x14ac:dyDescent="0.35"/>
    <row r="24381" hidden="1" x14ac:dyDescent="0.35"/>
    <row r="24382" hidden="1" x14ac:dyDescent="0.35"/>
    <row r="24383" hidden="1" x14ac:dyDescent="0.35"/>
    <row r="24384" hidden="1" x14ac:dyDescent="0.35"/>
    <row r="24385" hidden="1" x14ac:dyDescent="0.35"/>
    <row r="24386" hidden="1" x14ac:dyDescent="0.35"/>
    <row r="24387" hidden="1" x14ac:dyDescent="0.35"/>
    <row r="24388" hidden="1" x14ac:dyDescent="0.35"/>
    <row r="24389" hidden="1" x14ac:dyDescent="0.35"/>
    <row r="24390" hidden="1" x14ac:dyDescent="0.35"/>
    <row r="24391" hidden="1" x14ac:dyDescent="0.35"/>
    <row r="24392" hidden="1" x14ac:dyDescent="0.35"/>
    <row r="24393" hidden="1" x14ac:dyDescent="0.35"/>
    <row r="24394" hidden="1" x14ac:dyDescent="0.35"/>
    <row r="24395" hidden="1" x14ac:dyDescent="0.35"/>
    <row r="24396" hidden="1" x14ac:dyDescent="0.35"/>
    <row r="24397" hidden="1" x14ac:dyDescent="0.35"/>
    <row r="24398" hidden="1" x14ac:dyDescent="0.35"/>
    <row r="24399" hidden="1" x14ac:dyDescent="0.35"/>
    <row r="24400" hidden="1" x14ac:dyDescent="0.35"/>
    <row r="24401" hidden="1" x14ac:dyDescent="0.35"/>
    <row r="24402" hidden="1" x14ac:dyDescent="0.35"/>
    <row r="24403" hidden="1" x14ac:dyDescent="0.35"/>
    <row r="24404" hidden="1" x14ac:dyDescent="0.35"/>
    <row r="24405" hidden="1" x14ac:dyDescent="0.35"/>
    <row r="24406" hidden="1" x14ac:dyDescent="0.35"/>
    <row r="24407" hidden="1" x14ac:dyDescent="0.35"/>
    <row r="24408" hidden="1" x14ac:dyDescent="0.35"/>
    <row r="24409" hidden="1" x14ac:dyDescent="0.35"/>
    <row r="24410" hidden="1" x14ac:dyDescent="0.35"/>
    <row r="24411" hidden="1" x14ac:dyDescent="0.35"/>
    <row r="24412" hidden="1" x14ac:dyDescent="0.35"/>
    <row r="24413" hidden="1" x14ac:dyDescent="0.35"/>
    <row r="24414" hidden="1" x14ac:dyDescent="0.35"/>
    <row r="24415" hidden="1" x14ac:dyDescent="0.35"/>
    <row r="24416" hidden="1" x14ac:dyDescent="0.35"/>
    <row r="24417" hidden="1" x14ac:dyDescent="0.35"/>
    <row r="24418" hidden="1" x14ac:dyDescent="0.35"/>
    <row r="24419" hidden="1" x14ac:dyDescent="0.35"/>
    <row r="24420" hidden="1" x14ac:dyDescent="0.35"/>
    <row r="24421" hidden="1" x14ac:dyDescent="0.35"/>
    <row r="24422" hidden="1" x14ac:dyDescent="0.35"/>
    <row r="24423" hidden="1" x14ac:dyDescent="0.35"/>
    <row r="24424" hidden="1" x14ac:dyDescent="0.35"/>
    <row r="24425" hidden="1" x14ac:dyDescent="0.35"/>
    <row r="24426" hidden="1" x14ac:dyDescent="0.35"/>
    <row r="24427" hidden="1" x14ac:dyDescent="0.35"/>
    <row r="24428" hidden="1" x14ac:dyDescent="0.35"/>
    <row r="24429" hidden="1" x14ac:dyDescent="0.35"/>
    <row r="24430" hidden="1" x14ac:dyDescent="0.35"/>
    <row r="24431" hidden="1" x14ac:dyDescent="0.35"/>
    <row r="24432" hidden="1" x14ac:dyDescent="0.35"/>
    <row r="24433" hidden="1" x14ac:dyDescent="0.35"/>
    <row r="24434" hidden="1" x14ac:dyDescent="0.35"/>
    <row r="24435" hidden="1" x14ac:dyDescent="0.35"/>
    <row r="24436" hidden="1" x14ac:dyDescent="0.35"/>
    <row r="24437" hidden="1" x14ac:dyDescent="0.35"/>
    <row r="24438" hidden="1" x14ac:dyDescent="0.35"/>
    <row r="24439" hidden="1" x14ac:dyDescent="0.35"/>
    <row r="24440" hidden="1" x14ac:dyDescent="0.35"/>
    <row r="24441" hidden="1" x14ac:dyDescent="0.35"/>
    <row r="24442" hidden="1" x14ac:dyDescent="0.35"/>
    <row r="24443" hidden="1" x14ac:dyDescent="0.35"/>
    <row r="24444" hidden="1" x14ac:dyDescent="0.35"/>
    <row r="24445" hidden="1" x14ac:dyDescent="0.35"/>
    <row r="24446" hidden="1" x14ac:dyDescent="0.35"/>
    <row r="24447" hidden="1" x14ac:dyDescent="0.35"/>
    <row r="24448" hidden="1" x14ac:dyDescent="0.35"/>
    <row r="24449" hidden="1" x14ac:dyDescent="0.35"/>
    <row r="24450" hidden="1" x14ac:dyDescent="0.35"/>
    <row r="24451" hidden="1" x14ac:dyDescent="0.35"/>
    <row r="24452" hidden="1" x14ac:dyDescent="0.35"/>
    <row r="24453" hidden="1" x14ac:dyDescent="0.35"/>
    <row r="24454" hidden="1" x14ac:dyDescent="0.35"/>
    <row r="24455" hidden="1" x14ac:dyDescent="0.35"/>
    <row r="24456" hidden="1" x14ac:dyDescent="0.35"/>
    <row r="24457" hidden="1" x14ac:dyDescent="0.35"/>
    <row r="24458" hidden="1" x14ac:dyDescent="0.35"/>
    <row r="24459" hidden="1" x14ac:dyDescent="0.35"/>
    <row r="24460" hidden="1" x14ac:dyDescent="0.35"/>
    <row r="24461" hidden="1" x14ac:dyDescent="0.35"/>
    <row r="24462" hidden="1" x14ac:dyDescent="0.35"/>
    <row r="24463" hidden="1" x14ac:dyDescent="0.35"/>
    <row r="24464" hidden="1" x14ac:dyDescent="0.35"/>
    <row r="24465" hidden="1" x14ac:dyDescent="0.35"/>
    <row r="24466" hidden="1" x14ac:dyDescent="0.35"/>
    <row r="24467" hidden="1" x14ac:dyDescent="0.35"/>
    <row r="24468" hidden="1" x14ac:dyDescent="0.35"/>
    <row r="24469" hidden="1" x14ac:dyDescent="0.35"/>
    <row r="24470" hidden="1" x14ac:dyDescent="0.35"/>
    <row r="24471" hidden="1" x14ac:dyDescent="0.35"/>
    <row r="24472" hidden="1" x14ac:dyDescent="0.35"/>
    <row r="24473" hidden="1" x14ac:dyDescent="0.35"/>
    <row r="24474" hidden="1" x14ac:dyDescent="0.35"/>
    <row r="24475" hidden="1" x14ac:dyDescent="0.35"/>
    <row r="24476" hidden="1" x14ac:dyDescent="0.35"/>
    <row r="24477" hidden="1" x14ac:dyDescent="0.35"/>
    <row r="24478" hidden="1" x14ac:dyDescent="0.35"/>
    <row r="24479" hidden="1" x14ac:dyDescent="0.35"/>
    <row r="24480" hidden="1" x14ac:dyDescent="0.35"/>
    <row r="24481" hidden="1" x14ac:dyDescent="0.35"/>
    <row r="24482" hidden="1" x14ac:dyDescent="0.35"/>
    <row r="24483" hidden="1" x14ac:dyDescent="0.35"/>
    <row r="24484" hidden="1" x14ac:dyDescent="0.35"/>
    <row r="24485" hidden="1" x14ac:dyDescent="0.35"/>
    <row r="24486" hidden="1" x14ac:dyDescent="0.35"/>
    <row r="24487" hidden="1" x14ac:dyDescent="0.35"/>
    <row r="24488" hidden="1" x14ac:dyDescent="0.35"/>
    <row r="24489" hidden="1" x14ac:dyDescent="0.35"/>
    <row r="24490" hidden="1" x14ac:dyDescent="0.35"/>
    <row r="24491" hidden="1" x14ac:dyDescent="0.35"/>
    <row r="24492" hidden="1" x14ac:dyDescent="0.35"/>
    <row r="24493" hidden="1" x14ac:dyDescent="0.35"/>
    <row r="24494" hidden="1" x14ac:dyDescent="0.35"/>
    <row r="24495" hidden="1" x14ac:dyDescent="0.35"/>
    <row r="24496" hidden="1" x14ac:dyDescent="0.35"/>
    <row r="24497" hidden="1" x14ac:dyDescent="0.35"/>
    <row r="24498" hidden="1" x14ac:dyDescent="0.35"/>
    <row r="24499" hidden="1" x14ac:dyDescent="0.35"/>
    <row r="24500" hidden="1" x14ac:dyDescent="0.35"/>
    <row r="24501" hidden="1" x14ac:dyDescent="0.35"/>
    <row r="24502" hidden="1" x14ac:dyDescent="0.35"/>
    <row r="24503" hidden="1" x14ac:dyDescent="0.35"/>
    <row r="24504" hidden="1" x14ac:dyDescent="0.35"/>
    <row r="24505" hidden="1" x14ac:dyDescent="0.35"/>
    <row r="24506" hidden="1" x14ac:dyDescent="0.35"/>
    <row r="24507" hidden="1" x14ac:dyDescent="0.35"/>
    <row r="24508" hidden="1" x14ac:dyDescent="0.35"/>
    <row r="24509" hidden="1" x14ac:dyDescent="0.35"/>
    <row r="24510" hidden="1" x14ac:dyDescent="0.35"/>
    <row r="24511" hidden="1" x14ac:dyDescent="0.35"/>
    <row r="24512" hidden="1" x14ac:dyDescent="0.35"/>
    <row r="24513" hidden="1" x14ac:dyDescent="0.35"/>
    <row r="24514" hidden="1" x14ac:dyDescent="0.35"/>
    <row r="24515" hidden="1" x14ac:dyDescent="0.35"/>
    <row r="24516" hidden="1" x14ac:dyDescent="0.35"/>
    <row r="24517" hidden="1" x14ac:dyDescent="0.35"/>
    <row r="24518" hidden="1" x14ac:dyDescent="0.35"/>
    <row r="24519" hidden="1" x14ac:dyDescent="0.35"/>
    <row r="24520" hidden="1" x14ac:dyDescent="0.35"/>
    <row r="24521" hidden="1" x14ac:dyDescent="0.35"/>
    <row r="24522" hidden="1" x14ac:dyDescent="0.35"/>
    <row r="24523" hidden="1" x14ac:dyDescent="0.35"/>
    <row r="24524" hidden="1" x14ac:dyDescent="0.35"/>
    <row r="24525" hidden="1" x14ac:dyDescent="0.35"/>
    <row r="24526" hidden="1" x14ac:dyDescent="0.35"/>
    <row r="24527" hidden="1" x14ac:dyDescent="0.35"/>
    <row r="24528" hidden="1" x14ac:dyDescent="0.35"/>
    <row r="24529" hidden="1" x14ac:dyDescent="0.35"/>
    <row r="24530" hidden="1" x14ac:dyDescent="0.35"/>
    <row r="24531" hidden="1" x14ac:dyDescent="0.35"/>
    <row r="24532" hidden="1" x14ac:dyDescent="0.35"/>
    <row r="24533" hidden="1" x14ac:dyDescent="0.35"/>
    <row r="24534" hidden="1" x14ac:dyDescent="0.35"/>
    <row r="24535" hidden="1" x14ac:dyDescent="0.35"/>
    <row r="24536" hidden="1" x14ac:dyDescent="0.35"/>
    <row r="24537" hidden="1" x14ac:dyDescent="0.35"/>
    <row r="24538" hidden="1" x14ac:dyDescent="0.35"/>
    <row r="24539" hidden="1" x14ac:dyDescent="0.35"/>
    <row r="24540" hidden="1" x14ac:dyDescent="0.35"/>
    <row r="24541" hidden="1" x14ac:dyDescent="0.35"/>
    <row r="24542" hidden="1" x14ac:dyDescent="0.35"/>
    <row r="24543" hidden="1" x14ac:dyDescent="0.35"/>
    <row r="24544" hidden="1" x14ac:dyDescent="0.35"/>
    <row r="24545" hidden="1" x14ac:dyDescent="0.35"/>
    <row r="24546" hidden="1" x14ac:dyDescent="0.35"/>
    <row r="24547" hidden="1" x14ac:dyDescent="0.35"/>
    <row r="24548" hidden="1" x14ac:dyDescent="0.35"/>
    <row r="24549" hidden="1" x14ac:dyDescent="0.35"/>
    <row r="24550" hidden="1" x14ac:dyDescent="0.35"/>
    <row r="24551" hidden="1" x14ac:dyDescent="0.35"/>
    <row r="24552" hidden="1" x14ac:dyDescent="0.35"/>
    <row r="24553" hidden="1" x14ac:dyDescent="0.35"/>
    <row r="24554" hidden="1" x14ac:dyDescent="0.35"/>
    <row r="24555" hidden="1" x14ac:dyDescent="0.35"/>
    <row r="24556" hidden="1" x14ac:dyDescent="0.35"/>
    <row r="24557" hidden="1" x14ac:dyDescent="0.35"/>
    <row r="24558" hidden="1" x14ac:dyDescent="0.35"/>
    <row r="24559" hidden="1" x14ac:dyDescent="0.35"/>
    <row r="24560" hidden="1" x14ac:dyDescent="0.35"/>
    <row r="24561" hidden="1" x14ac:dyDescent="0.35"/>
    <row r="24562" hidden="1" x14ac:dyDescent="0.35"/>
    <row r="24563" hidden="1" x14ac:dyDescent="0.35"/>
    <row r="24564" hidden="1" x14ac:dyDescent="0.35"/>
    <row r="24565" hidden="1" x14ac:dyDescent="0.35"/>
    <row r="24566" hidden="1" x14ac:dyDescent="0.35"/>
    <row r="24567" hidden="1" x14ac:dyDescent="0.35"/>
    <row r="24568" hidden="1" x14ac:dyDescent="0.35"/>
    <row r="24569" hidden="1" x14ac:dyDescent="0.35"/>
    <row r="24570" hidden="1" x14ac:dyDescent="0.35"/>
    <row r="24571" hidden="1" x14ac:dyDescent="0.35"/>
    <row r="24572" hidden="1" x14ac:dyDescent="0.35"/>
    <row r="24573" hidden="1" x14ac:dyDescent="0.35"/>
    <row r="24574" hidden="1" x14ac:dyDescent="0.35"/>
    <row r="24575" hidden="1" x14ac:dyDescent="0.35"/>
    <row r="24576" hidden="1" x14ac:dyDescent="0.35"/>
    <row r="24577" hidden="1" x14ac:dyDescent="0.35"/>
    <row r="24578" hidden="1" x14ac:dyDescent="0.35"/>
    <row r="24579" hidden="1" x14ac:dyDescent="0.35"/>
    <row r="24580" hidden="1" x14ac:dyDescent="0.35"/>
    <row r="24581" hidden="1" x14ac:dyDescent="0.35"/>
    <row r="24582" hidden="1" x14ac:dyDescent="0.35"/>
    <row r="24583" hidden="1" x14ac:dyDescent="0.35"/>
    <row r="24584" hidden="1" x14ac:dyDescent="0.35"/>
    <row r="24585" hidden="1" x14ac:dyDescent="0.35"/>
    <row r="24586" hidden="1" x14ac:dyDescent="0.35"/>
    <row r="24587" hidden="1" x14ac:dyDescent="0.35"/>
    <row r="24588" hidden="1" x14ac:dyDescent="0.35"/>
    <row r="24589" hidden="1" x14ac:dyDescent="0.35"/>
    <row r="24590" hidden="1" x14ac:dyDescent="0.35"/>
    <row r="24591" hidden="1" x14ac:dyDescent="0.35"/>
    <row r="24592" hidden="1" x14ac:dyDescent="0.35"/>
    <row r="24593" hidden="1" x14ac:dyDescent="0.35"/>
    <row r="24594" hidden="1" x14ac:dyDescent="0.35"/>
    <row r="24595" hidden="1" x14ac:dyDescent="0.35"/>
    <row r="24596" hidden="1" x14ac:dyDescent="0.35"/>
    <row r="24597" hidden="1" x14ac:dyDescent="0.35"/>
    <row r="24598" hidden="1" x14ac:dyDescent="0.35"/>
    <row r="24599" hidden="1" x14ac:dyDescent="0.35"/>
    <row r="24600" hidden="1" x14ac:dyDescent="0.35"/>
    <row r="24601" hidden="1" x14ac:dyDescent="0.35"/>
    <row r="24602" hidden="1" x14ac:dyDescent="0.35"/>
    <row r="24603" hidden="1" x14ac:dyDescent="0.35"/>
    <row r="24604" hidden="1" x14ac:dyDescent="0.35"/>
    <row r="24605" hidden="1" x14ac:dyDescent="0.35"/>
    <row r="24606" hidden="1" x14ac:dyDescent="0.35"/>
    <row r="24607" hidden="1" x14ac:dyDescent="0.35"/>
    <row r="24608" hidden="1" x14ac:dyDescent="0.35"/>
    <row r="24609" hidden="1" x14ac:dyDescent="0.35"/>
    <row r="24610" hidden="1" x14ac:dyDescent="0.35"/>
    <row r="24611" hidden="1" x14ac:dyDescent="0.35"/>
    <row r="24612" hidden="1" x14ac:dyDescent="0.35"/>
    <row r="24613" hidden="1" x14ac:dyDescent="0.35"/>
    <row r="24614" hidden="1" x14ac:dyDescent="0.35"/>
    <row r="24615" hidden="1" x14ac:dyDescent="0.35"/>
    <row r="24616" hidden="1" x14ac:dyDescent="0.35"/>
    <row r="24617" hidden="1" x14ac:dyDescent="0.35"/>
    <row r="24618" hidden="1" x14ac:dyDescent="0.35"/>
    <row r="24619" hidden="1" x14ac:dyDescent="0.35"/>
    <row r="24620" hidden="1" x14ac:dyDescent="0.35"/>
    <row r="24621" hidden="1" x14ac:dyDescent="0.35"/>
    <row r="24622" hidden="1" x14ac:dyDescent="0.35"/>
    <row r="24623" hidden="1" x14ac:dyDescent="0.35"/>
    <row r="24624" hidden="1" x14ac:dyDescent="0.35"/>
    <row r="24625" hidden="1" x14ac:dyDescent="0.35"/>
    <row r="24626" hidden="1" x14ac:dyDescent="0.35"/>
    <row r="24627" hidden="1" x14ac:dyDescent="0.35"/>
    <row r="24628" hidden="1" x14ac:dyDescent="0.35"/>
    <row r="24629" hidden="1" x14ac:dyDescent="0.35"/>
    <row r="24630" hidden="1" x14ac:dyDescent="0.35"/>
    <row r="24631" hidden="1" x14ac:dyDescent="0.35"/>
    <row r="24632" hidden="1" x14ac:dyDescent="0.35"/>
    <row r="24633" hidden="1" x14ac:dyDescent="0.35"/>
    <row r="24634" hidden="1" x14ac:dyDescent="0.35"/>
    <row r="24635" hidden="1" x14ac:dyDescent="0.35"/>
    <row r="24636" hidden="1" x14ac:dyDescent="0.35"/>
    <row r="24637" hidden="1" x14ac:dyDescent="0.35"/>
    <row r="24638" hidden="1" x14ac:dyDescent="0.35"/>
    <row r="24639" hidden="1" x14ac:dyDescent="0.35"/>
    <row r="24640" hidden="1" x14ac:dyDescent="0.35"/>
    <row r="24641" hidden="1" x14ac:dyDescent="0.35"/>
    <row r="24642" hidden="1" x14ac:dyDescent="0.35"/>
    <row r="24643" hidden="1" x14ac:dyDescent="0.35"/>
    <row r="24644" hidden="1" x14ac:dyDescent="0.35"/>
    <row r="24645" hidden="1" x14ac:dyDescent="0.35"/>
    <row r="24646" hidden="1" x14ac:dyDescent="0.35"/>
    <row r="24647" hidden="1" x14ac:dyDescent="0.35"/>
    <row r="24648" hidden="1" x14ac:dyDescent="0.35"/>
    <row r="24649" hidden="1" x14ac:dyDescent="0.35"/>
    <row r="24650" hidden="1" x14ac:dyDescent="0.35"/>
    <row r="24651" hidden="1" x14ac:dyDescent="0.35"/>
    <row r="24652" hidden="1" x14ac:dyDescent="0.35"/>
    <row r="24653" hidden="1" x14ac:dyDescent="0.35"/>
    <row r="24654" hidden="1" x14ac:dyDescent="0.35"/>
    <row r="24655" hidden="1" x14ac:dyDescent="0.35"/>
    <row r="24656" hidden="1" x14ac:dyDescent="0.35"/>
    <row r="24657" hidden="1" x14ac:dyDescent="0.35"/>
    <row r="24658" hidden="1" x14ac:dyDescent="0.35"/>
    <row r="24659" hidden="1" x14ac:dyDescent="0.35"/>
    <row r="24660" hidden="1" x14ac:dyDescent="0.35"/>
    <row r="24661" hidden="1" x14ac:dyDescent="0.35"/>
    <row r="24662" hidden="1" x14ac:dyDescent="0.35"/>
    <row r="24663" hidden="1" x14ac:dyDescent="0.35"/>
    <row r="24664" hidden="1" x14ac:dyDescent="0.35"/>
    <row r="24665" hidden="1" x14ac:dyDescent="0.35"/>
    <row r="24666" hidden="1" x14ac:dyDescent="0.35"/>
    <row r="24667" hidden="1" x14ac:dyDescent="0.35"/>
    <row r="24668" hidden="1" x14ac:dyDescent="0.35"/>
    <row r="24669" hidden="1" x14ac:dyDescent="0.35"/>
    <row r="24670" hidden="1" x14ac:dyDescent="0.35"/>
    <row r="24671" hidden="1" x14ac:dyDescent="0.35"/>
    <row r="24672" hidden="1" x14ac:dyDescent="0.35"/>
    <row r="24673" hidden="1" x14ac:dyDescent="0.35"/>
    <row r="24674" hidden="1" x14ac:dyDescent="0.35"/>
    <row r="24675" hidden="1" x14ac:dyDescent="0.35"/>
    <row r="24676" hidden="1" x14ac:dyDescent="0.35"/>
    <row r="24677" hidden="1" x14ac:dyDescent="0.35"/>
    <row r="24678" hidden="1" x14ac:dyDescent="0.35"/>
    <row r="24679" hidden="1" x14ac:dyDescent="0.35"/>
    <row r="24680" hidden="1" x14ac:dyDescent="0.35"/>
    <row r="24681" hidden="1" x14ac:dyDescent="0.35"/>
    <row r="24682" hidden="1" x14ac:dyDescent="0.35"/>
    <row r="24683" hidden="1" x14ac:dyDescent="0.35"/>
    <row r="24684" hidden="1" x14ac:dyDescent="0.35"/>
    <row r="24685" hidden="1" x14ac:dyDescent="0.35"/>
    <row r="24686" hidden="1" x14ac:dyDescent="0.35"/>
    <row r="24687" hidden="1" x14ac:dyDescent="0.35"/>
    <row r="24688" hidden="1" x14ac:dyDescent="0.35"/>
    <row r="24689" hidden="1" x14ac:dyDescent="0.35"/>
    <row r="24690" hidden="1" x14ac:dyDescent="0.35"/>
    <row r="24691" hidden="1" x14ac:dyDescent="0.35"/>
    <row r="24692" hidden="1" x14ac:dyDescent="0.35"/>
    <row r="24693" hidden="1" x14ac:dyDescent="0.35"/>
    <row r="24694" hidden="1" x14ac:dyDescent="0.35"/>
    <row r="24695" hidden="1" x14ac:dyDescent="0.35"/>
    <row r="24696" hidden="1" x14ac:dyDescent="0.35"/>
    <row r="24697" hidden="1" x14ac:dyDescent="0.35"/>
    <row r="24698" hidden="1" x14ac:dyDescent="0.35"/>
    <row r="24699" hidden="1" x14ac:dyDescent="0.35"/>
    <row r="24700" hidden="1" x14ac:dyDescent="0.35"/>
    <row r="24701" hidden="1" x14ac:dyDescent="0.35"/>
    <row r="24702" hidden="1" x14ac:dyDescent="0.35"/>
    <row r="24703" hidden="1" x14ac:dyDescent="0.35"/>
    <row r="24704" hidden="1" x14ac:dyDescent="0.35"/>
    <row r="24705" hidden="1" x14ac:dyDescent="0.35"/>
    <row r="24706" hidden="1" x14ac:dyDescent="0.35"/>
    <row r="24707" hidden="1" x14ac:dyDescent="0.35"/>
    <row r="24708" hidden="1" x14ac:dyDescent="0.35"/>
    <row r="24709" hidden="1" x14ac:dyDescent="0.35"/>
    <row r="24710" hidden="1" x14ac:dyDescent="0.35"/>
    <row r="24711" hidden="1" x14ac:dyDescent="0.35"/>
    <row r="24712" hidden="1" x14ac:dyDescent="0.35"/>
    <row r="24713" hidden="1" x14ac:dyDescent="0.35"/>
    <row r="24714" hidden="1" x14ac:dyDescent="0.35"/>
    <row r="24715" hidden="1" x14ac:dyDescent="0.35"/>
    <row r="24716" hidden="1" x14ac:dyDescent="0.35"/>
    <row r="24717" hidden="1" x14ac:dyDescent="0.35"/>
    <row r="24718" hidden="1" x14ac:dyDescent="0.35"/>
    <row r="24719" hidden="1" x14ac:dyDescent="0.35"/>
    <row r="24720" hidden="1" x14ac:dyDescent="0.35"/>
    <row r="24721" hidden="1" x14ac:dyDescent="0.35"/>
    <row r="24722" hidden="1" x14ac:dyDescent="0.35"/>
    <row r="24723" hidden="1" x14ac:dyDescent="0.35"/>
    <row r="24724" hidden="1" x14ac:dyDescent="0.35"/>
    <row r="24725" hidden="1" x14ac:dyDescent="0.35"/>
    <row r="24726" hidden="1" x14ac:dyDescent="0.35"/>
    <row r="24727" hidden="1" x14ac:dyDescent="0.35"/>
    <row r="24728" hidden="1" x14ac:dyDescent="0.35"/>
    <row r="24729" hidden="1" x14ac:dyDescent="0.35"/>
    <row r="24730" hidden="1" x14ac:dyDescent="0.35"/>
    <row r="24731" hidden="1" x14ac:dyDescent="0.35"/>
    <row r="24732" hidden="1" x14ac:dyDescent="0.35"/>
    <row r="24733" hidden="1" x14ac:dyDescent="0.35"/>
    <row r="24734" hidden="1" x14ac:dyDescent="0.35"/>
    <row r="24735" hidden="1" x14ac:dyDescent="0.35"/>
    <row r="24736" hidden="1" x14ac:dyDescent="0.35"/>
    <row r="24737" hidden="1" x14ac:dyDescent="0.35"/>
    <row r="24738" hidden="1" x14ac:dyDescent="0.35"/>
    <row r="24739" hidden="1" x14ac:dyDescent="0.35"/>
    <row r="24740" hidden="1" x14ac:dyDescent="0.35"/>
    <row r="24741" hidden="1" x14ac:dyDescent="0.35"/>
    <row r="24742" hidden="1" x14ac:dyDescent="0.35"/>
    <row r="24743" hidden="1" x14ac:dyDescent="0.35"/>
    <row r="24744" hidden="1" x14ac:dyDescent="0.35"/>
    <row r="24745" hidden="1" x14ac:dyDescent="0.35"/>
    <row r="24746" hidden="1" x14ac:dyDescent="0.35"/>
    <row r="24747" hidden="1" x14ac:dyDescent="0.35"/>
    <row r="24748" hidden="1" x14ac:dyDescent="0.35"/>
    <row r="24749" hidden="1" x14ac:dyDescent="0.35"/>
    <row r="24750" hidden="1" x14ac:dyDescent="0.35"/>
    <row r="24751" hidden="1" x14ac:dyDescent="0.35"/>
    <row r="24752" hidden="1" x14ac:dyDescent="0.35"/>
    <row r="24753" hidden="1" x14ac:dyDescent="0.35"/>
    <row r="24754" hidden="1" x14ac:dyDescent="0.35"/>
    <row r="24755" hidden="1" x14ac:dyDescent="0.35"/>
    <row r="24756" hidden="1" x14ac:dyDescent="0.35"/>
    <row r="24757" hidden="1" x14ac:dyDescent="0.35"/>
    <row r="24758" hidden="1" x14ac:dyDescent="0.35"/>
    <row r="24759" hidden="1" x14ac:dyDescent="0.35"/>
    <row r="24760" hidden="1" x14ac:dyDescent="0.35"/>
    <row r="24761" hidden="1" x14ac:dyDescent="0.35"/>
    <row r="24762" hidden="1" x14ac:dyDescent="0.35"/>
    <row r="24763" hidden="1" x14ac:dyDescent="0.35"/>
    <row r="24764" hidden="1" x14ac:dyDescent="0.35"/>
    <row r="24765" hidden="1" x14ac:dyDescent="0.35"/>
    <row r="24766" hidden="1" x14ac:dyDescent="0.35"/>
    <row r="24767" hidden="1" x14ac:dyDescent="0.35"/>
    <row r="24768" hidden="1" x14ac:dyDescent="0.35"/>
    <row r="24769" hidden="1" x14ac:dyDescent="0.35"/>
    <row r="24770" hidden="1" x14ac:dyDescent="0.35"/>
    <row r="24771" hidden="1" x14ac:dyDescent="0.35"/>
    <row r="24772" hidden="1" x14ac:dyDescent="0.35"/>
    <row r="24773" hidden="1" x14ac:dyDescent="0.35"/>
    <row r="24774" hidden="1" x14ac:dyDescent="0.35"/>
    <row r="24775" hidden="1" x14ac:dyDescent="0.35"/>
    <row r="24776" hidden="1" x14ac:dyDescent="0.35"/>
    <row r="24777" hidden="1" x14ac:dyDescent="0.35"/>
    <row r="24778" hidden="1" x14ac:dyDescent="0.35"/>
    <row r="24779" hidden="1" x14ac:dyDescent="0.35"/>
    <row r="24780" hidden="1" x14ac:dyDescent="0.35"/>
    <row r="24781" hidden="1" x14ac:dyDescent="0.35"/>
    <row r="24782" hidden="1" x14ac:dyDescent="0.35"/>
    <row r="24783" hidden="1" x14ac:dyDescent="0.35"/>
    <row r="24784" hidden="1" x14ac:dyDescent="0.35"/>
    <row r="24785" hidden="1" x14ac:dyDescent="0.35"/>
    <row r="24786" hidden="1" x14ac:dyDescent="0.35"/>
    <row r="24787" hidden="1" x14ac:dyDescent="0.35"/>
    <row r="24788" hidden="1" x14ac:dyDescent="0.35"/>
    <row r="24789" hidden="1" x14ac:dyDescent="0.35"/>
    <row r="24790" hidden="1" x14ac:dyDescent="0.35"/>
    <row r="24791" hidden="1" x14ac:dyDescent="0.35"/>
    <row r="24792" hidden="1" x14ac:dyDescent="0.35"/>
    <row r="24793" hidden="1" x14ac:dyDescent="0.35"/>
    <row r="24794" hidden="1" x14ac:dyDescent="0.35"/>
    <row r="24795" hidden="1" x14ac:dyDescent="0.35"/>
    <row r="24796" hidden="1" x14ac:dyDescent="0.35"/>
    <row r="24797" hidden="1" x14ac:dyDescent="0.35"/>
    <row r="24798" hidden="1" x14ac:dyDescent="0.35"/>
    <row r="24799" hidden="1" x14ac:dyDescent="0.35"/>
    <row r="24800" hidden="1" x14ac:dyDescent="0.35"/>
    <row r="24801" hidden="1" x14ac:dyDescent="0.35"/>
    <row r="24802" hidden="1" x14ac:dyDescent="0.35"/>
    <row r="24803" hidden="1" x14ac:dyDescent="0.35"/>
    <row r="24804" hidden="1" x14ac:dyDescent="0.35"/>
    <row r="24805" hidden="1" x14ac:dyDescent="0.35"/>
    <row r="24806" hidden="1" x14ac:dyDescent="0.35"/>
    <row r="24807" hidden="1" x14ac:dyDescent="0.35"/>
    <row r="24808" hidden="1" x14ac:dyDescent="0.35"/>
    <row r="24809" hidden="1" x14ac:dyDescent="0.35"/>
    <row r="24810" hidden="1" x14ac:dyDescent="0.35"/>
    <row r="24811" hidden="1" x14ac:dyDescent="0.35"/>
    <row r="24812" hidden="1" x14ac:dyDescent="0.35"/>
    <row r="24813" hidden="1" x14ac:dyDescent="0.35"/>
    <row r="24814" hidden="1" x14ac:dyDescent="0.35"/>
    <row r="24815" hidden="1" x14ac:dyDescent="0.35"/>
    <row r="24816" hidden="1" x14ac:dyDescent="0.35"/>
    <row r="24817" hidden="1" x14ac:dyDescent="0.35"/>
    <row r="24818" hidden="1" x14ac:dyDescent="0.35"/>
    <row r="24819" hidden="1" x14ac:dyDescent="0.35"/>
    <row r="24820" hidden="1" x14ac:dyDescent="0.35"/>
    <row r="24821" hidden="1" x14ac:dyDescent="0.35"/>
    <row r="24822" hidden="1" x14ac:dyDescent="0.35"/>
    <row r="24823" hidden="1" x14ac:dyDescent="0.35"/>
    <row r="24824" hidden="1" x14ac:dyDescent="0.35"/>
    <row r="24825" hidden="1" x14ac:dyDescent="0.35"/>
    <row r="24826" hidden="1" x14ac:dyDescent="0.35"/>
    <row r="24827" hidden="1" x14ac:dyDescent="0.35"/>
    <row r="24828" hidden="1" x14ac:dyDescent="0.35"/>
    <row r="24829" hidden="1" x14ac:dyDescent="0.35"/>
    <row r="24830" hidden="1" x14ac:dyDescent="0.35"/>
    <row r="24831" hidden="1" x14ac:dyDescent="0.35"/>
    <row r="24832" hidden="1" x14ac:dyDescent="0.35"/>
    <row r="24833" hidden="1" x14ac:dyDescent="0.35"/>
    <row r="24834" hidden="1" x14ac:dyDescent="0.35"/>
    <row r="24835" hidden="1" x14ac:dyDescent="0.35"/>
    <row r="24836" hidden="1" x14ac:dyDescent="0.35"/>
    <row r="24837" hidden="1" x14ac:dyDescent="0.35"/>
    <row r="24838" hidden="1" x14ac:dyDescent="0.35"/>
    <row r="24839" hidden="1" x14ac:dyDescent="0.35"/>
    <row r="24840" hidden="1" x14ac:dyDescent="0.35"/>
    <row r="24841" hidden="1" x14ac:dyDescent="0.35"/>
    <row r="24842" hidden="1" x14ac:dyDescent="0.35"/>
    <row r="24843" hidden="1" x14ac:dyDescent="0.35"/>
    <row r="24844" hidden="1" x14ac:dyDescent="0.35"/>
    <row r="24845" hidden="1" x14ac:dyDescent="0.35"/>
    <row r="24846" hidden="1" x14ac:dyDescent="0.35"/>
    <row r="24847" hidden="1" x14ac:dyDescent="0.35"/>
    <row r="24848" hidden="1" x14ac:dyDescent="0.35"/>
    <row r="24849" hidden="1" x14ac:dyDescent="0.35"/>
    <row r="24850" hidden="1" x14ac:dyDescent="0.35"/>
    <row r="24851" hidden="1" x14ac:dyDescent="0.35"/>
    <row r="24852" hidden="1" x14ac:dyDescent="0.35"/>
    <row r="24853" hidden="1" x14ac:dyDescent="0.35"/>
    <row r="24854" hidden="1" x14ac:dyDescent="0.35"/>
    <row r="24855" hidden="1" x14ac:dyDescent="0.35"/>
    <row r="24856" hidden="1" x14ac:dyDescent="0.35"/>
    <row r="24857" hidden="1" x14ac:dyDescent="0.35"/>
    <row r="24858" hidden="1" x14ac:dyDescent="0.35"/>
    <row r="24859" hidden="1" x14ac:dyDescent="0.35"/>
    <row r="24860" hidden="1" x14ac:dyDescent="0.35"/>
    <row r="24861" hidden="1" x14ac:dyDescent="0.35"/>
    <row r="24862" hidden="1" x14ac:dyDescent="0.35"/>
    <row r="24863" hidden="1" x14ac:dyDescent="0.35"/>
    <row r="24864" hidden="1" x14ac:dyDescent="0.35"/>
    <row r="24865" hidden="1" x14ac:dyDescent="0.35"/>
    <row r="24866" hidden="1" x14ac:dyDescent="0.35"/>
    <row r="24867" hidden="1" x14ac:dyDescent="0.35"/>
    <row r="24868" hidden="1" x14ac:dyDescent="0.35"/>
    <row r="24869" hidden="1" x14ac:dyDescent="0.35"/>
    <row r="24870" hidden="1" x14ac:dyDescent="0.35"/>
    <row r="24871" hidden="1" x14ac:dyDescent="0.35"/>
    <row r="24872" hidden="1" x14ac:dyDescent="0.35"/>
    <row r="24873" hidden="1" x14ac:dyDescent="0.35"/>
    <row r="24874" hidden="1" x14ac:dyDescent="0.35"/>
    <row r="24875" hidden="1" x14ac:dyDescent="0.35"/>
    <row r="24876" hidden="1" x14ac:dyDescent="0.35"/>
    <row r="24877" hidden="1" x14ac:dyDescent="0.35"/>
    <row r="24878" hidden="1" x14ac:dyDescent="0.35"/>
    <row r="24879" hidden="1" x14ac:dyDescent="0.35"/>
    <row r="24880" hidden="1" x14ac:dyDescent="0.35"/>
    <row r="24881" hidden="1" x14ac:dyDescent="0.35"/>
    <row r="24882" hidden="1" x14ac:dyDescent="0.35"/>
    <row r="24883" hidden="1" x14ac:dyDescent="0.35"/>
    <row r="24884" hidden="1" x14ac:dyDescent="0.35"/>
    <row r="24885" hidden="1" x14ac:dyDescent="0.35"/>
    <row r="24886" hidden="1" x14ac:dyDescent="0.35"/>
    <row r="24887" hidden="1" x14ac:dyDescent="0.35"/>
    <row r="24888" hidden="1" x14ac:dyDescent="0.35"/>
    <row r="24889" hidden="1" x14ac:dyDescent="0.35"/>
    <row r="24890" hidden="1" x14ac:dyDescent="0.35"/>
    <row r="24891" hidden="1" x14ac:dyDescent="0.35"/>
    <row r="24892" hidden="1" x14ac:dyDescent="0.35"/>
    <row r="24893" hidden="1" x14ac:dyDescent="0.35"/>
    <row r="24894" hidden="1" x14ac:dyDescent="0.35"/>
    <row r="24895" hidden="1" x14ac:dyDescent="0.35"/>
    <row r="24896" hidden="1" x14ac:dyDescent="0.35"/>
    <row r="24897" hidden="1" x14ac:dyDescent="0.35"/>
    <row r="24898" hidden="1" x14ac:dyDescent="0.35"/>
    <row r="24899" hidden="1" x14ac:dyDescent="0.35"/>
    <row r="24900" hidden="1" x14ac:dyDescent="0.35"/>
    <row r="24901" hidden="1" x14ac:dyDescent="0.35"/>
    <row r="24902" hidden="1" x14ac:dyDescent="0.35"/>
    <row r="24903" hidden="1" x14ac:dyDescent="0.35"/>
    <row r="24904" hidden="1" x14ac:dyDescent="0.35"/>
    <row r="24905" hidden="1" x14ac:dyDescent="0.35"/>
    <row r="24906" hidden="1" x14ac:dyDescent="0.35"/>
    <row r="24907" hidden="1" x14ac:dyDescent="0.35"/>
    <row r="24908" hidden="1" x14ac:dyDescent="0.35"/>
    <row r="24909" hidden="1" x14ac:dyDescent="0.35"/>
    <row r="24910" hidden="1" x14ac:dyDescent="0.35"/>
    <row r="24911" hidden="1" x14ac:dyDescent="0.35"/>
    <row r="24912" hidden="1" x14ac:dyDescent="0.35"/>
    <row r="24913" hidden="1" x14ac:dyDescent="0.35"/>
    <row r="24914" hidden="1" x14ac:dyDescent="0.35"/>
    <row r="24915" hidden="1" x14ac:dyDescent="0.35"/>
    <row r="24916" hidden="1" x14ac:dyDescent="0.35"/>
    <row r="24917" hidden="1" x14ac:dyDescent="0.35"/>
    <row r="24918" hidden="1" x14ac:dyDescent="0.35"/>
    <row r="24919" hidden="1" x14ac:dyDescent="0.35"/>
    <row r="24920" hidden="1" x14ac:dyDescent="0.35"/>
    <row r="24921" hidden="1" x14ac:dyDescent="0.35"/>
    <row r="24922" hidden="1" x14ac:dyDescent="0.35"/>
    <row r="24923" hidden="1" x14ac:dyDescent="0.35"/>
    <row r="24924" hidden="1" x14ac:dyDescent="0.35"/>
    <row r="24925" hidden="1" x14ac:dyDescent="0.35"/>
    <row r="24926" hidden="1" x14ac:dyDescent="0.35"/>
    <row r="24927" hidden="1" x14ac:dyDescent="0.35"/>
    <row r="24928" hidden="1" x14ac:dyDescent="0.35"/>
    <row r="24929" hidden="1" x14ac:dyDescent="0.35"/>
    <row r="24930" hidden="1" x14ac:dyDescent="0.35"/>
    <row r="24931" hidden="1" x14ac:dyDescent="0.35"/>
    <row r="24932" hidden="1" x14ac:dyDescent="0.35"/>
    <row r="24933" hidden="1" x14ac:dyDescent="0.35"/>
    <row r="24934" hidden="1" x14ac:dyDescent="0.35"/>
    <row r="24935" hidden="1" x14ac:dyDescent="0.35"/>
    <row r="24936" hidden="1" x14ac:dyDescent="0.35"/>
    <row r="24937" hidden="1" x14ac:dyDescent="0.35"/>
    <row r="24938" hidden="1" x14ac:dyDescent="0.35"/>
    <row r="24939" hidden="1" x14ac:dyDescent="0.35"/>
    <row r="24940" hidden="1" x14ac:dyDescent="0.35"/>
    <row r="24941" hidden="1" x14ac:dyDescent="0.35"/>
    <row r="24942" hidden="1" x14ac:dyDescent="0.35"/>
    <row r="24943" hidden="1" x14ac:dyDescent="0.35"/>
    <row r="24944" hidden="1" x14ac:dyDescent="0.35"/>
    <row r="24945" hidden="1" x14ac:dyDescent="0.35"/>
    <row r="24946" hidden="1" x14ac:dyDescent="0.35"/>
    <row r="24947" hidden="1" x14ac:dyDescent="0.35"/>
    <row r="24948" hidden="1" x14ac:dyDescent="0.35"/>
    <row r="24949" hidden="1" x14ac:dyDescent="0.35"/>
    <row r="24950" hidden="1" x14ac:dyDescent="0.35"/>
    <row r="24951" hidden="1" x14ac:dyDescent="0.35"/>
    <row r="24952" hidden="1" x14ac:dyDescent="0.35"/>
    <row r="24953" hidden="1" x14ac:dyDescent="0.35"/>
    <row r="24954" hidden="1" x14ac:dyDescent="0.35"/>
    <row r="24955" hidden="1" x14ac:dyDescent="0.35"/>
    <row r="24956" hidden="1" x14ac:dyDescent="0.35"/>
    <row r="24957" hidden="1" x14ac:dyDescent="0.35"/>
    <row r="24958" hidden="1" x14ac:dyDescent="0.35"/>
    <row r="24959" hidden="1" x14ac:dyDescent="0.35"/>
    <row r="24960" hidden="1" x14ac:dyDescent="0.35"/>
    <row r="24961" hidden="1" x14ac:dyDescent="0.35"/>
    <row r="24962" hidden="1" x14ac:dyDescent="0.35"/>
    <row r="24963" hidden="1" x14ac:dyDescent="0.35"/>
    <row r="24964" hidden="1" x14ac:dyDescent="0.35"/>
    <row r="24965" hidden="1" x14ac:dyDescent="0.35"/>
    <row r="24966" hidden="1" x14ac:dyDescent="0.35"/>
    <row r="24967" hidden="1" x14ac:dyDescent="0.35"/>
    <row r="24968" hidden="1" x14ac:dyDescent="0.35"/>
    <row r="24969" hidden="1" x14ac:dyDescent="0.35"/>
    <row r="24970" hidden="1" x14ac:dyDescent="0.35"/>
    <row r="24971" hidden="1" x14ac:dyDescent="0.35"/>
    <row r="24972" hidden="1" x14ac:dyDescent="0.35"/>
    <row r="24973" hidden="1" x14ac:dyDescent="0.35"/>
    <row r="24974" hidden="1" x14ac:dyDescent="0.35"/>
    <row r="24975" hidden="1" x14ac:dyDescent="0.35"/>
    <row r="24976" hidden="1" x14ac:dyDescent="0.35"/>
    <row r="24977" hidden="1" x14ac:dyDescent="0.35"/>
    <row r="24978" hidden="1" x14ac:dyDescent="0.35"/>
    <row r="24979" hidden="1" x14ac:dyDescent="0.35"/>
    <row r="24980" hidden="1" x14ac:dyDescent="0.35"/>
    <row r="24981" hidden="1" x14ac:dyDescent="0.35"/>
    <row r="24982" hidden="1" x14ac:dyDescent="0.35"/>
    <row r="24983" hidden="1" x14ac:dyDescent="0.35"/>
    <row r="24984" hidden="1" x14ac:dyDescent="0.35"/>
    <row r="24985" hidden="1" x14ac:dyDescent="0.35"/>
    <row r="24986" hidden="1" x14ac:dyDescent="0.35"/>
    <row r="24987" hidden="1" x14ac:dyDescent="0.35"/>
    <row r="24988" hidden="1" x14ac:dyDescent="0.35"/>
    <row r="24989" hidden="1" x14ac:dyDescent="0.35"/>
    <row r="24990" hidden="1" x14ac:dyDescent="0.35"/>
    <row r="24991" hidden="1" x14ac:dyDescent="0.35"/>
    <row r="24992" hidden="1" x14ac:dyDescent="0.35"/>
    <row r="24993" hidden="1" x14ac:dyDescent="0.35"/>
    <row r="24994" hidden="1" x14ac:dyDescent="0.35"/>
    <row r="24995" hidden="1" x14ac:dyDescent="0.35"/>
    <row r="24996" hidden="1" x14ac:dyDescent="0.35"/>
    <row r="24997" hidden="1" x14ac:dyDescent="0.35"/>
    <row r="24998" hidden="1" x14ac:dyDescent="0.35"/>
    <row r="24999" hidden="1" x14ac:dyDescent="0.35"/>
    <row r="25000" hidden="1" x14ac:dyDescent="0.35"/>
    <row r="25001" hidden="1" x14ac:dyDescent="0.35"/>
    <row r="25002" hidden="1" x14ac:dyDescent="0.35"/>
    <row r="25003" hidden="1" x14ac:dyDescent="0.35"/>
    <row r="25004" hidden="1" x14ac:dyDescent="0.35"/>
    <row r="25005" hidden="1" x14ac:dyDescent="0.35"/>
    <row r="25006" hidden="1" x14ac:dyDescent="0.35"/>
    <row r="25007" hidden="1" x14ac:dyDescent="0.35"/>
    <row r="25008" hidden="1" x14ac:dyDescent="0.35"/>
    <row r="25009" hidden="1" x14ac:dyDescent="0.35"/>
    <row r="25010" hidden="1" x14ac:dyDescent="0.35"/>
    <row r="25011" hidden="1" x14ac:dyDescent="0.35"/>
    <row r="25012" hidden="1" x14ac:dyDescent="0.35"/>
    <row r="25013" hidden="1" x14ac:dyDescent="0.35"/>
    <row r="25014" hidden="1" x14ac:dyDescent="0.35"/>
    <row r="25015" hidden="1" x14ac:dyDescent="0.35"/>
    <row r="25016" hidden="1" x14ac:dyDescent="0.35"/>
    <row r="25017" hidden="1" x14ac:dyDescent="0.35"/>
    <row r="25018" hidden="1" x14ac:dyDescent="0.35"/>
    <row r="25019" hidden="1" x14ac:dyDescent="0.35"/>
    <row r="25020" hidden="1" x14ac:dyDescent="0.35"/>
    <row r="25021" hidden="1" x14ac:dyDescent="0.35"/>
    <row r="25022" hidden="1" x14ac:dyDescent="0.35"/>
    <row r="25023" hidden="1" x14ac:dyDescent="0.35"/>
    <row r="25024" hidden="1" x14ac:dyDescent="0.35"/>
    <row r="25025" hidden="1" x14ac:dyDescent="0.35"/>
    <row r="25026" hidden="1" x14ac:dyDescent="0.35"/>
    <row r="25027" hidden="1" x14ac:dyDescent="0.35"/>
    <row r="25028" hidden="1" x14ac:dyDescent="0.35"/>
    <row r="25029" hidden="1" x14ac:dyDescent="0.35"/>
    <row r="25030" hidden="1" x14ac:dyDescent="0.35"/>
    <row r="25031" hidden="1" x14ac:dyDescent="0.35"/>
    <row r="25032" hidden="1" x14ac:dyDescent="0.35"/>
    <row r="25033" hidden="1" x14ac:dyDescent="0.35"/>
    <row r="25034" hidden="1" x14ac:dyDescent="0.35"/>
    <row r="25035" hidden="1" x14ac:dyDescent="0.35"/>
    <row r="25036" hidden="1" x14ac:dyDescent="0.35"/>
    <row r="25037" hidden="1" x14ac:dyDescent="0.35"/>
    <row r="25038" hidden="1" x14ac:dyDescent="0.35"/>
    <row r="25039" hidden="1" x14ac:dyDescent="0.35"/>
    <row r="25040" hidden="1" x14ac:dyDescent="0.35"/>
    <row r="25041" hidden="1" x14ac:dyDescent="0.35"/>
    <row r="25042" hidden="1" x14ac:dyDescent="0.35"/>
    <row r="25043" hidden="1" x14ac:dyDescent="0.35"/>
    <row r="25044" hidden="1" x14ac:dyDescent="0.35"/>
    <row r="25045" hidden="1" x14ac:dyDescent="0.35"/>
    <row r="25046" hidden="1" x14ac:dyDescent="0.35"/>
    <row r="25047" hidden="1" x14ac:dyDescent="0.35"/>
    <row r="25048" hidden="1" x14ac:dyDescent="0.35"/>
    <row r="25049" hidden="1" x14ac:dyDescent="0.35"/>
    <row r="25050" hidden="1" x14ac:dyDescent="0.35"/>
    <row r="25051" hidden="1" x14ac:dyDescent="0.35"/>
    <row r="25052" hidden="1" x14ac:dyDescent="0.35"/>
    <row r="25053" hidden="1" x14ac:dyDescent="0.35"/>
    <row r="25054" hidden="1" x14ac:dyDescent="0.35"/>
    <row r="25055" hidden="1" x14ac:dyDescent="0.35"/>
    <row r="25056" hidden="1" x14ac:dyDescent="0.35"/>
    <row r="25057" hidden="1" x14ac:dyDescent="0.35"/>
    <row r="25058" hidden="1" x14ac:dyDescent="0.35"/>
    <row r="25059" hidden="1" x14ac:dyDescent="0.35"/>
    <row r="25060" hidden="1" x14ac:dyDescent="0.35"/>
    <row r="25061" hidden="1" x14ac:dyDescent="0.35"/>
    <row r="25062" hidden="1" x14ac:dyDescent="0.35"/>
    <row r="25063" hidden="1" x14ac:dyDescent="0.35"/>
    <row r="25064" hidden="1" x14ac:dyDescent="0.35"/>
    <row r="25065" hidden="1" x14ac:dyDescent="0.35"/>
    <row r="25066" hidden="1" x14ac:dyDescent="0.35"/>
    <row r="25067" hidden="1" x14ac:dyDescent="0.35"/>
    <row r="25068" hidden="1" x14ac:dyDescent="0.35"/>
    <row r="25069" hidden="1" x14ac:dyDescent="0.35"/>
    <row r="25070" hidden="1" x14ac:dyDescent="0.35"/>
    <row r="25071" hidden="1" x14ac:dyDescent="0.35"/>
    <row r="25072" hidden="1" x14ac:dyDescent="0.35"/>
    <row r="25073" hidden="1" x14ac:dyDescent="0.35"/>
    <row r="25074" hidden="1" x14ac:dyDescent="0.35"/>
    <row r="25075" hidden="1" x14ac:dyDescent="0.35"/>
    <row r="25076" hidden="1" x14ac:dyDescent="0.35"/>
    <row r="25077" hidden="1" x14ac:dyDescent="0.35"/>
    <row r="25078" hidden="1" x14ac:dyDescent="0.35"/>
    <row r="25079" hidden="1" x14ac:dyDescent="0.35"/>
    <row r="25080" hidden="1" x14ac:dyDescent="0.35"/>
    <row r="25081" hidden="1" x14ac:dyDescent="0.35"/>
    <row r="25082" hidden="1" x14ac:dyDescent="0.35"/>
    <row r="25083" hidden="1" x14ac:dyDescent="0.35"/>
    <row r="25084" hidden="1" x14ac:dyDescent="0.35"/>
    <row r="25085" hidden="1" x14ac:dyDescent="0.35"/>
    <row r="25086" hidden="1" x14ac:dyDescent="0.35"/>
    <row r="25087" hidden="1" x14ac:dyDescent="0.35"/>
    <row r="25088" hidden="1" x14ac:dyDescent="0.35"/>
    <row r="25089" hidden="1" x14ac:dyDescent="0.35"/>
    <row r="25090" hidden="1" x14ac:dyDescent="0.35"/>
    <row r="25091" hidden="1" x14ac:dyDescent="0.35"/>
    <row r="25092" hidden="1" x14ac:dyDescent="0.35"/>
    <row r="25093" hidden="1" x14ac:dyDescent="0.35"/>
    <row r="25094" hidden="1" x14ac:dyDescent="0.35"/>
    <row r="25095" hidden="1" x14ac:dyDescent="0.35"/>
    <row r="25096" hidden="1" x14ac:dyDescent="0.35"/>
    <row r="25097" hidden="1" x14ac:dyDescent="0.35"/>
    <row r="25098" hidden="1" x14ac:dyDescent="0.35"/>
    <row r="25099" hidden="1" x14ac:dyDescent="0.35"/>
    <row r="25100" hidden="1" x14ac:dyDescent="0.35"/>
    <row r="25101" hidden="1" x14ac:dyDescent="0.35"/>
    <row r="25102" hidden="1" x14ac:dyDescent="0.35"/>
    <row r="25103" hidden="1" x14ac:dyDescent="0.35"/>
    <row r="25104" hidden="1" x14ac:dyDescent="0.35"/>
    <row r="25105" hidden="1" x14ac:dyDescent="0.35"/>
    <row r="25106" hidden="1" x14ac:dyDescent="0.35"/>
    <row r="25107" hidden="1" x14ac:dyDescent="0.35"/>
    <row r="25108" hidden="1" x14ac:dyDescent="0.35"/>
    <row r="25109" hidden="1" x14ac:dyDescent="0.35"/>
    <row r="25110" hidden="1" x14ac:dyDescent="0.35"/>
    <row r="25111" hidden="1" x14ac:dyDescent="0.35"/>
    <row r="25112" hidden="1" x14ac:dyDescent="0.35"/>
    <row r="25113" hidden="1" x14ac:dyDescent="0.35"/>
    <row r="25114" hidden="1" x14ac:dyDescent="0.35"/>
    <row r="25115" hidden="1" x14ac:dyDescent="0.35"/>
    <row r="25116" hidden="1" x14ac:dyDescent="0.35"/>
    <row r="25117" hidden="1" x14ac:dyDescent="0.35"/>
    <row r="25118" hidden="1" x14ac:dyDescent="0.35"/>
    <row r="25119" hidden="1" x14ac:dyDescent="0.35"/>
    <row r="25120" hidden="1" x14ac:dyDescent="0.35"/>
    <row r="25121" hidden="1" x14ac:dyDescent="0.35"/>
    <row r="25122" hidden="1" x14ac:dyDescent="0.35"/>
    <row r="25123" hidden="1" x14ac:dyDescent="0.35"/>
    <row r="25124" hidden="1" x14ac:dyDescent="0.35"/>
    <row r="25125" hidden="1" x14ac:dyDescent="0.35"/>
    <row r="25126" hidden="1" x14ac:dyDescent="0.35"/>
    <row r="25127" hidden="1" x14ac:dyDescent="0.35"/>
    <row r="25128" hidden="1" x14ac:dyDescent="0.35"/>
    <row r="25129" hidden="1" x14ac:dyDescent="0.35"/>
    <row r="25130" hidden="1" x14ac:dyDescent="0.35"/>
    <row r="25131" hidden="1" x14ac:dyDescent="0.35"/>
    <row r="25132" hidden="1" x14ac:dyDescent="0.35"/>
    <row r="25133" hidden="1" x14ac:dyDescent="0.35"/>
    <row r="25134" hidden="1" x14ac:dyDescent="0.35"/>
    <row r="25135" hidden="1" x14ac:dyDescent="0.35"/>
    <row r="25136" hidden="1" x14ac:dyDescent="0.35"/>
    <row r="25137" hidden="1" x14ac:dyDescent="0.35"/>
    <row r="25138" hidden="1" x14ac:dyDescent="0.35"/>
    <row r="25139" hidden="1" x14ac:dyDescent="0.35"/>
    <row r="25140" hidden="1" x14ac:dyDescent="0.35"/>
    <row r="25141" hidden="1" x14ac:dyDescent="0.35"/>
    <row r="25142" hidden="1" x14ac:dyDescent="0.35"/>
    <row r="25143" hidden="1" x14ac:dyDescent="0.35"/>
    <row r="25144" hidden="1" x14ac:dyDescent="0.35"/>
    <row r="25145" hidden="1" x14ac:dyDescent="0.35"/>
    <row r="25146" hidden="1" x14ac:dyDescent="0.35"/>
    <row r="25147" hidden="1" x14ac:dyDescent="0.35"/>
    <row r="25148" hidden="1" x14ac:dyDescent="0.35"/>
    <row r="25149" hidden="1" x14ac:dyDescent="0.35"/>
    <row r="25150" hidden="1" x14ac:dyDescent="0.35"/>
    <row r="25151" hidden="1" x14ac:dyDescent="0.35"/>
    <row r="25152" hidden="1" x14ac:dyDescent="0.35"/>
    <row r="25153" hidden="1" x14ac:dyDescent="0.35"/>
    <row r="25154" hidden="1" x14ac:dyDescent="0.35"/>
    <row r="25155" hidden="1" x14ac:dyDescent="0.35"/>
    <row r="25156" hidden="1" x14ac:dyDescent="0.35"/>
    <row r="25157" hidden="1" x14ac:dyDescent="0.35"/>
    <row r="25158" hidden="1" x14ac:dyDescent="0.35"/>
    <row r="25159" hidden="1" x14ac:dyDescent="0.35"/>
    <row r="25160" hidden="1" x14ac:dyDescent="0.35"/>
    <row r="25161" hidden="1" x14ac:dyDescent="0.35"/>
    <row r="25162" hidden="1" x14ac:dyDescent="0.35"/>
    <row r="25163" hidden="1" x14ac:dyDescent="0.35"/>
    <row r="25164" hidden="1" x14ac:dyDescent="0.35"/>
    <row r="25165" hidden="1" x14ac:dyDescent="0.35"/>
    <row r="25166" hidden="1" x14ac:dyDescent="0.35"/>
    <row r="25167" hidden="1" x14ac:dyDescent="0.35"/>
    <row r="25168" hidden="1" x14ac:dyDescent="0.35"/>
    <row r="25169" hidden="1" x14ac:dyDescent="0.35"/>
    <row r="25170" hidden="1" x14ac:dyDescent="0.35"/>
    <row r="25171" hidden="1" x14ac:dyDescent="0.35"/>
    <row r="25172" hidden="1" x14ac:dyDescent="0.35"/>
    <row r="25173" hidden="1" x14ac:dyDescent="0.35"/>
    <row r="25174" hidden="1" x14ac:dyDescent="0.35"/>
    <row r="25175" hidden="1" x14ac:dyDescent="0.35"/>
    <row r="25176" hidden="1" x14ac:dyDescent="0.35"/>
    <row r="25177" hidden="1" x14ac:dyDescent="0.35"/>
    <row r="25178" hidden="1" x14ac:dyDescent="0.35"/>
    <row r="25179" hidden="1" x14ac:dyDescent="0.35"/>
    <row r="25180" hidden="1" x14ac:dyDescent="0.35"/>
    <row r="25181" hidden="1" x14ac:dyDescent="0.35"/>
    <row r="25182" hidden="1" x14ac:dyDescent="0.35"/>
    <row r="25183" hidden="1" x14ac:dyDescent="0.35"/>
    <row r="25184" hidden="1" x14ac:dyDescent="0.35"/>
    <row r="25185" hidden="1" x14ac:dyDescent="0.35"/>
    <row r="25186" hidden="1" x14ac:dyDescent="0.35"/>
    <row r="25187" hidden="1" x14ac:dyDescent="0.35"/>
    <row r="25188" hidden="1" x14ac:dyDescent="0.35"/>
    <row r="25189" hidden="1" x14ac:dyDescent="0.35"/>
    <row r="25190" hidden="1" x14ac:dyDescent="0.35"/>
    <row r="25191" hidden="1" x14ac:dyDescent="0.35"/>
    <row r="25192" hidden="1" x14ac:dyDescent="0.35"/>
    <row r="25193" hidden="1" x14ac:dyDescent="0.35"/>
    <row r="25194" hidden="1" x14ac:dyDescent="0.35"/>
    <row r="25195" hidden="1" x14ac:dyDescent="0.35"/>
    <row r="25196" hidden="1" x14ac:dyDescent="0.35"/>
    <row r="25197" hidden="1" x14ac:dyDescent="0.35"/>
    <row r="25198" hidden="1" x14ac:dyDescent="0.35"/>
    <row r="25199" hidden="1" x14ac:dyDescent="0.35"/>
    <row r="25200" hidden="1" x14ac:dyDescent="0.35"/>
    <row r="25201" hidden="1" x14ac:dyDescent="0.35"/>
    <row r="25202" hidden="1" x14ac:dyDescent="0.35"/>
    <row r="25203" hidden="1" x14ac:dyDescent="0.35"/>
    <row r="25204" hidden="1" x14ac:dyDescent="0.35"/>
    <row r="25205" hidden="1" x14ac:dyDescent="0.35"/>
    <row r="25206" hidden="1" x14ac:dyDescent="0.35"/>
    <row r="25207" hidden="1" x14ac:dyDescent="0.35"/>
    <row r="25208" hidden="1" x14ac:dyDescent="0.35"/>
    <row r="25209" hidden="1" x14ac:dyDescent="0.35"/>
    <row r="25210" hidden="1" x14ac:dyDescent="0.35"/>
    <row r="25211" hidden="1" x14ac:dyDescent="0.35"/>
    <row r="25212" hidden="1" x14ac:dyDescent="0.35"/>
    <row r="25213" hidden="1" x14ac:dyDescent="0.35"/>
    <row r="25214" hidden="1" x14ac:dyDescent="0.35"/>
    <row r="25215" hidden="1" x14ac:dyDescent="0.35"/>
    <row r="25216" hidden="1" x14ac:dyDescent="0.35"/>
    <row r="25217" hidden="1" x14ac:dyDescent="0.35"/>
    <row r="25218" hidden="1" x14ac:dyDescent="0.35"/>
    <row r="25219" hidden="1" x14ac:dyDescent="0.35"/>
    <row r="25220" hidden="1" x14ac:dyDescent="0.35"/>
    <row r="25221" hidden="1" x14ac:dyDescent="0.35"/>
    <row r="25222" hidden="1" x14ac:dyDescent="0.35"/>
    <row r="25223" hidden="1" x14ac:dyDescent="0.35"/>
    <row r="25224" hidden="1" x14ac:dyDescent="0.35"/>
    <row r="25225" hidden="1" x14ac:dyDescent="0.35"/>
    <row r="25226" hidden="1" x14ac:dyDescent="0.35"/>
    <row r="25227" hidden="1" x14ac:dyDescent="0.35"/>
    <row r="25228" hidden="1" x14ac:dyDescent="0.35"/>
    <row r="25229" hidden="1" x14ac:dyDescent="0.35"/>
    <row r="25230" hidden="1" x14ac:dyDescent="0.35"/>
    <row r="25231" hidden="1" x14ac:dyDescent="0.35"/>
    <row r="25232" hidden="1" x14ac:dyDescent="0.35"/>
    <row r="25233" hidden="1" x14ac:dyDescent="0.35"/>
    <row r="25234" hidden="1" x14ac:dyDescent="0.35"/>
    <row r="25235" hidden="1" x14ac:dyDescent="0.35"/>
    <row r="25236" hidden="1" x14ac:dyDescent="0.35"/>
    <row r="25237" hidden="1" x14ac:dyDescent="0.35"/>
    <row r="25238" hidden="1" x14ac:dyDescent="0.35"/>
    <row r="25239" hidden="1" x14ac:dyDescent="0.35"/>
    <row r="25240" hidden="1" x14ac:dyDescent="0.35"/>
    <row r="25241" hidden="1" x14ac:dyDescent="0.35"/>
    <row r="25242" hidden="1" x14ac:dyDescent="0.35"/>
    <row r="25243" hidden="1" x14ac:dyDescent="0.35"/>
    <row r="25244" hidden="1" x14ac:dyDescent="0.35"/>
    <row r="25245" hidden="1" x14ac:dyDescent="0.35"/>
    <row r="25246" hidden="1" x14ac:dyDescent="0.35"/>
    <row r="25247" hidden="1" x14ac:dyDescent="0.35"/>
    <row r="25248" hidden="1" x14ac:dyDescent="0.35"/>
    <row r="25249" hidden="1" x14ac:dyDescent="0.35"/>
    <row r="25250" hidden="1" x14ac:dyDescent="0.35"/>
    <row r="25251" hidden="1" x14ac:dyDescent="0.35"/>
    <row r="25252" hidden="1" x14ac:dyDescent="0.35"/>
    <row r="25253" hidden="1" x14ac:dyDescent="0.35"/>
    <row r="25254" hidden="1" x14ac:dyDescent="0.35"/>
    <row r="25255" hidden="1" x14ac:dyDescent="0.35"/>
    <row r="25256" hidden="1" x14ac:dyDescent="0.35"/>
    <row r="25257" hidden="1" x14ac:dyDescent="0.35"/>
    <row r="25258" hidden="1" x14ac:dyDescent="0.35"/>
    <row r="25259" hidden="1" x14ac:dyDescent="0.35"/>
    <row r="25260" hidden="1" x14ac:dyDescent="0.35"/>
    <row r="25261" hidden="1" x14ac:dyDescent="0.35"/>
    <row r="25262" hidden="1" x14ac:dyDescent="0.35"/>
    <row r="25263" hidden="1" x14ac:dyDescent="0.35"/>
    <row r="25264" hidden="1" x14ac:dyDescent="0.35"/>
    <row r="25265" hidden="1" x14ac:dyDescent="0.35"/>
    <row r="25266" hidden="1" x14ac:dyDescent="0.35"/>
    <row r="25267" hidden="1" x14ac:dyDescent="0.35"/>
    <row r="25268" hidden="1" x14ac:dyDescent="0.35"/>
    <row r="25269" hidden="1" x14ac:dyDescent="0.35"/>
    <row r="25270" hidden="1" x14ac:dyDescent="0.35"/>
    <row r="25271" hidden="1" x14ac:dyDescent="0.35"/>
    <row r="25272" hidden="1" x14ac:dyDescent="0.35"/>
    <row r="25273" hidden="1" x14ac:dyDescent="0.35"/>
    <row r="25274" hidden="1" x14ac:dyDescent="0.35"/>
    <row r="25275" hidden="1" x14ac:dyDescent="0.35"/>
    <row r="25276" hidden="1" x14ac:dyDescent="0.35"/>
    <row r="25277" hidden="1" x14ac:dyDescent="0.35"/>
    <row r="25278" hidden="1" x14ac:dyDescent="0.35"/>
    <row r="25279" hidden="1" x14ac:dyDescent="0.35"/>
    <row r="25280" hidden="1" x14ac:dyDescent="0.35"/>
    <row r="25281" hidden="1" x14ac:dyDescent="0.35"/>
    <row r="25282" hidden="1" x14ac:dyDescent="0.35"/>
    <row r="25283" hidden="1" x14ac:dyDescent="0.35"/>
    <row r="25284" hidden="1" x14ac:dyDescent="0.35"/>
    <row r="25285" hidden="1" x14ac:dyDescent="0.35"/>
    <row r="25286" hidden="1" x14ac:dyDescent="0.35"/>
    <row r="25287" hidden="1" x14ac:dyDescent="0.35"/>
    <row r="25288" hidden="1" x14ac:dyDescent="0.35"/>
    <row r="25289" hidden="1" x14ac:dyDescent="0.35"/>
    <row r="25290" hidden="1" x14ac:dyDescent="0.35"/>
    <row r="25291" hidden="1" x14ac:dyDescent="0.35"/>
    <row r="25292" hidden="1" x14ac:dyDescent="0.35"/>
    <row r="25293" hidden="1" x14ac:dyDescent="0.35"/>
    <row r="25294" hidden="1" x14ac:dyDescent="0.35"/>
    <row r="25295" hidden="1" x14ac:dyDescent="0.35"/>
    <row r="25296" hidden="1" x14ac:dyDescent="0.35"/>
    <row r="25297" hidden="1" x14ac:dyDescent="0.35"/>
    <row r="25298" hidden="1" x14ac:dyDescent="0.35"/>
    <row r="25299" hidden="1" x14ac:dyDescent="0.35"/>
    <row r="25300" hidden="1" x14ac:dyDescent="0.35"/>
    <row r="25301" hidden="1" x14ac:dyDescent="0.35"/>
    <row r="25302" hidden="1" x14ac:dyDescent="0.35"/>
    <row r="25303" hidden="1" x14ac:dyDescent="0.35"/>
    <row r="25304" hidden="1" x14ac:dyDescent="0.35"/>
    <row r="25305" hidden="1" x14ac:dyDescent="0.35"/>
    <row r="25306" hidden="1" x14ac:dyDescent="0.35"/>
    <row r="25307" hidden="1" x14ac:dyDescent="0.35"/>
    <row r="25308" hidden="1" x14ac:dyDescent="0.35"/>
    <row r="25309" hidden="1" x14ac:dyDescent="0.35"/>
    <row r="25310" hidden="1" x14ac:dyDescent="0.35"/>
    <row r="25311" hidden="1" x14ac:dyDescent="0.35"/>
    <row r="25312" hidden="1" x14ac:dyDescent="0.35"/>
    <row r="25313" hidden="1" x14ac:dyDescent="0.35"/>
    <row r="25314" hidden="1" x14ac:dyDescent="0.35"/>
    <row r="25315" hidden="1" x14ac:dyDescent="0.35"/>
    <row r="25316" hidden="1" x14ac:dyDescent="0.35"/>
    <row r="25317" hidden="1" x14ac:dyDescent="0.35"/>
    <row r="25318" hidden="1" x14ac:dyDescent="0.35"/>
    <row r="25319" hidden="1" x14ac:dyDescent="0.35"/>
    <row r="25320" hidden="1" x14ac:dyDescent="0.35"/>
    <row r="25321" hidden="1" x14ac:dyDescent="0.35"/>
    <row r="25322" hidden="1" x14ac:dyDescent="0.35"/>
    <row r="25323" hidden="1" x14ac:dyDescent="0.35"/>
    <row r="25324" hidden="1" x14ac:dyDescent="0.35"/>
    <row r="25325" hidden="1" x14ac:dyDescent="0.35"/>
    <row r="25326" hidden="1" x14ac:dyDescent="0.35"/>
    <row r="25327" hidden="1" x14ac:dyDescent="0.35"/>
    <row r="25328" hidden="1" x14ac:dyDescent="0.35"/>
    <row r="25329" hidden="1" x14ac:dyDescent="0.35"/>
    <row r="25330" hidden="1" x14ac:dyDescent="0.35"/>
    <row r="25331" hidden="1" x14ac:dyDescent="0.35"/>
    <row r="25332" hidden="1" x14ac:dyDescent="0.35"/>
    <row r="25333" hidden="1" x14ac:dyDescent="0.35"/>
    <row r="25334" hidden="1" x14ac:dyDescent="0.35"/>
    <row r="25335" hidden="1" x14ac:dyDescent="0.35"/>
    <row r="25336" hidden="1" x14ac:dyDescent="0.35"/>
    <row r="25337" hidden="1" x14ac:dyDescent="0.35"/>
    <row r="25338" hidden="1" x14ac:dyDescent="0.35"/>
    <row r="25339" hidden="1" x14ac:dyDescent="0.35"/>
    <row r="25340" hidden="1" x14ac:dyDescent="0.35"/>
    <row r="25341" hidden="1" x14ac:dyDescent="0.35"/>
    <row r="25342" hidden="1" x14ac:dyDescent="0.35"/>
    <row r="25343" hidden="1" x14ac:dyDescent="0.35"/>
    <row r="25344" hidden="1" x14ac:dyDescent="0.35"/>
    <row r="25345" hidden="1" x14ac:dyDescent="0.35"/>
    <row r="25346" hidden="1" x14ac:dyDescent="0.35"/>
    <row r="25347" hidden="1" x14ac:dyDescent="0.35"/>
    <row r="25348" hidden="1" x14ac:dyDescent="0.35"/>
    <row r="25349" hidden="1" x14ac:dyDescent="0.35"/>
    <row r="25350" hidden="1" x14ac:dyDescent="0.35"/>
    <row r="25351" hidden="1" x14ac:dyDescent="0.35"/>
    <row r="25352" hidden="1" x14ac:dyDescent="0.35"/>
    <row r="25353" hidden="1" x14ac:dyDescent="0.35"/>
    <row r="25354" hidden="1" x14ac:dyDescent="0.35"/>
    <row r="25355" hidden="1" x14ac:dyDescent="0.35"/>
    <row r="25356" hidden="1" x14ac:dyDescent="0.35"/>
    <row r="25357" hidden="1" x14ac:dyDescent="0.35"/>
    <row r="25358" hidden="1" x14ac:dyDescent="0.35"/>
    <row r="25359" hidden="1" x14ac:dyDescent="0.35"/>
    <row r="25360" hidden="1" x14ac:dyDescent="0.35"/>
    <row r="25361" hidden="1" x14ac:dyDescent="0.35"/>
    <row r="25362" hidden="1" x14ac:dyDescent="0.35"/>
    <row r="25363" hidden="1" x14ac:dyDescent="0.35"/>
    <row r="25364" hidden="1" x14ac:dyDescent="0.35"/>
    <row r="25365" hidden="1" x14ac:dyDescent="0.35"/>
    <row r="25366" hidden="1" x14ac:dyDescent="0.35"/>
    <row r="25367" hidden="1" x14ac:dyDescent="0.35"/>
    <row r="25368" hidden="1" x14ac:dyDescent="0.35"/>
    <row r="25369" hidden="1" x14ac:dyDescent="0.35"/>
    <row r="25370" hidden="1" x14ac:dyDescent="0.35"/>
    <row r="25371" hidden="1" x14ac:dyDescent="0.35"/>
    <row r="25372" hidden="1" x14ac:dyDescent="0.35"/>
    <row r="25373" hidden="1" x14ac:dyDescent="0.35"/>
    <row r="25374" hidden="1" x14ac:dyDescent="0.35"/>
    <row r="25375" hidden="1" x14ac:dyDescent="0.35"/>
    <row r="25376" hidden="1" x14ac:dyDescent="0.35"/>
    <row r="25377" hidden="1" x14ac:dyDescent="0.35"/>
    <row r="25378" hidden="1" x14ac:dyDescent="0.35"/>
    <row r="25379" hidden="1" x14ac:dyDescent="0.35"/>
    <row r="25380" hidden="1" x14ac:dyDescent="0.35"/>
    <row r="25381" hidden="1" x14ac:dyDescent="0.35"/>
    <row r="25382" hidden="1" x14ac:dyDescent="0.35"/>
    <row r="25383" hidden="1" x14ac:dyDescent="0.35"/>
    <row r="25384" hidden="1" x14ac:dyDescent="0.35"/>
    <row r="25385" hidden="1" x14ac:dyDescent="0.35"/>
    <row r="25386" hidden="1" x14ac:dyDescent="0.35"/>
    <row r="25387" hidden="1" x14ac:dyDescent="0.35"/>
    <row r="25388" hidden="1" x14ac:dyDescent="0.35"/>
    <row r="25389" hidden="1" x14ac:dyDescent="0.35"/>
    <row r="25390" hidden="1" x14ac:dyDescent="0.35"/>
    <row r="25391" hidden="1" x14ac:dyDescent="0.35"/>
    <row r="25392" hidden="1" x14ac:dyDescent="0.35"/>
    <row r="25393" hidden="1" x14ac:dyDescent="0.35"/>
    <row r="25394" hidden="1" x14ac:dyDescent="0.35"/>
    <row r="25395" hidden="1" x14ac:dyDescent="0.35"/>
    <row r="25396" hidden="1" x14ac:dyDescent="0.35"/>
    <row r="25397" hidden="1" x14ac:dyDescent="0.35"/>
    <row r="25398" hidden="1" x14ac:dyDescent="0.35"/>
    <row r="25399" hidden="1" x14ac:dyDescent="0.35"/>
    <row r="25400" hidden="1" x14ac:dyDescent="0.35"/>
    <row r="25401" hidden="1" x14ac:dyDescent="0.35"/>
    <row r="25402" hidden="1" x14ac:dyDescent="0.35"/>
    <row r="25403" hidden="1" x14ac:dyDescent="0.35"/>
    <row r="25404" hidden="1" x14ac:dyDescent="0.35"/>
    <row r="25405" hidden="1" x14ac:dyDescent="0.35"/>
    <row r="25406" hidden="1" x14ac:dyDescent="0.35"/>
    <row r="25407" hidden="1" x14ac:dyDescent="0.35"/>
    <row r="25408" hidden="1" x14ac:dyDescent="0.35"/>
    <row r="25409" hidden="1" x14ac:dyDescent="0.35"/>
    <row r="25410" hidden="1" x14ac:dyDescent="0.35"/>
    <row r="25411" hidden="1" x14ac:dyDescent="0.35"/>
    <row r="25412" hidden="1" x14ac:dyDescent="0.35"/>
    <row r="25413" hidden="1" x14ac:dyDescent="0.35"/>
    <row r="25414" hidden="1" x14ac:dyDescent="0.35"/>
    <row r="25415" hidden="1" x14ac:dyDescent="0.35"/>
    <row r="25416" hidden="1" x14ac:dyDescent="0.35"/>
    <row r="25417" hidden="1" x14ac:dyDescent="0.35"/>
    <row r="25418" hidden="1" x14ac:dyDescent="0.35"/>
    <row r="25419" hidden="1" x14ac:dyDescent="0.35"/>
    <row r="25420" hidden="1" x14ac:dyDescent="0.35"/>
    <row r="25421" hidden="1" x14ac:dyDescent="0.35"/>
    <row r="25422" hidden="1" x14ac:dyDescent="0.35"/>
    <row r="25423" hidden="1" x14ac:dyDescent="0.35"/>
    <row r="25424" hidden="1" x14ac:dyDescent="0.35"/>
    <row r="25425" hidden="1" x14ac:dyDescent="0.35"/>
    <row r="25426" hidden="1" x14ac:dyDescent="0.35"/>
    <row r="25427" hidden="1" x14ac:dyDescent="0.35"/>
    <row r="25428" hidden="1" x14ac:dyDescent="0.35"/>
    <row r="25429" hidden="1" x14ac:dyDescent="0.35"/>
    <row r="25430" hidden="1" x14ac:dyDescent="0.35"/>
    <row r="25431" hidden="1" x14ac:dyDescent="0.35"/>
    <row r="25432" hidden="1" x14ac:dyDescent="0.35"/>
    <row r="25433" hidden="1" x14ac:dyDescent="0.35"/>
    <row r="25434" hidden="1" x14ac:dyDescent="0.35"/>
    <row r="25435" hidden="1" x14ac:dyDescent="0.35"/>
    <row r="25436" hidden="1" x14ac:dyDescent="0.35"/>
    <row r="25437" hidden="1" x14ac:dyDescent="0.35"/>
    <row r="25438" hidden="1" x14ac:dyDescent="0.35"/>
    <row r="25439" hidden="1" x14ac:dyDescent="0.35"/>
    <row r="25440" hidden="1" x14ac:dyDescent="0.35"/>
    <row r="25441" hidden="1" x14ac:dyDescent="0.35"/>
    <row r="25442" hidden="1" x14ac:dyDescent="0.35"/>
    <row r="25443" hidden="1" x14ac:dyDescent="0.35"/>
    <row r="25444" hidden="1" x14ac:dyDescent="0.35"/>
    <row r="25445" hidden="1" x14ac:dyDescent="0.35"/>
    <row r="25446" hidden="1" x14ac:dyDescent="0.35"/>
    <row r="25447" hidden="1" x14ac:dyDescent="0.35"/>
    <row r="25448" hidden="1" x14ac:dyDescent="0.35"/>
    <row r="25449" hidden="1" x14ac:dyDescent="0.35"/>
    <row r="25450" hidden="1" x14ac:dyDescent="0.35"/>
    <row r="25451" hidden="1" x14ac:dyDescent="0.35"/>
    <row r="25452" hidden="1" x14ac:dyDescent="0.35"/>
    <row r="25453" hidden="1" x14ac:dyDescent="0.35"/>
    <row r="25454" hidden="1" x14ac:dyDescent="0.35"/>
    <row r="25455" hidden="1" x14ac:dyDescent="0.35"/>
    <row r="25456" hidden="1" x14ac:dyDescent="0.35"/>
    <row r="25457" hidden="1" x14ac:dyDescent="0.35"/>
    <row r="25458" hidden="1" x14ac:dyDescent="0.35"/>
    <row r="25459" hidden="1" x14ac:dyDescent="0.35"/>
    <row r="25460" hidden="1" x14ac:dyDescent="0.35"/>
    <row r="25461" hidden="1" x14ac:dyDescent="0.35"/>
    <row r="25462" hidden="1" x14ac:dyDescent="0.35"/>
    <row r="25463" hidden="1" x14ac:dyDescent="0.35"/>
    <row r="25464" hidden="1" x14ac:dyDescent="0.35"/>
    <row r="25465" hidden="1" x14ac:dyDescent="0.35"/>
    <row r="25466" hidden="1" x14ac:dyDescent="0.35"/>
    <row r="25467" hidden="1" x14ac:dyDescent="0.35"/>
    <row r="25468" hidden="1" x14ac:dyDescent="0.35"/>
    <row r="25469" hidden="1" x14ac:dyDescent="0.35"/>
    <row r="25470" hidden="1" x14ac:dyDescent="0.35"/>
    <row r="25471" hidden="1" x14ac:dyDescent="0.35"/>
    <row r="25472" hidden="1" x14ac:dyDescent="0.35"/>
    <row r="25473" hidden="1" x14ac:dyDescent="0.35"/>
    <row r="25474" hidden="1" x14ac:dyDescent="0.35"/>
    <row r="25475" hidden="1" x14ac:dyDescent="0.35"/>
    <row r="25476" hidden="1" x14ac:dyDescent="0.35"/>
    <row r="25477" hidden="1" x14ac:dyDescent="0.35"/>
    <row r="25478" hidden="1" x14ac:dyDescent="0.35"/>
    <row r="25479" hidden="1" x14ac:dyDescent="0.35"/>
    <row r="25480" hidden="1" x14ac:dyDescent="0.35"/>
    <row r="25481" hidden="1" x14ac:dyDescent="0.35"/>
    <row r="25482" hidden="1" x14ac:dyDescent="0.35"/>
    <row r="25483" hidden="1" x14ac:dyDescent="0.35"/>
    <row r="25484" hidden="1" x14ac:dyDescent="0.35"/>
    <row r="25485" hidden="1" x14ac:dyDescent="0.35"/>
    <row r="25486" hidden="1" x14ac:dyDescent="0.35"/>
    <row r="25487" hidden="1" x14ac:dyDescent="0.35"/>
    <row r="25488" hidden="1" x14ac:dyDescent="0.35"/>
    <row r="25489" hidden="1" x14ac:dyDescent="0.35"/>
    <row r="25490" hidden="1" x14ac:dyDescent="0.35"/>
    <row r="25491" hidden="1" x14ac:dyDescent="0.35"/>
    <row r="25492" hidden="1" x14ac:dyDescent="0.35"/>
    <row r="25493" hidden="1" x14ac:dyDescent="0.35"/>
    <row r="25494" hidden="1" x14ac:dyDescent="0.35"/>
    <row r="25495" hidden="1" x14ac:dyDescent="0.35"/>
    <row r="25496" hidden="1" x14ac:dyDescent="0.35"/>
    <row r="25497" hidden="1" x14ac:dyDescent="0.35"/>
    <row r="25498" hidden="1" x14ac:dyDescent="0.35"/>
    <row r="25499" hidden="1" x14ac:dyDescent="0.35"/>
    <row r="25500" hidden="1" x14ac:dyDescent="0.35"/>
    <row r="25501" hidden="1" x14ac:dyDescent="0.35"/>
    <row r="25502" hidden="1" x14ac:dyDescent="0.35"/>
    <row r="25503" hidden="1" x14ac:dyDescent="0.35"/>
    <row r="25504" hidden="1" x14ac:dyDescent="0.35"/>
    <row r="25505" hidden="1" x14ac:dyDescent="0.35"/>
    <row r="25506" hidden="1" x14ac:dyDescent="0.35"/>
    <row r="25507" hidden="1" x14ac:dyDescent="0.35"/>
    <row r="25508" hidden="1" x14ac:dyDescent="0.35"/>
    <row r="25509" hidden="1" x14ac:dyDescent="0.35"/>
    <row r="25510" hidden="1" x14ac:dyDescent="0.35"/>
    <row r="25511" hidden="1" x14ac:dyDescent="0.35"/>
    <row r="25512" hidden="1" x14ac:dyDescent="0.35"/>
    <row r="25513" hidden="1" x14ac:dyDescent="0.35"/>
    <row r="25514" hidden="1" x14ac:dyDescent="0.35"/>
    <row r="25515" hidden="1" x14ac:dyDescent="0.35"/>
    <row r="25516" hidden="1" x14ac:dyDescent="0.35"/>
    <row r="25517" hidden="1" x14ac:dyDescent="0.35"/>
    <row r="25518" hidden="1" x14ac:dyDescent="0.35"/>
    <row r="25519" hidden="1" x14ac:dyDescent="0.35"/>
    <row r="25520" hidden="1" x14ac:dyDescent="0.35"/>
    <row r="25521" hidden="1" x14ac:dyDescent="0.35"/>
    <row r="25522" hidden="1" x14ac:dyDescent="0.35"/>
    <row r="25523" hidden="1" x14ac:dyDescent="0.35"/>
    <row r="25524" hidden="1" x14ac:dyDescent="0.35"/>
    <row r="25525" hidden="1" x14ac:dyDescent="0.35"/>
    <row r="25526" hidden="1" x14ac:dyDescent="0.35"/>
    <row r="25527" hidden="1" x14ac:dyDescent="0.35"/>
    <row r="25528" hidden="1" x14ac:dyDescent="0.35"/>
    <row r="25529" hidden="1" x14ac:dyDescent="0.35"/>
    <row r="25530" hidden="1" x14ac:dyDescent="0.35"/>
    <row r="25531" hidden="1" x14ac:dyDescent="0.35"/>
    <row r="25532" hidden="1" x14ac:dyDescent="0.35"/>
    <row r="25533" hidden="1" x14ac:dyDescent="0.35"/>
    <row r="25534" hidden="1" x14ac:dyDescent="0.35"/>
    <row r="25535" hidden="1" x14ac:dyDescent="0.35"/>
    <row r="25536" hidden="1" x14ac:dyDescent="0.35"/>
    <row r="25537" hidden="1" x14ac:dyDescent="0.35"/>
    <row r="25538" hidden="1" x14ac:dyDescent="0.35"/>
    <row r="25539" hidden="1" x14ac:dyDescent="0.35"/>
    <row r="25540" hidden="1" x14ac:dyDescent="0.35"/>
    <row r="25541" hidden="1" x14ac:dyDescent="0.35"/>
    <row r="25542" hidden="1" x14ac:dyDescent="0.35"/>
    <row r="25543" hidden="1" x14ac:dyDescent="0.35"/>
    <row r="25544" hidden="1" x14ac:dyDescent="0.35"/>
    <row r="25545" hidden="1" x14ac:dyDescent="0.35"/>
    <row r="25546" hidden="1" x14ac:dyDescent="0.35"/>
    <row r="25547" hidden="1" x14ac:dyDescent="0.35"/>
    <row r="25548" hidden="1" x14ac:dyDescent="0.35"/>
    <row r="25549" hidden="1" x14ac:dyDescent="0.35"/>
    <row r="25550" hidden="1" x14ac:dyDescent="0.35"/>
    <row r="25551" hidden="1" x14ac:dyDescent="0.35"/>
    <row r="25552" hidden="1" x14ac:dyDescent="0.35"/>
    <row r="25553" hidden="1" x14ac:dyDescent="0.35"/>
    <row r="25554" hidden="1" x14ac:dyDescent="0.35"/>
    <row r="25555" hidden="1" x14ac:dyDescent="0.35"/>
    <row r="25556" hidden="1" x14ac:dyDescent="0.35"/>
    <row r="25557" hidden="1" x14ac:dyDescent="0.35"/>
    <row r="25558" hidden="1" x14ac:dyDescent="0.35"/>
    <row r="25559" hidden="1" x14ac:dyDescent="0.35"/>
    <row r="25560" hidden="1" x14ac:dyDescent="0.35"/>
    <row r="25561" hidden="1" x14ac:dyDescent="0.35"/>
    <row r="25562" hidden="1" x14ac:dyDescent="0.35"/>
    <row r="25563" hidden="1" x14ac:dyDescent="0.35"/>
    <row r="25564" hidden="1" x14ac:dyDescent="0.35"/>
    <row r="25565" hidden="1" x14ac:dyDescent="0.35"/>
    <row r="25566" hidden="1" x14ac:dyDescent="0.35"/>
    <row r="25567" hidden="1" x14ac:dyDescent="0.35"/>
    <row r="25568" hidden="1" x14ac:dyDescent="0.35"/>
    <row r="25569" hidden="1" x14ac:dyDescent="0.35"/>
    <row r="25570" hidden="1" x14ac:dyDescent="0.35"/>
    <row r="25571" hidden="1" x14ac:dyDescent="0.35"/>
    <row r="25572" hidden="1" x14ac:dyDescent="0.35"/>
    <row r="25573" hidden="1" x14ac:dyDescent="0.35"/>
    <row r="25574" hidden="1" x14ac:dyDescent="0.35"/>
    <row r="25575" hidden="1" x14ac:dyDescent="0.35"/>
    <row r="25576" hidden="1" x14ac:dyDescent="0.35"/>
    <row r="25577" hidden="1" x14ac:dyDescent="0.35"/>
    <row r="25578" hidden="1" x14ac:dyDescent="0.35"/>
    <row r="25579" hidden="1" x14ac:dyDescent="0.35"/>
    <row r="25580" hidden="1" x14ac:dyDescent="0.35"/>
    <row r="25581" hidden="1" x14ac:dyDescent="0.35"/>
    <row r="25582" hidden="1" x14ac:dyDescent="0.35"/>
    <row r="25583" hidden="1" x14ac:dyDescent="0.35"/>
    <row r="25584" hidden="1" x14ac:dyDescent="0.35"/>
    <row r="25585" hidden="1" x14ac:dyDescent="0.35"/>
    <row r="25586" hidden="1" x14ac:dyDescent="0.35"/>
    <row r="25587" hidden="1" x14ac:dyDescent="0.35"/>
    <row r="25588" hidden="1" x14ac:dyDescent="0.35"/>
    <row r="25589" hidden="1" x14ac:dyDescent="0.35"/>
    <row r="25590" hidden="1" x14ac:dyDescent="0.35"/>
    <row r="25591" hidden="1" x14ac:dyDescent="0.35"/>
    <row r="25592" hidden="1" x14ac:dyDescent="0.35"/>
    <row r="25593" hidden="1" x14ac:dyDescent="0.35"/>
    <row r="25594" hidden="1" x14ac:dyDescent="0.35"/>
    <row r="25595" hidden="1" x14ac:dyDescent="0.35"/>
    <row r="25596" hidden="1" x14ac:dyDescent="0.35"/>
    <row r="25597" hidden="1" x14ac:dyDescent="0.35"/>
    <row r="25598" hidden="1" x14ac:dyDescent="0.35"/>
    <row r="25599" hidden="1" x14ac:dyDescent="0.35"/>
    <row r="25600" hidden="1" x14ac:dyDescent="0.35"/>
    <row r="25601" hidden="1" x14ac:dyDescent="0.35"/>
    <row r="25602" hidden="1" x14ac:dyDescent="0.35"/>
    <row r="25603" hidden="1" x14ac:dyDescent="0.35"/>
    <row r="25604" hidden="1" x14ac:dyDescent="0.35"/>
    <row r="25605" hidden="1" x14ac:dyDescent="0.35"/>
    <row r="25606" hidden="1" x14ac:dyDescent="0.35"/>
    <row r="25607" hidden="1" x14ac:dyDescent="0.35"/>
    <row r="25608" hidden="1" x14ac:dyDescent="0.35"/>
    <row r="25609" hidden="1" x14ac:dyDescent="0.35"/>
    <row r="25610" hidden="1" x14ac:dyDescent="0.35"/>
    <row r="25611" hidden="1" x14ac:dyDescent="0.35"/>
    <row r="25612" hidden="1" x14ac:dyDescent="0.35"/>
    <row r="25613" hidden="1" x14ac:dyDescent="0.35"/>
    <row r="25614" hidden="1" x14ac:dyDescent="0.35"/>
    <row r="25615" hidden="1" x14ac:dyDescent="0.35"/>
    <row r="25616" hidden="1" x14ac:dyDescent="0.35"/>
    <row r="25617" hidden="1" x14ac:dyDescent="0.35"/>
    <row r="25618" hidden="1" x14ac:dyDescent="0.35"/>
    <row r="25619" hidden="1" x14ac:dyDescent="0.35"/>
    <row r="25620" hidden="1" x14ac:dyDescent="0.35"/>
    <row r="25621" hidden="1" x14ac:dyDescent="0.35"/>
    <row r="25622" hidden="1" x14ac:dyDescent="0.35"/>
    <row r="25623" hidden="1" x14ac:dyDescent="0.35"/>
    <row r="25624" hidden="1" x14ac:dyDescent="0.35"/>
    <row r="25625" hidden="1" x14ac:dyDescent="0.35"/>
    <row r="25626" hidden="1" x14ac:dyDescent="0.35"/>
    <row r="25627" hidden="1" x14ac:dyDescent="0.35"/>
    <row r="25628" hidden="1" x14ac:dyDescent="0.35"/>
    <row r="25629" hidden="1" x14ac:dyDescent="0.35"/>
    <row r="25630" hidden="1" x14ac:dyDescent="0.35"/>
    <row r="25631" hidden="1" x14ac:dyDescent="0.35"/>
    <row r="25632" hidden="1" x14ac:dyDescent="0.35"/>
    <row r="25633" hidden="1" x14ac:dyDescent="0.35"/>
    <row r="25634" hidden="1" x14ac:dyDescent="0.35"/>
    <row r="25635" hidden="1" x14ac:dyDescent="0.35"/>
    <row r="25636" hidden="1" x14ac:dyDescent="0.35"/>
    <row r="25637" hidden="1" x14ac:dyDescent="0.35"/>
    <row r="25638" hidden="1" x14ac:dyDescent="0.35"/>
    <row r="25639" hidden="1" x14ac:dyDescent="0.35"/>
    <row r="25640" hidden="1" x14ac:dyDescent="0.35"/>
    <row r="25641" hidden="1" x14ac:dyDescent="0.35"/>
    <row r="25642" hidden="1" x14ac:dyDescent="0.35"/>
    <row r="25643" hidden="1" x14ac:dyDescent="0.35"/>
    <row r="25644" hidden="1" x14ac:dyDescent="0.35"/>
    <row r="25645" hidden="1" x14ac:dyDescent="0.35"/>
    <row r="25646" hidden="1" x14ac:dyDescent="0.35"/>
    <row r="25647" hidden="1" x14ac:dyDescent="0.35"/>
    <row r="25648" hidden="1" x14ac:dyDescent="0.35"/>
    <row r="25649" hidden="1" x14ac:dyDescent="0.35"/>
    <row r="25650" hidden="1" x14ac:dyDescent="0.35"/>
    <row r="25651" hidden="1" x14ac:dyDescent="0.35"/>
    <row r="25652" hidden="1" x14ac:dyDescent="0.35"/>
    <row r="25653" hidden="1" x14ac:dyDescent="0.35"/>
    <row r="25654" hidden="1" x14ac:dyDescent="0.35"/>
    <row r="25655" hidden="1" x14ac:dyDescent="0.35"/>
    <row r="25656" hidden="1" x14ac:dyDescent="0.35"/>
    <row r="25657" hidden="1" x14ac:dyDescent="0.35"/>
    <row r="25658" hidden="1" x14ac:dyDescent="0.35"/>
    <row r="25659" hidden="1" x14ac:dyDescent="0.35"/>
    <row r="25660" hidden="1" x14ac:dyDescent="0.35"/>
    <row r="25661" hidden="1" x14ac:dyDescent="0.35"/>
    <row r="25662" hidden="1" x14ac:dyDescent="0.35"/>
    <row r="25663" hidden="1" x14ac:dyDescent="0.35"/>
    <row r="25664" hidden="1" x14ac:dyDescent="0.35"/>
    <row r="25665" hidden="1" x14ac:dyDescent="0.35"/>
    <row r="25666" hidden="1" x14ac:dyDescent="0.35"/>
    <row r="25667" hidden="1" x14ac:dyDescent="0.35"/>
    <row r="25668" hidden="1" x14ac:dyDescent="0.35"/>
    <row r="25669" hidden="1" x14ac:dyDescent="0.35"/>
    <row r="25670" hidden="1" x14ac:dyDescent="0.35"/>
    <row r="25671" hidden="1" x14ac:dyDescent="0.35"/>
    <row r="25672" hidden="1" x14ac:dyDescent="0.35"/>
    <row r="25673" hidden="1" x14ac:dyDescent="0.35"/>
    <row r="25674" hidden="1" x14ac:dyDescent="0.35"/>
    <row r="25675" hidden="1" x14ac:dyDescent="0.35"/>
    <row r="25676" hidden="1" x14ac:dyDescent="0.35"/>
    <row r="25677" hidden="1" x14ac:dyDescent="0.35"/>
    <row r="25678" hidden="1" x14ac:dyDescent="0.35"/>
    <row r="25679" hidden="1" x14ac:dyDescent="0.35"/>
    <row r="25680" hidden="1" x14ac:dyDescent="0.35"/>
    <row r="25681" hidden="1" x14ac:dyDescent="0.35"/>
    <row r="25682" hidden="1" x14ac:dyDescent="0.35"/>
    <row r="25683" hidden="1" x14ac:dyDescent="0.35"/>
    <row r="25684" hidden="1" x14ac:dyDescent="0.35"/>
    <row r="25685" hidden="1" x14ac:dyDescent="0.35"/>
    <row r="25686" hidden="1" x14ac:dyDescent="0.35"/>
    <row r="25687" hidden="1" x14ac:dyDescent="0.35"/>
    <row r="25688" hidden="1" x14ac:dyDescent="0.35"/>
    <row r="25689" hidden="1" x14ac:dyDescent="0.35"/>
    <row r="25690" hidden="1" x14ac:dyDescent="0.35"/>
    <row r="25691" hidden="1" x14ac:dyDescent="0.35"/>
    <row r="25692" hidden="1" x14ac:dyDescent="0.35"/>
    <row r="25693" hidden="1" x14ac:dyDescent="0.35"/>
    <row r="25694" hidden="1" x14ac:dyDescent="0.35"/>
    <row r="25695" hidden="1" x14ac:dyDescent="0.35"/>
    <row r="25696" hidden="1" x14ac:dyDescent="0.35"/>
    <row r="25697" hidden="1" x14ac:dyDescent="0.35"/>
    <row r="25698" hidden="1" x14ac:dyDescent="0.35"/>
    <row r="25699" hidden="1" x14ac:dyDescent="0.35"/>
    <row r="25700" hidden="1" x14ac:dyDescent="0.35"/>
    <row r="25701" hidden="1" x14ac:dyDescent="0.35"/>
    <row r="25702" hidden="1" x14ac:dyDescent="0.35"/>
    <row r="25703" hidden="1" x14ac:dyDescent="0.35"/>
    <row r="25704" hidden="1" x14ac:dyDescent="0.35"/>
    <row r="25705" hidden="1" x14ac:dyDescent="0.35"/>
    <row r="25706" hidden="1" x14ac:dyDescent="0.35"/>
    <row r="25707" hidden="1" x14ac:dyDescent="0.35"/>
    <row r="25708" hidden="1" x14ac:dyDescent="0.35"/>
    <row r="25709" hidden="1" x14ac:dyDescent="0.35"/>
    <row r="25710" hidden="1" x14ac:dyDescent="0.35"/>
    <row r="25711" hidden="1" x14ac:dyDescent="0.35"/>
    <row r="25712" hidden="1" x14ac:dyDescent="0.35"/>
    <row r="25713" hidden="1" x14ac:dyDescent="0.35"/>
    <row r="25714" hidden="1" x14ac:dyDescent="0.35"/>
    <row r="25715" hidden="1" x14ac:dyDescent="0.35"/>
    <row r="25716" hidden="1" x14ac:dyDescent="0.35"/>
    <row r="25717" hidden="1" x14ac:dyDescent="0.35"/>
    <row r="25718" hidden="1" x14ac:dyDescent="0.35"/>
    <row r="25719" hidden="1" x14ac:dyDescent="0.35"/>
    <row r="25720" hidden="1" x14ac:dyDescent="0.35"/>
    <row r="25721" hidden="1" x14ac:dyDescent="0.35"/>
    <row r="25722" hidden="1" x14ac:dyDescent="0.35"/>
    <row r="25723" hidden="1" x14ac:dyDescent="0.35"/>
    <row r="25724" hidden="1" x14ac:dyDescent="0.35"/>
    <row r="25725" hidden="1" x14ac:dyDescent="0.35"/>
    <row r="25726" hidden="1" x14ac:dyDescent="0.35"/>
    <row r="25727" hidden="1" x14ac:dyDescent="0.35"/>
    <row r="25728" hidden="1" x14ac:dyDescent="0.35"/>
    <row r="25729" hidden="1" x14ac:dyDescent="0.35"/>
    <row r="25730" hidden="1" x14ac:dyDescent="0.35"/>
    <row r="25731" hidden="1" x14ac:dyDescent="0.35"/>
    <row r="25732" hidden="1" x14ac:dyDescent="0.35"/>
    <row r="25733" hidden="1" x14ac:dyDescent="0.35"/>
    <row r="25734" hidden="1" x14ac:dyDescent="0.35"/>
    <row r="25735" hidden="1" x14ac:dyDescent="0.35"/>
    <row r="25736" hidden="1" x14ac:dyDescent="0.35"/>
    <row r="25737" hidden="1" x14ac:dyDescent="0.35"/>
    <row r="25738" hidden="1" x14ac:dyDescent="0.35"/>
    <row r="25739" hidden="1" x14ac:dyDescent="0.35"/>
    <row r="25740" hidden="1" x14ac:dyDescent="0.35"/>
    <row r="25741" hidden="1" x14ac:dyDescent="0.35"/>
    <row r="25742" hidden="1" x14ac:dyDescent="0.35"/>
    <row r="25743" hidden="1" x14ac:dyDescent="0.35"/>
    <row r="25744" hidden="1" x14ac:dyDescent="0.35"/>
    <row r="25745" hidden="1" x14ac:dyDescent="0.35"/>
    <row r="25746" hidden="1" x14ac:dyDescent="0.35"/>
    <row r="25747" hidden="1" x14ac:dyDescent="0.35"/>
    <row r="25748" hidden="1" x14ac:dyDescent="0.35"/>
    <row r="25749" hidden="1" x14ac:dyDescent="0.35"/>
    <row r="25750" hidden="1" x14ac:dyDescent="0.35"/>
    <row r="25751" hidden="1" x14ac:dyDescent="0.35"/>
    <row r="25752" hidden="1" x14ac:dyDescent="0.35"/>
    <row r="25753" hidden="1" x14ac:dyDescent="0.35"/>
    <row r="25754" hidden="1" x14ac:dyDescent="0.35"/>
    <row r="25755" hidden="1" x14ac:dyDescent="0.35"/>
    <row r="25756" hidden="1" x14ac:dyDescent="0.35"/>
    <row r="25757" hidden="1" x14ac:dyDescent="0.35"/>
    <row r="25758" hidden="1" x14ac:dyDescent="0.35"/>
    <row r="25759" hidden="1" x14ac:dyDescent="0.35"/>
    <row r="25760" hidden="1" x14ac:dyDescent="0.35"/>
    <row r="25761" hidden="1" x14ac:dyDescent="0.35"/>
    <row r="25762" hidden="1" x14ac:dyDescent="0.35"/>
    <row r="25763" hidden="1" x14ac:dyDescent="0.35"/>
    <row r="25764" hidden="1" x14ac:dyDescent="0.35"/>
    <row r="25765" hidden="1" x14ac:dyDescent="0.35"/>
    <row r="25766" hidden="1" x14ac:dyDescent="0.35"/>
    <row r="25767" hidden="1" x14ac:dyDescent="0.35"/>
    <row r="25768" hidden="1" x14ac:dyDescent="0.35"/>
    <row r="25769" hidden="1" x14ac:dyDescent="0.35"/>
    <row r="25770" hidden="1" x14ac:dyDescent="0.35"/>
    <row r="25771" hidden="1" x14ac:dyDescent="0.35"/>
    <row r="25772" hidden="1" x14ac:dyDescent="0.35"/>
    <row r="25773" hidden="1" x14ac:dyDescent="0.35"/>
    <row r="25774" hidden="1" x14ac:dyDescent="0.35"/>
    <row r="25775" hidden="1" x14ac:dyDescent="0.35"/>
    <row r="25776" hidden="1" x14ac:dyDescent="0.35"/>
    <row r="25777" hidden="1" x14ac:dyDescent="0.35"/>
    <row r="25778" hidden="1" x14ac:dyDescent="0.35"/>
    <row r="25779" hidden="1" x14ac:dyDescent="0.35"/>
    <row r="25780" hidden="1" x14ac:dyDescent="0.35"/>
    <row r="25781" hidden="1" x14ac:dyDescent="0.35"/>
    <row r="25782" hidden="1" x14ac:dyDescent="0.35"/>
    <row r="25783" hidden="1" x14ac:dyDescent="0.35"/>
    <row r="25784" hidden="1" x14ac:dyDescent="0.35"/>
    <row r="25785" hidden="1" x14ac:dyDescent="0.35"/>
    <row r="25786" hidden="1" x14ac:dyDescent="0.35"/>
    <row r="25787" hidden="1" x14ac:dyDescent="0.35"/>
    <row r="25788" hidden="1" x14ac:dyDescent="0.35"/>
    <row r="25789" hidden="1" x14ac:dyDescent="0.35"/>
    <row r="25790" hidden="1" x14ac:dyDescent="0.35"/>
    <row r="25791" hidden="1" x14ac:dyDescent="0.35"/>
    <row r="25792" hidden="1" x14ac:dyDescent="0.35"/>
    <row r="25793" hidden="1" x14ac:dyDescent="0.35"/>
    <row r="25794" hidden="1" x14ac:dyDescent="0.35"/>
    <row r="25795" hidden="1" x14ac:dyDescent="0.35"/>
    <row r="25796" hidden="1" x14ac:dyDescent="0.35"/>
    <row r="25797" hidden="1" x14ac:dyDescent="0.35"/>
    <row r="25798" hidden="1" x14ac:dyDescent="0.35"/>
    <row r="25799" hidden="1" x14ac:dyDescent="0.35"/>
    <row r="25800" hidden="1" x14ac:dyDescent="0.35"/>
    <row r="25801" hidden="1" x14ac:dyDescent="0.35"/>
    <row r="25802" hidden="1" x14ac:dyDescent="0.35"/>
    <row r="25803" hidden="1" x14ac:dyDescent="0.35"/>
    <row r="25804" hidden="1" x14ac:dyDescent="0.35"/>
    <row r="25805" hidden="1" x14ac:dyDescent="0.35"/>
    <row r="25806" hidden="1" x14ac:dyDescent="0.35"/>
    <row r="25807" hidden="1" x14ac:dyDescent="0.35"/>
    <row r="25808" hidden="1" x14ac:dyDescent="0.35"/>
    <row r="25809" hidden="1" x14ac:dyDescent="0.35"/>
    <row r="25810" hidden="1" x14ac:dyDescent="0.35"/>
    <row r="25811" hidden="1" x14ac:dyDescent="0.35"/>
    <row r="25812" hidden="1" x14ac:dyDescent="0.35"/>
    <row r="25813" hidden="1" x14ac:dyDescent="0.35"/>
    <row r="25814" hidden="1" x14ac:dyDescent="0.35"/>
    <row r="25815" hidden="1" x14ac:dyDescent="0.35"/>
    <row r="25816" hidden="1" x14ac:dyDescent="0.35"/>
    <row r="25817" hidden="1" x14ac:dyDescent="0.35"/>
    <row r="25818" hidden="1" x14ac:dyDescent="0.35"/>
    <row r="25819" hidden="1" x14ac:dyDescent="0.35"/>
    <row r="25820" hidden="1" x14ac:dyDescent="0.35"/>
    <row r="25821" hidden="1" x14ac:dyDescent="0.35"/>
    <row r="25822" hidden="1" x14ac:dyDescent="0.35"/>
    <row r="25823" hidden="1" x14ac:dyDescent="0.35"/>
    <row r="25824" hidden="1" x14ac:dyDescent="0.35"/>
    <row r="25825" hidden="1" x14ac:dyDescent="0.35"/>
    <row r="25826" hidden="1" x14ac:dyDescent="0.35"/>
    <row r="25827" hidden="1" x14ac:dyDescent="0.35"/>
    <row r="25828" hidden="1" x14ac:dyDescent="0.35"/>
    <row r="25829" hidden="1" x14ac:dyDescent="0.35"/>
    <row r="25830" hidden="1" x14ac:dyDescent="0.35"/>
    <row r="25831" hidden="1" x14ac:dyDescent="0.35"/>
    <row r="25832" hidden="1" x14ac:dyDescent="0.35"/>
    <row r="25833" hidden="1" x14ac:dyDescent="0.35"/>
    <row r="25834" hidden="1" x14ac:dyDescent="0.35"/>
    <row r="25835" hidden="1" x14ac:dyDescent="0.35"/>
    <row r="25836" hidden="1" x14ac:dyDescent="0.35"/>
    <row r="25837" hidden="1" x14ac:dyDescent="0.35"/>
    <row r="25838" hidden="1" x14ac:dyDescent="0.35"/>
    <row r="25839" hidden="1" x14ac:dyDescent="0.35"/>
    <row r="25840" hidden="1" x14ac:dyDescent="0.35"/>
    <row r="25841" hidden="1" x14ac:dyDescent="0.35"/>
    <row r="25842" hidden="1" x14ac:dyDescent="0.35"/>
    <row r="25843" hidden="1" x14ac:dyDescent="0.35"/>
    <row r="25844" hidden="1" x14ac:dyDescent="0.35"/>
    <row r="25845" hidden="1" x14ac:dyDescent="0.35"/>
    <row r="25846" hidden="1" x14ac:dyDescent="0.35"/>
    <row r="25847" hidden="1" x14ac:dyDescent="0.35"/>
    <row r="25848" hidden="1" x14ac:dyDescent="0.35"/>
    <row r="25849" hidden="1" x14ac:dyDescent="0.35"/>
    <row r="25850" hidden="1" x14ac:dyDescent="0.35"/>
    <row r="25851" hidden="1" x14ac:dyDescent="0.35"/>
    <row r="25852" hidden="1" x14ac:dyDescent="0.35"/>
    <row r="25853" hidden="1" x14ac:dyDescent="0.35"/>
    <row r="25854" hidden="1" x14ac:dyDescent="0.35"/>
    <row r="25855" hidden="1" x14ac:dyDescent="0.35"/>
    <row r="25856" hidden="1" x14ac:dyDescent="0.35"/>
    <row r="25857" hidden="1" x14ac:dyDescent="0.35"/>
    <row r="25858" hidden="1" x14ac:dyDescent="0.35"/>
    <row r="25859" hidden="1" x14ac:dyDescent="0.35"/>
    <row r="25860" hidden="1" x14ac:dyDescent="0.35"/>
    <row r="25861" hidden="1" x14ac:dyDescent="0.35"/>
    <row r="25862" hidden="1" x14ac:dyDescent="0.35"/>
    <row r="25863" hidden="1" x14ac:dyDescent="0.35"/>
    <row r="25864" hidden="1" x14ac:dyDescent="0.35"/>
    <row r="25865" hidden="1" x14ac:dyDescent="0.35"/>
    <row r="25866" hidden="1" x14ac:dyDescent="0.35"/>
    <row r="25867" hidden="1" x14ac:dyDescent="0.35"/>
    <row r="25868" hidden="1" x14ac:dyDescent="0.35"/>
    <row r="25869" hidden="1" x14ac:dyDescent="0.35"/>
    <row r="25870" hidden="1" x14ac:dyDescent="0.35"/>
    <row r="25871" hidden="1" x14ac:dyDescent="0.35"/>
    <row r="25872" hidden="1" x14ac:dyDescent="0.35"/>
    <row r="25873" hidden="1" x14ac:dyDescent="0.35"/>
    <row r="25874" hidden="1" x14ac:dyDescent="0.35"/>
    <row r="25875" hidden="1" x14ac:dyDescent="0.35"/>
    <row r="25876" hidden="1" x14ac:dyDescent="0.35"/>
    <row r="25877" hidden="1" x14ac:dyDescent="0.35"/>
    <row r="25878" hidden="1" x14ac:dyDescent="0.35"/>
    <row r="25879" hidden="1" x14ac:dyDescent="0.35"/>
    <row r="25880" hidden="1" x14ac:dyDescent="0.35"/>
    <row r="25881" hidden="1" x14ac:dyDescent="0.35"/>
    <row r="25882" hidden="1" x14ac:dyDescent="0.35"/>
    <row r="25883" hidden="1" x14ac:dyDescent="0.35"/>
    <row r="25884" hidden="1" x14ac:dyDescent="0.35"/>
    <row r="25885" hidden="1" x14ac:dyDescent="0.35"/>
    <row r="25886" hidden="1" x14ac:dyDescent="0.35"/>
    <row r="25887" hidden="1" x14ac:dyDescent="0.35"/>
    <row r="25888" hidden="1" x14ac:dyDescent="0.35"/>
    <row r="25889" hidden="1" x14ac:dyDescent="0.35"/>
    <row r="25890" hidden="1" x14ac:dyDescent="0.35"/>
    <row r="25891" hidden="1" x14ac:dyDescent="0.35"/>
    <row r="25892" hidden="1" x14ac:dyDescent="0.35"/>
    <row r="25893" hidden="1" x14ac:dyDescent="0.35"/>
    <row r="25894" hidden="1" x14ac:dyDescent="0.35"/>
    <row r="25895" hidden="1" x14ac:dyDescent="0.35"/>
    <row r="25896" hidden="1" x14ac:dyDescent="0.35"/>
    <row r="25897" hidden="1" x14ac:dyDescent="0.35"/>
    <row r="25898" hidden="1" x14ac:dyDescent="0.35"/>
    <row r="25899" hidden="1" x14ac:dyDescent="0.35"/>
    <row r="25900" hidden="1" x14ac:dyDescent="0.35"/>
    <row r="25901" hidden="1" x14ac:dyDescent="0.35"/>
    <row r="25902" hidden="1" x14ac:dyDescent="0.35"/>
    <row r="25903" hidden="1" x14ac:dyDescent="0.35"/>
    <row r="25904" hidden="1" x14ac:dyDescent="0.35"/>
    <row r="25905" hidden="1" x14ac:dyDescent="0.35"/>
    <row r="25906" hidden="1" x14ac:dyDescent="0.35"/>
    <row r="25907" hidden="1" x14ac:dyDescent="0.35"/>
    <row r="25908" hidden="1" x14ac:dyDescent="0.35"/>
    <row r="25909" hidden="1" x14ac:dyDescent="0.35"/>
    <row r="25910" hidden="1" x14ac:dyDescent="0.35"/>
    <row r="25911" hidden="1" x14ac:dyDescent="0.35"/>
    <row r="25912" hidden="1" x14ac:dyDescent="0.35"/>
    <row r="25913" hidden="1" x14ac:dyDescent="0.35"/>
    <row r="25914" hidden="1" x14ac:dyDescent="0.35"/>
    <row r="25915" hidden="1" x14ac:dyDescent="0.35"/>
    <row r="25916" hidden="1" x14ac:dyDescent="0.35"/>
    <row r="25917" hidden="1" x14ac:dyDescent="0.35"/>
    <row r="25918" hidden="1" x14ac:dyDescent="0.35"/>
    <row r="25919" hidden="1" x14ac:dyDescent="0.35"/>
    <row r="25920" hidden="1" x14ac:dyDescent="0.35"/>
    <row r="25921" hidden="1" x14ac:dyDescent="0.35"/>
    <row r="25922" hidden="1" x14ac:dyDescent="0.35"/>
    <row r="25923" hidden="1" x14ac:dyDescent="0.35"/>
    <row r="25924" hidden="1" x14ac:dyDescent="0.35"/>
    <row r="25925" hidden="1" x14ac:dyDescent="0.35"/>
    <row r="25926" hidden="1" x14ac:dyDescent="0.35"/>
    <row r="25927" hidden="1" x14ac:dyDescent="0.35"/>
    <row r="25928" hidden="1" x14ac:dyDescent="0.35"/>
    <row r="25929" hidden="1" x14ac:dyDescent="0.35"/>
    <row r="25930" hidden="1" x14ac:dyDescent="0.35"/>
    <row r="25931" hidden="1" x14ac:dyDescent="0.35"/>
    <row r="25932" hidden="1" x14ac:dyDescent="0.35"/>
    <row r="25933" hidden="1" x14ac:dyDescent="0.35"/>
    <row r="25934" hidden="1" x14ac:dyDescent="0.35"/>
    <row r="25935" hidden="1" x14ac:dyDescent="0.35"/>
    <row r="25936" hidden="1" x14ac:dyDescent="0.35"/>
    <row r="25937" hidden="1" x14ac:dyDescent="0.35"/>
    <row r="25938" hidden="1" x14ac:dyDescent="0.35"/>
    <row r="25939" hidden="1" x14ac:dyDescent="0.35"/>
    <row r="25940" hidden="1" x14ac:dyDescent="0.35"/>
    <row r="25941" hidden="1" x14ac:dyDescent="0.35"/>
    <row r="25942" hidden="1" x14ac:dyDescent="0.35"/>
    <row r="25943" hidden="1" x14ac:dyDescent="0.35"/>
    <row r="25944" hidden="1" x14ac:dyDescent="0.35"/>
    <row r="25945" hidden="1" x14ac:dyDescent="0.35"/>
    <row r="25946" hidden="1" x14ac:dyDescent="0.35"/>
    <row r="25947" hidden="1" x14ac:dyDescent="0.35"/>
    <row r="25948" hidden="1" x14ac:dyDescent="0.35"/>
    <row r="25949" hidden="1" x14ac:dyDescent="0.35"/>
    <row r="25950" hidden="1" x14ac:dyDescent="0.35"/>
    <row r="25951" hidden="1" x14ac:dyDescent="0.35"/>
    <row r="25952" hidden="1" x14ac:dyDescent="0.35"/>
    <row r="25953" hidden="1" x14ac:dyDescent="0.35"/>
    <row r="25954" hidden="1" x14ac:dyDescent="0.35"/>
    <row r="25955" hidden="1" x14ac:dyDescent="0.35"/>
    <row r="25956" hidden="1" x14ac:dyDescent="0.35"/>
    <row r="25957" hidden="1" x14ac:dyDescent="0.35"/>
    <row r="25958" hidden="1" x14ac:dyDescent="0.35"/>
    <row r="25959" hidden="1" x14ac:dyDescent="0.35"/>
    <row r="25960" hidden="1" x14ac:dyDescent="0.35"/>
    <row r="25961" hidden="1" x14ac:dyDescent="0.35"/>
    <row r="25962" hidden="1" x14ac:dyDescent="0.35"/>
    <row r="25963" hidden="1" x14ac:dyDescent="0.35"/>
    <row r="25964" hidden="1" x14ac:dyDescent="0.35"/>
    <row r="25965" hidden="1" x14ac:dyDescent="0.35"/>
    <row r="25966" hidden="1" x14ac:dyDescent="0.35"/>
    <row r="25967" hidden="1" x14ac:dyDescent="0.35"/>
    <row r="25968" hidden="1" x14ac:dyDescent="0.35"/>
    <row r="25969" hidden="1" x14ac:dyDescent="0.35"/>
    <row r="25970" hidden="1" x14ac:dyDescent="0.35"/>
    <row r="25971" hidden="1" x14ac:dyDescent="0.35"/>
    <row r="25972" hidden="1" x14ac:dyDescent="0.35"/>
    <row r="25973" hidden="1" x14ac:dyDescent="0.35"/>
    <row r="25974" hidden="1" x14ac:dyDescent="0.35"/>
    <row r="25975" hidden="1" x14ac:dyDescent="0.35"/>
    <row r="25976" hidden="1" x14ac:dyDescent="0.35"/>
    <row r="25977" hidden="1" x14ac:dyDescent="0.35"/>
    <row r="25978" hidden="1" x14ac:dyDescent="0.35"/>
    <row r="25979" hidden="1" x14ac:dyDescent="0.35"/>
    <row r="25980" hidden="1" x14ac:dyDescent="0.35"/>
    <row r="25981" hidden="1" x14ac:dyDescent="0.35"/>
    <row r="25982" hidden="1" x14ac:dyDescent="0.35"/>
    <row r="25983" hidden="1" x14ac:dyDescent="0.35"/>
    <row r="25984" hidden="1" x14ac:dyDescent="0.35"/>
    <row r="25985" hidden="1" x14ac:dyDescent="0.35"/>
    <row r="25986" hidden="1" x14ac:dyDescent="0.35"/>
    <row r="25987" hidden="1" x14ac:dyDescent="0.35"/>
    <row r="25988" hidden="1" x14ac:dyDescent="0.35"/>
    <row r="25989" hidden="1" x14ac:dyDescent="0.35"/>
    <row r="25990" hidden="1" x14ac:dyDescent="0.35"/>
    <row r="25991" hidden="1" x14ac:dyDescent="0.35"/>
    <row r="25992" hidden="1" x14ac:dyDescent="0.35"/>
    <row r="25993" hidden="1" x14ac:dyDescent="0.35"/>
    <row r="25994" hidden="1" x14ac:dyDescent="0.35"/>
    <row r="25995" hidden="1" x14ac:dyDescent="0.35"/>
    <row r="25996" hidden="1" x14ac:dyDescent="0.35"/>
    <row r="25997" hidden="1" x14ac:dyDescent="0.35"/>
    <row r="25998" hidden="1" x14ac:dyDescent="0.35"/>
    <row r="25999" hidden="1" x14ac:dyDescent="0.35"/>
    <row r="26000" hidden="1" x14ac:dyDescent="0.35"/>
    <row r="26001" hidden="1" x14ac:dyDescent="0.35"/>
    <row r="26002" hidden="1" x14ac:dyDescent="0.35"/>
    <row r="26003" hidden="1" x14ac:dyDescent="0.35"/>
    <row r="26004" hidden="1" x14ac:dyDescent="0.35"/>
    <row r="26005" hidden="1" x14ac:dyDescent="0.35"/>
    <row r="26006" hidden="1" x14ac:dyDescent="0.35"/>
    <row r="26007" hidden="1" x14ac:dyDescent="0.35"/>
    <row r="26008" hidden="1" x14ac:dyDescent="0.35"/>
    <row r="26009" hidden="1" x14ac:dyDescent="0.35"/>
    <row r="26010" hidden="1" x14ac:dyDescent="0.35"/>
    <row r="26011" hidden="1" x14ac:dyDescent="0.35"/>
    <row r="26012" hidden="1" x14ac:dyDescent="0.35"/>
    <row r="26013" hidden="1" x14ac:dyDescent="0.35"/>
    <row r="26014" hidden="1" x14ac:dyDescent="0.35"/>
    <row r="26015" hidden="1" x14ac:dyDescent="0.35"/>
    <row r="26016" hidden="1" x14ac:dyDescent="0.35"/>
    <row r="26017" hidden="1" x14ac:dyDescent="0.35"/>
    <row r="26018" hidden="1" x14ac:dyDescent="0.35"/>
    <row r="26019" hidden="1" x14ac:dyDescent="0.35"/>
    <row r="26020" hidden="1" x14ac:dyDescent="0.35"/>
    <row r="26021" hidden="1" x14ac:dyDescent="0.35"/>
    <row r="26022" hidden="1" x14ac:dyDescent="0.35"/>
    <row r="26023" hidden="1" x14ac:dyDescent="0.35"/>
    <row r="26024" hidden="1" x14ac:dyDescent="0.35"/>
    <row r="26025" hidden="1" x14ac:dyDescent="0.35"/>
    <row r="26026" hidden="1" x14ac:dyDescent="0.35"/>
    <row r="26027" hidden="1" x14ac:dyDescent="0.35"/>
    <row r="26028" hidden="1" x14ac:dyDescent="0.35"/>
    <row r="26029" hidden="1" x14ac:dyDescent="0.35"/>
    <row r="26030" hidden="1" x14ac:dyDescent="0.35"/>
    <row r="26031" hidden="1" x14ac:dyDescent="0.35"/>
    <row r="26032" hidden="1" x14ac:dyDescent="0.35"/>
    <row r="26033" hidden="1" x14ac:dyDescent="0.35"/>
    <row r="26034" hidden="1" x14ac:dyDescent="0.35"/>
    <row r="26035" hidden="1" x14ac:dyDescent="0.35"/>
    <row r="26036" hidden="1" x14ac:dyDescent="0.35"/>
    <row r="26037" hidden="1" x14ac:dyDescent="0.35"/>
    <row r="26038" hidden="1" x14ac:dyDescent="0.35"/>
    <row r="26039" hidden="1" x14ac:dyDescent="0.35"/>
    <row r="26040" hidden="1" x14ac:dyDescent="0.35"/>
    <row r="26041" hidden="1" x14ac:dyDescent="0.35"/>
    <row r="26042" hidden="1" x14ac:dyDescent="0.35"/>
    <row r="26043" hidden="1" x14ac:dyDescent="0.35"/>
    <row r="26044" hidden="1" x14ac:dyDescent="0.35"/>
    <row r="26045" hidden="1" x14ac:dyDescent="0.35"/>
    <row r="26046" hidden="1" x14ac:dyDescent="0.35"/>
    <row r="26047" hidden="1" x14ac:dyDescent="0.35"/>
    <row r="26048" hidden="1" x14ac:dyDescent="0.35"/>
    <row r="26049" hidden="1" x14ac:dyDescent="0.35"/>
    <row r="26050" hidden="1" x14ac:dyDescent="0.35"/>
    <row r="26051" hidden="1" x14ac:dyDescent="0.35"/>
    <row r="26052" hidden="1" x14ac:dyDescent="0.35"/>
    <row r="26053" hidden="1" x14ac:dyDescent="0.35"/>
    <row r="26054" hidden="1" x14ac:dyDescent="0.35"/>
    <row r="26055" hidden="1" x14ac:dyDescent="0.35"/>
    <row r="26056" hidden="1" x14ac:dyDescent="0.35"/>
    <row r="26057" hidden="1" x14ac:dyDescent="0.35"/>
    <row r="26058" hidden="1" x14ac:dyDescent="0.35"/>
    <row r="26059" hidden="1" x14ac:dyDescent="0.35"/>
    <row r="26060" hidden="1" x14ac:dyDescent="0.35"/>
    <row r="26061" hidden="1" x14ac:dyDescent="0.35"/>
    <row r="26062" hidden="1" x14ac:dyDescent="0.35"/>
    <row r="26063" hidden="1" x14ac:dyDescent="0.35"/>
    <row r="26064" hidden="1" x14ac:dyDescent="0.35"/>
    <row r="26065" hidden="1" x14ac:dyDescent="0.35"/>
    <row r="26066" hidden="1" x14ac:dyDescent="0.35"/>
    <row r="26067" hidden="1" x14ac:dyDescent="0.35"/>
    <row r="26068" hidden="1" x14ac:dyDescent="0.35"/>
    <row r="26069" hidden="1" x14ac:dyDescent="0.35"/>
    <row r="26070" hidden="1" x14ac:dyDescent="0.35"/>
    <row r="26071" hidden="1" x14ac:dyDescent="0.35"/>
    <row r="26072" hidden="1" x14ac:dyDescent="0.35"/>
    <row r="26073" hidden="1" x14ac:dyDescent="0.35"/>
    <row r="26074" hidden="1" x14ac:dyDescent="0.35"/>
    <row r="26075" hidden="1" x14ac:dyDescent="0.35"/>
    <row r="26076" hidden="1" x14ac:dyDescent="0.35"/>
    <row r="26077" hidden="1" x14ac:dyDescent="0.35"/>
    <row r="26078" hidden="1" x14ac:dyDescent="0.35"/>
    <row r="26079" hidden="1" x14ac:dyDescent="0.35"/>
    <row r="26080" hidden="1" x14ac:dyDescent="0.35"/>
    <row r="26081" hidden="1" x14ac:dyDescent="0.35"/>
    <row r="26082" hidden="1" x14ac:dyDescent="0.35"/>
    <row r="26083" hidden="1" x14ac:dyDescent="0.35"/>
    <row r="26084" hidden="1" x14ac:dyDescent="0.35"/>
    <row r="26085" hidden="1" x14ac:dyDescent="0.35"/>
    <row r="26086" hidden="1" x14ac:dyDescent="0.35"/>
    <row r="26087" hidden="1" x14ac:dyDescent="0.35"/>
    <row r="26088" hidden="1" x14ac:dyDescent="0.35"/>
    <row r="26089" hidden="1" x14ac:dyDescent="0.35"/>
    <row r="26090" hidden="1" x14ac:dyDescent="0.35"/>
    <row r="26091" hidden="1" x14ac:dyDescent="0.35"/>
    <row r="26092" hidden="1" x14ac:dyDescent="0.35"/>
    <row r="26093" hidden="1" x14ac:dyDescent="0.35"/>
    <row r="26094" hidden="1" x14ac:dyDescent="0.35"/>
    <row r="26095" hidden="1" x14ac:dyDescent="0.35"/>
    <row r="26096" hidden="1" x14ac:dyDescent="0.35"/>
    <row r="26097" hidden="1" x14ac:dyDescent="0.35"/>
    <row r="26098" hidden="1" x14ac:dyDescent="0.35"/>
    <row r="26099" hidden="1" x14ac:dyDescent="0.35"/>
    <row r="26100" hidden="1" x14ac:dyDescent="0.35"/>
    <row r="26101" hidden="1" x14ac:dyDescent="0.35"/>
    <row r="26102" hidden="1" x14ac:dyDescent="0.35"/>
    <row r="26103" hidden="1" x14ac:dyDescent="0.35"/>
    <row r="26104" hidden="1" x14ac:dyDescent="0.35"/>
    <row r="26105" hidden="1" x14ac:dyDescent="0.35"/>
    <row r="26106" hidden="1" x14ac:dyDescent="0.35"/>
    <row r="26107" hidden="1" x14ac:dyDescent="0.35"/>
    <row r="26108" hidden="1" x14ac:dyDescent="0.35"/>
    <row r="26109" hidden="1" x14ac:dyDescent="0.35"/>
    <row r="26110" hidden="1" x14ac:dyDescent="0.35"/>
    <row r="26111" hidden="1" x14ac:dyDescent="0.35"/>
    <row r="26112" hidden="1" x14ac:dyDescent="0.35"/>
    <row r="26113" hidden="1" x14ac:dyDescent="0.35"/>
    <row r="26114" hidden="1" x14ac:dyDescent="0.35"/>
    <row r="26115" hidden="1" x14ac:dyDescent="0.35"/>
    <row r="26116" hidden="1" x14ac:dyDescent="0.35"/>
    <row r="26117" hidden="1" x14ac:dyDescent="0.35"/>
    <row r="26118" hidden="1" x14ac:dyDescent="0.35"/>
    <row r="26119" hidden="1" x14ac:dyDescent="0.35"/>
    <row r="26120" hidden="1" x14ac:dyDescent="0.35"/>
    <row r="26121" hidden="1" x14ac:dyDescent="0.35"/>
    <row r="26122" hidden="1" x14ac:dyDescent="0.35"/>
    <row r="26123" hidden="1" x14ac:dyDescent="0.35"/>
    <row r="26124" hidden="1" x14ac:dyDescent="0.35"/>
    <row r="26125" hidden="1" x14ac:dyDescent="0.35"/>
    <row r="26126" hidden="1" x14ac:dyDescent="0.35"/>
    <row r="26127" hidden="1" x14ac:dyDescent="0.35"/>
    <row r="26128" hidden="1" x14ac:dyDescent="0.35"/>
    <row r="26129" hidden="1" x14ac:dyDescent="0.35"/>
    <row r="26130" hidden="1" x14ac:dyDescent="0.35"/>
    <row r="26131" hidden="1" x14ac:dyDescent="0.35"/>
    <row r="26132" hidden="1" x14ac:dyDescent="0.35"/>
    <row r="26133" hidden="1" x14ac:dyDescent="0.35"/>
    <row r="26134" hidden="1" x14ac:dyDescent="0.35"/>
    <row r="26135" hidden="1" x14ac:dyDescent="0.35"/>
    <row r="26136" hidden="1" x14ac:dyDescent="0.35"/>
    <row r="26137" hidden="1" x14ac:dyDescent="0.35"/>
    <row r="26138" hidden="1" x14ac:dyDescent="0.35"/>
    <row r="26139" hidden="1" x14ac:dyDescent="0.35"/>
    <row r="26140" hidden="1" x14ac:dyDescent="0.35"/>
    <row r="26141" hidden="1" x14ac:dyDescent="0.35"/>
    <row r="26142" hidden="1" x14ac:dyDescent="0.35"/>
    <row r="26143" hidden="1" x14ac:dyDescent="0.35"/>
    <row r="26144" hidden="1" x14ac:dyDescent="0.35"/>
    <row r="26145" hidden="1" x14ac:dyDescent="0.35"/>
    <row r="26146" hidden="1" x14ac:dyDescent="0.35"/>
    <row r="26147" hidden="1" x14ac:dyDescent="0.35"/>
    <row r="26148" hidden="1" x14ac:dyDescent="0.35"/>
    <row r="26149" hidden="1" x14ac:dyDescent="0.35"/>
    <row r="26150" hidden="1" x14ac:dyDescent="0.35"/>
    <row r="26151" hidden="1" x14ac:dyDescent="0.35"/>
    <row r="26152" hidden="1" x14ac:dyDescent="0.35"/>
    <row r="26153" hidden="1" x14ac:dyDescent="0.35"/>
    <row r="26154" hidden="1" x14ac:dyDescent="0.35"/>
    <row r="26155" hidden="1" x14ac:dyDescent="0.35"/>
    <row r="26156" hidden="1" x14ac:dyDescent="0.35"/>
    <row r="26157" hidden="1" x14ac:dyDescent="0.35"/>
    <row r="26158" hidden="1" x14ac:dyDescent="0.35"/>
    <row r="26159" hidden="1" x14ac:dyDescent="0.35"/>
    <row r="26160" hidden="1" x14ac:dyDescent="0.35"/>
    <row r="26161" hidden="1" x14ac:dyDescent="0.35"/>
    <row r="26162" hidden="1" x14ac:dyDescent="0.35"/>
    <row r="26163" hidden="1" x14ac:dyDescent="0.35"/>
    <row r="26164" hidden="1" x14ac:dyDescent="0.35"/>
    <row r="26165" hidden="1" x14ac:dyDescent="0.35"/>
    <row r="26166" hidden="1" x14ac:dyDescent="0.35"/>
    <row r="26167" hidden="1" x14ac:dyDescent="0.35"/>
    <row r="26168" hidden="1" x14ac:dyDescent="0.35"/>
    <row r="26169" hidden="1" x14ac:dyDescent="0.35"/>
    <row r="26170" hidden="1" x14ac:dyDescent="0.35"/>
    <row r="26171" hidden="1" x14ac:dyDescent="0.35"/>
    <row r="26172" hidden="1" x14ac:dyDescent="0.35"/>
    <row r="26173" hidden="1" x14ac:dyDescent="0.35"/>
    <row r="26174" hidden="1" x14ac:dyDescent="0.35"/>
    <row r="26175" hidden="1" x14ac:dyDescent="0.35"/>
    <row r="26176" hidden="1" x14ac:dyDescent="0.35"/>
    <row r="26177" hidden="1" x14ac:dyDescent="0.35"/>
    <row r="26178" hidden="1" x14ac:dyDescent="0.35"/>
    <row r="26179" hidden="1" x14ac:dyDescent="0.35"/>
    <row r="26180" hidden="1" x14ac:dyDescent="0.35"/>
    <row r="26181" hidden="1" x14ac:dyDescent="0.35"/>
    <row r="26182" hidden="1" x14ac:dyDescent="0.35"/>
    <row r="26183" hidden="1" x14ac:dyDescent="0.35"/>
    <row r="26184" hidden="1" x14ac:dyDescent="0.35"/>
    <row r="26185" hidden="1" x14ac:dyDescent="0.35"/>
    <row r="26186" hidden="1" x14ac:dyDescent="0.35"/>
    <row r="26187" hidden="1" x14ac:dyDescent="0.35"/>
    <row r="26188" hidden="1" x14ac:dyDescent="0.35"/>
    <row r="26189" hidden="1" x14ac:dyDescent="0.35"/>
    <row r="26190" hidden="1" x14ac:dyDescent="0.35"/>
    <row r="26191" hidden="1" x14ac:dyDescent="0.35"/>
    <row r="26192" hidden="1" x14ac:dyDescent="0.35"/>
    <row r="26193" hidden="1" x14ac:dyDescent="0.35"/>
    <row r="26194" hidden="1" x14ac:dyDescent="0.35"/>
    <row r="26195" hidden="1" x14ac:dyDescent="0.35"/>
    <row r="26196" hidden="1" x14ac:dyDescent="0.35"/>
    <row r="26197" hidden="1" x14ac:dyDescent="0.35"/>
    <row r="26198" hidden="1" x14ac:dyDescent="0.35"/>
    <row r="26199" hidden="1" x14ac:dyDescent="0.35"/>
    <row r="26200" hidden="1" x14ac:dyDescent="0.35"/>
    <row r="26201" hidden="1" x14ac:dyDescent="0.35"/>
    <row r="26202" hidden="1" x14ac:dyDescent="0.35"/>
    <row r="26203" hidden="1" x14ac:dyDescent="0.35"/>
    <row r="26204" hidden="1" x14ac:dyDescent="0.35"/>
    <row r="26205" hidden="1" x14ac:dyDescent="0.35"/>
    <row r="26206" hidden="1" x14ac:dyDescent="0.35"/>
    <row r="26207" hidden="1" x14ac:dyDescent="0.35"/>
    <row r="26208" hidden="1" x14ac:dyDescent="0.35"/>
    <row r="26209" hidden="1" x14ac:dyDescent="0.35"/>
    <row r="26210" hidden="1" x14ac:dyDescent="0.35"/>
    <row r="26211" hidden="1" x14ac:dyDescent="0.35"/>
    <row r="26212" hidden="1" x14ac:dyDescent="0.35"/>
    <row r="26213" hidden="1" x14ac:dyDescent="0.35"/>
    <row r="26214" hidden="1" x14ac:dyDescent="0.35"/>
    <row r="26215" hidden="1" x14ac:dyDescent="0.35"/>
    <row r="26216" hidden="1" x14ac:dyDescent="0.35"/>
    <row r="26217" hidden="1" x14ac:dyDescent="0.35"/>
    <row r="26218" hidden="1" x14ac:dyDescent="0.35"/>
    <row r="26219" hidden="1" x14ac:dyDescent="0.35"/>
    <row r="26220" hidden="1" x14ac:dyDescent="0.35"/>
    <row r="26221" hidden="1" x14ac:dyDescent="0.35"/>
    <row r="26222" hidden="1" x14ac:dyDescent="0.35"/>
    <row r="26223" hidden="1" x14ac:dyDescent="0.35"/>
    <row r="26224" hidden="1" x14ac:dyDescent="0.35"/>
    <row r="26225" hidden="1" x14ac:dyDescent="0.35"/>
    <row r="26226" hidden="1" x14ac:dyDescent="0.35"/>
    <row r="26227" hidden="1" x14ac:dyDescent="0.35"/>
    <row r="26228" hidden="1" x14ac:dyDescent="0.35"/>
    <row r="26229" hidden="1" x14ac:dyDescent="0.35"/>
    <row r="26230" hidden="1" x14ac:dyDescent="0.35"/>
    <row r="26231" hidden="1" x14ac:dyDescent="0.35"/>
    <row r="26232" hidden="1" x14ac:dyDescent="0.35"/>
    <row r="26233" hidden="1" x14ac:dyDescent="0.35"/>
    <row r="26234" hidden="1" x14ac:dyDescent="0.35"/>
    <row r="26235" hidden="1" x14ac:dyDescent="0.35"/>
    <row r="26236" hidden="1" x14ac:dyDescent="0.35"/>
    <row r="26237" hidden="1" x14ac:dyDescent="0.35"/>
    <row r="26238" hidden="1" x14ac:dyDescent="0.35"/>
    <row r="26239" hidden="1" x14ac:dyDescent="0.35"/>
    <row r="26240" hidden="1" x14ac:dyDescent="0.35"/>
    <row r="26241" hidden="1" x14ac:dyDescent="0.35"/>
    <row r="26242" hidden="1" x14ac:dyDescent="0.35"/>
    <row r="26243" hidden="1" x14ac:dyDescent="0.35"/>
    <row r="26244" hidden="1" x14ac:dyDescent="0.35"/>
    <row r="26245" hidden="1" x14ac:dyDescent="0.35"/>
    <row r="26246" hidden="1" x14ac:dyDescent="0.35"/>
    <row r="26247" hidden="1" x14ac:dyDescent="0.35"/>
    <row r="26248" hidden="1" x14ac:dyDescent="0.35"/>
    <row r="26249" hidden="1" x14ac:dyDescent="0.35"/>
    <row r="26250" hidden="1" x14ac:dyDescent="0.35"/>
    <row r="26251" hidden="1" x14ac:dyDescent="0.35"/>
    <row r="26252" hidden="1" x14ac:dyDescent="0.35"/>
    <row r="26253" hidden="1" x14ac:dyDescent="0.35"/>
    <row r="26254" hidden="1" x14ac:dyDescent="0.35"/>
    <row r="26255" hidden="1" x14ac:dyDescent="0.35"/>
    <row r="26256" hidden="1" x14ac:dyDescent="0.35"/>
    <row r="26257" hidden="1" x14ac:dyDescent="0.35"/>
    <row r="26258" hidden="1" x14ac:dyDescent="0.35"/>
    <row r="26259" hidden="1" x14ac:dyDescent="0.35"/>
    <row r="26260" hidden="1" x14ac:dyDescent="0.35"/>
    <row r="26261" hidden="1" x14ac:dyDescent="0.35"/>
    <row r="26262" hidden="1" x14ac:dyDescent="0.35"/>
    <row r="26263" hidden="1" x14ac:dyDescent="0.35"/>
    <row r="26264" hidden="1" x14ac:dyDescent="0.35"/>
    <row r="26265" hidden="1" x14ac:dyDescent="0.35"/>
    <row r="26266" hidden="1" x14ac:dyDescent="0.35"/>
    <row r="26267" hidden="1" x14ac:dyDescent="0.35"/>
    <row r="26268" hidden="1" x14ac:dyDescent="0.35"/>
    <row r="26269" hidden="1" x14ac:dyDescent="0.35"/>
    <row r="26270" hidden="1" x14ac:dyDescent="0.35"/>
    <row r="26271" hidden="1" x14ac:dyDescent="0.35"/>
    <row r="26272" hidden="1" x14ac:dyDescent="0.35"/>
    <row r="26273" hidden="1" x14ac:dyDescent="0.35"/>
    <row r="26274" hidden="1" x14ac:dyDescent="0.35"/>
    <row r="26275" hidden="1" x14ac:dyDescent="0.35"/>
    <row r="26276" hidden="1" x14ac:dyDescent="0.35"/>
    <row r="26277" hidden="1" x14ac:dyDescent="0.35"/>
    <row r="26278" hidden="1" x14ac:dyDescent="0.35"/>
    <row r="26279" hidden="1" x14ac:dyDescent="0.35"/>
    <row r="26280" hidden="1" x14ac:dyDescent="0.35"/>
    <row r="26281" hidden="1" x14ac:dyDescent="0.35"/>
    <row r="26282" hidden="1" x14ac:dyDescent="0.35"/>
    <row r="26283" hidden="1" x14ac:dyDescent="0.35"/>
    <row r="26284" hidden="1" x14ac:dyDescent="0.35"/>
    <row r="26285" hidden="1" x14ac:dyDescent="0.35"/>
    <row r="26286" hidden="1" x14ac:dyDescent="0.35"/>
    <row r="26287" hidden="1" x14ac:dyDescent="0.35"/>
    <row r="26288" hidden="1" x14ac:dyDescent="0.35"/>
    <row r="26289" hidden="1" x14ac:dyDescent="0.35"/>
    <row r="26290" hidden="1" x14ac:dyDescent="0.35"/>
    <row r="26291" hidden="1" x14ac:dyDescent="0.35"/>
    <row r="26292" hidden="1" x14ac:dyDescent="0.35"/>
    <row r="26293" hidden="1" x14ac:dyDescent="0.35"/>
    <row r="26294" hidden="1" x14ac:dyDescent="0.35"/>
    <row r="26295" hidden="1" x14ac:dyDescent="0.35"/>
    <row r="26296" hidden="1" x14ac:dyDescent="0.35"/>
    <row r="26297" hidden="1" x14ac:dyDescent="0.35"/>
    <row r="26298" hidden="1" x14ac:dyDescent="0.35"/>
    <row r="26299" hidden="1" x14ac:dyDescent="0.35"/>
    <row r="26300" hidden="1" x14ac:dyDescent="0.35"/>
    <row r="26301" hidden="1" x14ac:dyDescent="0.35"/>
    <row r="26302" hidden="1" x14ac:dyDescent="0.35"/>
    <row r="26303" hidden="1" x14ac:dyDescent="0.35"/>
    <row r="26304" hidden="1" x14ac:dyDescent="0.35"/>
    <row r="26305" hidden="1" x14ac:dyDescent="0.35"/>
    <row r="26306" hidden="1" x14ac:dyDescent="0.35"/>
    <row r="26307" hidden="1" x14ac:dyDescent="0.35"/>
    <row r="26308" hidden="1" x14ac:dyDescent="0.35"/>
    <row r="26309" hidden="1" x14ac:dyDescent="0.35"/>
    <row r="26310" hidden="1" x14ac:dyDescent="0.35"/>
    <row r="26311" hidden="1" x14ac:dyDescent="0.35"/>
    <row r="26312" hidden="1" x14ac:dyDescent="0.35"/>
    <row r="26313" hidden="1" x14ac:dyDescent="0.35"/>
    <row r="26314" hidden="1" x14ac:dyDescent="0.35"/>
    <row r="26315" hidden="1" x14ac:dyDescent="0.35"/>
    <row r="26316" hidden="1" x14ac:dyDescent="0.35"/>
    <row r="26317" hidden="1" x14ac:dyDescent="0.35"/>
    <row r="26318" hidden="1" x14ac:dyDescent="0.35"/>
    <row r="26319" hidden="1" x14ac:dyDescent="0.35"/>
    <row r="26320" hidden="1" x14ac:dyDescent="0.35"/>
    <row r="26321" hidden="1" x14ac:dyDescent="0.35"/>
    <row r="26322" hidden="1" x14ac:dyDescent="0.35"/>
    <row r="26323" hidden="1" x14ac:dyDescent="0.35"/>
    <row r="26324" hidden="1" x14ac:dyDescent="0.35"/>
    <row r="26325" hidden="1" x14ac:dyDescent="0.35"/>
    <row r="26326" hidden="1" x14ac:dyDescent="0.35"/>
    <row r="26327" hidden="1" x14ac:dyDescent="0.35"/>
    <row r="26328" hidden="1" x14ac:dyDescent="0.35"/>
    <row r="26329" hidden="1" x14ac:dyDescent="0.35"/>
    <row r="26330" hidden="1" x14ac:dyDescent="0.35"/>
    <row r="26331" hidden="1" x14ac:dyDescent="0.35"/>
    <row r="26332" hidden="1" x14ac:dyDescent="0.35"/>
    <row r="26333" hidden="1" x14ac:dyDescent="0.35"/>
    <row r="26334" hidden="1" x14ac:dyDescent="0.35"/>
    <row r="26335" hidden="1" x14ac:dyDescent="0.35"/>
    <row r="26336" hidden="1" x14ac:dyDescent="0.35"/>
    <row r="26337" hidden="1" x14ac:dyDescent="0.35"/>
    <row r="26338" hidden="1" x14ac:dyDescent="0.35"/>
    <row r="26339" hidden="1" x14ac:dyDescent="0.35"/>
    <row r="26340" hidden="1" x14ac:dyDescent="0.35"/>
    <row r="26341" hidden="1" x14ac:dyDescent="0.35"/>
    <row r="26342" hidden="1" x14ac:dyDescent="0.35"/>
    <row r="26343" hidden="1" x14ac:dyDescent="0.35"/>
    <row r="26344" hidden="1" x14ac:dyDescent="0.35"/>
    <row r="26345" hidden="1" x14ac:dyDescent="0.35"/>
    <row r="26346" hidden="1" x14ac:dyDescent="0.35"/>
    <row r="26347" hidden="1" x14ac:dyDescent="0.35"/>
    <row r="26348" hidden="1" x14ac:dyDescent="0.35"/>
    <row r="26349" hidden="1" x14ac:dyDescent="0.35"/>
    <row r="26350" hidden="1" x14ac:dyDescent="0.35"/>
    <row r="26351" hidden="1" x14ac:dyDescent="0.35"/>
    <row r="26352" hidden="1" x14ac:dyDescent="0.35"/>
    <row r="26353" hidden="1" x14ac:dyDescent="0.35"/>
    <row r="26354" hidden="1" x14ac:dyDescent="0.35"/>
    <row r="26355" hidden="1" x14ac:dyDescent="0.35"/>
    <row r="26356" hidden="1" x14ac:dyDescent="0.35"/>
    <row r="26357" hidden="1" x14ac:dyDescent="0.35"/>
    <row r="26358" hidden="1" x14ac:dyDescent="0.35"/>
    <row r="26359" hidden="1" x14ac:dyDescent="0.35"/>
    <row r="26360" hidden="1" x14ac:dyDescent="0.35"/>
    <row r="26361" hidden="1" x14ac:dyDescent="0.35"/>
    <row r="26362" hidden="1" x14ac:dyDescent="0.35"/>
    <row r="26363" hidden="1" x14ac:dyDescent="0.35"/>
    <row r="26364" hidden="1" x14ac:dyDescent="0.35"/>
    <row r="26365" hidden="1" x14ac:dyDescent="0.35"/>
    <row r="26366" hidden="1" x14ac:dyDescent="0.35"/>
    <row r="26367" hidden="1" x14ac:dyDescent="0.35"/>
    <row r="26368" hidden="1" x14ac:dyDescent="0.35"/>
    <row r="26369" hidden="1" x14ac:dyDescent="0.35"/>
    <row r="26370" hidden="1" x14ac:dyDescent="0.35"/>
    <row r="26371" hidden="1" x14ac:dyDescent="0.35"/>
    <row r="26372" hidden="1" x14ac:dyDescent="0.35"/>
    <row r="26373" hidden="1" x14ac:dyDescent="0.35"/>
    <row r="26374" hidden="1" x14ac:dyDescent="0.35"/>
    <row r="26375" hidden="1" x14ac:dyDescent="0.35"/>
    <row r="26376" hidden="1" x14ac:dyDescent="0.35"/>
    <row r="26377" hidden="1" x14ac:dyDescent="0.35"/>
    <row r="26378" hidden="1" x14ac:dyDescent="0.35"/>
    <row r="26379" hidden="1" x14ac:dyDescent="0.35"/>
    <row r="26380" hidden="1" x14ac:dyDescent="0.35"/>
    <row r="26381" hidden="1" x14ac:dyDescent="0.35"/>
    <row r="26382" hidden="1" x14ac:dyDescent="0.35"/>
    <row r="26383" hidden="1" x14ac:dyDescent="0.35"/>
    <row r="26384" hidden="1" x14ac:dyDescent="0.35"/>
    <row r="26385" hidden="1" x14ac:dyDescent="0.35"/>
    <row r="26386" hidden="1" x14ac:dyDescent="0.35"/>
    <row r="26387" hidden="1" x14ac:dyDescent="0.35"/>
    <row r="26388" hidden="1" x14ac:dyDescent="0.35"/>
    <row r="26389" hidden="1" x14ac:dyDescent="0.35"/>
    <row r="26390" hidden="1" x14ac:dyDescent="0.35"/>
    <row r="26391" hidden="1" x14ac:dyDescent="0.35"/>
    <row r="26392" hidden="1" x14ac:dyDescent="0.35"/>
    <row r="26393" hidden="1" x14ac:dyDescent="0.35"/>
    <row r="26394" hidden="1" x14ac:dyDescent="0.35"/>
    <row r="26395" hidden="1" x14ac:dyDescent="0.35"/>
    <row r="26396" hidden="1" x14ac:dyDescent="0.35"/>
    <row r="26397" hidden="1" x14ac:dyDescent="0.35"/>
    <row r="26398" hidden="1" x14ac:dyDescent="0.35"/>
    <row r="26399" hidden="1" x14ac:dyDescent="0.35"/>
    <row r="26400" hidden="1" x14ac:dyDescent="0.35"/>
    <row r="26401" hidden="1" x14ac:dyDescent="0.35"/>
    <row r="26402" hidden="1" x14ac:dyDescent="0.35"/>
    <row r="26403" hidden="1" x14ac:dyDescent="0.35"/>
    <row r="26404" hidden="1" x14ac:dyDescent="0.35"/>
    <row r="26405" hidden="1" x14ac:dyDescent="0.35"/>
    <row r="26406" hidden="1" x14ac:dyDescent="0.35"/>
    <row r="26407" hidden="1" x14ac:dyDescent="0.35"/>
    <row r="26408" hidden="1" x14ac:dyDescent="0.35"/>
    <row r="26409" hidden="1" x14ac:dyDescent="0.35"/>
    <row r="26410" hidden="1" x14ac:dyDescent="0.35"/>
    <row r="26411" hidden="1" x14ac:dyDescent="0.35"/>
    <row r="26412" hidden="1" x14ac:dyDescent="0.35"/>
    <row r="26413" hidden="1" x14ac:dyDescent="0.35"/>
    <row r="26414" hidden="1" x14ac:dyDescent="0.35"/>
    <row r="26415" hidden="1" x14ac:dyDescent="0.35"/>
    <row r="26416" hidden="1" x14ac:dyDescent="0.35"/>
    <row r="26417" hidden="1" x14ac:dyDescent="0.35"/>
    <row r="26418" hidden="1" x14ac:dyDescent="0.35"/>
    <row r="26419" hidden="1" x14ac:dyDescent="0.35"/>
    <row r="26420" hidden="1" x14ac:dyDescent="0.35"/>
    <row r="26421" hidden="1" x14ac:dyDescent="0.35"/>
    <row r="26422" hidden="1" x14ac:dyDescent="0.35"/>
    <row r="26423" hidden="1" x14ac:dyDescent="0.35"/>
    <row r="26424" hidden="1" x14ac:dyDescent="0.35"/>
    <row r="26425" hidden="1" x14ac:dyDescent="0.35"/>
    <row r="26426" hidden="1" x14ac:dyDescent="0.35"/>
    <row r="26427" hidden="1" x14ac:dyDescent="0.35"/>
    <row r="26428" hidden="1" x14ac:dyDescent="0.35"/>
    <row r="26429" hidden="1" x14ac:dyDescent="0.35"/>
    <row r="26430" hidden="1" x14ac:dyDescent="0.35"/>
    <row r="26431" hidden="1" x14ac:dyDescent="0.35"/>
    <row r="26432" hidden="1" x14ac:dyDescent="0.35"/>
    <row r="26433" hidden="1" x14ac:dyDescent="0.35"/>
    <row r="26434" hidden="1" x14ac:dyDescent="0.35"/>
    <row r="26435" hidden="1" x14ac:dyDescent="0.35"/>
    <row r="26436" hidden="1" x14ac:dyDescent="0.35"/>
    <row r="26437" hidden="1" x14ac:dyDescent="0.35"/>
    <row r="26438" hidden="1" x14ac:dyDescent="0.35"/>
    <row r="26439" hidden="1" x14ac:dyDescent="0.35"/>
    <row r="26440" hidden="1" x14ac:dyDescent="0.35"/>
    <row r="26441" hidden="1" x14ac:dyDescent="0.35"/>
    <row r="26442" hidden="1" x14ac:dyDescent="0.35"/>
    <row r="26443" hidden="1" x14ac:dyDescent="0.35"/>
    <row r="26444" hidden="1" x14ac:dyDescent="0.35"/>
    <row r="26445" hidden="1" x14ac:dyDescent="0.35"/>
    <row r="26446" hidden="1" x14ac:dyDescent="0.35"/>
    <row r="26447" hidden="1" x14ac:dyDescent="0.35"/>
    <row r="26448" hidden="1" x14ac:dyDescent="0.35"/>
    <row r="26449" hidden="1" x14ac:dyDescent="0.35"/>
    <row r="26450" hidden="1" x14ac:dyDescent="0.35"/>
    <row r="26451" hidden="1" x14ac:dyDescent="0.35"/>
    <row r="26452" hidden="1" x14ac:dyDescent="0.35"/>
    <row r="26453" hidden="1" x14ac:dyDescent="0.35"/>
    <row r="26454" hidden="1" x14ac:dyDescent="0.35"/>
    <row r="26455" hidden="1" x14ac:dyDescent="0.35"/>
    <row r="26456" hidden="1" x14ac:dyDescent="0.35"/>
    <row r="26457" hidden="1" x14ac:dyDescent="0.35"/>
    <row r="26458" hidden="1" x14ac:dyDescent="0.35"/>
    <row r="26459" hidden="1" x14ac:dyDescent="0.35"/>
    <row r="26460" hidden="1" x14ac:dyDescent="0.35"/>
    <row r="26461" hidden="1" x14ac:dyDescent="0.35"/>
    <row r="26462" hidden="1" x14ac:dyDescent="0.35"/>
    <row r="26463" hidden="1" x14ac:dyDescent="0.35"/>
    <row r="26464" hidden="1" x14ac:dyDescent="0.35"/>
    <row r="26465" hidden="1" x14ac:dyDescent="0.35"/>
    <row r="26466" hidden="1" x14ac:dyDescent="0.35"/>
    <row r="26467" hidden="1" x14ac:dyDescent="0.35"/>
    <row r="26468" hidden="1" x14ac:dyDescent="0.35"/>
    <row r="26469" hidden="1" x14ac:dyDescent="0.35"/>
    <row r="26470" hidden="1" x14ac:dyDescent="0.35"/>
    <row r="26471" hidden="1" x14ac:dyDescent="0.35"/>
    <row r="26472" hidden="1" x14ac:dyDescent="0.35"/>
    <row r="26473" hidden="1" x14ac:dyDescent="0.35"/>
    <row r="26474" hidden="1" x14ac:dyDescent="0.35"/>
    <row r="26475" hidden="1" x14ac:dyDescent="0.35"/>
    <row r="26476" hidden="1" x14ac:dyDescent="0.35"/>
    <row r="26477" hidden="1" x14ac:dyDescent="0.35"/>
    <row r="26478" hidden="1" x14ac:dyDescent="0.35"/>
    <row r="26479" hidden="1" x14ac:dyDescent="0.35"/>
    <row r="26480" hidden="1" x14ac:dyDescent="0.35"/>
    <row r="26481" hidden="1" x14ac:dyDescent="0.35"/>
    <row r="26482" hidden="1" x14ac:dyDescent="0.35"/>
    <row r="26483" hidden="1" x14ac:dyDescent="0.35"/>
    <row r="26484" hidden="1" x14ac:dyDescent="0.35"/>
    <row r="26485" hidden="1" x14ac:dyDescent="0.35"/>
    <row r="26486" hidden="1" x14ac:dyDescent="0.35"/>
    <row r="26487" hidden="1" x14ac:dyDescent="0.35"/>
    <row r="26488" hidden="1" x14ac:dyDescent="0.35"/>
    <row r="26489" hidden="1" x14ac:dyDescent="0.35"/>
    <row r="26490" hidden="1" x14ac:dyDescent="0.35"/>
    <row r="26491" hidden="1" x14ac:dyDescent="0.35"/>
    <row r="26492" hidden="1" x14ac:dyDescent="0.35"/>
    <row r="26493" hidden="1" x14ac:dyDescent="0.35"/>
    <row r="26494" hidden="1" x14ac:dyDescent="0.35"/>
    <row r="26495" hidden="1" x14ac:dyDescent="0.35"/>
    <row r="26496" hidden="1" x14ac:dyDescent="0.35"/>
    <row r="26497" hidden="1" x14ac:dyDescent="0.35"/>
    <row r="26498" hidden="1" x14ac:dyDescent="0.35"/>
    <row r="26499" hidden="1" x14ac:dyDescent="0.35"/>
    <row r="26500" hidden="1" x14ac:dyDescent="0.35"/>
    <row r="26501" hidden="1" x14ac:dyDescent="0.35"/>
    <row r="26502" hidden="1" x14ac:dyDescent="0.35"/>
    <row r="26503" hidden="1" x14ac:dyDescent="0.35"/>
    <row r="26504" hidden="1" x14ac:dyDescent="0.35"/>
    <row r="26505" hidden="1" x14ac:dyDescent="0.35"/>
    <row r="26506" hidden="1" x14ac:dyDescent="0.35"/>
    <row r="26507" hidden="1" x14ac:dyDescent="0.35"/>
    <row r="26508" hidden="1" x14ac:dyDescent="0.35"/>
    <row r="26509" hidden="1" x14ac:dyDescent="0.35"/>
    <row r="26510" hidden="1" x14ac:dyDescent="0.35"/>
    <row r="26511" hidden="1" x14ac:dyDescent="0.35"/>
    <row r="26512" hidden="1" x14ac:dyDescent="0.35"/>
    <row r="26513" hidden="1" x14ac:dyDescent="0.35"/>
    <row r="26514" hidden="1" x14ac:dyDescent="0.35"/>
    <row r="26515" hidden="1" x14ac:dyDescent="0.35"/>
    <row r="26516" hidden="1" x14ac:dyDescent="0.35"/>
    <row r="26517" hidden="1" x14ac:dyDescent="0.35"/>
    <row r="26518" hidden="1" x14ac:dyDescent="0.35"/>
    <row r="26519" hidden="1" x14ac:dyDescent="0.35"/>
    <row r="26520" hidden="1" x14ac:dyDescent="0.35"/>
    <row r="26521" hidden="1" x14ac:dyDescent="0.35"/>
    <row r="26522" hidden="1" x14ac:dyDescent="0.35"/>
    <row r="26523" hidden="1" x14ac:dyDescent="0.35"/>
    <row r="26524" hidden="1" x14ac:dyDescent="0.35"/>
    <row r="26525" hidden="1" x14ac:dyDescent="0.35"/>
    <row r="26526" hidden="1" x14ac:dyDescent="0.35"/>
    <row r="26527" hidden="1" x14ac:dyDescent="0.35"/>
    <row r="26528" hidden="1" x14ac:dyDescent="0.35"/>
    <row r="26529" hidden="1" x14ac:dyDescent="0.35"/>
    <row r="26530" hidden="1" x14ac:dyDescent="0.35"/>
    <row r="26531" hidden="1" x14ac:dyDescent="0.35"/>
    <row r="26532" hidden="1" x14ac:dyDescent="0.35"/>
    <row r="26533" hidden="1" x14ac:dyDescent="0.35"/>
    <row r="26534" hidden="1" x14ac:dyDescent="0.35"/>
    <row r="26535" hidden="1" x14ac:dyDescent="0.35"/>
    <row r="26536" hidden="1" x14ac:dyDescent="0.35"/>
    <row r="26537" hidden="1" x14ac:dyDescent="0.35"/>
    <row r="26538" hidden="1" x14ac:dyDescent="0.35"/>
    <row r="26539" hidden="1" x14ac:dyDescent="0.35"/>
    <row r="26540" hidden="1" x14ac:dyDescent="0.35"/>
    <row r="26541" hidden="1" x14ac:dyDescent="0.35"/>
    <row r="26542" hidden="1" x14ac:dyDescent="0.35"/>
    <row r="26543" hidden="1" x14ac:dyDescent="0.35"/>
    <row r="26544" hidden="1" x14ac:dyDescent="0.35"/>
    <row r="26545" hidden="1" x14ac:dyDescent="0.35"/>
    <row r="26546" hidden="1" x14ac:dyDescent="0.35"/>
    <row r="26547" hidden="1" x14ac:dyDescent="0.35"/>
    <row r="26548" hidden="1" x14ac:dyDescent="0.35"/>
    <row r="26549" hidden="1" x14ac:dyDescent="0.35"/>
    <row r="26550" hidden="1" x14ac:dyDescent="0.35"/>
    <row r="26551" hidden="1" x14ac:dyDescent="0.35"/>
    <row r="26552" hidden="1" x14ac:dyDescent="0.35"/>
    <row r="26553" hidden="1" x14ac:dyDescent="0.35"/>
    <row r="26554" hidden="1" x14ac:dyDescent="0.35"/>
    <row r="26555" hidden="1" x14ac:dyDescent="0.35"/>
    <row r="26556" hidden="1" x14ac:dyDescent="0.35"/>
    <row r="26557" hidden="1" x14ac:dyDescent="0.35"/>
    <row r="26558" hidden="1" x14ac:dyDescent="0.35"/>
    <row r="26559" hidden="1" x14ac:dyDescent="0.35"/>
    <row r="26560" hidden="1" x14ac:dyDescent="0.35"/>
    <row r="26561" hidden="1" x14ac:dyDescent="0.35"/>
    <row r="26562" hidden="1" x14ac:dyDescent="0.35"/>
    <row r="26563" hidden="1" x14ac:dyDescent="0.35"/>
    <row r="26564" hidden="1" x14ac:dyDescent="0.35"/>
    <row r="26565" hidden="1" x14ac:dyDescent="0.35"/>
    <row r="26566" hidden="1" x14ac:dyDescent="0.35"/>
    <row r="26567" hidden="1" x14ac:dyDescent="0.35"/>
    <row r="26568" hidden="1" x14ac:dyDescent="0.35"/>
    <row r="26569" hidden="1" x14ac:dyDescent="0.35"/>
    <row r="26570" hidden="1" x14ac:dyDescent="0.35"/>
    <row r="26571" hidden="1" x14ac:dyDescent="0.35"/>
    <row r="26572" hidden="1" x14ac:dyDescent="0.35"/>
    <row r="26573" hidden="1" x14ac:dyDescent="0.35"/>
    <row r="26574" hidden="1" x14ac:dyDescent="0.35"/>
    <row r="26575" hidden="1" x14ac:dyDescent="0.35"/>
    <row r="26576" hidden="1" x14ac:dyDescent="0.35"/>
    <row r="26577" hidden="1" x14ac:dyDescent="0.35"/>
    <row r="26578" hidden="1" x14ac:dyDescent="0.35"/>
    <row r="26579" hidden="1" x14ac:dyDescent="0.35"/>
    <row r="26580" hidden="1" x14ac:dyDescent="0.35"/>
    <row r="26581" hidden="1" x14ac:dyDescent="0.35"/>
    <row r="26582" hidden="1" x14ac:dyDescent="0.35"/>
    <row r="26583" hidden="1" x14ac:dyDescent="0.35"/>
    <row r="26584" hidden="1" x14ac:dyDescent="0.35"/>
    <row r="26585" hidden="1" x14ac:dyDescent="0.35"/>
    <row r="26586" hidden="1" x14ac:dyDescent="0.35"/>
    <row r="26587" hidden="1" x14ac:dyDescent="0.35"/>
    <row r="26588" hidden="1" x14ac:dyDescent="0.35"/>
    <row r="26589" hidden="1" x14ac:dyDescent="0.35"/>
    <row r="26590" hidden="1" x14ac:dyDescent="0.35"/>
    <row r="26591" hidden="1" x14ac:dyDescent="0.35"/>
    <row r="26592" hidden="1" x14ac:dyDescent="0.35"/>
    <row r="26593" hidden="1" x14ac:dyDescent="0.35"/>
    <row r="26594" hidden="1" x14ac:dyDescent="0.35"/>
    <row r="26595" hidden="1" x14ac:dyDescent="0.35"/>
    <row r="26596" hidden="1" x14ac:dyDescent="0.35"/>
    <row r="26597" hidden="1" x14ac:dyDescent="0.35"/>
    <row r="26598" hidden="1" x14ac:dyDescent="0.35"/>
    <row r="26599" hidden="1" x14ac:dyDescent="0.35"/>
    <row r="26600" hidden="1" x14ac:dyDescent="0.35"/>
    <row r="26601" hidden="1" x14ac:dyDescent="0.35"/>
    <row r="26602" hidden="1" x14ac:dyDescent="0.35"/>
    <row r="26603" hidden="1" x14ac:dyDescent="0.35"/>
    <row r="26604" hidden="1" x14ac:dyDescent="0.35"/>
    <row r="26605" hidden="1" x14ac:dyDescent="0.35"/>
    <row r="26606" hidden="1" x14ac:dyDescent="0.35"/>
    <row r="26607" hidden="1" x14ac:dyDescent="0.35"/>
    <row r="26608" hidden="1" x14ac:dyDescent="0.35"/>
    <row r="26609" hidden="1" x14ac:dyDescent="0.35"/>
    <row r="26610" hidden="1" x14ac:dyDescent="0.35"/>
    <row r="26611" hidden="1" x14ac:dyDescent="0.35"/>
    <row r="26612" hidden="1" x14ac:dyDescent="0.35"/>
    <row r="26613" hidden="1" x14ac:dyDescent="0.35"/>
    <row r="26614" hidden="1" x14ac:dyDescent="0.35"/>
    <row r="26615" hidden="1" x14ac:dyDescent="0.35"/>
    <row r="26616" hidden="1" x14ac:dyDescent="0.35"/>
    <row r="26617" hidden="1" x14ac:dyDescent="0.35"/>
    <row r="26618" hidden="1" x14ac:dyDescent="0.35"/>
    <row r="26619" hidden="1" x14ac:dyDescent="0.35"/>
    <row r="26620" hidden="1" x14ac:dyDescent="0.35"/>
    <row r="26621" hidden="1" x14ac:dyDescent="0.35"/>
    <row r="26622" hidden="1" x14ac:dyDescent="0.35"/>
    <row r="26623" hidden="1" x14ac:dyDescent="0.35"/>
    <row r="26624" hidden="1" x14ac:dyDescent="0.35"/>
    <row r="26625" hidden="1" x14ac:dyDescent="0.35"/>
    <row r="26626" hidden="1" x14ac:dyDescent="0.35"/>
    <row r="26627" hidden="1" x14ac:dyDescent="0.35"/>
    <row r="26628" hidden="1" x14ac:dyDescent="0.35"/>
    <row r="26629" hidden="1" x14ac:dyDescent="0.35"/>
    <row r="26630" hidden="1" x14ac:dyDescent="0.35"/>
    <row r="26631" hidden="1" x14ac:dyDescent="0.35"/>
    <row r="26632" hidden="1" x14ac:dyDescent="0.35"/>
    <row r="26633" hidden="1" x14ac:dyDescent="0.35"/>
    <row r="26634" hidden="1" x14ac:dyDescent="0.35"/>
    <row r="26635" hidden="1" x14ac:dyDescent="0.35"/>
    <row r="26636" hidden="1" x14ac:dyDescent="0.35"/>
    <row r="26637" hidden="1" x14ac:dyDescent="0.35"/>
    <row r="26638" hidden="1" x14ac:dyDescent="0.35"/>
    <row r="26639" hidden="1" x14ac:dyDescent="0.35"/>
    <row r="26640" hidden="1" x14ac:dyDescent="0.35"/>
    <row r="26641" hidden="1" x14ac:dyDescent="0.35"/>
    <row r="26642" hidden="1" x14ac:dyDescent="0.35"/>
    <row r="26643" hidden="1" x14ac:dyDescent="0.35"/>
    <row r="26644" hidden="1" x14ac:dyDescent="0.35"/>
    <row r="26645" hidden="1" x14ac:dyDescent="0.35"/>
    <row r="26646" hidden="1" x14ac:dyDescent="0.35"/>
    <row r="26647" hidden="1" x14ac:dyDescent="0.35"/>
    <row r="26648" hidden="1" x14ac:dyDescent="0.35"/>
    <row r="26649" hidden="1" x14ac:dyDescent="0.35"/>
    <row r="26650" hidden="1" x14ac:dyDescent="0.35"/>
    <row r="26651" hidden="1" x14ac:dyDescent="0.35"/>
    <row r="26652" hidden="1" x14ac:dyDescent="0.35"/>
    <row r="26653" hidden="1" x14ac:dyDescent="0.35"/>
    <row r="26654" hidden="1" x14ac:dyDescent="0.35"/>
    <row r="26655" hidden="1" x14ac:dyDescent="0.35"/>
    <row r="26656" hidden="1" x14ac:dyDescent="0.35"/>
    <row r="26657" hidden="1" x14ac:dyDescent="0.35"/>
    <row r="26658" hidden="1" x14ac:dyDescent="0.35"/>
    <row r="26659" hidden="1" x14ac:dyDescent="0.35"/>
    <row r="26660" hidden="1" x14ac:dyDescent="0.35"/>
    <row r="26661" hidden="1" x14ac:dyDescent="0.35"/>
    <row r="26662" hidden="1" x14ac:dyDescent="0.35"/>
    <row r="26663" hidden="1" x14ac:dyDescent="0.35"/>
    <row r="26664" hidden="1" x14ac:dyDescent="0.35"/>
    <row r="26665" hidden="1" x14ac:dyDescent="0.35"/>
    <row r="26666" hidden="1" x14ac:dyDescent="0.35"/>
    <row r="26667" hidden="1" x14ac:dyDescent="0.35"/>
    <row r="26668" hidden="1" x14ac:dyDescent="0.35"/>
    <row r="26669" hidden="1" x14ac:dyDescent="0.35"/>
    <row r="26670" hidden="1" x14ac:dyDescent="0.35"/>
    <row r="26671" hidden="1" x14ac:dyDescent="0.35"/>
    <row r="26672" hidden="1" x14ac:dyDescent="0.35"/>
    <row r="26673" hidden="1" x14ac:dyDescent="0.35"/>
    <row r="26674" hidden="1" x14ac:dyDescent="0.35"/>
    <row r="26675" hidden="1" x14ac:dyDescent="0.35"/>
    <row r="26676" hidden="1" x14ac:dyDescent="0.35"/>
    <row r="26677" hidden="1" x14ac:dyDescent="0.35"/>
    <row r="26678" hidden="1" x14ac:dyDescent="0.35"/>
    <row r="26679" hidden="1" x14ac:dyDescent="0.35"/>
    <row r="26680" hidden="1" x14ac:dyDescent="0.35"/>
    <row r="26681" hidden="1" x14ac:dyDescent="0.35"/>
    <row r="26682" hidden="1" x14ac:dyDescent="0.35"/>
    <row r="26683" hidden="1" x14ac:dyDescent="0.35"/>
    <row r="26684" hidden="1" x14ac:dyDescent="0.35"/>
    <row r="26685" hidden="1" x14ac:dyDescent="0.35"/>
    <row r="26686" hidden="1" x14ac:dyDescent="0.35"/>
    <row r="26687" hidden="1" x14ac:dyDescent="0.35"/>
    <row r="26688" hidden="1" x14ac:dyDescent="0.35"/>
    <row r="26689" hidden="1" x14ac:dyDescent="0.35"/>
    <row r="26690" hidden="1" x14ac:dyDescent="0.35"/>
    <row r="26691" hidden="1" x14ac:dyDescent="0.35"/>
    <row r="26692" hidden="1" x14ac:dyDescent="0.35"/>
    <row r="26693" hidden="1" x14ac:dyDescent="0.35"/>
    <row r="26694" hidden="1" x14ac:dyDescent="0.35"/>
    <row r="26695" hidden="1" x14ac:dyDescent="0.35"/>
    <row r="26696" hidden="1" x14ac:dyDescent="0.35"/>
    <row r="26697" hidden="1" x14ac:dyDescent="0.35"/>
    <row r="26698" hidden="1" x14ac:dyDescent="0.35"/>
    <row r="26699" hidden="1" x14ac:dyDescent="0.35"/>
    <row r="26700" hidden="1" x14ac:dyDescent="0.35"/>
    <row r="26701" hidden="1" x14ac:dyDescent="0.35"/>
    <row r="26702" hidden="1" x14ac:dyDescent="0.35"/>
    <row r="26703" hidden="1" x14ac:dyDescent="0.35"/>
    <row r="26704" hidden="1" x14ac:dyDescent="0.35"/>
    <row r="26705" hidden="1" x14ac:dyDescent="0.35"/>
    <row r="26706" hidden="1" x14ac:dyDescent="0.35"/>
    <row r="26707" hidden="1" x14ac:dyDescent="0.35"/>
    <row r="26708" hidden="1" x14ac:dyDescent="0.35"/>
    <row r="26709" hidden="1" x14ac:dyDescent="0.35"/>
    <row r="26710" hidden="1" x14ac:dyDescent="0.35"/>
    <row r="26711" hidden="1" x14ac:dyDescent="0.35"/>
    <row r="26712" hidden="1" x14ac:dyDescent="0.35"/>
    <row r="26713" hidden="1" x14ac:dyDescent="0.35"/>
    <row r="26714" hidden="1" x14ac:dyDescent="0.35"/>
    <row r="26715" hidden="1" x14ac:dyDescent="0.35"/>
    <row r="26716" hidden="1" x14ac:dyDescent="0.35"/>
    <row r="26717" hidden="1" x14ac:dyDescent="0.35"/>
    <row r="26718" hidden="1" x14ac:dyDescent="0.35"/>
    <row r="26719" hidden="1" x14ac:dyDescent="0.35"/>
    <row r="26720" hidden="1" x14ac:dyDescent="0.35"/>
    <row r="26721" hidden="1" x14ac:dyDescent="0.35"/>
    <row r="26722" hidden="1" x14ac:dyDescent="0.35"/>
    <row r="26723" hidden="1" x14ac:dyDescent="0.35"/>
    <row r="26724" hidden="1" x14ac:dyDescent="0.35"/>
    <row r="26725" hidden="1" x14ac:dyDescent="0.35"/>
    <row r="26726" hidden="1" x14ac:dyDescent="0.35"/>
    <row r="26727" hidden="1" x14ac:dyDescent="0.35"/>
    <row r="26728" hidden="1" x14ac:dyDescent="0.35"/>
    <row r="26729" hidden="1" x14ac:dyDescent="0.35"/>
    <row r="26730" hidden="1" x14ac:dyDescent="0.35"/>
    <row r="26731" hidden="1" x14ac:dyDescent="0.35"/>
    <row r="26732" hidden="1" x14ac:dyDescent="0.35"/>
    <row r="26733" hidden="1" x14ac:dyDescent="0.35"/>
    <row r="26734" hidden="1" x14ac:dyDescent="0.35"/>
    <row r="26735" hidden="1" x14ac:dyDescent="0.35"/>
    <row r="26736" hidden="1" x14ac:dyDescent="0.35"/>
    <row r="26737" hidden="1" x14ac:dyDescent="0.35"/>
    <row r="26738" hidden="1" x14ac:dyDescent="0.35"/>
    <row r="26739" hidden="1" x14ac:dyDescent="0.35"/>
    <row r="26740" hidden="1" x14ac:dyDescent="0.35"/>
    <row r="26741" hidden="1" x14ac:dyDescent="0.35"/>
    <row r="26742" hidden="1" x14ac:dyDescent="0.35"/>
    <row r="26743" hidden="1" x14ac:dyDescent="0.35"/>
    <row r="26744" hidden="1" x14ac:dyDescent="0.35"/>
    <row r="26745" hidden="1" x14ac:dyDescent="0.35"/>
    <row r="26746" hidden="1" x14ac:dyDescent="0.35"/>
    <row r="26747" hidden="1" x14ac:dyDescent="0.35"/>
    <row r="26748" hidden="1" x14ac:dyDescent="0.35"/>
    <row r="26749" hidden="1" x14ac:dyDescent="0.35"/>
    <row r="26750" hidden="1" x14ac:dyDescent="0.35"/>
    <row r="26751" hidden="1" x14ac:dyDescent="0.35"/>
    <row r="26752" hidden="1" x14ac:dyDescent="0.35"/>
    <row r="26753" hidden="1" x14ac:dyDescent="0.35"/>
    <row r="26754" hidden="1" x14ac:dyDescent="0.35"/>
    <row r="26755" hidden="1" x14ac:dyDescent="0.35"/>
    <row r="26756" hidden="1" x14ac:dyDescent="0.35"/>
    <row r="26757" hidden="1" x14ac:dyDescent="0.35"/>
    <row r="26758" hidden="1" x14ac:dyDescent="0.35"/>
    <row r="26759" hidden="1" x14ac:dyDescent="0.35"/>
    <row r="26760" hidden="1" x14ac:dyDescent="0.35"/>
    <row r="26761" hidden="1" x14ac:dyDescent="0.35"/>
    <row r="26762" hidden="1" x14ac:dyDescent="0.35"/>
    <row r="26763" hidden="1" x14ac:dyDescent="0.35"/>
    <row r="26764" hidden="1" x14ac:dyDescent="0.35"/>
    <row r="26765" hidden="1" x14ac:dyDescent="0.35"/>
    <row r="26766" hidden="1" x14ac:dyDescent="0.35"/>
    <row r="26767" hidden="1" x14ac:dyDescent="0.35"/>
    <row r="26768" hidden="1" x14ac:dyDescent="0.35"/>
    <row r="26769" hidden="1" x14ac:dyDescent="0.35"/>
    <row r="26770" hidden="1" x14ac:dyDescent="0.35"/>
    <row r="26771" hidden="1" x14ac:dyDescent="0.35"/>
    <row r="26772" hidden="1" x14ac:dyDescent="0.35"/>
    <row r="26773" hidden="1" x14ac:dyDescent="0.35"/>
    <row r="26774" hidden="1" x14ac:dyDescent="0.35"/>
    <row r="26775" hidden="1" x14ac:dyDescent="0.35"/>
    <row r="26776" hidden="1" x14ac:dyDescent="0.35"/>
    <row r="26777" hidden="1" x14ac:dyDescent="0.35"/>
    <row r="26778" hidden="1" x14ac:dyDescent="0.35"/>
    <row r="26779" hidden="1" x14ac:dyDescent="0.35"/>
    <row r="26780" hidden="1" x14ac:dyDescent="0.35"/>
    <row r="26781" hidden="1" x14ac:dyDescent="0.35"/>
    <row r="26782" hidden="1" x14ac:dyDescent="0.35"/>
    <row r="26783" hidden="1" x14ac:dyDescent="0.35"/>
    <row r="26784" hidden="1" x14ac:dyDescent="0.35"/>
    <row r="26785" hidden="1" x14ac:dyDescent="0.35"/>
    <row r="26786" hidden="1" x14ac:dyDescent="0.35"/>
    <row r="26787" hidden="1" x14ac:dyDescent="0.35"/>
    <row r="26788" hidden="1" x14ac:dyDescent="0.35"/>
    <row r="26789" hidden="1" x14ac:dyDescent="0.35"/>
    <row r="26790" hidden="1" x14ac:dyDescent="0.35"/>
    <row r="26791" hidden="1" x14ac:dyDescent="0.35"/>
    <row r="26792" hidden="1" x14ac:dyDescent="0.35"/>
    <row r="26793" hidden="1" x14ac:dyDescent="0.35"/>
    <row r="26794" hidden="1" x14ac:dyDescent="0.35"/>
    <row r="26795" hidden="1" x14ac:dyDescent="0.35"/>
    <row r="26796" hidden="1" x14ac:dyDescent="0.35"/>
    <row r="26797" hidden="1" x14ac:dyDescent="0.35"/>
    <row r="26798" hidden="1" x14ac:dyDescent="0.35"/>
    <row r="26799" hidden="1" x14ac:dyDescent="0.35"/>
    <row r="26800" hidden="1" x14ac:dyDescent="0.35"/>
    <row r="26801" hidden="1" x14ac:dyDescent="0.35"/>
    <row r="26802" hidden="1" x14ac:dyDescent="0.35"/>
    <row r="26803" hidden="1" x14ac:dyDescent="0.35"/>
    <row r="26804" hidden="1" x14ac:dyDescent="0.35"/>
    <row r="26805" hidden="1" x14ac:dyDescent="0.35"/>
    <row r="26806" hidden="1" x14ac:dyDescent="0.35"/>
    <row r="26807" hidden="1" x14ac:dyDescent="0.35"/>
    <row r="26808" hidden="1" x14ac:dyDescent="0.35"/>
    <row r="26809" hidden="1" x14ac:dyDescent="0.35"/>
    <row r="26810" hidden="1" x14ac:dyDescent="0.35"/>
    <row r="26811" hidden="1" x14ac:dyDescent="0.35"/>
    <row r="26812" hidden="1" x14ac:dyDescent="0.35"/>
    <row r="26813" hidden="1" x14ac:dyDescent="0.35"/>
    <row r="26814" hidden="1" x14ac:dyDescent="0.35"/>
    <row r="26815" hidden="1" x14ac:dyDescent="0.35"/>
    <row r="26816" hidden="1" x14ac:dyDescent="0.35"/>
    <row r="26817" hidden="1" x14ac:dyDescent="0.35"/>
    <row r="26818" hidden="1" x14ac:dyDescent="0.35"/>
    <row r="26819" hidden="1" x14ac:dyDescent="0.35"/>
    <row r="26820" hidden="1" x14ac:dyDescent="0.35"/>
    <row r="26821" hidden="1" x14ac:dyDescent="0.35"/>
    <row r="26822" hidden="1" x14ac:dyDescent="0.35"/>
    <row r="26823" hidden="1" x14ac:dyDescent="0.35"/>
    <row r="26824" hidden="1" x14ac:dyDescent="0.35"/>
    <row r="26825" hidden="1" x14ac:dyDescent="0.35"/>
    <row r="26826" hidden="1" x14ac:dyDescent="0.35"/>
    <row r="26827" hidden="1" x14ac:dyDescent="0.35"/>
    <row r="26828" hidden="1" x14ac:dyDescent="0.35"/>
    <row r="26829" hidden="1" x14ac:dyDescent="0.35"/>
    <row r="26830" hidden="1" x14ac:dyDescent="0.35"/>
    <row r="26831" hidden="1" x14ac:dyDescent="0.35"/>
    <row r="26832" hidden="1" x14ac:dyDescent="0.35"/>
    <row r="26833" hidden="1" x14ac:dyDescent="0.35"/>
    <row r="26834" hidden="1" x14ac:dyDescent="0.35"/>
    <row r="26835" hidden="1" x14ac:dyDescent="0.35"/>
    <row r="26836" hidden="1" x14ac:dyDescent="0.35"/>
    <row r="26837" hidden="1" x14ac:dyDescent="0.35"/>
    <row r="26838" hidden="1" x14ac:dyDescent="0.35"/>
    <row r="26839" hidden="1" x14ac:dyDescent="0.35"/>
    <row r="26840" hidden="1" x14ac:dyDescent="0.35"/>
    <row r="26841" hidden="1" x14ac:dyDescent="0.35"/>
    <row r="26842" hidden="1" x14ac:dyDescent="0.35"/>
    <row r="26843" hidden="1" x14ac:dyDescent="0.35"/>
    <row r="26844" hidden="1" x14ac:dyDescent="0.35"/>
    <row r="26845" hidden="1" x14ac:dyDescent="0.35"/>
    <row r="26846" hidden="1" x14ac:dyDescent="0.35"/>
    <row r="26847" hidden="1" x14ac:dyDescent="0.35"/>
    <row r="26848" hidden="1" x14ac:dyDescent="0.35"/>
    <row r="26849" hidden="1" x14ac:dyDescent="0.35"/>
    <row r="26850" hidden="1" x14ac:dyDescent="0.35"/>
    <row r="26851" hidden="1" x14ac:dyDescent="0.35"/>
    <row r="26852" hidden="1" x14ac:dyDescent="0.35"/>
    <row r="26853" hidden="1" x14ac:dyDescent="0.35"/>
    <row r="26854" hidden="1" x14ac:dyDescent="0.35"/>
    <row r="26855" hidden="1" x14ac:dyDescent="0.35"/>
    <row r="26856" hidden="1" x14ac:dyDescent="0.35"/>
    <row r="26857" hidden="1" x14ac:dyDescent="0.35"/>
    <row r="26858" hidden="1" x14ac:dyDescent="0.35"/>
    <row r="26859" hidden="1" x14ac:dyDescent="0.35"/>
    <row r="26860" hidden="1" x14ac:dyDescent="0.35"/>
    <row r="26861" hidden="1" x14ac:dyDescent="0.35"/>
    <row r="26862" hidden="1" x14ac:dyDescent="0.35"/>
    <row r="26863" hidden="1" x14ac:dyDescent="0.35"/>
    <row r="26864" hidden="1" x14ac:dyDescent="0.35"/>
    <row r="26865" hidden="1" x14ac:dyDescent="0.35"/>
    <row r="26866" hidden="1" x14ac:dyDescent="0.35"/>
    <row r="26867" hidden="1" x14ac:dyDescent="0.35"/>
    <row r="26868" hidden="1" x14ac:dyDescent="0.35"/>
    <row r="26869" hidden="1" x14ac:dyDescent="0.35"/>
    <row r="26870" hidden="1" x14ac:dyDescent="0.35"/>
    <row r="26871" hidden="1" x14ac:dyDescent="0.35"/>
    <row r="26872" hidden="1" x14ac:dyDescent="0.35"/>
    <row r="26873" hidden="1" x14ac:dyDescent="0.35"/>
    <row r="26874" hidden="1" x14ac:dyDescent="0.35"/>
    <row r="26875" hidden="1" x14ac:dyDescent="0.35"/>
    <row r="26876" hidden="1" x14ac:dyDescent="0.35"/>
    <row r="26877" hidden="1" x14ac:dyDescent="0.35"/>
    <row r="26878" hidden="1" x14ac:dyDescent="0.35"/>
    <row r="26879" hidden="1" x14ac:dyDescent="0.35"/>
    <row r="26880" hidden="1" x14ac:dyDescent="0.35"/>
    <row r="26881" hidden="1" x14ac:dyDescent="0.35"/>
    <row r="26882" hidden="1" x14ac:dyDescent="0.35"/>
    <row r="26883" hidden="1" x14ac:dyDescent="0.35"/>
    <row r="26884" hidden="1" x14ac:dyDescent="0.35"/>
    <row r="26885" hidden="1" x14ac:dyDescent="0.35"/>
    <row r="26886" hidden="1" x14ac:dyDescent="0.35"/>
    <row r="26887" hidden="1" x14ac:dyDescent="0.35"/>
    <row r="26888" hidden="1" x14ac:dyDescent="0.35"/>
    <row r="26889" hidden="1" x14ac:dyDescent="0.35"/>
    <row r="26890" hidden="1" x14ac:dyDescent="0.35"/>
    <row r="26891" hidden="1" x14ac:dyDescent="0.35"/>
    <row r="26892" hidden="1" x14ac:dyDescent="0.35"/>
    <row r="26893" hidden="1" x14ac:dyDescent="0.35"/>
    <row r="26894" hidden="1" x14ac:dyDescent="0.35"/>
    <row r="26895" hidden="1" x14ac:dyDescent="0.35"/>
    <row r="26896" hidden="1" x14ac:dyDescent="0.35"/>
    <row r="26897" hidden="1" x14ac:dyDescent="0.35"/>
    <row r="26898" hidden="1" x14ac:dyDescent="0.35"/>
    <row r="26899" hidden="1" x14ac:dyDescent="0.35"/>
    <row r="26900" hidden="1" x14ac:dyDescent="0.35"/>
    <row r="26901" hidden="1" x14ac:dyDescent="0.35"/>
    <row r="26902" hidden="1" x14ac:dyDescent="0.35"/>
    <row r="26903" hidden="1" x14ac:dyDescent="0.35"/>
    <row r="26904" hidden="1" x14ac:dyDescent="0.35"/>
    <row r="26905" hidden="1" x14ac:dyDescent="0.35"/>
    <row r="26906" hidden="1" x14ac:dyDescent="0.35"/>
    <row r="26907" hidden="1" x14ac:dyDescent="0.35"/>
    <row r="26908" hidden="1" x14ac:dyDescent="0.35"/>
    <row r="26909" hidden="1" x14ac:dyDescent="0.35"/>
    <row r="26910" hidden="1" x14ac:dyDescent="0.35"/>
    <row r="26911" hidden="1" x14ac:dyDescent="0.35"/>
    <row r="26912" hidden="1" x14ac:dyDescent="0.35"/>
    <row r="26913" hidden="1" x14ac:dyDescent="0.35"/>
    <row r="26914" hidden="1" x14ac:dyDescent="0.35"/>
    <row r="26915" hidden="1" x14ac:dyDescent="0.35"/>
    <row r="26916" hidden="1" x14ac:dyDescent="0.35"/>
    <row r="26917" hidden="1" x14ac:dyDescent="0.35"/>
    <row r="26918" hidden="1" x14ac:dyDescent="0.35"/>
    <row r="26919" hidden="1" x14ac:dyDescent="0.35"/>
    <row r="26920" hidden="1" x14ac:dyDescent="0.35"/>
    <row r="26921" hidden="1" x14ac:dyDescent="0.35"/>
    <row r="26922" hidden="1" x14ac:dyDescent="0.35"/>
    <row r="26923" hidden="1" x14ac:dyDescent="0.35"/>
    <row r="26924" hidden="1" x14ac:dyDescent="0.35"/>
    <row r="26925" hidden="1" x14ac:dyDescent="0.35"/>
    <row r="26926" hidden="1" x14ac:dyDescent="0.35"/>
    <row r="26927" hidden="1" x14ac:dyDescent="0.35"/>
    <row r="26928" hidden="1" x14ac:dyDescent="0.35"/>
    <row r="26929" hidden="1" x14ac:dyDescent="0.35"/>
    <row r="26930" hidden="1" x14ac:dyDescent="0.35"/>
    <row r="26931" hidden="1" x14ac:dyDescent="0.35"/>
    <row r="26932" hidden="1" x14ac:dyDescent="0.35"/>
    <row r="26933" hidden="1" x14ac:dyDescent="0.35"/>
    <row r="26934" hidden="1" x14ac:dyDescent="0.35"/>
    <row r="26935" hidden="1" x14ac:dyDescent="0.35"/>
    <row r="26936" hidden="1" x14ac:dyDescent="0.35"/>
    <row r="26937" hidden="1" x14ac:dyDescent="0.35"/>
    <row r="26938" hidden="1" x14ac:dyDescent="0.35"/>
    <row r="26939" hidden="1" x14ac:dyDescent="0.35"/>
    <row r="26940" hidden="1" x14ac:dyDescent="0.35"/>
    <row r="26941" hidden="1" x14ac:dyDescent="0.35"/>
    <row r="26942" hidden="1" x14ac:dyDescent="0.35"/>
    <row r="26943" hidden="1" x14ac:dyDescent="0.35"/>
    <row r="26944" hidden="1" x14ac:dyDescent="0.35"/>
    <row r="26945" hidden="1" x14ac:dyDescent="0.35"/>
    <row r="26946" hidden="1" x14ac:dyDescent="0.35"/>
    <row r="26947" hidden="1" x14ac:dyDescent="0.35"/>
    <row r="26948" hidden="1" x14ac:dyDescent="0.35"/>
    <row r="26949" hidden="1" x14ac:dyDescent="0.35"/>
    <row r="26950" hidden="1" x14ac:dyDescent="0.35"/>
    <row r="26951" hidden="1" x14ac:dyDescent="0.35"/>
    <row r="26952" hidden="1" x14ac:dyDescent="0.35"/>
    <row r="26953" hidden="1" x14ac:dyDescent="0.35"/>
    <row r="26954" hidden="1" x14ac:dyDescent="0.35"/>
    <row r="26955" hidden="1" x14ac:dyDescent="0.35"/>
    <row r="26956" hidden="1" x14ac:dyDescent="0.35"/>
    <row r="26957" hidden="1" x14ac:dyDescent="0.35"/>
    <row r="26958" hidden="1" x14ac:dyDescent="0.35"/>
    <row r="26959" hidden="1" x14ac:dyDescent="0.35"/>
    <row r="26960" hidden="1" x14ac:dyDescent="0.35"/>
    <row r="26961" hidden="1" x14ac:dyDescent="0.35"/>
    <row r="26962" hidden="1" x14ac:dyDescent="0.35"/>
    <row r="26963" hidden="1" x14ac:dyDescent="0.35"/>
    <row r="26964" hidden="1" x14ac:dyDescent="0.35"/>
    <row r="26965" hidden="1" x14ac:dyDescent="0.35"/>
    <row r="26966" hidden="1" x14ac:dyDescent="0.35"/>
    <row r="26967" hidden="1" x14ac:dyDescent="0.35"/>
    <row r="26968" hidden="1" x14ac:dyDescent="0.35"/>
    <row r="26969" hidden="1" x14ac:dyDescent="0.35"/>
    <row r="26970" hidden="1" x14ac:dyDescent="0.35"/>
    <row r="26971" hidden="1" x14ac:dyDescent="0.35"/>
    <row r="26972" hidden="1" x14ac:dyDescent="0.35"/>
    <row r="26973" hidden="1" x14ac:dyDescent="0.35"/>
    <row r="26974" hidden="1" x14ac:dyDescent="0.35"/>
    <row r="26975" hidden="1" x14ac:dyDescent="0.35"/>
    <row r="26976" hidden="1" x14ac:dyDescent="0.35"/>
    <row r="26977" hidden="1" x14ac:dyDescent="0.35"/>
    <row r="26978" hidden="1" x14ac:dyDescent="0.35"/>
    <row r="26979" hidden="1" x14ac:dyDescent="0.35"/>
    <row r="26980" hidden="1" x14ac:dyDescent="0.35"/>
    <row r="26981" hidden="1" x14ac:dyDescent="0.35"/>
    <row r="26982" hidden="1" x14ac:dyDescent="0.35"/>
    <row r="26983" hidden="1" x14ac:dyDescent="0.35"/>
    <row r="26984" hidden="1" x14ac:dyDescent="0.35"/>
    <row r="26985" hidden="1" x14ac:dyDescent="0.35"/>
    <row r="26986" hidden="1" x14ac:dyDescent="0.35"/>
    <row r="26987" hidden="1" x14ac:dyDescent="0.35"/>
    <row r="26988" hidden="1" x14ac:dyDescent="0.35"/>
    <row r="26989" hidden="1" x14ac:dyDescent="0.35"/>
    <row r="26990" hidden="1" x14ac:dyDescent="0.35"/>
    <row r="26991" hidden="1" x14ac:dyDescent="0.35"/>
    <row r="26992" hidden="1" x14ac:dyDescent="0.35"/>
    <row r="26993" hidden="1" x14ac:dyDescent="0.35"/>
    <row r="26994" hidden="1" x14ac:dyDescent="0.35"/>
    <row r="26995" hidden="1" x14ac:dyDescent="0.35"/>
    <row r="26996" hidden="1" x14ac:dyDescent="0.35"/>
    <row r="26997" hidden="1" x14ac:dyDescent="0.35"/>
    <row r="26998" hidden="1" x14ac:dyDescent="0.35"/>
    <row r="26999" hidden="1" x14ac:dyDescent="0.35"/>
    <row r="27000" hidden="1" x14ac:dyDescent="0.35"/>
    <row r="27001" hidden="1" x14ac:dyDescent="0.35"/>
    <row r="27002" hidden="1" x14ac:dyDescent="0.35"/>
    <row r="27003" hidden="1" x14ac:dyDescent="0.35"/>
    <row r="27004" hidden="1" x14ac:dyDescent="0.35"/>
    <row r="27005" hidden="1" x14ac:dyDescent="0.35"/>
    <row r="27006" hidden="1" x14ac:dyDescent="0.35"/>
    <row r="27007" hidden="1" x14ac:dyDescent="0.35"/>
    <row r="27008" hidden="1" x14ac:dyDescent="0.35"/>
    <row r="27009" hidden="1" x14ac:dyDescent="0.35"/>
    <row r="27010" hidden="1" x14ac:dyDescent="0.35"/>
    <row r="27011" hidden="1" x14ac:dyDescent="0.35"/>
    <row r="27012" hidden="1" x14ac:dyDescent="0.35"/>
    <row r="27013" hidden="1" x14ac:dyDescent="0.35"/>
    <row r="27014" hidden="1" x14ac:dyDescent="0.35"/>
    <row r="27015" hidden="1" x14ac:dyDescent="0.35"/>
    <row r="27016" hidden="1" x14ac:dyDescent="0.35"/>
    <row r="27017" hidden="1" x14ac:dyDescent="0.35"/>
    <row r="27018" hidden="1" x14ac:dyDescent="0.35"/>
    <row r="27019" hidden="1" x14ac:dyDescent="0.35"/>
    <row r="27020" hidden="1" x14ac:dyDescent="0.35"/>
    <row r="27021" hidden="1" x14ac:dyDescent="0.35"/>
    <row r="27022" hidden="1" x14ac:dyDescent="0.35"/>
    <row r="27023" hidden="1" x14ac:dyDescent="0.35"/>
    <row r="27024" hidden="1" x14ac:dyDescent="0.35"/>
    <row r="27025" hidden="1" x14ac:dyDescent="0.35"/>
    <row r="27026" hidden="1" x14ac:dyDescent="0.35"/>
    <row r="27027" hidden="1" x14ac:dyDescent="0.35"/>
    <row r="27028" hidden="1" x14ac:dyDescent="0.35"/>
    <row r="27029" hidden="1" x14ac:dyDescent="0.35"/>
    <row r="27030" hidden="1" x14ac:dyDescent="0.35"/>
    <row r="27031" hidden="1" x14ac:dyDescent="0.35"/>
    <row r="27032" hidden="1" x14ac:dyDescent="0.35"/>
    <row r="27033" hidden="1" x14ac:dyDescent="0.35"/>
    <row r="27034" hidden="1" x14ac:dyDescent="0.35"/>
    <row r="27035" hidden="1" x14ac:dyDescent="0.35"/>
    <row r="27036" hidden="1" x14ac:dyDescent="0.35"/>
    <row r="27037" hidden="1" x14ac:dyDescent="0.35"/>
    <row r="27038" hidden="1" x14ac:dyDescent="0.35"/>
    <row r="27039" hidden="1" x14ac:dyDescent="0.35"/>
    <row r="27040" hidden="1" x14ac:dyDescent="0.35"/>
    <row r="27041" hidden="1" x14ac:dyDescent="0.35"/>
    <row r="27042" hidden="1" x14ac:dyDescent="0.35"/>
    <row r="27043" hidden="1" x14ac:dyDescent="0.35"/>
    <row r="27044" hidden="1" x14ac:dyDescent="0.35"/>
    <row r="27045" hidden="1" x14ac:dyDescent="0.35"/>
    <row r="27046" hidden="1" x14ac:dyDescent="0.35"/>
    <row r="27047" hidden="1" x14ac:dyDescent="0.35"/>
    <row r="27048" hidden="1" x14ac:dyDescent="0.35"/>
    <row r="27049" hidden="1" x14ac:dyDescent="0.35"/>
    <row r="27050" hidden="1" x14ac:dyDescent="0.35"/>
    <row r="27051" hidden="1" x14ac:dyDescent="0.35"/>
    <row r="27052" hidden="1" x14ac:dyDescent="0.35"/>
    <row r="27053" hidden="1" x14ac:dyDescent="0.35"/>
    <row r="27054" hidden="1" x14ac:dyDescent="0.35"/>
    <row r="27055" hidden="1" x14ac:dyDescent="0.35"/>
    <row r="27056" hidden="1" x14ac:dyDescent="0.35"/>
    <row r="27057" hidden="1" x14ac:dyDescent="0.35"/>
    <row r="27058" hidden="1" x14ac:dyDescent="0.35"/>
    <row r="27059" hidden="1" x14ac:dyDescent="0.35"/>
    <row r="27060" hidden="1" x14ac:dyDescent="0.35"/>
    <row r="27061" hidden="1" x14ac:dyDescent="0.35"/>
    <row r="27062" hidden="1" x14ac:dyDescent="0.35"/>
    <row r="27063" hidden="1" x14ac:dyDescent="0.35"/>
    <row r="27064" hidden="1" x14ac:dyDescent="0.35"/>
    <row r="27065" hidden="1" x14ac:dyDescent="0.35"/>
    <row r="27066" hidden="1" x14ac:dyDescent="0.35"/>
    <row r="27067" hidden="1" x14ac:dyDescent="0.35"/>
    <row r="27068" hidden="1" x14ac:dyDescent="0.35"/>
    <row r="27069" hidden="1" x14ac:dyDescent="0.35"/>
    <row r="27070" hidden="1" x14ac:dyDescent="0.35"/>
    <row r="27071" hidden="1" x14ac:dyDescent="0.35"/>
    <row r="27072" hidden="1" x14ac:dyDescent="0.35"/>
    <row r="27073" hidden="1" x14ac:dyDescent="0.35"/>
    <row r="27074" hidden="1" x14ac:dyDescent="0.35"/>
    <row r="27075" hidden="1" x14ac:dyDescent="0.35"/>
    <row r="27076" hidden="1" x14ac:dyDescent="0.35"/>
    <row r="27077" hidden="1" x14ac:dyDescent="0.35"/>
    <row r="27078" hidden="1" x14ac:dyDescent="0.35"/>
    <row r="27079" hidden="1" x14ac:dyDescent="0.35"/>
    <row r="27080" hidden="1" x14ac:dyDescent="0.35"/>
    <row r="27081" hidden="1" x14ac:dyDescent="0.35"/>
    <row r="27082" hidden="1" x14ac:dyDescent="0.35"/>
    <row r="27083" hidden="1" x14ac:dyDescent="0.35"/>
    <row r="27084" hidden="1" x14ac:dyDescent="0.35"/>
    <row r="27085" hidden="1" x14ac:dyDescent="0.35"/>
    <row r="27086" hidden="1" x14ac:dyDescent="0.35"/>
    <row r="27087" hidden="1" x14ac:dyDescent="0.35"/>
    <row r="27088" hidden="1" x14ac:dyDescent="0.35"/>
    <row r="27089" hidden="1" x14ac:dyDescent="0.35"/>
    <row r="27090" hidden="1" x14ac:dyDescent="0.35"/>
    <row r="27091" hidden="1" x14ac:dyDescent="0.35"/>
    <row r="27092" hidden="1" x14ac:dyDescent="0.35"/>
    <row r="27093" hidden="1" x14ac:dyDescent="0.35"/>
    <row r="27094" hidden="1" x14ac:dyDescent="0.35"/>
    <row r="27095" hidden="1" x14ac:dyDescent="0.35"/>
    <row r="27096" hidden="1" x14ac:dyDescent="0.35"/>
    <row r="27097" hidden="1" x14ac:dyDescent="0.35"/>
    <row r="27098" hidden="1" x14ac:dyDescent="0.35"/>
    <row r="27099" hidden="1" x14ac:dyDescent="0.35"/>
    <row r="27100" hidden="1" x14ac:dyDescent="0.35"/>
    <row r="27101" hidden="1" x14ac:dyDescent="0.35"/>
    <row r="27102" hidden="1" x14ac:dyDescent="0.35"/>
    <row r="27103" hidden="1" x14ac:dyDescent="0.35"/>
    <row r="27104" hidden="1" x14ac:dyDescent="0.35"/>
    <row r="27105" hidden="1" x14ac:dyDescent="0.35"/>
    <row r="27106" hidden="1" x14ac:dyDescent="0.35"/>
    <row r="27107" hidden="1" x14ac:dyDescent="0.35"/>
    <row r="27108" hidden="1" x14ac:dyDescent="0.35"/>
    <row r="27109" hidden="1" x14ac:dyDescent="0.35"/>
    <row r="27110" hidden="1" x14ac:dyDescent="0.35"/>
    <row r="27111" hidden="1" x14ac:dyDescent="0.35"/>
    <row r="27112" hidden="1" x14ac:dyDescent="0.35"/>
    <row r="27113" hidden="1" x14ac:dyDescent="0.35"/>
    <row r="27114" hidden="1" x14ac:dyDescent="0.35"/>
    <row r="27115" hidden="1" x14ac:dyDescent="0.35"/>
    <row r="27116" hidden="1" x14ac:dyDescent="0.35"/>
    <row r="27117" hidden="1" x14ac:dyDescent="0.35"/>
    <row r="27118" hidden="1" x14ac:dyDescent="0.35"/>
    <row r="27119" hidden="1" x14ac:dyDescent="0.35"/>
    <row r="27120" hidden="1" x14ac:dyDescent="0.35"/>
    <row r="27121" hidden="1" x14ac:dyDescent="0.35"/>
    <row r="27122" hidden="1" x14ac:dyDescent="0.35"/>
    <row r="27123" hidden="1" x14ac:dyDescent="0.35"/>
    <row r="27124" hidden="1" x14ac:dyDescent="0.35"/>
    <row r="27125" hidden="1" x14ac:dyDescent="0.35"/>
    <row r="27126" hidden="1" x14ac:dyDescent="0.35"/>
    <row r="27127" hidden="1" x14ac:dyDescent="0.35"/>
    <row r="27128" hidden="1" x14ac:dyDescent="0.35"/>
    <row r="27129" hidden="1" x14ac:dyDescent="0.35"/>
    <row r="27130" hidden="1" x14ac:dyDescent="0.35"/>
    <row r="27131" hidden="1" x14ac:dyDescent="0.35"/>
    <row r="27132" hidden="1" x14ac:dyDescent="0.35"/>
    <row r="27133" hidden="1" x14ac:dyDescent="0.35"/>
    <row r="27134" hidden="1" x14ac:dyDescent="0.35"/>
    <row r="27135" hidden="1" x14ac:dyDescent="0.35"/>
    <row r="27136" hidden="1" x14ac:dyDescent="0.35"/>
    <row r="27137" hidden="1" x14ac:dyDescent="0.35"/>
    <row r="27138" hidden="1" x14ac:dyDescent="0.35"/>
    <row r="27139" hidden="1" x14ac:dyDescent="0.35"/>
    <row r="27140" hidden="1" x14ac:dyDescent="0.35"/>
    <row r="27141" hidden="1" x14ac:dyDescent="0.35"/>
    <row r="27142" hidden="1" x14ac:dyDescent="0.35"/>
    <row r="27143" hidden="1" x14ac:dyDescent="0.35"/>
    <row r="27144" hidden="1" x14ac:dyDescent="0.35"/>
    <row r="27145" hidden="1" x14ac:dyDescent="0.35"/>
    <row r="27146" hidden="1" x14ac:dyDescent="0.35"/>
    <row r="27147" hidden="1" x14ac:dyDescent="0.35"/>
    <row r="27148" hidden="1" x14ac:dyDescent="0.35"/>
    <row r="27149" hidden="1" x14ac:dyDescent="0.35"/>
    <row r="27150" hidden="1" x14ac:dyDescent="0.35"/>
    <row r="27151" hidden="1" x14ac:dyDescent="0.35"/>
    <row r="27152" hidden="1" x14ac:dyDescent="0.35"/>
    <row r="27153" hidden="1" x14ac:dyDescent="0.35"/>
    <row r="27154" hidden="1" x14ac:dyDescent="0.35"/>
    <row r="27155" hidden="1" x14ac:dyDescent="0.35"/>
    <row r="27156" hidden="1" x14ac:dyDescent="0.35"/>
    <row r="27157" hidden="1" x14ac:dyDescent="0.35"/>
    <row r="27158" hidden="1" x14ac:dyDescent="0.35"/>
    <row r="27159" hidden="1" x14ac:dyDescent="0.35"/>
    <row r="27160" hidden="1" x14ac:dyDescent="0.35"/>
    <row r="27161" hidden="1" x14ac:dyDescent="0.35"/>
    <row r="27162" hidden="1" x14ac:dyDescent="0.35"/>
    <row r="27163" hidden="1" x14ac:dyDescent="0.35"/>
    <row r="27164" hidden="1" x14ac:dyDescent="0.35"/>
    <row r="27165" hidden="1" x14ac:dyDescent="0.35"/>
    <row r="27166" hidden="1" x14ac:dyDescent="0.35"/>
    <row r="27167" hidden="1" x14ac:dyDescent="0.35"/>
    <row r="27168" hidden="1" x14ac:dyDescent="0.35"/>
    <row r="27169" hidden="1" x14ac:dyDescent="0.35"/>
    <row r="27170" hidden="1" x14ac:dyDescent="0.35"/>
    <row r="27171" hidden="1" x14ac:dyDescent="0.35"/>
    <row r="27172" hidden="1" x14ac:dyDescent="0.35"/>
    <row r="27173" hidden="1" x14ac:dyDescent="0.35"/>
    <row r="27174" hidden="1" x14ac:dyDescent="0.35"/>
    <row r="27175" hidden="1" x14ac:dyDescent="0.35"/>
    <row r="27176" hidden="1" x14ac:dyDescent="0.35"/>
    <row r="27177" hidden="1" x14ac:dyDescent="0.35"/>
    <row r="27178" hidden="1" x14ac:dyDescent="0.35"/>
    <row r="27179" hidden="1" x14ac:dyDescent="0.35"/>
    <row r="27180" hidden="1" x14ac:dyDescent="0.35"/>
    <row r="27181" hidden="1" x14ac:dyDescent="0.35"/>
    <row r="27182" hidden="1" x14ac:dyDescent="0.35"/>
    <row r="27183" hidden="1" x14ac:dyDescent="0.35"/>
    <row r="27184" hidden="1" x14ac:dyDescent="0.35"/>
    <row r="27185" hidden="1" x14ac:dyDescent="0.35"/>
    <row r="27186" hidden="1" x14ac:dyDescent="0.35"/>
    <row r="27187" hidden="1" x14ac:dyDescent="0.35"/>
    <row r="27188" hidden="1" x14ac:dyDescent="0.35"/>
    <row r="27189" hidden="1" x14ac:dyDescent="0.35"/>
    <row r="27190" hidden="1" x14ac:dyDescent="0.35"/>
    <row r="27191" hidden="1" x14ac:dyDescent="0.35"/>
    <row r="27192" hidden="1" x14ac:dyDescent="0.35"/>
    <row r="27193" hidden="1" x14ac:dyDescent="0.35"/>
    <row r="27194" hidden="1" x14ac:dyDescent="0.35"/>
    <row r="27195" hidden="1" x14ac:dyDescent="0.35"/>
    <row r="27196" hidden="1" x14ac:dyDescent="0.35"/>
    <row r="27197" hidden="1" x14ac:dyDescent="0.35"/>
    <row r="27198" hidden="1" x14ac:dyDescent="0.35"/>
    <row r="27199" hidden="1" x14ac:dyDescent="0.35"/>
    <row r="27200" hidden="1" x14ac:dyDescent="0.35"/>
    <row r="27201" hidden="1" x14ac:dyDescent="0.35"/>
    <row r="27202" hidden="1" x14ac:dyDescent="0.35"/>
    <row r="27203" hidden="1" x14ac:dyDescent="0.35"/>
    <row r="27204" hidden="1" x14ac:dyDescent="0.35"/>
    <row r="27205" hidden="1" x14ac:dyDescent="0.35"/>
    <row r="27206" hidden="1" x14ac:dyDescent="0.35"/>
    <row r="27207" hidden="1" x14ac:dyDescent="0.35"/>
    <row r="27208" hidden="1" x14ac:dyDescent="0.35"/>
    <row r="27209" hidden="1" x14ac:dyDescent="0.35"/>
    <row r="27210" hidden="1" x14ac:dyDescent="0.35"/>
    <row r="27211" hidden="1" x14ac:dyDescent="0.35"/>
    <row r="27212" hidden="1" x14ac:dyDescent="0.35"/>
    <row r="27213" hidden="1" x14ac:dyDescent="0.35"/>
    <row r="27214" hidden="1" x14ac:dyDescent="0.35"/>
    <row r="27215" hidden="1" x14ac:dyDescent="0.35"/>
    <row r="27216" hidden="1" x14ac:dyDescent="0.35"/>
    <row r="27217" hidden="1" x14ac:dyDescent="0.35"/>
    <row r="27218" hidden="1" x14ac:dyDescent="0.35"/>
    <row r="27219" hidden="1" x14ac:dyDescent="0.35"/>
    <row r="27220" hidden="1" x14ac:dyDescent="0.35"/>
    <row r="27221" hidden="1" x14ac:dyDescent="0.35"/>
    <row r="27222" hidden="1" x14ac:dyDescent="0.35"/>
    <row r="27223" hidden="1" x14ac:dyDescent="0.35"/>
    <row r="27224" hidden="1" x14ac:dyDescent="0.35"/>
    <row r="27225" hidden="1" x14ac:dyDescent="0.35"/>
    <row r="27226" hidden="1" x14ac:dyDescent="0.35"/>
    <row r="27227" hidden="1" x14ac:dyDescent="0.35"/>
    <row r="27228" hidden="1" x14ac:dyDescent="0.35"/>
    <row r="27229" hidden="1" x14ac:dyDescent="0.35"/>
    <row r="27230" hidden="1" x14ac:dyDescent="0.35"/>
    <row r="27231" hidden="1" x14ac:dyDescent="0.35"/>
    <row r="27232" hidden="1" x14ac:dyDescent="0.35"/>
    <row r="27233" hidden="1" x14ac:dyDescent="0.35"/>
    <row r="27234" hidden="1" x14ac:dyDescent="0.35"/>
    <row r="27235" hidden="1" x14ac:dyDescent="0.35"/>
    <row r="27236" hidden="1" x14ac:dyDescent="0.35"/>
    <row r="27237" hidden="1" x14ac:dyDescent="0.35"/>
    <row r="27238" hidden="1" x14ac:dyDescent="0.35"/>
    <row r="27239" hidden="1" x14ac:dyDescent="0.35"/>
    <row r="27240" hidden="1" x14ac:dyDescent="0.35"/>
    <row r="27241" hidden="1" x14ac:dyDescent="0.35"/>
    <row r="27242" hidden="1" x14ac:dyDescent="0.35"/>
    <row r="27243" hidden="1" x14ac:dyDescent="0.35"/>
    <row r="27244" hidden="1" x14ac:dyDescent="0.35"/>
    <row r="27245" hidden="1" x14ac:dyDescent="0.35"/>
    <row r="27246" hidden="1" x14ac:dyDescent="0.35"/>
    <row r="27247" hidden="1" x14ac:dyDescent="0.35"/>
    <row r="27248" hidden="1" x14ac:dyDescent="0.35"/>
    <row r="27249" hidden="1" x14ac:dyDescent="0.35"/>
    <row r="27250" hidden="1" x14ac:dyDescent="0.35"/>
    <row r="27251" hidden="1" x14ac:dyDescent="0.35"/>
    <row r="27252" hidden="1" x14ac:dyDescent="0.35"/>
    <row r="27253" hidden="1" x14ac:dyDescent="0.35"/>
    <row r="27254" hidden="1" x14ac:dyDescent="0.35"/>
    <row r="27255" hidden="1" x14ac:dyDescent="0.35"/>
    <row r="27256" hidden="1" x14ac:dyDescent="0.35"/>
    <row r="27257" hidden="1" x14ac:dyDescent="0.35"/>
    <row r="27258" hidden="1" x14ac:dyDescent="0.35"/>
    <row r="27259" hidden="1" x14ac:dyDescent="0.35"/>
    <row r="27260" hidden="1" x14ac:dyDescent="0.35"/>
    <row r="27261" hidden="1" x14ac:dyDescent="0.35"/>
    <row r="27262" hidden="1" x14ac:dyDescent="0.35"/>
    <row r="27263" hidden="1" x14ac:dyDescent="0.35"/>
    <row r="27264" hidden="1" x14ac:dyDescent="0.35"/>
    <row r="27265" hidden="1" x14ac:dyDescent="0.35"/>
    <row r="27266" hidden="1" x14ac:dyDescent="0.35"/>
    <row r="27267" hidden="1" x14ac:dyDescent="0.35"/>
    <row r="27268" hidden="1" x14ac:dyDescent="0.35"/>
    <row r="27269" hidden="1" x14ac:dyDescent="0.35"/>
    <row r="27270" hidden="1" x14ac:dyDescent="0.35"/>
    <row r="27271" hidden="1" x14ac:dyDescent="0.35"/>
    <row r="27272" hidden="1" x14ac:dyDescent="0.35"/>
    <row r="27273" hidden="1" x14ac:dyDescent="0.35"/>
    <row r="27274" hidden="1" x14ac:dyDescent="0.35"/>
    <row r="27275" hidden="1" x14ac:dyDescent="0.35"/>
    <row r="27276" hidden="1" x14ac:dyDescent="0.35"/>
    <row r="27277" hidden="1" x14ac:dyDescent="0.35"/>
    <row r="27278" hidden="1" x14ac:dyDescent="0.35"/>
    <row r="27279" hidden="1" x14ac:dyDescent="0.35"/>
    <row r="27280" hidden="1" x14ac:dyDescent="0.35"/>
    <row r="27281" hidden="1" x14ac:dyDescent="0.35"/>
    <row r="27282" hidden="1" x14ac:dyDescent="0.35"/>
    <row r="27283" hidden="1" x14ac:dyDescent="0.35"/>
    <row r="27284" hidden="1" x14ac:dyDescent="0.35"/>
    <row r="27285" hidden="1" x14ac:dyDescent="0.35"/>
    <row r="27286" hidden="1" x14ac:dyDescent="0.35"/>
    <row r="27287" hidden="1" x14ac:dyDescent="0.35"/>
    <row r="27288" hidden="1" x14ac:dyDescent="0.35"/>
    <row r="27289" hidden="1" x14ac:dyDescent="0.35"/>
    <row r="27290" hidden="1" x14ac:dyDescent="0.35"/>
    <row r="27291" hidden="1" x14ac:dyDescent="0.35"/>
    <row r="27292" hidden="1" x14ac:dyDescent="0.35"/>
    <row r="27293" hidden="1" x14ac:dyDescent="0.35"/>
    <row r="27294" hidden="1" x14ac:dyDescent="0.35"/>
    <row r="27295" hidden="1" x14ac:dyDescent="0.35"/>
    <row r="27296" hidden="1" x14ac:dyDescent="0.35"/>
    <row r="27297" hidden="1" x14ac:dyDescent="0.35"/>
    <row r="27298" hidden="1" x14ac:dyDescent="0.35"/>
    <row r="27299" hidden="1" x14ac:dyDescent="0.35"/>
    <row r="27300" hidden="1" x14ac:dyDescent="0.35"/>
    <row r="27301" hidden="1" x14ac:dyDescent="0.35"/>
    <row r="27302" hidden="1" x14ac:dyDescent="0.35"/>
    <row r="27303" hidden="1" x14ac:dyDescent="0.35"/>
    <row r="27304" hidden="1" x14ac:dyDescent="0.35"/>
    <row r="27305" hidden="1" x14ac:dyDescent="0.35"/>
    <row r="27306" hidden="1" x14ac:dyDescent="0.35"/>
    <row r="27307" hidden="1" x14ac:dyDescent="0.35"/>
    <row r="27308" hidden="1" x14ac:dyDescent="0.35"/>
    <row r="27309" hidden="1" x14ac:dyDescent="0.35"/>
    <row r="27310" hidden="1" x14ac:dyDescent="0.35"/>
    <row r="27311" hidden="1" x14ac:dyDescent="0.35"/>
    <row r="27312" hidden="1" x14ac:dyDescent="0.35"/>
    <row r="27313" hidden="1" x14ac:dyDescent="0.35"/>
    <row r="27314" hidden="1" x14ac:dyDescent="0.35"/>
    <row r="27315" hidden="1" x14ac:dyDescent="0.35"/>
    <row r="27316" hidden="1" x14ac:dyDescent="0.35"/>
    <row r="27317" hidden="1" x14ac:dyDescent="0.35"/>
    <row r="27318" hidden="1" x14ac:dyDescent="0.35"/>
    <row r="27319" hidden="1" x14ac:dyDescent="0.35"/>
    <row r="27320" hidden="1" x14ac:dyDescent="0.35"/>
    <row r="27321" hidden="1" x14ac:dyDescent="0.35"/>
    <row r="27322" hidden="1" x14ac:dyDescent="0.35"/>
    <row r="27323" hidden="1" x14ac:dyDescent="0.35"/>
    <row r="27324" hidden="1" x14ac:dyDescent="0.35"/>
    <row r="27325" hidden="1" x14ac:dyDescent="0.35"/>
    <row r="27326" hidden="1" x14ac:dyDescent="0.35"/>
    <row r="27327" hidden="1" x14ac:dyDescent="0.35"/>
    <row r="27328" hidden="1" x14ac:dyDescent="0.35"/>
    <row r="27329" hidden="1" x14ac:dyDescent="0.35"/>
    <row r="27330" hidden="1" x14ac:dyDescent="0.35"/>
    <row r="27331" hidden="1" x14ac:dyDescent="0.35"/>
    <row r="27332" hidden="1" x14ac:dyDescent="0.35"/>
    <row r="27333" hidden="1" x14ac:dyDescent="0.35"/>
    <row r="27334" hidden="1" x14ac:dyDescent="0.35"/>
    <row r="27335" hidden="1" x14ac:dyDescent="0.35"/>
    <row r="27336" hidden="1" x14ac:dyDescent="0.35"/>
    <row r="27337" hidden="1" x14ac:dyDescent="0.35"/>
    <row r="27338" hidden="1" x14ac:dyDescent="0.35"/>
    <row r="27339" hidden="1" x14ac:dyDescent="0.35"/>
    <row r="27340" hidden="1" x14ac:dyDescent="0.35"/>
    <row r="27341" hidden="1" x14ac:dyDescent="0.35"/>
    <row r="27342" hidden="1" x14ac:dyDescent="0.35"/>
    <row r="27343" hidden="1" x14ac:dyDescent="0.35"/>
    <row r="27344" hidden="1" x14ac:dyDescent="0.35"/>
    <row r="27345" hidden="1" x14ac:dyDescent="0.35"/>
    <row r="27346" hidden="1" x14ac:dyDescent="0.35"/>
    <row r="27347" hidden="1" x14ac:dyDescent="0.35"/>
    <row r="27348" hidden="1" x14ac:dyDescent="0.35"/>
    <row r="27349" hidden="1" x14ac:dyDescent="0.35"/>
    <row r="27350" hidden="1" x14ac:dyDescent="0.35"/>
    <row r="27351" hidden="1" x14ac:dyDescent="0.35"/>
    <row r="27352" hidden="1" x14ac:dyDescent="0.35"/>
    <row r="27353" hidden="1" x14ac:dyDescent="0.35"/>
    <row r="27354" hidden="1" x14ac:dyDescent="0.35"/>
    <row r="27355" hidden="1" x14ac:dyDescent="0.35"/>
    <row r="27356" hidden="1" x14ac:dyDescent="0.35"/>
    <row r="27357" hidden="1" x14ac:dyDescent="0.35"/>
    <row r="27358" hidden="1" x14ac:dyDescent="0.35"/>
    <row r="27359" hidden="1" x14ac:dyDescent="0.35"/>
    <row r="27360" hidden="1" x14ac:dyDescent="0.35"/>
    <row r="27361" hidden="1" x14ac:dyDescent="0.35"/>
    <row r="27362" hidden="1" x14ac:dyDescent="0.35"/>
    <row r="27363" hidden="1" x14ac:dyDescent="0.35"/>
    <row r="27364" hidden="1" x14ac:dyDescent="0.35"/>
    <row r="27365" hidden="1" x14ac:dyDescent="0.35"/>
    <row r="27366" hidden="1" x14ac:dyDescent="0.35"/>
    <row r="27367" hidden="1" x14ac:dyDescent="0.35"/>
    <row r="27368" hidden="1" x14ac:dyDescent="0.35"/>
    <row r="27369" hidden="1" x14ac:dyDescent="0.35"/>
    <row r="27370" hidden="1" x14ac:dyDescent="0.35"/>
    <row r="27371" hidden="1" x14ac:dyDescent="0.35"/>
    <row r="27372" hidden="1" x14ac:dyDescent="0.35"/>
    <row r="27373" hidden="1" x14ac:dyDescent="0.35"/>
    <row r="27374" hidden="1" x14ac:dyDescent="0.35"/>
    <row r="27375" hidden="1" x14ac:dyDescent="0.35"/>
    <row r="27376" hidden="1" x14ac:dyDescent="0.35"/>
    <row r="27377" hidden="1" x14ac:dyDescent="0.35"/>
    <row r="27378" hidden="1" x14ac:dyDescent="0.35"/>
    <row r="27379" hidden="1" x14ac:dyDescent="0.35"/>
    <row r="27380" hidden="1" x14ac:dyDescent="0.35"/>
    <row r="27381" hidden="1" x14ac:dyDescent="0.35"/>
    <row r="27382" hidden="1" x14ac:dyDescent="0.35"/>
    <row r="27383" hidden="1" x14ac:dyDescent="0.35"/>
    <row r="27384" hidden="1" x14ac:dyDescent="0.35"/>
    <row r="27385" hidden="1" x14ac:dyDescent="0.35"/>
    <row r="27386" hidden="1" x14ac:dyDescent="0.35"/>
    <row r="27387" hidden="1" x14ac:dyDescent="0.35"/>
    <row r="27388" hidden="1" x14ac:dyDescent="0.35"/>
    <row r="27389" hidden="1" x14ac:dyDescent="0.35"/>
    <row r="27390" hidden="1" x14ac:dyDescent="0.35"/>
    <row r="27391" hidden="1" x14ac:dyDescent="0.35"/>
    <row r="27392" hidden="1" x14ac:dyDescent="0.35"/>
    <row r="27393" hidden="1" x14ac:dyDescent="0.35"/>
    <row r="27394" hidden="1" x14ac:dyDescent="0.35"/>
    <row r="27395" hidden="1" x14ac:dyDescent="0.35"/>
    <row r="27396" hidden="1" x14ac:dyDescent="0.35"/>
    <row r="27397" hidden="1" x14ac:dyDescent="0.35"/>
    <row r="27398" hidden="1" x14ac:dyDescent="0.35"/>
    <row r="27399" hidden="1" x14ac:dyDescent="0.35"/>
    <row r="27400" hidden="1" x14ac:dyDescent="0.35"/>
    <row r="27401" hidden="1" x14ac:dyDescent="0.35"/>
    <row r="27402" hidden="1" x14ac:dyDescent="0.35"/>
    <row r="27403" hidden="1" x14ac:dyDescent="0.35"/>
    <row r="27404" hidden="1" x14ac:dyDescent="0.35"/>
    <row r="27405" hidden="1" x14ac:dyDescent="0.35"/>
    <row r="27406" hidden="1" x14ac:dyDescent="0.35"/>
    <row r="27407" hidden="1" x14ac:dyDescent="0.35"/>
    <row r="27408" hidden="1" x14ac:dyDescent="0.35"/>
    <row r="27409" hidden="1" x14ac:dyDescent="0.35"/>
    <row r="27410" hidden="1" x14ac:dyDescent="0.35"/>
    <row r="27411" hidden="1" x14ac:dyDescent="0.35"/>
    <row r="27412" hidden="1" x14ac:dyDescent="0.35"/>
    <row r="27413" hidden="1" x14ac:dyDescent="0.35"/>
    <row r="27414" hidden="1" x14ac:dyDescent="0.35"/>
    <row r="27415" hidden="1" x14ac:dyDescent="0.35"/>
    <row r="27416" hidden="1" x14ac:dyDescent="0.35"/>
    <row r="27417" hidden="1" x14ac:dyDescent="0.35"/>
    <row r="27418" hidden="1" x14ac:dyDescent="0.35"/>
    <row r="27419" hidden="1" x14ac:dyDescent="0.35"/>
    <row r="27420" hidden="1" x14ac:dyDescent="0.35"/>
    <row r="27421" hidden="1" x14ac:dyDescent="0.35"/>
    <row r="27422" hidden="1" x14ac:dyDescent="0.35"/>
    <row r="27423" hidden="1" x14ac:dyDescent="0.35"/>
    <row r="27424" hidden="1" x14ac:dyDescent="0.35"/>
    <row r="27425" hidden="1" x14ac:dyDescent="0.35"/>
    <row r="27426" hidden="1" x14ac:dyDescent="0.35"/>
    <row r="27427" hidden="1" x14ac:dyDescent="0.35"/>
    <row r="27428" hidden="1" x14ac:dyDescent="0.35"/>
    <row r="27429" hidden="1" x14ac:dyDescent="0.35"/>
    <row r="27430" hidden="1" x14ac:dyDescent="0.35"/>
    <row r="27431" hidden="1" x14ac:dyDescent="0.35"/>
    <row r="27432" hidden="1" x14ac:dyDescent="0.35"/>
    <row r="27433" hidden="1" x14ac:dyDescent="0.35"/>
    <row r="27434" hidden="1" x14ac:dyDescent="0.35"/>
    <row r="27435" hidden="1" x14ac:dyDescent="0.35"/>
    <row r="27436" hidden="1" x14ac:dyDescent="0.35"/>
    <row r="27437" hidden="1" x14ac:dyDescent="0.35"/>
    <row r="27438" hidden="1" x14ac:dyDescent="0.35"/>
    <row r="27439" hidden="1" x14ac:dyDescent="0.35"/>
    <row r="27440" hidden="1" x14ac:dyDescent="0.35"/>
    <row r="27441" hidden="1" x14ac:dyDescent="0.35"/>
    <row r="27442" hidden="1" x14ac:dyDescent="0.35"/>
    <row r="27443" hidden="1" x14ac:dyDescent="0.35"/>
    <row r="27444" hidden="1" x14ac:dyDescent="0.35"/>
    <row r="27445" hidden="1" x14ac:dyDescent="0.35"/>
    <row r="27446" hidden="1" x14ac:dyDescent="0.35"/>
    <row r="27447" hidden="1" x14ac:dyDescent="0.35"/>
    <row r="27448" hidden="1" x14ac:dyDescent="0.35"/>
    <row r="27449" hidden="1" x14ac:dyDescent="0.35"/>
    <row r="27450" hidden="1" x14ac:dyDescent="0.35"/>
    <row r="27451" hidden="1" x14ac:dyDescent="0.35"/>
    <row r="27452" hidden="1" x14ac:dyDescent="0.35"/>
    <row r="27453" hidden="1" x14ac:dyDescent="0.35"/>
    <row r="27454" hidden="1" x14ac:dyDescent="0.35"/>
    <row r="27455" hidden="1" x14ac:dyDescent="0.35"/>
    <row r="27456" hidden="1" x14ac:dyDescent="0.35"/>
    <row r="27457" hidden="1" x14ac:dyDescent="0.35"/>
    <row r="27458" hidden="1" x14ac:dyDescent="0.35"/>
    <row r="27459" hidden="1" x14ac:dyDescent="0.35"/>
    <row r="27460" hidden="1" x14ac:dyDescent="0.35"/>
    <row r="27461" hidden="1" x14ac:dyDescent="0.35"/>
    <row r="27462" hidden="1" x14ac:dyDescent="0.35"/>
    <row r="27463" hidden="1" x14ac:dyDescent="0.35"/>
    <row r="27464" hidden="1" x14ac:dyDescent="0.35"/>
    <row r="27465" hidden="1" x14ac:dyDescent="0.35"/>
    <row r="27466" hidden="1" x14ac:dyDescent="0.35"/>
    <row r="27467" hidden="1" x14ac:dyDescent="0.35"/>
    <row r="27468" hidden="1" x14ac:dyDescent="0.35"/>
    <row r="27469" hidden="1" x14ac:dyDescent="0.35"/>
    <row r="27470" hidden="1" x14ac:dyDescent="0.35"/>
    <row r="27471" hidden="1" x14ac:dyDescent="0.35"/>
    <row r="27472" hidden="1" x14ac:dyDescent="0.35"/>
    <row r="27473" hidden="1" x14ac:dyDescent="0.35"/>
    <row r="27474" hidden="1" x14ac:dyDescent="0.35"/>
    <row r="27475" hidden="1" x14ac:dyDescent="0.35"/>
    <row r="27476" hidden="1" x14ac:dyDescent="0.35"/>
    <row r="27477" hidden="1" x14ac:dyDescent="0.35"/>
    <row r="27478" hidden="1" x14ac:dyDescent="0.35"/>
    <row r="27479" hidden="1" x14ac:dyDescent="0.35"/>
    <row r="27480" hidden="1" x14ac:dyDescent="0.35"/>
    <row r="27481" hidden="1" x14ac:dyDescent="0.35"/>
    <row r="27482" hidden="1" x14ac:dyDescent="0.35"/>
    <row r="27483" hidden="1" x14ac:dyDescent="0.35"/>
    <row r="27484" hidden="1" x14ac:dyDescent="0.35"/>
    <row r="27485" hidden="1" x14ac:dyDescent="0.35"/>
    <row r="27486" hidden="1" x14ac:dyDescent="0.35"/>
    <row r="27487" hidden="1" x14ac:dyDescent="0.35"/>
    <row r="27488" hidden="1" x14ac:dyDescent="0.35"/>
    <row r="27489" hidden="1" x14ac:dyDescent="0.35"/>
    <row r="27490" hidden="1" x14ac:dyDescent="0.35"/>
    <row r="27491" hidden="1" x14ac:dyDescent="0.35"/>
    <row r="27492" hidden="1" x14ac:dyDescent="0.35"/>
    <row r="27493" hidden="1" x14ac:dyDescent="0.35"/>
    <row r="27494" hidden="1" x14ac:dyDescent="0.35"/>
    <row r="27495" hidden="1" x14ac:dyDescent="0.35"/>
    <row r="27496" hidden="1" x14ac:dyDescent="0.35"/>
    <row r="27497" hidden="1" x14ac:dyDescent="0.35"/>
    <row r="27498" hidden="1" x14ac:dyDescent="0.35"/>
    <row r="27499" hidden="1" x14ac:dyDescent="0.35"/>
    <row r="27500" hidden="1" x14ac:dyDescent="0.35"/>
    <row r="27501" hidden="1" x14ac:dyDescent="0.35"/>
    <row r="27502" hidden="1" x14ac:dyDescent="0.35"/>
    <row r="27503" hidden="1" x14ac:dyDescent="0.35"/>
    <row r="27504" hidden="1" x14ac:dyDescent="0.35"/>
    <row r="27505" hidden="1" x14ac:dyDescent="0.35"/>
    <row r="27506" hidden="1" x14ac:dyDescent="0.35"/>
    <row r="27507" hidden="1" x14ac:dyDescent="0.35"/>
    <row r="27508" hidden="1" x14ac:dyDescent="0.35"/>
    <row r="27509" hidden="1" x14ac:dyDescent="0.35"/>
    <row r="27510" hidden="1" x14ac:dyDescent="0.35"/>
    <row r="27511" hidden="1" x14ac:dyDescent="0.35"/>
    <row r="27512" hidden="1" x14ac:dyDescent="0.35"/>
    <row r="27513" hidden="1" x14ac:dyDescent="0.35"/>
    <row r="27514" hidden="1" x14ac:dyDescent="0.35"/>
    <row r="27515" hidden="1" x14ac:dyDescent="0.35"/>
    <row r="27516" hidden="1" x14ac:dyDescent="0.35"/>
    <row r="27517" hidden="1" x14ac:dyDescent="0.35"/>
    <row r="27518" hidden="1" x14ac:dyDescent="0.35"/>
    <row r="27519" hidden="1" x14ac:dyDescent="0.35"/>
    <row r="27520" hidden="1" x14ac:dyDescent="0.35"/>
    <row r="27521" hidden="1" x14ac:dyDescent="0.35"/>
    <row r="27522" hidden="1" x14ac:dyDescent="0.35"/>
    <row r="27523" hidden="1" x14ac:dyDescent="0.35"/>
    <row r="27524" hidden="1" x14ac:dyDescent="0.35"/>
    <row r="27525" hidden="1" x14ac:dyDescent="0.35"/>
    <row r="27526" hidden="1" x14ac:dyDescent="0.35"/>
    <row r="27527" hidden="1" x14ac:dyDescent="0.35"/>
    <row r="27528" hidden="1" x14ac:dyDescent="0.35"/>
    <row r="27529" hidden="1" x14ac:dyDescent="0.35"/>
    <row r="27530" hidden="1" x14ac:dyDescent="0.35"/>
    <row r="27531" hidden="1" x14ac:dyDescent="0.35"/>
    <row r="27532" hidden="1" x14ac:dyDescent="0.35"/>
    <row r="27533" hidden="1" x14ac:dyDescent="0.35"/>
    <row r="27534" hidden="1" x14ac:dyDescent="0.35"/>
    <row r="27535" hidden="1" x14ac:dyDescent="0.35"/>
    <row r="27536" hidden="1" x14ac:dyDescent="0.35"/>
    <row r="27537" hidden="1" x14ac:dyDescent="0.35"/>
    <row r="27538" hidden="1" x14ac:dyDescent="0.35"/>
    <row r="27539" hidden="1" x14ac:dyDescent="0.35"/>
    <row r="27540" hidden="1" x14ac:dyDescent="0.35"/>
    <row r="27541" hidden="1" x14ac:dyDescent="0.35"/>
    <row r="27542" hidden="1" x14ac:dyDescent="0.35"/>
    <row r="27543" hidden="1" x14ac:dyDescent="0.35"/>
    <row r="27544" hidden="1" x14ac:dyDescent="0.35"/>
    <row r="27545" hidden="1" x14ac:dyDescent="0.35"/>
    <row r="27546" hidden="1" x14ac:dyDescent="0.35"/>
    <row r="27547" hidden="1" x14ac:dyDescent="0.35"/>
    <row r="27548" hidden="1" x14ac:dyDescent="0.35"/>
    <row r="27549" hidden="1" x14ac:dyDescent="0.35"/>
    <row r="27550" hidden="1" x14ac:dyDescent="0.35"/>
    <row r="27551" hidden="1" x14ac:dyDescent="0.35"/>
    <row r="27552" hidden="1" x14ac:dyDescent="0.35"/>
    <row r="27553" hidden="1" x14ac:dyDescent="0.35"/>
    <row r="27554" hidden="1" x14ac:dyDescent="0.35"/>
    <row r="27555" hidden="1" x14ac:dyDescent="0.35"/>
    <row r="27556" hidden="1" x14ac:dyDescent="0.35"/>
    <row r="27557" hidden="1" x14ac:dyDescent="0.35"/>
    <row r="27558" hidden="1" x14ac:dyDescent="0.35"/>
    <row r="27559" hidden="1" x14ac:dyDescent="0.35"/>
    <row r="27560" hidden="1" x14ac:dyDescent="0.35"/>
    <row r="27561" hidden="1" x14ac:dyDescent="0.35"/>
    <row r="27562" hidden="1" x14ac:dyDescent="0.35"/>
    <row r="27563" hidden="1" x14ac:dyDescent="0.35"/>
    <row r="27564" hidden="1" x14ac:dyDescent="0.35"/>
    <row r="27565" hidden="1" x14ac:dyDescent="0.35"/>
    <row r="27566" hidden="1" x14ac:dyDescent="0.35"/>
    <row r="27567" hidden="1" x14ac:dyDescent="0.35"/>
    <row r="27568" hidden="1" x14ac:dyDescent="0.35"/>
    <row r="27569" hidden="1" x14ac:dyDescent="0.35"/>
    <row r="27570" hidden="1" x14ac:dyDescent="0.35"/>
    <row r="27571" hidden="1" x14ac:dyDescent="0.35"/>
    <row r="27572" hidden="1" x14ac:dyDescent="0.35"/>
    <row r="27573" hidden="1" x14ac:dyDescent="0.35"/>
    <row r="27574" hidden="1" x14ac:dyDescent="0.35"/>
    <row r="27575" hidden="1" x14ac:dyDescent="0.35"/>
    <row r="27576" hidden="1" x14ac:dyDescent="0.35"/>
    <row r="27577" hidden="1" x14ac:dyDescent="0.35"/>
    <row r="27578" hidden="1" x14ac:dyDescent="0.35"/>
    <row r="27579" hidden="1" x14ac:dyDescent="0.35"/>
    <row r="27580" hidden="1" x14ac:dyDescent="0.35"/>
    <row r="27581" hidden="1" x14ac:dyDescent="0.35"/>
    <row r="27582" hidden="1" x14ac:dyDescent="0.35"/>
    <row r="27583" hidden="1" x14ac:dyDescent="0.35"/>
    <row r="27584" hidden="1" x14ac:dyDescent="0.35"/>
    <row r="27585" hidden="1" x14ac:dyDescent="0.35"/>
    <row r="27586" hidden="1" x14ac:dyDescent="0.35"/>
    <row r="27587" hidden="1" x14ac:dyDescent="0.35"/>
    <row r="27588" hidden="1" x14ac:dyDescent="0.35"/>
    <row r="27589" hidden="1" x14ac:dyDescent="0.35"/>
    <row r="27590" hidden="1" x14ac:dyDescent="0.35"/>
    <row r="27591" hidden="1" x14ac:dyDescent="0.35"/>
    <row r="27592" hidden="1" x14ac:dyDescent="0.35"/>
    <row r="27593" hidden="1" x14ac:dyDescent="0.35"/>
    <row r="27594" hidden="1" x14ac:dyDescent="0.35"/>
    <row r="27595" hidden="1" x14ac:dyDescent="0.35"/>
    <row r="27596" hidden="1" x14ac:dyDescent="0.35"/>
    <row r="27597" hidden="1" x14ac:dyDescent="0.35"/>
    <row r="27598" hidden="1" x14ac:dyDescent="0.35"/>
    <row r="27599" hidden="1" x14ac:dyDescent="0.35"/>
    <row r="27600" hidden="1" x14ac:dyDescent="0.35"/>
    <row r="27601" hidden="1" x14ac:dyDescent="0.35"/>
    <row r="27602" hidden="1" x14ac:dyDescent="0.35"/>
    <row r="27603" hidden="1" x14ac:dyDescent="0.35"/>
    <row r="27604" hidden="1" x14ac:dyDescent="0.35"/>
    <row r="27605" hidden="1" x14ac:dyDescent="0.35"/>
    <row r="27606" hidden="1" x14ac:dyDescent="0.35"/>
    <row r="27607" hidden="1" x14ac:dyDescent="0.35"/>
    <row r="27608" hidden="1" x14ac:dyDescent="0.35"/>
    <row r="27609" hidden="1" x14ac:dyDescent="0.35"/>
    <row r="27610" hidden="1" x14ac:dyDescent="0.35"/>
    <row r="27611" hidden="1" x14ac:dyDescent="0.35"/>
    <row r="27612" hidden="1" x14ac:dyDescent="0.35"/>
    <row r="27613" hidden="1" x14ac:dyDescent="0.35"/>
    <row r="27614" hidden="1" x14ac:dyDescent="0.35"/>
    <row r="27615" hidden="1" x14ac:dyDescent="0.35"/>
    <row r="27616" hidden="1" x14ac:dyDescent="0.35"/>
    <row r="27617" hidden="1" x14ac:dyDescent="0.35"/>
    <row r="27618" hidden="1" x14ac:dyDescent="0.35"/>
    <row r="27619" hidden="1" x14ac:dyDescent="0.35"/>
    <row r="27620" hidden="1" x14ac:dyDescent="0.35"/>
    <row r="27621" hidden="1" x14ac:dyDescent="0.35"/>
    <row r="27622" hidden="1" x14ac:dyDescent="0.35"/>
    <row r="27623" hidden="1" x14ac:dyDescent="0.35"/>
    <row r="27624" hidden="1" x14ac:dyDescent="0.35"/>
    <row r="27625" hidden="1" x14ac:dyDescent="0.35"/>
    <row r="27626" hidden="1" x14ac:dyDescent="0.35"/>
    <row r="27627" hidden="1" x14ac:dyDescent="0.35"/>
    <row r="27628" hidden="1" x14ac:dyDescent="0.35"/>
    <row r="27629" hidden="1" x14ac:dyDescent="0.35"/>
    <row r="27630" hidden="1" x14ac:dyDescent="0.35"/>
    <row r="27631" hidden="1" x14ac:dyDescent="0.35"/>
    <row r="27632" hidden="1" x14ac:dyDescent="0.35"/>
    <row r="27633" hidden="1" x14ac:dyDescent="0.35"/>
    <row r="27634" hidden="1" x14ac:dyDescent="0.35"/>
    <row r="27635" hidden="1" x14ac:dyDescent="0.35"/>
    <row r="27636" hidden="1" x14ac:dyDescent="0.35"/>
    <row r="27637" hidden="1" x14ac:dyDescent="0.35"/>
    <row r="27638" hidden="1" x14ac:dyDescent="0.35"/>
    <row r="27639" hidden="1" x14ac:dyDescent="0.35"/>
    <row r="27640" hidden="1" x14ac:dyDescent="0.35"/>
    <row r="27641" hidden="1" x14ac:dyDescent="0.35"/>
    <row r="27642" hidden="1" x14ac:dyDescent="0.35"/>
    <row r="27643" hidden="1" x14ac:dyDescent="0.35"/>
    <row r="27644" hidden="1" x14ac:dyDescent="0.35"/>
    <row r="27645" hidden="1" x14ac:dyDescent="0.35"/>
    <row r="27646" hidden="1" x14ac:dyDescent="0.35"/>
    <row r="27647" hidden="1" x14ac:dyDescent="0.35"/>
    <row r="27648" hidden="1" x14ac:dyDescent="0.35"/>
    <row r="27649" hidden="1" x14ac:dyDescent="0.35"/>
    <row r="27650" hidden="1" x14ac:dyDescent="0.35"/>
    <row r="27651" hidden="1" x14ac:dyDescent="0.35"/>
    <row r="27652" hidden="1" x14ac:dyDescent="0.35"/>
    <row r="27653" hidden="1" x14ac:dyDescent="0.35"/>
    <row r="27654" hidden="1" x14ac:dyDescent="0.35"/>
    <row r="27655" hidden="1" x14ac:dyDescent="0.35"/>
    <row r="27656" hidden="1" x14ac:dyDescent="0.35"/>
    <row r="27657" hidden="1" x14ac:dyDescent="0.35"/>
    <row r="27658" hidden="1" x14ac:dyDescent="0.35"/>
    <row r="27659" hidden="1" x14ac:dyDescent="0.35"/>
    <row r="27660" hidden="1" x14ac:dyDescent="0.35"/>
    <row r="27661" hidden="1" x14ac:dyDescent="0.35"/>
    <row r="27662" hidden="1" x14ac:dyDescent="0.35"/>
    <row r="27663" hidden="1" x14ac:dyDescent="0.35"/>
    <row r="27664" hidden="1" x14ac:dyDescent="0.35"/>
    <row r="27665" hidden="1" x14ac:dyDescent="0.35"/>
    <row r="27666" hidden="1" x14ac:dyDescent="0.35"/>
    <row r="27667" hidden="1" x14ac:dyDescent="0.35"/>
    <row r="27668" hidden="1" x14ac:dyDescent="0.35"/>
    <row r="27669" hidden="1" x14ac:dyDescent="0.35"/>
    <row r="27670" hidden="1" x14ac:dyDescent="0.35"/>
    <row r="27671" hidden="1" x14ac:dyDescent="0.35"/>
    <row r="27672" hidden="1" x14ac:dyDescent="0.35"/>
    <row r="27673" hidden="1" x14ac:dyDescent="0.35"/>
    <row r="27674" hidden="1" x14ac:dyDescent="0.35"/>
    <row r="27675" hidden="1" x14ac:dyDescent="0.35"/>
    <row r="27676" hidden="1" x14ac:dyDescent="0.35"/>
    <row r="27677" hidden="1" x14ac:dyDescent="0.35"/>
    <row r="27678" hidden="1" x14ac:dyDescent="0.35"/>
    <row r="27679" hidden="1" x14ac:dyDescent="0.35"/>
    <row r="27680" hidden="1" x14ac:dyDescent="0.35"/>
    <row r="27681" hidden="1" x14ac:dyDescent="0.35"/>
    <row r="27682" hidden="1" x14ac:dyDescent="0.35"/>
    <row r="27683" hidden="1" x14ac:dyDescent="0.35"/>
    <row r="27684" hidden="1" x14ac:dyDescent="0.35"/>
    <row r="27685" hidden="1" x14ac:dyDescent="0.35"/>
    <row r="27686" hidden="1" x14ac:dyDescent="0.35"/>
    <row r="27687" hidden="1" x14ac:dyDescent="0.35"/>
    <row r="27688" hidden="1" x14ac:dyDescent="0.35"/>
    <row r="27689" hidden="1" x14ac:dyDescent="0.35"/>
    <row r="27690" hidden="1" x14ac:dyDescent="0.35"/>
    <row r="27691" hidden="1" x14ac:dyDescent="0.35"/>
    <row r="27692" hidden="1" x14ac:dyDescent="0.35"/>
    <row r="27693" hidden="1" x14ac:dyDescent="0.35"/>
    <row r="27694" hidden="1" x14ac:dyDescent="0.35"/>
    <row r="27695" hidden="1" x14ac:dyDescent="0.35"/>
    <row r="27696" hidden="1" x14ac:dyDescent="0.35"/>
    <row r="27697" hidden="1" x14ac:dyDescent="0.35"/>
    <row r="27698" hidden="1" x14ac:dyDescent="0.35"/>
    <row r="27699" hidden="1" x14ac:dyDescent="0.35"/>
    <row r="27700" hidden="1" x14ac:dyDescent="0.35"/>
    <row r="27701" hidden="1" x14ac:dyDescent="0.35"/>
    <row r="27702" hidden="1" x14ac:dyDescent="0.35"/>
    <row r="27703" hidden="1" x14ac:dyDescent="0.35"/>
    <row r="27704" hidden="1" x14ac:dyDescent="0.35"/>
    <row r="27705" hidden="1" x14ac:dyDescent="0.35"/>
    <row r="27706" hidden="1" x14ac:dyDescent="0.35"/>
    <row r="27707" hidden="1" x14ac:dyDescent="0.35"/>
    <row r="27708" hidden="1" x14ac:dyDescent="0.35"/>
    <row r="27709" hidden="1" x14ac:dyDescent="0.35"/>
    <row r="27710" hidden="1" x14ac:dyDescent="0.35"/>
    <row r="27711" hidden="1" x14ac:dyDescent="0.35"/>
    <row r="27712" hidden="1" x14ac:dyDescent="0.35"/>
    <row r="27713" hidden="1" x14ac:dyDescent="0.35"/>
    <row r="27714" hidden="1" x14ac:dyDescent="0.35"/>
    <row r="27715" hidden="1" x14ac:dyDescent="0.35"/>
    <row r="27716" hidden="1" x14ac:dyDescent="0.35"/>
    <row r="27717" hidden="1" x14ac:dyDescent="0.35"/>
    <row r="27718" hidden="1" x14ac:dyDescent="0.35"/>
    <row r="27719" hidden="1" x14ac:dyDescent="0.35"/>
    <row r="27720" hidden="1" x14ac:dyDescent="0.35"/>
    <row r="27721" hidden="1" x14ac:dyDescent="0.35"/>
    <row r="27722" hidden="1" x14ac:dyDescent="0.35"/>
    <row r="27723" hidden="1" x14ac:dyDescent="0.35"/>
    <row r="27724" hidden="1" x14ac:dyDescent="0.35"/>
    <row r="27725" hidden="1" x14ac:dyDescent="0.35"/>
    <row r="27726" hidden="1" x14ac:dyDescent="0.35"/>
    <row r="27727" hidden="1" x14ac:dyDescent="0.35"/>
    <row r="27728" hidden="1" x14ac:dyDescent="0.35"/>
    <row r="27729" hidden="1" x14ac:dyDescent="0.35"/>
    <row r="27730" hidden="1" x14ac:dyDescent="0.35"/>
    <row r="27731" hidden="1" x14ac:dyDescent="0.35"/>
    <row r="27732" hidden="1" x14ac:dyDescent="0.35"/>
    <row r="27733" hidden="1" x14ac:dyDescent="0.35"/>
    <row r="27734" hidden="1" x14ac:dyDescent="0.35"/>
    <row r="27735" hidden="1" x14ac:dyDescent="0.35"/>
    <row r="27736" hidden="1" x14ac:dyDescent="0.35"/>
    <row r="27737" hidden="1" x14ac:dyDescent="0.35"/>
    <row r="27738" hidden="1" x14ac:dyDescent="0.35"/>
    <row r="27739" hidden="1" x14ac:dyDescent="0.35"/>
    <row r="27740" hidden="1" x14ac:dyDescent="0.35"/>
    <row r="27741" hidden="1" x14ac:dyDescent="0.35"/>
    <row r="27742" hidden="1" x14ac:dyDescent="0.35"/>
    <row r="27743" hidden="1" x14ac:dyDescent="0.35"/>
    <row r="27744" hidden="1" x14ac:dyDescent="0.35"/>
    <row r="27745" hidden="1" x14ac:dyDescent="0.35"/>
    <row r="27746" hidden="1" x14ac:dyDescent="0.35"/>
    <row r="27747" hidden="1" x14ac:dyDescent="0.35"/>
    <row r="27748" hidden="1" x14ac:dyDescent="0.35"/>
    <row r="27749" hidden="1" x14ac:dyDescent="0.35"/>
    <row r="27750" hidden="1" x14ac:dyDescent="0.35"/>
    <row r="27751" hidden="1" x14ac:dyDescent="0.35"/>
    <row r="27752" hidden="1" x14ac:dyDescent="0.35"/>
    <row r="27753" hidden="1" x14ac:dyDescent="0.35"/>
    <row r="27754" hidden="1" x14ac:dyDescent="0.35"/>
    <row r="27755" hidden="1" x14ac:dyDescent="0.35"/>
    <row r="27756" hidden="1" x14ac:dyDescent="0.35"/>
    <row r="27757" hidden="1" x14ac:dyDescent="0.35"/>
    <row r="27758" hidden="1" x14ac:dyDescent="0.35"/>
    <row r="27759" hidden="1" x14ac:dyDescent="0.35"/>
    <row r="27760" hidden="1" x14ac:dyDescent="0.35"/>
    <row r="27761" hidden="1" x14ac:dyDescent="0.35"/>
    <row r="27762" hidden="1" x14ac:dyDescent="0.35"/>
    <row r="27763" hidden="1" x14ac:dyDescent="0.35"/>
    <row r="27764" hidden="1" x14ac:dyDescent="0.35"/>
    <row r="27765" hidden="1" x14ac:dyDescent="0.35"/>
    <row r="27766" hidden="1" x14ac:dyDescent="0.35"/>
    <row r="27767" hidden="1" x14ac:dyDescent="0.35"/>
    <row r="27768" hidden="1" x14ac:dyDescent="0.35"/>
    <row r="27769" hidden="1" x14ac:dyDescent="0.35"/>
    <row r="27770" hidden="1" x14ac:dyDescent="0.35"/>
    <row r="27771" hidden="1" x14ac:dyDescent="0.35"/>
    <row r="27772" hidden="1" x14ac:dyDescent="0.35"/>
    <row r="27773" hidden="1" x14ac:dyDescent="0.35"/>
    <row r="27774" hidden="1" x14ac:dyDescent="0.35"/>
    <row r="27775" hidden="1" x14ac:dyDescent="0.35"/>
    <row r="27776" hidden="1" x14ac:dyDescent="0.35"/>
    <row r="27777" hidden="1" x14ac:dyDescent="0.35"/>
    <row r="27778" hidden="1" x14ac:dyDescent="0.35"/>
    <row r="27779" hidden="1" x14ac:dyDescent="0.35"/>
    <row r="27780" hidden="1" x14ac:dyDescent="0.35"/>
    <row r="27781" hidden="1" x14ac:dyDescent="0.35"/>
    <row r="27782" hidden="1" x14ac:dyDescent="0.35"/>
    <row r="27783" hidden="1" x14ac:dyDescent="0.35"/>
    <row r="27784" hidden="1" x14ac:dyDescent="0.35"/>
    <row r="27785" hidden="1" x14ac:dyDescent="0.35"/>
    <row r="27786" hidden="1" x14ac:dyDescent="0.35"/>
    <row r="27787" hidden="1" x14ac:dyDescent="0.35"/>
    <row r="27788" hidden="1" x14ac:dyDescent="0.35"/>
    <row r="27789" hidden="1" x14ac:dyDescent="0.35"/>
    <row r="27790" hidden="1" x14ac:dyDescent="0.35"/>
    <row r="27791" hidden="1" x14ac:dyDescent="0.35"/>
    <row r="27792" hidden="1" x14ac:dyDescent="0.35"/>
    <row r="27793" hidden="1" x14ac:dyDescent="0.35"/>
    <row r="27794" hidden="1" x14ac:dyDescent="0.35"/>
    <row r="27795" hidden="1" x14ac:dyDescent="0.35"/>
    <row r="27796" hidden="1" x14ac:dyDescent="0.35"/>
    <row r="27797" hidden="1" x14ac:dyDescent="0.35"/>
    <row r="27798" hidden="1" x14ac:dyDescent="0.35"/>
    <row r="27799" hidden="1" x14ac:dyDescent="0.35"/>
    <row r="27800" hidden="1" x14ac:dyDescent="0.35"/>
    <row r="27801" hidden="1" x14ac:dyDescent="0.35"/>
    <row r="27802" hidden="1" x14ac:dyDescent="0.35"/>
    <row r="27803" hidden="1" x14ac:dyDescent="0.35"/>
    <row r="27804" hidden="1" x14ac:dyDescent="0.35"/>
    <row r="27805" hidden="1" x14ac:dyDescent="0.35"/>
    <row r="27806" hidden="1" x14ac:dyDescent="0.35"/>
    <row r="27807" hidden="1" x14ac:dyDescent="0.35"/>
    <row r="27808" hidden="1" x14ac:dyDescent="0.35"/>
    <row r="27809" hidden="1" x14ac:dyDescent="0.35"/>
    <row r="27810" hidden="1" x14ac:dyDescent="0.35"/>
    <row r="27811" hidden="1" x14ac:dyDescent="0.35"/>
    <row r="27812" hidden="1" x14ac:dyDescent="0.35"/>
    <row r="27813" hidden="1" x14ac:dyDescent="0.35"/>
    <row r="27814" hidden="1" x14ac:dyDescent="0.35"/>
    <row r="27815" hidden="1" x14ac:dyDescent="0.35"/>
    <row r="27816" hidden="1" x14ac:dyDescent="0.35"/>
    <row r="27817" hidden="1" x14ac:dyDescent="0.35"/>
    <row r="27818" hidden="1" x14ac:dyDescent="0.35"/>
    <row r="27819" hidden="1" x14ac:dyDescent="0.35"/>
    <row r="27820" hidden="1" x14ac:dyDescent="0.35"/>
    <row r="27821" hidden="1" x14ac:dyDescent="0.35"/>
    <row r="27822" hidden="1" x14ac:dyDescent="0.35"/>
    <row r="27823" hidden="1" x14ac:dyDescent="0.35"/>
    <row r="27824" hidden="1" x14ac:dyDescent="0.35"/>
    <row r="27825" hidden="1" x14ac:dyDescent="0.35"/>
    <row r="27826" hidden="1" x14ac:dyDescent="0.35"/>
    <row r="27827" hidden="1" x14ac:dyDescent="0.35"/>
    <row r="27828" hidden="1" x14ac:dyDescent="0.35"/>
    <row r="27829" hidden="1" x14ac:dyDescent="0.35"/>
    <row r="27830" hidden="1" x14ac:dyDescent="0.35"/>
    <row r="27831" hidden="1" x14ac:dyDescent="0.35"/>
    <row r="27832" hidden="1" x14ac:dyDescent="0.35"/>
    <row r="27833" hidden="1" x14ac:dyDescent="0.35"/>
    <row r="27834" hidden="1" x14ac:dyDescent="0.35"/>
    <row r="27835" hidden="1" x14ac:dyDescent="0.35"/>
    <row r="27836" hidden="1" x14ac:dyDescent="0.35"/>
    <row r="27837" hidden="1" x14ac:dyDescent="0.35"/>
    <row r="27838" hidden="1" x14ac:dyDescent="0.35"/>
    <row r="27839" hidden="1" x14ac:dyDescent="0.35"/>
    <row r="27840" hidden="1" x14ac:dyDescent="0.35"/>
    <row r="27841" hidden="1" x14ac:dyDescent="0.35"/>
    <row r="27842" hidden="1" x14ac:dyDescent="0.35"/>
    <row r="27843" hidden="1" x14ac:dyDescent="0.35"/>
    <row r="27844" hidden="1" x14ac:dyDescent="0.35"/>
    <row r="27845" hidden="1" x14ac:dyDescent="0.35"/>
    <row r="27846" hidden="1" x14ac:dyDescent="0.35"/>
    <row r="27847" hidden="1" x14ac:dyDescent="0.35"/>
    <row r="27848" hidden="1" x14ac:dyDescent="0.35"/>
    <row r="27849" hidden="1" x14ac:dyDescent="0.35"/>
    <row r="27850" hidden="1" x14ac:dyDescent="0.35"/>
    <row r="27851" hidden="1" x14ac:dyDescent="0.35"/>
    <row r="27852" hidden="1" x14ac:dyDescent="0.35"/>
    <row r="27853" hidden="1" x14ac:dyDescent="0.35"/>
    <row r="27854" hidden="1" x14ac:dyDescent="0.35"/>
    <row r="27855" hidden="1" x14ac:dyDescent="0.35"/>
    <row r="27856" hidden="1" x14ac:dyDescent="0.35"/>
    <row r="27857" hidden="1" x14ac:dyDescent="0.35"/>
    <row r="27858" hidden="1" x14ac:dyDescent="0.35"/>
    <row r="27859" hidden="1" x14ac:dyDescent="0.35"/>
    <row r="27860" hidden="1" x14ac:dyDescent="0.35"/>
    <row r="27861" hidden="1" x14ac:dyDescent="0.35"/>
    <row r="27862" hidden="1" x14ac:dyDescent="0.35"/>
    <row r="27863" hidden="1" x14ac:dyDescent="0.35"/>
    <row r="27864" hidden="1" x14ac:dyDescent="0.35"/>
    <row r="27865" hidden="1" x14ac:dyDescent="0.35"/>
    <row r="27866" hidden="1" x14ac:dyDescent="0.35"/>
    <row r="27867" hidden="1" x14ac:dyDescent="0.35"/>
    <row r="27868" hidden="1" x14ac:dyDescent="0.35"/>
    <row r="27869" hidden="1" x14ac:dyDescent="0.35"/>
    <row r="27870" hidden="1" x14ac:dyDescent="0.35"/>
    <row r="27871" hidden="1" x14ac:dyDescent="0.35"/>
    <row r="27872" hidden="1" x14ac:dyDescent="0.35"/>
    <row r="27873" hidden="1" x14ac:dyDescent="0.35"/>
    <row r="27874" hidden="1" x14ac:dyDescent="0.35"/>
    <row r="27875" hidden="1" x14ac:dyDescent="0.35"/>
    <row r="27876" hidden="1" x14ac:dyDescent="0.35"/>
    <row r="27877" hidden="1" x14ac:dyDescent="0.35"/>
    <row r="27878" hidden="1" x14ac:dyDescent="0.35"/>
    <row r="27879" hidden="1" x14ac:dyDescent="0.35"/>
    <row r="27880" hidden="1" x14ac:dyDescent="0.35"/>
    <row r="27881" hidden="1" x14ac:dyDescent="0.35"/>
    <row r="27882" hidden="1" x14ac:dyDescent="0.35"/>
    <row r="27883" hidden="1" x14ac:dyDescent="0.35"/>
    <row r="27884" hidden="1" x14ac:dyDescent="0.35"/>
    <row r="27885" hidden="1" x14ac:dyDescent="0.35"/>
    <row r="27886" hidden="1" x14ac:dyDescent="0.35"/>
    <row r="27887" hidden="1" x14ac:dyDescent="0.35"/>
    <row r="27888" hidden="1" x14ac:dyDescent="0.35"/>
    <row r="27889" hidden="1" x14ac:dyDescent="0.35"/>
    <row r="27890" hidden="1" x14ac:dyDescent="0.35"/>
    <row r="27891" hidden="1" x14ac:dyDescent="0.35"/>
    <row r="27892" hidden="1" x14ac:dyDescent="0.35"/>
    <row r="27893" hidden="1" x14ac:dyDescent="0.35"/>
    <row r="27894" hidden="1" x14ac:dyDescent="0.35"/>
    <row r="27895" hidden="1" x14ac:dyDescent="0.35"/>
    <row r="27896" hidden="1" x14ac:dyDescent="0.35"/>
    <row r="27897" hidden="1" x14ac:dyDescent="0.35"/>
    <row r="27898" hidden="1" x14ac:dyDescent="0.35"/>
    <row r="27899" hidden="1" x14ac:dyDescent="0.35"/>
    <row r="27900" hidden="1" x14ac:dyDescent="0.35"/>
    <row r="27901" hidden="1" x14ac:dyDescent="0.35"/>
    <row r="27902" hidden="1" x14ac:dyDescent="0.35"/>
    <row r="27903" hidden="1" x14ac:dyDescent="0.35"/>
    <row r="27904" hidden="1" x14ac:dyDescent="0.35"/>
    <row r="27905" hidden="1" x14ac:dyDescent="0.35"/>
    <row r="27906" hidden="1" x14ac:dyDescent="0.35"/>
    <row r="27907" hidden="1" x14ac:dyDescent="0.35"/>
    <row r="27908" hidden="1" x14ac:dyDescent="0.35"/>
    <row r="27909" hidden="1" x14ac:dyDescent="0.35"/>
    <row r="27910" hidden="1" x14ac:dyDescent="0.35"/>
    <row r="27911" hidden="1" x14ac:dyDescent="0.35"/>
    <row r="27912" hidden="1" x14ac:dyDescent="0.35"/>
    <row r="27913" hidden="1" x14ac:dyDescent="0.35"/>
    <row r="27914" hidden="1" x14ac:dyDescent="0.35"/>
    <row r="27915" hidden="1" x14ac:dyDescent="0.35"/>
    <row r="27916" hidden="1" x14ac:dyDescent="0.35"/>
    <row r="27917" hidden="1" x14ac:dyDescent="0.35"/>
    <row r="27918" hidden="1" x14ac:dyDescent="0.35"/>
    <row r="27919" hidden="1" x14ac:dyDescent="0.35"/>
    <row r="27920" hidden="1" x14ac:dyDescent="0.35"/>
    <row r="27921" hidden="1" x14ac:dyDescent="0.35"/>
    <row r="27922" hidden="1" x14ac:dyDescent="0.35"/>
    <row r="27923" hidden="1" x14ac:dyDescent="0.35"/>
    <row r="27924" hidden="1" x14ac:dyDescent="0.35"/>
    <row r="27925" hidden="1" x14ac:dyDescent="0.35"/>
    <row r="27926" hidden="1" x14ac:dyDescent="0.35"/>
    <row r="27927" hidden="1" x14ac:dyDescent="0.35"/>
    <row r="27928" hidden="1" x14ac:dyDescent="0.35"/>
    <row r="27929" hidden="1" x14ac:dyDescent="0.35"/>
    <row r="27930" hidden="1" x14ac:dyDescent="0.35"/>
    <row r="27931" hidden="1" x14ac:dyDescent="0.35"/>
    <row r="27932" hidden="1" x14ac:dyDescent="0.35"/>
    <row r="27933" hidden="1" x14ac:dyDescent="0.35"/>
    <row r="27934" hidden="1" x14ac:dyDescent="0.35"/>
    <row r="27935" hidden="1" x14ac:dyDescent="0.35"/>
    <row r="27936" hidden="1" x14ac:dyDescent="0.35"/>
    <row r="27937" hidden="1" x14ac:dyDescent="0.35"/>
    <row r="27938" hidden="1" x14ac:dyDescent="0.35"/>
    <row r="27939" hidden="1" x14ac:dyDescent="0.35"/>
    <row r="27940" hidden="1" x14ac:dyDescent="0.35"/>
    <row r="27941" hidden="1" x14ac:dyDescent="0.35"/>
    <row r="27942" hidden="1" x14ac:dyDescent="0.35"/>
    <row r="27943" hidden="1" x14ac:dyDescent="0.35"/>
    <row r="27944" hidden="1" x14ac:dyDescent="0.35"/>
    <row r="27945" hidden="1" x14ac:dyDescent="0.35"/>
    <row r="27946" hidden="1" x14ac:dyDescent="0.35"/>
    <row r="27947" hidden="1" x14ac:dyDescent="0.35"/>
    <row r="27948" hidden="1" x14ac:dyDescent="0.35"/>
    <row r="27949" hidden="1" x14ac:dyDescent="0.35"/>
    <row r="27950" hidden="1" x14ac:dyDescent="0.35"/>
    <row r="27951" hidden="1" x14ac:dyDescent="0.35"/>
    <row r="27952" hidden="1" x14ac:dyDescent="0.35"/>
    <row r="27953" hidden="1" x14ac:dyDescent="0.35"/>
    <row r="27954" hidden="1" x14ac:dyDescent="0.35"/>
    <row r="27955" hidden="1" x14ac:dyDescent="0.35"/>
    <row r="27956" hidden="1" x14ac:dyDescent="0.35"/>
    <row r="27957" hidden="1" x14ac:dyDescent="0.35"/>
    <row r="27958" hidden="1" x14ac:dyDescent="0.35"/>
    <row r="27959" hidden="1" x14ac:dyDescent="0.35"/>
    <row r="27960" hidden="1" x14ac:dyDescent="0.35"/>
    <row r="27961" hidden="1" x14ac:dyDescent="0.35"/>
    <row r="27962" hidden="1" x14ac:dyDescent="0.35"/>
    <row r="27963" hidden="1" x14ac:dyDescent="0.35"/>
    <row r="27964" hidden="1" x14ac:dyDescent="0.35"/>
    <row r="27965" hidden="1" x14ac:dyDescent="0.35"/>
    <row r="27966" hidden="1" x14ac:dyDescent="0.35"/>
    <row r="27967" hidden="1" x14ac:dyDescent="0.35"/>
    <row r="27968" hidden="1" x14ac:dyDescent="0.35"/>
    <row r="27969" hidden="1" x14ac:dyDescent="0.35"/>
    <row r="27970" hidden="1" x14ac:dyDescent="0.35"/>
    <row r="27971" hidden="1" x14ac:dyDescent="0.35"/>
    <row r="27972" hidden="1" x14ac:dyDescent="0.35"/>
    <row r="27973" hidden="1" x14ac:dyDescent="0.35"/>
    <row r="27974" hidden="1" x14ac:dyDescent="0.35"/>
    <row r="27975" hidden="1" x14ac:dyDescent="0.35"/>
    <row r="27976" hidden="1" x14ac:dyDescent="0.35"/>
    <row r="27977" hidden="1" x14ac:dyDescent="0.35"/>
    <row r="27978" hidden="1" x14ac:dyDescent="0.35"/>
    <row r="27979" hidden="1" x14ac:dyDescent="0.35"/>
    <row r="27980" hidden="1" x14ac:dyDescent="0.35"/>
    <row r="27981" hidden="1" x14ac:dyDescent="0.35"/>
    <row r="27982" hidden="1" x14ac:dyDescent="0.35"/>
    <row r="27983" hidden="1" x14ac:dyDescent="0.35"/>
    <row r="27984" hidden="1" x14ac:dyDescent="0.35"/>
    <row r="27985" hidden="1" x14ac:dyDescent="0.35"/>
    <row r="27986" hidden="1" x14ac:dyDescent="0.35"/>
    <row r="27987" hidden="1" x14ac:dyDescent="0.35"/>
    <row r="27988" hidden="1" x14ac:dyDescent="0.35"/>
    <row r="27989" hidden="1" x14ac:dyDescent="0.35"/>
    <row r="27990" hidden="1" x14ac:dyDescent="0.35"/>
    <row r="27991" hidden="1" x14ac:dyDescent="0.35"/>
    <row r="27992" hidden="1" x14ac:dyDescent="0.35"/>
    <row r="27993" hidden="1" x14ac:dyDescent="0.35"/>
    <row r="27994" hidden="1" x14ac:dyDescent="0.35"/>
    <row r="27995" hidden="1" x14ac:dyDescent="0.35"/>
    <row r="27996" hidden="1" x14ac:dyDescent="0.35"/>
    <row r="27997" hidden="1" x14ac:dyDescent="0.35"/>
    <row r="27998" hidden="1" x14ac:dyDescent="0.35"/>
    <row r="27999" hidden="1" x14ac:dyDescent="0.35"/>
    <row r="28000" hidden="1" x14ac:dyDescent="0.35"/>
    <row r="28001" hidden="1" x14ac:dyDescent="0.35"/>
    <row r="28002" hidden="1" x14ac:dyDescent="0.35"/>
    <row r="28003" hidden="1" x14ac:dyDescent="0.35"/>
    <row r="28004" hidden="1" x14ac:dyDescent="0.35"/>
    <row r="28005" hidden="1" x14ac:dyDescent="0.35"/>
    <row r="28006" hidden="1" x14ac:dyDescent="0.35"/>
    <row r="28007" hidden="1" x14ac:dyDescent="0.35"/>
    <row r="28008" hidden="1" x14ac:dyDescent="0.35"/>
    <row r="28009" hidden="1" x14ac:dyDescent="0.35"/>
    <row r="28010" hidden="1" x14ac:dyDescent="0.35"/>
    <row r="28011" hidden="1" x14ac:dyDescent="0.35"/>
    <row r="28012" hidden="1" x14ac:dyDescent="0.35"/>
    <row r="28013" hidden="1" x14ac:dyDescent="0.35"/>
    <row r="28014" hidden="1" x14ac:dyDescent="0.35"/>
    <row r="28015" hidden="1" x14ac:dyDescent="0.35"/>
    <row r="28016" hidden="1" x14ac:dyDescent="0.35"/>
    <row r="28017" hidden="1" x14ac:dyDescent="0.35"/>
    <row r="28018" hidden="1" x14ac:dyDescent="0.35"/>
    <row r="28019" hidden="1" x14ac:dyDescent="0.35"/>
    <row r="28020" hidden="1" x14ac:dyDescent="0.35"/>
    <row r="28021" hidden="1" x14ac:dyDescent="0.35"/>
    <row r="28022" hidden="1" x14ac:dyDescent="0.35"/>
    <row r="28023" hidden="1" x14ac:dyDescent="0.35"/>
    <row r="28024" hidden="1" x14ac:dyDescent="0.35"/>
    <row r="28025" hidden="1" x14ac:dyDescent="0.35"/>
    <row r="28026" hidden="1" x14ac:dyDescent="0.35"/>
    <row r="28027" hidden="1" x14ac:dyDescent="0.35"/>
    <row r="28028" hidden="1" x14ac:dyDescent="0.35"/>
    <row r="28029" hidden="1" x14ac:dyDescent="0.35"/>
    <row r="28030" hidden="1" x14ac:dyDescent="0.35"/>
    <row r="28031" hidden="1" x14ac:dyDescent="0.35"/>
    <row r="28032" hidden="1" x14ac:dyDescent="0.35"/>
    <row r="28033" hidden="1" x14ac:dyDescent="0.35"/>
    <row r="28034" hidden="1" x14ac:dyDescent="0.35"/>
    <row r="28035" hidden="1" x14ac:dyDescent="0.35"/>
    <row r="28036" hidden="1" x14ac:dyDescent="0.35"/>
    <row r="28037" hidden="1" x14ac:dyDescent="0.35"/>
    <row r="28038" hidden="1" x14ac:dyDescent="0.35"/>
    <row r="28039" hidden="1" x14ac:dyDescent="0.35"/>
    <row r="28040" hidden="1" x14ac:dyDescent="0.35"/>
    <row r="28041" hidden="1" x14ac:dyDescent="0.35"/>
    <row r="28042" hidden="1" x14ac:dyDescent="0.35"/>
    <row r="28043" hidden="1" x14ac:dyDescent="0.35"/>
    <row r="28044" hidden="1" x14ac:dyDescent="0.35"/>
    <row r="28045" hidden="1" x14ac:dyDescent="0.35"/>
    <row r="28046" hidden="1" x14ac:dyDescent="0.35"/>
    <row r="28047" hidden="1" x14ac:dyDescent="0.35"/>
    <row r="28048" hidden="1" x14ac:dyDescent="0.35"/>
    <row r="28049" hidden="1" x14ac:dyDescent="0.35"/>
    <row r="28050" hidden="1" x14ac:dyDescent="0.35"/>
    <row r="28051" hidden="1" x14ac:dyDescent="0.35"/>
    <row r="28052" hidden="1" x14ac:dyDescent="0.35"/>
    <row r="28053" hidden="1" x14ac:dyDescent="0.35"/>
    <row r="28054" hidden="1" x14ac:dyDescent="0.35"/>
    <row r="28055" hidden="1" x14ac:dyDescent="0.35"/>
    <row r="28056" hidden="1" x14ac:dyDescent="0.35"/>
    <row r="28057" hidden="1" x14ac:dyDescent="0.35"/>
    <row r="28058" hidden="1" x14ac:dyDescent="0.35"/>
    <row r="28059" hidden="1" x14ac:dyDescent="0.35"/>
    <row r="28060" hidden="1" x14ac:dyDescent="0.35"/>
    <row r="28061" hidden="1" x14ac:dyDescent="0.35"/>
    <row r="28062" hidden="1" x14ac:dyDescent="0.35"/>
    <row r="28063" hidden="1" x14ac:dyDescent="0.35"/>
    <row r="28064" hidden="1" x14ac:dyDescent="0.35"/>
    <row r="28065" hidden="1" x14ac:dyDescent="0.35"/>
    <row r="28066" hidden="1" x14ac:dyDescent="0.35"/>
    <row r="28067" hidden="1" x14ac:dyDescent="0.35"/>
    <row r="28068" hidden="1" x14ac:dyDescent="0.35"/>
    <row r="28069" hidden="1" x14ac:dyDescent="0.35"/>
    <row r="28070" hidden="1" x14ac:dyDescent="0.35"/>
    <row r="28071" hidden="1" x14ac:dyDescent="0.35"/>
    <row r="28072" hidden="1" x14ac:dyDescent="0.35"/>
    <row r="28073" hidden="1" x14ac:dyDescent="0.35"/>
    <row r="28074" hidden="1" x14ac:dyDescent="0.35"/>
    <row r="28075" hidden="1" x14ac:dyDescent="0.35"/>
    <row r="28076" hidden="1" x14ac:dyDescent="0.35"/>
    <row r="28077" hidden="1" x14ac:dyDescent="0.35"/>
    <row r="28078" hidden="1" x14ac:dyDescent="0.35"/>
    <row r="28079" hidden="1" x14ac:dyDescent="0.35"/>
    <row r="28080" hidden="1" x14ac:dyDescent="0.35"/>
    <row r="28081" hidden="1" x14ac:dyDescent="0.35"/>
    <row r="28082" hidden="1" x14ac:dyDescent="0.35"/>
    <row r="28083" hidden="1" x14ac:dyDescent="0.35"/>
    <row r="28084" hidden="1" x14ac:dyDescent="0.35"/>
    <row r="28085" hidden="1" x14ac:dyDescent="0.35"/>
    <row r="28086" hidden="1" x14ac:dyDescent="0.35"/>
    <row r="28087" hidden="1" x14ac:dyDescent="0.35"/>
    <row r="28088" hidden="1" x14ac:dyDescent="0.35"/>
    <row r="28089" hidden="1" x14ac:dyDescent="0.35"/>
    <row r="28090" hidden="1" x14ac:dyDescent="0.35"/>
    <row r="28091" hidden="1" x14ac:dyDescent="0.35"/>
    <row r="28092" hidden="1" x14ac:dyDescent="0.35"/>
    <row r="28093" hidden="1" x14ac:dyDescent="0.35"/>
    <row r="28094" hidden="1" x14ac:dyDescent="0.35"/>
    <row r="28095" hidden="1" x14ac:dyDescent="0.35"/>
    <row r="28096" hidden="1" x14ac:dyDescent="0.35"/>
    <row r="28097" hidden="1" x14ac:dyDescent="0.35"/>
    <row r="28098" hidden="1" x14ac:dyDescent="0.35"/>
    <row r="28099" hidden="1" x14ac:dyDescent="0.35"/>
    <row r="28100" hidden="1" x14ac:dyDescent="0.35"/>
    <row r="28101" hidden="1" x14ac:dyDescent="0.35"/>
    <row r="28102" hidden="1" x14ac:dyDescent="0.35"/>
    <row r="28103" hidden="1" x14ac:dyDescent="0.35"/>
    <row r="28104" hidden="1" x14ac:dyDescent="0.35"/>
    <row r="28105" hidden="1" x14ac:dyDescent="0.35"/>
    <row r="28106" hidden="1" x14ac:dyDescent="0.35"/>
    <row r="28107" hidden="1" x14ac:dyDescent="0.35"/>
    <row r="28108" hidden="1" x14ac:dyDescent="0.35"/>
    <row r="28109" hidden="1" x14ac:dyDescent="0.35"/>
    <row r="28110" hidden="1" x14ac:dyDescent="0.35"/>
    <row r="28111" hidden="1" x14ac:dyDescent="0.35"/>
    <row r="28112" hidden="1" x14ac:dyDescent="0.35"/>
    <row r="28113" hidden="1" x14ac:dyDescent="0.35"/>
    <row r="28114" hidden="1" x14ac:dyDescent="0.35"/>
    <row r="28115" hidden="1" x14ac:dyDescent="0.35"/>
    <row r="28116" hidden="1" x14ac:dyDescent="0.35"/>
    <row r="28117" hidden="1" x14ac:dyDescent="0.35"/>
    <row r="28118" hidden="1" x14ac:dyDescent="0.35"/>
    <row r="28119" hidden="1" x14ac:dyDescent="0.35"/>
    <row r="28120" hidden="1" x14ac:dyDescent="0.35"/>
    <row r="28121" hidden="1" x14ac:dyDescent="0.35"/>
    <row r="28122" hidden="1" x14ac:dyDescent="0.35"/>
    <row r="28123" hidden="1" x14ac:dyDescent="0.35"/>
    <row r="28124" hidden="1" x14ac:dyDescent="0.35"/>
    <row r="28125" hidden="1" x14ac:dyDescent="0.35"/>
    <row r="28126" hidden="1" x14ac:dyDescent="0.35"/>
    <row r="28127" hidden="1" x14ac:dyDescent="0.35"/>
    <row r="28128" hidden="1" x14ac:dyDescent="0.35"/>
    <row r="28129" hidden="1" x14ac:dyDescent="0.35"/>
    <row r="28130" hidden="1" x14ac:dyDescent="0.35"/>
    <row r="28131" hidden="1" x14ac:dyDescent="0.35"/>
    <row r="28132" hidden="1" x14ac:dyDescent="0.35"/>
    <row r="28133" hidden="1" x14ac:dyDescent="0.35"/>
    <row r="28134" hidden="1" x14ac:dyDescent="0.35"/>
    <row r="28135" hidden="1" x14ac:dyDescent="0.35"/>
    <row r="28136" hidden="1" x14ac:dyDescent="0.35"/>
    <row r="28137" hidden="1" x14ac:dyDescent="0.35"/>
    <row r="28138" hidden="1" x14ac:dyDescent="0.35"/>
    <row r="28139" hidden="1" x14ac:dyDescent="0.35"/>
    <row r="28140" hidden="1" x14ac:dyDescent="0.35"/>
    <row r="28141" hidden="1" x14ac:dyDescent="0.35"/>
    <row r="28142" hidden="1" x14ac:dyDescent="0.35"/>
    <row r="28143" hidden="1" x14ac:dyDescent="0.35"/>
    <row r="28144" hidden="1" x14ac:dyDescent="0.35"/>
    <row r="28145" hidden="1" x14ac:dyDescent="0.35"/>
    <row r="28146" hidden="1" x14ac:dyDescent="0.35"/>
    <row r="28147" hidden="1" x14ac:dyDescent="0.35"/>
    <row r="28148" hidden="1" x14ac:dyDescent="0.35"/>
    <row r="28149" hidden="1" x14ac:dyDescent="0.35"/>
    <row r="28150" hidden="1" x14ac:dyDescent="0.35"/>
    <row r="28151" hidden="1" x14ac:dyDescent="0.35"/>
    <row r="28152" hidden="1" x14ac:dyDescent="0.35"/>
    <row r="28153" hidden="1" x14ac:dyDescent="0.35"/>
    <row r="28154" hidden="1" x14ac:dyDescent="0.35"/>
    <row r="28155" hidden="1" x14ac:dyDescent="0.35"/>
    <row r="28156" hidden="1" x14ac:dyDescent="0.35"/>
    <row r="28157" hidden="1" x14ac:dyDescent="0.35"/>
    <row r="28158" hidden="1" x14ac:dyDescent="0.35"/>
    <row r="28159" hidden="1" x14ac:dyDescent="0.35"/>
    <row r="28160" hidden="1" x14ac:dyDescent="0.35"/>
    <row r="28161" hidden="1" x14ac:dyDescent="0.35"/>
    <row r="28162" hidden="1" x14ac:dyDescent="0.35"/>
    <row r="28163" hidden="1" x14ac:dyDescent="0.35"/>
    <row r="28164" hidden="1" x14ac:dyDescent="0.35"/>
    <row r="28165" hidden="1" x14ac:dyDescent="0.35"/>
    <row r="28166" hidden="1" x14ac:dyDescent="0.35"/>
    <row r="28167" hidden="1" x14ac:dyDescent="0.35"/>
    <row r="28168" hidden="1" x14ac:dyDescent="0.35"/>
    <row r="28169" hidden="1" x14ac:dyDescent="0.35"/>
    <row r="28170" hidden="1" x14ac:dyDescent="0.35"/>
    <row r="28171" hidden="1" x14ac:dyDescent="0.35"/>
    <row r="28172" hidden="1" x14ac:dyDescent="0.35"/>
    <row r="28173" hidden="1" x14ac:dyDescent="0.35"/>
    <row r="28174" hidden="1" x14ac:dyDescent="0.35"/>
    <row r="28175" hidden="1" x14ac:dyDescent="0.35"/>
    <row r="28176" hidden="1" x14ac:dyDescent="0.35"/>
    <row r="28177" hidden="1" x14ac:dyDescent="0.35"/>
    <row r="28178" hidden="1" x14ac:dyDescent="0.35"/>
    <row r="28179" hidden="1" x14ac:dyDescent="0.35"/>
    <row r="28180" hidden="1" x14ac:dyDescent="0.35"/>
    <row r="28181" hidden="1" x14ac:dyDescent="0.35"/>
    <row r="28182" hidden="1" x14ac:dyDescent="0.35"/>
    <row r="28183" hidden="1" x14ac:dyDescent="0.35"/>
    <row r="28184" hidden="1" x14ac:dyDescent="0.35"/>
    <row r="28185" hidden="1" x14ac:dyDescent="0.35"/>
    <row r="28186" hidden="1" x14ac:dyDescent="0.35"/>
    <row r="28187" hidden="1" x14ac:dyDescent="0.35"/>
    <row r="28188" hidden="1" x14ac:dyDescent="0.35"/>
    <row r="28189" hidden="1" x14ac:dyDescent="0.35"/>
    <row r="28190" hidden="1" x14ac:dyDescent="0.35"/>
    <row r="28191" hidden="1" x14ac:dyDescent="0.35"/>
    <row r="28192" hidden="1" x14ac:dyDescent="0.35"/>
    <row r="28193" hidden="1" x14ac:dyDescent="0.35"/>
    <row r="28194" hidden="1" x14ac:dyDescent="0.35"/>
    <row r="28195" hidden="1" x14ac:dyDescent="0.35"/>
    <row r="28196" hidden="1" x14ac:dyDescent="0.35"/>
    <row r="28197" hidden="1" x14ac:dyDescent="0.35"/>
    <row r="28198" hidden="1" x14ac:dyDescent="0.35"/>
    <row r="28199" hidden="1" x14ac:dyDescent="0.35"/>
    <row r="28200" hidden="1" x14ac:dyDescent="0.35"/>
    <row r="28201" hidden="1" x14ac:dyDescent="0.35"/>
    <row r="28202" hidden="1" x14ac:dyDescent="0.35"/>
    <row r="28203" hidden="1" x14ac:dyDescent="0.35"/>
    <row r="28204" hidden="1" x14ac:dyDescent="0.35"/>
    <row r="28205" hidden="1" x14ac:dyDescent="0.35"/>
    <row r="28206" hidden="1" x14ac:dyDescent="0.35"/>
    <row r="28207" hidden="1" x14ac:dyDescent="0.35"/>
    <row r="28208" hidden="1" x14ac:dyDescent="0.35"/>
    <row r="28209" hidden="1" x14ac:dyDescent="0.35"/>
    <row r="28210" hidden="1" x14ac:dyDescent="0.35"/>
    <row r="28211" hidden="1" x14ac:dyDescent="0.35"/>
    <row r="28212" hidden="1" x14ac:dyDescent="0.35"/>
    <row r="28213" hidden="1" x14ac:dyDescent="0.35"/>
    <row r="28214" hidden="1" x14ac:dyDescent="0.35"/>
    <row r="28215" hidden="1" x14ac:dyDescent="0.35"/>
    <row r="28216" hidden="1" x14ac:dyDescent="0.35"/>
    <row r="28217" hidden="1" x14ac:dyDescent="0.35"/>
    <row r="28218" hidden="1" x14ac:dyDescent="0.35"/>
    <row r="28219" hidden="1" x14ac:dyDescent="0.35"/>
    <row r="28220" hidden="1" x14ac:dyDescent="0.35"/>
    <row r="28221" hidden="1" x14ac:dyDescent="0.35"/>
    <row r="28222" hidden="1" x14ac:dyDescent="0.35"/>
    <row r="28223" hidden="1" x14ac:dyDescent="0.35"/>
    <row r="28224" hidden="1" x14ac:dyDescent="0.35"/>
    <row r="28225" hidden="1" x14ac:dyDescent="0.35"/>
    <row r="28226" hidden="1" x14ac:dyDescent="0.35"/>
    <row r="28227" hidden="1" x14ac:dyDescent="0.35"/>
    <row r="28228" hidden="1" x14ac:dyDescent="0.35"/>
    <row r="28229" hidden="1" x14ac:dyDescent="0.35"/>
    <row r="28230" hidden="1" x14ac:dyDescent="0.35"/>
    <row r="28231" hidden="1" x14ac:dyDescent="0.35"/>
    <row r="28232" hidden="1" x14ac:dyDescent="0.35"/>
    <row r="28233" hidden="1" x14ac:dyDescent="0.35"/>
    <row r="28234" hidden="1" x14ac:dyDescent="0.35"/>
    <row r="28235" hidden="1" x14ac:dyDescent="0.35"/>
    <row r="28236" hidden="1" x14ac:dyDescent="0.35"/>
    <row r="28237" hidden="1" x14ac:dyDescent="0.35"/>
    <row r="28238" hidden="1" x14ac:dyDescent="0.35"/>
    <row r="28239" hidden="1" x14ac:dyDescent="0.35"/>
    <row r="28240" hidden="1" x14ac:dyDescent="0.35"/>
    <row r="28241" hidden="1" x14ac:dyDescent="0.35"/>
    <row r="28242" hidden="1" x14ac:dyDescent="0.35"/>
    <row r="28243" hidden="1" x14ac:dyDescent="0.35"/>
    <row r="28244" hidden="1" x14ac:dyDescent="0.35"/>
    <row r="28245" hidden="1" x14ac:dyDescent="0.35"/>
    <row r="28246" hidden="1" x14ac:dyDescent="0.35"/>
    <row r="28247" hidden="1" x14ac:dyDescent="0.35"/>
    <row r="28248" hidden="1" x14ac:dyDescent="0.35"/>
    <row r="28249" hidden="1" x14ac:dyDescent="0.35"/>
    <row r="28250" hidden="1" x14ac:dyDescent="0.35"/>
    <row r="28251" hidden="1" x14ac:dyDescent="0.35"/>
    <row r="28252" hidden="1" x14ac:dyDescent="0.35"/>
    <row r="28253" hidden="1" x14ac:dyDescent="0.35"/>
    <row r="28254" hidden="1" x14ac:dyDescent="0.35"/>
    <row r="28255" hidden="1" x14ac:dyDescent="0.35"/>
    <row r="28256" hidden="1" x14ac:dyDescent="0.35"/>
    <row r="28257" hidden="1" x14ac:dyDescent="0.35"/>
    <row r="28258" hidden="1" x14ac:dyDescent="0.35"/>
    <row r="28259" hidden="1" x14ac:dyDescent="0.35"/>
    <row r="28260" hidden="1" x14ac:dyDescent="0.35"/>
    <row r="28261" hidden="1" x14ac:dyDescent="0.35"/>
    <row r="28262" hidden="1" x14ac:dyDescent="0.35"/>
    <row r="28263" hidden="1" x14ac:dyDescent="0.35"/>
    <row r="28264" hidden="1" x14ac:dyDescent="0.35"/>
    <row r="28265" hidden="1" x14ac:dyDescent="0.35"/>
    <row r="28266" hidden="1" x14ac:dyDescent="0.35"/>
    <row r="28267" hidden="1" x14ac:dyDescent="0.35"/>
    <row r="28268" hidden="1" x14ac:dyDescent="0.35"/>
    <row r="28269" hidden="1" x14ac:dyDescent="0.35"/>
    <row r="28270" hidden="1" x14ac:dyDescent="0.35"/>
    <row r="28271" hidden="1" x14ac:dyDescent="0.35"/>
    <row r="28272" hidden="1" x14ac:dyDescent="0.35"/>
    <row r="28273" hidden="1" x14ac:dyDescent="0.35"/>
    <row r="28274" hidden="1" x14ac:dyDescent="0.35"/>
    <row r="28275" hidden="1" x14ac:dyDescent="0.35"/>
    <row r="28276" hidden="1" x14ac:dyDescent="0.35"/>
    <row r="28277" hidden="1" x14ac:dyDescent="0.35"/>
    <row r="28278" hidden="1" x14ac:dyDescent="0.35"/>
    <row r="28279" hidden="1" x14ac:dyDescent="0.35"/>
    <row r="28280" hidden="1" x14ac:dyDescent="0.35"/>
    <row r="28281" hidden="1" x14ac:dyDescent="0.35"/>
    <row r="28282" hidden="1" x14ac:dyDescent="0.35"/>
    <row r="28283" hidden="1" x14ac:dyDescent="0.35"/>
    <row r="28284" hidden="1" x14ac:dyDescent="0.35"/>
    <row r="28285" hidden="1" x14ac:dyDescent="0.35"/>
    <row r="28286" hidden="1" x14ac:dyDescent="0.35"/>
    <row r="28287" hidden="1" x14ac:dyDescent="0.35"/>
    <row r="28288" hidden="1" x14ac:dyDescent="0.35"/>
    <row r="28289" hidden="1" x14ac:dyDescent="0.35"/>
    <row r="28290" hidden="1" x14ac:dyDescent="0.35"/>
    <row r="28291" hidden="1" x14ac:dyDescent="0.35"/>
    <row r="28292" hidden="1" x14ac:dyDescent="0.35"/>
    <row r="28293" hidden="1" x14ac:dyDescent="0.35"/>
    <row r="28294" hidden="1" x14ac:dyDescent="0.35"/>
    <row r="28295" hidden="1" x14ac:dyDescent="0.35"/>
    <row r="28296" hidden="1" x14ac:dyDescent="0.35"/>
    <row r="28297" hidden="1" x14ac:dyDescent="0.35"/>
    <row r="28298" hidden="1" x14ac:dyDescent="0.35"/>
    <row r="28299" hidden="1" x14ac:dyDescent="0.35"/>
    <row r="28300" hidden="1" x14ac:dyDescent="0.35"/>
    <row r="28301" hidden="1" x14ac:dyDescent="0.35"/>
    <row r="28302" hidden="1" x14ac:dyDescent="0.35"/>
    <row r="28303" hidden="1" x14ac:dyDescent="0.35"/>
    <row r="28304" hidden="1" x14ac:dyDescent="0.35"/>
    <row r="28305" hidden="1" x14ac:dyDescent="0.35"/>
    <row r="28306" hidden="1" x14ac:dyDescent="0.35"/>
    <row r="28307" hidden="1" x14ac:dyDescent="0.35"/>
    <row r="28308" hidden="1" x14ac:dyDescent="0.35"/>
    <row r="28309" hidden="1" x14ac:dyDescent="0.35"/>
    <row r="28310" hidden="1" x14ac:dyDescent="0.35"/>
    <row r="28311" hidden="1" x14ac:dyDescent="0.35"/>
    <row r="28312" hidden="1" x14ac:dyDescent="0.35"/>
    <row r="28313" hidden="1" x14ac:dyDescent="0.35"/>
    <row r="28314" hidden="1" x14ac:dyDescent="0.35"/>
    <row r="28315" hidden="1" x14ac:dyDescent="0.35"/>
    <row r="28316" hidden="1" x14ac:dyDescent="0.35"/>
    <row r="28317" hidden="1" x14ac:dyDescent="0.35"/>
    <row r="28318" hidden="1" x14ac:dyDescent="0.35"/>
    <row r="28319" hidden="1" x14ac:dyDescent="0.35"/>
    <row r="28320" hidden="1" x14ac:dyDescent="0.35"/>
    <row r="28321" hidden="1" x14ac:dyDescent="0.35"/>
    <row r="28322" hidden="1" x14ac:dyDescent="0.35"/>
    <row r="28323" hidden="1" x14ac:dyDescent="0.35"/>
    <row r="28324" hidden="1" x14ac:dyDescent="0.35"/>
    <row r="28325" hidden="1" x14ac:dyDescent="0.35"/>
    <row r="28326" hidden="1" x14ac:dyDescent="0.35"/>
    <row r="28327" hidden="1" x14ac:dyDescent="0.35"/>
    <row r="28328" hidden="1" x14ac:dyDescent="0.35"/>
    <row r="28329" hidden="1" x14ac:dyDescent="0.35"/>
    <row r="28330" hidden="1" x14ac:dyDescent="0.35"/>
    <row r="28331" hidden="1" x14ac:dyDescent="0.35"/>
    <row r="28332" hidden="1" x14ac:dyDescent="0.35"/>
    <row r="28333" hidden="1" x14ac:dyDescent="0.35"/>
    <row r="28334" hidden="1" x14ac:dyDescent="0.35"/>
    <row r="28335" hidden="1" x14ac:dyDescent="0.35"/>
    <row r="28336" hidden="1" x14ac:dyDescent="0.35"/>
    <row r="28337" hidden="1" x14ac:dyDescent="0.35"/>
    <row r="28338" hidden="1" x14ac:dyDescent="0.35"/>
    <row r="28339" hidden="1" x14ac:dyDescent="0.35"/>
    <row r="28340" hidden="1" x14ac:dyDescent="0.35"/>
    <row r="28341" hidden="1" x14ac:dyDescent="0.35"/>
    <row r="28342" hidden="1" x14ac:dyDescent="0.35"/>
    <row r="28343" hidden="1" x14ac:dyDescent="0.35"/>
    <row r="28344" hidden="1" x14ac:dyDescent="0.35"/>
    <row r="28345" hidden="1" x14ac:dyDescent="0.35"/>
    <row r="28346" hidden="1" x14ac:dyDescent="0.35"/>
    <row r="28347" hidden="1" x14ac:dyDescent="0.35"/>
    <row r="28348" hidden="1" x14ac:dyDescent="0.35"/>
    <row r="28349" hidden="1" x14ac:dyDescent="0.35"/>
    <row r="28350" hidden="1" x14ac:dyDescent="0.35"/>
    <row r="28351" hidden="1" x14ac:dyDescent="0.35"/>
    <row r="28352" hidden="1" x14ac:dyDescent="0.35"/>
    <row r="28353" hidden="1" x14ac:dyDescent="0.35"/>
    <row r="28354" hidden="1" x14ac:dyDescent="0.35"/>
    <row r="28355" hidden="1" x14ac:dyDescent="0.35"/>
    <row r="28356" hidden="1" x14ac:dyDescent="0.35"/>
    <row r="28357" hidden="1" x14ac:dyDescent="0.35"/>
    <row r="28358" hidden="1" x14ac:dyDescent="0.35"/>
    <row r="28359" hidden="1" x14ac:dyDescent="0.35"/>
    <row r="28360" hidden="1" x14ac:dyDescent="0.35"/>
    <row r="28361" hidden="1" x14ac:dyDescent="0.35"/>
    <row r="28362" hidden="1" x14ac:dyDescent="0.35"/>
    <row r="28363" hidden="1" x14ac:dyDescent="0.35"/>
    <row r="28364" hidden="1" x14ac:dyDescent="0.35"/>
    <row r="28365" hidden="1" x14ac:dyDescent="0.35"/>
    <row r="28366" hidden="1" x14ac:dyDescent="0.35"/>
    <row r="28367" hidden="1" x14ac:dyDescent="0.35"/>
    <row r="28368" hidden="1" x14ac:dyDescent="0.35"/>
    <row r="28369" hidden="1" x14ac:dyDescent="0.35"/>
    <row r="28370" hidden="1" x14ac:dyDescent="0.35"/>
    <row r="28371" hidden="1" x14ac:dyDescent="0.35"/>
    <row r="28372" hidden="1" x14ac:dyDescent="0.35"/>
    <row r="28373" hidden="1" x14ac:dyDescent="0.35"/>
    <row r="28374" hidden="1" x14ac:dyDescent="0.35"/>
    <row r="28375" hidden="1" x14ac:dyDescent="0.35"/>
    <row r="28376" hidden="1" x14ac:dyDescent="0.35"/>
    <row r="28377" hidden="1" x14ac:dyDescent="0.35"/>
    <row r="28378" hidden="1" x14ac:dyDescent="0.35"/>
    <row r="28379" hidden="1" x14ac:dyDescent="0.35"/>
    <row r="28380" hidden="1" x14ac:dyDescent="0.35"/>
    <row r="28381" hidden="1" x14ac:dyDescent="0.35"/>
    <row r="28382" hidden="1" x14ac:dyDescent="0.35"/>
    <row r="28383" hidden="1" x14ac:dyDescent="0.35"/>
    <row r="28384" hidden="1" x14ac:dyDescent="0.35"/>
    <row r="28385" hidden="1" x14ac:dyDescent="0.35"/>
    <row r="28386" hidden="1" x14ac:dyDescent="0.35"/>
    <row r="28387" hidden="1" x14ac:dyDescent="0.35"/>
    <row r="28388" hidden="1" x14ac:dyDescent="0.35"/>
    <row r="28389" hidden="1" x14ac:dyDescent="0.35"/>
    <row r="28390" hidden="1" x14ac:dyDescent="0.35"/>
    <row r="28391" hidden="1" x14ac:dyDescent="0.35"/>
    <row r="28392" hidden="1" x14ac:dyDescent="0.35"/>
    <row r="28393" hidden="1" x14ac:dyDescent="0.35"/>
    <row r="28394" hidden="1" x14ac:dyDescent="0.35"/>
    <row r="28395" hidden="1" x14ac:dyDescent="0.35"/>
    <row r="28396" hidden="1" x14ac:dyDescent="0.35"/>
    <row r="28397" hidden="1" x14ac:dyDescent="0.35"/>
    <row r="28398" hidden="1" x14ac:dyDescent="0.35"/>
    <row r="28399" hidden="1" x14ac:dyDescent="0.35"/>
    <row r="28400" hidden="1" x14ac:dyDescent="0.35"/>
    <row r="28401" hidden="1" x14ac:dyDescent="0.35"/>
    <row r="28402" hidden="1" x14ac:dyDescent="0.35"/>
    <row r="28403" hidden="1" x14ac:dyDescent="0.35"/>
    <row r="28404" hidden="1" x14ac:dyDescent="0.35"/>
    <row r="28405" hidden="1" x14ac:dyDescent="0.35"/>
    <row r="28406" hidden="1" x14ac:dyDescent="0.35"/>
    <row r="28407" hidden="1" x14ac:dyDescent="0.35"/>
    <row r="28408" hidden="1" x14ac:dyDescent="0.35"/>
    <row r="28409" hidden="1" x14ac:dyDescent="0.35"/>
    <row r="28410" hidden="1" x14ac:dyDescent="0.35"/>
    <row r="28411" hidden="1" x14ac:dyDescent="0.35"/>
    <row r="28412" hidden="1" x14ac:dyDescent="0.35"/>
    <row r="28413" hidden="1" x14ac:dyDescent="0.35"/>
    <row r="28414" hidden="1" x14ac:dyDescent="0.35"/>
    <row r="28415" hidden="1" x14ac:dyDescent="0.35"/>
    <row r="28416" hidden="1" x14ac:dyDescent="0.35"/>
    <row r="28417" hidden="1" x14ac:dyDescent="0.35"/>
    <row r="28418" hidden="1" x14ac:dyDescent="0.35"/>
    <row r="28419" hidden="1" x14ac:dyDescent="0.35"/>
    <row r="28420" hidden="1" x14ac:dyDescent="0.35"/>
    <row r="28421" hidden="1" x14ac:dyDescent="0.35"/>
    <row r="28422" hidden="1" x14ac:dyDescent="0.35"/>
    <row r="28423" hidden="1" x14ac:dyDescent="0.35"/>
    <row r="28424" hidden="1" x14ac:dyDescent="0.35"/>
    <row r="28425" hidden="1" x14ac:dyDescent="0.35"/>
    <row r="28426" hidden="1" x14ac:dyDescent="0.35"/>
    <row r="28427" hidden="1" x14ac:dyDescent="0.35"/>
    <row r="28428" hidden="1" x14ac:dyDescent="0.35"/>
    <row r="28429" hidden="1" x14ac:dyDescent="0.35"/>
    <row r="28430" hidden="1" x14ac:dyDescent="0.35"/>
    <row r="28431" hidden="1" x14ac:dyDescent="0.35"/>
    <row r="28432" hidden="1" x14ac:dyDescent="0.35"/>
    <row r="28433" hidden="1" x14ac:dyDescent="0.35"/>
    <row r="28434" hidden="1" x14ac:dyDescent="0.35"/>
    <row r="28435" hidden="1" x14ac:dyDescent="0.35"/>
    <row r="28436" hidden="1" x14ac:dyDescent="0.35"/>
    <row r="28437" hidden="1" x14ac:dyDescent="0.35"/>
    <row r="28438" hidden="1" x14ac:dyDescent="0.35"/>
    <row r="28439" hidden="1" x14ac:dyDescent="0.35"/>
    <row r="28440" hidden="1" x14ac:dyDescent="0.35"/>
    <row r="28441" hidden="1" x14ac:dyDescent="0.35"/>
    <row r="28442" hidden="1" x14ac:dyDescent="0.35"/>
    <row r="28443" hidden="1" x14ac:dyDescent="0.35"/>
    <row r="28444" hidden="1" x14ac:dyDescent="0.35"/>
    <row r="28445" hidden="1" x14ac:dyDescent="0.35"/>
    <row r="28446" hidden="1" x14ac:dyDescent="0.35"/>
    <row r="28447" hidden="1" x14ac:dyDescent="0.35"/>
    <row r="28448" hidden="1" x14ac:dyDescent="0.35"/>
    <row r="28449" hidden="1" x14ac:dyDescent="0.35"/>
    <row r="28450" hidden="1" x14ac:dyDescent="0.35"/>
    <row r="28451" hidden="1" x14ac:dyDescent="0.35"/>
    <row r="28452" hidden="1" x14ac:dyDescent="0.35"/>
    <row r="28453" hidden="1" x14ac:dyDescent="0.35"/>
    <row r="28454" hidden="1" x14ac:dyDescent="0.35"/>
    <row r="28455" hidden="1" x14ac:dyDescent="0.35"/>
    <row r="28456" hidden="1" x14ac:dyDescent="0.35"/>
    <row r="28457" hidden="1" x14ac:dyDescent="0.35"/>
    <row r="28458" hidden="1" x14ac:dyDescent="0.35"/>
    <row r="28459" hidden="1" x14ac:dyDescent="0.35"/>
    <row r="28460" hidden="1" x14ac:dyDescent="0.35"/>
    <row r="28461" hidden="1" x14ac:dyDescent="0.35"/>
    <row r="28462" hidden="1" x14ac:dyDescent="0.35"/>
    <row r="28463" hidden="1" x14ac:dyDescent="0.35"/>
    <row r="28464" hidden="1" x14ac:dyDescent="0.35"/>
    <row r="28465" hidden="1" x14ac:dyDescent="0.35"/>
    <row r="28466" hidden="1" x14ac:dyDescent="0.35"/>
    <row r="28467" hidden="1" x14ac:dyDescent="0.35"/>
    <row r="28468" hidden="1" x14ac:dyDescent="0.35"/>
    <row r="28469" hidden="1" x14ac:dyDescent="0.35"/>
    <row r="28470" hidden="1" x14ac:dyDescent="0.35"/>
    <row r="28471" hidden="1" x14ac:dyDescent="0.35"/>
    <row r="28472" hidden="1" x14ac:dyDescent="0.35"/>
    <row r="28473" hidden="1" x14ac:dyDescent="0.35"/>
    <row r="28474" hidden="1" x14ac:dyDescent="0.35"/>
    <row r="28475" hidden="1" x14ac:dyDescent="0.35"/>
    <row r="28476" hidden="1" x14ac:dyDescent="0.35"/>
    <row r="28477" hidden="1" x14ac:dyDescent="0.35"/>
    <row r="28478" hidden="1" x14ac:dyDescent="0.35"/>
    <row r="28479" hidden="1" x14ac:dyDescent="0.35"/>
    <row r="28480" hidden="1" x14ac:dyDescent="0.35"/>
    <row r="28481" hidden="1" x14ac:dyDescent="0.35"/>
    <row r="28482" hidden="1" x14ac:dyDescent="0.35"/>
    <row r="28483" hidden="1" x14ac:dyDescent="0.35"/>
    <row r="28484" hidden="1" x14ac:dyDescent="0.35"/>
    <row r="28485" hidden="1" x14ac:dyDescent="0.35"/>
    <row r="28486" hidden="1" x14ac:dyDescent="0.35"/>
    <row r="28487" hidden="1" x14ac:dyDescent="0.35"/>
    <row r="28488" hidden="1" x14ac:dyDescent="0.35"/>
    <row r="28489" hidden="1" x14ac:dyDescent="0.35"/>
    <row r="28490" hidden="1" x14ac:dyDescent="0.35"/>
    <row r="28491" hidden="1" x14ac:dyDescent="0.35"/>
    <row r="28492" hidden="1" x14ac:dyDescent="0.35"/>
    <row r="28493" hidden="1" x14ac:dyDescent="0.35"/>
    <row r="28494" hidden="1" x14ac:dyDescent="0.35"/>
    <row r="28495" hidden="1" x14ac:dyDescent="0.35"/>
    <row r="28496" hidden="1" x14ac:dyDescent="0.35"/>
    <row r="28497" hidden="1" x14ac:dyDescent="0.35"/>
    <row r="28498" hidden="1" x14ac:dyDescent="0.35"/>
    <row r="28499" hidden="1" x14ac:dyDescent="0.35"/>
    <row r="28500" hidden="1" x14ac:dyDescent="0.35"/>
    <row r="28501" hidden="1" x14ac:dyDescent="0.35"/>
    <row r="28502" hidden="1" x14ac:dyDescent="0.35"/>
    <row r="28503" hidden="1" x14ac:dyDescent="0.35"/>
    <row r="28504" hidden="1" x14ac:dyDescent="0.35"/>
    <row r="28505" hidden="1" x14ac:dyDescent="0.35"/>
    <row r="28506" hidden="1" x14ac:dyDescent="0.35"/>
    <row r="28507" hidden="1" x14ac:dyDescent="0.35"/>
    <row r="28508" hidden="1" x14ac:dyDescent="0.35"/>
    <row r="28509" hidden="1" x14ac:dyDescent="0.35"/>
    <row r="28510" hidden="1" x14ac:dyDescent="0.35"/>
    <row r="28511" hidden="1" x14ac:dyDescent="0.35"/>
    <row r="28512" hidden="1" x14ac:dyDescent="0.35"/>
    <row r="28513" hidden="1" x14ac:dyDescent="0.35"/>
    <row r="28514" hidden="1" x14ac:dyDescent="0.35"/>
    <row r="28515" hidden="1" x14ac:dyDescent="0.35"/>
    <row r="28516" hidden="1" x14ac:dyDescent="0.35"/>
    <row r="28517" hidden="1" x14ac:dyDescent="0.35"/>
    <row r="28518" hidden="1" x14ac:dyDescent="0.35"/>
    <row r="28519" hidden="1" x14ac:dyDescent="0.35"/>
    <row r="28520" hidden="1" x14ac:dyDescent="0.35"/>
    <row r="28521" hidden="1" x14ac:dyDescent="0.35"/>
    <row r="28522" hidden="1" x14ac:dyDescent="0.35"/>
    <row r="28523" hidden="1" x14ac:dyDescent="0.35"/>
    <row r="28524" hidden="1" x14ac:dyDescent="0.35"/>
    <row r="28525" hidden="1" x14ac:dyDescent="0.35"/>
    <row r="28526" hidden="1" x14ac:dyDescent="0.35"/>
    <row r="28527" hidden="1" x14ac:dyDescent="0.35"/>
    <row r="28528" hidden="1" x14ac:dyDescent="0.35"/>
    <row r="28529" hidden="1" x14ac:dyDescent="0.35"/>
    <row r="28530" hidden="1" x14ac:dyDescent="0.35"/>
    <row r="28531" hidden="1" x14ac:dyDescent="0.35"/>
    <row r="28532" hidden="1" x14ac:dyDescent="0.35"/>
    <row r="28533" hidden="1" x14ac:dyDescent="0.35"/>
    <row r="28534" hidden="1" x14ac:dyDescent="0.35"/>
    <row r="28535" hidden="1" x14ac:dyDescent="0.35"/>
    <row r="28536" hidden="1" x14ac:dyDescent="0.35"/>
    <row r="28537" hidden="1" x14ac:dyDescent="0.35"/>
    <row r="28538" hidden="1" x14ac:dyDescent="0.35"/>
    <row r="28539" hidden="1" x14ac:dyDescent="0.35"/>
    <row r="28540" hidden="1" x14ac:dyDescent="0.35"/>
    <row r="28541" hidden="1" x14ac:dyDescent="0.35"/>
    <row r="28542" hidden="1" x14ac:dyDescent="0.35"/>
    <row r="28543" hidden="1" x14ac:dyDescent="0.35"/>
    <row r="28544" hidden="1" x14ac:dyDescent="0.35"/>
    <row r="28545" hidden="1" x14ac:dyDescent="0.35"/>
    <row r="28546" hidden="1" x14ac:dyDescent="0.35"/>
    <row r="28547" hidden="1" x14ac:dyDescent="0.35"/>
    <row r="28548" hidden="1" x14ac:dyDescent="0.35"/>
    <row r="28549" hidden="1" x14ac:dyDescent="0.35"/>
    <row r="28550" hidden="1" x14ac:dyDescent="0.35"/>
    <row r="28551" hidden="1" x14ac:dyDescent="0.35"/>
    <row r="28552" hidden="1" x14ac:dyDescent="0.35"/>
    <row r="28553" hidden="1" x14ac:dyDescent="0.35"/>
    <row r="28554" hidden="1" x14ac:dyDescent="0.35"/>
    <row r="28555" hidden="1" x14ac:dyDescent="0.35"/>
    <row r="28556" hidden="1" x14ac:dyDescent="0.35"/>
    <row r="28557" hidden="1" x14ac:dyDescent="0.35"/>
    <row r="28558" hidden="1" x14ac:dyDescent="0.35"/>
    <row r="28559" hidden="1" x14ac:dyDescent="0.35"/>
    <row r="28560" hidden="1" x14ac:dyDescent="0.35"/>
    <row r="28561" hidden="1" x14ac:dyDescent="0.35"/>
    <row r="28562" hidden="1" x14ac:dyDescent="0.35"/>
    <row r="28563" hidden="1" x14ac:dyDescent="0.35"/>
    <row r="28564" hidden="1" x14ac:dyDescent="0.35"/>
    <row r="28565" hidden="1" x14ac:dyDescent="0.35"/>
    <row r="28566" hidden="1" x14ac:dyDescent="0.35"/>
    <row r="28567" hidden="1" x14ac:dyDescent="0.35"/>
    <row r="28568" hidden="1" x14ac:dyDescent="0.35"/>
    <row r="28569" hidden="1" x14ac:dyDescent="0.35"/>
    <row r="28570" hidden="1" x14ac:dyDescent="0.35"/>
    <row r="28571" hidden="1" x14ac:dyDescent="0.35"/>
    <row r="28572" hidden="1" x14ac:dyDescent="0.35"/>
    <row r="28573" hidden="1" x14ac:dyDescent="0.35"/>
    <row r="28574" hidden="1" x14ac:dyDescent="0.35"/>
    <row r="28575" hidden="1" x14ac:dyDescent="0.35"/>
    <row r="28576" hidden="1" x14ac:dyDescent="0.35"/>
    <row r="28577" hidden="1" x14ac:dyDescent="0.35"/>
    <row r="28578" hidden="1" x14ac:dyDescent="0.35"/>
    <row r="28579" hidden="1" x14ac:dyDescent="0.35"/>
    <row r="28580" hidden="1" x14ac:dyDescent="0.35"/>
    <row r="28581" hidden="1" x14ac:dyDescent="0.35"/>
    <row r="28582" hidden="1" x14ac:dyDescent="0.35"/>
    <row r="28583" hidden="1" x14ac:dyDescent="0.35"/>
    <row r="28584" hidden="1" x14ac:dyDescent="0.35"/>
    <row r="28585" hidden="1" x14ac:dyDescent="0.35"/>
    <row r="28586" hidden="1" x14ac:dyDescent="0.35"/>
    <row r="28587" hidden="1" x14ac:dyDescent="0.35"/>
    <row r="28588" hidden="1" x14ac:dyDescent="0.35"/>
    <row r="28589" hidden="1" x14ac:dyDescent="0.35"/>
    <row r="28590" hidden="1" x14ac:dyDescent="0.35"/>
    <row r="28591" hidden="1" x14ac:dyDescent="0.35"/>
    <row r="28592" hidden="1" x14ac:dyDescent="0.35"/>
    <row r="28593" hidden="1" x14ac:dyDescent="0.35"/>
    <row r="28594" hidden="1" x14ac:dyDescent="0.35"/>
    <row r="28595" hidden="1" x14ac:dyDescent="0.35"/>
    <row r="28596" hidden="1" x14ac:dyDescent="0.35"/>
    <row r="28597" hidden="1" x14ac:dyDescent="0.35"/>
    <row r="28598" hidden="1" x14ac:dyDescent="0.35"/>
    <row r="28599" hidden="1" x14ac:dyDescent="0.35"/>
    <row r="28600" hidden="1" x14ac:dyDescent="0.35"/>
    <row r="28601" hidden="1" x14ac:dyDescent="0.35"/>
    <row r="28602" hidden="1" x14ac:dyDescent="0.35"/>
    <row r="28603" hidden="1" x14ac:dyDescent="0.35"/>
    <row r="28604" hidden="1" x14ac:dyDescent="0.35"/>
    <row r="28605" hidden="1" x14ac:dyDescent="0.35"/>
    <row r="28606" hidden="1" x14ac:dyDescent="0.35"/>
    <row r="28607" hidden="1" x14ac:dyDescent="0.35"/>
    <row r="28608" hidden="1" x14ac:dyDescent="0.35"/>
    <row r="28609" hidden="1" x14ac:dyDescent="0.35"/>
    <row r="28610" hidden="1" x14ac:dyDescent="0.35"/>
    <row r="28611" hidden="1" x14ac:dyDescent="0.35"/>
    <row r="28612" hidden="1" x14ac:dyDescent="0.35"/>
    <row r="28613" hidden="1" x14ac:dyDescent="0.35"/>
    <row r="28614" hidden="1" x14ac:dyDescent="0.35"/>
    <row r="28615" hidden="1" x14ac:dyDescent="0.35"/>
    <row r="28616" hidden="1" x14ac:dyDescent="0.35"/>
    <row r="28617" hidden="1" x14ac:dyDescent="0.35"/>
    <row r="28618" hidden="1" x14ac:dyDescent="0.35"/>
    <row r="28619" hidden="1" x14ac:dyDescent="0.35"/>
    <row r="28620" hidden="1" x14ac:dyDescent="0.35"/>
    <row r="28621" hidden="1" x14ac:dyDescent="0.35"/>
    <row r="28622" hidden="1" x14ac:dyDescent="0.35"/>
    <row r="28623" hidden="1" x14ac:dyDescent="0.35"/>
    <row r="28624" hidden="1" x14ac:dyDescent="0.35"/>
    <row r="28625" hidden="1" x14ac:dyDescent="0.35"/>
    <row r="28626" hidden="1" x14ac:dyDescent="0.35"/>
    <row r="28627" hidden="1" x14ac:dyDescent="0.35"/>
    <row r="28628" hidden="1" x14ac:dyDescent="0.35"/>
    <row r="28629" hidden="1" x14ac:dyDescent="0.35"/>
    <row r="28630" hidden="1" x14ac:dyDescent="0.35"/>
    <row r="28631" hidden="1" x14ac:dyDescent="0.35"/>
    <row r="28632" hidden="1" x14ac:dyDescent="0.35"/>
    <row r="28633" hidden="1" x14ac:dyDescent="0.35"/>
    <row r="28634" hidden="1" x14ac:dyDescent="0.35"/>
    <row r="28635" hidden="1" x14ac:dyDescent="0.35"/>
    <row r="28636" hidden="1" x14ac:dyDescent="0.35"/>
    <row r="28637" hidden="1" x14ac:dyDescent="0.35"/>
    <row r="28638" hidden="1" x14ac:dyDescent="0.35"/>
    <row r="28639" hidden="1" x14ac:dyDescent="0.35"/>
    <row r="28640" hidden="1" x14ac:dyDescent="0.35"/>
    <row r="28641" hidden="1" x14ac:dyDescent="0.35"/>
    <row r="28642" hidden="1" x14ac:dyDescent="0.35"/>
    <row r="28643" hidden="1" x14ac:dyDescent="0.35"/>
    <row r="28644" hidden="1" x14ac:dyDescent="0.35"/>
    <row r="28645" hidden="1" x14ac:dyDescent="0.35"/>
    <row r="28646" hidden="1" x14ac:dyDescent="0.35"/>
    <row r="28647" hidden="1" x14ac:dyDescent="0.35"/>
    <row r="28648" hidden="1" x14ac:dyDescent="0.35"/>
    <row r="28649" hidden="1" x14ac:dyDescent="0.35"/>
    <row r="28650" hidden="1" x14ac:dyDescent="0.35"/>
    <row r="28651" hidden="1" x14ac:dyDescent="0.35"/>
    <row r="28652" hidden="1" x14ac:dyDescent="0.35"/>
    <row r="28653" hidden="1" x14ac:dyDescent="0.35"/>
    <row r="28654" hidden="1" x14ac:dyDescent="0.35"/>
    <row r="28655" hidden="1" x14ac:dyDescent="0.35"/>
    <row r="28656" hidden="1" x14ac:dyDescent="0.35"/>
    <row r="28657" hidden="1" x14ac:dyDescent="0.35"/>
    <row r="28658" hidden="1" x14ac:dyDescent="0.35"/>
    <row r="28659" hidden="1" x14ac:dyDescent="0.35"/>
    <row r="28660" hidden="1" x14ac:dyDescent="0.35"/>
    <row r="28661" hidden="1" x14ac:dyDescent="0.35"/>
    <row r="28662" hidden="1" x14ac:dyDescent="0.35"/>
    <row r="28663" hidden="1" x14ac:dyDescent="0.35"/>
    <row r="28664" hidden="1" x14ac:dyDescent="0.35"/>
    <row r="28665" hidden="1" x14ac:dyDescent="0.35"/>
    <row r="28666" hidden="1" x14ac:dyDescent="0.35"/>
    <row r="28667" hidden="1" x14ac:dyDescent="0.35"/>
    <row r="28668" hidden="1" x14ac:dyDescent="0.35"/>
    <row r="28669" hidden="1" x14ac:dyDescent="0.35"/>
    <row r="28670" hidden="1" x14ac:dyDescent="0.35"/>
    <row r="28671" hidden="1" x14ac:dyDescent="0.35"/>
    <row r="28672" hidden="1" x14ac:dyDescent="0.35"/>
    <row r="28673" hidden="1" x14ac:dyDescent="0.35"/>
    <row r="28674" hidden="1" x14ac:dyDescent="0.35"/>
    <row r="28675" hidden="1" x14ac:dyDescent="0.35"/>
    <row r="28676" hidden="1" x14ac:dyDescent="0.35"/>
    <row r="28677" hidden="1" x14ac:dyDescent="0.35"/>
    <row r="28678" hidden="1" x14ac:dyDescent="0.35"/>
    <row r="28679" hidden="1" x14ac:dyDescent="0.35"/>
    <row r="28680" hidden="1" x14ac:dyDescent="0.35"/>
    <row r="28681" hidden="1" x14ac:dyDescent="0.35"/>
    <row r="28682" hidden="1" x14ac:dyDescent="0.35"/>
    <row r="28683" hidden="1" x14ac:dyDescent="0.35"/>
    <row r="28684" hidden="1" x14ac:dyDescent="0.35"/>
    <row r="28685" hidden="1" x14ac:dyDescent="0.35"/>
    <row r="28686" hidden="1" x14ac:dyDescent="0.35"/>
    <row r="28687" hidden="1" x14ac:dyDescent="0.35"/>
    <row r="28688" hidden="1" x14ac:dyDescent="0.35"/>
    <row r="28689" hidden="1" x14ac:dyDescent="0.35"/>
    <row r="28690" hidden="1" x14ac:dyDescent="0.35"/>
    <row r="28691" hidden="1" x14ac:dyDescent="0.35"/>
    <row r="28692" hidden="1" x14ac:dyDescent="0.35"/>
    <row r="28693" hidden="1" x14ac:dyDescent="0.35"/>
    <row r="28694" hidden="1" x14ac:dyDescent="0.35"/>
    <row r="28695" hidden="1" x14ac:dyDescent="0.35"/>
    <row r="28696" hidden="1" x14ac:dyDescent="0.35"/>
    <row r="28697" hidden="1" x14ac:dyDescent="0.35"/>
    <row r="28698" hidden="1" x14ac:dyDescent="0.35"/>
    <row r="28699" hidden="1" x14ac:dyDescent="0.35"/>
    <row r="28700" hidden="1" x14ac:dyDescent="0.35"/>
    <row r="28701" hidden="1" x14ac:dyDescent="0.35"/>
    <row r="28702" hidden="1" x14ac:dyDescent="0.35"/>
    <row r="28703" hidden="1" x14ac:dyDescent="0.35"/>
    <row r="28704" hidden="1" x14ac:dyDescent="0.35"/>
    <row r="28705" hidden="1" x14ac:dyDescent="0.35"/>
    <row r="28706" hidden="1" x14ac:dyDescent="0.35"/>
    <row r="28707" hidden="1" x14ac:dyDescent="0.35"/>
    <row r="28708" hidden="1" x14ac:dyDescent="0.35"/>
    <row r="28709" hidden="1" x14ac:dyDescent="0.35"/>
    <row r="28710" hidden="1" x14ac:dyDescent="0.35"/>
    <row r="28711" hidden="1" x14ac:dyDescent="0.35"/>
    <row r="28712" hidden="1" x14ac:dyDescent="0.35"/>
    <row r="28713" hidden="1" x14ac:dyDescent="0.35"/>
    <row r="28714" hidden="1" x14ac:dyDescent="0.35"/>
    <row r="28715" hidden="1" x14ac:dyDescent="0.35"/>
    <row r="28716" hidden="1" x14ac:dyDescent="0.35"/>
    <row r="28717" hidden="1" x14ac:dyDescent="0.35"/>
    <row r="28718" hidden="1" x14ac:dyDescent="0.35"/>
    <row r="28719" hidden="1" x14ac:dyDescent="0.35"/>
    <row r="28720" hidden="1" x14ac:dyDescent="0.35"/>
    <row r="28721" hidden="1" x14ac:dyDescent="0.35"/>
    <row r="28722" hidden="1" x14ac:dyDescent="0.35"/>
    <row r="28723" hidden="1" x14ac:dyDescent="0.35"/>
    <row r="28724" hidden="1" x14ac:dyDescent="0.35"/>
    <row r="28725" hidden="1" x14ac:dyDescent="0.35"/>
    <row r="28726" hidden="1" x14ac:dyDescent="0.35"/>
    <row r="28727" hidden="1" x14ac:dyDescent="0.35"/>
    <row r="28728" hidden="1" x14ac:dyDescent="0.35"/>
    <row r="28729" hidden="1" x14ac:dyDescent="0.35"/>
    <row r="28730" hidden="1" x14ac:dyDescent="0.35"/>
    <row r="28731" hidden="1" x14ac:dyDescent="0.35"/>
    <row r="28732" hidden="1" x14ac:dyDescent="0.35"/>
    <row r="28733" hidden="1" x14ac:dyDescent="0.35"/>
    <row r="28734" hidden="1" x14ac:dyDescent="0.35"/>
    <row r="28735" hidden="1" x14ac:dyDescent="0.35"/>
    <row r="28736" hidden="1" x14ac:dyDescent="0.35"/>
    <row r="28737" hidden="1" x14ac:dyDescent="0.35"/>
    <row r="28738" hidden="1" x14ac:dyDescent="0.35"/>
    <row r="28739" hidden="1" x14ac:dyDescent="0.35"/>
    <row r="28740" hidden="1" x14ac:dyDescent="0.35"/>
    <row r="28741" hidden="1" x14ac:dyDescent="0.35"/>
    <row r="28742" hidden="1" x14ac:dyDescent="0.35"/>
    <row r="28743" hidden="1" x14ac:dyDescent="0.35"/>
    <row r="28744" hidden="1" x14ac:dyDescent="0.35"/>
    <row r="28745" hidden="1" x14ac:dyDescent="0.35"/>
    <row r="28746" hidden="1" x14ac:dyDescent="0.35"/>
    <row r="28747" hidden="1" x14ac:dyDescent="0.35"/>
    <row r="28748" hidden="1" x14ac:dyDescent="0.35"/>
    <row r="28749" hidden="1" x14ac:dyDescent="0.35"/>
    <row r="28750" hidden="1" x14ac:dyDescent="0.35"/>
    <row r="28751" hidden="1" x14ac:dyDescent="0.35"/>
    <row r="28752" hidden="1" x14ac:dyDescent="0.35"/>
    <row r="28753" hidden="1" x14ac:dyDescent="0.35"/>
    <row r="28754" hidden="1" x14ac:dyDescent="0.35"/>
    <row r="28755" hidden="1" x14ac:dyDescent="0.35"/>
    <row r="28756" hidden="1" x14ac:dyDescent="0.35"/>
    <row r="28757" hidden="1" x14ac:dyDescent="0.35"/>
    <row r="28758" hidden="1" x14ac:dyDescent="0.35"/>
    <row r="28759" hidden="1" x14ac:dyDescent="0.35"/>
    <row r="28760" hidden="1" x14ac:dyDescent="0.35"/>
    <row r="28761" hidden="1" x14ac:dyDescent="0.35"/>
    <row r="28762" hidden="1" x14ac:dyDescent="0.35"/>
    <row r="28763" hidden="1" x14ac:dyDescent="0.35"/>
    <row r="28764" hidden="1" x14ac:dyDescent="0.35"/>
    <row r="28765" hidden="1" x14ac:dyDescent="0.35"/>
    <row r="28766" hidden="1" x14ac:dyDescent="0.35"/>
    <row r="28767" hidden="1" x14ac:dyDescent="0.35"/>
    <row r="28768" hidden="1" x14ac:dyDescent="0.35"/>
    <row r="28769" hidden="1" x14ac:dyDescent="0.35"/>
    <row r="28770" hidden="1" x14ac:dyDescent="0.35"/>
    <row r="28771" hidden="1" x14ac:dyDescent="0.35"/>
    <row r="28772" hidden="1" x14ac:dyDescent="0.35"/>
    <row r="28773" hidden="1" x14ac:dyDescent="0.35"/>
    <row r="28774" hidden="1" x14ac:dyDescent="0.35"/>
    <row r="28775" hidden="1" x14ac:dyDescent="0.35"/>
    <row r="28776" hidden="1" x14ac:dyDescent="0.35"/>
    <row r="28777" hidden="1" x14ac:dyDescent="0.35"/>
    <row r="28778" hidden="1" x14ac:dyDescent="0.35"/>
    <row r="28779" hidden="1" x14ac:dyDescent="0.35"/>
    <row r="28780" hidden="1" x14ac:dyDescent="0.35"/>
    <row r="28781" hidden="1" x14ac:dyDescent="0.35"/>
    <row r="28782" hidden="1" x14ac:dyDescent="0.35"/>
    <row r="28783" hidden="1" x14ac:dyDescent="0.35"/>
    <row r="28784" hidden="1" x14ac:dyDescent="0.35"/>
    <row r="28785" hidden="1" x14ac:dyDescent="0.35"/>
    <row r="28786" hidden="1" x14ac:dyDescent="0.35"/>
    <row r="28787" hidden="1" x14ac:dyDescent="0.35"/>
    <row r="28788" hidden="1" x14ac:dyDescent="0.35"/>
    <row r="28789" hidden="1" x14ac:dyDescent="0.35"/>
    <row r="28790" hidden="1" x14ac:dyDescent="0.35"/>
    <row r="28791" hidden="1" x14ac:dyDescent="0.35"/>
    <row r="28792" hidden="1" x14ac:dyDescent="0.35"/>
    <row r="28793" hidden="1" x14ac:dyDescent="0.35"/>
    <row r="28794" hidden="1" x14ac:dyDescent="0.35"/>
    <row r="28795" hidden="1" x14ac:dyDescent="0.35"/>
    <row r="28796" hidden="1" x14ac:dyDescent="0.35"/>
    <row r="28797" hidden="1" x14ac:dyDescent="0.35"/>
    <row r="28798" hidden="1" x14ac:dyDescent="0.35"/>
    <row r="28799" hidden="1" x14ac:dyDescent="0.35"/>
    <row r="28800" hidden="1" x14ac:dyDescent="0.35"/>
    <row r="28801" hidden="1" x14ac:dyDescent="0.35"/>
    <row r="28802" hidden="1" x14ac:dyDescent="0.35"/>
    <row r="28803" hidden="1" x14ac:dyDescent="0.35"/>
    <row r="28804" hidden="1" x14ac:dyDescent="0.35"/>
    <row r="28805" hidden="1" x14ac:dyDescent="0.35"/>
    <row r="28806" hidden="1" x14ac:dyDescent="0.35"/>
    <row r="28807" hidden="1" x14ac:dyDescent="0.35"/>
    <row r="28808" hidden="1" x14ac:dyDescent="0.35"/>
    <row r="28809" hidden="1" x14ac:dyDescent="0.35"/>
    <row r="28810" hidden="1" x14ac:dyDescent="0.35"/>
    <row r="28811" hidden="1" x14ac:dyDescent="0.35"/>
    <row r="28812" hidden="1" x14ac:dyDescent="0.35"/>
    <row r="28813" hidden="1" x14ac:dyDescent="0.35"/>
    <row r="28814" hidden="1" x14ac:dyDescent="0.35"/>
    <row r="28815" hidden="1" x14ac:dyDescent="0.35"/>
    <row r="28816" hidden="1" x14ac:dyDescent="0.35"/>
    <row r="28817" hidden="1" x14ac:dyDescent="0.35"/>
    <row r="28818" hidden="1" x14ac:dyDescent="0.35"/>
    <row r="28819" hidden="1" x14ac:dyDescent="0.35"/>
    <row r="28820" hidden="1" x14ac:dyDescent="0.35"/>
    <row r="28821" hidden="1" x14ac:dyDescent="0.35"/>
    <row r="28822" hidden="1" x14ac:dyDescent="0.35"/>
    <row r="28823" hidden="1" x14ac:dyDescent="0.35"/>
    <row r="28824" hidden="1" x14ac:dyDescent="0.35"/>
    <row r="28825" hidden="1" x14ac:dyDescent="0.35"/>
    <row r="28826" hidden="1" x14ac:dyDescent="0.35"/>
    <row r="28827" hidden="1" x14ac:dyDescent="0.35"/>
    <row r="28828" hidden="1" x14ac:dyDescent="0.35"/>
    <row r="28829" hidden="1" x14ac:dyDescent="0.35"/>
    <row r="28830" hidden="1" x14ac:dyDescent="0.35"/>
    <row r="28831" hidden="1" x14ac:dyDescent="0.35"/>
    <row r="28832" hidden="1" x14ac:dyDescent="0.35"/>
    <row r="28833" hidden="1" x14ac:dyDescent="0.35"/>
    <row r="28834" hidden="1" x14ac:dyDescent="0.35"/>
    <row r="28835" hidden="1" x14ac:dyDescent="0.35"/>
    <row r="28836" hidden="1" x14ac:dyDescent="0.35"/>
    <row r="28837" hidden="1" x14ac:dyDescent="0.35"/>
    <row r="28838" hidden="1" x14ac:dyDescent="0.35"/>
    <row r="28839" hidden="1" x14ac:dyDescent="0.35"/>
    <row r="28840" hidden="1" x14ac:dyDescent="0.35"/>
    <row r="28841" hidden="1" x14ac:dyDescent="0.35"/>
    <row r="28842" hidden="1" x14ac:dyDescent="0.35"/>
    <row r="28843" hidden="1" x14ac:dyDescent="0.35"/>
    <row r="28844" hidden="1" x14ac:dyDescent="0.35"/>
    <row r="28845" hidden="1" x14ac:dyDescent="0.35"/>
    <row r="28846" hidden="1" x14ac:dyDescent="0.35"/>
    <row r="28847" hidden="1" x14ac:dyDescent="0.35"/>
    <row r="28848" hidden="1" x14ac:dyDescent="0.35"/>
    <row r="28849" hidden="1" x14ac:dyDescent="0.35"/>
    <row r="28850" hidden="1" x14ac:dyDescent="0.35"/>
    <row r="28851" hidden="1" x14ac:dyDescent="0.35"/>
    <row r="28852" hidden="1" x14ac:dyDescent="0.35"/>
    <row r="28853" hidden="1" x14ac:dyDescent="0.35"/>
    <row r="28854" hidden="1" x14ac:dyDescent="0.35"/>
    <row r="28855" hidden="1" x14ac:dyDescent="0.35"/>
    <row r="28856" hidden="1" x14ac:dyDescent="0.35"/>
    <row r="28857" hidden="1" x14ac:dyDescent="0.35"/>
    <row r="28858" hidden="1" x14ac:dyDescent="0.35"/>
    <row r="28859" hidden="1" x14ac:dyDescent="0.35"/>
    <row r="28860" hidden="1" x14ac:dyDescent="0.35"/>
    <row r="28861" hidden="1" x14ac:dyDescent="0.35"/>
    <row r="28862" hidden="1" x14ac:dyDescent="0.35"/>
    <row r="28863" hidden="1" x14ac:dyDescent="0.35"/>
    <row r="28864" hidden="1" x14ac:dyDescent="0.35"/>
    <row r="28865" hidden="1" x14ac:dyDescent="0.35"/>
    <row r="28866" hidden="1" x14ac:dyDescent="0.35"/>
    <row r="28867" hidden="1" x14ac:dyDescent="0.35"/>
    <row r="28868" hidden="1" x14ac:dyDescent="0.35"/>
    <row r="28869" hidden="1" x14ac:dyDescent="0.35"/>
    <row r="28870" hidden="1" x14ac:dyDescent="0.35"/>
    <row r="28871" hidden="1" x14ac:dyDescent="0.35"/>
    <row r="28872" hidden="1" x14ac:dyDescent="0.35"/>
    <row r="28873" hidden="1" x14ac:dyDescent="0.35"/>
    <row r="28874" hidden="1" x14ac:dyDescent="0.35"/>
    <row r="28875" hidden="1" x14ac:dyDescent="0.35"/>
    <row r="28876" hidden="1" x14ac:dyDescent="0.35"/>
    <row r="28877" hidden="1" x14ac:dyDescent="0.35"/>
    <row r="28878" hidden="1" x14ac:dyDescent="0.35"/>
    <row r="28879" hidden="1" x14ac:dyDescent="0.35"/>
    <row r="28880" hidden="1" x14ac:dyDescent="0.35"/>
    <row r="28881" hidden="1" x14ac:dyDescent="0.35"/>
    <row r="28882" hidden="1" x14ac:dyDescent="0.35"/>
    <row r="28883" hidden="1" x14ac:dyDescent="0.35"/>
    <row r="28884" hidden="1" x14ac:dyDescent="0.35"/>
    <row r="28885" hidden="1" x14ac:dyDescent="0.35"/>
    <row r="28886" hidden="1" x14ac:dyDescent="0.35"/>
    <row r="28887" hidden="1" x14ac:dyDescent="0.35"/>
    <row r="28888" hidden="1" x14ac:dyDescent="0.35"/>
    <row r="28889" hidden="1" x14ac:dyDescent="0.35"/>
    <row r="28890" hidden="1" x14ac:dyDescent="0.35"/>
    <row r="28891" hidden="1" x14ac:dyDescent="0.35"/>
    <row r="28892" hidden="1" x14ac:dyDescent="0.35"/>
    <row r="28893" hidden="1" x14ac:dyDescent="0.35"/>
    <row r="28894" hidden="1" x14ac:dyDescent="0.35"/>
    <row r="28895" hidden="1" x14ac:dyDescent="0.35"/>
    <row r="28896" hidden="1" x14ac:dyDescent="0.35"/>
    <row r="28897" hidden="1" x14ac:dyDescent="0.35"/>
    <row r="28898" hidden="1" x14ac:dyDescent="0.35"/>
    <row r="28899" hidden="1" x14ac:dyDescent="0.35"/>
    <row r="28900" hidden="1" x14ac:dyDescent="0.35"/>
    <row r="28901" hidden="1" x14ac:dyDescent="0.35"/>
    <row r="28902" hidden="1" x14ac:dyDescent="0.35"/>
    <row r="28903" hidden="1" x14ac:dyDescent="0.35"/>
    <row r="28904" hidden="1" x14ac:dyDescent="0.35"/>
    <row r="28905" hidden="1" x14ac:dyDescent="0.35"/>
    <row r="28906" hidden="1" x14ac:dyDescent="0.35"/>
    <row r="28907" hidden="1" x14ac:dyDescent="0.35"/>
    <row r="28908" hidden="1" x14ac:dyDescent="0.35"/>
    <row r="28909" hidden="1" x14ac:dyDescent="0.35"/>
    <row r="28910" hidden="1" x14ac:dyDescent="0.35"/>
    <row r="28911" hidden="1" x14ac:dyDescent="0.35"/>
    <row r="28912" hidden="1" x14ac:dyDescent="0.35"/>
    <row r="28913" hidden="1" x14ac:dyDescent="0.35"/>
    <row r="28914" hidden="1" x14ac:dyDescent="0.35"/>
    <row r="28915" hidden="1" x14ac:dyDescent="0.35"/>
    <row r="28916" hidden="1" x14ac:dyDescent="0.35"/>
    <row r="28917" hidden="1" x14ac:dyDescent="0.35"/>
    <row r="28918" hidden="1" x14ac:dyDescent="0.35"/>
    <row r="28919" hidden="1" x14ac:dyDescent="0.35"/>
    <row r="28920" hidden="1" x14ac:dyDescent="0.35"/>
    <row r="28921" hidden="1" x14ac:dyDescent="0.35"/>
    <row r="28922" hidden="1" x14ac:dyDescent="0.35"/>
    <row r="28923" hidden="1" x14ac:dyDescent="0.35"/>
    <row r="28924" hidden="1" x14ac:dyDescent="0.35"/>
    <row r="28925" hidden="1" x14ac:dyDescent="0.35"/>
    <row r="28926" hidden="1" x14ac:dyDescent="0.35"/>
    <row r="28927" hidden="1" x14ac:dyDescent="0.35"/>
    <row r="28928" hidden="1" x14ac:dyDescent="0.35"/>
    <row r="28929" hidden="1" x14ac:dyDescent="0.35"/>
    <row r="28930" hidden="1" x14ac:dyDescent="0.35"/>
    <row r="28931" hidden="1" x14ac:dyDescent="0.35"/>
    <row r="28932" hidden="1" x14ac:dyDescent="0.35"/>
    <row r="28933" hidden="1" x14ac:dyDescent="0.35"/>
    <row r="28934" hidden="1" x14ac:dyDescent="0.35"/>
    <row r="28935" hidden="1" x14ac:dyDescent="0.35"/>
    <row r="28936" hidden="1" x14ac:dyDescent="0.35"/>
    <row r="28937" hidden="1" x14ac:dyDescent="0.35"/>
    <row r="28938" hidden="1" x14ac:dyDescent="0.35"/>
    <row r="28939" hidden="1" x14ac:dyDescent="0.35"/>
    <row r="28940" hidden="1" x14ac:dyDescent="0.35"/>
    <row r="28941" hidden="1" x14ac:dyDescent="0.35"/>
    <row r="28942" hidden="1" x14ac:dyDescent="0.35"/>
    <row r="28943" hidden="1" x14ac:dyDescent="0.35"/>
    <row r="28944" hidden="1" x14ac:dyDescent="0.35"/>
    <row r="28945" hidden="1" x14ac:dyDescent="0.35"/>
    <row r="28946" hidden="1" x14ac:dyDescent="0.35"/>
    <row r="28947" hidden="1" x14ac:dyDescent="0.35"/>
    <row r="28948" hidden="1" x14ac:dyDescent="0.35"/>
    <row r="28949" hidden="1" x14ac:dyDescent="0.35"/>
    <row r="28950" hidden="1" x14ac:dyDescent="0.35"/>
    <row r="28951" hidden="1" x14ac:dyDescent="0.35"/>
    <row r="28952" hidden="1" x14ac:dyDescent="0.35"/>
    <row r="28953" hidden="1" x14ac:dyDescent="0.35"/>
    <row r="28954" hidden="1" x14ac:dyDescent="0.35"/>
    <row r="28955" hidden="1" x14ac:dyDescent="0.35"/>
    <row r="28956" hidden="1" x14ac:dyDescent="0.35"/>
    <row r="28957" hidden="1" x14ac:dyDescent="0.35"/>
    <row r="28958" hidden="1" x14ac:dyDescent="0.35"/>
    <row r="28959" hidden="1" x14ac:dyDescent="0.35"/>
    <row r="28960" hidden="1" x14ac:dyDescent="0.35"/>
    <row r="28961" hidden="1" x14ac:dyDescent="0.35"/>
    <row r="28962" hidden="1" x14ac:dyDescent="0.35"/>
    <row r="28963" hidden="1" x14ac:dyDescent="0.35"/>
    <row r="28964" hidden="1" x14ac:dyDescent="0.35"/>
    <row r="28965" hidden="1" x14ac:dyDescent="0.35"/>
    <row r="28966" hidden="1" x14ac:dyDescent="0.35"/>
    <row r="28967" hidden="1" x14ac:dyDescent="0.35"/>
    <row r="28968" hidden="1" x14ac:dyDescent="0.35"/>
    <row r="28969" hidden="1" x14ac:dyDescent="0.35"/>
    <row r="28970" hidden="1" x14ac:dyDescent="0.35"/>
    <row r="28971" hidden="1" x14ac:dyDescent="0.35"/>
    <row r="28972" hidden="1" x14ac:dyDescent="0.35"/>
    <row r="28973" hidden="1" x14ac:dyDescent="0.35"/>
    <row r="28974" hidden="1" x14ac:dyDescent="0.35"/>
    <row r="28975" hidden="1" x14ac:dyDescent="0.35"/>
    <row r="28976" hidden="1" x14ac:dyDescent="0.35"/>
    <row r="28977" hidden="1" x14ac:dyDescent="0.35"/>
    <row r="28978" hidden="1" x14ac:dyDescent="0.35"/>
    <row r="28979" hidden="1" x14ac:dyDescent="0.35"/>
    <row r="28980" hidden="1" x14ac:dyDescent="0.35"/>
    <row r="28981" hidden="1" x14ac:dyDescent="0.35"/>
    <row r="28982" hidden="1" x14ac:dyDescent="0.35"/>
    <row r="28983" hidden="1" x14ac:dyDescent="0.35"/>
    <row r="28984" hidden="1" x14ac:dyDescent="0.35"/>
    <row r="28985" hidden="1" x14ac:dyDescent="0.35"/>
    <row r="28986" hidden="1" x14ac:dyDescent="0.35"/>
    <row r="28987" hidden="1" x14ac:dyDescent="0.35"/>
    <row r="28988" hidden="1" x14ac:dyDescent="0.35"/>
    <row r="28989" hidden="1" x14ac:dyDescent="0.35"/>
    <row r="28990" hidden="1" x14ac:dyDescent="0.35"/>
    <row r="28991" hidden="1" x14ac:dyDescent="0.35"/>
    <row r="28992" hidden="1" x14ac:dyDescent="0.35"/>
    <row r="28993" hidden="1" x14ac:dyDescent="0.35"/>
    <row r="28994" hidden="1" x14ac:dyDescent="0.35"/>
    <row r="28995" hidden="1" x14ac:dyDescent="0.35"/>
    <row r="28996" hidden="1" x14ac:dyDescent="0.35"/>
    <row r="28997" hidden="1" x14ac:dyDescent="0.35"/>
    <row r="28998" hidden="1" x14ac:dyDescent="0.35"/>
    <row r="28999" hidden="1" x14ac:dyDescent="0.35"/>
    <row r="29000" hidden="1" x14ac:dyDescent="0.35"/>
    <row r="29001" hidden="1" x14ac:dyDescent="0.35"/>
    <row r="29002" hidden="1" x14ac:dyDescent="0.35"/>
    <row r="29003" hidden="1" x14ac:dyDescent="0.35"/>
    <row r="29004" hidden="1" x14ac:dyDescent="0.35"/>
    <row r="29005" hidden="1" x14ac:dyDescent="0.35"/>
    <row r="29006" hidden="1" x14ac:dyDescent="0.35"/>
    <row r="29007" hidden="1" x14ac:dyDescent="0.35"/>
    <row r="29008" hidden="1" x14ac:dyDescent="0.35"/>
    <row r="29009" hidden="1" x14ac:dyDescent="0.35"/>
    <row r="29010" hidden="1" x14ac:dyDescent="0.35"/>
    <row r="29011" hidden="1" x14ac:dyDescent="0.35"/>
    <row r="29012" hidden="1" x14ac:dyDescent="0.35"/>
    <row r="29013" hidden="1" x14ac:dyDescent="0.35"/>
    <row r="29014" hidden="1" x14ac:dyDescent="0.35"/>
    <row r="29015" hidden="1" x14ac:dyDescent="0.35"/>
    <row r="29016" hidden="1" x14ac:dyDescent="0.35"/>
    <row r="29017" hidden="1" x14ac:dyDescent="0.35"/>
    <row r="29018" hidden="1" x14ac:dyDescent="0.35"/>
    <row r="29019" hidden="1" x14ac:dyDescent="0.35"/>
    <row r="29020" hidden="1" x14ac:dyDescent="0.35"/>
    <row r="29021" hidden="1" x14ac:dyDescent="0.35"/>
    <row r="29022" hidden="1" x14ac:dyDescent="0.35"/>
    <row r="29023" hidden="1" x14ac:dyDescent="0.35"/>
    <row r="29024" hidden="1" x14ac:dyDescent="0.35"/>
    <row r="29025" hidden="1" x14ac:dyDescent="0.35"/>
    <row r="29026" hidden="1" x14ac:dyDescent="0.35"/>
    <row r="29027" hidden="1" x14ac:dyDescent="0.35"/>
    <row r="29028" hidden="1" x14ac:dyDescent="0.35"/>
    <row r="29029" hidden="1" x14ac:dyDescent="0.35"/>
    <row r="29030" hidden="1" x14ac:dyDescent="0.35"/>
    <row r="29031" hidden="1" x14ac:dyDescent="0.35"/>
    <row r="29032" hidden="1" x14ac:dyDescent="0.35"/>
    <row r="29033" hidden="1" x14ac:dyDescent="0.35"/>
    <row r="29034" hidden="1" x14ac:dyDescent="0.35"/>
    <row r="29035" hidden="1" x14ac:dyDescent="0.35"/>
    <row r="29036" hidden="1" x14ac:dyDescent="0.35"/>
    <row r="29037" hidden="1" x14ac:dyDescent="0.35"/>
    <row r="29038" hidden="1" x14ac:dyDescent="0.35"/>
    <row r="29039" hidden="1" x14ac:dyDescent="0.35"/>
    <row r="29040" hidden="1" x14ac:dyDescent="0.35"/>
    <row r="29041" hidden="1" x14ac:dyDescent="0.35"/>
    <row r="29042" hidden="1" x14ac:dyDescent="0.35"/>
    <row r="29043" hidden="1" x14ac:dyDescent="0.35"/>
    <row r="29044" hidden="1" x14ac:dyDescent="0.35"/>
    <row r="29045" hidden="1" x14ac:dyDescent="0.35"/>
    <row r="29046" hidden="1" x14ac:dyDescent="0.35"/>
    <row r="29047" hidden="1" x14ac:dyDescent="0.35"/>
    <row r="29048" hidden="1" x14ac:dyDescent="0.35"/>
    <row r="29049" hidden="1" x14ac:dyDescent="0.35"/>
    <row r="29050" hidden="1" x14ac:dyDescent="0.35"/>
    <row r="29051" hidden="1" x14ac:dyDescent="0.35"/>
    <row r="29052" hidden="1" x14ac:dyDescent="0.35"/>
    <row r="29053" hidden="1" x14ac:dyDescent="0.35"/>
    <row r="29054" hidden="1" x14ac:dyDescent="0.35"/>
    <row r="29055" hidden="1" x14ac:dyDescent="0.35"/>
    <row r="29056" hidden="1" x14ac:dyDescent="0.35"/>
    <row r="29057" hidden="1" x14ac:dyDescent="0.35"/>
    <row r="29058" hidden="1" x14ac:dyDescent="0.35"/>
    <row r="29059" hidden="1" x14ac:dyDescent="0.35"/>
    <row r="29060" hidden="1" x14ac:dyDescent="0.35"/>
    <row r="29061" hidden="1" x14ac:dyDescent="0.35"/>
    <row r="29062" hidden="1" x14ac:dyDescent="0.35"/>
    <row r="29063" hidden="1" x14ac:dyDescent="0.35"/>
    <row r="29064" hidden="1" x14ac:dyDescent="0.35"/>
    <row r="29065" hidden="1" x14ac:dyDescent="0.35"/>
    <row r="29066" hidden="1" x14ac:dyDescent="0.35"/>
    <row r="29067" hidden="1" x14ac:dyDescent="0.35"/>
    <row r="29068" hidden="1" x14ac:dyDescent="0.35"/>
    <row r="29069" hidden="1" x14ac:dyDescent="0.35"/>
    <row r="29070" hidden="1" x14ac:dyDescent="0.35"/>
    <row r="29071" hidden="1" x14ac:dyDescent="0.35"/>
    <row r="29072" hidden="1" x14ac:dyDescent="0.35"/>
    <row r="29073" hidden="1" x14ac:dyDescent="0.35"/>
    <row r="29074" hidden="1" x14ac:dyDescent="0.35"/>
    <row r="29075" hidden="1" x14ac:dyDescent="0.35"/>
    <row r="29076" hidden="1" x14ac:dyDescent="0.35"/>
    <row r="29077" hidden="1" x14ac:dyDescent="0.35"/>
    <row r="29078" hidden="1" x14ac:dyDescent="0.35"/>
    <row r="29079" hidden="1" x14ac:dyDescent="0.35"/>
    <row r="29080" hidden="1" x14ac:dyDescent="0.35"/>
    <row r="29081" hidden="1" x14ac:dyDescent="0.35"/>
    <row r="29082" hidden="1" x14ac:dyDescent="0.35"/>
    <row r="29083" hidden="1" x14ac:dyDescent="0.35"/>
    <row r="29084" hidden="1" x14ac:dyDescent="0.35"/>
    <row r="29085" hidden="1" x14ac:dyDescent="0.35"/>
    <row r="29086" hidden="1" x14ac:dyDescent="0.35"/>
    <row r="29087" hidden="1" x14ac:dyDescent="0.35"/>
    <row r="29088" hidden="1" x14ac:dyDescent="0.35"/>
    <row r="29089" hidden="1" x14ac:dyDescent="0.35"/>
    <row r="29090" hidden="1" x14ac:dyDescent="0.35"/>
    <row r="29091" hidden="1" x14ac:dyDescent="0.35"/>
    <row r="29092" hidden="1" x14ac:dyDescent="0.35"/>
    <row r="29093" hidden="1" x14ac:dyDescent="0.35"/>
    <row r="29094" hidden="1" x14ac:dyDescent="0.35"/>
    <row r="29095" hidden="1" x14ac:dyDescent="0.35"/>
    <row r="29096" hidden="1" x14ac:dyDescent="0.35"/>
    <row r="29097" hidden="1" x14ac:dyDescent="0.35"/>
    <row r="29098" hidden="1" x14ac:dyDescent="0.35"/>
    <row r="29099" hidden="1" x14ac:dyDescent="0.35"/>
    <row r="29100" hidden="1" x14ac:dyDescent="0.35"/>
    <row r="29101" hidden="1" x14ac:dyDescent="0.35"/>
    <row r="29102" hidden="1" x14ac:dyDescent="0.35"/>
    <row r="29103" hidden="1" x14ac:dyDescent="0.35"/>
    <row r="29104" hidden="1" x14ac:dyDescent="0.35"/>
    <row r="29105" hidden="1" x14ac:dyDescent="0.35"/>
    <row r="29106" hidden="1" x14ac:dyDescent="0.35"/>
    <row r="29107" hidden="1" x14ac:dyDescent="0.35"/>
    <row r="29108" hidden="1" x14ac:dyDescent="0.35"/>
    <row r="29109" hidden="1" x14ac:dyDescent="0.35"/>
    <row r="29110" hidden="1" x14ac:dyDescent="0.35"/>
    <row r="29111" hidden="1" x14ac:dyDescent="0.35"/>
    <row r="29112" hidden="1" x14ac:dyDescent="0.35"/>
    <row r="29113" hidden="1" x14ac:dyDescent="0.35"/>
    <row r="29114" hidden="1" x14ac:dyDescent="0.35"/>
    <row r="29115" hidden="1" x14ac:dyDescent="0.35"/>
    <row r="29116" hidden="1" x14ac:dyDescent="0.35"/>
    <row r="29117" hidden="1" x14ac:dyDescent="0.35"/>
    <row r="29118" hidden="1" x14ac:dyDescent="0.35"/>
    <row r="29119" hidden="1" x14ac:dyDescent="0.35"/>
    <row r="29120" hidden="1" x14ac:dyDescent="0.35"/>
    <row r="29121" hidden="1" x14ac:dyDescent="0.35"/>
    <row r="29122" hidden="1" x14ac:dyDescent="0.35"/>
    <row r="29123" hidden="1" x14ac:dyDescent="0.35"/>
    <row r="29124" hidden="1" x14ac:dyDescent="0.35"/>
    <row r="29125" hidden="1" x14ac:dyDescent="0.35"/>
    <row r="29126" hidden="1" x14ac:dyDescent="0.35"/>
    <row r="29127" hidden="1" x14ac:dyDescent="0.35"/>
    <row r="29128" hidden="1" x14ac:dyDescent="0.35"/>
    <row r="29129" hidden="1" x14ac:dyDescent="0.35"/>
    <row r="29130" hidden="1" x14ac:dyDescent="0.35"/>
    <row r="29131" hidden="1" x14ac:dyDescent="0.35"/>
    <row r="29132" hidden="1" x14ac:dyDescent="0.35"/>
    <row r="29133" hidden="1" x14ac:dyDescent="0.35"/>
    <row r="29134" hidden="1" x14ac:dyDescent="0.35"/>
    <row r="29135" hidden="1" x14ac:dyDescent="0.35"/>
    <row r="29136" hidden="1" x14ac:dyDescent="0.35"/>
    <row r="29137" hidden="1" x14ac:dyDescent="0.35"/>
    <row r="29138" hidden="1" x14ac:dyDescent="0.35"/>
    <row r="29139" hidden="1" x14ac:dyDescent="0.35"/>
    <row r="29140" hidden="1" x14ac:dyDescent="0.35"/>
    <row r="29141" hidden="1" x14ac:dyDescent="0.35"/>
    <row r="29142" hidden="1" x14ac:dyDescent="0.35"/>
    <row r="29143" hidden="1" x14ac:dyDescent="0.35"/>
    <row r="29144" hidden="1" x14ac:dyDescent="0.35"/>
    <row r="29145" hidden="1" x14ac:dyDescent="0.35"/>
    <row r="29146" hidden="1" x14ac:dyDescent="0.35"/>
    <row r="29147" hidden="1" x14ac:dyDescent="0.35"/>
    <row r="29148" hidden="1" x14ac:dyDescent="0.35"/>
    <row r="29149" hidden="1" x14ac:dyDescent="0.35"/>
    <row r="29150" hidden="1" x14ac:dyDescent="0.35"/>
    <row r="29151" hidden="1" x14ac:dyDescent="0.35"/>
    <row r="29152" hidden="1" x14ac:dyDescent="0.35"/>
    <row r="29153" hidden="1" x14ac:dyDescent="0.35"/>
    <row r="29154" hidden="1" x14ac:dyDescent="0.35"/>
    <row r="29155" hidden="1" x14ac:dyDescent="0.35"/>
    <row r="29156" hidden="1" x14ac:dyDescent="0.35"/>
    <row r="29157" hidden="1" x14ac:dyDescent="0.35"/>
    <row r="29158" hidden="1" x14ac:dyDescent="0.35"/>
    <row r="29159" hidden="1" x14ac:dyDescent="0.35"/>
    <row r="29160" hidden="1" x14ac:dyDescent="0.35"/>
    <row r="29161" hidden="1" x14ac:dyDescent="0.35"/>
    <row r="29162" hidden="1" x14ac:dyDescent="0.35"/>
    <row r="29163" hidden="1" x14ac:dyDescent="0.35"/>
    <row r="29164" hidden="1" x14ac:dyDescent="0.35"/>
    <row r="29165" hidden="1" x14ac:dyDescent="0.35"/>
    <row r="29166" hidden="1" x14ac:dyDescent="0.35"/>
    <row r="29167" hidden="1" x14ac:dyDescent="0.35"/>
    <row r="29168" hidden="1" x14ac:dyDescent="0.35"/>
    <row r="29169" hidden="1" x14ac:dyDescent="0.35"/>
    <row r="29170" hidden="1" x14ac:dyDescent="0.35"/>
    <row r="29171" hidden="1" x14ac:dyDescent="0.35"/>
    <row r="29172" hidden="1" x14ac:dyDescent="0.35"/>
    <row r="29173" hidden="1" x14ac:dyDescent="0.35"/>
    <row r="29174" hidden="1" x14ac:dyDescent="0.35"/>
    <row r="29175" hidden="1" x14ac:dyDescent="0.35"/>
    <row r="29176" hidden="1" x14ac:dyDescent="0.35"/>
    <row r="29177" hidden="1" x14ac:dyDescent="0.35"/>
    <row r="29178" hidden="1" x14ac:dyDescent="0.35"/>
    <row r="29179" hidden="1" x14ac:dyDescent="0.35"/>
    <row r="29180" hidden="1" x14ac:dyDescent="0.35"/>
    <row r="29181" hidden="1" x14ac:dyDescent="0.35"/>
    <row r="29182" hidden="1" x14ac:dyDescent="0.35"/>
    <row r="29183" hidden="1" x14ac:dyDescent="0.35"/>
    <row r="29184" hidden="1" x14ac:dyDescent="0.35"/>
    <row r="29185" hidden="1" x14ac:dyDescent="0.35"/>
    <row r="29186" hidden="1" x14ac:dyDescent="0.35"/>
    <row r="29187" hidden="1" x14ac:dyDescent="0.35"/>
    <row r="29188" hidden="1" x14ac:dyDescent="0.35"/>
    <row r="29189" hidden="1" x14ac:dyDescent="0.35"/>
    <row r="29190" hidden="1" x14ac:dyDescent="0.35"/>
    <row r="29191" hidden="1" x14ac:dyDescent="0.35"/>
    <row r="29192" hidden="1" x14ac:dyDescent="0.35"/>
    <row r="29193" hidden="1" x14ac:dyDescent="0.35"/>
    <row r="29194" hidden="1" x14ac:dyDescent="0.35"/>
    <row r="29195" hidden="1" x14ac:dyDescent="0.35"/>
    <row r="29196" hidden="1" x14ac:dyDescent="0.35"/>
    <row r="29197" hidden="1" x14ac:dyDescent="0.35"/>
    <row r="29198" hidden="1" x14ac:dyDescent="0.35"/>
    <row r="29199" hidden="1" x14ac:dyDescent="0.35"/>
    <row r="29200" hidden="1" x14ac:dyDescent="0.35"/>
    <row r="29201" hidden="1" x14ac:dyDescent="0.35"/>
    <row r="29202" hidden="1" x14ac:dyDescent="0.35"/>
    <row r="29203" hidden="1" x14ac:dyDescent="0.35"/>
    <row r="29204" hidden="1" x14ac:dyDescent="0.35"/>
    <row r="29205" hidden="1" x14ac:dyDescent="0.35"/>
    <row r="29206" hidden="1" x14ac:dyDescent="0.35"/>
    <row r="29207" hidden="1" x14ac:dyDescent="0.35"/>
    <row r="29208" hidden="1" x14ac:dyDescent="0.35"/>
    <row r="29209" hidden="1" x14ac:dyDescent="0.35"/>
    <row r="29210" hidden="1" x14ac:dyDescent="0.35"/>
    <row r="29211" hidden="1" x14ac:dyDescent="0.35"/>
    <row r="29212" hidden="1" x14ac:dyDescent="0.35"/>
    <row r="29213" hidden="1" x14ac:dyDescent="0.35"/>
    <row r="29214" hidden="1" x14ac:dyDescent="0.35"/>
    <row r="29215" hidden="1" x14ac:dyDescent="0.35"/>
    <row r="29216" hidden="1" x14ac:dyDescent="0.35"/>
    <row r="29217" hidden="1" x14ac:dyDescent="0.35"/>
    <row r="29218" hidden="1" x14ac:dyDescent="0.35"/>
    <row r="29219" hidden="1" x14ac:dyDescent="0.35"/>
    <row r="29220" hidden="1" x14ac:dyDescent="0.35"/>
    <row r="29221" hidden="1" x14ac:dyDescent="0.35"/>
    <row r="29222" hidden="1" x14ac:dyDescent="0.35"/>
    <row r="29223" hidden="1" x14ac:dyDescent="0.35"/>
    <row r="29224" hidden="1" x14ac:dyDescent="0.35"/>
    <row r="29225" hidden="1" x14ac:dyDescent="0.35"/>
    <row r="29226" hidden="1" x14ac:dyDescent="0.35"/>
    <row r="29227" hidden="1" x14ac:dyDescent="0.35"/>
    <row r="29228" hidden="1" x14ac:dyDescent="0.35"/>
    <row r="29229" hidden="1" x14ac:dyDescent="0.35"/>
    <row r="29230" hidden="1" x14ac:dyDescent="0.35"/>
    <row r="29231" hidden="1" x14ac:dyDescent="0.35"/>
    <row r="29232" hidden="1" x14ac:dyDescent="0.35"/>
    <row r="29233" hidden="1" x14ac:dyDescent="0.35"/>
    <row r="29234" hidden="1" x14ac:dyDescent="0.35"/>
    <row r="29235" hidden="1" x14ac:dyDescent="0.35"/>
    <row r="29236" hidden="1" x14ac:dyDescent="0.35"/>
    <row r="29237" hidden="1" x14ac:dyDescent="0.35"/>
    <row r="29238" hidden="1" x14ac:dyDescent="0.35"/>
    <row r="29239" hidden="1" x14ac:dyDescent="0.35"/>
    <row r="29240" hidden="1" x14ac:dyDescent="0.35"/>
    <row r="29241" hidden="1" x14ac:dyDescent="0.35"/>
    <row r="29242" hidden="1" x14ac:dyDescent="0.35"/>
    <row r="29243" hidden="1" x14ac:dyDescent="0.35"/>
    <row r="29244" hidden="1" x14ac:dyDescent="0.35"/>
    <row r="29245" hidden="1" x14ac:dyDescent="0.35"/>
    <row r="29246" hidden="1" x14ac:dyDescent="0.35"/>
    <row r="29247" hidden="1" x14ac:dyDescent="0.35"/>
    <row r="29248" hidden="1" x14ac:dyDescent="0.35"/>
    <row r="29249" hidden="1" x14ac:dyDescent="0.35"/>
    <row r="29250" hidden="1" x14ac:dyDescent="0.35"/>
    <row r="29251" hidden="1" x14ac:dyDescent="0.35"/>
    <row r="29252" hidden="1" x14ac:dyDescent="0.35"/>
    <row r="29253" hidden="1" x14ac:dyDescent="0.35"/>
    <row r="29254" hidden="1" x14ac:dyDescent="0.35"/>
    <row r="29255" hidden="1" x14ac:dyDescent="0.35"/>
    <row r="29256" hidden="1" x14ac:dyDescent="0.35"/>
    <row r="29257" hidden="1" x14ac:dyDescent="0.35"/>
    <row r="29258" hidden="1" x14ac:dyDescent="0.35"/>
    <row r="29259" hidden="1" x14ac:dyDescent="0.35"/>
    <row r="29260" hidden="1" x14ac:dyDescent="0.35"/>
    <row r="29261" hidden="1" x14ac:dyDescent="0.35"/>
    <row r="29262" hidden="1" x14ac:dyDescent="0.35"/>
    <row r="29263" hidden="1" x14ac:dyDescent="0.35"/>
    <row r="29264" hidden="1" x14ac:dyDescent="0.35"/>
    <row r="29265" hidden="1" x14ac:dyDescent="0.35"/>
    <row r="29266" hidden="1" x14ac:dyDescent="0.35"/>
    <row r="29267" hidden="1" x14ac:dyDescent="0.35"/>
    <row r="29268" hidden="1" x14ac:dyDescent="0.35"/>
    <row r="29269" hidden="1" x14ac:dyDescent="0.35"/>
    <row r="29270" hidden="1" x14ac:dyDescent="0.35"/>
    <row r="29271" hidden="1" x14ac:dyDescent="0.35"/>
    <row r="29272" hidden="1" x14ac:dyDescent="0.35"/>
    <row r="29273" hidden="1" x14ac:dyDescent="0.35"/>
    <row r="29274" hidden="1" x14ac:dyDescent="0.35"/>
    <row r="29275" hidden="1" x14ac:dyDescent="0.35"/>
    <row r="29276" hidden="1" x14ac:dyDescent="0.35"/>
    <row r="29277" hidden="1" x14ac:dyDescent="0.35"/>
    <row r="29278" hidden="1" x14ac:dyDescent="0.35"/>
    <row r="29279" hidden="1" x14ac:dyDescent="0.35"/>
    <row r="29280" hidden="1" x14ac:dyDescent="0.35"/>
    <row r="29281" hidden="1" x14ac:dyDescent="0.35"/>
    <row r="29282" hidden="1" x14ac:dyDescent="0.35"/>
    <row r="29283" hidden="1" x14ac:dyDescent="0.35"/>
    <row r="29284" hidden="1" x14ac:dyDescent="0.35"/>
    <row r="29285" hidden="1" x14ac:dyDescent="0.35"/>
    <row r="29286" hidden="1" x14ac:dyDescent="0.35"/>
    <row r="29287" hidden="1" x14ac:dyDescent="0.35"/>
    <row r="29288" hidden="1" x14ac:dyDescent="0.35"/>
    <row r="29289" hidden="1" x14ac:dyDescent="0.35"/>
    <row r="29290" hidden="1" x14ac:dyDescent="0.35"/>
    <row r="29291" hidden="1" x14ac:dyDescent="0.35"/>
    <row r="29292" hidden="1" x14ac:dyDescent="0.35"/>
    <row r="29293" hidden="1" x14ac:dyDescent="0.35"/>
    <row r="29294" hidden="1" x14ac:dyDescent="0.35"/>
    <row r="29295" hidden="1" x14ac:dyDescent="0.35"/>
    <row r="29296" hidden="1" x14ac:dyDescent="0.35"/>
    <row r="29297" hidden="1" x14ac:dyDescent="0.35"/>
    <row r="29298" hidden="1" x14ac:dyDescent="0.35"/>
    <row r="29299" hidden="1" x14ac:dyDescent="0.35"/>
    <row r="29300" hidden="1" x14ac:dyDescent="0.35"/>
    <row r="29301" hidden="1" x14ac:dyDescent="0.35"/>
    <row r="29302" hidden="1" x14ac:dyDescent="0.35"/>
    <row r="29303" hidden="1" x14ac:dyDescent="0.35"/>
    <row r="29304" hidden="1" x14ac:dyDescent="0.35"/>
    <row r="29305" hidden="1" x14ac:dyDescent="0.35"/>
    <row r="29306" hidden="1" x14ac:dyDescent="0.35"/>
    <row r="29307" hidden="1" x14ac:dyDescent="0.35"/>
    <row r="29308" hidden="1" x14ac:dyDescent="0.35"/>
    <row r="29309" hidden="1" x14ac:dyDescent="0.35"/>
    <row r="29310" hidden="1" x14ac:dyDescent="0.35"/>
    <row r="29311" hidden="1" x14ac:dyDescent="0.35"/>
    <row r="29312" hidden="1" x14ac:dyDescent="0.35"/>
    <row r="29313" hidden="1" x14ac:dyDescent="0.35"/>
    <row r="29314" hidden="1" x14ac:dyDescent="0.35"/>
    <row r="29315" hidden="1" x14ac:dyDescent="0.35"/>
    <row r="29316" hidden="1" x14ac:dyDescent="0.35"/>
    <row r="29317" hidden="1" x14ac:dyDescent="0.35"/>
    <row r="29318" hidden="1" x14ac:dyDescent="0.35"/>
    <row r="29319" hidden="1" x14ac:dyDescent="0.35"/>
    <row r="29320" hidden="1" x14ac:dyDescent="0.35"/>
    <row r="29321" hidden="1" x14ac:dyDescent="0.35"/>
    <row r="29322" hidden="1" x14ac:dyDescent="0.35"/>
    <row r="29323" hidden="1" x14ac:dyDescent="0.35"/>
    <row r="29324" hidden="1" x14ac:dyDescent="0.35"/>
    <row r="29325" hidden="1" x14ac:dyDescent="0.35"/>
    <row r="29326" hidden="1" x14ac:dyDescent="0.35"/>
    <row r="29327" hidden="1" x14ac:dyDescent="0.35"/>
    <row r="29328" hidden="1" x14ac:dyDescent="0.35"/>
    <row r="29329" hidden="1" x14ac:dyDescent="0.35"/>
    <row r="29330" hidden="1" x14ac:dyDescent="0.35"/>
    <row r="29331" hidden="1" x14ac:dyDescent="0.35"/>
    <row r="29332" hidden="1" x14ac:dyDescent="0.35"/>
    <row r="29333" hidden="1" x14ac:dyDescent="0.35"/>
    <row r="29334" hidden="1" x14ac:dyDescent="0.35"/>
    <row r="29335" hidden="1" x14ac:dyDescent="0.35"/>
    <row r="29336" hidden="1" x14ac:dyDescent="0.35"/>
    <row r="29337" hidden="1" x14ac:dyDescent="0.35"/>
    <row r="29338" hidden="1" x14ac:dyDescent="0.35"/>
    <row r="29339" hidden="1" x14ac:dyDescent="0.35"/>
    <row r="29340" hidden="1" x14ac:dyDescent="0.35"/>
    <row r="29341" hidden="1" x14ac:dyDescent="0.35"/>
    <row r="29342" hidden="1" x14ac:dyDescent="0.35"/>
    <row r="29343" hidden="1" x14ac:dyDescent="0.35"/>
    <row r="29344" hidden="1" x14ac:dyDescent="0.35"/>
    <row r="29345" hidden="1" x14ac:dyDescent="0.35"/>
    <row r="29346" hidden="1" x14ac:dyDescent="0.35"/>
    <row r="29347" hidden="1" x14ac:dyDescent="0.35"/>
    <row r="29348" hidden="1" x14ac:dyDescent="0.35"/>
    <row r="29349" hidden="1" x14ac:dyDescent="0.35"/>
    <row r="29350" hidden="1" x14ac:dyDescent="0.35"/>
    <row r="29351" hidden="1" x14ac:dyDescent="0.35"/>
    <row r="29352" hidden="1" x14ac:dyDescent="0.35"/>
    <row r="29353" hidden="1" x14ac:dyDescent="0.35"/>
    <row r="29354" hidden="1" x14ac:dyDescent="0.35"/>
    <row r="29355" hidden="1" x14ac:dyDescent="0.35"/>
    <row r="29356" hidden="1" x14ac:dyDescent="0.35"/>
    <row r="29357" hidden="1" x14ac:dyDescent="0.35"/>
    <row r="29358" hidden="1" x14ac:dyDescent="0.35"/>
    <row r="29359" hidden="1" x14ac:dyDescent="0.35"/>
    <row r="29360" hidden="1" x14ac:dyDescent="0.35"/>
    <row r="29361" hidden="1" x14ac:dyDescent="0.35"/>
    <row r="29362" hidden="1" x14ac:dyDescent="0.35"/>
    <row r="29363" hidden="1" x14ac:dyDescent="0.35"/>
    <row r="29364" hidden="1" x14ac:dyDescent="0.35"/>
    <row r="29365" hidden="1" x14ac:dyDescent="0.35"/>
    <row r="29366" hidden="1" x14ac:dyDescent="0.35"/>
    <row r="29367" hidden="1" x14ac:dyDescent="0.35"/>
    <row r="29368" hidden="1" x14ac:dyDescent="0.35"/>
    <row r="29369" hidden="1" x14ac:dyDescent="0.35"/>
    <row r="29370" hidden="1" x14ac:dyDescent="0.35"/>
    <row r="29371" hidden="1" x14ac:dyDescent="0.35"/>
    <row r="29372" hidden="1" x14ac:dyDescent="0.35"/>
    <row r="29373" hidden="1" x14ac:dyDescent="0.35"/>
    <row r="29374" hidden="1" x14ac:dyDescent="0.35"/>
    <row r="29375" hidden="1" x14ac:dyDescent="0.35"/>
    <row r="29376" hidden="1" x14ac:dyDescent="0.35"/>
    <row r="29377" hidden="1" x14ac:dyDescent="0.35"/>
    <row r="29378" hidden="1" x14ac:dyDescent="0.35"/>
    <row r="29379" hidden="1" x14ac:dyDescent="0.35"/>
    <row r="29380" hidden="1" x14ac:dyDescent="0.35"/>
    <row r="29381" hidden="1" x14ac:dyDescent="0.35"/>
    <row r="29382" hidden="1" x14ac:dyDescent="0.35"/>
    <row r="29383" hidden="1" x14ac:dyDescent="0.35"/>
    <row r="29384" hidden="1" x14ac:dyDescent="0.35"/>
    <row r="29385" hidden="1" x14ac:dyDescent="0.35"/>
    <row r="29386" hidden="1" x14ac:dyDescent="0.35"/>
    <row r="29387" hidden="1" x14ac:dyDescent="0.35"/>
    <row r="29388" hidden="1" x14ac:dyDescent="0.35"/>
    <row r="29389" hidden="1" x14ac:dyDescent="0.35"/>
    <row r="29390" hidden="1" x14ac:dyDescent="0.35"/>
    <row r="29391" hidden="1" x14ac:dyDescent="0.35"/>
    <row r="29392" hidden="1" x14ac:dyDescent="0.35"/>
    <row r="29393" hidden="1" x14ac:dyDescent="0.35"/>
    <row r="29394" hidden="1" x14ac:dyDescent="0.35"/>
    <row r="29395" hidden="1" x14ac:dyDescent="0.35"/>
    <row r="29396" hidden="1" x14ac:dyDescent="0.35"/>
    <row r="29397" hidden="1" x14ac:dyDescent="0.35"/>
    <row r="29398" hidden="1" x14ac:dyDescent="0.35"/>
    <row r="29399" hidden="1" x14ac:dyDescent="0.35"/>
    <row r="29400" hidden="1" x14ac:dyDescent="0.35"/>
    <row r="29401" hidden="1" x14ac:dyDescent="0.35"/>
    <row r="29402" hidden="1" x14ac:dyDescent="0.35"/>
    <row r="29403" hidden="1" x14ac:dyDescent="0.35"/>
    <row r="29404" hidden="1" x14ac:dyDescent="0.35"/>
    <row r="29405" hidden="1" x14ac:dyDescent="0.35"/>
    <row r="29406" hidden="1" x14ac:dyDescent="0.35"/>
    <row r="29407" hidden="1" x14ac:dyDescent="0.35"/>
    <row r="29408" hidden="1" x14ac:dyDescent="0.35"/>
    <row r="29409" hidden="1" x14ac:dyDescent="0.35"/>
    <row r="29410" hidden="1" x14ac:dyDescent="0.35"/>
    <row r="29411" hidden="1" x14ac:dyDescent="0.35"/>
    <row r="29412" hidden="1" x14ac:dyDescent="0.35"/>
    <row r="29413" hidden="1" x14ac:dyDescent="0.35"/>
    <row r="29414" hidden="1" x14ac:dyDescent="0.35"/>
    <row r="29415" hidden="1" x14ac:dyDescent="0.35"/>
    <row r="29416" hidden="1" x14ac:dyDescent="0.35"/>
    <row r="29417" hidden="1" x14ac:dyDescent="0.35"/>
    <row r="29418" hidden="1" x14ac:dyDescent="0.35"/>
    <row r="29419" hidden="1" x14ac:dyDescent="0.35"/>
    <row r="29420" hidden="1" x14ac:dyDescent="0.35"/>
    <row r="29421" hidden="1" x14ac:dyDescent="0.35"/>
    <row r="29422" hidden="1" x14ac:dyDescent="0.35"/>
    <row r="29423" hidden="1" x14ac:dyDescent="0.35"/>
    <row r="29424" hidden="1" x14ac:dyDescent="0.35"/>
    <row r="29425" hidden="1" x14ac:dyDescent="0.35"/>
    <row r="29426" hidden="1" x14ac:dyDescent="0.35"/>
    <row r="29427" hidden="1" x14ac:dyDescent="0.35"/>
    <row r="29428" hidden="1" x14ac:dyDescent="0.35"/>
    <row r="29429" hidden="1" x14ac:dyDescent="0.35"/>
    <row r="29430" hidden="1" x14ac:dyDescent="0.35"/>
    <row r="29431" hidden="1" x14ac:dyDescent="0.35"/>
    <row r="29432" hidden="1" x14ac:dyDescent="0.35"/>
    <row r="29433" hidden="1" x14ac:dyDescent="0.35"/>
    <row r="29434" hidden="1" x14ac:dyDescent="0.35"/>
    <row r="29435" hidden="1" x14ac:dyDescent="0.35"/>
    <row r="29436" hidden="1" x14ac:dyDescent="0.35"/>
    <row r="29437" hidden="1" x14ac:dyDescent="0.35"/>
    <row r="29438" hidden="1" x14ac:dyDescent="0.35"/>
    <row r="29439" hidden="1" x14ac:dyDescent="0.35"/>
    <row r="29440" hidden="1" x14ac:dyDescent="0.35"/>
    <row r="29441" hidden="1" x14ac:dyDescent="0.35"/>
    <row r="29442" hidden="1" x14ac:dyDescent="0.35"/>
    <row r="29443" hidden="1" x14ac:dyDescent="0.35"/>
    <row r="29444" hidden="1" x14ac:dyDescent="0.35"/>
    <row r="29445" hidden="1" x14ac:dyDescent="0.35"/>
    <row r="29446" hidden="1" x14ac:dyDescent="0.35"/>
    <row r="29447" hidden="1" x14ac:dyDescent="0.35"/>
    <row r="29448" hidden="1" x14ac:dyDescent="0.35"/>
    <row r="29449" hidden="1" x14ac:dyDescent="0.35"/>
    <row r="29450" hidden="1" x14ac:dyDescent="0.35"/>
    <row r="29451" hidden="1" x14ac:dyDescent="0.35"/>
    <row r="29452" hidden="1" x14ac:dyDescent="0.35"/>
    <row r="29453" hidden="1" x14ac:dyDescent="0.35"/>
    <row r="29454" hidden="1" x14ac:dyDescent="0.35"/>
    <row r="29455" hidden="1" x14ac:dyDescent="0.35"/>
    <row r="29456" hidden="1" x14ac:dyDescent="0.35"/>
    <row r="29457" hidden="1" x14ac:dyDescent="0.35"/>
    <row r="29458" hidden="1" x14ac:dyDescent="0.35"/>
    <row r="29459" hidden="1" x14ac:dyDescent="0.35"/>
    <row r="29460" hidden="1" x14ac:dyDescent="0.35"/>
    <row r="29461" hidden="1" x14ac:dyDescent="0.35"/>
    <row r="29462" hidden="1" x14ac:dyDescent="0.35"/>
    <row r="29463" hidden="1" x14ac:dyDescent="0.35"/>
    <row r="29464" hidden="1" x14ac:dyDescent="0.35"/>
    <row r="29465" hidden="1" x14ac:dyDescent="0.35"/>
    <row r="29466" hidden="1" x14ac:dyDescent="0.35"/>
    <row r="29467" hidden="1" x14ac:dyDescent="0.35"/>
    <row r="29468" hidden="1" x14ac:dyDescent="0.35"/>
    <row r="29469" hidden="1" x14ac:dyDescent="0.35"/>
    <row r="29470" hidden="1" x14ac:dyDescent="0.35"/>
    <row r="29471" hidden="1" x14ac:dyDescent="0.35"/>
    <row r="29472" hidden="1" x14ac:dyDescent="0.35"/>
    <row r="29473" hidden="1" x14ac:dyDescent="0.35"/>
    <row r="29474" hidden="1" x14ac:dyDescent="0.35"/>
    <row r="29475" hidden="1" x14ac:dyDescent="0.35"/>
    <row r="29476" hidden="1" x14ac:dyDescent="0.35"/>
    <row r="29477" hidden="1" x14ac:dyDescent="0.35"/>
    <row r="29478" hidden="1" x14ac:dyDescent="0.35"/>
    <row r="29479" hidden="1" x14ac:dyDescent="0.35"/>
    <row r="29480" hidden="1" x14ac:dyDescent="0.35"/>
    <row r="29481" hidden="1" x14ac:dyDescent="0.35"/>
    <row r="29482" hidden="1" x14ac:dyDescent="0.35"/>
    <row r="29483" hidden="1" x14ac:dyDescent="0.35"/>
    <row r="29484" hidden="1" x14ac:dyDescent="0.35"/>
    <row r="29485" hidden="1" x14ac:dyDescent="0.35"/>
    <row r="29486" hidden="1" x14ac:dyDescent="0.35"/>
    <row r="29487" hidden="1" x14ac:dyDescent="0.35"/>
    <row r="29488" hidden="1" x14ac:dyDescent="0.35"/>
    <row r="29489" hidden="1" x14ac:dyDescent="0.35"/>
    <row r="29490" hidden="1" x14ac:dyDescent="0.35"/>
    <row r="29491" hidden="1" x14ac:dyDescent="0.35"/>
    <row r="29492" hidden="1" x14ac:dyDescent="0.35"/>
    <row r="29493" hidden="1" x14ac:dyDescent="0.35"/>
    <row r="29494" hidden="1" x14ac:dyDescent="0.35"/>
    <row r="29495" hidden="1" x14ac:dyDescent="0.35"/>
    <row r="29496" hidden="1" x14ac:dyDescent="0.35"/>
    <row r="29497" hidden="1" x14ac:dyDescent="0.35"/>
    <row r="29498" hidden="1" x14ac:dyDescent="0.35"/>
    <row r="29499" hidden="1" x14ac:dyDescent="0.35"/>
    <row r="29500" hidden="1" x14ac:dyDescent="0.35"/>
    <row r="29501" hidden="1" x14ac:dyDescent="0.35"/>
    <row r="29502" hidden="1" x14ac:dyDescent="0.35"/>
    <row r="29503" hidden="1" x14ac:dyDescent="0.35"/>
    <row r="29504" hidden="1" x14ac:dyDescent="0.35"/>
    <row r="29505" hidden="1" x14ac:dyDescent="0.35"/>
    <row r="29506" hidden="1" x14ac:dyDescent="0.35"/>
    <row r="29507" hidden="1" x14ac:dyDescent="0.35"/>
    <row r="29508" hidden="1" x14ac:dyDescent="0.35"/>
    <row r="29509" hidden="1" x14ac:dyDescent="0.35"/>
    <row r="29510" hidden="1" x14ac:dyDescent="0.35"/>
    <row r="29511" hidden="1" x14ac:dyDescent="0.35"/>
    <row r="29512" hidden="1" x14ac:dyDescent="0.35"/>
    <row r="29513" hidden="1" x14ac:dyDescent="0.35"/>
    <row r="29514" hidden="1" x14ac:dyDescent="0.35"/>
    <row r="29515" hidden="1" x14ac:dyDescent="0.35"/>
    <row r="29516" hidden="1" x14ac:dyDescent="0.35"/>
    <row r="29517" hidden="1" x14ac:dyDescent="0.35"/>
    <row r="29518" hidden="1" x14ac:dyDescent="0.35"/>
    <row r="29519" hidden="1" x14ac:dyDescent="0.35"/>
    <row r="29520" hidden="1" x14ac:dyDescent="0.35"/>
    <row r="29521" hidden="1" x14ac:dyDescent="0.35"/>
    <row r="29522" hidden="1" x14ac:dyDescent="0.35"/>
    <row r="29523" hidden="1" x14ac:dyDescent="0.35"/>
    <row r="29524" hidden="1" x14ac:dyDescent="0.35"/>
    <row r="29525" hidden="1" x14ac:dyDescent="0.35"/>
    <row r="29526" hidden="1" x14ac:dyDescent="0.35"/>
    <row r="29527" hidden="1" x14ac:dyDescent="0.35"/>
    <row r="29528" hidden="1" x14ac:dyDescent="0.35"/>
    <row r="29529" hidden="1" x14ac:dyDescent="0.35"/>
    <row r="29530" hidden="1" x14ac:dyDescent="0.35"/>
    <row r="29531" hidden="1" x14ac:dyDescent="0.35"/>
    <row r="29532" hidden="1" x14ac:dyDescent="0.35"/>
    <row r="29533" hidden="1" x14ac:dyDescent="0.35"/>
    <row r="29534" hidden="1" x14ac:dyDescent="0.35"/>
    <row r="29535" hidden="1" x14ac:dyDescent="0.35"/>
    <row r="29536" hidden="1" x14ac:dyDescent="0.35"/>
    <row r="29537" hidden="1" x14ac:dyDescent="0.35"/>
    <row r="29538" hidden="1" x14ac:dyDescent="0.35"/>
    <row r="29539" hidden="1" x14ac:dyDescent="0.35"/>
    <row r="29540" hidden="1" x14ac:dyDescent="0.35"/>
    <row r="29541" hidden="1" x14ac:dyDescent="0.35"/>
    <row r="29542" hidden="1" x14ac:dyDescent="0.35"/>
    <row r="29543" hidden="1" x14ac:dyDescent="0.35"/>
    <row r="29544" hidden="1" x14ac:dyDescent="0.35"/>
    <row r="29545" hidden="1" x14ac:dyDescent="0.35"/>
    <row r="29546" hidden="1" x14ac:dyDescent="0.35"/>
    <row r="29547" hidden="1" x14ac:dyDescent="0.35"/>
    <row r="29548" hidden="1" x14ac:dyDescent="0.35"/>
    <row r="29549" hidden="1" x14ac:dyDescent="0.35"/>
    <row r="29550" hidden="1" x14ac:dyDescent="0.35"/>
    <row r="29551" hidden="1" x14ac:dyDescent="0.35"/>
    <row r="29552" hidden="1" x14ac:dyDescent="0.35"/>
    <row r="29553" hidden="1" x14ac:dyDescent="0.35"/>
    <row r="29554" hidden="1" x14ac:dyDescent="0.35"/>
    <row r="29555" hidden="1" x14ac:dyDescent="0.35"/>
    <row r="29556" hidden="1" x14ac:dyDescent="0.35"/>
    <row r="29557" hidden="1" x14ac:dyDescent="0.35"/>
    <row r="29558" hidden="1" x14ac:dyDescent="0.35"/>
    <row r="29559" hidden="1" x14ac:dyDescent="0.35"/>
    <row r="29560" hidden="1" x14ac:dyDescent="0.35"/>
    <row r="29561" hidden="1" x14ac:dyDescent="0.35"/>
    <row r="29562" hidden="1" x14ac:dyDescent="0.35"/>
    <row r="29563" hidden="1" x14ac:dyDescent="0.35"/>
    <row r="29564" hidden="1" x14ac:dyDescent="0.35"/>
    <row r="29565" hidden="1" x14ac:dyDescent="0.35"/>
    <row r="29566" hidden="1" x14ac:dyDescent="0.35"/>
    <row r="29567" hidden="1" x14ac:dyDescent="0.35"/>
    <row r="29568" hidden="1" x14ac:dyDescent="0.35"/>
    <row r="29569" hidden="1" x14ac:dyDescent="0.35"/>
    <row r="29570" hidden="1" x14ac:dyDescent="0.35"/>
    <row r="29571" hidden="1" x14ac:dyDescent="0.35"/>
    <row r="29572" hidden="1" x14ac:dyDescent="0.35"/>
    <row r="29573" hidden="1" x14ac:dyDescent="0.35"/>
    <row r="29574" hidden="1" x14ac:dyDescent="0.35"/>
    <row r="29575" hidden="1" x14ac:dyDescent="0.35"/>
    <row r="29576" hidden="1" x14ac:dyDescent="0.35"/>
    <row r="29577" hidden="1" x14ac:dyDescent="0.35"/>
    <row r="29578" hidden="1" x14ac:dyDescent="0.35"/>
    <row r="29579" hidden="1" x14ac:dyDescent="0.35"/>
    <row r="29580" hidden="1" x14ac:dyDescent="0.35"/>
    <row r="29581" hidden="1" x14ac:dyDescent="0.35"/>
    <row r="29582" hidden="1" x14ac:dyDescent="0.35"/>
    <row r="29583" hidden="1" x14ac:dyDescent="0.35"/>
    <row r="29584" hidden="1" x14ac:dyDescent="0.35"/>
    <row r="29585" hidden="1" x14ac:dyDescent="0.35"/>
    <row r="29586" hidden="1" x14ac:dyDescent="0.35"/>
    <row r="29587" hidden="1" x14ac:dyDescent="0.35"/>
    <row r="29588" hidden="1" x14ac:dyDescent="0.35"/>
    <row r="29589" hidden="1" x14ac:dyDescent="0.35"/>
    <row r="29590" hidden="1" x14ac:dyDescent="0.35"/>
    <row r="29591" hidden="1" x14ac:dyDescent="0.35"/>
    <row r="29592" hidden="1" x14ac:dyDescent="0.35"/>
    <row r="29593" hidden="1" x14ac:dyDescent="0.35"/>
    <row r="29594" hidden="1" x14ac:dyDescent="0.35"/>
    <row r="29595" hidden="1" x14ac:dyDescent="0.35"/>
    <row r="29596" hidden="1" x14ac:dyDescent="0.35"/>
    <row r="29597" hidden="1" x14ac:dyDescent="0.35"/>
    <row r="29598" hidden="1" x14ac:dyDescent="0.35"/>
    <row r="29599" hidden="1" x14ac:dyDescent="0.35"/>
    <row r="29600" hidden="1" x14ac:dyDescent="0.35"/>
    <row r="29601" hidden="1" x14ac:dyDescent="0.35"/>
    <row r="29602" hidden="1" x14ac:dyDescent="0.35"/>
    <row r="29603" hidden="1" x14ac:dyDescent="0.35"/>
    <row r="29604" hidden="1" x14ac:dyDescent="0.35"/>
    <row r="29605" hidden="1" x14ac:dyDescent="0.35"/>
    <row r="29606" hidden="1" x14ac:dyDescent="0.35"/>
    <row r="29607" hidden="1" x14ac:dyDescent="0.35"/>
    <row r="29608" hidden="1" x14ac:dyDescent="0.35"/>
    <row r="29609" hidden="1" x14ac:dyDescent="0.35"/>
    <row r="29610" hidden="1" x14ac:dyDescent="0.35"/>
    <row r="29611" hidden="1" x14ac:dyDescent="0.35"/>
    <row r="29612" hidden="1" x14ac:dyDescent="0.35"/>
    <row r="29613" hidden="1" x14ac:dyDescent="0.35"/>
    <row r="29614" hidden="1" x14ac:dyDescent="0.35"/>
    <row r="29615" hidden="1" x14ac:dyDescent="0.35"/>
    <row r="29616" hidden="1" x14ac:dyDescent="0.35"/>
    <row r="29617" hidden="1" x14ac:dyDescent="0.35"/>
    <row r="29618" hidden="1" x14ac:dyDescent="0.35"/>
    <row r="29619" hidden="1" x14ac:dyDescent="0.35"/>
    <row r="29620" hidden="1" x14ac:dyDescent="0.35"/>
    <row r="29621" hidden="1" x14ac:dyDescent="0.35"/>
    <row r="29622" hidden="1" x14ac:dyDescent="0.35"/>
    <row r="29623" hidden="1" x14ac:dyDescent="0.35"/>
    <row r="29624" hidden="1" x14ac:dyDescent="0.35"/>
    <row r="29625" hidden="1" x14ac:dyDescent="0.35"/>
    <row r="29626" hidden="1" x14ac:dyDescent="0.35"/>
    <row r="29627" hidden="1" x14ac:dyDescent="0.35"/>
    <row r="29628" hidden="1" x14ac:dyDescent="0.35"/>
    <row r="29629" hidden="1" x14ac:dyDescent="0.35"/>
    <row r="29630" hidden="1" x14ac:dyDescent="0.35"/>
    <row r="29631" hidden="1" x14ac:dyDescent="0.35"/>
    <row r="29632" hidden="1" x14ac:dyDescent="0.35"/>
    <row r="29633" hidden="1" x14ac:dyDescent="0.35"/>
    <row r="29634" hidden="1" x14ac:dyDescent="0.35"/>
    <row r="29635" hidden="1" x14ac:dyDescent="0.35"/>
    <row r="29636" hidden="1" x14ac:dyDescent="0.35"/>
    <row r="29637" hidden="1" x14ac:dyDescent="0.35"/>
    <row r="29638" hidden="1" x14ac:dyDescent="0.35"/>
    <row r="29639" hidden="1" x14ac:dyDescent="0.35"/>
    <row r="29640" hidden="1" x14ac:dyDescent="0.35"/>
    <row r="29641" hidden="1" x14ac:dyDescent="0.35"/>
    <row r="29642" hidden="1" x14ac:dyDescent="0.35"/>
    <row r="29643" hidden="1" x14ac:dyDescent="0.35"/>
    <row r="29644" hidden="1" x14ac:dyDescent="0.35"/>
    <row r="29645" hidden="1" x14ac:dyDescent="0.35"/>
    <row r="29646" hidden="1" x14ac:dyDescent="0.35"/>
    <row r="29647" hidden="1" x14ac:dyDescent="0.35"/>
    <row r="29648" hidden="1" x14ac:dyDescent="0.35"/>
    <row r="29649" hidden="1" x14ac:dyDescent="0.35"/>
    <row r="29650" hidden="1" x14ac:dyDescent="0.35"/>
    <row r="29651" hidden="1" x14ac:dyDescent="0.35"/>
    <row r="29652" hidden="1" x14ac:dyDescent="0.35"/>
    <row r="29653" hidden="1" x14ac:dyDescent="0.35"/>
    <row r="29654" hidden="1" x14ac:dyDescent="0.35"/>
    <row r="29655" hidden="1" x14ac:dyDescent="0.35"/>
    <row r="29656" hidden="1" x14ac:dyDescent="0.35"/>
    <row r="29657" hidden="1" x14ac:dyDescent="0.35"/>
    <row r="29658" hidden="1" x14ac:dyDescent="0.35"/>
    <row r="29659" hidden="1" x14ac:dyDescent="0.35"/>
    <row r="29660" hidden="1" x14ac:dyDescent="0.35"/>
    <row r="29661" hidden="1" x14ac:dyDescent="0.35"/>
    <row r="29662" hidden="1" x14ac:dyDescent="0.35"/>
    <row r="29663" hidden="1" x14ac:dyDescent="0.35"/>
    <row r="29664" hidden="1" x14ac:dyDescent="0.35"/>
    <row r="29665" hidden="1" x14ac:dyDescent="0.35"/>
    <row r="29666" hidden="1" x14ac:dyDescent="0.35"/>
    <row r="29667" hidden="1" x14ac:dyDescent="0.35"/>
    <row r="29668" hidden="1" x14ac:dyDescent="0.35"/>
    <row r="29669" hidden="1" x14ac:dyDescent="0.35"/>
    <row r="29670" hidden="1" x14ac:dyDescent="0.35"/>
    <row r="29671" hidden="1" x14ac:dyDescent="0.35"/>
    <row r="29672" hidden="1" x14ac:dyDescent="0.35"/>
    <row r="29673" hidden="1" x14ac:dyDescent="0.35"/>
    <row r="29674" hidden="1" x14ac:dyDescent="0.35"/>
    <row r="29675" hidden="1" x14ac:dyDescent="0.35"/>
    <row r="29676" hidden="1" x14ac:dyDescent="0.35"/>
    <row r="29677" hidden="1" x14ac:dyDescent="0.35"/>
    <row r="29678" hidden="1" x14ac:dyDescent="0.35"/>
    <row r="29679" hidden="1" x14ac:dyDescent="0.35"/>
    <row r="29680" hidden="1" x14ac:dyDescent="0.35"/>
    <row r="29681" hidden="1" x14ac:dyDescent="0.35"/>
    <row r="29682" hidden="1" x14ac:dyDescent="0.35"/>
    <row r="29683" hidden="1" x14ac:dyDescent="0.35"/>
    <row r="29684" hidden="1" x14ac:dyDescent="0.35"/>
    <row r="29685" hidden="1" x14ac:dyDescent="0.35"/>
    <row r="29686" hidden="1" x14ac:dyDescent="0.35"/>
    <row r="29687" hidden="1" x14ac:dyDescent="0.35"/>
    <row r="29688" hidden="1" x14ac:dyDescent="0.35"/>
    <row r="29689" hidden="1" x14ac:dyDescent="0.35"/>
    <row r="29690" hidden="1" x14ac:dyDescent="0.35"/>
    <row r="29691" hidden="1" x14ac:dyDescent="0.35"/>
    <row r="29692" hidden="1" x14ac:dyDescent="0.35"/>
    <row r="29693" hidden="1" x14ac:dyDescent="0.35"/>
    <row r="29694" hidden="1" x14ac:dyDescent="0.35"/>
    <row r="29695" hidden="1" x14ac:dyDescent="0.35"/>
    <row r="29696" hidden="1" x14ac:dyDescent="0.35"/>
    <row r="29697" hidden="1" x14ac:dyDescent="0.35"/>
    <row r="29698" hidden="1" x14ac:dyDescent="0.35"/>
    <row r="29699" hidden="1" x14ac:dyDescent="0.35"/>
    <row r="29700" hidden="1" x14ac:dyDescent="0.35"/>
    <row r="29701" hidden="1" x14ac:dyDescent="0.35"/>
    <row r="29702" hidden="1" x14ac:dyDescent="0.35"/>
    <row r="29703" hidden="1" x14ac:dyDescent="0.35"/>
    <row r="29704" hidden="1" x14ac:dyDescent="0.35"/>
    <row r="29705" hidden="1" x14ac:dyDescent="0.35"/>
    <row r="29706" hidden="1" x14ac:dyDescent="0.35"/>
    <row r="29707" hidden="1" x14ac:dyDescent="0.35"/>
    <row r="29708" hidden="1" x14ac:dyDescent="0.35"/>
    <row r="29709" hidden="1" x14ac:dyDescent="0.35"/>
    <row r="29710" hidden="1" x14ac:dyDescent="0.35"/>
    <row r="29711" hidden="1" x14ac:dyDescent="0.35"/>
    <row r="29712" hidden="1" x14ac:dyDescent="0.35"/>
    <row r="29713" hidden="1" x14ac:dyDescent="0.35"/>
    <row r="29714" hidden="1" x14ac:dyDescent="0.35"/>
    <row r="29715" hidden="1" x14ac:dyDescent="0.35"/>
    <row r="29716" hidden="1" x14ac:dyDescent="0.35"/>
    <row r="29717" hidden="1" x14ac:dyDescent="0.35"/>
    <row r="29718" hidden="1" x14ac:dyDescent="0.35"/>
    <row r="29719" hidden="1" x14ac:dyDescent="0.35"/>
    <row r="29720" hidden="1" x14ac:dyDescent="0.35"/>
    <row r="29721" hidden="1" x14ac:dyDescent="0.35"/>
    <row r="29722" hidden="1" x14ac:dyDescent="0.35"/>
    <row r="29723" hidden="1" x14ac:dyDescent="0.35"/>
    <row r="29724" hidden="1" x14ac:dyDescent="0.35"/>
    <row r="29725" hidden="1" x14ac:dyDescent="0.35"/>
    <row r="29726" hidden="1" x14ac:dyDescent="0.35"/>
    <row r="29727" hidden="1" x14ac:dyDescent="0.35"/>
    <row r="29728" hidden="1" x14ac:dyDescent="0.35"/>
    <row r="29729" hidden="1" x14ac:dyDescent="0.35"/>
    <row r="29730" hidden="1" x14ac:dyDescent="0.35"/>
    <row r="29731" hidden="1" x14ac:dyDescent="0.35"/>
    <row r="29732" hidden="1" x14ac:dyDescent="0.35"/>
    <row r="29733" hidden="1" x14ac:dyDescent="0.35"/>
    <row r="29734" hidden="1" x14ac:dyDescent="0.35"/>
    <row r="29735" hidden="1" x14ac:dyDescent="0.35"/>
    <row r="29736" hidden="1" x14ac:dyDescent="0.35"/>
    <row r="29737" hidden="1" x14ac:dyDescent="0.35"/>
    <row r="29738" hidden="1" x14ac:dyDescent="0.35"/>
    <row r="29739" hidden="1" x14ac:dyDescent="0.35"/>
    <row r="29740" hidden="1" x14ac:dyDescent="0.35"/>
    <row r="29741" hidden="1" x14ac:dyDescent="0.35"/>
    <row r="29742" hidden="1" x14ac:dyDescent="0.35"/>
    <row r="29743" hidden="1" x14ac:dyDescent="0.35"/>
    <row r="29744" hidden="1" x14ac:dyDescent="0.35"/>
    <row r="29745" hidden="1" x14ac:dyDescent="0.35"/>
    <row r="29746" hidden="1" x14ac:dyDescent="0.35"/>
    <row r="29747" hidden="1" x14ac:dyDescent="0.35"/>
    <row r="29748" hidden="1" x14ac:dyDescent="0.35"/>
    <row r="29749" hidden="1" x14ac:dyDescent="0.35"/>
    <row r="29750" hidden="1" x14ac:dyDescent="0.35"/>
    <row r="29751" hidden="1" x14ac:dyDescent="0.35"/>
    <row r="29752" hidden="1" x14ac:dyDescent="0.35"/>
    <row r="29753" hidden="1" x14ac:dyDescent="0.35"/>
    <row r="29754" hidden="1" x14ac:dyDescent="0.35"/>
    <row r="29755" hidden="1" x14ac:dyDescent="0.35"/>
    <row r="29756" hidden="1" x14ac:dyDescent="0.35"/>
    <row r="29757" hidden="1" x14ac:dyDescent="0.35"/>
    <row r="29758" hidden="1" x14ac:dyDescent="0.35"/>
    <row r="29759" hidden="1" x14ac:dyDescent="0.35"/>
    <row r="29760" hidden="1" x14ac:dyDescent="0.35"/>
    <row r="29761" hidden="1" x14ac:dyDescent="0.35"/>
    <row r="29762" hidden="1" x14ac:dyDescent="0.35"/>
    <row r="29763" hidden="1" x14ac:dyDescent="0.35"/>
    <row r="29764" hidden="1" x14ac:dyDescent="0.35"/>
    <row r="29765" hidden="1" x14ac:dyDescent="0.35"/>
    <row r="29766" hidden="1" x14ac:dyDescent="0.35"/>
    <row r="29767" hidden="1" x14ac:dyDescent="0.35"/>
    <row r="29768" hidden="1" x14ac:dyDescent="0.35"/>
    <row r="29769" hidden="1" x14ac:dyDescent="0.35"/>
    <row r="29770" hidden="1" x14ac:dyDescent="0.35"/>
    <row r="29771" hidden="1" x14ac:dyDescent="0.35"/>
    <row r="29772" hidden="1" x14ac:dyDescent="0.35"/>
    <row r="29773" hidden="1" x14ac:dyDescent="0.35"/>
    <row r="29774" hidden="1" x14ac:dyDescent="0.35"/>
    <row r="29775" hidden="1" x14ac:dyDescent="0.35"/>
    <row r="29776" hidden="1" x14ac:dyDescent="0.35"/>
    <row r="29777" hidden="1" x14ac:dyDescent="0.35"/>
    <row r="29778" hidden="1" x14ac:dyDescent="0.35"/>
    <row r="29779" hidden="1" x14ac:dyDescent="0.35"/>
    <row r="29780" hidden="1" x14ac:dyDescent="0.35"/>
    <row r="29781" hidden="1" x14ac:dyDescent="0.35"/>
    <row r="29782" hidden="1" x14ac:dyDescent="0.35"/>
    <row r="29783" hidden="1" x14ac:dyDescent="0.35"/>
    <row r="29784" hidden="1" x14ac:dyDescent="0.35"/>
    <row r="29785" hidden="1" x14ac:dyDescent="0.35"/>
    <row r="29786" hidden="1" x14ac:dyDescent="0.35"/>
    <row r="29787" hidden="1" x14ac:dyDescent="0.35"/>
    <row r="29788" hidden="1" x14ac:dyDescent="0.35"/>
    <row r="29789" hidden="1" x14ac:dyDescent="0.35"/>
    <row r="29790" hidden="1" x14ac:dyDescent="0.35"/>
    <row r="29791" hidden="1" x14ac:dyDescent="0.35"/>
    <row r="29792" hidden="1" x14ac:dyDescent="0.35"/>
    <row r="29793" hidden="1" x14ac:dyDescent="0.35"/>
    <row r="29794" hidden="1" x14ac:dyDescent="0.35"/>
    <row r="29795" hidden="1" x14ac:dyDescent="0.35"/>
    <row r="29796" hidden="1" x14ac:dyDescent="0.35"/>
    <row r="29797" hidden="1" x14ac:dyDescent="0.35"/>
    <row r="29798" hidden="1" x14ac:dyDescent="0.35"/>
    <row r="29799" hidden="1" x14ac:dyDescent="0.35"/>
    <row r="29800" hidden="1" x14ac:dyDescent="0.35"/>
    <row r="29801" hidden="1" x14ac:dyDescent="0.35"/>
    <row r="29802" hidden="1" x14ac:dyDescent="0.35"/>
    <row r="29803" hidden="1" x14ac:dyDescent="0.35"/>
    <row r="29804" hidden="1" x14ac:dyDescent="0.35"/>
    <row r="29805" hidden="1" x14ac:dyDescent="0.35"/>
    <row r="29806" hidden="1" x14ac:dyDescent="0.35"/>
    <row r="29807" hidden="1" x14ac:dyDescent="0.35"/>
    <row r="29808" hidden="1" x14ac:dyDescent="0.35"/>
    <row r="29809" hidden="1" x14ac:dyDescent="0.35"/>
    <row r="29810" hidden="1" x14ac:dyDescent="0.35"/>
    <row r="29811" hidden="1" x14ac:dyDescent="0.35"/>
    <row r="29812" hidden="1" x14ac:dyDescent="0.35"/>
    <row r="29813" hidden="1" x14ac:dyDescent="0.35"/>
    <row r="29814" hidden="1" x14ac:dyDescent="0.35"/>
    <row r="29815" hidden="1" x14ac:dyDescent="0.35"/>
    <row r="29816" hidden="1" x14ac:dyDescent="0.35"/>
    <row r="29817" hidden="1" x14ac:dyDescent="0.35"/>
    <row r="29818" hidden="1" x14ac:dyDescent="0.35"/>
    <row r="29819" hidden="1" x14ac:dyDescent="0.35"/>
    <row r="29820" hidden="1" x14ac:dyDescent="0.35"/>
    <row r="29821" hidden="1" x14ac:dyDescent="0.35"/>
    <row r="29822" hidden="1" x14ac:dyDescent="0.35"/>
    <row r="29823" hidden="1" x14ac:dyDescent="0.35"/>
    <row r="29824" hidden="1" x14ac:dyDescent="0.35"/>
    <row r="29825" hidden="1" x14ac:dyDescent="0.35"/>
    <row r="29826" hidden="1" x14ac:dyDescent="0.35"/>
    <row r="29827" hidden="1" x14ac:dyDescent="0.35"/>
    <row r="29828" hidden="1" x14ac:dyDescent="0.35"/>
    <row r="29829" hidden="1" x14ac:dyDescent="0.35"/>
    <row r="29830" hidden="1" x14ac:dyDescent="0.35"/>
    <row r="29831" hidden="1" x14ac:dyDescent="0.35"/>
    <row r="29832" hidden="1" x14ac:dyDescent="0.35"/>
    <row r="29833" hidden="1" x14ac:dyDescent="0.35"/>
    <row r="29834" hidden="1" x14ac:dyDescent="0.35"/>
    <row r="29835" hidden="1" x14ac:dyDescent="0.35"/>
    <row r="29836" hidden="1" x14ac:dyDescent="0.35"/>
    <row r="29837" hidden="1" x14ac:dyDescent="0.35"/>
    <row r="29838" hidden="1" x14ac:dyDescent="0.35"/>
    <row r="29839" hidden="1" x14ac:dyDescent="0.35"/>
    <row r="29840" hidden="1" x14ac:dyDescent="0.35"/>
    <row r="29841" hidden="1" x14ac:dyDescent="0.35"/>
    <row r="29842" hidden="1" x14ac:dyDescent="0.35"/>
    <row r="29843" hidden="1" x14ac:dyDescent="0.35"/>
    <row r="29844" hidden="1" x14ac:dyDescent="0.35"/>
    <row r="29845" hidden="1" x14ac:dyDescent="0.35"/>
    <row r="29846" hidden="1" x14ac:dyDescent="0.35"/>
    <row r="29847" hidden="1" x14ac:dyDescent="0.35"/>
    <row r="29848" hidden="1" x14ac:dyDescent="0.35"/>
    <row r="29849" hidden="1" x14ac:dyDescent="0.35"/>
    <row r="29850" hidden="1" x14ac:dyDescent="0.35"/>
    <row r="29851" hidden="1" x14ac:dyDescent="0.35"/>
    <row r="29852" hidden="1" x14ac:dyDescent="0.35"/>
    <row r="29853" hidden="1" x14ac:dyDescent="0.35"/>
    <row r="29854" hidden="1" x14ac:dyDescent="0.35"/>
    <row r="29855" hidden="1" x14ac:dyDescent="0.35"/>
    <row r="29856" hidden="1" x14ac:dyDescent="0.35"/>
    <row r="29857" hidden="1" x14ac:dyDescent="0.35"/>
    <row r="29858" hidden="1" x14ac:dyDescent="0.35"/>
    <row r="29859" hidden="1" x14ac:dyDescent="0.35"/>
    <row r="29860" hidden="1" x14ac:dyDescent="0.35"/>
    <row r="29861" hidden="1" x14ac:dyDescent="0.35"/>
    <row r="29862" hidden="1" x14ac:dyDescent="0.35"/>
    <row r="29863" hidden="1" x14ac:dyDescent="0.35"/>
    <row r="29864" hidden="1" x14ac:dyDescent="0.35"/>
    <row r="29865" hidden="1" x14ac:dyDescent="0.35"/>
    <row r="29866" hidden="1" x14ac:dyDescent="0.35"/>
    <row r="29867" hidden="1" x14ac:dyDescent="0.35"/>
    <row r="29868" hidden="1" x14ac:dyDescent="0.35"/>
    <row r="29869" hidden="1" x14ac:dyDescent="0.35"/>
    <row r="29870" hidden="1" x14ac:dyDescent="0.35"/>
    <row r="29871" hidden="1" x14ac:dyDescent="0.35"/>
    <row r="29872" hidden="1" x14ac:dyDescent="0.35"/>
    <row r="29873" hidden="1" x14ac:dyDescent="0.35"/>
    <row r="29874" hidden="1" x14ac:dyDescent="0.35"/>
    <row r="29875" hidden="1" x14ac:dyDescent="0.35"/>
    <row r="29876" hidden="1" x14ac:dyDescent="0.35"/>
    <row r="29877" hidden="1" x14ac:dyDescent="0.35"/>
    <row r="29878" hidden="1" x14ac:dyDescent="0.35"/>
    <row r="29879" hidden="1" x14ac:dyDescent="0.35"/>
    <row r="29880" hidden="1" x14ac:dyDescent="0.35"/>
    <row r="29881" hidden="1" x14ac:dyDescent="0.35"/>
    <row r="29882" hidden="1" x14ac:dyDescent="0.35"/>
    <row r="29883" hidden="1" x14ac:dyDescent="0.35"/>
    <row r="29884" hidden="1" x14ac:dyDescent="0.35"/>
    <row r="29885" hidden="1" x14ac:dyDescent="0.35"/>
    <row r="29886" hidden="1" x14ac:dyDescent="0.35"/>
    <row r="29887" hidden="1" x14ac:dyDescent="0.35"/>
    <row r="29888" hidden="1" x14ac:dyDescent="0.35"/>
    <row r="29889" hidden="1" x14ac:dyDescent="0.35"/>
    <row r="29890" hidden="1" x14ac:dyDescent="0.35"/>
    <row r="29891" hidden="1" x14ac:dyDescent="0.35"/>
    <row r="29892" hidden="1" x14ac:dyDescent="0.35"/>
    <row r="29893" hidden="1" x14ac:dyDescent="0.35"/>
    <row r="29894" hidden="1" x14ac:dyDescent="0.35"/>
    <row r="29895" hidden="1" x14ac:dyDescent="0.35"/>
    <row r="29896" hidden="1" x14ac:dyDescent="0.35"/>
    <row r="29897" hidden="1" x14ac:dyDescent="0.35"/>
    <row r="29898" hidden="1" x14ac:dyDescent="0.35"/>
    <row r="29899" hidden="1" x14ac:dyDescent="0.35"/>
    <row r="29900" hidden="1" x14ac:dyDescent="0.35"/>
    <row r="29901" hidden="1" x14ac:dyDescent="0.35"/>
    <row r="29902" hidden="1" x14ac:dyDescent="0.35"/>
    <row r="29903" hidden="1" x14ac:dyDescent="0.35"/>
    <row r="29904" hidden="1" x14ac:dyDescent="0.35"/>
    <row r="29905" hidden="1" x14ac:dyDescent="0.35"/>
    <row r="29906" hidden="1" x14ac:dyDescent="0.35"/>
    <row r="29907" hidden="1" x14ac:dyDescent="0.35"/>
    <row r="29908" hidden="1" x14ac:dyDescent="0.35"/>
    <row r="29909" hidden="1" x14ac:dyDescent="0.35"/>
    <row r="29910" hidden="1" x14ac:dyDescent="0.35"/>
    <row r="29911" hidden="1" x14ac:dyDescent="0.35"/>
    <row r="29912" hidden="1" x14ac:dyDescent="0.35"/>
    <row r="29913" hidden="1" x14ac:dyDescent="0.35"/>
    <row r="29914" hidden="1" x14ac:dyDescent="0.35"/>
    <row r="29915" hidden="1" x14ac:dyDescent="0.35"/>
    <row r="29916" hidden="1" x14ac:dyDescent="0.35"/>
    <row r="29917" hidden="1" x14ac:dyDescent="0.35"/>
    <row r="29918" hidden="1" x14ac:dyDescent="0.35"/>
    <row r="29919" hidden="1" x14ac:dyDescent="0.35"/>
    <row r="29920" hidden="1" x14ac:dyDescent="0.35"/>
    <row r="29921" hidden="1" x14ac:dyDescent="0.35"/>
    <row r="29922" hidden="1" x14ac:dyDescent="0.35"/>
    <row r="29923" hidden="1" x14ac:dyDescent="0.35"/>
    <row r="29924" hidden="1" x14ac:dyDescent="0.35"/>
    <row r="29925" hidden="1" x14ac:dyDescent="0.35"/>
    <row r="29926" hidden="1" x14ac:dyDescent="0.35"/>
    <row r="29927" hidden="1" x14ac:dyDescent="0.35"/>
    <row r="29928" hidden="1" x14ac:dyDescent="0.35"/>
    <row r="29929" hidden="1" x14ac:dyDescent="0.35"/>
    <row r="29930" hidden="1" x14ac:dyDescent="0.35"/>
    <row r="29931" hidden="1" x14ac:dyDescent="0.35"/>
    <row r="29932" hidden="1" x14ac:dyDescent="0.35"/>
    <row r="29933" hidden="1" x14ac:dyDescent="0.35"/>
    <row r="29934" hidden="1" x14ac:dyDescent="0.35"/>
    <row r="29935" hidden="1" x14ac:dyDescent="0.35"/>
    <row r="29936" hidden="1" x14ac:dyDescent="0.35"/>
    <row r="29937" hidden="1" x14ac:dyDescent="0.35"/>
    <row r="29938" hidden="1" x14ac:dyDescent="0.35"/>
    <row r="29939" hidden="1" x14ac:dyDescent="0.35"/>
    <row r="29940" hidden="1" x14ac:dyDescent="0.35"/>
    <row r="29941" hidden="1" x14ac:dyDescent="0.35"/>
    <row r="29942" hidden="1" x14ac:dyDescent="0.35"/>
    <row r="29943" hidden="1" x14ac:dyDescent="0.35"/>
    <row r="29944" hidden="1" x14ac:dyDescent="0.35"/>
    <row r="29945" hidden="1" x14ac:dyDescent="0.35"/>
    <row r="29946" hidden="1" x14ac:dyDescent="0.35"/>
    <row r="29947" hidden="1" x14ac:dyDescent="0.35"/>
    <row r="29948" hidden="1" x14ac:dyDescent="0.35"/>
    <row r="29949" hidden="1" x14ac:dyDescent="0.35"/>
    <row r="29950" hidden="1" x14ac:dyDescent="0.35"/>
    <row r="29951" hidden="1" x14ac:dyDescent="0.35"/>
    <row r="29952" hidden="1" x14ac:dyDescent="0.35"/>
    <row r="29953" hidden="1" x14ac:dyDescent="0.35"/>
    <row r="29954" hidden="1" x14ac:dyDescent="0.35"/>
    <row r="29955" hidden="1" x14ac:dyDescent="0.35"/>
    <row r="29956" hidden="1" x14ac:dyDescent="0.35"/>
    <row r="29957" hidden="1" x14ac:dyDescent="0.35"/>
    <row r="29958" hidden="1" x14ac:dyDescent="0.35"/>
    <row r="29959" hidden="1" x14ac:dyDescent="0.35"/>
    <row r="29960" hidden="1" x14ac:dyDescent="0.35"/>
    <row r="29961" hidden="1" x14ac:dyDescent="0.35"/>
    <row r="29962" hidden="1" x14ac:dyDescent="0.35"/>
    <row r="29963" hidden="1" x14ac:dyDescent="0.35"/>
    <row r="29964" hidden="1" x14ac:dyDescent="0.35"/>
    <row r="29965" hidden="1" x14ac:dyDescent="0.35"/>
    <row r="29966" hidden="1" x14ac:dyDescent="0.35"/>
    <row r="29967" hidden="1" x14ac:dyDescent="0.35"/>
    <row r="29968" hidden="1" x14ac:dyDescent="0.35"/>
    <row r="29969" hidden="1" x14ac:dyDescent="0.35"/>
    <row r="29970" hidden="1" x14ac:dyDescent="0.35"/>
    <row r="29971" hidden="1" x14ac:dyDescent="0.35"/>
    <row r="29972" hidden="1" x14ac:dyDescent="0.35"/>
    <row r="29973" hidden="1" x14ac:dyDescent="0.35"/>
    <row r="29974" hidden="1" x14ac:dyDescent="0.35"/>
    <row r="29975" hidden="1" x14ac:dyDescent="0.35"/>
    <row r="29976" hidden="1" x14ac:dyDescent="0.35"/>
    <row r="29977" hidden="1" x14ac:dyDescent="0.35"/>
    <row r="29978" hidden="1" x14ac:dyDescent="0.35"/>
    <row r="29979" hidden="1" x14ac:dyDescent="0.35"/>
    <row r="29980" hidden="1" x14ac:dyDescent="0.35"/>
    <row r="29981" hidden="1" x14ac:dyDescent="0.35"/>
    <row r="29982" hidden="1" x14ac:dyDescent="0.35"/>
    <row r="29983" hidden="1" x14ac:dyDescent="0.35"/>
    <row r="29984" hidden="1" x14ac:dyDescent="0.35"/>
    <row r="29985" hidden="1" x14ac:dyDescent="0.35"/>
    <row r="29986" hidden="1" x14ac:dyDescent="0.35"/>
    <row r="29987" hidden="1" x14ac:dyDescent="0.35"/>
    <row r="29988" hidden="1" x14ac:dyDescent="0.35"/>
    <row r="29989" hidden="1" x14ac:dyDescent="0.35"/>
    <row r="29990" hidden="1" x14ac:dyDescent="0.35"/>
    <row r="29991" hidden="1" x14ac:dyDescent="0.35"/>
    <row r="29992" hidden="1" x14ac:dyDescent="0.35"/>
    <row r="29993" hidden="1" x14ac:dyDescent="0.35"/>
    <row r="29994" hidden="1" x14ac:dyDescent="0.35"/>
    <row r="29995" hidden="1" x14ac:dyDescent="0.35"/>
    <row r="29996" hidden="1" x14ac:dyDescent="0.35"/>
    <row r="29997" hidden="1" x14ac:dyDescent="0.35"/>
    <row r="29998" hidden="1" x14ac:dyDescent="0.35"/>
    <row r="29999" hidden="1" x14ac:dyDescent="0.35"/>
    <row r="30000" hidden="1" x14ac:dyDescent="0.35"/>
    <row r="30001" hidden="1" x14ac:dyDescent="0.35"/>
    <row r="30002" hidden="1" x14ac:dyDescent="0.35"/>
    <row r="30003" hidden="1" x14ac:dyDescent="0.35"/>
    <row r="30004" hidden="1" x14ac:dyDescent="0.35"/>
    <row r="30005" hidden="1" x14ac:dyDescent="0.35"/>
    <row r="30006" hidden="1" x14ac:dyDescent="0.35"/>
    <row r="30007" hidden="1" x14ac:dyDescent="0.35"/>
    <row r="30008" hidden="1" x14ac:dyDescent="0.35"/>
    <row r="30009" hidden="1" x14ac:dyDescent="0.35"/>
    <row r="30010" hidden="1" x14ac:dyDescent="0.35"/>
    <row r="30011" hidden="1" x14ac:dyDescent="0.35"/>
    <row r="30012" hidden="1" x14ac:dyDescent="0.35"/>
    <row r="30013" hidden="1" x14ac:dyDescent="0.35"/>
    <row r="30014" hidden="1" x14ac:dyDescent="0.35"/>
    <row r="30015" hidden="1" x14ac:dyDescent="0.35"/>
    <row r="30016" hidden="1" x14ac:dyDescent="0.35"/>
    <row r="30017" hidden="1" x14ac:dyDescent="0.35"/>
    <row r="30018" hidden="1" x14ac:dyDescent="0.35"/>
    <row r="30019" hidden="1" x14ac:dyDescent="0.35"/>
    <row r="30020" hidden="1" x14ac:dyDescent="0.35"/>
    <row r="30021" hidden="1" x14ac:dyDescent="0.35"/>
    <row r="30022" hidden="1" x14ac:dyDescent="0.35"/>
    <row r="30023" hidden="1" x14ac:dyDescent="0.35"/>
    <row r="30024" hidden="1" x14ac:dyDescent="0.35"/>
    <row r="30025" hidden="1" x14ac:dyDescent="0.35"/>
    <row r="30026" hidden="1" x14ac:dyDescent="0.35"/>
    <row r="30027" hidden="1" x14ac:dyDescent="0.35"/>
    <row r="30028" hidden="1" x14ac:dyDescent="0.35"/>
    <row r="30029" hidden="1" x14ac:dyDescent="0.35"/>
    <row r="30030" hidden="1" x14ac:dyDescent="0.35"/>
    <row r="30031" hidden="1" x14ac:dyDescent="0.35"/>
    <row r="30032" hidden="1" x14ac:dyDescent="0.35"/>
    <row r="30033" hidden="1" x14ac:dyDescent="0.35"/>
    <row r="30034" hidden="1" x14ac:dyDescent="0.35"/>
    <row r="30035" hidden="1" x14ac:dyDescent="0.35"/>
    <row r="30036" hidden="1" x14ac:dyDescent="0.35"/>
    <row r="30037" hidden="1" x14ac:dyDescent="0.35"/>
    <row r="30038" hidden="1" x14ac:dyDescent="0.35"/>
    <row r="30039" hidden="1" x14ac:dyDescent="0.35"/>
    <row r="30040" hidden="1" x14ac:dyDescent="0.35"/>
    <row r="30041" hidden="1" x14ac:dyDescent="0.35"/>
    <row r="30042" hidden="1" x14ac:dyDescent="0.35"/>
    <row r="30043" hidden="1" x14ac:dyDescent="0.35"/>
    <row r="30044" hidden="1" x14ac:dyDescent="0.35"/>
    <row r="30045" hidden="1" x14ac:dyDescent="0.35"/>
    <row r="30046" hidden="1" x14ac:dyDescent="0.35"/>
    <row r="30047" hidden="1" x14ac:dyDescent="0.35"/>
    <row r="30048" hidden="1" x14ac:dyDescent="0.35"/>
    <row r="30049" hidden="1" x14ac:dyDescent="0.35"/>
    <row r="30050" hidden="1" x14ac:dyDescent="0.35"/>
    <row r="30051" hidden="1" x14ac:dyDescent="0.35"/>
    <row r="30052" hidden="1" x14ac:dyDescent="0.35"/>
    <row r="30053" hidden="1" x14ac:dyDescent="0.35"/>
    <row r="30054" hidden="1" x14ac:dyDescent="0.35"/>
    <row r="30055" hidden="1" x14ac:dyDescent="0.35"/>
    <row r="30056" hidden="1" x14ac:dyDescent="0.35"/>
    <row r="30057" hidden="1" x14ac:dyDescent="0.35"/>
    <row r="30058" hidden="1" x14ac:dyDescent="0.35"/>
    <row r="30059" hidden="1" x14ac:dyDescent="0.35"/>
    <row r="30060" hidden="1" x14ac:dyDescent="0.35"/>
    <row r="30061" hidden="1" x14ac:dyDescent="0.35"/>
    <row r="30062" hidden="1" x14ac:dyDescent="0.35"/>
    <row r="30063" hidden="1" x14ac:dyDescent="0.35"/>
    <row r="30064" hidden="1" x14ac:dyDescent="0.35"/>
    <row r="30065" hidden="1" x14ac:dyDescent="0.35"/>
    <row r="30066" hidden="1" x14ac:dyDescent="0.35"/>
    <row r="30067" hidden="1" x14ac:dyDescent="0.35"/>
    <row r="30068" hidden="1" x14ac:dyDescent="0.35"/>
    <row r="30069" hidden="1" x14ac:dyDescent="0.35"/>
    <row r="30070" hidden="1" x14ac:dyDescent="0.35"/>
    <row r="30071" hidden="1" x14ac:dyDescent="0.35"/>
    <row r="30072" hidden="1" x14ac:dyDescent="0.35"/>
    <row r="30073" hidden="1" x14ac:dyDescent="0.35"/>
    <row r="30074" hidden="1" x14ac:dyDescent="0.35"/>
    <row r="30075" hidden="1" x14ac:dyDescent="0.35"/>
    <row r="30076" hidden="1" x14ac:dyDescent="0.35"/>
    <row r="30077" hidden="1" x14ac:dyDescent="0.35"/>
    <row r="30078" hidden="1" x14ac:dyDescent="0.35"/>
    <row r="30079" hidden="1" x14ac:dyDescent="0.35"/>
    <row r="30080" hidden="1" x14ac:dyDescent="0.35"/>
    <row r="30081" hidden="1" x14ac:dyDescent="0.35"/>
    <row r="30082" hidden="1" x14ac:dyDescent="0.35"/>
    <row r="30083" hidden="1" x14ac:dyDescent="0.35"/>
    <row r="30084" hidden="1" x14ac:dyDescent="0.35"/>
    <row r="30085" hidden="1" x14ac:dyDescent="0.35"/>
    <row r="30086" hidden="1" x14ac:dyDescent="0.35"/>
    <row r="30087" hidden="1" x14ac:dyDescent="0.35"/>
    <row r="30088" hidden="1" x14ac:dyDescent="0.35"/>
    <row r="30089" hidden="1" x14ac:dyDescent="0.35"/>
    <row r="30090" hidden="1" x14ac:dyDescent="0.35"/>
    <row r="30091" hidden="1" x14ac:dyDescent="0.35"/>
    <row r="30092" hidden="1" x14ac:dyDescent="0.35"/>
    <row r="30093" hidden="1" x14ac:dyDescent="0.35"/>
    <row r="30094" hidden="1" x14ac:dyDescent="0.35"/>
    <row r="30095" hidden="1" x14ac:dyDescent="0.35"/>
    <row r="30096" hidden="1" x14ac:dyDescent="0.35"/>
    <row r="30097" hidden="1" x14ac:dyDescent="0.35"/>
    <row r="30098" hidden="1" x14ac:dyDescent="0.35"/>
    <row r="30099" hidden="1" x14ac:dyDescent="0.35"/>
    <row r="30100" hidden="1" x14ac:dyDescent="0.35"/>
    <row r="30101" hidden="1" x14ac:dyDescent="0.35"/>
    <row r="30102" hidden="1" x14ac:dyDescent="0.35"/>
    <row r="30103" hidden="1" x14ac:dyDescent="0.35"/>
    <row r="30104" hidden="1" x14ac:dyDescent="0.35"/>
    <row r="30105" hidden="1" x14ac:dyDescent="0.35"/>
    <row r="30106" hidden="1" x14ac:dyDescent="0.35"/>
    <row r="30107" hidden="1" x14ac:dyDescent="0.35"/>
    <row r="30108" hidden="1" x14ac:dyDescent="0.35"/>
    <row r="30109" hidden="1" x14ac:dyDescent="0.35"/>
    <row r="30110" hidden="1" x14ac:dyDescent="0.35"/>
    <row r="30111" hidden="1" x14ac:dyDescent="0.35"/>
    <row r="30112" hidden="1" x14ac:dyDescent="0.35"/>
    <row r="30113" hidden="1" x14ac:dyDescent="0.35"/>
    <row r="30114" hidden="1" x14ac:dyDescent="0.35"/>
    <row r="30115" hidden="1" x14ac:dyDescent="0.35"/>
    <row r="30116" hidden="1" x14ac:dyDescent="0.35"/>
    <row r="30117" hidden="1" x14ac:dyDescent="0.35"/>
    <row r="30118" hidden="1" x14ac:dyDescent="0.35"/>
    <row r="30119" hidden="1" x14ac:dyDescent="0.35"/>
    <row r="30120" hidden="1" x14ac:dyDescent="0.35"/>
    <row r="30121" hidden="1" x14ac:dyDescent="0.35"/>
    <row r="30122" hidden="1" x14ac:dyDescent="0.35"/>
    <row r="30123" hidden="1" x14ac:dyDescent="0.35"/>
    <row r="30124" hidden="1" x14ac:dyDescent="0.35"/>
    <row r="30125" hidden="1" x14ac:dyDescent="0.35"/>
    <row r="30126" hidden="1" x14ac:dyDescent="0.35"/>
    <row r="30127" hidden="1" x14ac:dyDescent="0.35"/>
    <row r="30128" hidden="1" x14ac:dyDescent="0.35"/>
    <row r="30129" hidden="1" x14ac:dyDescent="0.35"/>
    <row r="30130" hidden="1" x14ac:dyDescent="0.35"/>
    <row r="30131" hidden="1" x14ac:dyDescent="0.35"/>
    <row r="30132" hidden="1" x14ac:dyDescent="0.35"/>
    <row r="30133" hidden="1" x14ac:dyDescent="0.35"/>
    <row r="30134" hidden="1" x14ac:dyDescent="0.35"/>
    <row r="30135" hidden="1" x14ac:dyDescent="0.35"/>
    <row r="30136" hidden="1" x14ac:dyDescent="0.35"/>
    <row r="30137" hidden="1" x14ac:dyDescent="0.35"/>
    <row r="30138" hidden="1" x14ac:dyDescent="0.35"/>
    <row r="30139" hidden="1" x14ac:dyDescent="0.35"/>
    <row r="30140" hidden="1" x14ac:dyDescent="0.35"/>
    <row r="30141" hidden="1" x14ac:dyDescent="0.35"/>
    <row r="30142" hidden="1" x14ac:dyDescent="0.35"/>
    <row r="30143" hidden="1" x14ac:dyDescent="0.35"/>
    <row r="30144" hidden="1" x14ac:dyDescent="0.35"/>
    <row r="30145" hidden="1" x14ac:dyDescent="0.35"/>
    <row r="30146" hidden="1" x14ac:dyDescent="0.35"/>
    <row r="30147" hidden="1" x14ac:dyDescent="0.35"/>
    <row r="30148" hidden="1" x14ac:dyDescent="0.35"/>
    <row r="30149" hidden="1" x14ac:dyDescent="0.35"/>
    <row r="30150" hidden="1" x14ac:dyDescent="0.35"/>
    <row r="30151" hidden="1" x14ac:dyDescent="0.35"/>
    <row r="30152" hidden="1" x14ac:dyDescent="0.35"/>
    <row r="30153" hidden="1" x14ac:dyDescent="0.35"/>
    <row r="30154" hidden="1" x14ac:dyDescent="0.35"/>
    <row r="30155" hidden="1" x14ac:dyDescent="0.35"/>
    <row r="30156" hidden="1" x14ac:dyDescent="0.35"/>
    <row r="30157" hidden="1" x14ac:dyDescent="0.35"/>
    <row r="30158" hidden="1" x14ac:dyDescent="0.35"/>
    <row r="30159" hidden="1" x14ac:dyDescent="0.35"/>
    <row r="30160" hidden="1" x14ac:dyDescent="0.35"/>
    <row r="30161" hidden="1" x14ac:dyDescent="0.35"/>
    <row r="30162" hidden="1" x14ac:dyDescent="0.35"/>
    <row r="30163" hidden="1" x14ac:dyDescent="0.35"/>
    <row r="30164" hidden="1" x14ac:dyDescent="0.35"/>
    <row r="30165" hidden="1" x14ac:dyDescent="0.35"/>
    <row r="30166" hidden="1" x14ac:dyDescent="0.35"/>
    <row r="30167" hidden="1" x14ac:dyDescent="0.35"/>
    <row r="30168" hidden="1" x14ac:dyDescent="0.35"/>
    <row r="30169" hidden="1" x14ac:dyDescent="0.35"/>
    <row r="30170" hidden="1" x14ac:dyDescent="0.35"/>
    <row r="30171" hidden="1" x14ac:dyDescent="0.35"/>
    <row r="30172" hidden="1" x14ac:dyDescent="0.35"/>
    <row r="30173" hidden="1" x14ac:dyDescent="0.35"/>
    <row r="30174" hidden="1" x14ac:dyDescent="0.35"/>
    <row r="30175" hidden="1" x14ac:dyDescent="0.35"/>
    <row r="30176" hidden="1" x14ac:dyDescent="0.35"/>
    <row r="30177" hidden="1" x14ac:dyDescent="0.35"/>
    <row r="30178" hidden="1" x14ac:dyDescent="0.35"/>
    <row r="30179" hidden="1" x14ac:dyDescent="0.35"/>
    <row r="30180" hidden="1" x14ac:dyDescent="0.35"/>
    <row r="30181" hidden="1" x14ac:dyDescent="0.35"/>
    <row r="30182" hidden="1" x14ac:dyDescent="0.35"/>
    <row r="30183" hidden="1" x14ac:dyDescent="0.35"/>
    <row r="30184" hidden="1" x14ac:dyDescent="0.35"/>
    <row r="30185" hidden="1" x14ac:dyDescent="0.35"/>
    <row r="30186" hidden="1" x14ac:dyDescent="0.35"/>
    <row r="30187" hidden="1" x14ac:dyDescent="0.35"/>
    <row r="30188" hidden="1" x14ac:dyDescent="0.35"/>
    <row r="30189" hidden="1" x14ac:dyDescent="0.35"/>
    <row r="30190" hidden="1" x14ac:dyDescent="0.35"/>
    <row r="30191" hidden="1" x14ac:dyDescent="0.35"/>
    <row r="30192" hidden="1" x14ac:dyDescent="0.35"/>
    <row r="30193" hidden="1" x14ac:dyDescent="0.35"/>
    <row r="30194" hidden="1" x14ac:dyDescent="0.35"/>
    <row r="30195" hidden="1" x14ac:dyDescent="0.35"/>
    <row r="30196" hidden="1" x14ac:dyDescent="0.35"/>
    <row r="30197" hidden="1" x14ac:dyDescent="0.35"/>
    <row r="30198" hidden="1" x14ac:dyDescent="0.35"/>
    <row r="30199" hidden="1" x14ac:dyDescent="0.35"/>
    <row r="30200" hidden="1" x14ac:dyDescent="0.35"/>
    <row r="30201" hidden="1" x14ac:dyDescent="0.35"/>
    <row r="30202" hidden="1" x14ac:dyDescent="0.35"/>
    <row r="30203" hidden="1" x14ac:dyDescent="0.35"/>
    <row r="30204" hidden="1" x14ac:dyDescent="0.35"/>
    <row r="30205" hidden="1" x14ac:dyDescent="0.35"/>
    <row r="30206" hidden="1" x14ac:dyDescent="0.35"/>
    <row r="30207" hidden="1" x14ac:dyDescent="0.35"/>
    <row r="30208" hidden="1" x14ac:dyDescent="0.35"/>
    <row r="30209" hidden="1" x14ac:dyDescent="0.35"/>
    <row r="30210" hidden="1" x14ac:dyDescent="0.35"/>
    <row r="30211" hidden="1" x14ac:dyDescent="0.35"/>
    <row r="30212" hidden="1" x14ac:dyDescent="0.35"/>
    <row r="30213" hidden="1" x14ac:dyDescent="0.35"/>
    <row r="30214" hidden="1" x14ac:dyDescent="0.35"/>
    <row r="30215" hidden="1" x14ac:dyDescent="0.35"/>
    <row r="30216" hidden="1" x14ac:dyDescent="0.35"/>
    <row r="30217" hidden="1" x14ac:dyDescent="0.35"/>
    <row r="30218" hidden="1" x14ac:dyDescent="0.35"/>
    <row r="30219" hidden="1" x14ac:dyDescent="0.35"/>
    <row r="30220" hidden="1" x14ac:dyDescent="0.35"/>
    <row r="30221" hidden="1" x14ac:dyDescent="0.35"/>
    <row r="30222" hidden="1" x14ac:dyDescent="0.35"/>
    <row r="30223" hidden="1" x14ac:dyDescent="0.35"/>
    <row r="30224" hidden="1" x14ac:dyDescent="0.35"/>
    <row r="30225" hidden="1" x14ac:dyDescent="0.35"/>
    <row r="30226" hidden="1" x14ac:dyDescent="0.35"/>
    <row r="30227" hidden="1" x14ac:dyDescent="0.35"/>
    <row r="30228" hidden="1" x14ac:dyDescent="0.35"/>
    <row r="30229" hidden="1" x14ac:dyDescent="0.35"/>
    <row r="30230" hidden="1" x14ac:dyDescent="0.35"/>
    <row r="30231" hidden="1" x14ac:dyDescent="0.35"/>
    <row r="30232" hidden="1" x14ac:dyDescent="0.35"/>
    <row r="30233" hidden="1" x14ac:dyDescent="0.35"/>
    <row r="30234" hidden="1" x14ac:dyDescent="0.35"/>
    <row r="30235" hidden="1" x14ac:dyDescent="0.35"/>
    <row r="30236" hidden="1" x14ac:dyDescent="0.35"/>
    <row r="30237" hidden="1" x14ac:dyDescent="0.35"/>
    <row r="30238" hidden="1" x14ac:dyDescent="0.35"/>
    <row r="30239" hidden="1" x14ac:dyDescent="0.35"/>
    <row r="30240" hidden="1" x14ac:dyDescent="0.35"/>
    <row r="30241" hidden="1" x14ac:dyDescent="0.35"/>
    <row r="30242" hidden="1" x14ac:dyDescent="0.35"/>
    <row r="30243" hidden="1" x14ac:dyDescent="0.35"/>
    <row r="30244" hidden="1" x14ac:dyDescent="0.35"/>
    <row r="30245" hidden="1" x14ac:dyDescent="0.35"/>
    <row r="30246" hidden="1" x14ac:dyDescent="0.35"/>
    <row r="30247" hidden="1" x14ac:dyDescent="0.35"/>
    <row r="30248" hidden="1" x14ac:dyDescent="0.35"/>
    <row r="30249" hidden="1" x14ac:dyDescent="0.35"/>
    <row r="30250" hidden="1" x14ac:dyDescent="0.35"/>
    <row r="30251" hidden="1" x14ac:dyDescent="0.35"/>
    <row r="30252" hidden="1" x14ac:dyDescent="0.35"/>
    <row r="30253" hidden="1" x14ac:dyDescent="0.35"/>
    <row r="30254" hidden="1" x14ac:dyDescent="0.35"/>
    <row r="30255" hidden="1" x14ac:dyDescent="0.35"/>
    <row r="30256" hidden="1" x14ac:dyDescent="0.35"/>
    <row r="30257" hidden="1" x14ac:dyDescent="0.35"/>
    <row r="30258" hidden="1" x14ac:dyDescent="0.35"/>
    <row r="30259" hidden="1" x14ac:dyDescent="0.35"/>
    <row r="30260" hidden="1" x14ac:dyDescent="0.35"/>
    <row r="30261" hidden="1" x14ac:dyDescent="0.35"/>
    <row r="30262" hidden="1" x14ac:dyDescent="0.35"/>
    <row r="30263" hidden="1" x14ac:dyDescent="0.35"/>
    <row r="30264" hidden="1" x14ac:dyDescent="0.35"/>
    <row r="30265" hidden="1" x14ac:dyDescent="0.35"/>
    <row r="30266" hidden="1" x14ac:dyDescent="0.35"/>
    <row r="30267" hidden="1" x14ac:dyDescent="0.35"/>
    <row r="30268" hidden="1" x14ac:dyDescent="0.35"/>
    <row r="30269" hidden="1" x14ac:dyDescent="0.35"/>
    <row r="30270" hidden="1" x14ac:dyDescent="0.35"/>
    <row r="30271" hidden="1" x14ac:dyDescent="0.35"/>
    <row r="30272" hidden="1" x14ac:dyDescent="0.35"/>
    <row r="30273" hidden="1" x14ac:dyDescent="0.35"/>
    <row r="30274" hidden="1" x14ac:dyDescent="0.35"/>
    <row r="30275" hidden="1" x14ac:dyDescent="0.35"/>
    <row r="30276" hidden="1" x14ac:dyDescent="0.35"/>
    <row r="30277" hidden="1" x14ac:dyDescent="0.35"/>
    <row r="30278" hidden="1" x14ac:dyDescent="0.35"/>
    <row r="30279" hidden="1" x14ac:dyDescent="0.35"/>
    <row r="30280" hidden="1" x14ac:dyDescent="0.35"/>
    <row r="30281" hidden="1" x14ac:dyDescent="0.35"/>
    <row r="30282" hidden="1" x14ac:dyDescent="0.35"/>
    <row r="30283" hidden="1" x14ac:dyDescent="0.35"/>
    <row r="30284" hidden="1" x14ac:dyDescent="0.35"/>
    <row r="30285" hidden="1" x14ac:dyDescent="0.35"/>
    <row r="30286" hidden="1" x14ac:dyDescent="0.35"/>
    <row r="30287" hidden="1" x14ac:dyDescent="0.35"/>
    <row r="30288" hidden="1" x14ac:dyDescent="0.35"/>
    <row r="30289" hidden="1" x14ac:dyDescent="0.35"/>
    <row r="30290" hidden="1" x14ac:dyDescent="0.35"/>
    <row r="30291" hidden="1" x14ac:dyDescent="0.35"/>
    <row r="30292" hidden="1" x14ac:dyDescent="0.35"/>
    <row r="30293" hidden="1" x14ac:dyDescent="0.35"/>
    <row r="30294" hidden="1" x14ac:dyDescent="0.35"/>
    <row r="30295" hidden="1" x14ac:dyDescent="0.35"/>
    <row r="30296" hidden="1" x14ac:dyDescent="0.35"/>
    <row r="30297" hidden="1" x14ac:dyDescent="0.35"/>
    <row r="30298" hidden="1" x14ac:dyDescent="0.35"/>
    <row r="30299" hidden="1" x14ac:dyDescent="0.35"/>
    <row r="30300" hidden="1" x14ac:dyDescent="0.35"/>
    <row r="30301" hidden="1" x14ac:dyDescent="0.35"/>
    <row r="30302" hidden="1" x14ac:dyDescent="0.35"/>
    <row r="30303" hidden="1" x14ac:dyDescent="0.35"/>
    <row r="30304" hidden="1" x14ac:dyDescent="0.35"/>
    <row r="30305" hidden="1" x14ac:dyDescent="0.35"/>
    <row r="30306" hidden="1" x14ac:dyDescent="0.35"/>
    <row r="30307" hidden="1" x14ac:dyDescent="0.35"/>
    <row r="30308" hidden="1" x14ac:dyDescent="0.35"/>
    <row r="30309" hidden="1" x14ac:dyDescent="0.35"/>
    <row r="30310" hidden="1" x14ac:dyDescent="0.35"/>
    <row r="30311" hidden="1" x14ac:dyDescent="0.35"/>
    <row r="30312" hidden="1" x14ac:dyDescent="0.35"/>
    <row r="30313" hidden="1" x14ac:dyDescent="0.35"/>
    <row r="30314" hidden="1" x14ac:dyDescent="0.35"/>
    <row r="30315" hidden="1" x14ac:dyDescent="0.35"/>
    <row r="30316" hidden="1" x14ac:dyDescent="0.35"/>
    <row r="30317" hidden="1" x14ac:dyDescent="0.35"/>
    <row r="30318" hidden="1" x14ac:dyDescent="0.35"/>
    <row r="30319" hidden="1" x14ac:dyDescent="0.35"/>
    <row r="30320" hidden="1" x14ac:dyDescent="0.35"/>
    <row r="30321" hidden="1" x14ac:dyDescent="0.35"/>
    <row r="30322" hidden="1" x14ac:dyDescent="0.35"/>
    <row r="30323" hidden="1" x14ac:dyDescent="0.35"/>
    <row r="30324" hidden="1" x14ac:dyDescent="0.35"/>
    <row r="30325" hidden="1" x14ac:dyDescent="0.35"/>
    <row r="30326" hidden="1" x14ac:dyDescent="0.35"/>
    <row r="30327" hidden="1" x14ac:dyDescent="0.35"/>
    <row r="30328" hidden="1" x14ac:dyDescent="0.35"/>
    <row r="30329" hidden="1" x14ac:dyDescent="0.35"/>
    <row r="30330" hidden="1" x14ac:dyDescent="0.35"/>
    <row r="30331" hidden="1" x14ac:dyDescent="0.35"/>
    <row r="30332" hidden="1" x14ac:dyDescent="0.35"/>
    <row r="30333" hidden="1" x14ac:dyDescent="0.35"/>
    <row r="30334" hidden="1" x14ac:dyDescent="0.35"/>
    <row r="30335" hidden="1" x14ac:dyDescent="0.35"/>
    <row r="30336" hidden="1" x14ac:dyDescent="0.35"/>
    <row r="30337" hidden="1" x14ac:dyDescent="0.35"/>
    <row r="30338" hidden="1" x14ac:dyDescent="0.35"/>
    <row r="30339" hidden="1" x14ac:dyDescent="0.35"/>
    <row r="30340" hidden="1" x14ac:dyDescent="0.35"/>
    <row r="30341" hidden="1" x14ac:dyDescent="0.35"/>
    <row r="30342" hidden="1" x14ac:dyDescent="0.35"/>
    <row r="30343" hidden="1" x14ac:dyDescent="0.35"/>
    <row r="30344" hidden="1" x14ac:dyDescent="0.35"/>
    <row r="30345" hidden="1" x14ac:dyDescent="0.35"/>
    <row r="30346" hidden="1" x14ac:dyDescent="0.35"/>
    <row r="30347" hidden="1" x14ac:dyDescent="0.35"/>
    <row r="30348" hidden="1" x14ac:dyDescent="0.35"/>
    <row r="30349" hidden="1" x14ac:dyDescent="0.35"/>
    <row r="30350" hidden="1" x14ac:dyDescent="0.35"/>
    <row r="30351" hidden="1" x14ac:dyDescent="0.35"/>
    <row r="30352" hidden="1" x14ac:dyDescent="0.35"/>
    <row r="30353" hidden="1" x14ac:dyDescent="0.35"/>
    <row r="30354" hidden="1" x14ac:dyDescent="0.35"/>
    <row r="30355" hidden="1" x14ac:dyDescent="0.35"/>
    <row r="30356" hidden="1" x14ac:dyDescent="0.35"/>
    <row r="30357" hidden="1" x14ac:dyDescent="0.35"/>
    <row r="30358" hidden="1" x14ac:dyDescent="0.35"/>
    <row r="30359" hidden="1" x14ac:dyDescent="0.35"/>
    <row r="30360" hidden="1" x14ac:dyDescent="0.35"/>
    <row r="30361" hidden="1" x14ac:dyDescent="0.35"/>
    <row r="30362" hidden="1" x14ac:dyDescent="0.35"/>
    <row r="30363" hidden="1" x14ac:dyDescent="0.35"/>
    <row r="30364" hidden="1" x14ac:dyDescent="0.35"/>
    <row r="30365" hidden="1" x14ac:dyDescent="0.35"/>
    <row r="30366" hidden="1" x14ac:dyDescent="0.35"/>
    <row r="30367" hidden="1" x14ac:dyDescent="0.35"/>
    <row r="30368" hidden="1" x14ac:dyDescent="0.35"/>
    <row r="30369" hidden="1" x14ac:dyDescent="0.35"/>
    <row r="30370" hidden="1" x14ac:dyDescent="0.35"/>
    <row r="30371" hidden="1" x14ac:dyDescent="0.35"/>
    <row r="30372" hidden="1" x14ac:dyDescent="0.35"/>
    <row r="30373" hidden="1" x14ac:dyDescent="0.35"/>
    <row r="30374" hidden="1" x14ac:dyDescent="0.35"/>
    <row r="30375" hidden="1" x14ac:dyDescent="0.35"/>
    <row r="30376" hidden="1" x14ac:dyDescent="0.35"/>
    <row r="30377" hidden="1" x14ac:dyDescent="0.35"/>
    <row r="30378" hidden="1" x14ac:dyDescent="0.35"/>
    <row r="30379" hidden="1" x14ac:dyDescent="0.35"/>
    <row r="30380" hidden="1" x14ac:dyDescent="0.35"/>
    <row r="30381" hidden="1" x14ac:dyDescent="0.35"/>
    <row r="30382" hidden="1" x14ac:dyDescent="0.35"/>
    <row r="30383" hidden="1" x14ac:dyDescent="0.35"/>
    <row r="30384" hidden="1" x14ac:dyDescent="0.35"/>
    <row r="30385" hidden="1" x14ac:dyDescent="0.35"/>
    <row r="30386" hidden="1" x14ac:dyDescent="0.35"/>
    <row r="30387" hidden="1" x14ac:dyDescent="0.35"/>
    <row r="30388" hidden="1" x14ac:dyDescent="0.35"/>
    <row r="30389" hidden="1" x14ac:dyDescent="0.35"/>
    <row r="30390" hidden="1" x14ac:dyDescent="0.35"/>
    <row r="30391" hidden="1" x14ac:dyDescent="0.35"/>
    <row r="30392" hidden="1" x14ac:dyDescent="0.35"/>
    <row r="30393" hidden="1" x14ac:dyDescent="0.35"/>
    <row r="30394" hidden="1" x14ac:dyDescent="0.35"/>
    <row r="30395" hidden="1" x14ac:dyDescent="0.35"/>
    <row r="30396" hidden="1" x14ac:dyDescent="0.35"/>
    <row r="30397" hidden="1" x14ac:dyDescent="0.35"/>
    <row r="30398" hidden="1" x14ac:dyDescent="0.35"/>
    <row r="30399" hidden="1" x14ac:dyDescent="0.35"/>
    <row r="30400" hidden="1" x14ac:dyDescent="0.35"/>
    <row r="30401" hidden="1" x14ac:dyDescent="0.35"/>
    <row r="30402" hidden="1" x14ac:dyDescent="0.35"/>
    <row r="30403" hidden="1" x14ac:dyDescent="0.35"/>
    <row r="30404" hidden="1" x14ac:dyDescent="0.35"/>
    <row r="30405" hidden="1" x14ac:dyDescent="0.35"/>
    <row r="30406" hidden="1" x14ac:dyDescent="0.35"/>
    <row r="30407" hidden="1" x14ac:dyDescent="0.35"/>
    <row r="30408" hidden="1" x14ac:dyDescent="0.35"/>
    <row r="30409" hidden="1" x14ac:dyDescent="0.35"/>
    <row r="30410" hidden="1" x14ac:dyDescent="0.35"/>
    <row r="30411" hidden="1" x14ac:dyDescent="0.35"/>
    <row r="30412" hidden="1" x14ac:dyDescent="0.35"/>
    <row r="30413" hidden="1" x14ac:dyDescent="0.35"/>
    <row r="30414" hidden="1" x14ac:dyDescent="0.35"/>
    <row r="30415" hidden="1" x14ac:dyDescent="0.35"/>
    <row r="30416" hidden="1" x14ac:dyDescent="0.35"/>
    <row r="30417" hidden="1" x14ac:dyDescent="0.35"/>
    <row r="30418" hidden="1" x14ac:dyDescent="0.35"/>
    <row r="30419" hidden="1" x14ac:dyDescent="0.35"/>
    <row r="30420" hidden="1" x14ac:dyDescent="0.35"/>
    <row r="30421" hidden="1" x14ac:dyDescent="0.35"/>
    <row r="30422" hidden="1" x14ac:dyDescent="0.35"/>
    <row r="30423" hidden="1" x14ac:dyDescent="0.35"/>
    <row r="30424" hidden="1" x14ac:dyDescent="0.35"/>
    <row r="30425" hidden="1" x14ac:dyDescent="0.35"/>
    <row r="30426" hidden="1" x14ac:dyDescent="0.35"/>
    <row r="30427" hidden="1" x14ac:dyDescent="0.35"/>
    <row r="30428" hidden="1" x14ac:dyDescent="0.35"/>
    <row r="30429" hidden="1" x14ac:dyDescent="0.35"/>
    <row r="30430" hidden="1" x14ac:dyDescent="0.35"/>
    <row r="30431" hidden="1" x14ac:dyDescent="0.35"/>
    <row r="30432" hidden="1" x14ac:dyDescent="0.35"/>
    <row r="30433" hidden="1" x14ac:dyDescent="0.35"/>
    <row r="30434" hidden="1" x14ac:dyDescent="0.35"/>
    <row r="30435" hidden="1" x14ac:dyDescent="0.35"/>
    <row r="30436" hidden="1" x14ac:dyDescent="0.35"/>
    <row r="30437" hidden="1" x14ac:dyDescent="0.35"/>
    <row r="30438" hidden="1" x14ac:dyDescent="0.35"/>
    <row r="30439" hidden="1" x14ac:dyDescent="0.35"/>
    <row r="30440" hidden="1" x14ac:dyDescent="0.35"/>
    <row r="30441" hidden="1" x14ac:dyDescent="0.35"/>
    <row r="30442" hidden="1" x14ac:dyDescent="0.35"/>
    <row r="30443" hidden="1" x14ac:dyDescent="0.35"/>
    <row r="30444" hidden="1" x14ac:dyDescent="0.35"/>
    <row r="30445" hidden="1" x14ac:dyDescent="0.35"/>
    <row r="30446" hidden="1" x14ac:dyDescent="0.35"/>
    <row r="30447" hidden="1" x14ac:dyDescent="0.35"/>
    <row r="30448" hidden="1" x14ac:dyDescent="0.35"/>
    <row r="30449" hidden="1" x14ac:dyDescent="0.35"/>
    <row r="30450" hidden="1" x14ac:dyDescent="0.35"/>
    <row r="30451" hidden="1" x14ac:dyDescent="0.35"/>
    <row r="30452" hidden="1" x14ac:dyDescent="0.35"/>
    <row r="30453" hidden="1" x14ac:dyDescent="0.35"/>
    <row r="30454" hidden="1" x14ac:dyDescent="0.35"/>
    <row r="30455" hidden="1" x14ac:dyDescent="0.35"/>
    <row r="30456" hidden="1" x14ac:dyDescent="0.35"/>
    <row r="30457" hidden="1" x14ac:dyDescent="0.35"/>
    <row r="30458" hidden="1" x14ac:dyDescent="0.35"/>
    <row r="30459" hidden="1" x14ac:dyDescent="0.35"/>
    <row r="30460" hidden="1" x14ac:dyDescent="0.35"/>
    <row r="30461" hidden="1" x14ac:dyDescent="0.35"/>
    <row r="30462" hidden="1" x14ac:dyDescent="0.35"/>
    <row r="30463" hidden="1" x14ac:dyDescent="0.35"/>
    <row r="30464" hidden="1" x14ac:dyDescent="0.35"/>
    <row r="30465" hidden="1" x14ac:dyDescent="0.35"/>
    <row r="30466" hidden="1" x14ac:dyDescent="0.35"/>
    <row r="30467" hidden="1" x14ac:dyDescent="0.35"/>
    <row r="30468" hidden="1" x14ac:dyDescent="0.35"/>
    <row r="30469" hidden="1" x14ac:dyDescent="0.35"/>
    <row r="30470" hidden="1" x14ac:dyDescent="0.35"/>
    <row r="30471" hidden="1" x14ac:dyDescent="0.35"/>
    <row r="30472" hidden="1" x14ac:dyDescent="0.35"/>
    <row r="30473" hidden="1" x14ac:dyDescent="0.35"/>
    <row r="30474" hidden="1" x14ac:dyDescent="0.35"/>
    <row r="30475" hidden="1" x14ac:dyDescent="0.35"/>
    <row r="30476" hidden="1" x14ac:dyDescent="0.35"/>
    <row r="30477" hidden="1" x14ac:dyDescent="0.35"/>
    <row r="30478" hidden="1" x14ac:dyDescent="0.35"/>
    <row r="30479" hidden="1" x14ac:dyDescent="0.35"/>
    <row r="30480" hidden="1" x14ac:dyDescent="0.35"/>
    <row r="30481" hidden="1" x14ac:dyDescent="0.35"/>
    <row r="30482" hidden="1" x14ac:dyDescent="0.35"/>
    <row r="30483" hidden="1" x14ac:dyDescent="0.35"/>
    <row r="30484" hidden="1" x14ac:dyDescent="0.35"/>
    <row r="30485" hidden="1" x14ac:dyDescent="0.35"/>
    <row r="30486" hidden="1" x14ac:dyDescent="0.35"/>
    <row r="30487" hidden="1" x14ac:dyDescent="0.35"/>
    <row r="30488" hidden="1" x14ac:dyDescent="0.35"/>
    <row r="30489" hidden="1" x14ac:dyDescent="0.35"/>
    <row r="30490" hidden="1" x14ac:dyDescent="0.35"/>
    <row r="30491" hidden="1" x14ac:dyDescent="0.35"/>
    <row r="30492" hidden="1" x14ac:dyDescent="0.35"/>
    <row r="30493" hidden="1" x14ac:dyDescent="0.35"/>
    <row r="30494" hidden="1" x14ac:dyDescent="0.35"/>
    <row r="30495" hidden="1" x14ac:dyDescent="0.35"/>
    <row r="30496" hidden="1" x14ac:dyDescent="0.35"/>
    <row r="30497" hidden="1" x14ac:dyDescent="0.35"/>
    <row r="30498" hidden="1" x14ac:dyDescent="0.35"/>
    <row r="30499" hidden="1" x14ac:dyDescent="0.35"/>
    <row r="30500" hidden="1" x14ac:dyDescent="0.35"/>
    <row r="30501" hidden="1" x14ac:dyDescent="0.35"/>
    <row r="30502" hidden="1" x14ac:dyDescent="0.35"/>
    <row r="30503" hidden="1" x14ac:dyDescent="0.35"/>
    <row r="30504" hidden="1" x14ac:dyDescent="0.35"/>
    <row r="30505" hidden="1" x14ac:dyDescent="0.35"/>
    <row r="30506" hidden="1" x14ac:dyDescent="0.35"/>
    <row r="30507" hidden="1" x14ac:dyDescent="0.35"/>
    <row r="30508" hidden="1" x14ac:dyDescent="0.35"/>
    <row r="30509" hidden="1" x14ac:dyDescent="0.35"/>
    <row r="30510" hidden="1" x14ac:dyDescent="0.35"/>
    <row r="30511" hidden="1" x14ac:dyDescent="0.35"/>
    <row r="30512" hidden="1" x14ac:dyDescent="0.35"/>
    <row r="30513" hidden="1" x14ac:dyDescent="0.35"/>
    <row r="30514" hidden="1" x14ac:dyDescent="0.35"/>
    <row r="30515" hidden="1" x14ac:dyDescent="0.35"/>
    <row r="30516" hidden="1" x14ac:dyDescent="0.35"/>
    <row r="30517" hidden="1" x14ac:dyDescent="0.35"/>
    <row r="30518" hidden="1" x14ac:dyDescent="0.35"/>
    <row r="30519" hidden="1" x14ac:dyDescent="0.35"/>
    <row r="30520" hidden="1" x14ac:dyDescent="0.35"/>
    <row r="30521" hidden="1" x14ac:dyDescent="0.35"/>
    <row r="30522" hidden="1" x14ac:dyDescent="0.35"/>
    <row r="30523" hidden="1" x14ac:dyDescent="0.35"/>
    <row r="30524" hidden="1" x14ac:dyDescent="0.35"/>
    <row r="30525" hidden="1" x14ac:dyDescent="0.35"/>
    <row r="30526" hidden="1" x14ac:dyDescent="0.35"/>
    <row r="30527" hidden="1" x14ac:dyDescent="0.35"/>
    <row r="30528" hidden="1" x14ac:dyDescent="0.35"/>
    <row r="30529" hidden="1" x14ac:dyDescent="0.35"/>
    <row r="30530" hidden="1" x14ac:dyDescent="0.35"/>
    <row r="30531" hidden="1" x14ac:dyDescent="0.35"/>
    <row r="30532" hidden="1" x14ac:dyDescent="0.35"/>
    <row r="30533" hidden="1" x14ac:dyDescent="0.35"/>
    <row r="30534" hidden="1" x14ac:dyDescent="0.35"/>
    <row r="30535" hidden="1" x14ac:dyDescent="0.35"/>
    <row r="30536" hidden="1" x14ac:dyDescent="0.35"/>
    <row r="30537" hidden="1" x14ac:dyDescent="0.35"/>
    <row r="30538" hidden="1" x14ac:dyDescent="0.35"/>
    <row r="30539" hidden="1" x14ac:dyDescent="0.35"/>
    <row r="30540" hidden="1" x14ac:dyDescent="0.35"/>
    <row r="30541" hidden="1" x14ac:dyDescent="0.35"/>
    <row r="30542" hidden="1" x14ac:dyDescent="0.35"/>
    <row r="30543" hidden="1" x14ac:dyDescent="0.35"/>
    <row r="30544" hidden="1" x14ac:dyDescent="0.35"/>
    <row r="30545" hidden="1" x14ac:dyDescent="0.35"/>
    <row r="30546" hidden="1" x14ac:dyDescent="0.35"/>
    <row r="30547" hidden="1" x14ac:dyDescent="0.35"/>
    <row r="30548" hidden="1" x14ac:dyDescent="0.35"/>
    <row r="30549" hidden="1" x14ac:dyDescent="0.35"/>
    <row r="30550" hidden="1" x14ac:dyDescent="0.35"/>
    <row r="30551" hidden="1" x14ac:dyDescent="0.35"/>
    <row r="30552" hidden="1" x14ac:dyDescent="0.35"/>
    <row r="30553" hidden="1" x14ac:dyDescent="0.35"/>
    <row r="30554" hidden="1" x14ac:dyDescent="0.35"/>
    <row r="30555" hidden="1" x14ac:dyDescent="0.35"/>
    <row r="30556" hidden="1" x14ac:dyDescent="0.35"/>
    <row r="30557" hidden="1" x14ac:dyDescent="0.35"/>
    <row r="30558" hidden="1" x14ac:dyDescent="0.35"/>
    <row r="30559" hidden="1" x14ac:dyDescent="0.35"/>
    <row r="30560" hidden="1" x14ac:dyDescent="0.35"/>
    <row r="30561" hidden="1" x14ac:dyDescent="0.35"/>
    <row r="30562" hidden="1" x14ac:dyDescent="0.35"/>
    <row r="30563" hidden="1" x14ac:dyDescent="0.35"/>
    <row r="30564" hidden="1" x14ac:dyDescent="0.35"/>
    <row r="30565" hidden="1" x14ac:dyDescent="0.35"/>
    <row r="30566" hidden="1" x14ac:dyDescent="0.35"/>
    <row r="30567" hidden="1" x14ac:dyDescent="0.35"/>
    <row r="30568" hidden="1" x14ac:dyDescent="0.35"/>
    <row r="30569" hidden="1" x14ac:dyDescent="0.35"/>
    <row r="30570" hidden="1" x14ac:dyDescent="0.35"/>
    <row r="30571" hidden="1" x14ac:dyDescent="0.35"/>
    <row r="30572" hidden="1" x14ac:dyDescent="0.35"/>
    <row r="30573" hidden="1" x14ac:dyDescent="0.35"/>
    <row r="30574" hidden="1" x14ac:dyDescent="0.35"/>
    <row r="30575" hidden="1" x14ac:dyDescent="0.35"/>
    <row r="30576" hidden="1" x14ac:dyDescent="0.35"/>
    <row r="30577" hidden="1" x14ac:dyDescent="0.35"/>
    <row r="30578" hidden="1" x14ac:dyDescent="0.35"/>
    <row r="30579" hidden="1" x14ac:dyDescent="0.35"/>
    <row r="30580" hidden="1" x14ac:dyDescent="0.35"/>
    <row r="30581" hidden="1" x14ac:dyDescent="0.35"/>
    <row r="30582" hidden="1" x14ac:dyDescent="0.35"/>
    <row r="30583" hidden="1" x14ac:dyDescent="0.35"/>
    <row r="30584" hidden="1" x14ac:dyDescent="0.35"/>
    <row r="30585" hidden="1" x14ac:dyDescent="0.35"/>
    <row r="30586" hidden="1" x14ac:dyDescent="0.35"/>
    <row r="30587" hidden="1" x14ac:dyDescent="0.35"/>
    <row r="30588" hidden="1" x14ac:dyDescent="0.35"/>
    <row r="30589" hidden="1" x14ac:dyDescent="0.35"/>
    <row r="30590" hidden="1" x14ac:dyDescent="0.35"/>
    <row r="30591" hidden="1" x14ac:dyDescent="0.35"/>
    <row r="30592" hidden="1" x14ac:dyDescent="0.35"/>
    <row r="30593" hidden="1" x14ac:dyDescent="0.35"/>
    <row r="30594" hidden="1" x14ac:dyDescent="0.35"/>
    <row r="30595" hidden="1" x14ac:dyDescent="0.35"/>
    <row r="30596" hidden="1" x14ac:dyDescent="0.35"/>
    <row r="30597" hidden="1" x14ac:dyDescent="0.35"/>
    <row r="30598" hidden="1" x14ac:dyDescent="0.35"/>
    <row r="30599" hidden="1" x14ac:dyDescent="0.35"/>
    <row r="30600" hidden="1" x14ac:dyDescent="0.35"/>
    <row r="30601" hidden="1" x14ac:dyDescent="0.35"/>
    <row r="30602" hidden="1" x14ac:dyDescent="0.35"/>
    <row r="30603" hidden="1" x14ac:dyDescent="0.35"/>
    <row r="30604" hidden="1" x14ac:dyDescent="0.35"/>
    <row r="30605" hidden="1" x14ac:dyDescent="0.35"/>
    <row r="30606" hidden="1" x14ac:dyDescent="0.35"/>
    <row r="30607" hidden="1" x14ac:dyDescent="0.35"/>
    <row r="30608" hidden="1" x14ac:dyDescent="0.35"/>
    <row r="30609" hidden="1" x14ac:dyDescent="0.35"/>
    <row r="30610" hidden="1" x14ac:dyDescent="0.35"/>
    <row r="30611" hidden="1" x14ac:dyDescent="0.35"/>
    <row r="30612" hidden="1" x14ac:dyDescent="0.35"/>
    <row r="30613" hidden="1" x14ac:dyDescent="0.35"/>
    <row r="30614" hidden="1" x14ac:dyDescent="0.35"/>
    <row r="30615" hidden="1" x14ac:dyDescent="0.35"/>
    <row r="30616" hidden="1" x14ac:dyDescent="0.35"/>
    <row r="30617" hidden="1" x14ac:dyDescent="0.35"/>
    <row r="30618" hidden="1" x14ac:dyDescent="0.35"/>
    <row r="30619" hidden="1" x14ac:dyDescent="0.35"/>
    <row r="30620" hidden="1" x14ac:dyDescent="0.35"/>
    <row r="30621" hidden="1" x14ac:dyDescent="0.35"/>
    <row r="30622" hidden="1" x14ac:dyDescent="0.35"/>
    <row r="30623" hidden="1" x14ac:dyDescent="0.35"/>
    <row r="30624" hidden="1" x14ac:dyDescent="0.35"/>
    <row r="30625" hidden="1" x14ac:dyDescent="0.35"/>
    <row r="30626" hidden="1" x14ac:dyDescent="0.35"/>
    <row r="30627" hidden="1" x14ac:dyDescent="0.35"/>
    <row r="30628" hidden="1" x14ac:dyDescent="0.35"/>
    <row r="30629" hidden="1" x14ac:dyDescent="0.35"/>
    <row r="30630" hidden="1" x14ac:dyDescent="0.35"/>
    <row r="30631" hidden="1" x14ac:dyDescent="0.35"/>
    <row r="30632" hidden="1" x14ac:dyDescent="0.35"/>
    <row r="30633" hidden="1" x14ac:dyDescent="0.35"/>
    <row r="30634" hidden="1" x14ac:dyDescent="0.35"/>
    <row r="30635" hidden="1" x14ac:dyDescent="0.35"/>
    <row r="30636" hidden="1" x14ac:dyDescent="0.35"/>
    <row r="30637" hidden="1" x14ac:dyDescent="0.35"/>
    <row r="30638" hidden="1" x14ac:dyDescent="0.35"/>
    <row r="30639" hidden="1" x14ac:dyDescent="0.35"/>
    <row r="30640" hidden="1" x14ac:dyDescent="0.35"/>
    <row r="30641" hidden="1" x14ac:dyDescent="0.35"/>
    <row r="30642" hidden="1" x14ac:dyDescent="0.35"/>
    <row r="30643" hidden="1" x14ac:dyDescent="0.35"/>
    <row r="30644" hidden="1" x14ac:dyDescent="0.35"/>
    <row r="30645" hidden="1" x14ac:dyDescent="0.35"/>
    <row r="30646" hidden="1" x14ac:dyDescent="0.35"/>
    <row r="30647" hidden="1" x14ac:dyDescent="0.35"/>
    <row r="30648" hidden="1" x14ac:dyDescent="0.35"/>
    <row r="30649" hidden="1" x14ac:dyDescent="0.35"/>
    <row r="30650" hidden="1" x14ac:dyDescent="0.35"/>
    <row r="30651" hidden="1" x14ac:dyDescent="0.35"/>
    <row r="30652" hidden="1" x14ac:dyDescent="0.35"/>
    <row r="30653" hidden="1" x14ac:dyDescent="0.35"/>
    <row r="30654" hidden="1" x14ac:dyDescent="0.35"/>
    <row r="30655" hidden="1" x14ac:dyDescent="0.35"/>
    <row r="30656" hidden="1" x14ac:dyDescent="0.35"/>
    <row r="30657" hidden="1" x14ac:dyDescent="0.35"/>
    <row r="30658" hidden="1" x14ac:dyDescent="0.35"/>
    <row r="30659" hidden="1" x14ac:dyDescent="0.35"/>
    <row r="30660" hidden="1" x14ac:dyDescent="0.35"/>
    <row r="30661" hidden="1" x14ac:dyDescent="0.35"/>
    <row r="30662" hidden="1" x14ac:dyDescent="0.35"/>
    <row r="30663" hidden="1" x14ac:dyDescent="0.35"/>
    <row r="30664" hidden="1" x14ac:dyDescent="0.35"/>
    <row r="30665" hidden="1" x14ac:dyDescent="0.35"/>
    <row r="30666" hidden="1" x14ac:dyDescent="0.35"/>
    <row r="30667" hidden="1" x14ac:dyDescent="0.35"/>
    <row r="30668" hidden="1" x14ac:dyDescent="0.35"/>
    <row r="30669" hidden="1" x14ac:dyDescent="0.35"/>
    <row r="30670" hidden="1" x14ac:dyDescent="0.35"/>
    <row r="30671" hidden="1" x14ac:dyDescent="0.35"/>
    <row r="30672" hidden="1" x14ac:dyDescent="0.35"/>
    <row r="30673" hidden="1" x14ac:dyDescent="0.35"/>
    <row r="30674" hidden="1" x14ac:dyDescent="0.35"/>
    <row r="30675" hidden="1" x14ac:dyDescent="0.35"/>
    <row r="30676" hidden="1" x14ac:dyDescent="0.35"/>
    <row r="30677" hidden="1" x14ac:dyDescent="0.35"/>
    <row r="30678" hidden="1" x14ac:dyDescent="0.35"/>
    <row r="30679" hidden="1" x14ac:dyDescent="0.35"/>
    <row r="30680" hidden="1" x14ac:dyDescent="0.35"/>
    <row r="30681" hidden="1" x14ac:dyDescent="0.35"/>
    <row r="30682" hidden="1" x14ac:dyDescent="0.35"/>
    <row r="30683" hidden="1" x14ac:dyDescent="0.35"/>
    <row r="30684" hidden="1" x14ac:dyDescent="0.35"/>
    <row r="30685" hidden="1" x14ac:dyDescent="0.35"/>
    <row r="30686" hidden="1" x14ac:dyDescent="0.35"/>
    <row r="30687" hidden="1" x14ac:dyDescent="0.35"/>
    <row r="30688" hidden="1" x14ac:dyDescent="0.35"/>
    <row r="30689" hidden="1" x14ac:dyDescent="0.35"/>
    <row r="30690" hidden="1" x14ac:dyDescent="0.35"/>
    <row r="30691" hidden="1" x14ac:dyDescent="0.35"/>
    <row r="30692" hidden="1" x14ac:dyDescent="0.35"/>
    <row r="30693" hidden="1" x14ac:dyDescent="0.35"/>
    <row r="30694" hidden="1" x14ac:dyDescent="0.35"/>
    <row r="30695" hidden="1" x14ac:dyDescent="0.35"/>
    <row r="30696" hidden="1" x14ac:dyDescent="0.35"/>
    <row r="30697" hidden="1" x14ac:dyDescent="0.35"/>
    <row r="30698" hidden="1" x14ac:dyDescent="0.35"/>
    <row r="30699" hidden="1" x14ac:dyDescent="0.35"/>
    <row r="30700" hidden="1" x14ac:dyDescent="0.35"/>
    <row r="30701" hidden="1" x14ac:dyDescent="0.35"/>
    <row r="30702" hidden="1" x14ac:dyDescent="0.35"/>
    <row r="30703" hidden="1" x14ac:dyDescent="0.35"/>
    <row r="30704" hidden="1" x14ac:dyDescent="0.35"/>
    <row r="30705" hidden="1" x14ac:dyDescent="0.35"/>
    <row r="30706" hidden="1" x14ac:dyDescent="0.35"/>
    <row r="30707" hidden="1" x14ac:dyDescent="0.35"/>
    <row r="30708" hidden="1" x14ac:dyDescent="0.35"/>
    <row r="30709" hidden="1" x14ac:dyDescent="0.35"/>
    <row r="30710" hidden="1" x14ac:dyDescent="0.35"/>
    <row r="30711" hidden="1" x14ac:dyDescent="0.35"/>
    <row r="30712" hidden="1" x14ac:dyDescent="0.35"/>
    <row r="30713" hidden="1" x14ac:dyDescent="0.35"/>
    <row r="30714" hidden="1" x14ac:dyDescent="0.35"/>
    <row r="30715" hidden="1" x14ac:dyDescent="0.35"/>
    <row r="30716" hidden="1" x14ac:dyDescent="0.35"/>
    <row r="30717" hidden="1" x14ac:dyDescent="0.35"/>
    <row r="30718" hidden="1" x14ac:dyDescent="0.35"/>
    <row r="30719" hidden="1" x14ac:dyDescent="0.35"/>
    <row r="30720" hidden="1" x14ac:dyDescent="0.35"/>
    <row r="30721" hidden="1" x14ac:dyDescent="0.35"/>
    <row r="30722" hidden="1" x14ac:dyDescent="0.35"/>
    <row r="30723" hidden="1" x14ac:dyDescent="0.35"/>
    <row r="30724" hidden="1" x14ac:dyDescent="0.35"/>
    <row r="30725" hidden="1" x14ac:dyDescent="0.35"/>
    <row r="30726" hidden="1" x14ac:dyDescent="0.35"/>
    <row r="30727" hidden="1" x14ac:dyDescent="0.35"/>
    <row r="30728" hidden="1" x14ac:dyDescent="0.35"/>
    <row r="30729" hidden="1" x14ac:dyDescent="0.35"/>
    <row r="30730" hidden="1" x14ac:dyDescent="0.35"/>
    <row r="30731" hidden="1" x14ac:dyDescent="0.35"/>
    <row r="30732" hidden="1" x14ac:dyDescent="0.35"/>
    <row r="30733" hidden="1" x14ac:dyDescent="0.35"/>
    <row r="30734" hidden="1" x14ac:dyDescent="0.35"/>
    <row r="30735" hidden="1" x14ac:dyDescent="0.35"/>
    <row r="30736" hidden="1" x14ac:dyDescent="0.35"/>
    <row r="30737" hidden="1" x14ac:dyDescent="0.35"/>
    <row r="30738" hidden="1" x14ac:dyDescent="0.35"/>
    <row r="30739" hidden="1" x14ac:dyDescent="0.35"/>
    <row r="30740" hidden="1" x14ac:dyDescent="0.35"/>
    <row r="30741" hidden="1" x14ac:dyDescent="0.35"/>
    <row r="30742" hidden="1" x14ac:dyDescent="0.35"/>
    <row r="30743" hidden="1" x14ac:dyDescent="0.35"/>
    <row r="30744" hidden="1" x14ac:dyDescent="0.35"/>
    <row r="30745" hidden="1" x14ac:dyDescent="0.35"/>
    <row r="30746" hidden="1" x14ac:dyDescent="0.35"/>
    <row r="30747" hidden="1" x14ac:dyDescent="0.35"/>
    <row r="30748" hidden="1" x14ac:dyDescent="0.35"/>
    <row r="30749" hidden="1" x14ac:dyDescent="0.35"/>
    <row r="30750" hidden="1" x14ac:dyDescent="0.35"/>
    <row r="30751" hidden="1" x14ac:dyDescent="0.35"/>
    <row r="30752" hidden="1" x14ac:dyDescent="0.35"/>
    <row r="30753" hidden="1" x14ac:dyDescent="0.35"/>
    <row r="30754" hidden="1" x14ac:dyDescent="0.35"/>
    <row r="30755" hidden="1" x14ac:dyDescent="0.35"/>
    <row r="30756" hidden="1" x14ac:dyDescent="0.35"/>
    <row r="30757" hidden="1" x14ac:dyDescent="0.35"/>
    <row r="30758" hidden="1" x14ac:dyDescent="0.35"/>
    <row r="30759" hidden="1" x14ac:dyDescent="0.35"/>
    <row r="30760" hidden="1" x14ac:dyDescent="0.35"/>
    <row r="30761" hidden="1" x14ac:dyDescent="0.35"/>
    <row r="30762" hidden="1" x14ac:dyDescent="0.35"/>
    <row r="30763" hidden="1" x14ac:dyDescent="0.35"/>
    <row r="30764" hidden="1" x14ac:dyDescent="0.35"/>
    <row r="30765" hidden="1" x14ac:dyDescent="0.35"/>
    <row r="30766" hidden="1" x14ac:dyDescent="0.35"/>
    <row r="30767" hidden="1" x14ac:dyDescent="0.35"/>
    <row r="30768" hidden="1" x14ac:dyDescent="0.35"/>
    <row r="30769" hidden="1" x14ac:dyDescent="0.35"/>
    <row r="30770" hidden="1" x14ac:dyDescent="0.35"/>
    <row r="30771" hidden="1" x14ac:dyDescent="0.35"/>
    <row r="30772" hidden="1" x14ac:dyDescent="0.35"/>
    <row r="30773" hidden="1" x14ac:dyDescent="0.35"/>
    <row r="30774" hidden="1" x14ac:dyDescent="0.35"/>
    <row r="30775" hidden="1" x14ac:dyDescent="0.35"/>
    <row r="30776" hidden="1" x14ac:dyDescent="0.35"/>
    <row r="30777" hidden="1" x14ac:dyDescent="0.35"/>
    <row r="30778" hidden="1" x14ac:dyDescent="0.35"/>
    <row r="30779" hidden="1" x14ac:dyDescent="0.35"/>
    <row r="30780" hidden="1" x14ac:dyDescent="0.35"/>
    <row r="30781" hidden="1" x14ac:dyDescent="0.35"/>
    <row r="30782" hidden="1" x14ac:dyDescent="0.35"/>
    <row r="30783" hidden="1" x14ac:dyDescent="0.35"/>
    <row r="30784" hidden="1" x14ac:dyDescent="0.35"/>
    <row r="30785" hidden="1" x14ac:dyDescent="0.35"/>
    <row r="30786" hidden="1" x14ac:dyDescent="0.35"/>
    <row r="30787" hidden="1" x14ac:dyDescent="0.35"/>
    <row r="30788" hidden="1" x14ac:dyDescent="0.35"/>
    <row r="30789" hidden="1" x14ac:dyDescent="0.35"/>
    <row r="30790" hidden="1" x14ac:dyDescent="0.35"/>
    <row r="30791" hidden="1" x14ac:dyDescent="0.35"/>
    <row r="30792" hidden="1" x14ac:dyDescent="0.35"/>
    <row r="30793" hidden="1" x14ac:dyDescent="0.35"/>
    <row r="30794" hidden="1" x14ac:dyDescent="0.35"/>
    <row r="30795" hidden="1" x14ac:dyDescent="0.35"/>
    <row r="30796" hidden="1" x14ac:dyDescent="0.35"/>
    <row r="30797" hidden="1" x14ac:dyDescent="0.35"/>
    <row r="30798" hidden="1" x14ac:dyDescent="0.35"/>
    <row r="30799" hidden="1" x14ac:dyDescent="0.35"/>
    <row r="30800" hidden="1" x14ac:dyDescent="0.35"/>
    <row r="30801" hidden="1" x14ac:dyDescent="0.35"/>
    <row r="30802" hidden="1" x14ac:dyDescent="0.35"/>
    <row r="30803" hidden="1" x14ac:dyDescent="0.35"/>
    <row r="30804" hidden="1" x14ac:dyDescent="0.35"/>
    <row r="30805" hidden="1" x14ac:dyDescent="0.35"/>
    <row r="30806" hidden="1" x14ac:dyDescent="0.35"/>
    <row r="30807" hidden="1" x14ac:dyDescent="0.35"/>
    <row r="30808" hidden="1" x14ac:dyDescent="0.35"/>
    <row r="30809" hidden="1" x14ac:dyDescent="0.35"/>
    <row r="30810" hidden="1" x14ac:dyDescent="0.35"/>
    <row r="30811" hidden="1" x14ac:dyDescent="0.35"/>
    <row r="30812" hidden="1" x14ac:dyDescent="0.35"/>
    <row r="30813" hidden="1" x14ac:dyDescent="0.35"/>
    <row r="30814" hidden="1" x14ac:dyDescent="0.35"/>
    <row r="30815" hidden="1" x14ac:dyDescent="0.35"/>
    <row r="30816" hidden="1" x14ac:dyDescent="0.35"/>
    <row r="30817" hidden="1" x14ac:dyDescent="0.35"/>
    <row r="30818" hidden="1" x14ac:dyDescent="0.35"/>
    <row r="30819" hidden="1" x14ac:dyDescent="0.35"/>
    <row r="30820" hidden="1" x14ac:dyDescent="0.35"/>
    <row r="30821" hidden="1" x14ac:dyDescent="0.35"/>
    <row r="30822" hidden="1" x14ac:dyDescent="0.35"/>
    <row r="30823" hidden="1" x14ac:dyDescent="0.35"/>
    <row r="30824" hidden="1" x14ac:dyDescent="0.35"/>
    <row r="30825" hidden="1" x14ac:dyDescent="0.35"/>
    <row r="30826" hidden="1" x14ac:dyDescent="0.35"/>
    <row r="30827" hidden="1" x14ac:dyDescent="0.35"/>
    <row r="30828" hidden="1" x14ac:dyDescent="0.35"/>
    <row r="30829" hidden="1" x14ac:dyDescent="0.35"/>
    <row r="30830" hidden="1" x14ac:dyDescent="0.35"/>
    <row r="30831" hidden="1" x14ac:dyDescent="0.35"/>
    <row r="30832" hidden="1" x14ac:dyDescent="0.35"/>
    <row r="30833" hidden="1" x14ac:dyDescent="0.35"/>
    <row r="30834" hidden="1" x14ac:dyDescent="0.35"/>
    <row r="30835" hidden="1" x14ac:dyDescent="0.35"/>
    <row r="30836" hidden="1" x14ac:dyDescent="0.35"/>
    <row r="30837" hidden="1" x14ac:dyDescent="0.35"/>
    <row r="30838" hidden="1" x14ac:dyDescent="0.35"/>
    <row r="30839" hidden="1" x14ac:dyDescent="0.35"/>
    <row r="30840" hidden="1" x14ac:dyDescent="0.35"/>
    <row r="30841" hidden="1" x14ac:dyDescent="0.35"/>
    <row r="30842" hidden="1" x14ac:dyDescent="0.35"/>
    <row r="30843" hidden="1" x14ac:dyDescent="0.35"/>
    <row r="30844" hidden="1" x14ac:dyDescent="0.35"/>
    <row r="30845" hidden="1" x14ac:dyDescent="0.35"/>
    <row r="30846" hidden="1" x14ac:dyDescent="0.35"/>
    <row r="30847" hidden="1" x14ac:dyDescent="0.35"/>
    <row r="30848" hidden="1" x14ac:dyDescent="0.35"/>
    <row r="30849" hidden="1" x14ac:dyDescent="0.35"/>
    <row r="30850" hidden="1" x14ac:dyDescent="0.35"/>
    <row r="30851" hidden="1" x14ac:dyDescent="0.35"/>
    <row r="30852" hidden="1" x14ac:dyDescent="0.35"/>
    <row r="30853" hidden="1" x14ac:dyDescent="0.35"/>
    <row r="30854" hidden="1" x14ac:dyDescent="0.35"/>
    <row r="30855" hidden="1" x14ac:dyDescent="0.35"/>
    <row r="30856" hidden="1" x14ac:dyDescent="0.35"/>
    <row r="30857" hidden="1" x14ac:dyDescent="0.35"/>
    <row r="30858" hidden="1" x14ac:dyDescent="0.35"/>
    <row r="30859" hidden="1" x14ac:dyDescent="0.35"/>
    <row r="30860" hidden="1" x14ac:dyDescent="0.35"/>
    <row r="30861" hidden="1" x14ac:dyDescent="0.35"/>
    <row r="30862" hidden="1" x14ac:dyDescent="0.35"/>
    <row r="30863" hidden="1" x14ac:dyDescent="0.35"/>
    <row r="30864" hidden="1" x14ac:dyDescent="0.35"/>
    <row r="30865" hidden="1" x14ac:dyDescent="0.35"/>
    <row r="30866" hidden="1" x14ac:dyDescent="0.35"/>
    <row r="30867" hidden="1" x14ac:dyDescent="0.35"/>
    <row r="30868" hidden="1" x14ac:dyDescent="0.35"/>
    <row r="30869" hidden="1" x14ac:dyDescent="0.35"/>
    <row r="30870" hidden="1" x14ac:dyDescent="0.35"/>
    <row r="30871" hidden="1" x14ac:dyDescent="0.35"/>
    <row r="30872" hidden="1" x14ac:dyDescent="0.35"/>
    <row r="30873" hidden="1" x14ac:dyDescent="0.35"/>
    <row r="30874" hidden="1" x14ac:dyDescent="0.35"/>
    <row r="30875" hidden="1" x14ac:dyDescent="0.35"/>
    <row r="30876" hidden="1" x14ac:dyDescent="0.35"/>
    <row r="30877" hidden="1" x14ac:dyDescent="0.35"/>
    <row r="30878" hidden="1" x14ac:dyDescent="0.35"/>
    <row r="30879" hidden="1" x14ac:dyDescent="0.35"/>
    <row r="30880" hidden="1" x14ac:dyDescent="0.35"/>
    <row r="30881" hidden="1" x14ac:dyDescent="0.35"/>
    <row r="30882" hidden="1" x14ac:dyDescent="0.35"/>
    <row r="30883" hidden="1" x14ac:dyDescent="0.35"/>
    <row r="30884" hidden="1" x14ac:dyDescent="0.35"/>
    <row r="30885" hidden="1" x14ac:dyDescent="0.35"/>
    <row r="30886" hidden="1" x14ac:dyDescent="0.35"/>
    <row r="30887" hidden="1" x14ac:dyDescent="0.35"/>
    <row r="30888" hidden="1" x14ac:dyDescent="0.35"/>
    <row r="30889" hidden="1" x14ac:dyDescent="0.35"/>
    <row r="30890" hidden="1" x14ac:dyDescent="0.35"/>
    <row r="30891" hidden="1" x14ac:dyDescent="0.35"/>
    <row r="30892" hidden="1" x14ac:dyDescent="0.35"/>
    <row r="30893" hidden="1" x14ac:dyDescent="0.35"/>
    <row r="30894" hidden="1" x14ac:dyDescent="0.35"/>
    <row r="30895" hidden="1" x14ac:dyDescent="0.35"/>
    <row r="30896" hidden="1" x14ac:dyDescent="0.35"/>
    <row r="30897" hidden="1" x14ac:dyDescent="0.35"/>
    <row r="30898" hidden="1" x14ac:dyDescent="0.35"/>
    <row r="30899" hidden="1" x14ac:dyDescent="0.35"/>
    <row r="30900" hidden="1" x14ac:dyDescent="0.35"/>
    <row r="30901" hidden="1" x14ac:dyDescent="0.35"/>
    <row r="30902" hidden="1" x14ac:dyDescent="0.35"/>
    <row r="30903" hidden="1" x14ac:dyDescent="0.35"/>
    <row r="30904" hidden="1" x14ac:dyDescent="0.35"/>
    <row r="30905" hidden="1" x14ac:dyDescent="0.35"/>
    <row r="30906" hidden="1" x14ac:dyDescent="0.35"/>
    <row r="30907" hidden="1" x14ac:dyDescent="0.35"/>
    <row r="30908" hidden="1" x14ac:dyDescent="0.35"/>
    <row r="30909" hidden="1" x14ac:dyDescent="0.35"/>
    <row r="30910" hidden="1" x14ac:dyDescent="0.35"/>
    <row r="30911" hidden="1" x14ac:dyDescent="0.35"/>
    <row r="30912" hidden="1" x14ac:dyDescent="0.35"/>
    <row r="30913" hidden="1" x14ac:dyDescent="0.35"/>
    <row r="30914" hidden="1" x14ac:dyDescent="0.35"/>
    <row r="30915" hidden="1" x14ac:dyDescent="0.35"/>
    <row r="30916" hidden="1" x14ac:dyDescent="0.35"/>
    <row r="30917" hidden="1" x14ac:dyDescent="0.35"/>
    <row r="30918" hidden="1" x14ac:dyDescent="0.35"/>
    <row r="30919" hidden="1" x14ac:dyDescent="0.35"/>
    <row r="30920" hidden="1" x14ac:dyDescent="0.35"/>
    <row r="30921" hidden="1" x14ac:dyDescent="0.35"/>
    <row r="30922" hidden="1" x14ac:dyDescent="0.35"/>
    <row r="30923" hidden="1" x14ac:dyDescent="0.35"/>
    <row r="30924" hidden="1" x14ac:dyDescent="0.35"/>
    <row r="30925" hidden="1" x14ac:dyDescent="0.35"/>
    <row r="30926" hidden="1" x14ac:dyDescent="0.35"/>
    <row r="30927" hidden="1" x14ac:dyDescent="0.35"/>
    <row r="30928" hidden="1" x14ac:dyDescent="0.35"/>
    <row r="30929" hidden="1" x14ac:dyDescent="0.35"/>
    <row r="30930" hidden="1" x14ac:dyDescent="0.35"/>
    <row r="30931" hidden="1" x14ac:dyDescent="0.35"/>
    <row r="30932" hidden="1" x14ac:dyDescent="0.35"/>
    <row r="30933" hidden="1" x14ac:dyDescent="0.35"/>
    <row r="30934" hidden="1" x14ac:dyDescent="0.35"/>
    <row r="30935" hidden="1" x14ac:dyDescent="0.35"/>
    <row r="30936" hidden="1" x14ac:dyDescent="0.35"/>
    <row r="30937" hidden="1" x14ac:dyDescent="0.35"/>
    <row r="30938" hidden="1" x14ac:dyDescent="0.35"/>
    <row r="30939" hidden="1" x14ac:dyDescent="0.35"/>
    <row r="30940" hidden="1" x14ac:dyDescent="0.35"/>
    <row r="30941" hidden="1" x14ac:dyDescent="0.35"/>
    <row r="30942" hidden="1" x14ac:dyDescent="0.35"/>
    <row r="30943" hidden="1" x14ac:dyDescent="0.35"/>
    <row r="30944" hidden="1" x14ac:dyDescent="0.35"/>
    <row r="30945" hidden="1" x14ac:dyDescent="0.35"/>
    <row r="30946" hidden="1" x14ac:dyDescent="0.35"/>
    <row r="30947" hidden="1" x14ac:dyDescent="0.35"/>
    <row r="30948" hidden="1" x14ac:dyDescent="0.35"/>
    <row r="30949" hidden="1" x14ac:dyDescent="0.35"/>
    <row r="30950" hidden="1" x14ac:dyDescent="0.35"/>
    <row r="30951" hidden="1" x14ac:dyDescent="0.35"/>
    <row r="30952" hidden="1" x14ac:dyDescent="0.35"/>
    <row r="30953" hidden="1" x14ac:dyDescent="0.35"/>
    <row r="30954" hidden="1" x14ac:dyDescent="0.35"/>
    <row r="30955" hidden="1" x14ac:dyDescent="0.35"/>
    <row r="30956" hidden="1" x14ac:dyDescent="0.35"/>
    <row r="30957" hidden="1" x14ac:dyDescent="0.35"/>
    <row r="30958" hidden="1" x14ac:dyDescent="0.35"/>
    <row r="30959" hidden="1" x14ac:dyDescent="0.35"/>
    <row r="30960" hidden="1" x14ac:dyDescent="0.35"/>
    <row r="30961" hidden="1" x14ac:dyDescent="0.35"/>
    <row r="30962" hidden="1" x14ac:dyDescent="0.35"/>
    <row r="30963" hidden="1" x14ac:dyDescent="0.35"/>
    <row r="30964" hidden="1" x14ac:dyDescent="0.35"/>
    <row r="30965" hidden="1" x14ac:dyDescent="0.35"/>
    <row r="30966" hidden="1" x14ac:dyDescent="0.35"/>
    <row r="30967" hidden="1" x14ac:dyDescent="0.35"/>
    <row r="30968" hidden="1" x14ac:dyDescent="0.35"/>
    <row r="30969" hidden="1" x14ac:dyDescent="0.35"/>
    <row r="30970" hidden="1" x14ac:dyDescent="0.35"/>
    <row r="30971" hidden="1" x14ac:dyDescent="0.35"/>
    <row r="30972" hidden="1" x14ac:dyDescent="0.35"/>
    <row r="30973" hidden="1" x14ac:dyDescent="0.35"/>
    <row r="30974" hidden="1" x14ac:dyDescent="0.35"/>
    <row r="30975" hidden="1" x14ac:dyDescent="0.35"/>
    <row r="30976" hidden="1" x14ac:dyDescent="0.35"/>
    <row r="30977" hidden="1" x14ac:dyDescent="0.35"/>
    <row r="30978" hidden="1" x14ac:dyDescent="0.35"/>
    <row r="30979" hidden="1" x14ac:dyDescent="0.35"/>
    <row r="30980" hidden="1" x14ac:dyDescent="0.35"/>
    <row r="30981" hidden="1" x14ac:dyDescent="0.35"/>
    <row r="30982" hidden="1" x14ac:dyDescent="0.35"/>
    <row r="30983" hidden="1" x14ac:dyDescent="0.35"/>
    <row r="30984" hidden="1" x14ac:dyDescent="0.35"/>
    <row r="30985" hidden="1" x14ac:dyDescent="0.35"/>
    <row r="30986" hidden="1" x14ac:dyDescent="0.35"/>
    <row r="30987" hidden="1" x14ac:dyDescent="0.35"/>
    <row r="30988" hidden="1" x14ac:dyDescent="0.35"/>
    <row r="30989" hidden="1" x14ac:dyDescent="0.35"/>
    <row r="30990" hidden="1" x14ac:dyDescent="0.35"/>
    <row r="30991" hidden="1" x14ac:dyDescent="0.35"/>
    <row r="30992" hidden="1" x14ac:dyDescent="0.35"/>
    <row r="30993" hidden="1" x14ac:dyDescent="0.35"/>
    <row r="30994" hidden="1" x14ac:dyDescent="0.35"/>
    <row r="30995" hidden="1" x14ac:dyDescent="0.35"/>
    <row r="30996" hidden="1" x14ac:dyDescent="0.35"/>
    <row r="30997" hidden="1" x14ac:dyDescent="0.35"/>
    <row r="30998" hidden="1" x14ac:dyDescent="0.35"/>
    <row r="30999" hidden="1" x14ac:dyDescent="0.35"/>
    <row r="31000" hidden="1" x14ac:dyDescent="0.35"/>
    <row r="31001" hidden="1" x14ac:dyDescent="0.35"/>
    <row r="31002" hidden="1" x14ac:dyDescent="0.35"/>
    <row r="31003" hidden="1" x14ac:dyDescent="0.35"/>
    <row r="31004" hidden="1" x14ac:dyDescent="0.35"/>
    <row r="31005" hidden="1" x14ac:dyDescent="0.35"/>
    <row r="31006" hidden="1" x14ac:dyDescent="0.35"/>
    <row r="31007" hidden="1" x14ac:dyDescent="0.35"/>
    <row r="31008" hidden="1" x14ac:dyDescent="0.35"/>
    <row r="31009" hidden="1" x14ac:dyDescent="0.35"/>
    <row r="31010" hidden="1" x14ac:dyDescent="0.35"/>
    <row r="31011" hidden="1" x14ac:dyDescent="0.35"/>
    <row r="31012" hidden="1" x14ac:dyDescent="0.35"/>
    <row r="31013" hidden="1" x14ac:dyDescent="0.35"/>
    <row r="31014" hidden="1" x14ac:dyDescent="0.35"/>
    <row r="31015" hidden="1" x14ac:dyDescent="0.35"/>
    <row r="31016" hidden="1" x14ac:dyDescent="0.35"/>
    <row r="31017" hidden="1" x14ac:dyDescent="0.35"/>
    <row r="31018" hidden="1" x14ac:dyDescent="0.35"/>
    <row r="31019" hidden="1" x14ac:dyDescent="0.35"/>
    <row r="31020" hidden="1" x14ac:dyDescent="0.35"/>
    <row r="31021" hidden="1" x14ac:dyDescent="0.35"/>
    <row r="31022" hidden="1" x14ac:dyDescent="0.35"/>
    <row r="31023" hidden="1" x14ac:dyDescent="0.35"/>
    <row r="31024" hidden="1" x14ac:dyDescent="0.35"/>
    <row r="31025" hidden="1" x14ac:dyDescent="0.35"/>
    <row r="31026" hidden="1" x14ac:dyDescent="0.35"/>
    <row r="31027" hidden="1" x14ac:dyDescent="0.35"/>
    <row r="31028" hidden="1" x14ac:dyDescent="0.35"/>
    <row r="31029" hidden="1" x14ac:dyDescent="0.35"/>
    <row r="31030" hidden="1" x14ac:dyDescent="0.35"/>
    <row r="31031" hidden="1" x14ac:dyDescent="0.35"/>
    <row r="31032" hidden="1" x14ac:dyDescent="0.35"/>
    <row r="31033" hidden="1" x14ac:dyDescent="0.35"/>
    <row r="31034" hidden="1" x14ac:dyDescent="0.35"/>
    <row r="31035" hidden="1" x14ac:dyDescent="0.35"/>
    <row r="31036" hidden="1" x14ac:dyDescent="0.35"/>
    <row r="31037" hidden="1" x14ac:dyDescent="0.35"/>
    <row r="31038" hidden="1" x14ac:dyDescent="0.35"/>
    <row r="31039" hidden="1" x14ac:dyDescent="0.35"/>
    <row r="31040" hidden="1" x14ac:dyDescent="0.35"/>
    <row r="31041" hidden="1" x14ac:dyDescent="0.35"/>
    <row r="31042" hidden="1" x14ac:dyDescent="0.35"/>
    <row r="31043" hidden="1" x14ac:dyDescent="0.35"/>
    <row r="31044" hidden="1" x14ac:dyDescent="0.35"/>
    <row r="31045" hidden="1" x14ac:dyDescent="0.35"/>
    <row r="31046" hidden="1" x14ac:dyDescent="0.35"/>
    <row r="31047" hidden="1" x14ac:dyDescent="0.35"/>
    <row r="31048" hidden="1" x14ac:dyDescent="0.35"/>
    <row r="31049" hidden="1" x14ac:dyDescent="0.35"/>
    <row r="31050" hidden="1" x14ac:dyDescent="0.35"/>
    <row r="31051" hidden="1" x14ac:dyDescent="0.35"/>
    <row r="31052" hidden="1" x14ac:dyDescent="0.35"/>
    <row r="31053" hidden="1" x14ac:dyDescent="0.35"/>
    <row r="31054" hidden="1" x14ac:dyDescent="0.35"/>
    <row r="31055" hidden="1" x14ac:dyDescent="0.35"/>
    <row r="31056" hidden="1" x14ac:dyDescent="0.35"/>
    <row r="31057" hidden="1" x14ac:dyDescent="0.35"/>
    <row r="31058" hidden="1" x14ac:dyDescent="0.35"/>
    <row r="31059" hidden="1" x14ac:dyDescent="0.35"/>
    <row r="31060" hidden="1" x14ac:dyDescent="0.35"/>
    <row r="31061" hidden="1" x14ac:dyDescent="0.35"/>
    <row r="31062" hidden="1" x14ac:dyDescent="0.35"/>
    <row r="31063" hidden="1" x14ac:dyDescent="0.35"/>
    <row r="31064" hidden="1" x14ac:dyDescent="0.35"/>
    <row r="31065" hidden="1" x14ac:dyDescent="0.35"/>
    <row r="31066" hidden="1" x14ac:dyDescent="0.35"/>
    <row r="31067" hidden="1" x14ac:dyDescent="0.35"/>
    <row r="31068" hidden="1" x14ac:dyDescent="0.35"/>
    <row r="31069" hidden="1" x14ac:dyDescent="0.35"/>
    <row r="31070" hidden="1" x14ac:dyDescent="0.35"/>
    <row r="31071" hidden="1" x14ac:dyDescent="0.35"/>
    <row r="31072" hidden="1" x14ac:dyDescent="0.35"/>
    <row r="31073" hidden="1" x14ac:dyDescent="0.35"/>
    <row r="31074" hidden="1" x14ac:dyDescent="0.35"/>
    <row r="31075" hidden="1" x14ac:dyDescent="0.35"/>
    <row r="31076" hidden="1" x14ac:dyDescent="0.35"/>
    <row r="31077" hidden="1" x14ac:dyDescent="0.35"/>
    <row r="31078" hidden="1" x14ac:dyDescent="0.35"/>
    <row r="31079" hidden="1" x14ac:dyDescent="0.35"/>
    <row r="31080" hidden="1" x14ac:dyDescent="0.35"/>
    <row r="31081" hidden="1" x14ac:dyDescent="0.35"/>
    <row r="31082" hidden="1" x14ac:dyDescent="0.35"/>
    <row r="31083" hidden="1" x14ac:dyDescent="0.35"/>
    <row r="31084" hidden="1" x14ac:dyDescent="0.35"/>
    <row r="31085" hidden="1" x14ac:dyDescent="0.35"/>
    <row r="31086" hidden="1" x14ac:dyDescent="0.35"/>
    <row r="31087" hidden="1" x14ac:dyDescent="0.35"/>
    <row r="31088" hidden="1" x14ac:dyDescent="0.35"/>
    <row r="31089" hidden="1" x14ac:dyDescent="0.35"/>
    <row r="31090" hidden="1" x14ac:dyDescent="0.35"/>
    <row r="31091" hidden="1" x14ac:dyDescent="0.35"/>
    <row r="31092" hidden="1" x14ac:dyDescent="0.35"/>
    <row r="31093" hidden="1" x14ac:dyDescent="0.35"/>
    <row r="31094" hidden="1" x14ac:dyDescent="0.35"/>
    <row r="31095" hidden="1" x14ac:dyDescent="0.35"/>
    <row r="31096" hidden="1" x14ac:dyDescent="0.35"/>
    <row r="31097" hidden="1" x14ac:dyDescent="0.35"/>
    <row r="31098" hidden="1" x14ac:dyDescent="0.35"/>
    <row r="31099" hidden="1" x14ac:dyDescent="0.35"/>
    <row r="31100" hidden="1" x14ac:dyDescent="0.35"/>
    <row r="31101" hidden="1" x14ac:dyDescent="0.35"/>
    <row r="31102" hidden="1" x14ac:dyDescent="0.35"/>
    <row r="31103" hidden="1" x14ac:dyDescent="0.35"/>
    <row r="31104" hidden="1" x14ac:dyDescent="0.35"/>
    <row r="31105" hidden="1" x14ac:dyDescent="0.35"/>
    <row r="31106" hidden="1" x14ac:dyDescent="0.35"/>
    <row r="31107" hidden="1" x14ac:dyDescent="0.35"/>
    <row r="31108" hidden="1" x14ac:dyDescent="0.35"/>
    <row r="31109" hidden="1" x14ac:dyDescent="0.35"/>
    <row r="31110" hidden="1" x14ac:dyDescent="0.35"/>
    <row r="31111" hidden="1" x14ac:dyDescent="0.35"/>
    <row r="31112" hidden="1" x14ac:dyDescent="0.35"/>
    <row r="31113" hidden="1" x14ac:dyDescent="0.35"/>
    <row r="31114" hidden="1" x14ac:dyDescent="0.35"/>
    <row r="31115" hidden="1" x14ac:dyDescent="0.35"/>
    <row r="31116" hidden="1" x14ac:dyDescent="0.35"/>
    <row r="31117" hidden="1" x14ac:dyDescent="0.35"/>
    <row r="31118" hidden="1" x14ac:dyDescent="0.35"/>
    <row r="31119" hidden="1" x14ac:dyDescent="0.35"/>
    <row r="31120" hidden="1" x14ac:dyDescent="0.35"/>
    <row r="31121" hidden="1" x14ac:dyDescent="0.35"/>
    <row r="31122" hidden="1" x14ac:dyDescent="0.35"/>
    <row r="31123" hidden="1" x14ac:dyDescent="0.35"/>
    <row r="31124" hidden="1" x14ac:dyDescent="0.35"/>
    <row r="31125" hidden="1" x14ac:dyDescent="0.35"/>
    <row r="31126" hidden="1" x14ac:dyDescent="0.35"/>
    <row r="31127" hidden="1" x14ac:dyDescent="0.35"/>
    <row r="31128" hidden="1" x14ac:dyDescent="0.35"/>
    <row r="31129" hidden="1" x14ac:dyDescent="0.35"/>
    <row r="31130" hidden="1" x14ac:dyDescent="0.35"/>
    <row r="31131" hidden="1" x14ac:dyDescent="0.35"/>
    <row r="31132" hidden="1" x14ac:dyDescent="0.35"/>
    <row r="31133" hidden="1" x14ac:dyDescent="0.35"/>
    <row r="31134" hidden="1" x14ac:dyDescent="0.35"/>
    <row r="31135" hidden="1" x14ac:dyDescent="0.35"/>
    <row r="31136" hidden="1" x14ac:dyDescent="0.35"/>
    <row r="31137" hidden="1" x14ac:dyDescent="0.35"/>
    <row r="31138" hidden="1" x14ac:dyDescent="0.35"/>
    <row r="31139" hidden="1" x14ac:dyDescent="0.35"/>
    <row r="31140" hidden="1" x14ac:dyDescent="0.35"/>
    <row r="31141" hidden="1" x14ac:dyDescent="0.35"/>
    <row r="31142" hidden="1" x14ac:dyDescent="0.35"/>
    <row r="31143" hidden="1" x14ac:dyDescent="0.35"/>
    <row r="31144" hidden="1" x14ac:dyDescent="0.35"/>
    <row r="31145" hidden="1" x14ac:dyDescent="0.35"/>
    <row r="31146" hidden="1" x14ac:dyDescent="0.35"/>
    <row r="31147" hidden="1" x14ac:dyDescent="0.35"/>
    <row r="31148" hidden="1" x14ac:dyDescent="0.35"/>
    <row r="31149" hidden="1" x14ac:dyDescent="0.35"/>
    <row r="31150" hidden="1" x14ac:dyDescent="0.35"/>
    <row r="31151" hidden="1" x14ac:dyDescent="0.35"/>
    <row r="31152" hidden="1" x14ac:dyDescent="0.35"/>
    <row r="31153" hidden="1" x14ac:dyDescent="0.35"/>
    <row r="31154" hidden="1" x14ac:dyDescent="0.35"/>
    <row r="31155" hidden="1" x14ac:dyDescent="0.35"/>
    <row r="31156" hidden="1" x14ac:dyDescent="0.35"/>
    <row r="31157" hidden="1" x14ac:dyDescent="0.35"/>
    <row r="31158" hidden="1" x14ac:dyDescent="0.35"/>
    <row r="31159" hidden="1" x14ac:dyDescent="0.35"/>
    <row r="31160" hidden="1" x14ac:dyDescent="0.35"/>
    <row r="31161" hidden="1" x14ac:dyDescent="0.35"/>
    <row r="31162" hidden="1" x14ac:dyDescent="0.35"/>
    <row r="31163" hidden="1" x14ac:dyDescent="0.35"/>
    <row r="31164" hidden="1" x14ac:dyDescent="0.35"/>
    <row r="31165" hidden="1" x14ac:dyDescent="0.35"/>
    <row r="31166" hidden="1" x14ac:dyDescent="0.35"/>
    <row r="31167" hidden="1" x14ac:dyDescent="0.35"/>
    <row r="31168" hidden="1" x14ac:dyDescent="0.35"/>
    <row r="31169" hidden="1" x14ac:dyDescent="0.35"/>
    <row r="31170" hidden="1" x14ac:dyDescent="0.35"/>
    <row r="31171" hidden="1" x14ac:dyDescent="0.35"/>
    <row r="31172" hidden="1" x14ac:dyDescent="0.35"/>
    <row r="31173" hidden="1" x14ac:dyDescent="0.35"/>
    <row r="31174" hidden="1" x14ac:dyDescent="0.35"/>
    <row r="31175" hidden="1" x14ac:dyDescent="0.35"/>
    <row r="31176" hidden="1" x14ac:dyDescent="0.35"/>
    <row r="31177" hidden="1" x14ac:dyDescent="0.35"/>
    <row r="31178" hidden="1" x14ac:dyDescent="0.35"/>
    <row r="31179" hidden="1" x14ac:dyDescent="0.35"/>
    <row r="31180" hidden="1" x14ac:dyDescent="0.35"/>
    <row r="31181" hidden="1" x14ac:dyDescent="0.35"/>
    <row r="31182" hidden="1" x14ac:dyDescent="0.35"/>
    <row r="31183" hidden="1" x14ac:dyDescent="0.35"/>
    <row r="31184" hidden="1" x14ac:dyDescent="0.35"/>
    <row r="31185" hidden="1" x14ac:dyDescent="0.35"/>
    <row r="31186" hidden="1" x14ac:dyDescent="0.35"/>
    <row r="31187" hidden="1" x14ac:dyDescent="0.35"/>
    <row r="31188" hidden="1" x14ac:dyDescent="0.35"/>
    <row r="31189" hidden="1" x14ac:dyDescent="0.35"/>
    <row r="31190" hidden="1" x14ac:dyDescent="0.35"/>
    <row r="31191" hidden="1" x14ac:dyDescent="0.35"/>
    <row r="31192" hidden="1" x14ac:dyDescent="0.35"/>
    <row r="31193" hidden="1" x14ac:dyDescent="0.35"/>
    <row r="31194" hidden="1" x14ac:dyDescent="0.35"/>
    <row r="31195" hidden="1" x14ac:dyDescent="0.35"/>
    <row r="31196" hidden="1" x14ac:dyDescent="0.35"/>
    <row r="31197" hidden="1" x14ac:dyDescent="0.35"/>
    <row r="31198" hidden="1" x14ac:dyDescent="0.35"/>
    <row r="31199" hidden="1" x14ac:dyDescent="0.35"/>
    <row r="31200" hidden="1" x14ac:dyDescent="0.35"/>
    <row r="31201" hidden="1" x14ac:dyDescent="0.35"/>
    <row r="31202" hidden="1" x14ac:dyDescent="0.35"/>
    <row r="31203" hidden="1" x14ac:dyDescent="0.35"/>
    <row r="31204" hidden="1" x14ac:dyDescent="0.35"/>
    <row r="31205" hidden="1" x14ac:dyDescent="0.35"/>
    <row r="31206" hidden="1" x14ac:dyDescent="0.35"/>
    <row r="31207" hidden="1" x14ac:dyDescent="0.35"/>
    <row r="31208" hidden="1" x14ac:dyDescent="0.35"/>
    <row r="31209" hidden="1" x14ac:dyDescent="0.35"/>
    <row r="31210" hidden="1" x14ac:dyDescent="0.35"/>
    <row r="31211" hidden="1" x14ac:dyDescent="0.35"/>
    <row r="31212" hidden="1" x14ac:dyDescent="0.35"/>
    <row r="31213" hidden="1" x14ac:dyDescent="0.35"/>
    <row r="31214" hidden="1" x14ac:dyDescent="0.35"/>
    <row r="31215" hidden="1" x14ac:dyDescent="0.35"/>
    <row r="31216" hidden="1" x14ac:dyDescent="0.35"/>
    <row r="31217" hidden="1" x14ac:dyDescent="0.35"/>
    <row r="31218" hidden="1" x14ac:dyDescent="0.35"/>
    <row r="31219" hidden="1" x14ac:dyDescent="0.35"/>
    <row r="31220" hidden="1" x14ac:dyDescent="0.35"/>
    <row r="31221" hidden="1" x14ac:dyDescent="0.35"/>
    <row r="31222" hidden="1" x14ac:dyDescent="0.35"/>
    <row r="31223" hidden="1" x14ac:dyDescent="0.35"/>
    <row r="31224" hidden="1" x14ac:dyDescent="0.35"/>
    <row r="31225" hidden="1" x14ac:dyDescent="0.35"/>
    <row r="31226" hidden="1" x14ac:dyDescent="0.35"/>
    <row r="31227" hidden="1" x14ac:dyDescent="0.35"/>
    <row r="31228" hidden="1" x14ac:dyDescent="0.35"/>
    <row r="31229" hidden="1" x14ac:dyDescent="0.35"/>
    <row r="31230" hidden="1" x14ac:dyDescent="0.35"/>
    <row r="31231" hidden="1" x14ac:dyDescent="0.35"/>
    <row r="31232" hidden="1" x14ac:dyDescent="0.35"/>
    <row r="31233" hidden="1" x14ac:dyDescent="0.35"/>
    <row r="31234" hidden="1" x14ac:dyDescent="0.35"/>
    <row r="31235" hidden="1" x14ac:dyDescent="0.35"/>
    <row r="31236" hidden="1" x14ac:dyDescent="0.35"/>
    <row r="31237" hidden="1" x14ac:dyDescent="0.35"/>
    <row r="31238" hidden="1" x14ac:dyDescent="0.35"/>
    <row r="31239" hidden="1" x14ac:dyDescent="0.35"/>
    <row r="31240" hidden="1" x14ac:dyDescent="0.35"/>
    <row r="31241" hidden="1" x14ac:dyDescent="0.35"/>
    <row r="31242" hidden="1" x14ac:dyDescent="0.35"/>
    <row r="31243" hidden="1" x14ac:dyDescent="0.35"/>
    <row r="31244" hidden="1" x14ac:dyDescent="0.35"/>
    <row r="31245" hidden="1" x14ac:dyDescent="0.35"/>
    <row r="31246" hidden="1" x14ac:dyDescent="0.35"/>
    <row r="31247" hidden="1" x14ac:dyDescent="0.35"/>
    <row r="31248" hidden="1" x14ac:dyDescent="0.35"/>
    <row r="31249" hidden="1" x14ac:dyDescent="0.35"/>
    <row r="31250" hidden="1" x14ac:dyDescent="0.35"/>
    <row r="31251" hidden="1" x14ac:dyDescent="0.35"/>
    <row r="31252" hidden="1" x14ac:dyDescent="0.35"/>
    <row r="31253" hidden="1" x14ac:dyDescent="0.35"/>
    <row r="31254" hidden="1" x14ac:dyDescent="0.35"/>
    <row r="31255" hidden="1" x14ac:dyDescent="0.35"/>
    <row r="31256" hidden="1" x14ac:dyDescent="0.35"/>
    <row r="31257" hidden="1" x14ac:dyDescent="0.35"/>
    <row r="31258" hidden="1" x14ac:dyDescent="0.35"/>
    <row r="31259" hidden="1" x14ac:dyDescent="0.35"/>
    <row r="31260" hidden="1" x14ac:dyDescent="0.35"/>
    <row r="31261" hidden="1" x14ac:dyDescent="0.35"/>
    <row r="31262" hidden="1" x14ac:dyDescent="0.35"/>
    <row r="31263" hidden="1" x14ac:dyDescent="0.35"/>
    <row r="31264" hidden="1" x14ac:dyDescent="0.35"/>
    <row r="31265" hidden="1" x14ac:dyDescent="0.35"/>
    <row r="31266" hidden="1" x14ac:dyDescent="0.35"/>
    <row r="31267" hidden="1" x14ac:dyDescent="0.35"/>
    <row r="31268" hidden="1" x14ac:dyDescent="0.35"/>
    <row r="31269" hidden="1" x14ac:dyDescent="0.35"/>
    <row r="31270" hidden="1" x14ac:dyDescent="0.35"/>
    <row r="31271" hidden="1" x14ac:dyDescent="0.35"/>
    <row r="31272" hidden="1" x14ac:dyDescent="0.35"/>
    <row r="31273" hidden="1" x14ac:dyDescent="0.35"/>
    <row r="31274" hidden="1" x14ac:dyDescent="0.35"/>
    <row r="31275" hidden="1" x14ac:dyDescent="0.35"/>
    <row r="31276" hidden="1" x14ac:dyDescent="0.35"/>
    <row r="31277" hidden="1" x14ac:dyDescent="0.35"/>
    <row r="31278" hidden="1" x14ac:dyDescent="0.35"/>
    <row r="31279" hidden="1" x14ac:dyDescent="0.35"/>
    <row r="31280" hidden="1" x14ac:dyDescent="0.35"/>
    <row r="31281" hidden="1" x14ac:dyDescent="0.35"/>
    <row r="31282" hidden="1" x14ac:dyDescent="0.35"/>
    <row r="31283" hidden="1" x14ac:dyDescent="0.35"/>
    <row r="31284" hidden="1" x14ac:dyDescent="0.35"/>
    <row r="31285" hidden="1" x14ac:dyDescent="0.35"/>
    <row r="31286" hidden="1" x14ac:dyDescent="0.35"/>
    <row r="31287" hidden="1" x14ac:dyDescent="0.35"/>
    <row r="31288" hidden="1" x14ac:dyDescent="0.35"/>
    <row r="31289" hidden="1" x14ac:dyDescent="0.35"/>
    <row r="31290" hidden="1" x14ac:dyDescent="0.35"/>
    <row r="31291" hidden="1" x14ac:dyDescent="0.35"/>
    <row r="31292" hidden="1" x14ac:dyDescent="0.35"/>
    <row r="31293" hidden="1" x14ac:dyDescent="0.35"/>
    <row r="31294" hidden="1" x14ac:dyDescent="0.35"/>
    <row r="31295" hidden="1" x14ac:dyDescent="0.35"/>
    <row r="31296" hidden="1" x14ac:dyDescent="0.35"/>
    <row r="31297" hidden="1" x14ac:dyDescent="0.35"/>
    <row r="31298" hidden="1" x14ac:dyDescent="0.35"/>
    <row r="31299" hidden="1" x14ac:dyDescent="0.35"/>
    <row r="31300" hidden="1" x14ac:dyDescent="0.35"/>
    <row r="31301" hidden="1" x14ac:dyDescent="0.35"/>
    <row r="31302" hidden="1" x14ac:dyDescent="0.35"/>
    <row r="31303" hidden="1" x14ac:dyDescent="0.35"/>
    <row r="31304" hidden="1" x14ac:dyDescent="0.35"/>
    <row r="31305" hidden="1" x14ac:dyDescent="0.35"/>
    <row r="31306" hidden="1" x14ac:dyDescent="0.35"/>
    <row r="31307" hidden="1" x14ac:dyDescent="0.35"/>
    <row r="31308" hidden="1" x14ac:dyDescent="0.35"/>
    <row r="31309" hidden="1" x14ac:dyDescent="0.35"/>
    <row r="31310" hidden="1" x14ac:dyDescent="0.35"/>
    <row r="31311" hidden="1" x14ac:dyDescent="0.35"/>
    <row r="31312" hidden="1" x14ac:dyDescent="0.35"/>
    <row r="31313" hidden="1" x14ac:dyDescent="0.35"/>
    <row r="31314" hidden="1" x14ac:dyDescent="0.35"/>
    <row r="31315" hidden="1" x14ac:dyDescent="0.35"/>
    <row r="31316" hidden="1" x14ac:dyDescent="0.35"/>
    <row r="31317" hidden="1" x14ac:dyDescent="0.35"/>
    <row r="31318" hidden="1" x14ac:dyDescent="0.35"/>
    <row r="31319" hidden="1" x14ac:dyDescent="0.35"/>
    <row r="31320" hidden="1" x14ac:dyDescent="0.35"/>
    <row r="31321" hidden="1" x14ac:dyDescent="0.35"/>
    <row r="31322" hidden="1" x14ac:dyDescent="0.35"/>
    <row r="31323" hidden="1" x14ac:dyDescent="0.35"/>
    <row r="31324" hidden="1" x14ac:dyDescent="0.35"/>
    <row r="31325" hidden="1" x14ac:dyDescent="0.35"/>
    <row r="31326" hidden="1" x14ac:dyDescent="0.35"/>
    <row r="31327" hidden="1" x14ac:dyDescent="0.35"/>
    <row r="31328" hidden="1" x14ac:dyDescent="0.35"/>
    <row r="31329" hidden="1" x14ac:dyDescent="0.35"/>
    <row r="31330" hidden="1" x14ac:dyDescent="0.35"/>
    <row r="31331" hidden="1" x14ac:dyDescent="0.35"/>
    <row r="31332" hidden="1" x14ac:dyDescent="0.35"/>
    <row r="31333" hidden="1" x14ac:dyDescent="0.35"/>
    <row r="31334" hidden="1" x14ac:dyDescent="0.35"/>
    <row r="31335" hidden="1" x14ac:dyDescent="0.35"/>
    <row r="31336" hidden="1" x14ac:dyDescent="0.35"/>
    <row r="31337" hidden="1" x14ac:dyDescent="0.35"/>
    <row r="31338" hidden="1" x14ac:dyDescent="0.35"/>
    <row r="31339" hidden="1" x14ac:dyDescent="0.35"/>
    <row r="31340" hidden="1" x14ac:dyDescent="0.35"/>
    <row r="31341" hidden="1" x14ac:dyDescent="0.35"/>
    <row r="31342" hidden="1" x14ac:dyDescent="0.35"/>
    <row r="31343" hidden="1" x14ac:dyDescent="0.35"/>
    <row r="31344" hidden="1" x14ac:dyDescent="0.35"/>
    <row r="31345" hidden="1" x14ac:dyDescent="0.35"/>
    <row r="31346" hidden="1" x14ac:dyDescent="0.35"/>
    <row r="31347" hidden="1" x14ac:dyDescent="0.35"/>
    <row r="31348" hidden="1" x14ac:dyDescent="0.35"/>
    <row r="31349" hidden="1" x14ac:dyDescent="0.35"/>
    <row r="31350" hidden="1" x14ac:dyDescent="0.35"/>
    <row r="31351" hidden="1" x14ac:dyDescent="0.35"/>
    <row r="31352" hidden="1" x14ac:dyDescent="0.35"/>
    <row r="31353" hidden="1" x14ac:dyDescent="0.35"/>
    <row r="31354" hidden="1" x14ac:dyDescent="0.35"/>
    <row r="31355" hidden="1" x14ac:dyDescent="0.35"/>
    <row r="31356" hidden="1" x14ac:dyDescent="0.35"/>
    <row r="31357" hidden="1" x14ac:dyDescent="0.35"/>
    <row r="31358" hidden="1" x14ac:dyDescent="0.35"/>
    <row r="31359" hidden="1" x14ac:dyDescent="0.35"/>
    <row r="31360" hidden="1" x14ac:dyDescent="0.35"/>
    <row r="31361" hidden="1" x14ac:dyDescent="0.35"/>
    <row r="31362" hidden="1" x14ac:dyDescent="0.35"/>
    <row r="31363" hidden="1" x14ac:dyDescent="0.35"/>
    <row r="31364" hidden="1" x14ac:dyDescent="0.35"/>
    <row r="31365" hidden="1" x14ac:dyDescent="0.35"/>
    <row r="31366" hidden="1" x14ac:dyDescent="0.35"/>
    <row r="31367" hidden="1" x14ac:dyDescent="0.35"/>
    <row r="31368" hidden="1" x14ac:dyDescent="0.35"/>
    <row r="31369" hidden="1" x14ac:dyDescent="0.35"/>
    <row r="31370" hidden="1" x14ac:dyDescent="0.35"/>
    <row r="31371" hidden="1" x14ac:dyDescent="0.35"/>
    <row r="31372" hidden="1" x14ac:dyDescent="0.35"/>
    <row r="31373" hidden="1" x14ac:dyDescent="0.35"/>
    <row r="31374" hidden="1" x14ac:dyDescent="0.35"/>
    <row r="31375" hidden="1" x14ac:dyDescent="0.35"/>
    <row r="31376" hidden="1" x14ac:dyDescent="0.35"/>
    <row r="31377" hidden="1" x14ac:dyDescent="0.35"/>
    <row r="31378" hidden="1" x14ac:dyDescent="0.35"/>
    <row r="31379" hidden="1" x14ac:dyDescent="0.35"/>
    <row r="31380" hidden="1" x14ac:dyDescent="0.35"/>
    <row r="31381" hidden="1" x14ac:dyDescent="0.35"/>
    <row r="31382" hidden="1" x14ac:dyDescent="0.35"/>
    <row r="31383" hidden="1" x14ac:dyDescent="0.35"/>
    <row r="31384" hidden="1" x14ac:dyDescent="0.35"/>
    <row r="31385" hidden="1" x14ac:dyDescent="0.35"/>
    <row r="31386" hidden="1" x14ac:dyDescent="0.35"/>
    <row r="31387" hidden="1" x14ac:dyDescent="0.35"/>
    <row r="31388" hidden="1" x14ac:dyDescent="0.35"/>
    <row r="31389" hidden="1" x14ac:dyDescent="0.35"/>
    <row r="31390" hidden="1" x14ac:dyDescent="0.35"/>
    <row r="31391" hidden="1" x14ac:dyDescent="0.35"/>
    <row r="31392" hidden="1" x14ac:dyDescent="0.35"/>
    <row r="31393" hidden="1" x14ac:dyDescent="0.35"/>
    <row r="31394" hidden="1" x14ac:dyDescent="0.35"/>
    <row r="31395" hidden="1" x14ac:dyDescent="0.35"/>
    <row r="31396" hidden="1" x14ac:dyDescent="0.35"/>
    <row r="31397" hidden="1" x14ac:dyDescent="0.35"/>
    <row r="31398" hidden="1" x14ac:dyDescent="0.35"/>
    <row r="31399" hidden="1" x14ac:dyDescent="0.35"/>
    <row r="31400" hidden="1" x14ac:dyDescent="0.35"/>
    <row r="31401" hidden="1" x14ac:dyDescent="0.35"/>
    <row r="31402" hidden="1" x14ac:dyDescent="0.35"/>
    <row r="31403" hidden="1" x14ac:dyDescent="0.35"/>
    <row r="31404" hidden="1" x14ac:dyDescent="0.35"/>
    <row r="31405" hidden="1" x14ac:dyDescent="0.35"/>
    <row r="31406" hidden="1" x14ac:dyDescent="0.35"/>
    <row r="31407" hidden="1" x14ac:dyDescent="0.35"/>
    <row r="31408" hidden="1" x14ac:dyDescent="0.35"/>
    <row r="31409" hidden="1" x14ac:dyDescent="0.35"/>
    <row r="31410" hidden="1" x14ac:dyDescent="0.35"/>
    <row r="31411" hidden="1" x14ac:dyDescent="0.35"/>
    <row r="31412" hidden="1" x14ac:dyDescent="0.35"/>
    <row r="31413" hidden="1" x14ac:dyDescent="0.35"/>
    <row r="31414" hidden="1" x14ac:dyDescent="0.35"/>
    <row r="31415" hidden="1" x14ac:dyDescent="0.35"/>
    <row r="31416" hidden="1" x14ac:dyDescent="0.35"/>
    <row r="31417" hidden="1" x14ac:dyDescent="0.35"/>
    <row r="31418" hidden="1" x14ac:dyDescent="0.35"/>
    <row r="31419" hidden="1" x14ac:dyDescent="0.35"/>
    <row r="31420" hidden="1" x14ac:dyDescent="0.35"/>
    <row r="31421" hidden="1" x14ac:dyDescent="0.35"/>
    <row r="31422" hidden="1" x14ac:dyDescent="0.35"/>
    <row r="31423" hidden="1" x14ac:dyDescent="0.35"/>
    <row r="31424" hidden="1" x14ac:dyDescent="0.35"/>
    <row r="31425" hidden="1" x14ac:dyDescent="0.35"/>
    <row r="31426" hidden="1" x14ac:dyDescent="0.35"/>
    <row r="31427" hidden="1" x14ac:dyDescent="0.35"/>
    <row r="31428" hidden="1" x14ac:dyDescent="0.35"/>
    <row r="31429" hidden="1" x14ac:dyDescent="0.35"/>
    <row r="31430" hidden="1" x14ac:dyDescent="0.35"/>
    <row r="31431" hidden="1" x14ac:dyDescent="0.35"/>
    <row r="31432" hidden="1" x14ac:dyDescent="0.35"/>
    <row r="31433" hidden="1" x14ac:dyDescent="0.35"/>
    <row r="31434" hidden="1" x14ac:dyDescent="0.35"/>
    <row r="31435" hidden="1" x14ac:dyDescent="0.35"/>
    <row r="31436" hidden="1" x14ac:dyDescent="0.35"/>
    <row r="31437" hidden="1" x14ac:dyDescent="0.35"/>
    <row r="31438" hidden="1" x14ac:dyDescent="0.35"/>
    <row r="31439" hidden="1" x14ac:dyDescent="0.35"/>
    <row r="31440" hidden="1" x14ac:dyDescent="0.35"/>
    <row r="31441" hidden="1" x14ac:dyDescent="0.35"/>
    <row r="31442" hidden="1" x14ac:dyDescent="0.35"/>
    <row r="31443" hidden="1" x14ac:dyDescent="0.35"/>
    <row r="31444" hidden="1" x14ac:dyDescent="0.35"/>
    <row r="31445" hidden="1" x14ac:dyDescent="0.35"/>
    <row r="31446" hidden="1" x14ac:dyDescent="0.35"/>
    <row r="31447" hidden="1" x14ac:dyDescent="0.35"/>
    <row r="31448" hidden="1" x14ac:dyDescent="0.35"/>
    <row r="31449" hidden="1" x14ac:dyDescent="0.35"/>
    <row r="31450" hidden="1" x14ac:dyDescent="0.35"/>
    <row r="31451" hidden="1" x14ac:dyDescent="0.35"/>
    <row r="31452" hidden="1" x14ac:dyDescent="0.35"/>
    <row r="31453" hidden="1" x14ac:dyDescent="0.35"/>
    <row r="31454" hidden="1" x14ac:dyDescent="0.35"/>
    <row r="31455" hidden="1" x14ac:dyDescent="0.35"/>
    <row r="31456" hidden="1" x14ac:dyDescent="0.35"/>
    <row r="31457" hidden="1" x14ac:dyDescent="0.35"/>
    <row r="31458" hidden="1" x14ac:dyDescent="0.35"/>
    <row r="31459" hidden="1" x14ac:dyDescent="0.35"/>
    <row r="31460" hidden="1" x14ac:dyDescent="0.35"/>
    <row r="31461" hidden="1" x14ac:dyDescent="0.35"/>
    <row r="31462" hidden="1" x14ac:dyDescent="0.35"/>
    <row r="31463" hidden="1" x14ac:dyDescent="0.35"/>
    <row r="31464" hidden="1" x14ac:dyDescent="0.35"/>
    <row r="31465" hidden="1" x14ac:dyDescent="0.35"/>
    <row r="31466" hidden="1" x14ac:dyDescent="0.35"/>
    <row r="31467" hidden="1" x14ac:dyDescent="0.35"/>
    <row r="31468" hidden="1" x14ac:dyDescent="0.35"/>
    <row r="31469" hidden="1" x14ac:dyDescent="0.35"/>
    <row r="31470" hidden="1" x14ac:dyDescent="0.35"/>
    <row r="31471" hidden="1" x14ac:dyDescent="0.35"/>
    <row r="31472" hidden="1" x14ac:dyDescent="0.35"/>
    <row r="31473" hidden="1" x14ac:dyDescent="0.35"/>
    <row r="31474" hidden="1" x14ac:dyDescent="0.35"/>
    <row r="31475" hidden="1" x14ac:dyDescent="0.35"/>
    <row r="31476" hidden="1" x14ac:dyDescent="0.35"/>
    <row r="31477" hidden="1" x14ac:dyDescent="0.35"/>
    <row r="31478" hidden="1" x14ac:dyDescent="0.35"/>
    <row r="31479" hidden="1" x14ac:dyDescent="0.35"/>
    <row r="31480" hidden="1" x14ac:dyDescent="0.35"/>
    <row r="31481" hidden="1" x14ac:dyDescent="0.35"/>
    <row r="31482" hidden="1" x14ac:dyDescent="0.35"/>
    <row r="31483" hidden="1" x14ac:dyDescent="0.35"/>
    <row r="31484" hidden="1" x14ac:dyDescent="0.35"/>
    <row r="31485" hidden="1" x14ac:dyDescent="0.35"/>
    <row r="31486" hidden="1" x14ac:dyDescent="0.35"/>
    <row r="31487" hidden="1" x14ac:dyDescent="0.35"/>
    <row r="31488" hidden="1" x14ac:dyDescent="0.35"/>
    <row r="31489" hidden="1" x14ac:dyDescent="0.35"/>
    <row r="31490" hidden="1" x14ac:dyDescent="0.35"/>
    <row r="31491" hidden="1" x14ac:dyDescent="0.35"/>
    <row r="31492" hidden="1" x14ac:dyDescent="0.35"/>
    <row r="31493" hidden="1" x14ac:dyDescent="0.35"/>
    <row r="31494" hidden="1" x14ac:dyDescent="0.35"/>
    <row r="31495" hidden="1" x14ac:dyDescent="0.35"/>
    <row r="31496" hidden="1" x14ac:dyDescent="0.35"/>
    <row r="31497" hidden="1" x14ac:dyDescent="0.35"/>
    <row r="31498" hidden="1" x14ac:dyDescent="0.35"/>
    <row r="31499" hidden="1" x14ac:dyDescent="0.35"/>
    <row r="31500" hidden="1" x14ac:dyDescent="0.35"/>
    <row r="31501" hidden="1" x14ac:dyDescent="0.35"/>
    <row r="31502" hidden="1" x14ac:dyDescent="0.35"/>
    <row r="31503" hidden="1" x14ac:dyDescent="0.35"/>
    <row r="31504" hidden="1" x14ac:dyDescent="0.35"/>
    <row r="31505" hidden="1" x14ac:dyDescent="0.35"/>
    <row r="31506" hidden="1" x14ac:dyDescent="0.35"/>
    <row r="31507" hidden="1" x14ac:dyDescent="0.35"/>
    <row r="31508" hidden="1" x14ac:dyDescent="0.35"/>
    <row r="31509" hidden="1" x14ac:dyDescent="0.35"/>
    <row r="31510" hidden="1" x14ac:dyDescent="0.35"/>
    <row r="31511" hidden="1" x14ac:dyDescent="0.35"/>
    <row r="31512" hidden="1" x14ac:dyDescent="0.35"/>
    <row r="31513" hidden="1" x14ac:dyDescent="0.35"/>
    <row r="31514" hidden="1" x14ac:dyDescent="0.35"/>
    <row r="31515" hidden="1" x14ac:dyDescent="0.35"/>
    <row r="31516" hidden="1" x14ac:dyDescent="0.35"/>
    <row r="31517" hidden="1" x14ac:dyDescent="0.35"/>
    <row r="31518" hidden="1" x14ac:dyDescent="0.35"/>
    <row r="31519" hidden="1" x14ac:dyDescent="0.35"/>
    <row r="31520" hidden="1" x14ac:dyDescent="0.35"/>
    <row r="31521" hidden="1" x14ac:dyDescent="0.35"/>
    <row r="31522" hidden="1" x14ac:dyDescent="0.35"/>
    <row r="31523" hidden="1" x14ac:dyDescent="0.35"/>
    <row r="31524" hidden="1" x14ac:dyDescent="0.35"/>
    <row r="31525" hidden="1" x14ac:dyDescent="0.35"/>
    <row r="31526" hidden="1" x14ac:dyDescent="0.35"/>
    <row r="31527" hidden="1" x14ac:dyDescent="0.35"/>
    <row r="31528" hidden="1" x14ac:dyDescent="0.35"/>
    <row r="31529" hidden="1" x14ac:dyDescent="0.35"/>
    <row r="31530" hidden="1" x14ac:dyDescent="0.35"/>
    <row r="31531" hidden="1" x14ac:dyDescent="0.35"/>
    <row r="31532" hidden="1" x14ac:dyDescent="0.35"/>
    <row r="31533" hidden="1" x14ac:dyDescent="0.35"/>
    <row r="31534" hidden="1" x14ac:dyDescent="0.35"/>
    <row r="31535" hidden="1" x14ac:dyDescent="0.35"/>
    <row r="31536" hidden="1" x14ac:dyDescent="0.35"/>
    <row r="31537" hidden="1" x14ac:dyDescent="0.35"/>
    <row r="31538" hidden="1" x14ac:dyDescent="0.35"/>
    <row r="31539" hidden="1" x14ac:dyDescent="0.35"/>
    <row r="31540" hidden="1" x14ac:dyDescent="0.35"/>
    <row r="31541" hidden="1" x14ac:dyDescent="0.35"/>
    <row r="31542" hidden="1" x14ac:dyDescent="0.35"/>
    <row r="31543" hidden="1" x14ac:dyDescent="0.35"/>
    <row r="31544" hidden="1" x14ac:dyDescent="0.35"/>
    <row r="31545" hidden="1" x14ac:dyDescent="0.35"/>
    <row r="31546" hidden="1" x14ac:dyDescent="0.35"/>
    <row r="31547" hidden="1" x14ac:dyDescent="0.35"/>
    <row r="31548" hidden="1" x14ac:dyDescent="0.35"/>
    <row r="31549" hidden="1" x14ac:dyDescent="0.35"/>
    <row r="31550" hidden="1" x14ac:dyDescent="0.35"/>
    <row r="31551" hidden="1" x14ac:dyDescent="0.35"/>
    <row r="31552" hidden="1" x14ac:dyDescent="0.35"/>
    <row r="31553" hidden="1" x14ac:dyDescent="0.35"/>
    <row r="31554" hidden="1" x14ac:dyDescent="0.35"/>
    <row r="31555" hidden="1" x14ac:dyDescent="0.35"/>
    <row r="31556" hidden="1" x14ac:dyDescent="0.35"/>
    <row r="31557" hidden="1" x14ac:dyDescent="0.35"/>
    <row r="31558" hidden="1" x14ac:dyDescent="0.35"/>
    <row r="31559" hidden="1" x14ac:dyDescent="0.35"/>
    <row r="31560" hidden="1" x14ac:dyDescent="0.35"/>
    <row r="31561" hidden="1" x14ac:dyDescent="0.35"/>
    <row r="31562" hidden="1" x14ac:dyDescent="0.35"/>
    <row r="31563" hidden="1" x14ac:dyDescent="0.35"/>
    <row r="31564" hidden="1" x14ac:dyDescent="0.35"/>
    <row r="31565" hidden="1" x14ac:dyDescent="0.35"/>
    <row r="31566" hidden="1" x14ac:dyDescent="0.35"/>
    <row r="31567" hidden="1" x14ac:dyDescent="0.35"/>
    <row r="31568" hidden="1" x14ac:dyDescent="0.35"/>
    <row r="31569" hidden="1" x14ac:dyDescent="0.35"/>
    <row r="31570" hidden="1" x14ac:dyDescent="0.35"/>
    <row r="31571" hidden="1" x14ac:dyDescent="0.35"/>
    <row r="31572" hidden="1" x14ac:dyDescent="0.35"/>
    <row r="31573" hidden="1" x14ac:dyDescent="0.35"/>
    <row r="31574" hidden="1" x14ac:dyDescent="0.35"/>
    <row r="31575" hidden="1" x14ac:dyDescent="0.35"/>
    <row r="31576" hidden="1" x14ac:dyDescent="0.35"/>
    <row r="31577" hidden="1" x14ac:dyDescent="0.35"/>
    <row r="31578" hidden="1" x14ac:dyDescent="0.35"/>
    <row r="31579" hidden="1" x14ac:dyDescent="0.35"/>
    <row r="31580" hidden="1" x14ac:dyDescent="0.35"/>
    <row r="31581" hidden="1" x14ac:dyDescent="0.35"/>
    <row r="31582" hidden="1" x14ac:dyDescent="0.35"/>
    <row r="31583" hidden="1" x14ac:dyDescent="0.35"/>
    <row r="31584" hidden="1" x14ac:dyDescent="0.35"/>
    <row r="31585" hidden="1" x14ac:dyDescent="0.35"/>
    <row r="31586" hidden="1" x14ac:dyDescent="0.35"/>
    <row r="31587" hidden="1" x14ac:dyDescent="0.35"/>
    <row r="31588" hidden="1" x14ac:dyDescent="0.35"/>
    <row r="31589" hidden="1" x14ac:dyDescent="0.35"/>
    <row r="31590" hidden="1" x14ac:dyDescent="0.35"/>
    <row r="31591" hidden="1" x14ac:dyDescent="0.35"/>
    <row r="31592" hidden="1" x14ac:dyDescent="0.35"/>
    <row r="31593" hidden="1" x14ac:dyDescent="0.35"/>
    <row r="31594" hidden="1" x14ac:dyDescent="0.35"/>
    <row r="31595" hidden="1" x14ac:dyDescent="0.35"/>
    <row r="31596" hidden="1" x14ac:dyDescent="0.35"/>
    <row r="31597" hidden="1" x14ac:dyDescent="0.35"/>
    <row r="31598" hidden="1" x14ac:dyDescent="0.35"/>
    <row r="31599" hidden="1" x14ac:dyDescent="0.35"/>
    <row r="31600" hidden="1" x14ac:dyDescent="0.35"/>
    <row r="31601" hidden="1" x14ac:dyDescent="0.35"/>
    <row r="31602" hidden="1" x14ac:dyDescent="0.35"/>
    <row r="31603" hidden="1" x14ac:dyDescent="0.35"/>
    <row r="31604" hidden="1" x14ac:dyDescent="0.35"/>
    <row r="31605" hidden="1" x14ac:dyDescent="0.35"/>
    <row r="31606" hidden="1" x14ac:dyDescent="0.35"/>
    <row r="31607" hidden="1" x14ac:dyDescent="0.35"/>
    <row r="31608" hidden="1" x14ac:dyDescent="0.35"/>
    <row r="31609" hidden="1" x14ac:dyDescent="0.35"/>
    <row r="31610" hidden="1" x14ac:dyDescent="0.35"/>
    <row r="31611" hidden="1" x14ac:dyDescent="0.35"/>
    <row r="31612" hidden="1" x14ac:dyDescent="0.35"/>
    <row r="31613" hidden="1" x14ac:dyDescent="0.35"/>
    <row r="31614" hidden="1" x14ac:dyDescent="0.35"/>
    <row r="31615" hidden="1" x14ac:dyDescent="0.35"/>
    <row r="31616" hidden="1" x14ac:dyDescent="0.35"/>
    <row r="31617" hidden="1" x14ac:dyDescent="0.35"/>
    <row r="31618" hidden="1" x14ac:dyDescent="0.35"/>
    <row r="31619" hidden="1" x14ac:dyDescent="0.35"/>
    <row r="31620" hidden="1" x14ac:dyDescent="0.35"/>
    <row r="31621" hidden="1" x14ac:dyDescent="0.35"/>
    <row r="31622" hidden="1" x14ac:dyDescent="0.35"/>
    <row r="31623" hidden="1" x14ac:dyDescent="0.35"/>
    <row r="31624" hidden="1" x14ac:dyDescent="0.35"/>
    <row r="31625" hidden="1" x14ac:dyDescent="0.35"/>
    <row r="31626" hidden="1" x14ac:dyDescent="0.35"/>
    <row r="31627" hidden="1" x14ac:dyDescent="0.35"/>
    <row r="31628" hidden="1" x14ac:dyDescent="0.35"/>
    <row r="31629" hidden="1" x14ac:dyDescent="0.35"/>
    <row r="31630" hidden="1" x14ac:dyDescent="0.35"/>
    <row r="31631" hidden="1" x14ac:dyDescent="0.35"/>
    <row r="31632" hidden="1" x14ac:dyDescent="0.35"/>
    <row r="31633" hidden="1" x14ac:dyDescent="0.35"/>
    <row r="31634" hidden="1" x14ac:dyDescent="0.35"/>
    <row r="31635" hidden="1" x14ac:dyDescent="0.35"/>
    <row r="31636" hidden="1" x14ac:dyDescent="0.35"/>
    <row r="31637" hidden="1" x14ac:dyDescent="0.35"/>
    <row r="31638" hidden="1" x14ac:dyDescent="0.35"/>
    <row r="31639" hidden="1" x14ac:dyDescent="0.35"/>
    <row r="31640" hidden="1" x14ac:dyDescent="0.35"/>
    <row r="31641" hidden="1" x14ac:dyDescent="0.35"/>
    <row r="31642" hidden="1" x14ac:dyDescent="0.35"/>
    <row r="31643" hidden="1" x14ac:dyDescent="0.35"/>
    <row r="31644" hidden="1" x14ac:dyDescent="0.35"/>
    <row r="31645" hidden="1" x14ac:dyDescent="0.35"/>
    <row r="31646" hidden="1" x14ac:dyDescent="0.35"/>
    <row r="31647" hidden="1" x14ac:dyDescent="0.35"/>
    <row r="31648" hidden="1" x14ac:dyDescent="0.35"/>
    <row r="31649" hidden="1" x14ac:dyDescent="0.35"/>
    <row r="31650" hidden="1" x14ac:dyDescent="0.35"/>
    <row r="31651" hidden="1" x14ac:dyDescent="0.35"/>
    <row r="31652" hidden="1" x14ac:dyDescent="0.35"/>
    <row r="31653" hidden="1" x14ac:dyDescent="0.35"/>
    <row r="31654" hidden="1" x14ac:dyDescent="0.35"/>
    <row r="31655" hidden="1" x14ac:dyDescent="0.35"/>
    <row r="31656" hidden="1" x14ac:dyDescent="0.35"/>
    <row r="31657" hidden="1" x14ac:dyDescent="0.35"/>
    <row r="31658" hidden="1" x14ac:dyDescent="0.35"/>
    <row r="31659" hidden="1" x14ac:dyDescent="0.35"/>
    <row r="31660" hidden="1" x14ac:dyDescent="0.35"/>
    <row r="31661" hidden="1" x14ac:dyDescent="0.35"/>
    <row r="31662" hidden="1" x14ac:dyDescent="0.35"/>
    <row r="31663" hidden="1" x14ac:dyDescent="0.35"/>
    <row r="31664" hidden="1" x14ac:dyDescent="0.35"/>
    <row r="31665" hidden="1" x14ac:dyDescent="0.35"/>
    <row r="31666" hidden="1" x14ac:dyDescent="0.35"/>
    <row r="31667" hidden="1" x14ac:dyDescent="0.35"/>
    <row r="31668" hidden="1" x14ac:dyDescent="0.35"/>
    <row r="31669" hidden="1" x14ac:dyDescent="0.35"/>
    <row r="31670" hidden="1" x14ac:dyDescent="0.35"/>
    <row r="31671" hidden="1" x14ac:dyDescent="0.35"/>
    <row r="31672" hidden="1" x14ac:dyDescent="0.35"/>
    <row r="31673" hidden="1" x14ac:dyDescent="0.35"/>
    <row r="31674" hidden="1" x14ac:dyDescent="0.35"/>
    <row r="31675" hidden="1" x14ac:dyDescent="0.35"/>
    <row r="31676" hidden="1" x14ac:dyDescent="0.35"/>
    <row r="31677" hidden="1" x14ac:dyDescent="0.35"/>
    <row r="31678" hidden="1" x14ac:dyDescent="0.35"/>
    <row r="31679" hidden="1" x14ac:dyDescent="0.35"/>
    <row r="31680" hidden="1" x14ac:dyDescent="0.35"/>
    <row r="31681" hidden="1" x14ac:dyDescent="0.35"/>
    <row r="31682" hidden="1" x14ac:dyDescent="0.35"/>
    <row r="31683" hidden="1" x14ac:dyDescent="0.35"/>
    <row r="31684" hidden="1" x14ac:dyDescent="0.35"/>
    <row r="31685" hidden="1" x14ac:dyDescent="0.35"/>
    <row r="31686" hidden="1" x14ac:dyDescent="0.35"/>
    <row r="31687" hidden="1" x14ac:dyDescent="0.35"/>
    <row r="31688" hidden="1" x14ac:dyDescent="0.35"/>
    <row r="31689" hidden="1" x14ac:dyDescent="0.35"/>
    <row r="31690" hidden="1" x14ac:dyDescent="0.35"/>
    <row r="31691" hidden="1" x14ac:dyDescent="0.35"/>
    <row r="31692" hidden="1" x14ac:dyDescent="0.35"/>
    <row r="31693" hidden="1" x14ac:dyDescent="0.35"/>
    <row r="31694" hidden="1" x14ac:dyDescent="0.35"/>
    <row r="31695" hidden="1" x14ac:dyDescent="0.35"/>
    <row r="31696" hidden="1" x14ac:dyDescent="0.35"/>
    <row r="31697" hidden="1" x14ac:dyDescent="0.35"/>
    <row r="31698" hidden="1" x14ac:dyDescent="0.35"/>
    <row r="31699" hidden="1" x14ac:dyDescent="0.35"/>
    <row r="31700" hidden="1" x14ac:dyDescent="0.35"/>
    <row r="31701" hidden="1" x14ac:dyDescent="0.35"/>
    <row r="31702" hidden="1" x14ac:dyDescent="0.35"/>
    <row r="31703" hidden="1" x14ac:dyDescent="0.35"/>
    <row r="31704" hidden="1" x14ac:dyDescent="0.35"/>
    <row r="31705" hidden="1" x14ac:dyDescent="0.35"/>
    <row r="31706" hidden="1" x14ac:dyDescent="0.35"/>
    <row r="31707" hidden="1" x14ac:dyDescent="0.35"/>
    <row r="31708" hidden="1" x14ac:dyDescent="0.35"/>
    <row r="31709" hidden="1" x14ac:dyDescent="0.35"/>
    <row r="31710" hidden="1" x14ac:dyDescent="0.35"/>
    <row r="31711" hidden="1" x14ac:dyDescent="0.35"/>
    <row r="31712" hidden="1" x14ac:dyDescent="0.35"/>
    <row r="31713" hidden="1" x14ac:dyDescent="0.35"/>
    <row r="31714" hidden="1" x14ac:dyDescent="0.35"/>
    <row r="31715" hidden="1" x14ac:dyDescent="0.35"/>
    <row r="31716" hidden="1" x14ac:dyDescent="0.35"/>
    <row r="31717" hidden="1" x14ac:dyDescent="0.35"/>
    <row r="31718" hidden="1" x14ac:dyDescent="0.35"/>
    <row r="31719" hidden="1" x14ac:dyDescent="0.35"/>
    <row r="31720" hidden="1" x14ac:dyDescent="0.35"/>
    <row r="31721" hidden="1" x14ac:dyDescent="0.35"/>
    <row r="31722" hidden="1" x14ac:dyDescent="0.35"/>
    <row r="31723" hidden="1" x14ac:dyDescent="0.35"/>
    <row r="31724" hidden="1" x14ac:dyDescent="0.35"/>
    <row r="31725" hidden="1" x14ac:dyDescent="0.35"/>
    <row r="31726" hidden="1" x14ac:dyDescent="0.35"/>
    <row r="31727" hidden="1" x14ac:dyDescent="0.35"/>
    <row r="31728" hidden="1" x14ac:dyDescent="0.35"/>
    <row r="31729" hidden="1" x14ac:dyDescent="0.35"/>
    <row r="31730" hidden="1" x14ac:dyDescent="0.35"/>
    <row r="31731" hidden="1" x14ac:dyDescent="0.35"/>
    <row r="31732" hidden="1" x14ac:dyDescent="0.35"/>
    <row r="31733" hidden="1" x14ac:dyDescent="0.35"/>
    <row r="31734" hidden="1" x14ac:dyDescent="0.35"/>
    <row r="31735" hidden="1" x14ac:dyDescent="0.35"/>
    <row r="31736" hidden="1" x14ac:dyDescent="0.35"/>
    <row r="31737" hidden="1" x14ac:dyDescent="0.35"/>
    <row r="31738" hidden="1" x14ac:dyDescent="0.35"/>
    <row r="31739" hidden="1" x14ac:dyDescent="0.35"/>
    <row r="31740" hidden="1" x14ac:dyDescent="0.35"/>
    <row r="31741" hidden="1" x14ac:dyDescent="0.35"/>
    <row r="31742" hidden="1" x14ac:dyDescent="0.35"/>
    <row r="31743" hidden="1" x14ac:dyDescent="0.35"/>
    <row r="31744" hidden="1" x14ac:dyDescent="0.35"/>
    <row r="31745" hidden="1" x14ac:dyDescent="0.35"/>
    <row r="31746" hidden="1" x14ac:dyDescent="0.35"/>
    <row r="31747" hidden="1" x14ac:dyDescent="0.35"/>
    <row r="31748" hidden="1" x14ac:dyDescent="0.35"/>
    <row r="31749" hidden="1" x14ac:dyDescent="0.35"/>
    <row r="31750" hidden="1" x14ac:dyDescent="0.35"/>
    <row r="31751" hidden="1" x14ac:dyDescent="0.35"/>
    <row r="31752" hidden="1" x14ac:dyDescent="0.35"/>
    <row r="31753" hidden="1" x14ac:dyDescent="0.35"/>
    <row r="31754" hidden="1" x14ac:dyDescent="0.35"/>
    <row r="31755" hidden="1" x14ac:dyDescent="0.35"/>
    <row r="31756" hidden="1" x14ac:dyDescent="0.35"/>
    <row r="31757" hidden="1" x14ac:dyDescent="0.35"/>
    <row r="31758" hidden="1" x14ac:dyDescent="0.35"/>
    <row r="31759" hidden="1" x14ac:dyDescent="0.35"/>
    <row r="31760" hidden="1" x14ac:dyDescent="0.35"/>
    <row r="31761" hidden="1" x14ac:dyDescent="0.35"/>
    <row r="31762" hidden="1" x14ac:dyDescent="0.35"/>
    <row r="31763" hidden="1" x14ac:dyDescent="0.35"/>
    <row r="31764" hidden="1" x14ac:dyDescent="0.35"/>
    <row r="31765" hidden="1" x14ac:dyDescent="0.35"/>
    <row r="31766" hidden="1" x14ac:dyDescent="0.35"/>
    <row r="31767" hidden="1" x14ac:dyDescent="0.35"/>
    <row r="31768" hidden="1" x14ac:dyDescent="0.35"/>
    <row r="31769" hidden="1" x14ac:dyDescent="0.35"/>
    <row r="31770" hidden="1" x14ac:dyDescent="0.35"/>
    <row r="31771" hidden="1" x14ac:dyDescent="0.35"/>
    <row r="31772" hidden="1" x14ac:dyDescent="0.35"/>
    <row r="31773" hidden="1" x14ac:dyDescent="0.35"/>
    <row r="31774" hidden="1" x14ac:dyDescent="0.35"/>
    <row r="31775" hidden="1" x14ac:dyDescent="0.35"/>
    <row r="31776" hidden="1" x14ac:dyDescent="0.35"/>
    <row r="31777" hidden="1" x14ac:dyDescent="0.35"/>
    <row r="31778" hidden="1" x14ac:dyDescent="0.35"/>
    <row r="31779" hidden="1" x14ac:dyDescent="0.35"/>
    <row r="31780" hidden="1" x14ac:dyDescent="0.35"/>
    <row r="31781" hidden="1" x14ac:dyDescent="0.35"/>
    <row r="31782" hidden="1" x14ac:dyDescent="0.35"/>
    <row r="31783" hidden="1" x14ac:dyDescent="0.35"/>
    <row r="31784" hidden="1" x14ac:dyDescent="0.35"/>
    <row r="31785" hidden="1" x14ac:dyDescent="0.35"/>
    <row r="31786" hidden="1" x14ac:dyDescent="0.35"/>
    <row r="31787" hidden="1" x14ac:dyDescent="0.35"/>
    <row r="31788" hidden="1" x14ac:dyDescent="0.35"/>
    <row r="31789" hidden="1" x14ac:dyDescent="0.35"/>
    <row r="31790" hidden="1" x14ac:dyDescent="0.35"/>
    <row r="31791" hidden="1" x14ac:dyDescent="0.35"/>
    <row r="31792" hidden="1" x14ac:dyDescent="0.35"/>
    <row r="31793" hidden="1" x14ac:dyDescent="0.35"/>
    <row r="31794" hidden="1" x14ac:dyDescent="0.35"/>
    <row r="31795" hidden="1" x14ac:dyDescent="0.35"/>
    <row r="31796" hidden="1" x14ac:dyDescent="0.35"/>
    <row r="31797" hidden="1" x14ac:dyDescent="0.35"/>
    <row r="31798" hidden="1" x14ac:dyDescent="0.35"/>
    <row r="31799" hidden="1" x14ac:dyDescent="0.35"/>
    <row r="31800" hidden="1" x14ac:dyDescent="0.35"/>
    <row r="31801" hidden="1" x14ac:dyDescent="0.35"/>
    <row r="31802" hidden="1" x14ac:dyDescent="0.35"/>
    <row r="31803" hidden="1" x14ac:dyDescent="0.35"/>
    <row r="31804" hidden="1" x14ac:dyDescent="0.35"/>
    <row r="31805" hidden="1" x14ac:dyDescent="0.35"/>
    <row r="31806" hidden="1" x14ac:dyDescent="0.35"/>
    <row r="31807" hidden="1" x14ac:dyDescent="0.35"/>
    <row r="31808" hidden="1" x14ac:dyDescent="0.35"/>
    <row r="31809" hidden="1" x14ac:dyDescent="0.35"/>
    <row r="31810" hidden="1" x14ac:dyDescent="0.35"/>
    <row r="31811" hidden="1" x14ac:dyDescent="0.35"/>
    <row r="31812" hidden="1" x14ac:dyDescent="0.35"/>
    <row r="31813" hidden="1" x14ac:dyDescent="0.35"/>
    <row r="31814" hidden="1" x14ac:dyDescent="0.35"/>
    <row r="31815" hidden="1" x14ac:dyDescent="0.35"/>
    <row r="31816" hidden="1" x14ac:dyDescent="0.35"/>
    <row r="31817" hidden="1" x14ac:dyDescent="0.35"/>
    <row r="31818" hidden="1" x14ac:dyDescent="0.35"/>
    <row r="31819" hidden="1" x14ac:dyDescent="0.35"/>
    <row r="31820" hidden="1" x14ac:dyDescent="0.35"/>
    <row r="31821" hidden="1" x14ac:dyDescent="0.35"/>
    <row r="31822" hidden="1" x14ac:dyDescent="0.35"/>
    <row r="31823" hidden="1" x14ac:dyDescent="0.35"/>
    <row r="31824" hidden="1" x14ac:dyDescent="0.35"/>
    <row r="31825" hidden="1" x14ac:dyDescent="0.35"/>
    <row r="31826" hidden="1" x14ac:dyDescent="0.35"/>
    <row r="31827" hidden="1" x14ac:dyDescent="0.35"/>
    <row r="31828" hidden="1" x14ac:dyDescent="0.35"/>
    <row r="31829" hidden="1" x14ac:dyDescent="0.35"/>
    <row r="31830" hidden="1" x14ac:dyDescent="0.35"/>
    <row r="31831" hidden="1" x14ac:dyDescent="0.35"/>
    <row r="31832" hidden="1" x14ac:dyDescent="0.35"/>
    <row r="31833" hidden="1" x14ac:dyDescent="0.35"/>
    <row r="31834" hidden="1" x14ac:dyDescent="0.35"/>
    <row r="31835" hidden="1" x14ac:dyDescent="0.35"/>
    <row r="31836" hidden="1" x14ac:dyDescent="0.35"/>
    <row r="31837" hidden="1" x14ac:dyDescent="0.35"/>
    <row r="31838" hidden="1" x14ac:dyDescent="0.35"/>
    <row r="31839" hidden="1" x14ac:dyDescent="0.35"/>
    <row r="31840" hidden="1" x14ac:dyDescent="0.35"/>
    <row r="31841" hidden="1" x14ac:dyDescent="0.35"/>
    <row r="31842" hidden="1" x14ac:dyDescent="0.35"/>
    <row r="31843" hidden="1" x14ac:dyDescent="0.35"/>
    <row r="31844" hidden="1" x14ac:dyDescent="0.35"/>
    <row r="31845" hidden="1" x14ac:dyDescent="0.35"/>
    <row r="31846" hidden="1" x14ac:dyDescent="0.35"/>
    <row r="31847" hidden="1" x14ac:dyDescent="0.35"/>
    <row r="31848" hidden="1" x14ac:dyDescent="0.35"/>
    <row r="31849" hidden="1" x14ac:dyDescent="0.35"/>
    <row r="31850" hidden="1" x14ac:dyDescent="0.35"/>
    <row r="31851" hidden="1" x14ac:dyDescent="0.35"/>
    <row r="31852" hidden="1" x14ac:dyDescent="0.35"/>
    <row r="31853" hidden="1" x14ac:dyDescent="0.35"/>
    <row r="31854" hidden="1" x14ac:dyDescent="0.35"/>
    <row r="31855" hidden="1" x14ac:dyDescent="0.35"/>
    <row r="31856" hidden="1" x14ac:dyDescent="0.35"/>
    <row r="31857" hidden="1" x14ac:dyDescent="0.35"/>
    <row r="31858" hidden="1" x14ac:dyDescent="0.35"/>
    <row r="31859" hidden="1" x14ac:dyDescent="0.35"/>
    <row r="31860" hidden="1" x14ac:dyDescent="0.35"/>
    <row r="31861" hidden="1" x14ac:dyDescent="0.35"/>
    <row r="31862" hidden="1" x14ac:dyDescent="0.35"/>
    <row r="31863" hidden="1" x14ac:dyDescent="0.35"/>
    <row r="31864" hidden="1" x14ac:dyDescent="0.35"/>
    <row r="31865" hidden="1" x14ac:dyDescent="0.35"/>
    <row r="31866" hidden="1" x14ac:dyDescent="0.35"/>
    <row r="31867" hidden="1" x14ac:dyDescent="0.35"/>
    <row r="31868" hidden="1" x14ac:dyDescent="0.35"/>
    <row r="31869" hidden="1" x14ac:dyDescent="0.35"/>
    <row r="31870" hidden="1" x14ac:dyDescent="0.35"/>
    <row r="31871" hidden="1" x14ac:dyDescent="0.35"/>
    <row r="31872" hidden="1" x14ac:dyDescent="0.35"/>
    <row r="31873" hidden="1" x14ac:dyDescent="0.35"/>
    <row r="31874" hidden="1" x14ac:dyDescent="0.35"/>
    <row r="31875" hidden="1" x14ac:dyDescent="0.35"/>
    <row r="31876" hidden="1" x14ac:dyDescent="0.35"/>
    <row r="31877" hidden="1" x14ac:dyDescent="0.35"/>
    <row r="31878" hidden="1" x14ac:dyDescent="0.35"/>
    <row r="31879" hidden="1" x14ac:dyDescent="0.35"/>
    <row r="31880" hidden="1" x14ac:dyDescent="0.35"/>
    <row r="31881" hidden="1" x14ac:dyDescent="0.35"/>
    <row r="31882" hidden="1" x14ac:dyDescent="0.35"/>
    <row r="31883" hidden="1" x14ac:dyDescent="0.35"/>
    <row r="31884" hidden="1" x14ac:dyDescent="0.35"/>
    <row r="31885" hidden="1" x14ac:dyDescent="0.35"/>
    <row r="31886" hidden="1" x14ac:dyDescent="0.35"/>
    <row r="31887" hidden="1" x14ac:dyDescent="0.35"/>
    <row r="31888" hidden="1" x14ac:dyDescent="0.35"/>
    <row r="31889" hidden="1" x14ac:dyDescent="0.35"/>
    <row r="31890" hidden="1" x14ac:dyDescent="0.35"/>
    <row r="31891" hidden="1" x14ac:dyDescent="0.35"/>
    <row r="31892" hidden="1" x14ac:dyDescent="0.35"/>
    <row r="31893" hidden="1" x14ac:dyDescent="0.35"/>
    <row r="31894" hidden="1" x14ac:dyDescent="0.35"/>
    <row r="31895" hidden="1" x14ac:dyDescent="0.35"/>
    <row r="31896" hidden="1" x14ac:dyDescent="0.35"/>
    <row r="31897" hidden="1" x14ac:dyDescent="0.35"/>
    <row r="31898" hidden="1" x14ac:dyDescent="0.35"/>
    <row r="31899" hidden="1" x14ac:dyDescent="0.35"/>
    <row r="31900" hidden="1" x14ac:dyDescent="0.35"/>
    <row r="31901" hidden="1" x14ac:dyDescent="0.35"/>
    <row r="31902" hidden="1" x14ac:dyDescent="0.35"/>
    <row r="31903" hidden="1" x14ac:dyDescent="0.35"/>
    <row r="31904" hidden="1" x14ac:dyDescent="0.35"/>
    <row r="31905" hidden="1" x14ac:dyDescent="0.35"/>
    <row r="31906" hidden="1" x14ac:dyDescent="0.35"/>
    <row r="31907" hidden="1" x14ac:dyDescent="0.35"/>
    <row r="31908" hidden="1" x14ac:dyDescent="0.35"/>
    <row r="31909" hidden="1" x14ac:dyDescent="0.35"/>
    <row r="31910" hidden="1" x14ac:dyDescent="0.35"/>
    <row r="31911" hidden="1" x14ac:dyDescent="0.35"/>
    <row r="31912" hidden="1" x14ac:dyDescent="0.35"/>
    <row r="31913" hidden="1" x14ac:dyDescent="0.35"/>
    <row r="31914" hidden="1" x14ac:dyDescent="0.35"/>
    <row r="31915" hidden="1" x14ac:dyDescent="0.35"/>
    <row r="31916" hidden="1" x14ac:dyDescent="0.35"/>
    <row r="31917" hidden="1" x14ac:dyDescent="0.35"/>
    <row r="31918" hidden="1" x14ac:dyDescent="0.35"/>
    <row r="31919" hidden="1" x14ac:dyDescent="0.35"/>
    <row r="31920" hidden="1" x14ac:dyDescent="0.35"/>
    <row r="31921" hidden="1" x14ac:dyDescent="0.35"/>
    <row r="31922" hidden="1" x14ac:dyDescent="0.35"/>
    <row r="31923" hidden="1" x14ac:dyDescent="0.35"/>
    <row r="31924" hidden="1" x14ac:dyDescent="0.35"/>
    <row r="31925" hidden="1" x14ac:dyDescent="0.35"/>
    <row r="31926" hidden="1" x14ac:dyDescent="0.35"/>
    <row r="31927" hidden="1" x14ac:dyDescent="0.35"/>
    <row r="31928" hidden="1" x14ac:dyDescent="0.35"/>
    <row r="31929" hidden="1" x14ac:dyDescent="0.35"/>
    <row r="31930" hidden="1" x14ac:dyDescent="0.35"/>
    <row r="31931" hidden="1" x14ac:dyDescent="0.35"/>
    <row r="31932" hidden="1" x14ac:dyDescent="0.35"/>
    <row r="31933" hidden="1" x14ac:dyDescent="0.35"/>
    <row r="31934" hidden="1" x14ac:dyDescent="0.35"/>
    <row r="31935" hidden="1" x14ac:dyDescent="0.35"/>
    <row r="31936" hidden="1" x14ac:dyDescent="0.35"/>
    <row r="31937" hidden="1" x14ac:dyDescent="0.35"/>
    <row r="31938" hidden="1" x14ac:dyDescent="0.35"/>
    <row r="31939" hidden="1" x14ac:dyDescent="0.35"/>
    <row r="31940" hidden="1" x14ac:dyDescent="0.35"/>
    <row r="31941" hidden="1" x14ac:dyDescent="0.35"/>
    <row r="31942" hidden="1" x14ac:dyDescent="0.35"/>
    <row r="31943" hidden="1" x14ac:dyDescent="0.35"/>
    <row r="31944" hidden="1" x14ac:dyDescent="0.35"/>
    <row r="31945" hidden="1" x14ac:dyDescent="0.35"/>
    <row r="31946" hidden="1" x14ac:dyDescent="0.35"/>
    <row r="31947" hidden="1" x14ac:dyDescent="0.35"/>
    <row r="31948" hidden="1" x14ac:dyDescent="0.35"/>
    <row r="31949" hidden="1" x14ac:dyDescent="0.35"/>
    <row r="31950" hidden="1" x14ac:dyDescent="0.35"/>
    <row r="31951" hidden="1" x14ac:dyDescent="0.35"/>
    <row r="31952" hidden="1" x14ac:dyDescent="0.35"/>
    <row r="31953" hidden="1" x14ac:dyDescent="0.35"/>
    <row r="31954" hidden="1" x14ac:dyDescent="0.35"/>
    <row r="31955" hidden="1" x14ac:dyDescent="0.35"/>
    <row r="31956" hidden="1" x14ac:dyDescent="0.35"/>
    <row r="31957" hidden="1" x14ac:dyDescent="0.35"/>
    <row r="31958" hidden="1" x14ac:dyDescent="0.35"/>
    <row r="31959" hidden="1" x14ac:dyDescent="0.35"/>
    <row r="31960" hidden="1" x14ac:dyDescent="0.35"/>
    <row r="31961" hidden="1" x14ac:dyDescent="0.35"/>
    <row r="31962" hidden="1" x14ac:dyDescent="0.35"/>
    <row r="31963" hidden="1" x14ac:dyDescent="0.35"/>
    <row r="31964" hidden="1" x14ac:dyDescent="0.35"/>
    <row r="31965" hidden="1" x14ac:dyDescent="0.35"/>
    <row r="31966" hidden="1" x14ac:dyDescent="0.35"/>
    <row r="31967" hidden="1" x14ac:dyDescent="0.35"/>
    <row r="31968" hidden="1" x14ac:dyDescent="0.35"/>
    <row r="31969" hidden="1" x14ac:dyDescent="0.35"/>
    <row r="31970" hidden="1" x14ac:dyDescent="0.35"/>
    <row r="31971" hidden="1" x14ac:dyDescent="0.35"/>
    <row r="31972" hidden="1" x14ac:dyDescent="0.35"/>
    <row r="31973" hidden="1" x14ac:dyDescent="0.35"/>
    <row r="31974" hidden="1" x14ac:dyDescent="0.35"/>
    <row r="31975" hidden="1" x14ac:dyDescent="0.35"/>
    <row r="31976" hidden="1" x14ac:dyDescent="0.35"/>
    <row r="31977" hidden="1" x14ac:dyDescent="0.35"/>
    <row r="31978" hidden="1" x14ac:dyDescent="0.35"/>
    <row r="31979" hidden="1" x14ac:dyDescent="0.35"/>
    <row r="31980" hidden="1" x14ac:dyDescent="0.35"/>
    <row r="31981" hidden="1" x14ac:dyDescent="0.35"/>
    <row r="31982" hidden="1" x14ac:dyDescent="0.35"/>
    <row r="31983" hidden="1" x14ac:dyDescent="0.35"/>
    <row r="31984" hidden="1" x14ac:dyDescent="0.35"/>
    <row r="31985" hidden="1" x14ac:dyDescent="0.35"/>
    <row r="31986" hidden="1" x14ac:dyDescent="0.35"/>
    <row r="31987" hidden="1" x14ac:dyDescent="0.35"/>
    <row r="31988" hidden="1" x14ac:dyDescent="0.35"/>
    <row r="31989" hidden="1" x14ac:dyDescent="0.35"/>
    <row r="31990" hidden="1" x14ac:dyDescent="0.35"/>
    <row r="31991" hidden="1" x14ac:dyDescent="0.35"/>
    <row r="31992" hidden="1" x14ac:dyDescent="0.35"/>
    <row r="31993" hidden="1" x14ac:dyDescent="0.35"/>
    <row r="31994" hidden="1" x14ac:dyDescent="0.35"/>
    <row r="31995" hidden="1" x14ac:dyDescent="0.35"/>
    <row r="31996" hidden="1" x14ac:dyDescent="0.35"/>
    <row r="31997" hidden="1" x14ac:dyDescent="0.35"/>
    <row r="31998" hidden="1" x14ac:dyDescent="0.35"/>
    <row r="31999" hidden="1" x14ac:dyDescent="0.35"/>
    <row r="32000" hidden="1" x14ac:dyDescent="0.35"/>
    <row r="32001" hidden="1" x14ac:dyDescent="0.35"/>
    <row r="32002" hidden="1" x14ac:dyDescent="0.35"/>
    <row r="32003" hidden="1" x14ac:dyDescent="0.35"/>
    <row r="32004" hidden="1" x14ac:dyDescent="0.35"/>
    <row r="32005" hidden="1" x14ac:dyDescent="0.35"/>
    <row r="32006" hidden="1" x14ac:dyDescent="0.35"/>
    <row r="32007" hidden="1" x14ac:dyDescent="0.35"/>
    <row r="32008" hidden="1" x14ac:dyDescent="0.35"/>
    <row r="32009" hidden="1" x14ac:dyDescent="0.35"/>
    <row r="32010" hidden="1" x14ac:dyDescent="0.35"/>
    <row r="32011" hidden="1" x14ac:dyDescent="0.35"/>
    <row r="32012" hidden="1" x14ac:dyDescent="0.35"/>
    <row r="32013" hidden="1" x14ac:dyDescent="0.35"/>
    <row r="32014" hidden="1" x14ac:dyDescent="0.35"/>
    <row r="32015" hidden="1" x14ac:dyDescent="0.35"/>
    <row r="32016" hidden="1" x14ac:dyDescent="0.35"/>
    <row r="32017" hidden="1" x14ac:dyDescent="0.35"/>
    <row r="32018" hidden="1" x14ac:dyDescent="0.35"/>
    <row r="32019" hidden="1" x14ac:dyDescent="0.35"/>
    <row r="32020" hidden="1" x14ac:dyDescent="0.35"/>
    <row r="32021" hidden="1" x14ac:dyDescent="0.35"/>
    <row r="32022" hidden="1" x14ac:dyDescent="0.35"/>
    <row r="32023" hidden="1" x14ac:dyDescent="0.35"/>
    <row r="32024" hidden="1" x14ac:dyDescent="0.35"/>
    <row r="32025" hidden="1" x14ac:dyDescent="0.35"/>
    <row r="32026" hidden="1" x14ac:dyDescent="0.35"/>
    <row r="32027" hidden="1" x14ac:dyDescent="0.35"/>
    <row r="32028" hidden="1" x14ac:dyDescent="0.35"/>
    <row r="32029" hidden="1" x14ac:dyDescent="0.35"/>
    <row r="32030" hidden="1" x14ac:dyDescent="0.35"/>
    <row r="32031" hidden="1" x14ac:dyDescent="0.35"/>
    <row r="32032" hidden="1" x14ac:dyDescent="0.35"/>
    <row r="32033" hidden="1" x14ac:dyDescent="0.35"/>
    <row r="32034" hidden="1" x14ac:dyDescent="0.35"/>
    <row r="32035" hidden="1" x14ac:dyDescent="0.35"/>
    <row r="32036" hidden="1" x14ac:dyDescent="0.35"/>
    <row r="32037" hidden="1" x14ac:dyDescent="0.35"/>
    <row r="32038" hidden="1" x14ac:dyDescent="0.35"/>
    <row r="32039" hidden="1" x14ac:dyDescent="0.35"/>
    <row r="32040" hidden="1" x14ac:dyDescent="0.35"/>
    <row r="32041" hidden="1" x14ac:dyDescent="0.35"/>
    <row r="32042" hidden="1" x14ac:dyDescent="0.35"/>
    <row r="32043" hidden="1" x14ac:dyDescent="0.35"/>
    <row r="32044" hidden="1" x14ac:dyDescent="0.35"/>
    <row r="32045" hidden="1" x14ac:dyDescent="0.35"/>
    <row r="32046" hidden="1" x14ac:dyDescent="0.35"/>
    <row r="32047" hidden="1" x14ac:dyDescent="0.35"/>
    <row r="32048" hidden="1" x14ac:dyDescent="0.35"/>
    <row r="32049" hidden="1" x14ac:dyDescent="0.35"/>
    <row r="32050" hidden="1" x14ac:dyDescent="0.35"/>
    <row r="32051" hidden="1" x14ac:dyDescent="0.35"/>
    <row r="32052" hidden="1" x14ac:dyDescent="0.35"/>
    <row r="32053" hidden="1" x14ac:dyDescent="0.35"/>
    <row r="32054" hidden="1" x14ac:dyDescent="0.35"/>
    <row r="32055" hidden="1" x14ac:dyDescent="0.35"/>
    <row r="32056" hidden="1" x14ac:dyDescent="0.35"/>
    <row r="32057" hidden="1" x14ac:dyDescent="0.35"/>
    <row r="32058" hidden="1" x14ac:dyDescent="0.35"/>
    <row r="32059" hidden="1" x14ac:dyDescent="0.35"/>
    <row r="32060" hidden="1" x14ac:dyDescent="0.35"/>
    <row r="32061" hidden="1" x14ac:dyDescent="0.35"/>
    <row r="32062" hidden="1" x14ac:dyDescent="0.35"/>
    <row r="32063" hidden="1" x14ac:dyDescent="0.35"/>
    <row r="32064" hidden="1" x14ac:dyDescent="0.35"/>
    <row r="32065" hidden="1" x14ac:dyDescent="0.35"/>
    <row r="32066" hidden="1" x14ac:dyDescent="0.35"/>
    <row r="32067" hidden="1" x14ac:dyDescent="0.35"/>
    <row r="32068" hidden="1" x14ac:dyDescent="0.35"/>
    <row r="32069" hidden="1" x14ac:dyDescent="0.35"/>
    <row r="32070" hidden="1" x14ac:dyDescent="0.35"/>
    <row r="32071" hidden="1" x14ac:dyDescent="0.35"/>
    <row r="32072" hidden="1" x14ac:dyDescent="0.35"/>
    <row r="32073" hidden="1" x14ac:dyDescent="0.35"/>
    <row r="32074" hidden="1" x14ac:dyDescent="0.35"/>
    <row r="32075" hidden="1" x14ac:dyDescent="0.35"/>
    <row r="32076" hidden="1" x14ac:dyDescent="0.35"/>
    <row r="32077" hidden="1" x14ac:dyDescent="0.35"/>
    <row r="32078" hidden="1" x14ac:dyDescent="0.35"/>
    <row r="32079" hidden="1" x14ac:dyDescent="0.35"/>
    <row r="32080" hidden="1" x14ac:dyDescent="0.35"/>
    <row r="32081" hidden="1" x14ac:dyDescent="0.35"/>
    <row r="32082" hidden="1" x14ac:dyDescent="0.35"/>
    <row r="32083" hidden="1" x14ac:dyDescent="0.35"/>
    <row r="32084" hidden="1" x14ac:dyDescent="0.35"/>
    <row r="32085" hidden="1" x14ac:dyDescent="0.35"/>
    <row r="32086" hidden="1" x14ac:dyDescent="0.35"/>
    <row r="32087" hidden="1" x14ac:dyDescent="0.35"/>
    <row r="32088" hidden="1" x14ac:dyDescent="0.35"/>
    <row r="32089" hidden="1" x14ac:dyDescent="0.35"/>
    <row r="32090" hidden="1" x14ac:dyDescent="0.35"/>
    <row r="32091" hidden="1" x14ac:dyDescent="0.35"/>
    <row r="32092" hidden="1" x14ac:dyDescent="0.35"/>
    <row r="32093" hidden="1" x14ac:dyDescent="0.35"/>
    <row r="32094" hidden="1" x14ac:dyDescent="0.35"/>
    <row r="32095" hidden="1" x14ac:dyDescent="0.35"/>
    <row r="32096" hidden="1" x14ac:dyDescent="0.35"/>
    <row r="32097" hidden="1" x14ac:dyDescent="0.35"/>
    <row r="32098" hidden="1" x14ac:dyDescent="0.35"/>
    <row r="32099" hidden="1" x14ac:dyDescent="0.35"/>
    <row r="32100" hidden="1" x14ac:dyDescent="0.35"/>
    <row r="32101" hidden="1" x14ac:dyDescent="0.35"/>
    <row r="32102" hidden="1" x14ac:dyDescent="0.35"/>
    <row r="32103" hidden="1" x14ac:dyDescent="0.35"/>
    <row r="32104" hidden="1" x14ac:dyDescent="0.35"/>
    <row r="32105" hidden="1" x14ac:dyDescent="0.35"/>
    <row r="32106" hidden="1" x14ac:dyDescent="0.35"/>
    <row r="32107" hidden="1" x14ac:dyDescent="0.35"/>
    <row r="32108" hidden="1" x14ac:dyDescent="0.35"/>
    <row r="32109" hidden="1" x14ac:dyDescent="0.35"/>
    <row r="32110" hidden="1" x14ac:dyDescent="0.35"/>
    <row r="32111" hidden="1" x14ac:dyDescent="0.35"/>
    <row r="32112" hidden="1" x14ac:dyDescent="0.35"/>
    <row r="32113" hidden="1" x14ac:dyDescent="0.35"/>
    <row r="32114" hidden="1" x14ac:dyDescent="0.35"/>
    <row r="32115" hidden="1" x14ac:dyDescent="0.35"/>
    <row r="32116" hidden="1" x14ac:dyDescent="0.35"/>
    <row r="32117" hidden="1" x14ac:dyDescent="0.35"/>
    <row r="32118" hidden="1" x14ac:dyDescent="0.35"/>
    <row r="32119" hidden="1" x14ac:dyDescent="0.35"/>
    <row r="32120" hidden="1" x14ac:dyDescent="0.35"/>
    <row r="32121" hidden="1" x14ac:dyDescent="0.35"/>
    <row r="32122" hidden="1" x14ac:dyDescent="0.35"/>
    <row r="32123" hidden="1" x14ac:dyDescent="0.35"/>
    <row r="32124" hidden="1" x14ac:dyDescent="0.35"/>
    <row r="32125" hidden="1" x14ac:dyDescent="0.35"/>
    <row r="32126" hidden="1" x14ac:dyDescent="0.35"/>
    <row r="32127" hidden="1" x14ac:dyDescent="0.35"/>
    <row r="32128" hidden="1" x14ac:dyDescent="0.35"/>
    <row r="32129" hidden="1" x14ac:dyDescent="0.35"/>
    <row r="32130" hidden="1" x14ac:dyDescent="0.35"/>
    <row r="32131" hidden="1" x14ac:dyDescent="0.35"/>
    <row r="32132" hidden="1" x14ac:dyDescent="0.35"/>
    <row r="32133" hidden="1" x14ac:dyDescent="0.35"/>
    <row r="32134" hidden="1" x14ac:dyDescent="0.35"/>
    <row r="32135" hidden="1" x14ac:dyDescent="0.35"/>
    <row r="32136" hidden="1" x14ac:dyDescent="0.35"/>
    <row r="32137" hidden="1" x14ac:dyDescent="0.35"/>
    <row r="32138" hidden="1" x14ac:dyDescent="0.35"/>
    <row r="32139" hidden="1" x14ac:dyDescent="0.35"/>
    <row r="32140" hidden="1" x14ac:dyDescent="0.35"/>
    <row r="32141" hidden="1" x14ac:dyDescent="0.35"/>
    <row r="32142" hidden="1" x14ac:dyDescent="0.35"/>
    <row r="32143" hidden="1" x14ac:dyDescent="0.35"/>
    <row r="32144" hidden="1" x14ac:dyDescent="0.35"/>
    <row r="32145" hidden="1" x14ac:dyDescent="0.35"/>
    <row r="32146" hidden="1" x14ac:dyDescent="0.35"/>
    <row r="32147" hidden="1" x14ac:dyDescent="0.35"/>
    <row r="32148" hidden="1" x14ac:dyDescent="0.35"/>
    <row r="32149" hidden="1" x14ac:dyDescent="0.35"/>
    <row r="32150" hidden="1" x14ac:dyDescent="0.35"/>
    <row r="32151" hidden="1" x14ac:dyDescent="0.35"/>
    <row r="32152" hidden="1" x14ac:dyDescent="0.35"/>
    <row r="32153" hidden="1" x14ac:dyDescent="0.35"/>
    <row r="32154" hidden="1" x14ac:dyDescent="0.35"/>
    <row r="32155" hidden="1" x14ac:dyDescent="0.35"/>
    <row r="32156" hidden="1" x14ac:dyDescent="0.35"/>
    <row r="32157" hidden="1" x14ac:dyDescent="0.35"/>
    <row r="32158" hidden="1" x14ac:dyDescent="0.35"/>
    <row r="32159" hidden="1" x14ac:dyDescent="0.35"/>
    <row r="32160" hidden="1" x14ac:dyDescent="0.35"/>
    <row r="32161" hidden="1" x14ac:dyDescent="0.35"/>
    <row r="32162" hidden="1" x14ac:dyDescent="0.35"/>
    <row r="32163" hidden="1" x14ac:dyDescent="0.35"/>
    <row r="32164" hidden="1" x14ac:dyDescent="0.35"/>
    <row r="32165" hidden="1" x14ac:dyDescent="0.35"/>
    <row r="32166" hidden="1" x14ac:dyDescent="0.35"/>
    <row r="32167" hidden="1" x14ac:dyDescent="0.35"/>
    <row r="32168" hidden="1" x14ac:dyDescent="0.35"/>
    <row r="32169" hidden="1" x14ac:dyDescent="0.35"/>
    <row r="32170" hidden="1" x14ac:dyDescent="0.35"/>
    <row r="32171" hidden="1" x14ac:dyDescent="0.35"/>
    <row r="32172" hidden="1" x14ac:dyDescent="0.35"/>
    <row r="32173" hidden="1" x14ac:dyDescent="0.35"/>
    <row r="32174" hidden="1" x14ac:dyDescent="0.35"/>
    <row r="32175" hidden="1" x14ac:dyDescent="0.35"/>
    <row r="32176" hidden="1" x14ac:dyDescent="0.35"/>
    <row r="32177" hidden="1" x14ac:dyDescent="0.35"/>
    <row r="32178" hidden="1" x14ac:dyDescent="0.35"/>
    <row r="32179" hidden="1" x14ac:dyDescent="0.35"/>
    <row r="32180" hidden="1" x14ac:dyDescent="0.35"/>
    <row r="32181" hidden="1" x14ac:dyDescent="0.35"/>
    <row r="32182" hidden="1" x14ac:dyDescent="0.35"/>
    <row r="32183" hidden="1" x14ac:dyDescent="0.35"/>
    <row r="32184" hidden="1" x14ac:dyDescent="0.35"/>
    <row r="32185" hidden="1" x14ac:dyDescent="0.35"/>
    <row r="32186" hidden="1" x14ac:dyDescent="0.35"/>
    <row r="32187" hidden="1" x14ac:dyDescent="0.35"/>
    <row r="32188" hidden="1" x14ac:dyDescent="0.35"/>
    <row r="32189" hidden="1" x14ac:dyDescent="0.35"/>
    <row r="32190" hidden="1" x14ac:dyDescent="0.35"/>
    <row r="32191" hidden="1" x14ac:dyDescent="0.35"/>
    <row r="32192" hidden="1" x14ac:dyDescent="0.35"/>
    <row r="32193" hidden="1" x14ac:dyDescent="0.35"/>
    <row r="32194" hidden="1" x14ac:dyDescent="0.35"/>
    <row r="32195" hidden="1" x14ac:dyDescent="0.35"/>
    <row r="32196" hidden="1" x14ac:dyDescent="0.35"/>
    <row r="32197" hidden="1" x14ac:dyDescent="0.35"/>
    <row r="32198" hidden="1" x14ac:dyDescent="0.35"/>
    <row r="32199" hidden="1" x14ac:dyDescent="0.35"/>
    <row r="32200" hidden="1" x14ac:dyDescent="0.35"/>
    <row r="32201" hidden="1" x14ac:dyDescent="0.35"/>
    <row r="32202" hidden="1" x14ac:dyDescent="0.35"/>
    <row r="32203" hidden="1" x14ac:dyDescent="0.35"/>
    <row r="32204" hidden="1" x14ac:dyDescent="0.35"/>
    <row r="32205" hidden="1" x14ac:dyDescent="0.35"/>
    <row r="32206" hidden="1" x14ac:dyDescent="0.35"/>
    <row r="32207" hidden="1" x14ac:dyDescent="0.35"/>
    <row r="32208" hidden="1" x14ac:dyDescent="0.35"/>
    <row r="32209" hidden="1" x14ac:dyDescent="0.35"/>
    <row r="32210" hidden="1" x14ac:dyDescent="0.35"/>
    <row r="32211" hidden="1" x14ac:dyDescent="0.35"/>
    <row r="32212" hidden="1" x14ac:dyDescent="0.35"/>
    <row r="32213" hidden="1" x14ac:dyDescent="0.35"/>
    <row r="32214" hidden="1" x14ac:dyDescent="0.35"/>
    <row r="32215" hidden="1" x14ac:dyDescent="0.35"/>
    <row r="32216" hidden="1" x14ac:dyDescent="0.35"/>
    <row r="32217" hidden="1" x14ac:dyDescent="0.35"/>
    <row r="32218" hidden="1" x14ac:dyDescent="0.35"/>
    <row r="32219" hidden="1" x14ac:dyDescent="0.35"/>
    <row r="32220" hidden="1" x14ac:dyDescent="0.35"/>
    <row r="32221" hidden="1" x14ac:dyDescent="0.35"/>
    <row r="32222" hidden="1" x14ac:dyDescent="0.35"/>
    <row r="32223" hidden="1" x14ac:dyDescent="0.35"/>
    <row r="32224" hidden="1" x14ac:dyDescent="0.35"/>
    <row r="32225" hidden="1" x14ac:dyDescent="0.35"/>
    <row r="32226" hidden="1" x14ac:dyDescent="0.35"/>
    <row r="32227" hidden="1" x14ac:dyDescent="0.35"/>
    <row r="32228" hidden="1" x14ac:dyDescent="0.35"/>
    <row r="32229" hidden="1" x14ac:dyDescent="0.35"/>
    <row r="32230" hidden="1" x14ac:dyDescent="0.35"/>
    <row r="32231" hidden="1" x14ac:dyDescent="0.35"/>
    <row r="32232" hidden="1" x14ac:dyDescent="0.35"/>
    <row r="32233" hidden="1" x14ac:dyDescent="0.35"/>
    <row r="32234" hidden="1" x14ac:dyDescent="0.35"/>
    <row r="32235" hidden="1" x14ac:dyDescent="0.35"/>
    <row r="32236" hidden="1" x14ac:dyDescent="0.35"/>
    <row r="32237" hidden="1" x14ac:dyDescent="0.35"/>
    <row r="32238" hidden="1" x14ac:dyDescent="0.35"/>
    <row r="32239" hidden="1" x14ac:dyDescent="0.35"/>
    <row r="32240" hidden="1" x14ac:dyDescent="0.35"/>
    <row r="32241" hidden="1" x14ac:dyDescent="0.35"/>
    <row r="32242" hidden="1" x14ac:dyDescent="0.35"/>
    <row r="32243" hidden="1" x14ac:dyDescent="0.35"/>
    <row r="32244" hidden="1" x14ac:dyDescent="0.35"/>
    <row r="32245" hidden="1" x14ac:dyDescent="0.35"/>
    <row r="32246" hidden="1" x14ac:dyDescent="0.35"/>
    <row r="32247" hidden="1" x14ac:dyDescent="0.35"/>
    <row r="32248" hidden="1" x14ac:dyDescent="0.35"/>
    <row r="32249" hidden="1" x14ac:dyDescent="0.35"/>
    <row r="32250" hidden="1" x14ac:dyDescent="0.35"/>
    <row r="32251" hidden="1" x14ac:dyDescent="0.35"/>
    <row r="32252" hidden="1" x14ac:dyDescent="0.35"/>
    <row r="32253" hidden="1" x14ac:dyDescent="0.35"/>
    <row r="32254" hidden="1" x14ac:dyDescent="0.35"/>
    <row r="32255" hidden="1" x14ac:dyDescent="0.35"/>
    <row r="32256" hidden="1" x14ac:dyDescent="0.35"/>
    <row r="32257" hidden="1" x14ac:dyDescent="0.35"/>
    <row r="32258" hidden="1" x14ac:dyDescent="0.35"/>
    <row r="32259" hidden="1" x14ac:dyDescent="0.35"/>
    <row r="32260" hidden="1" x14ac:dyDescent="0.35"/>
    <row r="32261" hidden="1" x14ac:dyDescent="0.35"/>
    <row r="32262" hidden="1" x14ac:dyDescent="0.35"/>
    <row r="32263" hidden="1" x14ac:dyDescent="0.35"/>
    <row r="32264" hidden="1" x14ac:dyDescent="0.35"/>
    <row r="32265" hidden="1" x14ac:dyDescent="0.35"/>
    <row r="32266" hidden="1" x14ac:dyDescent="0.35"/>
    <row r="32267" hidden="1" x14ac:dyDescent="0.35"/>
    <row r="32268" hidden="1" x14ac:dyDescent="0.35"/>
    <row r="32269" hidden="1" x14ac:dyDescent="0.35"/>
    <row r="32270" hidden="1" x14ac:dyDescent="0.35"/>
    <row r="32271" hidden="1" x14ac:dyDescent="0.35"/>
    <row r="32272" hidden="1" x14ac:dyDescent="0.35"/>
    <row r="32273" hidden="1" x14ac:dyDescent="0.35"/>
    <row r="32274" hidden="1" x14ac:dyDescent="0.35"/>
    <row r="32275" hidden="1" x14ac:dyDescent="0.35"/>
    <row r="32276" hidden="1" x14ac:dyDescent="0.35"/>
    <row r="32277" hidden="1" x14ac:dyDescent="0.35"/>
    <row r="32278" hidden="1" x14ac:dyDescent="0.35"/>
    <row r="32279" hidden="1" x14ac:dyDescent="0.35"/>
    <row r="32280" hidden="1" x14ac:dyDescent="0.35"/>
    <row r="32281" hidden="1" x14ac:dyDescent="0.35"/>
    <row r="32282" hidden="1" x14ac:dyDescent="0.35"/>
    <row r="32283" hidden="1" x14ac:dyDescent="0.35"/>
    <row r="32284" hidden="1" x14ac:dyDescent="0.35"/>
    <row r="32285" hidden="1" x14ac:dyDescent="0.35"/>
    <row r="32286" hidden="1" x14ac:dyDescent="0.35"/>
    <row r="32287" hidden="1" x14ac:dyDescent="0.35"/>
    <row r="32288" hidden="1" x14ac:dyDescent="0.35"/>
    <row r="32289" hidden="1" x14ac:dyDescent="0.35"/>
    <row r="32290" hidden="1" x14ac:dyDescent="0.35"/>
    <row r="32291" hidden="1" x14ac:dyDescent="0.35"/>
    <row r="32292" hidden="1" x14ac:dyDescent="0.35"/>
    <row r="32293" hidden="1" x14ac:dyDescent="0.35"/>
    <row r="32294" hidden="1" x14ac:dyDescent="0.35"/>
    <row r="32295" hidden="1" x14ac:dyDescent="0.35"/>
    <row r="32296" hidden="1" x14ac:dyDescent="0.35"/>
    <row r="32297" hidden="1" x14ac:dyDescent="0.35"/>
    <row r="32298" hidden="1" x14ac:dyDescent="0.35"/>
    <row r="32299" hidden="1" x14ac:dyDescent="0.35"/>
    <row r="32300" hidden="1" x14ac:dyDescent="0.35"/>
    <row r="32301" hidden="1" x14ac:dyDescent="0.35"/>
    <row r="32302" hidden="1" x14ac:dyDescent="0.35"/>
    <row r="32303" hidden="1" x14ac:dyDescent="0.35"/>
    <row r="32304" hidden="1" x14ac:dyDescent="0.35"/>
    <row r="32305" hidden="1" x14ac:dyDescent="0.35"/>
    <row r="32306" hidden="1" x14ac:dyDescent="0.35"/>
    <row r="32307" hidden="1" x14ac:dyDescent="0.35"/>
    <row r="32308" hidden="1" x14ac:dyDescent="0.35"/>
    <row r="32309" hidden="1" x14ac:dyDescent="0.35"/>
    <row r="32310" hidden="1" x14ac:dyDescent="0.35"/>
    <row r="32311" hidden="1" x14ac:dyDescent="0.35"/>
    <row r="32312" hidden="1" x14ac:dyDescent="0.35"/>
    <row r="32313" hidden="1" x14ac:dyDescent="0.35"/>
    <row r="32314" hidden="1" x14ac:dyDescent="0.35"/>
    <row r="32315" hidden="1" x14ac:dyDescent="0.35"/>
    <row r="32316" hidden="1" x14ac:dyDescent="0.35"/>
    <row r="32317" hidden="1" x14ac:dyDescent="0.35"/>
    <row r="32318" hidden="1" x14ac:dyDescent="0.35"/>
    <row r="32319" hidden="1" x14ac:dyDescent="0.35"/>
    <row r="32320" hidden="1" x14ac:dyDescent="0.35"/>
    <row r="32321" hidden="1" x14ac:dyDescent="0.35"/>
    <row r="32322" hidden="1" x14ac:dyDescent="0.35"/>
    <row r="32323" hidden="1" x14ac:dyDescent="0.35"/>
    <row r="32324" hidden="1" x14ac:dyDescent="0.35"/>
    <row r="32325" hidden="1" x14ac:dyDescent="0.35"/>
    <row r="32326" hidden="1" x14ac:dyDescent="0.35"/>
    <row r="32327" hidden="1" x14ac:dyDescent="0.35"/>
    <row r="32328" hidden="1" x14ac:dyDescent="0.35"/>
    <row r="32329" hidden="1" x14ac:dyDescent="0.35"/>
    <row r="32330" hidden="1" x14ac:dyDescent="0.35"/>
    <row r="32331" hidden="1" x14ac:dyDescent="0.35"/>
    <row r="32332" hidden="1" x14ac:dyDescent="0.35"/>
    <row r="32333" hidden="1" x14ac:dyDescent="0.35"/>
    <row r="32334" hidden="1" x14ac:dyDescent="0.35"/>
    <row r="32335" hidden="1" x14ac:dyDescent="0.35"/>
    <row r="32336" hidden="1" x14ac:dyDescent="0.35"/>
    <row r="32337" hidden="1" x14ac:dyDescent="0.35"/>
    <row r="32338" hidden="1" x14ac:dyDescent="0.35"/>
    <row r="32339" hidden="1" x14ac:dyDescent="0.35"/>
    <row r="32340" hidden="1" x14ac:dyDescent="0.35"/>
    <row r="32341" hidden="1" x14ac:dyDescent="0.35"/>
    <row r="32342" hidden="1" x14ac:dyDescent="0.35"/>
    <row r="32343" hidden="1" x14ac:dyDescent="0.35"/>
    <row r="32344" hidden="1" x14ac:dyDescent="0.35"/>
    <row r="32345" hidden="1" x14ac:dyDescent="0.35"/>
    <row r="32346" hidden="1" x14ac:dyDescent="0.35"/>
    <row r="32347" hidden="1" x14ac:dyDescent="0.35"/>
    <row r="32348" hidden="1" x14ac:dyDescent="0.35"/>
    <row r="32349" hidden="1" x14ac:dyDescent="0.35"/>
    <row r="32350" hidden="1" x14ac:dyDescent="0.35"/>
    <row r="32351" hidden="1" x14ac:dyDescent="0.35"/>
    <row r="32352" hidden="1" x14ac:dyDescent="0.35"/>
    <row r="32353" hidden="1" x14ac:dyDescent="0.35"/>
    <row r="32354" hidden="1" x14ac:dyDescent="0.35"/>
    <row r="32355" hidden="1" x14ac:dyDescent="0.35"/>
    <row r="32356" hidden="1" x14ac:dyDescent="0.35"/>
    <row r="32357" hidden="1" x14ac:dyDescent="0.35"/>
    <row r="32358" hidden="1" x14ac:dyDescent="0.35"/>
    <row r="32359" hidden="1" x14ac:dyDescent="0.35"/>
    <row r="32360" hidden="1" x14ac:dyDescent="0.35"/>
    <row r="32361" hidden="1" x14ac:dyDescent="0.35"/>
    <row r="32362" hidden="1" x14ac:dyDescent="0.35"/>
    <row r="32363" hidden="1" x14ac:dyDescent="0.35"/>
    <row r="32364" hidden="1" x14ac:dyDescent="0.35"/>
    <row r="32365" hidden="1" x14ac:dyDescent="0.35"/>
    <row r="32366" hidden="1" x14ac:dyDescent="0.35"/>
    <row r="32367" hidden="1" x14ac:dyDescent="0.35"/>
    <row r="32368" hidden="1" x14ac:dyDescent="0.35"/>
    <row r="32369" hidden="1" x14ac:dyDescent="0.35"/>
    <row r="32370" hidden="1" x14ac:dyDescent="0.35"/>
    <row r="32371" hidden="1" x14ac:dyDescent="0.35"/>
    <row r="32372" hidden="1" x14ac:dyDescent="0.35"/>
    <row r="32373" hidden="1" x14ac:dyDescent="0.35"/>
    <row r="32374" hidden="1" x14ac:dyDescent="0.35"/>
    <row r="32375" hidden="1" x14ac:dyDescent="0.35"/>
    <row r="32376" hidden="1" x14ac:dyDescent="0.35"/>
    <row r="32377" hidden="1" x14ac:dyDescent="0.35"/>
    <row r="32378" hidden="1" x14ac:dyDescent="0.35"/>
    <row r="32379" hidden="1" x14ac:dyDescent="0.35"/>
    <row r="32380" hidden="1" x14ac:dyDescent="0.35"/>
    <row r="32381" hidden="1" x14ac:dyDescent="0.35"/>
    <row r="32382" hidden="1" x14ac:dyDescent="0.35"/>
    <row r="32383" hidden="1" x14ac:dyDescent="0.35"/>
    <row r="32384" hidden="1" x14ac:dyDescent="0.35"/>
    <row r="32385" hidden="1" x14ac:dyDescent="0.35"/>
    <row r="32386" hidden="1" x14ac:dyDescent="0.35"/>
    <row r="32387" hidden="1" x14ac:dyDescent="0.35"/>
    <row r="32388" hidden="1" x14ac:dyDescent="0.35"/>
    <row r="32389" hidden="1" x14ac:dyDescent="0.35"/>
    <row r="32390" hidden="1" x14ac:dyDescent="0.35"/>
    <row r="32391" hidden="1" x14ac:dyDescent="0.35"/>
    <row r="32392" hidden="1" x14ac:dyDescent="0.35"/>
    <row r="32393" hidden="1" x14ac:dyDescent="0.35"/>
    <row r="32394" hidden="1" x14ac:dyDescent="0.35"/>
    <row r="32395" hidden="1" x14ac:dyDescent="0.35"/>
    <row r="32396" hidden="1" x14ac:dyDescent="0.35"/>
    <row r="32397" hidden="1" x14ac:dyDescent="0.35"/>
    <row r="32398" hidden="1" x14ac:dyDescent="0.35"/>
    <row r="32399" hidden="1" x14ac:dyDescent="0.35"/>
    <row r="32400" hidden="1" x14ac:dyDescent="0.35"/>
    <row r="32401" hidden="1" x14ac:dyDescent="0.35"/>
    <row r="32402" hidden="1" x14ac:dyDescent="0.35"/>
    <row r="32403" hidden="1" x14ac:dyDescent="0.35"/>
    <row r="32404" hidden="1" x14ac:dyDescent="0.35"/>
    <row r="32405" hidden="1" x14ac:dyDescent="0.35"/>
    <row r="32406" hidden="1" x14ac:dyDescent="0.35"/>
    <row r="32407" hidden="1" x14ac:dyDescent="0.35"/>
    <row r="32408" hidden="1" x14ac:dyDescent="0.35"/>
    <row r="32409" hidden="1" x14ac:dyDescent="0.35"/>
    <row r="32410" hidden="1" x14ac:dyDescent="0.35"/>
    <row r="32411" hidden="1" x14ac:dyDescent="0.35"/>
    <row r="32412" hidden="1" x14ac:dyDescent="0.35"/>
    <row r="32413" hidden="1" x14ac:dyDescent="0.35"/>
    <row r="32414" hidden="1" x14ac:dyDescent="0.35"/>
    <row r="32415" hidden="1" x14ac:dyDescent="0.35"/>
    <row r="32416" hidden="1" x14ac:dyDescent="0.35"/>
    <row r="32417" hidden="1" x14ac:dyDescent="0.35"/>
    <row r="32418" hidden="1" x14ac:dyDescent="0.35"/>
    <row r="32419" hidden="1" x14ac:dyDescent="0.35"/>
    <row r="32420" hidden="1" x14ac:dyDescent="0.35"/>
    <row r="32421" hidden="1" x14ac:dyDescent="0.35"/>
    <row r="32422" hidden="1" x14ac:dyDescent="0.35"/>
    <row r="32423" hidden="1" x14ac:dyDescent="0.35"/>
    <row r="32424" hidden="1" x14ac:dyDescent="0.35"/>
    <row r="32425" hidden="1" x14ac:dyDescent="0.35"/>
    <row r="32426" hidden="1" x14ac:dyDescent="0.35"/>
    <row r="32427" hidden="1" x14ac:dyDescent="0.35"/>
    <row r="32428" hidden="1" x14ac:dyDescent="0.35"/>
    <row r="32429" hidden="1" x14ac:dyDescent="0.35"/>
    <row r="32430" hidden="1" x14ac:dyDescent="0.35"/>
    <row r="32431" hidden="1" x14ac:dyDescent="0.35"/>
    <row r="32432" hidden="1" x14ac:dyDescent="0.35"/>
    <row r="32433" hidden="1" x14ac:dyDescent="0.35"/>
    <row r="32434" hidden="1" x14ac:dyDescent="0.35"/>
    <row r="32435" hidden="1" x14ac:dyDescent="0.35"/>
    <row r="32436" hidden="1" x14ac:dyDescent="0.35"/>
    <row r="32437" hidden="1" x14ac:dyDescent="0.35"/>
    <row r="32438" hidden="1" x14ac:dyDescent="0.35"/>
    <row r="32439" hidden="1" x14ac:dyDescent="0.35"/>
    <row r="32440" hidden="1" x14ac:dyDescent="0.35"/>
    <row r="32441" hidden="1" x14ac:dyDescent="0.35"/>
    <row r="32442" hidden="1" x14ac:dyDescent="0.35"/>
    <row r="32443" hidden="1" x14ac:dyDescent="0.35"/>
    <row r="32444" hidden="1" x14ac:dyDescent="0.35"/>
    <row r="32445" hidden="1" x14ac:dyDescent="0.35"/>
    <row r="32446" hidden="1" x14ac:dyDescent="0.35"/>
    <row r="32447" hidden="1" x14ac:dyDescent="0.35"/>
    <row r="32448" hidden="1" x14ac:dyDescent="0.35"/>
    <row r="32449" hidden="1" x14ac:dyDescent="0.35"/>
    <row r="32450" hidden="1" x14ac:dyDescent="0.35"/>
    <row r="32451" hidden="1" x14ac:dyDescent="0.35"/>
    <row r="32452" hidden="1" x14ac:dyDescent="0.35"/>
    <row r="32453" hidden="1" x14ac:dyDescent="0.35"/>
    <row r="32454" hidden="1" x14ac:dyDescent="0.35"/>
    <row r="32455" hidden="1" x14ac:dyDescent="0.35"/>
    <row r="32456" hidden="1" x14ac:dyDescent="0.35"/>
    <row r="32457" hidden="1" x14ac:dyDescent="0.35"/>
    <row r="32458" hidden="1" x14ac:dyDescent="0.35"/>
    <row r="32459" hidden="1" x14ac:dyDescent="0.35"/>
    <row r="32460" hidden="1" x14ac:dyDescent="0.35"/>
    <row r="32461" hidden="1" x14ac:dyDescent="0.35"/>
    <row r="32462" hidden="1" x14ac:dyDescent="0.35"/>
    <row r="32463" hidden="1" x14ac:dyDescent="0.35"/>
    <row r="32464" hidden="1" x14ac:dyDescent="0.35"/>
    <row r="32465" hidden="1" x14ac:dyDescent="0.35"/>
    <row r="32466" hidden="1" x14ac:dyDescent="0.35"/>
    <row r="32467" hidden="1" x14ac:dyDescent="0.35"/>
    <row r="32468" hidden="1" x14ac:dyDescent="0.35"/>
    <row r="32469" hidden="1" x14ac:dyDescent="0.35"/>
    <row r="32470" hidden="1" x14ac:dyDescent="0.35"/>
    <row r="32471" hidden="1" x14ac:dyDescent="0.35"/>
    <row r="32472" hidden="1" x14ac:dyDescent="0.35"/>
    <row r="32473" hidden="1" x14ac:dyDescent="0.35"/>
    <row r="32474" hidden="1" x14ac:dyDescent="0.35"/>
    <row r="32475" hidden="1" x14ac:dyDescent="0.35"/>
    <row r="32476" hidden="1" x14ac:dyDescent="0.35"/>
    <row r="32477" hidden="1" x14ac:dyDescent="0.35"/>
    <row r="32478" hidden="1" x14ac:dyDescent="0.35"/>
    <row r="32479" hidden="1" x14ac:dyDescent="0.35"/>
    <row r="32480" hidden="1" x14ac:dyDescent="0.35"/>
    <row r="32481" hidden="1" x14ac:dyDescent="0.35"/>
    <row r="32482" hidden="1" x14ac:dyDescent="0.35"/>
    <row r="32483" hidden="1" x14ac:dyDescent="0.35"/>
    <row r="32484" hidden="1" x14ac:dyDescent="0.35"/>
    <row r="32485" hidden="1" x14ac:dyDescent="0.35"/>
    <row r="32486" hidden="1" x14ac:dyDescent="0.35"/>
    <row r="32487" hidden="1" x14ac:dyDescent="0.35"/>
    <row r="32488" hidden="1" x14ac:dyDescent="0.35"/>
    <row r="32489" hidden="1" x14ac:dyDescent="0.35"/>
    <row r="32490" hidden="1" x14ac:dyDescent="0.35"/>
    <row r="32491" hidden="1" x14ac:dyDescent="0.35"/>
    <row r="32492" hidden="1" x14ac:dyDescent="0.35"/>
    <row r="32493" hidden="1" x14ac:dyDescent="0.35"/>
    <row r="32494" hidden="1" x14ac:dyDescent="0.35"/>
    <row r="32495" hidden="1" x14ac:dyDescent="0.35"/>
    <row r="32496" hidden="1" x14ac:dyDescent="0.35"/>
    <row r="32497" hidden="1" x14ac:dyDescent="0.35"/>
    <row r="32498" hidden="1" x14ac:dyDescent="0.35"/>
    <row r="32499" hidden="1" x14ac:dyDescent="0.35"/>
    <row r="32500" hidden="1" x14ac:dyDescent="0.35"/>
    <row r="32501" hidden="1" x14ac:dyDescent="0.35"/>
    <row r="32502" hidden="1" x14ac:dyDescent="0.35"/>
    <row r="32503" hidden="1" x14ac:dyDescent="0.35"/>
    <row r="32504" hidden="1" x14ac:dyDescent="0.35"/>
    <row r="32505" hidden="1" x14ac:dyDescent="0.35"/>
    <row r="32506" hidden="1" x14ac:dyDescent="0.35"/>
    <row r="32507" hidden="1" x14ac:dyDescent="0.35"/>
    <row r="32508" hidden="1" x14ac:dyDescent="0.35"/>
    <row r="32509" hidden="1" x14ac:dyDescent="0.35"/>
    <row r="32510" hidden="1" x14ac:dyDescent="0.35"/>
    <row r="32511" hidden="1" x14ac:dyDescent="0.35"/>
    <row r="32512" hidden="1" x14ac:dyDescent="0.35"/>
    <row r="32513" hidden="1" x14ac:dyDescent="0.35"/>
    <row r="32514" hidden="1" x14ac:dyDescent="0.35"/>
    <row r="32515" hidden="1" x14ac:dyDescent="0.35"/>
    <row r="32516" hidden="1" x14ac:dyDescent="0.35"/>
    <row r="32517" hidden="1" x14ac:dyDescent="0.35"/>
    <row r="32518" hidden="1" x14ac:dyDescent="0.35"/>
    <row r="32519" hidden="1" x14ac:dyDescent="0.35"/>
    <row r="32520" hidden="1" x14ac:dyDescent="0.35"/>
    <row r="32521" hidden="1" x14ac:dyDescent="0.35"/>
    <row r="32522" hidden="1" x14ac:dyDescent="0.35"/>
    <row r="32523" hidden="1" x14ac:dyDescent="0.35"/>
    <row r="32524" hidden="1" x14ac:dyDescent="0.35"/>
    <row r="32525" hidden="1" x14ac:dyDescent="0.35"/>
    <row r="32526" hidden="1" x14ac:dyDescent="0.35"/>
    <row r="32527" hidden="1" x14ac:dyDescent="0.35"/>
    <row r="32528" hidden="1" x14ac:dyDescent="0.35"/>
    <row r="32529" hidden="1" x14ac:dyDescent="0.35"/>
    <row r="32530" hidden="1" x14ac:dyDescent="0.35"/>
    <row r="32531" hidden="1" x14ac:dyDescent="0.35"/>
    <row r="32532" hidden="1" x14ac:dyDescent="0.35"/>
    <row r="32533" hidden="1" x14ac:dyDescent="0.35"/>
    <row r="32534" hidden="1" x14ac:dyDescent="0.35"/>
    <row r="32535" hidden="1" x14ac:dyDescent="0.35"/>
    <row r="32536" hidden="1" x14ac:dyDescent="0.35"/>
    <row r="32537" hidden="1" x14ac:dyDescent="0.35"/>
    <row r="32538" hidden="1" x14ac:dyDescent="0.35"/>
    <row r="32539" hidden="1" x14ac:dyDescent="0.35"/>
    <row r="32540" hidden="1" x14ac:dyDescent="0.35"/>
    <row r="32541" hidden="1" x14ac:dyDescent="0.35"/>
    <row r="32542" hidden="1" x14ac:dyDescent="0.35"/>
    <row r="32543" hidden="1" x14ac:dyDescent="0.35"/>
    <row r="32544" hidden="1" x14ac:dyDescent="0.35"/>
    <row r="32545" hidden="1" x14ac:dyDescent="0.35"/>
    <row r="32546" hidden="1" x14ac:dyDescent="0.35"/>
    <row r="32547" hidden="1" x14ac:dyDescent="0.35"/>
    <row r="32548" hidden="1" x14ac:dyDescent="0.35"/>
    <row r="32549" hidden="1" x14ac:dyDescent="0.35"/>
    <row r="32550" hidden="1" x14ac:dyDescent="0.35"/>
    <row r="32551" hidden="1" x14ac:dyDescent="0.35"/>
    <row r="32552" hidden="1" x14ac:dyDescent="0.35"/>
    <row r="32553" hidden="1" x14ac:dyDescent="0.35"/>
    <row r="32554" hidden="1" x14ac:dyDescent="0.35"/>
    <row r="32555" hidden="1" x14ac:dyDescent="0.35"/>
    <row r="32556" hidden="1" x14ac:dyDescent="0.35"/>
    <row r="32557" hidden="1" x14ac:dyDescent="0.35"/>
    <row r="32558" hidden="1" x14ac:dyDescent="0.35"/>
    <row r="32559" hidden="1" x14ac:dyDescent="0.35"/>
    <row r="32560" hidden="1" x14ac:dyDescent="0.35"/>
    <row r="32561" hidden="1" x14ac:dyDescent="0.35"/>
    <row r="32562" hidden="1" x14ac:dyDescent="0.35"/>
    <row r="32563" hidden="1" x14ac:dyDescent="0.35"/>
    <row r="32564" hidden="1" x14ac:dyDescent="0.35"/>
    <row r="32565" hidden="1" x14ac:dyDescent="0.35"/>
    <row r="32566" hidden="1" x14ac:dyDescent="0.35"/>
    <row r="32567" hidden="1" x14ac:dyDescent="0.35"/>
    <row r="32568" hidden="1" x14ac:dyDescent="0.35"/>
    <row r="32569" hidden="1" x14ac:dyDescent="0.35"/>
    <row r="32570" hidden="1" x14ac:dyDescent="0.35"/>
    <row r="32571" hidden="1" x14ac:dyDescent="0.35"/>
    <row r="32572" hidden="1" x14ac:dyDescent="0.35"/>
    <row r="32573" hidden="1" x14ac:dyDescent="0.35"/>
    <row r="32574" hidden="1" x14ac:dyDescent="0.35"/>
    <row r="32575" hidden="1" x14ac:dyDescent="0.35"/>
    <row r="32576" hidden="1" x14ac:dyDescent="0.35"/>
    <row r="32577" hidden="1" x14ac:dyDescent="0.35"/>
    <row r="32578" hidden="1" x14ac:dyDescent="0.35"/>
    <row r="32579" hidden="1" x14ac:dyDescent="0.35"/>
    <row r="32580" hidden="1" x14ac:dyDescent="0.35"/>
    <row r="32581" hidden="1" x14ac:dyDescent="0.35"/>
    <row r="32582" hidden="1" x14ac:dyDescent="0.35"/>
    <row r="32583" hidden="1" x14ac:dyDescent="0.35"/>
    <row r="32584" hidden="1" x14ac:dyDescent="0.35"/>
    <row r="32585" hidden="1" x14ac:dyDescent="0.35"/>
    <row r="32586" hidden="1" x14ac:dyDescent="0.35"/>
    <row r="32587" hidden="1" x14ac:dyDescent="0.35"/>
    <row r="32588" hidden="1" x14ac:dyDescent="0.35"/>
    <row r="32589" hidden="1" x14ac:dyDescent="0.35"/>
    <row r="32590" hidden="1" x14ac:dyDescent="0.35"/>
    <row r="32591" hidden="1" x14ac:dyDescent="0.35"/>
    <row r="32592" hidden="1" x14ac:dyDescent="0.35"/>
    <row r="32593" hidden="1" x14ac:dyDescent="0.35"/>
    <row r="32594" hidden="1" x14ac:dyDescent="0.35"/>
    <row r="32595" hidden="1" x14ac:dyDescent="0.35"/>
    <row r="32596" hidden="1" x14ac:dyDescent="0.35"/>
    <row r="32597" hidden="1" x14ac:dyDescent="0.35"/>
    <row r="32598" hidden="1" x14ac:dyDescent="0.35"/>
    <row r="32599" hidden="1" x14ac:dyDescent="0.35"/>
    <row r="32600" hidden="1" x14ac:dyDescent="0.35"/>
    <row r="32601" hidden="1" x14ac:dyDescent="0.35"/>
    <row r="32602" hidden="1" x14ac:dyDescent="0.35"/>
    <row r="32603" hidden="1" x14ac:dyDescent="0.35"/>
    <row r="32604" hidden="1" x14ac:dyDescent="0.35"/>
    <row r="32605" hidden="1" x14ac:dyDescent="0.35"/>
    <row r="32606" hidden="1" x14ac:dyDescent="0.35"/>
    <row r="32607" hidden="1" x14ac:dyDescent="0.35"/>
    <row r="32608" hidden="1" x14ac:dyDescent="0.35"/>
    <row r="32609" hidden="1" x14ac:dyDescent="0.35"/>
    <row r="32610" hidden="1" x14ac:dyDescent="0.35"/>
    <row r="32611" hidden="1" x14ac:dyDescent="0.35"/>
    <row r="32612" hidden="1" x14ac:dyDescent="0.35"/>
    <row r="32613" hidden="1" x14ac:dyDescent="0.35"/>
    <row r="32614" hidden="1" x14ac:dyDescent="0.35"/>
    <row r="32615" hidden="1" x14ac:dyDescent="0.35"/>
    <row r="32616" hidden="1" x14ac:dyDescent="0.35"/>
    <row r="32617" hidden="1" x14ac:dyDescent="0.35"/>
    <row r="32618" hidden="1" x14ac:dyDescent="0.35"/>
    <row r="32619" hidden="1" x14ac:dyDescent="0.35"/>
    <row r="32620" hidden="1" x14ac:dyDescent="0.35"/>
    <row r="32621" hidden="1" x14ac:dyDescent="0.35"/>
    <row r="32622" hidden="1" x14ac:dyDescent="0.35"/>
    <row r="32623" hidden="1" x14ac:dyDescent="0.35"/>
    <row r="32624" hidden="1" x14ac:dyDescent="0.35"/>
    <row r="32625" hidden="1" x14ac:dyDescent="0.35"/>
    <row r="32626" hidden="1" x14ac:dyDescent="0.35"/>
    <row r="32627" hidden="1" x14ac:dyDescent="0.35"/>
    <row r="32628" hidden="1" x14ac:dyDescent="0.35"/>
    <row r="32629" hidden="1" x14ac:dyDescent="0.35"/>
    <row r="32630" hidden="1" x14ac:dyDescent="0.35"/>
    <row r="32631" hidden="1" x14ac:dyDescent="0.35"/>
    <row r="32632" hidden="1" x14ac:dyDescent="0.35"/>
    <row r="32633" hidden="1" x14ac:dyDescent="0.35"/>
    <row r="32634" hidden="1" x14ac:dyDescent="0.35"/>
    <row r="32635" hidden="1" x14ac:dyDescent="0.35"/>
    <row r="32636" hidden="1" x14ac:dyDescent="0.35"/>
    <row r="32637" hidden="1" x14ac:dyDescent="0.35"/>
    <row r="32638" hidden="1" x14ac:dyDescent="0.35"/>
    <row r="32639" hidden="1" x14ac:dyDescent="0.35"/>
    <row r="32640" hidden="1" x14ac:dyDescent="0.35"/>
    <row r="32641" hidden="1" x14ac:dyDescent="0.35"/>
    <row r="32642" hidden="1" x14ac:dyDescent="0.35"/>
    <row r="32643" hidden="1" x14ac:dyDescent="0.35"/>
    <row r="32644" hidden="1" x14ac:dyDescent="0.35"/>
    <row r="32645" hidden="1" x14ac:dyDescent="0.35"/>
    <row r="32646" hidden="1" x14ac:dyDescent="0.35"/>
    <row r="32647" hidden="1" x14ac:dyDescent="0.35"/>
    <row r="32648" hidden="1" x14ac:dyDescent="0.35"/>
    <row r="32649" hidden="1" x14ac:dyDescent="0.35"/>
    <row r="32650" hidden="1" x14ac:dyDescent="0.35"/>
    <row r="32651" hidden="1" x14ac:dyDescent="0.35"/>
    <row r="32652" hidden="1" x14ac:dyDescent="0.35"/>
    <row r="32653" hidden="1" x14ac:dyDescent="0.35"/>
    <row r="32654" hidden="1" x14ac:dyDescent="0.35"/>
    <row r="32655" hidden="1" x14ac:dyDescent="0.35"/>
    <row r="32656" hidden="1" x14ac:dyDescent="0.35"/>
    <row r="32657" hidden="1" x14ac:dyDescent="0.35"/>
    <row r="32658" hidden="1" x14ac:dyDescent="0.35"/>
    <row r="32659" hidden="1" x14ac:dyDescent="0.35"/>
    <row r="32660" hidden="1" x14ac:dyDescent="0.35"/>
    <row r="32661" hidden="1" x14ac:dyDescent="0.35"/>
    <row r="32662" hidden="1" x14ac:dyDescent="0.35"/>
    <row r="32663" hidden="1" x14ac:dyDescent="0.35"/>
    <row r="32664" hidden="1" x14ac:dyDescent="0.35"/>
    <row r="32665" hidden="1" x14ac:dyDescent="0.35"/>
    <row r="32666" hidden="1" x14ac:dyDescent="0.35"/>
    <row r="32667" hidden="1" x14ac:dyDescent="0.35"/>
    <row r="32668" hidden="1" x14ac:dyDescent="0.35"/>
    <row r="32669" hidden="1" x14ac:dyDescent="0.35"/>
    <row r="32670" hidden="1" x14ac:dyDescent="0.35"/>
    <row r="32671" hidden="1" x14ac:dyDescent="0.35"/>
    <row r="32672" hidden="1" x14ac:dyDescent="0.35"/>
    <row r="32673" hidden="1" x14ac:dyDescent="0.35"/>
    <row r="32674" hidden="1" x14ac:dyDescent="0.35"/>
    <row r="32675" hidden="1" x14ac:dyDescent="0.35"/>
    <row r="32676" hidden="1" x14ac:dyDescent="0.35"/>
    <row r="32677" hidden="1" x14ac:dyDescent="0.35"/>
    <row r="32678" hidden="1" x14ac:dyDescent="0.35"/>
    <row r="32679" hidden="1" x14ac:dyDescent="0.35"/>
    <row r="32680" hidden="1" x14ac:dyDescent="0.35"/>
    <row r="32681" hidden="1" x14ac:dyDescent="0.35"/>
    <row r="32682" hidden="1" x14ac:dyDescent="0.35"/>
    <row r="32683" hidden="1" x14ac:dyDescent="0.35"/>
    <row r="32684" hidden="1" x14ac:dyDescent="0.35"/>
    <row r="32685" hidden="1" x14ac:dyDescent="0.35"/>
    <row r="32686" hidden="1" x14ac:dyDescent="0.35"/>
    <row r="32687" hidden="1" x14ac:dyDescent="0.35"/>
    <row r="32688" hidden="1" x14ac:dyDescent="0.35"/>
    <row r="32689" hidden="1" x14ac:dyDescent="0.35"/>
    <row r="32690" hidden="1" x14ac:dyDescent="0.35"/>
    <row r="32691" hidden="1" x14ac:dyDescent="0.35"/>
    <row r="32692" hidden="1" x14ac:dyDescent="0.35"/>
    <row r="32693" hidden="1" x14ac:dyDescent="0.35"/>
    <row r="32694" hidden="1" x14ac:dyDescent="0.35"/>
    <row r="32695" hidden="1" x14ac:dyDescent="0.35"/>
    <row r="32696" hidden="1" x14ac:dyDescent="0.35"/>
    <row r="32697" hidden="1" x14ac:dyDescent="0.35"/>
    <row r="32698" hidden="1" x14ac:dyDescent="0.35"/>
    <row r="32699" hidden="1" x14ac:dyDescent="0.35"/>
    <row r="32700" hidden="1" x14ac:dyDescent="0.35"/>
    <row r="32701" hidden="1" x14ac:dyDescent="0.35"/>
    <row r="32702" hidden="1" x14ac:dyDescent="0.35"/>
    <row r="32703" hidden="1" x14ac:dyDescent="0.35"/>
    <row r="32704" hidden="1" x14ac:dyDescent="0.35"/>
    <row r="32705" hidden="1" x14ac:dyDescent="0.35"/>
    <row r="32706" hidden="1" x14ac:dyDescent="0.35"/>
    <row r="32707" hidden="1" x14ac:dyDescent="0.35"/>
    <row r="32708" hidden="1" x14ac:dyDescent="0.35"/>
    <row r="32709" hidden="1" x14ac:dyDescent="0.35"/>
    <row r="32710" hidden="1" x14ac:dyDescent="0.35"/>
    <row r="32711" hidden="1" x14ac:dyDescent="0.35"/>
    <row r="32712" hidden="1" x14ac:dyDescent="0.35"/>
    <row r="32713" hidden="1" x14ac:dyDescent="0.35"/>
    <row r="32714" hidden="1" x14ac:dyDescent="0.35"/>
    <row r="32715" hidden="1" x14ac:dyDescent="0.35"/>
    <row r="32716" hidden="1" x14ac:dyDescent="0.35"/>
    <row r="32717" hidden="1" x14ac:dyDescent="0.35"/>
    <row r="32718" hidden="1" x14ac:dyDescent="0.35"/>
    <row r="32719" hidden="1" x14ac:dyDescent="0.35"/>
    <row r="32720" hidden="1" x14ac:dyDescent="0.35"/>
    <row r="32721" hidden="1" x14ac:dyDescent="0.35"/>
    <row r="32722" hidden="1" x14ac:dyDescent="0.35"/>
    <row r="32723" hidden="1" x14ac:dyDescent="0.35"/>
    <row r="32724" hidden="1" x14ac:dyDescent="0.35"/>
    <row r="32725" hidden="1" x14ac:dyDescent="0.35"/>
    <row r="32726" hidden="1" x14ac:dyDescent="0.35"/>
    <row r="32727" hidden="1" x14ac:dyDescent="0.35"/>
    <row r="32728" hidden="1" x14ac:dyDescent="0.35"/>
    <row r="32729" hidden="1" x14ac:dyDescent="0.35"/>
    <row r="32730" hidden="1" x14ac:dyDescent="0.35"/>
    <row r="32731" hidden="1" x14ac:dyDescent="0.35"/>
    <row r="32732" hidden="1" x14ac:dyDescent="0.35"/>
    <row r="32733" hidden="1" x14ac:dyDescent="0.35"/>
    <row r="32734" hidden="1" x14ac:dyDescent="0.35"/>
    <row r="32735" hidden="1" x14ac:dyDescent="0.35"/>
    <row r="32736" hidden="1" x14ac:dyDescent="0.35"/>
    <row r="32737" hidden="1" x14ac:dyDescent="0.35"/>
    <row r="32738" hidden="1" x14ac:dyDescent="0.35"/>
    <row r="32739" hidden="1" x14ac:dyDescent="0.35"/>
    <row r="32740" hidden="1" x14ac:dyDescent="0.35"/>
    <row r="32741" hidden="1" x14ac:dyDescent="0.35"/>
    <row r="32742" hidden="1" x14ac:dyDescent="0.35"/>
    <row r="32743" hidden="1" x14ac:dyDescent="0.35"/>
    <row r="32744" hidden="1" x14ac:dyDescent="0.35"/>
    <row r="32745" hidden="1" x14ac:dyDescent="0.35"/>
    <row r="32746" hidden="1" x14ac:dyDescent="0.35"/>
    <row r="32747" hidden="1" x14ac:dyDescent="0.35"/>
    <row r="32748" hidden="1" x14ac:dyDescent="0.35"/>
    <row r="32749" hidden="1" x14ac:dyDescent="0.35"/>
    <row r="32750" hidden="1" x14ac:dyDescent="0.35"/>
    <row r="32751" hidden="1" x14ac:dyDescent="0.35"/>
    <row r="32752" hidden="1" x14ac:dyDescent="0.35"/>
    <row r="32753" hidden="1" x14ac:dyDescent="0.35"/>
    <row r="32754" hidden="1" x14ac:dyDescent="0.35"/>
    <row r="32755" hidden="1" x14ac:dyDescent="0.35"/>
    <row r="32756" hidden="1" x14ac:dyDescent="0.35"/>
    <row r="32757" hidden="1" x14ac:dyDescent="0.35"/>
    <row r="32758" hidden="1" x14ac:dyDescent="0.35"/>
    <row r="32759" hidden="1" x14ac:dyDescent="0.35"/>
    <row r="32760" hidden="1" x14ac:dyDescent="0.35"/>
    <row r="32761" hidden="1" x14ac:dyDescent="0.35"/>
    <row r="32762" hidden="1" x14ac:dyDescent="0.35"/>
    <row r="32763" hidden="1" x14ac:dyDescent="0.35"/>
    <row r="32764" hidden="1" x14ac:dyDescent="0.35"/>
    <row r="32765" hidden="1" x14ac:dyDescent="0.35"/>
    <row r="32766" hidden="1" x14ac:dyDescent="0.35"/>
    <row r="32767" hidden="1" x14ac:dyDescent="0.35"/>
    <row r="32768" hidden="1" x14ac:dyDescent="0.35"/>
    <row r="32769" hidden="1" x14ac:dyDescent="0.35"/>
    <row r="32770" hidden="1" x14ac:dyDescent="0.35"/>
    <row r="32771" hidden="1" x14ac:dyDescent="0.35"/>
    <row r="32772" hidden="1" x14ac:dyDescent="0.35"/>
    <row r="32773" hidden="1" x14ac:dyDescent="0.35"/>
    <row r="32774" hidden="1" x14ac:dyDescent="0.35"/>
    <row r="32775" hidden="1" x14ac:dyDescent="0.35"/>
    <row r="32776" hidden="1" x14ac:dyDescent="0.35"/>
    <row r="32777" hidden="1" x14ac:dyDescent="0.35"/>
    <row r="32778" hidden="1" x14ac:dyDescent="0.35"/>
    <row r="32779" hidden="1" x14ac:dyDescent="0.35"/>
    <row r="32780" hidden="1" x14ac:dyDescent="0.35"/>
    <row r="32781" hidden="1" x14ac:dyDescent="0.35"/>
    <row r="32782" hidden="1" x14ac:dyDescent="0.35"/>
    <row r="32783" hidden="1" x14ac:dyDescent="0.35"/>
    <row r="32784" hidden="1" x14ac:dyDescent="0.35"/>
    <row r="32785" hidden="1" x14ac:dyDescent="0.35"/>
    <row r="32786" hidden="1" x14ac:dyDescent="0.35"/>
    <row r="32787" hidden="1" x14ac:dyDescent="0.35"/>
    <row r="32788" hidden="1" x14ac:dyDescent="0.35"/>
    <row r="32789" hidden="1" x14ac:dyDescent="0.35"/>
    <row r="32790" hidden="1" x14ac:dyDescent="0.35"/>
    <row r="32791" hidden="1" x14ac:dyDescent="0.35"/>
    <row r="32792" hidden="1" x14ac:dyDescent="0.35"/>
    <row r="32793" hidden="1" x14ac:dyDescent="0.35"/>
    <row r="32794" hidden="1" x14ac:dyDescent="0.35"/>
    <row r="32795" hidden="1" x14ac:dyDescent="0.35"/>
    <row r="32796" hidden="1" x14ac:dyDescent="0.35"/>
    <row r="32797" hidden="1" x14ac:dyDescent="0.35"/>
    <row r="32798" hidden="1" x14ac:dyDescent="0.35"/>
    <row r="32799" hidden="1" x14ac:dyDescent="0.35"/>
    <row r="32800" hidden="1" x14ac:dyDescent="0.35"/>
    <row r="32801" hidden="1" x14ac:dyDescent="0.35"/>
    <row r="32802" hidden="1" x14ac:dyDescent="0.35"/>
    <row r="32803" hidden="1" x14ac:dyDescent="0.35"/>
    <row r="32804" hidden="1" x14ac:dyDescent="0.35"/>
    <row r="32805" hidden="1" x14ac:dyDescent="0.35"/>
    <row r="32806" hidden="1" x14ac:dyDescent="0.35"/>
    <row r="32807" hidden="1" x14ac:dyDescent="0.35"/>
    <row r="32808" hidden="1" x14ac:dyDescent="0.35"/>
    <row r="32809" hidden="1" x14ac:dyDescent="0.35"/>
    <row r="32810" hidden="1" x14ac:dyDescent="0.35"/>
    <row r="32811" hidden="1" x14ac:dyDescent="0.35"/>
    <row r="32812" hidden="1" x14ac:dyDescent="0.35"/>
    <row r="32813" hidden="1" x14ac:dyDescent="0.35"/>
    <row r="32814" hidden="1" x14ac:dyDescent="0.35"/>
    <row r="32815" hidden="1" x14ac:dyDescent="0.35"/>
    <row r="32816" hidden="1" x14ac:dyDescent="0.35"/>
    <row r="32817" hidden="1" x14ac:dyDescent="0.35"/>
    <row r="32818" hidden="1" x14ac:dyDescent="0.35"/>
    <row r="32819" hidden="1" x14ac:dyDescent="0.35"/>
    <row r="32820" hidden="1" x14ac:dyDescent="0.35"/>
    <row r="32821" hidden="1" x14ac:dyDescent="0.35"/>
    <row r="32822" hidden="1" x14ac:dyDescent="0.35"/>
    <row r="32823" hidden="1" x14ac:dyDescent="0.35"/>
    <row r="32824" hidden="1" x14ac:dyDescent="0.35"/>
    <row r="32825" hidden="1" x14ac:dyDescent="0.35"/>
    <row r="32826" hidden="1" x14ac:dyDescent="0.35"/>
    <row r="32827" hidden="1" x14ac:dyDescent="0.35"/>
    <row r="32828" hidden="1" x14ac:dyDescent="0.35"/>
    <row r="32829" hidden="1" x14ac:dyDescent="0.35"/>
    <row r="32830" hidden="1" x14ac:dyDescent="0.35"/>
    <row r="32831" hidden="1" x14ac:dyDescent="0.35"/>
    <row r="32832" hidden="1" x14ac:dyDescent="0.35"/>
    <row r="32833" hidden="1" x14ac:dyDescent="0.35"/>
    <row r="32834" hidden="1" x14ac:dyDescent="0.35"/>
    <row r="32835" hidden="1" x14ac:dyDescent="0.35"/>
    <row r="32836" hidden="1" x14ac:dyDescent="0.35"/>
    <row r="32837" hidden="1" x14ac:dyDescent="0.35"/>
    <row r="32838" hidden="1" x14ac:dyDescent="0.35"/>
    <row r="32839" hidden="1" x14ac:dyDescent="0.35"/>
    <row r="32840" hidden="1" x14ac:dyDescent="0.35"/>
    <row r="32841" hidden="1" x14ac:dyDescent="0.35"/>
    <row r="32842" hidden="1" x14ac:dyDescent="0.35"/>
    <row r="32843" hidden="1" x14ac:dyDescent="0.35"/>
    <row r="32844" hidden="1" x14ac:dyDescent="0.35"/>
    <row r="32845" hidden="1" x14ac:dyDescent="0.35"/>
    <row r="32846" hidden="1" x14ac:dyDescent="0.35"/>
    <row r="32847" hidden="1" x14ac:dyDescent="0.35"/>
    <row r="32848" hidden="1" x14ac:dyDescent="0.35"/>
    <row r="32849" hidden="1" x14ac:dyDescent="0.35"/>
    <row r="32850" hidden="1" x14ac:dyDescent="0.35"/>
    <row r="32851" hidden="1" x14ac:dyDescent="0.35"/>
    <row r="32852" hidden="1" x14ac:dyDescent="0.35"/>
    <row r="32853" hidden="1" x14ac:dyDescent="0.35"/>
    <row r="32854" hidden="1" x14ac:dyDescent="0.35"/>
    <row r="32855" hidden="1" x14ac:dyDescent="0.35"/>
    <row r="32856" hidden="1" x14ac:dyDescent="0.35"/>
    <row r="32857" hidden="1" x14ac:dyDescent="0.35"/>
    <row r="32858" hidden="1" x14ac:dyDescent="0.35"/>
    <row r="32859" hidden="1" x14ac:dyDescent="0.35"/>
    <row r="32860" hidden="1" x14ac:dyDescent="0.35"/>
    <row r="32861" hidden="1" x14ac:dyDescent="0.35"/>
    <row r="32862" hidden="1" x14ac:dyDescent="0.35"/>
    <row r="32863" hidden="1" x14ac:dyDescent="0.35"/>
    <row r="32864" hidden="1" x14ac:dyDescent="0.35"/>
    <row r="32865" hidden="1" x14ac:dyDescent="0.35"/>
    <row r="32866" hidden="1" x14ac:dyDescent="0.35"/>
    <row r="32867" hidden="1" x14ac:dyDescent="0.35"/>
    <row r="32868" hidden="1" x14ac:dyDescent="0.35"/>
    <row r="32869" hidden="1" x14ac:dyDescent="0.35"/>
    <row r="32870" hidden="1" x14ac:dyDescent="0.35"/>
    <row r="32871" hidden="1" x14ac:dyDescent="0.35"/>
    <row r="32872" hidden="1" x14ac:dyDescent="0.35"/>
    <row r="32873" hidden="1" x14ac:dyDescent="0.35"/>
    <row r="32874" hidden="1" x14ac:dyDescent="0.35"/>
    <row r="32875" hidden="1" x14ac:dyDescent="0.35"/>
    <row r="32876" hidden="1" x14ac:dyDescent="0.35"/>
    <row r="32877" hidden="1" x14ac:dyDescent="0.35"/>
    <row r="32878" hidden="1" x14ac:dyDescent="0.35"/>
    <row r="32879" hidden="1" x14ac:dyDescent="0.35"/>
    <row r="32880" hidden="1" x14ac:dyDescent="0.35"/>
    <row r="32881" hidden="1" x14ac:dyDescent="0.35"/>
    <row r="32882" hidden="1" x14ac:dyDescent="0.35"/>
    <row r="32883" hidden="1" x14ac:dyDescent="0.35"/>
    <row r="32884" hidden="1" x14ac:dyDescent="0.35"/>
    <row r="32885" hidden="1" x14ac:dyDescent="0.35"/>
    <row r="32886" hidden="1" x14ac:dyDescent="0.35"/>
    <row r="32887" hidden="1" x14ac:dyDescent="0.35"/>
    <row r="32888" hidden="1" x14ac:dyDescent="0.35"/>
    <row r="32889" hidden="1" x14ac:dyDescent="0.35"/>
    <row r="32890" hidden="1" x14ac:dyDescent="0.35"/>
    <row r="32891" hidden="1" x14ac:dyDescent="0.35"/>
    <row r="32892" hidden="1" x14ac:dyDescent="0.35"/>
    <row r="32893" hidden="1" x14ac:dyDescent="0.35"/>
    <row r="32894" hidden="1" x14ac:dyDescent="0.35"/>
    <row r="32895" hidden="1" x14ac:dyDescent="0.35"/>
    <row r="32896" hidden="1" x14ac:dyDescent="0.35"/>
    <row r="32897" hidden="1" x14ac:dyDescent="0.35"/>
    <row r="32898" hidden="1" x14ac:dyDescent="0.35"/>
    <row r="32899" hidden="1" x14ac:dyDescent="0.35"/>
    <row r="32900" hidden="1" x14ac:dyDescent="0.35"/>
    <row r="32901" hidden="1" x14ac:dyDescent="0.35"/>
    <row r="32902" hidden="1" x14ac:dyDescent="0.35"/>
    <row r="32903" hidden="1" x14ac:dyDescent="0.35"/>
    <row r="32904" hidden="1" x14ac:dyDescent="0.35"/>
    <row r="32905" hidden="1" x14ac:dyDescent="0.35"/>
    <row r="32906" hidden="1" x14ac:dyDescent="0.35"/>
    <row r="32907" hidden="1" x14ac:dyDescent="0.35"/>
    <row r="32908" hidden="1" x14ac:dyDescent="0.35"/>
    <row r="32909" hidden="1" x14ac:dyDescent="0.35"/>
    <row r="32910" hidden="1" x14ac:dyDescent="0.35"/>
    <row r="32911" hidden="1" x14ac:dyDescent="0.35"/>
    <row r="32912" hidden="1" x14ac:dyDescent="0.35"/>
    <row r="32913" hidden="1" x14ac:dyDescent="0.35"/>
    <row r="32914" hidden="1" x14ac:dyDescent="0.35"/>
    <row r="32915" hidden="1" x14ac:dyDescent="0.35"/>
    <row r="32916" hidden="1" x14ac:dyDescent="0.35"/>
    <row r="32917" hidden="1" x14ac:dyDescent="0.35"/>
    <row r="32918" hidden="1" x14ac:dyDescent="0.35"/>
    <row r="32919" hidden="1" x14ac:dyDescent="0.35"/>
    <row r="32920" hidden="1" x14ac:dyDescent="0.35"/>
    <row r="32921" hidden="1" x14ac:dyDescent="0.35"/>
    <row r="32922" hidden="1" x14ac:dyDescent="0.35"/>
    <row r="32923" hidden="1" x14ac:dyDescent="0.35"/>
    <row r="32924" hidden="1" x14ac:dyDescent="0.35"/>
    <row r="32925" hidden="1" x14ac:dyDescent="0.35"/>
    <row r="32926" hidden="1" x14ac:dyDescent="0.35"/>
    <row r="32927" hidden="1" x14ac:dyDescent="0.35"/>
    <row r="32928" hidden="1" x14ac:dyDescent="0.35"/>
    <row r="32929" hidden="1" x14ac:dyDescent="0.35"/>
    <row r="32930" hidden="1" x14ac:dyDescent="0.35"/>
    <row r="32931" hidden="1" x14ac:dyDescent="0.35"/>
    <row r="32932" hidden="1" x14ac:dyDescent="0.35"/>
    <row r="32933" hidden="1" x14ac:dyDescent="0.35"/>
    <row r="32934" hidden="1" x14ac:dyDescent="0.35"/>
    <row r="32935" hidden="1" x14ac:dyDescent="0.35"/>
    <row r="32936" hidden="1" x14ac:dyDescent="0.35"/>
    <row r="32937" hidden="1" x14ac:dyDescent="0.35"/>
    <row r="32938" hidden="1" x14ac:dyDescent="0.35"/>
    <row r="32939" hidden="1" x14ac:dyDescent="0.35"/>
    <row r="32940" hidden="1" x14ac:dyDescent="0.35"/>
    <row r="32941" hidden="1" x14ac:dyDescent="0.35"/>
    <row r="32942" hidden="1" x14ac:dyDescent="0.35"/>
    <row r="32943" hidden="1" x14ac:dyDescent="0.35"/>
    <row r="32944" hidden="1" x14ac:dyDescent="0.35"/>
    <row r="32945" hidden="1" x14ac:dyDescent="0.35"/>
    <row r="32946" hidden="1" x14ac:dyDescent="0.35"/>
    <row r="32947" hidden="1" x14ac:dyDescent="0.35"/>
    <row r="32948" hidden="1" x14ac:dyDescent="0.35"/>
    <row r="32949" hidden="1" x14ac:dyDescent="0.35"/>
    <row r="32950" hidden="1" x14ac:dyDescent="0.35"/>
    <row r="32951" hidden="1" x14ac:dyDescent="0.35"/>
    <row r="32952" hidden="1" x14ac:dyDescent="0.35"/>
    <row r="32953" hidden="1" x14ac:dyDescent="0.35"/>
    <row r="32954" hidden="1" x14ac:dyDescent="0.35"/>
    <row r="32955" hidden="1" x14ac:dyDescent="0.35"/>
    <row r="32956" hidden="1" x14ac:dyDescent="0.35"/>
    <row r="32957" hidden="1" x14ac:dyDescent="0.35"/>
    <row r="32958" hidden="1" x14ac:dyDescent="0.35"/>
    <row r="32959" hidden="1" x14ac:dyDescent="0.35"/>
    <row r="32960" hidden="1" x14ac:dyDescent="0.35"/>
    <row r="32961" hidden="1" x14ac:dyDescent="0.35"/>
    <row r="32962" hidden="1" x14ac:dyDescent="0.35"/>
    <row r="32963" hidden="1" x14ac:dyDescent="0.35"/>
    <row r="32964" hidden="1" x14ac:dyDescent="0.35"/>
    <row r="32965" hidden="1" x14ac:dyDescent="0.35"/>
    <row r="32966" hidden="1" x14ac:dyDescent="0.35"/>
    <row r="32967" hidden="1" x14ac:dyDescent="0.35"/>
    <row r="32968" hidden="1" x14ac:dyDescent="0.35"/>
    <row r="32969" hidden="1" x14ac:dyDescent="0.35"/>
    <row r="32970" hidden="1" x14ac:dyDescent="0.35"/>
    <row r="32971" hidden="1" x14ac:dyDescent="0.35"/>
    <row r="32972" hidden="1" x14ac:dyDescent="0.35"/>
    <row r="32973" hidden="1" x14ac:dyDescent="0.35"/>
    <row r="32974" hidden="1" x14ac:dyDescent="0.35"/>
    <row r="32975" hidden="1" x14ac:dyDescent="0.35"/>
    <row r="32976" hidden="1" x14ac:dyDescent="0.35"/>
    <row r="32977" hidden="1" x14ac:dyDescent="0.35"/>
    <row r="32978" hidden="1" x14ac:dyDescent="0.35"/>
    <row r="32979" hidden="1" x14ac:dyDescent="0.35"/>
    <row r="32980" hidden="1" x14ac:dyDescent="0.35"/>
    <row r="32981" hidden="1" x14ac:dyDescent="0.35"/>
    <row r="32982" hidden="1" x14ac:dyDescent="0.35"/>
    <row r="32983" hidden="1" x14ac:dyDescent="0.35"/>
    <row r="32984" hidden="1" x14ac:dyDescent="0.35"/>
    <row r="32985" hidden="1" x14ac:dyDescent="0.35"/>
    <row r="32986" hidden="1" x14ac:dyDescent="0.35"/>
    <row r="32987" hidden="1" x14ac:dyDescent="0.35"/>
    <row r="32988" hidden="1" x14ac:dyDescent="0.35"/>
    <row r="32989" hidden="1" x14ac:dyDescent="0.35"/>
    <row r="32990" hidden="1" x14ac:dyDescent="0.35"/>
    <row r="32991" hidden="1" x14ac:dyDescent="0.35"/>
    <row r="32992" hidden="1" x14ac:dyDescent="0.35"/>
    <row r="32993" hidden="1" x14ac:dyDescent="0.35"/>
    <row r="32994" hidden="1" x14ac:dyDescent="0.35"/>
    <row r="32995" hidden="1" x14ac:dyDescent="0.35"/>
    <row r="32996" hidden="1" x14ac:dyDescent="0.35"/>
    <row r="32997" hidden="1" x14ac:dyDescent="0.35"/>
    <row r="32998" hidden="1" x14ac:dyDescent="0.35"/>
    <row r="32999" hidden="1" x14ac:dyDescent="0.35"/>
    <row r="33000" hidden="1" x14ac:dyDescent="0.35"/>
    <row r="33001" hidden="1" x14ac:dyDescent="0.35"/>
    <row r="33002" hidden="1" x14ac:dyDescent="0.35"/>
    <row r="33003" hidden="1" x14ac:dyDescent="0.35"/>
    <row r="33004" hidden="1" x14ac:dyDescent="0.35"/>
    <row r="33005" hidden="1" x14ac:dyDescent="0.35"/>
    <row r="33006" hidden="1" x14ac:dyDescent="0.35"/>
    <row r="33007" hidden="1" x14ac:dyDescent="0.35"/>
    <row r="33008" hidden="1" x14ac:dyDescent="0.35"/>
    <row r="33009" hidden="1" x14ac:dyDescent="0.35"/>
    <row r="33010" hidden="1" x14ac:dyDescent="0.35"/>
    <row r="33011" hidden="1" x14ac:dyDescent="0.35"/>
    <row r="33012" hidden="1" x14ac:dyDescent="0.35"/>
    <row r="33013" hidden="1" x14ac:dyDescent="0.35"/>
    <row r="33014" hidden="1" x14ac:dyDescent="0.35"/>
    <row r="33015" hidden="1" x14ac:dyDescent="0.35"/>
    <row r="33016" hidden="1" x14ac:dyDescent="0.35"/>
    <row r="33017" hidden="1" x14ac:dyDescent="0.35"/>
    <row r="33018" hidden="1" x14ac:dyDescent="0.35"/>
    <row r="33019" hidden="1" x14ac:dyDescent="0.35"/>
    <row r="33020" hidden="1" x14ac:dyDescent="0.35"/>
    <row r="33021" hidden="1" x14ac:dyDescent="0.35"/>
    <row r="33022" hidden="1" x14ac:dyDescent="0.35"/>
    <row r="33023" hidden="1" x14ac:dyDescent="0.35"/>
    <row r="33024" hidden="1" x14ac:dyDescent="0.35"/>
    <row r="33025" hidden="1" x14ac:dyDescent="0.35"/>
    <row r="33026" hidden="1" x14ac:dyDescent="0.35"/>
    <row r="33027" hidden="1" x14ac:dyDescent="0.35"/>
    <row r="33028" hidden="1" x14ac:dyDescent="0.35"/>
    <row r="33029" hidden="1" x14ac:dyDescent="0.35"/>
    <row r="33030" hidden="1" x14ac:dyDescent="0.35"/>
    <row r="33031" hidden="1" x14ac:dyDescent="0.35"/>
    <row r="33032" hidden="1" x14ac:dyDescent="0.35"/>
    <row r="33033" hidden="1" x14ac:dyDescent="0.35"/>
    <row r="33034" hidden="1" x14ac:dyDescent="0.35"/>
    <row r="33035" hidden="1" x14ac:dyDescent="0.35"/>
    <row r="33036" hidden="1" x14ac:dyDescent="0.35"/>
    <row r="33037" hidden="1" x14ac:dyDescent="0.35"/>
    <row r="33038" hidden="1" x14ac:dyDescent="0.35"/>
    <row r="33039" hidden="1" x14ac:dyDescent="0.35"/>
    <row r="33040" hidden="1" x14ac:dyDescent="0.35"/>
    <row r="33041" hidden="1" x14ac:dyDescent="0.35"/>
    <row r="33042" hidden="1" x14ac:dyDescent="0.35"/>
    <row r="33043" hidden="1" x14ac:dyDescent="0.35"/>
    <row r="33044" hidden="1" x14ac:dyDescent="0.35"/>
    <row r="33045" hidden="1" x14ac:dyDescent="0.35"/>
    <row r="33046" hidden="1" x14ac:dyDescent="0.35"/>
    <row r="33047" hidden="1" x14ac:dyDescent="0.35"/>
    <row r="33048" hidden="1" x14ac:dyDescent="0.35"/>
    <row r="33049" hidden="1" x14ac:dyDescent="0.35"/>
    <row r="33050" hidden="1" x14ac:dyDescent="0.35"/>
    <row r="33051" hidden="1" x14ac:dyDescent="0.35"/>
    <row r="33052" hidden="1" x14ac:dyDescent="0.35"/>
    <row r="33053" hidden="1" x14ac:dyDescent="0.35"/>
    <row r="33054" hidden="1" x14ac:dyDescent="0.35"/>
    <row r="33055" hidden="1" x14ac:dyDescent="0.35"/>
    <row r="33056" hidden="1" x14ac:dyDescent="0.35"/>
    <row r="33057" hidden="1" x14ac:dyDescent="0.35"/>
    <row r="33058" hidden="1" x14ac:dyDescent="0.35"/>
    <row r="33059" hidden="1" x14ac:dyDescent="0.35"/>
    <row r="33060" hidden="1" x14ac:dyDescent="0.35"/>
    <row r="33061" hidden="1" x14ac:dyDescent="0.35"/>
    <row r="33062" hidden="1" x14ac:dyDescent="0.35"/>
    <row r="33063" hidden="1" x14ac:dyDescent="0.35"/>
    <row r="33064" hidden="1" x14ac:dyDescent="0.35"/>
    <row r="33065" hidden="1" x14ac:dyDescent="0.35"/>
    <row r="33066" hidden="1" x14ac:dyDescent="0.35"/>
    <row r="33067" hidden="1" x14ac:dyDescent="0.35"/>
    <row r="33068" hidden="1" x14ac:dyDescent="0.35"/>
    <row r="33069" hidden="1" x14ac:dyDescent="0.35"/>
    <row r="33070" hidden="1" x14ac:dyDescent="0.35"/>
    <row r="33071" hidden="1" x14ac:dyDescent="0.35"/>
    <row r="33072" hidden="1" x14ac:dyDescent="0.35"/>
    <row r="33073" hidden="1" x14ac:dyDescent="0.35"/>
    <row r="33074" hidden="1" x14ac:dyDescent="0.35"/>
    <row r="33075" hidden="1" x14ac:dyDescent="0.35"/>
    <row r="33076" hidden="1" x14ac:dyDescent="0.35"/>
    <row r="33077" hidden="1" x14ac:dyDescent="0.35"/>
    <row r="33078" hidden="1" x14ac:dyDescent="0.35"/>
    <row r="33079" hidden="1" x14ac:dyDescent="0.35"/>
    <row r="33080" hidden="1" x14ac:dyDescent="0.35"/>
    <row r="33081" hidden="1" x14ac:dyDescent="0.35"/>
    <row r="33082" hidden="1" x14ac:dyDescent="0.35"/>
    <row r="33083" hidden="1" x14ac:dyDescent="0.35"/>
    <row r="33084" hidden="1" x14ac:dyDescent="0.35"/>
    <row r="33085" hidden="1" x14ac:dyDescent="0.35"/>
    <row r="33086" hidden="1" x14ac:dyDescent="0.35"/>
    <row r="33087" hidden="1" x14ac:dyDescent="0.35"/>
    <row r="33088" hidden="1" x14ac:dyDescent="0.35"/>
    <row r="33089" hidden="1" x14ac:dyDescent="0.35"/>
    <row r="33090" hidden="1" x14ac:dyDescent="0.35"/>
    <row r="33091" hidden="1" x14ac:dyDescent="0.35"/>
    <row r="33092" hidden="1" x14ac:dyDescent="0.35"/>
    <row r="33093" hidden="1" x14ac:dyDescent="0.35"/>
    <row r="33094" hidden="1" x14ac:dyDescent="0.35"/>
    <row r="33095" hidden="1" x14ac:dyDescent="0.35"/>
    <row r="33096" hidden="1" x14ac:dyDescent="0.35"/>
    <row r="33097" hidden="1" x14ac:dyDescent="0.35"/>
    <row r="33098" hidden="1" x14ac:dyDescent="0.35"/>
    <row r="33099" hidden="1" x14ac:dyDescent="0.35"/>
    <row r="33100" hidden="1" x14ac:dyDescent="0.35"/>
    <row r="33101" hidden="1" x14ac:dyDescent="0.35"/>
    <row r="33102" hidden="1" x14ac:dyDescent="0.35"/>
    <row r="33103" hidden="1" x14ac:dyDescent="0.35"/>
    <row r="33104" hidden="1" x14ac:dyDescent="0.35"/>
    <row r="33105" hidden="1" x14ac:dyDescent="0.35"/>
    <row r="33106" hidden="1" x14ac:dyDescent="0.35"/>
    <row r="33107" hidden="1" x14ac:dyDescent="0.35"/>
    <row r="33108" hidden="1" x14ac:dyDescent="0.35"/>
    <row r="33109" hidden="1" x14ac:dyDescent="0.35"/>
    <row r="33110" hidden="1" x14ac:dyDescent="0.35"/>
    <row r="33111" hidden="1" x14ac:dyDescent="0.35"/>
    <row r="33112" hidden="1" x14ac:dyDescent="0.35"/>
    <row r="33113" hidden="1" x14ac:dyDescent="0.35"/>
    <row r="33114" hidden="1" x14ac:dyDescent="0.35"/>
    <row r="33115" hidden="1" x14ac:dyDescent="0.35"/>
    <row r="33116" hidden="1" x14ac:dyDescent="0.35"/>
    <row r="33117" hidden="1" x14ac:dyDescent="0.35"/>
    <row r="33118" hidden="1" x14ac:dyDescent="0.35"/>
    <row r="33119" hidden="1" x14ac:dyDescent="0.35"/>
    <row r="33120" hidden="1" x14ac:dyDescent="0.35"/>
    <row r="33121" hidden="1" x14ac:dyDescent="0.35"/>
    <row r="33122" hidden="1" x14ac:dyDescent="0.35"/>
    <row r="33123" hidden="1" x14ac:dyDescent="0.35"/>
    <row r="33124" hidden="1" x14ac:dyDescent="0.35"/>
    <row r="33125" hidden="1" x14ac:dyDescent="0.35"/>
    <row r="33126" hidden="1" x14ac:dyDescent="0.35"/>
    <row r="33127" hidden="1" x14ac:dyDescent="0.35"/>
    <row r="33128" hidden="1" x14ac:dyDescent="0.35"/>
    <row r="33129" hidden="1" x14ac:dyDescent="0.35"/>
    <row r="33130" hidden="1" x14ac:dyDescent="0.35"/>
    <row r="33131" hidden="1" x14ac:dyDescent="0.35"/>
    <row r="33132" hidden="1" x14ac:dyDescent="0.35"/>
    <row r="33133" hidden="1" x14ac:dyDescent="0.35"/>
    <row r="33134" hidden="1" x14ac:dyDescent="0.35"/>
    <row r="33135" hidden="1" x14ac:dyDescent="0.35"/>
    <row r="33136" hidden="1" x14ac:dyDescent="0.35"/>
    <row r="33137" hidden="1" x14ac:dyDescent="0.35"/>
    <row r="33138" hidden="1" x14ac:dyDescent="0.35"/>
    <row r="33139" hidden="1" x14ac:dyDescent="0.35"/>
    <row r="33140" hidden="1" x14ac:dyDescent="0.35"/>
    <row r="33141" hidden="1" x14ac:dyDescent="0.35"/>
    <row r="33142" hidden="1" x14ac:dyDescent="0.35"/>
    <row r="33143" hidden="1" x14ac:dyDescent="0.35"/>
    <row r="33144" hidden="1" x14ac:dyDescent="0.35"/>
    <row r="33145" hidden="1" x14ac:dyDescent="0.35"/>
    <row r="33146" hidden="1" x14ac:dyDescent="0.35"/>
    <row r="33147" hidden="1" x14ac:dyDescent="0.35"/>
    <row r="33148" hidden="1" x14ac:dyDescent="0.35"/>
    <row r="33149" hidden="1" x14ac:dyDescent="0.35"/>
    <row r="33150" hidden="1" x14ac:dyDescent="0.35"/>
    <row r="33151" hidden="1" x14ac:dyDescent="0.35"/>
    <row r="33152" hidden="1" x14ac:dyDescent="0.35"/>
    <row r="33153" hidden="1" x14ac:dyDescent="0.35"/>
    <row r="33154" hidden="1" x14ac:dyDescent="0.35"/>
    <row r="33155" hidden="1" x14ac:dyDescent="0.35"/>
    <row r="33156" hidden="1" x14ac:dyDescent="0.35"/>
    <row r="33157" hidden="1" x14ac:dyDescent="0.35"/>
    <row r="33158" hidden="1" x14ac:dyDescent="0.35"/>
    <row r="33159" hidden="1" x14ac:dyDescent="0.35"/>
    <row r="33160" hidden="1" x14ac:dyDescent="0.35"/>
    <row r="33161" hidden="1" x14ac:dyDescent="0.35"/>
    <row r="33162" hidden="1" x14ac:dyDescent="0.35"/>
    <row r="33163" hidden="1" x14ac:dyDescent="0.35"/>
    <row r="33164" hidden="1" x14ac:dyDescent="0.35"/>
    <row r="33165" hidden="1" x14ac:dyDescent="0.35"/>
    <row r="33166" hidden="1" x14ac:dyDescent="0.35"/>
    <row r="33167" hidden="1" x14ac:dyDescent="0.35"/>
    <row r="33168" hidden="1" x14ac:dyDescent="0.35"/>
    <row r="33169" hidden="1" x14ac:dyDescent="0.35"/>
    <row r="33170" hidden="1" x14ac:dyDescent="0.35"/>
    <row r="33171" hidden="1" x14ac:dyDescent="0.35"/>
    <row r="33172" hidden="1" x14ac:dyDescent="0.35"/>
    <row r="33173" hidden="1" x14ac:dyDescent="0.35"/>
    <row r="33174" hidden="1" x14ac:dyDescent="0.35"/>
    <row r="33175" hidden="1" x14ac:dyDescent="0.35"/>
    <row r="33176" hidden="1" x14ac:dyDescent="0.35"/>
    <row r="33177" hidden="1" x14ac:dyDescent="0.35"/>
    <row r="33178" hidden="1" x14ac:dyDescent="0.35"/>
    <row r="33179" hidden="1" x14ac:dyDescent="0.35"/>
    <row r="33180" hidden="1" x14ac:dyDescent="0.35"/>
    <row r="33181" hidden="1" x14ac:dyDescent="0.35"/>
    <row r="33182" hidden="1" x14ac:dyDescent="0.35"/>
    <row r="33183" hidden="1" x14ac:dyDescent="0.35"/>
    <row r="33184" hidden="1" x14ac:dyDescent="0.35"/>
    <row r="33185" hidden="1" x14ac:dyDescent="0.35"/>
    <row r="33186" hidden="1" x14ac:dyDescent="0.35"/>
    <row r="33187" hidden="1" x14ac:dyDescent="0.35"/>
    <row r="33188" hidden="1" x14ac:dyDescent="0.35"/>
    <row r="33189" hidden="1" x14ac:dyDescent="0.35"/>
    <row r="33190" hidden="1" x14ac:dyDescent="0.35"/>
    <row r="33191" hidden="1" x14ac:dyDescent="0.35"/>
    <row r="33192" hidden="1" x14ac:dyDescent="0.35"/>
    <row r="33193" hidden="1" x14ac:dyDescent="0.35"/>
    <row r="33194" hidden="1" x14ac:dyDescent="0.35"/>
    <row r="33195" hidden="1" x14ac:dyDescent="0.35"/>
    <row r="33196" hidden="1" x14ac:dyDescent="0.35"/>
    <row r="33197" hidden="1" x14ac:dyDescent="0.35"/>
    <row r="33198" hidden="1" x14ac:dyDescent="0.35"/>
    <row r="33199" hidden="1" x14ac:dyDescent="0.35"/>
    <row r="33200" hidden="1" x14ac:dyDescent="0.35"/>
    <row r="33201" hidden="1" x14ac:dyDescent="0.35"/>
    <row r="33202" hidden="1" x14ac:dyDescent="0.35"/>
    <row r="33203" hidden="1" x14ac:dyDescent="0.35"/>
    <row r="33204" hidden="1" x14ac:dyDescent="0.35"/>
    <row r="33205" hidden="1" x14ac:dyDescent="0.35"/>
    <row r="33206" hidden="1" x14ac:dyDescent="0.35"/>
    <row r="33207" hidden="1" x14ac:dyDescent="0.35"/>
    <row r="33208" hidden="1" x14ac:dyDescent="0.35"/>
    <row r="33209" hidden="1" x14ac:dyDescent="0.35"/>
    <row r="33210" hidden="1" x14ac:dyDescent="0.35"/>
    <row r="33211" hidden="1" x14ac:dyDescent="0.35"/>
    <row r="33212" hidden="1" x14ac:dyDescent="0.35"/>
    <row r="33213" hidden="1" x14ac:dyDescent="0.35"/>
    <row r="33214" hidden="1" x14ac:dyDescent="0.35"/>
    <row r="33215" hidden="1" x14ac:dyDescent="0.35"/>
    <row r="33216" hidden="1" x14ac:dyDescent="0.35"/>
    <row r="33217" hidden="1" x14ac:dyDescent="0.35"/>
    <row r="33218" hidden="1" x14ac:dyDescent="0.35"/>
    <row r="33219" hidden="1" x14ac:dyDescent="0.35"/>
    <row r="33220" hidden="1" x14ac:dyDescent="0.35"/>
    <row r="33221" hidden="1" x14ac:dyDescent="0.35"/>
    <row r="33222" hidden="1" x14ac:dyDescent="0.35"/>
    <row r="33223" hidden="1" x14ac:dyDescent="0.35"/>
    <row r="33224" hidden="1" x14ac:dyDescent="0.35"/>
    <row r="33225" hidden="1" x14ac:dyDescent="0.35"/>
    <row r="33226" hidden="1" x14ac:dyDescent="0.35"/>
    <row r="33227" hidden="1" x14ac:dyDescent="0.35"/>
    <row r="33228" hidden="1" x14ac:dyDescent="0.35"/>
    <row r="33229" hidden="1" x14ac:dyDescent="0.35"/>
    <row r="33230" hidden="1" x14ac:dyDescent="0.35"/>
    <row r="33231" hidden="1" x14ac:dyDescent="0.35"/>
    <row r="33232" hidden="1" x14ac:dyDescent="0.35"/>
    <row r="33233" hidden="1" x14ac:dyDescent="0.35"/>
    <row r="33234" hidden="1" x14ac:dyDescent="0.35"/>
    <row r="33235" hidden="1" x14ac:dyDescent="0.35"/>
    <row r="33236" hidden="1" x14ac:dyDescent="0.35"/>
    <row r="33237" hidden="1" x14ac:dyDescent="0.35"/>
    <row r="33238" hidden="1" x14ac:dyDescent="0.35"/>
    <row r="33239" hidden="1" x14ac:dyDescent="0.35"/>
    <row r="33240" hidden="1" x14ac:dyDescent="0.35"/>
    <row r="33241" hidden="1" x14ac:dyDescent="0.35"/>
    <row r="33242" hidden="1" x14ac:dyDescent="0.35"/>
    <row r="33243" hidden="1" x14ac:dyDescent="0.35"/>
    <row r="33244" hidden="1" x14ac:dyDescent="0.35"/>
    <row r="33245" hidden="1" x14ac:dyDescent="0.35"/>
    <row r="33246" hidden="1" x14ac:dyDescent="0.35"/>
    <row r="33247" hidden="1" x14ac:dyDescent="0.35"/>
    <row r="33248" hidden="1" x14ac:dyDescent="0.35"/>
    <row r="33249" hidden="1" x14ac:dyDescent="0.35"/>
    <row r="33250" hidden="1" x14ac:dyDescent="0.35"/>
    <row r="33251" hidden="1" x14ac:dyDescent="0.35"/>
    <row r="33252" hidden="1" x14ac:dyDescent="0.35"/>
    <row r="33253" hidden="1" x14ac:dyDescent="0.35"/>
    <row r="33254" hidden="1" x14ac:dyDescent="0.35"/>
    <row r="33255" hidden="1" x14ac:dyDescent="0.35"/>
    <row r="33256" hidden="1" x14ac:dyDescent="0.35"/>
    <row r="33257" hidden="1" x14ac:dyDescent="0.35"/>
    <row r="33258" hidden="1" x14ac:dyDescent="0.35"/>
    <row r="33259" hidden="1" x14ac:dyDescent="0.35"/>
    <row r="33260" hidden="1" x14ac:dyDescent="0.35"/>
    <row r="33261" hidden="1" x14ac:dyDescent="0.35"/>
    <row r="33262" hidden="1" x14ac:dyDescent="0.35"/>
    <row r="33263" hidden="1" x14ac:dyDescent="0.35"/>
    <row r="33264" hidden="1" x14ac:dyDescent="0.35"/>
    <row r="33265" hidden="1" x14ac:dyDescent="0.35"/>
    <row r="33266" hidden="1" x14ac:dyDescent="0.35"/>
    <row r="33267" hidden="1" x14ac:dyDescent="0.35"/>
    <row r="33268" hidden="1" x14ac:dyDescent="0.35"/>
    <row r="33269" hidden="1" x14ac:dyDescent="0.35"/>
    <row r="33270" hidden="1" x14ac:dyDescent="0.35"/>
    <row r="33271" hidden="1" x14ac:dyDescent="0.35"/>
    <row r="33272" hidden="1" x14ac:dyDescent="0.35"/>
    <row r="33273" hidden="1" x14ac:dyDescent="0.35"/>
    <row r="33274" hidden="1" x14ac:dyDescent="0.35"/>
    <row r="33275" hidden="1" x14ac:dyDescent="0.35"/>
    <row r="33276" hidden="1" x14ac:dyDescent="0.35"/>
    <row r="33277" hidden="1" x14ac:dyDescent="0.35"/>
    <row r="33278" hidden="1" x14ac:dyDescent="0.35"/>
    <row r="33279" hidden="1" x14ac:dyDescent="0.35"/>
    <row r="33280" hidden="1" x14ac:dyDescent="0.35"/>
    <row r="33281" hidden="1" x14ac:dyDescent="0.35"/>
    <row r="33282" hidden="1" x14ac:dyDescent="0.35"/>
    <row r="33283" hidden="1" x14ac:dyDescent="0.35"/>
    <row r="33284" hidden="1" x14ac:dyDescent="0.35"/>
    <row r="33285" hidden="1" x14ac:dyDescent="0.35"/>
    <row r="33286" hidden="1" x14ac:dyDescent="0.35"/>
    <row r="33287" hidden="1" x14ac:dyDescent="0.35"/>
    <row r="33288" hidden="1" x14ac:dyDescent="0.35"/>
    <row r="33289" hidden="1" x14ac:dyDescent="0.35"/>
    <row r="33290" hidden="1" x14ac:dyDescent="0.35"/>
    <row r="33291" hidden="1" x14ac:dyDescent="0.35"/>
    <row r="33292" hidden="1" x14ac:dyDescent="0.35"/>
    <row r="33293" hidden="1" x14ac:dyDescent="0.35"/>
    <row r="33294" hidden="1" x14ac:dyDescent="0.35"/>
    <row r="33295" hidden="1" x14ac:dyDescent="0.35"/>
    <row r="33296" hidden="1" x14ac:dyDescent="0.35"/>
    <row r="33297" hidden="1" x14ac:dyDescent="0.35"/>
    <row r="33298" hidden="1" x14ac:dyDescent="0.35"/>
    <row r="33299" hidden="1" x14ac:dyDescent="0.35"/>
    <row r="33300" hidden="1" x14ac:dyDescent="0.35"/>
    <row r="33301" hidden="1" x14ac:dyDescent="0.35"/>
    <row r="33302" hidden="1" x14ac:dyDescent="0.35"/>
    <row r="33303" hidden="1" x14ac:dyDescent="0.35"/>
    <row r="33304" hidden="1" x14ac:dyDescent="0.35"/>
    <row r="33305" hidden="1" x14ac:dyDescent="0.35"/>
    <row r="33306" hidden="1" x14ac:dyDescent="0.35"/>
    <row r="33307" hidden="1" x14ac:dyDescent="0.35"/>
    <row r="33308" hidden="1" x14ac:dyDescent="0.35"/>
    <row r="33309" hidden="1" x14ac:dyDescent="0.35"/>
    <row r="33310" hidden="1" x14ac:dyDescent="0.35"/>
    <row r="33311" hidden="1" x14ac:dyDescent="0.35"/>
    <row r="33312" hidden="1" x14ac:dyDescent="0.35"/>
    <row r="33313" hidden="1" x14ac:dyDescent="0.35"/>
    <row r="33314" hidden="1" x14ac:dyDescent="0.35"/>
    <row r="33315" hidden="1" x14ac:dyDescent="0.35"/>
    <row r="33316" hidden="1" x14ac:dyDescent="0.35"/>
    <row r="33317" hidden="1" x14ac:dyDescent="0.35"/>
    <row r="33318" hidden="1" x14ac:dyDescent="0.35"/>
    <row r="33319" hidden="1" x14ac:dyDescent="0.35"/>
    <row r="33320" hidden="1" x14ac:dyDescent="0.35"/>
    <row r="33321" hidden="1" x14ac:dyDescent="0.35"/>
    <row r="33322" hidden="1" x14ac:dyDescent="0.35"/>
    <row r="33323" hidden="1" x14ac:dyDescent="0.35"/>
    <row r="33324" hidden="1" x14ac:dyDescent="0.35"/>
    <row r="33325" hidden="1" x14ac:dyDescent="0.35"/>
    <row r="33326" hidden="1" x14ac:dyDescent="0.35"/>
    <row r="33327" hidden="1" x14ac:dyDescent="0.35"/>
    <row r="33328" hidden="1" x14ac:dyDescent="0.35"/>
    <row r="33329" hidden="1" x14ac:dyDescent="0.35"/>
    <row r="33330" hidden="1" x14ac:dyDescent="0.35"/>
    <row r="33331" hidden="1" x14ac:dyDescent="0.35"/>
    <row r="33332" hidden="1" x14ac:dyDescent="0.35"/>
    <row r="33333" hidden="1" x14ac:dyDescent="0.35"/>
    <row r="33334" hidden="1" x14ac:dyDescent="0.35"/>
    <row r="33335" hidden="1" x14ac:dyDescent="0.35"/>
    <row r="33336" hidden="1" x14ac:dyDescent="0.35"/>
    <row r="33337" hidden="1" x14ac:dyDescent="0.35"/>
    <row r="33338" hidden="1" x14ac:dyDescent="0.35"/>
    <row r="33339" hidden="1" x14ac:dyDescent="0.35"/>
    <row r="33340" hidden="1" x14ac:dyDescent="0.35"/>
    <row r="33341" hidden="1" x14ac:dyDescent="0.35"/>
    <row r="33342" hidden="1" x14ac:dyDescent="0.35"/>
    <row r="33343" hidden="1" x14ac:dyDescent="0.35"/>
    <row r="33344" hidden="1" x14ac:dyDescent="0.35"/>
    <row r="33345" hidden="1" x14ac:dyDescent="0.35"/>
    <row r="33346" hidden="1" x14ac:dyDescent="0.35"/>
    <row r="33347" hidden="1" x14ac:dyDescent="0.35"/>
    <row r="33348" hidden="1" x14ac:dyDescent="0.35"/>
    <row r="33349" hidden="1" x14ac:dyDescent="0.35"/>
    <row r="33350" hidden="1" x14ac:dyDescent="0.35"/>
    <row r="33351" hidden="1" x14ac:dyDescent="0.35"/>
    <row r="33352" hidden="1" x14ac:dyDescent="0.35"/>
    <row r="33353" hidden="1" x14ac:dyDescent="0.35"/>
    <row r="33354" hidden="1" x14ac:dyDescent="0.35"/>
    <row r="33355" hidden="1" x14ac:dyDescent="0.35"/>
    <row r="33356" hidden="1" x14ac:dyDescent="0.35"/>
    <row r="33357" hidden="1" x14ac:dyDescent="0.35"/>
    <row r="33358" hidden="1" x14ac:dyDescent="0.35"/>
    <row r="33359" hidden="1" x14ac:dyDescent="0.35"/>
    <row r="33360" hidden="1" x14ac:dyDescent="0.35"/>
    <row r="33361" hidden="1" x14ac:dyDescent="0.35"/>
    <row r="33362" hidden="1" x14ac:dyDescent="0.35"/>
    <row r="33363" hidden="1" x14ac:dyDescent="0.35"/>
    <row r="33364" hidden="1" x14ac:dyDescent="0.35"/>
    <row r="33365" hidden="1" x14ac:dyDescent="0.35"/>
    <row r="33366" hidden="1" x14ac:dyDescent="0.35"/>
    <row r="33367" hidden="1" x14ac:dyDescent="0.35"/>
    <row r="33368" hidden="1" x14ac:dyDescent="0.35"/>
    <row r="33369" hidden="1" x14ac:dyDescent="0.35"/>
    <row r="33370" hidden="1" x14ac:dyDescent="0.35"/>
    <row r="33371" hidden="1" x14ac:dyDescent="0.35"/>
    <row r="33372" hidden="1" x14ac:dyDescent="0.35"/>
    <row r="33373" hidden="1" x14ac:dyDescent="0.35"/>
    <row r="33374" hidden="1" x14ac:dyDescent="0.35"/>
    <row r="33375" hidden="1" x14ac:dyDescent="0.35"/>
    <row r="33376" hidden="1" x14ac:dyDescent="0.35"/>
    <row r="33377" hidden="1" x14ac:dyDescent="0.35"/>
    <row r="33378" hidden="1" x14ac:dyDescent="0.35"/>
    <row r="33379" hidden="1" x14ac:dyDescent="0.35"/>
    <row r="33380" hidden="1" x14ac:dyDescent="0.35"/>
    <row r="33381" hidden="1" x14ac:dyDescent="0.35"/>
    <row r="33382" hidden="1" x14ac:dyDescent="0.35"/>
    <row r="33383" hidden="1" x14ac:dyDescent="0.35"/>
    <row r="33384" hidden="1" x14ac:dyDescent="0.35"/>
    <row r="33385" hidden="1" x14ac:dyDescent="0.35"/>
    <row r="33386" hidden="1" x14ac:dyDescent="0.35"/>
    <row r="33387" hidden="1" x14ac:dyDescent="0.35"/>
    <row r="33388" hidden="1" x14ac:dyDescent="0.35"/>
    <row r="33389" hidden="1" x14ac:dyDescent="0.35"/>
    <row r="33390" hidden="1" x14ac:dyDescent="0.35"/>
    <row r="33391" hidden="1" x14ac:dyDescent="0.35"/>
    <row r="33392" hidden="1" x14ac:dyDescent="0.35"/>
    <row r="33393" hidden="1" x14ac:dyDescent="0.35"/>
    <row r="33394" hidden="1" x14ac:dyDescent="0.35"/>
    <row r="33395" hidden="1" x14ac:dyDescent="0.35"/>
    <row r="33396" hidden="1" x14ac:dyDescent="0.35"/>
    <row r="33397" hidden="1" x14ac:dyDescent="0.35"/>
    <row r="33398" hidden="1" x14ac:dyDescent="0.35"/>
    <row r="33399" hidden="1" x14ac:dyDescent="0.35"/>
    <row r="33400" hidden="1" x14ac:dyDescent="0.35"/>
    <row r="33401" hidden="1" x14ac:dyDescent="0.35"/>
    <row r="33402" hidden="1" x14ac:dyDescent="0.35"/>
    <row r="33403" hidden="1" x14ac:dyDescent="0.35"/>
    <row r="33404" hidden="1" x14ac:dyDescent="0.35"/>
    <row r="33405" hidden="1" x14ac:dyDescent="0.35"/>
    <row r="33406" hidden="1" x14ac:dyDescent="0.35"/>
    <row r="33407" hidden="1" x14ac:dyDescent="0.35"/>
    <row r="33408" hidden="1" x14ac:dyDescent="0.35"/>
    <row r="33409" hidden="1" x14ac:dyDescent="0.35"/>
    <row r="33410" hidden="1" x14ac:dyDescent="0.35"/>
    <row r="33411" hidden="1" x14ac:dyDescent="0.35"/>
    <row r="33412" hidden="1" x14ac:dyDescent="0.35"/>
    <row r="33413" hidden="1" x14ac:dyDescent="0.35"/>
    <row r="33414" hidden="1" x14ac:dyDescent="0.35"/>
    <row r="33415" hidden="1" x14ac:dyDescent="0.35"/>
    <row r="33416" hidden="1" x14ac:dyDescent="0.35"/>
    <row r="33417" hidden="1" x14ac:dyDescent="0.35"/>
    <row r="33418" hidden="1" x14ac:dyDescent="0.35"/>
    <row r="33419" hidden="1" x14ac:dyDescent="0.35"/>
    <row r="33420" hidden="1" x14ac:dyDescent="0.35"/>
    <row r="33421" hidden="1" x14ac:dyDescent="0.35"/>
    <row r="33422" hidden="1" x14ac:dyDescent="0.35"/>
    <row r="33423" hidden="1" x14ac:dyDescent="0.35"/>
    <row r="33424" hidden="1" x14ac:dyDescent="0.35"/>
    <row r="33425" hidden="1" x14ac:dyDescent="0.35"/>
    <row r="33426" hidden="1" x14ac:dyDescent="0.35"/>
    <row r="33427" hidden="1" x14ac:dyDescent="0.35"/>
    <row r="33428" hidden="1" x14ac:dyDescent="0.35"/>
    <row r="33429" hidden="1" x14ac:dyDescent="0.35"/>
    <row r="33430" hidden="1" x14ac:dyDescent="0.35"/>
    <row r="33431" hidden="1" x14ac:dyDescent="0.35"/>
    <row r="33432" hidden="1" x14ac:dyDescent="0.35"/>
    <row r="33433" hidden="1" x14ac:dyDescent="0.35"/>
    <row r="33434" hidden="1" x14ac:dyDescent="0.35"/>
    <row r="33435" hidden="1" x14ac:dyDescent="0.35"/>
    <row r="33436" hidden="1" x14ac:dyDescent="0.35"/>
    <row r="33437" hidden="1" x14ac:dyDescent="0.35"/>
    <row r="33438" hidden="1" x14ac:dyDescent="0.35"/>
    <row r="33439" hidden="1" x14ac:dyDescent="0.35"/>
    <row r="33440" hidden="1" x14ac:dyDescent="0.35"/>
    <row r="33441" hidden="1" x14ac:dyDescent="0.35"/>
    <row r="33442" hidden="1" x14ac:dyDescent="0.35"/>
    <row r="33443" hidden="1" x14ac:dyDescent="0.35"/>
    <row r="33444" hidden="1" x14ac:dyDescent="0.35"/>
    <row r="33445" hidden="1" x14ac:dyDescent="0.35"/>
    <row r="33446" hidden="1" x14ac:dyDescent="0.35"/>
    <row r="33447" hidden="1" x14ac:dyDescent="0.35"/>
    <row r="33448" hidden="1" x14ac:dyDescent="0.35"/>
    <row r="33449" hidden="1" x14ac:dyDescent="0.35"/>
    <row r="33450" hidden="1" x14ac:dyDescent="0.35"/>
    <row r="33451" hidden="1" x14ac:dyDescent="0.35"/>
    <row r="33452" hidden="1" x14ac:dyDescent="0.35"/>
    <row r="33453" hidden="1" x14ac:dyDescent="0.35"/>
    <row r="33454" hidden="1" x14ac:dyDescent="0.35"/>
    <row r="33455" hidden="1" x14ac:dyDescent="0.35"/>
    <row r="33456" hidden="1" x14ac:dyDescent="0.35"/>
    <row r="33457" hidden="1" x14ac:dyDescent="0.35"/>
    <row r="33458" hidden="1" x14ac:dyDescent="0.35"/>
    <row r="33459" hidden="1" x14ac:dyDescent="0.35"/>
    <row r="33460" hidden="1" x14ac:dyDescent="0.35"/>
    <row r="33461" hidden="1" x14ac:dyDescent="0.35"/>
    <row r="33462" hidden="1" x14ac:dyDescent="0.35"/>
    <row r="33463" hidden="1" x14ac:dyDescent="0.35"/>
    <row r="33464" hidden="1" x14ac:dyDescent="0.35"/>
    <row r="33465" hidden="1" x14ac:dyDescent="0.35"/>
    <row r="33466" hidden="1" x14ac:dyDescent="0.35"/>
    <row r="33467" hidden="1" x14ac:dyDescent="0.35"/>
    <row r="33468" hidden="1" x14ac:dyDescent="0.35"/>
    <row r="33469" hidden="1" x14ac:dyDescent="0.35"/>
    <row r="33470" hidden="1" x14ac:dyDescent="0.35"/>
    <row r="33471" hidden="1" x14ac:dyDescent="0.35"/>
    <row r="33472" hidden="1" x14ac:dyDescent="0.35"/>
    <row r="33473" hidden="1" x14ac:dyDescent="0.35"/>
    <row r="33474" hidden="1" x14ac:dyDescent="0.35"/>
    <row r="33475" hidden="1" x14ac:dyDescent="0.35"/>
    <row r="33476" hidden="1" x14ac:dyDescent="0.35"/>
    <row r="33477" hidden="1" x14ac:dyDescent="0.35"/>
    <row r="33478" hidden="1" x14ac:dyDescent="0.35"/>
    <row r="33479" hidden="1" x14ac:dyDescent="0.35"/>
    <row r="33480" hidden="1" x14ac:dyDescent="0.35"/>
    <row r="33481" hidden="1" x14ac:dyDescent="0.35"/>
    <row r="33482" hidden="1" x14ac:dyDescent="0.35"/>
    <row r="33483" hidden="1" x14ac:dyDescent="0.35"/>
    <row r="33484" hidden="1" x14ac:dyDescent="0.35"/>
    <row r="33485" hidden="1" x14ac:dyDescent="0.35"/>
    <row r="33486" hidden="1" x14ac:dyDescent="0.35"/>
    <row r="33487" hidden="1" x14ac:dyDescent="0.35"/>
    <row r="33488" hidden="1" x14ac:dyDescent="0.35"/>
    <row r="33489" hidden="1" x14ac:dyDescent="0.35"/>
    <row r="33490" hidden="1" x14ac:dyDescent="0.35"/>
    <row r="33491" hidden="1" x14ac:dyDescent="0.35"/>
    <row r="33492" hidden="1" x14ac:dyDescent="0.35"/>
    <row r="33493" hidden="1" x14ac:dyDescent="0.35"/>
    <row r="33494" hidden="1" x14ac:dyDescent="0.35"/>
    <row r="33495" hidden="1" x14ac:dyDescent="0.35"/>
    <row r="33496" hidden="1" x14ac:dyDescent="0.35"/>
    <row r="33497" hidden="1" x14ac:dyDescent="0.35"/>
    <row r="33498" hidden="1" x14ac:dyDescent="0.35"/>
    <row r="33499" hidden="1" x14ac:dyDescent="0.35"/>
    <row r="33500" hidden="1" x14ac:dyDescent="0.35"/>
    <row r="33501" hidden="1" x14ac:dyDescent="0.35"/>
    <row r="33502" hidden="1" x14ac:dyDescent="0.35"/>
    <row r="33503" hidden="1" x14ac:dyDescent="0.35"/>
    <row r="33504" hidden="1" x14ac:dyDescent="0.35"/>
    <row r="33505" hidden="1" x14ac:dyDescent="0.35"/>
    <row r="33506" hidden="1" x14ac:dyDescent="0.35"/>
    <row r="33507" hidden="1" x14ac:dyDescent="0.35"/>
    <row r="33508" hidden="1" x14ac:dyDescent="0.35"/>
    <row r="33509" hidden="1" x14ac:dyDescent="0.35"/>
    <row r="33510" hidden="1" x14ac:dyDescent="0.35"/>
    <row r="33511" hidden="1" x14ac:dyDescent="0.35"/>
    <row r="33512" hidden="1" x14ac:dyDescent="0.35"/>
    <row r="33513" hidden="1" x14ac:dyDescent="0.35"/>
    <row r="33514" hidden="1" x14ac:dyDescent="0.35"/>
    <row r="33515" hidden="1" x14ac:dyDescent="0.35"/>
    <row r="33516" hidden="1" x14ac:dyDescent="0.35"/>
    <row r="33517" hidden="1" x14ac:dyDescent="0.35"/>
    <row r="33518" hidden="1" x14ac:dyDescent="0.35"/>
    <row r="33519" hidden="1" x14ac:dyDescent="0.35"/>
    <row r="33520" hidden="1" x14ac:dyDescent="0.35"/>
    <row r="33521" hidden="1" x14ac:dyDescent="0.35"/>
    <row r="33522" hidden="1" x14ac:dyDescent="0.35"/>
    <row r="33523" hidden="1" x14ac:dyDescent="0.35"/>
    <row r="33524" hidden="1" x14ac:dyDescent="0.35"/>
    <row r="33525" hidden="1" x14ac:dyDescent="0.35"/>
    <row r="33526" hidden="1" x14ac:dyDescent="0.35"/>
    <row r="33527" hidden="1" x14ac:dyDescent="0.35"/>
    <row r="33528" hidden="1" x14ac:dyDescent="0.35"/>
    <row r="33529" hidden="1" x14ac:dyDescent="0.35"/>
    <row r="33530" hidden="1" x14ac:dyDescent="0.35"/>
    <row r="33531" hidden="1" x14ac:dyDescent="0.35"/>
    <row r="33532" hidden="1" x14ac:dyDescent="0.35"/>
    <row r="33533" hidden="1" x14ac:dyDescent="0.35"/>
    <row r="33534" hidden="1" x14ac:dyDescent="0.35"/>
    <row r="33535" hidden="1" x14ac:dyDescent="0.35"/>
    <row r="33536" hidden="1" x14ac:dyDescent="0.35"/>
    <row r="33537" hidden="1" x14ac:dyDescent="0.35"/>
    <row r="33538" hidden="1" x14ac:dyDescent="0.35"/>
    <row r="33539" hidden="1" x14ac:dyDescent="0.35"/>
    <row r="33540" hidden="1" x14ac:dyDescent="0.35"/>
    <row r="33541" hidden="1" x14ac:dyDescent="0.35"/>
    <row r="33542" hidden="1" x14ac:dyDescent="0.35"/>
    <row r="33543" hidden="1" x14ac:dyDescent="0.35"/>
    <row r="33544" hidden="1" x14ac:dyDescent="0.35"/>
    <row r="33545" hidden="1" x14ac:dyDescent="0.35"/>
    <row r="33546" hidden="1" x14ac:dyDescent="0.35"/>
    <row r="33547" hidden="1" x14ac:dyDescent="0.35"/>
    <row r="33548" hidden="1" x14ac:dyDescent="0.35"/>
    <row r="33549" hidden="1" x14ac:dyDescent="0.35"/>
    <row r="33550" hidden="1" x14ac:dyDescent="0.35"/>
    <row r="33551" hidden="1" x14ac:dyDescent="0.35"/>
    <row r="33552" hidden="1" x14ac:dyDescent="0.35"/>
    <row r="33553" hidden="1" x14ac:dyDescent="0.35"/>
    <row r="33554" hidden="1" x14ac:dyDescent="0.35"/>
    <row r="33555" hidden="1" x14ac:dyDescent="0.35"/>
    <row r="33556" hidden="1" x14ac:dyDescent="0.35"/>
    <row r="33557" hidden="1" x14ac:dyDescent="0.35"/>
    <row r="33558" hidden="1" x14ac:dyDescent="0.35"/>
    <row r="33559" hidden="1" x14ac:dyDescent="0.35"/>
    <row r="33560" hidden="1" x14ac:dyDescent="0.35"/>
    <row r="33561" hidden="1" x14ac:dyDescent="0.35"/>
    <row r="33562" hidden="1" x14ac:dyDescent="0.35"/>
    <row r="33563" hidden="1" x14ac:dyDescent="0.35"/>
    <row r="33564" hidden="1" x14ac:dyDescent="0.35"/>
    <row r="33565" hidden="1" x14ac:dyDescent="0.35"/>
    <row r="33566" hidden="1" x14ac:dyDescent="0.35"/>
    <row r="33567" hidden="1" x14ac:dyDescent="0.35"/>
    <row r="33568" hidden="1" x14ac:dyDescent="0.35"/>
    <row r="33569" hidden="1" x14ac:dyDescent="0.35"/>
    <row r="33570" hidden="1" x14ac:dyDescent="0.35"/>
    <row r="33571" hidden="1" x14ac:dyDescent="0.35"/>
    <row r="33572" hidden="1" x14ac:dyDescent="0.35"/>
    <row r="33573" hidden="1" x14ac:dyDescent="0.35"/>
    <row r="33574" hidden="1" x14ac:dyDescent="0.35"/>
    <row r="33575" hidden="1" x14ac:dyDescent="0.35"/>
    <row r="33576" hidden="1" x14ac:dyDescent="0.35"/>
    <row r="33577" hidden="1" x14ac:dyDescent="0.35"/>
    <row r="33578" hidden="1" x14ac:dyDescent="0.35"/>
    <row r="33579" hidden="1" x14ac:dyDescent="0.35"/>
    <row r="33580" hidden="1" x14ac:dyDescent="0.35"/>
    <row r="33581" hidden="1" x14ac:dyDescent="0.35"/>
    <row r="33582" hidden="1" x14ac:dyDescent="0.35"/>
    <row r="33583" hidden="1" x14ac:dyDescent="0.35"/>
    <row r="33584" hidden="1" x14ac:dyDescent="0.35"/>
    <row r="33585" hidden="1" x14ac:dyDescent="0.35"/>
    <row r="33586" hidden="1" x14ac:dyDescent="0.35"/>
    <row r="33587" hidden="1" x14ac:dyDescent="0.35"/>
    <row r="33588" hidden="1" x14ac:dyDescent="0.35"/>
    <row r="33589" hidden="1" x14ac:dyDescent="0.35"/>
    <row r="33590" hidden="1" x14ac:dyDescent="0.35"/>
    <row r="33591" hidden="1" x14ac:dyDescent="0.35"/>
    <row r="33592" hidden="1" x14ac:dyDescent="0.35"/>
    <row r="33593" hidden="1" x14ac:dyDescent="0.35"/>
    <row r="33594" hidden="1" x14ac:dyDescent="0.35"/>
    <row r="33595" hidden="1" x14ac:dyDescent="0.35"/>
    <row r="33596" hidden="1" x14ac:dyDescent="0.35"/>
    <row r="33597" hidden="1" x14ac:dyDescent="0.35"/>
    <row r="33598" hidden="1" x14ac:dyDescent="0.35"/>
    <row r="33599" hidden="1" x14ac:dyDescent="0.35"/>
    <row r="33600" hidden="1" x14ac:dyDescent="0.35"/>
    <row r="33601" hidden="1" x14ac:dyDescent="0.35"/>
    <row r="33602" hidden="1" x14ac:dyDescent="0.35"/>
    <row r="33603" hidden="1" x14ac:dyDescent="0.35"/>
    <row r="33604" hidden="1" x14ac:dyDescent="0.35"/>
    <row r="33605" hidden="1" x14ac:dyDescent="0.35"/>
    <row r="33606" hidden="1" x14ac:dyDescent="0.35"/>
    <row r="33607" hidden="1" x14ac:dyDescent="0.35"/>
    <row r="33608" hidden="1" x14ac:dyDescent="0.35"/>
    <row r="33609" hidden="1" x14ac:dyDescent="0.35"/>
    <row r="33610" hidden="1" x14ac:dyDescent="0.35"/>
    <row r="33611" hidden="1" x14ac:dyDescent="0.35"/>
    <row r="33612" hidden="1" x14ac:dyDescent="0.35"/>
    <row r="33613" hidden="1" x14ac:dyDescent="0.35"/>
    <row r="33614" hidden="1" x14ac:dyDescent="0.35"/>
    <row r="33615" hidden="1" x14ac:dyDescent="0.35"/>
    <row r="33616" hidden="1" x14ac:dyDescent="0.35"/>
    <row r="33617" hidden="1" x14ac:dyDescent="0.35"/>
    <row r="33618" hidden="1" x14ac:dyDescent="0.35"/>
    <row r="33619" hidden="1" x14ac:dyDescent="0.35"/>
    <row r="33620" hidden="1" x14ac:dyDescent="0.35"/>
    <row r="33621" hidden="1" x14ac:dyDescent="0.35"/>
    <row r="33622" hidden="1" x14ac:dyDescent="0.35"/>
    <row r="33623" hidden="1" x14ac:dyDescent="0.35"/>
    <row r="33624" hidden="1" x14ac:dyDescent="0.35"/>
    <row r="33625" hidden="1" x14ac:dyDescent="0.35"/>
    <row r="33626" hidden="1" x14ac:dyDescent="0.35"/>
    <row r="33627" hidden="1" x14ac:dyDescent="0.35"/>
    <row r="33628" hidden="1" x14ac:dyDescent="0.35"/>
    <row r="33629" hidden="1" x14ac:dyDescent="0.35"/>
    <row r="33630" hidden="1" x14ac:dyDescent="0.35"/>
    <row r="33631" hidden="1" x14ac:dyDescent="0.35"/>
    <row r="33632" hidden="1" x14ac:dyDescent="0.35"/>
    <row r="33633" hidden="1" x14ac:dyDescent="0.35"/>
    <row r="33634" hidden="1" x14ac:dyDescent="0.35"/>
    <row r="33635" hidden="1" x14ac:dyDescent="0.35"/>
    <row r="33636" hidden="1" x14ac:dyDescent="0.35"/>
    <row r="33637" hidden="1" x14ac:dyDescent="0.35"/>
    <row r="33638" hidden="1" x14ac:dyDescent="0.35"/>
    <row r="33639" hidden="1" x14ac:dyDescent="0.35"/>
    <row r="33640" hidden="1" x14ac:dyDescent="0.35"/>
    <row r="33641" hidden="1" x14ac:dyDescent="0.35"/>
    <row r="33642" hidden="1" x14ac:dyDescent="0.35"/>
    <row r="33643" hidden="1" x14ac:dyDescent="0.35"/>
    <row r="33644" hidden="1" x14ac:dyDescent="0.35"/>
    <row r="33645" hidden="1" x14ac:dyDescent="0.35"/>
    <row r="33646" hidden="1" x14ac:dyDescent="0.35"/>
    <row r="33647" hidden="1" x14ac:dyDescent="0.35"/>
    <row r="33648" hidden="1" x14ac:dyDescent="0.35"/>
    <row r="33649" hidden="1" x14ac:dyDescent="0.35"/>
    <row r="33650" hidden="1" x14ac:dyDescent="0.35"/>
    <row r="33651" hidden="1" x14ac:dyDescent="0.35"/>
    <row r="33652" hidden="1" x14ac:dyDescent="0.35"/>
    <row r="33653" hidden="1" x14ac:dyDescent="0.35"/>
    <row r="33654" hidden="1" x14ac:dyDescent="0.35"/>
    <row r="33655" hidden="1" x14ac:dyDescent="0.35"/>
    <row r="33656" hidden="1" x14ac:dyDescent="0.35"/>
    <row r="33657" hidden="1" x14ac:dyDescent="0.35"/>
    <row r="33658" hidden="1" x14ac:dyDescent="0.35"/>
    <row r="33659" hidden="1" x14ac:dyDescent="0.35"/>
    <row r="33660" hidden="1" x14ac:dyDescent="0.35"/>
    <row r="33661" hidden="1" x14ac:dyDescent="0.35"/>
    <row r="33662" hidden="1" x14ac:dyDescent="0.35"/>
    <row r="33663" hidden="1" x14ac:dyDescent="0.35"/>
    <row r="33664" hidden="1" x14ac:dyDescent="0.35"/>
    <row r="33665" hidden="1" x14ac:dyDescent="0.35"/>
    <row r="33666" hidden="1" x14ac:dyDescent="0.35"/>
    <row r="33667" hidden="1" x14ac:dyDescent="0.35"/>
    <row r="33668" hidden="1" x14ac:dyDescent="0.35"/>
    <row r="33669" hidden="1" x14ac:dyDescent="0.35"/>
    <row r="33670" hidden="1" x14ac:dyDescent="0.35"/>
    <row r="33671" hidden="1" x14ac:dyDescent="0.35"/>
    <row r="33672" hidden="1" x14ac:dyDescent="0.35"/>
    <row r="33673" hidden="1" x14ac:dyDescent="0.35"/>
    <row r="33674" hidden="1" x14ac:dyDescent="0.35"/>
    <row r="33675" hidden="1" x14ac:dyDescent="0.35"/>
    <row r="33676" hidden="1" x14ac:dyDescent="0.35"/>
    <row r="33677" hidden="1" x14ac:dyDescent="0.35"/>
    <row r="33678" hidden="1" x14ac:dyDescent="0.35"/>
    <row r="33679" hidden="1" x14ac:dyDescent="0.35"/>
    <row r="33680" hidden="1" x14ac:dyDescent="0.35"/>
    <row r="33681" hidden="1" x14ac:dyDescent="0.35"/>
    <row r="33682" hidden="1" x14ac:dyDescent="0.35"/>
    <row r="33683" hidden="1" x14ac:dyDescent="0.35"/>
    <row r="33684" hidden="1" x14ac:dyDescent="0.35"/>
    <row r="33685" hidden="1" x14ac:dyDescent="0.35"/>
    <row r="33686" hidden="1" x14ac:dyDescent="0.35"/>
    <row r="33687" hidden="1" x14ac:dyDescent="0.35"/>
    <row r="33688" hidden="1" x14ac:dyDescent="0.35"/>
    <row r="33689" hidden="1" x14ac:dyDescent="0.35"/>
    <row r="33690" hidden="1" x14ac:dyDescent="0.35"/>
    <row r="33691" hidden="1" x14ac:dyDescent="0.35"/>
    <row r="33692" hidden="1" x14ac:dyDescent="0.35"/>
    <row r="33693" hidden="1" x14ac:dyDescent="0.35"/>
    <row r="33694" hidden="1" x14ac:dyDescent="0.35"/>
    <row r="33695" hidden="1" x14ac:dyDescent="0.35"/>
    <row r="33696" hidden="1" x14ac:dyDescent="0.35"/>
    <row r="33697" hidden="1" x14ac:dyDescent="0.35"/>
    <row r="33698" hidden="1" x14ac:dyDescent="0.35"/>
    <row r="33699" hidden="1" x14ac:dyDescent="0.35"/>
    <row r="33700" hidden="1" x14ac:dyDescent="0.35"/>
    <row r="33701" hidden="1" x14ac:dyDescent="0.35"/>
    <row r="33702" hidden="1" x14ac:dyDescent="0.35"/>
    <row r="33703" hidden="1" x14ac:dyDescent="0.35"/>
    <row r="33704" hidden="1" x14ac:dyDescent="0.35"/>
    <row r="33705" hidden="1" x14ac:dyDescent="0.35"/>
    <row r="33706" hidden="1" x14ac:dyDescent="0.35"/>
    <row r="33707" hidden="1" x14ac:dyDescent="0.35"/>
    <row r="33708" hidden="1" x14ac:dyDescent="0.35"/>
    <row r="33709" hidden="1" x14ac:dyDescent="0.35"/>
    <row r="33710" hidden="1" x14ac:dyDescent="0.35"/>
    <row r="33711" hidden="1" x14ac:dyDescent="0.35"/>
    <row r="33712" hidden="1" x14ac:dyDescent="0.35"/>
    <row r="33713" hidden="1" x14ac:dyDescent="0.35"/>
    <row r="33714" hidden="1" x14ac:dyDescent="0.35"/>
    <row r="33715" hidden="1" x14ac:dyDescent="0.35"/>
    <row r="33716" hidden="1" x14ac:dyDescent="0.35"/>
    <row r="33717" hidden="1" x14ac:dyDescent="0.35"/>
    <row r="33718" hidden="1" x14ac:dyDescent="0.35"/>
    <row r="33719" hidden="1" x14ac:dyDescent="0.35"/>
    <row r="33720" hidden="1" x14ac:dyDescent="0.35"/>
    <row r="33721" hidden="1" x14ac:dyDescent="0.35"/>
    <row r="33722" hidden="1" x14ac:dyDescent="0.35"/>
    <row r="33723" hidden="1" x14ac:dyDescent="0.35"/>
    <row r="33724" hidden="1" x14ac:dyDescent="0.35"/>
    <row r="33725" hidden="1" x14ac:dyDescent="0.35"/>
    <row r="33726" hidden="1" x14ac:dyDescent="0.35"/>
    <row r="33727" hidden="1" x14ac:dyDescent="0.35"/>
    <row r="33728" hidden="1" x14ac:dyDescent="0.35"/>
    <row r="33729" hidden="1" x14ac:dyDescent="0.35"/>
    <row r="33730" hidden="1" x14ac:dyDescent="0.35"/>
    <row r="33731" hidden="1" x14ac:dyDescent="0.35"/>
    <row r="33732" hidden="1" x14ac:dyDescent="0.35"/>
    <row r="33733" hidden="1" x14ac:dyDescent="0.35"/>
    <row r="33734" hidden="1" x14ac:dyDescent="0.35"/>
    <row r="33735" hidden="1" x14ac:dyDescent="0.35"/>
    <row r="33736" hidden="1" x14ac:dyDescent="0.35"/>
    <row r="33737" hidden="1" x14ac:dyDescent="0.35"/>
    <row r="33738" hidden="1" x14ac:dyDescent="0.35"/>
    <row r="33739" hidden="1" x14ac:dyDescent="0.35"/>
    <row r="33740" hidden="1" x14ac:dyDescent="0.35"/>
    <row r="33741" hidden="1" x14ac:dyDescent="0.35"/>
    <row r="33742" hidden="1" x14ac:dyDescent="0.35"/>
    <row r="33743" hidden="1" x14ac:dyDescent="0.35"/>
    <row r="33744" hidden="1" x14ac:dyDescent="0.35"/>
    <row r="33745" hidden="1" x14ac:dyDescent="0.35"/>
    <row r="33746" hidden="1" x14ac:dyDescent="0.35"/>
    <row r="33747" hidden="1" x14ac:dyDescent="0.35"/>
    <row r="33748" hidden="1" x14ac:dyDescent="0.35"/>
    <row r="33749" hidden="1" x14ac:dyDescent="0.35"/>
    <row r="33750" hidden="1" x14ac:dyDescent="0.35"/>
    <row r="33751" hidden="1" x14ac:dyDescent="0.35"/>
    <row r="33752" hidden="1" x14ac:dyDescent="0.35"/>
    <row r="33753" hidden="1" x14ac:dyDescent="0.35"/>
    <row r="33754" hidden="1" x14ac:dyDescent="0.35"/>
    <row r="33755" hidden="1" x14ac:dyDescent="0.35"/>
    <row r="33756" hidden="1" x14ac:dyDescent="0.35"/>
    <row r="33757" hidden="1" x14ac:dyDescent="0.35"/>
    <row r="33758" hidden="1" x14ac:dyDescent="0.35"/>
    <row r="33759" hidden="1" x14ac:dyDescent="0.35"/>
    <row r="33760" hidden="1" x14ac:dyDescent="0.35"/>
    <row r="33761" hidden="1" x14ac:dyDescent="0.35"/>
    <row r="33762" hidden="1" x14ac:dyDescent="0.35"/>
    <row r="33763" hidden="1" x14ac:dyDescent="0.35"/>
    <row r="33764" hidden="1" x14ac:dyDescent="0.35"/>
    <row r="33765" hidden="1" x14ac:dyDescent="0.35"/>
    <row r="33766" hidden="1" x14ac:dyDescent="0.35"/>
    <row r="33767" hidden="1" x14ac:dyDescent="0.35"/>
    <row r="33768" hidden="1" x14ac:dyDescent="0.35"/>
    <row r="33769" hidden="1" x14ac:dyDescent="0.35"/>
    <row r="33770" hidden="1" x14ac:dyDescent="0.35"/>
    <row r="33771" hidden="1" x14ac:dyDescent="0.35"/>
    <row r="33772" hidden="1" x14ac:dyDescent="0.35"/>
    <row r="33773" hidden="1" x14ac:dyDescent="0.35"/>
    <row r="33774" hidden="1" x14ac:dyDescent="0.35"/>
    <row r="33775" hidden="1" x14ac:dyDescent="0.35"/>
    <row r="33776" hidden="1" x14ac:dyDescent="0.35"/>
    <row r="33777" hidden="1" x14ac:dyDescent="0.35"/>
    <row r="33778" hidden="1" x14ac:dyDescent="0.35"/>
    <row r="33779" hidden="1" x14ac:dyDescent="0.35"/>
    <row r="33780" hidden="1" x14ac:dyDescent="0.35"/>
    <row r="33781" hidden="1" x14ac:dyDescent="0.35"/>
    <row r="33782" hidden="1" x14ac:dyDescent="0.35"/>
    <row r="33783" hidden="1" x14ac:dyDescent="0.35"/>
    <row r="33784" hidden="1" x14ac:dyDescent="0.35"/>
    <row r="33785" hidden="1" x14ac:dyDescent="0.35"/>
    <row r="33786" hidden="1" x14ac:dyDescent="0.35"/>
    <row r="33787" hidden="1" x14ac:dyDescent="0.35"/>
    <row r="33788" hidden="1" x14ac:dyDescent="0.35"/>
    <row r="33789" hidden="1" x14ac:dyDescent="0.35"/>
    <row r="33790" hidden="1" x14ac:dyDescent="0.35"/>
    <row r="33791" hidden="1" x14ac:dyDescent="0.35"/>
    <row r="33792" hidden="1" x14ac:dyDescent="0.35"/>
    <row r="33793" hidden="1" x14ac:dyDescent="0.35"/>
    <row r="33794" hidden="1" x14ac:dyDescent="0.35"/>
    <row r="33795" hidden="1" x14ac:dyDescent="0.35"/>
    <row r="33796" hidden="1" x14ac:dyDescent="0.35"/>
    <row r="33797" hidden="1" x14ac:dyDescent="0.35"/>
    <row r="33798" hidden="1" x14ac:dyDescent="0.35"/>
    <row r="33799" hidden="1" x14ac:dyDescent="0.35"/>
    <row r="33800" hidden="1" x14ac:dyDescent="0.35"/>
    <row r="33801" hidden="1" x14ac:dyDescent="0.35"/>
    <row r="33802" hidden="1" x14ac:dyDescent="0.35"/>
    <row r="33803" hidden="1" x14ac:dyDescent="0.35"/>
    <row r="33804" hidden="1" x14ac:dyDescent="0.35"/>
    <row r="33805" hidden="1" x14ac:dyDescent="0.35"/>
    <row r="33806" hidden="1" x14ac:dyDescent="0.35"/>
    <row r="33807" hidden="1" x14ac:dyDescent="0.35"/>
    <row r="33808" hidden="1" x14ac:dyDescent="0.35"/>
    <row r="33809" hidden="1" x14ac:dyDescent="0.35"/>
    <row r="33810" hidden="1" x14ac:dyDescent="0.35"/>
    <row r="33811" hidden="1" x14ac:dyDescent="0.35"/>
    <row r="33812" hidden="1" x14ac:dyDescent="0.35"/>
    <row r="33813" hidden="1" x14ac:dyDescent="0.35"/>
    <row r="33814" hidden="1" x14ac:dyDescent="0.35"/>
    <row r="33815" hidden="1" x14ac:dyDescent="0.35"/>
    <row r="33816" hidden="1" x14ac:dyDescent="0.35"/>
    <row r="33817" hidden="1" x14ac:dyDescent="0.35"/>
    <row r="33818" hidden="1" x14ac:dyDescent="0.35"/>
    <row r="33819" hidden="1" x14ac:dyDescent="0.35"/>
    <row r="33820" hidden="1" x14ac:dyDescent="0.35"/>
    <row r="33821" hidden="1" x14ac:dyDescent="0.35"/>
    <row r="33822" hidden="1" x14ac:dyDescent="0.35"/>
    <row r="33823" hidden="1" x14ac:dyDescent="0.35"/>
    <row r="33824" hidden="1" x14ac:dyDescent="0.35"/>
    <row r="33825" hidden="1" x14ac:dyDescent="0.35"/>
    <row r="33826" hidden="1" x14ac:dyDescent="0.35"/>
    <row r="33827" hidden="1" x14ac:dyDescent="0.35"/>
    <row r="33828" hidden="1" x14ac:dyDescent="0.35"/>
    <row r="33829" hidden="1" x14ac:dyDescent="0.35"/>
    <row r="33830" hidden="1" x14ac:dyDescent="0.35"/>
    <row r="33831" hidden="1" x14ac:dyDescent="0.35"/>
    <row r="33832" hidden="1" x14ac:dyDescent="0.35"/>
    <row r="33833" hidden="1" x14ac:dyDescent="0.35"/>
    <row r="33834" hidden="1" x14ac:dyDescent="0.35"/>
    <row r="33835" hidden="1" x14ac:dyDescent="0.35"/>
    <row r="33836" hidden="1" x14ac:dyDescent="0.35"/>
    <row r="33837" hidden="1" x14ac:dyDescent="0.35"/>
    <row r="33838" hidden="1" x14ac:dyDescent="0.35"/>
    <row r="33839" hidden="1" x14ac:dyDescent="0.35"/>
    <row r="33840" hidden="1" x14ac:dyDescent="0.35"/>
    <row r="33841" hidden="1" x14ac:dyDescent="0.35"/>
    <row r="33842" hidden="1" x14ac:dyDescent="0.35"/>
    <row r="33843" hidden="1" x14ac:dyDescent="0.35"/>
    <row r="33844" hidden="1" x14ac:dyDescent="0.35"/>
    <row r="33845" hidden="1" x14ac:dyDescent="0.35"/>
    <row r="33846" hidden="1" x14ac:dyDescent="0.35"/>
    <row r="33847" hidden="1" x14ac:dyDescent="0.35"/>
    <row r="33848" hidden="1" x14ac:dyDescent="0.35"/>
    <row r="33849" hidden="1" x14ac:dyDescent="0.35"/>
    <row r="33850" hidden="1" x14ac:dyDescent="0.35"/>
    <row r="33851" hidden="1" x14ac:dyDescent="0.35"/>
    <row r="33852" hidden="1" x14ac:dyDescent="0.35"/>
    <row r="33853" hidden="1" x14ac:dyDescent="0.35"/>
    <row r="33854" hidden="1" x14ac:dyDescent="0.35"/>
    <row r="33855" hidden="1" x14ac:dyDescent="0.35"/>
    <row r="33856" hidden="1" x14ac:dyDescent="0.35"/>
    <row r="33857" hidden="1" x14ac:dyDescent="0.35"/>
    <row r="33858" hidden="1" x14ac:dyDescent="0.35"/>
    <row r="33859" hidden="1" x14ac:dyDescent="0.35"/>
    <row r="33860" hidden="1" x14ac:dyDescent="0.35"/>
    <row r="33861" hidden="1" x14ac:dyDescent="0.35"/>
    <row r="33862" hidden="1" x14ac:dyDescent="0.35"/>
    <row r="33863" hidden="1" x14ac:dyDescent="0.35"/>
    <row r="33864" hidden="1" x14ac:dyDescent="0.35"/>
    <row r="33865" hidden="1" x14ac:dyDescent="0.35"/>
    <row r="33866" hidden="1" x14ac:dyDescent="0.35"/>
    <row r="33867" hidden="1" x14ac:dyDescent="0.35"/>
    <row r="33868" hidden="1" x14ac:dyDescent="0.35"/>
    <row r="33869" hidden="1" x14ac:dyDescent="0.35"/>
    <row r="33870" hidden="1" x14ac:dyDescent="0.35"/>
    <row r="33871" hidden="1" x14ac:dyDescent="0.35"/>
    <row r="33872" hidden="1" x14ac:dyDescent="0.35"/>
    <row r="33873" hidden="1" x14ac:dyDescent="0.35"/>
    <row r="33874" hidden="1" x14ac:dyDescent="0.35"/>
    <row r="33875" hidden="1" x14ac:dyDescent="0.35"/>
    <row r="33876" hidden="1" x14ac:dyDescent="0.35"/>
    <row r="33877" hidden="1" x14ac:dyDescent="0.35"/>
    <row r="33878" hidden="1" x14ac:dyDescent="0.35"/>
    <row r="33879" hidden="1" x14ac:dyDescent="0.35"/>
    <row r="33880" hidden="1" x14ac:dyDescent="0.35"/>
    <row r="33881" hidden="1" x14ac:dyDescent="0.35"/>
    <row r="33882" hidden="1" x14ac:dyDescent="0.35"/>
    <row r="33883" hidden="1" x14ac:dyDescent="0.35"/>
    <row r="33884" hidden="1" x14ac:dyDescent="0.35"/>
    <row r="33885" hidden="1" x14ac:dyDescent="0.35"/>
    <row r="33886" hidden="1" x14ac:dyDescent="0.35"/>
    <row r="33887" hidden="1" x14ac:dyDescent="0.35"/>
    <row r="33888" hidden="1" x14ac:dyDescent="0.35"/>
    <row r="33889" hidden="1" x14ac:dyDescent="0.35"/>
    <row r="33890" hidden="1" x14ac:dyDescent="0.35"/>
    <row r="33891" hidden="1" x14ac:dyDescent="0.35"/>
    <row r="33892" hidden="1" x14ac:dyDescent="0.35"/>
    <row r="33893" hidden="1" x14ac:dyDescent="0.35"/>
    <row r="33894" hidden="1" x14ac:dyDescent="0.35"/>
    <row r="33895" hidden="1" x14ac:dyDescent="0.35"/>
    <row r="33896" hidden="1" x14ac:dyDescent="0.35"/>
    <row r="33897" hidden="1" x14ac:dyDescent="0.35"/>
    <row r="33898" hidden="1" x14ac:dyDescent="0.35"/>
    <row r="33899" hidden="1" x14ac:dyDescent="0.35"/>
    <row r="33900" hidden="1" x14ac:dyDescent="0.35"/>
    <row r="33901" hidden="1" x14ac:dyDescent="0.35"/>
    <row r="33902" hidden="1" x14ac:dyDescent="0.35"/>
    <row r="33903" hidden="1" x14ac:dyDescent="0.35"/>
    <row r="33904" hidden="1" x14ac:dyDescent="0.35"/>
    <row r="33905" hidden="1" x14ac:dyDescent="0.35"/>
    <row r="33906" hidden="1" x14ac:dyDescent="0.35"/>
    <row r="33907" hidden="1" x14ac:dyDescent="0.35"/>
    <row r="33908" hidden="1" x14ac:dyDescent="0.35"/>
    <row r="33909" hidden="1" x14ac:dyDescent="0.35"/>
    <row r="33910" hidden="1" x14ac:dyDescent="0.35"/>
    <row r="33911" hidden="1" x14ac:dyDescent="0.35"/>
    <row r="33912" hidden="1" x14ac:dyDescent="0.35"/>
    <row r="33913" hidden="1" x14ac:dyDescent="0.35"/>
    <row r="33914" hidden="1" x14ac:dyDescent="0.35"/>
    <row r="33915" hidden="1" x14ac:dyDescent="0.35"/>
    <row r="33916" hidden="1" x14ac:dyDescent="0.35"/>
    <row r="33917" hidden="1" x14ac:dyDescent="0.35"/>
    <row r="33918" hidden="1" x14ac:dyDescent="0.35"/>
    <row r="33919" hidden="1" x14ac:dyDescent="0.35"/>
    <row r="33920" hidden="1" x14ac:dyDescent="0.35"/>
    <row r="33921" hidden="1" x14ac:dyDescent="0.35"/>
    <row r="33922" hidden="1" x14ac:dyDescent="0.35"/>
    <row r="33923" hidden="1" x14ac:dyDescent="0.35"/>
    <row r="33924" hidden="1" x14ac:dyDescent="0.35"/>
    <row r="33925" hidden="1" x14ac:dyDescent="0.35"/>
    <row r="33926" hidden="1" x14ac:dyDescent="0.35"/>
    <row r="33927" hidden="1" x14ac:dyDescent="0.35"/>
    <row r="33928" hidden="1" x14ac:dyDescent="0.35"/>
    <row r="33929" hidden="1" x14ac:dyDescent="0.35"/>
    <row r="33930" hidden="1" x14ac:dyDescent="0.35"/>
    <row r="33931" hidden="1" x14ac:dyDescent="0.35"/>
    <row r="33932" hidden="1" x14ac:dyDescent="0.35"/>
    <row r="33933" hidden="1" x14ac:dyDescent="0.35"/>
    <row r="33934" hidden="1" x14ac:dyDescent="0.35"/>
    <row r="33935" hidden="1" x14ac:dyDescent="0.35"/>
    <row r="33936" hidden="1" x14ac:dyDescent="0.35"/>
    <row r="33937" hidden="1" x14ac:dyDescent="0.35"/>
    <row r="33938" hidden="1" x14ac:dyDescent="0.35"/>
    <row r="33939" hidden="1" x14ac:dyDescent="0.35"/>
    <row r="33940" hidden="1" x14ac:dyDescent="0.35"/>
    <row r="33941" hidden="1" x14ac:dyDescent="0.35"/>
    <row r="33942" hidden="1" x14ac:dyDescent="0.35"/>
    <row r="33943" hidden="1" x14ac:dyDescent="0.35"/>
    <row r="33944" hidden="1" x14ac:dyDescent="0.35"/>
    <row r="33945" hidden="1" x14ac:dyDescent="0.35"/>
    <row r="33946" hidden="1" x14ac:dyDescent="0.35"/>
    <row r="33947" hidden="1" x14ac:dyDescent="0.35"/>
    <row r="33948" hidden="1" x14ac:dyDescent="0.35"/>
    <row r="33949" hidden="1" x14ac:dyDescent="0.35"/>
    <row r="33950" hidden="1" x14ac:dyDescent="0.35"/>
    <row r="33951" hidden="1" x14ac:dyDescent="0.35"/>
    <row r="33952" hidden="1" x14ac:dyDescent="0.35"/>
    <row r="33953" hidden="1" x14ac:dyDescent="0.35"/>
    <row r="33954" hidden="1" x14ac:dyDescent="0.35"/>
    <row r="33955" hidden="1" x14ac:dyDescent="0.35"/>
    <row r="33956" hidden="1" x14ac:dyDescent="0.35"/>
    <row r="33957" hidden="1" x14ac:dyDescent="0.35"/>
    <row r="33958" hidden="1" x14ac:dyDescent="0.35"/>
    <row r="33959" hidden="1" x14ac:dyDescent="0.35"/>
    <row r="33960" hidden="1" x14ac:dyDescent="0.35"/>
    <row r="33961" hidden="1" x14ac:dyDescent="0.35"/>
    <row r="33962" hidden="1" x14ac:dyDescent="0.35"/>
    <row r="33963" hidden="1" x14ac:dyDescent="0.35"/>
    <row r="33964" hidden="1" x14ac:dyDescent="0.35"/>
    <row r="33965" hidden="1" x14ac:dyDescent="0.35"/>
    <row r="33966" hidden="1" x14ac:dyDescent="0.35"/>
    <row r="33967" hidden="1" x14ac:dyDescent="0.35"/>
    <row r="33968" hidden="1" x14ac:dyDescent="0.35"/>
    <row r="33969" hidden="1" x14ac:dyDescent="0.35"/>
    <row r="33970" hidden="1" x14ac:dyDescent="0.35"/>
    <row r="33971" hidden="1" x14ac:dyDescent="0.35"/>
    <row r="33972" hidden="1" x14ac:dyDescent="0.35"/>
    <row r="33973" hidden="1" x14ac:dyDescent="0.35"/>
    <row r="33974" hidden="1" x14ac:dyDescent="0.35"/>
    <row r="33975" hidden="1" x14ac:dyDescent="0.35"/>
    <row r="33976" hidden="1" x14ac:dyDescent="0.35"/>
    <row r="33977" hidden="1" x14ac:dyDescent="0.35"/>
    <row r="33978" hidden="1" x14ac:dyDescent="0.35"/>
    <row r="33979" hidden="1" x14ac:dyDescent="0.35"/>
    <row r="33980" hidden="1" x14ac:dyDescent="0.35"/>
    <row r="33981" hidden="1" x14ac:dyDescent="0.35"/>
    <row r="33982" hidden="1" x14ac:dyDescent="0.35"/>
    <row r="33983" hidden="1" x14ac:dyDescent="0.35"/>
    <row r="33984" hidden="1" x14ac:dyDescent="0.35"/>
    <row r="33985" hidden="1" x14ac:dyDescent="0.35"/>
    <row r="33986" hidden="1" x14ac:dyDescent="0.35"/>
    <row r="33987" hidden="1" x14ac:dyDescent="0.35"/>
    <row r="33988" hidden="1" x14ac:dyDescent="0.35"/>
    <row r="33989" hidden="1" x14ac:dyDescent="0.35"/>
    <row r="33990" hidden="1" x14ac:dyDescent="0.35"/>
    <row r="33991" hidden="1" x14ac:dyDescent="0.35"/>
    <row r="33992" hidden="1" x14ac:dyDescent="0.35"/>
    <row r="33993" hidden="1" x14ac:dyDescent="0.35"/>
    <row r="33994" hidden="1" x14ac:dyDescent="0.35"/>
    <row r="33995" hidden="1" x14ac:dyDescent="0.35"/>
    <row r="33996" hidden="1" x14ac:dyDescent="0.35"/>
    <row r="33997" hidden="1" x14ac:dyDescent="0.35"/>
    <row r="33998" hidden="1" x14ac:dyDescent="0.35"/>
    <row r="33999" hidden="1" x14ac:dyDescent="0.35"/>
    <row r="34000" hidden="1" x14ac:dyDescent="0.35"/>
    <row r="34001" hidden="1" x14ac:dyDescent="0.35"/>
    <row r="34002" hidden="1" x14ac:dyDescent="0.35"/>
    <row r="34003" hidden="1" x14ac:dyDescent="0.35"/>
    <row r="34004" hidden="1" x14ac:dyDescent="0.35"/>
    <row r="34005" hidden="1" x14ac:dyDescent="0.35"/>
    <row r="34006" hidden="1" x14ac:dyDescent="0.35"/>
    <row r="34007" hidden="1" x14ac:dyDescent="0.35"/>
    <row r="34008" hidden="1" x14ac:dyDescent="0.35"/>
    <row r="34009" hidden="1" x14ac:dyDescent="0.35"/>
    <row r="34010" hidden="1" x14ac:dyDescent="0.35"/>
    <row r="34011" hidden="1" x14ac:dyDescent="0.35"/>
    <row r="34012" hidden="1" x14ac:dyDescent="0.35"/>
    <row r="34013" hidden="1" x14ac:dyDescent="0.35"/>
    <row r="34014" hidden="1" x14ac:dyDescent="0.35"/>
    <row r="34015" hidden="1" x14ac:dyDescent="0.35"/>
    <row r="34016" hidden="1" x14ac:dyDescent="0.35"/>
    <row r="34017" hidden="1" x14ac:dyDescent="0.35"/>
    <row r="34018" hidden="1" x14ac:dyDescent="0.35"/>
    <row r="34019" hidden="1" x14ac:dyDescent="0.35"/>
    <row r="34020" hidden="1" x14ac:dyDescent="0.35"/>
    <row r="34021" hidden="1" x14ac:dyDescent="0.35"/>
    <row r="34022" hidden="1" x14ac:dyDescent="0.35"/>
    <row r="34023" hidden="1" x14ac:dyDescent="0.35"/>
    <row r="34024" hidden="1" x14ac:dyDescent="0.35"/>
    <row r="34025" hidden="1" x14ac:dyDescent="0.35"/>
    <row r="34026" hidden="1" x14ac:dyDescent="0.35"/>
    <row r="34027" hidden="1" x14ac:dyDescent="0.35"/>
    <row r="34028" hidden="1" x14ac:dyDescent="0.35"/>
    <row r="34029" hidden="1" x14ac:dyDescent="0.35"/>
    <row r="34030" hidden="1" x14ac:dyDescent="0.35"/>
    <row r="34031" hidden="1" x14ac:dyDescent="0.35"/>
    <row r="34032" hidden="1" x14ac:dyDescent="0.35"/>
    <row r="34033" hidden="1" x14ac:dyDescent="0.35"/>
    <row r="34034" hidden="1" x14ac:dyDescent="0.35"/>
    <row r="34035" hidden="1" x14ac:dyDescent="0.35"/>
    <row r="34036" hidden="1" x14ac:dyDescent="0.35"/>
    <row r="34037" hidden="1" x14ac:dyDescent="0.35"/>
    <row r="34038" hidden="1" x14ac:dyDescent="0.35"/>
    <row r="34039" hidden="1" x14ac:dyDescent="0.35"/>
    <row r="34040" hidden="1" x14ac:dyDescent="0.35"/>
    <row r="34041" hidden="1" x14ac:dyDescent="0.35"/>
    <row r="34042" hidden="1" x14ac:dyDescent="0.35"/>
    <row r="34043" hidden="1" x14ac:dyDescent="0.35"/>
    <row r="34044" hidden="1" x14ac:dyDescent="0.35"/>
    <row r="34045" hidden="1" x14ac:dyDescent="0.35"/>
    <row r="34046" hidden="1" x14ac:dyDescent="0.35"/>
    <row r="34047" hidden="1" x14ac:dyDescent="0.35"/>
    <row r="34048" hidden="1" x14ac:dyDescent="0.35"/>
    <row r="34049" hidden="1" x14ac:dyDescent="0.35"/>
    <row r="34050" hidden="1" x14ac:dyDescent="0.35"/>
    <row r="34051" hidden="1" x14ac:dyDescent="0.35"/>
    <row r="34052" hidden="1" x14ac:dyDescent="0.35"/>
    <row r="34053" hidden="1" x14ac:dyDescent="0.35"/>
    <row r="34054" hidden="1" x14ac:dyDescent="0.35"/>
    <row r="34055" hidden="1" x14ac:dyDescent="0.35"/>
    <row r="34056" hidden="1" x14ac:dyDescent="0.35"/>
    <row r="34057" hidden="1" x14ac:dyDescent="0.35"/>
    <row r="34058" hidden="1" x14ac:dyDescent="0.35"/>
    <row r="34059" hidden="1" x14ac:dyDescent="0.35"/>
    <row r="34060" hidden="1" x14ac:dyDescent="0.35"/>
    <row r="34061" hidden="1" x14ac:dyDescent="0.35"/>
    <row r="34062" hidden="1" x14ac:dyDescent="0.35"/>
    <row r="34063" hidden="1" x14ac:dyDescent="0.35"/>
    <row r="34064" hidden="1" x14ac:dyDescent="0.35"/>
    <row r="34065" hidden="1" x14ac:dyDescent="0.35"/>
    <row r="34066" hidden="1" x14ac:dyDescent="0.35"/>
    <row r="34067" hidden="1" x14ac:dyDescent="0.35"/>
    <row r="34068" hidden="1" x14ac:dyDescent="0.35"/>
    <row r="34069" hidden="1" x14ac:dyDescent="0.35"/>
    <row r="34070" hidden="1" x14ac:dyDescent="0.35"/>
    <row r="34071" hidden="1" x14ac:dyDescent="0.35"/>
    <row r="34072" hidden="1" x14ac:dyDescent="0.35"/>
    <row r="34073" hidden="1" x14ac:dyDescent="0.35"/>
    <row r="34074" hidden="1" x14ac:dyDescent="0.35"/>
    <row r="34075" hidden="1" x14ac:dyDescent="0.35"/>
    <row r="34076" hidden="1" x14ac:dyDescent="0.35"/>
    <row r="34077" hidden="1" x14ac:dyDescent="0.35"/>
    <row r="34078" hidden="1" x14ac:dyDescent="0.35"/>
    <row r="34079" hidden="1" x14ac:dyDescent="0.35"/>
    <row r="34080" hidden="1" x14ac:dyDescent="0.35"/>
    <row r="34081" hidden="1" x14ac:dyDescent="0.35"/>
    <row r="34082" hidden="1" x14ac:dyDescent="0.35"/>
    <row r="34083" hidden="1" x14ac:dyDescent="0.35"/>
    <row r="34084" hidden="1" x14ac:dyDescent="0.35"/>
    <row r="34085" hidden="1" x14ac:dyDescent="0.35"/>
    <row r="34086" hidden="1" x14ac:dyDescent="0.35"/>
    <row r="34087" hidden="1" x14ac:dyDescent="0.35"/>
    <row r="34088" hidden="1" x14ac:dyDescent="0.35"/>
    <row r="34089" hidden="1" x14ac:dyDescent="0.35"/>
    <row r="34090" hidden="1" x14ac:dyDescent="0.35"/>
    <row r="34091" hidden="1" x14ac:dyDescent="0.35"/>
    <row r="34092" hidden="1" x14ac:dyDescent="0.35"/>
    <row r="34093" hidden="1" x14ac:dyDescent="0.35"/>
    <row r="34094" hidden="1" x14ac:dyDescent="0.35"/>
    <row r="34095" hidden="1" x14ac:dyDescent="0.35"/>
    <row r="34096" hidden="1" x14ac:dyDescent="0.35"/>
    <row r="34097" hidden="1" x14ac:dyDescent="0.35"/>
    <row r="34098" hidden="1" x14ac:dyDescent="0.35"/>
    <row r="34099" hidden="1" x14ac:dyDescent="0.35"/>
    <row r="34100" hidden="1" x14ac:dyDescent="0.35"/>
    <row r="34101" hidden="1" x14ac:dyDescent="0.35"/>
    <row r="34102" hidden="1" x14ac:dyDescent="0.35"/>
    <row r="34103" hidden="1" x14ac:dyDescent="0.35"/>
    <row r="34104" hidden="1" x14ac:dyDescent="0.35"/>
    <row r="34105" hidden="1" x14ac:dyDescent="0.35"/>
    <row r="34106" hidden="1" x14ac:dyDescent="0.35"/>
    <row r="34107" hidden="1" x14ac:dyDescent="0.35"/>
    <row r="34108" hidden="1" x14ac:dyDescent="0.35"/>
    <row r="34109" hidden="1" x14ac:dyDescent="0.35"/>
    <row r="34110" hidden="1" x14ac:dyDescent="0.35"/>
    <row r="34111" hidden="1" x14ac:dyDescent="0.35"/>
    <row r="34112" hidden="1" x14ac:dyDescent="0.35"/>
    <row r="34113" hidden="1" x14ac:dyDescent="0.35"/>
    <row r="34114" hidden="1" x14ac:dyDescent="0.35"/>
    <row r="34115" hidden="1" x14ac:dyDescent="0.35"/>
    <row r="34116" hidden="1" x14ac:dyDescent="0.35"/>
    <row r="34117" hidden="1" x14ac:dyDescent="0.35"/>
    <row r="34118" hidden="1" x14ac:dyDescent="0.35"/>
    <row r="34119" hidden="1" x14ac:dyDescent="0.35"/>
    <row r="34120" hidden="1" x14ac:dyDescent="0.35"/>
    <row r="34121" hidden="1" x14ac:dyDescent="0.35"/>
    <row r="34122" hidden="1" x14ac:dyDescent="0.35"/>
    <row r="34123" hidden="1" x14ac:dyDescent="0.35"/>
    <row r="34124" hidden="1" x14ac:dyDescent="0.35"/>
    <row r="34125" hidden="1" x14ac:dyDescent="0.35"/>
    <row r="34126" hidden="1" x14ac:dyDescent="0.35"/>
    <row r="34127" hidden="1" x14ac:dyDescent="0.35"/>
    <row r="34128" hidden="1" x14ac:dyDescent="0.35"/>
    <row r="34129" hidden="1" x14ac:dyDescent="0.35"/>
    <row r="34130" hidden="1" x14ac:dyDescent="0.35"/>
    <row r="34131" hidden="1" x14ac:dyDescent="0.35"/>
    <row r="34132" hidden="1" x14ac:dyDescent="0.35"/>
    <row r="34133" hidden="1" x14ac:dyDescent="0.35"/>
    <row r="34134" hidden="1" x14ac:dyDescent="0.35"/>
    <row r="34135" hidden="1" x14ac:dyDescent="0.35"/>
    <row r="34136" hidden="1" x14ac:dyDescent="0.35"/>
    <row r="34137" hidden="1" x14ac:dyDescent="0.35"/>
    <row r="34138" hidden="1" x14ac:dyDescent="0.35"/>
    <row r="34139" hidden="1" x14ac:dyDescent="0.35"/>
    <row r="34140" hidden="1" x14ac:dyDescent="0.35"/>
    <row r="34141" hidden="1" x14ac:dyDescent="0.35"/>
    <row r="34142" hidden="1" x14ac:dyDescent="0.35"/>
    <row r="34143" hidden="1" x14ac:dyDescent="0.35"/>
    <row r="34144" hidden="1" x14ac:dyDescent="0.35"/>
    <row r="34145" hidden="1" x14ac:dyDescent="0.35"/>
    <row r="34146" hidden="1" x14ac:dyDescent="0.35"/>
    <row r="34147" hidden="1" x14ac:dyDescent="0.35"/>
    <row r="34148" hidden="1" x14ac:dyDescent="0.35"/>
    <row r="34149" hidden="1" x14ac:dyDescent="0.35"/>
    <row r="34150" hidden="1" x14ac:dyDescent="0.35"/>
    <row r="34151" hidden="1" x14ac:dyDescent="0.35"/>
    <row r="34152" hidden="1" x14ac:dyDescent="0.35"/>
    <row r="34153" hidden="1" x14ac:dyDescent="0.35"/>
    <row r="34154" hidden="1" x14ac:dyDescent="0.35"/>
    <row r="34155" hidden="1" x14ac:dyDescent="0.35"/>
    <row r="34156" hidden="1" x14ac:dyDescent="0.35"/>
    <row r="34157" hidden="1" x14ac:dyDescent="0.35"/>
    <row r="34158" hidden="1" x14ac:dyDescent="0.35"/>
    <row r="34159" hidden="1" x14ac:dyDescent="0.35"/>
    <row r="34160" hidden="1" x14ac:dyDescent="0.35"/>
    <row r="34161" hidden="1" x14ac:dyDescent="0.35"/>
    <row r="34162" hidden="1" x14ac:dyDescent="0.35"/>
    <row r="34163" hidden="1" x14ac:dyDescent="0.35"/>
    <row r="34164" hidden="1" x14ac:dyDescent="0.35"/>
    <row r="34165" hidden="1" x14ac:dyDescent="0.35"/>
    <row r="34166" hidden="1" x14ac:dyDescent="0.35"/>
    <row r="34167" hidden="1" x14ac:dyDescent="0.35"/>
    <row r="34168" hidden="1" x14ac:dyDescent="0.35"/>
    <row r="34169" hidden="1" x14ac:dyDescent="0.35"/>
    <row r="34170" hidden="1" x14ac:dyDescent="0.35"/>
    <row r="34171" hidden="1" x14ac:dyDescent="0.35"/>
    <row r="34172" hidden="1" x14ac:dyDescent="0.35"/>
    <row r="34173" hidden="1" x14ac:dyDescent="0.35"/>
    <row r="34174" hidden="1" x14ac:dyDescent="0.35"/>
    <row r="34175" hidden="1" x14ac:dyDescent="0.35"/>
    <row r="34176" hidden="1" x14ac:dyDescent="0.35"/>
    <row r="34177" hidden="1" x14ac:dyDescent="0.35"/>
    <row r="34178" hidden="1" x14ac:dyDescent="0.35"/>
    <row r="34179" hidden="1" x14ac:dyDescent="0.35"/>
    <row r="34180" hidden="1" x14ac:dyDescent="0.35"/>
    <row r="34181" hidden="1" x14ac:dyDescent="0.35"/>
    <row r="34182" hidden="1" x14ac:dyDescent="0.35"/>
    <row r="34183" hidden="1" x14ac:dyDescent="0.35"/>
    <row r="34184" hidden="1" x14ac:dyDescent="0.35"/>
    <row r="34185" hidden="1" x14ac:dyDescent="0.35"/>
    <row r="34186" hidden="1" x14ac:dyDescent="0.35"/>
    <row r="34187" hidden="1" x14ac:dyDescent="0.35"/>
    <row r="34188" hidden="1" x14ac:dyDescent="0.35"/>
    <row r="34189" hidden="1" x14ac:dyDescent="0.35"/>
    <row r="34190" hidden="1" x14ac:dyDescent="0.35"/>
    <row r="34191" hidden="1" x14ac:dyDescent="0.35"/>
    <row r="34192" hidden="1" x14ac:dyDescent="0.35"/>
    <row r="34193" hidden="1" x14ac:dyDescent="0.35"/>
    <row r="34194" hidden="1" x14ac:dyDescent="0.35"/>
    <row r="34195" hidden="1" x14ac:dyDescent="0.35"/>
    <row r="34196" hidden="1" x14ac:dyDescent="0.35"/>
    <row r="34197" hidden="1" x14ac:dyDescent="0.35"/>
    <row r="34198" hidden="1" x14ac:dyDescent="0.35"/>
    <row r="34199" hidden="1" x14ac:dyDescent="0.35"/>
    <row r="34200" hidden="1" x14ac:dyDescent="0.35"/>
    <row r="34201" hidden="1" x14ac:dyDescent="0.35"/>
    <row r="34202" hidden="1" x14ac:dyDescent="0.35"/>
    <row r="34203" hidden="1" x14ac:dyDescent="0.35"/>
    <row r="34204" hidden="1" x14ac:dyDescent="0.35"/>
    <row r="34205" hidden="1" x14ac:dyDescent="0.35"/>
    <row r="34206" hidden="1" x14ac:dyDescent="0.35"/>
    <row r="34207" hidden="1" x14ac:dyDescent="0.35"/>
    <row r="34208" hidden="1" x14ac:dyDescent="0.35"/>
    <row r="34209" hidden="1" x14ac:dyDescent="0.35"/>
    <row r="34210" hidden="1" x14ac:dyDescent="0.35"/>
    <row r="34211" hidden="1" x14ac:dyDescent="0.35"/>
    <row r="34212" hidden="1" x14ac:dyDescent="0.35"/>
    <row r="34213" hidden="1" x14ac:dyDescent="0.35"/>
    <row r="34214" hidden="1" x14ac:dyDescent="0.35"/>
    <row r="34215" hidden="1" x14ac:dyDescent="0.35"/>
    <row r="34216" hidden="1" x14ac:dyDescent="0.35"/>
    <row r="34217" hidden="1" x14ac:dyDescent="0.35"/>
    <row r="34218" hidden="1" x14ac:dyDescent="0.35"/>
    <row r="34219" hidden="1" x14ac:dyDescent="0.35"/>
    <row r="34220" hidden="1" x14ac:dyDescent="0.35"/>
    <row r="34221" hidden="1" x14ac:dyDescent="0.35"/>
    <row r="34222" hidden="1" x14ac:dyDescent="0.35"/>
    <row r="34223" hidden="1" x14ac:dyDescent="0.35"/>
    <row r="34224" hidden="1" x14ac:dyDescent="0.35"/>
    <row r="34225" hidden="1" x14ac:dyDescent="0.35"/>
    <row r="34226" hidden="1" x14ac:dyDescent="0.35"/>
    <row r="34227" hidden="1" x14ac:dyDescent="0.35"/>
    <row r="34228" hidden="1" x14ac:dyDescent="0.35"/>
    <row r="34229" hidden="1" x14ac:dyDescent="0.35"/>
    <row r="34230" hidden="1" x14ac:dyDescent="0.35"/>
    <row r="34231" hidden="1" x14ac:dyDescent="0.35"/>
    <row r="34232" hidden="1" x14ac:dyDescent="0.35"/>
    <row r="34233" hidden="1" x14ac:dyDescent="0.35"/>
    <row r="34234" hidden="1" x14ac:dyDescent="0.35"/>
    <row r="34235" hidden="1" x14ac:dyDescent="0.35"/>
    <row r="34236" hidden="1" x14ac:dyDescent="0.35"/>
    <row r="34237" hidden="1" x14ac:dyDescent="0.35"/>
    <row r="34238" hidden="1" x14ac:dyDescent="0.35"/>
    <row r="34239" hidden="1" x14ac:dyDescent="0.35"/>
    <row r="34240" hidden="1" x14ac:dyDescent="0.35"/>
    <row r="34241" hidden="1" x14ac:dyDescent="0.35"/>
    <row r="34242" hidden="1" x14ac:dyDescent="0.35"/>
    <row r="34243" hidden="1" x14ac:dyDescent="0.35"/>
    <row r="34244" hidden="1" x14ac:dyDescent="0.35"/>
    <row r="34245" hidden="1" x14ac:dyDescent="0.35"/>
    <row r="34246" hidden="1" x14ac:dyDescent="0.35"/>
    <row r="34247" hidden="1" x14ac:dyDescent="0.35"/>
    <row r="34248" hidden="1" x14ac:dyDescent="0.35"/>
    <row r="34249" hidden="1" x14ac:dyDescent="0.35"/>
    <row r="34250" hidden="1" x14ac:dyDescent="0.35"/>
    <row r="34251" hidden="1" x14ac:dyDescent="0.35"/>
    <row r="34252" hidden="1" x14ac:dyDescent="0.35"/>
    <row r="34253" hidden="1" x14ac:dyDescent="0.35"/>
    <row r="34254" hidden="1" x14ac:dyDescent="0.35"/>
    <row r="34255" hidden="1" x14ac:dyDescent="0.35"/>
    <row r="34256" hidden="1" x14ac:dyDescent="0.35"/>
    <row r="34257" hidden="1" x14ac:dyDescent="0.35"/>
    <row r="34258" hidden="1" x14ac:dyDescent="0.35"/>
    <row r="34259" hidden="1" x14ac:dyDescent="0.35"/>
    <row r="34260" hidden="1" x14ac:dyDescent="0.35"/>
    <row r="34261" hidden="1" x14ac:dyDescent="0.35"/>
    <row r="34262" hidden="1" x14ac:dyDescent="0.35"/>
    <row r="34263" hidden="1" x14ac:dyDescent="0.35"/>
    <row r="34264" hidden="1" x14ac:dyDescent="0.35"/>
    <row r="34265" hidden="1" x14ac:dyDescent="0.35"/>
    <row r="34266" hidden="1" x14ac:dyDescent="0.35"/>
    <row r="34267" hidden="1" x14ac:dyDescent="0.35"/>
    <row r="34268" hidden="1" x14ac:dyDescent="0.35"/>
    <row r="34269" hidden="1" x14ac:dyDescent="0.35"/>
    <row r="34270" hidden="1" x14ac:dyDescent="0.35"/>
    <row r="34271" hidden="1" x14ac:dyDescent="0.35"/>
    <row r="34272" hidden="1" x14ac:dyDescent="0.35"/>
    <row r="34273" hidden="1" x14ac:dyDescent="0.35"/>
    <row r="34274" hidden="1" x14ac:dyDescent="0.35"/>
    <row r="34275" hidden="1" x14ac:dyDescent="0.35"/>
    <row r="34276" hidden="1" x14ac:dyDescent="0.35"/>
    <row r="34277" hidden="1" x14ac:dyDescent="0.35"/>
    <row r="34278" hidden="1" x14ac:dyDescent="0.35"/>
    <row r="34279" hidden="1" x14ac:dyDescent="0.35"/>
    <row r="34280" hidden="1" x14ac:dyDescent="0.35"/>
    <row r="34281" hidden="1" x14ac:dyDescent="0.35"/>
    <row r="34282" hidden="1" x14ac:dyDescent="0.35"/>
    <row r="34283" hidden="1" x14ac:dyDescent="0.35"/>
    <row r="34284" hidden="1" x14ac:dyDescent="0.35"/>
    <row r="34285" hidden="1" x14ac:dyDescent="0.35"/>
    <row r="34286" hidden="1" x14ac:dyDescent="0.35"/>
    <row r="34287" hidden="1" x14ac:dyDescent="0.35"/>
    <row r="34288" hidden="1" x14ac:dyDescent="0.35"/>
    <row r="34289" hidden="1" x14ac:dyDescent="0.35"/>
    <row r="34290" hidden="1" x14ac:dyDescent="0.35"/>
    <row r="34291" hidden="1" x14ac:dyDescent="0.35"/>
    <row r="34292" hidden="1" x14ac:dyDescent="0.35"/>
    <row r="34293" hidden="1" x14ac:dyDescent="0.35"/>
    <row r="34294" hidden="1" x14ac:dyDescent="0.35"/>
    <row r="34295" hidden="1" x14ac:dyDescent="0.35"/>
    <row r="34296" hidden="1" x14ac:dyDescent="0.35"/>
    <row r="34297" hidden="1" x14ac:dyDescent="0.35"/>
    <row r="34298" hidden="1" x14ac:dyDescent="0.35"/>
    <row r="34299" hidden="1" x14ac:dyDescent="0.35"/>
    <row r="34300" hidden="1" x14ac:dyDescent="0.35"/>
    <row r="34301" hidden="1" x14ac:dyDescent="0.35"/>
    <row r="34302" hidden="1" x14ac:dyDescent="0.35"/>
    <row r="34303" hidden="1" x14ac:dyDescent="0.35"/>
    <row r="34304" hidden="1" x14ac:dyDescent="0.35"/>
    <row r="34305" hidden="1" x14ac:dyDescent="0.35"/>
    <row r="34306" hidden="1" x14ac:dyDescent="0.35"/>
    <row r="34307" hidden="1" x14ac:dyDescent="0.35"/>
    <row r="34308" hidden="1" x14ac:dyDescent="0.35"/>
    <row r="34309" hidden="1" x14ac:dyDescent="0.35"/>
    <row r="34310" hidden="1" x14ac:dyDescent="0.35"/>
    <row r="34311" hidden="1" x14ac:dyDescent="0.35"/>
    <row r="34312" hidden="1" x14ac:dyDescent="0.35"/>
    <row r="34313" hidden="1" x14ac:dyDescent="0.35"/>
    <row r="34314" hidden="1" x14ac:dyDescent="0.35"/>
    <row r="34315" hidden="1" x14ac:dyDescent="0.35"/>
    <row r="34316" hidden="1" x14ac:dyDescent="0.35"/>
    <row r="34317" hidden="1" x14ac:dyDescent="0.35"/>
    <row r="34318" hidden="1" x14ac:dyDescent="0.35"/>
    <row r="34319" hidden="1" x14ac:dyDescent="0.35"/>
    <row r="34320" hidden="1" x14ac:dyDescent="0.35"/>
    <row r="34321" hidden="1" x14ac:dyDescent="0.35"/>
    <row r="34322" hidden="1" x14ac:dyDescent="0.35"/>
    <row r="34323" hidden="1" x14ac:dyDescent="0.35"/>
    <row r="34324" hidden="1" x14ac:dyDescent="0.35"/>
    <row r="34325" hidden="1" x14ac:dyDescent="0.35"/>
    <row r="34326" hidden="1" x14ac:dyDescent="0.35"/>
    <row r="34327" hidden="1" x14ac:dyDescent="0.35"/>
    <row r="34328" hidden="1" x14ac:dyDescent="0.35"/>
    <row r="34329" hidden="1" x14ac:dyDescent="0.35"/>
    <row r="34330" hidden="1" x14ac:dyDescent="0.35"/>
    <row r="34331" hidden="1" x14ac:dyDescent="0.35"/>
    <row r="34332" hidden="1" x14ac:dyDescent="0.35"/>
    <row r="34333" hidden="1" x14ac:dyDescent="0.35"/>
    <row r="34334" hidden="1" x14ac:dyDescent="0.35"/>
    <row r="34335" hidden="1" x14ac:dyDescent="0.35"/>
    <row r="34336" hidden="1" x14ac:dyDescent="0.35"/>
    <row r="34337" hidden="1" x14ac:dyDescent="0.35"/>
    <row r="34338" hidden="1" x14ac:dyDescent="0.35"/>
    <row r="34339" hidden="1" x14ac:dyDescent="0.35"/>
    <row r="34340" hidden="1" x14ac:dyDescent="0.35"/>
    <row r="34341" hidden="1" x14ac:dyDescent="0.35"/>
    <row r="34342" hidden="1" x14ac:dyDescent="0.35"/>
    <row r="34343" hidden="1" x14ac:dyDescent="0.35"/>
    <row r="34344" hidden="1" x14ac:dyDescent="0.35"/>
    <row r="34345" hidden="1" x14ac:dyDescent="0.35"/>
    <row r="34346" hidden="1" x14ac:dyDescent="0.35"/>
    <row r="34347" hidden="1" x14ac:dyDescent="0.35"/>
    <row r="34348" hidden="1" x14ac:dyDescent="0.35"/>
    <row r="34349" hidden="1" x14ac:dyDescent="0.35"/>
    <row r="34350" hidden="1" x14ac:dyDescent="0.35"/>
    <row r="34351" hidden="1" x14ac:dyDescent="0.35"/>
    <row r="34352" hidden="1" x14ac:dyDescent="0.35"/>
    <row r="34353" hidden="1" x14ac:dyDescent="0.35"/>
    <row r="34354" hidden="1" x14ac:dyDescent="0.35"/>
    <row r="34355" hidden="1" x14ac:dyDescent="0.35"/>
    <row r="34356" hidden="1" x14ac:dyDescent="0.35"/>
    <row r="34357" hidden="1" x14ac:dyDescent="0.35"/>
    <row r="34358" hidden="1" x14ac:dyDescent="0.35"/>
    <row r="34359" hidden="1" x14ac:dyDescent="0.35"/>
    <row r="34360" hidden="1" x14ac:dyDescent="0.35"/>
    <row r="34361" hidden="1" x14ac:dyDescent="0.35"/>
    <row r="34362" hidden="1" x14ac:dyDescent="0.35"/>
    <row r="34363" hidden="1" x14ac:dyDescent="0.35"/>
    <row r="34364" hidden="1" x14ac:dyDescent="0.35"/>
    <row r="34365" hidden="1" x14ac:dyDescent="0.35"/>
    <row r="34366" hidden="1" x14ac:dyDescent="0.35"/>
    <row r="34367" hidden="1" x14ac:dyDescent="0.35"/>
    <row r="34368" hidden="1" x14ac:dyDescent="0.35"/>
    <row r="34369" hidden="1" x14ac:dyDescent="0.35"/>
    <row r="34370" hidden="1" x14ac:dyDescent="0.35"/>
    <row r="34371" hidden="1" x14ac:dyDescent="0.35"/>
    <row r="34372" hidden="1" x14ac:dyDescent="0.35"/>
    <row r="34373" hidden="1" x14ac:dyDescent="0.35"/>
    <row r="34374" hidden="1" x14ac:dyDescent="0.35"/>
    <row r="34375" hidden="1" x14ac:dyDescent="0.35"/>
    <row r="34376" hidden="1" x14ac:dyDescent="0.35"/>
    <row r="34377" hidden="1" x14ac:dyDescent="0.35"/>
    <row r="34378" hidden="1" x14ac:dyDescent="0.35"/>
    <row r="34379" hidden="1" x14ac:dyDescent="0.35"/>
    <row r="34380" hidden="1" x14ac:dyDescent="0.35"/>
    <row r="34381" hidden="1" x14ac:dyDescent="0.35"/>
    <row r="34382" hidden="1" x14ac:dyDescent="0.35"/>
    <row r="34383" hidden="1" x14ac:dyDescent="0.35"/>
    <row r="34384" hidden="1" x14ac:dyDescent="0.35"/>
    <row r="34385" hidden="1" x14ac:dyDescent="0.35"/>
    <row r="34386" hidden="1" x14ac:dyDescent="0.35"/>
    <row r="34387" hidden="1" x14ac:dyDescent="0.35"/>
    <row r="34388" hidden="1" x14ac:dyDescent="0.35"/>
    <row r="34389" hidden="1" x14ac:dyDescent="0.35"/>
    <row r="34390" hidden="1" x14ac:dyDescent="0.35"/>
    <row r="34391" hidden="1" x14ac:dyDescent="0.35"/>
    <row r="34392" hidden="1" x14ac:dyDescent="0.35"/>
    <row r="34393" hidden="1" x14ac:dyDescent="0.35"/>
    <row r="34394" hidden="1" x14ac:dyDescent="0.35"/>
    <row r="34395" hidden="1" x14ac:dyDescent="0.35"/>
    <row r="34396" hidden="1" x14ac:dyDescent="0.35"/>
    <row r="34397" hidden="1" x14ac:dyDescent="0.35"/>
    <row r="34398" hidden="1" x14ac:dyDescent="0.35"/>
    <row r="34399" hidden="1" x14ac:dyDescent="0.35"/>
    <row r="34400" hidden="1" x14ac:dyDescent="0.35"/>
    <row r="34401" hidden="1" x14ac:dyDescent="0.35"/>
    <row r="34402" hidden="1" x14ac:dyDescent="0.35"/>
    <row r="34403" hidden="1" x14ac:dyDescent="0.35"/>
    <row r="34404" hidden="1" x14ac:dyDescent="0.35"/>
    <row r="34405" hidden="1" x14ac:dyDescent="0.35"/>
    <row r="34406" hidden="1" x14ac:dyDescent="0.35"/>
    <row r="34407" hidden="1" x14ac:dyDescent="0.35"/>
    <row r="34408" hidden="1" x14ac:dyDescent="0.35"/>
    <row r="34409" hidden="1" x14ac:dyDescent="0.35"/>
    <row r="34410" hidden="1" x14ac:dyDescent="0.35"/>
    <row r="34411" hidden="1" x14ac:dyDescent="0.35"/>
    <row r="34412" hidden="1" x14ac:dyDescent="0.35"/>
    <row r="34413" hidden="1" x14ac:dyDescent="0.35"/>
    <row r="34414" hidden="1" x14ac:dyDescent="0.35"/>
    <row r="34415" hidden="1" x14ac:dyDescent="0.35"/>
    <row r="34416" hidden="1" x14ac:dyDescent="0.35"/>
    <row r="34417" hidden="1" x14ac:dyDescent="0.35"/>
    <row r="34418" hidden="1" x14ac:dyDescent="0.35"/>
    <row r="34419" hidden="1" x14ac:dyDescent="0.35"/>
    <row r="34420" hidden="1" x14ac:dyDescent="0.35"/>
    <row r="34421" hidden="1" x14ac:dyDescent="0.35"/>
    <row r="34422" hidden="1" x14ac:dyDescent="0.35"/>
    <row r="34423" hidden="1" x14ac:dyDescent="0.35"/>
    <row r="34424" hidden="1" x14ac:dyDescent="0.35"/>
    <row r="34425" hidden="1" x14ac:dyDescent="0.35"/>
    <row r="34426" hidden="1" x14ac:dyDescent="0.35"/>
    <row r="34427" hidden="1" x14ac:dyDescent="0.35"/>
    <row r="34428" hidden="1" x14ac:dyDescent="0.35"/>
    <row r="34429" hidden="1" x14ac:dyDescent="0.35"/>
    <row r="34430" hidden="1" x14ac:dyDescent="0.35"/>
    <row r="34431" hidden="1" x14ac:dyDescent="0.35"/>
    <row r="34432" hidden="1" x14ac:dyDescent="0.35"/>
    <row r="34433" hidden="1" x14ac:dyDescent="0.35"/>
    <row r="34434" hidden="1" x14ac:dyDescent="0.35"/>
    <row r="34435" hidden="1" x14ac:dyDescent="0.35"/>
    <row r="34436" hidden="1" x14ac:dyDescent="0.35"/>
    <row r="34437" hidden="1" x14ac:dyDescent="0.35"/>
    <row r="34438" hidden="1" x14ac:dyDescent="0.35"/>
    <row r="34439" hidden="1" x14ac:dyDescent="0.35"/>
    <row r="34440" hidden="1" x14ac:dyDescent="0.35"/>
    <row r="34441" hidden="1" x14ac:dyDescent="0.35"/>
    <row r="34442" hidden="1" x14ac:dyDescent="0.35"/>
    <row r="34443" hidden="1" x14ac:dyDescent="0.35"/>
    <row r="34444" hidden="1" x14ac:dyDescent="0.35"/>
    <row r="34445" hidden="1" x14ac:dyDescent="0.35"/>
    <row r="34446" hidden="1" x14ac:dyDescent="0.35"/>
    <row r="34447" hidden="1" x14ac:dyDescent="0.35"/>
    <row r="34448" hidden="1" x14ac:dyDescent="0.35"/>
    <row r="34449" hidden="1" x14ac:dyDescent="0.35"/>
    <row r="34450" hidden="1" x14ac:dyDescent="0.35"/>
    <row r="34451" hidden="1" x14ac:dyDescent="0.35"/>
    <row r="34452" hidden="1" x14ac:dyDescent="0.35"/>
    <row r="34453" hidden="1" x14ac:dyDescent="0.35"/>
    <row r="34454" hidden="1" x14ac:dyDescent="0.35"/>
    <row r="34455" hidden="1" x14ac:dyDescent="0.35"/>
    <row r="34456" hidden="1" x14ac:dyDescent="0.35"/>
    <row r="34457" hidden="1" x14ac:dyDescent="0.35"/>
    <row r="34458" hidden="1" x14ac:dyDescent="0.35"/>
    <row r="34459" hidden="1" x14ac:dyDescent="0.35"/>
    <row r="34460" hidden="1" x14ac:dyDescent="0.35"/>
    <row r="34461" hidden="1" x14ac:dyDescent="0.35"/>
    <row r="34462" hidden="1" x14ac:dyDescent="0.35"/>
    <row r="34463" hidden="1" x14ac:dyDescent="0.35"/>
    <row r="34464" hidden="1" x14ac:dyDescent="0.35"/>
    <row r="34465" hidden="1" x14ac:dyDescent="0.35"/>
    <row r="34466" hidden="1" x14ac:dyDescent="0.35"/>
    <row r="34467" hidden="1" x14ac:dyDescent="0.35"/>
    <row r="34468" hidden="1" x14ac:dyDescent="0.35"/>
    <row r="34469" hidden="1" x14ac:dyDescent="0.35"/>
    <row r="34470" hidden="1" x14ac:dyDescent="0.35"/>
    <row r="34471" hidden="1" x14ac:dyDescent="0.35"/>
    <row r="34472" hidden="1" x14ac:dyDescent="0.35"/>
    <row r="34473" hidden="1" x14ac:dyDescent="0.35"/>
    <row r="34474" hidden="1" x14ac:dyDescent="0.35"/>
    <row r="34475" hidden="1" x14ac:dyDescent="0.35"/>
    <row r="34476" hidden="1" x14ac:dyDescent="0.35"/>
    <row r="34477" hidden="1" x14ac:dyDescent="0.35"/>
    <row r="34478" hidden="1" x14ac:dyDescent="0.35"/>
    <row r="34479" hidden="1" x14ac:dyDescent="0.35"/>
    <row r="34480" hidden="1" x14ac:dyDescent="0.35"/>
    <row r="34481" hidden="1" x14ac:dyDescent="0.35"/>
    <row r="34482" hidden="1" x14ac:dyDescent="0.35"/>
    <row r="34483" hidden="1" x14ac:dyDescent="0.35"/>
    <row r="34484" hidden="1" x14ac:dyDescent="0.35"/>
    <row r="34485" hidden="1" x14ac:dyDescent="0.35"/>
    <row r="34486" hidden="1" x14ac:dyDescent="0.35"/>
    <row r="34487" hidden="1" x14ac:dyDescent="0.35"/>
    <row r="34488" hidden="1" x14ac:dyDescent="0.35"/>
    <row r="34489" hidden="1" x14ac:dyDescent="0.35"/>
    <row r="34490" hidden="1" x14ac:dyDescent="0.35"/>
    <row r="34491" hidden="1" x14ac:dyDescent="0.35"/>
    <row r="34492" hidden="1" x14ac:dyDescent="0.35"/>
    <row r="34493" hidden="1" x14ac:dyDescent="0.35"/>
    <row r="34494" hidden="1" x14ac:dyDescent="0.35"/>
    <row r="34495" hidden="1" x14ac:dyDescent="0.35"/>
    <row r="34496" hidden="1" x14ac:dyDescent="0.35"/>
    <row r="34497" hidden="1" x14ac:dyDescent="0.35"/>
    <row r="34498" hidden="1" x14ac:dyDescent="0.35"/>
    <row r="34499" hidden="1" x14ac:dyDescent="0.35"/>
    <row r="34500" hidden="1" x14ac:dyDescent="0.35"/>
    <row r="34501" hidden="1" x14ac:dyDescent="0.35"/>
    <row r="34502" hidden="1" x14ac:dyDescent="0.35"/>
    <row r="34503" hidden="1" x14ac:dyDescent="0.35"/>
    <row r="34504" hidden="1" x14ac:dyDescent="0.35"/>
    <row r="34505" hidden="1" x14ac:dyDescent="0.35"/>
    <row r="34506" hidden="1" x14ac:dyDescent="0.35"/>
    <row r="34507" hidden="1" x14ac:dyDescent="0.35"/>
    <row r="34508" hidden="1" x14ac:dyDescent="0.35"/>
    <row r="34509" hidden="1" x14ac:dyDescent="0.35"/>
    <row r="34510" hidden="1" x14ac:dyDescent="0.35"/>
    <row r="34511" hidden="1" x14ac:dyDescent="0.35"/>
    <row r="34512" hidden="1" x14ac:dyDescent="0.35"/>
    <row r="34513" hidden="1" x14ac:dyDescent="0.35"/>
    <row r="34514" hidden="1" x14ac:dyDescent="0.35"/>
    <row r="34515" hidden="1" x14ac:dyDescent="0.35"/>
    <row r="34516" hidden="1" x14ac:dyDescent="0.35"/>
    <row r="34517" hidden="1" x14ac:dyDescent="0.35"/>
    <row r="34518" hidden="1" x14ac:dyDescent="0.35"/>
    <row r="34519" hidden="1" x14ac:dyDescent="0.35"/>
    <row r="34520" hidden="1" x14ac:dyDescent="0.35"/>
    <row r="34521" hidden="1" x14ac:dyDescent="0.35"/>
    <row r="34522" hidden="1" x14ac:dyDescent="0.35"/>
    <row r="34523" hidden="1" x14ac:dyDescent="0.35"/>
    <row r="34524" hidden="1" x14ac:dyDescent="0.35"/>
    <row r="34525" hidden="1" x14ac:dyDescent="0.35"/>
    <row r="34526" hidden="1" x14ac:dyDescent="0.35"/>
    <row r="34527" hidden="1" x14ac:dyDescent="0.35"/>
    <row r="34528" hidden="1" x14ac:dyDescent="0.35"/>
    <row r="34529" hidden="1" x14ac:dyDescent="0.35"/>
    <row r="34530" hidden="1" x14ac:dyDescent="0.35"/>
    <row r="34531" hidden="1" x14ac:dyDescent="0.35"/>
    <row r="34532" hidden="1" x14ac:dyDescent="0.35"/>
    <row r="34533" hidden="1" x14ac:dyDescent="0.35"/>
    <row r="34534" hidden="1" x14ac:dyDescent="0.35"/>
    <row r="34535" hidden="1" x14ac:dyDescent="0.35"/>
    <row r="34536" hidden="1" x14ac:dyDescent="0.35"/>
    <row r="34537" hidden="1" x14ac:dyDescent="0.35"/>
    <row r="34538" hidden="1" x14ac:dyDescent="0.35"/>
    <row r="34539" hidden="1" x14ac:dyDescent="0.35"/>
    <row r="34540" hidden="1" x14ac:dyDescent="0.35"/>
    <row r="34541" hidden="1" x14ac:dyDescent="0.35"/>
    <row r="34542" hidden="1" x14ac:dyDescent="0.35"/>
    <row r="34543" hidden="1" x14ac:dyDescent="0.35"/>
    <row r="34544" hidden="1" x14ac:dyDescent="0.35"/>
    <row r="34545" hidden="1" x14ac:dyDescent="0.35"/>
    <row r="34546" hidden="1" x14ac:dyDescent="0.35"/>
    <row r="34547" hidden="1" x14ac:dyDescent="0.35"/>
    <row r="34548" hidden="1" x14ac:dyDescent="0.35"/>
    <row r="34549" hidden="1" x14ac:dyDescent="0.35"/>
    <row r="34550" hidden="1" x14ac:dyDescent="0.35"/>
    <row r="34551" hidden="1" x14ac:dyDescent="0.35"/>
    <row r="34552" hidden="1" x14ac:dyDescent="0.35"/>
    <row r="34553" hidden="1" x14ac:dyDescent="0.35"/>
    <row r="34554" hidden="1" x14ac:dyDescent="0.35"/>
    <row r="34555" hidden="1" x14ac:dyDescent="0.35"/>
    <row r="34556" hidden="1" x14ac:dyDescent="0.35"/>
    <row r="34557" hidden="1" x14ac:dyDescent="0.35"/>
    <row r="34558" hidden="1" x14ac:dyDescent="0.35"/>
    <row r="34559" hidden="1" x14ac:dyDescent="0.35"/>
    <row r="34560" hidden="1" x14ac:dyDescent="0.35"/>
    <row r="34561" hidden="1" x14ac:dyDescent="0.35"/>
    <row r="34562" hidden="1" x14ac:dyDescent="0.35"/>
    <row r="34563" hidden="1" x14ac:dyDescent="0.35"/>
    <row r="34564" hidden="1" x14ac:dyDescent="0.35"/>
    <row r="34565" hidden="1" x14ac:dyDescent="0.35"/>
    <row r="34566" hidden="1" x14ac:dyDescent="0.35"/>
    <row r="34567" hidden="1" x14ac:dyDescent="0.35"/>
    <row r="34568" hidden="1" x14ac:dyDescent="0.35"/>
    <row r="34569" hidden="1" x14ac:dyDescent="0.35"/>
    <row r="34570" hidden="1" x14ac:dyDescent="0.35"/>
    <row r="34571" hidden="1" x14ac:dyDescent="0.35"/>
    <row r="34572" hidden="1" x14ac:dyDescent="0.35"/>
    <row r="34573" hidden="1" x14ac:dyDescent="0.35"/>
    <row r="34574" hidden="1" x14ac:dyDescent="0.35"/>
    <row r="34575" hidden="1" x14ac:dyDescent="0.35"/>
    <row r="34576" hidden="1" x14ac:dyDescent="0.35"/>
    <row r="34577" hidden="1" x14ac:dyDescent="0.35"/>
    <row r="34578" hidden="1" x14ac:dyDescent="0.35"/>
    <row r="34579" hidden="1" x14ac:dyDescent="0.35"/>
    <row r="34580" hidden="1" x14ac:dyDescent="0.35"/>
    <row r="34581" hidden="1" x14ac:dyDescent="0.35"/>
    <row r="34582" hidden="1" x14ac:dyDescent="0.35"/>
    <row r="34583" hidden="1" x14ac:dyDescent="0.35"/>
    <row r="34584" hidden="1" x14ac:dyDescent="0.35"/>
    <row r="34585" hidden="1" x14ac:dyDescent="0.35"/>
    <row r="34586" hidden="1" x14ac:dyDescent="0.35"/>
    <row r="34587" hidden="1" x14ac:dyDescent="0.35"/>
    <row r="34588" hidden="1" x14ac:dyDescent="0.35"/>
    <row r="34589" hidden="1" x14ac:dyDescent="0.35"/>
    <row r="34590" hidden="1" x14ac:dyDescent="0.35"/>
    <row r="34591" hidden="1" x14ac:dyDescent="0.35"/>
    <row r="34592" hidden="1" x14ac:dyDescent="0.35"/>
    <row r="34593" hidden="1" x14ac:dyDescent="0.35"/>
    <row r="34594" hidden="1" x14ac:dyDescent="0.35"/>
    <row r="34595" hidden="1" x14ac:dyDescent="0.35"/>
    <row r="34596" hidden="1" x14ac:dyDescent="0.35"/>
    <row r="34597" hidden="1" x14ac:dyDescent="0.35"/>
    <row r="34598" hidden="1" x14ac:dyDescent="0.35"/>
    <row r="34599" hidden="1" x14ac:dyDescent="0.35"/>
    <row r="34600" hidden="1" x14ac:dyDescent="0.35"/>
    <row r="34601" hidden="1" x14ac:dyDescent="0.35"/>
    <row r="34602" hidden="1" x14ac:dyDescent="0.35"/>
    <row r="34603" hidden="1" x14ac:dyDescent="0.35"/>
    <row r="34604" hidden="1" x14ac:dyDescent="0.35"/>
    <row r="34605" hidden="1" x14ac:dyDescent="0.35"/>
    <row r="34606" hidden="1" x14ac:dyDescent="0.35"/>
    <row r="34607" hidden="1" x14ac:dyDescent="0.35"/>
    <row r="34608" hidden="1" x14ac:dyDescent="0.35"/>
    <row r="34609" hidden="1" x14ac:dyDescent="0.35"/>
    <row r="34610" hidden="1" x14ac:dyDescent="0.35"/>
    <row r="34611" hidden="1" x14ac:dyDescent="0.35"/>
    <row r="34612" hidden="1" x14ac:dyDescent="0.35"/>
    <row r="34613" hidden="1" x14ac:dyDescent="0.35"/>
    <row r="34614" hidden="1" x14ac:dyDescent="0.35"/>
    <row r="34615" hidden="1" x14ac:dyDescent="0.35"/>
    <row r="34616" hidden="1" x14ac:dyDescent="0.35"/>
    <row r="34617" hidden="1" x14ac:dyDescent="0.35"/>
    <row r="34618" hidden="1" x14ac:dyDescent="0.35"/>
    <row r="34619" hidden="1" x14ac:dyDescent="0.35"/>
    <row r="34620" hidden="1" x14ac:dyDescent="0.35"/>
    <row r="34621" hidden="1" x14ac:dyDescent="0.35"/>
    <row r="34622" hidden="1" x14ac:dyDescent="0.35"/>
    <row r="34623" hidden="1" x14ac:dyDescent="0.35"/>
    <row r="34624" hidden="1" x14ac:dyDescent="0.35"/>
    <row r="34625" hidden="1" x14ac:dyDescent="0.35"/>
    <row r="34626" hidden="1" x14ac:dyDescent="0.35"/>
    <row r="34627" hidden="1" x14ac:dyDescent="0.35"/>
    <row r="34628" hidden="1" x14ac:dyDescent="0.35"/>
    <row r="34629" hidden="1" x14ac:dyDescent="0.35"/>
    <row r="34630" hidden="1" x14ac:dyDescent="0.35"/>
    <row r="34631" hidden="1" x14ac:dyDescent="0.35"/>
    <row r="34632" hidden="1" x14ac:dyDescent="0.35"/>
    <row r="34633" hidden="1" x14ac:dyDescent="0.35"/>
    <row r="34634" hidden="1" x14ac:dyDescent="0.35"/>
    <row r="34635" hidden="1" x14ac:dyDescent="0.35"/>
    <row r="34636" hidden="1" x14ac:dyDescent="0.35"/>
    <row r="34637" hidden="1" x14ac:dyDescent="0.35"/>
    <row r="34638" hidden="1" x14ac:dyDescent="0.35"/>
    <row r="34639" hidden="1" x14ac:dyDescent="0.35"/>
    <row r="34640" hidden="1" x14ac:dyDescent="0.35"/>
    <row r="34641" hidden="1" x14ac:dyDescent="0.35"/>
    <row r="34642" hidden="1" x14ac:dyDescent="0.35"/>
    <row r="34643" hidden="1" x14ac:dyDescent="0.35"/>
    <row r="34644" hidden="1" x14ac:dyDescent="0.35"/>
    <row r="34645" hidden="1" x14ac:dyDescent="0.35"/>
    <row r="34646" hidden="1" x14ac:dyDescent="0.35"/>
    <row r="34647" hidden="1" x14ac:dyDescent="0.35"/>
    <row r="34648" hidden="1" x14ac:dyDescent="0.35"/>
    <row r="34649" hidden="1" x14ac:dyDescent="0.35"/>
    <row r="34650" hidden="1" x14ac:dyDescent="0.35"/>
    <row r="34651" hidden="1" x14ac:dyDescent="0.35"/>
    <row r="34652" hidden="1" x14ac:dyDescent="0.35"/>
    <row r="34653" hidden="1" x14ac:dyDescent="0.35"/>
    <row r="34654" hidden="1" x14ac:dyDescent="0.35"/>
    <row r="34655" hidden="1" x14ac:dyDescent="0.35"/>
    <row r="34656" hidden="1" x14ac:dyDescent="0.35"/>
    <row r="34657" hidden="1" x14ac:dyDescent="0.35"/>
    <row r="34658" hidden="1" x14ac:dyDescent="0.35"/>
    <row r="34659" hidden="1" x14ac:dyDescent="0.35"/>
    <row r="34660" hidden="1" x14ac:dyDescent="0.35"/>
    <row r="34661" hidden="1" x14ac:dyDescent="0.35"/>
    <row r="34662" hidden="1" x14ac:dyDescent="0.35"/>
    <row r="34663" hidden="1" x14ac:dyDescent="0.35"/>
    <row r="34664" hidden="1" x14ac:dyDescent="0.35"/>
    <row r="34665" hidden="1" x14ac:dyDescent="0.35"/>
    <row r="34666" hidden="1" x14ac:dyDescent="0.35"/>
    <row r="34667" hidden="1" x14ac:dyDescent="0.35"/>
    <row r="34668" hidden="1" x14ac:dyDescent="0.35"/>
    <row r="34669" hidden="1" x14ac:dyDescent="0.35"/>
    <row r="34670" hidden="1" x14ac:dyDescent="0.35"/>
    <row r="34671" hidden="1" x14ac:dyDescent="0.35"/>
    <row r="34672" hidden="1" x14ac:dyDescent="0.35"/>
    <row r="34673" hidden="1" x14ac:dyDescent="0.35"/>
    <row r="34674" hidden="1" x14ac:dyDescent="0.35"/>
    <row r="34675" hidden="1" x14ac:dyDescent="0.35"/>
    <row r="34676" hidden="1" x14ac:dyDescent="0.35"/>
    <row r="34677" hidden="1" x14ac:dyDescent="0.35"/>
    <row r="34678" hidden="1" x14ac:dyDescent="0.35"/>
    <row r="34679" hidden="1" x14ac:dyDescent="0.35"/>
    <row r="34680" hidden="1" x14ac:dyDescent="0.35"/>
    <row r="34681" hidden="1" x14ac:dyDescent="0.35"/>
    <row r="34682" hidden="1" x14ac:dyDescent="0.35"/>
    <row r="34683" hidden="1" x14ac:dyDescent="0.35"/>
    <row r="34684" hidden="1" x14ac:dyDescent="0.35"/>
    <row r="34685" hidden="1" x14ac:dyDescent="0.35"/>
    <row r="34686" hidden="1" x14ac:dyDescent="0.35"/>
    <row r="34687" hidden="1" x14ac:dyDescent="0.35"/>
    <row r="34688" hidden="1" x14ac:dyDescent="0.35"/>
    <row r="34689" hidden="1" x14ac:dyDescent="0.35"/>
    <row r="34690" hidden="1" x14ac:dyDescent="0.35"/>
    <row r="34691" hidden="1" x14ac:dyDescent="0.35"/>
    <row r="34692" hidden="1" x14ac:dyDescent="0.35"/>
    <row r="34693" hidden="1" x14ac:dyDescent="0.35"/>
    <row r="34694" hidden="1" x14ac:dyDescent="0.35"/>
    <row r="34695" hidden="1" x14ac:dyDescent="0.35"/>
    <row r="34696" hidden="1" x14ac:dyDescent="0.35"/>
    <row r="34697" hidden="1" x14ac:dyDescent="0.35"/>
    <row r="34698" hidden="1" x14ac:dyDescent="0.35"/>
    <row r="34699" hidden="1" x14ac:dyDescent="0.35"/>
    <row r="34700" hidden="1" x14ac:dyDescent="0.35"/>
    <row r="34701" hidden="1" x14ac:dyDescent="0.35"/>
    <row r="34702" hidden="1" x14ac:dyDescent="0.35"/>
    <row r="34703" hidden="1" x14ac:dyDescent="0.35"/>
    <row r="34704" hidden="1" x14ac:dyDescent="0.35"/>
    <row r="34705" hidden="1" x14ac:dyDescent="0.35"/>
    <row r="34706" hidden="1" x14ac:dyDescent="0.35"/>
    <row r="34707" hidden="1" x14ac:dyDescent="0.35"/>
    <row r="34708" hidden="1" x14ac:dyDescent="0.35"/>
    <row r="34709" hidden="1" x14ac:dyDescent="0.35"/>
    <row r="34710" hidden="1" x14ac:dyDescent="0.35"/>
    <row r="34711" hidden="1" x14ac:dyDescent="0.35"/>
    <row r="34712" hidden="1" x14ac:dyDescent="0.35"/>
    <row r="34713" hidden="1" x14ac:dyDescent="0.35"/>
    <row r="34714" hidden="1" x14ac:dyDescent="0.35"/>
    <row r="34715" hidden="1" x14ac:dyDescent="0.35"/>
    <row r="34716" hidden="1" x14ac:dyDescent="0.35"/>
    <row r="34717" hidden="1" x14ac:dyDescent="0.35"/>
    <row r="34718" hidden="1" x14ac:dyDescent="0.35"/>
    <row r="34719" hidden="1" x14ac:dyDescent="0.35"/>
    <row r="34720" hidden="1" x14ac:dyDescent="0.35"/>
    <row r="34721" hidden="1" x14ac:dyDescent="0.35"/>
    <row r="34722" hidden="1" x14ac:dyDescent="0.35"/>
    <row r="34723" hidden="1" x14ac:dyDescent="0.35"/>
    <row r="34724" hidden="1" x14ac:dyDescent="0.35"/>
    <row r="34725" hidden="1" x14ac:dyDescent="0.35"/>
    <row r="34726" hidden="1" x14ac:dyDescent="0.35"/>
    <row r="34727" hidden="1" x14ac:dyDescent="0.35"/>
    <row r="34728" hidden="1" x14ac:dyDescent="0.35"/>
    <row r="34729" hidden="1" x14ac:dyDescent="0.35"/>
    <row r="34730" hidden="1" x14ac:dyDescent="0.35"/>
    <row r="34731" hidden="1" x14ac:dyDescent="0.35"/>
    <row r="34732" hidden="1" x14ac:dyDescent="0.35"/>
    <row r="34733" hidden="1" x14ac:dyDescent="0.35"/>
    <row r="34734" hidden="1" x14ac:dyDescent="0.35"/>
    <row r="34735" hidden="1" x14ac:dyDescent="0.35"/>
    <row r="34736" hidden="1" x14ac:dyDescent="0.35"/>
    <row r="34737" hidden="1" x14ac:dyDescent="0.35"/>
    <row r="34738" hidden="1" x14ac:dyDescent="0.35"/>
    <row r="34739" hidden="1" x14ac:dyDescent="0.35"/>
    <row r="34740" hidden="1" x14ac:dyDescent="0.35"/>
    <row r="34741" hidden="1" x14ac:dyDescent="0.35"/>
    <row r="34742" hidden="1" x14ac:dyDescent="0.35"/>
    <row r="34743" hidden="1" x14ac:dyDescent="0.35"/>
    <row r="34744" hidden="1" x14ac:dyDescent="0.35"/>
    <row r="34745" hidden="1" x14ac:dyDescent="0.35"/>
    <row r="34746" hidden="1" x14ac:dyDescent="0.35"/>
    <row r="34747" hidden="1" x14ac:dyDescent="0.35"/>
    <row r="34748" hidden="1" x14ac:dyDescent="0.35"/>
    <row r="34749" hidden="1" x14ac:dyDescent="0.35"/>
    <row r="34750" hidden="1" x14ac:dyDescent="0.35"/>
    <row r="34751" hidden="1" x14ac:dyDescent="0.35"/>
    <row r="34752" hidden="1" x14ac:dyDescent="0.35"/>
    <row r="34753" hidden="1" x14ac:dyDescent="0.35"/>
    <row r="34754" hidden="1" x14ac:dyDescent="0.35"/>
    <row r="34755" hidden="1" x14ac:dyDescent="0.35"/>
    <row r="34756" hidden="1" x14ac:dyDescent="0.35"/>
    <row r="34757" hidden="1" x14ac:dyDescent="0.35"/>
    <row r="34758" hidden="1" x14ac:dyDescent="0.35"/>
    <row r="34759" hidden="1" x14ac:dyDescent="0.35"/>
    <row r="34760" hidden="1" x14ac:dyDescent="0.35"/>
    <row r="34761" hidden="1" x14ac:dyDescent="0.35"/>
    <row r="34762" hidden="1" x14ac:dyDescent="0.35"/>
    <row r="34763" hidden="1" x14ac:dyDescent="0.35"/>
    <row r="34764" hidden="1" x14ac:dyDescent="0.35"/>
    <row r="34765" hidden="1" x14ac:dyDescent="0.35"/>
    <row r="34766" hidden="1" x14ac:dyDescent="0.35"/>
    <row r="34767" hidden="1" x14ac:dyDescent="0.35"/>
    <row r="34768" hidden="1" x14ac:dyDescent="0.35"/>
    <row r="34769" hidden="1" x14ac:dyDescent="0.35"/>
    <row r="34770" hidden="1" x14ac:dyDescent="0.35"/>
    <row r="34771" hidden="1" x14ac:dyDescent="0.35"/>
    <row r="34772" hidden="1" x14ac:dyDescent="0.35"/>
    <row r="34773" hidden="1" x14ac:dyDescent="0.35"/>
    <row r="34774" hidden="1" x14ac:dyDescent="0.35"/>
    <row r="34775" hidden="1" x14ac:dyDescent="0.35"/>
    <row r="34776" hidden="1" x14ac:dyDescent="0.35"/>
    <row r="34777" hidden="1" x14ac:dyDescent="0.35"/>
    <row r="34778" hidden="1" x14ac:dyDescent="0.35"/>
    <row r="34779" hidden="1" x14ac:dyDescent="0.35"/>
    <row r="34780" hidden="1" x14ac:dyDescent="0.35"/>
    <row r="34781" hidden="1" x14ac:dyDescent="0.35"/>
    <row r="34782" hidden="1" x14ac:dyDescent="0.35"/>
    <row r="34783" hidden="1" x14ac:dyDescent="0.35"/>
    <row r="34784" hidden="1" x14ac:dyDescent="0.35"/>
    <row r="34785" hidden="1" x14ac:dyDescent="0.35"/>
    <row r="34786" hidden="1" x14ac:dyDescent="0.35"/>
    <row r="34787" hidden="1" x14ac:dyDescent="0.35"/>
    <row r="34788" hidden="1" x14ac:dyDescent="0.35"/>
    <row r="34789" hidden="1" x14ac:dyDescent="0.35"/>
    <row r="34790" hidden="1" x14ac:dyDescent="0.35"/>
    <row r="34791" hidden="1" x14ac:dyDescent="0.35"/>
    <row r="34792" hidden="1" x14ac:dyDescent="0.35"/>
    <row r="34793" hidden="1" x14ac:dyDescent="0.35"/>
    <row r="34794" hidden="1" x14ac:dyDescent="0.35"/>
    <row r="34795" hidden="1" x14ac:dyDescent="0.35"/>
    <row r="34796" hidden="1" x14ac:dyDescent="0.35"/>
    <row r="34797" hidden="1" x14ac:dyDescent="0.35"/>
    <row r="34798" hidden="1" x14ac:dyDescent="0.35"/>
    <row r="34799" hidden="1" x14ac:dyDescent="0.35"/>
    <row r="34800" hidden="1" x14ac:dyDescent="0.35"/>
    <row r="34801" hidden="1" x14ac:dyDescent="0.35"/>
    <row r="34802" hidden="1" x14ac:dyDescent="0.35"/>
    <row r="34803" hidden="1" x14ac:dyDescent="0.35"/>
    <row r="34804" hidden="1" x14ac:dyDescent="0.35"/>
    <row r="34805" hidden="1" x14ac:dyDescent="0.35"/>
    <row r="34806" hidden="1" x14ac:dyDescent="0.35"/>
    <row r="34807" hidden="1" x14ac:dyDescent="0.35"/>
    <row r="34808" hidden="1" x14ac:dyDescent="0.35"/>
    <row r="34809" hidden="1" x14ac:dyDescent="0.35"/>
    <row r="34810" hidden="1" x14ac:dyDescent="0.35"/>
    <row r="34811" hidden="1" x14ac:dyDescent="0.35"/>
    <row r="34812" hidden="1" x14ac:dyDescent="0.35"/>
    <row r="34813" hidden="1" x14ac:dyDescent="0.35"/>
    <row r="34814" hidden="1" x14ac:dyDescent="0.35"/>
    <row r="34815" hidden="1" x14ac:dyDescent="0.35"/>
    <row r="34816" hidden="1" x14ac:dyDescent="0.35"/>
    <row r="34817" hidden="1" x14ac:dyDescent="0.35"/>
    <row r="34818" hidden="1" x14ac:dyDescent="0.35"/>
    <row r="34819" hidden="1" x14ac:dyDescent="0.35"/>
    <row r="34820" hidden="1" x14ac:dyDescent="0.35"/>
    <row r="34821" hidden="1" x14ac:dyDescent="0.35"/>
    <row r="34822" hidden="1" x14ac:dyDescent="0.35"/>
    <row r="34823" hidden="1" x14ac:dyDescent="0.35"/>
    <row r="34824" hidden="1" x14ac:dyDescent="0.35"/>
    <row r="34825" hidden="1" x14ac:dyDescent="0.35"/>
    <row r="34826" hidden="1" x14ac:dyDescent="0.35"/>
    <row r="34827" hidden="1" x14ac:dyDescent="0.35"/>
    <row r="34828" hidden="1" x14ac:dyDescent="0.35"/>
    <row r="34829" hidden="1" x14ac:dyDescent="0.35"/>
    <row r="34830" hidden="1" x14ac:dyDescent="0.35"/>
    <row r="34831" hidden="1" x14ac:dyDescent="0.35"/>
    <row r="34832" hidden="1" x14ac:dyDescent="0.35"/>
    <row r="34833" hidden="1" x14ac:dyDescent="0.35"/>
    <row r="34834" hidden="1" x14ac:dyDescent="0.35"/>
    <row r="34835" hidden="1" x14ac:dyDescent="0.35"/>
    <row r="34836" hidden="1" x14ac:dyDescent="0.35"/>
    <row r="34837" hidden="1" x14ac:dyDescent="0.35"/>
    <row r="34838" hidden="1" x14ac:dyDescent="0.35"/>
    <row r="34839" hidden="1" x14ac:dyDescent="0.35"/>
    <row r="34840" hidden="1" x14ac:dyDescent="0.35"/>
    <row r="34841" hidden="1" x14ac:dyDescent="0.35"/>
    <row r="34842" hidden="1" x14ac:dyDescent="0.35"/>
    <row r="34843" hidden="1" x14ac:dyDescent="0.35"/>
    <row r="34844" hidden="1" x14ac:dyDescent="0.35"/>
    <row r="34845" hidden="1" x14ac:dyDescent="0.35"/>
    <row r="34846" hidden="1" x14ac:dyDescent="0.35"/>
    <row r="34847" hidden="1" x14ac:dyDescent="0.35"/>
    <row r="34848" hidden="1" x14ac:dyDescent="0.35"/>
    <row r="34849" hidden="1" x14ac:dyDescent="0.35"/>
    <row r="34850" hidden="1" x14ac:dyDescent="0.35"/>
    <row r="34851" hidden="1" x14ac:dyDescent="0.35"/>
    <row r="34852" hidden="1" x14ac:dyDescent="0.35"/>
    <row r="34853" hidden="1" x14ac:dyDescent="0.35"/>
    <row r="34854" hidden="1" x14ac:dyDescent="0.35"/>
    <row r="34855" hidden="1" x14ac:dyDescent="0.35"/>
    <row r="34856" hidden="1" x14ac:dyDescent="0.35"/>
    <row r="34857" hidden="1" x14ac:dyDescent="0.35"/>
    <row r="34858" hidden="1" x14ac:dyDescent="0.35"/>
    <row r="34859" hidden="1" x14ac:dyDescent="0.35"/>
    <row r="34860" hidden="1" x14ac:dyDescent="0.35"/>
    <row r="34861" hidden="1" x14ac:dyDescent="0.35"/>
    <row r="34862" hidden="1" x14ac:dyDescent="0.35"/>
    <row r="34863" hidden="1" x14ac:dyDescent="0.35"/>
    <row r="34864" hidden="1" x14ac:dyDescent="0.35"/>
    <row r="34865" hidden="1" x14ac:dyDescent="0.35"/>
    <row r="34866" hidden="1" x14ac:dyDescent="0.35"/>
    <row r="34867" hidden="1" x14ac:dyDescent="0.35"/>
    <row r="34868" hidden="1" x14ac:dyDescent="0.35"/>
    <row r="34869" hidden="1" x14ac:dyDescent="0.35"/>
    <row r="34870" hidden="1" x14ac:dyDescent="0.35"/>
    <row r="34871" hidden="1" x14ac:dyDescent="0.35"/>
    <row r="34872" hidden="1" x14ac:dyDescent="0.35"/>
    <row r="34873" hidden="1" x14ac:dyDescent="0.35"/>
    <row r="34874" hidden="1" x14ac:dyDescent="0.35"/>
    <row r="34875" hidden="1" x14ac:dyDescent="0.35"/>
    <row r="34876" hidden="1" x14ac:dyDescent="0.35"/>
    <row r="34877" hidden="1" x14ac:dyDescent="0.35"/>
    <row r="34878" hidden="1" x14ac:dyDescent="0.35"/>
    <row r="34879" hidden="1" x14ac:dyDescent="0.35"/>
    <row r="34880" hidden="1" x14ac:dyDescent="0.35"/>
    <row r="34881" hidden="1" x14ac:dyDescent="0.35"/>
    <row r="34882" hidden="1" x14ac:dyDescent="0.35"/>
    <row r="34883" hidden="1" x14ac:dyDescent="0.35"/>
    <row r="34884" hidden="1" x14ac:dyDescent="0.35"/>
    <row r="34885" hidden="1" x14ac:dyDescent="0.35"/>
    <row r="34886" hidden="1" x14ac:dyDescent="0.35"/>
    <row r="34887" hidden="1" x14ac:dyDescent="0.35"/>
    <row r="34888" hidden="1" x14ac:dyDescent="0.35"/>
    <row r="34889" hidden="1" x14ac:dyDescent="0.35"/>
    <row r="34890" hidden="1" x14ac:dyDescent="0.35"/>
    <row r="34891" hidden="1" x14ac:dyDescent="0.35"/>
    <row r="34892" hidden="1" x14ac:dyDescent="0.35"/>
    <row r="34893" hidden="1" x14ac:dyDescent="0.35"/>
    <row r="34894" hidden="1" x14ac:dyDescent="0.35"/>
    <row r="34895" hidden="1" x14ac:dyDescent="0.35"/>
    <row r="34896" hidden="1" x14ac:dyDescent="0.35"/>
    <row r="34897" hidden="1" x14ac:dyDescent="0.35"/>
    <row r="34898" hidden="1" x14ac:dyDescent="0.35"/>
    <row r="34899" hidden="1" x14ac:dyDescent="0.35"/>
    <row r="34900" hidden="1" x14ac:dyDescent="0.35"/>
    <row r="34901" hidden="1" x14ac:dyDescent="0.35"/>
    <row r="34902" hidden="1" x14ac:dyDescent="0.35"/>
    <row r="34903" hidden="1" x14ac:dyDescent="0.35"/>
    <row r="34904" hidden="1" x14ac:dyDescent="0.35"/>
    <row r="34905" hidden="1" x14ac:dyDescent="0.35"/>
    <row r="34906" hidden="1" x14ac:dyDescent="0.35"/>
    <row r="34907" hidden="1" x14ac:dyDescent="0.35"/>
    <row r="34908" hidden="1" x14ac:dyDescent="0.35"/>
    <row r="34909" hidden="1" x14ac:dyDescent="0.35"/>
    <row r="34910" hidden="1" x14ac:dyDescent="0.35"/>
    <row r="34911" hidden="1" x14ac:dyDescent="0.35"/>
    <row r="34912" hidden="1" x14ac:dyDescent="0.35"/>
    <row r="34913" hidden="1" x14ac:dyDescent="0.35"/>
    <row r="34914" hidden="1" x14ac:dyDescent="0.35"/>
    <row r="34915" hidden="1" x14ac:dyDescent="0.35"/>
    <row r="34916" hidden="1" x14ac:dyDescent="0.35"/>
    <row r="34917" hidden="1" x14ac:dyDescent="0.35"/>
    <row r="34918" hidden="1" x14ac:dyDescent="0.35"/>
    <row r="34919" hidden="1" x14ac:dyDescent="0.35"/>
    <row r="34920" hidden="1" x14ac:dyDescent="0.35"/>
    <row r="34921" hidden="1" x14ac:dyDescent="0.35"/>
    <row r="34922" hidden="1" x14ac:dyDescent="0.35"/>
    <row r="34923" hidden="1" x14ac:dyDescent="0.35"/>
    <row r="34924" hidden="1" x14ac:dyDescent="0.35"/>
    <row r="34925" hidden="1" x14ac:dyDescent="0.35"/>
    <row r="34926" hidden="1" x14ac:dyDescent="0.35"/>
    <row r="34927" hidden="1" x14ac:dyDescent="0.35"/>
    <row r="34928" hidden="1" x14ac:dyDescent="0.35"/>
    <row r="34929" hidden="1" x14ac:dyDescent="0.35"/>
    <row r="34930" hidden="1" x14ac:dyDescent="0.35"/>
    <row r="34931" hidden="1" x14ac:dyDescent="0.35"/>
    <row r="34932" hidden="1" x14ac:dyDescent="0.35"/>
    <row r="34933" hidden="1" x14ac:dyDescent="0.35"/>
    <row r="34934" hidden="1" x14ac:dyDescent="0.35"/>
    <row r="34935" hidden="1" x14ac:dyDescent="0.35"/>
    <row r="34936" hidden="1" x14ac:dyDescent="0.35"/>
    <row r="34937" hidden="1" x14ac:dyDescent="0.35"/>
    <row r="34938" hidden="1" x14ac:dyDescent="0.35"/>
    <row r="34939" hidden="1" x14ac:dyDescent="0.35"/>
    <row r="34940" hidden="1" x14ac:dyDescent="0.35"/>
    <row r="34941" hidden="1" x14ac:dyDescent="0.35"/>
    <row r="34942" hidden="1" x14ac:dyDescent="0.35"/>
    <row r="34943" hidden="1" x14ac:dyDescent="0.35"/>
    <row r="34944" hidden="1" x14ac:dyDescent="0.35"/>
    <row r="34945" hidden="1" x14ac:dyDescent="0.35"/>
    <row r="34946" hidden="1" x14ac:dyDescent="0.35"/>
    <row r="34947" hidden="1" x14ac:dyDescent="0.35"/>
    <row r="34948" hidden="1" x14ac:dyDescent="0.35"/>
    <row r="34949" hidden="1" x14ac:dyDescent="0.35"/>
    <row r="34950" hidden="1" x14ac:dyDescent="0.35"/>
    <row r="34951" hidden="1" x14ac:dyDescent="0.35"/>
    <row r="34952" hidden="1" x14ac:dyDescent="0.35"/>
    <row r="34953" hidden="1" x14ac:dyDescent="0.35"/>
    <row r="34954" hidden="1" x14ac:dyDescent="0.35"/>
    <row r="34955" hidden="1" x14ac:dyDescent="0.35"/>
    <row r="34956" hidden="1" x14ac:dyDescent="0.35"/>
    <row r="34957" hidden="1" x14ac:dyDescent="0.35"/>
    <row r="34958" hidden="1" x14ac:dyDescent="0.35"/>
    <row r="34959" hidden="1" x14ac:dyDescent="0.35"/>
    <row r="34960" hidden="1" x14ac:dyDescent="0.35"/>
    <row r="34961" hidden="1" x14ac:dyDescent="0.35"/>
    <row r="34962" hidden="1" x14ac:dyDescent="0.35"/>
    <row r="34963" hidden="1" x14ac:dyDescent="0.35"/>
    <row r="34964" hidden="1" x14ac:dyDescent="0.35"/>
    <row r="34965" hidden="1" x14ac:dyDescent="0.35"/>
    <row r="34966" hidden="1" x14ac:dyDescent="0.35"/>
    <row r="34967" hidden="1" x14ac:dyDescent="0.35"/>
    <row r="34968" hidden="1" x14ac:dyDescent="0.35"/>
    <row r="34969" hidden="1" x14ac:dyDescent="0.35"/>
    <row r="34970" hidden="1" x14ac:dyDescent="0.35"/>
    <row r="34971" hidden="1" x14ac:dyDescent="0.35"/>
    <row r="34972" hidden="1" x14ac:dyDescent="0.35"/>
    <row r="34973" hidden="1" x14ac:dyDescent="0.35"/>
    <row r="34974" hidden="1" x14ac:dyDescent="0.35"/>
    <row r="34975" hidden="1" x14ac:dyDescent="0.35"/>
    <row r="34976" hidden="1" x14ac:dyDescent="0.35"/>
    <row r="34977" hidden="1" x14ac:dyDescent="0.35"/>
    <row r="34978" hidden="1" x14ac:dyDescent="0.35"/>
    <row r="34979" hidden="1" x14ac:dyDescent="0.35"/>
    <row r="34980" hidden="1" x14ac:dyDescent="0.35"/>
    <row r="34981" hidden="1" x14ac:dyDescent="0.35"/>
    <row r="34982" hidden="1" x14ac:dyDescent="0.35"/>
    <row r="34983" hidden="1" x14ac:dyDescent="0.35"/>
    <row r="34984" hidden="1" x14ac:dyDescent="0.35"/>
    <row r="34985" hidden="1" x14ac:dyDescent="0.35"/>
    <row r="34986" hidden="1" x14ac:dyDescent="0.35"/>
    <row r="34987" hidden="1" x14ac:dyDescent="0.35"/>
    <row r="34988" hidden="1" x14ac:dyDescent="0.35"/>
    <row r="34989" hidden="1" x14ac:dyDescent="0.35"/>
    <row r="34990" hidden="1" x14ac:dyDescent="0.35"/>
    <row r="34991" hidden="1" x14ac:dyDescent="0.35"/>
    <row r="34992" hidden="1" x14ac:dyDescent="0.35"/>
    <row r="34993" hidden="1" x14ac:dyDescent="0.35"/>
    <row r="34994" hidden="1" x14ac:dyDescent="0.35"/>
    <row r="34995" hidden="1" x14ac:dyDescent="0.35"/>
    <row r="34996" hidden="1" x14ac:dyDescent="0.35"/>
    <row r="34997" hidden="1" x14ac:dyDescent="0.35"/>
    <row r="34998" hidden="1" x14ac:dyDescent="0.35"/>
    <row r="34999" hidden="1" x14ac:dyDescent="0.35"/>
    <row r="35000" hidden="1" x14ac:dyDescent="0.35"/>
    <row r="35001" hidden="1" x14ac:dyDescent="0.35"/>
    <row r="35002" hidden="1" x14ac:dyDescent="0.35"/>
    <row r="35003" hidden="1" x14ac:dyDescent="0.35"/>
    <row r="35004" hidden="1" x14ac:dyDescent="0.35"/>
    <row r="35005" hidden="1" x14ac:dyDescent="0.35"/>
    <row r="35006" hidden="1" x14ac:dyDescent="0.35"/>
    <row r="35007" hidden="1" x14ac:dyDescent="0.35"/>
    <row r="35008" hidden="1" x14ac:dyDescent="0.35"/>
    <row r="35009" hidden="1" x14ac:dyDescent="0.35"/>
    <row r="35010" hidden="1" x14ac:dyDescent="0.35"/>
    <row r="35011" hidden="1" x14ac:dyDescent="0.35"/>
    <row r="35012" hidden="1" x14ac:dyDescent="0.35"/>
    <row r="35013" hidden="1" x14ac:dyDescent="0.35"/>
    <row r="35014" hidden="1" x14ac:dyDescent="0.35"/>
    <row r="35015" hidden="1" x14ac:dyDescent="0.35"/>
    <row r="35016" hidden="1" x14ac:dyDescent="0.35"/>
    <row r="35017" hidden="1" x14ac:dyDescent="0.35"/>
    <row r="35018" hidden="1" x14ac:dyDescent="0.35"/>
    <row r="35019" hidden="1" x14ac:dyDescent="0.35"/>
    <row r="35020" hidden="1" x14ac:dyDescent="0.35"/>
    <row r="35021" hidden="1" x14ac:dyDescent="0.35"/>
    <row r="35022" hidden="1" x14ac:dyDescent="0.35"/>
    <row r="35023" hidden="1" x14ac:dyDescent="0.35"/>
    <row r="35024" hidden="1" x14ac:dyDescent="0.35"/>
    <row r="35025" hidden="1" x14ac:dyDescent="0.35"/>
    <row r="35026" hidden="1" x14ac:dyDescent="0.35"/>
    <row r="35027" hidden="1" x14ac:dyDescent="0.35"/>
    <row r="35028" hidden="1" x14ac:dyDescent="0.35"/>
    <row r="35029" hidden="1" x14ac:dyDescent="0.35"/>
    <row r="35030" hidden="1" x14ac:dyDescent="0.35"/>
    <row r="35031" hidden="1" x14ac:dyDescent="0.35"/>
    <row r="35032" hidden="1" x14ac:dyDescent="0.35"/>
    <row r="35033" hidden="1" x14ac:dyDescent="0.35"/>
    <row r="35034" hidden="1" x14ac:dyDescent="0.35"/>
    <row r="35035" hidden="1" x14ac:dyDescent="0.35"/>
    <row r="35036" hidden="1" x14ac:dyDescent="0.35"/>
    <row r="35037" hidden="1" x14ac:dyDescent="0.35"/>
    <row r="35038" hidden="1" x14ac:dyDescent="0.35"/>
    <row r="35039" hidden="1" x14ac:dyDescent="0.35"/>
    <row r="35040" hidden="1" x14ac:dyDescent="0.35"/>
    <row r="35041" hidden="1" x14ac:dyDescent="0.35"/>
    <row r="35042" hidden="1" x14ac:dyDescent="0.35"/>
    <row r="35043" hidden="1" x14ac:dyDescent="0.35"/>
    <row r="35044" hidden="1" x14ac:dyDescent="0.35"/>
    <row r="35045" hidden="1" x14ac:dyDescent="0.35"/>
    <row r="35046" hidden="1" x14ac:dyDescent="0.35"/>
    <row r="35047" hidden="1" x14ac:dyDescent="0.35"/>
    <row r="35048" hidden="1" x14ac:dyDescent="0.35"/>
    <row r="35049" hidden="1" x14ac:dyDescent="0.35"/>
    <row r="35050" hidden="1" x14ac:dyDescent="0.35"/>
    <row r="35051" hidden="1" x14ac:dyDescent="0.35"/>
    <row r="35052" hidden="1" x14ac:dyDescent="0.35"/>
    <row r="35053" hidden="1" x14ac:dyDescent="0.35"/>
    <row r="35054" hidden="1" x14ac:dyDescent="0.35"/>
    <row r="35055" hidden="1" x14ac:dyDescent="0.35"/>
    <row r="35056" hidden="1" x14ac:dyDescent="0.35"/>
    <row r="35057" hidden="1" x14ac:dyDescent="0.35"/>
    <row r="35058" hidden="1" x14ac:dyDescent="0.35"/>
    <row r="35059" hidden="1" x14ac:dyDescent="0.35"/>
    <row r="35060" hidden="1" x14ac:dyDescent="0.35"/>
    <row r="35061" hidden="1" x14ac:dyDescent="0.35"/>
    <row r="35062" hidden="1" x14ac:dyDescent="0.35"/>
    <row r="35063" hidden="1" x14ac:dyDescent="0.35"/>
    <row r="35064" hidden="1" x14ac:dyDescent="0.35"/>
    <row r="35065" hidden="1" x14ac:dyDescent="0.35"/>
    <row r="35066" hidden="1" x14ac:dyDescent="0.35"/>
    <row r="35067" hidden="1" x14ac:dyDescent="0.35"/>
    <row r="35068" hidden="1" x14ac:dyDescent="0.35"/>
    <row r="35069" hidden="1" x14ac:dyDescent="0.35"/>
    <row r="35070" hidden="1" x14ac:dyDescent="0.35"/>
    <row r="35071" hidden="1" x14ac:dyDescent="0.35"/>
    <row r="35072" hidden="1" x14ac:dyDescent="0.35"/>
    <row r="35073" hidden="1" x14ac:dyDescent="0.35"/>
    <row r="35074" hidden="1" x14ac:dyDescent="0.35"/>
    <row r="35075" hidden="1" x14ac:dyDescent="0.35"/>
    <row r="35076" hidden="1" x14ac:dyDescent="0.35"/>
    <row r="35077" hidden="1" x14ac:dyDescent="0.35"/>
    <row r="35078" hidden="1" x14ac:dyDescent="0.35"/>
    <row r="35079" hidden="1" x14ac:dyDescent="0.35"/>
    <row r="35080" hidden="1" x14ac:dyDescent="0.35"/>
    <row r="35081" hidden="1" x14ac:dyDescent="0.35"/>
    <row r="35082" hidden="1" x14ac:dyDescent="0.35"/>
    <row r="35083" hidden="1" x14ac:dyDescent="0.35"/>
    <row r="35084" hidden="1" x14ac:dyDescent="0.35"/>
    <row r="35085" hidden="1" x14ac:dyDescent="0.35"/>
    <row r="35086" hidden="1" x14ac:dyDescent="0.35"/>
    <row r="35087" hidden="1" x14ac:dyDescent="0.35"/>
    <row r="35088" hidden="1" x14ac:dyDescent="0.35"/>
    <row r="35089" hidden="1" x14ac:dyDescent="0.35"/>
    <row r="35090" hidden="1" x14ac:dyDescent="0.35"/>
    <row r="35091" hidden="1" x14ac:dyDescent="0.35"/>
    <row r="35092" hidden="1" x14ac:dyDescent="0.35"/>
    <row r="35093" hidden="1" x14ac:dyDescent="0.35"/>
    <row r="35094" hidden="1" x14ac:dyDescent="0.35"/>
    <row r="35095" hidden="1" x14ac:dyDescent="0.35"/>
    <row r="35096" hidden="1" x14ac:dyDescent="0.35"/>
    <row r="35097" hidden="1" x14ac:dyDescent="0.35"/>
    <row r="35098" hidden="1" x14ac:dyDescent="0.35"/>
    <row r="35099" hidden="1" x14ac:dyDescent="0.35"/>
    <row r="35100" hidden="1" x14ac:dyDescent="0.35"/>
    <row r="35101" hidden="1" x14ac:dyDescent="0.35"/>
    <row r="35102" hidden="1" x14ac:dyDescent="0.35"/>
    <row r="35103" hidden="1" x14ac:dyDescent="0.35"/>
    <row r="35104" hidden="1" x14ac:dyDescent="0.35"/>
    <row r="35105" hidden="1" x14ac:dyDescent="0.35"/>
    <row r="35106" hidden="1" x14ac:dyDescent="0.35"/>
    <row r="35107" hidden="1" x14ac:dyDescent="0.35"/>
    <row r="35108" hidden="1" x14ac:dyDescent="0.35"/>
    <row r="35109" hidden="1" x14ac:dyDescent="0.35"/>
    <row r="35110" hidden="1" x14ac:dyDescent="0.35"/>
    <row r="35111" hidden="1" x14ac:dyDescent="0.35"/>
    <row r="35112" hidden="1" x14ac:dyDescent="0.35"/>
    <row r="35113" hidden="1" x14ac:dyDescent="0.35"/>
    <row r="35114" hidden="1" x14ac:dyDescent="0.35"/>
    <row r="35115" hidden="1" x14ac:dyDescent="0.35"/>
    <row r="35116" hidden="1" x14ac:dyDescent="0.35"/>
    <row r="35117" hidden="1" x14ac:dyDescent="0.35"/>
    <row r="35118" hidden="1" x14ac:dyDescent="0.35"/>
    <row r="35119" hidden="1" x14ac:dyDescent="0.35"/>
    <row r="35120" hidden="1" x14ac:dyDescent="0.35"/>
    <row r="35121" hidden="1" x14ac:dyDescent="0.35"/>
    <row r="35122" hidden="1" x14ac:dyDescent="0.35"/>
    <row r="35123" hidden="1" x14ac:dyDescent="0.35"/>
    <row r="35124" hidden="1" x14ac:dyDescent="0.35"/>
    <row r="35125" hidden="1" x14ac:dyDescent="0.35"/>
    <row r="35126" hidden="1" x14ac:dyDescent="0.35"/>
    <row r="35127" hidden="1" x14ac:dyDescent="0.35"/>
    <row r="35128" hidden="1" x14ac:dyDescent="0.35"/>
    <row r="35129" hidden="1" x14ac:dyDescent="0.35"/>
    <row r="35130" hidden="1" x14ac:dyDescent="0.35"/>
    <row r="35131" hidden="1" x14ac:dyDescent="0.35"/>
    <row r="35132" hidden="1" x14ac:dyDescent="0.35"/>
    <row r="35133" hidden="1" x14ac:dyDescent="0.35"/>
    <row r="35134" hidden="1" x14ac:dyDescent="0.35"/>
    <row r="35135" hidden="1" x14ac:dyDescent="0.35"/>
    <row r="35136" hidden="1" x14ac:dyDescent="0.35"/>
    <row r="35137" hidden="1" x14ac:dyDescent="0.35"/>
    <row r="35138" hidden="1" x14ac:dyDescent="0.35"/>
    <row r="35139" hidden="1" x14ac:dyDescent="0.35"/>
    <row r="35140" hidden="1" x14ac:dyDescent="0.35"/>
    <row r="35141" hidden="1" x14ac:dyDescent="0.35"/>
    <row r="35142" hidden="1" x14ac:dyDescent="0.35"/>
    <row r="35143" hidden="1" x14ac:dyDescent="0.35"/>
    <row r="35144" hidden="1" x14ac:dyDescent="0.35"/>
    <row r="35145" hidden="1" x14ac:dyDescent="0.35"/>
    <row r="35146" hidden="1" x14ac:dyDescent="0.35"/>
    <row r="35147" hidden="1" x14ac:dyDescent="0.35"/>
    <row r="35148" hidden="1" x14ac:dyDescent="0.35"/>
    <row r="35149" hidden="1" x14ac:dyDescent="0.35"/>
    <row r="35150" hidden="1" x14ac:dyDescent="0.35"/>
    <row r="35151" hidden="1" x14ac:dyDescent="0.35"/>
    <row r="35152" hidden="1" x14ac:dyDescent="0.35"/>
    <row r="35153" hidden="1" x14ac:dyDescent="0.35"/>
    <row r="35154" hidden="1" x14ac:dyDescent="0.35"/>
    <row r="35155" hidden="1" x14ac:dyDescent="0.35"/>
    <row r="35156" hidden="1" x14ac:dyDescent="0.35"/>
    <row r="35157" hidden="1" x14ac:dyDescent="0.35"/>
    <row r="35158" hidden="1" x14ac:dyDescent="0.35"/>
    <row r="35159" hidden="1" x14ac:dyDescent="0.35"/>
    <row r="35160" hidden="1" x14ac:dyDescent="0.35"/>
    <row r="35161" hidden="1" x14ac:dyDescent="0.35"/>
    <row r="35162" hidden="1" x14ac:dyDescent="0.35"/>
    <row r="35163" hidden="1" x14ac:dyDescent="0.35"/>
    <row r="35164" hidden="1" x14ac:dyDescent="0.35"/>
    <row r="35165" hidden="1" x14ac:dyDescent="0.35"/>
    <row r="35166" hidden="1" x14ac:dyDescent="0.35"/>
    <row r="35167" hidden="1" x14ac:dyDescent="0.35"/>
    <row r="35168" hidden="1" x14ac:dyDescent="0.35"/>
    <row r="35169" hidden="1" x14ac:dyDescent="0.35"/>
    <row r="35170" hidden="1" x14ac:dyDescent="0.35"/>
    <row r="35171" hidden="1" x14ac:dyDescent="0.35"/>
    <row r="35172" hidden="1" x14ac:dyDescent="0.35"/>
    <row r="35173" hidden="1" x14ac:dyDescent="0.35"/>
    <row r="35174" hidden="1" x14ac:dyDescent="0.35"/>
    <row r="35175" hidden="1" x14ac:dyDescent="0.35"/>
    <row r="35176" hidden="1" x14ac:dyDescent="0.35"/>
    <row r="35177" hidden="1" x14ac:dyDescent="0.35"/>
    <row r="35178" hidden="1" x14ac:dyDescent="0.35"/>
    <row r="35179" hidden="1" x14ac:dyDescent="0.35"/>
    <row r="35180" hidden="1" x14ac:dyDescent="0.35"/>
    <row r="35181" hidden="1" x14ac:dyDescent="0.35"/>
    <row r="35182" hidden="1" x14ac:dyDescent="0.35"/>
    <row r="35183" hidden="1" x14ac:dyDescent="0.35"/>
    <row r="35184" hidden="1" x14ac:dyDescent="0.35"/>
    <row r="35185" hidden="1" x14ac:dyDescent="0.35"/>
    <row r="35186" hidden="1" x14ac:dyDescent="0.35"/>
    <row r="35187" hidden="1" x14ac:dyDescent="0.35"/>
    <row r="35188" hidden="1" x14ac:dyDescent="0.35"/>
    <row r="35189" hidden="1" x14ac:dyDescent="0.35"/>
    <row r="35190" hidden="1" x14ac:dyDescent="0.35"/>
    <row r="35191" hidden="1" x14ac:dyDescent="0.35"/>
    <row r="35192" hidden="1" x14ac:dyDescent="0.35"/>
    <row r="35193" hidden="1" x14ac:dyDescent="0.35"/>
    <row r="35194" hidden="1" x14ac:dyDescent="0.35"/>
    <row r="35195" hidden="1" x14ac:dyDescent="0.35"/>
    <row r="35196" hidden="1" x14ac:dyDescent="0.35"/>
    <row r="35197" hidden="1" x14ac:dyDescent="0.35"/>
    <row r="35198" hidden="1" x14ac:dyDescent="0.35"/>
    <row r="35199" hidden="1" x14ac:dyDescent="0.35"/>
    <row r="35200" hidden="1" x14ac:dyDescent="0.35"/>
    <row r="35201" hidden="1" x14ac:dyDescent="0.35"/>
    <row r="35202" hidden="1" x14ac:dyDescent="0.35"/>
    <row r="35203" hidden="1" x14ac:dyDescent="0.35"/>
    <row r="35204" hidden="1" x14ac:dyDescent="0.35"/>
    <row r="35205" hidden="1" x14ac:dyDescent="0.35"/>
    <row r="35206" hidden="1" x14ac:dyDescent="0.35"/>
    <row r="35207" hidden="1" x14ac:dyDescent="0.35"/>
    <row r="35208" hidden="1" x14ac:dyDescent="0.35"/>
    <row r="35209" hidden="1" x14ac:dyDescent="0.35"/>
    <row r="35210" hidden="1" x14ac:dyDescent="0.35"/>
    <row r="35211" hidden="1" x14ac:dyDescent="0.35"/>
    <row r="35212" hidden="1" x14ac:dyDescent="0.35"/>
    <row r="35213" hidden="1" x14ac:dyDescent="0.35"/>
    <row r="35214" hidden="1" x14ac:dyDescent="0.35"/>
    <row r="35215" hidden="1" x14ac:dyDescent="0.35"/>
    <row r="35216" hidden="1" x14ac:dyDescent="0.35"/>
    <row r="35217" hidden="1" x14ac:dyDescent="0.35"/>
    <row r="35218" hidden="1" x14ac:dyDescent="0.35"/>
    <row r="35219" hidden="1" x14ac:dyDescent="0.35"/>
    <row r="35220" hidden="1" x14ac:dyDescent="0.35"/>
    <row r="35221" hidden="1" x14ac:dyDescent="0.35"/>
    <row r="35222" hidden="1" x14ac:dyDescent="0.35"/>
    <row r="35223" hidden="1" x14ac:dyDescent="0.35"/>
    <row r="35224" hidden="1" x14ac:dyDescent="0.35"/>
    <row r="35225" hidden="1" x14ac:dyDescent="0.35"/>
    <row r="35226" hidden="1" x14ac:dyDescent="0.35"/>
    <row r="35227" hidden="1" x14ac:dyDescent="0.35"/>
    <row r="35228" hidden="1" x14ac:dyDescent="0.35"/>
    <row r="35229" hidden="1" x14ac:dyDescent="0.35"/>
    <row r="35230" hidden="1" x14ac:dyDescent="0.35"/>
    <row r="35231" hidden="1" x14ac:dyDescent="0.35"/>
    <row r="35232" hidden="1" x14ac:dyDescent="0.35"/>
    <row r="35233" hidden="1" x14ac:dyDescent="0.35"/>
    <row r="35234" hidden="1" x14ac:dyDescent="0.35"/>
    <row r="35235" hidden="1" x14ac:dyDescent="0.35"/>
    <row r="35236" hidden="1" x14ac:dyDescent="0.35"/>
    <row r="35237" hidden="1" x14ac:dyDescent="0.35"/>
    <row r="35238" hidden="1" x14ac:dyDescent="0.35"/>
    <row r="35239" hidden="1" x14ac:dyDescent="0.35"/>
    <row r="35240" hidden="1" x14ac:dyDescent="0.35"/>
    <row r="35241" hidden="1" x14ac:dyDescent="0.35"/>
    <row r="35242" hidden="1" x14ac:dyDescent="0.35"/>
    <row r="35243" hidden="1" x14ac:dyDescent="0.35"/>
    <row r="35244" hidden="1" x14ac:dyDescent="0.35"/>
    <row r="35245" hidden="1" x14ac:dyDescent="0.35"/>
    <row r="35246" hidden="1" x14ac:dyDescent="0.35"/>
    <row r="35247" hidden="1" x14ac:dyDescent="0.35"/>
    <row r="35248" hidden="1" x14ac:dyDescent="0.35"/>
    <row r="35249" hidden="1" x14ac:dyDescent="0.35"/>
    <row r="35250" hidden="1" x14ac:dyDescent="0.35"/>
    <row r="35251" hidden="1" x14ac:dyDescent="0.35"/>
    <row r="35252" hidden="1" x14ac:dyDescent="0.35"/>
    <row r="35253" hidden="1" x14ac:dyDescent="0.35"/>
    <row r="35254" hidden="1" x14ac:dyDescent="0.35"/>
    <row r="35255" hidden="1" x14ac:dyDescent="0.35"/>
    <row r="35256" hidden="1" x14ac:dyDescent="0.35"/>
    <row r="35257" hidden="1" x14ac:dyDescent="0.35"/>
    <row r="35258" hidden="1" x14ac:dyDescent="0.35"/>
    <row r="35259" hidden="1" x14ac:dyDescent="0.35"/>
    <row r="35260" hidden="1" x14ac:dyDescent="0.35"/>
    <row r="35261" hidden="1" x14ac:dyDescent="0.35"/>
    <row r="35262" hidden="1" x14ac:dyDescent="0.35"/>
    <row r="35263" hidden="1" x14ac:dyDescent="0.35"/>
    <row r="35264" hidden="1" x14ac:dyDescent="0.35"/>
    <row r="35265" hidden="1" x14ac:dyDescent="0.35"/>
    <row r="35266" hidden="1" x14ac:dyDescent="0.35"/>
    <row r="35267" hidden="1" x14ac:dyDescent="0.35"/>
    <row r="35268" hidden="1" x14ac:dyDescent="0.35"/>
    <row r="35269" hidden="1" x14ac:dyDescent="0.35"/>
    <row r="35270" hidden="1" x14ac:dyDescent="0.35"/>
    <row r="35271" hidden="1" x14ac:dyDescent="0.35"/>
    <row r="35272" hidden="1" x14ac:dyDescent="0.35"/>
    <row r="35273" hidden="1" x14ac:dyDescent="0.35"/>
    <row r="35274" hidden="1" x14ac:dyDescent="0.35"/>
    <row r="35275" hidden="1" x14ac:dyDescent="0.35"/>
    <row r="35276" hidden="1" x14ac:dyDescent="0.35"/>
    <row r="35277" hidden="1" x14ac:dyDescent="0.35"/>
    <row r="35278" hidden="1" x14ac:dyDescent="0.35"/>
    <row r="35279" hidden="1" x14ac:dyDescent="0.35"/>
    <row r="35280" hidden="1" x14ac:dyDescent="0.35"/>
    <row r="35281" hidden="1" x14ac:dyDescent="0.35"/>
    <row r="35282" hidden="1" x14ac:dyDescent="0.35"/>
    <row r="35283" hidden="1" x14ac:dyDescent="0.35"/>
    <row r="35284" hidden="1" x14ac:dyDescent="0.35"/>
    <row r="35285" hidden="1" x14ac:dyDescent="0.35"/>
    <row r="35286" hidden="1" x14ac:dyDescent="0.35"/>
    <row r="35287" hidden="1" x14ac:dyDescent="0.35"/>
    <row r="35288" hidden="1" x14ac:dyDescent="0.35"/>
    <row r="35289" hidden="1" x14ac:dyDescent="0.35"/>
    <row r="35290" hidden="1" x14ac:dyDescent="0.35"/>
    <row r="35291" hidden="1" x14ac:dyDescent="0.35"/>
    <row r="35292" hidden="1" x14ac:dyDescent="0.35"/>
    <row r="35293" hidden="1" x14ac:dyDescent="0.35"/>
    <row r="35294" hidden="1" x14ac:dyDescent="0.35"/>
    <row r="35295" hidden="1" x14ac:dyDescent="0.35"/>
    <row r="35296" hidden="1" x14ac:dyDescent="0.35"/>
    <row r="35297" hidden="1" x14ac:dyDescent="0.35"/>
    <row r="35298" hidden="1" x14ac:dyDescent="0.35"/>
    <row r="35299" hidden="1" x14ac:dyDescent="0.35"/>
    <row r="35300" hidden="1" x14ac:dyDescent="0.35"/>
    <row r="35301" hidden="1" x14ac:dyDescent="0.35"/>
    <row r="35302" hidden="1" x14ac:dyDescent="0.35"/>
    <row r="35303" hidden="1" x14ac:dyDescent="0.35"/>
    <row r="35304" hidden="1" x14ac:dyDescent="0.35"/>
    <row r="35305" hidden="1" x14ac:dyDescent="0.35"/>
    <row r="35306" hidden="1" x14ac:dyDescent="0.35"/>
    <row r="35307" hidden="1" x14ac:dyDescent="0.35"/>
    <row r="35308" hidden="1" x14ac:dyDescent="0.35"/>
    <row r="35309" hidden="1" x14ac:dyDescent="0.35"/>
    <row r="35310" hidden="1" x14ac:dyDescent="0.35"/>
    <row r="35311" hidden="1" x14ac:dyDescent="0.35"/>
    <row r="35312" hidden="1" x14ac:dyDescent="0.35"/>
    <row r="35313" hidden="1" x14ac:dyDescent="0.35"/>
    <row r="35314" hidden="1" x14ac:dyDescent="0.35"/>
    <row r="35315" hidden="1" x14ac:dyDescent="0.35"/>
    <row r="35316" hidden="1" x14ac:dyDescent="0.35"/>
    <row r="35317" hidden="1" x14ac:dyDescent="0.35"/>
    <row r="35318" hidden="1" x14ac:dyDescent="0.35"/>
    <row r="35319" hidden="1" x14ac:dyDescent="0.35"/>
    <row r="35320" hidden="1" x14ac:dyDescent="0.35"/>
    <row r="35321" hidden="1" x14ac:dyDescent="0.35"/>
    <row r="35322" hidden="1" x14ac:dyDescent="0.35"/>
    <row r="35323" hidden="1" x14ac:dyDescent="0.35"/>
    <row r="35324" hidden="1" x14ac:dyDescent="0.35"/>
    <row r="35325" hidden="1" x14ac:dyDescent="0.35"/>
    <row r="35326" hidden="1" x14ac:dyDescent="0.35"/>
    <row r="35327" hidden="1" x14ac:dyDescent="0.35"/>
    <row r="35328" hidden="1" x14ac:dyDescent="0.35"/>
    <row r="35329" hidden="1" x14ac:dyDescent="0.35"/>
    <row r="35330" hidden="1" x14ac:dyDescent="0.35"/>
    <row r="35331" hidden="1" x14ac:dyDescent="0.35"/>
    <row r="35332" hidden="1" x14ac:dyDescent="0.35"/>
    <row r="35333" hidden="1" x14ac:dyDescent="0.35"/>
    <row r="35334" hidden="1" x14ac:dyDescent="0.35"/>
    <row r="35335" hidden="1" x14ac:dyDescent="0.35"/>
    <row r="35336" hidden="1" x14ac:dyDescent="0.35"/>
    <row r="35337" hidden="1" x14ac:dyDescent="0.35"/>
    <row r="35338" hidden="1" x14ac:dyDescent="0.35"/>
    <row r="35339" hidden="1" x14ac:dyDescent="0.35"/>
    <row r="35340" hidden="1" x14ac:dyDescent="0.35"/>
    <row r="35341" hidden="1" x14ac:dyDescent="0.35"/>
    <row r="35342" hidden="1" x14ac:dyDescent="0.35"/>
    <row r="35343" hidden="1" x14ac:dyDescent="0.35"/>
    <row r="35344" hidden="1" x14ac:dyDescent="0.35"/>
    <row r="35345" hidden="1" x14ac:dyDescent="0.35"/>
    <row r="35346" hidden="1" x14ac:dyDescent="0.35"/>
    <row r="35347" hidden="1" x14ac:dyDescent="0.35"/>
    <row r="35348" hidden="1" x14ac:dyDescent="0.35"/>
    <row r="35349" hidden="1" x14ac:dyDescent="0.35"/>
    <row r="35350" hidden="1" x14ac:dyDescent="0.35"/>
    <row r="35351" hidden="1" x14ac:dyDescent="0.35"/>
    <row r="35352" hidden="1" x14ac:dyDescent="0.35"/>
    <row r="35353" hidden="1" x14ac:dyDescent="0.35"/>
    <row r="35354" hidden="1" x14ac:dyDescent="0.35"/>
    <row r="35355" hidden="1" x14ac:dyDescent="0.35"/>
    <row r="35356" hidden="1" x14ac:dyDescent="0.35"/>
    <row r="35357" hidden="1" x14ac:dyDescent="0.35"/>
    <row r="35358" hidden="1" x14ac:dyDescent="0.35"/>
    <row r="35359" hidden="1" x14ac:dyDescent="0.35"/>
    <row r="35360" hidden="1" x14ac:dyDescent="0.35"/>
    <row r="35361" hidden="1" x14ac:dyDescent="0.35"/>
    <row r="35362" hidden="1" x14ac:dyDescent="0.35"/>
    <row r="35363" hidden="1" x14ac:dyDescent="0.35"/>
    <row r="35364" hidden="1" x14ac:dyDescent="0.35"/>
    <row r="35365" hidden="1" x14ac:dyDescent="0.35"/>
    <row r="35366" hidden="1" x14ac:dyDescent="0.35"/>
    <row r="35367" hidden="1" x14ac:dyDescent="0.35"/>
    <row r="35368" hidden="1" x14ac:dyDescent="0.35"/>
    <row r="35369" hidden="1" x14ac:dyDescent="0.35"/>
    <row r="35370" hidden="1" x14ac:dyDescent="0.35"/>
    <row r="35371" hidden="1" x14ac:dyDescent="0.35"/>
    <row r="35372" hidden="1" x14ac:dyDescent="0.35"/>
    <row r="35373" hidden="1" x14ac:dyDescent="0.35"/>
    <row r="35374" hidden="1" x14ac:dyDescent="0.35"/>
    <row r="35375" hidden="1" x14ac:dyDescent="0.35"/>
    <row r="35376" hidden="1" x14ac:dyDescent="0.35"/>
    <row r="35377" hidden="1" x14ac:dyDescent="0.35"/>
    <row r="35378" hidden="1" x14ac:dyDescent="0.35"/>
    <row r="35379" hidden="1" x14ac:dyDescent="0.35"/>
    <row r="35380" hidden="1" x14ac:dyDescent="0.35"/>
    <row r="35381" hidden="1" x14ac:dyDescent="0.35"/>
    <row r="35382" hidden="1" x14ac:dyDescent="0.35"/>
    <row r="35383" hidden="1" x14ac:dyDescent="0.35"/>
    <row r="35384" hidden="1" x14ac:dyDescent="0.35"/>
    <row r="35385" hidden="1" x14ac:dyDescent="0.35"/>
    <row r="35386" hidden="1" x14ac:dyDescent="0.35"/>
    <row r="35387" hidden="1" x14ac:dyDescent="0.35"/>
    <row r="35388" hidden="1" x14ac:dyDescent="0.35"/>
    <row r="35389" hidden="1" x14ac:dyDescent="0.35"/>
    <row r="35390" hidden="1" x14ac:dyDescent="0.35"/>
    <row r="35391" hidden="1" x14ac:dyDescent="0.35"/>
    <row r="35392" hidden="1" x14ac:dyDescent="0.35"/>
    <row r="35393" hidden="1" x14ac:dyDescent="0.35"/>
    <row r="35394" hidden="1" x14ac:dyDescent="0.35"/>
    <row r="35395" hidden="1" x14ac:dyDescent="0.35"/>
    <row r="35396" hidden="1" x14ac:dyDescent="0.35"/>
    <row r="35397" hidden="1" x14ac:dyDescent="0.35"/>
    <row r="35398" hidden="1" x14ac:dyDescent="0.35"/>
    <row r="35399" hidden="1" x14ac:dyDescent="0.35"/>
    <row r="35400" hidden="1" x14ac:dyDescent="0.35"/>
    <row r="35401" hidden="1" x14ac:dyDescent="0.35"/>
    <row r="35402" hidden="1" x14ac:dyDescent="0.35"/>
    <row r="35403" hidden="1" x14ac:dyDescent="0.35"/>
    <row r="35404" hidden="1" x14ac:dyDescent="0.35"/>
    <row r="35405" hidden="1" x14ac:dyDescent="0.35"/>
    <row r="35406" hidden="1" x14ac:dyDescent="0.35"/>
    <row r="35407" hidden="1" x14ac:dyDescent="0.35"/>
    <row r="35408" hidden="1" x14ac:dyDescent="0.35"/>
    <row r="35409" hidden="1" x14ac:dyDescent="0.35"/>
    <row r="35410" hidden="1" x14ac:dyDescent="0.35"/>
    <row r="35411" hidden="1" x14ac:dyDescent="0.35"/>
    <row r="35412" hidden="1" x14ac:dyDescent="0.35"/>
    <row r="35413" hidden="1" x14ac:dyDescent="0.35"/>
    <row r="35414" hidden="1" x14ac:dyDescent="0.35"/>
    <row r="35415" hidden="1" x14ac:dyDescent="0.35"/>
    <row r="35416" hidden="1" x14ac:dyDescent="0.35"/>
    <row r="35417" hidden="1" x14ac:dyDescent="0.35"/>
    <row r="35418" hidden="1" x14ac:dyDescent="0.35"/>
    <row r="35419" hidden="1" x14ac:dyDescent="0.35"/>
    <row r="35420" hidden="1" x14ac:dyDescent="0.35"/>
    <row r="35421" hidden="1" x14ac:dyDescent="0.35"/>
    <row r="35422" hidden="1" x14ac:dyDescent="0.35"/>
    <row r="35423" hidden="1" x14ac:dyDescent="0.35"/>
    <row r="35424" hidden="1" x14ac:dyDescent="0.35"/>
    <row r="35425" hidden="1" x14ac:dyDescent="0.35"/>
    <row r="35426" hidden="1" x14ac:dyDescent="0.35"/>
    <row r="35427" hidden="1" x14ac:dyDescent="0.35"/>
    <row r="35428" hidden="1" x14ac:dyDescent="0.35"/>
    <row r="35429" hidden="1" x14ac:dyDescent="0.35"/>
    <row r="35430" hidden="1" x14ac:dyDescent="0.35"/>
    <row r="35431" hidden="1" x14ac:dyDescent="0.35"/>
    <row r="35432" hidden="1" x14ac:dyDescent="0.35"/>
    <row r="35433" hidden="1" x14ac:dyDescent="0.35"/>
    <row r="35434" hidden="1" x14ac:dyDescent="0.35"/>
    <row r="35435" hidden="1" x14ac:dyDescent="0.35"/>
    <row r="35436" hidden="1" x14ac:dyDescent="0.35"/>
    <row r="35437" hidden="1" x14ac:dyDescent="0.35"/>
    <row r="35438" hidden="1" x14ac:dyDescent="0.35"/>
    <row r="35439" hidden="1" x14ac:dyDescent="0.35"/>
    <row r="35440" hidden="1" x14ac:dyDescent="0.35"/>
    <row r="35441" hidden="1" x14ac:dyDescent="0.35"/>
    <row r="35442" hidden="1" x14ac:dyDescent="0.35"/>
    <row r="35443" hidden="1" x14ac:dyDescent="0.35"/>
    <row r="35444" hidden="1" x14ac:dyDescent="0.35"/>
    <row r="35445" hidden="1" x14ac:dyDescent="0.35"/>
    <row r="35446" hidden="1" x14ac:dyDescent="0.35"/>
    <row r="35447" hidden="1" x14ac:dyDescent="0.35"/>
    <row r="35448" hidden="1" x14ac:dyDescent="0.35"/>
    <row r="35449" hidden="1" x14ac:dyDescent="0.35"/>
    <row r="35450" hidden="1" x14ac:dyDescent="0.35"/>
    <row r="35451" hidden="1" x14ac:dyDescent="0.35"/>
    <row r="35452" hidden="1" x14ac:dyDescent="0.35"/>
    <row r="35453" hidden="1" x14ac:dyDescent="0.35"/>
    <row r="35454" hidden="1" x14ac:dyDescent="0.35"/>
    <row r="35455" hidden="1" x14ac:dyDescent="0.35"/>
    <row r="35456" hidden="1" x14ac:dyDescent="0.35"/>
    <row r="35457" hidden="1" x14ac:dyDescent="0.35"/>
    <row r="35458" hidden="1" x14ac:dyDescent="0.35"/>
    <row r="35459" hidden="1" x14ac:dyDescent="0.35"/>
    <row r="35460" hidden="1" x14ac:dyDescent="0.35"/>
    <row r="35461" hidden="1" x14ac:dyDescent="0.35"/>
    <row r="35462" hidden="1" x14ac:dyDescent="0.35"/>
    <row r="35463" hidden="1" x14ac:dyDescent="0.35"/>
    <row r="35464" hidden="1" x14ac:dyDescent="0.35"/>
    <row r="35465" hidden="1" x14ac:dyDescent="0.35"/>
    <row r="35466" hidden="1" x14ac:dyDescent="0.35"/>
    <row r="35467" hidden="1" x14ac:dyDescent="0.35"/>
    <row r="35468" hidden="1" x14ac:dyDescent="0.35"/>
    <row r="35469" hidden="1" x14ac:dyDescent="0.35"/>
    <row r="35470" hidden="1" x14ac:dyDescent="0.35"/>
    <row r="35471" hidden="1" x14ac:dyDescent="0.35"/>
    <row r="35472" hidden="1" x14ac:dyDescent="0.35"/>
    <row r="35473" hidden="1" x14ac:dyDescent="0.35"/>
    <row r="35474" hidden="1" x14ac:dyDescent="0.35"/>
    <row r="35475" hidden="1" x14ac:dyDescent="0.35"/>
    <row r="35476" hidden="1" x14ac:dyDescent="0.35"/>
    <row r="35477" hidden="1" x14ac:dyDescent="0.35"/>
    <row r="35478" hidden="1" x14ac:dyDescent="0.35"/>
    <row r="35479" hidden="1" x14ac:dyDescent="0.35"/>
    <row r="35480" hidden="1" x14ac:dyDescent="0.35"/>
    <row r="35481" hidden="1" x14ac:dyDescent="0.35"/>
    <row r="35482" hidden="1" x14ac:dyDescent="0.35"/>
    <row r="35483" hidden="1" x14ac:dyDescent="0.35"/>
    <row r="35484" hidden="1" x14ac:dyDescent="0.35"/>
    <row r="35485" hidden="1" x14ac:dyDescent="0.35"/>
    <row r="35486" hidden="1" x14ac:dyDescent="0.35"/>
    <row r="35487" hidden="1" x14ac:dyDescent="0.35"/>
    <row r="35488" hidden="1" x14ac:dyDescent="0.35"/>
    <row r="35489" hidden="1" x14ac:dyDescent="0.35"/>
    <row r="35490" hidden="1" x14ac:dyDescent="0.35"/>
    <row r="35491" hidden="1" x14ac:dyDescent="0.35"/>
    <row r="35492" hidden="1" x14ac:dyDescent="0.35"/>
    <row r="35493" hidden="1" x14ac:dyDescent="0.35"/>
    <row r="35494" hidden="1" x14ac:dyDescent="0.35"/>
    <row r="35495" hidden="1" x14ac:dyDescent="0.35"/>
    <row r="35496" hidden="1" x14ac:dyDescent="0.35"/>
    <row r="35497" hidden="1" x14ac:dyDescent="0.35"/>
    <row r="35498" hidden="1" x14ac:dyDescent="0.35"/>
    <row r="35499" hidden="1" x14ac:dyDescent="0.35"/>
    <row r="35500" hidden="1" x14ac:dyDescent="0.35"/>
    <row r="35501" hidden="1" x14ac:dyDescent="0.35"/>
    <row r="35502" hidden="1" x14ac:dyDescent="0.35"/>
    <row r="35503" hidden="1" x14ac:dyDescent="0.35"/>
    <row r="35504" hidden="1" x14ac:dyDescent="0.35"/>
    <row r="35505" hidden="1" x14ac:dyDescent="0.35"/>
    <row r="35506" hidden="1" x14ac:dyDescent="0.35"/>
    <row r="35507" hidden="1" x14ac:dyDescent="0.35"/>
    <row r="35508" hidden="1" x14ac:dyDescent="0.35"/>
    <row r="35509" hidden="1" x14ac:dyDescent="0.35"/>
    <row r="35510" hidden="1" x14ac:dyDescent="0.35"/>
    <row r="35511" hidden="1" x14ac:dyDescent="0.35"/>
    <row r="35512" hidden="1" x14ac:dyDescent="0.35"/>
    <row r="35513" hidden="1" x14ac:dyDescent="0.35"/>
    <row r="35514" hidden="1" x14ac:dyDescent="0.35"/>
    <row r="35515" hidden="1" x14ac:dyDescent="0.35"/>
    <row r="35516" hidden="1" x14ac:dyDescent="0.35"/>
    <row r="35517" hidden="1" x14ac:dyDescent="0.35"/>
    <row r="35518" hidden="1" x14ac:dyDescent="0.35"/>
    <row r="35519" hidden="1" x14ac:dyDescent="0.35"/>
    <row r="35520" hidden="1" x14ac:dyDescent="0.35"/>
    <row r="35521" hidden="1" x14ac:dyDescent="0.35"/>
    <row r="35522" hidden="1" x14ac:dyDescent="0.35"/>
    <row r="35523" hidden="1" x14ac:dyDescent="0.35"/>
    <row r="35524" hidden="1" x14ac:dyDescent="0.35"/>
    <row r="35525" hidden="1" x14ac:dyDescent="0.35"/>
    <row r="35526" hidden="1" x14ac:dyDescent="0.35"/>
    <row r="35527" hidden="1" x14ac:dyDescent="0.35"/>
    <row r="35528" hidden="1" x14ac:dyDescent="0.35"/>
    <row r="35529" hidden="1" x14ac:dyDescent="0.35"/>
    <row r="35530" hidden="1" x14ac:dyDescent="0.35"/>
    <row r="35531" hidden="1" x14ac:dyDescent="0.35"/>
    <row r="35532" hidden="1" x14ac:dyDescent="0.35"/>
    <row r="35533" hidden="1" x14ac:dyDescent="0.35"/>
    <row r="35534" hidden="1" x14ac:dyDescent="0.35"/>
    <row r="35535" hidden="1" x14ac:dyDescent="0.35"/>
    <row r="35536" hidden="1" x14ac:dyDescent="0.35"/>
    <row r="35537" hidden="1" x14ac:dyDescent="0.35"/>
    <row r="35538" hidden="1" x14ac:dyDescent="0.35"/>
    <row r="35539" hidden="1" x14ac:dyDescent="0.35"/>
    <row r="35540" hidden="1" x14ac:dyDescent="0.35"/>
    <row r="35541" hidden="1" x14ac:dyDescent="0.35"/>
    <row r="35542" hidden="1" x14ac:dyDescent="0.35"/>
    <row r="35543" hidden="1" x14ac:dyDescent="0.35"/>
    <row r="35544" hidden="1" x14ac:dyDescent="0.35"/>
    <row r="35545" hidden="1" x14ac:dyDescent="0.35"/>
    <row r="35546" hidden="1" x14ac:dyDescent="0.35"/>
    <row r="35547" hidden="1" x14ac:dyDescent="0.35"/>
    <row r="35548" hidden="1" x14ac:dyDescent="0.35"/>
    <row r="35549" hidden="1" x14ac:dyDescent="0.35"/>
    <row r="35550" hidden="1" x14ac:dyDescent="0.35"/>
    <row r="35551" hidden="1" x14ac:dyDescent="0.35"/>
    <row r="35552" hidden="1" x14ac:dyDescent="0.35"/>
    <row r="35553" hidden="1" x14ac:dyDescent="0.35"/>
    <row r="35554" hidden="1" x14ac:dyDescent="0.35"/>
    <row r="35555" hidden="1" x14ac:dyDescent="0.35"/>
    <row r="35556" hidden="1" x14ac:dyDescent="0.35"/>
    <row r="35557" hidden="1" x14ac:dyDescent="0.35"/>
    <row r="35558" hidden="1" x14ac:dyDescent="0.35"/>
    <row r="35559" hidden="1" x14ac:dyDescent="0.35"/>
    <row r="35560" hidden="1" x14ac:dyDescent="0.35"/>
    <row r="35561" hidden="1" x14ac:dyDescent="0.35"/>
    <row r="35562" hidden="1" x14ac:dyDescent="0.35"/>
    <row r="35563" hidden="1" x14ac:dyDescent="0.35"/>
    <row r="35564" hidden="1" x14ac:dyDescent="0.35"/>
    <row r="35565" hidden="1" x14ac:dyDescent="0.35"/>
    <row r="35566" hidden="1" x14ac:dyDescent="0.35"/>
    <row r="35567" hidden="1" x14ac:dyDescent="0.35"/>
    <row r="35568" hidden="1" x14ac:dyDescent="0.35"/>
    <row r="35569" hidden="1" x14ac:dyDescent="0.35"/>
    <row r="35570" hidden="1" x14ac:dyDescent="0.35"/>
    <row r="35571" hidden="1" x14ac:dyDescent="0.35"/>
    <row r="35572" hidden="1" x14ac:dyDescent="0.35"/>
    <row r="35573" hidden="1" x14ac:dyDescent="0.35"/>
    <row r="35574" hidden="1" x14ac:dyDescent="0.35"/>
    <row r="35575" hidden="1" x14ac:dyDescent="0.35"/>
    <row r="35576" hidden="1" x14ac:dyDescent="0.35"/>
    <row r="35577" hidden="1" x14ac:dyDescent="0.35"/>
    <row r="35578" hidden="1" x14ac:dyDescent="0.35"/>
    <row r="35579" hidden="1" x14ac:dyDescent="0.35"/>
    <row r="35580" hidden="1" x14ac:dyDescent="0.35"/>
    <row r="35581" hidden="1" x14ac:dyDescent="0.35"/>
    <row r="35582" hidden="1" x14ac:dyDescent="0.35"/>
    <row r="35583" hidden="1" x14ac:dyDescent="0.35"/>
    <row r="35584" hidden="1" x14ac:dyDescent="0.35"/>
    <row r="35585" hidden="1" x14ac:dyDescent="0.35"/>
    <row r="35586" hidden="1" x14ac:dyDescent="0.35"/>
    <row r="35587" hidden="1" x14ac:dyDescent="0.35"/>
    <row r="35588" hidden="1" x14ac:dyDescent="0.35"/>
    <row r="35589" hidden="1" x14ac:dyDescent="0.35"/>
    <row r="35590" hidden="1" x14ac:dyDescent="0.35"/>
    <row r="35591" hidden="1" x14ac:dyDescent="0.35"/>
    <row r="35592" hidden="1" x14ac:dyDescent="0.35"/>
    <row r="35593" hidden="1" x14ac:dyDescent="0.35"/>
    <row r="35594" hidden="1" x14ac:dyDescent="0.35"/>
    <row r="35595" hidden="1" x14ac:dyDescent="0.35"/>
    <row r="35596" hidden="1" x14ac:dyDescent="0.35"/>
    <row r="35597" hidden="1" x14ac:dyDescent="0.35"/>
    <row r="35598" hidden="1" x14ac:dyDescent="0.35"/>
    <row r="35599" hidden="1" x14ac:dyDescent="0.35"/>
    <row r="35600" hidden="1" x14ac:dyDescent="0.35"/>
    <row r="35601" hidden="1" x14ac:dyDescent="0.35"/>
    <row r="35602" hidden="1" x14ac:dyDescent="0.35"/>
    <row r="35603" hidden="1" x14ac:dyDescent="0.35"/>
    <row r="35604" hidden="1" x14ac:dyDescent="0.35"/>
    <row r="35605" hidden="1" x14ac:dyDescent="0.35"/>
    <row r="35606" hidden="1" x14ac:dyDescent="0.35"/>
    <row r="35607" hidden="1" x14ac:dyDescent="0.35"/>
    <row r="35608" hidden="1" x14ac:dyDescent="0.35"/>
    <row r="35609" hidden="1" x14ac:dyDescent="0.35"/>
    <row r="35610" hidden="1" x14ac:dyDescent="0.35"/>
    <row r="35611" hidden="1" x14ac:dyDescent="0.35"/>
    <row r="35612" hidden="1" x14ac:dyDescent="0.35"/>
    <row r="35613" hidden="1" x14ac:dyDescent="0.35"/>
    <row r="35614" hidden="1" x14ac:dyDescent="0.35"/>
    <row r="35615" hidden="1" x14ac:dyDescent="0.35"/>
    <row r="35616" hidden="1" x14ac:dyDescent="0.35"/>
    <row r="35617" hidden="1" x14ac:dyDescent="0.35"/>
    <row r="35618" hidden="1" x14ac:dyDescent="0.35"/>
    <row r="35619" hidden="1" x14ac:dyDescent="0.35"/>
    <row r="35620" hidden="1" x14ac:dyDescent="0.35"/>
    <row r="35621" hidden="1" x14ac:dyDescent="0.35"/>
    <row r="35622" hidden="1" x14ac:dyDescent="0.35"/>
    <row r="35623" hidden="1" x14ac:dyDescent="0.35"/>
    <row r="35624" hidden="1" x14ac:dyDescent="0.35"/>
    <row r="35625" hidden="1" x14ac:dyDescent="0.35"/>
    <row r="35626" hidden="1" x14ac:dyDescent="0.35"/>
    <row r="35627" hidden="1" x14ac:dyDescent="0.35"/>
    <row r="35628" hidden="1" x14ac:dyDescent="0.35"/>
    <row r="35629" hidden="1" x14ac:dyDescent="0.35"/>
    <row r="35630" hidden="1" x14ac:dyDescent="0.35"/>
    <row r="35631" hidden="1" x14ac:dyDescent="0.35"/>
    <row r="35632" hidden="1" x14ac:dyDescent="0.35"/>
    <row r="35633" hidden="1" x14ac:dyDescent="0.35"/>
    <row r="35634" hidden="1" x14ac:dyDescent="0.35"/>
    <row r="35635" hidden="1" x14ac:dyDescent="0.35"/>
    <row r="35636" hidden="1" x14ac:dyDescent="0.35"/>
    <row r="35637" hidden="1" x14ac:dyDescent="0.35"/>
    <row r="35638" hidden="1" x14ac:dyDescent="0.35"/>
    <row r="35639" hidden="1" x14ac:dyDescent="0.35"/>
    <row r="35640" hidden="1" x14ac:dyDescent="0.35"/>
    <row r="35641" hidden="1" x14ac:dyDescent="0.35"/>
    <row r="35642" hidden="1" x14ac:dyDescent="0.35"/>
    <row r="35643" hidden="1" x14ac:dyDescent="0.35"/>
    <row r="35644" hidden="1" x14ac:dyDescent="0.35"/>
    <row r="35645" hidden="1" x14ac:dyDescent="0.35"/>
    <row r="35646" hidden="1" x14ac:dyDescent="0.35"/>
    <row r="35647" hidden="1" x14ac:dyDescent="0.35"/>
    <row r="35648" hidden="1" x14ac:dyDescent="0.35"/>
    <row r="35649" hidden="1" x14ac:dyDescent="0.35"/>
    <row r="35650" hidden="1" x14ac:dyDescent="0.35"/>
    <row r="35651" hidden="1" x14ac:dyDescent="0.35"/>
    <row r="35652" hidden="1" x14ac:dyDescent="0.35"/>
    <row r="35653" hidden="1" x14ac:dyDescent="0.35"/>
    <row r="35654" hidden="1" x14ac:dyDescent="0.35"/>
    <row r="35655" hidden="1" x14ac:dyDescent="0.35"/>
    <row r="35656" hidden="1" x14ac:dyDescent="0.35"/>
    <row r="35657" hidden="1" x14ac:dyDescent="0.35"/>
    <row r="35658" hidden="1" x14ac:dyDescent="0.35"/>
    <row r="35659" hidden="1" x14ac:dyDescent="0.35"/>
    <row r="35660" hidden="1" x14ac:dyDescent="0.35"/>
    <row r="35661" hidden="1" x14ac:dyDescent="0.35"/>
    <row r="35662" hidden="1" x14ac:dyDescent="0.35"/>
    <row r="35663" hidden="1" x14ac:dyDescent="0.35"/>
    <row r="35664" hidden="1" x14ac:dyDescent="0.35"/>
    <row r="35665" hidden="1" x14ac:dyDescent="0.35"/>
    <row r="35666" hidden="1" x14ac:dyDescent="0.35"/>
    <row r="35667" hidden="1" x14ac:dyDescent="0.35"/>
    <row r="35668" hidden="1" x14ac:dyDescent="0.35"/>
    <row r="35669" hidden="1" x14ac:dyDescent="0.35"/>
    <row r="35670" hidden="1" x14ac:dyDescent="0.35"/>
    <row r="35671" hidden="1" x14ac:dyDescent="0.35"/>
    <row r="35672" hidden="1" x14ac:dyDescent="0.35"/>
    <row r="35673" hidden="1" x14ac:dyDescent="0.35"/>
    <row r="35674" hidden="1" x14ac:dyDescent="0.35"/>
    <row r="35675" hidden="1" x14ac:dyDescent="0.35"/>
    <row r="35676" hidden="1" x14ac:dyDescent="0.35"/>
    <row r="35677" hidden="1" x14ac:dyDescent="0.35"/>
    <row r="35678" hidden="1" x14ac:dyDescent="0.35"/>
    <row r="35679" hidden="1" x14ac:dyDescent="0.35"/>
    <row r="35680" hidden="1" x14ac:dyDescent="0.35"/>
    <row r="35681" hidden="1" x14ac:dyDescent="0.35"/>
    <row r="35682" hidden="1" x14ac:dyDescent="0.35"/>
    <row r="35683" hidden="1" x14ac:dyDescent="0.35"/>
    <row r="35684" hidden="1" x14ac:dyDescent="0.35"/>
    <row r="35685" hidden="1" x14ac:dyDescent="0.35"/>
    <row r="35686" hidden="1" x14ac:dyDescent="0.35"/>
    <row r="35687" hidden="1" x14ac:dyDescent="0.35"/>
    <row r="35688" hidden="1" x14ac:dyDescent="0.35"/>
    <row r="35689" hidden="1" x14ac:dyDescent="0.35"/>
    <row r="35690" hidden="1" x14ac:dyDescent="0.35"/>
    <row r="35691" hidden="1" x14ac:dyDescent="0.35"/>
    <row r="35692" hidden="1" x14ac:dyDescent="0.35"/>
    <row r="35693" hidden="1" x14ac:dyDescent="0.35"/>
    <row r="35694" hidden="1" x14ac:dyDescent="0.35"/>
    <row r="35695" hidden="1" x14ac:dyDescent="0.35"/>
    <row r="35696" hidden="1" x14ac:dyDescent="0.35"/>
    <row r="35697" hidden="1" x14ac:dyDescent="0.35"/>
    <row r="35698" hidden="1" x14ac:dyDescent="0.35"/>
    <row r="35699" hidden="1" x14ac:dyDescent="0.35"/>
    <row r="35700" hidden="1" x14ac:dyDescent="0.35"/>
    <row r="35701" hidden="1" x14ac:dyDescent="0.35"/>
    <row r="35702" hidden="1" x14ac:dyDescent="0.35"/>
    <row r="35703" hidden="1" x14ac:dyDescent="0.35"/>
    <row r="35704" hidden="1" x14ac:dyDescent="0.35"/>
    <row r="35705" hidden="1" x14ac:dyDescent="0.35"/>
    <row r="35706" hidden="1" x14ac:dyDescent="0.35"/>
    <row r="35707" hidden="1" x14ac:dyDescent="0.35"/>
    <row r="35708" hidden="1" x14ac:dyDescent="0.35"/>
    <row r="35709" hidden="1" x14ac:dyDescent="0.35"/>
    <row r="35710" hidden="1" x14ac:dyDescent="0.35"/>
    <row r="35711" hidden="1" x14ac:dyDescent="0.35"/>
    <row r="35712" hidden="1" x14ac:dyDescent="0.35"/>
    <row r="35713" hidden="1" x14ac:dyDescent="0.35"/>
    <row r="35714" hidden="1" x14ac:dyDescent="0.35"/>
    <row r="35715" hidden="1" x14ac:dyDescent="0.35"/>
    <row r="35716" hidden="1" x14ac:dyDescent="0.35"/>
    <row r="35717" hidden="1" x14ac:dyDescent="0.35"/>
    <row r="35718" hidden="1" x14ac:dyDescent="0.35"/>
    <row r="35719" hidden="1" x14ac:dyDescent="0.35"/>
    <row r="35720" hidden="1" x14ac:dyDescent="0.35"/>
    <row r="35721" hidden="1" x14ac:dyDescent="0.35"/>
    <row r="35722" hidden="1" x14ac:dyDescent="0.35"/>
    <row r="35723" hidden="1" x14ac:dyDescent="0.35"/>
    <row r="35724" hidden="1" x14ac:dyDescent="0.35"/>
    <row r="35725" hidden="1" x14ac:dyDescent="0.35"/>
    <row r="35726" hidden="1" x14ac:dyDescent="0.35"/>
    <row r="35727" hidden="1" x14ac:dyDescent="0.35"/>
    <row r="35728" hidden="1" x14ac:dyDescent="0.35"/>
    <row r="35729" hidden="1" x14ac:dyDescent="0.35"/>
    <row r="35730" hidden="1" x14ac:dyDescent="0.35"/>
    <row r="35731" hidden="1" x14ac:dyDescent="0.35"/>
    <row r="35732" hidden="1" x14ac:dyDescent="0.35"/>
    <row r="35733" hidden="1" x14ac:dyDescent="0.35"/>
    <row r="35734" hidden="1" x14ac:dyDescent="0.35"/>
    <row r="35735" hidden="1" x14ac:dyDescent="0.35"/>
    <row r="35736" hidden="1" x14ac:dyDescent="0.35"/>
    <row r="35737" hidden="1" x14ac:dyDescent="0.35"/>
    <row r="35738" hidden="1" x14ac:dyDescent="0.35"/>
    <row r="35739" hidden="1" x14ac:dyDescent="0.35"/>
    <row r="35740" hidden="1" x14ac:dyDescent="0.35"/>
    <row r="35741" hidden="1" x14ac:dyDescent="0.35"/>
    <row r="35742" hidden="1" x14ac:dyDescent="0.35"/>
    <row r="35743" hidden="1" x14ac:dyDescent="0.35"/>
    <row r="35744" hidden="1" x14ac:dyDescent="0.35"/>
    <row r="35745" hidden="1" x14ac:dyDescent="0.35"/>
    <row r="35746" hidden="1" x14ac:dyDescent="0.35"/>
    <row r="35747" hidden="1" x14ac:dyDescent="0.35"/>
    <row r="35748" hidden="1" x14ac:dyDescent="0.35"/>
    <row r="35749" hidden="1" x14ac:dyDescent="0.35"/>
    <row r="35750" hidden="1" x14ac:dyDescent="0.35"/>
    <row r="35751" hidden="1" x14ac:dyDescent="0.35"/>
    <row r="35752" hidden="1" x14ac:dyDescent="0.35"/>
    <row r="35753" hidden="1" x14ac:dyDescent="0.35"/>
    <row r="35754" hidden="1" x14ac:dyDescent="0.35"/>
    <row r="35755" hidden="1" x14ac:dyDescent="0.35"/>
    <row r="35756" hidden="1" x14ac:dyDescent="0.35"/>
    <row r="35757" hidden="1" x14ac:dyDescent="0.35"/>
    <row r="35758" hidden="1" x14ac:dyDescent="0.35"/>
    <row r="35759" hidden="1" x14ac:dyDescent="0.35"/>
    <row r="35760" hidden="1" x14ac:dyDescent="0.35"/>
    <row r="35761" hidden="1" x14ac:dyDescent="0.35"/>
    <row r="35762" hidden="1" x14ac:dyDescent="0.35"/>
    <row r="35763" hidden="1" x14ac:dyDescent="0.35"/>
    <row r="35764" hidden="1" x14ac:dyDescent="0.35"/>
    <row r="35765" hidden="1" x14ac:dyDescent="0.35"/>
    <row r="35766" hidden="1" x14ac:dyDescent="0.35"/>
    <row r="35767" hidden="1" x14ac:dyDescent="0.35"/>
    <row r="35768" hidden="1" x14ac:dyDescent="0.35"/>
    <row r="35769" hidden="1" x14ac:dyDescent="0.35"/>
    <row r="35770" hidden="1" x14ac:dyDescent="0.35"/>
    <row r="35771" hidden="1" x14ac:dyDescent="0.35"/>
    <row r="35772" hidden="1" x14ac:dyDescent="0.35"/>
    <row r="35773" hidden="1" x14ac:dyDescent="0.35"/>
    <row r="35774" hidden="1" x14ac:dyDescent="0.35"/>
    <row r="35775" hidden="1" x14ac:dyDescent="0.35"/>
    <row r="35776" hidden="1" x14ac:dyDescent="0.35"/>
    <row r="35777" hidden="1" x14ac:dyDescent="0.35"/>
    <row r="35778" hidden="1" x14ac:dyDescent="0.35"/>
    <row r="35779" hidden="1" x14ac:dyDescent="0.35"/>
    <row r="35780" hidden="1" x14ac:dyDescent="0.35"/>
    <row r="35781" hidden="1" x14ac:dyDescent="0.35"/>
    <row r="35782" hidden="1" x14ac:dyDescent="0.35"/>
    <row r="35783" hidden="1" x14ac:dyDescent="0.35"/>
    <row r="35784" hidden="1" x14ac:dyDescent="0.35"/>
    <row r="35785" hidden="1" x14ac:dyDescent="0.35"/>
    <row r="35786" hidden="1" x14ac:dyDescent="0.35"/>
    <row r="35787" hidden="1" x14ac:dyDescent="0.35"/>
    <row r="35788" hidden="1" x14ac:dyDescent="0.35"/>
    <row r="35789" hidden="1" x14ac:dyDescent="0.35"/>
    <row r="35790" hidden="1" x14ac:dyDescent="0.35"/>
    <row r="35791" hidden="1" x14ac:dyDescent="0.35"/>
    <row r="35792" hidden="1" x14ac:dyDescent="0.35"/>
    <row r="35793" hidden="1" x14ac:dyDescent="0.35"/>
    <row r="35794" hidden="1" x14ac:dyDescent="0.35"/>
    <row r="35795" hidden="1" x14ac:dyDescent="0.35"/>
    <row r="35796" hidden="1" x14ac:dyDescent="0.35"/>
    <row r="35797" hidden="1" x14ac:dyDescent="0.35"/>
    <row r="35798" hidden="1" x14ac:dyDescent="0.35"/>
    <row r="35799" hidden="1" x14ac:dyDescent="0.35"/>
    <row r="35800" hidden="1" x14ac:dyDescent="0.35"/>
    <row r="35801" hidden="1" x14ac:dyDescent="0.35"/>
    <row r="35802" hidden="1" x14ac:dyDescent="0.35"/>
    <row r="35803" hidden="1" x14ac:dyDescent="0.35"/>
    <row r="35804" hidden="1" x14ac:dyDescent="0.35"/>
    <row r="35805" hidden="1" x14ac:dyDescent="0.35"/>
    <row r="35806" hidden="1" x14ac:dyDescent="0.35"/>
    <row r="35807" hidden="1" x14ac:dyDescent="0.35"/>
    <row r="35808" hidden="1" x14ac:dyDescent="0.35"/>
    <row r="35809" hidden="1" x14ac:dyDescent="0.35"/>
    <row r="35810" hidden="1" x14ac:dyDescent="0.35"/>
    <row r="35811" hidden="1" x14ac:dyDescent="0.35"/>
    <row r="35812" hidden="1" x14ac:dyDescent="0.35"/>
    <row r="35813" hidden="1" x14ac:dyDescent="0.35"/>
    <row r="35814" hidden="1" x14ac:dyDescent="0.35"/>
    <row r="35815" hidden="1" x14ac:dyDescent="0.35"/>
    <row r="35816" hidden="1" x14ac:dyDescent="0.35"/>
    <row r="35817" hidden="1" x14ac:dyDescent="0.35"/>
    <row r="35818" hidden="1" x14ac:dyDescent="0.35"/>
    <row r="35819" hidden="1" x14ac:dyDescent="0.35"/>
    <row r="35820" hidden="1" x14ac:dyDescent="0.35"/>
    <row r="35821" hidden="1" x14ac:dyDescent="0.35"/>
    <row r="35822" hidden="1" x14ac:dyDescent="0.35"/>
    <row r="35823" hidden="1" x14ac:dyDescent="0.35"/>
    <row r="35824" hidden="1" x14ac:dyDescent="0.35"/>
    <row r="35825" hidden="1" x14ac:dyDescent="0.35"/>
    <row r="35826" hidden="1" x14ac:dyDescent="0.35"/>
    <row r="35827" hidden="1" x14ac:dyDescent="0.35"/>
    <row r="35828" hidden="1" x14ac:dyDescent="0.35"/>
    <row r="35829" hidden="1" x14ac:dyDescent="0.35"/>
    <row r="35830" hidden="1" x14ac:dyDescent="0.35"/>
    <row r="35831" hidden="1" x14ac:dyDescent="0.35"/>
    <row r="35832" hidden="1" x14ac:dyDescent="0.35"/>
    <row r="35833" hidden="1" x14ac:dyDescent="0.35"/>
    <row r="35834" hidden="1" x14ac:dyDescent="0.35"/>
    <row r="35835" hidden="1" x14ac:dyDescent="0.35"/>
    <row r="35836" hidden="1" x14ac:dyDescent="0.35"/>
    <row r="35837" hidden="1" x14ac:dyDescent="0.35"/>
    <row r="35838" hidden="1" x14ac:dyDescent="0.35"/>
    <row r="35839" hidden="1" x14ac:dyDescent="0.35"/>
    <row r="35840" hidden="1" x14ac:dyDescent="0.35"/>
    <row r="35841" hidden="1" x14ac:dyDescent="0.35"/>
    <row r="35842" hidden="1" x14ac:dyDescent="0.35"/>
    <row r="35843" hidden="1" x14ac:dyDescent="0.35"/>
    <row r="35844" hidden="1" x14ac:dyDescent="0.35"/>
    <row r="35845" hidden="1" x14ac:dyDescent="0.35"/>
    <row r="35846" hidden="1" x14ac:dyDescent="0.35"/>
    <row r="35847" hidden="1" x14ac:dyDescent="0.35"/>
    <row r="35848" hidden="1" x14ac:dyDescent="0.35"/>
    <row r="35849" hidden="1" x14ac:dyDescent="0.35"/>
    <row r="35850" hidden="1" x14ac:dyDescent="0.35"/>
    <row r="35851" hidden="1" x14ac:dyDescent="0.35"/>
    <row r="35852" hidden="1" x14ac:dyDescent="0.35"/>
    <row r="35853" hidden="1" x14ac:dyDescent="0.35"/>
    <row r="35854" hidden="1" x14ac:dyDescent="0.35"/>
    <row r="35855" hidden="1" x14ac:dyDescent="0.35"/>
    <row r="35856" hidden="1" x14ac:dyDescent="0.35"/>
    <row r="35857" hidden="1" x14ac:dyDescent="0.35"/>
    <row r="35858" hidden="1" x14ac:dyDescent="0.35"/>
    <row r="35859" hidden="1" x14ac:dyDescent="0.35"/>
    <row r="35860" hidden="1" x14ac:dyDescent="0.35"/>
    <row r="35861" hidden="1" x14ac:dyDescent="0.35"/>
    <row r="35862" hidden="1" x14ac:dyDescent="0.35"/>
    <row r="35863" hidden="1" x14ac:dyDescent="0.35"/>
    <row r="35864" hidden="1" x14ac:dyDescent="0.35"/>
    <row r="35865" hidden="1" x14ac:dyDescent="0.35"/>
    <row r="35866" hidden="1" x14ac:dyDescent="0.35"/>
    <row r="35867" hidden="1" x14ac:dyDescent="0.35"/>
    <row r="35868" hidden="1" x14ac:dyDescent="0.35"/>
    <row r="35869" hidden="1" x14ac:dyDescent="0.35"/>
    <row r="35870" hidden="1" x14ac:dyDescent="0.35"/>
    <row r="35871" hidden="1" x14ac:dyDescent="0.35"/>
    <row r="35872" hidden="1" x14ac:dyDescent="0.35"/>
    <row r="35873" hidden="1" x14ac:dyDescent="0.35"/>
    <row r="35874" hidden="1" x14ac:dyDescent="0.35"/>
    <row r="35875" hidden="1" x14ac:dyDescent="0.35"/>
    <row r="35876" hidden="1" x14ac:dyDescent="0.35"/>
    <row r="35877" hidden="1" x14ac:dyDescent="0.35"/>
    <row r="35878" hidden="1" x14ac:dyDescent="0.35"/>
    <row r="35879" hidden="1" x14ac:dyDescent="0.35"/>
    <row r="35880" hidden="1" x14ac:dyDescent="0.35"/>
    <row r="35881" hidden="1" x14ac:dyDescent="0.35"/>
    <row r="35882" hidden="1" x14ac:dyDescent="0.35"/>
    <row r="35883" hidden="1" x14ac:dyDescent="0.35"/>
    <row r="35884" hidden="1" x14ac:dyDescent="0.35"/>
    <row r="35885" hidden="1" x14ac:dyDescent="0.35"/>
    <row r="35886" hidden="1" x14ac:dyDescent="0.35"/>
    <row r="35887" hidden="1" x14ac:dyDescent="0.35"/>
    <row r="35888" hidden="1" x14ac:dyDescent="0.35"/>
    <row r="35889" hidden="1" x14ac:dyDescent="0.35"/>
    <row r="35890" hidden="1" x14ac:dyDescent="0.35"/>
    <row r="35891" hidden="1" x14ac:dyDescent="0.35"/>
    <row r="35892" hidden="1" x14ac:dyDescent="0.35"/>
    <row r="35893" hidden="1" x14ac:dyDescent="0.35"/>
    <row r="35894" hidden="1" x14ac:dyDescent="0.35"/>
    <row r="35895" hidden="1" x14ac:dyDescent="0.35"/>
    <row r="35896" hidden="1" x14ac:dyDescent="0.35"/>
    <row r="35897" hidden="1" x14ac:dyDescent="0.35"/>
    <row r="35898" hidden="1" x14ac:dyDescent="0.35"/>
    <row r="35899" hidden="1" x14ac:dyDescent="0.35"/>
    <row r="35900" hidden="1" x14ac:dyDescent="0.35"/>
    <row r="35901" hidden="1" x14ac:dyDescent="0.35"/>
    <row r="35902" hidden="1" x14ac:dyDescent="0.35"/>
    <row r="35903" hidden="1" x14ac:dyDescent="0.35"/>
    <row r="35904" hidden="1" x14ac:dyDescent="0.35"/>
    <row r="35905" hidden="1" x14ac:dyDescent="0.35"/>
    <row r="35906" hidden="1" x14ac:dyDescent="0.35"/>
    <row r="35907" hidden="1" x14ac:dyDescent="0.35"/>
    <row r="35908" hidden="1" x14ac:dyDescent="0.35"/>
    <row r="35909" hidden="1" x14ac:dyDescent="0.35"/>
    <row r="35910" hidden="1" x14ac:dyDescent="0.35"/>
    <row r="35911" hidden="1" x14ac:dyDescent="0.35"/>
    <row r="35912" hidden="1" x14ac:dyDescent="0.35"/>
    <row r="35913" hidden="1" x14ac:dyDescent="0.35"/>
    <row r="35914" hidden="1" x14ac:dyDescent="0.35"/>
    <row r="35915" hidden="1" x14ac:dyDescent="0.35"/>
    <row r="35916" hidden="1" x14ac:dyDescent="0.35"/>
    <row r="35917" hidden="1" x14ac:dyDescent="0.35"/>
    <row r="35918" hidden="1" x14ac:dyDescent="0.35"/>
    <row r="35919" hidden="1" x14ac:dyDescent="0.35"/>
    <row r="35920" hidden="1" x14ac:dyDescent="0.35"/>
    <row r="35921" hidden="1" x14ac:dyDescent="0.35"/>
    <row r="35922" hidden="1" x14ac:dyDescent="0.35"/>
    <row r="35923" hidden="1" x14ac:dyDescent="0.35"/>
    <row r="35924" hidden="1" x14ac:dyDescent="0.35"/>
    <row r="35925" hidden="1" x14ac:dyDescent="0.35"/>
    <row r="35926" hidden="1" x14ac:dyDescent="0.35"/>
    <row r="35927" hidden="1" x14ac:dyDescent="0.35"/>
    <row r="35928" hidden="1" x14ac:dyDescent="0.35"/>
    <row r="35929" hidden="1" x14ac:dyDescent="0.35"/>
    <row r="35930" hidden="1" x14ac:dyDescent="0.35"/>
    <row r="35931" hidden="1" x14ac:dyDescent="0.35"/>
    <row r="35932" hidden="1" x14ac:dyDescent="0.35"/>
    <row r="35933" hidden="1" x14ac:dyDescent="0.35"/>
    <row r="35934" hidden="1" x14ac:dyDescent="0.35"/>
    <row r="35935" hidden="1" x14ac:dyDescent="0.35"/>
    <row r="35936" hidden="1" x14ac:dyDescent="0.35"/>
    <row r="35937" hidden="1" x14ac:dyDescent="0.35"/>
    <row r="35938" hidden="1" x14ac:dyDescent="0.35"/>
    <row r="35939" hidden="1" x14ac:dyDescent="0.35"/>
    <row r="35940" hidden="1" x14ac:dyDescent="0.35"/>
    <row r="35941" hidden="1" x14ac:dyDescent="0.35"/>
    <row r="35942" hidden="1" x14ac:dyDescent="0.35"/>
    <row r="35943" hidden="1" x14ac:dyDescent="0.35"/>
    <row r="35944" hidden="1" x14ac:dyDescent="0.35"/>
    <row r="35945" hidden="1" x14ac:dyDescent="0.35"/>
    <row r="35946" hidden="1" x14ac:dyDescent="0.35"/>
    <row r="35947" hidden="1" x14ac:dyDescent="0.35"/>
    <row r="35948" hidden="1" x14ac:dyDescent="0.35"/>
    <row r="35949" hidden="1" x14ac:dyDescent="0.35"/>
    <row r="35950" hidden="1" x14ac:dyDescent="0.35"/>
    <row r="35951" hidden="1" x14ac:dyDescent="0.35"/>
    <row r="35952" hidden="1" x14ac:dyDescent="0.35"/>
    <row r="35953" hidden="1" x14ac:dyDescent="0.35"/>
    <row r="35954" hidden="1" x14ac:dyDescent="0.35"/>
    <row r="35955" hidden="1" x14ac:dyDescent="0.35"/>
    <row r="35956" hidden="1" x14ac:dyDescent="0.35"/>
    <row r="35957" hidden="1" x14ac:dyDescent="0.35"/>
    <row r="35958" hidden="1" x14ac:dyDescent="0.35"/>
    <row r="35959" hidden="1" x14ac:dyDescent="0.35"/>
    <row r="35960" hidden="1" x14ac:dyDescent="0.35"/>
    <row r="35961" hidden="1" x14ac:dyDescent="0.35"/>
    <row r="35962" hidden="1" x14ac:dyDescent="0.35"/>
    <row r="35963" hidden="1" x14ac:dyDescent="0.35"/>
    <row r="35964" hidden="1" x14ac:dyDescent="0.35"/>
    <row r="35965" hidden="1" x14ac:dyDescent="0.35"/>
    <row r="35966" hidden="1" x14ac:dyDescent="0.35"/>
    <row r="35967" hidden="1" x14ac:dyDescent="0.35"/>
    <row r="35968" hidden="1" x14ac:dyDescent="0.35"/>
    <row r="35969" hidden="1" x14ac:dyDescent="0.35"/>
    <row r="35970" hidden="1" x14ac:dyDescent="0.35"/>
    <row r="35971" hidden="1" x14ac:dyDescent="0.35"/>
    <row r="35972" hidden="1" x14ac:dyDescent="0.35"/>
    <row r="35973" hidden="1" x14ac:dyDescent="0.35"/>
    <row r="35974" hidden="1" x14ac:dyDescent="0.35"/>
    <row r="35975" hidden="1" x14ac:dyDescent="0.35"/>
    <row r="35976" hidden="1" x14ac:dyDescent="0.35"/>
    <row r="35977" hidden="1" x14ac:dyDescent="0.35"/>
    <row r="35978" hidden="1" x14ac:dyDescent="0.35"/>
    <row r="35979" hidden="1" x14ac:dyDescent="0.35"/>
    <row r="35980" hidden="1" x14ac:dyDescent="0.35"/>
    <row r="35981" hidden="1" x14ac:dyDescent="0.35"/>
    <row r="35982" hidden="1" x14ac:dyDescent="0.35"/>
    <row r="35983" hidden="1" x14ac:dyDescent="0.35"/>
    <row r="35984" hidden="1" x14ac:dyDescent="0.35"/>
    <row r="35985" hidden="1" x14ac:dyDescent="0.35"/>
    <row r="35986" hidden="1" x14ac:dyDescent="0.35"/>
    <row r="35987" hidden="1" x14ac:dyDescent="0.35"/>
    <row r="35988" hidden="1" x14ac:dyDescent="0.35"/>
    <row r="35989" hidden="1" x14ac:dyDescent="0.35"/>
    <row r="35990" hidden="1" x14ac:dyDescent="0.35"/>
    <row r="35991" hidden="1" x14ac:dyDescent="0.35"/>
    <row r="35992" hidden="1" x14ac:dyDescent="0.35"/>
    <row r="35993" hidden="1" x14ac:dyDescent="0.35"/>
    <row r="35994" hidden="1" x14ac:dyDescent="0.35"/>
    <row r="35995" hidden="1" x14ac:dyDescent="0.35"/>
    <row r="35996" hidden="1" x14ac:dyDescent="0.35"/>
    <row r="35997" hidden="1" x14ac:dyDescent="0.35"/>
    <row r="35998" hidden="1" x14ac:dyDescent="0.35"/>
    <row r="35999" hidden="1" x14ac:dyDescent="0.35"/>
    <row r="36000" hidden="1" x14ac:dyDescent="0.35"/>
    <row r="36001" hidden="1" x14ac:dyDescent="0.35"/>
    <row r="36002" hidden="1" x14ac:dyDescent="0.35"/>
    <row r="36003" hidden="1" x14ac:dyDescent="0.35"/>
    <row r="36004" hidden="1" x14ac:dyDescent="0.35"/>
    <row r="36005" hidden="1" x14ac:dyDescent="0.35"/>
    <row r="36006" hidden="1" x14ac:dyDescent="0.35"/>
    <row r="36007" hidden="1" x14ac:dyDescent="0.35"/>
    <row r="36008" hidden="1" x14ac:dyDescent="0.35"/>
    <row r="36009" hidden="1" x14ac:dyDescent="0.35"/>
    <row r="36010" hidden="1" x14ac:dyDescent="0.35"/>
    <row r="36011" hidden="1" x14ac:dyDescent="0.35"/>
    <row r="36012" hidden="1" x14ac:dyDescent="0.35"/>
    <row r="36013" hidden="1" x14ac:dyDescent="0.35"/>
    <row r="36014" hidden="1" x14ac:dyDescent="0.35"/>
    <row r="36015" hidden="1" x14ac:dyDescent="0.35"/>
    <row r="36016" hidden="1" x14ac:dyDescent="0.35"/>
    <row r="36017" hidden="1" x14ac:dyDescent="0.35"/>
    <row r="36018" hidden="1" x14ac:dyDescent="0.35"/>
    <row r="36019" hidden="1" x14ac:dyDescent="0.35"/>
    <row r="36020" hidden="1" x14ac:dyDescent="0.35"/>
    <row r="36021" hidden="1" x14ac:dyDescent="0.35"/>
    <row r="36022" hidden="1" x14ac:dyDescent="0.35"/>
    <row r="36023" hidden="1" x14ac:dyDescent="0.35"/>
    <row r="36024" hidden="1" x14ac:dyDescent="0.35"/>
    <row r="36025" hidden="1" x14ac:dyDescent="0.35"/>
    <row r="36026" hidden="1" x14ac:dyDescent="0.35"/>
    <row r="36027" hidden="1" x14ac:dyDescent="0.35"/>
    <row r="36028" hidden="1" x14ac:dyDescent="0.35"/>
    <row r="36029" hidden="1" x14ac:dyDescent="0.35"/>
    <row r="36030" hidden="1" x14ac:dyDescent="0.35"/>
    <row r="36031" hidden="1" x14ac:dyDescent="0.35"/>
    <row r="36032" hidden="1" x14ac:dyDescent="0.35"/>
    <row r="36033" hidden="1" x14ac:dyDescent="0.35"/>
    <row r="36034" hidden="1" x14ac:dyDescent="0.35"/>
    <row r="36035" hidden="1" x14ac:dyDescent="0.35"/>
    <row r="36036" hidden="1" x14ac:dyDescent="0.35"/>
    <row r="36037" hidden="1" x14ac:dyDescent="0.35"/>
    <row r="36038" hidden="1" x14ac:dyDescent="0.35"/>
    <row r="36039" hidden="1" x14ac:dyDescent="0.35"/>
    <row r="36040" hidden="1" x14ac:dyDescent="0.35"/>
    <row r="36041" hidden="1" x14ac:dyDescent="0.35"/>
    <row r="36042" hidden="1" x14ac:dyDescent="0.35"/>
    <row r="36043" hidden="1" x14ac:dyDescent="0.35"/>
    <row r="36044" hidden="1" x14ac:dyDescent="0.35"/>
    <row r="36045" hidden="1" x14ac:dyDescent="0.35"/>
    <row r="36046" hidden="1" x14ac:dyDescent="0.35"/>
    <row r="36047" hidden="1" x14ac:dyDescent="0.35"/>
    <row r="36048" hidden="1" x14ac:dyDescent="0.35"/>
    <row r="36049" hidden="1" x14ac:dyDescent="0.35"/>
    <row r="36050" hidden="1" x14ac:dyDescent="0.35"/>
    <row r="36051" hidden="1" x14ac:dyDescent="0.35"/>
    <row r="36052" hidden="1" x14ac:dyDescent="0.35"/>
    <row r="36053" hidden="1" x14ac:dyDescent="0.35"/>
    <row r="36054" hidden="1" x14ac:dyDescent="0.35"/>
    <row r="36055" hidden="1" x14ac:dyDescent="0.35"/>
    <row r="36056" hidden="1" x14ac:dyDescent="0.35"/>
    <row r="36057" hidden="1" x14ac:dyDescent="0.35"/>
    <row r="36058" hidden="1" x14ac:dyDescent="0.35"/>
    <row r="36059" hidden="1" x14ac:dyDescent="0.35"/>
    <row r="36060" hidden="1" x14ac:dyDescent="0.35"/>
    <row r="36061" hidden="1" x14ac:dyDescent="0.35"/>
    <row r="36062" hidden="1" x14ac:dyDescent="0.35"/>
    <row r="36063" hidden="1" x14ac:dyDescent="0.35"/>
    <row r="36064" hidden="1" x14ac:dyDescent="0.35"/>
    <row r="36065" hidden="1" x14ac:dyDescent="0.35"/>
    <row r="36066" hidden="1" x14ac:dyDescent="0.35"/>
    <row r="36067" hidden="1" x14ac:dyDescent="0.35"/>
    <row r="36068" hidden="1" x14ac:dyDescent="0.35"/>
    <row r="36069" hidden="1" x14ac:dyDescent="0.35"/>
    <row r="36070" hidden="1" x14ac:dyDescent="0.35"/>
    <row r="36071" hidden="1" x14ac:dyDescent="0.35"/>
    <row r="36072" hidden="1" x14ac:dyDescent="0.35"/>
    <row r="36073" hidden="1" x14ac:dyDescent="0.35"/>
    <row r="36074" hidden="1" x14ac:dyDescent="0.35"/>
    <row r="36075" hidden="1" x14ac:dyDescent="0.35"/>
    <row r="36076" hidden="1" x14ac:dyDescent="0.35"/>
    <row r="36077" hidden="1" x14ac:dyDescent="0.35"/>
    <row r="36078" hidden="1" x14ac:dyDescent="0.35"/>
    <row r="36079" hidden="1" x14ac:dyDescent="0.35"/>
    <row r="36080" hidden="1" x14ac:dyDescent="0.35"/>
    <row r="36081" hidden="1" x14ac:dyDescent="0.35"/>
    <row r="36082" hidden="1" x14ac:dyDescent="0.35"/>
    <row r="36083" hidden="1" x14ac:dyDescent="0.35"/>
    <row r="36084" hidden="1" x14ac:dyDescent="0.35"/>
    <row r="36085" hidden="1" x14ac:dyDescent="0.35"/>
    <row r="36086" hidden="1" x14ac:dyDescent="0.35"/>
    <row r="36087" hidden="1" x14ac:dyDescent="0.35"/>
    <row r="36088" hidden="1" x14ac:dyDescent="0.35"/>
    <row r="36089" hidden="1" x14ac:dyDescent="0.35"/>
    <row r="36090" hidden="1" x14ac:dyDescent="0.35"/>
    <row r="36091" hidden="1" x14ac:dyDescent="0.35"/>
    <row r="36092" hidden="1" x14ac:dyDescent="0.35"/>
    <row r="36093" hidden="1" x14ac:dyDescent="0.35"/>
    <row r="36094" hidden="1" x14ac:dyDescent="0.35"/>
    <row r="36095" hidden="1" x14ac:dyDescent="0.35"/>
    <row r="36096" hidden="1" x14ac:dyDescent="0.35"/>
    <row r="36097" hidden="1" x14ac:dyDescent="0.35"/>
    <row r="36098" hidden="1" x14ac:dyDescent="0.35"/>
    <row r="36099" hidden="1" x14ac:dyDescent="0.35"/>
    <row r="36100" hidden="1" x14ac:dyDescent="0.35"/>
    <row r="36101" hidden="1" x14ac:dyDescent="0.35"/>
    <row r="36102" hidden="1" x14ac:dyDescent="0.35"/>
    <row r="36103" hidden="1" x14ac:dyDescent="0.35"/>
    <row r="36104" hidden="1" x14ac:dyDescent="0.35"/>
    <row r="36105" hidden="1" x14ac:dyDescent="0.35"/>
    <row r="36106" hidden="1" x14ac:dyDescent="0.35"/>
    <row r="36107" hidden="1" x14ac:dyDescent="0.35"/>
    <row r="36108" hidden="1" x14ac:dyDescent="0.35"/>
    <row r="36109" hidden="1" x14ac:dyDescent="0.35"/>
    <row r="36110" hidden="1" x14ac:dyDescent="0.35"/>
    <row r="36111" hidden="1" x14ac:dyDescent="0.35"/>
    <row r="36112" hidden="1" x14ac:dyDescent="0.35"/>
    <row r="36113" hidden="1" x14ac:dyDescent="0.35"/>
    <row r="36114" hidden="1" x14ac:dyDescent="0.35"/>
    <row r="36115" hidden="1" x14ac:dyDescent="0.35"/>
    <row r="36116" hidden="1" x14ac:dyDescent="0.35"/>
    <row r="36117" hidden="1" x14ac:dyDescent="0.35"/>
    <row r="36118" hidden="1" x14ac:dyDescent="0.35"/>
    <row r="36119" hidden="1" x14ac:dyDescent="0.35"/>
    <row r="36120" hidden="1" x14ac:dyDescent="0.35"/>
    <row r="36121" hidden="1" x14ac:dyDescent="0.35"/>
    <row r="36122" hidden="1" x14ac:dyDescent="0.35"/>
    <row r="36123" hidden="1" x14ac:dyDescent="0.35"/>
    <row r="36124" hidden="1" x14ac:dyDescent="0.35"/>
    <row r="36125" hidden="1" x14ac:dyDescent="0.35"/>
    <row r="36126" hidden="1" x14ac:dyDescent="0.35"/>
    <row r="36127" hidden="1" x14ac:dyDescent="0.35"/>
    <row r="36128" hidden="1" x14ac:dyDescent="0.35"/>
    <row r="36129" hidden="1" x14ac:dyDescent="0.35"/>
    <row r="36130" hidden="1" x14ac:dyDescent="0.35"/>
    <row r="36131" hidden="1" x14ac:dyDescent="0.35"/>
    <row r="36132" hidden="1" x14ac:dyDescent="0.35"/>
    <row r="36133" hidden="1" x14ac:dyDescent="0.35"/>
    <row r="36134" hidden="1" x14ac:dyDescent="0.35"/>
    <row r="36135" hidden="1" x14ac:dyDescent="0.35"/>
    <row r="36136" hidden="1" x14ac:dyDescent="0.35"/>
    <row r="36137" hidden="1" x14ac:dyDescent="0.35"/>
    <row r="36138" hidden="1" x14ac:dyDescent="0.35"/>
    <row r="36139" hidden="1" x14ac:dyDescent="0.35"/>
    <row r="36140" hidden="1" x14ac:dyDescent="0.35"/>
    <row r="36141" hidden="1" x14ac:dyDescent="0.35"/>
    <row r="36142" hidden="1" x14ac:dyDescent="0.35"/>
    <row r="36143" hidden="1" x14ac:dyDescent="0.35"/>
    <row r="36144" hidden="1" x14ac:dyDescent="0.35"/>
    <row r="36145" hidden="1" x14ac:dyDescent="0.35"/>
    <row r="36146" hidden="1" x14ac:dyDescent="0.35"/>
    <row r="36147" hidden="1" x14ac:dyDescent="0.35"/>
    <row r="36148" hidden="1" x14ac:dyDescent="0.35"/>
    <row r="36149" hidden="1" x14ac:dyDescent="0.35"/>
    <row r="36150" hidden="1" x14ac:dyDescent="0.35"/>
    <row r="36151" hidden="1" x14ac:dyDescent="0.35"/>
    <row r="36152" hidden="1" x14ac:dyDescent="0.35"/>
    <row r="36153" hidden="1" x14ac:dyDescent="0.35"/>
    <row r="36154" hidden="1" x14ac:dyDescent="0.35"/>
    <row r="36155" hidden="1" x14ac:dyDescent="0.35"/>
    <row r="36156" hidden="1" x14ac:dyDescent="0.35"/>
    <row r="36157" hidden="1" x14ac:dyDescent="0.35"/>
    <row r="36158" hidden="1" x14ac:dyDescent="0.35"/>
    <row r="36159" hidden="1" x14ac:dyDescent="0.35"/>
    <row r="36160" hidden="1" x14ac:dyDescent="0.35"/>
    <row r="36161" hidden="1" x14ac:dyDescent="0.35"/>
    <row r="36162" hidden="1" x14ac:dyDescent="0.35"/>
    <row r="36163" hidden="1" x14ac:dyDescent="0.35"/>
    <row r="36164" hidden="1" x14ac:dyDescent="0.35"/>
    <row r="36165" hidden="1" x14ac:dyDescent="0.35"/>
    <row r="36166" hidden="1" x14ac:dyDescent="0.35"/>
    <row r="36167" hidden="1" x14ac:dyDescent="0.35"/>
    <row r="36168" hidden="1" x14ac:dyDescent="0.35"/>
    <row r="36169" hidden="1" x14ac:dyDescent="0.35"/>
    <row r="36170" hidden="1" x14ac:dyDescent="0.35"/>
    <row r="36171" hidden="1" x14ac:dyDescent="0.35"/>
    <row r="36172" hidden="1" x14ac:dyDescent="0.35"/>
    <row r="36173" hidden="1" x14ac:dyDescent="0.35"/>
    <row r="36174" hidden="1" x14ac:dyDescent="0.35"/>
    <row r="36175" hidden="1" x14ac:dyDescent="0.35"/>
    <row r="36176" hidden="1" x14ac:dyDescent="0.35"/>
    <row r="36177" hidden="1" x14ac:dyDescent="0.35"/>
    <row r="36178" hidden="1" x14ac:dyDescent="0.35"/>
    <row r="36179" hidden="1" x14ac:dyDescent="0.35"/>
    <row r="36180" hidden="1" x14ac:dyDescent="0.35"/>
    <row r="36181" hidden="1" x14ac:dyDescent="0.35"/>
    <row r="36182" hidden="1" x14ac:dyDescent="0.35"/>
    <row r="36183" hidden="1" x14ac:dyDescent="0.35"/>
    <row r="36184" hidden="1" x14ac:dyDescent="0.35"/>
    <row r="36185" hidden="1" x14ac:dyDescent="0.35"/>
    <row r="36186" hidden="1" x14ac:dyDescent="0.35"/>
    <row r="36187" hidden="1" x14ac:dyDescent="0.35"/>
    <row r="36188" hidden="1" x14ac:dyDescent="0.35"/>
    <row r="36189" hidden="1" x14ac:dyDescent="0.35"/>
    <row r="36190" hidden="1" x14ac:dyDescent="0.35"/>
    <row r="36191" hidden="1" x14ac:dyDescent="0.35"/>
    <row r="36192" hidden="1" x14ac:dyDescent="0.35"/>
    <row r="36193" hidden="1" x14ac:dyDescent="0.35"/>
    <row r="36194" hidden="1" x14ac:dyDescent="0.35"/>
    <row r="36195" hidden="1" x14ac:dyDescent="0.35"/>
    <row r="36196" hidden="1" x14ac:dyDescent="0.35"/>
    <row r="36197" hidden="1" x14ac:dyDescent="0.35"/>
    <row r="36198" hidden="1" x14ac:dyDescent="0.35"/>
    <row r="36199" hidden="1" x14ac:dyDescent="0.35"/>
    <row r="36200" hidden="1" x14ac:dyDescent="0.35"/>
    <row r="36201" hidden="1" x14ac:dyDescent="0.35"/>
    <row r="36202" hidden="1" x14ac:dyDescent="0.35"/>
    <row r="36203" hidden="1" x14ac:dyDescent="0.35"/>
    <row r="36204" hidden="1" x14ac:dyDescent="0.35"/>
    <row r="36205" hidden="1" x14ac:dyDescent="0.35"/>
    <row r="36206" hidden="1" x14ac:dyDescent="0.35"/>
    <row r="36207" hidden="1" x14ac:dyDescent="0.35"/>
    <row r="36208" hidden="1" x14ac:dyDescent="0.35"/>
    <row r="36209" hidden="1" x14ac:dyDescent="0.35"/>
    <row r="36210" hidden="1" x14ac:dyDescent="0.35"/>
    <row r="36211" hidden="1" x14ac:dyDescent="0.35"/>
    <row r="36212" hidden="1" x14ac:dyDescent="0.35"/>
    <row r="36213" hidden="1" x14ac:dyDescent="0.35"/>
    <row r="36214" hidden="1" x14ac:dyDescent="0.35"/>
    <row r="36215" hidden="1" x14ac:dyDescent="0.35"/>
    <row r="36216" hidden="1" x14ac:dyDescent="0.35"/>
    <row r="36217" hidden="1" x14ac:dyDescent="0.35"/>
    <row r="36218" hidden="1" x14ac:dyDescent="0.35"/>
    <row r="36219" hidden="1" x14ac:dyDescent="0.35"/>
    <row r="36220" hidden="1" x14ac:dyDescent="0.35"/>
    <row r="36221" hidden="1" x14ac:dyDescent="0.35"/>
    <row r="36222" hidden="1" x14ac:dyDescent="0.35"/>
    <row r="36223" hidden="1" x14ac:dyDescent="0.35"/>
    <row r="36224" hidden="1" x14ac:dyDescent="0.35"/>
    <row r="36225" hidden="1" x14ac:dyDescent="0.35"/>
    <row r="36226" hidden="1" x14ac:dyDescent="0.35"/>
    <row r="36227" hidden="1" x14ac:dyDescent="0.35"/>
    <row r="36228" hidden="1" x14ac:dyDescent="0.35"/>
    <row r="36229" hidden="1" x14ac:dyDescent="0.35"/>
    <row r="36230" hidden="1" x14ac:dyDescent="0.35"/>
    <row r="36231" hidden="1" x14ac:dyDescent="0.35"/>
    <row r="36232" hidden="1" x14ac:dyDescent="0.35"/>
    <row r="36233" hidden="1" x14ac:dyDescent="0.35"/>
    <row r="36234" hidden="1" x14ac:dyDescent="0.35"/>
    <row r="36235" hidden="1" x14ac:dyDescent="0.35"/>
    <row r="36236" hidden="1" x14ac:dyDescent="0.35"/>
    <row r="36237" hidden="1" x14ac:dyDescent="0.35"/>
    <row r="36238" hidden="1" x14ac:dyDescent="0.35"/>
    <row r="36239" hidden="1" x14ac:dyDescent="0.35"/>
    <row r="36240" hidden="1" x14ac:dyDescent="0.35"/>
    <row r="36241" hidden="1" x14ac:dyDescent="0.35"/>
    <row r="36242" hidden="1" x14ac:dyDescent="0.35"/>
    <row r="36243" hidden="1" x14ac:dyDescent="0.35"/>
    <row r="36244" hidden="1" x14ac:dyDescent="0.35"/>
    <row r="36245" hidden="1" x14ac:dyDescent="0.35"/>
    <row r="36246" hidden="1" x14ac:dyDescent="0.35"/>
    <row r="36247" hidden="1" x14ac:dyDescent="0.35"/>
    <row r="36248" hidden="1" x14ac:dyDescent="0.35"/>
    <row r="36249" hidden="1" x14ac:dyDescent="0.35"/>
    <row r="36250" hidden="1" x14ac:dyDescent="0.35"/>
    <row r="36251" hidden="1" x14ac:dyDescent="0.35"/>
    <row r="36252" hidden="1" x14ac:dyDescent="0.35"/>
    <row r="36253" hidden="1" x14ac:dyDescent="0.35"/>
    <row r="36254" hidden="1" x14ac:dyDescent="0.35"/>
    <row r="36255" hidden="1" x14ac:dyDescent="0.35"/>
    <row r="36256" hidden="1" x14ac:dyDescent="0.35"/>
    <row r="36257" hidden="1" x14ac:dyDescent="0.35"/>
    <row r="36258" hidden="1" x14ac:dyDescent="0.35"/>
    <row r="36259" hidden="1" x14ac:dyDescent="0.35"/>
    <row r="36260" hidden="1" x14ac:dyDescent="0.35"/>
    <row r="36261" hidden="1" x14ac:dyDescent="0.35"/>
    <row r="36262" hidden="1" x14ac:dyDescent="0.35"/>
    <row r="36263" hidden="1" x14ac:dyDescent="0.35"/>
    <row r="36264" hidden="1" x14ac:dyDescent="0.35"/>
    <row r="36265" hidden="1" x14ac:dyDescent="0.35"/>
    <row r="36266" hidden="1" x14ac:dyDescent="0.35"/>
    <row r="36267" hidden="1" x14ac:dyDescent="0.35"/>
    <row r="36268" hidden="1" x14ac:dyDescent="0.35"/>
    <row r="36269" hidden="1" x14ac:dyDescent="0.35"/>
    <row r="36270" hidden="1" x14ac:dyDescent="0.35"/>
    <row r="36271" hidden="1" x14ac:dyDescent="0.35"/>
    <row r="36272" hidden="1" x14ac:dyDescent="0.35"/>
    <row r="36273" hidden="1" x14ac:dyDescent="0.35"/>
    <row r="36274" hidden="1" x14ac:dyDescent="0.35"/>
    <row r="36275" hidden="1" x14ac:dyDescent="0.35"/>
    <row r="36276" hidden="1" x14ac:dyDescent="0.35"/>
    <row r="36277" hidden="1" x14ac:dyDescent="0.35"/>
    <row r="36278" hidden="1" x14ac:dyDescent="0.35"/>
    <row r="36279" hidden="1" x14ac:dyDescent="0.35"/>
    <row r="36280" hidden="1" x14ac:dyDescent="0.35"/>
    <row r="36281" hidden="1" x14ac:dyDescent="0.35"/>
    <row r="36282" hidden="1" x14ac:dyDescent="0.35"/>
    <row r="36283" hidden="1" x14ac:dyDescent="0.35"/>
    <row r="36284" hidden="1" x14ac:dyDescent="0.35"/>
    <row r="36285" hidden="1" x14ac:dyDescent="0.35"/>
    <row r="36286" hidden="1" x14ac:dyDescent="0.35"/>
    <row r="36287" hidden="1" x14ac:dyDescent="0.35"/>
    <row r="36288" hidden="1" x14ac:dyDescent="0.35"/>
    <row r="36289" hidden="1" x14ac:dyDescent="0.35"/>
    <row r="36290" hidden="1" x14ac:dyDescent="0.35"/>
    <row r="36291" hidden="1" x14ac:dyDescent="0.35"/>
    <row r="36292" hidden="1" x14ac:dyDescent="0.35"/>
    <row r="36293" hidden="1" x14ac:dyDescent="0.35"/>
    <row r="36294" hidden="1" x14ac:dyDescent="0.35"/>
    <row r="36295" hidden="1" x14ac:dyDescent="0.35"/>
    <row r="36296" hidden="1" x14ac:dyDescent="0.35"/>
    <row r="36297" hidden="1" x14ac:dyDescent="0.35"/>
    <row r="36298" hidden="1" x14ac:dyDescent="0.35"/>
    <row r="36299" hidden="1" x14ac:dyDescent="0.35"/>
    <row r="36300" hidden="1" x14ac:dyDescent="0.35"/>
    <row r="36301" hidden="1" x14ac:dyDescent="0.35"/>
    <row r="36302" hidden="1" x14ac:dyDescent="0.35"/>
    <row r="36303" hidden="1" x14ac:dyDescent="0.35"/>
    <row r="36304" hidden="1" x14ac:dyDescent="0.35"/>
    <row r="36305" hidden="1" x14ac:dyDescent="0.35"/>
    <row r="36306" hidden="1" x14ac:dyDescent="0.35"/>
    <row r="36307" hidden="1" x14ac:dyDescent="0.35"/>
    <row r="36308" hidden="1" x14ac:dyDescent="0.35"/>
    <row r="36309" hidden="1" x14ac:dyDescent="0.35"/>
    <row r="36310" hidden="1" x14ac:dyDescent="0.35"/>
    <row r="36311" hidden="1" x14ac:dyDescent="0.35"/>
    <row r="36312" hidden="1" x14ac:dyDescent="0.35"/>
    <row r="36313" hidden="1" x14ac:dyDescent="0.35"/>
    <row r="36314" hidden="1" x14ac:dyDescent="0.35"/>
    <row r="36315" hidden="1" x14ac:dyDescent="0.35"/>
    <row r="36316" hidden="1" x14ac:dyDescent="0.35"/>
    <row r="36317" hidden="1" x14ac:dyDescent="0.35"/>
    <row r="36318" hidden="1" x14ac:dyDescent="0.35"/>
    <row r="36319" hidden="1" x14ac:dyDescent="0.35"/>
    <row r="36320" hidden="1" x14ac:dyDescent="0.35"/>
    <row r="36321" hidden="1" x14ac:dyDescent="0.35"/>
    <row r="36322" hidden="1" x14ac:dyDescent="0.35"/>
    <row r="36323" hidden="1" x14ac:dyDescent="0.35"/>
    <row r="36324" hidden="1" x14ac:dyDescent="0.35"/>
    <row r="36325" hidden="1" x14ac:dyDescent="0.35"/>
    <row r="36326" hidden="1" x14ac:dyDescent="0.35"/>
    <row r="36327" hidden="1" x14ac:dyDescent="0.35"/>
    <row r="36328" hidden="1" x14ac:dyDescent="0.35"/>
    <row r="36329" hidden="1" x14ac:dyDescent="0.35"/>
    <row r="36330" hidden="1" x14ac:dyDescent="0.35"/>
    <row r="36331" hidden="1" x14ac:dyDescent="0.35"/>
    <row r="36332" hidden="1" x14ac:dyDescent="0.35"/>
    <row r="36333" hidden="1" x14ac:dyDescent="0.35"/>
    <row r="36334" hidden="1" x14ac:dyDescent="0.35"/>
    <row r="36335" hidden="1" x14ac:dyDescent="0.35"/>
    <row r="36336" hidden="1" x14ac:dyDescent="0.35"/>
    <row r="36337" hidden="1" x14ac:dyDescent="0.35"/>
    <row r="36338" hidden="1" x14ac:dyDescent="0.35"/>
    <row r="36339" hidden="1" x14ac:dyDescent="0.35"/>
    <row r="36340" hidden="1" x14ac:dyDescent="0.35"/>
    <row r="36341" hidden="1" x14ac:dyDescent="0.35"/>
    <row r="36342" hidden="1" x14ac:dyDescent="0.35"/>
    <row r="36343" hidden="1" x14ac:dyDescent="0.35"/>
    <row r="36344" hidden="1" x14ac:dyDescent="0.35"/>
    <row r="36345" hidden="1" x14ac:dyDescent="0.35"/>
    <row r="36346" hidden="1" x14ac:dyDescent="0.35"/>
    <row r="36347" hidden="1" x14ac:dyDescent="0.35"/>
    <row r="36348" hidden="1" x14ac:dyDescent="0.35"/>
    <row r="36349" hidden="1" x14ac:dyDescent="0.35"/>
    <row r="36350" hidden="1" x14ac:dyDescent="0.35"/>
    <row r="36351" hidden="1" x14ac:dyDescent="0.35"/>
    <row r="36352" hidden="1" x14ac:dyDescent="0.35"/>
    <row r="36353" hidden="1" x14ac:dyDescent="0.35"/>
    <row r="36354" hidden="1" x14ac:dyDescent="0.35"/>
    <row r="36355" hidden="1" x14ac:dyDescent="0.35"/>
    <row r="36356" hidden="1" x14ac:dyDescent="0.35"/>
    <row r="36357" hidden="1" x14ac:dyDescent="0.35"/>
    <row r="36358" hidden="1" x14ac:dyDescent="0.35"/>
    <row r="36359" hidden="1" x14ac:dyDescent="0.35"/>
    <row r="36360" hidden="1" x14ac:dyDescent="0.35"/>
    <row r="36361" hidden="1" x14ac:dyDescent="0.35"/>
    <row r="36362" hidden="1" x14ac:dyDescent="0.35"/>
    <row r="36363" hidden="1" x14ac:dyDescent="0.35"/>
    <row r="36364" hidden="1" x14ac:dyDescent="0.35"/>
    <row r="36365" hidden="1" x14ac:dyDescent="0.35"/>
    <row r="36366" hidden="1" x14ac:dyDescent="0.35"/>
    <row r="36367" hidden="1" x14ac:dyDescent="0.35"/>
    <row r="36368" hidden="1" x14ac:dyDescent="0.35"/>
    <row r="36369" hidden="1" x14ac:dyDescent="0.35"/>
    <row r="36370" hidden="1" x14ac:dyDescent="0.35"/>
    <row r="36371" hidden="1" x14ac:dyDescent="0.35"/>
    <row r="36372" hidden="1" x14ac:dyDescent="0.35"/>
    <row r="36373" hidden="1" x14ac:dyDescent="0.35"/>
    <row r="36374" hidden="1" x14ac:dyDescent="0.35"/>
    <row r="36375" hidden="1" x14ac:dyDescent="0.35"/>
    <row r="36376" hidden="1" x14ac:dyDescent="0.35"/>
    <row r="36377" hidden="1" x14ac:dyDescent="0.35"/>
    <row r="36378" hidden="1" x14ac:dyDescent="0.35"/>
    <row r="36379" hidden="1" x14ac:dyDescent="0.35"/>
    <row r="36380" hidden="1" x14ac:dyDescent="0.35"/>
    <row r="36381" hidden="1" x14ac:dyDescent="0.35"/>
    <row r="36382" hidden="1" x14ac:dyDescent="0.35"/>
    <row r="36383" hidden="1" x14ac:dyDescent="0.35"/>
    <row r="36384" hidden="1" x14ac:dyDescent="0.35"/>
    <row r="36385" hidden="1" x14ac:dyDescent="0.35"/>
    <row r="36386" hidden="1" x14ac:dyDescent="0.35"/>
    <row r="36387" hidden="1" x14ac:dyDescent="0.35"/>
    <row r="36388" hidden="1" x14ac:dyDescent="0.35"/>
    <row r="36389" hidden="1" x14ac:dyDescent="0.35"/>
    <row r="36390" hidden="1" x14ac:dyDescent="0.35"/>
    <row r="36391" hidden="1" x14ac:dyDescent="0.35"/>
    <row r="36392" hidden="1" x14ac:dyDescent="0.35"/>
    <row r="36393" hidden="1" x14ac:dyDescent="0.35"/>
    <row r="36394" hidden="1" x14ac:dyDescent="0.35"/>
    <row r="36395" hidden="1" x14ac:dyDescent="0.35"/>
    <row r="36396" hidden="1" x14ac:dyDescent="0.35"/>
    <row r="36397" hidden="1" x14ac:dyDescent="0.35"/>
    <row r="36398" hidden="1" x14ac:dyDescent="0.35"/>
    <row r="36399" hidden="1" x14ac:dyDescent="0.35"/>
    <row r="36400" hidden="1" x14ac:dyDescent="0.35"/>
    <row r="36401" hidden="1" x14ac:dyDescent="0.35"/>
    <row r="36402" hidden="1" x14ac:dyDescent="0.35"/>
    <row r="36403" hidden="1" x14ac:dyDescent="0.35"/>
    <row r="36404" hidden="1" x14ac:dyDescent="0.35"/>
    <row r="36405" hidden="1" x14ac:dyDescent="0.35"/>
    <row r="36406" hidden="1" x14ac:dyDescent="0.35"/>
    <row r="36407" hidden="1" x14ac:dyDescent="0.35"/>
    <row r="36408" hidden="1" x14ac:dyDescent="0.35"/>
    <row r="36409" hidden="1" x14ac:dyDescent="0.35"/>
    <row r="36410" hidden="1" x14ac:dyDescent="0.35"/>
    <row r="36411" hidden="1" x14ac:dyDescent="0.35"/>
    <row r="36412" hidden="1" x14ac:dyDescent="0.35"/>
    <row r="36413" hidden="1" x14ac:dyDescent="0.35"/>
    <row r="36414" hidden="1" x14ac:dyDescent="0.35"/>
    <row r="36415" hidden="1" x14ac:dyDescent="0.35"/>
    <row r="36416" hidden="1" x14ac:dyDescent="0.35"/>
    <row r="36417" hidden="1" x14ac:dyDescent="0.35"/>
    <row r="36418" hidden="1" x14ac:dyDescent="0.35"/>
    <row r="36419" hidden="1" x14ac:dyDescent="0.35"/>
    <row r="36420" hidden="1" x14ac:dyDescent="0.35"/>
    <row r="36421" hidden="1" x14ac:dyDescent="0.35"/>
    <row r="36422" hidden="1" x14ac:dyDescent="0.35"/>
    <row r="36423" hidden="1" x14ac:dyDescent="0.35"/>
    <row r="36424" hidden="1" x14ac:dyDescent="0.35"/>
    <row r="36425" hidden="1" x14ac:dyDescent="0.35"/>
    <row r="36426" hidden="1" x14ac:dyDescent="0.35"/>
    <row r="36427" hidden="1" x14ac:dyDescent="0.35"/>
    <row r="36428" hidden="1" x14ac:dyDescent="0.35"/>
    <row r="36429" hidden="1" x14ac:dyDescent="0.35"/>
    <row r="36430" hidden="1" x14ac:dyDescent="0.35"/>
    <row r="36431" hidden="1" x14ac:dyDescent="0.35"/>
    <row r="36432" hidden="1" x14ac:dyDescent="0.35"/>
    <row r="36433" hidden="1" x14ac:dyDescent="0.35"/>
    <row r="36434" hidden="1" x14ac:dyDescent="0.35"/>
    <row r="36435" hidden="1" x14ac:dyDescent="0.35"/>
    <row r="36436" hidden="1" x14ac:dyDescent="0.35"/>
    <row r="36437" hidden="1" x14ac:dyDescent="0.35"/>
    <row r="36438" hidden="1" x14ac:dyDescent="0.35"/>
    <row r="36439" hidden="1" x14ac:dyDescent="0.35"/>
    <row r="36440" hidden="1" x14ac:dyDescent="0.35"/>
    <row r="36441" hidden="1" x14ac:dyDescent="0.35"/>
    <row r="36442" hidden="1" x14ac:dyDescent="0.35"/>
    <row r="36443" hidden="1" x14ac:dyDescent="0.35"/>
    <row r="36444" hidden="1" x14ac:dyDescent="0.35"/>
    <row r="36445" hidden="1" x14ac:dyDescent="0.35"/>
    <row r="36446" hidden="1" x14ac:dyDescent="0.35"/>
    <row r="36447" hidden="1" x14ac:dyDescent="0.35"/>
    <row r="36448" hidden="1" x14ac:dyDescent="0.35"/>
    <row r="36449" hidden="1" x14ac:dyDescent="0.35"/>
    <row r="36450" hidden="1" x14ac:dyDescent="0.35"/>
    <row r="36451" hidden="1" x14ac:dyDescent="0.35"/>
    <row r="36452" hidden="1" x14ac:dyDescent="0.35"/>
    <row r="36453" hidden="1" x14ac:dyDescent="0.35"/>
    <row r="36454" hidden="1" x14ac:dyDescent="0.35"/>
    <row r="36455" hidden="1" x14ac:dyDescent="0.35"/>
    <row r="36456" hidden="1" x14ac:dyDescent="0.35"/>
    <row r="36457" hidden="1" x14ac:dyDescent="0.35"/>
    <row r="36458" hidden="1" x14ac:dyDescent="0.35"/>
    <row r="36459" hidden="1" x14ac:dyDescent="0.35"/>
    <row r="36460" hidden="1" x14ac:dyDescent="0.35"/>
    <row r="36461" hidden="1" x14ac:dyDescent="0.35"/>
    <row r="36462" hidden="1" x14ac:dyDescent="0.35"/>
    <row r="36463" hidden="1" x14ac:dyDescent="0.35"/>
    <row r="36464" hidden="1" x14ac:dyDescent="0.35"/>
    <row r="36465" hidden="1" x14ac:dyDescent="0.35"/>
    <row r="36466" hidden="1" x14ac:dyDescent="0.35"/>
    <row r="36467" hidden="1" x14ac:dyDescent="0.35"/>
    <row r="36468" hidden="1" x14ac:dyDescent="0.35"/>
    <row r="36469" hidden="1" x14ac:dyDescent="0.35"/>
    <row r="36470" hidden="1" x14ac:dyDescent="0.35"/>
    <row r="36471" hidden="1" x14ac:dyDescent="0.35"/>
    <row r="36472" hidden="1" x14ac:dyDescent="0.35"/>
    <row r="36473" hidden="1" x14ac:dyDescent="0.35"/>
    <row r="36474" hidden="1" x14ac:dyDescent="0.35"/>
    <row r="36475" hidden="1" x14ac:dyDescent="0.35"/>
    <row r="36476" hidden="1" x14ac:dyDescent="0.35"/>
    <row r="36477" hidden="1" x14ac:dyDescent="0.35"/>
    <row r="36478" hidden="1" x14ac:dyDescent="0.35"/>
    <row r="36479" hidden="1" x14ac:dyDescent="0.35"/>
    <row r="36480" hidden="1" x14ac:dyDescent="0.35"/>
    <row r="36481" hidden="1" x14ac:dyDescent="0.35"/>
    <row r="36482" hidden="1" x14ac:dyDescent="0.35"/>
    <row r="36483" hidden="1" x14ac:dyDescent="0.35"/>
    <row r="36484" hidden="1" x14ac:dyDescent="0.35"/>
    <row r="36485" hidden="1" x14ac:dyDescent="0.35"/>
    <row r="36486" hidden="1" x14ac:dyDescent="0.35"/>
    <row r="36487" hidden="1" x14ac:dyDescent="0.35"/>
    <row r="36488" hidden="1" x14ac:dyDescent="0.35"/>
    <row r="36489" hidden="1" x14ac:dyDescent="0.35"/>
    <row r="36490" hidden="1" x14ac:dyDescent="0.35"/>
    <row r="36491" hidden="1" x14ac:dyDescent="0.35"/>
    <row r="36492" hidden="1" x14ac:dyDescent="0.35"/>
    <row r="36493" hidden="1" x14ac:dyDescent="0.35"/>
    <row r="36494" hidden="1" x14ac:dyDescent="0.35"/>
    <row r="36495" hidden="1" x14ac:dyDescent="0.35"/>
    <row r="36496" hidden="1" x14ac:dyDescent="0.35"/>
    <row r="36497" hidden="1" x14ac:dyDescent="0.35"/>
    <row r="36498" hidden="1" x14ac:dyDescent="0.35"/>
    <row r="36499" hidden="1" x14ac:dyDescent="0.35"/>
    <row r="36500" hidden="1" x14ac:dyDescent="0.35"/>
    <row r="36501" hidden="1" x14ac:dyDescent="0.35"/>
    <row r="36502" hidden="1" x14ac:dyDescent="0.35"/>
    <row r="36503" hidden="1" x14ac:dyDescent="0.35"/>
    <row r="36504" hidden="1" x14ac:dyDescent="0.35"/>
    <row r="36505" hidden="1" x14ac:dyDescent="0.35"/>
    <row r="36506" hidden="1" x14ac:dyDescent="0.35"/>
    <row r="36507" hidden="1" x14ac:dyDescent="0.35"/>
    <row r="36508" hidden="1" x14ac:dyDescent="0.35"/>
    <row r="36509" hidden="1" x14ac:dyDescent="0.35"/>
    <row r="36510" hidden="1" x14ac:dyDescent="0.35"/>
    <row r="36511" hidden="1" x14ac:dyDescent="0.35"/>
    <row r="36512" hidden="1" x14ac:dyDescent="0.35"/>
    <row r="36513" hidden="1" x14ac:dyDescent="0.35"/>
    <row r="36514" hidden="1" x14ac:dyDescent="0.35"/>
    <row r="36515" hidden="1" x14ac:dyDescent="0.35"/>
    <row r="36516" hidden="1" x14ac:dyDescent="0.35"/>
    <row r="36517" hidden="1" x14ac:dyDescent="0.35"/>
    <row r="36518" hidden="1" x14ac:dyDescent="0.35"/>
    <row r="36519" hidden="1" x14ac:dyDescent="0.35"/>
    <row r="36520" hidden="1" x14ac:dyDescent="0.35"/>
    <row r="36521" hidden="1" x14ac:dyDescent="0.35"/>
    <row r="36522" hidden="1" x14ac:dyDescent="0.35"/>
    <row r="36523" hidden="1" x14ac:dyDescent="0.35"/>
    <row r="36524" hidden="1" x14ac:dyDescent="0.35"/>
    <row r="36525" hidden="1" x14ac:dyDescent="0.35"/>
    <row r="36526" hidden="1" x14ac:dyDescent="0.35"/>
    <row r="36527" hidden="1" x14ac:dyDescent="0.35"/>
    <row r="36528" hidden="1" x14ac:dyDescent="0.35"/>
    <row r="36529" hidden="1" x14ac:dyDescent="0.35"/>
    <row r="36530" hidden="1" x14ac:dyDescent="0.35"/>
    <row r="36531" hidden="1" x14ac:dyDescent="0.35"/>
    <row r="36532" hidden="1" x14ac:dyDescent="0.35"/>
    <row r="36533" hidden="1" x14ac:dyDescent="0.35"/>
    <row r="36534" hidden="1" x14ac:dyDescent="0.35"/>
    <row r="36535" hidden="1" x14ac:dyDescent="0.35"/>
    <row r="36536" hidden="1" x14ac:dyDescent="0.35"/>
    <row r="36537" hidden="1" x14ac:dyDescent="0.35"/>
    <row r="36538" hidden="1" x14ac:dyDescent="0.35"/>
    <row r="36539" hidden="1" x14ac:dyDescent="0.35"/>
    <row r="36540" hidden="1" x14ac:dyDescent="0.35"/>
    <row r="36541" hidden="1" x14ac:dyDescent="0.35"/>
    <row r="36542" hidden="1" x14ac:dyDescent="0.35"/>
    <row r="36543" hidden="1" x14ac:dyDescent="0.35"/>
    <row r="36544" hidden="1" x14ac:dyDescent="0.35"/>
    <row r="36545" hidden="1" x14ac:dyDescent="0.35"/>
    <row r="36546" hidden="1" x14ac:dyDescent="0.35"/>
    <row r="36547" hidden="1" x14ac:dyDescent="0.35"/>
    <row r="36548" hidden="1" x14ac:dyDescent="0.35"/>
    <row r="36549" hidden="1" x14ac:dyDescent="0.35"/>
    <row r="36550" hidden="1" x14ac:dyDescent="0.35"/>
    <row r="36551" hidden="1" x14ac:dyDescent="0.35"/>
    <row r="36552" hidden="1" x14ac:dyDescent="0.35"/>
    <row r="36553" hidden="1" x14ac:dyDescent="0.35"/>
    <row r="36554" hidden="1" x14ac:dyDescent="0.35"/>
    <row r="36555" hidden="1" x14ac:dyDescent="0.35"/>
    <row r="36556" hidden="1" x14ac:dyDescent="0.35"/>
    <row r="36557" hidden="1" x14ac:dyDescent="0.35"/>
    <row r="36558" hidden="1" x14ac:dyDescent="0.35"/>
    <row r="36559" hidden="1" x14ac:dyDescent="0.35"/>
    <row r="36560" hidden="1" x14ac:dyDescent="0.35"/>
    <row r="36561" hidden="1" x14ac:dyDescent="0.35"/>
    <row r="36562" hidden="1" x14ac:dyDescent="0.35"/>
    <row r="36563" hidden="1" x14ac:dyDescent="0.35"/>
    <row r="36564" hidden="1" x14ac:dyDescent="0.35"/>
    <row r="36565" hidden="1" x14ac:dyDescent="0.35"/>
    <row r="36566" hidden="1" x14ac:dyDescent="0.35"/>
    <row r="36567" hidden="1" x14ac:dyDescent="0.35"/>
    <row r="36568" hidden="1" x14ac:dyDescent="0.35"/>
    <row r="36569" hidden="1" x14ac:dyDescent="0.35"/>
    <row r="36570" hidden="1" x14ac:dyDescent="0.35"/>
    <row r="36571" hidden="1" x14ac:dyDescent="0.35"/>
    <row r="36572" hidden="1" x14ac:dyDescent="0.35"/>
    <row r="36573" hidden="1" x14ac:dyDescent="0.35"/>
    <row r="36574" hidden="1" x14ac:dyDescent="0.35"/>
    <row r="36575" hidden="1" x14ac:dyDescent="0.35"/>
    <row r="36576" hidden="1" x14ac:dyDescent="0.35"/>
    <row r="36577" hidden="1" x14ac:dyDescent="0.35"/>
    <row r="36578" hidden="1" x14ac:dyDescent="0.35"/>
    <row r="36579" hidden="1" x14ac:dyDescent="0.35"/>
    <row r="36580" hidden="1" x14ac:dyDescent="0.35"/>
    <row r="36581" hidden="1" x14ac:dyDescent="0.35"/>
    <row r="36582" hidden="1" x14ac:dyDescent="0.35"/>
    <row r="36583" hidden="1" x14ac:dyDescent="0.35"/>
    <row r="36584" hidden="1" x14ac:dyDescent="0.35"/>
    <row r="36585" hidden="1" x14ac:dyDescent="0.35"/>
    <row r="36586" hidden="1" x14ac:dyDescent="0.35"/>
    <row r="36587" hidden="1" x14ac:dyDescent="0.35"/>
    <row r="36588" hidden="1" x14ac:dyDescent="0.35"/>
    <row r="36589" hidden="1" x14ac:dyDescent="0.35"/>
    <row r="36590" hidden="1" x14ac:dyDescent="0.35"/>
    <row r="36591" hidden="1" x14ac:dyDescent="0.35"/>
    <row r="36592" hidden="1" x14ac:dyDescent="0.35"/>
    <row r="36593" hidden="1" x14ac:dyDescent="0.35"/>
    <row r="36594" hidden="1" x14ac:dyDescent="0.35"/>
    <row r="36595" hidden="1" x14ac:dyDescent="0.35"/>
    <row r="36596" hidden="1" x14ac:dyDescent="0.35"/>
    <row r="36597" hidden="1" x14ac:dyDescent="0.35"/>
    <row r="36598" hidden="1" x14ac:dyDescent="0.35"/>
    <row r="36599" hidden="1" x14ac:dyDescent="0.35"/>
    <row r="36600" hidden="1" x14ac:dyDescent="0.35"/>
    <row r="36601" hidden="1" x14ac:dyDescent="0.35"/>
    <row r="36602" hidden="1" x14ac:dyDescent="0.35"/>
    <row r="36603" hidden="1" x14ac:dyDescent="0.35"/>
    <row r="36604" hidden="1" x14ac:dyDescent="0.35"/>
    <row r="36605" hidden="1" x14ac:dyDescent="0.35"/>
    <row r="36606" hidden="1" x14ac:dyDescent="0.35"/>
    <row r="36607" hidden="1" x14ac:dyDescent="0.35"/>
    <row r="36608" hidden="1" x14ac:dyDescent="0.35"/>
    <row r="36609" hidden="1" x14ac:dyDescent="0.35"/>
    <row r="36610" hidden="1" x14ac:dyDescent="0.35"/>
    <row r="36611" hidden="1" x14ac:dyDescent="0.35"/>
    <row r="36612" hidden="1" x14ac:dyDescent="0.35"/>
    <row r="36613" hidden="1" x14ac:dyDescent="0.35"/>
    <row r="36614" hidden="1" x14ac:dyDescent="0.35"/>
    <row r="36615" hidden="1" x14ac:dyDescent="0.35"/>
    <row r="36616" hidden="1" x14ac:dyDescent="0.35"/>
    <row r="36617" hidden="1" x14ac:dyDescent="0.35"/>
    <row r="36618" hidden="1" x14ac:dyDescent="0.35"/>
    <row r="36619" hidden="1" x14ac:dyDescent="0.35"/>
    <row r="36620" hidden="1" x14ac:dyDescent="0.35"/>
    <row r="36621" hidden="1" x14ac:dyDescent="0.35"/>
    <row r="36622" hidden="1" x14ac:dyDescent="0.35"/>
    <row r="36623" hidden="1" x14ac:dyDescent="0.35"/>
    <row r="36624" hidden="1" x14ac:dyDescent="0.35"/>
    <row r="36625" hidden="1" x14ac:dyDescent="0.35"/>
    <row r="36626" hidden="1" x14ac:dyDescent="0.35"/>
    <row r="36627" hidden="1" x14ac:dyDescent="0.35"/>
    <row r="36628" hidden="1" x14ac:dyDescent="0.35"/>
    <row r="36629" hidden="1" x14ac:dyDescent="0.35"/>
    <row r="36630" hidden="1" x14ac:dyDescent="0.35"/>
    <row r="36631" hidden="1" x14ac:dyDescent="0.35"/>
    <row r="36632" hidden="1" x14ac:dyDescent="0.35"/>
    <row r="36633" hidden="1" x14ac:dyDescent="0.35"/>
    <row r="36634" hidden="1" x14ac:dyDescent="0.35"/>
    <row r="36635" hidden="1" x14ac:dyDescent="0.35"/>
    <row r="36636" hidden="1" x14ac:dyDescent="0.35"/>
    <row r="36637" hidden="1" x14ac:dyDescent="0.35"/>
    <row r="36638" hidden="1" x14ac:dyDescent="0.35"/>
    <row r="36639" hidden="1" x14ac:dyDescent="0.35"/>
    <row r="36640" hidden="1" x14ac:dyDescent="0.35"/>
    <row r="36641" hidden="1" x14ac:dyDescent="0.35"/>
    <row r="36642" hidden="1" x14ac:dyDescent="0.35"/>
    <row r="36643" hidden="1" x14ac:dyDescent="0.35"/>
    <row r="36644" hidden="1" x14ac:dyDescent="0.35"/>
    <row r="36645" hidden="1" x14ac:dyDescent="0.35"/>
    <row r="36646" hidden="1" x14ac:dyDescent="0.35"/>
    <row r="36647" hidden="1" x14ac:dyDescent="0.35"/>
    <row r="36648" hidden="1" x14ac:dyDescent="0.35"/>
    <row r="36649" hidden="1" x14ac:dyDescent="0.35"/>
    <row r="36650" hidden="1" x14ac:dyDescent="0.35"/>
    <row r="36651" hidden="1" x14ac:dyDescent="0.35"/>
    <row r="36652" hidden="1" x14ac:dyDescent="0.35"/>
    <row r="36653" hidden="1" x14ac:dyDescent="0.35"/>
    <row r="36654" hidden="1" x14ac:dyDescent="0.35"/>
    <row r="36655" hidden="1" x14ac:dyDescent="0.35"/>
    <row r="36656" hidden="1" x14ac:dyDescent="0.35"/>
    <row r="36657" hidden="1" x14ac:dyDescent="0.35"/>
    <row r="36658" hidden="1" x14ac:dyDescent="0.35"/>
    <row r="36659" hidden="1" x14ac:dyDescent="0.35"/>
    <row r="36660" hidden="1" x14ac:dyDescent="0.35"/>
    <row r="36661" hidden="1" x14ac:dyDescent="0.35"/>
    <row r="36662" hidden="1" x14ac:dyDescent="0.35"/>
    <row r="36663" hidden="1" x14ac:dyDescent="0.35"/>
    <row r="36664" hidden="1" x14ac:dyDescent="0.35"/>
    <row r="36665" hidden="1" x14ac:dyDescent="0.35"/>
    <row r="36666" hidden="1" x14ac:dyDescent="0.35"/>
    <row r="36667" hidden="1" x14ac:dyDescent="0.35"/>
    <row r="36668" hidden="1" x14ac:dyDescent="0.35"/>
    <row r="36669" hidden="1" x14ac:dyDescent="0.35"/>
    <row r="36670" hidden="1" x14ac:dyDescent="0.35"/>
    <row r="36671" hidden="1" x14ac:dyDescent="0.35"/>
    <row r="36672" hidden="1" x14ac:dyDescent="0.35"/>
    <row r="36673" hidden="1" x14ac:dyDescent="0.35"/>
    <row r="36674" hidden="1" x14ac:dyDescent="0.35"/>
    <row r="36675" hidden="1" x14ac:dyDescent="0.35"/>
    <row r="36676" hidden="1" x14ac:dyDescent="0.35"/>
    <row r="36677" hidden="1" x14ac:dyDescent="0.35"/>
    <row r="36678" hidden="1" x14ac:dyDescent="0.35"/>
    <row r="36679" hidden="1" x14ac:dyDescent="0.35"/>
    <row r="36680" hidden="1" x14ac:dyDescent="0.35"/>
    <row r="36681" hidden="1" x14ac:dyDescent="0.35"/>
    <row r="36682" hidden="1" x14ac:dyDescent="0.35"/>
    <row r="36683" hidden="1" x14ac:dyDescent="0.35"/>
    <row r="36684" hidden="1" x14ac:dyDescent="0.35"/>
    <row r="36685" hidden="1" x14ac:dyDescent="0.35"/>
    <row r="36686" hidden="1" x14ac:dyDescent="0.35"/>
    <row r="36687" hidden="1" x14ac:dyDescent="0.35"/>
    <row r="36688" hidden="1" x14ac:dyDescent="0.35"/>
    <row r="36689" hidden="1" x14ac:dyDescent="0.35"/>
    <row r="36690" hidden="1" x14ac:dyDescent="0.35"/>
    <row r="36691" hidden="1" x14ac:dyDescent="0.35"/>
    <row r="36692" hidden="1" x14ac:dyDescent="0.35"/>
    <row r="36693" hidden="1" x14ac:dyDescent="0.35"/>
    <row r="36694" hidden="1" x14ac:dyDescent="0.35"/>
    <row r="36695" hidden="1" x14ac:dyDescent="0.35"/>
    <row r="36696" hidden="1" x14ac:dyDescent="0.35"/>
    <row r="36697" hidden="1" x14ac:dyDescent="0.35"/>
    <row r="36698" hidden="1" x14ac:dyDescent="0.35"/>
    <row r="36699" hidden="1" x14ac:dyDescent="0.35"/>
    <row r="36700" hidden="1" x14ac:dyDescent="0.35"/>
    <row r="36701" hidden="1" x14ac:dyDescent="0.35"/>
    <row r="36702" hidden="1" x14ac:dyDescent="0.35"/>
    <row r="36703" hidden="1" x14ac:dyDescent="0.35"/>
    <row r="36704" hidden="1" x14ac:dyDescent="0.35"/>
    <row r="36705" hidden="1" x14ac:dyDescent="0.35"/>
    <row r="36706" hidden="1" x14ac:dyDescent="0.35"/>
    <row r="36707" hidden="1" x14ac:dyDescent="0.35"/>
    <row r="36708" hidden="1" x14ac:dyDescent="0.35"/>
    <row r="36709" hidden="1" x14ac:dyDescent="0.35"/>
    <row r="36710" hidden="1" x14ac:dyDescent="0.35"/>
    <row r="36711" hidden="1" x14ac:dyDescent="0.35"/>
    <row r="36712" hidden="1" x14ac:dyDescent="0.35"/>
    <row r="36713" hidden="1" x14ac:dyDescent="0.35"/>
    <row r="36714" hidden="1" x14ac:dyDescent="0.35"/>
    <row r="36715" hidden="1" x14ac:dyDescent="0.35"/>
    <row r="36716" hidden="1" x14ac:dyDescent="0.35"/>
    <row r="36717" hidden="1" x14ac:dyDescent="0.35"/>
    <row r="36718" hidden="1" x14ac:dyDescent="0.35"/>
    <row r="36719" hidden="1" x14ac:dyDescent="0.35"/>
    <row r="36720" hidden="1" x14ac:dyDescent="0.35"/>
    <row r="36721" hidden="1" x14ac:dyDescent="0.35"/>
    <row r="36722" hidden="1" x14ac:dyDescent="0.35"/>
    <row r="36723" hidden="1" x14ac:dyDescent="0.35"/>
    <row r="36724" hidden="1" x14ac:dyDescent="0.35"/>
    <row r="36725" hidden="1" x14ac:dyDescent="0.35"/>
    <row r="36726" hidden="1" x14ac:dyDescent="0.35"/>
    <row r="36727" hidden="1" x14ac:dyDescent="0.35"/>
    <row r="36728" hidden="1" x14ac:dyDescent="0.35"/>
    <row r="36729" hidden="1" x14ac:dyDescent="0.35"/>
    <row r="36730" hidden="1" x14ac:dyDescent="0.35"/>
    <row r="36731" hidden="1" x14ac:dyDescent="0.35"/>
    <row r="36732" hidden="1" x14ac:dyDescent="0.35"/>
    <row r="36733" hidden="1" x14ac:dyDescent="0.35"/>
    <row r="36734" hidden="1" x14ac:dyDescent="0.35"/>
    <row r="36735" hidden="1" x14ac:dyDescent="0.35"/>
    <row r="36736" hidden="1" x14ac:dyDescent="0.35"/>
    <row r="36737" hidden="1" x14ac:dyDescent="0.35"/>
    <row r="36738" hidden="1" x14ac:dyDescent="0.35"/>
    <row r="36739" hidden="1" x14ac:dyDescent="0.35"/>
    <row r="36740" hidden="1" x14ac:dyDescent="0.35"/>
    <row r="36741" hidden="1" x14ac:dyDescent="0.35"/>
    <row r="36742" hidden="1" x14ac:dyDescent="0.35"/>
    <row r="36743" hidden="1" x14ac:dyDescent="0.35"/>
    <row r="36744" hidden="1" x14ac:dyDescent="0.35"/>
    <row r="36745" hidden="1" x14ac:dyDescent="0.35"/>
    <row r="36746" hidden="1" x14ac:dyDescent="0.35"/>
    <row r="36747" hidden="1" x14ac:dyDescent="0.35"/>
    <row r="36748" hidden="1" x14ac:dyDescent="0.35"/>
    <row r="36749" hidden="1" x14ac:dyDescent="0.35"/>
    <row r="36750" hidden="1" x14ac:dyDescent="0.35"/>
    <row r="36751" hidden="1" x14ac:dyDescent="0.35"/>
    <row r="36752" hidden="1" x14ac:dyDescent="0.35"/>
    <row r="36753" hidden="1" x14ac:dyDescent="0.35"/>
    <row r="36754" hidden="1" x14ac:dyDescent="0.35"/>
    <row r="36755" hidden="1" x14ac:dyDescent="0.35"/>
    <row r="36756" hidden="1" x14ac:dyDescent="0.35"/>
    <row r="36757" hidden="1" x14ac:dyDescent="0.35"/>
    <row r="36758" hidden="1" x14ac:dyDescent="0.35"/>
    <row r="36759" hidden="1" x14ac:dyDescent="0.35"/>
    <row r="36760" hidden="1" x14ac:dyDescent="0.35"/>
    <row r="36761" hidden="1" x14ac:dyDescent="0.35"/>
    <row r="36762" hidden="1" x14ac:dyDescent="0.35"/>
    <row r="36763" hidden="1" x14ac:dyDescent="0.35"/>
    <row r="36764" hidden="1" x14ac:dyDescent="0.35"/>
    <row r="36765" hidden="1" x14ac:dyDescent="0.35"/>
    <row r="36766" hidden="1" x14ac:dyDescent="0.35"/>
    <row r="36767" hidden="1" x14ac:dyDescent="0.35"/>
    <row r="36768" hidden="1" x14ac:dyDescent="0.35"/>
    <row r="36769" hidden="1" x14ac:dyDescent="0.35"/>
    <row r="36770" hidden="1" x14ac:dyDescent="0.35"/>
    <row r="36771" hidden="1" x14ac:dyDescent="0.35"/>
    <row r="36772" hidden="1" x14ac:dyDescent="0.35"/>
    <row r="36773" hidden="1" x14ac:dyDescent="0.35"/>
    <row r="36774" hidden="1" x14ac:dyDescent="0.35"/>
    <row r="36775" hidden="1" x14ac:dyDescent="0.35"/>
    <row r="36776" hidden="1" x14ac:dyDescent="0.35"/>
    <row r="36777" hidden="1" x14ac:dyDescent="0.35"/>
    <row r="36778" hidden="1" x14ac:dyDescent="0.35"/>
    <row r="36779" hidden="1" x14ac:dyDescent="0.35"/>
    <row r="36780" hidden="1" x14ac:dyDescent="0.35"/>
    <row r="36781" hidden="1" x14ac:dyDescent="0.35"/>
    <row r="36782" hidden="1" x14ac:dyDescent="0.35"/>
    <row r="36783" hidden="1" x14ac:dyDescent="0.35"/>
    <row r="36784" hidden="1" x14ac:dyDescent="0.35"/>
    <row r="36785" hidden="1" x14ac:dyDescent="0.35"/>
    <row r="36786" hidden="1" x14ac:dyDescent="0.35"/>
    <row r="36787" hidden="1" x14ac:dyDescent="0.35"/>
    <row r="36788" hidden="1" x14ac:dyDescent="0.35"/>
    <row r="36789" hidden="1" x14ac:dyDescent="0.35"/>
    <row r="36790" hidden="1" x14ac:dyDescent="0.35"/>
    <row r="36791" hidden="1" x14ac:dyDescent="0.35"/>
    <row r="36792" hidden="1" x14ac:dyDescent="0.35"/>
    <row r="36793" hidden="1" x14ac:dyDescent="0.35"/>
    <row r="36794" hidden="1" x14ac:dyDescent="0.35"/>
    <row r="36795" hidden="1" x14ac:dyDescent="0.35"/>
    <row r="36796" hidden="1" x14ac:dyDescent="0.35"/>
    <row r="36797" hidden="1" x14ac:dyDescent="0.35"/>
    <row r="36798" hidden="1" x14ac:dyDescent="0.35"/>
    <row r="36799" hidden="1" x14ac:dyDescent="0.35"/>
    <row r="36800" hidden="1" x14ac:dyDescent="0.35"/>
    <row r="36801" hidden="1" x14ac:dyDescent="0.35"/>
    <row r="36802" hidden="1" x14ac:dyDescent="0.35"/>
    <row r="36803" hidden="1" x14ac:dyDescent="0.35"/>
    <row r="36804" hidden="1" x14ac:dyDescent="0.35"/>
    <row r="36805" hidden="1" x14ac:dyDescent="0.35"/>
    <row r="36806" hidden="1" x14ac:dyDescent="0.35"/>
    <row r="36807" hidden="1" x14ac:dyDescent="0.35"/>
    <row r="36808" hidden="1" x14ac:dyDescent="0.35"/>
    <row r="36809" hidden="1" x14ac:dyDescent="0.35"/>
    <row r="36810" hidden="1" x14ac:dyDescent="0.35"/>
    <row r="36811" hidden="1" x14ac:dyDescent="0.35"/>
    <row r="36812" hidden="1" x14ac:dyDescent="0.35"/>
    <row r="36813" hidden="1" x14ac:dyDescent="0.35"/>
    <row r="36814" hidden="1" x14ac:dyDescent="0.35"/>
    <row r="36815" hidden="1" x14ac:dyDescent="0.35"/>
    <row r="36816" hidden="1" x14ac:dyDescent="0.35"/>
    <row r="36817" hidden="1" x14ac:dyDescent="0.35"/>
    <row r="36818" hidden="1" x14ac:dyDescent="0.35"/>
    <row r="36819" hidden="1" x14ac:dyDescent="0.35"/>
    <row r="36820" hidden="1" x14ac:dyDescent="0.35"/>
    <row r="36821" hidden="1" x14ac:dyDescent="0.35"/>
    <row r="36822" hidden="1" x14ac:dyDescent="0.35"/>
    <row r="36823" hidden="1" x14ac:dyDescent="0.35"/>
    <row r="36824" hidden="1" x14ac:dyDescent="0.35"/>
    <row r="36825" hidden="1" x14ac:dyDescent="0.35"/>
    <row r="36826" hidden="1" x14ac:dyDescent="0.35"/>
    <row r="36827" hidden="1" x14ac:dyDescent="0.35"/>
    <row r="36828" hidden="1" x14ac:dyDescent="0.35"/>
    <row r="36829" hidden="1" x14ac:dyDescent="0.35"/>
    <row r="36830" hidden="1" x14ac:dyDescent="0.35"/>
    <row r="36831" hidden="1" x14ac:dyDescent="0.35"/>
    <row r="36832" hidden="1" x14ac:dyDescent="0.35"/>
    <row r="36833" hidden="1" x14ac:dyDescent="0.35"/>
    <row r="36834" hidden="1" x14ac:dyDescent="0.35"/>
    <row r="36835" hidden="1" x14ac:dyDescent="0.35"/>
    <row r="36836" hidden="1" x14ac:dyDescent="0.35"/>
    <row r="36837" hidden="1" x14ac:dyDescent="0.35"/>
    <row r="36838" hidden="1" x14ac:dyDescent="0.35"/>
    <row r="36839" hidden="1" x14ac:dyDescent="0.35"/>
    <row r="36840" hidden="1" x14ac:dyDescent="0.35"/>
    <row r="36841" hidden="1" x14ac:dyDescent="0.35"/>
    <row r="36842" hidden="1" x14ac:dyDescent="0.35"/>
    <row r="36843" hidden="1" x14ac:dyDescent="0.35"/>
    <row r="36844" hidden="1" x14ac:dyDescent="0.35"/>
    <row r="36845" hidden="1" x14ac:dyDescent="0.35"/>
    <row r="36846" hidden="1" x14ac:dyDescent="0.35"/>
    <row r="36847" hidden="1" x14ac:dyDescent="0.35"/>
    <row r="36848" hidden="1" x14ac:dyDescent="0.35"/>
    <row r="36849" hidden="1" x14ac:dyDescent="0.35"/>
    <row r="36850" hidden="1" x14ac:dyDescent="0.35"/>
    <row r="36851" hidden="1" x14ac:dyDescent="0.35"/>
    <row r="36852" hidden="1" x14ac:dyDescent="0.35"/>
    <row r="36853" hidden="1" x14ac:dyDescent="0.35"/>
    <row r="36854" hidden="1" x14ac:dyDescent="0.35"/>
    <row r="36855" hidden="1" x14ac:dyDescent="0.35"/>
    <row r="36856" hidden="1" x14ac:dyDescent="0.35"/>
    <row r="36857" hidden="1" x14ac:dyDescent="0.35"/>
    <row r="36858" hidden="1" x14ac:dyDescent="0.35"/>
    <row r="36859" hidden="1" x14ac:dyDescent="0.35"/>
    <row r="36860" hidden="1" x14ac:dyDescent="0.35"/>
    <row r="36861" hidden="1" x14ac:dyDescent="0.35"/>
    <row r="36862" hidden="1" x14ac:dyDescent="0.35"/>
    <row r="36863" hidden="1" x14ac:dyDescent="0.35"/>
    <row r="36864" hidden="1" x14ac:dyDescent="0.35"/>
    <row r="36865" hidden="1" x14ac:dyDescent="0.35"/>
    <row r="36866" hidden="1" x14ac:dyDescent="0.35"/>
    <row r="36867" hidden="1" x14ac:dyDescent="0.35"/>
    <row r="36868" hidden="1" x14ac:dyDescent="0.35"/>
    <row r="36869" hidden="1" x14ac:dyDescent="0.35"/>
    <row r="36870" hidden="1" x14ac:dyDescent="0.35"/>
    <row r="36871" hidden="1" x14ac:dyDescent="0.35"/>
    <row r="36872" hidden="1" x14ac:dyDescent="0.35"/>
    <row r="36873" hidden="1" x14ac:dyDescent="0.35"/>
    <row r="36874" hidden="1" x14ac:dyDescent="0.35"/>
    <row r="36875" hidden="1" x14ac:dyDescent="0.35"/>
    <row r="36876" hidden="1" x14ac:dyDescent="0.35"/>
    <row r="36877" hidden="1" x14ac:dyDescent="0.35"/>
    <row r="36878" hidden="1" x14ac:dyDescent="0.35"/>
    <row r="36879" hidden="1" x14ac:dyDescent="0.35"/>
    <row r="36880" hidden="1" x14ac:dyDescent="0.35"/>
    <row r="36881" hidden="1" x14ac:dyDescent="0.35"/>
    <row r="36882" hidden="1" x14ac:dyDescent="0.35"/>
    <row r="36883" hidden="1" x14ac:dyDescent="0.35"/>
    <row r="36884" hidden="1" x14ac:dyDescent="0.35"/>
    <row r="36885" hidden="1" x14ac:dyDescent="0.35"/>
    <row r="36886" hidden="1" x14ac:dyDescent="0.35"/>
    <row r="36887" hidden="1" x14ac:dyDescent="0.35"/>
    <row r="36888" hidden="1" x14ac:dyDescent="0.35"/>
    <row r="36889" hidden="1" x14ac:dyDescent="0.35"/>
    <row r="36890" hidden="1" x14ac:dyDescent="0.35"/>
    <row r="36891" hidden="1" x14ac:dyDescent="0.35"/>
    <row r="36892" hidden="1" x14ac:dyDescent="0.35"/>
    <row r="36893" hidden="1" x14ac:dyDescent="0.35"/>
    <row r="36894" hidden="1" x14ac:dyDescent="0.35"/>
    <row r="36895" hidden="1" x14ac:dyDescent="0.35"/>
    <row r="36896" hidden="1" x14ac:dyDescent="0.35"/>
    <row r="36897" hidden="1" x14ac:dyDescent="0.35"/>
    <row r="36898" hidden="1" x14ac:dyDescent="0.35"/>
    <row r="36899" hidden="1" x14ac:dyDescent="0.35"/>
    <row r="36900" hidden="1" x14ac:dyDescent="0.35"/>
    <row r="36901" hidden="1" x14ac:dyDescent="0.35"/>
    <row r="36902" hidden="1" x14ac:dyDescent="0.35"/>
    <row r="36903" hidden="1" x14ac:dyDescent="0.35"/>
    <row r="36904" hidden="1" x14ac:dyDescent="0.35"/>
    <row r="36905" hidden="1" x14ac:dyDescent="0.35"/>
    <row r="36906" hidden="1" x14ac:dyDescent="0.35"/>
    <row r="36907" hidden="1" x14ac:dyDescent="0.35"/>
    <row r="36908" hidden="1" x14ac:dyDescent="0.35"/>
    <row r="36909" hidden="1" x14ac:dyDescent="0.35"/>
    <row r="36910" hidden="1" x14ac:dyDescent="0.35"/>
    <row r="36911" hidden="1" x14ac:dyDescent="0.35"/>
    <row r="36912" hidden="1" x14ac:dyDescent="0.35"/>
    <row r="36913" hidden="1" x14ac:dyDescent="0.35"/>
    <row r="36914" hidden="1" x14ac:dyDescent="0.35"/>
    <row r="36915" hidden="1" x14ac:dyDescent="0.35"/>
    <row r="36916" hidden="1" x14ac:dyDescent="0.35"/>
    <row r="36917" hidden="1" x14ac:dyDescent="0.35"/>
    <row r="36918" hidden="1" x14ac:dyDescent="0.35"/>
    <row r="36919" hidden="1" x14ac:dyDescent="0.35"/>
    <row r="36920" hidden="1" x14ac:dyDescent="0.35"/>
    <row r="36921" hidden="1" x14ac:dyDescent="0.35"/>
    <row r="36922" hidden="1" x14ac:dyDescent="0.35"/>
    <row r="36923" hidden="1" x14ac:dyDescent="0.35"/>
    <row r="36924" hidden="1" x14ac:dyDescent="0.35"/>
    <row r="36925" hidden="1" x14ac:dyDescent="0.35"/>
    <row r="36926" hidden="1" x14ac:dyDescent="0.35"/>
    <row r="36927" hidden="1" x14ac:dyDescent="0.35"/>
    <row r="36928" hidden="1" x14ac:dyDescent="0.35"/>
    <row r="36929" hidden="1" x14ac:dyDescent="0.35"/>
    <row r="36930" hidden="1" x14ac:dyDescent="0.35"/>
    <row r="36931" hidden="1" x14ac:dyDescent="0.35"/>
    <row r="36932" hidden="1" x14ac:dyDescent="0.35"/>
    <row r="36933" hidden="1" x14ac:dyDescent="0.35"/>
    <row r="36934" hidden="1" x14ac:dyDescent="0.35"/>
    <row r="36935" hidden="1" x14ac:dyDescent="0.35"/>
    <row r="36936" hidden="1" x14ac:dyDescent="0.35"/>
    <row r="36937" hidden="1" x14ac:dyDescent="0.35"/>
    <row r="36938" hidden="1" x14ac:dyDescent="0.35"/>
    <row r="36939" hidden="1" x14ac:dyDescent="0.35"/>
    <row r="36940" hidden="1" x14ac:dyDescent="0.35"/>
    <row r="36941" hidden="1" x14ac:dyDescent="0.35"/>
    <row r="36942" hidden="1" x14ac:dyDescent="0.35"/>
    <row r="36943" hidden="1" x14ac:dyDescent="0.35"/>
    <row r="36944" hidden="1" x14ac:dyDescent="0.35"/>
    <row r="36945" hidden="1" x14ac:dyDescent="0.35"/>
    <row r="36946" hidden="1" x14ac:dyDescent="0.35"/>
    <row r="36947" hidden="1" x14ac:dyDescent="0.35"/>
    <row r="36948" hidden="1" x14ac:dyDescent="0.35"/>
    <row r="36949" hidden="1" x14ac:dyDescent="0.35"/>
    <row r="36950" hidden="1" x14ac:dyDescent="0.35"/>
    <row r="36951" hidden="1" x14ac:dyDescent="0.35"/>
    <row r="36952" hidden="1" x14ac:dyDescent="0.35"/>
    <row r="36953" hidden="1" x14ac:dyDescent="0.35"/>
    <row r="36954" hidden="1" x14ac:dyDescent="0.35"/>
    <row r="36955" hidden="1" x14ac:dyDescent="0.35"/>
    <row r="36956" hidden="1" x14ac:dyDescent="0.35"/>
    <row r="36957" hidden="1" x14ac:dyDescent="0.35"/>
    <row r="36958" hidden="1" x14ac:dyDescent="0.35"/>
    <row r="36959" hidden="1" x14ac:dyDescent="0.35"/>
    <row r="36960" hidden="1" x14ac:dyDescent="0.35"/>
    <row r="36961" hidden="1" x14ac:dyDescent="0.35"/>
    <row r="36962" hidden="1" x14ac:dyDescent="0.35"/>
    <row r="36963" hidden="1" x14ac:dyDescent="0.35"/>
    <row r="36964" hidden="1" x14ac:dyDescent="0.35"/>
    <row r="36965" hidden="1" x14ac:dyDescent="0.35"/>
    <row r="36966" hidden="1" x14ac:dyDescent="0.35"/>
    <row r="36967" hidden="1" x14ac:dyDescent="0.35"/>
    <row r="36968" hidden="1" x14ac:dyDescent="0.35"/>
    <row r="36969" hidden="1" x14ac:dyDescent="0.35"/>
    <row r="36970" hidden="1" x14ac:dyDescent="0.35"/>
    <row r="36971" hidden="1" x14ac:dyDescent="0.35"/>
    <row r="36972" hidden="1" x14ac:dyDescent="0.35"/>
    <row r="36973" hidden="1" x14ac:dyDescent="0.35"/>
    <row r="36974" hidden="1" x14ac:dyDescent="0.35"/>
    <row r="36975" hidden="1" x14ac:dyDescent="0.35"/>
    <row r="36976" hidden="1" x14ac:dyDescent="0.35"/>
    <row r="36977" hidden="1" x14ac:dyDescent="0.35"/>
    <row r="36978" hidden="1" x14ac:dyDescent="0.35"/>
    <row r="36979" hidden="1" x14ac:dyDescent="0.35"/>
    <row r="36980" hidden="1" x14ac:dyDescent="0.35"/>
    <row r="36981" hidden="1" x14ac:dyDescent="0.35"/>
    <row r="36982" hidden="1" x14ac:dyDescent="0.35"/>
    <row r="36983" hidden="1" x14ac:dyDescent="0.35"/>
    <row r="36984" hidden="1" x14ac:dyDescent="0.35"/>
    <row r="36985" hidden="1" x14ac:dyDescent="0.35"/>
    <row r="36986" hidden="1" x14ac:dyDescent="0.35"/>
    <row r="36987" hidden="1" x14ac:dyDescent="0.35"/>
    <row r="36988" hidden="1" x14ac:dyDescent="0.35"/>
    <row r="36989" hidden="1" x14ac:dyDescent="0.35"/>
    <row r="36990" hidden="1" x14ac:dyDescent="0.35"/>
    <row r="36991" hidden="1" x14ac:dyDescent="0.35"/>
    <row r="36992" hidden="1" x14ac:dyDescent="0.35"/>
    <row r="36993" hidden="1" x14ac:dyDescent="0.35"/>
    <row r="36994" hidden="1" x14ac:dyDescent="0.35"/>
    <row r="36995" hidden="1" x14ac:dyDescent="0.35"/>
    <row r="36996" hidden="1" x14ac:dyDescent="0.35"/>
    <row r="36997" hidden="1" x14ac:dyDescent="0.35"/>
    <row r="36998" hidden="1" x14ac:dyDescent="0.35"/>
    <row r="36999" hidden="1" x14ac:dyDescent="0.35"/>
    <row r="37000" hidden="1" x14ac:dyDescent="0.35"/>
    <row r="37001" hidden="1" x14ac:dyDescent="0.35"/>
    <row r="37002" hidden="1" x14ac:dyDescent="0.35"/>
    <row r="37003" hidden="1" x14ac:dyDescent="0.35"/>
    <row r="37004" hidden="1" x14ac:dyDescent="0.35"/>
    <row r="37005" hidden="1" x14ac:dyDescent="0.35"/>
    <row r="37006" hidden="1" x14ac:dyDescent="0.35"/>
    <row r="37007" hidden="1" x14ac:dyDescent="0.35"/>
    <row r="37008" hidden="1" x14ac:dyDescent="0.35"/>
    <row r="37009" hidden="1" x14ac:dyDescent="0.35"/>
    <row r="37010" hidden="1" x14ac:dyDescent="0.35"/>
    <row r="37011" hidden="1" x14ac:dyDescent="0.35"/>
    <row r="37012" hidden="1" x14ac:dyDescent="0.35"/>
    <row r="37013" hidden="1" x14ac:dyDescent="0.35"/>
    <row r="37014" hidden="1" x14ac:dyDescent="0.35"/>
    <row r="37015" hidden="1" x14ac:dyDescent="0.35"/>
    <row r="37016" hidden="1" x14ac:dyDescent="0.35"/>
    <row r="37017" hidden="1" x14ac:dyDescent="0.35"/>
    <row r="37018" hidden="1" x14ac:dyDescent="0.35"/>
    <row r="37019" hidden="1" x14ac:dyDescent="0.35"/>
    <row r="37020" hidden="1" x14ac:dyDescent="0.35"/>
    <row r="37021" hidden="1" x14ac:dyDescent="0.35"/>
    <row r="37022" hidden="1" x14ac:dyDescent="0.35"/>
    <row r="37023" hidden="1" x14ac:dyDescent="0.35"/>
    <row r="37024" hidden="1" x14ac:dyDescent="0.35"/>
    <row r="37025" hidden="1" x14ac:dyDescent="0.35"/>
    <row r="37026" hidden="1" x14ac:dyDescent="0.35"/>
    <row r="37027" hidden="1" x14ac:dyDescent="0.35"/>
    <row r="37028" hidden="1" x14ac:dyDescent="0.35"/>
    <row r="37029" hidden="1" x14ac:dyDescent="0.35"/>
    <row r="37030" hidden="1" x14ac:dyDescent="0.35"/>
    <row r="37031" hidden="1" x14ac:dyDescent="0.35"/>
    <row r="37032" hidden="1" x14ac:dyDescent="0.35"/>
    <row r="37033" hidden="1" x14ac:dyDescent="0.35"/>
    <row r="37034" hidden="1" x14ac:dyDescent="0.35"/>
    <row r="37035" hidden="1" x14ac:dyDescent="0.35"/>
    <row r="37036" hidden="1" x14ac:dyDescent="0.35"/>
    <row r="37037" hidden="1" x14ac:dyDescent="0.35"/>
    <row r="37038" hidden="1" x14ac:dyDescent="0.35"/>
    <row r="37039" hidden="1" x14ac:dyDescent="0.35"/>
    <row r="37040" hidden="1" x14ac:dyDescent="0.35"/>
    <row r="37041" hidden="1" x14ac:dyDescent="0.35"/>
    <row r="37042" hidden="1" x14ac:dyDescent="0.35"/>
    <row r="37043" hidden="1" x14ac:dyDescent="0.35"/>
    <row r="37044" hidden="1" x14ac:dyDescent="0.35"/>
    <row r="37045" hidden="1" x14ac:dyDescent="0.35"/>
    <row r="37046" hidden="1" x14ac:dyDescent="0.35"/>
    <row r="37047" hidden="1" x14ac:dyDescent="0.35"/>
    <row r="37048" hidden="1" x14ac:dyDescent="0.35"/>
    <row r="37049" hidden="1" x14ac:dyDescent="0.35"/>
    <row r="37050" hidden="1" x14ac:dyDescent="0.35"/>
    <row r="37051" hidden="1" x14ac:dyDescent="0.35"/>
    <row r="37052" hidden="1" x14ac:dyDescent="0.35"/>
    <row r="37053" hidden="1" x14ac:dyDescent="0.35"/>
    <row r="37054" hidden="1" x14ac:dyDescent="0.35"/>
    <row r="37055" hidden="1" x14ac:dyDescent="0.35"/>
    <row r="37056" hidden="1" x14ac:dyDescent="0.35"/>
    <row r="37057" hidden="1" x14ac:dyDescent="0.35"/>
    <row r="37058" hidden="1" x14ac:dyDescent="0.35"/>
    <row r="37059" hidden="1" x14ac:dyDescent="0.35"/>
    <row r="37060" hidden="1" x14ac:dyDescent="0.35"/>
    <row r="37061" hidden="1" x14ac:dyDescent="0.35"/>
    <row r="37062" hidden="1" x14ac:dyDescent="0.35"/>
    <row r="37063" hidden="1" x14ac:dyDescent="0.35"/>
    <row r="37064" hidden="1" x14ac:dyDescent="0.35"/>
    <row r="37065" hidden="1" x14ac:dyDescent="0.35"/>
    <row r="37066" hidden="1" x14ac:dyDescent="0.35"/>
    <row r="37067" hidden="1" x14ac:dyDescent="0.35"/>
    <row r="37068" hidden="1" x14ac:dyDescent="0.35"/>
    <row r="37069" hidden="1" x14ac:dyDescent="0.35"/>
    <row r="37070" hidden="1" x14ac:dyDescent="0.35"/>
    <row r="37071" hidden="1" x14ac:dyDescent="0.35"/>
    <row r="37072" hidden="1" x14ac:dyDescent="0.35"/>
    <row r="37073" hidden="1" x14ac:dyDescent="0.35"/>
    <row r="37074" hidden="1" x14ac:dyDescent="0.35"/>
    <row r="37075" hidden="1" x14ac:dyDescent="0.35"/>
    <row r="37076" hidden="1" x14ac:dyDescent="0.35"/>
    <row r="37077" hidden="1" x14ac:dyDescent="0.35"/>
    <row r="37078" hidden="1" x14ac:dyDescent="0.35"/>
    <row r="37079" hidden="1" x14ac:dyDescent="0.35"/>
    <row r="37080" hidden="1" x14ac:dyDescent="0.35"/>
    <row r="37081" hidden="1" x14ac:dyDescent="0.35"/>
    <row r="37082" hidden="1" x14ac:dyDescent="0.35"/>
    <row r="37083" hidden="1" x14ac:dyDescent="0.35"/>
    <row r="37084" hidden="1" x14ac:dyDescent="0.35"/>
    <row r="37085" hidden="1" x14ac:dyDescent="0.35"/>
    <row r="37086" hidden="1" x14ac:dyDescent="0.35"/>
    <row r="37087" hidden="1" x14ac:dyDescent="0.35"/>
    <row r="37088" hidden="1" x14ac:dyDescent="0.35"/>
    <row r="37089" hidden="1" x14ac:dyDescent="0.35"/>
    <row r="37090" hidden="1" x14ac:dyDescent="0.35"/>
    <row r="37091" hidden="1" x14ac:dyDescent="0.35"/>
    <row r="37092" hidden="1" x14ac:dyDescent="0.35"/>
    <row r="37093" hidden="1" x14ac:dyDescent="0.35"/>
    <row r="37094" hidden="1" x14ac:dyDescent="0.35"/>
    <row r="37095" hidden="1" x14ac:dyDescent="0.35"/>
    <row r="37096" hidden="1" x14ac:dyDescent="0.35"/>
    <row r="37097" hidden="1" x14ac:dyDescent="0.35"/>
    <row r="37098" hidden="1" x14ac:dyDescent="0.35"/>
    <row r="37099" hidden="1" x14ac:dyDescent="0.35"/>
    <row r="37100" hidden="1" x14ac:dyDescent="0.35"/>
    <row r="37101" hidden="1" x14ac:dyDescent="0.35"/>
    <row r="37102" hidden="1" x14ac:dyDescent="0.35"/>
    <row r="37103" hidden="1" x14ac:dyDescent="0.35"/>
    <row r="37104" hidden="1" x14ac:dyDescent="0.35"/>
    <row r="37105" hidden="1" x14ac:dyDescent="0.35"/>
    <row r="37106" hidden="1" x14ac:dyDescent="0.35"/>
    <row r="37107" hidden="1" x14ac:dyDescent="0.35"/>
    <row r="37108" hidden="1" x14ac:dyDescent="0.35"/>
    <row r="37109" hidden="1" x14ac:dyDescent="0.35"/>
    <row r="37110" hidden="1" x14ac:dyDescent="0.35"/>
    <row r="37111" hidden="1" x14ac:dyDescent="0.35"/>
    <row r="37112" hidden="1" x14ac:dyDescent="0.35"/>
    <row r="37113" hidden="1" x14ac:dyDescent="0.35"/>
    <row r="37114" hidden="1" x14ac:dyDescent="0.35"/>
    <row r="37115" hidden="1" x14ac:dyDescent="0.35"/>
    <row r="37116" hidden="1" x14ac:dyDescent="0.35"/>
    <row r="37117" hidden="1" x14ac:dyDescent="0.35"/>
    <row r="37118" hidden="1" x14ac:dyDescent="0.35"/>
    <row r="37119" hidden="1" x14ac:dyDescent="0.35"/>
    <row r="37120" hidden="1" x14ac:dyDescent="0.35"/>
    <row r="37121" hidden="1" x14ac:dyDescent="0.35"/>
    <row r="37122" hidden="1" x14ac:dyDescent="0.35"/>
    <row r="37123" hidden="1" x14ac:dyDescent="0.35"/>
    <row r="37124" hidden="1" x14ac:dyDescent="0.35"/>
    <row r="37125" hidden="1" x14ac:dyDescent="0.35"/>
    <row r="37126" hidden="1" x14ac:dyDescent="0.35"/>
    <row r="37127" hidden="1" x14ac:dyDescent="0.35"/>
    <row r="37128" hidden="1" x14ac:dyDescent="0.35"/>
    <row r="37129" hidden="1" x14ac:dyDescent="0.35"/>
    <row r="37130" hidden="1" x14ac:dyDescent="0.35"/>
    <row r="37131" hidden="1" x14ac:dyDescent="0.35"/>
    <row r="37132" hidden="1" x14ac:dyDescent="0.35"/>
    <row r="37133" hidden="1" x14ac:dyDescent="0.35"/>
    <row r="37134" hidden="1" x14ac:dyDescent="0.35"/>
    <row r="37135" hidden="1" x14ac:dyDescent="0.35"/>
    <row r="37136" hidden="1" x14ac:dyDescent="0.35"/>
    <row r="37137" hidden="1" x14ac:dyDescent="0.35"/>
    <row r="37138" hidden="1" x14ac:dyDescent="0.35"/>
    <row r="37139" hidden="1" x14ac:dyDescent="0.35"/>
    <row r="37140" hidden="1" x14ac:dyDescent="0.35"/>
    <row r="37141" hidden="1" x14ac:dyDescent="0.35"/>
    <row r="37142" hidden="1" x14ac:dyDescent="0.35"/>
    <row r="37143" hidden="1" x14ac:dyDescent="0.35"/>
    <row r="37144" hidden="1" x14ac:dyDescent="0.35"/>
    <row r="37145" hidden="1" x14ac:dyDescent="0.35"/>
    <row r="37146" hidden="1" x14ac:dyDescent="0.35"/>
    <row r="37147" hidden="1" x14ac:dyDescent="0.35"/>
    <row r="37148" hidden="1" x14ac:dyDescent="0.35"/>
    <row r="37149" hidden="1" x14ac:dyDescent="0.35"/>
    <row r="37150" hidden="1" x14ac:dyDescent="0.35"/>
    <row r="37151" hidden="1" x14ac:dyDescent="0.35"/>
    <row r="37152" hidden="1" x14ac:dyDescent="0.35"/>
    <row r="37153" hidden="1" x14ac:dyDescent="0.35"/>
    <row r="37154" hidden="1" x14ac:dyDescent="0.35"/>
    <row r="37155" hidden="1" x14ac:dyDescent="0.35"/>
    <row r="37156" hidden="1" x14ac:dyDescent="0.35"/>
    <row r="37157" hidden="1" x14ac:dyDescent="0.35"/>
    <row r="37158" hidden="1" x14ac:dyDescent="0.35"/>
    <row r="37159" hidden="1" x14ac:dyDescent="0.35"/>
    <row r="37160" hidden="1" x14ac:dyDescent="0.35"/>
    <row r="37161" hidden="1" x14ac:dyDescent="0.35"/>
    <row r="37162" hidden="1" x14ac:dyDescent="0.35"/>
    <row r="37163" hidden="1" x14ac:dyDescent="0.35"/>
    <row r="37164" hidden="1" x14ac:dyDescent="0.35"/>
    <row r="37165" hidden="1" x14ac:dyDescent="0.35"/>
    <row r="37166" hidden="1" x14ac:dyDescent="0.35"/>
    <row r="37167" hidden="1" x14ac:dyDescent="0.35"/>
    <row r="37168" hidden="1" x14ac:dyDescent="0.35"/>
    <row r="37169" hidden="1" x14ac:dyDescent="0.35"/>
    <row r="37170" hidden="1" x14ac:dyDescent="0.35"/>
    <row r="37171" hidden="1" x14ac:dyDescent="0.35"/>
    <row r="37172" hidden="1" x14ac:dyDescent="0.35"/>
    <row r="37173" hidden="1" x14ac:dyDescent="0.35"/>
    <row r="37174" hidden="1" x14ac:dyDescent="0.35"/>
    <row r="37175" hidden="1" x14ac:dyDescent="0.35"/>
    <row r="37176" hidden="1" x14ac:dyDescent="0.35"/>
    <row r="37177" hidden="1" x14ac:dyDescent="0.35"/>
    <row r="37178" hidden="1" x14ac:dyDescent="0.35"/>
    <row r="37179" hidden="1" x14ac:dyDescent="0.35"/>
    <row r="37180" hidden="1" x14ac:dyDescent="0.35"/>
    <row r="37181" hidden="1" x14ac:dyDescent="0.35"/>
    <row r="37182" hidden="1" x14ac:dyDescent="0.35"/>
    <row r="37183" hidden="1" x14ac:dyDescent="0.35"/>
    <row r="37184" hidden="1" x14ac:dyDescent="0.35"/>
    <row r="37185" hidden="1" x14ac:dyDescent="0.35"/>
    <row r="37186" hidden="1" x14ac:dyDescent="0.35"/>
    <row r="37187" hidden="1" x14ac:dyDescent="0.35"/>
    <row r="37188" hidden="1" x14ac:dyDescent="0.35"/>
    <row r="37189" hidden="1" x14ac:dyDescent="0.35"/>
    <row r="37190" hidden="1" x14ac:dyDescent="0.35"/>
    <row r="37191" hidden="1" x14ac:dyDescent="0.35"/>
    <row r="37192" hidden="1" x14ac:dyDescent="0.35"/>
    <row r="37193" hidden="1" x14ac:dyDescent="0.35"/>
    <row r="37194" hidden="1" x14ac:dyDescent="0.35"/>
    <row r="37195" hidden="1" x14ac:dyDescent="0.35"/>
    <row r="37196" hidden="1" x14ac:dyDescent="0.35"/>
    <row r="37197" hidden="1" x14ac:dyDescent="0.35"/>
    <row r="37198" hidden="1" x14ac:dyDescent="0.35"/>
    <row r="37199" hidden="1" x14ac:dyDescent="0.35"/>
    <row r="37200" hidden="1" x14ac:dyDescent="0.35"/>
    <row r="37201" hidden="1" x14ac:dyDescent="0.35"/>
    <row r="37202" hidden="1" x14ac:dyDescent="0.35"/>
    <row r="37203" hidden="1" x14ac:dyDescent="0.35"/>
    <row r="37204" hidden="1" x14ac:dyDescent="0.35"/>
    <row r="37205" hidden="1" x14ac:dyDescent="0.35"/>
    <row r="37206" hidden="1" x14ac:dyDescent="0.35"/>
    <row r="37207" hidden="1" x14ac:dyDescent="0.35"/>
    <row r="37208" hidden="1" x14ac:dyDescent="0.35"/>
    <row r="37209" hidden="1" x14ac:dyDescent="0.35"/>
    <row r="37210" hidden="1" x14ac:dyDescent="0.35"/>
    <row r="37211" hidden="1" x14ac:dyDescent="0.35"/>
    <row r="37212" hidden="1" x14ac:dyDescent="0.35"/>
    <row r="37213" hidden="1" x14ac:dyDescent="0.35"/>
    <row r="37214" hidden="1" x14ac:dyDescent="0.35"/>
    <row r="37215" hidden="1" x14ac:dyDescent="0.35"/>
    <row r="37216" hidden="1" x14ac:dyDescent="0.35"/>
    <row r="37217" hidden="1" x14ac:dyDescent="0.35"/>
    <row r="37218" hidden="1" x14ac:dyDescent="0.35"/>
    <row r="37219" hidden="1" x14ac:dyDescent="0.35"/>
    <row r="37220" hidden="1" x14ac:dyDescent="0.35"/>
    <row r="37221" hidden="1" x14ac:dyDescent="0.35"/>
    <row r="37222" hidden="1" x14ac:dyDescent="0.35"/>
    <row r="37223" hidden="1" x14ac:dyDescent="0.35"/>
    <row r="37224" hidden="1" x14ac:dyDescent="0.35"/>
    <row r="37225" hidden="1" x14ac:dyDescent="0.35"/>
    <row r="37226" hidden="1" x14ac:dyDescent="0.35"/>
    <row r="37227" hidden="1" x14ac:dyDescent="0.35"/>
    <row r="37228" hidden="1" x14ac:dyDescent="0.35"/>
    <row r="37229" hidden="1" x14ac:dyDescent="0.35"/>
    <row r="37230" hidden="1" x14ac:dyDescent="0.35"/>
    <row r="37231" hidden="1" x14ac:dyDescent="0.35"/>
    <row r="37232" hidden="1" x14ac:dyDescent="0.35"/>
    <row r="37233" hidden="1" x14ac:dyDescent="0.35"/>
    <row r="37234" hidden="1" x14ac:dyDescent="0.35"/>
    <row r="37235" hidden="1" x14ac:dyDescent="0.35"/>
    <row r="37236" hidden="1" x14ac:dyDescent="0.35"/>
    <row r="37237" hidden="1" x14ac:dyDescent="0.35"/>
    <row r="37238" hidden="1" x14ac:dyDescent="0.35"/>
    <row r="37239" hidden="1" x14ac:dyDescent="0.35"/>
    <row r="37240" hidden="1" x14ac:dyDescent="0.35"/>
    <row r="37241" hidden="1" x14ac:dyDescent="0.35"/>
    <row r="37242" hidden="1" x14ac:dyDescent="0.35"/>
    <row r="37243" hidden="1" x14ac:dyDescent="0.35"/>
    <row r="37244" hidden="1" x14ac:dyDescent="0.35"/>
    <row r="37245" hidden="1" x14ac:dyDescent="0.35"/>
    <row r="37246" hidden="1" x14ac:dyDescent="0.35"/>
    <row r="37247" hidden="1" x14ac:dyDescent="0.35"/>
    <row r="37248" hidden="1" x14ac:dyDescent="0.35"/>
    <row r="37249" hidden="1" x14ac:dyDescent="0.35"/>
    <row r="37250" hidden="1" x14ac:dyDescent="0.35"/>
    <row r="37251" hidden="1" x14ac:dyDescent="0.35"/>
    <row r="37252" hidden="1" x14ac:dyDescent="0.35"/>
    <row r="37253" hidden="1" x14ac:dyDescent="0.35"/>
    <row r="37254" hidden="1" x14ac:dyDescent="0.35"/>
    <row r="37255" hidden="1" x14ac:dyDescent="0.35"/>
    <row r="37256" hidden="1" x14ac:dyDescent="0.35"/>
    <row r="37257" hidden="1" x14ac:dyDescent="0.35"/>
    <row r="37258" hidden="1" x14ac:dyDescent="0.35"/>
    <row r="37259" hidden="1" x14ac:dyDescent="0.35"/>
    <row r="37260" hidden="1" x14ac:dyDescent="0.35"/>
    <row r="37261" hidden="1" x14ac:dyDescent="0.35"/>
    <row r="37262" hidden="1" x14ac:dyDescent="0.35"/>
    <row r="37263" hidden="1" x14ac:dyDescent="0.35"/>
    <row r="37264" hidden="1" x14ac:dyDescent="0.35"/>
    <row r="37265" hidden="1" x14ac:dyDescent="0.35"/>
    <row r="37266" hidden="1" x14ac:dyDescent="0.35"/>
    <row r="37267" hidden="1" x14ac:dyDescent="0.35"/>
    <row r="37268" hidden="1" x14ac:dyDescent="0.35"/>
    <row r="37269" hidden="1" x14ac:dyDescent="0.35"/>
    <row r="37270" hidden="1" x14ac:dyDescent="0.35"/>
    <row r="37271" hidden="1" x14ac:dyDescent="0.35"/>
    <row r="37272" hidden="1" x14ac:dyDescent="0.35"/>
    <row r="37273" hidden="1" x14ac:dyDescent="0.35"/>
    <row r="37274" hidden="1" x14ac:dyDescent="0.35"/>
    <row r="37275" hidden="1" x14ac:dyDescent="0.35"/>
    <row r="37276" hidden="1" x14ac:dyDescent="0.35"/>
    <row r="37277" hidden="1" x14ac:dyDescent="0.35"/>
    <row r="37278" hidden="1" x14ac:dyDescent="0.35"/>
    <row r="37279" hidden="1" x14ac:dyDescent="0.35"/>
    <row r="37280" hidden="1" x14ac:dyDescent="0.35"/>
    <row r="37281" hidden="1" x14ac:dyDescent="0.35"/>
    <row r="37282" hidden="1" x14ac:dyDescent="0.35"/>
    <row r="37283" hidden="1" x14ac:dyDescent="0.35"/>
    <row r="37284" hidden="1" x14ac:dyDescent="0.35"/>
    <row r="37285" hidden="1" x14ac:dyDescent="0.35"/>
    <row r="37286" hidden="1" x14ac:dyDescent="0.35"/>
    <row r="37287" hidden="1" x14ac:dyDescent="0.35"/>
    <row r="37288" hidden="1" x14ac:dyDescent="0.35"/>
    <row r="37289" hidden="1" x14ac:dyDescent="0.35"/>
    <row r="37290" hidden="1" x14ac:dyDescent="0.35"/>
    <row r="37291" hidden="1" x14ac:dyDescent="0.35"/>
    <row r="37292" hidden="1" x14ac:dyDescent="0.35"/>
    <row r="37293" hidden="1" x14ac:dyDescent="0.35"/>
    <row r="37294" hidden="1" x14ac:dyDescent="0.35"/>
    <row r="37295" hidden="1" x14ac:dyDescent="0.35"/>
    <row r="37296" hidden="1" x14ac:dyDescent="0.35"/>
    <row r="37297" hidden="1" x14ac:dyDescent="0.35"/>
    <row r="37298" hidden="1" x14ac:dyDescent="0.35"/>
    <row r="37299" hidden="1" x14ac:dyDescent="0.35"/>
    <row r="37300" hidden="1" x14ac:dyDescent="0.35"/>
    <row r="37301" hidden="1" x14ac:dyDescent="0.35"/>
    <row r="37302" hidden="1" x14ac:dyDescent="0.35"/>
    <row r="37303" hidden="1" x14ac:dyDescent="0.35"/>
    <row r="37304" hidden="1" x14ac:dyDescent="0.35"/>
    <row r="37305" hidden="1" x14ac:dyDescent="0.35"/>
    <row r="37306" hidden="1" x14ac:dyDescent="0.35"/>
    <row r="37307" hidden="1" x14ac:dyDescent="0.35"/>
    <row r="37308" hidden="1" x14ac:dyDescent="0.35"/>
    <row r="37309" hidden="1" x14ac:dyDescent="0.35"/>
    <row r="37310" hidden="1" x14ac:dyDescent="0.35"/>
    <row r="37311" hidden="1" x14ac:dyDescent="0.35"/>
    <row r="37312" hidden="1" x14ac:dyDescent="0.35"/>
    <row r="37313" hidden="1" x14ac:dyDescent="0.35"/>
    <row r="37314" hidden="1" x14ac:dyDescent="0.35"/>
    <row r="37315" hidden="1" x14ac:dyDescent="0.35"/>
    <row r="37316" hidden="1" x14ac:dyDescent="0.35"/>
    <row r="37317" hidden="1" x14ac:dyDescent="0.35"/>
    <row r="37318" hidden="1" x14ac:dyDescent="0.35"/>
    <row r="37319" hidden="1" x14ac:dyDescent="0.35"/>
    <row r="37320" hidden="1" x14ac:dyDescent="0.35"/>
    <row r="37321" hidden="1" x14ac:dyDescent="0.35"/>
    <row r="37322" hidden="1" x14ac:dyDescent="0.35"/>
    <row r="37323" hidden="1" x14ac:dyDescent="0.35"/>
    <row r="37324" hidden="1" x14ac:dyDescent="0.35"/>
    <row r="37325" hidden="1" x14ac:dyDescent="0.35"/>
    <row r="37326" hidden="1" x14ac:dyDescent="0.35"/>
    <row r="37327" hidden="1" x14ac:dyDescent="0.35"/>
    <row r="37328" hidden="1" x14ac:dyDescent="0.35"/>
    <row r="37329" hidden="1" x14ac:dyDescent="0.35"/>
    <row r="37330" hidden="1" x14ac:dyDescent="0.35"/>
    <row r="37331" hidden="1" x14ac:dyDescent="0.35"/>
    <row r="37332" hidden="1" x14ac:dyDescent="0.35"/>
    <row r="37333" hidden="1" x14ac:dyDescent="0.35"/>
    <row r="37334" hidden="1" x14ac:dyDescent="0.35"/>
    <row r="37335" hidden="1" x14ac:dyDescent="0.35"/>
    <row r="37336" hidden="1" x14ac:dyDescent="0.35"/>
    <row r="37337" hidden="1" x14ac:dyDescent="0.35"/>
    <row r="37338" hidden="1" x14ac:dyDescent="0.35"/>
    <row r="37339" hidden="1" x14ac:dyDescent="0.35"/>
    <row r="37340" hidden="1" x14ac:dyDescent="0.35"/>
    <row r="37341" hidden="1" x14ac:dyDescent="0.35"/>
    <row r="37342" hidden="1" x14ac:dyDescent="0.35"/>
    <row r="37343" hidden="1" x14ac:dyDescent="0.35"/>
    <row r="37344" hidden="1" x14ac:dyDescent="0.35"/>
    <row r="37345" hidden="1" x14ac:dyDescent="0.35"/>
    <row r="37346" hidden="1" x14ac:dyDescent="0.35"/>
    <row r="37347" hidden="1" x14ac:dyDescent="0.35"/>
    <row r="37348" hidden="1" x14ac:dyDescent="0.35"/>
    <row r="37349" hidden="1" x14ac:dyDescent="0.35"/>
    <row r="37350" hidden="1" x14ac:dyDescent="0.35"/>
    <row r="37351" hidden="1" x14ac:dyDescent="0.35"/>
    <row r="37352" hidden="1" x14ac:dyDescent="0.35"/>
    <row r="37353" hidden="1" x14ac:dyDescent="0.35"/>
    <row r="37354" hidden="1" x14ac:dyDescent="0.35"/>
    <row r="37355" hidden="1" x14ac:dyDescent="0.35"/>
    <row r="37356" hidden="1" x14ac:dyDescent="0.35"/>
    <row r="37357" hidden="1" x14ac:dyDescent="0.35"/>
    <row r="37358" hidden="1" x14ac:dyDescent="0.35"/>
    <row r="37359" hidden="1" x14ac:dyDescent="0.35"/>
    <row r="37360" hidden="1" x14ac:dyDescent="0.35"/>
    <row r="37361" hidden="1" x14ac:dyDescent="0.35"/>
    <row r="37362" hidden="1" x14ac:dyDescent="0.35"/>
    <row r="37363" hidden="1" x14ac:dyDescent="0.35"/>
    <row r="37364" hidden="1" x14ac:dyDescent="0.35"/>
    <row r="37365" hidden="1" x14ac:dyDescent="0.35"/>
    <row r="37366" hidden="1" x14ac:dyDescent="0.35"/>
    <row r="37367" hidden="1" x14ac:dyDescent="0.35"/>
    <row r="37368" hidden="1" x14ac:dyDescent="0.35"/>
    <row r="37369" hidden="1" x14ac:dyDescent="0.35"/>
    <row r="37370" hidden="1" x14ac:dyDescent="0.35"/>
    <row r="37371" hidden="1" x14ac:dyDescent="0.35"/>
    <row r="37372" hidden="1" x14ac:dyDescent="0.35"/>
    <row r="37373" hidden="1" x14ac:dyDescent="0.35"/>
    <row r="37374" hidden="1" x14ac:dyDescent="0.35"/>
    <row r="37375" hidden="1" x14ac:dyDescent="0.35"/>
    <row r="37376" hidden="1" x14ac:dyDescent="0.35"/>
    <row r="37377" hidden="1" x14ac:dyDescent="0.35"/>
    <row r="37378" hidden="1" x14ac:dyDescent="0.35"/>
    <row r="37379" hidden="1" x14ac:dyDescent="0.35"/>
    <row r="37380" hidden="1" x14ac:dyDescent="0.35"/>
    <row r="37381" hidden="1" x14ac:dyDescent="0.35"/>
    <row r="37382" hidden="1" x14ac:dyDescent="0.35"/>
    <row r="37383" hidden="1" x14ac:dyDescent="0.35"/>
    <row r="37384" hidden="1" x14ac:dyDescent="0.35"/>
    <row r="37385" hidden="1" x14ac:dyDescent="0.35"/>
    <row r="37386" hidden="1" x14ac:dyDescent="0.35"/>
    <row r="37387" hidden="1" x14ac:dyDescent="0.35"/>
    <row r="37388" hidden="1" x14ac:dyDescent="0.35"/>
    <row r="37389" hidden="1" x14ac:dyDescent="0.35"/>
    <row r="37390" hidden="1" x14ac:dyDescent="0.35"/>
    <row r="37391" hidden="1" x14ac:dyDescent="0.35"/>
    <row r="37392" hidden="1" x14ac:dyDescent="0.35"/>
    <row r="37393" hidden="1" x14ac:dyDescent="0.35"/>
    <row r="37394" hidden="1" x14ac:dyDescent="0.35"/>
    <row r="37395" hidden="1" x14ac:dyDescent="0.35"/>
    <row r="37396" hidden="1" x14ac:dyDescent="0.35"/>
    <row r="37397" hidden="1" x14ac:dyDescent="0.35"/>
    <row r="37398" hidden="1" x14ac:dyDescent="0.35"/>
    <row r="37399" hidden="1" x14ac:dyDescent="0.35"/>
    <row r="37400" hidden="1" x14ac:dyDescent="0.35"/>
    <row r="37401" hidden="1" x14ac:dyDescent="0.35"/>
    <row r="37402" hidden="1" x14ac:dyDescent="0.35"/>
    <row r="37403" hidden="1" x14ac:dyDescent="0.35"/>
    <row r="37404" hidden="1" x14ac:dyDescent="0.35"/>
    <row r="37405" hidden="1" x14ac:dyDescent="0.35"/>
    <row r="37406" hidden="1" x14ac:dyDescent="0.35"/>
    <row r="37407" hidden="1" x14ac:dyDescent="0.35"/>
    <row r="37408" hidden="1" x14ac:dyDescent="0.35"/>
    <row r="37409" hidden="1" x14ac:dyDescent="0.35"/>
    <row r="37410" hidden="1" x14ac:dyDescent="0.35"/>
    <row r="37411" hidden="1" x14ac:dyDescent="0.35"/>
    <row r="37412" hidden="1" x14ac:dyDescent="0.35"/>
    <row r="37413" hidden="1" x14ac:dyDescent="0.35"/>
    <row r="37414" hidden="1" x14ac:dyDescent="0.35"/>
    <row r="37415" hidden="1" x14ac:dyDescent="0.35"/>
    <row r="37416" hidden="1" x14ac:dyDescent="0.35"/>
    <row r="37417" hidden="1" x14ac:dyDescent="0.35"/>
    <row r="37418" hidden="1" x14ac:dyDescent="0.35"/>
    <row r="37419" hidden="1" x14ac:dyDescent="0.35"/>
    <row r="37420" hidden="1" x14ac:dyDescent="0.35"/>
    <row r="37421" hidden="1" x14ac:dyDescent="0.35"/>
    <row r="37422" hidden="1" x14ac:dyDescent="0.35"/>
    <row r="37423" hidden="1" x14ac:dyDescent="0.35"/>
    <row r="37424" hidden="1" x14ac:dyDescent="0.35"/>
    <row r="37425" hidden="1" x14ac:dyDescent="0.35"/>
    <row r="37426" hidden="1" x14ac:dyDescent="0.35"/>
    <row r="37427" hidden="1" x14ac:dyDescent="0.35"/>
    <row r="37428" hidden="1" x14ac:dyDescent="0.35"/>
    <row r="37429" hidden="1" x14ac:dyDescent="0.35"/>
    <row r="37430" hidden="1" x14ac:dyDescent="0.35"/>
    <row r="37431" hidden="1" x14ac:dyDescent="0.35"/>
    <row r="37432" hidden="1" x14ac:dyDescent="0.35"/>
    <row r="37433" hidden="1" x14ac:dyDescent="0.35"/>
    <row r="37434" hidden="1" x14ac:dyDescent="0.35"/>
    <row r="37435" hidden="1" x14ac:dyDescent="0.35"/>
    <row r="37436" hidden="1" x14ac:dyDescent="0.35"/>
    <row r="37437" hidden="1" x14ac:dyDescent="0.35"/>
    <row r="37438" hidden="1" x14ac:dyDescent="0.35"/>
    <row r="37439" hidden="1" x14ac:dyDescent="0.35"/>
    <row r="37440" hidden="1" x14ac:dyDescent="0.35"/>
    <row r="37441" hidden="1" x14ac:dyDescent="0.35"/>
    <row r="37442" hidden="1" x14ac:dyDescent="0.35"/>
    <row r="37443" hidden="1" x14ac:dyDescent="0.35"/>
    <row r="37444" hidden="1" x14ac:dyDescent="0.35"/>
    <row r="37445" hidden="1" x14ac:dyDescent="0.35"/>
    <row r="37446" hidden="1" x14ac:dyDescent="0.35"/>
    <row r="37447" hidden="1" x14ac:dyDescent="0.35"/>
    <row r="37448" hidden="1" x14ac:dyDescent="0.35"/>
    <row r="37449" hidden="1" x14ac:dyDescent="0.35"/>
    <row r="37450" hidden="1" x14ac:dyDescent="0.35"/>
    <row r="37451" hidden="1" x14ac:dyDescent="0.35"/>
    <row r="37452" hidden="1" x14ac:dyDescent="0.35"/>
    <row r="37453" hidden="1" x14ac:dyDescent="0.35"/>
    <row r="37454" hidden="1" x14ac:dyDescent="0.35"/>
    <row r="37455" hidden="1" x14ac:dyDescent="0.35"/>
    <row r="37456" hidden="1" x14ac:dyDescent="0.35"/>
    <row r="37457" hidden="1" x14ac:dyDescent="0.35"/>
    <row r="37458" hidden="1" x14ac:dyDescent="0.35"/>
    <row r="37459" hidden="1" x14ac:dyDescent="0.35"/>
    <row r="37460" hidden="1" x14ac:dyDescent="0.35"/>
    <row r="37461" hidden="1" x14ac:dyDescent="0.35"/>
    <row r="37462" hidden="1" x14ac:dyDescent="0.35"/>
    <row r="37463" hidden="1" x14ac:dyDescent="0.35"/>
    <row r="37464" hidden="1" x14ac:dyDescent="0.35"/>
    <row r="37465" hidden="1" x14ac:dyDescent="0.35"/>
    <row r="37466" hidden="1" x14ac:dyDescent="0.35"/>
    <row r="37467" hidden="1" x14ac:dyDescent="0.35"/>
    <row r="37468" hidden="1" x14ac:dyDescent="0.35"/>
    <row r="37469" hidden="1" x14ac:dyDescent="0.35"/>
    <row r="37470" hidden="1" x14ac:dyDescent="0.35"/>
    <row r="37471" hidden="1" x14ac:dyDescent="0.35"/>
    <row r="37472" hidden="1" x14ac:dyDescent="0.35"/>
    <row r="37473" hidden="1" x14ac:dyDescent="0.35"/>
    <row r="37474" hidden="1" x14ac:dyDescent="0.35"/>
    <row r="37475" hidden="1" x14ac:dyDescent="0.35"/>
    <row r="37476" hidden="1" x14ac:dyDescent="0.35"/>
    <row r="37477" hidden="1" x14ac:dyDescent="0.35"/>
    <row r="37478" hidden="1" x14ac:dyDescent="0.35"/>
    <row r="37479" hidden="1" x14ac:dyDescent="0.35"/>
    <row r="37480" hidden="1" x14ac:dyDescent="0.35"/>
    <row r="37481" hidden="1" x14ac:dyDescent="0.35"/>
    <row r="37482" hidden="1" x14ac:dyDescent="0.35"/>
    <row r="37483" hidden="1" x14ac:dyDescent="0.35"/>
    <row r="37484" hidden="1" x14ac:dyDescent="0.35"/>
    <row r="37485" hidden="1" x14ac:dyDescent="0.35"/>
    <row r="37486" hidden="1" x14ac:dyDescent="0.35"/>
    <row r="37487" hidden="1" x14ac:dyDescent="0.35"/>
    <row r="37488" hidden="1" x14ac:dyDescent="0.35"/>
    <row r="37489" hidden="1" x14ac:dyDescent="0.35"/>
    <row r="37490" hidden="1" x14ac:dyDescent="0.35"/>
    <row r="37491" hidden="1" x14ac:dyDescent="0.35"/>
    <row r="37492" hidden="1" x14ac:dyDescent="0.35"/>
    <row r="37493" hidden="1" x14ac:dyDescent="0.35"/>
    <row r="37494" hidden="1" x14ac:dyDescent="0.35"/>
    <row r="37495" hidden="1" x14ac:dyDescent="0.35"/>
    <row r="37496" hidden="1" x14ac:dyDescent="0.35"/>
    <row r="37497" hidden="1" x14ac:dyDescent="0.35"/>
    <row r="37498" hidden="1" x14ac:dyDescent="0.35"/>
    <row r="37499" hidden="1" x14ac:dyDescent="0.35"/>
    <row r="37500" hidden="1" x14ac:dyDescent="0.35"/>
    <row r="37501" hidden="1" x14ac:dyDescent="0.35"/>
    <row r="37502" hidden="1" x14ac:dyDescent="0.35"/>
    <row r="37503" hidden="1" x14ac:dyDescent="0.35"/>
    <row r="37504" hidden="1" x14ac:dyDescent="0.35"/>
    <row r="37505" hidden="1" x14ac:dyDescent="0.35"/>
    <row r="37506" hidden="1" x14ac:dyDescent="0.35"/>
    <row r="37507" hidden="1" x14ac:dyDescent="0.35"/>
    <row r="37508" hidden="1" x14ac:dyDescent="0.35"/>
    <row r="37509" hidden="1" x14ac:dyDescent="0.35"/>
    <row r="37510" hidden="1" x14ac:dyDescent="0.35"/>
    <row r="37511" hidden="1" x14ac:dyDescent="0.35"/>
    <row r="37512" hidden="1" x14ac:dyDescent="0.35"/>
    <row r="37513" hidden="1" x14ac:dyDescent="0.35"/>
    <row r="37514" hidden="1" x14ac:dyDescent="0.35"/>
    <row r="37515" hidden="1" x14ac:dyDescent="0.35"/>
    <row r="37516" hidden="1" x14ac:dyDescent="0.35"/>
    <row r="37517" hidden="1" x14ac:dyDescent="0.35"/>
    <row r="37518" hidden="1" x14ac:dyDescent="0.35"/>
    <row r="37519" hidden="1" x14ac:dyDescent="0.35"/>
    <row r="37520" hidden="1" x14ac:dyDescent="0.35"/>
    <row r="37521" hidden="1" x14ac:dyDescent="0.35"/>
    <row r="37522" hidden="1" x14ac:dyDescent="0.35"/>
    <row r="37523" hidden="1" x14ac:dyDescent="0.35"/>
    <row r="37524" hidden="1" x14ac:dyDescent="0.35"/>
    <row r="37525" hidden="1" x14ac:dyDescent="0.35"/>
    <row r="37526" hidden="1" x14ac:dyDescent="0.35"/>
    <row r="37527" hidden="1" x14ac:dyDescent="0.35"/>
    <row r="37528" hidden="1" x14ac:dyDescent="0.35"/>
    <row r="37529" hidden="1" x14ac:dyDescent="0.35"/>
    <row r="37530" hidden="1" x14ac:dyDescent="0.35"/>
    <row r="37531" hidden="1" x14ac:dyDescent="0.35"/>
    <row r="37532" hidden="1" x14ac:dyDescent="0.35"/>
    <row r="37533" hidden="1" x14ac:dyDescent="0.35"/>
    <row r="37534" hidden="1" x14ac:dyDescent="0.35"/>
    <row r="37535" hidden="1" x14ac:dyDescent="0.35"/>
    <row r="37536" hidden="1" x14ac:dyDescent="0.35"/>
    <row r="37537" hidden="1" x14ac:dyDescent="0.35"/>
    <row r="37538" hidden="1" x14ac:dyDescent="0.35"/>
    <row r="37539" hidden="1" x14ac:dyDescent="0.35"/>
    <row r="37540" hidden="1" x14ac:dyDescent="0.35"/>
    <row r="37541" hidden="1" x14ac:dyDescent="0.35"/>
    <row r="37542" hidden="1" x14ac:dyDescent="0.35"/>
    <row r="37543" hidden="1" x14ac:dyDescent="0.35"/>
    <row r="37544" hidden="1" x14ac:dyDescent="0.35"/>
    <row r="37545" hidden="1" x14ac:dyDescent="0.35"/>
    <row r="37546" hidden="1" x14ac:dyDescent="0.35"/>
    <row r="37547" hidden="1" x14ac:dyDescent="0.35"/>
    <row r="37548" hidden="1" x14ac:dyDescent="0.35"/>
    <row r="37549" hidden="1" x14ac:dyDescent="0.35"/>
    <row r="37550" hidden="1" x14ac:dyDescent="0.35"/>
    <row r="37551" hidden="1" x14ac:dyDescent="0.35"/>
    <row r="37552" hidden="1" x14ac:dyDescent="0.35"/>
    <row r="37553" hidden="1" x14ac:dyDescent="0.35"/>
    <row r="37554" hidden="1" x14ac:dyDescent="0.35"/>
    <row r="37555" hidden="1" x14ac:dyDescent="0.35"/>
    <row r="37556" hidden="1" x14ac:dyDescent="0.35"/>
    <row r="37557" hidden="1" x14ac:dyDescent="0.35"/>
    <row r="37558" hidden="1" x14ac:dyDescent="0.35"/>
    <row r="37559" hidden="1" x14ac:dyDescent="0.35"/>
    <row r="37560" hidden="1" x14ac:dyDescent="0.35"/>
    <row r="37561" hidden="1" x14ac:dyDescent="0.35"/>
    <row r="37562" hidden="1" x14ac:dyDescent="0.35"/>
    <row r="37563" hidden="1" x14ac:dyDescent="0.35"/>
    <row r="37564" hidden="1" x14ac:dyDescent="0.35"/>
    <row r="37565" hidden="1" x14ac:dyDescent="0.35"/>
    <row r="37566" hidden="1" x14ac:dyDescent="0.35"/>
    <row r="37567" hidden="1" x14ac:dyDescent="0.35"/>
    <row r="37568" hidden="1" x14ac:dyDescent="0.35"/>
    <row r="37569" hidden="1" x14ac:dyDescent="0.35"/>
    <row r="37570" hidden="1" x14ac:dyDescent="0.35"/>
    <row r="37571" hidden="1" x14ac:dyDescent="0.35"/>
    <row r="37572" hidden="1" x14ac:dyDescent="0.35"/>
    <row r="37573" hidden="1" x14ac:dyDescent="0.35"/>
    <row r="37574" hidden="1" x14ac:dyDescent="0.35"/>
    <row r="37575" hidden="1" x14ac:dyDescent="0.35"/>
    <row r="37576" hidden="1" x14ac:dyDescent="0.35"/>
    <row r="37577" hidden="1" x14ac:dyDescent="0.35"/>
    <row r="37578" hidden="1" x14ac:dyDescent="0.35"/>
    <row r="37579" hidden="1" x14ac:dyDescent="0.35"/>
    <row r="37580" hidden="1" x14ac:dyDescent="0.35"/>
    <row r="37581" hidden="1" x14ac:dyDescent="0.35"/>
    <row r="37582" hidden="1" x14ac:dyDescent="0.35"/>
    <row r="37583" hidden="1" x14ac:dyDescent="0.35"/>
    <row r="37584" hidden="1" x14ac:dyDescent="0.35"/>
    <row r="37585" hidden="1" x14ac:dyDescent="0.35"/>
    <row r="37586" hidden="1" x14ac:dyDescent="0.35"/>
    <row r="37587" hidden="1" x14ac:dyDescent="0.35"/>
    <row r="37588" hidden="1" x14ac:dyDescent="0.35"/>
    <row r="37589" hidden="1" x14ac:dyDescent="0.35"/>
    <row r="37590" hidden="1" x14ac:dyDescent="0.35"/>
    <row r="37591" hidden="1" x14ac:dyDescent="0.35"/>
    <row r="37592" hidden="1" x14ac:dyDescent="0.35"/>
    <row r="37593" hidden="1" x14ac:dyDescent="0.35"/>
    <row r="37594" hidden="1" x14ac:dyDescent="0.35"/>
    <row r="37595" hidden="1" x14ac:dyDescent="0.35"/>
    <row r="37596" hidden="1" x14ac:dyDescent="0.35"/>
    <row r="37597" hidden="1" x14ac:dyDescent="0.35"/>
    <row r="37598" hidden="1" x14ac:dyDescent="0.35"/>
    <row r="37599" hidden="1" x14ac:dyDescent="0.35"/>
    <row r="37600" hidden="1" x14ac:dyDescent="0.35"/>
    <row r="37601" hidden="1" x14ac:dyDescent="0.35"/>
    <row r="37602" hidden="1" x14ac:dyDescent="0.35"/>
    <row r="37603" hidden="1" x14ac:dyDescent="0.35"/>
    <row r="37604" hidden="1" x14ac:dyDescent="0.35"/>
    <row r="37605" hidden="1" x14ac:dyDescent="0.35"/>
    <row r="37606" hidden="1" x14ac:dyDescent="0.35"/>
    <row r="37607" hidden="1" x14ac:dyDescent="0.35"/>
    <row r="37608" hidden="1" x14ac:dyDescent="0.35"/>
    <row r="37609" hidden="1" x14ac:dyDescent="0.35"/>
    <row r="37610" hidden="1" x14ac:dyDescent="0.35"/>
    <row r="37611" hidden="1" x14ac:dyDescent="0.35"/>
    <row r="37612" hidden="1" x14ac:dyDescent="0.35"/>
    <row r="37613" hidden="1" x14ac:dyDescent="0.35"/>
    <row r="37614" hidden="1" x14ac:dyDescent="0.35"/>
    <row r="37615" hidden="1" x14ac:dyDescent="0.35"/>
    <row r="37616" hidden="1" x14ac:dyDescent="0.35"/>
    <row r="37617" hidden="1" x14ac:dyDescent="0.35"/>
    <row r="37618" hidden="1" x14ac:dyDescent="0.35"/>
    <row r="37619" hidden="1" x14ac:dyDescent="0.35"/>
    <row r="37620" hidden="1" x14ac:dyDescent="0.35"/>
    <row r="37621" hidden="1" x14ac:dyDescent="0.35"/>
    <row r="37622" hidden="1" x14ac:dyDescent="0.35"/>
    <row r="37623" hidden="1" x14ac:dyDescent="0.35"/>
    <row r="37624" hidden="1" x14ac:dyDescent="0.35"/>
    <row r="37625" hidden="1" x14ac:dyDescent="0.35"/>
    <row r="37626" hidden="1" x14ac:dyDescent="0.35"/>
    <row r="37627" hidden="1" x14ac:dyDescent="0.35"/>
    <row r="37628" hidden="1" x14ac:dyDescent="0.35"/>
    <row r="37629" hidden="1" x14ac:dyDescent="0.35"/>
    <row r="37630" hidden="1" x14ac:dyDescent="0.35"/>
    <row r="37631" hidden="1" x14ac:dyDescent="0.35"/>
    <row r="37632" hidden="1" x14ac:dyDescent="0.35"/>
    <row r="37633" hidden="1" x14ac:dyDescent="0.35"/>
    <row r="37634" hidden="1" x14ac:dyDescent="0.35"/>
    <row r="37635" hidden="1" x14ac:dyDescent="0.35"/>
    <row r="37636" hidden="1" x14ac:dyDescent="0.35"/>
    <row r="37637" hidden="1" x14ac:dyDescent="0.35"/>
    <row r="37638" hidden="1" x14ac:dyDescent="0.35"/>
    <row r="37639" hidden="1" x14ac:dyDescent="0.35"/>
    <row r="37640" hidden="1" x14ac:dyDescent="0.35"/>
    <row r="37641" hidden="1" x14ac:dyDescent="0.35"/>
    <row r="37642" hidden="1" x14ac:dyDescent="0.35"/>
    <row r="37643" hidden="1" x14ac:dyDescent="0.35"/>
    <row r="37644" hidden="1" x14ac:dyDescent="0.35"/>
    <row r="37645" hidden="1" x14ac:dyDescent="0.35"/>
    <row r="37646" hidden="1" x14ac:dyDescent="0.35"/>
    <row r="37647" hidden="1" x14ac:dyDescent="0.35"/>
    <row r="37648" hidden="1" x14ac:dyDescent="0.35"/>
    <row r="37649" hidden="1" x14ac:dyDescent="0.35"/>
    <row r="37650" hidden="1" x14ac:dyDescent="0.35"/>
    <row r="37651" hidden="1" x14ac:dyDescent="0.35"/>
    <row r="37652" hidden="1" x14ac:dyDescent="0.35"/>
    <row r="37653" hidden="1" x14ac:dyDescent="0.35"/>
    <row r="37654" hidden="1" x14ac:dyDescent="0.35"/>
    <row r="37655" hidden="1" x14ac:dyDescent="0.35"/>
    <row r="37656" hidden="1" x14ac:dyDescent="0.35"/>
    <row r="37657" hidden="1" x14ac:dyDescent="0.35"/>
    <row r="37658" hidden="1" x14ac:dyDescent="0.35"/>
    <row r="37659" hidden="1" x14ac:dyDescent="0.35"/>
    <row r="37660" hidden="1" x14ac:dyDescent="0.35"/>
    <row r="37661" hidden="1" x14ac:dyDescent="0.35"/>
    <row r="37662" hidden="1" x14ac:dyDescent="0.35"/>
    <row r="37663" hidden="1" x14ac:dyDescent="0.35"/>
    <row r="37664" hidden="1" x14ac:dyDescent="0.35"/>
    <row r="37665" hidden="1" x14ac:dyDescent="0.35"/>
    <row r="37666" hidden="1" x14ac:dyDescent="0.35"/>
    <row r="37667" hidden="1" x14ac:dyDescent="0.35"/>
    <row r="37668" hidden="1" x14ac:dyDescent="0.35"/>
    <row r="37669" hidden="1" x14ac:dyDescent="0.35"/>
    <row r="37670" hidden="1" x14ac:dyDescent="0.35"/>
    <row r="37671" hidden="1" x14ac:dyDescent="0.35"/>
    <row r="37672" hidden="1" x14ac:dyDescent="0.35"/>
    <row r="37673" hidden="1" x14ac:dyDescent="0.35"/>
    <row r="37674" hidden="1" x14ac:dyDescent="0.35"/>
    <row r="37675" hidden="1" x14ac:dyDescent="0.35"/>
    <row r="37676" hidden="1" x14ac:dyDescent="0.35"/>
    <row r="37677" hidden="1" x14ac:dyDescent="0.35"/>
    <row r="37678" hidden="1" x14ac:dyDescent="0.35"/>
    <row r="37679" hidden="1" x14ac:dyDescent="0.35"/>
    <row r="37680" hidden="1" x14ac:dyDescent="0.35"/>
    <row r="37681" hidden="1" x14ac:dyDescent="0.35"/>
    <row r="37682" hidden="1" x14ac:dyDescent="0.35"/>
    <row r="37683" hidden="1" x14ac:dyDescent="0.35"/>
    <row r="37684" hidden="1" x14ac:dyDescent="0.35"/>
    <row r="37685" hidden="1" x14ac:dyDescent="0.35"/>
    <row r="37686" hidden="1" x14ac:dyDescent="0.35"/>
    <row r="37687" hidden="1" x14ac:dyDescent="0.35"/>
    <row r="37688" hidden="1" x14ac:dyDescent="0.35"/>
    <row r="37689" hidden="1" x14ac:dyDescent="0.35"/>
    <row r="37690" hidden="1" x14ac:dyDescent="0.35"/>
    <row r="37691" hidden="1" x14ac:dyDescent="0.35"/>
    <row r="37692" hidden="1" x14ac:dyDescent="0.35"/>
    <row r="37693" hidden="1" x14ac:dyDescent="0.35"/>
    <row r="37694" hidden="1" x14ac:dyDescent="0.35"/>
    <row r="37695" hidden="1" x14ac:dyDescent="0.35"/>
    <row r="37696" hidden="1" x14ac:dyDescent="0.35"/>
    <row r="37697" hidden="1" x14ac:dyDescent="0.35"/>
    <row r="37698" hidden="1" x14ac:dyDescent="0.35"/>
    <row r="37699" hidden="1" x14ac:dyDescent="0.35"/>
    <row r="37700" hidden="1" x14ac:dyDescent="0.35"/>
    <row r="37701" hidden="1" x14ac:dyDescent="0.35"/>
    <row r="37702" hidden="1" x14ac:dyDescent="0.35"/>
    <row r="37703" hidden="1" x14ac:dyDescent="0.35"/>
    <row r="37704" hidden="1" x14ac:dyDescent="0.35"/>
    <row r="37705" hidden="1" x14ac:dyDescent="0.35"/>
    <row r="37706" hidden="1" x14ac:dyDescent="0.35"/>
    <row r="37707" hidden="1" x14ac:dyDescent="0.35"/>
    <row r="37708" hidden="1" x14ac:dyDescent="0.35"/>
    <row r="37709" hidden="1" x14ac:dyDescent="0.35"/>
    <row r="37710" hidden="1" x14ac:dyDescent="0.35"/>
    <row r="37711" hidden="1" x14ac:dyDescent="0.35"/>
    <row r="37712" hidden="1" x14ac:dyDescent="0.35"/>
    <row r="37713" hidden="1" x14ac:dyDescent="0.35"/>
    <row r="37714" hidden="1" x14ac:dyDescent="0.35"/>
    <row r="37715" hidden="1" x14ac:dyDescent="0.35"/>
    <row r="37716" hidden="1" x14ac:dyDescent="0.35"/>
    <row r="37717" hidden="1" x14ac:dyDescent="0.35"/>
    <row r="37718" hidden="1" x14ac:dyDescent="0.35"/>
    <row r="37719" hidden="1" x14ac:dyDescent="0.35"/>
    <row r="37720" hidden="1" x14ac:dyDescent="0.35"/>
    <row r="37721" hidden="1" x14ac:dyDescent="0.35"/>
    <row r="37722" hidden="1" x14ac:dyDescent="0.35"/>
    <row r="37723" hidden="1" x14ac:dyDescent="0.35"/>
    <row r="37724" hidden="1" x14ac:dyDescent="0.35"/>
    <row r="37725" hidden="1" x14ac:dyDescent="0.35"/>
    <row r="37726" hidden="1" x14ac:dyDescent="0.35"/>
    <row r="37727" hidden="1" x14ac:dyDescent="0.35"/>
    <row r="37728" hidden="1" x14ac:dyDescent="0.35"/>
    <row r="37729" hidden="1" x14ac:dyDescent="0.35"/>
    <row r="37730" hidden="1" x14ac:dyDescent="0.35"/>
    <row r="37731" hidden="1" x14ac:dyDescent="0.35"/>
    <row r="37732" hidden="1" x14ac:dyDescent="0.35"/>
    <row r="37733" hidden="1" x14ac:dyDescent="0.35"/>
    <row r="37734" hidden="1" x14ac:dyDescent="0.35"/>
    <row r="37735" hidden="1" x14ac:dyDescent="0.35"/>
    <row r="37736" hidden="1" x14ac:dyDescent="0.35"/>
    <row r="37737" hidden="1" x14ac:dyDescent="0.35"/>
    <row r="37738" hidden="1" x14ac:dyDescent="0.35"/>
    <row r="37739" hidden="1" x14ac:dyDescent="0.35"/>
    <row r="37740" hidden="1" x14ac:dyDescent="0.35"/>
    <row r="37741" hidden="1" x14ac:dyDescent="0.35"/>
    <row r="37742" hidden="1" x14ac:dyDescent="0.35"/>
    <row r="37743" hidden="1" x14ac:dyDescent="0.35"/>
    <row r="37744" hidden="1" x14ac:dyDescent="0.35"/>
    <row r="37745" hidden="1" x14ac:dyDescent="0.35"/>
    <row r="37746" hidden="1" x14ac:dyDescent="0.35"/>
    <row r="37747" hidden="1" x14ac:dyDescent="0.35"/>
    <row r="37748" hidden="1" x14ac:dyDescent="0.35"/>
    <row r="37749" hidden="1" x14ac:dyDescent="0.35"/>
    <row r="37750" hidden="1" x14ac:dyDescent="0.35"/>
    <row r="37751" hidden="1" x14ac:dyDescent="0.35"/>
    <row r="37752" hidden="1" x14ac:dyDescent="0.35"/>
    <row r="37753" hidden="1" x14ac:dyDescent="0.35"/>
    <row r="37754" hidden="1" x14ac:dyDescent="0.35"/>
    <row r="37755" hidden="1" x14ac:dyDescent="0.35"/>
    <row r="37756" hidden="1" x14ac:dyDescent="0.35"/>
    <row r="37757" hidden="1" x14ac:dyDescent="0.35"/>
    <row r="37758" hidden="1" x14ac:dyDescent="0.35"/>
    <row r="37759" hidden="1" x14ac:dyDescent="0.35"/>
    <row r="37760" hidden="1" x14ac:dyDescent="0.35"/>
    <row r="37761" hidden="1" x14ac:dyDescent="0.35"/>
    <row r="37762" hidden="1" x14ac:dyDescent="0.35"/>
    <row r="37763" hidden="1" x14ac:dyDescent="0.35"/>
    <row r="37764" hidden="1" x14ac:dyDescent="0.35"/>
    <row r="37765" hidden="1" x14ac:dyDescent="0.35"/>
    <row r="37766" hidden="1" x14ac:dyDescent="0.35"/>
    <row r="37767" hidden="1" x14ac:dyDescent="0.35"/>
    <row r="37768" hidden="1" x14ac:dyDescent="0.35"/>
    <row r="37769" hidden="1" x14ac:dyDescent="0.35"/>
    <row r="37770" hidden="1" x14ac:dyDescent="0.35"/>
    <row r="37771" hidden="1" x14ac:dyDescent="0.35"/>
    <row r="37772" hidden="1" x14ac:dyDescent="0.35"/>
    <row r="37773" hidden="1" x14ac:dyDescent="0.35"/>
    <row r="37774" hidden="1" x14ac:dyDescent="0.35"/>
    <row r="37775" hidden="1" x14ac:dyDescent="0.35"/>
    <row r="37776" hidden="1" x14ac:dyDescent="0.35"/>
    <row r="37777" hidden="1" x14ac:dyDescent="0.35"/>
    <row r="37778" hidden="1" x14ac:dyDescent="0.35"/>
    <row r="37779" hidden="1" x14ac:dyDescent="0.35"/>
    <row r="37780" hidden="1" x14ac:dyDescent="0.35"/>
    <row r="37781" hidden="1" x14ac:dyDescent="0.35"/>
    <row r="37782" hidden="1" x14ac:dyDescent="0.35"/>
    <row r="37783" hidden="1" x14ac:dyDescent="0.35"/>
    <row r="37784" hidden="1" x14ac:dyDescent="0.35"/>
    <row r="37785" hidden="1" x14ac:dyDescent="0.35"/>
    <row r="37786" hidden="1" x14ac:dyDescent="0.35"/>
    <row r="37787" hidden="1" x14ac:dyDescent="0.35"/>
    <row r="37788" hidden="1" x14ac:dyDescent="0.35"/>
    <row r="37789" hidden="1" x14ac:dyDescent="0.35"/>
    <row r="37790" hidden="1" x14ac:dyDescent="0.35"/>
    <row r="37791" hidden="1" x14ac:dyDescent="0.35"/>
    <row r="37792" hidden="1" x14ac:dyDescent="0.35"/>
    <row r="37793" hidden="1" x14ac:dyDescent="0.35"/>
    <row r="37794" hidden="1" x14ac:dyDescent="0.35"/>
    <row r="37795" hidden="1" x14ac:dyDescent="0.35"/>
    <row r="37796" hidden="1" x14ac:dyDescent="0.35"/>
    <row r="37797" hidden="1" x14ac:dyDescent="0.35"/>
    <row r="37798" hidden="1" x14ac:dyDescent="0.35"/>
    <row r="37799" hidden="1" x14ac:dyDescent="0.35"/>
    <row r="37800" hidden="1" x14ac:dyDescent="0.35"/>
    <row r="37801" hidden="1" x14ac:dyDescent="0.35"/>
    <row r="37802" hidden="1" x14ac:dyDescent="0.35"/>
    <row r="37803" hidden="1" x14ac:dyDescent="0.35"/>
    <row r="37804" hidden="1" x14ac:dyDescent="0.35"/>
    <row r="37805" hidden="1" x14ac:dyDescent="0.35"/>
    <row r="37806" hidden="1" x14ac:dyDescent="0.35"/>
    <row r="37807" hidden="1" x14ac:dyDescent="0.35"/>
    <row r="37808" hidden="1" x14ac:dyDescent="0.35"/>
    <row r="37809" hidden="1" x14ac:dyDescent="0.35"/>
    <row r="37810" hidden="1" x14ac:dyDescent="0.35"/>
    <row r="37811" hidden="1" x14ac:dyDescent="0.35"/>
    <row r="37812" hidden="1" x14ac:dyDescent="0.35"/>
    <row r="37813" hidden="1" x14ac:dyDescent="0.35"/>
    <row r="37814" hidden="1" x14ac:dyDescent="0.35"/>
    <row r="37815" hidden="1" x14ac:dyDescent="0.35"/>
    <row r="37816" hidden="1" x14ac:dyDescent="0.35"/>
    <row r="37817" hidden="1" x14ac:dyDescent="0.35"/>
    <row r="37818" hidden="1" x14ac:dyDescent="0.35"/>
    <row r="37819" hidden="1" x14ac:dyDescent="0.35"/>
    <row r="37820" hidden="1" x14ac:dyDescent="0.35"/>
    <row r="37821" hidden="1" x14ac:dyDescent="0.35"/>
    <row r="37822" hidden="1" x14ac:dyDescent="0.35"/>
    <row r="37823" hidden="1" x14ac:dyDescent="0.35"/>
    <row r="37824" hidden="1" x14ac:dyDescent="0.35"/>
    <row r="37825" hidden="1" x14ac:dyDescent="0.35"/>
    <row r="37826" hidden="1" x14ac:dyDescent="0.35"/>
    <row r="37827" hidden="1" x14ac:dyDescent="0.35"/>
    <row r="37828" hidden="1" x14ac:dyDescent="0.35"/>
    <row r="37829" hidden="1" x14ac:dyDescent="0.35"/>
    <row r="37830" hidden="1" x14ac:dyDescent="0.35"/>
    <row r="37831" hidden="1" x14ac:dyDescent="0.35"/>
    <row r="37832" hidden="1" x14ac:dyDescent="0.35"/>
    <row r="37833" hidden="1" x14ac:dyDescent="0.35"/>
    <row r="37834" hidden="1" x14ac:dyDescent="0.35"/>
    <row r="37835" hidden="1" x14ac:dyDescent="0.35"/>
    <row r="37836" hidden="1" x14ac:dyDescent="0.35"/>
    <row r="37837" hidden="1" x14ac:dyDescent="0.35"/>
    <row r="37838" hidden="1" x14ac:dyDescent="0.35"/>
    <row r="37839" hidden="1" x14ac:dyDescent="0.35"/>
    <row r="37840" hidden="1" x14ac:dyDescent="0.35"/>
    <row r="37841" hidden="1" x14ac:dyDescent="0.35"/>
    <row r="37842" hidden="1" x14ac:dyDescent="0.35"/>
    <row r="37843" hidden="1" x14ac:dyDescent="0.35"/>
    <row r="37844" hidden="1" x14ac:dyDescent="0.35"/>
    <row r="37845" hidden="1" x14ac:dyDescent="0.35"/>
    <row r="37846" hidden="1" x14ac:dyDescent="0.35"/>
    <row r="37847" hidden="1" x14ac:dyDescent="0.35"/>
    <row r="37848" hidden="1" x14ac:dyDescent="0.35"/>
    <row r="37849" hidden="1" x14ac:dyDescent="0.35"/>
    <row r="37850" hidden="1" x14ac:dyDescent="0.35"/>
    <row r="37851" hidden="1" x14ac:dyDescent="0.35"/>
    <row r="37852" hidden="1" x14ac:dyDescent="0.35"/>
    <row r="37853" hidden="1" x14ac:dyDescent="0.35"/>
    <row r="37854" hidden="1" x14ac:dyDescent="0.35"/>
    <row r="37855" hidden="1" x14ac:dyDescent="0.35"/>
    <row r="37856" hidden="1" x14ac:dyDescent="0.35"/>
    <row r="37857" hidden="1" x14ac:dyDescent="0.35"/>
    <row r="37858" hidden="1" x14ac:dyDescent="0.35"/>
    <row r="37859" hidden="1" x14ac:dyDescent="0.35"/>
    <row r="37860" hidden="1" x14ac:dyDescent="0.35"/>
    <row r="37861" hidden="1" x14ac:dyDescent="0.35"/>
    <row r="37862" hidden="1" x14ac:dyDescent="0.35"/>
    <row r="37863" hidden="1" x14ac:dyDescent="0.35"/>
    <row r="37864" hidden="1" x14ac:dyDescent="0.35"/>
    <row r="37865" hidden="1" x14ac:dyDescent="0.35"/>
    <row r="37866" hidden="1" x14ac:dyDescent="0.35"/>
    <row r="37867" hidden="1" x14ac:dyDescent="0.35"/>
    <row r="37868" hidden="1" x14ac:dyDescent="0.35"/>
    <row r="37869" hidden="1" x14ac:dyDescent="0.35"/>
    <row r="37870" hidden="1" x14ac:dyDescent="0.35"/>
    <row r="37871" hidden="1" x14ac:dyDescent="0.35"/>
    <row r="37872" hidden="1" x14ac:dyDescent="0.35"/>
    <row r="37873" hidden="1" x14ac:dyDescent="0.35"/>
    <row r="37874" hidden="1" x14ac:dyDescent="0.35"/>
    <row r="37875" hidden="1" x14ac:dyDescent="0.35"/>
    <row r="37876" hidden="1" x14ac:dyDescent="0.35"/>
    <row r="37877" hidden="1" x14ac:dyDescent="0.35"/>
    <row r="37878" hidden="1" x14ac:dyDescent="0.35"/>
    <row r="37879" hidden="1" x14ac:dyDescent="0.35"/>
    <row r="37880" hidden="1" x14ac:dyDescent="0.35"/>
    <row r="37881" hidden="1" x14ac:dyDescent="0.35"/>
    <row r="37882" hidden="1" x14ac:dyDescent="0.35"/>
    <row r="37883" hidden="1" x14ac:dyDescent="0.35"/>
    <row r="37884" hidden="1" x14ac:dyDescent="0.35"/>
    <row r="37885" hidden="1" x14ac:dyDescent="0.35"/>
    <row r="37886" hidden="1" x14ac:dyDescent="0.35"/>
    <row r="37887" hidden="1" x14ac:dyDescent="0.35"/>
    <row r="37888" hidden="1" x14ac:dyDescent="0.35"/>
    <row r="37889" hidden="1" x14ac:dyDescent="0.35"/>
    <row r="37890" hidden="1" x14ac:dyDescent="0.35"/>
    <row r="37891" hidden="1" x14ac:dyDescent="0.35"/>
    <row r="37892" hidden="1" x14ac:dyDescent="0.35"/>
    <row r="37893" hidden="1" x14ac:dyDescent="0.35"/>
    <row r="37894" hidden="1" x14ac:dyDescent="0.35"/>
    <row r="37895" hidden="1" x14ac:dyDescent="0.35"/>
    <row r="37896" hidden="1" x14ac:dyDescent="0.35"/>
    <row r="37897" hidden="1" x14ac:dyDescent="0.35"/>
    <row r="37898" hidden="1" x14ac:dyDescent="0.35"/>
    <row r="37899" hidden="1" x14ac:dyDescent="0.35"/>
    <row r="37900" hidden="1" x14ac:dyDescent="0.35"/>
    <row r="37901" hidden="1" x14ac:dyDescent="0.35"/>
    <row r="37902" hidden="1" x14ac:dyDescent="0.35"/>
    <row r="37903" hidden="1" x14ac:dyDescent="0.35"/>
    <row r="37904" hidden="1" x14ac:dyDescent="0.35"/>
    <row r="37905" hidden="1" x14ac:dyDescent="0.35"/>
    <row r="37906" hidden="1" x14ac:dyDescent="0.35"/>
    <row r="37907" hidden="1" x14ac:dyDescent="0.35"/>
    <row r="37908" hidden="1" x14ac:dyDescent="0.35"/>
    <row r="37909" hidden="1" x14ac:dyDescent="0.35"/>
    <row r="37910" hidden="1" x14ac:dyDescent="0.35"/>
    <row r="37911" hidden="1" x14ac:dyDescent="0.35"/>
    <row r="37912" hidden="1" x14ac:dyDescent="0.35"/>
    <row r="37913" hidden="1" x14ac:dyDescent="0.35"/>
    <row r="37914" hidden="1" x14ac:dyDescent="0.35"/>
    <row r="37915" hidden="1" x14ac:dyDescent="0.35"/>
    <row r="37916" hidden="1" x14ac:dyDescent="0.35"/>
    <row r="37917" hidden="1" x14ac:dyDescent="0.35"/>
    <row r="37918" hidden="1" x14ac:dyDescent="0.35"/>
    <row r="37919" hidden="1" x14ac:dyDescent="0.35"/>
    <row r="37920" hidden="1" x14ac:dyDescent="0.35"/>
    <row r="37921" hidden="1" x14ac:dyDescent="0.35"/>
    <row r="37922" hidden="1" x14ac:dyDescent="0.35"/>
    <row r="37923" hidden="1" x14ac:dyDescent="0.35"/>
    <row r="37924" hidden="1" x14ac:dyDescent="0.35"/>
    <row r="37925" hidden="1" x14ac:dyDescent="0.35"/>
    <row r="37926" hidden="1" x14ac:dyDescent="0.35"/>
    <row r="37927" hidden="1" x14ac:dyDescent="0.35"/>
    <row r="37928" hidden="1" x14ac:dyDescent="0.35"/>
    <row r="37929" hidden="1" x14ac:dyDescent="0.35"/>
    <row r="37930" hidden="1" x14ac:dyDescent="0.35"/>
    <row r="37931" hidden="1" x14ac:dyDescent="0.35"/>
    <row r="37932" hidden="1" x14ac:dyDescent="0.35"/>
    <row r="37933" hidden="1" x14ac:dyDescent="0.35"/>
    <row r="37934" hidden="1" x14ac:dyDescent="0.35"/>
    <row r="37935" hidden="1" x14ac:dyDescent="0.35"/>
    <row r="37936" hidden="1" x14ac:dyDescent="0.35"/>
    <row r="37937" hidden="1" x14ac:dyDescent="0.35"/>
    <row r="37938" hidden="1" x14ac:dyDescent="0.35"/>
    <row r="37939" hidden="1" x14ac:dyDescent="0.35"/>
    <row r="37940" hidden="1" x14ac:dyDescent="0.35"/>
    <row r="37941" hidden="1" x14ac:dyDescent="0.35"/>
    <row r="37942" hidden="1" x14ac:dyDescent="0.35"/>
    <row r="37943" hidden="1" x14ac:dyDescent="0.35"/>
    <row r="37944" hidden="1" x14ac:dyDescent="0.35"/>
    <row r="37945" hidden="1" x14ac:dyDescent="0.35"/>
    <row r="37946" hidden="1" x14ac:dyDescent="0.35"/>
    <row r="37947" hidden="1" x14ac:dyDescent="0.35"/>
    <row r="37948" hidden="1" x14ac:dyDescent="0.35"/>
    <row r="37949" hidden="1" x14ac:dyDescent="0.35"/>
    <row r="37950" hidden="1" x14ac:dyDescent="0.35"/>
    <row r="37951" hidden="1" x14ac:dyDescent="0.35"/>
    <row r="37952" hidden="1" x14ac:dyDescent="0.35"/>
    <row r="37953" hidden="1" x14ac:dyDescent="0.35"/>
    <row r="37954" hidden="1" x14ac:dyDescent="0.35"/>
    <row r="37955" hidden="1" x14ac:dyDescent="0.35"/>
    <row r="37956" hidden="1" x14ac:dyDescent="0.35"/>
    <row r="37957" hidden="1" x14ac:dyDescent="0.35"/>
    <row r="37958" hidden="1" x14ac:dyDescent="0.35"/>
    <row r="37959" hidden="1" x14ac:dyDescent="0.35"/>
    <row r="37960" hidden="1" x14ac:dyDescent="0.35"/>
    <row r="37961" hidden="1" x14ac:dyDescent="0.35"/>
    <row r="37962" hidden="1" x14ac:dyDescent="0.35"/>
    <row r="37963" hidden="1" x14ac:dyDescent="0.35"/>
    <row r="37964" hidden="1" x14ac:dyDescent="0.35"/>
    <row r="37965" hidden="1" x14ac:dyDescent="0.35"/>
    <row r="37966" hidden="1" x14ac:dyDescent="0.35"/>
    <row r="37967" hidden="1" x14ac:dyDescent="0.35"/>
    <row r="37968" hidden="1" x14ac:dyDescent="0.35"/>
    <row r="37969" hidden="1" x14ac:dyDescent="0.35"/>
    <row r="37970" hidden="1" x14ac:dyDescent="0.35"/>
    <row r="37971" hidden="1" x14ac:dyDescent="0.35"/>
    <row r="37972" hidden="1" x14ac:dyDescent="0.35"/>
    <row r="37973" hidden="1" x14ac:dyDescent="0.35"/>
    <row r="37974" hidden="1" x14ac:dyDescent="0.35"/>
    <row r="37975" hidden="1" x14ac:dyDescent="0.35"/>
    <row r="37976" hidden="1" x14ac:dyDescent="0.35"/>
    <row r="37977" hidden="1" x14ac:dyDescent="0.35"/>
    <row r="37978" hidden="1" x14ac:dyDescent="0.35"/>
    <row r="37979" hidden="1" x14ac:dyDescent="0.35"/>
    <row r="37980" hidden="1" x14ac:dyDescent="0.35"/>
    <row r="37981" hidden="1" x14ac:dyDescent="0.35"/>
    <row r="37982" hidden="1" x14ac:dyDescent="0.35"/>
    <row r="37983" hidden="1" x14ac:dyDescent="0.35"/>
    <row r="37984" hidden="1" x14ac:dyDescent="0.35"/>
    <row r="37985" hidden="1" x14ac:dyDescent="0.35"/>
    <row r="37986" hidden="1" x14ac:dyDescent="0.35"/>
    <row r="37987" hidden="1" x14ac:dyDescent="0.35"/>
    <row r="37988" hidden="1" x14ac:dyDescent="0.35"/>
    <row r="37989" hidden="1" x14ac:dyDescent="0.35"/>
    <row r="37990" hidden="1" x14ac:dyDescent="0.35"/>
    <row r="37991" hidden="1" x14ac:dyDescent="0.35"/>
    <row r="37992" hidden="1" x14ac:dyDescent="0.35"/>
    <row r="37993" hidden="1" x14ac:dyDescent="0.35"/>
    <row r="37994" hidden="1" x14ac:dyDescent="0.35"/>
    <row r="37995" hidden="1" x14ac:dyDescent="0.35"/>
    <row r="37996" hidden="1" x14ac:dyDescent="0.35"/>
    <row r="37997" hidden="1" x14ac:dyDescent="0.35"/>
    <row r="37998" hidden="1" x14ac:dyDescent="0.35"/>
    <row r="37999" hidden="1" x14ac:dyDescent="0.35"/>
    <row r="38000" hidden="1" x14ac:dyDescent="0.35"/>
    <row r="38001" hidden="1" x14ac:dyDescent="0.35"/>
    <row r="38002" hidden="1" x14ac:dyDescent="0.35"/>
    <row r="38003" hidden="1" x14ac:dyDescent="0.35"/>
    <row r="38004" hidden="1" x14ac:dyDescent="0.35"/>
    <row r="38005" hidden="1" x14ac:dyDescent="0.35"/>
    <row r="38006" hidden="1" x14ac:dyDescent="0.35"/>
    <row r="38007" hidden="1" x14ac:dyDescent="0.35"/>
    <row r="38008" hidden="1" x14ac:dyDescent="0.35"/>
    <row r="38009" hidden="1" x14ac:dyDescent="0.35"/>
    <row r="38010" hidden="1" x14ac:dyDescent="0.35"/>
    <row r="38011" hidden="1" x14ac:dyDescent="0.35"/>
    <row r="38012" hidden="1" x14ac:dyDescent="0.35"/>
    <row r="38013" hidden="1" x14ac:dyDescent="0.35"/>
    <row r="38014" hidden="1" x14ac:dyDescent="0.35"/>
    <row r="38015" hidden="1" x14ac:dyDescent="0.35"/>
    <row r="38016" hidden="1" x14ac:dyDescent="0.35"/>
    <row r="38017" hidden="1" x14ac:dyDescent="0.35"/>
    <row r="38018" hidden="1" x14ac:dyDescent="0.35"/>
    <row r="38019" hidden="1" x14ac:dyDescent="0.35"/>
    <row r="38020" hidden="1" x14ac:dyDescent="0.35"/>
    <row r="38021" hidden="1" x14ac:dyDescent="0.35"/>
    <row r="38022" hidden="1" x14ac:dyDescent="0.35"/>
    <row r="38023" hidden="1" x14ac:dyDescent="0.35"/>
    <row r="38024" hidden="1" x14ac:dyDescent="0.35"/>
    <row r="38025" hidden="1" x14ac:dyDescent="0.35"/>
    <row r="38026" hidden="1" x14ac:dyDescent="0.35"/>
    <row r="38027" hidden="1" x14ac:dyDescent="0.35"/>
    <row r="38028" hidden="1" x14ac:dyDescent="0.35"/>
    <row r="38029" hidden="1" x14ac:dyDescent="0.35"/>
    <row r="38030" hidden="1" x14ac:dyDescent="0.35"/>
    <row r="38031" hidden="1" x14ac:dyDescent="0.35"/>
    <row r="38032" hidden="1" x14ac:dyDescent="0.35"/>
    <row r="38033" hidden="1" x14ac:dyDescent="0.35"/>
    <row r="38034" hidden="1" x14ac:dyDescent="0.35"/>
    <row r="38035" hidden="1" x14ac:dyDescent="0.35"/>
    <row r="38036" hidden="1" x14ac:dyDescent="0.35"/>
    <row r="38037" hidden="1" x14ac:dyDescent="0.35"/>
    <row r="38038" hidden="1" x14ac:dyDescent="0.35"/>
    <row r="38039" hidden="1" x14ac:dyDescent="0.35"/>
    <row r="38040" hidden="1" x14ac:dyDescent="0.35"/>
    <row r="38041" hidden="1" x14ac:dyDescent="0.35"/>
    <row r="38042" hidden="1" x14ac:dyDescent="0.35"/>
    <row r="38043" hidden="1" x14ac:dyDescent="0.35"/>
    <row r="38044" hidden="1" x14ac:dyDescent="0.35"/>
    <row r="38045" hidden="1" x14ac:dyDescent="0.35"/>
    <row r="38046" hidden="1" x14ac:dyDescent="0.35"/>
    <row r="38047" hidden="1" x14ac:dyDescent="0.35"/>
    <row r="38048" hidden="1" x14ac:dyDescent="0.35"/>
    <row r="38049" hidden="1" x14ac:dyDescent="0.35"/>
    <row r="38050" hidden="1" x14ac:dyDescent="0.35"/>
    <row r="38051" hidden="1" x14ac:dyDescent="0.35"/>
    <row r="38052" hidden="1" x14ac:dyDescent="0.35"/>
    <row r="38053" hidden="1" x14ac:dyDescent="0.35"/>
    <row r="38054" hidden="1" x14ac:dyDescent="0.35"/>
    <row r="38055" hidden="1" x14ac:dyDescent="0.35"/>
    <row r="38056" hidden="1" x14ac:dyDescent="0.35"/>
    <row r="38057" hidden="1" x14ac:dyDescent="0.35"/>
    <row r="38058" hidden="1" x14ac:dyDescent="0.35"/>
    <row r="38059" hidden="1" x14ac:dyDescent="0.35"/>
    <row r="38060" hidden="1" x14ac:dyDescent="0.35"/>
    <row r="38061" hidden="1" x14ac:dyDescent="0.35"/>
    <row r="38062" hidden="1" x14ac:dyDescent="0.35"/>
    <row r="38063" hidden="1" x14ac:dyDescent="0.35"/>
    <row r="38064" hidden="1" x14ac:dyDescent="0.35"/>
    <row r="38065" hidden="1" x14ac:dyDescent="0.35"/>
    <row r="38066" hidden="1" x14ac:dyDescent="0.35"/>
    <row r="38067" hidden="1" x14ac:dyDescent="0.35"/>
    <row r="38068" hidden="1" x14ac:dyDescent="0.35"/>
    <row r="38069" hidden="1" x14ac:dyDescent="0.35"/>
    <row r="38070" hidden="1" x14ac:dyDescent="0.35"/>
    <row r="38071" hidden="1" x14ac:dyDescent="0.35"/>
    <row r="38072" hidden="1" x14ac:dyDescent="0.35"/>
    <row r="38073" hidden="1" x14ac:dyDescent="0.35"/>
    <row r="38074" hidden="1" x14ac:dyDescent="0.35"/>
    <row r="38075" hidden="1" x14ac:dyDescent="0.35"/>
    <row r="38076" hidden="1" x14ac:dyDescent="0.35"/>
    <row r="38077" hidden="1" x14ac:dyDescent="0.35"/>
    <row r="38078" hidden="1" x14ac:dyDescent="0.35"/>
    <row r="38079" hidden="1" x14ac:dyDescent="0.35"/>
    <row r="38080" hidden="1" x14ac:dyDescent="0.35"/>
    <row r="38081" hidden="1" x14ac:dyDescent="0.35"/>
    <row r="38082" hidden="1" x14ac:dyDescent="0.35"/>
    <row r="38083" hidden="1" x14ac:dyDescent="0.35"/>
    <row r="38084" hidden="1" x14ac:dyDescent="0.35"/>
    <row r="38085" hidden="1" x14ac:dyDescent="0.35"/>
    <row r="38086" hidden="1" x14ac:dyDescent="0.35"/>
    <row r="38087" hidden="1" x14ac:dyDescent="0.35"/>
    <row r="38088" hidden="1" x14ac:dyDescent="0.35"/>
    <row r="38089" hidden="1" x14ac:dyDescent="0.35"/>
    <row r="38090" hidden="1" x14ac:dyDescent="0.35"/>
    <row r="38091" hidden="1" x14ac:dyDescent="0.35"/>
    <row r="38092" hidden="1" x14ac:dyDescent="0.35"/>
    <row r="38093" hidden="1" x14ac:dyDescent="0.35"/>
    <row r="38094" hidden="1" x14ac:dyDescent="0.35"/>
    <row r="38095" hidden="1" x14ac:dyDescent="0.35"/>
    <row r="38096" hidden="1" x14ac:dyDescent="0.35"/>
    <row r="38097" hidden="1" x14ac:dyDescent="0.35"/>
    <row r="38098" hidden="1" x14ac:dyDescent="0.35"/>
    <row r="38099" hidden="1" x14ac:dyDescent="0.35"/>
    <row r="38100" hidden="1" x14ac:dyDescent="0.35"/>
    <row r="38101" hidden="1" x14ac:dyDescent="0.35"/>
    <row r="38102" hidden="1" x14ac:dyDescent="0.35"/>
    <row r="38103" hidden="1" x14ac:dyDescent="0.35"/>
    <row r="38104" hidden="1" x14ac:dyDescent="0.35"/>
    <row r="38105" hidden="1" x14ac:dyDescent="0.35"/>
    <row r="38106" hidden="1" x14ac:dyDescent="0.35"/>
    <row r="38107" hidden="1" x14ac:dyDescent="0.35"/>
    <row r="38108" hidden="1" x14ac:dyDescent="0.35"/>
    <row r="38109" hidden="1" x14ac:dyDescent="0.35"/>
    <row r="38110" hidden="1" x14ac:dyDescent="0.35"/>
    <row r="38111" hidden="1" x14ac:dyDescent="0.35"/>
    <row r="38112" hidden="1" x14ac:dyDescent="0.35"/>
    <row r="38113" hidden="1" x14ac:dyDescent="0.35"/>
    <row r="38114" hidden="1" x14ac:dyDescent="0.35"/>
    <row r="38115" hidden="1" x14ac:dyDescent="0.35"/>
    <row r="38116" hidden="1" x14ac:dyDescent="0.35"/>
    <row r="38117" hidden="1" x14ac:dyDescent="0.35"/>
    <row r="38118" hidden="1" x14ac:dyDescent="0.35"/>
    <row r="38119" hidden="1" x14ac:dyDescent="0.35"/>
    <row r="38120" hidden="1" x14ac:dyDescent="0.35"/>
    <row r="38121" hidden="1" x14ac:dyDescent="0.35"/>
    <row r="38122" hidden="1" x14ac:dyDescent="0.35"/>
    <row r="38123" hidden="1" x14ac:dyDescent="0.35"/>
    <row r="38124" hidden="1" x14ac:dyDescent="0.35"/>
    <row r="38125" hidden="1" x14ac:dyDescent="0.35"/>
    <row r="38126" hidden="1" x14ac:dyDescent="0.35"/>
    <row r="38127" hidden="1" x14ac:dyDescent="0.35"/>
    <row r="38128" hidden="1" x14ac:dyDescent="0.35"/>
    <row r="38129" hidden="1" x14ac:dyDescent="0.35"/>
    <row r="38130" hidden="1" x14ac:dyDescent="0.35"/>
    <row r="38131" hidden="1" x14ac:dyDescent="0.35"/>
    <row r="38132" hidden="1" x14ac:dyDescent="0.35"/>
    <row r="38133" hidden="1" x14ac:dyDescent="0.35"/>
    <row r="38134" hidden="1" x14ac:dyDescent="0.35"/>
    <row r="38135" hidden="1" x14ac:dyDescent="0.35"/>
    <row r="38136" hidden="1" x14ac:dyDescent="0.35"/>
    <row r="38137" hidden="1" x14ac:dyDescent="0.35"/>
    <row r="38138" hidden="1" x14ac:dyDescent="0.35"/>
    <row r="38139" hidden="1" x14ac:dyDescent="0.35"/>
    <row r="38140" hidden="1" x14ac:dyDescent="0.35"/>
    <row r="38141" hidden="1" x14ac:dyDescent="0.35"/>
    <row r="38142" hidden="1" x14ac:dyDescent="0.35"/>
    <row r="38143" hidden="1" x14ac:dyDescent="0.35"/>
    <row r="38144" hidden="1" x14ac:dyDescent="0.35"/>
    <row r="38145" hidden="1" x14ac:dyDescent="0.35"/>
    <row r="38146" hidden="1" x14ac:dyDescent="0.35"/>
    <row r="38147" hidden="1" x14ac:dyDescent="0.35"/>
    <row r="38148" hidden="1" x14ac:dyDescent="0.35"/>
    <row r="38149" hidden="1" x14ac:dyDescent="0.35"/>
    <row r="38150" hidden="1" x14ac:dyDescent="0.35"/>
    <row r="38151" hidden="1" x14ac:dyDescent="0.35"/>
    <row r="38152" hidden="1" x14ac:dyDescent="0.35"/>
    <row r="38153" hidden="1" x14ac:dyDescent="0.35"/>
    <row r="38154" hidden="1" x14ac:dyDescent="0.35"/>
    <row r="38155" hidden="1" x14ac:dyDescent="0.35"/>
    <row r="38156" hidden="1" x14ac:dyDescent="0.35"/>
    <row r="38157" hidden="1" x14ac:dyDescent="0.35"/>
    <row r="38158" hidden="1" x14ac:dyDescent="0.35"/>
    <row r="38159" hidden="1" x14ac:dyDescent="0.35"/>
    <row r="38160" hidden="1" x14ac:dyDescent="0.35"/>
    <row r="38161" hidden="1" x14ac:dyDescent="0.35"/>
    <row r="38162" hidden="1" x14ac:dyDescent="0.35"/>
    <row r="38163" hidden="1" x14ac:dyDescent="0.35"/>
    <row r="38164" hidden="1" x14ac:dyDescent="0.35"/>
    <row r="38165" hidden="1" x14ac:dyDescent="0.35"/>
    <row r="38166" hidden="1" x14ac:dyDescent="0.35"/>
    <row r="38167" hidden="1" x14ac:dyDescent="0.35"/>
    <row r="38168" hidden="1" x14ac:dyDescent="0.35"/>
    <row r="38169" hidden="1" x14ac:dyDescent="0.35"/>
    <row r="38170" hidden="1" x14ac:dyDescent="0.35"/>
    <row r="38171" hidden="1" x14ac:dyDescent="0.35"/>
    <row r="38172" hidden="1" x14ac:dyDescent="0.35"/>
    <row r="38173" hidden="1" x14ac:dyDescent="0.35"/>
    <row r="38174" hidden="1" x14ac:dyDescent="0.35"/>
    <row r="38175" hidden="1" x14ac:dyDescent="0.35"/>
    <row r="38176" hidden="1" x14ac:dyDescent="0.35"/>
    <row r="38177" hidden="1" x14ac:dyDescent="0.35"/>
    <row r="38178" hidden="1" x14ac:dyDescent="0.35"/>
    <row r="38179" hidden="1" x14ac:dyDescent="0.35"/>
    <row r="38180" hidden="1" x14ac:dyDescent="0.35"/>
    <row r="38181" hidden="1" x14ac:dyDescent="0.35"/>
    <row r="38182" hidden="1" x14ac:dyDescent="0.35"/>
    <row r="38183" hidden="1" x14ac:dyDescent="0.35"/>
    <row r="38184" hidden="1" x14ac:dyDescent="0.35"/>
    <row r="38185" hidden="1" x14ac:dyDescent="0.35"/>
    <row r="38186" hidden="1" x14ac:dyDescent="0.35"/>
    <row r="38187" hidden="1" x14ac:dyDescent="0.35"/>
    <row r="38188" hidden="1" x14ac:dyDescent="0.35"/>
    <row r="38189" hidden="1" x14ac:dyDescent="0.35"/>
    <row r="38190" hidden="1" x14ac:dyDescent="0.35"/>
    <row r="38191" hidden="1" x14ac:dyDescent="0.35"/>
    <row r="38192" hidden="1" x14ac:dyDescent="0.35"/>
    <row r="38193" hidden="1" x14ac:dyDescent="0.35"/>
    <row r="38194" hidden="1" x14ac:dyDescent="0.35"/>
    <row r="38195" hidden="1" x14ac:dyDescent="0.35"/>
    <row r="38196" hidden="1" x14ac:dyDescent="0.35"/>
    <row r="38197" hidden="1" x14ac:dyDescent="0.35"/>
    <row r="38198" hidden="1" x14ac:dyDescent="0.35"/>
    <row r="38199" hidden="1" x14ac:dyDescent="0.35"/>
    <row r="38200" hidden="1" x14ac:dyDescent="0.35"/>
    <row r="38201" hidden="1" x14ac:dyDescent="0.35"/>
    <row r="38202" hidden="1" x14ac:dyDescent="0.35"/>
    <row r="38203" hidden="1" x14ac:dyDescent="0.35"/>
    <row r="38204" hidden="1" x14ac:dyDescent="0.35"/>
    <row r="38205" hidden="1" x14ac:dyDescent="0.35"/>
    <row r="38206" hidden="1" x14ac:dyDescent="0.35"/>
    <row r="38207" hidden="1" x14ac:dyDescent="0.35"/>
    <row r="38208" hidden="1" x14ac:dyDescent="0.35"/>
    <row r="38209" hidden="1" x14ac:dyDescent="0.35"/>
    <row r="38210" hidden="1" x14ac:dyDescent="0.35"/>
    <row r="38211" hidden="1" x14ac:dyDescent="0.35"/>
    <row r="38212" hidden="1" x14ac:dyDescent="0.35"/>
    <row r="38213" hidden="1" x14ac:dyDescent="0.35"/>
    <row r="38214" hidden="1" x14ac:dyDescent="0.35"/>
    <row r="38215" hidden="1" x14ac:dyDescent="0.35"/>
    <row r="38216" hidden="1" x14ac:dyDescent="0.35"/>
    <row r="38217" hidden="1" x14ac:dyDescent="0.35"/>
    <row r="38218" hidden="1" x14ac:dyDescent="0.35"/>
    <row r="38219" hidden="1" x14ac:dyDescent="0.35"/>
    <row r="38220" hidden="1" x14ac:dyDescent="0.35"/>
    <row r="38221" hidden="1" x14ac:dyDescent="0.35"/>
    <row r="38222" hidden="1" x14ac:dyDescent="0.35"/>
    <row r="38223" hidden="1" x14ac:dyDescent="0.35"/>
    <row r="38224" hidden="1" x14ac:dyDescent="0.35"/>
    <row r="38225" hidden="1" x14ac:dyDescent="0.35"/>
    <row r="38226" hidden="1" x14ac:dyDescent="0.35"/>
    <row r="38227" hidden="1" x14ac:dyDescent="0.35"/>
    <row r="38228" hidden="1" x14ac:dyDescent="0.35"/>
    <row r="38229" hidden="1" x14ac:dyDescent="0.35"/>
    <row r="38230" hidden="1" x14ac:dyDescent="0.35"/>
    <row r="38231" hidden="1" x14ac:dyDescent="0.35"/>
    <row r="38232" hidden="1" x14ac:dyDescent="0.35"/>
    <row r="38233" hidden="1" x14ac:dyDescent="0.35"/>
    <row r="38234" hidden="1" x14ac:dyDescent="0.35"/>
    <row r="38235" hidden="1" x14ac:dyDescent="0.35"/>
    <row r="38236" hidden="1" x14ac:dyDescent="0.35"/>
    <row r="38237" hidden="1" x14ac:dyDescent="0.35"/>
    <row r="38238" hidden="1" x14ac:dyDescent="0.35"/>
    <row r="38239" hidden="1" x14ac:dyDescent="0.35"/>
    <row r="38240" hidden="1" x14ac:dyDescent="0.35"/>
    <row r="38241" hidden="1" x14ac:dyDescent="0.35"/>
    <row r="38242" hidden="1" x14ac:dyDescent="0.35"/>
    <row r="38243" hidden="1" x14ac:dyDescent="0.35"/>
    <row r="38244" hidden="1" x14ac:dyDescent="0.35"/>
    <row r="38245" hidden="1" x14ac:dyDescent="0.35"/>
    <row r="38246" hidden="1" x14ac:dyDescent="0.35"/>
    <row r="38247" hidden="1" x14ac:dyDescent="0.35"/>
    <row r="38248" hidden="1" x14ac:dyDescent="0.35"/>
    <row r="38249" hidden="1" x14ac:dyDescent="0.35"/>
    <row r="38250" hidden="1" x14ac:dyDescent="0.35"/>
    <row r="38251" hidden="1" x14ac:dyDescent="0.35"/>
    <row r="38252" hidden="1" x14ac:dyDescent="0.35"/>
    <row r="38253" hidden="1" x14ac:dyDescent="0.35"/>
    <row r="38254" hidden="1" x14ac:dyDescent="0.35"/>
    <row r="38255" hidden="1" x14ac:dyDescent="0.35"/>
    <row r="38256" hidden="1" x14ac:dyDescent="0.35"/>
    <row r="38257" hidden="1" x14ac:dyDescent="0.35"/>
    <row r="38258" hidden="1" x14ac:dyDescent="0.35"/>
    <row r="38259" hidden="1" x14ac:dyDescent="0.35"/>
    <row r="38260" hidden="1" x14ac:dyDescent="0.35"/>
    <row r="38261" hidden="1" x14ac:dyDescent="0.35"/>
    <row r="38262" hidden="1" x14ac:dyDescent="0.35"/>
    <row r="38263" hidden="1" x14ac:dyDescent="0.35"/>
    <row r="38264" hidden="1" x14ac:dyDescent="0.35"/>
    <row r="38265" hidden="1" x14ac:dyDescent="0.35"/>
    <row r="38266" hidden="1" x14ac:dyDescent="0.35"/>
    <row r="38267" hidden="1" x14ac:dyDescent="0.35"/>
    <row r="38268" hidden="1" x14ac:dyDescent="0.35"/>
    <row r="38269" hidden="1" x14ac:dyDescent="0.35"/>
    <row r="38270" hidden="1" x14ac:dyDescent="0.35"/>
    <row r="38271" hidden="1" x14ac:dyDescent="0.35"/>
    <row r="38272" hidden="1" x14ac:dyDescent="0.35"/>
    <row r="38273" hidden="1" x14ac:dyDescent="0.35"/>
    <row r="38274" hidden="1" x14ac:dyDescent="0.35"/>
    <row r="38275" hidden="1" x14ac:dyDescent="0.35"/>
    <row r="38276" hidden="1" x14ac:dyDescent="0.35"/>
    <row r="38277" hidden="1" x14ac:dyDescent="0.35"/>
    <row r="38278" hidden="1" x14ac:dyDescent="0.35"/>
    <row r="38279" hidden="1" x14ac:dyDescent="0.35"/>
    <row r="38280" hidden="1" x14ac:dyDescent="0.35"/>
    <row r="38281" hidden="1" x14ac:dyDescent="0.35"/>
    <row r="38282" hidden="1" x14ac:dyDescent="0.35"/>
    <row r="38283" hidden="1" x14ac:dyDescent="0.35"/>
    <row r="38284" hidden="1" x14ac:dyDescent="0.35"/>
    <row r="38285" hidden="1" x14ac:dyDescent="0.35"/>
    <row r="38286" hidden="1" x14ac:dyDescent="0.35"/>
    <row r="38287" hidden="1" x14ac:dyDescent="0.35"/>
    <row r="38288" hidden="1" x14ac:dyDescent="0.35"/>
    <row r="38289" hidden="1" x14ac:dyDescent="0.35"/>
    <row r="38290" hidden="1" x14ac:dyDescent="0.35"/>
    <row r="38291" hidden="1" x14ac:dyDescent="0.35"/>
    <row r="38292" hidden="1" x14ac:dyDescent="0.35"/>
    <row r="38293" hidden="1" x14ac:dyDescent="0.35"/>
    <row r="38294" hidden="1" x14ac:dyDescent="0.35"/>
    <row r="38295" hidden="1" x14ac:dyDescent="0.35"/>
    <row r="38296" hidden="1" x14ac:dyDescent="0.35"/>
    <row r="38297" hidden="1" x14ac:dyDescent="0.35"/>
    <row r="38298" hidden="1" x14ac:dyDescent="0.35"/>
    <row r="38299" hidden="1" x14ac:dyDescent="0.35"/>
    <row r="38300" hidden="1" x14ac:dyDescent="0.35"/>
    <row r="38301" hidden="1" x14ac:dyDescent="0.35"/>
    <row r="38302" hidden="1" x14ac:dyDescent="0.35"/>
    <row r="38303" hidden="1" x14ac:dyDescent="0.35"/>
    <row r="38304" hidden="1" x14ac:dyDescent="0.35"/>
    <row r="38305" hidden="1" x14ac:dyDescent="0.35"/>
    <row r="38306" hidden="1" x14ac:dyDescent="0.35"/>
    <row r="38307" hidden="1" x14ac:dyDescent="0.35"/>
    <row r="38308" hidden="1" x14ac:dyDescent="0.35"/>
    <row r="38309" hidden="1" x14ac:dyDescent="0.35"/>
    <row r="38310" hidden="1" x14ac:dyDescent="0.35"/>
    <row r="38311" hidden="1" x14ac:dyDescent="0.35"/>
    <row r="38312" hidden="1" x14ac:dyDescent="0.35"/>
    <row r="38313" hidden="1" x14ac:dyDescent="0.35"/>
    <row r="38314" hidden="1" x14ac:dyDescent="0.35"/>
    <row r="38315" hidden="1" x14ac:dyDescent="0.35"/>
    <row r="38316" hidden="1" x14ac:dyDescent="0.35"/>
    <row r="38317" hidden="1" x14ac:dyDescent="0.35"/>
    <row r="38318" hidden="1" x14ac:dyDescent="0.35"/>
    <row r="38319" hidden="1" x14ac:dyDescent="0.35"/>
    <row r="38320" hidden="1" x14ac:dyDescent="0.35"/>
    <row r="38321" hidden="1" x14ac:dyDescent="0.35"/>
    <row r="38322" hidden="1" x14ac:dyDescent="0.35"/>
    <row r="38323" hidden="1" x14ac:dyDescent="0.35"/>
    <row r="38324" hidden="1" x14ac:dyDescent="0.35"/>
    <row r="38325" hidden="1" x14ac:dyDescent="0.35"/>
    <row r="38326" hidden="1" x14ac:dyDescent="0.35"/>
    <row r="38327" hidden="1" x14ac:dyDescent="0.35"/>
    <row r="38328" hidden="1" x14ac:dyDescent="0.35"/>
    <row r="38329" hidden="1" x14ac:dyDescent="0.35"/>
    <row r="38330" hidden="1" x14ac:dyDescent="0.35"/>
    <row r="38331" hidden="1" x14ac:dyDescent="0.35"/>
    <row r="38332" hidden="1" x14ac:dyDescent="0.35"/>
    <row r="38333" hidden="1" x14ac:dyDescent="0.35"/>
    <row r="38334" hidden="1" x14ac:dyDescent="0.35"/>
    <row r="38335" hidden="1" x14ac:dyDescent="0.35"/>
    <row r="38336" hidden="1" x14ac:dyDescent="0.35"/>
    <row r="38337" hidden="1" x14ac:dyDescent="0.35"/>
    <row r="38338" hidden="1" x14ac:dyDescent="0.35"/>
    <row r="38339" hidden="1" x14ac:dyDescent="0.35"/>
    <row r="38340" hidden="1" x14ac:dyDescent="0.35"/>
    <row r="38341" hidden="1" x14ac:dyDescent="0.35"/>
    <row r="38342" hidden="1" x14ac:dyDescent="0.35"/>
    <row r="38343" hidden="1" x14ac:dyDescent="0.35"/>
    <row r="38344" hidden="1" x14ac:dyDescent="0.35"/>
    <row r="38345" hidden="1" x14ac:dyDescent="0.35"/>
    <row r="38346" hidden="1" x14ac:dyDescent="0.35"/>
    <row r="38347" hidden="1" x14ac:dyDescent="0.35"/>
    <row r="38348" hidden="1" x14ac:dyDescent="0.35"/>
    <row r="38349" hidden="1" x14ac:dyDescent="0.35"/>
    <row r="38350" hidden="1" x14ac:dyDescent="0.35"/>
    <row r="38351" hidden="1" x14ac:dyDescent="0.35"/>
    <row r="38352" hidden="1" x14ac:dyDescent="0.35"/>
    <row r="38353" hidden="1" x14ac:dyDescent="0.35"/>
    <row r="38354" hidden="1" x14ac:dyDescent="0.35"/>
    <row r="38355" hidden="1" x14ac:dyDescent="0.35"/>
    <row r="38356" hidden="1" x14ac:dyDescent="0.35"/>
    <row r="38357" hidden="1" x14ac:dyDescent="0.35"/>
    <row r="38358" hidden="1" x14ac:dyDescent="0.35"/>
    <row r="38359" hidden="1" x14ac:dyDescent="0.35"/>
    <row r="38360" hidden="1" x14ac:dyDescent="0.35"/>
    <row r="38361" hidden="1" x14ac:dyDescent="0.35"/>
    <row r="38362" hidden="1" x14ac:dyDescent="0.35"/>
    <row r="38363" hidden="1" x14ac:dyDescent="0.35"/>
    <row r="38364" hidden="1" x14ac:dyDescent="0.35"/>
    <row r="38365" hidden="1" x14ac:dyDescent="0.35"/>
    <row r="38366" hidden="1" x14ac:dyDescent="0.35"/>
    <row r="38367" hidden="1" x14ac:dyDescent="0.35"/>
    <row r="38368" hidden="1" x14ac:dyDescent="0.35"/>
    <row r="38369" hidden="1" x14ac:dyDescent="0.35"/>
    <row r="38370" hidden="1" x14ac:dyDescent="0.35"/>
    <row r="38371" hidden="1" x14ac:dyDescent="0.35"/>
    <row r="38372" hidden="1" x14ac:dyDescent="0.35"/>
    <row r="38373" hidden="1" x14ac:dyDescent="0.35"/>
    <row r="38374" hidden="1" x14ac:dyDescent="0.35"/>
    <row r="38375" hidden="1" x14ac:dyDescent="0.35"/>
    <row r="38376" hidden="1" x14ac:dyDescent="0.35"/>
    <row r="38377" hidden="1" x14ac:dyDescent="0.35"/>
    <row r="38378" hidden="1" x14ac:dyDescent="0.35"/>
    <row r="38379" hidden="1" x14ac:dyDescent="0.35"/>
    <row r="38380" hidden="1" x14ac:dyDescent="0.35"/>
    <row r="38381" hidden="1" x14ac:dyDescent="0.35"/>
    <row r="38382" hidden="1" x14ac:dyDescent="0.35"/>
    <row r="38383" hidden="1" x14ac:dyDescent="0.35"/>
    <row r="38384" hidden="1" x14ac:dyDescent="0.35"/>
    <row r="38385" hidden="1" x14ac:dyDescent="0.35"/>
    <row r="38386" hidden="1" x14ac:dyDescent="0.35"/>
    <row r="38387" hidden="1" x14ac:dyDescent="0.35"/>
    <row r="38388" hidden="1" x14ac:dyDescent="0.35"/>
    <row r="38389" hidden="1" x14ac:dyDescent="0.35"/>
    <row r="38390" hidden="1" x14ac:dyDescent="0.35"/>
    <row r="38391" hidden="1" x14ac:dyDescent="0.35"/>
    <row r="38392" hidden="1" x14ac:dyDescent="0.35"/>
    <row r="38393" hidden="1" x14ac:dyDescent="0.35"/>
    <row r="38394" hidden="1" x14ac:dyDescent="0.35"/>
    <row r="38395" hidden="1" x14ac:dyDescent="0.35"/>
    <row r="38396" hidden="1" x14ac:dyDescent="0.35"/>
    <row r="38397" hidden="1" x14ac:dyDescent="0.35"/>
    <row r="38398" hidden="1" x14ac:dyDescent="0.35"/>
    <row r="38399" hidden="1" x14ac:dyDescent="0.35"/>
    <row r="38400" hidden="1" x14ac:dyDescent="0.35"/>
    <row r="38401" hidden="1" x14ac:dyDescent="0.35"/>
    <row r="38402" hidden="1" x14ac:dyDescent="0.35"/>
    <row r="38403" hidden="1" x14ac:dyDescent="0.35"/>
    <row r="38404" hidden="1" x14ac:dyDescent="0.35"/>
    <row r="38405" hidden="1" x14ac:dyDescent="0.35"/>
    <row r="38406" hidden="1" x14ac:dyDescent="0.35"/>
    <row r="38407" hidden="1" x14ac:dyDescent="0.35"/>
    <row r="38408" hidden="1" x14ac:dyDescent="0.35"/>
    <row r="38409" hidden="1" x14ac:dyDescent="0.35"/>
    <row r="38410" hidden="1" x14ac:dyDescent="0.35"/>
    <row r="38411" hidden="1" x14ac:dyDescent="0.35"/>
    <row r="38412" hidden="1" x14ac:dyDescent="0.35"/>
    <row r="38413" hidden="1" x14ac:dyDescent="0.35"/>
    <row r="38414" hidden="1" x14ac:dyDescent="0.35"/>
    <row r="38415" hidden="1" x14ac:dyDescent="0.35"/>
    <row r="38416" hidden="1" x14ac:dyDescent="0.35"/>
    <row r="38417" hidden="1" x14ac:dyDescent="0.35"/>
    <row r="38418" hidden="1" x14ac:dyDescent="0.35"/>
    <row r="38419" hidden="1" x14ac:dyDescent="0.35"/>
    <row r="38420" hidden="1" x14ac:dyDescent="0.35"/>
    <row r="38421" hidden="1" x14ac:dyDescent="0.35"/>
    <row r="38422" hidden="1" x14ac:dyDescent="0.35"/>
    <row r="38423" hidden="1" x14ac:dyDescent="0.35"/>
    <row r="38424" hidden="1" x14ac:dyDescent="0.35"/>
    <row r="38425" hidden="1" x14ac:dyDescent="0.35"/>
    <row r="38426" hidden="1" x14ac:dyDescent="0.35"/>
    <row r="38427" hidden="1" x14ac:dyDescent="0.35"/>
    <row r="38428" hidden="1" x14ac:dyDescent="0.35"/>
    <row r="38429" hidden="1" x14ac:dyDescent="0.35"/>
    <row r="38430" hidden="1" x14ac:dyDescent="0.35"/>
    <row r="38431" hidden="1" x14ac:dyDescent="0.35"/>
    <row r="38432" hidden="1" x14ac:dyDescent="0.35"/>
    <row r="38433" hidden="1" x14ac:dyDescent="0.35"/>
    <row r="38434" hidden="1" x14ac:dyDescent="0.35"/>
    <row r="38435" hidden="1" x14ac:dyDescent="0.35"/>
    <row r="38436" hidden="1" x14ac:dyDescent="0.35"/>
    <row r="38437" hidden="1" x14ac:dyDescent="0.35"/>
    <row r="38438" hidden="1" x14ac:dyDescent="0.35"/>
    <row r="38439" hidden="1" x14ac:dyDescent="0.35"/>
    <row r="38440" hidden="1" x14ac:dyDescent="0.35"/>
    <row r="38441" hidden="1" x14ac:dyDescent="0.35"/>
    <row r="38442" hidden="1" x14ac:dyDescent="0.35"/>
    <row r="38443" hidden="1" x14ac:dyDescent="0.35"/>
    <row r="38444" hidden="1" x14ac:dyDescent="0.35"/>
    <row r="38445" hidden="1" x14ac:dyDescent="0.35"/>
    <row r="38446" hidden="1" x14ac:dyDescent="0.35"/>
    <row r="38447" hidden="1" x14ac:dyDescent="0.35"/>
    <row r="38448" hidden="1" x14ac:dyDescent="0.35"/>
    <row r="38449" hidden="1" x14ac:dyDescent="0.35"/>
    <row r="38450" hidden="1" x14ac:dyDescent="0.35"/>
    <row r="38451" hidden="1" x14ac:dyDescent="0.35"/>
    <row r="38452" hidden="1" x14ac:dyDescent="0.35"/>
    <row r="38453" hidden="1" x14ac:dyDescent="0.35"/>
    <row r="38454" hidden="1" x14ac:dyDescent="0.35"/>
    <row r="38455" hidden="1" x14ac:dyDescent="0.35"/>
    <row r="38456" hidden="1" x14ac:dyDescent="0.35"/>
    <row r="38457" hidden="1" x14ac:dyDescent="0.35"/>
    <row r="38458" hidden="1" x14ac:dyDescent="0.35"/>
    <row r="38459" hidden="1" x14ac:dyDescent="0.35"/>
    <row r="38460" hidden="1" x14ac:dyDescent="0.35"/>
    <row r="38461" hidden="1" x14ac:dyDescent="0.35"/>
    <row r="38462" hidden="1" x14ac:dyDescent="0.35"/>
    <row r="38463" hidden="1" x14ac:dyDescent="0.35"/>
    <row r="38464" hidden="1" x14ac:dyDescent="0.35"/>
    <row r="38465" hidden="1" x14ac:dyDescent="0.35"/>
    <row r="38466" hidden="1" x14ac:dyDescent="0.35"/>
    <row r="38467" hidden="1" x14ac:dyDescent="0.35"/>
    <row r="38468" hidden="1" x14ac:dyDescent="0.35"/>
    <row r="38469" hidden="1" x14ac:dyDescent="0.35"/>
    <row r="38470" hidden="1" x14ac:dyDescent="0.35"/>
    <row r="38471" hidden="1" x14ac:dyDescent="0.35"/>
    <row r="38472" hidden="1" x14ac:dyDescent="0.35"/>
    <row r="38473" hidden="1" x14ac:dyDescent="0.35"/>
    <row r="38474" hidden="1" x14ac:dyDescent="0.35"/>
    <row r="38475" hidden="1" x14ac:dyDescent="0.35"/>
    <row r="38476" hidden="1" x14ac:dyDescent="0.35"/>
    <row r="38477" hidden="1" x14ac:dyDescent="0.35"/>
    <row r="38478" hidden="1" x14ac:dyDescent="0.35"/>
    <row r="38479" hidden="1" x14ac:dyDescent="0.35"/>
    <row r="38480" hidden="1" x14ac:dyDescent="0.35"/>
    <row r="38481" hidden="1" x14ac:dyDescent="0.35"/>
    <row r="38482" hidden="1" x14ac:dyDescent="0.35"/>
    <row r="38483" hidden="1" x14ac:dyDescent="0.35"/>
    <row r="38484" hidden="1" x14ac:dyDescent="0.35"/>
    <row r="38485" hidden="1" x14ac:dyDescent="0.35"/>
    <row r="38486" hidden="1" x14ac:dyDescent="0.35"/>
    <row r="38487" hidden="1" x14ac:dyDescent="0.35"/>
    <row r="38488" hidden="1" x14ac:dyDescent="0.35"/>
    <row r="38489" hidden="1" x14ac:dyDescent="0.35"/>
    <row r="38490" hidden="1" x14ac:dyDescent="0.35"/>
    <row r="38491" hidden="1" x14ac:dyDescent="0.35"/>
    <row r="38492" hidden="1" x14ac:dyDescent="0.35"/>
    <row r="38493" hidden="1" x14ac:dyDescent="0.35"/>
    <row r="38494" hidden="1" x14ac:dyDescent="0.35"/>
    <row r="38495" hidden="1" x14ac:dyDescent="0.35"/>
    <row r="38496" hidden="1" x14ac:dyDescent="0.35"/>
    <row r="38497" hidden="1" x14ac:dyDescent="0.35"/>
    <row r="38498" hidden="1" x14ac:dyDescent="0.35"/>
    <row r="38499" hidden="1" x14ac:dyDescent="0.35"/>
    <row r="38500" hidden="1" x14ac:dyDescent="0.35"/>
    <row r="38501" hidden="1" x14ac:dyDescent="0.35"/>
    <row r="38502" hidden="1" x14ac:dyDescent="0.35"/>
    <row r="38503" hidden="1" x14ac:dyDescent="0.35"/>
    <row r="38504" hidden="1" x14ac:dyDescent="0.35"/>
    <row r="38505" hidden="1" x14ac:dyDescent="0.35"/>
    <row r="38506" hidden="1" x14ac:dyDescent="0.35"/>
    <row r="38507" hidden="1" x14ac:dyDescent="0.35"/>
    <row r="38508" hidden="1" x14ac:dyDescent="0.35"/>
    <row r="38509" hidden="1" x14ac:dyDescent="0.35"/>
    <row r="38510" hidden="1" x14ac:dyDescent="0.35"/>
    <row r="38511" hidden="1" x14ac:dyDescent="0.35"/>
    <row r="38512" hidden="1" x14ac:dyDescent="0.35"/>
    <row r="38513" hidden="1" x14ac:dyDescent="0.35"/>
    <row r="38514" hidden="1" x14ac:dyDescent="0.35"/>
    <row r="38515" hidden="1" x14ac:dyDescent="0.35"/>
    <row r="38516" hidden="1" x14ac:dyDescent="0.35"/>
    <row r="38517" hidden="1" x14ac:dyDescent="0.35"/>
    <row r="38518" hidden="1" x14ac:dyDescent="0.35"/>
    <row r="38519" hidden="1" x14ac:dyDescent="0.35"/>
    <row r="38520" hidden="1" x14ac:dyDescent="0.35"/>
    <row r="38521" hidden="1" x14ac:dyDescent="0.35"/>
    <row r="38522" hidden="1" x14ac:dyDescent="0.35"/>
    <row r="38523" hidden="1" x14ac:dyDescent="0.35"/>
    <row r="38524" hidden="1" x14ac:dyDescent="0.35"/>
    <row r="38525" hidden="1" x14ac:dyDescent="0.35"/>
    <row r="38526" hidden="1" x14ac:dyDescent="0.35"/>
    <row r="38527" hidden="1" x14ac:dyDescent="0.35"/>
    <row r="38528" hidden="1" x14ac:dyDescent="0.35"/>
    <row r="38529" hidden="1" x14ac:dyDescent="0.35"/>
    <row r="38530" hidden="1" x14ac:dyDescent="0.35"/>
    <row r="38531" hidden="1" x14ac:dyDescent="0.35"/>
    <row r="38532" hidden="1" x14ac:dyDescent="0.35"/>
    <row r="38533" hidden="1" x14ac:dyDescent="0.35"/>
    <row r="38534" hidden="1" x14ac:dyDescent="0.35"/>
    <row r="38535" hidden="1" x14ac:dyDescent="0.35"/>
    <row r="38536" hidden="1" x14ac:dyDescent="0.35"/>
    <row r="38537" hidden="1" x14ac:dyDescent="0.35"/>
    <row r="38538" hidden="1" x14ac:dyDescent="0.35"/>
    <row r="38539" hidden="1" x14ac:dyDescent="0.35"/>
    <row r="38540" hidden="1" x14ac:dyDescent="0.35"/>
    <row r="38541" hidden="1" x14ac:dyDescent="0.35"/>
    <row r="38542" hidden="1" x14ac:dyDescent="0.35"/>
    <row r="38543" hidden="1" x14ac:dyDescent="0.35"/>
    <row r="38544" hidden="1" x14ac:dyDescent="0.35"/>
    <row r="38545" hidden="1" x14ac:dyDescent="0.35"/>
    <row r="38546" hidden="1" x14ac:dyDescent="0.35"/>
    <row r="38547" hidden="1" x14ac:dyDescent="0.35"/>
    <row r="38548" hidden="1" x14ac:dyDescent="0.35"/>
    <row r="38549" hidden="1" x14ac:dyDescent="0.35"/>
    <row r="38550" hidden="1" x14ac:dyDescent="0.35"/>
    <row r="38551" hidden="1" x14ac:dyDescent="0.35"/>
    <row r="38552" hidden="1" x14ac:dyDescent="0.35"/>
    <row r="38553" hidden="1" x14ac:dyDescent="0.35"/>
    <row r="38554" hidden="1" x14ac:dyDescent="0.35"/>
    <row r="38555" hidden="1" x14ac:dyDescent="0.35"/>
    <row r="38556" hidden="1" x14ac:dyDescent="0.35"/>
    <row r="38557" hidden="1" x14ac:dyDescent="0.35"/>
    <row r="38558" hidden="1" x14ac:dyDescent="0.35"/>
    <row r="38559" hidden="1" x14ac:dyDescent="0.35"/>
    <row r="38560" hidden="1" x14ac:dyDescent="0.35"/>
    <row r="38561" hidden="1" x14ac:dyDescent="0.35"/>
    <row r="38562" hidden="1" x14ac:dyDescent="0.35"/>
    <row r="38563" hidden="1" x14ac:dyDescent="0.35"/>
    <row r="38564" hidden="1" x14ac:dyDescent="0.35"/>
    <row r="38565" hidden="1" x14ac:dyDescent="0.35"/>
    <row r="38566" hidden="1" x14ac:dyDescent="0.35"/>
    <row r="38567" hidden="1" x14ac:dyDescent="0.35"/>
    <row r="38568" hidden="1" x14ac:dyDescent="0.35"/>
    <row r="38569" hidden="1" x14ac:dyDescent="0.35"/>
    <row r="38570" hidden="1" x14ac:dyDescent="0.35"/>
    <row r="38571" hidden="1" x14ac:dyDescent="0.35"/>
    <row r="38572" hidden="1" x14ac:dyDescent="0.35"/>
    <row r="38573" hidden="1" x14ac:dyDescent="0.35"/>
    <row r="38574" hidden="1" x14ac:dyDescent="0.35"/>
    <row r="38575" hidden="1" x14ac:dyDescent="0.35"/>
    <row r="38576" hidden="1" x14ac:dyDescent="0.35"/>
    <row r="38577" hidden="1" x14ac:dyDescent="0.35"/>
    <row r="38578" hidden="1" x14ac:dyDescent="0.35"/>
    <row r="38579" hidden="1" x14ac:dyDescent="0.35"/>
    <row r="38580" hidden="1" x14ac:dyDescent="0.35"/>
    <row r="38581" hidden="1" x14ac:dyDescent="0.35"/>
    <row r="38582" hidden="1" x14ac:dyDescent="0.35"/>
    <row r="38583" hidden="1" x14ac:dyDescent="0.35"/>
    <row r="38584" hidden="1" x14ac:dyDescent="0.35"/>
    <row r="38585" hidden="1" x14ac:dyDescent="0.35"/>
    <row r="38586" hidden="1" x14ac:dyDescent="0.35"/>
    <row r="38587" hidden="1" x14ac:dyDescent="0.35"/>
    <row r="38588" hidden="1" x14ac:dyDescent="0.35"/>
    <row r="38589" hidden="1" x14ac:dyDescent="0.35"/>
    <row r="38590" hidden="1" x14ac:dyDescent="0.35"/>
    <row r="38591" hidden="1" x14ac:dyDescent="0.35"/>
    <row r="38592" hidden="1" x14ac:dyDescent="0.35"/>
    <row r="38593" hidden="1" x14ac:dyDescent="0.35"/>
    <row r="38594" hidden="1" x14ac:dyDescent="0.35"/>
    <row r="38595" hidden="1" x14ac:dyDescent="0.35"/>
    <row r="38596" hidden="1" x14ac:dyDescent="0.35"/>
    <row r="38597" hidden="1" x14ac:dyDescent="0.35"/>
    <row r="38598" hidden="1" x14ac:dyDescent="0.35"/>
    <row r="38599" hidden="1" x14ac:dyDescent="0.35"/>
    <row r="38600" hidden="1" x14ac:dyDescent="0.35"/>
    <row r="38601" hidden="1" x14ac:dyDescent="0.35"/>
    <row r="38602" hidden="1" x14ac:dyDescent="0.35"/>
    <row r="38603" hidden="1" x14ac:dyDescent="0.35"/>
    <row r="38604" hidden="1" x14ac:dyDescent="0.35"/>
    <row r="38605" hidden="1" x14ac:dyDescent="0.35"/>
    <row r="38606" hidden="1" x14ac:dyDescent="0.35"/>
    <row r="38607" hidden="1" x14ac:dyDescent="0.35"/>
    <row r="38608" hidden="1" x14ac:dyDescent="0.35"/>
    <row r="38609" hidden="1" x14ac:dyDescent="0.35"/>
    <row r="38610" hidden="1" x14ac:dyDescent="0.35"/>
    <row r="38611" hidden="1" x14ac:dyDescent="0.35"/>
    <row r="38612" hidden="1" x14ac:dyDescent="0.35"/>
    <row r="38613" hidden="1" x14ac:dyDescent="0.35"/>
    <row r="38614" hidden="1" x14ac:dyDescent="0.35"/>
    <row r="38615" hidden="1" x14ac:dyDescent="0.35"/>
    <row r="38616" hidden="1" x14ac:dyDescent="0.35"/>
    <row r="38617" hidden="1" x14ac:dyDescent="0.35"/>
    <row r="38618" hidden="1" x14ac:dyDescent="0.35"/>
    <row r="38619" hidden="1" x14ac:dyDescent="0.35"/>
    <row r="38620" hidden="1" x14ac:dyDescent="0.35"/>
    <row r="38621" hidden="1" x14ac:dyDescent="0.35"/>
    <row r="38622" hidden="1" x14ac:dyDescent="0.35"/>
    <row r="38623" hidden="1" x14ac:dyDescent="0.35"/>
    <row r="38624" hidden="1" x14ac:dyDescent="0.35"/>
    <row r="38625" hidden="1" x14ac:dyDescent="0.35"/>
    <row r="38626" hidden="1" x14ac:dyDescent="0.35"/>
    <row r="38627" hidden="1" x14ac:dyDescent="0.35"/>
    <row r="38628" hidden="1" x14ac:dyDescent="0.35"/>
    <row r="38629" hidden="1" x14ac:dyDescent="0.35"/>
    <row r="38630" hidden="1" x14ac:dyDescent="0.35"/>
    <row r="38631" hidden="1" x14ac:dyDescent="0.35"/>
    <row r="38632" hidden="1" x14ac:dyDescent="0.35"/>
    <row r="38633" hidden="1" x14ac:dyDescent="0.35"/>
    <row r="38634" hidden="1" x14ac:dyDescent="0.35"/>
    <row r="38635" hidden="1" x14ac:dyDescent="0.35"/>
    <row r="38636" hidden="1" x14ac:dyDescent="0.35"/>
    <row r="38637" hidden="1" x14ac:dyDescent="0.35"/>
    <row r="38638" hidden="1" x14ac:dyDescent="0.35"/>
    <row r="38639" hidden="1" x14ac:dyDescent="0.35"/>
    <row r="38640" hidden="1" x14ac:dyDescent="0.35"/>
    <row r="38641" hidden="1" x14ac:dyDescent="0.35"/>
    <row r="38642" hidden="1" x14ac:dyDescent="0.35"/>
    <row r="38643" hidden="1" x14ac:dyDescent="0.35"/>
    <row r="38644" hidden="1" x14ac:dyDescent="0.35"/>
    <row r="38645" hidden="1" x14ac:dyDescent="0.35"/>
    <row r="38646" hidden="1" x14ac:dyDescent="0.35"/>
    <row r="38647" hidden="1" x14ac:dyDescent="0.35"/>
    <row r="38648" hidden="1" x14ac:dyDescent="0.35"/>
    <row r="38649" hidden="1" x14ac:dyDescent="0.35"/>
    <row r="38650" hidden="1" x14ac:dyDescent="0.35"/>
    <row r="38651" hidden="1" x14ac:dyDescent="0.35"/>
    <row r="38652" hidden="1" x14ac:dyDescent="0.35"/>
    <row r="38653" hidden="1" x14ac:dyDescent="0.35"/>
    <row r="38654" hidden="1" x14ac:dyDescent="0.35"/>
    <row r="38655" hidden="1" x14ac:dyDescent="0.35"/>
    <row r="38656" hidden="1" x14ac:dyDescent="0.35"/>
    <row r="38657" hidden="1" x14ac:dyDescent="0.35"/>
    <row r="38658" hidden="1" x14ac:dyDescent="0.35"/>
    <row r="38659" hidden="1" x14ac:dyDescent="0.35"/>
    <row r="38660" hidden="1" x14ac:dyDescent="0.35"/>
    <row r="38661" hidden="1" x14ac:dyDescent="0.35"/>
    <row r="38662" hidden="1" x14ac:dyDescent="0.35"/>
    <row r="38663" hidden="1" x14ac:dyDescent="0.35"/>
    <row r="38664" hidden="1" x14ac:dyDescent="0.35"/>
    <row r="38665" hidden="1" x14ac:dyDescent="0.35"/>
    <row r="38666" hidden="1" x14ac:dyDescent="0.35"/>
    <row r="38667" hidden="1" x14ac:dyDescent="0.35"/>
    <row r="38668" hidden="1" x14ac:dyDescent="0.35"/>
    <row r="38669" hidden="1" x14ac:dyDescent="0.35"/>
    <row r="38670" hidden="1" x14ac:dyDescent="0.35"/>
    <row r="38671" hidden="1" x14ac:dyDescent="0.35"/>
    <row r="38672" hidden="1" x14ac:dyDescent="0.35"/>
    <row r="38673" hidden="1" x14ac:dyDescent="0.35"/>
    <row r="38674" hidden="1" x14ac:dyDescent="0.35"/>
    <row r="38675" hidden="1" x14ac:dyDescent="0.35"/>
    <row r="38676" hidden="1" x14ac:dyDescent="0.35"/>
    <row r="38677" hidden="1" x14ac:dyDescent="0.35"/>
    <row r="38678" hidden="1" x14ac:dyDescent="0.35"/>
    <row r="38679" hidden="1" x14ac:dyDescent="0.35"/>
    <row r="38680" hidden="1" x14ac:dyDescent="0.35"/>
    <row r="38681" hidden="1" x14ac:dyDescent="0.35"/>
    <row r="38682" hidden="1" x14ac:dyDescent="0.35"/>
    <row r="38683" hidden="1" x14ac:dyDescent="0.35"/>
    <row r="38684" hidden="1" x14ac:dyDescent="0.35"/>
    <row r="38685" hidden="1" x14ac:dyDescent="0.35"/>
    <row r="38686" hidden="1" x14ac:dyDescent="0.35"/>
    <row r="38687" hidden="1" x14ac:dyDescent="0.35"/>
    <row r="38688" hidden="1" x14ac:dyDescent="0.35"/>
    <row r="38689" hidden="1" x14ac:dyDescent="0.35"/>
    <row r="38690" hidden="1" x14ac:dyDescent="0.35"/>
    <row r="38691" hidden="1" x14ac:dyDescent="0.35"/>
    <row r="38692" hidden="1" x14ac:dyDescent="0.35"/>
    <row r="38693" hidden="1" x14ac:dyDescent="0.35"/>
    <row r="38694" hidden="1" x14ac:dyDescent="0.35"/>
    <row r="38695" hidden="1" x14ac:dyDescent="0.35"/>
    <row r="38696" hidden="1" x14ac:dyDescent="0.35"/>
    <row r="38697" hidden="1" x14ac:dyDescent="0.35"/>
    <row r="38698" hidden="1" x14ac:dyDescent="0.35"/>
    <row r="38699" hidden="1" x14ac:dyDescent="0.35"/>
    <row r="38700" hidden="1" x14ac:dyDescent="0.35"/>
    <row r="38701" hidden="1" x14ac:dyDescent="0.35"/>
    <row r="38702" hidden="1" x14ac:dyDescent="0.35"/>
    <row r="38703" hidden="1" x14ac:dyDescent="0.35"/>
    <row r="38704" hidden="1" x14ac:dyDescent="0.35"/>
    <row r="38705" hidden="1" x14ac:dyDescent="0.35"/>
    <row r="38706" hidden="1" x14ac:dyDescent="0.35"/>
    <row r="38707" hidden="1" x14ac:dyDescent="0.35"/>
    <row r="38708" hidden="1" x14ac:dyDescent="0.35"/>
    <row r="38709" hidden="1" x14ac:dyDescent="0.35"/>
    <row r="38710" hidden="1" x14ac:dyDescent="0.35"/>
    <row r="38711" hidden="1" x14ac:dyDescent="0.35"/>
    <row r="38712" hidden="1" x14ac:dyDescent="0.35"/>
    <row r="38713" hidden="1" x14ac:dyDescent="0.35"/>
    <row r="38714" hidden="1" x14ac:dyDescent="0.35"/>
    <row r="38715" hidden="1" x14ac:dyDescent="0.35"/>
    <row r="38716" hidden="1" x14ac:dyDescent="0.35"/>
    <row r="38717" hidden="1" x14ac:dyDescent="0.35"/>
    <row r="38718" hidden="1" x14ac:dyDescent="0.35"/>
    <row r="38719" hidden="1" x14ac:dyDescent="0.35"/>
    <row r="38720" hidden="1" x14ac:dyDescent="0.35"/>
    <row r="38721" hidden="1" x14ac:dyDescent="0.35"/>
    <row r="38722" hidden="1" x14ac:dyDescent="0.35"/>
    <row r="38723" hidden="1" x14ac:dyDescent="0.35"/>
    <row r="38724" hidden="1" x14ac:dyDescent="0.35"/>
    <row r="38725" hidden="1" x14ac:dyDescent="0.35"/>
    <row r="38726" hidden="1" x14ac:dyDescent="0.35"/>
    <row r="38727" hidden="1" x14ac:dyDescent="0.35"/>
    <row r="38728" hidden="1" x14ac:dyDescent="0.35"/>
    <row r="38729" hidden="1" x14ac:dyDescent="0.35"/>
    <row r="38730" hidden="1" x14ac:dyDescent="0.35"/>
    <row r="38731" hidden="1" x14ac:dyDescent="0.35"/>
    <row r="38732" hidden="1" x14ac:dyDescent="0.35"/>
    <row r="38733" hidden="1" x14ac:dyDescent="0.35"/>
    <row r="38734" hidden="1" x14ac:dyDescent="0.35"/>
    <row r="38735" hidden="1" x14ac:dyDescent="0.35"/>
    <row r="38736" hidden="1" x14ac:dyDescent="0.35"/>
    <row r="38737" hidden="1" x14ac:dyDescent="0.35"/>
    <row r="38738" hidden="1" x14ac:dyDescent="0.35"/>
    <row r="38739" hidden="1" x14ac:dyDescent="0.35"/>
    <row r="38740" hidden="1" x14ac:dyDescent="0.35"/>
    <row r="38741" hidden="1" x14ac:dyDescent="0.35"/>
    <row r="38742" hidden="1" x14ac:dyDescent="0.35"/>
    <row r="38743" hidden="1" x14ac:dyDescent="0.35"/>
    <row r="38744" hidden="1" x14ac:dyDescent="0.35"/>
    <row r="38745" hidden="1" x14ac:dyDescent="0.35"/>
    <row r="38746" hidden="1" x14ac:dyDescent="0.35"/>
    <row r="38747" hidden="1" x14ac:dyDescent="0.35"/>
    <row r="38748" hidden="1" x14ac:dyDescent="0.35"/>
    <row r="38749" hidden="1" x14ac:dyDescent="0.35"/>
    <row r="38750" hidden="1" x14ac:dyDescent="0.35"/>
    <row r="38751" hidden="1" x14ac:dyDescent="0.35"/>
    <row r="38752" hidden="1" x14ac:dyDescent="0.35"/>
    <row r="38753" hidden="1" x14ac:dyDescent="0.35"/>
    <row r="38754" hidden="1" x14ac:dyDescent="0.35"/>
    <row r="38755" hidden="1" x14ac:dyDescent="0.35"/>
    <row r="38756" hidden="1" x14ac:dyDescent="0.35"/>
    <row r="38757" hidden="1" x14ac:dyDescent="0.35"/>
    <row r="38758" hidden="1" x14ac:dyDescent="0.35"/>
    <row r="38759" hidden="1" x14ac:dyDescent="0.35"/>
    <row r="38760" hidden="1" x14ac:dyDescent="0.35"/>
    <row r="38761" hidden="1" x14ac:dyDescent="0.35"/>
    <row r="38762" hidden="1" x14ac:dyDescent="0.35"/>
    <row r="38763" hidden="1" x14ac:dyDescent="0.35"/>
    <row r="38764" hidden="1" x14ac:dyDescent="0.35"/>
    <row r="38765" hidden="1" x14ac:dyDescent="0.35"/>
    <row r="38766" hidden="1" x14ac:dyDescent="0.35"/>
    <row r="38767" hidden="1" x14ac:dyDescent="0.35"/>
    <row r="38768" hidden="1" x14ac:dyDescent="0.35"/>
    <row r="38769" hidden="1" x14ac:dyDescent="0.35"/>
    <row r="38770" hidden="1" x14ac:dyDescent="0.35"/>
    <row r="38771" hidden="1" x14ac:dyDescent="0.35"/>
    <row r="38772" hidden="1" x14ac:dyDescent="0.35"/>
    <row r="38773" hidden="1" x14ac:dyDescent="0.35"/>
    <row r="38774" hidden="1" x14ac:dyDescent="0.35"/>
    <row r="38775" hidden="1" x14ac:dyDescent="0.35"/>
    <row r="38776" hidden="1" x14ac:dyDescent="0.35"/>
    <row r="38777" hidden="1" x14ac:dyDescent="0.35"/>
    <row r="38778" hidden="1" x14ac:dyDescent="0.35"/>
    <row r="38779" hidden="1" x14ac:dyDescent="0.35"/>
    <row r="38780" hidden="1" x14ac:dyDescent="0.35"/>
    <row r="38781" hidden="1" x14ac:dyDescent="0.35"/>
    <row r="38782" hidden="1" x14ac:dyDescent="0.35"/>
    <row r="38783" hidden="1" x14ac:dyDescent="0.35"/>
    <row r="38784" hidden="1" x14ac:dyDescent="0.35"/>
    <row r="38785" hidden="1" x14ac:dyDescent="0.35"/>
    <row r="38786" hidden="1" x14ac:dyDescent="0.35"/>
    <row r="38787" hidden="1" x14ac:dyDescent="0.35"/>
    <row r="38788" hidden="1" x14ac:dyDescent="0.35"/>
    <row r="38789" hidden="1" x14ac:dyDescent="0.35"/>
    <row r="38790" hidden="1" x14ac:dyDescent="0.35"/>
    <row r="38791" hidden="1" x14ac:dyDescent="0.35"/>
    <row r="38792" hidden="1" x14ac:dyDescent="0.35"/>
    <row r="38793" hidden="1" x14ac:dyDescent="0.35"/>
    <row r="38794" hidden="1" x14ac:dyDescent="0.35"/>
    <row r="38795" hidden="1" x14ac:dyDescent="0.35"/>
    <row r="38796" hidden="1" x14ac:dyDescent="0.35"/>
    <row r="38797" hidden="1" x14ac:dyDescent="0.35"/>
    <row r="38798" hidden="1" x14ac:dyDescent="0.35"/>
    <row r="38799" hidden="1" x14ac:dyDescent="0.35"/>
    <row r="38800" hidden="1" x14ac:dyDescent="0.35"/>
    <row r="38801" hidden="1" x14ac:dyDescent="0.35"/>
    <row r="38802" hidden="1" x14ac:dyDescent="0.35"/>
    <row r="38803" hidden="1" x14ac:dyDescent="0.35"/>
    <row r="38804" hidden="1" x14ac:dyDescent="0.35"/>
    <row r="38805" hidden="1" x14ac:dyDescent="0.35"/>
    <row r="38806" hidden="1" x14ac:dyDescent="0.35"/>
    <row r="38807" hidden="1" x14ac:dyDescent="0.35"/>
    <row r="38808" hidden="1" x14ac:dyDescent="0.35"/>
    <row r="38809" hidden="1" x14ac:dyDescent="0.35"/>
    <row r="38810" hidden="1" x14ac:dyDescent="0.35"/>
    <row r="38811" hidden="1" x14ac:dyDescent="0.35"/>
    <row r="38812" hidden="1" x14ac:dyDescent="0.35"/>
    <row r="38813" hidden="1" x14ac:dyDescent="0.35"/>
    <row r="38814" hidden="1" x14ac:dyDescent="0.35"/>
    <row r="38815" hidden="1" x14ac:dyDescent="0.35"/>
    <row r="38816" hidden="1" x14ac:dyDescent="0.35"/>
    <row r="38817" hidden="1" x14ac:dyDescent="0.35"/>
    <row r="38818" hidden="1" x14ac:dyDescent="0.35"/>
    <row r="38819" hidden="1" x14ac:dyDescent="0.35"/>
    <row r="38820" hidden="1" x14ac:dyDescent="0.35"/>
    <row r="38821" hidden="1" x14ac:dyDescent="0.35"/>
    <row r="38822" hidden="1" x14ac:dyDescent="0.35"/>
    <row r="38823" hidden="1" x14ac:dyDescent="0.35"/>
    <row r="38824" hidden="1" x14ac:dyDescent="0.35"/>
    <row r="38825" hidden="1" x14ac:dyDescent="0.35"/>
    <row r="38826" hidden="1" x14ac:dyDescent="0.35"/>
    <row r="38827" hidden="1" x14ac:dyDescent="0.35"/>
    <row r="38828" hidden="1" x14ac:dyDescent="0.35"/>
    <row r="38829" hidden="1" x14ac:dyDescent="0.35"/>
    <row r="38830" hidden="1" x14ac:dyDescent="0.35"/>
    <row r="38831" hidden="1" x14ac:dyDescent="0.35"/>
    <row r="38832" hidden="1" x14ac:dyDescent="0.35"/>
    <row r="38833" hidden="1" x14ac:dyDescent="0.35"/>
    <row r="38834" hidden="1" x14ac:dyDescent="0.35"/>
    <row r="38835" hidden="1" x14ac:dyDescent="0.35"/>
    <row r="38836" hidden="1" x14ac:dyDescent="0.35"/>
    <row r="38837" hidden="1" x14ac:dyDescent="0.35"/>
    <row r="38838" hidden="1" x14ac:dyDescent="0.35"/>
    <row r="38839" hidden="1" x14ac:dyDescent="0.35"/>
    <row r="38840" hidden="1" x14ac:dyDescent="0.35"/>
    <row r="38841" hidden="1" x14ac:dyDescent="0.35"/>
    <row r="38842" hidden="1" x14ac:dyDescent="0.35"/>
    <row r="38843" hidden="1" x14ac:dyDescent="0.35"/>
    <row r="38844" hidden="1" x14ac:dyDescent="0.35"/>
    <row r="38845" hidden="1" x14ac:dyDescent="0.35"/>
    <row r="38846" hidden="1" x14ac:dyDescent="0.35"/>
    <row r="38847" hidden="1" x14ac:dyDescent="0.35"/>
    <row r="38848" hidden="1" x14ac:dyDescent="0.35"/>
    <row r="38849" hidden="1" x14ac:dyDescent="0.35"/>
    <row r="38850" hidden="1" x14ac:dyDescent="0.35"/>
    <row r="38851" hidden="1" x14ac:dyDescent="0.35"/>
    <row r="38852" hidden="1" x14ac:dyDescent="0.35"/>
    <row r="38853" hidden="1" x14ac:dyDescent="0.35"/>
    <row r="38854" hidden="1" x14ac:dyDescent="0.35"/>
    <row r="38855" hidden="1" x14ac:dyDescent="0.35"/>
    <row r="38856" hidden="1" x14ac:dyDescent="0.35"/>
    <row r="38857" hidden="1" x14ac:dyDescent="0.35"/>
    <row r="38858" hidden="1" x14ac:dyDescent="0.35"/>
    <row r="38859" hidden="1" x14ac:dyDescent="0.35"/>
    <row r="38860" hidden="1" x14ac:dyDescent="0.35"/>
    <row r="38861" hidden="1" x14ac:dyDescent="0.35"/>
    <row r="38862" hidden="1" x14ac:dyDescent="0.35"/>
    <row r="38863" hidden="1" x14ac:dyDescent="0.35"/>
    <row r="38864" hidden="1" x14ac:dyDescent="0.35"/>
    <row r="38865" hidden="1" x14ac:dyDescent="0.35"/>
    <row r="38866" hidden="1" x14ac:dyDescent="0.35"/>
    <row r="38867" hidden="1" x14ac:dyDescent="0.35"/>
    <row r="38868" hidden="1" x14ac:dyDescent="0.35"/>
    <row r="38869" hidden="1" x14ac:dyDescent="0.35"/>
    <row r="38870" hidden="1" x14ac:dyDescent="0.35"/>
    <row r="38871" hidden="1" x14ac:dyDescent="0.35"/>
    <row r="38872" hidden="1" x14ac:dyDescent="0.35"/>
    <row r="38873" hidden="1" x14ac:dyDescent="0.35"/>
    <row r="38874" hidden="1" x14ac:dyDescent="0.35"/>
    <row r="38875" hidden="1" x14ac:dyDescent="0.35"/>
    <row r="38876" hidden="1" x14ac:dyDescent="0.35"/>
    <row r="38877" hidden="1" x14ac:dyDescent="0.35"/>
    <row r="38878" hidden="1" x14ac:dyDescent="0.35"/>
    <row r="38879" hidden="1" x14ac:dyDescent="0.35"/>
    <row r="38880" hidden="1" x14ac:dyDescent="0.35"/>
    <row r="38881" hidden="1" x14ac:dyDescent="0.35"/>
    <row r="38882" hidden="1" x14ac:dyDescent="0.35"/>
    <row r="38883" hidden="1" x14ac:dyDescent="0.35"/>
    <row r="38884" hidden="1" x14ac:dyDescent="0.35"/>
    <row r="38885" hidden="1" x14ac:dyDescent="0.35"/>
    <row r="38886" hidden="1" x14ac:dyDescent="0.35"/>
    <row r="38887" hidden="1" x14ac:dyDescent="0.35"/>
    <row r="38888" hidden="1" x14ac:dyDescent="0.35"/>
    <row r="38889" hidden="1" x14ac:dyDescent="0.35"/>
    <row r="38890" hidden="1" x14ac:dyDescent="0.35"/>
    <row r="38891" hidden="1" x14ac:dyDescent="0.35"/>
    <row r="38892" hidden="1" x14ac:dyDescent="0.35"/>
    <row r="38893" hidden="1" x14ac:dyDescent="0.35"/>
    <row r="38894" hidden="1" x14ac:dyDescent="0.35"/>
    <row r="38895" hidden="1" x14ac:dyDescent="0.35"/>
    <row r="38896" hidden="1" x14ac:dyDescent="0.35"/>
    <row r="38897" hidden="1" x14ac:dyDescent="0.35"/>
    <row r="38898" hidden="1" x14ac:dyDescent="0.35"/>
    <row r="38899" hidden="1" x14ac:dyDescent="0.35"/>
    <row r="38900" hidden="1" x14ac:dyDescent="0.35"/>
    <row r="38901" hidden="1" x14ac:dyDescent="0.35"/>
    <row r="38902" hidden="1" x14ac:dyDescent="0.35"/>
    <row r="38903" hidden="1" x14ac:dyDescent="0.35"/>
    <row r="38904" hidden="1" x14ac:dyDescent="0.35"/>
    <row r="38905" hidden="1" x14ac:dyDescent="0.35"/>
    <row r="38906" hidden="1" x14ac:dyDescent="0.35"/>
    <row r="38907" hidden="1" x14ac:dyDescent="0.35"/>
    <row r="38908" hidden="1" x14ac:dyDescent="0.35"/>
    <row r="38909" hidden="1" x14ac:dyDescent="0.35"/>
    <row r="38910" hidden="1" x14ac:dyDescent="0.35"/>
    <row r="38911" hidden="1" x14ac:dyDescent="0.35"/>
    <row r="38912" hidden="1" x14ac:dyDescent="0.35"/>
    <row r="38913" hidden="1" x14ac:dyDescent="0.35"/>
    <row r="38914" hidden="1" x14ac:dyDescent="0.35"/>
    <row r="38915" hidden="1" x14ac:dyDescent="0.35"/>
    <row r="38916" hidden="1" x14ac:dyDescent="0.35"/>
    <row r="38917" hidden="1" x14ac:dyDescent="0.35"/>
    <row r="38918" hidden="1" x14ac:dyDescent="0.35"/>
    <row r="38919" hidden="1" x14ac:dyDescent="0.35"/>
    <row r="38920" hidden="1" x14ac:dyDescent="0.35"/>
    <row r="38921" hidden="1" x14ac:dyDescent="0.35"/>
    <row r="38922" hidden="1" x14ac:dyDescent="0.35"/>
    <row r="38923" hidden="1" x14ac:dyDescent="0.35"/>
    <row r="38924" hidden="1" x14ac:dyDescent="0.35"/>
    <row r="38925" hidden="1" x14ac:dyDescent="0.35"/>
    <row r="38926" hidden="1" x14ac:dyDescent="0.35"/>
    <row r="38927" hidden="1" x14ac:dyDescent="0.35"/>
    <row r="38928" hidden="1" x14ac:dyDescent="0.35"/>
    <row r="38929" hidden="1" x14ac:dyDescent="0.35"/>
    <row r="38930" hidden="1" x14ac:dyDescent="0.35"/>
    <row r="38931" hidden="1" x14ac:dyDescent="0.35"/>
    <row r="38932" hidden="1" x14ac:dyDescent="0.35"/>
    <row r="38933" hidden="1" x14ac:dyDescent="0.35"/>
    <row r="38934" hidden="1" x14ac:dyDescent="0.35"/>
    <row r="38935" hidden="1" x14ac:dyDescent="0.35"/>
    <row r="38936" hidden="1" x14ac:dyDescent="0.35"/>
    <row r="38937" hidden="1" x14ac:dyDescent="0.35"/>
    <row r="38938" hidden="1" x14ac:dyDescent="0.35"/>
    <row r="38939" hidden="1" x14ac:dyDescent="0.35"/>
    <row r="38940" hidden="1" x14ac:dyDescent="0.35"/>
    <row r="38941" hidden="1" x14ac:dyDescent="0.35"/>
    <row r="38942" hidden="1" x14ac:dyDescent="0.35"/>
    <row r="38943" hidden="1" x14ac:dyDescent="0.35"/>
    <row r="38944" hidden="1" x14ac:dyDescent="0.35"/>
    <row r="38945" hidden="1" x14ac:dyDescent="0.35"/>
    <row r="38946" hidden="1" x14ac:dyDescent="0.35"/>
    <row r="38947" hidden="1" x14ac:dyDescent="0.35"/>
    <row r="38948" hidden="1" x14ac:dyDescent="0.35"/>
    <row r="38949" hidden="1" x14ac:dyDescent="0.35"/>
    <row r="38950" hidden="1" x14ac:dyDescent="0.35"/>
    <row r="38951" hidden="1" x14ac:dyDescent="0.35"/>
    <row r="38952" hidden="1" x14ac:dyDescent="0.35"/>
    <row r="38953" hidden="1" x14ac:dyDescent="0.35"/>
    <row r="38954" hidden="1" x14ac:dyDescent="0.35"/>
    <row r="38955" hidden="1" x14ac:dyDescent="0.35"/>
    <row r="38956" hidden="1" x14ac:dyDescent="0.35"/>
    <row r="38957" hidden="1" x14ac:dyDescent="0.35"/>
    <row r="38958" hidden="1" x14ac:dyDescent="0.35"/>
    <row r="38959" hidden="1" x14ac:dyDescent="0.35"/>
    <row r="38960" hidden="1" x14ac:dyDescent="0.35"/>
    <row r="38961" hidden="1" x14ac:dyDescent="0.35"/>
    <row r="38962" hidden="1" x14ac:dyDescent="0.35"/>
    <row r="38963" hidden="1" x14ac:dyDescent="0.35"/>
    <row r="38964" hidden="1" x14ac:dyDescent="0.35"/>
    <row r="38965" hidden="1" x14ac:dyDescent="0.35"/>
    <row r="38966" hidden="1" x14ac:dyDescent="0.35"/>
    <row r="38967" hidden="1" x14ac:dyDescent="0.35"/>
    <row r="38968" hidden="1" x14ac:dyDescent="0.35"/>
    <row r="38969" hidden="1" x14ac:dyDescent="0.35"/>
    <row r="38970" hidden="1" x14ac:dyDescent="0.35"/>
    <row r="38971" hidden="1" x14ac:dyDescent="0.35"/>
    <row r="38972" hidden="1" x14ac:dyDescent="0.35"/>
    <row r="38973" hidden="1" x14ac:dyDescent="0.35"/>
    <row r="38974" hidden="1" x14ac:dyDescent="0.35"/>
    <row r="38975" hidden="1" x14ac:dyDescent="0.35"/>
    <row r="38976" hidden="1" x14ac:dyDescent="0.35"/>
    <row r="38977" hidden="1" x14ac:dyDescent="0.35"/>
    <row r="38978" hidden="1" x14ac:dyDescent="0.35"/>
    <row r="38979" hidden="1" x14ac:dyDescent="0.35"/>
    <row r="38980" hidden="1" x14ac:dyDescent="0.35"/>
    <row r="38981" hidden="1" x14ac:dyDescent="0.35"/>
    <row r="38982" hidden="1" x14ac:dyDescent="0.35"/>
    <row r="38983" hidden="1" x14ac:dyDescent="0.35"/>
    <row r="38984" hidden="1" x14ac:dyDescent="0.35"/>
    <row r="38985" hidden="1" x14ac:dyDescent="0.35"/>
    <row r="38986" hidden="1" x14ac:dyDescent="0.35"/>
    <row r="38987" hidden="1" x14ac:dyDescent="0.35"/>
    <row r="38988" hidden="1" x14ac:dyDescent="0.35"/>
    <row r="38989" hidden="1" x14ac:dyDescent="0.35"/>
    <row r="38990" hidden="1" x14ac:dyDescent="0.35"/>
    <row r="38991" hidden="1" x14ac:dyDescent="0.35"/>
    <row r="38992" hidden="1" x14ac:dyDescent="0.35"/>
    <row r="38993" hidden="1" x14ac:dyDescent="0.35"/>
    <row r="38994" hidden="1" x14ac:dyDescent="0.35"/>
    <row r="38995" hidden="1" x14ac:dyDescent="0.35"/>
    <row r="38996" hidden="1" x14ac:dyDescent="0.35"/>
    <row r="38997" hidden="1" x14ac:dyDescent="0.35"/>
    <row r="38998" hidden="1" x14ac:dyDescent="0.35"/>
    <row r="38999" hidden="1" x14ac:dyDescent="0.35"/>
    <row r="39000" hidden="1" x14ac:dyDescent="0.35"/>
    <row r="39001" hidden="1" x14ac:dyDescent="0.35"/>
    <row r="39002" hidden="1" x14ac:dyDescent="0.35"/>
    <row r="39003" hidden="1" x14ac:dyDescent="0.35"/>
    <row r="39004" hidden="1" x14ac:dyDescent="0.35"/>
    <row r="39005" hidden="1" x14ac:dyDescent="0.35"/>
    <row r="39006" hidden="1" x14ac:dyDescent="0.35"/>
    <row r="39007" hidden="1" x14ac:dyDescent="0.35"/>
    <row r="39008" hidden="1" x14ac:dyDescent="0.35"/>
    <row r="39009" hidden="1" x14ac:dyDescent="0.35"/>
    <row r="39010" hidden="1" x14ac:dyDescent="0.35"/>
    <row r="39011" hidden="1" x14ac:dyDescent="0.35"/>
    <row r="39012" hidden="1" x14ac:dyDescent="0.35"/>
    <row r="39013" hidden="1" x14ac:dyDescent="0.35"/>
    <row r="39014" hidden="1" x14ac:dyDescent="0.35"/>
    <row r="39015" hidden="1" x14ac:dyDescent="0.35"/>
    <row r="39016" hidden="1" x14ac:dyDescent="0.35"/>
    <row r="39017" hidden="1" x14ac:dyDescent="0.35"/>
    <row r="39018" hidden="1" x14ac:dyDescent="0.35"/>
    <row r="39019" hidden="1" x14ac:dyDescent="0.35"/>
    <row r="39020" hidden="1" x14ac:dyDescent="0.35"/>
    <row r="39021" hidden="1" x14ac:dyDescent="0.35"/>
    <row r="39022" hidden="1" x14ac:dyDescent="0.35"/>
    <row r="39023" hidden="1" x14ac:dyDescent="0.35"/>
    <row r="39024" hidden="1" x14ac:dyDescent="0.35"/>
    <row r="39025" hidden="1" x14ac:dyDescent="0.35"/>
    <row r="39026" hidden="1" x14ac:dyDescent="0.35"/>
    <row r="39027" hidden="1" x14ac:dyDescent="0.35"/>
    <row r="39028" hidden="1" x14ac:dyDescent="0.35"/>
    <row r="39029" hidden="1" x14ac:dyDescent="0.35"/>
    <row r="39030" hidden="1" x14ac:dyDescent="0.35"/>
    <row r="39031" hidden="1" x14ac:dyDescent="0.35"/>
    <row r="39032" hidden="1" x14ac:dyDescent="0.35"/>
    <row r="39033" hidden="1" x14ac:dyDescent="0.35"/>
    <row r="39034" hidden="1" x14ac:dyDescent="0.35"/>
    <row r="39035" hidden="1" x14ac:dyDescent="0.35"/>
    <row r="39036" hidden="1" x14ac:dyDescent="0.35"/>
    <row r="39037" hidden="1" x14ac:dyDescent="0.35"/>
    <row r="39038" hidden="1" x14ac:dyDescent="0.35"/>
    <row r="39039" hidden="1" x14ac:dyDescent="0.35"/>
    <row r="39040" hidden="1" x14ac:dyDescent="0.35"/>
    <row r="39041" hidden="1" x14ac:dyDescent="0.35"/>
    <row r="39042" hidden="1" x14ac:dyDescent="0.35"/>
    <row r="39043" hidden="1" x14ac:dyDescent="0.35"/>
    <row r="39044" hidden="1" x14ac:dyDescent="0.35"/>
    <row r="39045" hidden="1" x14ac:dyDescent="0.35"/>
    <row r="39046" hidden="1" x14ac:dyDescent="0.35"/>
    <row r="39047" hidden="1" x14ac:dyDescent="0.35"/>
    <row r="39048" hidden="1" x14ac:dyDescent="0.35"/>
    <row r="39049" hidden="1" x14ac:dyDescent="0.35"/>
    <row r="39050" hidden="1" x14ac:dyDescent="0.35"/>
    <row r="39051" hidden="1" x14ac:dyDescent="0.35"/>
    <row r="39052" hidden="1" x14ac:dyDescent="0.35"/>
    <row r="39053" hidden="1" x14ac:dyDescent="0.35"/>
    <row r="39054" hidden="1" x14ac:dyDescent="0.35"/>
    <row r="39055" hidden="1" x14ac:dyDescent="0.35"/>
    <row r="39056" hidden="1" x14ac:dyDescent="0.35"/>
    <row r="39057" hidden="1" x14ac:dyDescent="0.35"/>
    <row r="39058" hidden="1" x14ac:dyDescent="0.35"/>
    <row r="39059" hidden="1" x14ac:dyDescent="0.35"/>
    <row r="39060" hidden="1" x14ac:dyDescent="0.35"/>
    <row r="39061" hidden="1" x14ac:dyDescent="0.35"/>
    <row r="39062" hidden="1" x14ac:dyDescent="0.35"/>
    <row r="39063" hidden="1" x14ac:dyDescent="0.35"/>
    <row r="39064" hidden="1" x14ac:dyDescent="0.35"/>
    <row r="39065" hidden="1" x14ac:dyDescent="0.35"/>
    <row r="39066" hidden="1" x14ac:dyDescent="0.35"/>
    <row r="39067" hidden="1" x14ac:dyDescent="0.35"/>
    <row r="39068" hidden="1" x14ac:dyDescent="0.35"/>
    <row r="39069" hidden="1" x14ac:dyDescent="0.35"/>
    <row r="39070" hidden="1" x14ac:dyDescent="0.35"/>
    <row r="39071" hidden="1" x14ac:dyDescent="0.35"/>
    <row r="39072" hidden="1" x14ac:dyDescent="0.35"/>
    <row r="39073" hidden="1" x14ac:dyDescent="0.35"/>
    <row r="39074" hidden="1" x14ac:dyDescent="0.35"/>
    <row r="39075" hidden="1" x14ac:dyDescent="0.35"/>
    <row r="39076" hidden="1" x14ac:dyDescent="0.35"/>
    <row r="39077" hidden="1" x14ac:dyDescent="0.35"/>
    <row r="39078" hidden="1" x14ac:dyDescent="0.35"/>
    <row r="39079" hidden="1" x14ac:dyDescent="0.35"/>
    <row r="39080" hidden="1" x14ac:dyDescent="0.35"/>
    <row r="39081" hidden="1" x14ac:dyDescent="0.35"/>
    <row r="39082" hidden="1" x14ac:dyDescent="0.35"/>
    <row r="39083" hidden="1" x14ac:dyDescent="0.35"/>
    <row r="39084" hidden="1" x14ac:dyDescent="0.35"/>
    <row r="39085" hidden="1" x14ac:dyDescent="0.35"/>
    <row r="39086" hidden="1" x14ac:dyDescent="0.35"/>
    <row r="39087" hidden="1" x14ac:dyDescent="0.35"/>
    <row r="39088" hidden="1" x14ac:dyDescent="0.35"/>
    <row r="39089" hidden="1" x14ac:dyDescent="0.35"/>
    <row r="39090" hidden="1" x14ac:dyDescent="0.35"/>
    <row r="39091" hidden="1" x14ac:dyDescent="0.35"/>
    <row r="39092" hidden="1" x14ac:dyDescent="0.35"/>
    <row r="39093" hidden="1" x14ac:dyDescent="0.35"/>
    <row r="39094" hidden="1" x14ac:dyDescent="0.35"/>
    <row r="39095" hidden="1" x14ac:dyDescent="0.35"/>
    <row r="39096" hidden="1" x14ac:dyDescent="0.35"/>
    <row r="39097" hidden="1" x14ac:dyDescent="0.35"/>
    <row r="39098" hidden="1" x14ac:dyDescent="0.35"/>
    <row r="39099" hidden="1" x14ac:dyDescent="0.35"/>
    <row r="39100" hidden="1" x14ac:dyDescent="0.35"/>
    <row r="39101" hidden="1" x14ac:dyDescent="0.35"/>
    <row r="39102" hidden="1" x14ac:dyDescent="0.35"/>
    <row r="39103" hidden="1" x14ac:dyDescent="0.35"/>
    <row r="39104" hidden="1" x14ac:dyDescent="0.35"/>
    <row r="39105" hidden="1" x14ac:dyDescent="0.35"/>
    <row r="39106" hidden="1" x14ac:dyDescent="0.35"/>
    <row r="39107" hidden="1" x14ac:dyDescent="0.35"/>
    <row r="39108" hidden="1" x14ac:dyDescent="0.35"/>
    <row r="39109" hidden="1" x14ac:dyDescent="0.35"/>
    <row r="39110" hidden="1" x14ac:dyDescent="0.35"/>
    <row r="39111" hidden="1" x14ac:dyDescent="0.35"/>
    <row r="39112" hidden="1" x14ac:dyDescent="0.35"/>
    <row r="39113" hidden="1" x14ac:dyDescent="0.35"/>
    <row r="39114" hidden="1" x14ac:dyDescent="0.35"/>
    <row r="39115" hidden="1" x14ac:dyDescent="0.35"/>
    <row r="39116" hidden="1" x14ac:dyDescent="0.35"/>
    <row r="39117" hidden="1" x14ac:dyDescent="0.35"/>
    <row r="39118" hidden="1" x14ac:dyDescent="0.35"/>
    <row r="39119" hidden="1" x14ac:dyDescent="0.35"/>
    <row r="39120" hidden="1" x14ac:dyDescent="0.35"/>
    <row r="39121" hidden="1" x14ac:dyDescent="0.35"/>
    <row r="39122" hidden="1" x14ac:dyDescent="0.35"/>
    <row r="39123" hidden="1" x14ac:dyDescent="0.35"/>
    <row r="39124" hidden="1" x14ac:dyDescent="0.35"/>
    <row r="39125" hidden="1" x14ac:dyDescent="0.35"/>
    <row r="39126" hidden="1" x14ac:dyDescent="0.35"/>
    <row r="39127" hidden="1" x14ac:dyDescent="0.35"/>
    <row r="39128" hidden="1" x14ac:dyDescent="0.35"/>
    <row r="39129" hidden="1" x14ac:dyDescent="0.35"/>
    <row r="39130" hidden="1" x14ac:dyDescent="0.35"/>
    <row r="39131" hidden="1" x14ac:dyDescent="0.35"/>
    <row r="39132" hidden="1" x14ac:dyDescent="0.35"/>
    <row r="39133" hidden="1" x14ac:dyDescent="0.35"/>
    <row r="39134" hidden="1" x14ac:dyDescent="0.35"/>
    <row r="39135" hidden="1" x14ac:dyDescent="0.35"/>
    <row r="39136" hidden="1" x14ac:dyDescent="0.35"/>
    <row r="39137" hidden="1" x14ac:dyDescent="0.35"/>
    <row r="39138" hidden="1" x14ac:dyDescent="0.35"/>
    <row r="39139" hidden="1" x14ac:dyDescent="0.35"/>
    <row r="39140" hidden="1" x14ac:dyDescent="0.35"/>
    <row r="39141" hidden="1" x14ac:dyDescent="0.35"/>
    <row r="39142" hidden="1" x14ac:dyDescent="0.35"/>
    <row r="39143" hidden="1" x14ac:dyDescent="0.35"/>
    <row r="39144" hidden="1" x14ac:dyDescent="0.35"/>
    <row r="39145" hidden="1" x14ac:dyDescent="0.35"/>
    <row r="39146" hidden="1" x14ac:dyDescent="0.35"/>
    <row r="39147" hidden="1" x14ac:dyDescent="0.35"/>
    <row r="39148" hidden="1" x14ac:dyDescent="0.35"/>
    <row r="39149" hidden="1" x14ac:dyDescent="0.35"/>
    <row r="39150" hidden="1" x14ac:dyDescent="0.35"/>
    <row r="39151" hidden="1" x14ac:dyDescent="0.35"/>
    <row r="39152" hidden="1" x14ac:dyDescent="0.35"/>
    <row r="39153" hidden="1" x14ac:dyDescent="0.35"/>
    <row r="39154" hidden="1" x14ac:dyDescent="0.35"/>
    <row r="39155" hidden="1" x14ac:dyDescent="0.35"/>
    <row r="39156" hidden="1" x14ac:dyDescent="0.35"/>
    <row r="39157" hidden="1" x14ac:dyDescent="0.35"/>
    <row r="39158" hidden="1" x14ac:dyDescent="0.35"/>
    <row r="39159" hidden="1" x14ac:dyDescent="0.35"/>
    <row r="39160" hidden="1" x14ac:dyDescent="0.35"/>
    <row r="39161" hidden="1" x14ac:dyDescent="0.35"/>
    <row r="39162" hidden="1" x14ac:dyDescent="0.35"/>
    <row r="39163" hidden="1" x14ac:dyDescent="0.35"/>
    <row r="39164" hidden="1" x14ac:dyDescent="0.35"/>
    <row r="39165" hidden="1" x14ac:dyDescent="0.35"/>
    <row r="39166" hidden="1" x14ac:dyDescent="0.35"/>
    <row r="39167" hidden="1" x14ac:dyDescent="0.35"/>
    <row r="39168" hidden="1" x14ac:dyDescent="0.35"/>
    <row r="39169" hidden="1" x14ac:dyDescent="0.35"/>
    <row r="39170" hidden="1" x14ac:dyDescent="0.35"/>
    <row r="39171" hidden="1" x14ac:dyDescent="0.35"/>
    <row r="39172" hidden="1" x14ac:dyDescent="0.35"/>
    <row r="39173" hidden="1" x14ac:dyDescent="0.35"/>
    <row r="39174" hidden="1" x14ac:dyDescent="0.35"/>
    <row r="39175" hidden="1" x14ac:dyDescent="0.35"/>
    <row r="39176" hidden="1" x14ac:dyDescent="0.35"/>
    <row r="39177" hidden="1" x14ac:dyDescent="0.35"/>
    <row r="39178" hidden="1" x14ac:dyDescent="0.35"/>
    <row r="39179" hidden="1" x14ac:dyDescent="0.35"/>
    <row r="39180" hidden="1" x14ac:dyDescent="0.35"/>
    <row r="39181" hidden="1" x14ac:dyDescent="0.35"/>
    <row r="39182" hidden="1" x14ac:dyDescent="0.35"/>
    <row r="39183" hidden="1" x14ac:dyDescent="0.35"/>
    <row r="39184" hidden="1" x14ac:dyDescent="0.35"/>
    <row r="39185" hidden="1" x14ac:dyDescent="0.35"/>
    <row r="39186" hidden="1" x14ac:dyDescent="0.35"/>
    <row r="39187" hidden="1" x14ac:dyDescent="0.35"/>
    <row r="39188" hidden="1" x14ac:dyDescent="0.35"/>
    <row r="39189" hidden="1" x14ac:dyDescent="0.35"/>
    <row r="39190" hidden="1" x14ac:dyDescent="0.35"/>
    <row r="39191" hidden="1" x14ac:dyDescent="0.35"/>
    <row r="39192" hidden="1" x14ac:dyDescent="0.35"/>
    <row r="39193" hidden="1" x14ac:dyDescent="0.35"/>
    <row r="39194" hidden="1" x14ac:dyDescent="0.35"/>
    <row r="39195" hidden="1" x14ac:dyDescent="0.35"/>
    <row r="39196" hidden="1" x14ac:dyDescent="0.35"/>
    <row r="39197" hidden="1" x14ac:dyDescent="0.35"/>
    <row r="39198" hidden="1" x14ac:dyDescent="0.35"/>
    <row r="39199" hidden="1" x14ac:dyDescent="0.35"/>
    <row r="39200" hidden="1" x14ac:dyDescent="0.35"/>
    <row r="39201" hidden="1" x14ac:dyDescent="0.35"/>
    <row r="39202" hidden="1" x14ac:dyDescent="0.35"/>
    <row r="39203" hidden="1" x14ac:dyDescent="0.35"/>
    <row r="39204" hidden="1" x14ac:dyDescent="0.35"/>
    <row r="39205" hidden="1" x14ac:dyDescent="0.35"/>
    <row r="39206" hidden="1" x14ac:dyDescent="0.35"/>
    <row r="39207" hidden="1" x14ac:dyDescent="0.35"/>
    <row r="39208" hidden="1" x14ac:dyDescent="0.35"/>
    <row r="39209" hidden="1" x14ac:dyDescent="0.35"/>
    <row r="39210" hidden="1" x14ac:dyDescent="0.35"/>
    <row r="39211" hidden="1" x14ac:dyDescent="0.35"/>
    <row r="39212" hidden="1" x14ac:dyDescent="0.35"/>
    <row r="39213" hidden="1" x14ac:dyDescent="0.35"/>
    <row r="39214" hidden="1" x14ac:dyDescent="0.35"/>
    <row r="39215" hidden="1" x14ac:dyDescent="0.35"/>
    <row r="39216" hidden="1" x14ac:dyDescent="0.35"/>
    <row r="39217" hidden="1" x14ac:dyDescent="0.35"/>
    <row r="39218" hidden="1" x14ac:dyDescent="0.35"/>
    <row r="39219" hidden="1" x14ac:dyDescent="0.35"/>
    <row r="39220" hidden="1" x14ac:dyDescent="0.35"/>
    <row r="39221" hidden="1" x14ac:dyDescent="0.35"/>
    <row r="39222" hidden="1" x14ac:dyDescent="0.35"/>
    <row r="39223" hidden="1" x14ac:dyDescent="0.35"/>
    <row r="39224" hidden="1" x14ac:dyDescent="0.35"/>
    <row r="39225" hidden="1" x14ac:dyDescent="0.35"/>
    <row r="39226" hidden="1" x14ac:dyDescent="0.35"/>
    <row r="39227" hidden="1" x14ac:dyDescent="0.35"/>
    <row r="39228" hidden="1" x14ac:dyDescent="0.35"/>
    <row r="39229" hidden="1" x14ac:dyDescent="0.35"/>
    <row r="39230" hidden="1" x14ac:dyDescent="0.35"/>
    <row r="39231" hidden="1" x14ac:dyDescent="0.35"/>
    <row r="39232" hidden="1" x14ac:dyDescent="0.35"/>
    <row r="39233" hidden="1" x14ac:dyDescent="0.35"/>
    <row r="39234" hidden="1" x14ac:dyDescent="0.35"/>
    <row r="39235" hidden="1" x14ac:dyDescent="0.35"/>
    <row r="39236" hidden="1" x14ac:dyDescent="0.35"/>
    <row r="39237" hidden="1" x14ac:dyDescent="0.35"/>
    <row r="39238" hidden="1" x14ac:dyDescent="0.35"/>
    <row r="39239" hidden="1" x14ac:dyDescent="0.35"/>
    <row r="39240" hidden="1" x14ac:dyDescent="0.35"/>
    <row r="39241" hidden="1" x14ac:dyDescent="0.35"/>
    <row r="39242" hidden="1" x14ac:dyDescent="0.35"/>
    <row r="39243" hidden="1" x14ac:dyDescent="0.35"/>
    <row r="39244" hidden="1" x14ac:dyDescent="0.35"/>
    <row r="39245" hidden="1" x14ac:dyDescent="0.35"/>
    <row r="39246" hidden="1" x14ac:dyDescent="0.35"/>
    <row r="39247" hidden="1" x14ac:dyDescent="0.35"/>
    <row r="39248" hidden="1" x14ac:dyDescent="0.35"/>
    <row r="39249" hidden="1" x14ac:dyDescent="0.35"/>
    <row r="39250" hidden="1" x14ac:dyDescent="0.35"/>
    <row r="39251" hidden="1" x14ac:dyDescent="0.35"/>
    <row r="39252" hidden="1" x14ac:dyDescent="0.35"/>
    <row r="39253" hidden="1" x14ac:dyDescent="0.35"/>
    <row r="39254" hidden="1" x14ac:dyDescent="0.35"/>
    <row r="39255" hidden="1" x14ac:dyDescent="0.35"/>
    <row r="39256" hidden="1" x14ac:dyDescent="0.35"/>
    <row r="39257" hidden="1" x14ac:dyDescent="0.35"/>
    <row r="39258" hidden="1" x14ac:dyDescent="0.35"/>
    <row r="39259" hidden="1" x14ac:dyDescent="0.35"/>
    <row r="39260" hidden="1" x14ac:dyDescent="0.35"/>
    <row r="39261" hidden="1" x14ac:dyDescent="0.35"/>
    <row r="39262" hidden="1" x14ac:dyDescent="0.35"/>
    <row r="39263" hidden="1" x14ac:dyDescent="0.35"/>
    <row r="39264" hidden="1" x14ac:dyDescent="0.35"/>
    <row r="39265" hidden="1" x14ac:dyDescent="0.35"/>
    <row r="39266" hidden="1" x14ac:dyDescent="0.35"/>
    <row r="39267" hidden="1" x14ac:dyDescent="0.35"/>
    <row r="39268" hidden="1" x14ac:dyDescent="0.35"/>
    <row r="39269" hidden="1" x14ac:dyDescent="0.35"/>
    <row r="39270" hidden="1" x14ac:dyDescent="0.35"/>
    <row r="39271" hidden="1" x14ac:dyDescent="0.35"/>
    <row r="39272" hidden="1" x14ac:dyDescent="0.35"/>
    <row r="39273" hidden="1" x14ac:dyDescent="0.35"/>
    <row r="39274" hidden="1" x14ac:dyDescent="0.35"/>
    <row r="39275" hidden="1" x14ac:dyDescent="0.35"/>
    <row r="39276" hidden="1" x14ac:dyDescent="0.35"/>
    <row r="39277" hidden="1" x14ac:dyDescent="0.35"/>
    <row r="39278" hidden="1" x14ac:dyDescent="0.35"/>
    <row r="39279" hidden="1" x14ac:dyDescent="0.35"/>
    <row r="39280" hidden="1" x14ac:dyDescent="0.35"/>
    <row r="39281" hidden="1" x14ac:dyDescent="0.35"/>
    <row r="39282" hidden="1" x14ac:dyDescent="0.35"/>
    <row r="39283" hidden="1" x14ac:dyDescent="0.35"/>
    <row r="39284" hidden="1" x14ac:dyDescent="0.35"/>
    <row r="39285" hidden="1" x14ac:dyDescent="0.35"/>
    <row r="39286" hidden="1" x14ac:dyDescent="0.35"/>
    <row r="39287" hidden="1" x14ac:dyDescent="0.35"/>
    <row r="39288" hidden="1" x14ac:dyDescent="0.35"/>
    <row r="39289" hidden="1" x14ac:dyDescent="0.35"/>
    <row r="39290" hidden="1" x14ac:dyDescent="0.35"/>
    <row r="39291" hidden="1" x14ac:dyDescent="0.35"/>
    <row r="39292" hidden="1" x14ac:dyDescent="0.35"/>
    <row r="39293" hidden="1" x14ac:dyDescent="0.35"/>
    <row r="39294" hidden="1" x14ac:dyDescent="0.35"/>
    <row r="39295" hidden="1" x14ac:dyDescent="0.35"/>
    <row r="39296" hidden="1" x14ac:dyDescent="0.35"/>
    <row r="39297" hidden="1" x14ac:dyDescent="0.35"/>
    <row r="39298" hidden="1" x14ac:dyDescent="0.35"/>
    <row r="39299" hidden="1" x14ac:dyDescent="0.35"/>
    <row r="39300" hidden="1" x14ac:dyDescent="0.35"/>
    <row r="39301" hidden="1" x14ac:dyDescent="0.35"/>
    <row r="39302" hidden="1" x14ac:dyDescent="0.35"/>
    <row r="39303" hidden="1" x14ac:dyDescent="0.35"/>
    <row r="39304" hidden="1" x14ac:dyDescent="0.35"/>
    <row r="39305" hidden="1" x14ac:dyDescent="0.35"/>
    <row r="39306" hidden="1" x14ac:dyDescent="0.35"/>
    <row r="39307" hidden="1" x14ac:dyDescent="0.35"/>
    <row r="39308" hidden="1" x14ac:dyDescent="0.35"/>
    <row r="39309" hidden="1" x14ac:dyDescent="0.35"/>
    <row r="39310" hidden="1" x14ac:dyDescent="0.35"/>
    <row r="39311" hidden="1" x14ac:dyDescent="0.35"/>
    <row r="39312" hidden="1" x14ac:dyDescent="0.35"/>
    <row r="39313" hidden="1" x14ac:dyDescent="0.35"/>
    <row r="39314" hidden="1" x14ac:dyDescent="0.35"/>
    <row r="39315" hidden="1" x14ac:dyDescent="0.35"/>
    <row r="39316" hidden="1" x14ac:dyDescent="0.35"/>
    <row r="39317" hidden="1" x14ac:dyDescent="0.35"/>
    <row r="39318" hidden="1" x14ac:dyDescent="0.35"/>
    <row r="39319" hidden="1" x14ac:dyDescent="0.35"/>
    <row r="39320" hidden="1" x14ac:dyDescent="0.35"/>
    <row r="39321" hidden="1" x14ac:dyDescent="0.35"/>
    <row r="39322" hidden="1" x14ac:dyDescent="0.35"/>
    <row r="39323" hidden="1" x14ac:dyDescent="0.35"/>
    <row r="39324" hidden="1" x14ac:dyDescent="0.35"/>
    <row r="39325" hidden="1" x14ac:dyDescent="0.35"/>
    <row r="39326" hidden="1" x14ac:dyDescent="0.35"/>
    <row r="39327" hidden="1" x14ac:dyDescent="0.35"/>
    <row r="39328" hidden="1" x14ac:dyDescent="0.35"/>
    <row r="39329" hidden="1" x14ac:dyDescent="0.35"/>
    <row r="39330" hidden="1" x14ac:dyDescent="0.35"/>
    <row r="39331" hidden="1" x14ac:dyDescent="0.35"/>
    <row r="39332" hidden="1" x14ac:dyDescent="0.35"/>
    <row r="39333" hidden="1" x14ac:dyDescent="0.35"/>
    <row r="39334" hidden="1" x14ac:dyDescent="0.35"/>
    <row r="39335" hidden="1" x14ac:dyDescent="0.35"/>
    <row r="39336" hidden="1" x14ac:dyDescent="0.35"/>
    <row r="39337" hidden="1" x14ac:dyDescent="0.35"/>
    <row r="39338" hidden="1" x14ac:dyDescent="0.35"/>
    <row r="39339" hidden="1" x14ac:dyDescent="0.35"/>
    <row r="39340" hidden="1" x14ac:dyDescent="0.35"/>
    <row r="39341" hidden="1" x14ac:dyDescent="0.35"/>
    <row r="39342" hidden="1" x14ac:dyDescent="0.35"/>
    <row r="39343" hidden="1" x14ac:dyDescent="0.35"/>
    <row r="39344" hidden="1" x14ac:dyDescent="0.35"/>
    <row r="39345" hidden="1" x14ac:dyDescent="0.35"/>
    <row r="39346" hidden="1" x14ac:dyDescent="0.35"/>
    <row r="39347" hidden="1" x14ac:dyDescent="0.35"/>
    <row r="39348" hidden="1" x14ac:dyDescent="0.35"/>
    <row r="39349" hidden="1" x14ac:dyDescent="0.35"/>
    <row r="39350" hidden="1" x14ac:dyDescent="0.35"/>
    <row r="39351" hidden="1" x14ac:dyDescent="0.35"/>
    <row r="39352" hidden="1" x14ac:dyDescent="0.35"/>
    <row r="39353" hidden="1" x14ac:dyDescent="0.35"/>
    <row r="39354" hidden="1" x14ac:dyDescent="0.35"/>
    <row r="39355" hidden="1" x14ac:dyDescent="0.35"/>
    <row r="39356" hidden="1" x14ac:dyDescent="0.35"/>
    <row r="39357" hidden="1" x14ac:dyDescent="0.35"/>
    <row r="39358" hidden="1" x14ac:dyDescent="0.35"/>
    <row r="39359" hidden="1" x14ac:dyDescent="0.35"/>
    <row r="39360" hidden="1" x14ac:dyDescent="0.35"/>
    <row r="39361" hidden="1" x14ac:dyDescent="0.35"/>
    <row r="39362" hidden="1" x14ac:dyDescent="0.35"/>
    <row r="39363" hidden="1" x14ac:dyDescent="0.35"/>
    <row r="39364" hidden="1" x14ac:dyDescent="0.35"/>
    <row r="39365" hidden="1" x14ac:dyDescent="0.35"/>
    <row r="39366" hidden="1" x14ac:dyDescent="0.35"/>
    <row r="39367" hidden="1" x14ac:dyDescent="0.35"/>
    <row r="39368" hidden="1" x14ac:dyDescent="0.35"/>
    <row r="39369" hidden="1" x14ac:dyDescent="0.35"/>
    <row r="39370" hidden="1" x14ac:dyDescent="0.35"/>
    <row r="39371" hidden="1" x14ac:dyDescent="0.35"/>
    <row r="39372" hidden="1" x14ac:dyDescent="0.35"/>
    <row r="39373" hidden="1" x14ac:dyDescent="0.35"/>
    <row r="39374" hidden="1" x14ac:dyDescent="0.35"/>
    <row r="39375" hidden="1" x14ac:dyDescent="0.35"/>
    <row r="39376" hidden="1" x14ac:dyDescent="0.35"/>
    <row r="39377" hidden="1" x14ac:dyDescent="0.35"/>
    <row r="39378" hidden="1" x14ac:dyDescent="0.35"/>
    <row r="39379" hidden="1" x14ac:dyDescent="0.35"/>
    <row r="39380" hidden="1" x14ac:dyDescent="0.35"/>
    <row r="39381" hidden="1" x14ac:dyDescent="0.35"/>
    <row r="39382" hidden="1" x14ac:dyDescent="0.35"/>
    <row r="39383" hidden="1" x14ac:dyDescent="0.35"/>
    <row r="39384" hidden="1" x14ac:dyDescent="0.35"/>
    <row r="39385" hidden="1" x14ac:dyDescent="0.35"/>
    <row r="39386" hidden="1" x14ac:dyDescent="0.35"/>
    <row r="39387" hidden="1" x14ac:dyDescent="0.35"/>
    <row r="39388" hidden="1" x14ac:dyDescent="0.35"/>
    <row r="39389" hidden="1" x14ac:dyDescent="0.35"/>
    <row r="39390" hidden="1" x14ac:dyDescent="0.35"/>
    <row r="39391" hidden="1" x14ac:dyDescent="0.35"/>
    <row r="39392" hidden="1" x14ac:dyDescent="0.35"/>
    <row r="39393" hidden="1" x14ac:dyDescent="0.35"/>
    <row r="39394" hidden="1" x14ac:dyDescent="0.35"/>
    <row r="39395" hidden="1" x14ac:dyDescent="0.35"/>
    <row r="39396" hidden="1" x14ac:dyDescent="0.35"/>
    <row r="39397" hidden="1" x14ac:dyDescent="0.35"/>
    <row r="39398" hidden="1" x14ac:dyDescent="0.35"/>
    <row r="39399" hidden="1" x14ac:dyDescent="0.35"/>
    <row r="39400" hidden="1" x14ac:dyDescent="0.35"/>
    <row r="39401" hidden="1" x14ac:dyDescent="0.35"/>
    <row r="39402" hidden="1" x14ac:dyDescent="0.35"/>
    <row r="39403" hidden="1" x14ac:dyDescent="0.35"/>
    <row r="39404" hidden="1" x14ac:dyDescent="0.35"/>
    <row r="39405" hidden="1" x14ac:dyDescent="0.35"/>
    <row r="39406" hidden="1" x14ac:dyDescent="0.35"/>
    <row r="39407" hidden="1" x14ac:dyDescent="0.35"/>
    <row r="39408" hidden="1" x14ac:dyDescent="0.35"/>
    <row r="39409" hidden="1" x14ac:dyDescent="0.35"/>
    <row r="39410" hidden="1" x14ac:dyDescent="0.35"/>
    <row r="39411" hidden="1" x14ac:dyDescent="0.35"/>
    <row r="39412" hidden="1" x14ac:dyDescent="0.35"/>
    <row r="39413" hidden="1" x14ac:dyDescent="0.35"/>
    <row r="39414" hidden="1" x14ac:dyDescent="0.35"/>
    <row r="39415" hidden="1" x14ac:dyDescent="0.35"/>
    <row r="39416" hidden="1" x14ac:dyDescent="0.35"/>
    <row r="39417" hidden="1" x14ac:dyDescent="0.35"/>
    <row r="39418" hidden="1" x14ac:dyDescent="0.35"/>
    <row r="39419" hidden="1" x14ac:dyDescent="0.35"/>
    <row r="39420" hidden="1" x14ac:dyDescent="0.35"/>
    <row r="39421" hidden="1" x14ac:dyDescent="0.35"/>
    <row r="39422" hidden="1" x14ac:dyDescent="0.35"/>
    <row r="39423" hidden="1" x14ac:dyDescent="0.35"/>
    <row r="39424" hidden="1" x14ac:dyDescent="0.35"/>
    <row r="39425" hidden="1" x14ac:dyDescent="0.35"/>
    <row r="39426" hidden="1" x14ac:dyDescent="0.35"/>
    <row r="39427" hidden="1" x14ac:dyDescent="0.35"/>
    <row r="39428" hidden="1" x14ac:dyDescent="0.35"/>
    <row r="39429" hidden="1" x14ac:dyDescent="0.35"/>
    <row r="39430" hidden="1" x14ac:dyDescent="0.35"/>
    <row r="39431" hidden="1" x14ac:dyDescent="0.35"/>
    <row r="39432" hidden="1" x14ac:dyDescent="0.35"/>
    <row r="39433" hidden="1" x14ac:dyDescent="0.35"/>
    <row r="39434" hidden="1" x14ac:dyDescent="0.35"/>
    <row r="39435" hidden="1" x14ac:dyDescent="0.35"/>
    <row r="39436" hidden="1" x14ac:dyDescent="0.35"/>
    <row r="39437" hidden="1" x14ac:dyDescent="0.35"/>
    <row r="39438" hidden="1" x14ac:dyDescent="0.35"/>
    <row r="39439" hidden="1" x14ac:dyDescent="0.35"/>
    <row r="39440" hidden="1" x14ac:dyDescent="0.35"/>
    <row r="39441" hidden="1" x14ac:dyDescent="0.35"/>
    <row r="39442" hidden="1" x14ac:dyDescent="0.35"/>
    <row r="39443" hidden="1" x14ac:dyDescent="0.35"/>
    <row r="39444" hidden="1" x14ac:dyDescent="0.35"/>
    <row r="39445" hidden="1" x14ac:dyDescent="0.35"/>
    <row r="39446" hidden="1" x14ac:dyDescent="0.35"/>
    <row r="39447" hidden="1" x14ac:dyDescent="0.35"/>
    <row r="39448" hidden="1" x14ac:dyDescent="0.35"/>
    <row r="39449" hidden="1" x14ac:dyDescent="0.35"/>
    <row r="39450" hidden="1" x14ac:dyDescent="0.35"/>
    <row r="39451" hidden="1" x14ac:dyDescent="0.35"/>
    <row r="39452" hidden="1" x14ac:dyDescent="0.35"/>
    <row r="39453" hidden="1" x14ac:dyDescent="0.35"/>
    <row r="39454" hidden="1" x14ac:dyDescent="0.35"/>
    <row r="39455" hidden="1" x14ac:dyDescent="0.35"/>
    <row r="39456" hidden="1" x14ac:dyDescent="0.35"/>
    <row r="39457" hidden="1" x14ac:dyDescent="0.35"/>
    <row r="39458" hidden="1" x14ac:dyDescent="0.35"/>
    <row r="39459" hidden="1" x14ac:dyDescent="0.35"/>
    <row r="39460" hidden="1" x14ac:dyDescent="0.35"/>
    <row r="39461" hidden="1" x14ac:dyDescent="0.35"/>
    <row r="39462" hidden="1" x14ac:dyDescent="0.35"/>
    <row r="39463" hidden="1" x14ac:dyDescent="0.35"/>
    <row r="39464" hidden="1" x14ac:dyDescent="0.35"/>
    <row r="39465" hidden="1" x14ac:dyDescent="0.35"/>
    <row r="39466" hidden="1" x14ac:dyDescent="0.35"/>
    <row r="39467" hidden="1" x14ac:dyDescent="0.35"/>
    <row r="39468" hidden="1" x14ac:dyDescent="0.35"/>
    <row r="39469" hidden="1" x14ac:dyDescent="0.35"/>
    <row r="39470" hidden="1" x14ac:dyDescent="0.35"/>
    <row r="39471" hidden="1" x14ac:dyDescent="0.35"/>
    <row r="39472" hidden="1" x14ac:dyDescent="0.35"/>
    <row r="39473" hidden="1" x14ac:dyDescent="0.35"/>
    <row r="39474" hidden="1" x14ac:dyDescent="0.35"/>
    <row r="39475" hidden="1" x14ac:dyDescent="0.35"/>
    <row r="39476" hidden="1" x14ac:dyDescent="0.35"/>
    <row r="39477" hidden="1" x14ac:dyDescent="0.35"/>
    <row r="39478" hidden="1" x14ac:dyDescent="0.35"/>
    <row r="39479" hidden="1" x14ac:dyDescent="0.35"/>
    <row r="39480" hidden="1" x14ac:dyDescent="0.35"/>
    <row r="39481" hidden="1" x14ac:dyDescent="0.35"/>
    <row r="39482" hidden="1" x14ac:dyDescent="0.35"/>
    <row r="39483" hidden="1" x14ac:dyDescent="0.35"/>
    <row r="39484" hidden="1" x14ac:dyDescent="0.35"/>
    <row r="39485" hidden="1" x14ac:dyDescent="0.35"/>
    <row r="39486" hidden="1" x14ac:dyDescent="0.35"/>
    <row r="39487" hidden="1" x14ac:dyDescent="0.35"/>
    <row r="39488" hidden="1" x14ac:dyDescent="0.35"/>
    <row r="39489" hidden="1" x14ac:dyDescent="0.35"/>
    <row r="39490" hidden="1" x14ac:dyDescent="0.35"/>
    <row r="39491" hidden="1" x14ac:dyDescent="0.35"/>
    <row r="39492" hidden="1" x14ac:dyDescent="0.35"/>
    <row r="39493" hidden="1" x14ac:dyDescent="0.35"/>
    <row r="39494" hidden="1" x14ac:dyDescent="0.35"/>
    <row r="39495" hidden="1" x14ac:dyDescent="0.35"/>
    <row r="39496" hidden="1" x14ac:dyDescent="0.35"/>
    <row r="39497" hidden="1" x14ac:dyDescent="0.35"/>
    <row r="39498" hidden="1" x14ac:dyDescent="0.35"/>
    <row r="39499" hidden="1" x14ac:dyDescent="0.35"/>
    <row r="39500" hidden="1" x14ac:dyDescent="0.35"/>
    <row r="39501" hidden="1" x14ac:dyDescent="0.35"/>
    <row r="39502" hidden="1" x14ac:dyDescent="0.35"/>
    <row r="39503" hidden="1" x14ac:dyDescent="0.35"/>
    <row r="39504" hidden="1" x14ac:dyDescent="0.35"/>
    <row r="39505" hidden="1" x14ac:dyDescent="0.35"/>
    <row r="39506" hidden="1" x14ac:dyDescent="0.35"/>
    <row r="39507" hidden="1" x14ac:dyDescent="0.35"/>
    <row r="39508" hidden="1" x14ac:dyDescent="0.35"/>
    <row r="39509" hidden="1" x14ac:dyDescent="0.35"/>
    <row r="39510" hidden="1" x14ac:dyDescent="0.35"/>
    <row r="39511" hidden="1" x14ac:dyDescent="0.35"/>
    <row r="39512" hidden="1" x14ac:dyDescent="0.35"/>
    <row r="39513" hidden="1" x14ac:dyDescent="0.35"/>
    <row r="39514" hidden="1" x14ac:dyDescent="0.35"/>
    <row r="39515" hidden="1" x14ac:dyDescent="0.35"/>
    <row r="39516" hidden="1" x14ac:dyDescent="0.35"/>
    <row r="39517" hidden="1" x14ac:dyDescent="0.35"/>
    <row r="39518" hidden="1" x14ac:dyDescent="0.35"/>
    <row r="39519" hidden="1" x14ac:dyDescent="0.35"/>
    <row r="39520" hidden="1" x14ac:dyDescent="0.35"/>
    <row r="39521" hidden="1" x14ac:dyDescent="0.35"/>
    <row r="39522" hidden="1" x14ac:dyDescent="0.35"/>
    <row r="39523" hidden="1" x14ac:dyDescent="0.35"/>
    <row r="39524" hidden="1" x14ac:dyDescent="0.35"/>
    <row r="39525" hidden="1" x14ac:dyDescent="0.35"/>
    <row r="39526" hidden="1" x14ac:dyDescent="0.35"/>
    <row r="39527" hidden="1" x14ac:dyDescent="0.35"/>
    <row r="39528" hidden="1" x14ac:dyDescent="0.35"/>
    <row r="39529" hidden="1" x14ac:dyDescent="0.35"/>
    <row r="39530" hidden="1" x14ac:dyDescent="0.35"/>
    <row r="39531" hidden="1" x14ac:dyDescent="0.35"/>
    <row r="39532" hidden="1" x14ac:dyDescent="0.35"/>
    <row r="39533" hidden="1" x14ac:dyDescent="0.35"/>
    <row r="39534" hidden="1" x14ac:dyDescent="0.35"/>
    <row r="39535" hidden="1" x14ac:dyDescent="0.35"/>
    <row r="39536" hidden="1" x14ac:dyDescent="0.35"/>
    <row r="39537" hidden="1" x14ac:dyDescent="0.35"/>
    <row r="39538" hidden="1" x14ac:dyDescent="0.35"/>
    <row r="39539" hidden="1" x14ac:dyDescent="0.35"/>
    <row r="39540" hidden="1" x14ac:dyDescent="0.35"/>
    <row r="39541" hidden="1" x14ac:dyDescent="0.35"/>
    <row r="39542" hidden="1" x14ac:dyDescent="0.35"/>
    <row r="39543" hidden="1" x14ac:dyDescent="0.35"/>
    <row r="39544" hidden="1" x14ac:dyDescent="0.35"/>
    <row r="39545" hidden="1" x14ac:dyDescent="0.35"/>
    <row r="39546" hidden="1" x14ac:dyDescent="0.35"/>
    <row r="39547" hidden="1" x14ac:dyDescent="0.35"/>
    <row r="39548" hidden="1" x14ac:dyDescent="0.35"/>
    <row r="39549" hidden="1" x14ac:dyDescent="0.35"/>
    <row r="39550" hidden="1" x14ac:dyDescent="0.35"/>
    <row r="39551" hidden="1" x14ac:dyDescent="0.35"/>
    <row r="39552" hidden="1" x14ac:dyDescent="0.35"/>
    <row r="39553" hidden="1" x14ac:dyDescent="0.35"/>
    <row r="39554" hidden="1" x14ac:dyDescent="0.35"/>
    <row r="39555" hidden="1" x14ac:dyDescent="0.35"/>
    <row r="39556" hidden="1" x14ac:dyDescent="0.35"/>
    <row r="39557" hidden="1" x14ac:dyDescent="0.35"/>
    <row r="39558" hidden="1" x14ac:dyDescent="0.35"/>
    <row r="39559" hidden="1" x14ac:dyDescent="0.35"/>
    <row r="39560" hidden="1" x14ac:dyDescent="0.35"/>
    <row r="39561" hidden="1" x14ac:dyDescent="0.35"/>
    <row r="39562" hidden="1" x14ac:dyDescent="0.35"/>
    <row r="39563" hidden="1" x14ac:dyDescent="0.35"/>
    <row r="39564" hidden="1" x14ac:dyDescent="0.35"/>
    <row r="39565" hidden="1" x14ac:dyDescent="0.35"/>
    <row r="39566" hidden="1" x14ac:dyDescent="0.35"/>
    <row r="39567" hidden="1" x14ac:dyDescent="0.35"/>
    <row r="39568" hidden="1" x14ac:dyDescent="0.35"/>
    <row r="39569" hidden="1" x14ac:dyDescent="0.35"/>
    <row r="39570" hidden="1" x14ac:dyDescent="0.35"/>
    <row r="39571" hidden="1" x14ac:dyDescent="0.35"/>
    <row r="39572" hidden="1" x14ac:dyDescent="0.35"/>
    <row r="39573" hidden="1" x14ac:dyDescent="0.35"/>
    <row r="39574" hidden="1" x14ac:dyDescent="0.35"/>
    <row r="39575" hidden="1" x14ac:dyDescent="0.35"/>
    <row r="39576" hidden="1" x14ac:dyDescent="0.35"/>
    <row r="39577" hidden="1" x14ac:dyDescent="0.35"/>
    <row r="39578" hidden="1" x14ac:dyDescent="0.35"/>
    <row r="39579" hidden="1" x14ac:dyDescent="0.35"/>
    <row r="39580" hidden="1" x14ac:dyDescent="0.35"/>
    <row r="39581" hidden="1" x14ac:dyDescent="0.35"/>
    <row r="39582" hidden="1" x14ac:dyDescent="0.35"/>
    <row r="39583" hidden="1" x14ac:dyDescent="0.35"/>
    <row r="39584" hidden="1" x14ac:dyDescent="0.35"/>
    <row r="39585" hidden="1" x14ac:dyDescent="0.35"/>
    <row r="39586" hidden="1" x14ac:dyDescent="0.35"/>
    <row r="39587" hidden="1" x14ac:dyDescent="0.35"/>
    <row r="39588" hidden="1" x14ac:dyDescent="0.35"/>
    <row r="39589" hidden="1" x14ac:dyDescent="0.35"/>
    <row r="39590" hidden="1" x14ac:dyDescent="0.35"/>
    <row r="39591" hidden="1" x14ac:dyDescent="0.35"/>
    <row r="39592" hidden="1" x14ac:dyDescent="0.35"/>
    <row r="39593" hidden="1" x14ac:dyDescent="0.35"/>
    <row r="39594" hidden="1" x14ac:dyDescent="0.35"/>
    <row r="39595" hidden="1" x14ac:dyDescent="0.35"/>
    <row r="39596" hidden="1" x14ac:dyDescent="0.35"/>
    <row r="39597" hidden="1" x14ac:dyDescent="0.35"/>
    <row r="39598" hidden="1" x14ac:dyDescent="0.35"/>
    <row r="39599" hidden="1" x14ac:dyDescent="0.35"/>
    <row r="39600" hidden="1" x14ac:dyDescent="0.35"/>
    <row r="39601" hidden="1" x14ac:dyDescent="0.35"/>
    <row r="39602" hidden="1" x14ac:dyDescent="0.35"/>
    <row r="39603" hidden="1" x14ac:dyDescent="0.35"/>
    <row r="39604" hidden="1" x14ac:dyDescent="0.35"/>
    <row r="39605" hidden="1" x14ac:dyDescent="0.35"/>
    <row r="39606" hidden="1" x14ac:dyDescent="0.35"/>
    <row r="39607" hidden="1" x14ac:dyDescent="0.35"/>
    <row r="39608" hidden="1" x14ac:dyDescent="0.35"/>
    <row r="39609" hidden="1" x14ac:dyDescent="0.35"/>
    <row r="39610" hidden="1" x14ac:dyDescent="0.35"/>
    <row r="39611" hidden="1" x14ac:dyDescent="0.35"/>
    <row r="39612" hidden="1" x14ac:dyDescent="0.35"/>
    <row r="39613" hidden="1" x14ac:dyDescent="0.35"/>
    <row r="39614" hidden="1" x14ac:dyDescent="0.35"/>
    <row r="39615" hidden="1" x14ac:dyDescent="0.35"/>
    <row r="39616" hidden="1" x14ac:dyDescent="0.35"/>
    <row r="39617" hidden="1" x14ac:dyDescent="0.35"/>
    <row r="39618" hidden="1" x14ac:dyDescent="0.35"/>
    <row r="39619" hidden="1" x14ac:dyDescent="0.35"/>
    <row r="39620" hidden="1" x14ac:dyDescent="0.35"/>
    <row r="39621" hidden="1" x14ac:dyDescent="0.35"/>
    <row r="39622" hidden="1" x14ac:dyDescent="0.35"/>
    <row r="39623" hidden="1" x14ac:dyDescent="0.35"/>
    <row r="39624" hidden="1" x14ac:dyDescent="0.35"/>
    <row r="39625" hidden="1" x14ac:dyDescent="0.35"/>
    <row r="39626" hidden="1" x14ac:dyDescent="0.35"/>
    <row r="39627" hidden="1" x14ac:dyDescent="0.35"/>
    <row r="39628" hidden="1" x14ac:dyDescent="0.35"/>
    <row r="39629" hidden="1" x14ac:dyDescent="0.35"/>
    <row r="39630" hidden="1" x14ac:dyDescent="0.35"/>
    <row r="39631" hidden="1" x14ac:dyDescent="0.35"/>
    <row r="39632" hidden="1" x14ac:dyDescent="0.35"/>
    <row r="39633" hidden="1" x14ac:dyDescent="0.35"/>
    <row r="39634" hidden="1" x14ac:dyDescent="0.35"/>
    <row r="39635" hidden="1" x14ac:dyDescent="0.35"/>
    <row r="39636" hidden="1" x14ac:dyDescent="0.35"/>
    <row r="39637" hidden="1" x14ac:dyDescent="0.35"/>
    <row r="39638" hidden="1" x14ac:dyDescent="0.35"/>
    <row r="39639" hidden="1" x14ac:dyDescent="0.35"/>
    <row r="39640" hidden="1" x14ac:dyDescent="0.35"/>
    <row r="39641" hidden="1" x14ac:dyDescent="0.35"/>
    <row r="39642" hidden="1" x14ac:dyDescent="0.35"/>
    <row r="39643" hidden="1" x14ac:dyDescent="0.35"/>
    <row r="39644" hidden="1" x14ac:dyDescent="0.35"/>
    <row r="39645" hidden="1" x14ac:dyDescent="0.35"/>
    <row r="39646" hidden="1" x14ac:dyDescent="0.35"/>
    <row r="39647" hidden="1" x14ac:dyDescent="0.35"/>
    <row r="39648" hidden="1" x14ac:dyDescent="0.35"/>
    <row r="39649" hidden="1" x14ac:dyDescent="0.35"/>
    <row r="39650" hidden="1" x14ac:dyDescent="0.35"/>
    <row r="39651" hidden="1" x14ac:dyDescent="0.35"/>
    <row r="39652" hidden="1" x14ac:dyDescent="0.35"/>
    <row r="39653" hidden="1" x14ac:dyDescent="0.35"/>
    <row r="39654" hidden="1" x14ac:dyDescent="0.35"/>
    <row r="39655" hidden="1" x14ac:dyDescent="0.35"/>
    <row r="39656" hidden="1" x14ac:dyDescent="0.35"/>
    <row r="39657" hidden="1" x14ac:dyDescent="0.35"/>
    <row r="39658" hidden="1" x14ac:dyDescent="0.35"/>
    <row r="39659" hidden="1" x14ac:dyDescent="0.35"/>
    <row r="39660" hidden="1" x14ac:dyDescent="0.35"/>
    <row r="39661" hidden="1" x14ac:dyDescent="0.35"/>
    <row r="39662" hidden="1" x14ac:dyDescent="0.35"/>
    <row r="39663" hidden="1" x14ac:dyDescent="0.35"/>
    <row r="39664" hidden="1" x14ac:dyDescent="0.35"/>
    <row r="39665" hidden="1" x14ac:dyDescent="0.35"/>
    <row r="39666" hidden="1" x14ac:dyDescent="0.35"/>
    <row r="39667" hidden="1" x14ac:dyDescent="0.35"/>
    <row r="39668" hidden="1" x14ac:dyDescent="0.35"/>
    <row r="39669" hidden="1" x14ac:dyDescent="0.35"/>
    <row r="39670" hidden="1" x14ac:dyDescent="0.35"/>
    <row r="39671" hidden="1" x14ac:dyDescent="0.35"/>
    <row r="39672" hidden="1" x14ac:dyDescent="0.35"/>
    <row r="39673" hidden="1" x14ac:dyDescent="0.35"/>
    <row r="39674" hidden="1" x14ac:dyDescent="0.35"/>
    <row r="39675" hidden="1" x14ac:dyDescent="0.35"/>
    <row r="39676" hidden="1" x14ac:dyDescent="0.35"/>
    <row r="39677" hidden="1" x14ac:dyDescent="0.35"/>
    <row r="39678" hidden="1" x14ac:dyDescent="0.35"/>
    <row r="39679" hidden="1" x14ac:dyDescent="0.35"/>
    <row r="39680" hidden="1" x14ac:dyDescent="0.35"/>
    <row r="39681" hidden="1" x14ac:dyDescent="0.35"/>
    <row r="39682" hidden="1" x14ac:dyDescent="0.35"/>
    <row r="39683" hidden="1" x14ac:dyDescent="0.35"/>
    <row r="39684" hidden="1" x14ac:dyDescent="0.35"/>
    <row r="39685" hidden="1" x14ac:dyDescent="0.35"/>
    <row r="39686" hidden="1" x14ac:dyDescent="0.35"/>
    <row r="39687" hidden="1" x14ac:dyDescent="0.35"/>
    <row r="39688" hidden="1" x14ac:dyDescent="0.35"/>
    <row r="39689" hidden="1" x14ac:dyDescent="0.35"/>
    <row r="39690" hidden="1" x14ac:dyDescent="0.35"/>
    <row r="39691" hidden="1" x14ac:dyDescent="0.35"/>
    <row r="39692" hidden="1" x14ac:dyDescent="0.35"/>
    <row r="39693" hidden="1" x14ac:dyDescent="0.35"/>
    <row r="39694" hidden="1" x14ac:dyDescent="0.35"/>
    <row r="39695" hidden="1" x14ac:dyDescent="0.35"/>
    <row r="39696" hidden="1" x14ac:dyDescent="0.35"/>
    <row r="39697" hidden="1" x14ac:dyDescent="0.35"/>
    <row r="39698" hidden="1" x14ac:dyDescent="0.35"/>
    <row r="39699" hidden="1" x14ac:dyDescent="0.35"/>
    <row r="39700" hidden="1" x14ac:dyDescent="0.35"/>
    <row r="39701" hidden="1" x14ac:dyDescent="0.35"/>
    <row r="39702" hidden="1" x14ac:dyDescent="0.35"/>
    <row r="39703" hidden="1" x14ac:dyDescent="0.35"/>
    <row r="39704" hidden="1" x14ac:dyDescent="0.35"/>
    <row r="39705" hidden="1" x14ac:dyDescent="0.35"/>
    <row r="39706" hidden="1" x14ac:dyDescent="0.35"/>
    <row r="39707" hidden="1" x14ac:dyDescent="0.35"/>
    <row r="39708" hidden="1" x14ac:dyDescent="0.35"/>
    <row r="39709" hidden="1" x14ac:dyDescent="0.35"/>
    <row r="39710" hidden="1" x14ac:dyDescent="0.35"/>
    <row r="39711" hidden="1" x14ac:dyDescent="0.35"/>
    <row r="39712" hidden="1" x14ac:dyDescent="0.35"/>
    <row r="39713" hidden="1" x14ac:dyDescent="0.35"/>
    <row r="39714" hidden="1" x14ac:dyDescent="0.35"/>
    <row r="39715" hidden="1" x14ac:dyDescent="0.35"/>
    <row r="39716" hidden="1" x14ac:dyDescent="0.35"/>
    <row r="39717" hidden="1" x14ac:dyDescent="0.35"/>
    <row r="39718" hidden="1" x14ac:dyDescent="0.35"/>
    <row r="39719" hidden="1" x14ac:dyDescent="0.35"/>
    <row r="39720" hidden="1" x14ac:dyDescent="0.35"/>
    <row r="39721" hidden="1" x14ac:dyDescent="0.35"/>
    <row r="39722" hidden="1" x14ac:dyDescent="0.35"/>
    <row r="39723" hidden="1" x14ac:dyDescent="0.35"/>
    <row r="39724" hidden="1" x14ac:dyDescent="0.35"/>
    <row r="39725" hidden="1" x14ac:dyDescent="0.35"/>
    <row r="39726" hidden="1" x14ac:dyDescent="0.35"/>
    <row r="39727" hidden="1" x14ac:dyDescent="0.35"/>
    <row r="39728" hidden="1" x14ac:dyDescent="0.35"/>
    <row r="39729" hidden="1" x14ac:dyDescent="0.35"/>
    <row r="39730" hidden="1" x14ac:dyDescent="0.35"/>
    <row r="39731" hidden="1" x14ac:dyDescent="0.35"/>
    <row r="39732" hidden="1" x14ac:dyDescent="0.35"/>
    <row r="39733" hidden="1" x14ac:dyDescent="0.35"/>
    <row r="39734" hidden="1" x14ac:dyDescent="0.35"/>
    <row r="39735" hidden="1" x14ac:dyDescent="0.35"/>
    <row r="39736" hidden="1" x14ac:dyDescent="0.35"/>
    <row r="39737" hidden="1" x14ac:dyDescent="0.35"/>
    <row r="39738" hidden="1" x14ac:dyDescent="0.35"/>
    <row r="39739" hidden="1" x14ac:dyDescent="0.35"/>
    <row r="39740" hidden="1" x14ac:dyDescent="0.35"/>
    <row r="39741" hidden="1" x14ac:dyDescent="0.35"/>
    <row r="39742" hidden="1" x14ac:dyDescent="0.35"/>
    <row r="39743" hidden="1" x14ac:dyDescent="0.35"/>
    <row r="39744" hidden="1" x14ac:dyDescent="0.35"/>
    <row r="39745" hidden="1" x14ac:dyDescent="0.35"/>
    <row r="39746" hidden="1" x14ac:dyDescent="0.35"/>
    <row r="39747" hidden="1" x14ac:dyDescent="0.35"/>
    <row r="39748" hidden="1" x14ac:dyDescent="0.35"/>
    <row r="39749" hidden="1" x14ac:dyDescent="0.35"/>
    <row r="39750" hidden="1" x14ac:dyDescent="0.35"/>
    <row r="39751" hidden="1" x14ac:dyDescent="0.35"/>
    <row r="39752" hidden="1" x14ac:dyDescent="0.35"/>
    <row r="39753" hidden="1" x14ac:dyDescent="0.35"/>
    <row r="39754" hidden="1" x14ac:dyDescent="0.35"/>
    <row r="39755" hidden="1" x14ac:dyDescent="0.35"/>
    <row r="39756" hidden="1" x14ac:dyDescent="0.35"/>
    <row r="39757" hidden="1" x14ac:dyDescent="0.35"/>
    <row r="39758" hidden="1" x14ac:dyDescent="0.35"/>
    <row r="39759" hidden="1" x14ac:dyDescent="0.35"/>
    <row r="39760" hidden="1" x14ac:dyDescent="0.35"/>
    <row r="39761" hidden="1" x14ac:dyDescent="0.35"/>
    <row r="39762" hidden="1" x14ac:dyDescent="0.35"/>
    <row r="39763" hidden="1" x14ac:dyDescent="0.35"/>
    <row r="39764" hidden="1" x14ac:dyDescent="0.35"/>
    <row r="39765" hidden="1" x14ac:dyDescent="0.35"/>
    <row r="39766" hidden="1" x14ac:dyDescent="0.35"/>
    <row r="39767" hidden="1" x14ac:dyDescent="0.35"/>
    <row r="39768" hidden="1" x14ac:dyDescent="0.35"/>
    <row r="39769" hidden="1" x14ac:dyDescent="0.35"/>
    <row r="39770" hidden="1" x14ac:dyDescent="0.35"/>
    <row r="39771" hidden="1" x14ac:dyDescent="0.35"/>
    <row r="39772" hidden="1" x14ac:dyDescent="0.35"/>
    <row r="39773" hidden="1" x14ac:dyDescent="0.35"/>
    <row r="39774" hidden="1" x14ac:dyDescent="0.35"/>
    <row r="39775" hidden="1" x14ac:dyDescent="0.35"/>
    <row r="39776" hidden="1" x14ac:dyDescent="0.35"/>
    <row r="39777" hidden="1" x14ac:dyDescent="0.35"/>
    <row r="39778" hidden="1" x14ac:dyDescent="0.35"/>
    <row r="39779" hidden="1" x14ac:dyDescent="0.35"/>
    <row r="39780" hidden="1" x14ac:dyDescent="0.35"/>
    <row r="39781" hidden="1" x14ac:dyDescent="0.35"/>
    <row r="39782" hidden="1" x14ac:dyDescent="0.35"/>
    <row r="39783" hidden="1" x14ac:dyDescent="0.35"/>
    <row r="39784" hidden="1" x14ac:dyDescent="0.35"/>
    <row r="39785" hidden="1" x14ac:dyDescent="0.35"/>
    <row r="39786" hidden="1" x14ac:dyDescent="0.35"/>
    <row r="39787" hidden="1" x14ac:dyDescent="0.35"/>
    <row r="39788" hidden="1" x14ac:dyDescent="0.35"/>
    <row r="39789" hidden="1" x14ac:dyDescent="0.35"/>
    <row r="39790" hidden="1" x14ac:dyDescent="0.35"/>
    <row r="39791" hidden="1" x14ac:dyDescent="0.35"/>
    <row r="39792" hidden="1" x14ac:dyDescent="0.35"/>
    <row r="39793" hidden="1" x14ac:dyDescent="0.35"/>
    <row r="39794" hidden="1" x14ac:dyDescent="0.35"/>
    <row r="39795" hidden="1" x14ac:dyDescent="0.35"/>
    <row r="39796" hidden="1" x14ac:dyDescent="0.35"/>
    <row r="39797" hidden="1" x14ac:dyDescent="0.35"/>
    <row r="39798" hidden="1" x14ac:dyDescent="0.35"/>
    <row r="39799" hidden="1" x14ac:dyDescent="0.35"/>
    <row r="39800" hidden="1" x14ac:dyDescent="0.35"/>
    <row r="39801" hidden="1" x14ac:dyDescent="0.35"/>
    <row r="39802" hidden="1" x14ac:dyDescent="0.35"/>
    <row r="39803" hidden="1" x14ac:dyDescent="0.35"/>
    <row r="39804" hidden="1" x14ac:dyDescent="0.35"/>
    <row r="39805" hidden="1" x14ac:dyDescent="0.35"/>
    <row r="39806" hidden="1" x14ac:dyDescent="0.35"/>
    <row r="39807" hidden="1" x14ac:dyDescent="0.35"/>
    <row r="39808" hidden="1" x14ac:dyDescent="0.35"/>
    <row r="39809" hidden="1" x14ac:dyDescent="0.35"/>
    <row r="39810" hidden="1" x14ac:dyDescent="0.35"/>
    <row r="39811" hidden="1" x14ac:dyDescent="0.35"/>
    <row r="39812" hidden="1" x14ac:dyDescent="0.35"/>
    <row r="39813" hidden="1" x14ac:dyDescent="0.35"/>
    <row r="39814" hidden="1" x14ac:dyDescent="0.35"/>
    <row r="39815" hidden="1" x14ac:dyDescent="0.35"/>
    <row r="39816" hidden="1" x14ac:dyDescent="0.35"/>
    <row r="39817" hidden="1" x14ac:dyDescent="0.35"/>
    <row r="39818" hidden="1" x14ac:dyDescent="0.35"/>
    <row r="39819" hidden="1" x14ac:dyDescent="0.35"/>
    <row r="39820" hidden="1" x14ac:dyDescent="0.35"/>
    <row r="39821" hidden="1" x14ac:dyDescent="0.35"/>
    <row r="39822" hidden="1" x14ac:dyDescent="0.35"/>
    <row r="39823" hidden="1" x14ac:dyDescent="0.35"/>
    <row r="39824" hidden="1" x14ac:dyDescent="0.35"/>
    <row r="39825" hidden="1" x14ac:dyDescent="0.35"/>
    <row r="39826" hidden="1" x14ac:dyDescent="0.35"/>
    <row r="39827" hidden="1" x14ac:dyDescent="0.35"/>
    <row r="39828" hidden="1" x14ac:dyDescent="0.35"/>
    <row r="39829" hidden="1" x14ac:dyDescent="0.35"/>
    <row r="39830" hidden="1" x14ac:dyDescent="0.35"/>
    <row r="39831" hidden="1" x14ac:dyDescent="0.35"/>
    <row r="39832" hidden="1" x14ac:dyDescent="0.35"/>
    <row r="39833" hidden="1" x14ac:dyDescent="0.35"/>
    <row r="39834" hidden="1" x14ac:dyDescent="0.35"/>
    <row r="39835" hidden="1" x14ac:dyDescent="0.35"/>
    <row r="39836" hidden="1" x14ac:dyDescent="0.35"/>
    <row r="39837" hidden="1" x14ac:dyDescent="0.35"/>
    <row r="39838" hidden="1" x14ac:dyDescent="0.35"/>
    <row r="39839" hidden="1" x14ac:dyDescent="0.35"/>
    <row r="39840" hidden="1" x14ac:dyDescent="0.35"/>
    <row r="39841" hidden="1" x14ac:dyDescent="0.35"/>
    <row r="39842" hidden="1" x14ac:dyDescent="0.35"/>
    <row r="39843" hidden="1" x14ac:dyDescent="0.35"/>
    <row r="39844" hidden="1" x14ac:dyDescent="0.35"/>
    <row r="39845" hidden="1" x14ac:dyDescent="0.35"/>
    <row r="39846" hidden="1" x14ac:dyDescent="0.35"/>
    <row r="39847" hidden="1" x14ac:dyDescent="0.35"/>
    <row r="39848" hidden="1" x14ac:dyDescent="0.35"/>
    <row r="39849" hidden="1" x14ac:dyDescent="0.35"/>
    <row r="39850" hidden="1" x14ac:dyDescent="0.35"/>
    <row r="39851" hidden="1" x14ac:dyDescent="0.35"/>
    <row r="39852" hidden="1" x14ac:dyDescent="0.35"/>
    <row r="39853" hidden="1" x14ac:dyDescent="0.35"/>
    <row r="39854" hidden="1" x14ac:dyDescent="0.35"/>
    <row r="39855" hidden="1" x14ac:dyDescent="0.35"/>
    <row r="39856" hidden="1" x14ac:dyDescent="0.35"/>
    <row r="39857" hidden="1" x14ac:dyDescent="0.35"/>
    <row r="39858" hidden="1" x14ac:dyDescent="0.35"/>
    <row r="39859" hidden="1" x14ac:dyDescent="0.35"/>
    <row r="39860" hidden="1" x14ac:dyDescent="0.35"/>
    <row r="39861" hidden="1" x14ac:dyDescent="0.35"/>
    <row r="39862" hidden="1" x14ac:dyDescent="0.35"/>
    <row r="39863" hidden="1" x14ac:dyDescent="0.35"/>
    <row r="39864" hidden="1" x14ac:dyDescent="0.35"/>
    <row r="39865" hidden="1" x14ac:dyDescent="0.35"/>
    <row r="39866" hidden="1" x14ac:dyDescent="0.35"/>
    <row r="39867" hidden="1" x14ac:dyDescent="0.35"/>
    <row r="39868" hidden="1" x14ac:dyDescent="0.35"/>
    <row r="39869" hidden="1" x14ac:dyDescent="0.35"/>
    <row r="39870" hidden="1" x14ac:dyDescent="0.35"/>
    <row r="39871" hidden="1" x14ac:dyDescent="0.35"/>
    <row r="39872" hidden="1" x14ac:dyDescent="0.35"/>
    <row r="39873" hidden="1" x14ac:dyDescent="0.35"/>
    <row r="39874" hidden="1" x14ac:dyDescent="0.35"/>
    <row r="39875" hidden="1" x14ac:dyDescent="0.35"/>
    <row r="39876" hidden="1" x14ac:dyDescent="0.35"/>
    <row r="39877" hidden="1" x14ac:dyDescent="0.35"/>
    <row r="39878" hidden="1" x14ac:dyDescent="0.35"/>
    <row r="39879" hidden="1" x14ac:dyDescent="0.35"/>
    <row r="39880" hidden="1" x14ac:dyDescent="0.35"/>
    <row r="39881" hidden="1" x14ac:dyDescent="0.35"/>
    <row r="39882" hidden="1" x14ac:dyDescent="0.35"/>
    <row r="39883" hidden="1" x14ac:dyDescent="0.35"/>
    <row r="39884" hidden="1" x14ac:dyDescent="0.35"/>
    <row r="39885" hidden="1" x14ac:dyDescent="0.35"/>
    <row r="39886" hidden="1" x14ac:dyDescent="0.35"/>
    <row r="39887" hidden="1" x14ac:dyDescent="0.35"/>
    <row r="39888" hidden="1" x14ac:dyDescent="0.35"/>
    <row r="39889" hidden="1" x14ac:dyDescent="0.35"/>
    <row r="39890" hidden="1" x14ac:dyDescent="0.35"/>
    <row r="39891" hidden="1" x14ac:dyDescent="0.35"/>
    <row r="39892" hidden="1" x14ac:dyDescent="0.35"/>
    <row r="39893" hidden="1" x14ac:dyDescent="0.35"/>
    <row r="39894" hidden="1" x14ac:dyDescent="0.35"/>
    <row r="39895" hidden="1" x14ac:dyDescent="0.35"/>
    <row r="39896" hidden="1" x14ac:dyDescent="0.35"/>
    <row r="39897" hidden="1" x14ac:dyDescent="0.35"/>
    <row r="39898" hidden="1" x14ac:dyDescent="0.35"/>
    <row r="39899" hidden="1" x14ac:dyDescent="0.35"/>
    <row r="39900" hidden="1" x14ac:dyDescent="0.35"/>
    <row r="39901" hidden="1" x14ac:dyDescent="0.35"/>
    <row r="39902" hidden="1" x14ac:dyDescent="0.35"/>
    <row r="39903" hidden="1" x14ac:dyDescent="0.35"/>
    <row r="39904" hidden="1" x14ac:dyDescent="0.35"/>
    <row r="39905" hidden="1" x14ac:dyDescent="0.35"/>
    <row r="39906" hidden="1" x14ac:dyDescent="0.35"/>
    <row r="39907" hidden="1" x14ac:dyDescent="0.35"/>
    <row r="39908" hidden="1" x14ac:dyDescent="0.35"/>
    <row r="39909" hidden="1" x14ac:dyDescent="0.35"/>
    <row r="39910" hidden="1" x14ac:dyDescent="0.35"/>
    <row r="39911" hidden="1" x14ac:dyDescent="0.35"/>
    <row r="39912" hidden="1" x14ac:dyDescent="0.35"/>
    <row r="39913" hidden="1" x14ac:dyDescent="0.35"/>
    <row r="39914" hidden="1" x14ac:dyDescent="0.35"/>
    <row r="39915" hidden="1" x14ac:dyDescent="0.35"/>
    <row r="39916" hidden="1" x14ac:dyDescent="0.35"/>
    <row r="39917" hidden="1" x14ac:dyDescent="0.35"/>
    <row r="39918" hidden="1" x14ac:dyDescent="0.35"/>
    <row r="39919" hidden="1" x14ac:dyDescent="0.35"/>
    <row r="39920" hidden="1" x14ac:dyDescent="0.35"/>
    <row r="39921" hidden="1" x14ac:dyDescent="0.35"/>
    <row r="39922" hidden="1" x14ac:dyDescent="0.35"/>
    <row r="39923" hidden="1" x14ac:dyDescent="0.35"/>
    <row r="39924" hidden="1" x14ac:dyDescent="0.35"/>
    <row r="39925" hidden="1" x14ac:dyDescent="0.35"/>
    <row r="39926" hidden="1" x14ac:dyDescent="0.35"/>
    <row r="39927" hidden="1" x14ac:dyDescent="0.35"/>
    <row r="39928" hidden="1" x14ac:dyDescent="0.35"/>
    <row r="39929" hidden="1" x14ac:dyDescent="0.35"/>
    <row r="39930" hidden="1" x14ac:dyDescent="0.35"/>
    <row r="39931" hidden="1" x14ac:dyDescent="0.35"/>
    <row r="39932" hidden="1" x14ac:dyDescent="0.35"/>
    <row r="39933" hidden="1" x14ac:dyDescent="0.35"/>
    <row r="39934" hidden="1" x14ac:dyDescent="0.35"/>
    <row r="39935" hidden="1" x14ac:dyDescent="0.35"/>
    <row r="39936" hidden="1" x14ac:dyDescent="0.35"/>
    <row r="39937" hidden="1" x14ac:dyDescent="0.35"/>
    <row r="39938" hidden="1" x14ac:dyDescent="0.35"/>
    <row r="39939" hidden="1" x14ac:dyDescent="0.35"/>
    <row r="39940" hidden="1" x14ac:dyDescent="0.35"/>
    <row r="39941" hidden="1" x14ac:dyDescent="0.35"/>
    <row r="39942" hidden="1" x14ac:dyDescent="0.35"/>
    <row r="39943" hidden="1" x14ac:dyDescent="0.35"/>
    <row r="39944" hidden="1" x14ac:dyDescent="0.35"/>
    <row r="39945" hidden="1" x14ac:dyDescent="0.35"/>
    <row r="39946" hidden="1" x14ac:dyDescent="0.35"/>
    <row r="39947" hidden="1" x14ac:dyDescent="0.35"/>
    <row r="39948" hidden="1" x14ac:dyDescent="0.35"/>
    <row r="39949" hidden="1" x14ac:dyDescent="0.35"/>
    <row r="39950" hidden="1" x14ac:dyDescent="0.35"/>
    <row r="39951" hidden="1" x14ac:dyDescent="0.35"/>
    <row r="39952" hidden="1" x14ac:dyDescent="0.35"/>
    <row r="39953" hidden="1" x14ac:dyDescent="0.35"/>
    <row r="39954" hidden="1" x14ac:dyDescent="0.35"/>
    <row r="39955" hidden="1" x14ac:dyDescent="0.35"/>
    <row r="39956" hidden="1" x14ac:dyDescent="0.35"/>
    <row r="39957" hidden="1" x14ac:dyDescent="0.35"/>
    <row r="39958" hidden="1" x14ac:dyDescent="0.35"/>
    <row r="39959" hidden="1" x14ac:dyDescent="0.35"/>
    <row r="39960" hidden="1" x14ac:dyDescent="0.35"/>
    <row r="39961" hidden="1" x14ac:dyDescent="0.35"/>
    <row r="39962" hidden="1" x14ac:dyDescent="0.35"/>
    <row r="39963" hidden="1" x14ac:dyDescent="0.35"/>
    <row r="39964" hidden="1" x14ac:dyDescent="0.35"/>
    <row r="39965" hidden="1" x14ac:dyDescent="0.35"/>
    <row r="39966" hidden="1" x14ac:dyDescent="0.35"/>
    <row r="39967" hidden="1" x14ac:dyDescent="0.35"/>
    <row r="39968" hidden="1" x14ac:dyDescent="0.35"/>
    <row r="39969" hidden="1" x14ac:dyDescent="0.35"/>
    <row r="39970" hidden="1" x14ac:dyDescent="0.35"/>
    <row r="39971" hidden="1" x14ac:dyDescent="0.35"/>
    <row r="39972" hidden="1" x14ac:dyDescent="0.35"/>
    <row r="39973" hidden="1" x14ac:dyDescent="0.35"/>
    <row r="39974" hidden="1" x14ac:dyDescent="0.35"/>
    <row r="39975" hidden="1" x14ac:dyDescent="0.35"/>
    <row r="39976" hidden="1" x14ac:dyDescent="0.35"/>
    <row r="39977" hidden="1" x14ac:dyDescent="0.35"/>
    <row r="39978" hidden="1" x14ac:dyDescent="0.35"/>
    <row r="39979" hidden="1" x14ac:dyDescent="0.35"/>
    <row r="39980" hidden="1" x14ac:dyDescent="0.35"/>
    <row r="39981" hidden="1" x14ac:dyDescent="0.35"/>
    <row r="39982" hidden="1" x14ac:dyDescent="0.35"/>
    <row r="39983" hidden="1" x14ac:dyDescent="0.35"/>
    <row r="39984" hidden="1" x14ac:dyDescent="0.35"/>
    <row r="39985" hidden="1" x14ac:dyDescent="0.35"/>
    <row r="39986" hidden="1" x14ac:dyDescent="0.35"/>
    <row r="39987" hidden="1" x14ac:dyDescent="0.35"/>
    <row r="39988" hidden="1" x14ac:dyDescent="0.35"/>
    <row r="39989" hidden="1" x14ac:dyDescent="0.35"/>
    <row r="39990" hidden="1" x14ac:dyDescent="0.35"/>
    <row r="39991" hidden="1" x14ac:dyDescent="0.35"/>
    <row r="39992" hidden="1" x14ac:dyDescent="0.35"/>
    <row r="39993" hidden="1" x14ac:dyDescent="0.35"/>
    <row r="39994" hidden="1" x14ac:dyDescent="0.35"/>
    <row r="39995" hidden="1" x14ac:dyDescent="0.35"/>
    <row r="39996" hidden="1" x14ac:dyDescent="0.35"/>
    <row r="39997" hidden="1" x14ac:dyDescent="0.35"/>
    <row r="39998" hidden="1" x14ac:dyDescent="0.35"/>
    <row r="39999" hidden="1" x14ac:dyDescent="0.35"/>
    <row r="40000" hidden="1" x14ac:dyDescent="0.35"/>
    <row r="40001" hidden="1" x14ac:dyDescent="0.35"/>
    <row r="40002" hidden="1" x14ac:dyDescent="0.35"/>
    <row r="40003" hidden="1" x14ac:dyDescent="0.35"/>
    <row r="40004" hidden="1" x14ac:dyDescent="0.35"/>
    <row r="40005" hidden="1" x14ac:dyDescent="0.35"/>
    <row r="40006" hidden="1" x14ac:dyDescent="0.35"/>
    <row r="40007" hidden="1" x14ac:dyDescent="0.35"/>
    <row r="40008" hidden="1" x14ac:dyDescent="0.35"/>
    <row r="40009" hidden="1" x14ac:dyDescent="0.35"/>
    <row r="40010" hidden="1" x14ac:dyDescent="0.35"/>
    <row r="40011" hidden="1" x14ac:dyDescent="0.35"/>
    <row r="40012" hidden="1" x14ac:dyDescent="0.35"/>
    <row r="40013" hidden="1" x14ac:dyDescent="0.35"/>
    <row r="40014" hidden="1" x14ac:dyDescent="0.35"/>
    <row r="40015" hidden="1" x14ac:dyDescent="0.35"/>
    <row r="40016" hidden="1" x14ac:dyDescent="0.35"/>
    <row r="40017" hidden="1" x14ac:dyDescent="0.35"/>
    <row r="40018" hidden="1" x14ac:dyDescent="0.35"/>
    <row r="40019" hidden="1" x14ac:dyDescent="0.35"/>
    <row r="40020" hidden="1" x14ac:dyDescent="0.35"/>
    <row r="40021" hidden="1" x14ac:dyDescent="0.35"/>
    <row r="40022" hidden="1" x14ac:dyDescent="0.35"/>
    <row r="40023" hidden="1" x14ac:dyDescent="0.35"/>
    <row r="40024" hidden="1" x14ac:dyDescent="0.35"/>
    <row r="40025" hidden="1" x14ac:dyDescent="0.35"/>
    <row r="40026" hidden="1" x14ac:dyDescent="0.35"/>
    <row r="40027" hidden="1" x14ac:dyDescent="0.35"/>
    <row r="40028" hidden="1" x14ac:dyDescent="0.35"/>
    <row r="40029" hidden="1" x14ac:dyDescent="0.35"/>
    <row r="40030" hidden="1" x14ac:dyDescent="0.35"/>
    <row r="40031" hidden="1" x14ac:dyDescent="0.35"/>
    <row r="40032" hidden="1" x14ac:dyDescent="0.35"/>
    <row r="40033" hidden="1" x14ac:dyDescent="0.35"/>
    <row r="40034" hidden="1" x14ac:dyDescent="0.35"/>
    <row r="40035" hidden="1" x14ac:dyDescent="0.35"/>
    <row r="40036" hidden="1" x14ac:dyDescent="0.35"/>
    <row r="40037" hidden="1" x14ac:dyDescent="0.35"/>
    <row r="40038" hidden="1" x14ac:dyDescent="0.35"/>
    <row r="40039" hidden="1" x14ac:dyDescent="0.35"/>
    <row r="40040" hidden="1" x14ac:dyDescent="0.35"/>
    <row r="40041" hidden="1" x14ac:dyDescent="0.35"/>
    <row r="40042" hidden="1" x14ac:dyDescent="0.35"/>
    <row r="40043" hidden="1" x14ac:dyDescent="0.35"/>
    <row r="40044" hidden="1" x14ac:dyDescent="0.35"/>
    <row r="40045" hidden="1" x14ac:dyDescent="0.35"/>
    <row r="40046" hidden="1" x14ac:dyDescent="0.35"/>
    <row r="40047" hidden="1" x14ac:dyDescent="0.35"/>
    <row r="40048" hidden="1" x14ac:dyDescent="0.35"/>
    <row r="40049" hidden="1" x14ac:dyDescent="0.35"/>
    <row r="40050" hidden="1" x14ac:dyDescent="0.35"/>
    <row r="40051" hidden="1" x14ac:dyDescent="0.35"/>
    <row r="40052" hidden="1" x14ac:dyDescent="0.35"/>
    <row r="40053" hidden="1" x14ac:dyDescent="0.35"/>
    <row r="40054" hidden="1" x14ac:dyDescent="0.35"/>
    <row r="40055" hidden="1" x14ac:dyDescent="0.35"/>
    <row r="40056" hidden="1" x14ac:dyDescent="0.35"/>
    <row r="40057" hidden="1" x14ac:dyDescent="0.35"/>
    <row r="40058" hidden="1" x14ac:dyDescent="0.35"/>
    <row r="40059" hidden="1" x14ac:dyDescent="0.35"/>
    <row r="40060" hidden="1" x14ac:dyDescent="0.35"/>
    <row r="40061" hidden="1" x14ac:dyDescent="0.35"/>
    <row r="40062" hidden="1" x14ac:dyDescent="0.35"/>
    <row r="40063" hidden="1" x14ac:dyDescent="0.35"/>
    <row r="40064" hidden="1" x14ac:dyDescent="0.35"/>
    <row r="40065" hidden="1" x14ac:dyDescent="0.35"/>
    <row r="40066" hidden="1" x14ac:dyDescent="0.35"/>
    <row r="40067" hidden="1" x14ac:dyDescent="0.35"/>
    <row r="40068" hidden="1" x14ac:dyDescent="0.35"/>
    <row r="40069" hidden="1" x14ac:dyDescent="0.35"/>
    <row r="40070" hidden="1" x14ac:dyDescent="0.35"/>
    <row r="40071" hidden="1" x14ac:dyDescent="0.35"/>
    <row r="40072" hidden="1" x14ac:dyDescent="0.35"/>
    <row r="40073" hidden="1" x14ac:dyDescent="0.35"/>
    <row r="40074" hidden="1" x14ac:dyDescent="0.35"/>
    <row r="40075" hidden="1" x14ac:dyDescent="0.35"/>
    <row r="40076" hidden="1" x14ac:dyDescent="0.35"/>
    <row r="40077" hidden="1" x14ac:dyDescent="0.35"/>
    <row r="40078" hidden="1" x14ac:dyDescent="0.35"/>
    <row r="40079" hidden="1" x14ac:dyDescent="0.35"/>
    <row r="40080" hidden="1" x14ac:dyDescent="0.35"/>
    <row r="40081" hidden="1" x14ac:dyDescent="0.35"/>
    <row r="40082" hidden="1" x14ac:dyDescent="0.35"/>
    <row r="40083" hidden="1" x14ac:dyDescent="0.35"/>
    <row r="40084" hidden="1" x14ac:dyDescent="0.35"/>
    <row r="40085" hidden="1" x14ac:dyDescent="0.35"/>
    <row r="40086" hidden="1" x14ac:dyDescent="0.35"/>
    <row r="40087" hidden="1" x14ac:dyDescent="0.35"/>
    <row r="40088" hidden="1" x14ac:dyDescent="0.35"/>
    <row r="40089" hidden="1" x14ac:dyDescent="0.35"/>
    <row r="40090" hidden="1" x14ac:dyDescent="0.35"/>
    <row r="40091" hidden="1" x14ac:dyDescent="0.35"/>
    <row r="40092" hidden="1" x14ac:dyDescent="0.35"/>
    <row r="40093" hidden="1" x14ac:dyDescent="0.35"/>
    <row r="40094" hidden="1" x14ac:dyDescent="0.35"/>
    <row r="40095" hidden="1" x14ac:dyDescent="0.35"/>
    <row r="40096" hidden="1" x14ac:dyDescent="0.35"/>
    <row r="40097" hidden="1" x14ac:dyDescent="0.35"/>
    <row r="40098" hidden="1" x14ac:dyDescent="0.35"/>
    <row r="40099" hidden="1" x14ac:dyDescent="0.35"/>
    <row r="40100" hidden="1" x14ac:dyDescent="0.35"/>
    <row r="40101" hidden="1" x14ac:dyDescent="0.35"/>
    <row r="40102" hidden="1" x14ac:dyDescent="0.35"/>
    <row r="40103" hidden="1" x14ac:dyDescent="0.35"/>
    <row r="40104" hidden="1" x14ac:dyDescent="0.35"/>
    <row r="40105" hidden="1" x14ac:dyDescent="0.35"/>
    <row r="40106" hidden="1" x14ac:dyDescent="0.35"/>
    <row r="40107" hidden="1" x14ac:dyDescent="0.35"/>
    <row r="40108" hidden="1" x14ac:dyDescent="0.35"/>
    <row r="40109" hidden="1" x14ac:dyDescent="0.35"/>
    <row r="40110" hidden="1" x14ac:dyDescent="0.35"/>
    <row r="40111" hidden="1" x14ac:dyDescent="0.35"/>
    <row r="40112" hidden="1" x14ac:dyDescent="0.35"/>
    <row r="40113" hidden="1" x14ac:dyDescent="0.35"/>
    <row r="40114" hidden="1" x14ac:dyDescent="0.35"/>
    <row r="40115" hidden="1" x14ac:dyDescent="0.35"/>
    <row r="40116" hidden="1" x14ac:dyDescent="0.35"/>
    <row r="40117" hidden="1" x14ac:dyDescent="0.35"/>
    <row r="40118" hidden="1" x14ac:dyDescent="0.35"/>
    <row r="40119" hidden="1" x14ac:dyDescent="0.35"/>
    <row r="40120" hidden="1" x14ac:dyDescent="0.35"/>
    <row r="40121" hidden="1" x14ac:dyDescent="0.35"/>
    <row r="40122" hidden="1" x14ac:dyDescent="0.35"/>
    <row r="40123" hidden="1" x14ac:dyDescent="0.35"/>
    <row r="40124" hidden="1" x14ac:dyDescent="0.35"/>
    <row r="40125" hidden="1" x14ac:dyDescent="0.35"/>
    <row r="40126" hidden="1" x14ac:dyDescent="0.35"/>
    <row r="40127" hidden="1" x14ac:dyDescent="0.35"/>
    <row r="40128" hidden="1" x14ac:dyDescent="0.35"/>
    <row r="40129" hidden="1" x14ac:dyDescent="0.35"/>
    <row r="40130" hidden="1" x14ac:dyDescent="0.35"/>
    <row r="40131" hidden="1" x14ac:dyDescent="0.35"/>
    <row r="40132" hidden="1" x14ac:dyDescent="0.35"/>
    <row r="40133" hidden="1" x14ac:dyDescent="0.35"/>
    <row r="40134" hidden="1" x14ac:dyDescent="0.35"/>
    <row r="40135" hidden="1" x14ac:dyDescent="0.35"/>
    <row r="40136" hidden="1" x14ac:dyDescent="0.35"/>
    <row r="40137" hidden="1" x14ac:dyDescent="0.35"/>
    <row r="40138" hidden="1" x14ac:dyDescent="0.35"/>
    <row r="40139" hidden="1" x14ac:dyDescent="0.35"/>
    <row r="40140" hidden="1" x14ac:dyDescent="0.35"/>
    <row r="40141" hidden="1" x14ac:dyDescent="0.35"/>
    <row r="40142" hidden="1" x14ac:dyDescent="0.35"/>
    <row r="40143" hidden="1" x14ac:dyDescent="0.35"/>
    <row r="40144" hidden="1" x14ac:dyDescent="0.35"/>
    <row r="40145" hidden="1" x14ac:dyDescent="0.35"/>
    <row r="40146" hidden="1" x14ac:dyDescent="0.35"/>
    <row r="40147" hidden="1" x14ac:dyDescent="0.35"/>
    <row r="40148" hidden="1" x14ac:dyDescent="0.35"/>
    <row r="40149" hidden="1" x14ac:dyDescent="0.35"/>
    <row r="40150" hidden="1" x14ac:dyDescent="0.35"/>
    <row r="40151" hidden="1" x14ac:dyDescent="0.35"/>
    <row r="40152" hidden="1" x14ac:dyDescent="0.35"/>
    <row r="40153" hidden="1" x14ac:dyDescent="0.35"/>
    <row r="40154" hidden="1" x14ac:dyDescent="0.35"/>
    <row r="40155" hidden="1" x14ac:dyDescent="0.35"/>
    <row r="40156" hidden="1" x14ac:dyDescent="0.35"/>
    <row r="40157" hidden="1" x14ac:dyDescent="0.35"/>
    <row r="40158" hidden="1" x14ac:dyDescent="0.35"/>
    <row r="40159" hidden="1" x14ac:dyDescent="0.35"/>
    <row r="40160" hidden="1" x14ac:dyDescent="0.35"/>
    <row r="40161" hidden="1" x14ac:dyDescent="0.35"/>
    <row r="40162" hidden="1" x14ac:dyDescent="0.35"/>
    <row r="40163" hidden="1" x14ac:dyDescent="0.35"/>
    <row r="40164" hidden="1" x14ac:dyDescent="0.35"/>
    <row r="40165" hidden="1" x14ac:dyDescent="0.35"/>
    <row r="40166" hidden="1" x14ac:dyDescent="0.35"/>
    <row r="40167" hidden="1" x14ac:dyDescent="0.35"/>
    <row r="40168" hidden="1" x14ac:dyDescent="0.35"/>
    <row r="40169" hidden="1" x14ac:dyDescent="0.35"/>
    <row r="40170" hidden="1" x14ac:dyDescent="0.35"/>
    <row r="40171" hidden="1" x14ac:dyDescent="0.35"/>
    <row r="40172" hidden="1" x14ac:dyDescent="0.35"/>
    <row r="40173" hidden="1" x14ac:dyDescent="0.35"/>
    <row r="40174" hidden="1" x14ac:dyDescent="0.35"/>
    <row r="40175" hidden="1" x14ac:dyDescent="0.35"/>
    <row r="40176" hidden="1" x14ac:dyDescent="0.35"/>
    <row r="40177" hidden="1" x14ac:dyDescent="0.35"/>
    <row r="40178" hidden="1" x14ac:dyDescent="0.35"/>
    <row r="40179" hidden="1" x14ac:dyDescent="0.35"/>
    <row r="40180" hidden="1" x14ac:dyDescent="0.35"/>
    <row r="40181" hidden="1" x14ac:dyDescent="0.35"/>
    <row r="40182" hidden="1" x14ac:dyDescent="0.35"/>
    <row r="40183" hidden="1" x14ac:dyDescent="0.35"/>
    <row r="40184" hidden="1" x14ac:dyDescent="0.35"/>
    <row r="40185" hidden="1" x14ac:dyDescent="0.35"/>
    <row r="40186" hidden="1" x14ac:dyDescent="0.35"/>
    <row r="40187" hidden="1" x14ac:dyDescent="0.35"/>
    <row r="40188" hidden="1" x14ac:dyDescent="0.35"/>
    <row r="40189" hidden="1" x14ac:dyDescent="0.35"/>
    <row r="40190" hidden="1" x14ac:dyDescent="0.35"/>
    <row r="40191" hidden="1" x14ac:dyDescent="0.35"/>
    <row r="40192" hidden="1" x14ac:dyDescent="0.35"/>
    <row r="40193" hidden="1" x14ac:dyDescent="0.35"/>
    <row r="40194" hidden="1" x14ac:dyDescent="0.35"/>
    <row r="40195" hidden="1" x14ac:dyDescent="0.35"/>
    <row r="40196" hidden="1" x14ac:dyDescent="0.35"/>
    <row r="40197" hidden="1" x14ac:dyDescent="0.35"/>
    <row r="40198" hidden="1" x14ac:dyDescent="0.35"/>
    <row r="40199" hidden="1" x14ac:dyDescent="0.35"/>
    <row r="40200" hidden="1" x14ac:dyDescent="0.35"/>
    <row r="40201" hidden="1" x14ac:dyDescent="0.35"/>
    <row r="40202" hidden="1" x14ac:dyDescent="0.35"/>
    <row r="40203" hidden="1" x14ac:dyDescent="0.35"/>
    <row r="40204" hidden="1" x14ac:dyDescent="0.35"/>
    <row r="40205" hidden="1" x14ac:dyDescent="0.35"/>
    <row r="40206" hidden="1" x14ac:dyDescent="0.35"/>
    <row r="40207" hidden="1" x14ac:dyDescent="0.35"/>
    <row r="40208" hidden="1" x14ac:dyDescent="0.35"/>
    <row r="40209" hidden="1" x14ac:dyDescent="0.35"/>
    <row r="40210" hidden="1" x14ac:dyDescent="0.35"/>
    <row r="40211" hidden="1" x14ac:dyDescent="0.35"/>
    <row r="40212" hidden="1" x14ac:dyDescent="0.35"/>
    <row r="40213" hidden="1" x14ac:dyDescent="0.35"/>
    <row r="40214" hidden="1" x14ac:dyDescent="0.35"/>
    <row r="40215" hidden="1" x14ac:dyDescent="0.35"/>
    <row r="40216" hidden="1" x14ac:dyDescent="0.35"/>
    <row r="40217" hidden="1" x14ac:dyDescent="0.35"/>
    <row r="40218" hidden="1" x14ac:dyDescent="0.35"/>
    <row r="40219" hidden="1" x14ac:dyDescent="0.35"/>
    <row r="40220" hidden="1" x14ac:dyDescent="0.35"/>
    <row r="40221" hidden="1" x14ac:dyDescent="0.35"/>
    <row r="40222" hidden="1" x14ac:dyDescent="0.35"/>
    <row r="40223" hidden="1" x14ac:dyDescent="0.35"/>
    <row r="40224" hidden="1" x14ac:dyDescent="0.35"/>
    <row r="40225" hidden="1" x14ac:dyDescent="0.35"/>
    <row r="40226" hidden="1" x14ac:dyDescent="0.35"/>
    <row r="40227" hidden="1" x14ac:dyDescent="0.35"/>
    <row r="40228" hidden="1" x14ac:dyDescent="0.35"/>
    <row r="40229" hidden="1" x14ac:dyDescent="0.35"/>
    <row r="40230" hidden="1" x14ac:dyDescent="0.35"/>
    <row r="40231" hidden="1" x14ac:dyDescent="0.35"/>
    <row r="40232" hidden="1" x14ac:dyDescent="0.35"/>
    <row r="40233" hidden="1" x14ac:dyDescent="0.35"/>
    <row r="40234" hidden="1" x14ac:dyDescent="0.35"/>
    <row r="40235" hidden="1" x14ac:dyDescent="0.35"/>
    <row r="40236" hidden="1" x14ac:dyDescent="0.35"/>
    <row r="40237" hidden="1" x14ac:dyDescent="0.35"/>
    <row r="40238" hidden="1" x14ac:dyDescent="0.35"/>
    <row r="40239" hidden="1" x14ac:dyDescent="0.35"/>
    <row r="40240" hidden="1" x14ac:dyDescent="0.35"/>
    <row r="40241" hidden="1" x14ac:dyDescent="0.35"/>
    <row r="40242" hidden="1" x14ac:dyDescent="0.35"/>
    <row r="40243" hidden="1" x14ac:dyDescent="0.35"/>
    <row r="40244" hidden="1" x14ac:dyDescent="0.35"/>
    <row r="40245" hidden="1" x14ac:dyDescent="0.35"/>
    <row r="40246" hidden="1" x14ac:dyDescent="0.35"/>
    <row r="40247" hidden="1" x14ac:dyDescent="0.35"/>
    <row r="40248" hidden="1" x14ac:dyDescent="0.35"/>
    <row r="40249" hidden="1" x14ac:dyDescent="0.35"/>
    <row r="40250" hidden="1" x14ac:dyDescent="0.35"/>
    <row r="40251" hidden="1" x14ac:dyDescent="0.35"/>
    <row r="40252" hidden="1" x14ac:dyDescent="0.35"/>
    <row r="40253" hidden="1" x14ac:dyDescent="0.35"/>
    <row r="40254" hidden="1" x14ac:dyDescent="0.35"/>
    <row r="40255" hidden="1" x14ac:dyDescent="0.35"/>
    <row r="40256" hidden="1" x14ac:dyDescent="0.35"/>
    <row r="40257" hidden="1" x14ac:dyDescent="0.35"/>
    <row r="40258" hidden="1" x14ac:dyDescent="0.35"/>
    <row r="40259" hidden="1" x14ac:dyDescent="0.35"/>
    <row r="40260" hidden="1" x14ac:dyDescent="0.35"/>
    <row r="40261" hidden="1" x14ac:dyDescent="0.35"/>
    <row r="40262" hidden="1" x14ac:dyDescent="0.35"/>
    <row r="40263" hidden="1" x14ac:dyDescent="0.35"/>
    <row r="40264" hidden="1" x14ac:dyDescent="0.35"/>
    <row r="40265" hidden="1" x14ac:dyDescent="0.35"/>
    <row r="40266" hidden="1" x14ac:dyDescent="0.35"/>
    <row r="40267" hidden="1" x14ac:dyDescent="0.35"/>
    <row r="40268" hidden="1" x14ac:dyDescent="0.35"/>
    <row r="40269" hidden="1" x14ac:dyDescent="0.35"/>
    <row r="40270" hidden="1" x14ac:dyDescent="0.35"/>
    <row r="40271" hidden="1" x14ac:dyDescent="0.35"/>
    <row r="40272" hidden="1" x14ac:dyDescent="0.35"/>
    <row r="40273" hidden="1" x14ac:dyDescent="0.35"/>
    <row r="40274" hidden="1" x14ac:dyDescent="0.35"/>
    <row r="40275" hidden="1" x14ac:dyDescent="0.35"/>
    <row r="40276" hidden="1" x14ac:dyDescent="0.35"/>
    <row r="40277" hidden="1" x14ac:dyDescent="0.35"/>
    <row r="40278" hidden="1" x14ac:dyDescent="0.35"/>
    <row r="40279" hidden="1" x14ac:dyDescent="0.35"/>
    <row r="40280" hidden="1" x14ac:dyDescent="0.35"/>
    <row r="40281" hidden="1" x14ac:dyDescent="0.35"/>
    <row r="40282" hidden="1" x14ac:dyDescent="0.35"/>
    <row r="40283" hidden="1" x14ac:dyDescent="0.35"/>
    <row r="40284" hidden="1" x14ac:dyDescent="0.35"/>
    <row r="40285" hidden="1" x14ac:dyDescent="0.35"/>
    <row r="40286" hidden="1" x14ac:dyDescent="0.35"/>
    <row r="40287" hidden="1" x14ac:dyDescent="0.35"/>
    <row r="40288" hidden="1" x14ac:dyDescent="0.35"/>
    <row r="40289" hidden="1" x14ac:dyDescent="0.35"/>
    <row r="40290" hidden="1" x14ac:dyDescent="0.35"/>
    <row r="40291" hidden="1" x14ac:dyDescent="0.35"/>
    <row r="40292" hidden="1" x14ac:dyDescent="0.35"/>
    <row r="40293" hidden="1" x14ac:dyDescent="0.35"/>
    <row r="40294" hidden="1" x14ac:dyDescent="0.35"/>
    <row r="40295" hidden="1" x14ac:dyDescent="0.35"/>
    <row r="40296" hidden="1" x14ac:dyDescent="0.35"/>
    <row r="40297" hidden="1" x14ac:dyDescent="0.35"/>
    <row r="40298" hidden="1" x14ac:dyDescent="0.35"/>
    <row r="40299" hidden="1" x14ac:dyDescent="0.35"/>
    <row r="40300" hidden="1" x14ac:dyDescent="0.35"/>
    <row r="40301" hidden="1" x14ac:dyDescent="0.35"/>
    <row r="40302" hidden="1" x14ac:dyDescent="0.35"/>
    <row r="40303" hidden="1" x14ac:dyDescent="0.35"/>
    <row r="40304" hidden="1" x14ac:dyDescent="0.35"/>
    <row r="40305" hidden="1" x14ac:dyDescent="0.35"/>
    <row r="40306" hidden="1" x14ac:dyDescent="0.35"/>
    <row r="40307" hidden="1" x14ac:dyDescent="0.35"/>
    <row r="40308" hidden="1" x14ac:dyDescent="0.35"/>
    <row r="40309" hidden="1" x14ac:dyDescent="0.35"/>
    <row r="40310" hidden="1" x14ac:dyDescent="0.35"/>
    <row r="40311" hidden="1" x14ac:dyDescent="0.35"/>
    <row r="40312" hidden="1" x14ac:dyDescent="0.35"/>
    <row r="40313" hidden="1" x14ac:dyDescent="0.35"/>
    <row r="40314" hidden="1" x14ac:dyDescent="0.35"/>
    <row r="40315" hidden="1" x14ac:dyDescent="0.35"/>
    <row r="40316" hidden="1" x14ac:dyDescent="0.35"/>
    <row r="40317" hidden="1" x14ac:dyDescent="0.35"/>
    <row r="40318" hidden="1" x14ac:dyDescent="0.35"/>
    <row r="40319" hidden="1" x14ac:dyDescent="0.35"/>
    <row r="40320" hidden="1" x14ac:dyDescent="0.35"/>
    <row r="40321" hidden="1" x14ac:dyDescent="0.35"/>
    <row r="40322" hidden="1" x14ac:dyDescent="0.35"/>
    <row r="40323" hidden="1" x14ac:dyDescent="0.35"/>
    <row r="40324" hidden="1" x14ac:dyDescent="0.35"/>
    <row r="40325" hidden="1" x14ac:dyDescent="0.35"/>
    <row r="40326" hidden="1" x14ac:dyDescent="0.35"/>
    <row r="40327" hidden="1" x14ac:dyDescent="0.35"/>
    <row r="40328" hidden="1" x14ac:dyDescent="0.35"/>
    <row r="40329" hidden="1" x14ac:dyDescent="0.35"/>
    <row r="40330" hidden="1" x14ac:dyDescent="0.35"/>
    <row r="40331" hidden="1" x14ac:dyDescent="0.35"/>
    <row r="40332" hidden="1" x14ac:dyDescent="0.35"/>
    <row r="40333" hidden="1" x14ac:dyDescent="0.35"/>
    <row r="40334" hidden="1" x14ac:dyDescent="0.35"/>
    <row r="40335" hidden="1" x14ac:dyDescent="0.35"/>
    <row r="40336" hidden="1" x14ac:dyDescent="0.35"/>
    <row r="40337" hidden="1" x14ac:dyDescent="0.35"/>
    <row r="40338" hidden="1" x14ac:dyDescent="0.35"/>
    <row r="40339" hidden="1" x14ac:dyDescent="0.35"/>
    <row r="40340" hidden="1" x14ac:dyDescent="0.35"/>
    <row r="40341" hidden="1" x14ac:dyDescent="0.35"/>
    <row r="40342" hidden="1" x14ac:dyDescent="0.35"/>
    <row r="40343" hidden="1" x14ac:dyDescent="0.35"/>
    <row r="40344" hidden="1" x14ac:dyDescent="0.35"/>
    <row r="40345" hidden="1" x14ac:dyDescent="0.35"/>
    <row r="40346" hidden="1" x14ac:dyDescent="0.35"/>
    <row r="40347" hidden="1" x14ac:dyDescent="0.35"/>
    <row r="40348" hidden="1" x14ac:dyDescent="0.35"/>
    <row r="40349" hidden="1" x14ac:dyDescent="0.35"/>
    <row r="40350" hidden="1" x14ac:dyDescent="0.35"/>
    <row r="40351" hidden="1" x14ac:dyDescent="0.35"/>
    <row r="40352" hidden="1" x14ac:dyDescent="0.35"/>
    <row r="40353" hidden="1" x14ac:dyDescent="0.35"/>
    <row r="40354" hidden="1" x14ac:dyDescent="0.35"/>
    <row r="40355" hidden="1" x14ac:dyDescent="0.35"/>
    <row r="40356" hidden="1" x14ac:dyDescent="0.35"/>
    <row r="40357" hidden="1" x14ac:dyDescent="0.35"/>
    <row r="40358" hidden="1" x14ac:dyDescent="0.35"/>
    <row r="40359" hidden="1" x14ac:dyDescent="0.35"/>
    <row r="40360" hidden="1" x14ac:dyDescent="0.35"/>
    <row r="40361" hidden="1" x14ac:dyDescent="0.35"/>
    <row r="40362" hidden="1" x14ac:dyDescent="0.35"/>
    <row r="40363" hidden="1" x14ac:dyDescent="0.35"/>
    <row r="40364" hidden="1" x14ac:dyDescent="0.35"/>
    <row r="40365" hidden="1" x14ac:dyDescent="0.35"/>
    <row r="40366" hidden="1" x14ac:dyDescent="0.35"/>
    <row r="40367" hidden="1" x14ac:dyDescent="0.35"/>
    <row r="40368" hidden="1" x14ac:dyDescent="0.35"/>
    <row r="40369" hidden="1" x14ac:dyDescent="0.35"/>
    <row r="40370" hidden="1" x14ac:dyDescent="0.35"/>
    <row r="40371" hidden="1" x14ac:dyDescent="0.35"/>
    <row r="40372" hidden="1" x14ac:dyDescent="0.35"/>
    <row r="40373" hidden="1" x14ac:dyDescent="0.35"/>
    <row r="40374" hidden="1" x14ac:dyDescent="0.35"/>
    <row r="40375" hidden="1" x14ac:dyDescent="0.35"/>
    <row r="40376" hidden="1" x14ac:dyDescent="0.35"/>
    <row r="40377" hidden="1" x14ac:dyDescent="0.35"/>
    <row r="40378" hidden="1" x14ac:dyDescent="0.35"/>
    <row r="40379" hidden="1" x14ac:dyDescent="0.35"/>
    <row r="40380" hidden="1" x14ac:dyDescent="0.35"/>
    <row r="40381" hidden="1" x14ac:dyDescent="0.35"/>
    <row r="40382" hidden="1" x14ac:dyDescent="0.35"/>
    <row r="40383" hidden="1" x14ac:dyDescent="0.35"/>
    <row r="40384" hidden="1" x14ac:dyDescent="0.35"/>
    <row r="40385" hidden="1" x14ac:dyDescent="0.35"/>
    <row r="40386" hidden="1" x14ac:dyDescent="0.35"/>
    <row r="40387" hidden="1" x14ac:dyDescent="0.35"/>
    <row r="40388" hidden="1" x14ac:dyDescent="0.35"/>
    <row r="40389" hidden="1" x14ac:dyDescent="0.35"/>
    <row r="40390" hidden="1" x14ac:dyDescent="0.35"/>
    <row r="40391" hidden="1" x14ac:dyDescent="0.35"/>
    <row r="40392" hidden="1" x14ac:dyDescent="0.35"/>
    <row r="40393" hidden="1" x14ac:dyDescent="0.35"/>
    <row r="40394" hidden="1" x14ac:dyDescent="0.35"/>
    <row r="40395" hidden="1" x14ac:dyDescent="0.35"/>
    <row r="40396" hidden="1" x14ac:dyDescent="0.35"/>
    <row r="40397" hidden="1" x14ac:dyDescent="0.35"/>
    <row r="40398" hidden="1" x14ac:dyDescent="0.35"/>
    <row r="40399" hidden="1" x14ac:dyDescent="0.35"/>
    <row r="40400" hidden="1" x14ac:dyDescent="0.35"/>
    <row r="40401" hidden="1" x14ac:dyDescent="0.35"/>
    <row r="40402" hidden="1" x14ac:dyDescent="0.35"/>
    <row r="40403" hidden="1" x14ac:dyDescent="0.35"/>
    <row r="40404" hidden="1" x14ac:dyDescent="0.35"/>
    <row r="40405" hidden="1" x14ac:dyDescent="0.35"/>
    <row r="40406" hidden="1" x14ac:dyDescent="0.35"/>
    <row r="40407" hidden="1" x14ac:dyDescent="0.35"/>
    <row r="40408" hidden="1" x14ac:dyDescent="0.35"/>
    <row r="40409" hidden="1" x14ac:dyDescent="0.35"/>
    <row r="40410" hidden="1" x14ac:dyDescent="0.35"/>
    <row r="40411" hidden="1" x14ac:dyDescent="0.35"/>
    <row r="40412" hidden="1" x14ac:dyDescent="0.35"/>
    <row r="40413" hidden="1" x14ac:dyDescent="0.35"/>
    <row r="40414" hidden="1" x14ac:dyDescent="0.35"/>
    <row r="40415" hidden="1" x14ac:dyDescent="0.35"/>
    <row r="40416" hidden="1" x14ac:dyDescent="0.35"/>
    <row r="40417" hidden="1" x14ac:dyDescent="0.35"/>
    <row r="40418" hidden="1" x14ac:dyDescent="0.35"/>
    <row r="40419" hidden="1" x14ac:dyDescent="0.35"/>
    <row r="40420" hidden="1" x14ac:dyDescent="0.35"/>
    <row r="40421" hidden="1" x14ac:dyDescent="0.35"/>
    <row r="40422" hidden="1" x14ac:dyDescent="0.35"/>
    <row r="40423" hidden="1" x14ac:dyDescent="0.35"/>
    <row r="40424" hidden="1" x14ac:dyDescent="0.35"/>
    <row r="40425" hidden="1" x14ac:dyDescent="0.35"/>
    <row r="40426" hidden="1" x14ac:dyDescent="0.35"/>
    <row r="40427" hidden="1" x14ac:dyDescent="0.35"/>
    <row r="40428" hidden="1" x14ac:dyDescent="0.35"/>
    <row r="40429" hidden="1" x14ac:dyDescent="0.35"/>
    <row r="40430" hidden="1" x14ac:dyDescent="0.35"/>
    <row r="40431" hidden="1" x14ac:dyDescent="0.35"/>
    <row r="40432" hidden="1" x14ac:dyDescent="0.35"/>
    <row r="40433" hidden="1" x14ac:dyDescent="0.35"/>
    <row r="40434" hidden="1" x14ac:dyDescent="0.35"/>
    <row r="40435" hidden="1" x14ac:dyDescent="0.35"/>
    <row r="40436" hidden="1" x14ac:dyDescent="0.35"/>
    <row r="40437" hidden="1" x14ac:dyDescent="0.35"/>
    <row r="40438" hidden="1" x14ac:dyDescent="0.35"/>
    <row r="40439" hidden="1" x14ac:dyDescent="0.35"/>
    <row r="40440" hidden="1" x14ac:dyDescent="0.35"/>
    <row r="40441" hidden="1" x14ac:dyDescent="0.35"/>
    <row r="40442" hidden="1" x14ac:dyDescent="0.35"/>
    <row r="40443" hidden="1" x14ac:dyDescent="0.35"/>
    <row r="40444" hidden="1" x14ac:dyDescent="0.35"/>
    <row r="40445" hidden="1" x14ac:dyDescent="0.35"/>
    <row r="40446" hidden="1" x14ac:dyDescent="0.35"/>
    <row r="40447" hidden="1" x14ac:dyDescent="0.35"/>
    <row r="40448" hidden="1" x14ac:dyDescent="0.35"/>
    <row r="40449" hidden="1" x14ac:dyDescent="0.35"/>
    <row r="40450" hidden="1" x14ac:dyDescent="0.35"/>
    <row r="40451" hidden="1" x14ac:dyDescent="0.35"/>
    <row r="40452" hidden="1" x14ac:dyDescent="0.35"/>
    <row r="40453" hidden="1" x14ac:dyDescent="0.35"/>
    <row r="40454" hidden="1" x14ac:dyDescent="0.35"/>
    <row r="40455" hidden="1" x14ac:dyDescent="0.35"/>
    <row r="40456" hidden="1" x14ac:dyDescent="0.35"/>
    <row r="40457" hidden="1" x14ac:dyDescent="0.35"/>
    <row r="40458" hidden="1" x14ac:dyDescent="0.35"/>
    <row r="40459" hidden="1" x14ac:dyDescent="0.35"/>
    <row r="40460" hidden="1" x14ac:dyDescent="0.35"/>
    <row r="40461" hidden="1" x14ac:dyDescent="0.35"/>
    <row r="40462" hidden="1" x14ac:dyDescent="0.35"/>
    <row r="40463" hidden="1" x14ac:dyDescent="0.35"/>
    <row r="40464" hidden="1" x14ac:dyDescent="0.35"/>
    <row r="40465" hidden="1" x14ac:dyDescent="0.35"/>
    <row r="40466" hidden="1" x14ac:dyDescent="0.35"/>
    <row r="40467" hidden="1" x14ac:dyDescent="0.35"/>
    <row r="40468" hidden="1" x14ac:dyDescent="0.35"/>
    <row r="40469" hidden="1" x14ac:dyDescent="0.35"/>
    <row r="40470" hidden="1" x14ac:dyDescent="0.35"/>
    <row r="40471" hidden="1" x14ac:dyDescent="0.35"/>
    <row r="40472" hidden="1" x14ac:dyDescent="0.35"/>
    <row r="40473" hidden="1" x14ac:dyDescent="0.35"/>
    <row r="40474" hidden="1" x14ac:dyDescent="0.35"/>
    <row r="40475" hidden="1" x14ac:dyDescent="0.35"/>
    <row r="40476" hidden="1" x14ac:dyDescent="0.35"/>
    <row r="40477" hidden="1" x14ac:dyDescent="0.35"/>
    <row r="40478" hidden="1" x14ac:dyDescent="0.35"/>
    <row r="40479" hidden="1" x14ac:dyDescent="0.35"/>
    <row r="40480" hidden="1" x14ac:dyDescent="0.35"/>
    <row r="40481" hidden="1" x14ac:dyDescent="0.35"/>
    <row r="40482" hidden="1" x14ac:dyDescent="0.35"/>
    <row r="40483" hidden="1" x14ac:dyDescent="0.35"/>
    <row r="40484" hidden="1" x14ac:dyDescent="0.35"/>
    <row r="40485" hidden="1" x14ac:dyDescent="0.35"/>
    <row r="40486" hidden="1" x14ac:dyDescent="0.35"/>
    <row r="40487" hidden="1" x14ac:dyDescent="0.35"/>
    <row r="40488" hidden="1" x14ac:dyDescent="0.35"/>
    <row r="40489" hidden="1" x14ac:dyDescent="0.35"/>
    <row r="40490" hidden="1" x14ac:dyDescent="0.35"/>
    <row r="40491" hidden="1" x14ac:dyDescent="0.35"/>
    <row r="40492" hidden="1" x14ac:dyDescent="0.35"/>
    <row r="40493" hidden="1" x14ac:dyDescent="0.35"/>
    <row r="40494" hidden="1" x14ac:dyDescent="0.35"/>
    <row r="40495" hidden="1" x14ac:dyDescent="0.35"/>
    <row r="40496" hidden="1" x14ac:dyDescent="0.35"/>
    <row r="40497" hidden="1" x14ac:dyDescent="0.35"/>
    <row r="40498" hidden="1" x14ac:dyDescent="0.35"/>
    <row r="40499" hidden="1" x14ac:dyDescent="0.35"/>
    <row r="40500" hidden="1" x14ac:dyDescent="0.35"/>
    <row r="40501" hidden="1" x14ac:dyDescent="0.35"/>
    <row r="40502" hidden="1" x14ac:dyDescent="0.35"/>
    <row r="40503" hidden="1" x14ac:dyDescent="0.35"/>
    <row r="40504" hidden="1" x14ac:dyDescent="0.35"/>
    <row r="40505" hidden="1" x14ac:dyDescent="0.35"/>
    <row r="40506" hidden="1" x14ac:dyDescent="0.35"/>
    <row r="40507" hidden="1" x14ac:dyDescent="0.35"/>
    <row r="40508" hidden="1" x14ac:dyDescent="0.35"/>
    <row r="40509" hidden="1" x14ac:dyDescent="0.35"/>
    <row r="40510" hidden="1" x14ac:dyDescent="0.35"/>
    <row r="40511" hidden="1" x14ac:dyDescent="0.35"/>
    <row r="40512" hidden="1" x14ac:dyDescent="0.35"/>
    <row r="40513" hidden="1" x14ac:dyDescent="0.35"/>
    <row r="40514" hidden="1" x14ac:dyDescent="0.35"/>
    <row r="40515" hidden="1" x14ac:dyDescent="0.35"/>
    <row r="40516" hidden="1" x14ac:dyDescent="0.35"/>
    <row r="40517" hidden="1" x14ac:dyDescent="0.35"/>
    <row r="40518" hidden="1" x14ac:dyDescent="0.35"/>
    <row r="40519" hidden="1" x14ac:dyDescent="0.35"/>
    <row r="40520" hidden="1" x14ac:dyDescent="0.35"/>
    <row r="40521" hidden="1" x14ac:dyDescent="0.35"/>
    <row r="40522" hidden="1" x14ac:dyDescent="0.35"/>
    <row r="40523" hidden="1" x14ac:dyDescent="0.35"/>
    <row r="40524" hidden="1" x14ac:dyDescent="0.35"/>
    <row r="40525" hidden="1" x14ac:dyDescent="0.35"/>
    <row r="40526" hidden="1" x14ac:dyDescent="0.35"/>
    <row r="40527" hidden="1" x14ac:dyDescent="0.35"/>
    <row r="40528" hidden="1" x14ac:dyDescent="0.35"/>
    <row r="40529" hidden="1" x14ac:dyDescent="0.35"/>
    <row r="40530" hidden="1" x14ac:dyDescent="0.35"/>
    <row r="40531" hidden="1" x14ac:dyDescent="0.35"/>
    <row r="40532" hidden="1" x14ac:dyDescent="0.35"/>
    <row r="40533" hidden="1" x14ac:dyDescent="0.35"/>
    <row r="40534" hidden="1" x14ac:dyDescent="0.35"/>
    <row r="40535" hidden="1" x14ac:dyDescent="0.35"/>
    <row r="40536" hidden="1" x14ac:dyDescent="0.35"/>
    <row r="40537" hidden="1" x14ac:dyDescent="0.35"/>
    <row r="40538" hidden="1" x14ac:dyDescent="0.35"/>
    <row r="40539" hidden="1" x14ac:dyDescent="0.35"/>
    <row r="40540" hidden="1" x14ac:dyDescent="0.35"/>
    <row r="40541" hidden="1" x14ac:dyDescent="0.35"/>
    <row r="40542" hidden="1" x14ac:dyDescent="0.35"/>
    <row r="40543" hidden="1" x14ac:dyDescent="0.35"/>
    <row r="40544" hidden="1" x14ac:dyDescent="0.35"/>
    <row r="40545" hidden="1" x14ac:dyDescent="0.35"/>
    <row r="40546" hidden="1" x14ac:dyDescent="0.35"/>
    <row r="40547" hidden="1" x14ac:dyDescent="0.35"/>
    <row r="40548" hidden="1" x14ac:dyDescent="0.35"/>
    <row r="40549" hidden="1" x14ac:dyDescent="0.35"/>
    <row r="40550" hidden="1" x14ac:dyDescent="0.35"/>
    <row r="40551" hidden="1" x14ac:dyDescent="0.35"/>
    <row r="40552" hidden="1" x14ac:dyDescent="0.35"/>
    <row r="40553" hidden="1" x14ac:dyDescent="0.35"/>
    <row r="40554" hidden="1" x14ac:dyDescent="0.35"/>
    <row r="40555" hidden="1" x14ac:dyDescent="0.35"/>
    <row r="40556" hidden="1" x14ac:dyDescent="0.35"/>
    <row r="40557" hidden="1" x14ac:dyDescent="0.35"/>
    <row r="40558" hidden="1" x14ac:dyDescent="0.35"/>
    <row r="40559" hidden="1" x14ac:dyDescent="0.35"/>
    <row r="40560" hidden="1" x14ac:dyDescent="0.35"/>
    <row r="40561" hidden="1" x14ac:dyDescent="0.35"/>
    <row r="40562" hidden="1" x14ac:dyDescent="0.35"/>
    <row r="40563" hidden="1" x14ac:dyDescent="0.35"/>
    <row r="40564" hidden="1" x14ac:dyDescent="0.35"/>
    <row r="40565" hidden="1" x14ac:dyDescent="0.35"/>
    <row r="40566" hidden="1" x14ac:dyDescent="0.35"/>
    <row r="40567" hidden="1" x14ac:dyDescent="0.35"/>
    <row r="40568" hidden="1" x14ac:dyDescent="0.35"/>
    <row r="40569" hidden="1" x14ac:dyDescent="0.35"/>
    <row r="40570" hidden="1" x14ac:dyDescent="0.35"/>
    <row r="40571" hidden="1" x14ac:dyDescent="0.35"/>
    <row r="40572" hidden="1" x14ac:dyDescent="0.35"/>
    <row r="40573" hidden="1" x14ac:dyDescent="0.35"/>
    <row r="40574" hidden="1" x14ac:dyDescent="0.35"/>
    <row r="40575" hidden="1" x14ac:dyDescent="0.35"/>
    <row r="40576" hidden="1" x14ac:dyDescent="0.35"/>
    <row r="40577" hidden="1" x14ac:dyDescent="0.35"/>
    <row r="40578" hidden="1" x14ac:dyDescent="0.35"/>
    <row r="40579" hidden="1" x14ac:dyDescent="0.35"/>
    <row r="40580" hidden="1" x14ac:dyDescent="0.35"/>
    <row r="40581" hidden="1" x14ac:dyDescent="0.35"/>
    <row r="40582" hidden="1" x14ac:dyDescent="0.35"/>
    <row r="40583" hidden="1" x14ac:dyDescent="0.35"/>
    <row r="40584" hidden="1" x14ac:dyDescent="0.35"/>
    <row r="40585" hidden="1" x14ac:dyDescent="0.35"/>
    <row r="40586" hidden="1" x14ac:dyDescent="0.35"/>
    <row r="40587" hidden="1" x14ac:dyDescent="0.35"/>
    <row r="40588" hidden="1" x14ac:dyDescent="0.35"/>
    <row r="40589" hidden="1" x14ac:dyDescent="0.35"/>
    <row r="40590" hidden="1" x14ac:dyDescent="0.35"/>
    <row r="40591" hidden="1" x14ac:dyDescent="0.35"/>
    <row r="40592" hidden="1" x14ac:dyDescent="0.35"/>
    <row r="40593" hidden="1" x14ac:dyDescent="0.35"/>
    <row r="40594" hidden="1" x14ac:dyDescent="0.35"/>
    <row r="40595" hidden="1" x14ac:dyDescent="0.35"/>
    <row r="40596" hidden="1" x14ac:dyDescent="0.35"/>
    <row r="40597" hidden="1" x14ac:dyDescent="0.35"/>
    <row r="40598" hidden="1" x14ac:dyDescent="0.35"/>
    <row r="40599" hidden="1" x14ac:dyDescent="0.35"/>
    <row r="40600" hidden="1" x14ac:dyDescent="0.35"/>
    <row r="40601" hidden="1" x14ac:dyDescent="0.35"/>
    <row r="40602" hidden="1" x14ac:dyDescent="0.35"/>
    <row r="40603" hidden="1" x14ac:dyDescent="0.35"/>
    <row r="40604" hidden="1" x14ac:dyDescent="0.35"/>
    <row r="40605" hidden="1" x14ac:dyDescent="0.35"/>
    <row r="40606" hidden="1" x14ac:dyDescent="0.35"/>
    <row r="40607" hidden="1" x14ac:dyDescent="0.35"/>
    <row r="40608" hidden="1" x14ac:dyDescent="0.35"/>
    <row r="40609" hidden="1" x14ac:dyDescent="0.35"/>
    <row r="40610" hidden="1" x14ac:dyDescent="0.35"/>
    <row r="40611" hidden="1" x14ac:dyDescent="0.35"/>
    <row r="40612" hidden="1" x14ac:dyDescent="0.35"/>
    <row r="40613" hidden="1" x14ac:dyDescent="0.35"/>
    <row r="40614" hidden="1" x14ac:dyDescent="0.35"/>
    <row r="40615" hidden="1" x14ac:dyDescent="0.35"/>
    <row r="40616" hidden="1" x14ac:dyDescent="0.35"/>
    <row r="40617" hidden="1" x14ac:dyDescent="0.35"/>
    <row r="40618" hidden="1" x14ac:dyDescent="0.35"/>
    <row r="40619" hidden="1" x14ac:dyDescent="0.35"/>
    <row r="40620" hidden="1" x14ac:dyDescent="0.35"/>
    <row r="40621" hidden="1" x14ac:dyDescent="0.35"/>
    <row r="40622" hidden="1" x14ac:dyDescent="0.35"/>
    <row r="40623" hidden="1" x14ac:dyDescent="0.35"/>
    <row r="40624" hidden="1" x14ac:dyDescent="0.35"/>
    <row r="40625" hidden="1" x14ac:dyDescent="0.35"/>
    <row r="40626" hidden="1" x14ac:dyDescent="0.35"/>
    <row r="40627" hidden="1" x14ac:dyDescent="0.35"/>
    <row r="40628" hidden="1" x14ac:dyDescent="0.35"/>
    <row r="40629" hidden="1" x14ac:dyDescent="0.35"/>
    <row r="40630" hidden="1" x14ac:dyDescent="0.35"/>
    <row r="40631" hidden="1" x14ac:dyDescent="0.35"/>
    <row r="40632" hidden="1" x14ac:dyDescent="0.35"/>
    <row r="40633" hidden="1" x14ac:dyDescent="0.35"/>
    <row r="40634" hidden="1" x14ac:dyDescent="0.35"/>
    <row r="40635" hidden="1" x14ac:dyDescent="0.35"/>
    <row r="40636" hidden="1" x14ac:dyDescent="0.35"/>
    <row r="40637" hidden="1" x14ac:dyDescent="0.35"/>
    <row r="40638" hidden="1" x14ac:dyDescent="0.35"/>
    <row r="40639" hidden="1" x14ac:dyDescent="0.35"/>
    <row r="40640" hidden="1" x14ac:dyDescent="0.35"/>
    <row r="40641" hidden="1" x14ac:dyDescent="0.35"/>
    <row r="40642" hidden="1" x14ac:dyDescent="0.35"/>
    <row r="40643" hidden="1" x14ac:dyDescent="0.35"/>
    <row r="40644" hidden="1" x14ac:dyDescent="0.35"/>
    <row r="40645" hidden="1" x14ac:dyDescent="0.35"/>
    <row r="40646" hidden="1" x14ac:dyDescent="0.35"/>
    <row r="40647" hidden="1" x14ac:dyDescent="0.35"/>
    <row r="40648" hidden="1" x14ac:dyDescent="0.35"/>
    <row r="40649" hidden="1" x14ac:dyDescent="0.35"/>
    <row r="40650" hidden="1" x14ac:dyDescent="0.35"/>
    <row r="40651" hidden="1" x14ac:dyDescent="0.35"/>
    <row r="40652" hidden="1" x14ac:dyDescent="0.35"/>
    <row r="40653" hidden="1" x14ac:dyDescent="0.35"/>
    <row r="40654" hidden="1" x14ac:dyDescent="0.35"/>
    <row r="40655" hidden="1" x14ac:dyDescent="0.35"/>
    <row r="40656" hidden="1" x14ac:dyDescent="0.35"/>
    <row r="40657" hidden="1" x14ac:dyDescent="0.35"/>
    <row r="40658" hidden="1" x14ac:dyDescent="0.35"/>
    <row r="40659" hidden="1" x14ac:dyDescent="0.35"/>
    <row r="40660" hidden="1" x14ac:dyDescent="0.35"/>
    <row r="40661" hidden="1" x14ac:dyDescent="0.35"/>
    <row r="40662" hidden="1" x14ac:dyDescent="0.35"/>
    <row r="40663" hidden="1" x14ac:dyDescent="0.35"/>
    <row r="40664" hidden="1" x14ac:dyDescent="0.35"/>
    <row r="40665" hidden="1" x14ac:dyDescent="0.35"/>
    <row r="40666" hidden="1" x14ac:dyDescent="0.35"/>
    <row r="40667" hidden="1" x14ac:dyDescent="0.35"/>
    <row r="40668" hidden="1" x14ac:dyDescent="0.35"/>
    <row r="40669" hidden="1" x14ac:dyDescent="0.35"/>
    <row r="40670" hidden="1" x14ac:dyDescent="0.35"/>
    <row r="40671" hidden="1" x14ac:dyDescent="0.35"/>
    <row r="40672" hidden="1" x14ac:dyDescent="0.35"/>
    <row r="40673" hidden="1" x14ac:dyDescent="0.35"/>
    <row r="40674" hidden="1" x14ac:dyDescent="0.35"/>
    <row r="40675" hidden="1" x14ac:dyDescent="0.35"/>
    <row r="40676" hidden="1" x14ac:dyDescent="0.35"/>
    <row r="40677" hidden="1" x14ac:dyDescent="0.35"/>
    <row r="40678" hidden="1" x14ac:dyDescent="0.35"/>
    <row r="40679" hidden="1" x14ac:dyDescent="0.35"/>
    <row r="40680" hidden="1" x14ac:dyDescent="0.35"/>
    <row r="40681" hidden="1" x14ac:dyDescent="0.35"/>
    <row r="40682" hidden="1" x14ac:dyDescent="0.35"/>
    <row r="40683" hidden="1" x14ac:dyDescent="0.35"/>
    <row r="40684" hidden="1" x14ac:dyDescent="0.35"/>
    <row r="40685" hidden="1" x14ac:dyDescent="0.35"/>
    <row r="40686" hidden="1" x14ac:dyDescent="0.35"/>
    <row r="40687" hidden="1" x14ac:dyDescent="0.35"/>
    <row r="40688" hidden="1" x14ac:dyDescent="0.35"/>
    <row r="40689" hidden="1" x14ac:dyDescent="0.35"/>
    <row r="40690" hidden="1" x14ac:dyDescent="0.35"/>
    <row r="40691" hidden="1" x14ac:dyDescent="0.35"/>
    <row r="40692" hidden="1" x14ac:dyDescent="0.35"/>
    <row r="40693" hidden="1" x14ac:dyDescent="0.35"/>
    <row r="40694" hidden="1" x14ac:dyDescent="0.35"/>
    <row r="40695" hidden="1" x14ac:dyDescent="0.35"/>
    <row r="40696" hidden="1" x14ac:dyDescent="0.35"/>
    <row r="40697" hidden="1" x14ac:dyDescent="0.35"/>
    <row r="40698" hidden="1" x14ac:dyDescent="0.35"/>
    <row r="40699" hidden="1" x14ac:dyDescent="0.35"/>
    <row r="40700" hidden="1" x14ac:dyDescent="0.35"/>
    <row r="40701" hidden="1" x14ac:dyDescent="0.35"/>
    <row r="40702" hidden="1" x14ac:dyDescent="0.35"/>
    <row r="40703" hidden="1" x14ac:dyDescent="0.35"/>
    <row r="40704" hidden="1" x14ac:dyDescent="0.35"/>
    <row r="40705" hidden="1" x14ac:dyDescent="0.35"/>
    <row r="40706" hidden="1" x14ac:dyDescent="0.35"/>
    <row r="40707" hidden="1" x14ac:dyDescent="0.35"/>
    <row r="40708" hidden="1" x14ac:dyDescent="0.35"/>
    <row r="40709" hidden="1" x14ac:dyDescent="0.35"/>
    <row r="40710" hidden="1" x14ac:dyDescent="0.35"/>
    <row r="40711" hidden="1" x14ac:dyDescent="0.35"/>
    <row r="40712" hidden="1" x14ac:dyDescent="0.35"/>
    <row r="40713" hidden="1" x14ac:dyDescent="0.35"/>
    <row r="40714" hidden="1" x14ac:dyDescent="0.35"/>
    <row r="40715" hidden="1" x14ac:dyDescent="0.35"/>
    <row r="40716" hidden="1" x14ac:dyDescent="0.35"/>
    <row r="40717" hidden="1" x14ac:dyDescent="0.35"/>
    <row r="40718" hidden="1" x14ac:dyDescent="0.35"/>
    <row r="40719" hidden="1" x14ac:dyDescent="0.35"/>
    <row r="40720" hidden="1" x14ac:dyDescent="0.35"/>
    <row r="40721" hidden="1" x14ac:dyDescent="0.35"/>
    <row r="40722" hidden="1" x14ac:dyDescent="0.35"/>
    <row r="40723" hidden="1" x14ac:dyDescent="0.35"/>
    <row r="40724" hidden="1" x14ac:dyDescent="0.35"/>
    <row r="40725" hidden="1" x14ac:dyDescent="0.35"/>
    <row r="40726" hidden="1" x14ac:dyDescent="0.35"/>
    <row r="40727" hidden="1" x14ac:dyDescent="0.35"/>
    <row r="40728" hidden="1" x14ac:dyDescent="0.35"/>
    <row r="40729" hidden="1" x14ac:dyDescent="0.35"/>
    <row r="40730" hidden="1" x14ac:dyDescent="0.35"/>
    <row r="40731" hidden="1" x14ac:dyDescent="0.35"/>
    <row r="40732" hidden="1" x14ac:dyDescent="0.35"/>
    <row r="40733" hidden="1" x14ac:dyDescent="0.35"/>
    <row r="40734" hidden="1" x14ac:dyDescent="0.35"/>
    <row r="40735" hidden="1" x14ac:dyDescent="0.35"/>
    <row r="40736" hidden="1" x14ac:dyDescent="0.35"/>
    <row r="40737" hidden="1" x14ac:dyDescent="0.35"/>
    <row r="40738" hidden="1" x14ac:dyDescent="0.35"/>
    <row r="40739" hidden="1" x14ac:dyDescent="0.35"/>
    <row r="40740" hidden="1" x14ac:dyDescent="0.35"/>
    <row r="40741" hidden="1" x14ac:dyDescent="0.35"/>
    <row r="40742" hidden="1" x14ac:dyDescent="0.35"/>
    <row r="40743" hidden="1" x14ac:dyDescent="0.35"/>
    <row r="40744" hidden="1" x14ac:dyDescent="0.35"/>
    <row r="40745" hidden="1" x14ac:dyDescent="0.35"/>
    <row r="40746" hidden="1" x14ac:dyDescent="0.35"/>
    <row r="40747" hidden="1" x14ac:dyDescent="0.35"/>
    <row r="40748" hidden="1" x14ac:dyDescent="0.35"/>
    <row r="40749" hidden="1" x14ac:dyDescent="0.35"/>
    <row r="40750" hidden="1" x14ac:dyDescent="0.35"/>
    <row r="40751" hidden="1" x14ac:dyDescent="0.35"/>
    <row r="40752" hidden="1" x14ac:dyDescent="0.35"/>
    <row r="40753" hidden="1" x14ac:dyDescent="0.35"/>
    <row r="40754" hidden="1" x14ac:dyDescent="0.35"/>
    <row r="40755" hidden="1" x14ac:dyDescent="0.35"/>
    <row r="40756" hidden="1" x14ac:dyDescent="0.35"/>
    <row r="40757" hidden="1" x14ac:dyDescent="0.35"/>
    <row r="40758" hidden="1" x14ac:dyDescent="0.35"/>
    <row r="40759" hidden="1" x14ac:dyDescent="0.35"/>
    <row r="40760" hidden="1" x14ac:dyDescent="0.35"/>
    <row r="40761" hidden="1" x14ac:dyDescent="0.35"/>
    <row r="40762" hidden="1" x14ac:dyDescent="0.35"/>
    <row r="40763" hidden="1" x14ac:dyDescent="0.35"/>
    <row r="40764" hidden="1" x14ac:dyDescent="0.35"/>
    <row r="40765" hidden="1" x14ac:dyDescent="0.35"/>
    <row r="40766" hidden="1" x14ac:dyDescent="0.35"/>
    <row r="40767" hidden="1" x14ac:dyDescent="0.35"/>
    <row r="40768" hidden="1" x14ac:dyDescent="0.35"/>
    <row r="40769" hidden="1" x14ac:dyDescent="0.35"/>
    <row r="40770" hidden="1" x14ac:dyDescent="0.35"/>
    <row r="40771" hidden="1" x14ac:dyDescent="0.35"/>
    <row r="40772" hidden="1" x14ac:dyDescent="0.35"/>
    <row r="40773" hidden="1" x14ac:dyDescent="0.35"/>
    <row r="40774" hidden="1" x14ac:dyDescent="0.35"/>
    <row r="40775" hidden="1" x14ac:dyDescent="0.35"/>
    <row r="40776" hidden="1" x14ac:dyDescent="0.35"/>
    <row r="40777" hidden="1" x14ac:dyDescent="0.35"/>
    <row r="40778" hidden="1" x14ac:dyDescent="0.35"/>
    <row r="40779" hidden="1" x14ac:dyDescent="0.35"/>
    <row r="40780" hidden="1" x14ac:dyDescent="0.35"/>
    <row r="40781" hidden="1" x14ac:dyDescent="0.35"/>
    <row r="40782" hidden="1" x14ac:dyDescent="0.35"/>
    <row r="40783" hidden="1" x14ac:dyDescent="0.35"/>
    <row r="40784" hidden="1" x14ac:dyDescent="0.35"/>
    <row r="40785" hidden="1" x14ac:dyDescent="0.35"/>
    <row r="40786" hidden="1" x14ac:dyDescent="0.35"/>
    <row r="40787" hidden="1" x14ac:dyDescent="0.35"/>
    <row r="40788" hidden="1" x14ac:dyDescent="0.35"/>
    <row r="40789" hidden="1" x14ac:dyDescent="0.35"/>
    <row r="40790" hidden="1" x14ac:dyDescent="0.35"/>
    <row r="40791" hidden="1" x14ac:dyDescent="0.35"/>
    <row r="40792" hidden="1" x14ac:dyDescent="0.35"/>
    <row r="40793" hidden="1" x14ac:dyDescent="0.35"/>
    <row r="40794" hidden="1" x14ac:dyDescent="0.35"/>
    <row r="40795" hidden="1" x14ac:dyDescent="0.35"/>
    <row r="40796" hidden="1" x14ac:dyDescent="0.35"/>
    <row r="40797" hidden="1" x14ac:dyDescent="0.35"/>
    <row r="40798" hidden="1" x14ac:dyDescent="0.35"/>
    <row r="40799" hidden="1" x14ac:dyDescent="0.35"/>
    <row r="40800" hidden="1" x14ac:dyDescent="0.35"/>
    <row r="40801" hidden="1" x14ac:dyDescent="0.35"/>
    <row r="40802" hidden="1" x14ac:dyDescent="0.35"/>
    <row r="40803" hidden="1" x14ac:dyDescent="0.35"/>
    <row r="40804" hidden="1" x14ac:dyDescent="0.35"/>
    <row r="40805" hidden="1" x14ac:dyDescent="0.35"/>
    <row r="40806" hidden="1" x14ac:dyDescent="0.35"/>
    <row r="40807" hidden="1" x14ac:dyDescent="0.35"/>
    <row r="40808" hidden="1" x14ac:dyDescent="0.35"/>
    <row r="40809" hidden="1" x14ac:dyDescent="0.35"/>
    <row r="40810" hidden="1" x14ac:dyDescent="0.35"/>
    <row r="40811" hidden="1" x14ac:dyDescent="0.35"/>
    <row r="40812" hidden="1" x14ac:dyDescent="0.35"/>
    <row r="40813" hidden="1" x14ac:dyDescent="0.35"/>
    <row r="40814" hidden="1" x14ac:dyDescent="0.35"/>
    <row r="40815" hidden="1" x14ac:dyDescent="0.35"/>
    <row r="40816" hidden="1" x14ac:dyDescent="0.35"/>
    <row r="40817" hidden="1" x14ac:dyDescent="0.35"/>
    <row r="40818" hidden="1" x14ac:dyDescent="0.35"/>
    <row r="40819" hidden="1" x14ac:dyDescent="0.35"/>
    <row r="40820" hidden="1" x14ac:dyDescent="0.35"/>
    <row r="40821" hidden="1" x14ac:dyDescent="0.35"/>
    <row r="40822" hidden="1" x14ac:dyDescent="0.35"/>
    <row r="40823" hidden="1" x14ac:dyDescent="0.35"/>
    <row r="40824" hidden="1" x14ac:dyDescent="0.35"/>
    <row r="40825" hidden="1" x14ac:dyDescent="0.35"/>
    <row r="40826" hidden="1" x14ac:dyDescent="0.35"/>
    <row r="40827" hidden="1" x14ac:dyDescent="0.35"/>
    <row r="40828" hidden="1" x14ac:dyDescent="0.35"/>
    <row r="40829" hidden="1" x14ac:dyDescent="0.35"/>
    <row r="40830" hidden="1" x14ac:dyDescent="0.35"/>
    <row r="40831" hidden="1" x14ac:dyDescent="0.35"/>
    <row r="40832" hidden="1" x14ac:dyDescent="0.35"/>
    <row r="40833" hidden="1" x14ac:dyDescent="0.35"/>
    <row r="40834" hidden="1" x14ac:dyDescent="0.35"/>
    <row r="40835" hidden="1" x14ac:dyDescent="0.35"/>
    <row r="40836" hidden="1" x14ac:dyDescent="0.35"/>
    <row r="40837" hidden="1" x14ac:dyDescent="0.35"/>
    <row r="40838" hidden="1" x14ac:dyDescent="0.35"/>
    <row r="40839" hidden="1" x14ac:dyDescent="0.35"/>
    <row r="40840" hidden="1" x14ac:dyDescent="0.35"/>
    <row r="40841" hidden="1" x14ac:dyDescent="0.35"/>
    <row r="40842" hidden="1" x14ac:dyDescent="0.35"/>
    <row r="40843" hidden="1" x14ac:dyDescent="0.35"/>
    <row r="40844" hidden="1" x14ac:dyDescent="0.35"/>
    <row r="40845" hidden="1" x14ac:dyDescent="0.35"/>
    <row r="40846" hidden="1" x14ac:dyDescent="0.35"/>
    <row r="40847" hidden="1" x14ac:dyDescent="0.35"/>
    <row r="40848" hidden="1" x14ac:dyDescent="0.35"/>
    <row r="40849" hidden="1" x14ac:dyDescent="0.35"/>
    <row r="40850" hidden="1" x14ac:dyDescent="0.35"/>
    <row r="40851" hidden="1" x14ac:dyDescent="0.35"/>
    <row r="40852" hidden="1" x14ac:dyDescent="0.35"/>
    <row r="40853" hidden="1" x14ac:dyDescent="0.35"/>
    <row r="40854" hidden="1" x14ac:dyDescent="0.35"/>
    <row r="40855" hidden="1" x14ac:dyDescent="0.35"/>
    <row r="40856" hidden="1" x14ac:dyDescent="0.35"/>
    <row r="40857" hidden="1" x14ac:dyDescent="0.35"/>
    <row r="40858" hidden="1" x14ac:dyDescent="0.35"/>
    <row r="40859" hidden="1" x14ac:dyDescent="0.35"/>
    <row r="40860" hidden="1" x14ac:dyDescent="0.35"/>
    <row r="40861" hidden="1" x14ac:dyDescent="0.35"/>
    <row r="40862" hidden="1" x14ac:dyDescent="0.35"/>
    <row r="40863" hidden="1" x14ac:dyDescent="0.35"/>
    <row r="40864" hidden="1" x14ac:dyDescent="0.35"/>
    <row r="40865" hidden="1" x14ac:dyDescent="0.35"/>
    <row r="40866" hidden="1" x14ac:dyDescent="0.35"/>
    <row r="40867" hidden="1" x14ac:dyDescent="0.35"/>
    <row r="40868" hidden="1" x14ac:dyDescent="0.35"/>
    <row r="40869" hidden="1" x14ac:dyDescent="0.35"/>
    <row r="40870" hidden="1" x14ac:dyDescent="0.35"/>
    <row r="40871" hidden="1" x14ac:dyDescent="0.35"/>
    <row r="40872" hidden="1" x14ac:dyDescent="0.35"/>
    <row r="40873" hidden="1" x14ac:dyDescent="0.35"/>
    <row r="40874" hidden="1" x14ac:dyDescent="0.35"/>
    <row r="40875" hidden="1" x14ac:dyDescent="0.35"/>
    <row r="40876" hidden="1" x14ac:dyDescent="0.35"/>
    <row r="40877" hidden="1" x14ac:dyDescent="0.35"/>
    <row r="40878" hidden="1" x14ac:dyDescent="0.35"/>
    <row r="40879" hidden="1" x14ac:dyDescent="0.35"/>
    <row r="40880" hidden="1" x14ac:dyDescent="0.35"/>
    <row r="40881" hidden="1" x14ac:dyDescent="0.35"/>
    <row r="40882" hidden="1" x14ac:dyDescent="0.35"/>
    <row r="40883" hidden="1" x14ac:dyDescent="0.35"/>
    <row r="40884" hidden="1" x14ac:dyDescent="0.35"/>
    <row r="40885" hidden="1" x14ac:dyDescent="0.35"/>
    <row r="40886" hidden="1" x14ac:dyDescent="0.35"/>
    <row r="40887" hidden="1" x14ac:dyDescent="0.35"/>
    <row r="40888" hidden="1" x14ac:dyDescent="0.35"/>
    <row r="40889" hidden="1" x14ac:dyDescent="0.35"/>
    <row r="40890" hidden="1" x14ac:dyDescent="0.35"/>
    <row r="40891" hidden="1" x14ac:dyDescent="0.35"/>
    <row r="40892" hidden="1" x14ac:dyDescent="0.35"/>
    <row r="40893" hidden="1" x14ac:dyDescent="0.35"/>
    <row r="40894" hidden="1" x14ac:dyDescent="0.35"/>
    <row r="40895" hidden="1" x14ac:dyDescent="0.35"/>
    <row r="40896" hidden="1" x14ac:dyDescent="0.35"/>
    <row r="40897" hidden="1" x14ac:dyDescent="0.35"/>
    <row r="40898" hidden="1" x14ac:dyDescent="0.35"/>
    <row r="40899" hidden="1" x14ac:dyDescent="0.35"/>
    <row r="40900" hidden="1" x14ac:dyDescent="0.35"/>
    <row r="40901" hidden="1" x14ac:dyDescent="0.35"/>
    <row r="40902" hidden="1" x14ac:dyDescent="0.35"/>
    <row r="40903" hidden="1" x14ac:dyDescent="0.35"/>
    <row r="40904" hidden="1" x14ac:dyDescent="0.35"/>
    <row r="40905" hidden="1" x14ac:dyDescent="0.35"/>
    <row r="40906" hidden="1" x14ac:dyDescent="0.35"/>
    <row r="40907" hidden="1" x14ac:dyDescent="0.35"/>
    <row r="40908" hidden="1" x14ac:dyDescent="0.35"/>
    <row r="40909" hidden="1" x14ac:dyDescent="0.35"/>
    <row r="40910" hidden="1" x14ac:dyDescent="0.35"/>
    <row r="40911" hidden="1" x14ac:dyDescent="0.35"/>
    <row r="40912" hidden="1" x14ac:dyDescent="0.35"/>
    <row r="40913" hidden="1" x14ac:dyDescent="0.35"/>
    <row r="40914" hidden="1" x14ac:dyDescent="0.35"/>
    <row r="40915" hidden="1" x14ac:dyDescent="0.35"/>
    <row r="40916" hidden="1" x14ac:dyDescent="0.35"/>
    <row r="40917" hidden="1" x14ac:dyDescent="0.35"/>
    <row r="40918" hidden="1" x14ac:dyDescent="0.35"/>
    <row r="40919" hidden="1" x14ac:dyDescent="0.35"/>
    <row r="40920" hidden="1" x14ac:dyDescent="0.35"/>
    <row r="40921" hidden="1" x14ac:dyDescent="0.35"/>
    <row r="40922" hidden="1" x14ac:dyDescent="0.35"/>
    <row r="40923" hidden="1" x14ac:dyDescent="0.35"/>
    <row r="40924" hidden="1" x14ac:dyDescent="0.35"/>
    <row r="40925" hidden="1" x14ac:dyDescent="0.35"/>
    <row r="40926" hidden="1" x14ac:dyDescent="0.35"/>
    <row r="40927" hidden="1" x14ac:dyDescent="0.35"/>
    <row r="40928" hidden="1" x14ac:dyDescent="0.35"/>
    <row r="40929" hidden="1" x14ac:dyDescent="0.35"/>
    <row r="40930" hidden="1" x14ac:dyDescent="0.35"/>
    <row r="40931" hidden="1" x14ac:dyDescent="0.35"/>
    <row r="40932" hidden="1" x14ac:dyDescent="0.35"/>
    <row r="40933" hidden="1" x14ac:dyDescent="0.35"/>
    <row r="40934" hidden="1" x14ac:dyDescent="0.35"/>
    <row r="40935" hidden="1" x14ac:dyDescent="0.35"/>
    <row r="40936" hidden="1" x14ac:dyDescent="0.35"/>
    <row r="40937" hidden="1" x14ac:dyDescent="0.35"/>
    <row r="40938" hidden="1" x14ac:dyDescent="0.35"/>
    <row r="40939" hidden="1" x14ac:dyDescent="0.35"/>
    <row r="40940" hidden="1" x14ac:dyDescent="0.35"/>
    <row r="40941" hidden="1" x14ac:dyDescent="0.35"/>
    <row r="40942" hidden="1" x14ac:dyDescent="0.35"/>
    <row r="40943" hidden="1" x14ac:dyDescent="0.35"/>
    <row r="40944" hidden="1" x14ac:dyDescent="0.35"/>
    <row r="40945" hidden="1" x14ac:dyDescent="0.35"/>
    <row r="40946" hidden="1" x14ac:dyDescent="0.35"/>
    <row r="40947" hidden="1" x14ac:dyDescent="0.35"/>
    <row r="40948" hidden="1" x14ac:dyDescent="0.35"/>
    <row r="40949" hidden="1" x14ac:dyDescent="0.35"/>
    <row r="40950" hidden="1" x14ac:dyDescent="0.35"/>
    <row r="40951" hidden="1" x14ac:dyDescent="0.35"/>
    <row r="40952" hidden="1" x14ac:dyDescent="0.35"/>
    <row r="40953" hidden="1" x14ac:dyDescent="0.35"/>
    <row r="40954" hidden="1" x14ac:dyDescent="0.35"/>
    <row r="40955" hidden="1" x14ac:dyDescent="0.35"/>
    <row r="40956" hidden="1" x14ac:dyDescent="0.35"/>
    <row r="40957" hidden="1" x14ac:dyDescent="0.35"/>
    <row r="40958" hidden="1" x14ac:dyDescent="0.35"/>
    <row r="40959" hidden="1" x14ac:dyDescent="0.35"/>
    <row r="40960" hidden="1" x14ac:dyDescent="0.35"/>
    <row r="40961" hidden="1" x14ac:dyDescent="0.35"/>
    <row r="40962" hidden="1" x14ac:dyDescent="0.35"/>
    <row r="40963" hidden="1" x14ac:dyDescent="0.35"/>
    <row r="40964" hidden="1" x14ac:dyDescent="0.35"/>
    <row r="40965" hidden="1" x14ac:dyDescent="0.35"/>
    <row r="40966" hidden="1" x14ac:dyDescent="0.35"/>
    <row r="40967" hidden="1" x14ac:dyDescent="0.35"/>
    <row r="40968" hidden="1" x14ac:dyDescent="0.35"/>
    <row r="40969" hidden="1" x14ac:dyDescent="0.35"/>
    <row r="40970" hidden="1" x14ac:dyDescent="0.35"/>
    <row r="40971" hidden="1" x14ac:dyDescent="0.35"/>
    <row r="40972" hidden="1" x14ac:dyDescent="0.35"/>
    <row r="40973" hidden="1" x14ac:dyDescent="0.35"/>
    <row r="40974" hidden="1" x14ac:dyDescent="0.35"/>
    <row r="40975" hidden="1" x14ac:dyDescent="0.35"/>
    <row r="40976" hidden="1" x14ac:dyDescent="0.35"/>
    <row r="40977" hidden="1" x14ac:dyDescent="0.35"/>
    <row r="40978" hidden="1" x14ac:dyDescent="0.35"/>
    <row r="40979" hidden="1" x14ac:dyDescent="0.35"/>
    <row r="40980" hidden="1" x14ac:dyDescent="0.35"/>
    <row r="40981" hidden="1" x14ac:dyDescent="0.35"/>
    <row r="40982" hidden="1" x14ac:dyDescent="0.35"/>
    <row r="40983" hidden="1" x14ac:dyDescent="0.35"/>
    <row r="40984" hidden="1" x14ac:dyDescent="0.35"/>
    <row r="40985" hidden="1" x14ac:dyDescent="0.35"/>
    <row r="40986" hidden="1" x14ac:dyDescent="0.35"/>
    <row r="40987" hidden="1" x14ac:dyDescent="0.35"/>
    <row r="40988" hidden="1" x14ac:dyDescent="0.35"/>
    <row r="40989" hidden="1" x14ac:dyDescent="0.35"/>
    <row r="40990" hidden="1" x14ac:dyDescent="0.35"/>
    <row r="40991" hidden="1" x14ac:dyDescent="0.35"/>
    <row r="40992" hidden="1" x14ac:dyDescent="0.35"/>
    <row r="40993" hidden="1" x14ac:dyDescent="0.35"/>
    <row r="40994" hidden="1" x14ac:dyDescent="0.35"/>
    <row r="40995" hidden="1" x14ac:dyDescent="0.35"/>
    <row r="40996" hidden="1" x14ac:dyDescent="0.35"/>
    <row r="40997" hidden="1" x14ac:dyDescent="0.35"/>
    <row r="40998" hidden="1" x14ac:dyDescent="0.35"/>
    <row r="40999" hidden="1" x14ac:dyDescent="0.35"/>
    <row r="41000" hidden="1" x14ac:dyDescent="0.35"/>
    <row r="41001" hidden="1" x14ac:dyDescent="0.35"/>
    <row r="41002" hidden="1" x14ac:dyDescent="0.35"/>
    <row r="41003" hidden="1" x14ac:dyDescent="0.35"/>
    <row r="41004" hidden="1" x14ac:dyDescent="0.35"/>
    <row r="41005" hidden="1" x14ac:dyDescent="0.35"/>
    <row r="41006" hidden="1" x14ac:dyDescent="0.35"/>
    <row r="41007" hidden="1" x14ac:dyDescent="0.35"/>
    <row r="41008" hidden="1" x14ac:dyDescent="0.35"/>
    <row r="41009" hidden="1" x14ac:dyDescent="0.35"/>
    <row r="41010" hidden="1" x14ac:dyDescent="0.35"/>
    <row r="41011" hidden="1" x14ac:dyDescent="0.35"/>
    <row r="41012" hidden="1" x14ac:dyDescent="0.35"/>
    <row r="41013" hidden="1" x14ac:dyDescent="0.35"/>
    <row r="41014" hidden="1" x14ac:dyDescent="0.35"/>
    <row r="41015" hidden="1" x14ac:dyDescent="0.35"/>
    <row r="41016" hidden="1" x14ac:dyDescent="0.35"/>
    <row r="41017" hidden="1" x14ac:dyDescent="0.35"/>
    <row r="41018" hidden="1" x14ac:dyDescent="0.35"/>
    <row r="41019" hidden="1" x14ac:dyDescent="0.35"/>
    <row r="41020" hidden="1" x14ac:dyDescent="0.35"/>
    <row r="41021" hidden="1" x14ac:dyDescent="0.35"/>
    <row r="41022" hidden="1" x14ac:dyDescent="0.35"/>
    <row r="41023" hidden="1" x14ac:dyDescent="0.35"/>
    <row r="41024" hidden="1" x14ac:dyDescent="0.35"/>
    <row r="41025" hidden="1" x14ac:dyDescent="0.35"/>
    <row r="41026" hidden="1" x14ac:dyDescent="0.35"/>
    <row r="41027" hidden="1" x14ac:dyDescent="0.35"/>
    <row r="41028" hidden="1" x14ac:dyDescent="0.35"/>
    <row r="41029" hidden="1" x14ac:dyDescent="0.35"/>
    <row r="41030" hidden="1" x14ac:dyDescent="0.35"/>
    <row r="41031" hidden="1" x14ac:dyDescent="0.35"/>
    <row r="41032" hidden="1" x14ac:dyDescent="0.35"/>
    <row r="41033" hidden="1" x14ac:dyDescent="0.35"/>
    <row r="41034" hidden="1" x14ac:dyDescent="0.35"/>
    <row r="41035" hidden="1" x14ac:dyDescent="0.35"/>
    <row r="41036" hidden="1" x14ac:dyDescent="0.35"/>
    <row r="41037" hidden="1" x14ac:dyDescent="0.35"/>
    <row r="41038" hidden="1" x14ac:dyDescent="0.35"/>
    <row r="41039" hidden="1" x14ac:dyDescent="0.35"/>
    <row r="41040" hidden="1" x14ac:dyDescent="0.35"/>
    <row r="41041" hidden="1" x14ac:dyDescent="0.35"/>
    <row r="41042" hidden="1" x14ac:dyDescent="0.35"/>
    <row r="41043" hidden="1" x14ac:dyDescent="0.35"/>
    <row r="41044" hidden="1" x14ac:dyDescent="0.35"/>
    <row r="41045" hidden="1" x14ac:dyDescent="0.35"/>
    <row r="41046" hidden="1" x14ac:dyDescent="0.35"/>
    <row r="41047" hidden="1" x14ac:dyDescent="0.35"/>
    <row r="41048" hidden="1" x14ac:dyDescent="0.35"/>
    <row r="41049" hidden="1" x14ac:dyDescent="0.35"/>
    <row r="41050" hidden="1" x14ac:dyDescent="0.35"/>
    <row r="41051" hidden="1" x14ac:dyDescent="0.35"/>
    <row r="41052" hidden="1" x14ac:dyDescent="0.35"/>
    <row r="41053" hidden="1" x14ac:dyDescent="0.35"/>
    <row r="41054" hidden="1" x14ac:dyDescent="0.35"/>
    <row r="41055" hidden="1" x14ac:dyDescent="0.35"/>
    <row r="41056" hidden="1" x14ac:dyDescent="0.35"/>
    <row r="41057" hidden="1" x14ac:dyDescent="0.35"/>
    <row r="41058" hidden="1" x14ac:dyDescent="0.35"/>
    <row r="41059" hidden="1" x14ac:dyDescent="0.35"/>
    <row r="41060" hidden="1" x14ac:dyDescent="0.35"/>
    <row r="41061" hidden="1" x14ac:dyDescent="0.35"/>
    <row r="41062" hidden="1" x14ac:dyDescent="0.35"/>
    <row r="41063" hidden="1" x14ac:dyDescent="0.35"/>
    <row r="41064" hidden="1" x14ac:dyDescent="0.35"/>
    <row r="41065" hidden="1" x14ac:dyDescent="0.35"/>
    <row r="41066" hidden="1" x14ac:dyDescent="0.35"/>
    <row r="41067" hidden="1" x14ac:dyDescent="0.35"/>
    <row r="41068" hidden="1" x14ac:dyDescent="0.35"/>
    <row r="41069" hidden="1" x14ac:dyDescent="0.35"/>
    <row r="41070" hidden="1" x14ac:dyDescent="0.35"/>
    <row r="41071" hidden="1" x14ac:dyDescent="0.35"/>
    <row r="41072" hidden="1" x14ac:dyDescent="0.35"/>
    <row r="41073" hidden="1" x14ac:dyDescent="0.35"/>
    <row r="41074" hidden="1" x14ac:dyDescent="0.35"/>
    <row r="41075" hidden="1" x14ac:dyDescent="0.35"/>
    <row r="41076" hidden="1" x14ac:dyDescent="0.35"/>
    <row r="41077" hidden="1" x14ac:dyDescent="0.35"/>
    <row r="41078" hidden="1" x14ac:dyDescent="0.35"/>
    <row r="41079" hidden="1" x14ac:dyDescent="0.35"/>
    <row r="41080" hidden="1" x14ac:dyDescent="0.35"/>
    <row r="41081" hidden="1" x14ac:dyDescent="0.35"/>
    <row r="41082" hidden="1" x14ac:dyDescent="0.35"/>
    <row r="41083" hidden="1" x14ac:dyDescent="0.35"/>
    <row r="41084" hidden="1" x14ac:dyDescent="0.35"/>
    <row r="41085" hidden="1" x14ac:dyDescent="0.35"/>
    <row r="41086" hidden="1" x14ac:dyDescent="0.35"/>
    <row r="41087" hidden="1" x14ac:dyDescent="0.35"/>
    <row r="41088" hidden="1" x14ac:dyDescent="0.35"/>
    <row r="41089" hidden="1" x14ac:dyDescent="0.35"/>
    <row r="41090" hidden="1" x14ac:dyDescent="0.35"/>
    <row r="41091" hidden="1" x14ac:dyDescent="0.35"/>
    <row r="41092" hidden="1" x14ac:dyDescent="0.35"/>
    <row r="41093" hidden="1" x14ac:dyDescent="0.35"/>
    <row r="41094" hidden="1" x14ac:dyDescent="0.35"/>
    <row r="41095" hidden="1" x14ac:dyDescent="0.35"/>
    <row r="41096" hidden="1" x14ac:dyDescent="0.35"/>
    <row r="41097" hidden="1" x14ac:dyDescent="0.35"/>
    <row r="41098" hidden="1" x14ac:dyDescent="0.35"/>
    <row r="41099" hidden="1" x14ac:dyDescent="0.35"/>
    <row r="41100" hidden="1" x14ac:dyDescent="0.35"/>
    <row r="41101" hidden="1" x14ac:dyDescent="0.35"/>
    <row r="41102" hidden="1" x14ac:dyDescent="0.35"/>
    <row r="41103" hidden="1" x14ac:dyDescent="0.35"/>
    <row r="41104" hidden="1" x14ac:dyDescent="0.35"/>
    <row r="41105" hidden="1" x14ac:dyDescent="0.35"/>
    <row r="41106" hidden="1" x14ac:dyDescent="0.35"/>
    <row r="41107" hidden="1" x14ac:dyDescent="0.35"/>
    <row r="41108" hidden="1" x14ac:dyDescent="0.35"/>
    <row r="41109" hidden="1" x14ac:dyDescent="0.35"/>
    <row r="41110" hidden="1" x14ac:dyDescent="0.35"/>
    <row r="41111" hidden="1" x14ac:dyDescent="0.35"/>
    <row r="41112" hidden="1" x14ac:dyDescent="0.35"/>
    <row r="41113" hidden="1" x14ac:dyDescent="0.35"/>
    <row r="41114" hidden="1" x14ac:dyDescent="0.35"/>
    <row r="41115" hidden="1" x14ac:dyDescent="0.35"/>
    <row r="41116" hidden="1" x14ac:dyDescent="0.35"/>
    <row r="41117" hidden="1" x14ac:dyDescent="0.35"/>
    <row r="41118" hidden="1" x14ac:dyDescent="0.35"/>
    <row r="41119" hidden="1" x14ac:dyDescent="0.35"/>
    <row r="41120" hidden="1" x14ac:dyDescent="0.35"/>
    <row r="41121" hidden="1" x14ac:dyDescent="0.35"/>
    <row r="41122" hidden="1" x14ac:dyDescent="0.35"/>
    <row r="41123" hidden="1" x14ac:dyDescent="0.35"/>
    <row r="41124" hidden="1" x14ac:dyDescent="0.35"/>
    <row r="41125" hidden="1" x14ac:dyDescent="0.35"/>
    <row r="41126" hidden="1" x14ac:dyDescent="0.35"/>
    <row r="41127" hidden="1" x14ac:dyDescent="0.35"/>
    <row r="41128" hidden="1" x14ac:dyDescent="0.35"/>
    <row r="41129" hidden="1" x14ac:dyDescent="0.35"/>
    <row r="41130" hidden="1" x14ac:dyDescent="0.35"/>
    <row r="41131" hidden="1" x14ac:dyDescent="0.35"/>
    <row r="41132" hidden="1" x14ac:dyDescent="0.35"/>
    <row r="41133" hidden="1" x14ac:dyDescent="0.35"/>
    <row r="41134" hidden="1" x14ac:dyDescent="0.35"/>
    <row r="41135" hidden="1" x14ac:dyDescent="0.35"/>
    <row r="41136" hidden="1" x14ac:dyDescent="0.35"/>
    <row r="41137" hidden="1" x14ac:dyDescent="0.35"/>
    <row r="41138" hidden="1" x14ac:dyDescent="0.35"/>
    <row r="41139" hidden="1" x14ac:dyDescent="0.35"/>
    <row r="41140" hidden="1" x14ac:dyDescent="0.35"/>
    <row r="41141" hidden="1" x14ac:dyDescent="0.35"/>
    <row r="41142" hidden="1" x14ac:dyDescent="0.35"/>
    <row r="41143" hidden="1" x14ac:dyDescent="0.35"/>
    <row r="41144" hidden="1" x14ac:dyDescent="0.35"/>
    <row r="41145" hidden="1" x14ac:dyDescent="0.35"/>
    <row r="41146" hidden="1" x14ac:dyDescent="0.35"/>
    <row r="41147" hidden="1" x14ac:dyDescent="0.35"/>
    <row r="41148" hidden="1" x14ac:dyDescent="0.35"/>
    <row r="41149" hidden="1" x14ac:dyDescent="0.35"/>
    <row r="41150" hidden="1" x14ac:dyDescent="0.35"/>
    <row r="41151" hidden="1" x14ac:dyDescent="0.35"/>
    <row r="41152" hidden="1" x14ac:dyDescent="0.35"/>
    <row r="41153" hidden="1" x14ac:dyDescent="0.35"/>
    <row r="41154" hidden="1" x14ac:dyDescent="0.35"/>
    <row r="41155" hidden="1" x14ac:dyDescent="0.35"/>
    <row r="41156" hidden="1" x14ac:dyDescent="0.35"/>
    <row r="41157" hidden="1" x14ac:dyDescent="0.35"/>
    <row r="41158" hidden="1" x14ac:dyDescent="0.35"/>
    <row r="41159" hidden="1" x14ac:dyDescent="0.35"/>
    <row r="41160" hidden="1" x14ac:dyDescent="0.35"/>
    <row r="41161" hidden="1" x14ac:dyDescent="0.35"/>
    <row r="41162" hidden="1" x14ac:dyDescent="0.35"/>
    <row r="41163" hidden="1" x14ac:dyDescent="0.35"/>
    <row r="41164" hidden="1" x14ac:dyDescent="0.35"/>
    <row r="41165" hidden="1" x14ac:dyDescent="0.35"/>
    <row r="41166" hidden="1" x14ac:dyDescent="0.35"/>
    <row r="41167" hidden="1" x14ac:dyDescent="0.35"/>
    <row r="41168" hidden="1" x14ac:dyDescent="0.35"/>
    <row r="41169" hidden="1" x14ac:dyDescent="0.35"/>
    <row r="41170" hidden="1" x14ac:dyDescent="0.35"/>
    <row r="41171" hidden="1" x14ac:dyDescent="0.35"/>
    <row r="41172" hidden="1" x14ac:dyDescent="0.35"/>
    <row r="41173" hidden="1" x14ac:dyDescent="0.35"/>
    <row r="41174" hidden="1" x14ac:dyDescent="0.35"/>
    <row r="41175" hidden="1" x14ac:dyDescent="0.35"/>
    <row r="41176" hidden="1" x14ac:dyDescent="0.35"/>
    <row r="41177" hidden="1" x14ac:dyDescent="0.35"/>
    <row r="41178" hidden="1" x14ac:dyDescent="0.35"/>
    <row r="41179" hidden="1" x14ac:dyDescent="0.35"/>
    <row r="41180" hidden="1" x14ac:dyDescent="0.35"/>
    <row r="41181" hidden="1" x14ac:dyDescent="0.35"/>
    <row r="41182" hidden="1" x14ac:dyDescent="0.35"/>
    <row r="41183" hidden="1" x14ac:dyDescent="0.35"/>
    <row r="41184" hidden="1" x14ac:dyDescent="0.35"/>
    <row r="41185" hidden="1" x14ac:dyDescent="0.35"/>
    <row r="41186" hidden="1" x14ac:dyDescent="0.35"/>
    <row r="41187" hidden="1" x14ac:dyDescent="0.35"/>
    <row r="41188" hidden="1" x14ac:dyDescent="0.35"/>
    <row r="41189" hidden="1" x14ac:dyDescent="0.35"/>
    <row r="41190" hidden="1" x14ac:dyDescent="0.35"/>
    <row r="41191" hidden="1" x14ac:dyDescent="0.35"/>
    <row r="41192" hidden="1" x14ac:dyDescent="0.35"/>
    <row r="41193" hidden="1" x14ac:dyDescent="0.35"/>
    <row r="41194" hidden="1" x14ac:dyDescent="0.35"/>
    <row r="41195" hidden="1" x14ac:dyDescent="0.35"/>
    <row r="41196" hidden="1" x14ac:dyDescent="0.35"/>
    <row r="41197" hidden="1" x14ac:dyDescent="0.35"/>
    <row r="41198" hidden="1" x14ac:dyDescent="0.35"/>
    <row r="41199" hidden="1" x14ac:dyDescent="0.35"/>
    <row r="41200" hidden="1" x14ac:dyDescent="0.35"/>
    <row r="41201" hidden="1" x14ac:dyDescent="0.35"/>
    <row r="41202" hidden="1" x14ac:dyDescent="0.35"/>
    <row r="41203" hidden="1" x14ac:dyDescent="0.35"/>
    <row r="41204" hidden="1" x14ac:dyDescent="0.35"/>
    <row r="41205" hidden="1" x14ac:dyDescent="0.35"/>
    <row r="41206" hidden="1" x14ac:dyDescent="0.35"/>
    <row r="41207" hidden="1" x14ac:dyDescent="0.35"/>
    <row r="41208" hidden="1" x14ac:dyDescent="0.35"/>
    <row r="41209" hidden="1" x14ac:dyDescent="0.35"/>
    <row r="41210" hidden="1" x14ac:dyDescent="0.35"/>
    <row r="41211" hidden="1" x14ac:dyDescent="0.35"/>
    <row r="41212" hidden="1" x14ac:dyDescent="0.35"/>
    <row r="41213" hidden="1" x14ac:dyDescent="0.35"/>
    <row r="41214" hidden="1" x14ac:dyDescent="0.35"/>
    <row r="41215" hidden="1" x14ac:dyDescent="0.35"/>
    <row r="41216" hidden="1" x14ac:dyDescent="0.35"/>
    <row r="41217" hidden="1" x14ac:dyDescent="0.35"/>
    <row r="41218" hidden="1" x14ac:dyDescent="0.35"/>
    <row r="41219" hidden="1" x14ac:dyDescent="0.35"/>
    <row r="41220" hidden="1" x14ac:dyDescent="0.35"/>
    <row r="41221" hidden="1" x14ac:dyDescent="0.35"/>
    <row r="41222" hidden="1" x14ac:dyDescent="0.35"/>
    <row r="41223" hidden="1" x14ac:dyDescent="0.35"/>
    <row r="41224" hidden="1" x14ac:dyDescent="0.35"/>
    <row r="41225" hidden="1" x14ac:dyDescent="0.35"/>
    <row r="41226" hidden="1" x14ac:dyDescent="0.35"/>
    <row r="41227" hidden="1" x14ac:dyDescent="0.35"/>
    <row r="41228" hidden="1" x14ac:dyDescent="0.35"/>
    <row r="41229" hidden="1" x14ac:dyDescent="0.35"/>
    <row r="41230" hidden="1" x14ac:dyDescent="0.35"/>
    <row r="41231" hidden="1" x14ac:dyDescent="0.35"/>
    <row r="41232" hidden="1" x14ac:dyDescent="0.35"/>
    <row r="41233" hidden="1" x14ac:dyDescent="0.35"/>
    <row r="41234" hidden="1" x14ac:dyDescent="0.35"/>
    <row r="41235" hidden="1" x14ac:dyDescent="0.35"/>
    <row r="41236" hidden="1" x14ac:dyDescent="0.35"/>
    <row r="41237" hidden="1" x14ac:dyDescent="0.35"/>
    <row r="41238" hidden="1" x14ac:dyDescent="0.35"/>
    <row r="41239" hidden="1" x14ac:dyDescent="0.35"/>
    <row r="41240" hidden="1" x14ac:dyDescent="0.35"/>
    <row r="41241" hidden="1" x14ac:dyDescent="0.35"/>
    <row r="41242" hidden="1" x14ac:dyDescent="0.35"/>
    <row r="41243" hidden="1" x14ac:dyDescent="0.35"/>
    <row r="41244" hidden="1" x14ac:dyDescent="0.35"/>
    <row r="41245" hidden="1" x14ac:dyDescent="0.35"/>
    <row r="41246" hidden="1" x14ac:dyDescent="0.35"/>
    <row r="41247" hidden="1" x14ac:dyDescent="0.35"/>
    <row r="41248" hidden="1" x14ac:dyDescent="0.35"/>
    <row r="41249" hidden="1" x14ac:dyDescent="0.35"/>
    <row r="41250" hidden="1" x14ac:dyDescent="0.35"/>
    <row r="41251" hidden="1" x14ac:dyDescent="0.35"/>
    <row r="41252" hidden="1" x14ac:dyDescent="0.35"/>
    <row r="41253" hidden="1" x14ac:dyDescent="0.35"/>
    <row r="41254" hidden="1" x14ac:dyDescent="0.35"/>
    <row r="41255" hidden="1" x14ac:dyDescent="0.35"/>
    <row r="41256" hidden="1" x14ac:dyDescent="0.35"/>
    <row r="41257" hidden="1" x14ac:dyDescent="0.35"/>
    <row r="41258" hidden="1" x14ac:dyDescent="0.35"/>
    <row r="41259" hidden="1" x14ac:dyDescent="0.35"/>
    <row r="41260" hidden="1" x14ac:dyDescent="0.35"/>
    <row r="41261" hidden="1" x14ac:dyDescent="0.35"/>
    <row r="41262" hidden="1" x14ac:dyDescent="0.35"/>
    <row r="41263" hidden="1" x14ac:dyDescent="0.35"/>
    <row r="41264" hidden="1" x14ac:dyDescent="0.35"/>
    <row r="41265" hidden="1" x14ac:dyDescent="0.35"/>
    <row r="41266" hidden="1" x14ac:dyDescent="0.35"/>
    <row r="41267" hidden="1" x14ac:dyDescent="0.35"/>
    <row r="41268" hidden="1" x14ac:dyDescent="0.35"/>
    <row r="41269" hidden="1" x14ac:dyDescent="0.35"/>
    <row r="41270" hidden="1" x14ac:dyDescent="0.35"/>
    <row r="41271" hidden="1" x14ac:dyDescent="0.35"/>
    <row r="41272" hidden="1" x14ac:dyDescent="0.35"/>
    <row r="41273" hidden="1" x14ac:dyDescent="0.35"/>
    <row r="41274" hidden="1" x14ac:dyDescent="0.35"/>
    <row r="41275" hidden="1" x14ac:dyDescent="0.35"/>
    <row r="41276" hidden="1" x14ac:dyDescent="0.35"/>
    <row r="41277" hidden="1" x14ac:dyDescent="0.35"/>
    <row r="41278" hidden="1" x14ac:dyDescent="0.35"/>
    <row r="41279" hidden="1" x14ac:dyDescent="0.35"/>
    <row r="41280" hidden="1" x14ac:dyDescent="0.35"/>
    <row r="41281" hidden="1" x14ac:dyDescent="0.35"/>
    <row r="41282" hidden="1" x14ac:dyDescent="0.35"/>
    <row r="41283" hidden="1" x14ac:dyDescent="0.35"/>
    <row r="41284" hidden="1" x14ac:dyDescent="0.35"/>
    <row r="41285" hidden="1" x14ac:dyDescent="0.35"/>
    <row r="41286" hidden="1" x14ac:dyDescent="0.35"/>
    <row r="41287" hidden="1" x14ac:dyDescent="0.35"/>
    <row r="41288" hidden="1" x14ac:dyDescent="0.35"/>
    <row r="41289" hidden="1" x14ac:dyDescent="0.35"/>
    <row r="41290" hidden="1" x14ac:dyDescent="0.35"/>
    <row r="41291" hidden="1" x14ac:dyDescent="0.35"/>
    <row r="41292" hidden="1" x14ac:dyDescent="0.35"/>
    <row r="41293" hidden="1" x14ac:dyDescent="0.35"/>
    <row r="41294" hidden="1" x14ac:dyDescent="0.35"/>
    <row r="41295" hidden="1" x14ac:dyDescent="0.35"/>
    <row r="41296" hidden="1" x14ac:dyDescent="0.35"/>
    <row r="41297" hidden="1" x14ac:dyDescent="0.35"/>
    <row r="41298" hidden="1" x14ac:dyDescent="0.35"/>
    <row r="41299" hidden="1" x14ac:dyDescent="0.35"/>
    <row r="41300" hidden="1" x14ac:dyDescent="0.35"/>
    <row r="41301" hidden="1" x14ac:dyDescent="0.35"/>
    <row r="41302" hidden="1" x14ac:dyDescent="0.35"/>
    <row r="41303" hidden="1" x14ac:dyDescent="0.35"/>
    <row r="41304" hidden="1" x14ac:dyDescent="0.35"/>
    <row r="41305" hidden="1" x14ac:dyDescent="0.35"/>
    <row r="41306" hidden="1" x14ac:dyDescent="0.35"/>
    <row r="41307" hidden="1" x14ac:dyDescent="0.35"/>
    <row r="41308" hidden="1" x14ac:dyDescent="0.35"/>
    <row r="41309" hidden="1" x14ac:dyDescent="0.35"/>
    <row r="41310" hidden="1" x14ac:dyDescent="0.35"/>
    <row r="41311" hidden="1" x14ac:dyDescent="0.35"/>
    <row r="41312" hidden="1" x14ac:dyDescent="0.35"/>
    <row r="41313" hidden="1" x14ac:dyDescent="0.35"/>
    <row r="41314" hidden="1" x14ac:dyDescent="0.35"/>
    <row r="41315" hidden="1" x14ac:dyDescent="0.35"/>
    <row r="41316" hidden="1" x14ac:dyDescent="0.35"/>
    <row r="41317" hidden="1" x14ac:dyDescent="0.35"/>
    <row r="41318" hidden="1" x14ac:dyDescent="0.35"/>
    <row r="41319" hidden="1" x14ac:dyDescent="0.35"/>
    <row r="41320" hidden="1" x14ac:dyDescent="0.35"/>
    <row r="41321" hidden="1" x14ac:dyDescent="0.35"/>
    <row r="41322" hidden="1" x14ac:dyDescent="0.35"/>
    <row r="41323" hidden="1" x14ac:dyDescent="0.35"/>
    <row r="41324" hidden="1" x14ac:dyDescent="0.35"/>
    <row r="41325" hidden="1" x14ac:dyDescent="0.35"/>
    <row r="41326" hidden="1" x14ac:dyDescent="0.35"/>
    <row r="41327" hidden="1" x14ac:dyDescent="0.35"/>
    <row r="41328" hidden="1" x14ac:dyDescent="0.35"/>
    <row r="41329" hidden="1" x14ac:dyDescent="0.35"/>
    <row r="41330" hidden="1" x14ac:dyDescent="0.35"/>
    <row r="41331" hidden="1" x14ac:dyDescent="0.35"/>
    <row r="41332" hidden="1" x14ac:dyDescent="0.35"/>
    <row r="41333" hidden="1" x14ac:dyDescent="0.35"/>
    <row r="41334" hidden="1" x14ac:dyDescent="0.35"/>
    <row r="41335" hidden="1" x14ac:dyDescent="0.35"/>
    <row r="41336" hidden="1" x14ac:dyDescent="0.35"/>
    <row r="41337" hidden="1" x14ac:dyDescent="0.35"/>
    <row r="41338" hidden="1" x14ac:dyDescent="0.35"/>
    <row r="41339" hidden="1" x14ac:dyDescent="0.35"/>
    <row r="41340" hidden="1" x14ac:dyDescent="0.35"/>
    <row r="41341" hidden="1" x14ac:dyDescent="0.35"/>
    <row r="41342" hidden="1" x14ac:dyDescent="0.35"/>
    <row r="41343" hidden="1" x14ac:dyDescent="0.35"/>
    <row r="41344" hidden="1" x14ac:dyDescent="0.35"/>
    <row r="41345" hidden="1" x14ac:dyDescent="0.35"/>
    <row r="41346" hidden="1" x14ac:dyDescent="0.35"/>
    <row r="41347" hidden="1" x14ac:dyDescent="0.35"/>
    <row r="41348" hidden="1" x14ac:dyDescent="0.35"/>
    <row r="41349" hidden="1" x14ac:dyDescent="0.35"/>
    <row r="41350" hidden="1" x14ac:dyDescent="0.35"/>
    <row r="41351" hidden="1" x14ac:dyDescent="0.35"/>
    <row r="41352" hidden="1" x14ac:dyDescent="0.35"/>
    <row r="41353" hidden="1" x14ac:dyDescent="0.35"/>
    <row r="41354" hidden="1" x14ac:dyDescent="0.35"/>
    <row r="41355" hidden="1" x14ac:dyDescent="0.35"/>
    <row r="41356" hidden="1" x14ac:dyDescent="0.35"/>
    <row r="41357" hidden="1" x14ac:dyDescent="0.35"/>
    <row r="41358" hidden="1" x14ac:dyDescent="0.35"/>
    <row r="41359" hidden="1" x14ac:dyDescent="0.35"/>
    <row r="41360" hidden="1" x14ac:dyDescent="0.35"/>
    <row r="41361" hidden="1" x14ac:dyDescent="0.35"/>
    <row r="41362" hidden="1" x14ac:dyDescent="0.35"/>
    <row r="41363" hidden="1" x14ac:dyDescent="0.35"/>
    <row r="41364" hidden="1" x14ac:dyDescent="0.35"/>
    <row r="41365" hidden="1" x14ac:dyDescent="0.35"/>
    <row r="41366" hidden="1" x14ac:dyDescent="0.35"/>
    <row r="41367" hidden="1" x14ac:dyDescent="0.35"/>
    <row r="41368" hidden="1" x14ac:dyDescent="0.35"/>
    <row r="41369" hidden="1" x14ac:dyDescent="0.35"/>
    <row r="41370" hidden="1" x14ac:dyDescent="0.35"/>
    <row r="41371" hidden="1" x14ac:dyDescent="0.35"/>
    <row r="41372" hidden="1" x14ac:dyDescent="0.35"/>
    <row r="41373" hidden="1" x14ac:dyDescent="0.35"/>
    <row r="41374" hidden="1" x14ac:dyDescent="0.35"/>
    <row r="41375" hidden="1" x14ac:dyDescent="0.35"/>
    <row r="41376" hidden="1" x14ac:dyDescent="0.35"/>
    <row r="41377" hidden="1" x14ac:dyDescent="0.35"/>
    <row r="41378" hidden="1" x14ac:dyDescent="0.35"/>
    <row r="41379" hidden="1" x14ac:dyDescent="0.35"/>
    <row r="41380" hidden="1" x14ac:dyDescent="0.35"/>
    <row r="41381" hidden="1" x14ac:dyDescent="0.35"/>
    <row r="41382" hidden="1" x14ac:dyDescent="0.35"/>
    <row r="41383" hidden="1" x14ac:dyDescent="0.35"/>
    <row r="41384" hidden="1" x14ac:dyDescent="0.35"/>
    <row r="41385" hidden="1" x14ac:dyDescent="0.35"/>
    <row r="41386" hidden="1" x14ac:dyDescent="0.35"/>
    <row r="41387" hidden="1" x14ac:dyDescent="0.35"/>
    <row r="41388" hidden="1" x14ac:dyDescent="0.35"/>
    <row r="41389" hidden="1" x14ac:dyDescent="0.35"/>
    <row r="41390" hidden="1" x14ac:dyDescent="0.35"/>
    <row r="41391" hidden="1" x14ac:dyDescent="0.35"/>
    <row r="41392" hidden="1" x14ac:dyDescent="0.35"/>
    <row r="41393" hidden="1" x14ac:dyDescent="0.35"/>
    <row r="41394" hidden="1" x14ac:dyDescent="0.35"/>
    <row r="41395" hidden="1" x14ac:dyDescent="0.35"/>
    <row r="41396" hidden="1" x14ac:dyDescent="0.35"/>
    <row r="41397" hidden="1" x14ac:dyDescent="0.35"/>
    <row r="41398" hidden="1" x14ac:dyDescent="0.35"/>
    <row r="41399" hidden="1" x14ac:dyDescent="0.35"/>
    <row r="41400" hidden="1" x14ac:dyDescent="0.35"/>
    <row r="41401" hidden="1" x14ac:dyDescent="0.35"/>
    <row r="41402" hidden="1" x14ac:dyDescent="0.35"/>
    <row r="41403" hidden="1" x14ac:dyDescent="0.35"/>
    <row r="41404" hidden="1" x14ac:dyDescent="0.35"/>
    <row r="41405" hidden="1" x14ac:dyDescent="0.35"/>
    <row r="41406" hidden="1" x14ac:dyDescent="0.35"/>
    <row r="41407" hidden="1" x14ac:dyDescent="0.35"/>
    <row r="41408" hidden="1" x14ac:dyDescent="0.35"/>
    <row r="41409" hidden="1" x14ac:dyDescent="0.35"/>
    <row r="41410" hidden="1" x14ac:dyDescent="0.35"/>
    <row r="41411" hidden="1" x14ac:dyDescent="0.35"/>
    <row r="41412" hidden="1" x14ac:dyDescent="0.35"/>
    <row r="41413" hidden="1" x14ac:dyDescent="0.35"/>
    <row r="41414" hidden="1" x14ac:dyDescent="0.35"/>
    <row r="41415" hidden="1" x14ac:dyDescent="0.35"/>
    <row r="41416" hidden="1" x14ac:dyDescent="0.35"/>
    <row r="41417" hidden="1" x14ac:dyDescent="0.35"/>
    <row r="41418" hidden="1" x14ac:dyDescent="0.35"/>
    <row r="41419" hidden="1" x14ac:dyDescent="0.35"/>
    <row r="41420" hidden="1" x14ac:dyDescent="0.35"/>
    <row r="41421" hidden="1" x14ac:dyDescent="0.35"/>
    <row r="41422" hidden="1" x14ac:dyDescent="0.35"/>
    <row r="41423" hidden="1" x14ac:dyDescent="0.35"/>
    <row r="41424" hidden="1" x14ac:dyDescent="0.35"/>
    <row r="41425" hidden="1" x14ac:dyDescent="0.35"/>
    <row r="41426" hidden="1" x14ac:dyDescent="0.35"/>
    <row r="41427" hidden="1" x14ac:dyDescent="0.35"/>
    <row r="41428" hidden="1" x14ac:dyDescent="0.35"/>
    <row r="41429" hidden="1" x14ac:dyDescent="0.35"/>
    <row r="41430" hidden="1" x14ac:dyDescent="0.35"/>
    <row r="41431" hidden="1" x14ac:dyDescent="0.35"/>
    <row r="41432" hidden="1" x14ac:dyDescent="0.35"/>
    <row r="41433" hidden="1" x14ac:dyDescent="0.35"/>
    <row r="41434" hidden="1" x14ac:dyDescent="0.35"/>
    <row r="41435" hidden="1" x14ac:dyDescent="0.35"/>
    <row r="41436" hidden="1" x14ac:dyDescent="0.35"/>
    <row r="41437" hidden="1" x14ac:dyDescent="0.35"/>
    <row r="41438" hidden="1" x14ac:dyDescent="0.35"/>
    <row r="41439" hidden="1" x14ac:dyDescent="0.35"/>
    <row r="41440" hidden="1" x14ac:dyDescent="0.35"/>
    <row r="41441" hidden="1" x14ac:dyDescent="0.35"/>
    <row r="41442" hidden="1" x14ac:dyDescent="0.35"/>
    <row r="41443" hidden="1" x14ac:dyDescent="0.35"/>
    <row r="41444" hidden="1" x14ac:dyDescent="0.35"/>
    <row r="41445" hidden="1" x14ac:dyDescent="0.35"/>
    <row r="41446" hidden="1" x14ac:dyDescent="0.35"/>
    <row r="41447" hidden="1" x14ac:dyDescent="0.35"/>
    <row r="41448" hidden="1" x14ac:dyDescent="0.35"/>
    <row r="41449" hidden="1" x14ac:dyDescent="0.35"/>
    <row r="41450" hidden="1" x14ac:dyDescent="0.35"/>
    <row r="41451" hidden="1" x14ac:dyDescent="0.35"/>
    <row r="41452" hidden="1" x14ac:dyDescent="0.35"/>
    <row r="41453" hidden="1" x14ac:dyDescent="0.35"/>
    <row r="41454" hidden="1" x14ac:dyDescent="0.35"/>
    <row r="41455" hidden="1" x14ac:dyDescent="0.35"/>
    <row r="41456" hidden="1" x14ac:dyDescent="0.35"/>
    <row r="41457" hidden="1" x14ac:dyDescent="0.35"/>
    <row r="41458" hidden="1" x14ac:dyDescent="0.35"/>
    <row r="41459" hidden="1" x14ac:dyDescent="0.35"/>
    <row r="41460" hidden="1" x14ac:dyDescent="0.35"/>
    <row r="41461" hidden="1" x14ac:dyDescent="0.35"/>
    <row r="41462" hidden="1" x14ac:dyDescent="0.35"/>
    <row r="41463" hidden="1" x14ac:dyDescent="0.35"/>
    <row r="41464" hidden="1" x14ac:dyDescent="0.35"/>
    <row r="41465" hidden="1" x14ac:dyDescent="0.35"/>
    <row r="41466" hidden="1" x14ac:dyDescent="0.35"/>
    <row r="41467" hidden="1" x14ac:dyDescent="0.35"/>
    <row r="41468" hidden="1" x14ac:dyDescent="0.35"/>
    <row r="41469" hidden="1" x14ac:dyDescent="0.35"/>
    <row r="41470" hidden="1" x14ac:dyDescent="0.35"/>
    <row r="41471" hidden="1" x14ac:dyDescent="0.35"/>
    <row r="41472" hidden="1" x14ac:dyDescent="0.35"/>
    <row r="41473" hidden="1" x14ac:dyDescent="0.35"/>
    <row r="41474" hidden="1" x14ac:dyDescent="0.35"/>
    <row r="41475" hidden="1" x14ac:dyDescent="0.35"/>
    <row r="41476" hidden="1" x14ac:dyDescent="0.35"/>
    <row r="41477" hidden="1" x14ac:dyDescent="0.35"/>
    <row r="41478" hidden="1" x14ac:dyDescent="0.35"/>
    <row r="41479" hidden="1" x14ac:dyDescent="0.35"/>
    <row r="41480" hidden="1" x14ac:dyDescent="0.35"/>
    <row r="41481" hidden="1" x14ac:dyDescent="0.35"/>
    <row r="41482" hidden="1" x14ac:dyDescent="0.35"/>
    <row r="41483" hidden="1" x14ac:dyDescent="0.35"/>
    <row r="41484" hidden="1" x14ac:dyDescent="0.35"/>
    <row r="41485" hidden="1" x14ac:dyDescent="0.35"/>
    <row r="41486" hidden="1" x14ac:dyDescent="0.35"/>
    <row r="41487" hidden="1" x14ac:dyDescent="0.35"/>
    <row r="41488" hidden="1" x14ac:dyDescent="0.35"/>
    <row r="41489" hidden="1" x14ac:dyDescent="0.35"/>
    <row r="41490" hidden="1" x14ac:dyDescent="0.35"/>
    <row r="41491" hidden="1" x14ac:dyDescent="0.35"/>
    <row r="41492" hidden="1" x14ac:dyDescent="0.35"/>
    <row r="41493" hidden="1" x14ac:dyDescent="0.35"/>
    <row r="41494" hidden="1" x14ac:dyDescent="0.35"/>
    <row r="41495" hidden="1" x14ac:dyDescent="0.35"/>
    <row r="41496" hidden="1" x14ac:dyDescent="0.35"/>
    <row r="41497" hidden="1" x14ac:dyDescent="0.35"/>
    <row r="41498" hidden="1" x14ac:dyDescent="0.35"/>
    <row r="41499" hidden="1" x14ac:dyDescent="0.35"/>
    <row r="41500" hidden="1" x14ac:dyDescent="0.35"/>
    <row r="41501" hidden="1" x14ac:dyDescent="0.35"/>
    <row r="41502" hidden="1" x14ac:dyDescent="0.35"/>
    <row r="41503" hidden="1" x14ac:dyDescent="0.35"/>
    <row r="41504" hidden="1" x14ac:dyDescent="0.35"/>
    <row r="41505" hidden="1" x14ac:dyDescent="0.35"/>
    <row r="41506" hidden="1" x14ac:dyDescent="0.35"/>
    <row r="41507" hidden="1" x14ac:dyDescent="0.35"/>
    <row r="41508" hidden="1" x14ac:dyDescent="0.35"/>
    <row r="41509" hidden="1" x14ac:dyDescent="0.35"/>
    <row r="41510" hidden="1" x14ac:dyDescent="0.35"/>
    <row r="41511" hidden="1" x14ac:dyDescent="0.35"/>
    <row r="41512" hidden="1" x14ac:dyDescent="0.35"/>
    <row r="41513" hidden="1" x14ac:dyDescent="0.35"/>
    <row r="41514" hidden="1" x14ac:dyDescent="0.35"/>
    <row r="41515" hidden="1" x14ac:dyDescent="0.35"/>
    <row r="41516" hidden="1" x14ac:dyDescent="0.35"/>
    <row r="41517" hidden="1" x14ac:dyDescent="0.35"/>
    <row r="41518" hidden="1" x14ac:dyDescent="0.35"/>
    <row r="41519" hidden="1" x14ac:dyDescent="0.35"/>
    <row r="41520" hidden="1" x14ac:dyDescent="0.35"/>
    <row r="41521" hidden="1" x14ac:dyDescent="0.35"/>
    <row r="41522" hidden="1" x14ac:dyDescent="0.35"/>
    <row r="41523" hidden="1" x14ac:dyDescent="0.35"/>
    <row r="41524" hidden="1" x14ac:dyDescent="0.35"/>
    <row r="41525" hidden="1" x14ac:dyDescent="0.35"/>
    <row r="41526" hidden="1" x14ac:dyDescent="0.35"/>
    <row r="41527" hidden="1" x14ac:dyDescent="0.35"/>
    <row r="41528" hidden="1" x14ac:dyDescent="0.35"/>
    <row r="41529" hidden="1" x14ac:dyDescent="0.35"/>
    <row r="41530" hidden="1" x14ac:dyDescent="0.35"/>
    <row r="41531" hidden="1" x14ac:dyDescent="0.35"/>
    <row r="41532" hidden="1" x14ac:dyDescent="0.35"/>
    <row r="41533" hidden="1" x14ac:dyDescent="0.35"/>
    <row r="41534" hidden="1" x14ac:dyDescent="0.35"/>
    <row r="41535" hidden="1" x14ac:dyDescent="0.35"/>
    <row r="41536" hidden="1" x14ac:dyDescent="0.35"/>
    <row r="41537" hidden="1" x14ac:dyDescent="0.35"/>
    <row r="41538" hidden="1" x14ac:dyDescent="0.35"/>
    <row r="41539" hidden="1" x14ac:dyDescent="0.35"/>
    <row r="41540" hidden="1" x14ac:dyDescent="0.35"/>
    <row r="41541" hidden="1" x14ac:dyDescent="0.35"/>
    <row r="41542" hidden="1" x14ac:dyDescent="0.35"/>
    <row r="41543" hidden="1" x14ac:dyDescent="0.35"/>
    <row r="41544" hidden="1" x14ac:dyDescent="0.35"/>
    <row r="41545" hidden="1" x14ac:dyDescent="0.35"/>
    <row r="41546" hidden="1" x14ac:dyDescent="0.35"/>
    <row r="41547" hidden="1" x14ac:dyDescent="0.35"/>
    <row r="41548" hidden="1" x14ac:dyDescent="0.35"/>
    <row r="41549" hidden="1" x14ac:dyDescent="0.35"/>
    <row r="41550" hidden="1" x14ac:dyDescent="0.35"/>
    <row r="41551" hidden="1" x14ac:dyDescent="0.35"/>
    <row r="41552" hidden="1" x14ac:dyDescent="0.35"/>
    <row r="41553" hidden="1" x14ac:dyDescent="0.35"/>
    <row r="41554" hidden="1" x14ac:dyDescent="0.35"/>
    <row r="41555" hidden="1" x14ac:dyDescent="0.35"/>
    <row r="41556" hidden="1" x14ac:dyDescent="0.35"/>
    <row r="41557" hidden="1" x14ac:dyDescent="0.35"/>
    <row r="41558" hidden="1" x14ac:dyDescent="0.35"/>
    <row r="41559" hidden="1" x14ac:dyDescent="0.35"/>
    <row r="41560" hidden="1" x14ac:dyDescent="0.35"/>
    <row r="41561" hidden="1" x14ac:dyDescent="0.35"/>
    <row r="41562" hidden="1" x14ac:dyDescent="0.35"/>
    <row r="41563" hidden="1" x14ac:dyDescent="0.35"/>
    <row r="41564" hidden="1" x14ac:dyDescent="0.35"/>
    <row r="41565" hidden="1" x14ac:dyDescent="0.35"/>
    <row r="41566" hidden="1" x14ac:dyDescent="0.35"/>
    <row r="41567" hidden="1" x14ac:dyDescent="0.35"/>
    <row r="41568" hidden="1" x14ac:dyDescent="0.35"/>
    <row r="41569" hidden="1" x14ac:dyDescent="0.35"/>
    <row r="41570" hidden="1" x14ac:dyDescent="0.35"/>
    <row r="41571" hidden="1" x14ac:dyDescent="0.35"/>
    <row r="41572" hidden="1" x14ac:dyDescent="0.35"/>
    <row r="41573" hidden="1" x14ac:dyDescent="0.35"/>
    <row r="41574" hidden="1" x14ac:dyDescent="0.35"/>
    <row r="41575" hidden="1" x14ac:dyDescent="0.35"/>
    <row r="41576" hidden="1" x14ac:dyDescent="0.35"/>
    <row r="41577" hidden="1" x14ac:dyDescent="0.35"/>
    <row r="41578" hidden="1" x14ac:dyDescent="0.35"/>
    <row r="41579" hidden="1" x14ac:dyDescent="0.35"/>
    <row r="41580" hidden="1" x14ac:dyDescent="0.35"/>
    <row r="41581" hidden="1" x14ac:dyDescent="0.35"/>
    <row r="41582" hidden="1" x14ac:dyDescent="0.35"/>
    <row r="41583" hidden="1" x14ac:dyDescent="0.35"/>
    <row r="41584" hidden="1" x14ac:dyDescent="0.35"/>
    <row r="41585" hidden="1" x14ac:dyDescent="0.35"/>
    <row r="41586" hidden="1" x14ac:dyDescent="0.35"/>
    <row r="41587" hidden="1" x14ac:dyDescent="0.35"/>
    <row r="41588" hidden="1" x14ac:dyDescent="0.35"/>
    <row r="41589" hidden="1" x14ac:dyDescent="0.35"/>
    <row r="41590" hidden="1" x14ac:dyDescent="0.35"/>
    <row r="41591" hidden="1" x14ac:dyDescent="0.35"/>
    <row r="41592" hidden="1" x14ac:dyDescent="0.35"/>
    <row r="41593" hidden="1" x14ac:dyDescent="0.35"/>
    <row r="41594" hidden="1" x14ac:dyDescent="0.35"/>
    <row r="41595" hidden="1" x14ac:dyDescent="0.35"/>
    <row r="41596" hidden="1" x14ac:dyDescent="0.35"/>
    <row r="41597" hidden="1" x14ac:dyDescent="0.35"/>
    <row r="41598" hidden="1" x14ac:dyDescent="0.35"/>
    <row r="41599" hidden="1" x14ac:dyDescent="0.35"/>
    <row r="41600" hidden="1" x14ac:dyDescent="0.35"/>
    <row r="41601" hidden="1" x14ac:dyDescent="0.35"/>
    <row r="41602" hidden="1" x14ac:dyDescent="0.35"/>
    <row r="41603" hidden="1" x14ac:dyDescent="0.35"/>
    <row r="41604" hidden="1" x14ac:dyDescent="0.35"/>
    <row r="41605" hidden="1" x14ac:dyDescent="0.35"/>
    <row r="41606" hidden="1" x14ac:dyDescent="0.35"/>
    <row r="41607" hidden="1" x14ac:dyDescent="0.35"/>
    <row r="41608" hidden="1" x14ac:dyDescent="0.35"/>
    <row r="41609" hidden="1" x14ac:dyDescent="0.35"/>
    <row r="41610" hidden="1" x14ac:dyDescent="0.35"/>
    <row r="41611" hidden="1" x14ac:dyDescent="0.35"/>
    <row r="41612" hidden="1" x14ac:dyDescent="0.35"/>
    <row r="41613" hidden="1" x14ac:dyDescent="0.35"/>
    <row r="41614" hidden="1" x14ac:dyDescent="0.35"/>
    <row r="41615" hidden="1" x14ac:dyDescent="0.35"/>
    <row r="41616" hidden="1" x14ac:dyDescent="0.35"/>
    <row r="41617" hidden="1" x14ac:dyDescent="0.35"/>
    <row r="41618" hidden="1" x14ac:dyDescent="0.35"/>
    <row r="41619" hidden="1" x14ac:dyDescent="0.35"/>
    <row r="41620" hidden="1" x14ac:dyDescent="0.35"/>
    <row r="41621" hidden="1" x14ac:dyDescent="0.35"/>
    <row r="41622" hidden="1" x14ac:dyDescent="0.35"/>
    <row r="41623" hidden="1" x14ac:dyDescent="0.35"/>
    <row r="41624" hidden="1" x14ac:dyDescent="0.35"/>
    <row r="41625" hidden="1" x14ac:dyDescent="0.35"/>
    <row r="41626" hidden="1" x14ac:dyDescent="0.35"/>
    <row r="41627" hidden="1" x14ac:dyDescent="0.35"/>
    <row r="41628" hidden="1" x14ac:dyDescent="0.35"/>
    <row r="41629" hidden="1" x14ac:dyDescent="0.35"/>
    <row r="41630" hidden="1" x14ac:dyDescent="0.35"/>
    <row r="41631" hidden="1" x14ac:dyDescent="0.35"/>
    <row r="41632" hidden="1" x14ac:dyDescent="0.35"/>
    <row r="41633" hidden="1" x14ac:dyDescent="0.35"/>
    <row r="41634" hidden="1" x14ac:dyDescent="0.35"/>
    <row r="41635" hidden="1" x14ac:dyDescent="0.35"/>
    <row r="41636" hidden="1" x14ac:dyDescent="0.35"/>
    <row r="41637" hidden="1" x14ac:dyDescent="0.35"/>
    <row r="41638" hidden="1" x14ac:dyDescent="0.35"/>
    <row r="41639" hidden="1" x14ac:dyDescent="0.35"/>
    <row r="41640" hidden="1" x14ac:dyDescent="0.35"/>
    <row r="41641" hidden="1" x14ac:dyDescent="0.35"/>
    <row r="41642" hidden="1" x14ac:dyDescent="0.35"/>
    <row r="41643" hidden="1" x14ac:dyDescent="0.35"/>
    <row r="41644" hidden="1" x14ac:dyDescent="0.35"/>
    <row r="41645" hidden="1" x14ac:dyDescent="0.35"/>
    <row r="41646" hidden="1" x14ac:dyDescent="0.35"/>
    <row r="41647" hidden="1" x14ac:dyDescent="0.35"/>
    <row r="41648" hidden="1" x14ac:dyDescent="0.35"/>
    <row r="41649" hidden="1" x14ac:dyDescent="0.35"/>
    <row r="41650" hidden="1" x14ac:dyDescent="0.35"/>
    <row r="41651" hidden="1" x14ac:dyDescent="0.35"/>
    <row r="41652" hidden="1" x14ac:dyDescent="0.35"/>
    <row r="41653" hidden="1" x14ac:dyDescent="0.35"/>
    <row r="41654" hidden="1" x14ac:dyDescent="0.35"/>
    <row r="41655" hidden="1" x14ac:dyDescent="0.35"/>
    <row r="41656" hidden="1" x14ac:dyDescent="0.35"/>
    <row r="41657" hidden="1" x14ac:dyDescent="0.35"/>
    <row r="41658" hidden="1" x14ac:dyDescent="0.35"/>
    <row r="41659" hidden="1" x14ac:dyDescent="0.35"/>
    <row r="41660" hidden="1" x14ac:dyDescent="0.35"/>
    <row r="41661" hidden="1" x14ac:dyDescent="0.35"/>
    <row r="41662" hidden="1" x14ac:dyDescent="0.35"/>
    <row r="41663" hidden="1" x14ac:dyDescent="0.35"/>
    <row r="41664" hidden="1" x14ac:dyDescent="0.35"/>
    <row r="41665" hidden="1" x14ac:dyDescent="0.35"/>
    <row r="41666" hidden="1" x14ac:dyDescent="0.35"/>
    <row r="41667" hidden="1" x14ac:dyDescent="0.35"/>
    <row r="41668" hidden="1" x14ac:dyDescent="0.35"/>
    <row r="41669" hidden="1" x14ac:dyDescent="0.35"/>
    <row r="41670" hidden="1" x14ac:dyDescent="0.35"/>
    <row r="41671" hidden="1" x14ac:dyDescent="0.35"/>
    <row r="41672" hidden="1" x14ac:dyDescent="0.35"/>
    <row r="41673" hidden="1" x14ac:dyDescent="0.35"/>
    <row r="41674" hidden="1" x14ac:dyDescent="0.35"/>
    <row r="41675" hidden="1" x14ac:dyDescent="0.35"/>
    <row r="41676" hidden="1" x14ac:dyDescent="0.35"/>
    <row r="41677" hidden="1" x14ac:dyDescent="0.35"/>
    <row r="41678" hidden="1" x14ac:dyDescent="0.35"/>
    <row r="41679" hidden="1" x14ac:dyDescent="0.35"/>
    <row r="41680" hidden="1" x14ac:dyDescent="0.35"/>
    <row r="41681" hidden="1" x14ac:dyDescent="0.35"/>
    <row r="41682" hidden="1" x14ac:dyDescent="0.35"/>
    <row r="41683" hidden="1" x14ac:dyDescent="0.35"/>
    <row r="41684" hidden="1" x14ac:dyDescent="0.35"/>
    <row r="41685" hidden="1" x14ac:dyDescent="0.35"/>
    <row r="41686" hidden="1" x14ac:dyDescent="0.35"/>
    <row r="41687" hidden="1" x14ac:dyDescent="0.35"/>
    <row r="41688" hidden="1" x14ac:dyDescent="0.35"/>
    <row r="41689" hidden="1" x14ac:dyDescent="0.35"/>
    <row r="41690" hidden="1" x14ac:dyDescent="0.35"/>
    <row r="41691" hidden="1" x14ac:dyDescent="0.35"/>
    <row r="41692" hidden="1" x14ac:dyDescent="0.35"/>
    <row r="41693" hidden="1" x14ac:dyDescent="0.35"/>
    <row r="41694" hidden="1" x14ac:dyDescent="0.35"/>
    <row r="41695" hidden="1" x14ac:dyDescent="0.35"/>
    <row r="41696" hidden="1" x14ac:dyDescent="0.35"/>
    <row r="41697" hidden="1" x14ac:dyDescent="0.35"/>
    <row r="41698" hidden="1" x14ac:dyDescent="0.35"/>
    <row r="41699" hidden="1" x14ac:dyDescent="0.35"/>
    <row r="41700" hidden="1" x14ac:dyDescent="0.35"/>
    <row r="41701" hidden="1" x14ac:dyDescent="0.35"/>
    <row r="41702" hidden="1" x14ac:dyDescent="0.35"/>
    <row r="41703" hidden="1" x14ac:dyDescent="0.35"/>
    <row r="41704" hidden="1" x14ac:dyDescent="0.35"/>
    <row r="41705" hidden="1" x14ac:dyDescent="0.35"/>
    <row r="41706" hidden="1" x14ac:dyDescent="0.35"/>
    <row r="41707" hidden="1" x14ac:dyDescent="0.35"/>
    <row r="41708" hidden="1" x14ac:dyDescent="0.35"/>
    <row r="41709" hidden="1" x14ac:dyDescent="0.35"/>
    <row r="41710" hidden="1" x14ac:dyDescent="0.35"/>
    <row r="41711" hidden="1" x14ac:dyDescent="0.35"/>
    <row r="41712" hidden="1" x14ac:dyDescent="0.35"/>
    <row r="41713" hidden="1" x14ac:dyDescent="0.35"/>
    <row r="41714" hidden="1" x14ac:dyDescent="0.35"/>
    <row r="41715" hidden="1" x14ac:dyDescent="0.35"/>
    <row r="41716" hidden="1" x14ac:dyDescent="0.35"/>
    <row r="41717" hidden="1" x14ac:dyDescent="0.35"/>
    <row r="41718" hidden="1" x14ac:dyDescent="0.35"/>
    <row r="41719" hidden="1" x14ac:dyDescent="0.35"/>
    <row r="41720" hidden="1" x14ac:dyDescent="0.35"/>
    <row r="41721" hidden="1" x14ac:dyDescent="0.35"/>
    <row r="41722" hidden="1" x14ac:dyDescent="0.35"/>
    <row r="41723" hidden="1" x14ac:dyDescent="0.35"/>
    <row r="41724" hidden="1" x14ac:dyDescent="0.35"/>
    <row r="41725" hidden="1" x14ac:dyDescent="0.35"/>
    <row r="41726" hidden="1" x14ac:dyDescent="0.35"/>
    <row r="41727" hidden="1" x14ac:dyDescent="0.35"/>
    <row r="41728" hidden="1" x14ac:dyDescent="0.35"/>
    <row r="41729" hidden="1" x14ac:dyDescent="0.35"/>
    <row r="41730" hidden="1" x14ac:dyDescent="0.35"/>
    <row r="41731" hidden="1" x14ac:dyDescent="0.35"/>
    <row r="41732" hidden="1" x14ac:dyDescent="0.35"/>
    <row r="41733" hidden="1" x14ac:dyDescent="0.35"/>
    <row r="41734" hidden="1" x14ac:dyDescent="0.35"/>
    <row r="41735" hidden="1" x14ac:dyDescent="0.35"/>
    <row r="41736" hidden="1" x14ac:dyDescent="0.35"/>
    <row r="41737" hidden="1" x14ac:dyDescent="0.35"/>
    <row r="41738" hidden="1" x14ac:dyDescent="0.35"/>
    <row r="41739" hidden="1" x14ac:dyDescent="0.35"/>
    <row r="41740" hidden="1" x14ac:dyDescent="0.35"/>
    <row r="41741" hidden="1" x14ac:dyDescent="0.35"/>
    <row r="41742" hidden="1" x14ac:dyDescent="0.35"/>
    <row r="41743" hidden="1" x14ac:dyDescent="0.35"/>
    <row r="41744" hidden="1" x14ac:dyDescent="0.35"/>
    <row r="41745" hidden="1" x14ac:dyDescent="0.35"/>
    <row r="41746" hidden="1" x14ac:dyDescent="0.35"/>
    <row r="41747" hidden="1" x14ac:dyDescent="0.35"/>
    <row r="41748" hidden="1" x14ac:dyDescent="0.35"/>
    <row r="41749" hidden="1" x14ac:dyDescent="0.35"/>
    <row r="41750" hidden="1" x14ac:dyDescent="0.35"/>
    <row r="41751" hidden="1" x14ac:dyDescent="0.35"/>
    <row r="41752" hidden="1" x14ac:dyDescent="0.35"/>
    <row r="41753" hidden="1" x14ac:dyDescent="0.35"/>
    <row r="41754" hidden="1" x14ac:dyDescent="0.35"/>
    <row r="41755" hidden="1" x14ac:dyDescent="0.35"/>
    <row r="41756" hidden="1" x14ac:dyDescent="0.35"/>
    <row r="41757" hidden="1" x14ac:dyDescent="0.35"/>
    <row r="41758" hidden="1" x14ac:dyDescent="0.35"/>
    <row r="41759" hidden="1" x14ac:dyDescent="0.35"/>
    <row r="41760" hidden="1" x14ac:dyDescent="0.35"/>
    <row r="41761" hidden="1" x14ac:dyDescent="0.35"/>
    <row r="41762" hidden="1" x14ac:dyDescent="0.35"/>
    <row r="41763" hidden="1" x14ac:dyDescent="0.35"/>
    <row r="41764" hidden="1" x14ac:dyDescent="0.35"/>
    <row r="41765" hidden="1" x14ac:dyDescent="0.35"/>
    <row r="41766" hidden="1" x14ac:dyDescent="0.35"/>
    <row r="41767" hidden="1" x14ac:dyDescent="0.35"/>
    <row r="41768" hidden="1" x14ac:dyDescent="0.35"/>
    <row r="41769" hidden="1" x14ac:dyDescent="0.35"/>
    <row r="41770" hidden="1" x14ac:dyDescent="0.35"/>
    <row r="41771" hidden="1" x14ac:dyDescent="0.35"/>
    <row r="41772" hidden="1" x14ac:dyDescent="0.35"/>
    <row r="41773" hidden="1" x14ac:dyDescent="0.35"/>
    <row r="41774" hidden="1" x14ac:dyDescent="0.35"/>
    <row r="41775" hidden="1" x14ac:dyDescent="0.35"/>
    <row r="41776" hidden="1" x14ac:dyDescent="0.35"/>
    <row r="41777" hidden="1" x14ac:dyDescent="0.35"/>
    <row r="41778" hidden="1" x14ac:dyDescent="0.35"/>
    <row r="41779" hidden="1" x14ac:dyDescent="0.35"/>
    <row r="41780" hidden="1" x14ac:dyDescent="0.35"/>
    <row r="41781" hidden="1" x14ac:dyDescent="0.35"/>
    <row r="41782" hidden="1" x14ac:dyDescent="0.35"/>
    <row r="41783" hidden="1" x14ac:dyDescent="0.35"/>
    <row r="41784" hidden="1" x14ac:dyDescent="0.35"/>
    <row r="41785" hidden="1" x14ac:dyDescent="0.35"/>
    <row r="41786" hidden="1" x14ac:dyDescent="0.35"/>
    <row r="41787" hidden="1" x14ac:dyDescent="0.35"/>
    <row r="41788" hidden="1" x14ac:dyDescent="0.35"/>
    <row r="41789" hidden="1" x14ac:dyDescent="0.35"/>
    <row r="41790" hidden="1" x14ac:dyDescent="0.35"/>
    <row r="41791" hidden="1" x14ac:dyDescent="0.35"/>
    <row r="41792" hidden="1" x14ac:dyDescent="0.35"/>
    <row r="41793" hidden="1" x14ac:dyDescent="0.35"/>
    <row r="41794" hidden="1" x14ac:dyDescent="0.35"/>
    <row r="41795" hidden="1" x14ac:dyDescent="0.35"/>
    <row r="41796" hidden="1" x14ac:dyDescent="0.35"/>
    <row r="41797" hidden="1" x14ac:dyDescent="0.35"/>
    <row r="41798" hidden="1" x14ac:dyDescent="0.35"/>
    <row r="41799" hidden="1" x14ac:dyDescent="0.35"/>
    <row r="41800" hidden="1" x14ac:dyDescent="0.35"/>
    <row r="41801" hidden="1" x14ac:dyDescent="0.35"/>
    <row r="41802" hidden="1" x14ac:dyDescent="0.35"/>
    <row r="41803" hidden="1" x14ac:dyDescent="0.35"/>
    <row r="41804" hidden="1" x14ac:dyDescent="0.35"/>
    <row r="41805" hidden="1" x14ac:dyDescent="0.35"/>
    <row r="41806" hidden="1" x14ac:dyDescent="0.35"/>
    <row r="41807" hidden="1" x14ac:dyDescent="0.35"/>
    <row r="41808" hidden="1" x14ac:dyDescent="0.35"/>
    <row r="41809" hidden="1" x14ac:dyDescent="0.35"/>
    <row r="41810" hidden="1" x14ac:dyDescent="0.35"/>
    <row r="41811" hidden="1" x14ac:dyDescent="0.35"/>
    <row r="41812" hidden="1" x14ac:dyDescent="0.35"/>
    <row r="41813" hidden="1" x14ac:dyDescent="0.35"/>
    <row r="41814" hidden="1" x14ac:dyDescent="0.35"/>
    <row r="41815" hidden="1" x14ac:dyDescent="0.35"/>
    <row r="41816" hidden="1" x14ac:dyDescent="0.35"/>
    <row r="41817" hidden="1" x14ac:dyDescent="0.35"/>
    <row r="41818" hidden="1" x14ac:dyDescent="0.35"/>
    <row r="41819" hidden="1" x14ac:dyDescent="0.35"/>
    <row r="41820" hidden="1" x14ac:dyDescent="0.35"/>
    <row r="41821" hidden="1" x14ac:dyDescent="0.35"/>
    <row r="41822" hidden="1" x14ac:dyDescent="0.35"/>
    <row r="41823" hidden="1" x14ac:dyDescent="0.35"/>
    <row r="41824" hidden="1" x14ac:dyDescent="0.35"/>
    <row r="41825" hidden="1" x14ac:dyDescent="0.35"/>
    <row r="41826" hidden="1" x14ac:dyDescent="0.35"/>
    <row r="41827" hidden="1" x14ac:dyDescent="0.35"/>
    <row r="41828" hidden="1" x14ac:dyDescent="0.35"/>
    <row r="41829" hidden="1" x14ac:dyDescent="0.35"/>
    <row r="41830" hidden="1" x14ac:dyDescent="0.35"/>
    <row r="41831" hidden="1" x14ac:dyDescent="0.35"/>
    <row r="41832" hidden="1" x14ac:dyDescent="0.35"/>
    <row r="41833" hidden="1" x14ac:dyDescent="0.35"/>
    <row r="41834" hidden="1" x14ac:dyDescent="0.35"/>
    <row r="41835" hidden="1" x14ac:dyDescent="0.35"/>
    <row r="41836" hidden="1" x14ac:dyDescent="0.35"/>
    <row r="41837" hidden="1" x14ac:dyDescent="0.35"/>
    <row r="41838" hidden="1" x14ac:dyDescent="0.35"/>
    <row r="41839" hidden="1" x14ac:dyDescent="0.35"/>
    <row r="41840" hidden="1" x14ac:dyDescent="0.35"/>
    <row r="41841" hidden="1" x14ac:dyDescent="0.35"/>
    <row r="41842" hidden="1" x14ac:dyDescent="0.35"/>
    <row r="41843" hidden="1" x14ac:dyDescent="0.35"/>
    <row r="41844" hidden="1" x14ac:dyDescent="0.35"/>
    <row r="41845" hidden="1" x14ac:dyDescent="0.35"/>
    <row r="41846" hidden="1" x14ac:dyDescent="0.35"/>
    <row r="41847" hidden="1" x14ac:dyDescent="0.35"/>
    <row r="41848" hidden="1" x14ac:dyDescent="0.35"/>
    <row r="41849" hidden="1" x14ac:dyDescent="0.35"/>
    <row r="41850" hidden="1" x14ac:dyDescent="0.35"/>
    <row r="41851" hidden="1" x14ac:dyDescent="0.35"/>
    <row r="41852" hidden="1" x14ac:dyDescent="0.35"/>
    <row r="41853" hidden="1" x14ac:dyDescent="0.35"/>
    <row r="41854" hidden="1" x14ac:dyDescent="0.35"/>
    <row r="41855" hidden="1" x14ac:dyDescent="0.35"/>
    <row r="41856" hidden="1" x14ac:dyDescent="0.35"/>
    <row r="41857" hidden="1" x14ac:dyDescent="0.35"/>
    <row r="41858" hidden="1" x14ac:dyDescent="0.35"/>
    <row r="41859" hidden="1" x14ac:dyDescent="0.35"/>
    <row r="41860" hidden="1" x14ac:dyDescent="0.35"/>
    <row r="41861" hidden="1" x14ac:dyDescent="0.35"/>
    <row r="41862" hidden="1" x14ac:dyDescent="0.35"/>
    <row r="41863" hidden="1" x14ac:dyDescent="0.35"/>
    <row r="41864" hidden="1" x14ac:dyDescent="0.35"/>
    <row r="41865" hidden="1" x14ac:dyDescent="0.35"/>
    <row r="41866" hidden="1" x14ac:dyDescent="0.35"/>
    <row r="41867" hidden="1" x14ac:dyDescent="0.35"/>
    <row r="41868" hidden="1" x14ac:dyDescent="0.35"/>
    <row r="41869" hidden="1" x14ac:dyDescent="0.35"/>
    <row r="41870" hidden="1" x14ac:dyDescent="0.35"/>
    <row r="41871" hidden="1" x14ac:dyDescent="0.35"/>
    <row r="41872" hidden="1" x14ac:dyDescent="0.35"/>
    <row r="41873" hidden="1" x14ac:dyDescent="0.35"/>
    <row r="41874" hidden="1" x14ac:dyDescent="0.35"/>
    <row r="41875" hidden="1" x14ac:dyDescent="0.35"/>
    <row r="41876" hidden="1" x14ac:dyDescent="0.35"/>
    <row r="41877" hidden="1" x14ac:dyDescent="0.35"/>
    <row r="41878" hidden="1" x14ac:dyDescent="0.35"/>
    <row r="41879" hidden="1" x14ac:dyDescent="0.35"/>
    <row r="41880" hidden="1" x14ac:dyDescent="0.35"/>
    <row r="41881" hidden="1" x14ac:dyDescent="0.35"/>
    <row r="41882" hidden="1" x14ac:dyDescent="0.35"/>
    <row r="41883" hidden="1" x14ac:dyDescent="0.35"/>
    <row r="41884" hidden="1" x14ac:dyDescent="0.35"/>
    <row r="41885" hidden="1" x14ac:dyDescent="0.35"/>
    <row r="41886" hidden="1" x14ac:dyDescent="0.35"/>
    <row r="41887" hidden="1" x14ac:dyDescent="0.35"/>
    <row r="41888" hidden="1" x14ac:dyDescent="0.35"/>
    <row r="41889" hidden="1" x14ac:dyDescent="0.35"/>
    <row r="41890" hidden="1" x14ac:dyDescent="0.35"/>
    <row r="41891" hidden="1" x14ac:dyDescent="0.35"/>
    <row r="41892" hidden="1" x14ac:dyDescent="0.35"/>
    <row r="41893" hidden="1" x14ac:dyDescent="0.35"/>
    <row r="41894" hidden="1" x14ac:dyDescent="0.35"/>
    <row r="41895" hidden="1" x14ac:dyDescent="0.35"/>
    <row r="41896" hidden="1" x14ac:dyDescent="0.35"/>
    <row r="41897" hidden="1" x14ac:dyDescent="0.35"/>
    <row r="41898" hidden="1" x14ac:dyDescent="0.35"/>
    <row r="41899" hidden="1" x14ac:dyDescent="0.35"/>
    <row r="41900" hidden="1" x14ac:dyDescent="0.35"/>
    <row r="41901" hidden="1" x14ac:dyDescent="0.35"/>
    <row r="41902" hidden="1" x14ac:dyDescent="0.35"/>
    <row r="41903" hidden="1" x14ac:dyDescent="0.35"/>
    <row r="41904" hidden="1" x14ac:dyDescent="0.35"/>
    <row r="41905" hidden="1" x14ac:dyDescent="0.35"/>
    <row r="41906" hidden="1" x14ac:dyDescent="0.35"/>
    <row r="41907" hidden="1" x14ac:dyDescent="0.35"/>
    <row r="41908" hidden="1" x14ac:dyDescent="0.35"/>
    <row r="41909" hidden="1" x14ac:dyDescent="0.35"/>
    <row r="41910" hidden="1" x14ac:dyDescent="0.35"/>
    <row r="41911" hidden="1" x14ac:dyDescent="0.35"/>
    <row r="41912" hidden="1" x14ac:dyDescent="0.35"/>
    <row r="41913" hidden="1" x14ac:dyDescent="0.35"/>
    <row r="41914" hidden="1" x14ac:dyDescent="0.35"/>
    <row r="41915" hidden="1" x14ac:dyDescent="0.35"/>
    <row r="41916" hidden="1" x14ac:dyDescent="0.35"/>
    <row r="41917" hidden="1" x14ac:dyDescent="0.35"/>
    <row r="41918" hidden="1" x14ac:dyDescent="0.35"/>
    <row r="41919" hidden="1" x14ac:dyDescent="0.35"/>
    <row r="41920" hidden="1" x14ac:dyDescent="0.35"/>
    <row r="41921" hidden="1" x14ac:dyDescent="0.35"/>
    <row r="41922" hidden="1" x14ac:dyDescent="0.35"/>
    <row r="41923" hidden="1" x14ac:dyDescent="0.35"/>
    <row r="41924" hidden="1" x14ac:dyDescent="0.35"/>
    <row r="41925" hidden="1" x14ac:dyDescent="0.35"/>
    <row r="41926" hidden="1" x14ac:dyDescent="0.35"/>
    <row r="41927" hidden="1" x14ac:dyDescent="0.35"/>
    <row r="41928" hidden="1" x14ac:dyDescent="0.35"/>
    <row r="41929" hidden="1" x14ac:dyDescent="0.35"/>
    <row r="41930" hidden="1" x14ac:dyDescent="0.35"/>
    <row r="41931" hidden="1" x14ac:dyDescent="0.35"/>
    <row r="41932" hidden="1" x14ac:dyDescent="0.35"/>
    <row r="41933" hidden="1" x14ac:dyDescent="0.35"/>
    <row r="41934" hidden="1" x14ac:dyDescent="0.35"/>
    <row r="41935" hidden="1" x14ac:dyDescent="0.35"/>
    <row r="41936" hidden="1" x14ac:dyDescent="0.35"/>
    <row r="41937" hidden="1" x14ac:dyDescent="0.35"/>
    <row r="41938" hidden="1" x14ac:dyDescent="0.35"/>
    <row r="41939" hidden="1" x14ac:dyDescent="0.35"/>
    <row r="41940" hidden="1" x14ac:dyDescent="0.35"/>
    <row r="41941" hidden="1" x14ac:dyDescent="0.35"/>
    <row r="41942" hidden="1" x14ac:dyDescent="0.35"/>
    <row r="41943" hidden="1" x14ac:dyDescent="0.35"/>
    <row r="41944" hidden="1" x14ac:dyDescent="0.35"/>
    <row r="41945" hidden="1" x14ac:dyDescent="0.35"/>
    <row r="41946" hidden="1" x14ac:dyDescent="0.35"/>
    <row r="41947" hidden="1" x14ac:dyDescent="0.35"/>
    <row r="41948" hidden="1" x14ac:dyDescent="0.35"/>
    <row r="41949" hidden="1" x14ac:dyDescent="0.35"/>
    <row r="41950" hidden="1" x14ac:dyDescent="0.35"/>
    <row r="41951" hidden="1" x14ac:dyDescent="0.35"/>
    <row r="41952" hidden="1" x14ac:dyDescent="0.35"/>
    <row r="41953" hidden="1" x14ac:dyDescent="0.35"/>
    <row r="41954" hidden="1" x14ac:dyDescent="0.35"/>
    <row r="41955" hidden="1" x14ac:dyDescent="0.35"/>
    <row r="41956" hidden="1" x14ac:dyDescent="0.35"/>
    <row r="41957" hidden="1" x14ac:dyDescent="0.35"/>
    <row r="41958" hidden="1" x14ac:dyDescent="0.35"/>
    <row r="41959" hidden="1" x14ac:dyDescent="0.35"/>
    <row r="41960" hidden="1" x14ac:dyDescent="0.35"/>
    <row r="41961" hidden="1" x14ac:dyDescent="0.35"/>
    <row r="41962" hidden="1" x14ac:dyDescent="0.35"/>
    <row r="41963" hidden="1" x14ac:dyDescent="0.35"/>
    <row r="41964" hidden="1" x14ac:dyDescent="0.35"/>
    <row r="41965" hidden="1" x14ac:dyDescent="0.35"/>
    <row r="41966" hidden="1" x14ac:dyDescent="0.35"/>
    <row r="41967" hidden="1" x14ac:dyDescent="0.35"/>
    <row r="41968" hidden="1" x14ac:dyDescent="0.35"/>
    <row r="41969" hidden="1" x14ac:dyDescent="0.35"/>
    <row r="41970" hidden="1" x14ac:dyDescent="0.35"/>
    <row r="41971" hidden="1" x14ac:dyDescent="0.35"/>
    <row r="41972" hidden="1" x14ac:dyDescent="0.35"/>
    <row r="41973" hidden="1" x14ac:dyDescent="0.35"/>
    <row r="41974" hidden="1" x14ac:dyDescent="0.35"/>
    <row r="41975" hidden="1" x14ac:dyDescent="0.35"/>
    <row r="41976" hidden="1" x14ac:dyDescent="0.35"/>
    <row r="41977" hidden="1" x14ac:dyDescent="0.35"/>
    <row r="41978" hidden="1" x14ac:dyDescent="0.35"/>
    <row r="41979" hidden="1" x14ac:dyDescent="0.35"/>
    <row r="41980" hidden="1" x14ac:dyDescent="0.35"/>
    <row r="41981" hidden="1" x14ac:dyDescent="0.35"/>
    <row r="41982" hidden="1" x14ac:dyDescent="0.35"/>
    <row r="41983" hidden="1" x14ac:dyDescent="0.35"/>
    <row r="41984" hidden="1" x14ac:dyDescent="0.35"/>
    <row r="41985" hidden="1" x14ac:dyDescent="0.35"/>
    <row r="41986" hidden="1" x14ac:dyDescent="0.35"/>
    <row r="41987" hidden="1" x14ac:dyDescent="0.35"/>
    <row r="41988" hidden="1" x14ac:dyDescent="0.35"/>
    <row r="41989" hidden="1" x14ac:dyDescent="0.35"/>
    <row r="41990" hidden="1" x14ac:dyDescent="0.35"/>
    <row r="41991" hidden="1" x14ac:dyDescent="0.35"/>
    <row r="41992" hidden="1" x14ac:dyDescent="0.35"/>
    <row r="41993" hidden="1" x14ac:dyDescent="0.35"/>
    <row r="41994" hidden="1" x14ac:dyDescent="0.35"/>
    <row r="41995" hidden="1" x14ac:dyDescent="0.35"/>
    <row r="41996" hidden="1" x14ac:dyDescent="0.35"/>
    <row r="41997" hidden="1" x14ac:dyDescent="0.35"/>
    <row r="41998" hidden="1" x14ac:dyDescent="0.35"/>
    <row r="41999" hidden="1" x14ac:dyDescent="0.35"/>
    <row r="42000" hidden="1" x14ac:dyDescent="0.35"/>
    <row r="42001" hidden="1" x14ac:dyDescent="0.35"/>
    <row r="42002" hidden="1" x14ac:dyDescent="0.35"/>
    <row r="42003" hidden="1" x14ac:dyDescent="0.35"/>
    <row r="42004" hidden="1" x14ac:dyDescent="0.35"/>
    <row r="42005" hidden="1" x14ac:dyDescent="0.35"/>
    <row r="42006" hidden="1" x14ac:dyDescent="0.35"/>
    <row r="42007" hidden="1" x14ac:dyDescent="0.35"/>
    <row r="42008" hidden="1" x14ac:dyDescent="0.35"/>
    <row r="42009" hidden="1" x14ac:dyDescent="0.35"/>
    <row r="42010" hidden="1" x14ac:dyDescent="0.35"/>
    <row r="42011" hidden="1" x14ac:dyDescent="0.35"/>
    <row r="42012" hidden="1" x14ac:dyDescent="0.35"/>
    <row r="42013" hidden="1" x14ac:dyDescent="0.35"/>
    <row r="42014" hidden="1" x14ac:dyDescent="0.35"/>
    <row r="42015" hidden="1" x14ac:dyDescent="0.35"/>
    <row r="42016" hidden="1" x14ac:dyDescent="0.35"/>
    <row r="42017" hidden="1" x14ac:dyDescent="0.35"/>
    <row r="42018" hidden="1" x14ac:dyDescent="0.35"/>
    <row r="42019" hidden="1" x14ac:dyDescent="0.35"/>
    <row r="42020" hidden="1" x14ac:dyDescent="0.35"/>
    <row r="42021" hidden="1" x14ac:dyDescent="0.35"/>
    <row r="42022" hidden="1" x14ac:dyDescent="0.35"/>
    <row r="42023" hidden="1" x14ac:dyDescent="0.35"/>
    <row r="42024" hidden="1" x14ac:dyDescent="0.35"/>
    <row r="42025" hidden="1" x14ac:dyDescent="0.35"/>
    <row r="42026" hidden="1" x14ac:dyDescent="0.35"/>
    <row r="42027" hidden="1" x14ac:dyDescent="0.35"/>
    <row r="42028" hidden="1" x14ac:dyDescent="0.35"/>
    <row r="42029" hidden="1" x14ac:dyDescent="0.35"/>
    <row r="42030" hidden="1" x14ac:dyDescent="0.35"/>
    <row r="42031" hidden="1" x14ac:dyDescent="0.35"/>
    <row r="42032" hidden="1" x14ac:dyDescent="0.35"/>
    <row r="42033" hidden="1" x14ac:dyDescent="0.35"/>
    <row r="42034" hidden="1" x14ac:dyDescent="0.35"/>
    <row r="42035" hidden="1" x14ac:dyDescent="0.35"/>
    <row r="42036" hidden="1" x14ac:dyDescent="0.35"/>
    <row r="42037" hidden="1" x14ac:dyDescent="0.35"/>
    <row r="42038" hidden="1" x14ac:dyDescent="0.35"/>
    <row r="42039" hidden="1" x14ac:dyDescent="0.35"/>
    <row r="42040" hidden="1" x14ac:dyDescent="0.35"/>
    <row r="42041" hidden="1" x14ac:dyDescent="0.35"/>
    <row r="42042" hidden="1" x14ac:dyDescent="0.35"/>
    <row r="42043" hidden="1" x14ac:dyDescent="0.35"/>
    <row r="42044" hidden="1" x14ac:dyDescent="0.35"/>
    <row r="42045" hidden="1" x14ac:dyDescent="0.35"/>
    <row r="42046" hidden="1" x14ac:dyDescent="0.35"/>
    <row r="42047" hidden="1" x14ac:dyDescent="0.35"/>
    <row r="42048" hidden="1" x14ac:dyDescent="0.35"/>
    <row r="42049" hidden="1" x14ac:dyDescent="0.35"/>
    <row r="42050" hidden="1" x14ac:dyDescent="0.35"/>
    <row r="42051" hidden="1" x14ac:dyDescent="0.35"/>
    <row r="42052" hidden="1" x14ac:dyDescent="0.35"/>
    <row r="42053" hidden="1" x14ac:dyDescent="0.35"/>
    <row r="42054" hidden="1" x14ac:dyDescent="0.35"/>
    <row r="42055" hidden="1" x14ac:dyDescent="0.35"/>
    <row r="42056" hidden="1" x14ac:dyDescent="0.35"/>
    <row r="42057" hidden="1" x14ac:dyDescent="0.35"/>
    <row r="42058" hidden="1" x14ac:dyDescent="0.35"/>
    <row r="42059" hidden="1" x14ac:dyDescent="0.35"/>
    <row r="42060" hidden="1" x14ac:dyDescent="0.35"/>
    <row r="42061" hidden="1" x14ac:dyDescent="0.35"/>
    <row r="42062" hidden="1" x14ac:dyDescent="0.35"/>
    <row r="42063" hidden="1" x14ac:dyDescent="0.35"/>
    <row r="42064" hidden="1" x14ac:dyDescent="0.35"/>
    <row r="42065" hidden="1" x14ac:dyDescent="0.35"/>
    <row r="42066" hidden="1" x14ac:dyDescent="0.35"/>
    <row r="42067" hidden="1" x14ac:dyDescent="0.35"/>
    <row r="42068" hidden="1" x14ac:dyDescent="0.35"/>
    <row r="42069" hidden="1" x14ac:dyDescent="0.35"/>
    <row r="42070" hidden="1" x14ac:dyDescent="0.35"/>
    <row r="42071" hidden="1" x14ac:dyDescent="0.35"/>
    <row r="42072" hidden="1" x14ac:dyDescent="0.35"/>
    <row r="42073" hidden="1" x14ac:dyDescent="0.35"/>
    <row r="42074" hidden="1" x14ac:dyDescent="0.35"/>
    <row r="42075" hidden="1" x14ac:dyDescent="0.35"/>
    <row r="42076" hidden="1" x14ac:dyDescent="0.35"/>
    <row r="42077" hidden="1" x14ac:dyDescent="0.35"/>
    <row r="42078" hidden="1" x14ac:dyDescent="0.35"/>
    <row r="42079" hidden="1" x14ac:dyDescent="0.35"/>
    <row r="42080" hidden="1" x14ac:dyDescent="0.35"/>
    <row r="42081" hidden="1" x14ac:dyDescent="0.35"/>
    <row r="42082" hidden="1" x14ac:dyDescent="0.35"/>
    <row r="42083" hidden="1" x14ac:dyDescent="0.35"/>
    <row r="42084" hidden="1" x14ac:dyDescent="0.35"/>
    <row r="42085" hidden="1" x14ac:dyDescent="0.35"/>
    <row r="42086" hidden="1" x14ac:dyDescent="0.35"/>
    <row r="42087" hidden="1" x14ac:dyDescent="0.35"/>
    <row r="42088" hidden="1" x14ac:dyDescent="0.35"/>
    <row r="42089" hidden="1" x14ac:dyDescent="0.35"/>
    <row r="42090" hidden="1" x14ac:dyDescent="0.35"/>
    <row r="42091" hidden="1" x14ac:dyDescent="0.35"/>
    <row r="42092" hidden="1" x14ac:dyDescent="0.35"/>
    <row r="42093" hidden="1" x14ac:dyDescent="0.35"/>
    <row r="42094" hidden="1" x14ac:dyDescent="0.35"/>
    <row r="42095" hidden="1" x14ac:dyDescent="0.35"/>
    <row r="42096" hidden="1" x14ac:dyDescent="0.35"/>
    <row r="42097" hidden="1" x14ac:dyDescent="0.35"/>
    <row r="42098" hidden="1" x14ac:dyDescent="0.35"/>
    <row r="42099" hidden="1" x14ac:dyDescent="0.35"/>
    <row r="42100" hidden="1" x14ac:dyDescent="0.35"/>
    <row r="42101" hidden="1" x14ac:dyDescent="0.35"/>
    <row r="42102" hidden="1" x14ac:dyDescent="0.35"/>
    <row r="42103" hidden="1" x14ac:dyDescent="0.35"/>
    <row r="42104" hidden="1" x14ac:dyDescent="0.35"/>
    <row r="42105" hidden="1" x14ac:dyDescent="0.35"/>
    <row r="42106" hidden="1" x14ac:dyDescent="0.35"/>
    <row r="42107" hidden="1" x14ac:dyDescent="0.35"/>
    <row r="42108" hidden="1" x14ac:dyDescent="0.35"/>
    <row r="42109" hidden="1" x14ac:dyDescent="0.35"/>
    <row r="42110" hidden="1" x14ac:dyDescent="0.35"/>
    <row r="42111" hidden="1" x14ac:dyDescent="0.35"/>
    <row r="42112" hidden="1" x14ac:dyDescent="0.35"/>
    <row r="42113" hidden="1" x14ac:dyDescent="0.35"/>
    <row r="42114" hidden="1" x14ac:dyDescent="0.35"/>
    <row r="42115" hidden="1" x14ac:dyDescent="0.35"/>
    <row r="42116" hidden="1" x14ac:dyDescent="0.35"/>
    <row r="42117" hidden="1" x14ac:dyDescent="0.35"/>
    <row r="42118" hidden="1" x14ac:dyDescent="0.35"/>
    <row r="42119" hidden="1" x14ac:dyDescent="0.35"/>
    <row r="42120" hidden="1" x14ac:dyDescent="0.35"/>
    <row r="42121" hidden="1" x14ac:dyDescent="0.35"/>
    <row r="42122" hidden="1" x14ac:dyDescent="0.35"/>
    <row r="42123" hidden="1" x14ac:dyDescent="0.35"/>
    <row r="42124" hidden="1" x14ac:dyDescent="0.35"/>
    <row r="42125" hidden="1" x14ac:dyDescent="0.35"/>
    <row r="42126" hidden="1" x14ac:dyDescent="0.35"/>
    <row r="42127" hidden="1" x14ac:dyDescent="0.35"/>
    <row r="42128" hidden="1" x14ac:dyDescent="0.35"/>
    <row r="42129" hidden="1" x14ac:dyDescent="0.35"/>
    <row r="42130" hidden="1" x14ac:dyDescent="0.35"/>
    <row r="42131" hidden="1" x14ac:dyDescent="0.35"/>
    <row r="42132" hidden="1" x14ac:dyDescent="0.35"/>
    <row r="42133" hidden="1" x14ac:dyDescent="0.35"/>
    <row r="42134" hidden="1" x14ac:dyDescent="0.35"/>
    <row r="42135" hidden="1" x14ac:dyDescent="0.35"/>
    <row r="42136" hidden="1" x14ac:dyDescent="0.35"/>
    <row r="42137" hidden="1" x14ac:dyDescent="0.35"/>
    <row r="42138" hidden="1" x14ac:dyDescent="0.35"/>
    <row r="42139" hidden="1" x14ac:dyDescent="0.35"/>
    <row r="42140" hidden="1" x14ac:dyDescent="0.35"/>
    <row r="42141" hidden="1" x14ac:dyDescent="0.35"/>
    <row r="42142" hidden="1" x14ac:dyDescent="0.35"/>
    <row r="42143" hidden="1" x14ac:dyDescent="0.35"/>
    <row r="42144" hidden="1" x14ac:dyDescent="0.35"/>
    <row r="42145" hidden="1" x14ac:dyDescent="0.35"/>
    <row r="42146" hidden="1" x14ac:dyDescent="0.35"/>
    <row r="42147" hidden="1" x14ac:dyDescent="0.35"/>
    <row r="42148" hidden="1" x14ac:dyDescent="0.35"/>
    <row r="42149" hidden="1" x14ac:dyDescent="0.35"/>
    <row r="42150" hidden="1" x14ac:dyDescent="0.35"/>
    <row r="42151" hidden="1" x14ac:dyDescent="0.35"/>
    <row r="42152" hidden="1" x14ac:dyDescent="0.35"/>
    <row r="42153" hidden="1" x14ac:dyDescent="0.35"/>
    <row r="42154" hidden="1" x14ac:dyDescent="0.35"/>
    <row r="42155" hidden="1" x14ac:dyDescent="0.35"/>
    <row r="42156" hidden="1" x14ac:dyDescent="0.35"/>
    <row r="42157" hidden="1" x14ac:dyDescent="0.35"/>
    <row r="42158" hidden="1" x14ac:dyDescent="0.35"/>
    <row r="42159" hidden="1" x14ac:dyDescent="0.35"/>
    <row r="42160" hidden="1" x14ac:dyDescent="0.35"/>
    <row r="42161" hidden="1" x14ac:dyDescent="0.35"/>
    <row r="42162" hidden="1" x14ac:dyDescent="0.35"/>
    <row r="42163" hidden="1" x14ac:dyDescent="0.35"/>
    <row r="42164" hidden="1" x14ac:dyDescent="0.35"/>
    <row r="42165" hidden="1" x14ac:dyDescent="0.35"/>
    <row r="42166" hidden="1" x14ac:dyDescent="0.35"/>
    <row r="42167" hidden="1" x14ac:dyDescent="0.35"/>
    <row r="42168" hidden="1" x14ac:dyDescent="0.35"/>
    <row r="42169" hidden="1" x14ac:dyDescent="0.35"/>
    <row r="42170" hidden="1" x14ac:dyDescent="0.35"/>
    <row r="42171" hidden="1" x14ac:dyDescent="0.35"/>
    <row r="42172" hidden="1" x14ac:dyDescent="0.35"/>
    <row r="42173" hidden="1" x14ac:dyDescent="0.35"/>
    <row r="42174" hidden="1" x14ac:dyDescent="0.35"/>
    <row r="42175" hidden="1" x14ac:dyDescent="0.35"/>
    <row r="42176" hidden="1" x14ac:dyDescent="0.35"/>
    <row r="42177" hidden="1" x14ac:dyDescent="0.35"/>
    <row r="42178" hidden="1" x14ac:dyDescent="0.35"/>
    <row r="42179" hidden="1" x14ac:dyDescent="0.35"/>
    <row r="42180" hidden="1" x14ac:dyDescent="0.35"/>
    <row r="42181" hidden="1" x14ac:dyDescent="0.35"/>
    <row r="42182" hidden="1" x14ac:dyDescent="0.35"/>
    <row r="42183" hidden="1" x14ac:dyDescent="0.35"/>
    <row r="42184" hidden="1" x14ac:dyDescent="0.35"/>
    <row r="42185" hidden="1" x14ac:dyDescent="0.35"/>
    <row r="42186" hidden="1" x14ac:dyDescent="0.35"/>
    <row r="42187" hidden="1" x14ac:dyDescent="0.35"/>
    <row r="42188" hidden="1" x14ac:dyDescent="0.35"/>
    <row r="42189" hidden="1" x14ac:dyDescent="0.35"/>
    <row r="42190" hidden="1" x14ac:dyDescent="0.35"/>
    <row r="42191" hidden="1" x14ac:dyDescent="0.35"/>
    <row r="42192" hidden="1" x14ac:dyDescent="0.35"/>
    <row r="42193" hidden="1" x14ac:dyDescent="0.35"/>
    <row r="42194" hidden="1" x14ac:dyDescent="0.35"/>
    <row r="42195" hidden="1" x14ac:dyDescent="0.35"/>
    <row r="42196" hidden="1" x14ac:dyDescent="0.35"/>
    <row r="42197" hidden="1" x14ac:dyDescent="0.35"/>
    <row r="42198" hidden="1" x14ac:dyDescent="0.35"/>
    <row r="42199" hidden="1" x14ac:dyDescent="0.35"/>
    <row r="42200" hidden="1" x14ac:dyDescent="0.35"/>
    <row r="42201" hidden="1" x14ac:dyDescent="0.35"/>
    <row r="42202" hidden="1" x14ac:dyDescent="0.35"/>
    <row r="42203" hidden="1" x14ac:dyDescent="0.35"/>
    <row r="42204" hidden="1" x14ac:dyDescent="0.35"/>
    <row r="42205" hidden="1" x14ac:dyDescent="0.35"/>
    <row r="42206" hidden="1" x14ac:dyDescent="0.35"/>
    <row r="42207" hidden="1" x14ac:dyDescent="0.35"/>
    <row r="42208" hidden="1" x14ac:dyDescent="0.35"/>
    <row r="42209" hidden="1" x14ac:dyDescent="0.35"/>
    <row r="42210" hidden="1" x14ac:dyDescent="0.35"/>
    <row r="42211" hidden="1" x14ac:dyDescent="0.35"/>
    <row r="42212" hidden="1" x14ac:dyDescent="0.35"/>
    <row r="42213" hidden="1" x14ac:dyDescent="0.35"/>
    <row r="42214" hidden="1" x14ac:dyDescent="0.35"/>
    <row r="42215" hidden="1" x14ac:dyDescent="0.35"/>
    <row r="42216" hidden="1" x14ac:dyDescent="0.35"/>
    <row r="42217" hidden="1" x14ac:dyDescent="0.35"/>
    <row r="42218" hidden="1" x14ac:dyDescent="0.35"/>
    <row r="42219" hidden="1" x14ac:dyDescent="0.35"/>
    <row r="42220" hidden="1" x14ac:dyDescent="0.35"/>
    <row r="42221" hidden="1" x14ac:dyDescent="0.35"/>
    <row r="42222" hidden="1" x14ac:dyDescent="0.35"/>
    <row r="42223" hidden="1" x14ac:dyDescent="0.35"/>
    <row r="42224" hidden="1" x14ac:dyDescent="0.35"/>
    <row r="42225" hidden="1" x14ac:dyDescent="0.35"/>
    <row r="42226" hidden="1" x14ac:dyDescent="0.35"/>
    <row r="42227" hidden="1" x14ac:dyDescent="0.35"/>
    <row r="42228" hidden="1" x14ac:dyDescent="0.35"/>
    <row r="42229" hidden="1" x14ac:dyDescent="0.35"/>
    <row r="42230" hidden="1" x14ac:dyDescent="0.35"/>
    <row r="42231" hidden="1" x14ac:dyDescent="0.35"/>
    <row r="42232" hidden="1" x14ac:dyDescent="0.35"/>
    <row r="42233" hidden="1" x14ac:dyDescent="0.35"/>
    <row r="42234" hidden="1" x14ac:dyDescent="0.35"/>
    <row r="42235" hidden="1" x14ac:dyDescent="0.35"/>
    <row r="42236" hidden="1" x14ac:dyDescent="0.35"/>
    <row r="42237" hidden="1" x14ac:dyDescent="0.35"/>
    <row r="42238" hidden="1" x14ac:dyDescent="0.35"/>
    <row r="42239" hidden="1" x14ac:dyDescent="0.35"/>
    <row r="42240" hidden="1" x14ac:dyDescent="0.35"/>
    <row r="42241" hidden="1" x14ac:dyDescent="0.35"/>
    <row r="42242" hidden="1" x14ac:dyDescent="0.35"/>
    <row r="42243" hidden="1" x14ac:dyDescent="0.35"/>
    <row r="42244" hidden="1" x14ac:dyDescent="0.35"/>
    <row r="42245" hidden="1" x14ac:dyDescent="0.35"/>
    <row r="42246" hidden="1" x14ac:dyDescent="0.35"/>
    <row r="42247" hidden="1" x14ac:dyDescent="0.35"/>
    <row r="42248" hidden="1" x14ac:dyDescent="0.35"/>
    <row r="42249" hidden="1" x14ac:dyDescent="0.35"/>
    <row r="42250" hidden="1" x14ac:dyDescent="0.35"/>
    <row r="42251" hidden="1" x14ac:dyDescent="0.35"/>
    <row r="42252" hidden="1" x14ac:dyDescent="0.35"/>
    <row r="42253" hidden="1" x14ac:dyDescent="0.35"/>
    <row r="42254" hidden="1" x14ac:dyDescent="0.35"/>
    <row r="42255" hidden="1" x14ac:dyDescent="0.35"/>
    <row r="42256" hidden="1" x14ac:dyDescent="0.35"/>
    <row r="42257" hidden="1" x14ac:dyDescent="0.35"/>
    <row r="42258" hidden="1" x14ac:dyDescent="0.35"/>
    <row r="42259" hidden="1" x14ac:dyDescent="0.35"/>
    <row r="42260" hidden="1" x14ac:dyDescent="0.35"/>
    <row r="42261" hidden="1" x14ac:dyDescent="0.35"/>
    <row r="42262" hidden="1" x14ac:dyDescent="0.35"/>
    <row r="42263" hidden="1" x14ac:dyDescent="0.35"/>
    <row r="42264" hidden="1" x14ac:dyDescent="0.35"/>
    <row r="42265" hidden="1" x14ac:dyDescent="0.35"/>
    <row r="42266" hidden="1" x14ac:dyDescent="0.35"/>
    <row r="42267" hidden="1" x14ac:dyDescent="0.35"/>
    <row r="42268" hidden="1" x14ac:dyDescent="0.35"/>
    <row r="42269" hidden="1" x14ac:dyDescent="0.35"/>
    <row r="42270" hidden="1" x14ac:dyDescent="0.35"/>
    <row r="42271" hidden="1" x14ac:dyDescent="0.35"/>
    <row r="42272" hidden="1" x14ac:dyDescent="0.35"/>
    <row r="42273" hidden="1" x14ac:dyDescent="0.35"/>
    <row r="42274" hidden="1" x14ac:dyDescent="0.35"/>
    <row r="42275" hidden="1" x14ac:dyDescent="0.35"/>
    <row r="42276" hidden="1" x14ac:dyDescent="0.35"/>
    <row r="42277" hidden="1" x14ac:dyDescent="0.35"/>
    <row r="42278" hidden="1" x14ac:dyDescent="0.35"/>
    <row r="42279" hidden="1" x14ac:dyDescent="0.35"/>
    <row r="42280" hidden="1" x14ac:dyDescent="0.35"/>
    <row r="42281" hidden="1" x14ac:dyDescent="0.35"/>
    <row r="42282" hidden="1" x14ac:dyDescent="0.35"/>
    <row r="42283" hidden="1" x14ac:dyDescent="0.35"/>
    <row r="42284" hidden="1" x14ac:dyDescent="0.35"/>
    <row r="42285" hidden="1" x14ac:dyDescent="0.35"/>
    <row r="42286" hidden="1" x14ac:dyDescent="0.35"/>
    <row r="42287" hidden="1" x14ac:dyDescent="0.35"/>
    <row r="42288" hidden="1" x14ac:dyDescent="0.35"/>
    <row r="42289" hidden="1" x14ac:dyDescent="0.35"/>
    <row r="42290" hidden="1" x14ac:dyDescent="0.35"/>
    <row r="42291" hidden="1" x14ac:dyDescent="0.35"/>
    <row r="42292" hidden="1" x14ac:dyDescent="0.35"/>
    <row r="42293" hidden="1" x14ac:dyDescent="0.35"/>
    <row r="42294" hidden="1" x14ac:dyDescent="0.35"/>
    <row r="42295" hidden="1" x14ac:dyDescent="0.35"/>
    <row r="42296" hidden="1" x14ac:dyDescent="0.35"/>
    <row r="42297" hidden="1" x14ac:dyDescent="0.35"/>
    <row r="42298" hidden="1" x14ac:dyDescent="0.35"/>
    <row r="42299" hidden="1" x14ac:dyDescent="0.35"/>
    <row r="42300" hidden="1" x14ac:dyDescent="0.35"/>
    <row r="42301" hidden="1" x14ac:dyDescent="0.35"/>
    <row r="42302" hidden="1" x14ac:dyDescent="0.35"/>
    <row r="42303" hidden="1" x14ac:dyDescent="0.35"/>
    <row r="42304" hidden="1" x14ac:dyDescent="0.35"/>
    <row r="42305" hidden="1" x14ac:dyDescent="0.35"/>
    <row r="42306" hidden="1" x14ac:dyDescent="0.35"/>
    <row r="42307" hidden="1" x14ac:dyDescent="0.35"/>
    <row r="42308" hidden="1" x14ac:dyDescent="0.35"/>
    <row r="42309" hidden="1" x14ac:dyDescent="0.35"/>
    <row r="42310" hidden="1" x14ac:dyDescent="0.35"/>
    <row r="42311" hidden="1" x14ac:dyDescent="0.35"/>
    <row r="42312" hidden="1" x14ac:dyDescent="0.35"/>
    <row r="42313" hidden="1" x14ac:dyDescent="0.35"/>
    <row r="42314" hidden="1" x14ac:dyDescent="0.35"/>
    <row r="42315" hidden="1" x14ac:dyDescent="0.35"/>
    <row r="42316" hidden="1" x14ac:dyDescent="0.35"/>
    <row r="42317" hidden="1" x14ac:dyDescent="0.35"/>
    <row r="42318" hidden="1" x14ac:dyDescent="0.35"/>
    <row r="42319" hidden="1" x14ac:dyDescent="0.35"/>
    <row r="42320" hidden="1" x14ac:dyDescent="0.35"/>
    <row r="42321" hidden="1" x14ac:dyDescent="0.35"/>
    <row r="42322" hidden="1" x14ac:dyDescent="0.35"/>
    <row r="42323" hidden="1" x14ac:dyDescent="0.35"/>
    <row r="42324" hidden="1" x14ac:dyDescent="0.35"/>
    <row r="42325" hidden="1" x14ac:dyDescent="0.35"/>
    <row r="42326" hidden="1" x14ac:dyDescent="0.35"/>
    <row r="42327" hidden="1" x14ac:dyDescent="0.35"/>
    <row r="42328" hidden="1" x14ac:dyDescent="0.35"/>
    <row r="42329" hidden="1" x14ac:dyDescent="0.35"/>
    <row r="42330" hidden="1" x14ac:dyDescent="0.35"/>
    <row r="42331" hidden="1" x14ac:dyDescent="0.35"/>
    <row r="42332" hidden="1" x14ac:dyDescent="0.35"/>
    <row r="42333" hidden="1" x14ac:dyDescent="0.35"/>
    <row r="42334" hidden="1" x14ac:dyDescent="0.35"/>
    <row r="42335" hidden="1" x14ac:dyDescent="0.35"/>
    <row r="42336" hidden="1" x14ac:dyDescent="0.35"/>
    <row r="42337" hidden="1" x14ac:dyDescent="0.35"/>
    <row r="42338" hidden="1" x14ac:dyDescent="0.35"/>
    <row r="42339" hidden="1" x14ac:dyDescent="0.35"/>
    <row r="42340" hidden="1" x14ac:dyDescent="0.35"/>
    <row r="42341" hidden="1" x14ac:dyDescent="0.35"/>
    <row r="42342" hidden="1" x14ac:dyDescent="0.35"/>
    <row r="42343" hidden="1" x14ac:dyDescent="0.35"/>
    <row r="42344" hidden="1" x14ac:dyDescent="0.35"/>
    <row r="42345" hidden="1" x14ac:dyDescent="0.35"/>
    <row r="42346" hidden="1" x14ac:dyDescent="0.35"/>
    <row r="42347" hidden="1" x14ac:dyDescent="0.35"/>
    <row r="42348" hidden="1" x14ac:dyDescent="0.35"/>
    <row r="42349" hidden="1" x14ac:dyDescent="0.35"/>
    <row r="42350" hidden="1" x14ac:dyDescent="0.35"/>
    <row r="42351" hidden="1" x14ac:dyDescent="0.35"/>
    <row r="42352" hidden="1" x14ac:dyDescent="0.35"/>
    <row r="42353" hidden="1" x14ac:dyDescent="0.35"/>
    <row r="42354" hidden="1" x14ac:dyDescent="0.35"/>
    <row r="42355" hidden="1" x14ac:dyDescent="0.35"/>
    <row r="42356" hidden="1" x14ac:dyDescent="0.35"/>
    <row r="42357" hidden="1" x14ac:dyDescent="0.35"/>
    <row r="42358" hidden="1" x14ac:dyDescent="0.35"/>
    <row r="42359" hidden="1" x14ac:dyDescent="0.35"/>
    <row r="42360" hidden="1" x14ac:dyDescent="0.35"/>
    <row r="42361" hidden="1" x14ac:dyDescent="0.35"/>
    <row r="42362" hidden="1" x14ac:dyDescent="0.35"/>
    <row r="42363" hidden="1" x14ac:dyDescent="0.35"/>
    <row r="42364" hidden="1" x14ac:dyDescent="0.35"/>
    <row r="42365" hidden="1" x14ac:dyDescent="0.35"/>
    <row r="42366" hidden="1" x14ac:dyDescent="0.35"/>
    <row r="42367" hidden="1" x14ac:dyDescent="0.35"/>
    <row r="42368" hidden="1" x14ac:dyDescent="0.35"/>
    <row r="42369" hidden="1" x14ac:dyDescent="0.35"/>
    <row r="42370" hidden="1" x14ac:dyDescent="0.35"/>
    <row r="42371" hidden="1" x14ac:dyDescent="0.35"/>
    <row r="42372" hidden="1" x14ac:dyDescent="0.35"/>
    <row r="42373" hidden="1" x14ac:dyDescent="0.35"/>
    <row r="42374" hidden="1" x14ac:dyDescent="0.35"/>
    <row r="42375" hidden="1" x14ac:dyDescent="0.35"/>
    <row r="42376" hidden="1" x14ac:dyDescent="0.35"/>
    <row r="42377" hidden="1" x14ac:dyDescent="0.35"/>
    <row r="42378" hidden="1" x14ac:dyDescent="0.35"/>
    <row r="42379" hidden="1" x14ac:dyDescent="0.35"/>
    <row r="42380" hidden="1" x14ac:dyDescent="0.35"/>
    <row r="42381" hidden="1" x14ac:dyDescent="0.35"/>
    <row r="42382" hidden="1" x14ac:dyDescent="0.35"/>
    <row r="42383" hidden="1" x14ac:dyDescent="0.35"/>
    <row r="42384" hidden="1" x14ac:dyDescent="0.35"/>
    <row r="42385" hidden="1" x14ac:dyDescent="0.35"/>
    <row r="42386" hidden="1" x14ac:dyDescent="0.35"/>
    <row r="42387" hidden="1" x14ac:dyDescent="0.35"/>
    <row r="42388" hidden="1" x14ac:dyDescent="0.35"/>
    <row r="42389" hidden="1" x14ac:dyDescent="0.35"/>
    <row r="42390" hidden="1" x14ac:dyDescent="0.35"/>
    <row r="42391" hidden="1" x14ac:dyDescent="0.35"/>
    <row r="42392" hidden="1" x14ac:dyDescent="0.35"/>
    <row r="42393" hidden="1" x14ac:dyDescent="0.35"/>
    <row r="42394" hidden="1" x14ac:dyDescent="0.35"/>
    <row r="42395" hidden="1" x14ac:dyDescent="0.35"/>
    <row r="42396" hidden="1" x14ac:dyDescent="0.35"/>
    <row r="42397" hidden="1" x14ac:dyDescent="0.35"/>
    <row r="42398" hidden="1" x14ac:dyDescent="0.35"/>
    <row r="42399" hidden="1" x14ac:dyDescent="0.35"/>
    <row r="42400" hidden="1" x14ac:dyDescent="0.35"/>
    <row r="42401" hidden="1" x14ac:dyDescent="0.35"/>
    <row r="42402" hidden="1" x14ac:dyDescent="0.35"/>
    <row r="42403" hidden="1" x14ac:dyDescent="0.35"/>
    <row r="42404" hidden="1" x14ac:dyDescent="0.35"/>
    <row r="42405" hidden="1" x14ac:dyDescent="0.35"/>
    <row r="42406" hidden="1" x14ac:dyDescent="0.35"/>
    <row r="42407" hidden="1" x14ac:dyDescent="0.35"/>
    <row r="42408" hidden="1" x14ac:dyDescent="0.35"/>
    <row r="42409" hidden="1" x14ac:dyDescent="0.35"/>
    <row r="42410" hidden="1" x14ac:dyDescent="0.35"/>
    <row r="42411" hidden="1" x14ac:dyDescent="0.35"/>
    <row r="42412" hidden="1" x14ac:dyDescent="0.35"/>
    <row r="42413" hidden="1" x14ac:dyDescent="0.35"/>
    <row r="42414" hidden="1" x14ac:dyDescent="0.35"/>
    <row r="42415" hidden="1" x14ac:dyDescent="0.35"/>
    <row r="42416" hidden="1" x14ac:dyDescent="0.35"/>
    <row r="42417" hidden="1" x14ac:dyDescent="0.35"/>
    <row r="42418" hidden="1" x14ac:dyDescent="0.35"/>
    <row r="42419" hidden="1" x14ac:dyDescent="0.35"/>
    <row r="42420" hidden="1" x14ac:dyDescent="0.35"/>
    <row r="42421" hidden="1" x14ac:dyDescent="0.35"/>
    <row r="42422" hidden="1" x14ac:dyDescent="0.35"/>
    <row r="42423" hidden="1" x14ac:dyDescent="0.35"/>
    <row r="42424" hidden="1" x14ac:dyDescent="0.35"/>
    <row r="42425" hidden="1" x14ac:dyDescent="0.35"/>
    <row r="42426" hidden="1" x14ac:dyDescent="0.35"/>
    <row r="42427" hidden="1" x14ac:dyDescent="0.35"/>
    <row r="42428" hidden="1" x14ac:dyDescent="0.35"/>
    <row r="42429" hidden="1" x14ac:dyDescent="0.35"/>
    <row r="42430" hidden="1" x14ac:dyDescent="0.35"/>
    <row r="42431" hidden="1" x14ac:dyDescent="0.35"/>
    <row r="42432" hidden="1" x14ac:dyDescent="0.35"/>
    <row r="42433" hidden="1" x14ac:dyDescent="0.35"/>
    <row r="42434" hidden="1" x14ac:dyDescent="0.35"/>
    <row r="42435" hidden="1" x14ac:dyDescent="0.35"/>
    <row r="42436" hidden="1" x14ac:dyDescent="0.35"/>
    <row r="42437" hidden="1" x14ac:dyDescent="0.35"/>
    <row r="42438" hidden="1" x14ac:dyDescent="0.35"/>
    <row r="42439" hidden="1" x14ac:dyDescent="0.35"/>
    <row r="42440" hidden="1" x14ac:dyDescent="0.35"/>
    <row r="42441" hidden="1" x14ac:dyDescent="0.35"/>
    <row r="42442" hidden="1" x14ac:dyDescent="0.35"/>
    <row r="42443" hidden="1" x14ac:dyDescent="0.35"/>
    <row r="42444" hidden="1" x14ac:dyDescent="0.35"/>
    <row r="42445" hidden="1" x14ac:dyDescent="0.35"/>
    <row r="42446" hidden="1" x14ac:dyDescent="0.35"/>
    <row r="42447" hidden="1" x14ac:dyDescent="0.35"/>
    <row r="42448" hidden="1" x14ac:dyDescent="0.35"/>
    <row r="42449" hidden="1" x14ac:dyDescent="0.35"/>
    <row r="42450" hidden="1" x14ac:dyDescent="0.35"/>
    <row r="42451" hidden="1" x14ac:dyDescent="0.35"/>
    <row r="42452" hidden="1" x14ac:dyDescent="0.35"/>
    <row r="42453" hidden="1" x14ac:dyDescent="0.35"/>
    <row r="42454" hidden="1" x14ac:dyDescent="0.35"/>
    <row r="42455" hidden="1" x14ac:dyDescent="0.35"/>
    <row r="42456" hidden="1" x14ac:dyDescent="0.35"/>
    <row r="42457" hidden="1" x14ac:dyDescent="0.35"/>
    <row r="42458" hidden="1" x14ac:dyDescent="0.35"/>
    <row r="42459" hidden="1" x14ac:dyDescent="0.35"/>
    <row r="42460" hidden="1" x14ac:dyDescent="0.35"/>
    <row r="42461" hidden="1" x14ac:dyDescent="0.35"/>
    <row r="42462" hidden="1" x14ac:dyDescent="0.35"/>
    <row r="42463" hidden="1" x14ac:dyDescent="0.35"/>
    <row r="42464" hidden="1" x14ac:dyDescent="0.35"/>
    <row r="42465" hidden="1" x14ac:dyDescent="0.35"/>
    <row r="42466" hidden="1" x14ac:dyDescent="0.35"/>
    <row r="42467" hidden="1" x14ac:dyDescent="0.35"/>
    <row r="42468" hidden="1" x14ac:dyDescent="0.35"/>
    <row r="42469" hidden="1" x14ac:dyDescent="0.35"/>
    <row r="42470" hidden="1" x14ac:dyDescent="0.35"/>
    <row r="42471" hidden="1" x14ac:dyDescent="0.35"/>
    <row r="42472" hidden="1" x14ac:dyDescent="0.35"/>
    <row r="42473" hidden="1" x14ac:dyDescent="0.35"/>
    <row r="42474" hidden="1" x14ac:dyDescent="0.35"/>
    <row r="42475" hidden="1" x14ac:dyDescent="0.35"/>
    <row r="42476" hidden="1" x14ac:dyDescent="0.35"/>
    <row r="42477" hidden="1" x14ac:dyDescent="0.35"/>
    <row r="42478" hidden="1" x14ac:dyDescent="0.35"/>
    <row r="42479" hidden="1" x14ac:dyDescent="0.35"/>
    <row r="42480" hidden="1" x14ac:dyDescent="0.35"/>
    <row r="42481" hidden="1" x14ac:dyDescent="0.35"/>
    <row r="42482" hidden="1" x14ac:dyDescent="0.35"/>
    <row r="42483" hidden="1" x14ac:dyDescent="0.35"/>
    <row r="42484" hidden="1" x14ac:dyDescent="0.35"/>
    <row r="42485" hidden="1" x14ac:dyDescent="0.35"/>
    <row r="42486" hidden="1" x14ac:dyDescent="0.35"/>
    <row r="42487" hidden="1" x14ac:dyDescent="0.35"/>
    <row r="42488" hidden="1" x14ac:dyDescent="0.35"/>
    <row r="42489" hidden="1" x14ac:dyDescent="0.35"/>
    <row r="42490" hidden="1" x14ac:dyDescent="0.35"/>
    <row r="42491" hidden="1" x14ac:dyDescent="0.35"/>
    <row r="42492" hidden="1" x14ac:dyDescent="0.35"/>
    <row r="42493" hidden="1" x14ac:dyDescent="0.35"/>
    <row r="42494" hidden="1" x14ac:dyDescent="0.35"/>
    <row r="42495" hidden="1" x14ac:dyDescent="0.35"/>
    <row r="42496" hidden="1" x14ac:dyDescent="0.35"/>
    <row r="42497" hidden="1" x14ac:dyDescent="0.35"/>
    <row r="42498" hidden="1" x14ac:dyDescent="0.35"/>
    <row r="42499" hidden="1" x14ac:dyDescent="0.35"/>
    <row r="42500" hidden="1" x14ac:dyDescent="0.35"/>
    <row r="42501" hidden="1" x14ac:dyDescent="0.35"/>
    <row r="42502" hidden="1" x14ac:dyDescent="0.35"/>
    <row r="42503" hidden="1" x14ac:dyDescent="0.35"/>
    <row r="42504" hidden="1" x14ac:dyDescent="0.35"/>
    <row r="42505" hidden="1" x14ac:dyDescent="0.35"/>
    <row r="42506" hidden="1" x14ac:dyDescent="0.35"/>
    <row r="42507" hidden="1" x14ac:dyDescent="0.35"/>
    <row r="42508" hidden="1" x14ac:dyDescent="0.35"/>
    <row r="42509" hidden="1" x14ac:dyDescent="0.35"/>
    <row r="42510" hidden="1" x14ac:dyDescent="0.35"/>
    <row r="42511" hidden="1" x14ac:dyDescent="0.35"/>
    <row r="42512" hidden="1" x14ac:dyDescent="0.35"/>
    <row r="42513" hidden="1" x14ac:dyDescent="0.35"/>
    <row r="42514" hidden="1" x14ac:dyDescent="0.35"/>
    <row r="42515" hidden="1" x14ac:dyDescent="0.35"/>
    <row r="42516" hidden="1" x14ac:dyDescent="0.35"/>
    <row r="42517" hidden="1" x14ac:dyDescent="0.35"/>
    <row r="42518" hidden="1" x14ac:dyDescent="0.35"/>
    <row r="42519" hidden="1" x14ac:dyDescent="0.35"/>
    <row r="42520" hidden="1" x14ac:dyDescent="0.35"/>
    <row r="42521" hidden="1" x14ac:dyDescent="0.35"/>
    <row r="42522" hidden="1" x14ac:dyDescent="0.35"/>
    <row r="42523" hidden="1" x14ac:dyDescent="0.35"/>
    <row r="42524" hidden="1" x14ac:dyDescent="0.35"/>
    <row r="42525" hidden="1" x14ac:dyDescent="0.35"/>
    <row r="42526" hidden="1" x14ac:dyDescent="0.35"/>
    <row r="42527" hidden="1" x14ac:dyDescent="0.35"/>
    <row r="42528" hidden="1" x14ac:dyDescent="0.35"/>
    <row r="42529" hidden="1" x14ac:dyDescent="0.35"/>
    <row r="42530" hidden="1" x14ac:dyDescent="0.35"/>
    <row r="42531" hidden="1" x14ac:dyDescent="0.35"/>
    <row r="42532" hidden="1" x14ac:dyDescent="0.35"/>
    <row r="42533" hidden="1" x14ac:dyDescent="0.35"/>
    <row r="42534" hidden="1" x14ac:dyDescent="0.35"/>
    <row r="42535" hidden="1" x14ac:dyDescent="0.35"/>
    <row r="42536" hidden="1" x14ac:dyDescent="0.35"/>
    <row r="42537" hidden="1" x14ac:dyDescent="0.35"/>
    <row r="42538" hidden="1" x14ac:dyDescent="0.35"/>
    <row r="42539" hidden="1" x14ac:dyDescent="0.35"/>
    <row r="42540" hidden="1" x14ac:dyDescent="0.35"/>
    <row r="42541" hidden="1" x14ac:dyDescent="0.35"/>
    <row r="42542" hidden="1" x14ac:dyDescent="0.35"/>
    <row r="42543" hidden="1" x14ac:dyDescent="0.35"/>
    <row r="42544" hidden="1" x14ac:dyDescent="0.35"/>
    <row r="42545" hidden="1" x14ac:dyDescent="0.35"/>
    <row r="42546" hidden="1" x14ac:dyDescent="0.35"/>
    <row r="42547" hidden="1" x14ac:dyDescent="0.35"/>
    <row r="42548" hidden="1" x14ac:dyDescent="0.35"/>
    <row r="42549" hidden="1" x14ac:dyDescent="0.35"/>
    <row r="42550" hidden="1" x14ac:dyDescent="0.35"/>
    <row r="42551" hidden="1" x14ac:dyDescent="0.35"/>
    <row r="42552" hidden="1" x14ac:dyDescent="0.35"/>
    <row r="42553" hidden="1" x14ac:dyDescent="0.35"/>
    <row r="42554" hidden="1" x14ac:dyDescent="0.35"/>
    <row r="42555" hidden="1" x14ac:dyDescent="0.35"/>
    <row r="42556" hidden="1" x14ac:dyDescent="0.35"/>
    <row r="42557" hidden="1" x14ac:dyDescent="0.35"/>
    <row r="42558" hidden="1" x14ac:dyDescent="0.35"/>
    <row r="42559" hidden="1" x14ac:dyDescent="0.35"/>
    <row r="42560" hidden="1" x14ac:dyDescent="0.35"/>
    <row r="42561" hidden="1" x14ac:dyDescent="0.35"/>
    <row r="42562" hidden="1" x14ac:dyDescent="0.35"/>
    <row r="42563" hidden="1" x14ac:dyDescent="0.35"/>
    <row r="42564" hidden="1" x14ac:dyDescent="0.35"/>
    <row r="42565" hidden="1" x14ac:dyDescent="0.35"/>
    <row r="42566" hidden="1" x14ac:dyDescent="0.35"/>
    <row r="42567" hidden="1" x14ac:dyDescent="0.35"/>
    <row r="42568" hidden="1" x14ac:dyDescent="0.35"/>
    <row r="42569" hidden="1" x14ac:dyDescent="0.35"/>
    <row r="42570" hidden="1" x14ac:dyDescent="0.35"/>
    <row r="42571" hidden="1" x14ac:dyDescent="0.35"/>
    <row r="42572" hidden="1" x14ac:dyDescent="0.35"/>
    <row r="42573" hidden="1" x14ac:dyDescent="0.35"/>
    <row r="42574" hidden="1" x14ac:dyDescent="0.35"/>
    <row r="42575" hidden="1" x14ac:dyDescent="0.35"/>
    <row r="42576" hidden="1" x14ac:dyDescent="0.35"/>
    <row r="42577" hidden="1" x14ac:dyDescent="0.35"/>
    <row r="42578" hidden="1" x14ac:dyDescent="0.35"/>
    <row r="42579" hidden="1" x14ac:dyDescent="0.35"/>
    <row r="42580" hidden="1" x14ac:dyDescent="0.35"/>
    <row r="42581" hidden="1" x14ac:dyDescent="0.35"/>
    <row r="42582" hidden="1" x14ac:dyDescent="0.35"/>
    <row r="42583" hidden="1" x14ac:dyDescent="0.35"/>
    <row r="42584" hidden="1" x14ac:dyDescent="0.35"/>
    <row r="42585" hidden="1" x14ac:dyDescent="0.35"/>
    <row r="42586" hidden="1" x14ac:dyDescent="0.35"/>
    <row r="42587" hidden="1" x14ac:dyDescent="0.35"/>
    <row r="42588" hidden="1" x14ac:dyDescent="0.35"/>
    <row r="42589" hidden="1" x14ac:dyDescent="0.35"/>
    <row r="42590" hidden="1" x14ac:dyDescent="0.35"/>
    <row r="42591" hidden="1" x14ac:dyDescent="0.35"/>
    <row r="42592" hidden="1" x14ac:dyDescent="0.35"/>
    <row r="42593" hidden="1" x14ac:dyDescent="0.35"/>
    <row r="42594" hidden="1" x14ac:dyDescent="0.35"/>
    <row r="42595" hidden="1" x14ac:dyDescent="0.35"/>
    <row r="42596" hidden="1" x14ac:dyDescent="0.35"/>
    <row r="42597" hidden="1" x14ac:dyDescent="0.35"/>
    <row r="42598" hidden="1" x14ac:dyDescent="0.35"/>
    <row r="42599" hidden="1" x14ac:dyDescent="0.35"/>
    <row r="42600" hidden="1" x14ac:dyDescent="0.35"/>
    <row r="42601" hidden="1" x14ac:dyDescent="0.35"/>
    <row r="42602" hidden="1" x14ac:dyDescent="0.35"/>
    <row r="42603" hidden="1" x14ac:dyDescent="0.35"/>
    <row r="42604" hidden="1" x14ac:dyDescent="0.35"/>
    <row r="42605" hidden="1" x14ac:dyDescent="0.35"/>
    <row r="42606" hidden="1" x14ac:dyDescent="0.35"/>
    <row r="42607" hidden="1" x14ac:dyDescent="0.35"/>
    <row r="42608" hidden="1" x14ac:dyDescent="0.35"/>
    <row r="42609" hidden="1" x14ac:dyDescent="0.35"/>
    <row r="42610" hidden="1" x14ac:dyDescent="0.35"/>
    <row r="42611" hidden="1" x14ac:dyDescent="0.35"/>
    <row r="42612" hidden="1" x14ac:dyDescent="0.35"/>
    <row r="42613" hidden="1" x14ac:dyDescent="0.35"/>
    <row r="42614" hidden="1" x14ac:dyDescent="0.35"/>
    <row r="42615" hidden="1" x14ac:dyDescent="0.35"/>
    <row r="42616" hidden="1" x14ac:dyDescent="0.35"/>
    <row r="42617" hidden="1" x14ac:dyDescent="0.35"/>
    <row r="42618" hidden="1" x14ac:dyDescent="0.35"/>
    <row r="42619" hidden="1" x14ac:dyDescent="0.35"/>
    <row r="42620" hidden="1" x14ac:dyDescent="0.35"/>
    <row r="42621" hidden="1" x14ac:dyDescent="0.35"/>
    <row r="42622" hidden="1" x14ac:dyDescent="0.35"/>
    <row r="42623" hidden="1" x14ac:dyDescent="0.35"/>
    <row r="42624" hidden="1" x14ac:dyDescent="0.35"/>
    <row r="42625" hidden="1" x14ac:dyDescent="0.35"/>
    <row r="42626" hidden="1" x14ac:dyDescent="0.35"/>
    <row r="42627" hidden="1" x14ac:dyDescent="0.35"/>
    <row r="42628" hidden="1" x14ac:dyDescent="0.35"/>
    <row r="42629" hidden="1" x14ac:dyDescent="0.35"/>
    <row r="42630" hidden="1" x14ac:dyDescent="0.35"/>
    <row r="42631" hidden="1" x14ac:dyDescent="0.35"/>
    <row r="42632" hidden="1" x14ac:dyDescent="0.35"/>
    <row r="42633" hidden="1" x14ac:dyDescent="0.35"/>
    <row r="42634" hidden="1" x14ac:dyDescent="0.35"/>
    <row r="42635" hidden="1" x14ac:dyDescent="0.35"/>
    <row r="42636" hidden="1" x14ac:dyDescent="0.35"/>
    <row r="42637" hidden="1" x14ac:dyDescent="0.35"/>
    <row r="42638" hidden="1" x14ac:dyDescent="0.35"/>
    <row r="42639" hidden="1" x14ac:dyDescent="0.35"/>
    <row r="42640" hidden="1" x14ac:dyDescent="0.35"/>
    <row r="42641" hidden="1" x14ac:dyDescent="0.35"/>
    <row r="42642" hidden="1" x14ac:dyDescent="0.35"/>
    <row r="42643" hidden="1" x14ac:dyDescent="0.35"/>
    <row r="42644" hidden="1" x14ac:dyDescent="0.35"/>
    <row r="42645" hidden="1" x14ac:dyDescent="0.35"/>
    <row r="42646" hidden="1" x14ac:dyDescent="0.35"/>
    <row r="42647" hidden="1" x14ac:dyDescent="0.35"/>
    <row r="42648" hidden="1" x14ac:dyDescent="0.35"/>
    <row r="42649" hidden="1" x14ac:dyDescent="0.35"/>
    <row r="42650" hidden="1" x14ac:dyDescent="0.35"/>
    <row r="42651" hidden="1" x14ac:dyDescent="0.35"/>
    <row r="42652" hidden="1" x14ac:dyDescent="0.35"/>
    <row r="42653" hidden="1" x14ac:dyDescent="0.35"/>
    <row r="42654" hidden="1" x14ac:dyDescent="0.35"/>
    <row r="42655" hidden="1" x14ac:dyDescent="0.35"/>
    <row r="42656" hidden="1" x14ac:dyDescent="0.35"/>
    <row r="42657" hidden="1" x14ac:dyDescent="0.35"/>
    <row r="42658" hidden="1" x14ac:dyDescent="0.35"/>
    <row r="42659" hidden="1" x14ac:dyDescent="0.35"/>
    <row r="42660" hidden="1" x14ac:dyDescent="0.35"/>
    <row r="42661" hidden="1" x14ac:dyDescent="0.35"/>
    <row r="42662" hidden="1" x14ac:dyDescent="0.35"/>
    <row r="42663" hidden="1" x14ac:dyDescent="0.35"/>
    <row r="42664" hidden="1" x14ac:dyDescent="0.35"/>
    <row r="42665" hidden="1" x14ac:dyDescent="0.35"/>
    <row r="42666" hidden="1" x14ac:dyDescent="0.35"/>
    <row r="42667" hidden="1" x14ac:dyDescent="0.35"/>
    <row r="42668" hidden="1" x14ac:dyDescent="0.35"/>
    <row r="42669" hidden="1" x14ac:dyDescent="0.35"/>
    <row r="42670" hidden="1" x14ac:dyDescent="0.35"/>
    <row r="42671" hidden="1" x14ac:dyDescent="0.35"/>
    <row r="42672" hidden="1" x14ac:dyDescent="0.35"/>
    <row r="42673" hidden="1" x14ac:dyDescent="0.35"/>
    <row r="42674" hidden="1" x14ac:dyDescent="0.35"/>
    <row r="42675" hidden="1" x14ac:dyDescent="0.35"/>
    <row r="42676" hidden="1" x14ac:dyDescent="0.35"/>
    <row r="42677" hidden="1" x14ac:dyDescent="0.35"/>
    <row r="42678" hidden="1" x14ac:dyDescent="0.35"/>
    <row r="42679" hidden="1" x14ac:dyDescent="0.35"/>
    <row r="42680" hidden="1" x14ac:dyDescent="0.35"/>
    <row r="42681" hidden="1" x14ac:dyDescent="0.35"/>
    <row r="42682" hidden="1" x14ac:dyDescent="0.35"/>
    <row r="42683" hidden="1" x14ac:dyDescent="0.35"/>
    <row r="42684" hidden="1" x14ac:dyDescent="0.35"/>
    <row r="42685" hidden="1" x14ac:dyDescent="0.35"/>
    <row r="42686" hidden="1" x14ac:dyDescent="0.35"/>
    <row r="42687" hidden="1" x14ac:dyDescent="0.35"/>
    <row r="42688" hidden="1" x14ac:dyDescent="0.35"/>
    <row r="42689" hidden="1" x14ac:dyDescent="0.35"/>
    <row r="42690" hidden="1" x14ac:dyDescent="0.35"/>
    <row r="42691" hidden="1" x14ac:dyDescent="0.35"/>
    <row r="42692" hidden="1" x14ac:dyDescent="0.35"/>
    <row r="42693" hidden="1" x14ac:dyDescent="0.35"/>
    <row r="42694" hidden="1" x14ac:dyDescent="0.35"/>
    <row r="42695" hidden="1" x14ac:dyDescent="0.35"/>
    <row r="42696" hidden="1" x14ac:dyDescent="0.35"/>
    <row r="42697" hidden="1" x14ac:dyDescent="0.35"/>
    <row r="42698" hidden="1" x14ac:dyDescent="0.35"/>
    <row r="42699" hidden="1" x14ac:dyDescent="0.35"/>
    <row r="42700" hidden="1" x14ac:dyDescent="0.35"/>
    <row r="42701" hidden="1" x14ac:dyDescent="0.35"/>
    <row r="42702" hidden="1" x14ac:dyDescent="0.35"/>
    <row r="42703" hidden="1" x14ac:dyDescent="0.35"/>
    <row r="42704" hidden="1" x14ac:dyDescent="0.35"/>
    <row r="42705" hidden="1" x14ac:dyDescent="0.35"/>
    <row r="42706" hidden="1" x14ac:dyDescent="0.35"/>
    <row r="42707" hidden="1" x14ac:dyDescent="0.35"/>
    <row r="42708" hidden="1" x14ac:dyDescent="0.35"/>
    <row r="42709" hidden="1" x14ac:dyDescent="0.35"/>
    <row r="42710" hidden="1" x14ac:dyDescent="0.35"/>
    <row r="42711" hidden="1" x14ac:dyDescent="0.35"/>
    <row r="42712" hidden="1" x14ac:dyDescent="0.35"/>
    <row r="42713" hidden="1" x14ac:dyDescent="0.35"/>
    <row r="42714" hidden="1" x14ac:dyDescent="0.35"/>
    <row r="42715" hidden="1" x14ac:dyDescent="0.35"/>
    <row r="42716" hidden="1" x14ac:dyDescent="0.35"/>
    <row r="42717" hidden="1" x14ac:dyDescent="0.35"/>
    <row r="42718" hidden="1" x14ac:dyDescent="0.35"/>
    <row r="42719" hidden="1" x14ac:dyDescent="0.35"/>
    <row r="42720" hidden="1" x14ac:dyDescent="0.35"/>
    <row r="42721" hidden="1" x14ac:dyDescent="0.35"/>
    <row r="42722" hidden="1" x14ac:dyDescent="0.35"/>
    <row r="42723" hidden="1" x14ac:dyDescent="0.35"/>
    <row r="42724" hidden="1" x14ac:dyDescent="0.35"/>
    <row r="42725" hidden="1" x14ac:dyDescent="0.35"/>
    <row r="42726" hidden="1" x14ac:dyDescent="0.35"/>
    <row r="42727" hidden="1" x14ac:dyDescent="0.35"/>
    <row r="42728" hidden="1" x14ac:dyDescent="0.35"/>
    <row r="42729" hidden="1" x14ac:dyDescent="0.35"/>
    <row r="42730" hidden="1" x14ac:dyDescent="0.35"/>
    <row r="42731" hidden="1" x14ac:dyDescent="0.35"/>
    <row r="42732" hidden="1" x14ac:dyDescent="0.35"/>
    <row r="42733" hidden="1" x14ac:dyDescent="0.35"/>
    <row r="42734" hidden="1" x14ac:dyDescent="0.35"/>
    <row r="42735" hidden="1" x14ac:dyDescent="0.35"/>
    <row r="42736" hidden="1" x14ac:dyDescent="0.35"/>
    <row r="42737" hidden="1" x14ac:dyDescent="0.35"/>
    <row r="42738" hidden="1" x14ac:dyDescent="0.35"/>
    <row r="42739" hidden="1" x14ac:dyDescent="0.35"/>
    <row r="42740" hidden="1" x14ac:dyDescent="0.35"/>
    <row r="42741" hidden="1" x14ac:dyDescent="0.35"/>
    <row r="42742" hidden="1" x14ac:dyDescent="0.35"/>
    <row r="42743" hidden="1" x14ac:dyDescent="0.35"/>
    <row r="42744" hidden="1" x14ac:dyDescent="0.35"/>
    <row r="42745" hidden="1" x14ac:dyDescent="0.35"/>
    <row r="42746" hidden="1" x14ac:dyDescent="0.35"/>
    <row r="42747" hidden="1" x14ac:dyDescent="0.35"/>
    <row r="42748" hidden="1" x14ac:dyDescent="0.35"/>
    <row r="42749" hidden="1" x14ac:dyDescent="0.35"/>
    <row r="42750" hidden="1" x14ac:dyDescent="0.35"/>
    <row r="42751" hidden="1" x14ac:dyDescent="0.35"/>
    <row r="42752" hidden="1" x14ac:dyDescent="0.35"/>
    <row r="42753" hidden="1" x14ac:dyDescent="0.35"/>
    <row r="42754" hidden="1" x14ac:dyDescent="0.35"/>
    <row r="42755" hidden="1" x14ac:dyDescent="0.35"/>
    <row r="42756" hidden="1" x14ac:dyDescent="0.35"/>
    <row r="42757" hidden="1" x14ac:dyDescent="0.35"/>
    <row r="42758" hidden="1" x14ac:dyDescent="0.35"/>
    <row r="42759" hidden="1" x14ac:dyDescent="0.35"/>
    <row r="42760" hidden="1" x14ac:dyDescent="0.35"/>
    <row r="42761" hidden="1" x14ac:dyDescent="0.35"/>
    <row r="42762" hidden="1" x14ac:dyDescent="0.35"/>
    <row r="42763" hidden="1" x14ac:dyDescent="0.35"/>
    <row r="42764" hidden="1" x14ac:dyDescent="0.35"/>
    <row r="42765" hidden="1" x14ac:dyDescent="0.35"/>
    <row r="42766" hidden="1" x14ac:dyDescent="0.35"/>
    <row r="42767" hidden="1" x14ac:dyDescent="0.35"/>
    <row r="42768" hidden="1" x14ac:dyDescent="0.35"/>
    <row r="42769" hidden="1" x14ac:dyDescent="0.35"/>
    <row r="42770" hidden="1" x14ac:dyDescent="0.35"/>
    <row r="42771" hidden="1" x14ac:dyDescent="0.35"/>
    <row r="42772" hidden="1" x14ac:dyDescent="0.35"/>
    <row r="42773" hidden="1" x14ac:dyDescent="0.35"/>
    <row r="42774" hidden="1" x14ac:dyDescent="0.35"/>
    <row r="42775" hidden="1" x14ac:dyDescent="0.35"/>
    <row r="42776" hidden="1" x14ac:dyDescent="0.35"/>
    <row r="42777" hidden="1" x14ac:dyDescent="0.35"/>
    <row r="42778" hidden="1" x14ac:dyDescent="0.35"/>
    <row r="42779" hidden="1" x14ac:dyDescent="0.35"/>
    <row r="42780" hidden="1" x14ac:dyDescent="0.35"/>
    <row r="42781" hidden="1" x14ac:dyDescent="0.35"/>
    <row r="42782" hidden="1" x14ac:dyDescent="0.35"/>
    <row r="42783" hidden="1" x14ac:dyDescent="0.35"/>
    <row r="42784" hidden="1" x14ac:dyDescent="0.35"/>
    <row r="42785" hidden="1" x14ac:dyDescent="0.35"/>
    <row r="42786" hidden="1" x14ac:dyDescent="0.35"/>
    <row r="42787" hidden="1" x14ac:dyDescent="0.35"/>
    <row r="42788" hidden="1" x14ac:dyDescent="0.35"/>
    <row r="42789" hidden="1" x14ac:dyDescent="0.35"/>
    <row r="42790" hidden="1" x14ac:dyDescent="0.35"/>
    <row r="42791" hidden="1" x14ac:dyDescent="0.35"/>
    <row r="42792" hidden="1" x14ac:dyDescent="0.35"/>
    <row r="42793" hidden="1" x14ac:dyDescent="0.35"/>
    <row r="42794" hidden="1" x14ac:dyDescent="0.35"/>
    <row r="42795" hidden="1" x14ac:dyDescent="0.35"/>
    <row r="42796" hidden="1" x14ac:dyDescent="0.35"/>
    <row r="42797" hidden="1" x14ac:dyDescent="0.35"/>
    <row r="42798" hidden="1" x14ac:dyDescent="0.35"/>
    <row r="42799" hidden="1" x14ac:dyDescent="0.35"/>
    <row r="42800" hidden="1" x14ac:dyDescent="0.35"/>
    <row r="42801" hidden="1" x14ac:dyDescent="0.35"/>
    <row r="42802" hidden="1" x14ac:dyDescent="0.35"/>
    <row r="42803" hidden="1" x14ac:dyDescent="0.35"/>
    <row r="42804" hidden="1" x14ac:dyDescent="0.35"/>
    <row r="42805" hidden="1" x14ac:dyDescent="0.35"/>
    <row r="42806" hidden="1" x14ac:dyDescent="0.35"/>
    <row r="42807" hidden="1" x14ac:dyDescent="0.35"/>
    <row r="42808" hidden="1" x14ac:dyDescent="0.35"/>
    <row r="42809" hidden="1" x14ac:dyDescent="0.35"/>
    <row r="42810" hidden="1" x14ac:dyDescent="0.35"/>
    <row r="42811" hidden="1" x14ac:dyDescent="0.35"/>
    <row r="42812" hidden="1" x14ac:dyDescent="0.35"/>
    <row r="42813" hidden="1" x14ac:dyDescent="0.35"/>
    <row r="42814" hidden="1" x14ac:dyDescent="0.35"/>
    <row r="42815" hidden="1" x14ac:dyDescent="0.35"/>
    <row r="42816" hidden="1" x14ac:dyDescent="0.35"/>
    <row r="42817" hidden="1" x14ac:dyDescent="0.35"/>
    <row r="42818" hidden="1" x14ac:dyDescent="0.35"/>
    <row r="42819" hidden="1" x14ac:dyDescent="0.35"/>
    <row r="42820" hidden="1" x14ac:dyDescent="0.35"/>
    <row r="42821" hidden="1" x14ac:dyDescent="0.35"/>
    <row r="42822" hidden="1" x14ac:dyDescent="0.35"/>
    <row r="42823" hidden="1" x14ac:dyDescent="0.35"/>
    <row r="42824" hidden="1" x14ac:dyDescent="0.35"/>
    <row r="42825" hidden="1" x14ac:dyDescent="0.35"/>
    <row r="42826" hidden="1" x14ac:dyDescent="0.35"/>
    <row r="42827" hidden="1" x14ac:dyDescent="0.35"/>
    <row r="42828" hidden="1" x14ac:dyDescent="0.35"/>
    <row r="42829" hidden="1" x14ac:dyDescent="0.35"/>
    <row r="42830" hidden="1" x14ac:dyDescent="0.35"/>
    <row r="42831" hidden="1" x14ac:dyDescent="0.35"/>
    <row r="42832" hidden="1" x14ac:dyDescent="0.35"/>
    <row r="42833" hidden="1" x14ac:dyDescent="0.35"/>
    <row r="42834" hidden="1" x14ac:dyDescent="0.35"/>
    <row r="42835" hidden="1" x14ac:dyDescent="0.35"/>
    <row r="42836" hidden="1" x14ac:dyDescent="0.35"/>
    <row r="42837" hidden="1" x14ac:dyDescent="0.35"/>
    <row r="42838" hidden="1" x14ac:dyDescent="0.35"/>
    <row r="42839" hidden="1" x14ac:dyDescent="0.35"/>
    <row r="42840" hidden="1" x14ac:dyDescent="0.35"/>
    <row r="42841" hidden="1" x14ac:dyDescent="0.35"/>
    <row r="42842" hidden="1" x14ac:dyDescent="0.35"/>
    <row r="42843" hidden="1" x14ac:dyDescent="0.35"/>
    <row r="42844" hidden="1" x14ac:dyDescent="0.35"/>
    <row r="42845" hidden="1" x14ac:dyDescent="0.35"/>
    <row r="42846" hidden="1" x14ac:dyDescent="0.35"/>
    <row r="42847" hidden="1" x14ac:dyDescent="0.35"/>
    <row r="42848" hidden="1" x14ac:dyDescent="0.35"/>
    <row r="42849" hidden="1" x14ac:dyDescent="0.35"/>
    <row r="42850" hidden="1" x14ac:dyDescent="0.35"/>
    <row r="42851" hidden="1" x14ac:dyDescent="0.35"/>
    <row r="42852" hidden="1" x14ac:dyDescent="0.35"/>
    <row r="42853" hidden="1" x14ac:dyDescent="0.35"/>
    <row r="42854" hidden="1" x14ac:dyDescent="0.35"/>
    <row r="42855" hidden="1" x14ac:dyDescent="0.35"/>
    <row r="42856" hidden="1" x14ac:dyDescent="0.35"/>
    <row r="42857" hidden="1" x14ac:dyDescent="0.35"/>
    <row r="42858" hidden="1" x14ac:dyDescent="0.35"/>
    <row r="42859" hidden="1" x14ac:dyDescent="0.35"/>
    <row r="42860" hidden="1" x14ac:dyDescent="0.35"/>
    <row r="42861" hidden="1" x14ac:dyDescent="0.35"/>
    <row r="42862" hidden="1" x14ac:dyDescent="0.35"/>
    <row r="42863" hidden="1" x14ac:dyDescent="0.35"/>
    <row r="42864" hidden="1" x14ac:dyDescent="0.35"/>
    <row r="42865" hidden="1" x14ac:dyDescent="0.35"/>
    <row r="42866" hidden="1" x14ac:dyDescent="0.35"/>
    <row r="42867" hidden="1" x14ac:dyDescent="0.35"/>
    <row r="42868" hidden="1" x14ac:dyDescent="0.35"/>
    <row r="42869" hidden="1" x14ac:dyDescent="0.35"/>
    <row r="42870" hidden="1" x14ac:dyDescent="0.35"/>
    <row r="42871" hidden="1" x14ac:dyDescent="0.35"/>
    <row r="42872" hidden="1" x14ac:dyDescent="0.35"/>
    <row r="42873" hidden="1" x14ac:dyDescent="0.35"/>
    <row r="42874" hidden="1" x14ac:dyDescent="0.35"/>
    <row r="42875" hidden="1" x14ac:dyDescent="0.35"/>
    <row r="42876" hidden="1" x14ac:dyDescent="0.35"/>
    <row r="42877" hidden="1" x14ac:dyDescent="0.35"/>
    <row r="42878" hidden="1" x14ac:dyDescent="0.35"/>
    <row r="42879" hidden="1" x14ac:dyDescent="0.35"/>
    <row r="42880" hidden="1" x14ac:dyDescent="0.35"/>
    <row r="42881" hidden="1" x14ac:dyDescent="0.35"/>
    <row r="42882" hidden="1" x14ac:dyDescent="0.35"/>
    <row r="42883" hidden="1" x14ac:dyDescent="0.35"/>
    <row r="42884" hidden="1" x14ac:dyDescent="0.35"/>
    <row r="42885" hidden="1" x14ac:dyDescent="0.35"/>
    <row r="42886" hidden="1" x14ac:dyDescent="0.35"/>
    <row r="42887" hidden="1" x14ac:dyDescent="0.35"/>
    <row r="42888" hidden="1" x14ac:dyDescent="0.35"/>
    <row r="42889" hidden="1" x14ac:dyDescent="0.35"/>
    <row r="42890" hidden="1" x14ac:dyDescent="0.35"/>
    <row r="42891" hidden="1" x14ac:dyDescent="0.35"/>
    <row r="42892" hidden="1" x14ac:dyDescent="0.35"/>
    <row r="42893" hidden="1" x14ac:dyDescent="0.35"/>
    <row r="42894" hidden="1" x14ac:dyDescent="0.35"/>
    <row r="42895" hidden="1" x14ac:dyDescent="0.35"/>
    <row r="42896" hidden="1" x14ac:dyDescent="0.35"/>
    <row r="42897" hidden="1" x14ac:dyDescent="0.35"/>
    <row r="42898" hidden="1" x14ac:dyDescent="0.35"/>
    <row r="42899" hidden="1" x14ac:dyDescent="0.35"/>
    <row r="42900" hidden="1" x14ac:dyDescent="0.35"/>
    <row r="42901" hidden="1" x14ac:dyDescent="0.35"/>
    <row r="42902" hidden="1" x14ac:dyDescent="0.35"/>
    <row r="42903" hidden="1" x14ac:dyDescent="0.35"/>
    <row r="42904" hidden="1" x14ac:dyDescent="0.35"/>
    <row r="42905" hidden="1" x14ac:dyDescent="0.35"/>
    <row r="42906" hidden="1" x14ac:dyDescent="0.35"/>
    <row r="42907" hidden="1" x14ac:dyDescent="0.35"/>
    <row r="42908" hidden="1" x14ac:dyDescent="0.35"/>
    <row r="42909" hidden="1" x14ac:dyDescent="0.35"/>
    <row r="42910" hidden="1" x14ac:dyDescent="0.35"/>
    <row r="42911" hidden="1" x14ac:dyDescent="0.35"/>
    <row r="42912" hidden="1" x14ac:dyDescent="0.35"/>
    <row r="42913" hidden="1" x14ac:dyDescent="0.35"/>
    <row r="42914" hidden="1" x14ac:dyDescent="0.35"/>
    <row r="42915" hidden="1" x14ac:dyDescent="0.35"/>
    <row r="42916" hidden="1" x14ac:dyDescent="0.35"/>
    <row r="42917" hidden="1" x14ac:dyDescent="0.35"/>
    <row r="42918" hidden="1" x14ac:dyDescent="0.35"/>
    <row r="42919" hidden="1" x14ac:dyDescent="0.35"/>
    <row r="42920" hidden="1" x14ac:dyDescent="0.35"/>
    <row r="42921" hidden="1" x14ac:dyDescent="0.35"/>
    <row r="42922" hidden="1" x14ac:dyDescent="0.35"/>
    <row r="42923" hidden="1" x14ac:dyDescent="0.35"/>
    <row r="42924" hidden="1" x14ac:dyDescent="0.35"/>
    <row r="42925" hidden="1" x14ac:dyDescent="0.35"/>
    <row r="42926" hidden="1" x14ac:dyDescent="0.35"/>
    <row r="42927" hidden="1" x14ac:dyDescent="0.35"/>
    <row r="42928" hidden="1" x14ac:dyDescent="0.35"/>
    <row r="42929" hidden="1" x14ac:dyDescent="0.35"/>
    <row r="42930" hidden="1" x14ac:dyDescent="0.35"/>
    <row r="42931" hidden="1" x14ac:dyDescent="0.35"/>
    <row r="42932" hidden="1" x14ac:dyDescent="0.35"/>
    <row r="42933" hidden="1" x14ac:dyDescent="0.35"/>
    <row r="42934" hidden="1" x14ac:dyDescent="0.35"/>
    <row r="42935" hidden="1" x14ac:dyDescent="0.35"/>
    <row r="42936" hidden="1" x14ac:dyDescent="0.35"/>
    <row r="42937" hidden="1" x14ac:dyDescent="0.35"/>
    <row r="42938" hidden="1" x14ac:dyDescent="0.35"/>
    <row r="42939" hidden="1" x14ac:dyDescent="0.35"/>
    <row r="42940" hidden="1" x14ac:dyDescent="0.35"/>
    <row r="42941" hidden="1" x14ac:dyDescent="0.35"/>
    <row r="42942" hidden="1" x14ac:dyDescent="0.35"/>
    <row r="42943" hidden="1" x14ac:dyDescent="0.35"/>
    <row r="42944" hidden="1" x14ac:dyDescent="0.35"/>
    <row r="42945" hidden="1" x14ac:dyDescent="0.35"/>
    <row r="42946" hidden="1" x14ac:dyDescent="0.35"/>
    <row r="42947" hidden="1" x14ac:dyDescent="0.35"/>
    <row r="42948" hidden="1" x14ac:dyDescent="0.35"/>
    <row r="42949" hidden="1" x14ac:dyDescent="0.35"/>
    <row r="42950" hidden="1" x14ac:dyDescent="0.35"/>
    <row r="42951" hidden="1" x14ac:dyDescent="0.35"/>
    <row r="42952" hidden="1" x14ac:dyDescent="0.35"/>
    <row r="42953" hidden="1" x14ac:dyDescent="0.35"/>
    <row r="42954" hidden="1" x14ac:dyDescent="0.35"/>
    <row r="42955" hidden="1" x14ac:dyDescent="0.35"/>
    <row r="42956" hidden="1" x14ac:dyDescent="0.35"/>
    <row r="42957" hidden="1" x14ac:dyDescent="0.35"/>
    <row r="42958" hidden="1" x14ac:dyDescent="0.35"/>
    <row r="42959" hidden="1" x14ac:dyDescent="0.35"/>
    <row r="42960" hidden="1" x14ac:dyDescent="0.35"/>
    <row r="42961" hidden="1" x14ac:dyDescent="0.35"/>
    <row r="42962" hidden="1" x14ac:dyDescent="0.35"/>
    <row r="42963" hidden="1" x14ac:dyDescent="0.35"/>
    <row r="42964" hidden="1" x14ac:dyDescent="0.35"/>
    <row r="42965" hidden="1" x14ac:dyDescent="0.35"/>
    <row r="42966" hidden="1" x14ac:dyDescent="0.35"/>
    <row r="42967" hidden="1" x14ac:dyDescent="0.35"/>
    <row r="42968" hidden="1" x14ac:dyDescent="0.35"/>
    <row r="42969" hidden="1" x14ac:dyDescent="0.35"/>
    <row r="42970" hidden="1" x14ac:dyDescent="0.35"/>
    <row r="42971" hidden="1" x14ac:dyDescent="0.35"/>
    <row r="42972" hidden="1" x14ac:dyDescent="0.35"/>
    <row r="42973" hidden="1" x14ac:dyDescent="0.35"/>
    <row r="42974" hidden="1" x14ac:dyDescent="0.35"/>
    <row r="42975" hidden="1" x14ac:dyDescent="0.35"/>
    <row r="42976" hidden="1" x14ac:dyDescent="0.35"/>
    <row r="42977" hidden="1" x14ac:dyDescent="0.35"/>
    <row r="42978" hidden="1" x14ac:dyDescent="0.35"/>
    <row r="42979" hidden="1" x14ac:dyDescent="0.35"/>
    <row r="42980" hidden="1" x14ac:dyDescent="0.35"/>
    <row r="42981" hidden="1" x14ac:dyDescent="0.35"/>
    <row r="42982" hidden="1" x14ac:dyDescent="0.35"/>
    <row r="42983" hidden="1" x14ac:dyDescent="0.35"/>
    <row r="42984" hidden="1" x14ac:dyDescent="0.35"/>
    <row r="42985" hidden="1" x14ac:dyDescent="0.35"/>
    <row r="42986" hidden="1" x14ac:dyDescent="0.35"/>
    <row r="42987" hidden="1" x14ac:dyDescent="0.35"/>
    <row r="42988" hidden="1" x14ac:dyDescent="0.35"/>
    <row r="42989" hidden="1" x14ac:dyDescent="0.35"/>
    <row r="42990" hidden="1" x14ac:dyDescent="0.35"/>
    <row r="42991" hidden="1" x14ac:dyDescent="0.35"/>
    <row r="42992" hidden="1" x14ac:dyDescent="0.35"/>
    <row r="42993" hidden="1" x14ac:dyDescent="0.35"/>
    <row r="42994" hidden="1" x14ac:dyDescent="0.35"/>
    <row r="42995" hidden="1" x14ac:dyDescent="0.35"/>
    <row r="42996" hidden="1" x14ac:dyDescent="0.35"/>
    <row r="42997" hidden="1" x14ac:dyDescent="0.35"/>
    <row r="42998" hidden="1" x14ac:dyDescent="0.35"/>
    <row r="42999" hidden="1" x14ac:dyDescent="0.35"/>
    <row r="43000" hidden="1" x14ac:dyDescent="0.35"/>
    <row r="43001" hidden="1" x14ac:dyDescent="0.35"/>
    <row r="43002" hidden="1" x14ac:dyDescent="0.35"/>
    <row r="43003" hidden="1" x14ac:dyDescent="0.35"/>
    <row r="43004" hidden="1" x14ac:dyDescent="0.35"/>
    <row r="43005" hidden="1" x14ac:dyDescent="0.35"/>
    <row r="43006" hidden="1" x14ac:dyDescent="0.35"/>
    <row r="43007" hidden="1" x14ac:dyDescent="0.35"/>
    <row r="43008" hidden="1" x14ac:dyDescent="0.35"/>
    <row r="43009" hidden="1" x14ac:dyDescent="0.35"/>
    <row r="43010" hidden="1" x14ac:dyDescent="0.35"/>
    <row r="43011" hidden="1" x14ac:dyDescent="0.35"/>
    <row r="43012" hidden="1" x14ac:dyDescent="0.35"/>
    <row r="43013" hidden="1" x14ac:dyDescent="0.35"/>
    <row r="43014" hidden="1" x14ac:dyDescent="0.35"/>
    <row r="43015" hidden="1" x14ac:dyDescent="0.35"/>
    <row r="43016" hidden="1" x14ac:dyDescent="0.35"/>
    <row r="43017" hidden="1" x14ac:dyDescent="0.35"/>
    <row r="43018" hidden="1" x14ac:dyDescent="0.35"/>
    <row r="43019" hidden="1" x14ac:dyDescent="0.35"/>
    <row r="43020" hidden="1" x14ac:dyDescent="0.35"/>
    <row r="43021" hidden="1" x14ac:dyDescent="0.35"/>
    <row r="43022" hidden="1" x14ac:dyDescent="0.35"/>
    <row r="43023" hidden="1" x14ac:dyDescent="0.35"/>
    <row r="43024" hidden="1" x14ac:dyDescent="0.35"/>
    <row r="43025" hidden="1" x14ac:dyDescent="0.35"/>
    <row r="43026" hidden="1" x14ac:dyDescent="0.35"/>
    <row r="43027" hidden="1" x14ac:dyDescent="0.35"/>
    <row r="43028" hidden="1" x14ac:dyDescent="0.35"/>
    <row r="43029" hidden="1" x14ac:dyDescent="0.35"/>
    <row r="43030" hidden="1" x14ac:dyDescent="0.35"/>
    <row r="43031" hidden="1" x14ac:dyDescent="0.35"/>
    <row r="43032" hidden="1" x14ac:dyDescent="0.35"/>
    <row r="43033" hidden="1" x14ac:dyDescent="0.35"/>
    <row r="43034" hidden="1" x14ac:dyDescent="0.35"/>
    <row r="43035" hidden="1" x14ac:dyDescent="0.35"/>
    <row r="43036" hidden="1" x14ac:dyDescent="0.35"/>
    <row r="43037" hidden="1" x14ac:dyDescent="0.35"/>
    <row r="43038" hidden="1" x14ac:dyDescent="0.35"/>
    <row r="43039" hidden="1" x14ac:dyDescent="0.35"/>
    <row r="43040" hidden="1" x14ac:dyDescent="0.35"/>
    <row r="43041" hidden="1" x14ac:dyDescent="0.35"/>
    <row r="43042" hidden="1" x14ac:dyDescent="0.35"/>
    <row r="43043" hidden="1" x14ac:dyDescent="0.35"/>
    <row r="43044" hidden="1" x14ac:dyDescent="0.35"/>
    <row r="43045" hidden="1" x14ac:dyDescent="0.35"/>
    <row r="43046" hidden="1" x14ac:dyDescent="0.35"/>
    <row r="43047" hidden="1" x14ac:dyDescent="0.35"/>
    <row r="43048" hidden="1" x14ac:dyDescent="0.35"/>
    <row r="43049" hidden="1" x14ac:dyDescent="0.35"/>
    <row r="43050" hidden="1" x14ac:dyDescent="0.35"/>
    <row r="43051" hidden="1" x14ac:dyDescent="0.35"/>
    <row r="43052" hidden="1" x14ac:dyDescent="0.35"/>
    <row r="43053" hidden="1" x14ac:dyDescent="0.35"/>
    <row r="43054" hidden="1" x14ac:dyDescent="0.35"/>
    <row r="43055" hidden="1" x14ac:dyDescent="0.35"/>
    <row r="43056" hidden="1" x14ac:dyDescent="0.35"/>
    <row r="43057" hidden="1" x14ac:dyDescent="0.35"/>
    <row r="43058" hidden="1" x14ac:dyDescent="0.35"/>
    <row r="43059" hidden="1" x14ac:dyDescent="0.35"/>
    <row r="43060" hidden="1" x14ac:dyDescent="0.35"/>
    <row r="43061" hidden="1" x14ac:dyDescent="0.35"/>
    <row r="43062" hidden="1" x14ac:dyDescent="0.35"/>
    <row r="43063" hidden="1" x14ac:dyDescent="0.35"/>
    <row r="43064" hidden="1" x14ac:dyDescent="0.35"/>
    <row r="43065" hidden="1" x14ac:dyDescent="0.35"/>
    <row r="43066" hidden="1" x14ac:dyDescent="0.35"/>
    <row r="43067" hidden="1" x14ac:dyDescent="0.35"/>
    <row r="43068" hidden="1" x14ac:dyDescent="0.35"/>
    <row r="43069" hidden="1" x14ac:dyDescent="0.35"/>
    <row r="43070" hidden="1" x14ac:dyDescent="0.35"/>
    <row r="43071" hidden="1" x14ac:dyDescent="0.35"/>
    <row r="43072" hidden="1" x14ac:dyDescent="0.35"/>
    <row r="43073" hidden="1" x14ac:dyDescent="0.35"/>
    <row r="43074" hidden="1" x14ac:dyDescent="0.35"/>
    <row r="43075" hidden="1" x14ac:dyDescent="0.35"/>
    <row r="43076" hidden="1" x14ac:dyDescent="0.35"/>
    <row r="43077" hidden="1" x14ac:dyDescent="0.35"/>
    <row r="43078" hidden="1" x14ac:dyDescent="0.35"/>
    <row r="43079" hidden="1" x14ac:dyDescent="0.35"/>
    <row r="43080" hidden="1" x14ac:dyDescent="0.35"/>
    <row r="43081" hidden="1" x14ac:dyDescent="0.35"/>
    <row r="43082" hidden="1" x14ac:dyDescent="0.35"/>
    <row r="43083" hidden="1" x14ac:dyDescent="0.35"/>
    <row r="43084" hidden="1" x14ac:dyDescent="0.35"/>
    <row r="43085" hidden="1" x14ac:dyDescent="0.35"/>
    <row r="43086" hidden="1" x14ac:dyDescent="0.35"/>
    <row r="43087" hidden="1" x14ac:dyDescent="0.35"/>
    <row r="43088" hidden="1" x14ac:dyDescent="0.35"/>
    <row r="43089" hidden="1" x14ac:dyDescent="0.35"/>
    <row r="43090" hidden="1" x14ac:dyDescent="0.35"/>
    <row r="43091" hidden="1" x14ac:dyDescent="0.35"/>
    <row r="43092" hidden="1" x14ac:dyDescent="0.35"/>
    <row r="43093" hidden="1" x14ac:dyDescent="0.35"/>
    <row r="43094" hidden="1" x14ac:dyDescent="0.35"/>
    <row r="43095" hidden="1" x14ac:dyDescent="0.35"/>
    <row r="43096" hidden="1" x14ac:dyDescent="0.35"/>
    <row r="43097" hidden="1" x14ac:dyDescent="0.35"/>
    <row r="43098" hidden="1" x14ac:dyDescent="0.35"/>
    <row r="43099" hidden="1" x14ac:dyDescent="0.35"/>
    <row r="43100" hidden="1" x14ac:dyDescent="0.35"/>
    <row r="43101" hidden="1" x14ac:dyDescent="0.35"/>
    <row r="43102" hidden="1" x14ac:dyDescent="0.35"/>
    <row r="43103" hidden="1" x14ac:dyDescent="0.35"/>
    <row r="43104" hidden="1" x14ac:dyDescent="0.35"/>
    <row r="43105" hidden="1" x14ac:dyDescent="0.35"/>
    <row r="43106" hidden="1" x14ac:dyDescent="0.35"/>
    <row r="43107" hidden="1" x14ac:dyDescent="0.35"/>
    <row r="43108" hidden="1" x14ac:dyDescent="0.35"/>
    <row r="43109" hidden="1" x14ac:dyDescent="0.35"/>
    <row r="43110" hidden="1" x14ac:dyDescent="0.35"/>
    <row r="43111" hidden="1" x14ac:dyDescent="0.35"/>
    <row r="43112" hidden="1" x14ac:dyDescent="0.35"/>
    <row r="43113" hidden="1" x14ac:dyDescent="0.35"/>
    <row r="43114" hidden="1" x14ac:dyDescent="0.35"/>
    <row r="43115" hidden="1" x14ac:dyDescent="0.35"/>
    <row r="43116" hidden="1" x14ac:dyDescent="0.35"/>
    <row r="43117" hidden="1" x14ac:dyDescent="0.35"/>
    <row r="43118" hidden="1" x14ac:dyDescent="0.35"/>
    <row r="43119" hidden="1" x14ac:dyDescent="0.35"/>
    <row r="43120" hidden="1" x14ac:dyDescent="0.35"/>
    <row r="43121" hidden="1" x14ac:dyDescent="0.35"/>
    <row r="43122" hidden="1" x14ac:dyDescent="0.35"/>
    <row r="43123" hidden="1" x14ac:dyDescent="0.35"/>
    <row r="43124" hidden="1" x14ac:dyDescent="0.35"/>
    <row r="43125" hidden="1" x14ac:dyDescent="0.35"/>
    <row r="43126" hidden="1" x14ac:dyDescent="0.35"/>
    <row r="43127" hidden="1" x14ac:dyDescent="0.35"/>
    <row r="43128" hidden="1" x14ac:dyDescent="0.35"/>
    <row r="43129" hidden="1" x14ac:dyDescent="0.35"/>
    <row r="43130" hidden="1" x14ac:dyDescent="0.35"/>
    <row r="43131" hidden="1" x14ac:dyDescent="0.35"/>
    <row r="43132" hidden="1" x14ac:dyDescent="0.35"/>
    <row r="43133" hidden="1" x14ac:dyDescent="0.35"/>
    <row r="43134" hidden="1" x14ac:dyDescent="0.35"/>
    <row r="43135" hidden="1" x14ac:dyDescent="0.35"/>
    <row r="43136" hidden="1" x14ac:dyDescent="0.35"/>
    <row r="43137" hidden="1" x14ac:dyDescent="0.35"/>
    <row r="43138" hidden="1" x14ac:dyDescent="0.35"/>
    <row r="43139" hidden="1" x14ac:dyDescent="0.35"/>
    <row r="43140" hidden="1" x14ac:dyDescent="0.35"/>
    <row r="43141" hidden="1" x14ac:dyDescent="0.35"/>
    <row r="43142" hidden="1" x14ac:dyDescent="0.35"/>
    <row r="43143" hidden="1" x14ac:dyDescent="0.35"/>
    <row r="43144" hidden="1" x14ac:dyDescent="0.35"/>
    <row r="43145" hidden="1" x14ac:dyDescent="0.35"/>
    <row r="43146" hidden="1" x14ac:dyDescent="0.35"/>
    <row r="43147" hidden="1" x14ac:dyDescent="0.35"/>
    <row r="43148" hidden="1" x14ac:dyDescent="0.35"/>
    <row r="43149" hidden="1" x14ac:dyDescent="0.35"/>
    <row r="43150" hidden="1" x14ac:dyDescent="0.35"/>
    <row r="43151" hidden="1" x14ac:dyDescent="0.35"/>
    <row r="43152" hidden="1" x14ac:dyDescent="0.35"/>
    <row r="43153" hidden="1" x14ac:dyDescent="0.35"/>
    <row r="43154" hidden="1" x14ac:dyDescent="0.35"/>
    <row r="43155" hidden="1" x14ac:dyDescent="0.35"/>
    <row r="43156" hidden="1" x14ac:dyDescent="0.35"/>
    <row r="43157" hidden="1" x14ac:dyDescent="0.35"/>
    <row r="43158" hidden="1" x14ac:dyDescent="0.35"/>
    <row r="43159" hidden="1" x14ac:dyDescent="0.35"/>
    <row r="43160" hidden="1" x14ac:dyDescent="0.35"/>
    <row r="43161" hidden="1" x14ac:dyDescent="0.35"/>
    <row r="43162" hidden="1" x14ac:dyDescent="0.35"/>
    <row r="43163" hidden="1" x14ac:dyDescent="0.35"/>
    <row r="43164" hidden="1" x14ac:dyDescent="0.35"/>
    <row r="43165" hidden="1" x14ac:dyDescent="0.35"/>
    <row r="43166" hidden="1" x14ac:dyDescent="0.35"/>
    <row r="43167" hidden="1" x14ac:dyDescent="0.35"/>
    <row r="43168" hidden="1" x14ac:dyDescent="0.35"/>
    <row r="43169" hidden="1" x14ac:dyDescent="0.35"/>
    <row r="43170" hidden="1" x14ac:dyDescent="0.35"/>
    <row r="43171" hidden="1" x14ac:dyDescent="0.35"/>
    <row r="43172" hidden="1" x14ac:dyDescent="0.35"/>
    <row r="43173" hidden="1" x14ac:dyDescent="0.35"/>
    <row r="43174" hidden="1" x14ac:dyDescent="0.35"/>
    <row r="43175" hidden="1" x14ac:dyDescent="0.35"/>
    <row r="43176" hidden="1" x14ac:dyDescent="0.35"/>
    <row r="43177" hidden="1" x14ac:dyDescent="0.35"/>
    <row r="43178" hidden="1" x14ac:dyDescent="0.35"/>
    <row r="43179" hidden="1" x14ac:dyDescent="0.35"/>
    <row r="43180" hidden="1" x14ac:dyDescent="0.35"/>
    <row r="43181" hidden="1" x14ac:dyDescent="0.35"/>
    <row r="43182" hidden="1" x14ac:dyDescent="0.35"/>
    <row r="43183" hidden="1" x14ac:dyDescent="0.35"/>
    <row r="43184" hidden="1" x14ac:dyDescent="0.35"/>
    <row r="43185" hidden="1" x14ac:dyDescent="0.35"/>
    <row r="43186" hidden="1" x14ac:dyDescent="0.35"/>
    <row r="43187" hidden="1" x14ac:dyDescent="0.35"/>
    <row r="43188" hidden="1" x14ac:dyDescent="0.35"/>
    <row r="43189" hidden="1" x14ac:dyDescent="0.35"/>
    <row r="43190" hidden="1" x14ac:dyDescent="0.35"/>
    <row r="43191" hidden="1" x14ac:dyDescent="0.35"/>
    <row r="43192" hidden="1" x14ac:dyDescent="0.35"/>
    <row r="43193" hidden="1" x14ac:dyDescent="0.35"/>
    <row r="43194" hidden="1" x14ac:dyDescent="0.35"/>
    <row r="43195" hidden="1" x14ac:dyDescent="0.35"/>
    <row r="43196" hidden="1" x14ac:dyDescent="0.35"/>
    <row r="43197" hidden="1" x14ac:dyDescent="0.35"/>
    <row r="43198" hidden="1" x14ac:dyDescent="0.35"/>
    <row r="43199" hidden="1" x14ac:dyDescent="0.35"/>
    <row r="43200" hidden="1" x14ac:dyDescent="0.35"/>
    <row r="43201" hidden="1" x14ac:dyDescent="0.35"/>
    <row r="43202" hidden="1" x14ac:dyDescent="0.35"/>
    <row r="43203" hidden="1" x14ac:dyDescent="0.35"/>
    <row r="43204" hidden="1" x14ac:dyDescent="0.35"/>
    <row r="43205" hidden="1" x14ac:dyDescent="0.35"/>
    <row r="43206" hidden="1" x14ac:dyDescent="0.35"/>
    <row r="43207" hidden="1" x14ac:dyDescent="0.35"/>
    <row r="43208" hidden="1" x14ac:dyDescent="0.35"/>
    <row r="43209" hidden="1" x14ac:dyDescent="0.35"/>
    <row r="43210" hidden="1" x14ac:dyDescent="0.35"/>
    <row r="43211" hidden="1" x14ac:dyDescent="0.35"/>
    <row r="43212" hidden="1" x14ac:dyDescent="0.35"/>
    <row r="43213" hidden="1" x14ac:dyDescent="0.35"/>
    <row r="43214" hidden="1" x14ac:dyDescent="0.35"/>
    <row r="43215" hidden="1" x14ac:dyDescent="0.35"/>
    <row r="43216" hidden="1" x14ac:dyDescent="0.35"/>
    <row r="43217" hidden="1" x14ac:dyDescent="0.35"/>
    <row r="43218" hidden="1" x14ac:dyDescent="0.35"/>
    <row r="43219" hidden="1" x14ac:dyDescent="0.35"/>
    <row r="43220" hidden="1" x14ac:dyDescent="0.35"/>
    <row r="43221" hidden="1" x14ac:dyDescent="0.35"/>
    <row r="43222" hidden="1" x14ac:dyDescent="0.35"/>
    <row r="43223" hidden="1" x14ac:dyDescent="0.35"/>
    <row r="43224" hidden="1" x14ac:dyDescent="0.35"/>
    <row r="43225" hidden="1" x14ac:dyDescent="0.35"/>
    <row r="43226" hidden="1" x14ac:dyDescent="0.35"/>
    <row r="43227" hidden="1" x14ac:dyDescent="0.35"/>
    <row r="43228" hidden="1" x14ac:dyDescent="0.35"/>
    <row r="43229" hidden="1" x14ac:dyDescent="0.35"/>
    <row r="43230" hidden="1" x14ac:dyDescent="0.35"/>
    <row r="43231" hidden="1" x14ac:dyDescent="0.35"/>
    <row r="43232" hidden="1" x14ac:dyDescent="0.35"/>
    <row r="43233" hidden="1" x14ac:dyDescent="0.35"/>
    <row r="43234" hidden="1" x14ac:dyDescent="0.35"/>
    <row r="43235" hidden="1" x14ac:dyDescent="0.35"/>
    <row r="43236" hidden="1" x14ac:dyDescent="0.35"/>
    <row r="43237" hidden="1" x14ac:dyDescent="0.35"/>
    <row r="43238" hidden="1" x14ac:dyDescent="0.35"/>
    <row r="43239" hidden="1" x14ac:dyDescent="0.35"/>
    <row r="43240" hidden="1" x14ac:dyDescent="0.35"/>
    <row r="43241" hidden="1" x14ac:dyDescent="0.35"/>
    <row r="43242" hidden="1" x14ac:dyDescent="0.35"/>
    <row r="43243" hidden="1" x14ac:dyDescent="0.35"/>
    <row r="43244" hidden="1" x14ac:dyDescent="0.35"/>
    <row r="43245" hidden="1" x14ac:dyDescent="0.35"/>
    <row r="43246" hidden="1" x14ac:dyDescent="0.35"/>
    <row r="43247" hidden="1" x14ac:dyDescent="0.35"/>
    <row r="43248" hidden="1" x14ac:dyDescent="0.35"/>
    <row r="43249" hidden="1" x14ac:dyDescent="0.35"/>
    <row r="43250" hidden="1" x14ac:dyDescent="0.35"/>
    <row r="43251" hidden="1" x14ac:dyDescent="0.35"/>
    <row r="43252" hidden="1" x14ac:dyDescent="0.35"/>
    <row r="43253" hidden="1" x14ac:dyDescent="0.35"/>
    <row r="43254" hidden="1" x14ac:dyDescent="0.35"/>
    <row r="43255" hidden="1" x14ac:dyDescent="0.35"/>
    <row r="43256" hidden="1" x14ac:dyDescent="0.35"/>
    <row r="43257" hidden="1" x14ac:dyDescent="0.35"/>
    <row r="43258" hidden="1" x14ac:dyDescent="0.35"/>
    <row r="43259" hidden="1" x14ac:dyDescent="0.35"/>
    <row r="43260" hidden="1" x14ac:dyDescent="0.35"/>
    <row r="43261" hidden="1" x14ac:dyDescent="0.35"/>
    <row r="43262" hidden="1" x14ac:dyDescent="0.35"/>
    <row r="43263" hidden="1" x14ac:dyDescent="0.35"/>
    <row r="43264" hidden="1" x14ac:dyDescent="0.35"/>
    <row r="43265" hidden="1" x14ac:dyDescent="0.35"/>
    <row r="43266" hidden="1" x14ac:dyDescent="0.35"/>
    <row r="43267" hidden="1" x14ac:dyDescent="0.35"/>
    <row r="43268" hidden="1" x14ac:dyDescent="0.35"/>
    <row r="43269" hidden="1" x14ac:dyDescent="0.35"/>
    <row r="43270" hidden="1" x14ac:dyDescent="0.35"/>
    <row r="43271" hidden="1" x14ac:dyDescent="0.35"/>
    <row r="43272" hidden="1" x14ac:dyDescent="0.35"/>
    <row r="43273" hidden="1" x14ac:dyDescent="0.35"/>
    <row r="43274" hidden="1" x14ac:dyDescent="0.35"/>
    <row r="43275" hidden="1" x14ac:dyDescent="0.35"/>
    <row r="43276" hidden="1" x14ac:dyDescent="0.35"/>
    <row r="43277" hidden="1" x14ac:dyDescent="0.35"/>
    <row r="43278" hidden="1" x14ac:dyDescent="0.35"/>
    <row r="43279" hidden="1" x14ac:dyDescent="0.35"/>
    <row r="43280" hidden="1" x14ac:dyDescent="0.35"/>
    <row r="43281" hidden="1" x14ac:dyDescent="0.35"/>
    <row r="43282" hidden="1" x14ac:dyDescent="0.35"/>
    <row r="43283" hidden="1" x14ac:dyDescent="0.35"/>
    <row r="43284" hidden="1" x14ac:dyDescent="0.35"/>
    <row r="43285" hidden="1" x14ac:dyDescent="0.35"/>
    <row r="43286" hidden="1" x14ac:dyDescent="0.35"/>
    <row r="43287" hidden="1" x14ac:dyDescent="0.35"/>
    <row r="43288" hidden="1" x14ac:dyDescent="0.35"/>
    <row r="43289" hidden="1" x14ac:dyDescent="0.35"/>
    <row r="43290" hidden="1" x14ac:dyDescent="0.35"/>
    <row r="43291" hidden="1" x14ac:dyDescent="0.35"/>
    <row r="43292" hidden="1" x14ac:dyDescent="0.35"/>
    <row r="43293" hidden="1" x14ac:dyDescent="0.35"/>
    <row r="43294" hidden="1" x14ac:dyDescent="0.35"/>
    <row r="43295" hidden="1" x14ac:dyDescent="0.35"/>
    <row r="43296" hidden="1" x14ac:dyDescent="0.35"/>
    <row r="43297" hidden="1" x14ac:dyDescent="0.35"/>
    <row r="43298" hidden="1" x14ac:dyDescent="0.35"/>
    <row r="43299" hidden="1" x14ac:dyDescent="0.35"/>
    <row r="43300" hidden="1" x14ac:dyDescent="0.35"/>
    <row r="43301" hidden="1" x14ac:dyDescent="0.35"/>
    <row r="43302" hidden="1" x14ac:dyDescent="0.35"/>
    <row r="43303" hidden="1" x14ac:dyDescent="0.35"/>
    <row r="43304" hidden="1" x14ac:dyDescent="0.35"/>
    <row r="43305" hidden="1" x14ac:dyDescent="0.35"/>
    <row r="43306" hidden="1" x14ac:dyDescent="0.35"/>
    <row r="43307" hidden="1" x14ac:dyDescent="0.35"/>
    <row r="43308" hidden="1" x14ac:dyDescent="0.35"/>
    <row r="43309" hidden="1" x14ac:dyDescent="0.35"/>
    <row r="43310" hidden="1" x14ac:dyDescent="0.35"/>
    <row r="43311" hidden="1" x14ac:dyDescent="0.35"/>
    <row r="43312" hidden="1" x14ac:dyDescent="0.35"/>
    <row r="43313" hidden="1" x14ac:dyDescent="0.35"/>
    <row r="43314" hidden="1" x14ac:dyDescent="0.35"/>
    <row r="43315" hidden="1" x14ac:dyDescent="0.35"/>
    <row r="43316" hidden="1" x14ac:dyDescent="0.35"/>
    <row r="43317" hidden="1" x14ac:dyDescent="0.35"/>
    <row r="43318" hidden="1" x14ac:dyDescent="0.35"/>
    <row r="43319" hidden="1" x14ac:dyDescent="0.35"/>
    <row r="43320" hidden="1" x14ac:dyDescent="0.35"/>
    <row r="43321" hidden="1" x14ac:dyDescent="0.35"/>
    <row r="43322" hidden="1" x14ac:dyDescent="0.35"/>
    <row r="43323" hidden="1" x14ac:dyDescent="0.35"/>
    <row r="43324" hidden="1" x14ac:dyDescent="0.35"/>
    <row r="43325" hidden="1" x14ac:dyDescent="0.35"/>
    <row r="43326" hidden="1" x14ac:dyDescent="0.35"/>
    <row r="43327" hidden="1" x14ac:dyDescent="0.35"/>
    <row r="43328" hidden="1" x14ac:dyDescent="0.35"/>
    <row r="43329" hidden="1" x14ac:dyDescent="0.35"/>
    <row r="43330" hidden="1" x14ac:dyDescent="0.35"/>
    <row r="43331" hidden="1" x14ac:dyDescent="0.35"/>
    <row r="43332" hidden="1" x14ac:dyDescent="0.35"/>
    <row r="43333" hidden="1" x14ac:dyDescent="0.35"/>
    <row r="43334" hidden="1" x14ac:dyDescent="0.35"/>
    <row r="43335" hidden="1" x14ac:dyDescent="0.35"/>
    <row r="43336" hidden="1" x14ac:dyDescent="0.35"/>
    <row r="43337" hidden="1" x14ac:dyDescent="0.35"/>
    <row r="43338" hidden="1" x14ac:dyDescent="0.35"/>
    <row r="43339" hidden="1" x14ac:dyDescent="0.35"/>
    <row r="43340" hidden="1" x14ac:dyDescent="0.35"/>
    <row r="43341" hidden="1" x14ac:dyDescent="0.35"/>
    <row r="43342" hidden="1" x14ac:dyDescent="0.35"/>
    <row r="43343" hidden="1" x14ac:dyDescent="0.35"/>
    <row r="43344" hidden="1" x14ac:dyDescent="0.35"/>
    <row r="43345" hidden="1" x14ac:dyDescent="0.35"/>
    <row r="43346" hidden="1" x14ac:dyDescent="0.35"/>
    <row r="43347" hidden="1" x14ac:dyDescent="0.35"/>
    <row r="43348" hidden="1" x14ac:dyDescent="0.35"/>
    <row r="43349" hidden="1" x14ac:dyDescent="0.35"/>
    <row r="43350" hidden="1" x14ac:dyDescent="0.35"/>
    <row r="43351" hidden="1" x14ac:dyDescent="0.35"/>
    <row r="43352" hidden="1" x14ac:dyDescent="0.35"/>
    <row r="43353" hidden="1" x14ac:dyDescent="0.35"/>
    <row r="43354" hidden="1" x14ac:dyDescent="0.35"/>
    <row r="43355" hidden="1" x14ac:dyDescent="0.35"/>
    <row r="43356" hidden="1" x14ac:dyDescent="0.35"/>
    <row r="43357" hidden="1" x14ac:dyDescent="0.35"/>
    <row r="43358" hidden="1" x14ac:dyDescent="0.35"/>
    <row r="43359" hidden="1" x14ac:dyDescent="0.35"/>
    <row r="43360" hidden="1" x14ac:dyDescent="0.35"/>
    <row r="43361" hidden="1" x14ac:dyDescent="0.35"/>
    <row r="43362" hidden="1" x14ac:dyDescent="0.35"/>
    <row r="43363" hidden="1" x14ac:dyDescent="0.35"/>
    <row r="43364" hidden="1" x14ac:dyDescent="0.35"/>
    <row r="43365" hidden="1" x14ac:dyDescent="0.35"/>
    <row r="43366" hidden="1" x14ac:dyDescent="0.35"/>
    <row r="43367" hidden="1" x14ac:dyDescent="0.35"/>
    <row r="43368" hidden="1" x14ac:dyDescent="0.35"/>
    <row r="43369" hidden="1" x14ac:dyDescent="0.35"/>
    <row r="43370" hidden="1" x14ac:dyDescent="0.35"/>
    <row r="43371" hidden="1" x14ac:dyDescent="0.35"/>
    <row r="43372" hidden="1" x14ac:dyDescent="0.35"/>
    <row r="43373" hidden="1" x14ac:dyDescent="0.35"/>
    <row r="43374" hidden="1" x14ac:dyDescent="0.35"/>
    <row r="43375" hidden="1" x14ac:dyDescent="0.35"/>
    <row r="43376" hidden="1" x14ac:dyDescent="0.35"/>
    <row r="43377" hidden="1" x14ac:dyDescent="0.35"/>
    <row r="43378" hidden="1" x14ac:dyDescent="0.35"/>
    <row r="43379" hidden="1" x14ac:dyDescent="0.35"/>
    <row r="43380" hidden="1" x14ac:dyDescent="0.35"/>
    <row r="43381" hidden="1" x14ac:dyDescent="0.35"/>
    <row r="43382" hidden="1" x14ac:dyDescent="0.35"/>
    <row r="43383" hidden="1" x14ac:dyDescent="0.35"/>
    <row r="43384" hidden="1" x14ac:dyDescent="0.35"/>
    <row r="43385" hidden="1" x14ac:dyDescent="0.35"/>
    <row r="43386" hidden="1" x14ac:dyDescent="0.35"/>
    <row r="43387" hidden="1" x14ac:dyDescent="0.35"/>
    <row r="43388" hidden="1" x14ac:dyDescent="0.35"/>
    <row r="43389" hidden="1" x14ac:dyDescent="0.35"/>
    <row r="43390" hidden="1" x14ac:dyDescent="0.35"/>
    <row r="43391" hidden="1" x14ac:dyDescent="0.35"/>
    <row r="43392" hidden="1" x14ac:dyDescent="0.35"/>
    <row r="43393" hidden="1" x14ac:dyDescent="0.35"/>
    <row r="43394" hidden="1" x14ac:dyDescent="0.35"/>
    <row r="43395" hidden="1" x14ac:dyDescent="0.35"/>
    <row r="43396" hidden="1" x14ac:dyDescent="0.35"/>
    <row r="43397" hidden="1" x14ac:dyDescent="0.35"/>
    <row r="43398" hidden="1" x14ac:dyDescent="0.35"/>
    <row r="43399" hidden="1" x14ac:dyDescent="0.35"/>
    <row r="43400" hidden="1" x14ac:dyDescent="0.35"/>
    <row r="43401" hidden="1" x14ac:dyDescent="0.35"/>
    <row r="43402" hidden="1" x14ac:dyDescent="0.35"/>
    <row r="43403" hidden="1" x14ac:dyDescent="0.35"/>
    <row r="43404" hidden="1" x14ac:dyDescent="0.35"/>
    <row r="43405" hidden="1" x14ac:dyDescent="0.35"/>
    <row r="43406" hidden="1" x14ac:dyDescent="0.35"/>
    <row r="43407" hidden="1" x14ac:dyDescent="0.35"/>
    <row r="43408" hidden="1" x14ac:dyDescent="0.35"/>
    <row r="43409" hidden="1" x14ac:dyDescent="0.35"/>
    <row r="43410" hidden="1" x14ac:dyDescent="0.35"/>
    <row r="43411" hidden="1" x14ac:dyDescent="0.35"/>
    <row r="43412" hidden="1" x14ac:dyDescent="0.35"/>
    <row r="43413" hidden="1" x14ac:dyDescent="0.35"/>
    <row r="43414" hidden="1" x14ac:dyDescent="0.35"/>
    <row r="43415" hidden="1" x14ac:dyDescent="0.35"/>
    <row r="43416" hidden="1" x14ac:dyDescent="0.35"/>
    <row r="43417" hidden="1" x14ac:dyDescent="0.35"/>
    <row r="43418" hidden="1" x14ac:dyDescent="0.35"/>
    <row r="43419" hidden="1" x14ac:dyDescent="0.35"/>
    <row r="43420" hidden="1" x14ac:dyDescent="0.35"/>
    <row r="43421" hidden="1" x14ac:dyDescent="0.35"/>
    <row r="43422" hidden="1" x14ac:dyDescent="0.35"/>
    <row r="43423" hidden="1" x14ac:dyDescent="0.35"/>
    <row r="43424" hidden="1" x14ac:dyDescent="0.35"/>
    <row r="43425" hidden="1" x14ac:dyDescent="0.35"/>
    <row r="43426" hidden="1" x14ac:dyDescent="0.35"/>
    <row r="43427" hidden="1" x14ac:dyDescent="0.35"/>
    <row r="43428" hidden="1" x14ac:dyDescent="0.35"/>
    <row r="43429" hidden="1" x14ac:dyDescent="0.35"/>
    <row r="43430" hidden="1" x14ac:dyDescent="0.35"/>
    <row r="43431" hidden="1" x14ac:dyDescent="0.35"/>
    <row r="43432" hidden="1" x14ac:dyDescent="0.35"/>
    <row r="43433" hidden="1" x14ac:dyDescent="0.35"/>
    <row r="43434" hidden="1" x14ac:dyDescent="0.35"/>
    <row r="43435" hidden="1" x14ac:dyDescent="0.35"/>
    <row r="43436" hidden="1" x14ac:dyDescent="0.35"/>
    <row r="43437" hidden="1" x14ac:dyDescent="0.35"/>
    <row r="43438" hidden="1" x14ac:dyDescent="0.35"/>
    <row r="43439" hidden="1" x14ac:dyDescent="0.35"/>
    <row r="43440" hidden="1" x14ac:dyDescent="0.35"/>
    <row r="43441" hidden="1" x14ac:dyDescent="0.35"/>
    <row r="43442" hidden="1" x14ac:dyDescent="0.35"/>
    <row r="43443" hidden="1" x14ac:dyDescent="0.35"/>
    <row r="43444" hidden="1" x14ac:dyDescent="0.35"/>
    <row r="43445" hidden="1" x14ac:dyDescent="0.35"/>
    <row r="43446" hidden="1" x14ac:dyDescent="0.35"/>
    <row r="43447" hidden="1" x14ac:dyDescent="0.35"/>
    <row r="43448" hidden="1" x14ac:dyDescent="0.35"/>
    <row r="43449" hidden="1" x14ac:dyDescent="0.35"/>
    <row r="43450" hidden="1" x14ac:dyDescent="0.35"/>
    <row r="43451" hidden="1" x14ac:dyDescent="0.35"/>
    <row r="43452" hidden="1" x14ac:dyDescent="0.35"/>
    <row r="43453" hidden="1" x14ac:dyDescent="0.35"/>
    <row r="43454" hidden="1" x14ac:dyDescent="0.35"/>
    <row r="43455" hidden="1" x14ac:dyDescent="0.35"/>
    <row r="43456" hidden="1" x14ac:dyDescent="0.35"/>
    <row r="43457" hidden="1" x14ac:dyDescent="0.35"/>
    <row r="43458" hidden="1" x14ac:dyDescent="0.35"/>
    <row r="43459" hidden="1" x14ac:dyDescent="0.35"/>
    <row r="43460" hidden="1" x14ac:dyDescent="0.35"/>
    <row r="43461" hidden="1" x14ac:dyDescent="0.35"/>
    <row r="43462" hidden="1" x14ac:dyDescent="0.35"/>
    <row r="43463" hidden="1" x14ac:dyDescent="0.35"/>
    <row r="43464" hidden="1" x14ac:dyDescent="0.35"/>
    <row r="43465" hidden="1" x14ac:dyDescent="0.35"/>
    <row r="43466" hidden="1" x14ac:dyDescent="0.35"/>
    <row r="43467" hidden="1" x14ac:dyDescent="0.35"/>
    <row r="43468" hidden="1" x14ac:dyDescent="0.35"/>
    <row r="43469" hidden="1" x14ac:dyDescent="0.35"/>
    <row r="43470" hidden="1" x14ac:dyDescent="0.35"/>
    <row r="43471" hidden="1" x14ac:dyDescent="0.35"/>
    <row r="43472" hidden="1" x14ac:dyDescent="0.35"/>
    <row r="43473" hidden="1" x14ac:dyDescent="0.35"/>
    <row r="43474" hidden="1" x14ac:dyDescent="0.35"/>
    <row r="43475" hidden="1" x14ac:dyDescent="0.35"/>
    <row r="43476" hidden="1" x14ac:dyDescent="0.35"/>
    <row r="43477" hidden="1" x14ac:dyDescent="0.35"/>
    <row r="43478" hidden="1" x14ac:dyDescent="0.35"/>
    <row r="43479" hidden="1" x14ac:dyDescent="0.35"/>
    <row r="43480" hidden="1" x14ac:dyDescent="0.35"/>
    <row r="43481" hidden="1" x14ac:dyDescent="0.35"/>
    <row r="43482" hidden="1" x14ac:dyDescent="0.35"/>
    <row r="43483" hidden="1" x14ac:dyDescent="0.35"/>
    <row r="43484" hidden="1" x14ac:dyDescent="0.35"/>
    <row r="43485" hidden="1" x14ac:dyDescent="0.35"/>
    <row r="43486" hidden="1" x14ac:dyDescent="0.35"/>
    <row r="43487" hidden="1" x14ac:dyDescent="0.35"/>
    <row r="43488" hidden="1" x14ac:dyDescent="0.35"/>
    <row r="43489" hidden="1" x14ac:dyDescent="0.35"/>
    <row r="43490" hidden="1" x14ac:dyDescent="0.35"/>
    <row r="43491" hidden="1" x14ac:dyDescent="0.35"/>
    <row r="43492" hidden="1" x14ac:dyDescent="0.35"/>
    <row r="43493" hidden="1" x14ac:dyDescent="0.35"/>
    <row r="43494" hidden="1" x14ac:dyDescent="0.35"/>
    <row r="43495" hidden="1" x14ac:dyDescent="0.35"/>
    <row r="43496" hidden="1" x14ac:dyDescent="0.35"/>
    <row r="43497" hidden="1" x14ac:dyDescent="0.35"/>
    <row r="43498" hidden="1" x14ac:dyDescent="0.35"/>
    <row r="43499" hidden="1" x14ac:dyDescent="0.35"/>
    <row r="43500" hidden="1" x14ac:dyDescent="0.35"/>
    <row r="43501" hidden="1" x14ac:dyDescent="0.35"/>
    <row r="43502" hidden="1" x14ac:dyDescent="0.35"/>
    <row r="43503" hidden="1" x14ac:dyDescent="0.35"/>
    <row r="43504" hidden="1" x14ac:dyDescent="0.35"/>
    <row r="43505" hidden="1" x14ac:dyDescent="0.35"/>
    <row r="43506" hidden="1" x14ac:dyDescent="0.35"/>
    <row r="43507" hidden="1" x14ac:dyDescent="0.35"/>
    <row r="43508" hidden="1" x14ac:dyDescent="0.35"/>
    <row r="43509" hidden="1" x14ac:dyDescent="0.35"/>
    <row r="43510" hidden="1" x14ac:dyDescent="0.35"/>
    <row r="43511" hidden="1" x14ac:dyDescent="0.35"/>
    <row r="43512" hidden="1" x14ac:dyDescent="0.35"/>
    <row r="43513" hidden="1" x14ac:dyDescent="0.35"/>
    <row r="43514" hidden="1" x14ac:dyDescent="0.35"/>
    <row r="43515" hidden="1" x14ac:dyDescent="0.35"/>
    <row r="43516" hidden="1" x14ac:dyDescent="0.35"/>
    <row r="43517" hidden="1" x14ac:dyDescent="0.35"/>
    <row r="43518" hidden="1" x14ac:dyDescent="0.35"/>
    <row r="43519" hidden="1" x14ac:dyDescent="0.35"/>
    <row r="43520" hidden="1" x14ac:dyDescent="0.35"/>
    <row r="43521" hidden="1" x14ac:dyDescent="0.35"/>
    <row r="43522" hidden="1" x14ac:dyDescent="0.35"/>
    <row r="43523" hidden="1" x14ac:dyDescent="0.35"/>
    <row r="43524" hidden="1" x14ac:dyDescent="0.35"/>
    <row r="43525" hidden="1" x14ac:dyDescent="0.35"/>
    <row r="43526" hidden="1" x14ac:dyDescent="0.35"/>
    <row r="43527" hidden="1" x14ac:dyDescent="0.35"/>
    <row r="43528" hidden="1" x14ac:dyDescent="0.35"/>
    <row r="43529" hidden="1" x14ac:dyDescent="0.35"/>
    <row r="43530" hidden="1" x14ac:dyDescent="0.35"/>
    <row r="43531" hidden="1" x14ac:dyDescent="0.35"/>
    <row r="43532" hidden="1" x14ac:dyDescent="0.35"/>
    <row r="43533" hidden="1" x14ac:dyDescent="0.35"/>
    <row r="43534" hidden="1" x14ac:dyDescent="0.35"/>
    <row r="43535" hidden="1" x14ac:dyDescent="0.35"/>
    <row r="43536" hidden="1" x14ac:dyDescent="0.35"/>
    <row r="43537" hidden="1" x14ac:dyDescent="0.35"/>
    <row r="43538" hidden="1" x14ac:dyDescent="0.35"/>
    <row r="43539" hidden="1" x14ac:dyDescent="0.35"/>
    <row r="43540" hidden="1" x14ac:dyDescent="0.35"/>
    <row r="43541" hidden="1" x14ac:dyDescent="0.35"/>
    <row r="43542" hidden="1" x14ac:dyDescent="0.35"/>
    <row r="43543" hidden="1" x14ac:dyDescent="0.35"/>
    <row r="43544" hidden="1" x14ac:dyDescent="0.35"/>
    <row r="43545" hidden="1" x14ac:dyDescent="0.35"/>
    <row r="43546" hidden="1" x14ac:dyDescent="0.35"/>
    <row r="43547" hidden="1" x14ac:dyDescent="0.35"/>
    <row r="43548" hidden="1" x14ac:dyDescent="0.35"/>
    <row r="43549" hidden="1" x14ac:dyDescent="0.35"/>
    <row r="43550" hidden="1" x14ac:dyDescent="0.35"/>
    <row r="43551" hidden="1" x14ac:dyDescent="0.35"/>
    <row r="43552" hidden="1" x14ac:dyDescent="0.35"/>
    <row r="43553" hidden="1" x14ac:dyDescent="0.35"/>
    <row r="43554" hidden="1" x14ac:dyDescent="0.35"/>
    <row r="43555" hidden="1" x14ac:dyDescent="0.35"/>
    <row r="43556" hidden="1" x14ac:dyDescent="0.35"/>
    <row r="43557" hidden="1" x14ac:dyDescent="0.35"/>
    <row r="43558" hidden="1" x14ac:dyDescent="0.35"/>
    <row r="43559" hidden="1" x14ac:dyDescent="0.35"/>
    <row r="43560" hidden="1" x14ac:dyDescent="0.35"/>
    <row r="43561" hidden="1" x14ac:dyDescent="0.35"/>
    <row r="43562" hidden="1" x14ac:dyDescent="0.35"/>
    <row r="43563" hidden="1" x14ac:dyDescent="0.35"/>
    <row r="43564" hidden="1" x14ac:dyDescent="0.35"/>
    <row r="43565" hidden="1" x14ac:dyDescent="0.35"/>
    <row r="43566" hidden="1" x14ac:dyDescent="0.35"/>
    <row r="43567" hidden="1" x14ac:dyDescent="0.35"/>
    <row r="43568" hidden="1" x14ac:dyDescent="0.35"/>
    <row r="43569" hidden="1" x14ac:dyDescent="0.35"/>
    <row r="43570" hidden="1" x14ac:dyDescent="0.35"/>
    <row r="43571" hidden="1" x14ac:dyDescent="0.35"/>
    <row r="43572" hidden="1" x14ac:dyDescent="0.35"/>
    <row r="43573" hidden="1" x14ac:dyDescent="0.35"/>
    <row r="43574" hidden="1" x14ac:dyDescent="0.35"/>
    <row r="43575" hidden="1" x14ac:dyDescent="0.35"/>
    <row r="43576" hidden="1" x14ac:dyDescent="0.35"/>
    <row r="43577" hidden="1" x14ac:dyDescent="0.35"/>
    <row r="43578" hidden="1" x14ac:dyDescent="0.35"/>
    <row r="43579" hidden="1" x14ac:dyDescent="0.35"/>
    <row r="43580" hidden="1" x14ac:dyDescent="0.35"/>
    <row r="43581" hidden="1" x14ac:dyDescent="0.35"/>
    <row r="43582" hidden="1" x14ac:dyDescent="0.35"/>
    <row r="43583" hidden="1" x14ac:dyDescent="0.35"/>
    <row r="43584" hidden="1" x14ac:dyDescent="0.35"/>
    <row r="43585" hidden="1" x14ac:dyDescent="0.35"/>
    <row r="43586" hidden="1" x14ac:dyDescent="0.35"/>
    <row r="43587" hidden="1" x14ac:dyDescent="0.35"/>
    <row r="43588" hidden="1" x14ac:dyDescent="0.35"/>
    <row r="43589" hidden="1" x14ac:dyDescent="0.35"/>
    <row r="43590" hidden="1" x14ac:dyDescent="0.35"/>
    <row r="43591" hidden="1" x14ac:dyDescent="0.35"/>
    <row r="43592" hidden="1" x14ac:dyDescent="0.35"/>
    <row r="43593" hidden="1" x14ac:dyDescent="0.35"/>
    <row r="43594" hidden="1" x14ac:dyDescent="0.35"/>
    <row r="43595" hidden="1" x14ac:dyDescent="0.35"/>
    <row r="43596" hidden="1" x14ac:dyDescent="0.35"/>
    <row r="43597" hidden="1" x14ac:dyDescent="0.35"/>
    <row r="43598" hidden="1" x14ac:dyDescent="0.35"/>
    <row r="43599" hidden="1" x14ac:dyDescent="0.35"/>
    <row r="43600" hidden="1" x14ac:dyDescent="0.35"/>
    <row r="43601" hidden="1" x14ac:dyDescent="0.35"/>
    <row r="43602" hidden="1" x14ac:dyDescent="0.35"/>
    <row r="43603" hidden="1" x14ac:dyDescent="0.35"/>
    <row r="43604" hidden="1" x14ac:dyDescent="0.35"/>
    <row r="43605" hidden="1" x14ac:dyDescent="0.35"/>
    <row r="43606" hidden="1" x14ac:dyDescent="0.35"/>
    <row r="43607" hidden="1" x14ac:dyDescent="0.35"/>
    <row r="43608" hidden="1" x14ac:dyDescent="0.35"/>
    <row r="43609" hidden="1" x14ac:dyDescent="0.35"/>
    <row r="43610" hidden="1" x14ac:dyDescent="0.35"/>
    <row r="43611" hidden="1" x14ac:dyDescent="0.35"/>
    <row r="43612" hidden="1" x14ac:dyDescent="0.35"/>
    <row r="43613" hidden="1" x14ac:dyDescent="0.35"/>
    <row r="43614" hidden="1" x14ac:dyDescent="0.35"/>
    <row r="43615" hidden="1" x14ac:dyDescent="0.35"/>
    <row r="43616" hidden="1" x14ac:dyDescent="0.35"/>
    <row r="43617" hidden="1" x14ac:dyDescent="0.35"/>
    <row r="43618" hidden="1" x14ac:dyDescent="0.35"/>
    <row r="43619" hidden="1" x14ac:dyDescent="0.35"/>
    <row r="43620" hidden="1" x14ac:dyDescent="0.35"/>
    <row r="43621" hidden="1" x14ac:dyDescent="0.35"/>
    <row r="43622" hidden="1" x14ac:dyDescent="0.35"/>
    <row r="43623" hidden="1" x14ac:dyDescent="0.35"/>
    <row r="43624" hidden="1" x14ac:dyDescent="0.35"/>
    <row r="43625" hidden="1" x14ac:dyDescent="0.35"/>
    <row r="43626" hidden="1" x14ac:dyDescent="0.35"/>
    <row r="43627" hidden="1" x14ac:dyDescent="0.35"/>
    <row r="43628" hidden="1" x14ac:dyDescent="0.35"/>
    <row r="43629" hidden="1" x14ac:dyDescent="0.35"/>
    <row r="43630" hidden="1" x14ac:dyDescent="0.35"/>
    <row r="43631" hidden="1" x14ac:dyDescent="0.35"/>
    <row r="43632" hidden="1" x14ac:dyDescent="0.35"/>
    <row r="43633" hidden="1" x14ac:dyDescent="0.35"/>
    <row r="43634" hidden="1" x14ac:dyDescent="0.35"/>
    <row r="43635" hidden="1" x14ac:dyDescent="0.35"/>
    <row r="43636" hidden="1" x14ac:dyDescent="0.35"/>
    <row r="43637" hidden="1" x14ac:dyDescent="0.35"/>
    <row r="43638" hidden="1" x14ac:dyDescent="0.35"/>
    <row r="43639" hidden="1" x14ac:dyDescent="0.35"/>
    <row r="43640" hidden="1" x14ac:dyDescent="0.35"/>
    <row r="43641" hidden="1" x14ac:dyDescent="0.35"/>
    <row r="43642" hidden="1" x14ac:dyDescent="0.35"/>
    <row r="43643" hidden="1" x14ac:dyDescent="0.35"/>
    <row r="43644" hidden="1" x14ac:dyDescent="0.35"/>
    <row r="43645" hidden="1" x14ac:dyDescent="0.35"/>
    <row r="43646" hidden="1" x14ac:dyDescent="0.35"/>
    <row r="43647" hidden="1" x14ac:dyDescent="0.35"/>
    <row r="43648" hidden="1" x14ac:dyDescent="0.35"/>
    <row r="43649" hidden="1" x14ac:dyDescent="0.35"/>
    <row r="43650" hidden="1" x14ac:dyDescent="0.35"/>
    <row r="43651" hidden="1" x14ac:dyDescent="0.35"/>
    <row r="43652" hidden="1" x14ac:dyDescent="0.35"/>
    <row r="43653" hidden="1" x14ac:dyDescent="0.35"/>
    <row r="43654" hidden="1" x14ac:dyDescent="0.35"/>
    <row r="43655" hidden="1" x14ac:dyDescent="0.35"/>
    <row r="43656" hidden="1" x14ac:dyDescent="0.35"/>
    <row r="43657" hidden="1" x14ac:dyDescent="0.35"/>
    <row r="43658" hidden="1" x14ac:dyDescent="0.35"/>
    <row r="43659" hidden="1" x14ac:dyDescent="0.35"/>
    <row r="43660" hidden="1" x14ac:dyDescent="0.35"/>
    <row r="43661" hidden="1" x14ac:dyDescent="0.35"/>
    <row r="43662" hidden="1" x14ac:dyDescent="0.35"/>
    <row r="43663" hidden="1" x14ac:dyDescent="0.35"/>
    <row r="43664" hidden="1" x14ac:dyDescent="0.35"/>
    <row r="43665" hidden="1" x14ac:dyDescent="0.35"/>
    <row r="43666" hidden="1" x14ac:dyDescent="0.35"/>
    <row r="43667" hidden="1" x14ac:dyDescent="0.35"/>
    <row r="43668" hidden="1" x14ac:dyDescent="0.35"/>
    <row r="43669" hidden="1" x14ac:dyDescent="0.35"/>
    <row r="43670" hidden="1" x14ac:dyDescent="0.35"/>
    <row r="43671" hidden="1" x14ac:dyDescent="0.35"/>
    <row r="43672" hidden="1" x14ac:dyDescent="0.35"/>
    <row r="43673" hidden="1" x14ac:dyDescent="0.35"/>
    <row r="43674" hidden="1" x14ac:dyDescent="0.35"/>
    <row r="43675" hidden="1" x14ac:dyDescent="0.35"/>
    <row r="43676" hidden="1" x14ac:dyDescent="0.35"/>
    <row r="43677" hidden="1" x14ac:dyDescent="0.35"/>
    <row r="43678" hidden="1" x14ac:dyDescent="0.35"/>
    <row r="43679" hidden="1" x14ac:dyDescent="0.35"/>
    <row r="43680" hidden="1" x14ac:dyDescent="0.35"/>
    <row r="43681" hidden="1" x14ac:dyDescent="0.35"/>
    <row r="43682" hidden="1" x14ac:dyDescent="0.35"/>
    <row r="43683" hidden="1" x14ac:dyDescent="0.35"/>
    <row r="43684" hidden="1" x14ac:dyDescent="0.35"/>
    <row r="43685" hidden="1" x14ac:dyDescent="0.35"/>
    <row r="43686" hidden="1" x14ac:dyDescent="0.35"/>
    <row r="43687" hidden="1" x14ac:dyDescent="0.35"/>
    <row r="43688" hidden="1" x14ac:dyDescent="0.35"/>
    <row r="43689" hidden="1" x14ac:dyDescent="0.35"/>
    <row r="43690" hidden="1" x14ac:dyDescent="0.35"/>
    <row r="43691" hidden="1" x14ac:dyDescent="0.35"/>
    <row r="43692" hidden="1" x14ac:dyDescent="0.35"/>
    <row r="43693" hidden="1" x14ac:dyDescent="0.35"/>
    <row r="43694" hidden="1" x14ac:dyDescent="0.35"/>
    <row r="43695" hidden="1" x14ac:dyDescent="0.35"/>
    <row r="43696" hidden="1" x14ac:dyDescent="0.35"/>
    <row r="43697" hidden="1" x14ac:dyDescent="0.35"/>
    <row r="43698" hidden="1" x14ac:dyDescent="0.35"/>
    <row r="43699" hidden="1" x14ac:dyDescent="0.35"/>
    <row r="43700" hidden="1" x14ac:dyDescent="0.35"/>
    <row r="43701" hidden="1" x14ac:dyDescent="0.35"/>
    <row r="43702" hidden="1" x14ac:dyDescent="0.35"/>
    <row r="43703" hidden="1" x14ac:dyDescent="0.35"/>
    <row r="43704" hidden="1" x14ac:dyDescent="0.35"/>
    <row r="43705" hidden="1" x14ac:dyDescent="0.35"/>
    <row r="43706" hidden="1" x14ac:dyDescent="0.35"/>
    <row r="43707" hidden="1" x14ac:dyDescent="0.35"/>
    <row r="43708" hidden="1" x14ac:dyDescent="0.35"/>
    <row r="43709" hidden="1" x14ac:dyDescent="0.35"/>
    <row r="43710" hidden="1" x14ac:dyDescent="0.35"/>
    <row r="43711" hidden="1" x14ac:dyDescent="0.35"/>
    <row r="43712" hidden="1" x14ac:dyDescent="0.35"/>
    <row r="43713" hidden="1" x14ac:dyDescent="0.35"/>
    <row r="43714" hidden="1" x14ac:dyDescent="0.35"/>
    <row r="43715" hidden="1" x14ac:dyDescent="0.35"/>
    <row r="43716" hidden="1" x14ac:dyDescent="0.35"/>
    <row r="43717" hidden="1" x14ac:dyDescent="0.35"/>
    <row r="43718" hidden="1" x14ac:dyDescent="0.35"/>
    <row r="43719" hidden="1" x14ac:dyDescent="0.35"/>
    <row r="43720" hidden="1" x14ac:dyDescent="0.35"/>
    <row r="43721" hidden="1" x14ac:dyDescent="0.35"/>
    <row r="43722" hidden="1" x14ac:dyDescent="0.35"/>
    <row r="43723" hidden="1" x14ac:dyDescent="0.35"/>
    <row r="43724" hidden="1" x14ac:dyDescent="0.35"/>
    <row r="43725" hidden="1" x14ac:dyDescent="0.35"/>
    <row r="43726" hidden="1" x14ac:dyDescent="0.35"/>
    <row r="43727" hidden="1" x14ac:dyDescent="0.35"/>
    <row r="43728" hidden="1" x14ac:dyDescent="0.35"/>
    <row r="43729" hidden="1" x14ac:dyDescent="0.35"/>
    <row r="43730" hidden="1" x14ac:dyDescent="0.35"/>
    <row r="43731" hidden="1" x14ac:dyDescent="0.35"/>
    <row r="43732" hidden="1" x14ac:dyDescent="0.35"/>
    <row r="43733" hidden="1" x14ac:dyDescent="0.35"/>
    <row r="43734" hidden="1" x14ac:dyDescent="0.35"/>
    <row r="43735" hidden="1" x14ac:dyDescent="0.35"/>
    <row r="43736" hidden="1" x14ac:dyDescent="0.35"/>
    <row r="43737" hidden="1" x14ac:dyDescent="0.35"/>
    <row r="43738" hidden="1" x14ac:dyDescent="0.35"/>
    <row r="43739" hidden="1" x14ac:dyDescent="0.35"/>
    <row r="43740" hidden="1" x14ac:dyDescent="0.35"/>
    <row r="43741" hidden="1" x14ac:dyDescent="0.35"/>
    <row r="43742" hidden="1" x14ac:dyDescent="0.35"/>
    <row r="43743" hidden="1" x14ac:dyDescent="0.35"/>
    <row r="43744" hidden="1" x14ac:dyDescent="0.35"/>
    <row r="43745" hidden="1" x14ac:dyDescent="0.35"/>
    <row r="43746" hidden="1" x14ac:dyDescent="0.35"/>
    <row r="43747" hidden="1" x14ac:dyDescent="0.35"/>
    <row r="43748" hidden="1" x14ac:dyDescent="0.35"/>
    <row r="43749" hidden="1" x14ac:dyDescent="0.35"/>
    <row r="43750" hidden="1" x14ac:dyDescent="0.35"/>
    <row r="43751" hidden="1" x14ac:dyDescent="0.35"/>
    <row r="43752" hidden="1" x14ac:dyDescent="0.35"/>
    <row r="43753" hidden="1" x14ac:dyDescent="0.35"/>
    <row r="43754" hidden="1" x14ac:dyDescent="0.35"/>
    <row r="43755" hidden="1" x14ac:dyDescent="0.35"/>
    <row r="43756" hidden="1" x14ac:dyDescent="0.35"/>
    <row r="43757" hidden="1" x14ac:dyDescent="0.35"/>
    <row r="43758" hidden="1" x14ac:dyDescent="0.35"/>
    <row r="43759" hidden="1" x14ac:dyDescent="0.35"/>
    <row r="43760" hidden="1" x14ac:dyDescent="0.35"/>
    <row r="43761" hidden="1" x14ac:dyDescent="0.35"/>
    <row r="43762" hidden="1" x14ac:dyDescent="0.35"/>
    <row r="43763" hidden="1" x14ac:dyDescent="0.35"/>
    <row r="43764" hidden="1" x14ac:dyDescent="0.35"/>
    <row r="43765" hidden="1" x14ac:dyDescent="0.35"/>
    <row r="43766" hidden="1" x14ac:dyDescent="0.35"/>
    <row r="43767" hidden="1" x14ac:dyDescent="0.35"/>
    <row r="43768" hidden="1" x14ac:dyDescent="0.35"/>
    <row r="43769" hidden="1" x14ac:dyDescent="0.35"/>
    <row r="43770" hidden="1" x14ac:dyDescent="0.35"/>
    <row r="43771" hidden="1" x14ac:dyDescent="0.35"/>
    <row r="43772" hidden="1" x14ac:dyDescent="0.35"/>
    <row r="43773" hidden="1" x14ac:dyDescent="0.35"/>
    <row r="43774" hidden="1" x14ac:dyDescent="0.35"/>
    <row r="43775" hidden="1" x14ac:dyDescent="0.35"/>
    <row r="43776" hidden="1" x14ac:dyDescent="0.35"/>
    <row r="43777" hidden="1" x14ac:dyDescent="0.35"/>
    <row r="43778" hidden="1" x14ac:dyDescent="0.35"/>
    <row r="43779" hidden="1" x14ac:dyDescent="0.35"/>
    <row r="43780" hidden="1" x14ac:dyDescent="0.35"/>
    <row r="43781" hidden="1" x14ac:dyDescent="0.35"/>
    <row r="43782" hidden="1" x14ac:dyDescent="0.35"/>
    <row r="43783" hidden="1" x14ac:dyDescent="0.35"/>
    <row r="43784" hidden="1" x14ac:dyDescent="0.35"/>
    <row r="43785" hidden="1" x14ac:dyDescent="0.35"/>
    <row r="43786" hidden="1" x14ac:dyDescent="0.35"/>
    <row r="43787" hidden="1" x14ac:dyDescent="0.35"/>
    <row r="43788" hidden="1" x14ac:dyDescent="0.35"/>
    <row r="43789" hidden="1" x14ac:dyDescent="0.35"/>
    <row r="43790" hidden="1" x14ac:dyDescent="0.35"/>
    <row r="43791" hidden="1" x14ac:dyDescent="0.35"/>
    <row r="43792" hidden="1" x14ac:dyDescent="0.35"/>
    <row r="43793" hidden="1" x14ac:dyDescent="0.35"/>
    <row r="43794" hidden="1" x14ac:dyDescent="0.35"/>
    <row r="43795" hidden="1" x14ac:dyDescent="0.35"/>
    <row r="43796" hidden="1" x14ac:dyDescent="0.35"/>
    <row r="43797" hidden="1" x14ac:dyDescent="0.35"/>
    <row r="43798" hidden="1" x14ac:dyDescent="0.35"/>
    <row r="43799" hidden="1" x14ac:dyDescent="0.35"/>
    <row r="43800" hidden="1" x14ac:dyDescent="0.35"/>
    <row r="43801" hidden="1" x14ac:dyDescent="0.35"/>
    <row r="43802" hidden="1" x14ac:dyDescent="0.35"/>
    <row r="43803" hidden="1" x14ac:dyDescent="0.35"/>
    <row r="43804" hidden="1" x14ac:dyDescent="0.35"/>
    <row r="43805" hidden="1" x14ac:dyDescent="0.35"/>
    <row r="43806" hidden="1" x14ac:dyDescent="0.35"/>
    <row r="43807" hidden="1" x14ac:dyDescent="0.35"/>
    <row r="43808" hidden="1" x14ac:dyDescent="0.35"/>
    <row r="43809" hidden="1" x14ac:dyDescent="0.35"/>
    <row r="43810" hidden="1" x14ac:dyDescent="0.35"/>
    <row r="43811" hidden="1" x14ac:dyDescent="0.35"/>
    <row r="43812" hidden="1" x14ac:dyDescent="0.35"/>
    <row r="43813" hidden="1" x14ac:dyDescent="0.35"/>
    <row r="43814" hidden="1" x14ac:dyDescent="0.35"/>
    <row r="43815" hidden="1" x14ac:dyDescent="0.35"/>
    <row r="43816" hidden="1" x14ac:dyDescent="0.35"/>
    <row r="43817" hidden="1" x14ac:dyDescent="0.35"/>
    <row r="43818" hidden="1" x14ac:dyDescent="0.35"/>
    <row r="43819" hidden="1" x14ac:dyDescent="0.35"/>
    <row r="43820" hidden="1" x14ac:dyDescent="0.35"/>
    <row r="43821" hidden="1" x14ac:dyDescent="0.35"/>
    <row r="43822" hidden="1" x14ac:dyDescent="0.35"/>
    <row r="43823" hidden="1" x14ac:dyDescent="0.35"/>
    <row r="43824" hidden="1" x14ac:dyDescent="0.35"/>
    <row r="43825" hidden="1" x14ac:dyDescent="0.35"/>
    <row r="43826" hidden="1" x14ac:dyDescent="0.35"/>
    <row r="43827" hidden="1" x14ac:dyDescent="0.35"/>
    <row r="43828" hidden="1" x14ac:dyDescent="0.35"/>
    <row r="43829" hidden="1" x14ac:dyDescent="0.35"/>
    <row r="43830" hidden="1" x14ac:dyDescent="0.35"/>
    <row r="43831" hidden="1" x14ac:dyDescent="0.35"/>
    <row r="43832" hidden="1" x14ac:dyDescent="0.35"/>
    <row r="43833" hidden="1" x14ac:dyDescent="0.35"/>
    <row r="43834" hidden="1" x14ac:dyDescent="0.35"/>
    <row r="43835" hidden="1" x14ac:dyDescent="0.35"/>
    <row r="43836" hidden="1" x14ac:dyDescent="0.35"/>
    <row r="43837" hidden="1" x14ac:dyDescent="0.35"/>
    <row r="43838" hidden="1" x14ac:dyDescent="0.35"/>
    <row r="43839" hidden="1" x14ac:dyDescent="0.35"/>
    <row r="43840" hidden="1" x14ac:dyDescent="0.35"/>
    <row r="43841" hidden="1" x14ac:dyDescent="0.35"/>
    <row r="43842" hidden="1" x14ac:dyDescent="0.35"/>
    <row r="43843" hidden="1" x14ac:dyDescent="0.35"/>
    <row r="43844" hidden="1" x14ac:dyDescent="0.35"/>
    <row r="43845" hidden="1" x14ac:dyDescent="0.35"/>
    <row r="43846" hidden="1" x14ac:dyDescent="0.35"/>
    <row r="43847" hidden="1" x14ac:dyDescent="0.35"/>
    <row r="43848" hidden="1" x14ac:dyDescent="0.35"/>
    <row r="43849" hidden="1" x14ac:dyDescent="0.35"/>
    <row r="43850" hidden="1" x14ac:dyDescent="0.35"/>
    <row r="43851" hidden="1" x14ac:dyDescent="0.35"/>
    <row r="43852" hidden="1" x14ac:dyDescent="0.35"/>
    <row r="43853" hidden="1" x14ac:dyDescent="0.35"/>
    <row r="43854" hidden="1" x14ac:dyDescent="0.35"/>
    <row r="43855" hidden="1" x14ac:dyDescent="0.35"/>
    <row r="43856" hidden="1" x14ac:dyDescent="0.35"/>
    <row r="43857" hidden="1" x14ac:dyDescent="0.35"/>
    <row r="43858" hidden="1" x14ac:dyDescent="0.35"/>
    <row r="43859" hidden="1" x14ac:dyDescent="0.35"/>
    <row r="43860" hidden="1" x14ac:dyDescent="0.35"/>
    <row r="43861" hidden="1" x14ac:dyDescent="0.35"/>
    <row r="43862" hidden="1" x14ac:dyDescent="0.35"/>
    <row r="43863" hidden="1" x14ac:dyDescent="0.35"/>
    <row r="43864" hidden="1" x14ac:dyDescent="0.35"/>
    <row r="43865" hidden="1" x14ac:dyDescent="0.35"/>
    <row r="43866" hidden="1" x14ac:dyDescent="0.35"/>
    <row r="43867" hidden="1" x14ac:dyDescent="0.35"/>
    <row r="43868" hidden="1" x14ac:dyDescent="0.35"/>
    <row r="43869" hidden="1" x14ac:dyDescent="0.35"/>
    <row r="43870" hidden="1" x14ac:dyDescent="0.35"/>
    <row r="43871" hidden="1" x14ac:dyDescent="0.35"/>
    <row r="43872" hidden="1" x14ac:dyDescent="0.35"/>
    <row r="43873" hidden="1" x14ac:dyDescent="0.35"/>
    <row r="43874" hidden="1" x14ac:dyDescent="0.35"/>
    <row r="43875" hidden="1" x14ac:dyDescent="0.35"/>
    <row r="43876" hidden="1" x14ac:dyDescent="0.35"/>
    <row r="43877" hidden="1" x14ac:dyDescent="0.35"/>
    <row r="43878" hidden="1" x14ac:dyDescent="0.35"/>
    <row r="43879" hidden="1" x14ac:dyDescent="0.35"/>
    <row r="43880" hidden="1" x14ac:dyDescent="0.35"/>
    <row r="43881" hidden="1" x14ac:dyDescent="0.35"/>
    <row r="43882" hidden="1" x14ac:dyDescent="0.35"/>
    <row r="43883" hidden="1" x14ac:dyDescent="0.35"/>
    <row r="43884" hidden="1" x14ac:dyDescent="0.35"/>
    <row r="43885" hidden="1" x14ac:dyDescent="0.35"/>
    <row r="43886" hidden="1" x14ac:dyDescent="0.35"/>
    <row r="43887" hidden="1" x14ac:dyDescent="0.35"/>
    <row r="43888" hidden="1" x14ac:dyDescent="0.35"/>
    <row r="43889" hidden="1" x14ac:dyDescent="0.35"/>
    <row r="43890" hidden="1" x14ac:dyDescent="0.35"/>
    <row r="43891" hidden="1" x14ac:dyDescent="0.35"/>
    <row r="43892" hidden="1" x14ac:dyDescent="0.35"/>
    <row r="43893" hidden="1" x14ac:dyDescent="0.35"/>
    <row r="43894" hidden="1" x14ac:dyDescent="0.35"/>
    <row r="43895" hidden="1" x14ac:dyDescent="0.35"/>
    <row r="43896" hidden="1" x14ac:dyDescent="0.35"/>
    <row r="43897" hidden="1" x14ac:dyDescent="0.35"/>
    <row r="43898" hidden="1" x14ac:dyDescent="0.35"/>
    <row r="43899" hidden="1" x14ac:dyDescent="0.35"/>
    <row r="43900" hidden="1" x14ac:dyDescent="0.35"/>
    <row r="43901" hidden="1" x14ac:dyDescent="0.35"/>
    <row r="43902" hidden="1" x14ac:dyDescent="0.35"/>
    <row r="43903" hidden="1" x14ac:dyDescent="0.35"/>
    <row r="43904" hidden="1" x14ac:dyDescent="0.35"/>
    <row r="43905" hidden="1" x14ac:dyDescent="0.35"/>
    <row r="43906" hidden="1" x14ac:dyDescent="0.35"/>
    <row r="43907" hidden="1" x14ac:dyDescent="0.35"/>
    <row r="43908" hidden="1" x14ac:dyDescent="0.35"/>
    <row r="43909" hidden="1" x14ac:dyDescent="0.35"/>
    <row r="43910" hidden="1" x14ac:dyDescent="0.35"/>
    <row r="43911" hidden="1" x14ac:dyDescent="0.35"/>
    <row r="43912" hidden="1" x14ac:dyDescent="0.35"/>
    <row r="43913" hidden="1" x14ac:dyDescent="0.35"/>
    <row r="43914" hidden="1" x14ac:dyDescent="0.35"/>
    <row r="43915" hidden="1" x14ac:dyDescent="0.35"/>
    <row r="43916" hidden="1" x14ac:dyDescent="0.35"/>
    <row r="43917" hidden="1" x14ac:dyDescent="0.35"/>
    <row r="43918" hidden="1" x14ac:dyDescent="0.35"/>
    <row r="43919" hidden="1" x14ac:dyDescent="0.35"/>
    <row r="43920" hidden="1" x14ac:dyDescent="0.35"/>
    <row r="43921" hidden="1" x14ac:dyDescent="0.35"/>
    <row r="43922" hidden="1" x14ac:dyDescent="0.35"/>
    <row r="43923" hidden="1" x14ac:dyDescent="0.35"/>
    <row r="43924" hidden="1" x14ac:dyDescent="0.35"/>
    <row r="43925" hidden="1" x14ac:dyDescent="0.35"/>
    <row r="43926" hidden="1" x14ac:dyDescent="0.35"/>
    <row r="43927" hidden="1" x14ac:dyDescent="0.35"/>
    <row r="43928" hidden="1" x14ac:dyDescent="0.35"/>
    <row r="43929" hidden="1" x14ac:dyDescent="0.35"/>
    <row r="43930" hidden="1" x14ac:dyDescent="0.35"/>
    <row r="43931" hidden="1" x14ac:dyDescent="0.35"/>
    <row r="43932" hidden="1" x14ac:dyDescent="0.35"/>
    <row r="43933" hidden="1" x14ac:dyDescent="0.35"/>
    <row r="43934" hidden="1" x14ac:dyDescent="0.35"/>
    <row r="43935" hidden="1" x14ac:dyDescent="0.35"/>
    <row r="43936" hidden="1" x14ac:dyDescent="0.35"/>
    <row r="43937" hidden="1" x14ac:dyDescent="0.35"/>
    <row r="43938" hidden="1" x14ac:dyDescent="0.35"/>
    <row r="43939" hidden="1" x14ac:dyDescent="0.35"/>
    <row r="43940" hidden="1" x14ac:dyDescent="0.35"/>
    <row r="43941" hidden="1" x14ac:dyDescent="0.35"/>
    <row r="43942" hidden="1" x14ac:dyDescent="0.35"/>
    <row r="43943" hidden="1" x14ac:dyDescent="0.35"/>
    <row r="43944" hidden="1" x14ac:dyDescent="0.35"/>
    <row r="43945" hidden="1" x14ac:dyDescent="0.35"/>
    <row r="43946" hidden="1" x14ac:dyDescent="0.35"/>
    <row r="43947" hidden="1" x14ac:dyDescent="0.35"/>
    <row r="43948" hidden="1" x14ac:dyDescent="0.35"/>
    <row r="43949" hidden="1" x14ac:dyDescent="0.35"/>
    <row r="43950" hidden="1" x14ac:dyDescent="0.35"/>
    <row r="43951" hidden="1" x14ac:dyDescent="0.35"/>
    <row r="43952" hidden="1" x14ac:dyDescent="0.35"/>
    <row r="43953" hidden="1" x14ac:dyDescent="0.35"/>
    <row r="43954" hidden="1" x14ac:dyDescent="0.35"/>
    <row r="43955" hidden="1" x14ac:dyDescent="0.35"/>
    <row r="43956" hidden="1" x14ac:dyDescent="0.35"/>
    <row r="43957" hidden="1" x14ac:dyDescent="0.35"/>
    <row r="43958" hidden="1" x14ac:dyDescent="0.35"/>
    <row r="43959" hidden="1" x14ac:dyDescent="0.35"/>
    <row r="43960" hidden="1" x14ac:dyDescent="0.35"/>
    <row r="43961" hidden="1" x14ac:dyDescent="0.35"/>
    <row r="43962" hidden="1" x14ac:dyDescent="0.35"/>
    <row r="43963" hidden="1" x14ac:dyDescent="0.35"/>
    <row r="43964" hidden="1" x14ac:dyDescent="0.35"/>
    <row r="43965" hidden="1" x14ac:dyDescent="0.35"/>
    <row r="43966" hidden="1" x14ac:dyDescent="0.35"/>
    <row r="43967" hidden="1" x14ac:dyDescent="0.35"/>
    <row r="43968" hidden="1" x14ac:dyDescent="0.35"/>
    <row r="43969" hidden="1" x14ac:dyDescent="0.35"/>
    <row r="43970" hidden="1" x14ac:dyDescent="0.35"/>
    <row r="43971" hidden="1" x14ac:dyDescent="0.35"/>
    <row r="43972" hidden="1" x14ac:dyDescent="0.35"/>
    <row r="43973" hidden="1" x14ac:dyDescent="0.35"/>
    <row r="43974" hidden="1" x14ac:dyDescent="0.35"/>
    <row r="43975" hidden="1" x14ac:dyDescent="0.35"/>
    <row r="43976" hidden="1" x14ac:dyDescent="0.35"/>
    <row r="43977" hidden="1" x14ac:dyDescent="0.35"/>
    <row r="43978" hidden="1" x14ac:dyDescent="0.35"/>
    <row r="43979" hidden="1" x14ac:dyDescent="0.35"/>
    <row r="43980" hidden="1" x14ac:dyDescent="0.35"/>
    <row r="43981" hidden="1" x14ac:dyDescent="0.35"/>
    <row r="43982" hidden="1" x14ac:dyDescent="0.35"/>
    <row r="43983" hidden="1" x14ac:dyDescent="0.35"/>
    <row r="43984" hidden="1" x14ac:dyDescent="0.35"/>
    <row r="43985" hidden="1" x14ac:dyDescent="0.35"/>
    <row r="43986" hidden="1" x14ac:dyDescent="0.35"/>
    <row r="43987" hidden="1" x14ac:dyDescent="0.35"/>
    <row r="43988" hidden="1" x14ac:dyDescent="0.35"/>
    <row r="43989" hidden="1" x14ac:dyDescent="0.35"/>
    <row r="43990" hidden="1" x14ac:dyDescent="0.35"/>
    <row r="43991" hidden="1" x14ac:dyDescent="0.35"/>
    <row r="43992" hidden="1" x14ac:dyDescent="0.35"/>
    <row r="43993" hidden="1" x14ac:dyDescent="0.35"/>
    <row r="43994" hidden="1" x14ac:dyDescent="0.35"/>
    <row r="43995" hidden="1" x14ac:dyDescent="0.35"/>
    <row r="43996" hidden="1" x14ac:dyDescent="0.35"/>
    <row r="43997" hidden="1" x14ac:dyDescent="0.35"/>
    <row r="43998" hidden="1" x14ac:dyDescent="0.35"/>
    <row r="43999" hidden="1" x14ac:dyDescent="0.35"/>
    <row r="44000" hidden="1" x14ac:dyDescent="0.35"/>
    <row r="44001" hidden="1" x14ac:dyDescent="0.35"/>
    <row r="44002" hidden="1" x14ac:dyDescent="0.35"/>
    <row r="44003" hidden="1" x14ac:dyDescent="0.35"/>
    <row r="44004" hidden="1" x14ac:dyDescent="0.35"/>
    <row r="44005" hidden="1" x14ac:dyDescent="0.35"/>
    <row r="44006" hidden="1" x14ac:dyDescent="0.35"/>
    <row r="44007" hidden="1" x14ac:dyDescent="0.35"/>
    <row r="44008" hidden="1" x14ac:dyDescent="0.35"/>
    <row r="44009" hidden="1" x14ac:dyDescent="0.35"/>
    <row r="44010" hidden="1" x14ac:dyDescent="0.35"/>
    <row r="44011" hidden="1" x14ac:dyDescent="0.35"/>
    <row r="44012" hidden="1" x14ac:dyDescent="0.35"/>
    <row r="44013" hidden="1" x14ac:dyDescent="0.35"/>
    <row r="44014" hidden="1" x14ac:dyDescent="0.35"/>
    <row r="44015" hidden="1" x14ac:dyDescent="0.35"/>
    <row r="44016" hidden="1" x14ac:dyDescent="0.35"/>
    <row r="44017" hidden="1" x14ac:dyDescent="0.35"/>
    <row r="44018" hidden="1" x14ac:dyDescent="0.35"/>
    <row r="44019" hidden="1" x14ac:dyDescent="0.35"/>
    <row r="44020" hidden="1" x14ac:dyDescent="0.35"/>
    <row r="44021" hidden="1" x14ac:dyDescent="0.35"/>
    <row r="44022" hidden="1" x14ac:dyDescent="0.35"/>
    <row r="44023" hidden="1" x14ac:dyDescent="0.35"/>
    <row r="44024" hidden="1" x14ac:dyDescent="0.35"/>
    <row r="44025" hidden="1" x14ac:dyDescent="0.35"/>
    <row r="44026" hidden="1" x14ac:dyDescent="0.35"/>
    <row r="44027" hidden="1" x14ac:dyDescent="0.35"/>
    <row r="44028" hidden="1" x14ac:dyDescent="0.35"/>
    <row r="44029" hidden="1" x14ac:dyDescent="0.35"/>
    <row r="44030" hidden="1" x14ac:dyDescent="0.35"/>
    <row r="44031" hidden="1" x14ac:dyDescent="0.35"/>
    <row r="44032" hidden="1" x14ac:dyDescent="0.35"/>
    <row r="44033" hidden="1" x14ac:dyDescent="0.35"/>
    <row r="44034" hidden="1" x14ac:dyDescent="0.35"/>
    <row r="44035" hidden="1" x14ac:dyDescent="0.35"/>
    <row r="44036" hidden="1" x14ac:dyDescent="0.35"/>
    <row r="44037" hidden="1" x14ac:dyDescent="0.35"/>
    <row r="44038" hidden="1" x14ac:dyDescent="0.35"/>
    <row r="44039" hidden="1" x14ac:dyDescent="0.35"/>
    <row r="44040" hidden="1" x14ac:dyDescent="0.35"/>
    <row r="44041" hidden="1" x14ac:dyDescent="0.35"/>
    <row r="44042" hidden="1" x14ac:dyDescent="0.35"/>
    <row r="44043" hidden="1" x14ac:dyDescent="0.35"/>
    <row r="44044" hidden="1" x14ac:dyDescent="0.35"/>
    <row r="44045" hidden="1" x14ac:dyDescent="0.35"/>
    <row r="44046" hidden="1" x14ac:dyDescent="0.35"/>
    <row r="44047" hidden="1" x14ac:dyDescent="0.35"/>
    <row r="44048" hidden="1" x14ac:dyDescent="0.35"/>
    <row r="44049" hidden="1" x14ac:dyDescent="0.35"/>
    <row r="44050" hidden="1" x14ac:dyDescent="0.35"/>
    <row r="44051" hidden="1" x14ac:dyDescent="0.35"/>
    <row r="44052" hidden="1" x14ac:dyDescent="0.35"/>
    <row r="44053" hidden="1" x14ac:dyDescent="0.35"/>
    <row r="44054" hidden="1" x14ac:dyDescent="0.35"/>
    <row r="44055" hidden="1" x14ac:dyDescent="0.35"/>
    <row r="44056" hidden="1" x14ac:dyDescent="0.35"/>
    <row r="44057" hidden="1" x14ac:dyDescent="0.35"/>
    <row r="44058" hidden="1" x14ac:dyDescent="0.35"/>
    <row r="44059" hidden="1" x14ac:dyDescent="0.35"/>
    <row r="44060" hidden="1" x14ac:dyDescent="0.35"/>
    <row r="44061" hidden="1" x14ac:dyDescent="0.35"/>
    <row r="44062" hidden="1" x14ac:dyDescent="0.35"/>
    <row r="44063" hidden="1" x14ac:dyDescent="0.35"/>
    <row r="44064" hidden="1" x14ac:dyDescent="0.35"/>
    <row r="44065" hidden="1" x14ac:dyDescent="0.35"/>
    <row r="44066" hidden="1" x14ac:dyDescent="0.35"/>
    <row r="44067" hidden="1" x14ac:dyDescent="0.35"/>
    <row r="44068" hidden="1" x14ac:dyDescent="0.35"/>
    <row r="44069" hidden="1" x14ac:dyDescent="0.35"/>
    <row r="44070" hidden="1" x14ac:dyDescent="0.35"/>
    <row r="44071" hidden="1" x14ac:dyDescent="0.35"/>
    <row r="44072" hidden="1" x14ac:dyDescent="0.35"/>
    <row r="44073" hidden="1" x14ac:dyDescent="0.35"/>
    <row r="44074" hidden="1" x14ac:dyDescent="0.35"/>
    <row r="44075" hidden="1" x14ac:dyDescent="0.35"/>
    <row r="44076" hidden="1" x14ac:dyDescent="0.35"/>
    <row r="44077" hidden="1" x14ac:dyDescent="0.35"/>
    <row r="44078" hidden="1" x14ac:dyDescent="0.35"/>
    <row r="44079" hidden="1" x14ac:dyDescent="0.35"/>
    <row r="44080" hidden="1" x14ac:dyDescent="0.35"/>
    <row r="44081" hidden="1" x14ac:dyDescent="0.35"/>
    <row r="44082" hidden="1" x14ac:dyDescent="0.35"/>
    <row r="44083" hidden="1" x14ac:dyDescent="0.35"/>
    <row r="44084" hidden="1" x14ac:dyDescent="0.35"/>
    <row r="44085" hidden="1" x14ac:dyDescent="0.35"/>
    <row r="44086" hidden="1" x14ac:dyDescent="0.35"/>
    <row r="44087" hidden="1" x14ac:dyDescent="0.35"/>
    <row r="44088" hidden="1" x14ac:dyDescent="0.35"/>
    <row r="44089" hidden="1" x14ac:dyDescent="0.35"/>
    <row r="44090" hidden="1" x14ac:dyDescent="0.35"/>
    <row r="44091" hidden="1" x14ac:dyDescent="0.35"/>
    <row r="44092" hidden="1" x14ac:dyDescent="0.35"/>
    <row r="44093" hidden="1" x14ac:dyDescent="0.35"/>
    <row r="44094" hidden="1" x14ac:dyDescent="0.35"/>
    <row r="44095" hidden="1" x14ac:dyDescent="0.35"/>
    <row r="44096" hidden="1" x14ac:dyDescent="0.35"/>
    <row r="44097" hidden="1" x14ac:dyDescent="0.35"/>
    <row r="44098" hidden="1" x14ac:dyDescent="0.35"/>
    <row r="44099" hidden="1" x14ac:dyDescent="0.35"/>
    <row r="44100" hidden="1" x14ac:dyDescent="0.35"/>
    <row r="44101" hidden="1" x14ac:dyDescent="0.35"/>
    <row r="44102" hidden="1" x14ac:dyDescent="0.35"/>
    <row r="44103" hidden="1" x14ac:dyDescent="0.35"/>
    <row r="44104" hidden="1" x14ac:dyDescent="0.35"/>
    <row r="44105" hidden="1" x14ac:dyDescent="0.35"/>
    <row r="44106" hidden="1" x14ac:dyDescent="0.35"/>
    <row r="44107" hidden="1" x14ac:dyDescent="0.35"/>
    <row r="44108" hidden="1" x14ac:dyDescent="0.35"/>
    <row r="44109" hidden="1" x14ac:dyDescent="0.35"/>
    <row r="44110" hidden="1" x14ac:dyDescent="0.35"/>
    <row r="44111" hidden="1" x14ac:dyDescent="0.35"/>
    <row r="44112" hidden="1" x14ac:dyDescent="0.35"/>
    <row r="44113" hidden="1" x14ac:dyDescent="0.35"/>
    <row r="44114" hidden="1" x14ac:dyDescent="0.35"/>
    <row r="44115" hidden="1" x14ac:dyDescent="0.35"/>
    <row r="44116" hidden="1" x14ac:dyDescent="0.35"/>
    <row r="44117" hidden="1" x14ac:dyDescent="0.35"/>
    <row r="44118" hidden="1" x14ac:dyDescent="0.35"/>
    <row r="44119" hidden="1" x14ac:dyDescent="0.35"/>
    <row r="44120" hidden="1" x14ac:dyDescent="0.35"/>
    <row r="44121" hidden="1" x14ac:dyDescent="0.35"/>
    <row r="44122" hidden="1" x14ac:dyDescent="0.35"/>
    <row r="44123" hidden="1" x14ac:dyDescent="0.35"/>
    <row r="44124" hidden="1" x14ac:dyDescent="0.35"/>
    <row r="44125" hidden="1" x14ac:dyDescent="0.35"/>
    <row r="44126" hidden="1" x14ac:dyDescent="0.35"/>
    <row r="44127" hidden="1" x14ac:dyDescent="0.35"/>
    <row r="44128" hidden="1" x14ac:dyDescent="0.35"/>
    <row r="44129" hidden="1" x14ac:dyDescent="0.35"/>
    <row r="44130" hidden="1" x14ac:dyDescent="0.35"/>
    <row r="44131" hidden="1" x14ac:dyDescent="0.35"/>
    <row r="44132" hidden="1" x14ac:dyDescent="0.35"/>
    <row r="44133" hidden="1" x14ac:dyDescent="0.35"/>
    <row r="44134" hidden="1" x14ac:dyDescent="0.35"/>
    <row r="44135" hidden="1" x14ac:dyDescent="0.35"/>
    <row r="44136" hidden="1" x14ac:dyDescent="0.35"/>
    <row r="44137" hidden="1" x14ac:dyDescent="0.35"/>
    <row r="44138" hidden="1" x14ac:dyDescent="0.35"/>
    <row r="44139" hidden="1" x14ac:dyDescent="0.35"/>
    <row r="44140" hidden="1" x14ac:dyDescent="0.35"/>
    <row r="44141" hidden="1" x14ac:dyDescent="0.35"/>
    <row r="44142" hidden="1" x14ac:dyDescent="0.35"/>
    <row r="44143" hidden="1" x14ac:dyDescent="0.35"/>
    <row r="44144" hidden="1" x14ac:dyDescent="0.35"/>
    <row r="44145" hidden="1" x14ac:dyDescent="0.35"/>
    <row r="44146" hidden="1" x14ac:dyDescent="0.35"/>
    <row r="44147" hidden="1" x14ac:dyDescent="0.35"/>
    <row r="44148" hidden="1" x14ac:dyDescent="0.35"/>
    <row r="44149" hidden="1" x14ac:dyDescent="0.35"/>
    <row r="44150" hidden="1" x14ac:dyDescent="0.35"/>
    <row r="44151" hidden="1" x14ac:dyDescent="0.35"/>
    <row r="44152" hidden="1" x14ac:dyDescent="0.35"/>
    <row r="44153" hidden="1" x14ac:dyDescent="0.35"/>
    <row r="44154" hidden="1" x14ac:dyDescent="0.35"/>
    <row r="44155" hidden="1" x14ac:dyDescent="0.35"/>
    <row r="44156" hidden="1" x14ac:dyDescent="0.35"/>
    <row r="44157" hidden="1" x14ac:dyDescent="0.35"/>
    <row r="44158" hidden="1" x14ac:dyDescent="0.35"/>
    <row r="44159" hidden="1" x14ac:dyDescent="0.35"/>
    <row r="44160" hidden="1" x14ac:dyDescent="0.35"/>
    <row r="44161" hidden="1" x14ac:dyDescent="0.35"/>
    <row r="44162" hidden="1" x14ac:dyDescent="0.35"/>
    <row r="44163" hidden="1" x14ac:dyDescent="0.35"/>
    <row r="44164" hidden="1" x14ac:dyDescent="0.35"/>
    <row r="44165" hidden="1" x14ac:dyDescent="0.35"/>
    <row r="44166" hidden="1" x14ac:dyDescent="0.35"/>
    <row r="44167" hidden="1" x14ac:dyDescent="0.35"/>
    <row r="44168" hidden="1" x14ac:dyDescent="0.35"/>
    <row r="44169" hidden="1" x14ac:dyDescent="0.35"/>
    <row r="44170" hidden="1" x14ac:dyDescent="0.35"/>
    <row r="44171" hidden="1" x14ac:dyDescent="0.35"/>
    <row r="44172" hidden="1" x14ac:dyDescent="0.35"/>
    <row r="44173" hidden="1" x14ac:dyDescent="0.35"/>
    <row r="44174" hidden="1" x14ac:dyDescent="0.35"/>
    <row r="44175" hidden="1" x14ac:dyDescent="0.35"/>
    <row r="44176" hidden="1" x14ac:dyDescent="0.35"/>
    <row r="44177" hidden="1" x14ac:dyDescent="0.35"/>
    <row r="44178" hidden="1" x14ac:dyDescent="0.35"/>
    <row r="44179" hidden="1" x14ac:dyDescent="0.35"/>
    <row r="44180" hidden="1" x14ac:dyDescent="0.35"/>
    <row r="44181" hidden="1" x14ac:dyDescent="0.35"/>
    <row r="44182" hidden="1" x14ac:dyDescent="0.35"/>
    <row r="44183" hidden="1" x14ac:dyDescent="0.35"/>
    <row r="44184" hidden="1" x14ac:dyDescent="0.35"/>
    <row r="44185" hidden="1" x14ac:dyDescent="0.35"/>
    <row r="44186" hidden="1" x14ac:dyDescent="0.35"/>
    <row r="44187" hidden="1" x14ac:dyDescent="0.35"/>
    <row r="44188" hidden="1" x14ac:dyDescent="0.35"/>
    <row r="44189" hidden="1" x14ac:dyDescent="0.35"/>
    <row r="44190" hidden="1" x14ac:dyDescent="0.35"/>
    <row r="44191" hidden="1" x14ac:dyDescent="0.35"/>
    <row r="44192" hidden="1" x14ac:dyDescent="0.35"/>
    <row r="44193" hidden="1" x14ac:dyDescent="0.35"/>
    <row r="44194" hidden="1" x14ac:dyDescent="0.35"/>
    <row r="44195" hidden="1" x14ac:dyDescent="0.35"/>
    <row r="44196" hidden="1" x14ac:dyDescent="0.35"/>
    <row r="44197" hidden="1" x14ac:dyDescent="0.35"/>
    <row r="44198" hidden="1" x14ac:dyDescent="0.35"/>
    <row r="44199" hidden="1" x14ac:dyDescent="0.35"/>
    <row r="44200" hidden="1" x14ac:dyDescent="0.35"/>
    <row r="44201" hidden="1" x14ac:dyDescent="0.35"/>
    <row r="44202" hidden="1" x14ac:dyDescent="0.35"/>
    <row r="44203" hidden="1" x14ac:dyDescent="0.35"/>
    <row r="44204" hidden="1" x14ac:dyDescent="0.35"/>
    <row r="44205" hidden="1" x14ac:dyDescent="0.35"/>
    <row r="44206" hidden="1" x14ac:dyDescent="0.35"/>
    <row r="44207" hidden="1" x14ac:dyDescent="0.35"/>
    <row r="44208" hidden="1" x14ac:dyDescent="0.35"/>
    <row r="44209" hidden="1" x14ac:dyDescent="0.35"/>
    <row r="44210" hidden="1" x14ac:dyDescent="0.35"/>
    <row r="44211" hidden="1" x14ac:dyDescent="0.35"/>
    <row r="44212" hidden="1" x14ac:dyDescent="0.35"/>
    <row r="44213" hidden="1" x14ac:dyDescent="0.35"/>
    <row r="44214" hidden="1" x14ac:dyDescent="0.35"/>
    <row r="44215" hidden="1" x14ac:dyDescent="0.35"/>
    <row r="44216" hidden="1" x14ac:dyDescent="0.35"/>
    <row r="44217" hidden="1" x14ac:dyDescent="0.35"/>
    <row r="44218" hidden="1" x14ac:dyDescent="0.35"/>
    <row r="44219" hidden="1" x14ac:dyDescent="0.35"/>
    <row r="44220" hidden="1" x14ac:dyDescent="0.35"/>
    <row r="44221" hidden="1" x14ac:dyDescent="0.35"/>
    <row r="44222" hidden="1" x14ac:dyDescent="0.35"/>
    <row r="44223" hidden="1" x14ac:dyDescent="0.35"/>
    <row r="44224" hidden="1" x14ac:dyDescent="0.35"/>
    <row r="44225" hidden="1" x14ac:dyDescent="0.35"/>
    <row r="44226" hidden="1" x14ac:dyDescent="0.35"/>
    <row r="44227" hidden="1" x14ac:dyDescent="0.35"/>
    <row r="44228" hidden="1" x14ac:dyDescent="0.35"/>
    <row r="44229" hidden="1" x14ac:dyDescent="0.35"/>
    <row r="44230" hidden="1" x14ac:dyDescent="0.35"/>
    <row r="44231" hidden="1" x14ac:dyDescent="0.35"/>
    <row r="44232" hidden="1" x14ac:dyDescent="0.35"/>
    <row r="44233" hidden="1" x14ac:dyDescent="0.35"/>
    <row r="44234" hidden="1" x14ac:dyDescent="0.35"/>
    <row r="44235" hidden="1" x14ac:dyDescent="0.35"/>
    <row r="44236" hidden="1" x14ac:dyDescent="0.35"/>
    <row r="44237" hidden="1" x14ac:dyDescent="0.35"/>
    <row r="44238" hidden="1" x14ac:dyDescent="0.35"/>
    <row r="44239" hidden="1" x14ac:dyDescent="0.35"/>
    <row r="44240" hidden="1" x14ac:dyDescent="0.35"/>
    <row r="44241" hidden="1" x14ac:dyDescent="0.35"/>
    <row r="44242" hidden="1" x14ac:dyDescent="0.35"/>
    <row r="44243" hidden="1" x14ac:dyDescent="0.35"/>
    <row r="44244" hidden="1" x14ac:dyDescent="0.35"/>
    <row r="44245" hidden="1" x14ac:dyDescent="0.35"/>
    <row r="44246" hidden="1" x14ac:dyDescent="0.35"/>
    <row r="44247" hidden="1" x14ac:dyDescent="0.35"/>
    <row r="44248" hidden="1" x14ac:dyDescent="0.35"/>
    <row r="44249" hidden="1" x14ac:dyDescent="0.35"/>
    <row r="44250" hidden="1" x14ac:dyDescent="0.35"/>
    <row r="44251" hidden="1" x14ac:dyDescent="0.35"/>
    <row r="44252" hidden="1" x14ac:dyDescent="0.35"/>
    <row r="44253" hidden="1" x14ac:dyDescent="0.35"/>
    <row r="44254" hidden="1" x14ac:dyDescent="0.35"/>
    <row r="44255" hidden="1" x14ac:dyDescent="0.35"/>
    <row r="44256" hidden="1" x14ac:dyDescent="0.35"/>
    <row r="44257" hidden="1" x14ac:dyDescent="0.35"/>
    <row r="44258" hidden="1" x14ac:dyDescent="0.35"/>
    <row r="44259" hidden="1" x14ac:dyDescent="0.35"/>
    <row r="44260" hidden="1" x14ac:dyDescent="0.35"/>
    <row r="44261" hidden="1" x14ac:dyDescent="0.35"/>
    <row r="44262" hidden="1" x14ac:dyDescent="0.35"/>
    <row r="44263" hidden="1" x14ac:dyDescent="0.35"/>
    <row r="44264" hidden="1" x14ac:dyDescent="0.35"/>
    <row r="44265" hidden="1" x14ac:dyDescent="0.35"/>
    <row r="44266" hidden="1" x14ac:dyDescent="0.35"/>
    <row r="44267" hidden="1" x14ac:dyDescent="0.35"/>
    <row r="44268" hidden="1" x14ac:dyDescent="0.35"/>
    <row r="44269" hidden="1" x14ac:dyDescent="0.35"/>
    <row r="44270" hidden="1" x14ac:dyDescent="0.35"/>
    <row r="44271" hidden="1" x14ac:dyDescent="0.35"/>
    <row r="44272" hidden="1" x14ac:dyDescent="0.35"/>
    <row r="44273" hidden="1" x14ac:dyDescent="0.35"/>
    <row r="44274" hidden="1" x14ac:dyDescent="0.35"/>
    <row r="44275" hidden="1" x14ac:dyDescent="0.35"/>
    <row r="44276" hidden="1" x14ac:dyDescent="0.35"/>
    <row r="44277" hidden="1" x14ac:dyDescent="0.35"/>
    <row r="44278" hidden="1" x14ac:dyDescent="0.35"/>
    <row r="44279" hidden="1" x14ac:dyDescent="0.35"/>
    <row r="44280" hidden="1" x14ac:dyDescent="0.35"/>
    <row r="44281" hidden="1" x14ac:dyDescent="0.35"/>
    <row r="44282" hidden="1" x14ac:dyDescent="0.35"/>
    <row r="44283" hidden="1" x14ac:dyDescent="0.35"/>
    <row r="44284" hidden="1" x14ac:dyDescent="0.35"/>
    <row r="44285" hidden="1" x14ac:dyDescent="0.35"/>
    <row r="44286" hidden="1" x14ac:dyDescent="0.35"/>
    <row r="44287" hidden="1" x14ac:dyDescent="0.35"/>
    <row r="44288" hidden="1" x14ac:dyDescent="0.35"/>
    <row r="44289" hidden="1" x14ac:dyDescent="0.35"/>
    <row r="44290" hidden="1" x14ac:dyDescent="0.35"/>
    <row r="44291" hidden="1" x14ac:dyDescent="0.35"/>
    <row r="44292" hidden="1" x14ac:dyDescent="0.35"/>
    <row r="44293" hidden="1" x14ac:dyDescent="0.35"/>
    <row r="44294" hidden="1" x14ac:dyDescent="0.35"/>
    <row r="44295" hidden="1" x14ac:dyDescent="0.35"/>
    <row r="44296" hidden="1" x14ac:dyDescent="0.35"/>
    <row r="44297" hidden="1" x14ac:dyDescent="0.35"/>
    <row r="44298" hidden="1" x14ac:dyDescent="0.35"/>
    <row r="44299" hidden="1" x14ac:dyDescent="0.35"/>
    <row r="44300" hidden="1" x14ac:dyDescent="0.35"/>
    <row r="44301" hidden="1" x14ac:dyDescent="0.35"/>
    <row r="44302" hidden="1" x14ac:dyDescent="0.35"/>
    <row r="44303" hidden="1" x14ac:dyDescent="0.35"/>
    <row r="44304" hidden="1" x14ac:dyDescent="0.35"/>
    <row r="44305" hidden="1" x14ac:dyDescent="0.35"/>
    <row r="44306" hidden="1" x14ac:dyDescent="0.35"/>
    <row r="44307" hidden="1" x14ac:dyDescent="0.35"/>
    <row r="44308" hidden="1" x14ac:dyDescent="0.35"/>
    <row r="44309" hidden="1" x14ac:dyDescent="0.35"/>
    <row r="44310" hidden="1" x14ac:dyDescent="0.35"/>
    <row r="44311" hidden="1" x14ac:dyDescent="0.35"/>
    <row r="44312" hidden="1" x14ac:dyDescent="0.35"/>
    <row r="44313" hidden="1" x14ac:dyDescent="0.35"/>
    <row r="44314" hidden="1" x14ac:dyDescent="0.35"/>
    <row r="44315" hidden="1" x14ac:dyDescent="0.35"/>
    <row r="44316" hidden="1" x14ac:dyDescent="0.35"/>
    <row r="44317" hidden="1" x14ac:dyDescent="0.35"/>
    <row r="44318" hidden="1" x14ac:dyDescent="0.35"/>
    <row r="44319" hidden="1" x14ac:dyDescent="0.35"/>
    <row r="44320" hidden="1" x14ac:dyDescent="0.35"/>
    <row r="44321" hidden="1" x14ac:dyDescent="0.35"/>
    <row r="44322" hidden="1" x14ac:dyDescent="0.35"/>
    <row r="44323" hidden="1" x14ac:dyDescent="0.35"/>
    <row r="44324" hidden="1" x14ac:dyDescent="0.35"/>
    <row r="44325" hidden="1" x14ac:dyDescent="0.35"/>
    <row r="44326" hidden="1" x14ac:dyDescent="0.35"/>
    <row r="44327" hidden="1" x14ac:dyDescent="0.35"/>
    <row r="44328" hidden="1" x14ac:dyDescent="0.35"/>
    <row r="44329" hidden="1" x14ac:dyDescent="0.35"/>
    <row r="44330" hidden="1" x14ac:dyDescent="0.35"/>
    <row r="44331" hidden="1" x14ac:dyDescent="0.35"/>
    <row r="44332" hidden="1" x14ac:dyDescent="0.35"/>
    <row r="44333" hidden="1" x14ac:dyDescent="0.35"/>
    <row r="44334" hidden="1" x14ac:dyDescent="0.35"/>
    <row r="44335" hidden="1" x14ac:dyDescent="0.35"/>
    <row r="44336" hidden="1" x14ac:dyDescent="0.35"/>
    <row r="44337" hidden="1" x14ac:dyDescent="0.35"/>
    <row r="44338" hidden="1" x14ac:dyDescent="0.35"/>
    <row r="44339" hidden="1" x14ac:dyDescent="0.35"/>
    <row r="44340" hidden="1" x14ac:dyDescent="0.35"/>
    <row r="44341" hidden="1" x14ac:dyDescent="0.35"/>
    <row r="44342" hidden="1" x14ac:dyDescent="0.35"/>
    <row r="44343" hidden="1" x14ac:dyDescent="0.35"/>
    <row r="44344" hidden="1" x14ac:dyDescent="0.35"/>
    <row r="44345" hidden="1" x14ac:dyDescent="0.35"/>
    <row r="44346" hidden="1" x14ac:dyDescent="0.35"/>
    <row r="44347" hidden="1" x14ac:dyDescent="0.35"/>
    <row r="44348" hidden="1" x14ac:dyDescent="0.35"/>
    <row r="44349" hidden="1" x14ac:dyDescent="0.35"/>
    <row r="44350" hidden="1" x14ac:dyDescent="0.35"/>
    <row r="44351" hidden="1" x14ac:dyDescent="0.35"/>
    <row r="44352" hidden="1" x14ac:dyDescent="0.35"/>
    <row r="44353" hidden="1" x14ac:dyDescent="0.35"/>
    <row r="44354" hidden="1" x14ac:dyDescent="0.35"/>
    <row r="44355" hidden="1" x14ac:dyDescent="0.35"/>
    <row r="44356" hidden="1" x14ac:dyDescent="0.35"/>
    <row r="44357" hidden="1" x14ac:dyDescent="0.35"/>
    <row r="44358" hidden="1" x14ac:dyDescent="0.35"/>
    <row r="44359" hidden="1" x14ac:dyDescent="0.35"/>
    <row r="44360" hidden="1" x14ac:dyDescent="0.35"/>
    <row r="44361" hidden="1" x14ac:dyDescent="0.35"/>
    <row r="44362" hidden="1" x14ac:dyDescent="0.35"/>
    <row r="44363" hidden="1" x14ac:dyDescent="0.35"/>
    <row r="44364" hidden="1" x14ac:dyDescent="0.35"/>
    <row r="44365" hidden="1" x14ac:dyDescent="0.35"/>
    <row r="44366" hidden="1" x14ac:dyDescent="0.35"/>
    <row r="44367" hidden="1" x14ac:dyDescent="0.35"/>
    <row r="44368" hidden="1" x14ac:dyDescent="0.35"/>
    <row r="44369" hidden="1" x14ac:dyDescent="0.35"/>
    <row r="44370" hidden="1" x14ac:dyDescent="0.35"/>
    <row r="44371" hidden="1" x14ac:dyDescent="0.35"/>
    <row r="44372" hidden="1" x14ac:dyDescent="0.35"/>
    <row r="44373" hidden="1" x14ac:dyDescent="0.35"/>
    <row r="44374" hidden="1" x14ac:dyDescent="0.35"/>
    <row r="44375" hidden="1" x14ac:dyDescent="0.35"/>
    <row r="44376" hidden="1" x14ac:dyDescent="0.35"/>
    <row r="44377" hidden="1" x14ac:dyDescent="0.35"/>
    <row r="44378" hidden="1" x14ac:dyDescent="0.35"/>
    <row r="44379" hidden="1" x14ac:dyDescent="0.35"/>
    <row r="44380" hidden="1" x14ac:dyDescent="0.35"/>
    <row r="44381" hidden="1" x14ac:dyDescent="0.35"/>
    <row r="44382" hidden="1" x14ac:dyDescent="0.35"/>
    <row r="44383" hidden="1" x14ac:dyDescent="0.35"/>
    <row r="44384" hidden="1" x14ac:dyDescent="0.35"/>
    <row r="44385" hidden="1" x14ac:dyDescent="0.35"/>
    <row r="44386" hidden="1" x14ac:dyDescent="0.35"/>
    <row r="44387" hidden="1" x14ac:dyDescent="0.35"/>
    <row r="44388" hidden="1" x14ac:dyDescent="0.35"/>
    <row r="44389" hidden="1" x14ac:dyDescent="0.35"/>
    <row r="44390" hidden="1" x14ac:dyDescent="0.35"/>
    <row r="44391" hidden="1" x14ac:dyDescent="0.35"/>
    <row r="44392" hidden="1" x14ac:dyDescent="0.35"/>
    <row r="44393" hidden="1" x14ac:dyDescent="0.35"/>
    <row r="44394" hidden="1" x14ac:dyDescent="0.35"/>
    <row r="44395" hidden="1" x14ac:dyDescent="0.35"/>
    <row r="44396" hidden="1" x14ac:dyDescent="0.35"/>
    <row r="44397" hidden="1" x14ac:dyDescent="0.35"/>
    <row r="44398" hidden="1" x14ac:dyDescent="0.35"/>
    <row r="44399" hidden="1" x14ac:dyDescent="0.35"/>
    <row r="44400" hidden="1" x14ac:dyDescent="0.35"/>
    <row r="44401" hidden="1" x14ac:dyDescent="0.35"/>
    <row r="44402" hidden="1" x14ac:dyDescent="0.35"/>
    <row r="44403" hidden="1" x14ac:dyDescent="0.35"/>
    <row r="44404" hidden="1" x14ac:dyDescent="0.35"/>
    <row r="44405" hidden="1" x14ac:dyDescent="0.35"/>
    <row r="44406" hidden="1" x14ac:dyDescent="0.35"/>
    <row r="44407" hidden="1" x14ac:dyDescent="0.35"/>
    <row r="44408" hidden="1" x14ac:dyDescent="0.35"/>
    <row r="44409" hidden="1" x14ac:dyDescent="0.35"/>
    <row r="44410" hidden="1" x14ac:dyDescent="0.35"/>
    <row r="44411" hidden="1" x14ac:dyDescent="0.35"/>
    <row r="44412" hidden="1" x14ac:dyDescent="0.35"/>
    <row r="44413" hidden="1" x14ac:dyDescent="0.35"/>
    <row r="44414" hidden="1" x14ac:dyDescent="0.35"/>
    <row r="44415" hidden="1" x14ac:dyDescent="0.35"/>
    <row r="44416" hidden="1" x14ac:dyDescent="0.35"/>
    <row r="44417" hidden="1" x14ac:dyDescent="0.35"/>
    <row r="44418" hidden="1" x14ac:dyDescent="0.35"/>
    <row r="44419" hidden="1" x14ac:dyDescent="0.35"/>
    <row r="44420" hidden="1" x14ac:dyDescent="0.35"/>
    <row r="44421" hidden="1" x14ac:dyDescent="0.35"/>
    <row r="44422" hidden="1" x14ac:dyDescent="0.35"/>
    <row r="44423" hidden="1" x14ac:dyDescent="0.35"/>
    <row r="44424" hidden="1" x14ac:dyDescent="0.35"/>
    <row r="44425" hidden="1" x14ac:dyDescent="0.35"/>
    <row r="44426" hidden="1" x14ac:dyDescent="0.35"/>
    <row r="44427" hidden="1" x14ac:dyDescent="0.35"/>
    <row r="44428" hidden="1" x14ac:dyDescent="0.35"/>
    <row r="44429" hidden="1" x14ac:dyDescent="0.35"/>
    <row r="44430" hidden="1" x14ac:dyDescent="0.35"/>
    <row r="44431" hidden="1" x14ac:dyDescent="0.35"/>
    <row r="44432" hidden="1" x14ac:dyDescent="0.35"/>
    <row r="44433" hidden="1" x14ac:dyDescent="0.35"/>
    <row r="44434" hidden="1" x14ac:dyDescent="0.35"/>
    <row r="44435" hidden="1" x14ac:dyDescent="0.35"/>
    <row r="44436" hidden="1" x14ac:dyDescent="0.35"/>
    <row r="44437" hidden="1" x14ac:dyDescent="0.35"/>
    <row r="44438" hidden="1" x14ac:dyDescent="0.35"/>
    <row r="44439" hidden="1" x14ac:dyDescent="0.35"/>
    <row r="44440" hidden="1" x14ac:dyDescent="0.35"/>
    <row r="44441" hidden="1" x14ac:dyDescent="0.35"/>
    <row r="44442" hidden="1" x14ac:dyDescent="0.35"/>
    <row r="44443" hidden="1" x14ac:dyDescent="0.35"/>
    <row r="44444" hidden="1" x14ac:dyDescent="0.35"/>
    <row r="44445" hidden="1" x14ac:dyDescent="0.35"/>
    <row r="44446" hidden="1" x14ac:dyDescent="0.35"/>
    <row r="44447" hidden="1" x14ac:dyDescent="0.35"/>
    <row r="44448" hidden="1" x14ac:dyDescent="0.35"/>
    <row r="44449" hidden="1" x14ac:dyDescent="0.35"/>
    <row r="44450" hidden="1" x14ac:dyDescent="0.35"/>
    <row r="44451" hidden="1" x14ac:dyDescent="0.35"/>
    <row r="44452" hidden="1" x14ac:dyDescent="0.35"/>
    <row r="44453" hidden="1" x14ac:dyDescent="0.35"/>
    <row r="44454" hidden="1" x14ac:dyDescent="0.35"/>
    <row r="44455" hidden="1" x14ac:dyDescent="0.35"/>
    <row r="44456" hidden="1" x14ac:dyDescent="0.35"/>
    <row r="44457" hidden="1" x14ac:dyDescent="0.35"/>
    <row r="44458" hidden="1" x14ac:dyDescent="0.35"/>
    <row r="44459" hidden="1" x14ac:dyDescent="0.35"/>
    <row r="44460" hidden="1" x14ac:dyDescent="0.35"/>
    <row r="44461" hidden="1" x14ac:dyDescent="0.35"/>
    <row r="44462" hidden="1" x14ac:dyDescent="0.35"/>
    <row r="44463" hidden="1" x14ac:dyDescent="0.35"/>
    <row r="44464" hidden="1" x14ac:dyDescent="0.35"/>
    <row r="44465" hidden="1" x14ac:dyDescent="0.35"/>
    <row r="44466" hidden="1" x14ac:dyDescent="0.35"/>
    <row r="44467" hidden="1" x14ac:dyDescent="0.35"/>
    <row r="44468" hidden="1" x14ac:dyDescent="0.35"/>
    <row r="44469" hidden="1" x14ac:dyDescent="0.35"/>
    <row r="44470" hidden="1" x14ac:dyDescent="0.35"/>
    <row r="44471" hidden="1" x14ac:dyDescent="0.35"/>
    <row r="44472" hidden="1" x14ac:dyDescent="0.35"/>
    <row r="44473" hidden="1" x14ac:dyDescent="0.35"/>
    <row r="44474" hidden="1" x14ac:dyDescent="0.35"/>
    <row r="44475" hidden="1" x14ac:dyDescent="0.35"/>
    <row r="44476" hidden="1" x14ac:dyDescent="0.35"/>
    <row r="44477" hidden="1" x14ac:dyDescent="0.35"/>
    <row r="44478" hidden="1" x14ac:dyDescent="0.35"/>
    <row r="44479" hidden="1" x14ac:dyDescent="0.35"/>
    <row r="44480" hidden="1" x14ac:dyDescent="0.35"/>
    <row r="44481" hidden="1" x14ac:dyDescent="0.35"/>
    <row r="44482" hidden="1" x14ac:dyDescent="0.35"/>
    <row r="44483" hidden="1" x14ac:dyDescent="0.35"/>
    <row r="44484" hidden="1" x14ac:dyDescent="0.35"/>
    <row r="44485" hidden="1" x14ac:dyDescent="0.35"/>
    <row r="44486" hidden="1" x14ac:dyDescent="0.35"/>
    <row r="44487" hidden="1" x14ac:dyDescent="0.35"/>
    <row r="44488" hidden="1" x14ac:dyDescent="0.35"/>
    <row r="44489" hidden="1" x14ac:dyDescent="0.35"/>
    <row r="44490" hidden="1" x14ac:dyDescent="0.35"/>
    <row r="44491" hidden="1" x14ac:dyDescent="0.35"/>
    <row r="44492" hidden="1" x14ac:dyDescent="0.35"/>
    <row r="44493" hidden="1" x14ac:dyDescent="0.35"/>
    <row r="44494" hidden="1" x14ac:dyDescent="0.35"/>
    <row r="44495" hidden="1" x14ac:dyDescent="0.35"/>
    <row r="44496" hidden="1" x14ac:dyDescent="0.35"/>
    <row r="44497" hidden="1" x14ac:dyDescent="0.35"/>
    <row r="44498" hidden="1" x14ac:dyDescent="0.35"/>
    <row r="44499" hidden="1" x14ac:dyDescent="0.35"/>
    <row r="44500" hidden="1" x14ac:dyDescent="0.35"/>
    <row r="44501" hidden="1" x14ac:dyDescent="0.35"/>
    <row r="44502" hidden="1" x14ac:dyDescent="0.35"/>
    <row r="44503" hidden="1" x14ac:dyDescent="0.35"/>
    <row r="44504" hidden="1" x14ac:dyDescent="0.35"/>
    <row r="44505" hidden="1" x14ac:dyDescent="0.35"/>
    <row r="44506" hidden="1" x14ac:dyDescent="0.35"/>
    <row r="44507" hidden="1" x14ac:dyDescent="0.35"/>
    <row r="44508" hidden="1" x14ac:dyDescent="0.35"/>
    <row r="44509" hidden="1" x14ac:dyDescent="0.35"/>
    <row r="44510" hidden="1" x14ac:dyDescent="0.35"/>
    <row r="44511" hidden="1" x14ac:dyDescent="0.35"/>
    <row r="44512" hidden="1" x14ac:dyDescent="0.35"/>
    <row r="44513" hidden="1" x14ac:dyDescent="0.35"/>
    <row r="44514" hidden="1" x14ac:dyDescent="0.35"/>
    <row r="44515" hidden="1" x14ac:dyDescent="0.35"/>
    <row r="44516" hidden="1" x14ac:dyDescent="0.35"/>
    <row r="44517" hidden="1" x14ac:dyDescent="0.35"/>
    <row r="44518" hidden="1" x14ac:dyDescent="0.35"/>
    <row r="44519" hidden="1" x14ac:dyDescent="0.35"/>
    <row r="44520" hidden="1" x14ac:dyDescent="0.35"/>
    <row r="44521" hidden="1" x14ac:dyDescent="0.35"/>
    <row r="44522" hidden="1" x14ac:dyDescent="0.35"/>
    <row r="44523" hidden="1" x14ac:dyDescent="0.35"/>
    <row r="44524" hidden="1" x14ac:dyDescent="0.35"/>
    <row r="44525" hidden="1" x14ac:dyDescent="0.35"/>
    <row r="44526" hidden="1" x14ac:dyDescent="0.35"/>
    <row r="44527" hidden="1" x14ac:dyDescent="0.35"/>
    <row r="44528" hidden="1" x14ac:dyDescent="0.35"/>
    <row r="44529" hidden="1" x14ac:dyDescent="0.35"/>
    <row r="44530" hidden="1" x14ac:dyDescent="0.35"/>
    <row r="44531" hidden="1" x14ac:dyDescent="0.35"/>
    <row r="44532" hidden="1" x14ac:dyDescent="0.35"/>
    <row r="44533" hidden="1" x14ac:dyDescent="0.35"/>
    <row r="44534" hidden="1" x14ac:dyDescent="0.35"/>
    <row r="44535" hidden="1" x14ac:dyDescent="0.35"/>
    <row r="44536" hidden="1" x14ac:dyDescent="0.35"/>
    <row r="44537" hidden="1" x14ac:dyDescent="0.35"/>
    <row r="44538" hidden="1" x14ac:dyDescent="0.35"/>
    <row r="44539" hidden="1" x14ac:dyDescent="0.35"/>
    <row r="44540" hidden="1" x14ac:dyDescent="0.35"/>
    <row r="44541" hidden="1" x14ac:dyDescent="0.35"/>
    <row r="44542" hidden="1" x14ac:dyDescent="0.35"/>
    <row r="44543" hidden="1" x14ac:dyDescent="0.35"/>
    <row r="44544" hidden="1" x14ac:dyDescent="0.35"/>
    <row r="44545" hidden="1" x14ac:dyDescent="0.35"/>
    <row r="44546" hidden="1" x14ac:dyDescent="0.35"/>
    <row r="44547" hidden="1" x14ac:dyDescent="0.35"/>
    <row r="44548" hidden="1" x14ac:dyDescent="0.35"/>
    <row r="44549" hidden="1" x14ac:dyDescent="0.35"/>
    <row r="44550" hidden="1" x14ac:dyDescent="0.35"/>
    <row r="44551" hidden="1" x14ac:dyDescent="0.35"/>
    <row r="44552" hidden="1" x14ac:dyDescent="0.35"/>
    <row r="44553" hidden="1" x14ac:dyDescent="0.35"/>
    <row r="44554" hidden="1" x14ac:dyDescent="0.35"/>
    <row r="44555" hidden="1" x14ac:dyDescent="0.35"/>
    <row r="44556" hidden="1" x14ac:dyDescent="0.35"/>
    <row r="44557" hidden="1" x14ac:dyDescent="0.35"/>
    <row r="44558" hidden="1" x14ac:dyDescent="0.35"/>
    <row r="44559" hidden="1" x14ac:dyDescent="0.35"/>
    <row r="44560" hidden="1" x14ac:dyDescent="0.35"/>
    <row r="44561" hidden="1" x14ac:dyDescent="0.35"/>
    <row r="44562" hidden="1" x14ac:dyDescent="0.35"/>
    <row r="44563" hidden="1" x14ac:dyDescent="0.35"/>
    <row r="44564" hidden="1" x14ac:dyDescent="0.35"/>
    <row r="44565" hidden="1" x14ac:dyDescent="0.35"/>
    <row r="44566" hidden="1" x14ac:dyDescent="0.35"/>
    <row r="44567" hidden="1" x14ac:dyDescent="0.35"/>
    <row r="44568" hidden="1" x14ac:dyDescent="0.35"/>
    <row r="44569" hidden="1" x14ac:dyDescent="0.35"/>
    <row r="44570" hidden="1" x14ac:dyDescent="0.35"/>
    <row r="44571" hidden="1" x14ac:dyDescent="0.35"/>
    <row r="44572" hidden="1" x14ac:dyDescent="0.35"/>
    <row r="44573" hidden="1" x14ac:dyDescent="0.35"/>
    <row r="44574" hidden="1" x14ac:dyDescent="0.35"/>
    <row r="44575" hidden="1" x14ac:dyDescent="0.35"/>
    <row r="44576" hidden="1" x14ac:dyDescent="0.35"/>
    <row r="44577" hidden="1" x14ac:dyDescent="0.35"/>
    <row r="44578" hidden="1" x14ac:dyDescent="0.35"/>
    <row r="44579" hidden="1" x14ac:dyDescent="0.35"/>
    <row r="44580" hidden="1" x14ac:dyDescent="0.35"/>
    <row r="44581" hidden="1" x14ac:dyDescent="0.35"/>
    <row r="44582" hidden="1" x14ac:dyDescent="0.35"/>
    <row r="44583" hidden="1" x14ac:dyDescent="0.35"/>
    <row r="44584" hidden="1" x14ac:dyDescent="0.35"/>
    <row r="44585" hidden="1" x14ac:dyDescent="0.35"/>
    <row r="44586" hidden="1" x14ac:dyDescent="0.35"/>
    <row r="44587" hidden="1" x14ac:dyDescent="0.35"/>
    <row r="44588" hidden="1" x14ac:dyDescent="0.35"/>
    <row r="44589" hidden="1" x14ac:dyDescent="0.35"/>
    <row r="44590" hidden="1" x14ac:dyDescent="0.35"/>
    <row r="44591" hidden="1" x14ac:dyDescent="0.35"/>
    <row r="44592" hidden="1" x14ac:dyDescent="0.35"/>
    <row r="44593" hidden="1" x14ac:dyDescent="0.35"/>
    <row r="44594" hidden="1" x14ac:dyDescent="0.35"/>
    <row r="44595" hidden="1" x14ac:dyDescent="0.35"/>
    <row r="44596" hidden="1" x14ac:dyDescent="0.35"/>
    <row r="44597" hidden="1" x14ac:dyDescent="0.35"/>
    <row r="44598" hidden="1" x14ac:dyDescent="0.35"/>
    <row r="44599" hidden="1" x14ac:dyDescent="0.35"/>
    <row r="44600" hidden="1" x14ac:dyDescent="0.35"/>
    <row r="44601" hidden="1" x14ac:dyDescent="0.35"/>
    <row r="44602" hidden="1" x14ac:dyDescent="0.35"/>
    <row r="44603" hidden="1" x14ac:dyDescent="0.35"/>
    <row r="44604" hidden="1" x14ac:dyDescent="0.35"/>
    <row r="44605" hidden="1" x14ac:dyDescent="0.35"/>
    <row r="44606" hidden="1" x14ac:dyDescent="0.35"/>
    <row r="44607" hidden="1" x14ac:dyDescent="0.35"/>
    <row r="44608" hidden="1" x14ac:dyDescent="0.35"/>
    <row r="44609" hidden="1" x14ac:dyDescent="0.35"/>
    <row r="44610" hidden="1" x14ac:dyDescent="0.35"/>
    <row r="44611" hidden="1" x14ac:dyDescent="0.35"/>
    <row r="44612" hidden="1" x14ac:dyDescent="0.35"/>
    <row r="44613" hidden="1" x14ac:dyDescent="0.35"/>
    <row r="44614" hidden="1" x14ac:dyDescent="0.35"/>
    <row r="44615" hidden="1" x14ac:dyDescent="0.35"/>
    <row r="44616" hidden="1" x14ac:dyDescent="0.35"/>
    <row r="44617" hidden="1" x14ac:dyDescent="0.35"/>
    <row r="44618" hidden="1" x14ac:dyDescent="0.35"/>
    <row r="44619" hidden="1" x14ac:dyDescent="0.35"/>
    <row r="44620" hidden="1" x14ac:dyDescent="0.35"/>
    <row r="44621" hidden="1" x14ac:dyDescent="0.35"/>
    <row r="44622" hidden="1" x14ac:dyDescent="0.35"/>
    <row r="44623" hidden="1" x14ac:dyDescent="0.35"/>
    <row r="44624" hidden="1" x14ac:dyDescent="0.35"/>
    <row r="44625" hidden="1" x14ac:dyDescent="0.35"/>
    <row r="44626" hidden="1" x14ac:dyDescent="0.35"/>
    <row r="44627" hidden="1" x14ac:dyDescent="0.35"/>
    <row r="44628" hidden="1" x14ac:dyDescent="0.35"/>
    <row r="44629" hidden="1" x14ac:dyDescent="0.35"/>
    <row r="44630" hidden="1" x14ac:dyDescent="0.35"/>
    <row r="44631" hidden="1" x14ac:dyDescent="0.35"/>
    <row r="44632" hidden="1" x14ac:dyDescent="0.35"/>
    <row r="44633" hidden="1" x14ac:dyDescent="0.35"/>
    <row r="44634" hidden="1" x14ac:dyDescent="0.35"/>
    <row r="44635" hidden="1" x14ac:dyDescent="0.35"/>
    <row r="44636" hidden="1" x14ac:dyDescent="0.35"/>
    <row r="44637" hidden="1" x14ac:dyDescent="0.35"/>
    <row r="44638" hidden="1" x14ac:dyDescent="0.35"/>
    <row r="44639" hidden="1" x14ac:dyDescent="0.35"/>
    <row r="44640" hidden="1" x14ac:dyDescent="0.35"/>
    <row r="44641" hidden="1" x14ac:dyDescent="0.35"/>
    <row r="44642" hidden="1" x14ac:dyDescent="0.35"/>
    <row r="44643" hidden="1" x14ac:dyDescent="0.35"/>
    <row r="44644" hidden="1" x14ac:dyDescent="0.35"/>
    <row r="44645" hidden="1" x14ac:dyDescent="0.35"/>
    <row r="44646" hidden="1" x14ac:dyDescent="0.35"/>
    <row r="44647" hidden="1" x14ac:dyDescent="0.35"/>
    <row r="44648" hidden="1" x14ac:dyDescent="0.35"/>
    <row r="44649" hidden="1" x14ac:dyDescent="0.35"/>
    <row r="44650" hidden="1" x14ac:dyDescent="0.35"/>
    <row r="44651" hidden="1" x14ac:dyDescent="0.35"/>
    <row r="44652" hidden="1" x14ac:dyDescent="0.35"/>
    <row r="44653" hidden="1" x14ac:dyDescent="0.35"/>
    <row r="44654" hidden="1" x14ac:dyDescent="0.35"/>
    <row r="44655" hidden="1" x14ac:dyDescent="0.35"/>
    <row r="44656" hidden="1" x14ac:dyDescent="0.35"/>
    <row r="44657" hidden="1" x14ac:dyDescent="0.35"/>
    <row r="44658" hidden="1" x14ac:dyDescent="0.35"/>
    <row r="44659" hidden="1" x14ac:dyDescent="0.35"/>
    <row r="44660" hidden="1" x14ac:dyDescent="0.35"/>
    <row r="44661" hidden="1" x14ac:dyDescent="0.35"/>
    <row r="44662" hidden="1" x14ac:dyDescent="0.35"/>
    <row r="44663" hidden="1" x14ac:dyDescent="0.35"/>
    <row r="44664" hidden="1" x14ac:dyDescent="0.35"/>
    <row r="44665" hidden="1" x14ac:dyDescent="0.35"/>
    <row r="44666" hidden="1" x14ac:dyDescent="0.35"/>
    <row r="44667" hidden="1" x14ac:dyDescent="0.35"/>
    <row r="44668" hidden="1" x14ac:dyDescent="0.35"/>
    <row r="44669" hidden="1" x14ac:dyDescent="0.35"/>
    <row r="44670" hidden="1" x14ac:dyDescent="0.35"/>
    <row r="44671" hidden="1" x14ac:dyDescent="0.35"/>
    <row r="44672" hidden="1" x14ac:dyDescent="0.35"/>
    <row r="44673" hidden="1" x14ac:dyDescent="0.35"/>
    <row r="44674" hidden="1" x14ac:dyDescent="0.35"/>
    <row r="44675" hidden="1" x14ac:dyDescent="0.35"/>
    <row r="44676" hidden="1" x14ac:dyDescent="0.35"/>
    <row r="44677" hidden="1" x14ac:dyDescent="0.35"/>
    <row r="44678" hidden="1" x14ac:dyDescent="0.35"/>
    <row r="44679" hidden="1" x14ac:dyDescent="0.35"/>
    <row r="44680" hidden="1" x14ac:dyDescent="0.35"/>
    <row r="44681" hidden="1" x14ac:dyDescent="0.35"/>
    <row r="44682" hidden="1" x14ac:dyDescent="0.35"/>
    <row r="44683" hidden="1" x14ac:dyDescent="0.35"/>
    <row r="44684" hidden="1" x14ac:dyDescent="0.35"/>
    <row r="44685" hidden="1" x14ac:dyDescent="0.35"/>
    <row r="44686" hidden="1" x14ac:dyDescent="0.35"/>
    <row r="44687" hidden="1" x14ac:dyDescent="0.35"/>
    <row r="44688" hidden="1" x14ac:dyDescent="0.35"/>
    <row r="44689" hidden="1" x14ac:dyDescent="0.35"/>
    <row r="44690" hidden="1" x14ac:dyDescent="0.35"/>
    <row r="44691" hidden="1" x14ac:dyDescent="0.35"/>
    <row r="44692" hidden="1" x14ac:dyDescent="0.35"/>
    <row r="44693" hidden="1" x14ac:dyDescent="0.35"/>
    <row r="44694" hidden="1" x14ac:dyDescent="0.35"/>
    <row r="44695" hidden="1" x14ac:dyDescent="0.35"/>
    <row r="44696" hidden="1" x14ac:dyDescent="0.35"/>
    <row r="44697" hidden="1" x14ac:dyDescent="0.35"/>
    <row r="44698" hidden="1" x14ac:dyDescent="0.35"/>
    <row r="44699" hidden="1" x14ac:dyDescent="0.35"/>
    <row r="44700" hidden="1" x14ac:dyDescent="0.35"/>
    <row r="44701" hidden="1" x14ac:dyDescent="0.35"/>
    <row r="44702" hidden="1" x14ac:dyDescent="0.35"/>
    <row r="44703" hidden="1" x14ac:dyDescent="0.35"/>
    <row r="44704" hidden="1" x14ac:dyDescent="0.35"/>
    <row r="44705" hidden="1" x14ac:dyDescent="0.35"/>
    <row r="44706" hidden="1" x14ac:dyDescent="0.35"/>
    <row r="44707" hidden="1" x14ac:dyDescent="0.35"/>
    <row r="44708" hidden="1" x14ac:dyDescent="0.35"/>
    <row r="44709" hidden="1" x14ac:dyDescent="0.35"/>
    <row r="44710" hidden="1" x14ac:dyDescent="0.35"/>
    <row r="44711" hidden="1" x14ac:dyDescent="0.35"/>
    <row r="44712" hidden="1" x14ac:dyDescent="0.35"/>
    <row r="44713" hidden="1" x14ac:dyDescent="0.35"/>
    <row r="44714" hidden="1" x14ac:dyDescent="0.35"/>
    <row r="44715" hidden="1" x14ac:dyDescent="0.35"/>
    <row r="44716" hidden="1" x14ac:dyDescent="0.35"/>
    <row r="44717" hidden="1" x14ac:dyDescent="0.35"/>
    <row r="44718" hidden="1" x14ac:dyDescent="0.35"/>
    <row r="44719" hidden="1" x14ac:dyDescent="0.35"/>
    <row r="44720" hidden="1" x14ac:dyDescent="0.35"/>
    <row r="44721" hidden="1" x14ac:dyDescent="0.35"/>
    <row r="44722" hidden="1" x14ac:dyDescent="0.35"/>
    <row r="44723" hidden="1" x14ac:dyDescent="0.35"/>
    <row r="44724" hidden="1" x14ac:dyDescent="0.35"/>
    <row r="44725" hidden="1" x14ac:dyDescent="0.35"/>
    <row r="44726" hidden="1" x14ac:dyDescent="0.35"/>
    <row r="44727" hidden="1" x14ac:dyDescent="0.35"/>
    <row r="44728" hidden="1" x14ac:dyDescent="0.35"/>
    <row r="44729" hidden="1" x14ac:dyDescent="0.35"/>
    <row r="44730" hidden="1" x14ac:dyDescent="0.35"/>
    <row r="44731" hidden="1" x14ac:dyDescent="0.35"/>
    <row r="44732" hidden="1" x14ac:dyDescent="0.35"/>
    <row r="44733" hidden="1" x14ac:dyDescent="0.35"/>
    <row r="44734" hidden="1" x14ac:dyDescent="0.35"/>
    <row r="44735" hidden="1" x14ac:dyDescent="0.35"/>
    <row r="44736" hidden="1" x14ac:dyDescent="0.35"/>
    <row r="44737" hidden="1" x14ac:dyDescent="0.35"/>
    <row r="44738" hidden="1" x14ac:dyDescent="0.35"/>
    <row r="44739" hidden="1" x14ac:dyDescent="0.35"/>
    <row r="44740" hidden="1" x14ac:dyDescent="0.35"/>
    <row r="44741" hidden="1" x14ac:dyDescent="0.35"/>
    <row r="44742" hidden="1" x14ac:dyDescent="0.35"/>
    <row r="44743" hidden="1" x14ac:dyDescent="0.35"/>
    <row r="44744" hidden="1" x14ac:dyDescent="0.35"/>
    <row r="44745" hidden="1" x14ac:dyDescent="0.35"/>
    <row r="44746" hidden="1" x14ac:dyDescent="0.35"/>
    <row r="44747" hidden="1" x14ac:dyDescent="0.35"/>
    <row r="44748" hidden="1" x14ac:dyDescent="0.35"/>
    <row r="44749" hidden="1" x14ac:dyDescent="0.35"/>
    <row r="44750" hidden="1" x14ac:dyDescent="0.35"/>
    <row r="44751" hidden="1" x14ac:dyDescent="0.35"/>
    <row r="44752" hidden="1" x14ac:dyDescent="0.35"/>
    <row r="44753" hidden="1" x14ac:dyDescent="0.35"/>
    <row r="44754" hidden="1" x14ac:dyDescent="0.35"/>
    <row r="44755" hidden="1" x14ac:dyDescent="0.35"/>
    <row r="44756" hidden="1" x14ac:dyDescent="0.35"/>
    <row r="44757" hidden="1" x14ac:dyDescent="0.35"/>
    <row r="44758" hidden="1" x14ac:dyDescent="0.35"/>
    <row r="44759" hidden="1" x14ac:dyDescent="0.35"/>
    <row r="44760" hidden="1" x14ac:dyDescent="0.35"/>
    <row r="44761" hidden="1" x14ac:dyDescent="0.35"/>
    <row r="44762" hidden="1" x14ac:dyDescent="0.35"/>
    <row r="44763" hidden="1" x14ac:dyDescent="0.35"/>
    <row r="44764" hidden="1" x14ac:dyDescent="0.35"/>
    <row r="44765" hidden="1" x14ac:dyDescent="0.35"/>
    <row r="44766" hidden="1" x14ac:dyDescent="0.35"/>
    <row r="44767" hidden="1" x14ac:dyDescent="0.35"/>
    <row r="44768" hidden="1" x14ac:dyDescent="0.35"/>
    <row r="44769" hidden="1" x14ac:dyDescent="0.35"/>
    <row r="44770" hidden="1" x14ac:dyDescent="0.35"/>
    <row r="44771" hidden="1" x14ac:dyDescent="0.35"/>
    <row r="44772" hidden="1" x14ac:dyDescent="0.35"/>
    <row r="44773" hidden="1" x14ac:dyDescent="0.35"/>
    <row r="44774" hidden="1" x14ac:dyDescent="0.35"/>
    <row r="44775" hidden="1" x14ac:dyDescent="0.35"/>
    <row r="44776" hidden="1" x14ac:dyDescent="0.35"/>
    <row r="44777" hidden="1" x14ac:dyDescent="0.35"/>
    <row r="44778" hidden="1" x14ac:dyDescent="0.35"/>
    <row r="44779" hidden="1" x14ac:dyDescent="0.35"/>
    <row r="44780" hidden="1" x14ac:dyDescent="0.35"/>
    <row r="44781" hidden="1" x14ac:dyDescent="0.35"/>
    <row r="44782" hidden="1" x14ac:dyDescent="0.35"/>
    <row r="44783" hidden="1" x14ac:dyDescent="0.35"/>
    <row r="44784" hidden="1" x14ac:dyDescent="0.35"/>
    <row r="44785" hidden="1" x14ac:dyDescent="0.35"/>
    <row r="44786" hidden="1" x14ac:dyDescent="0.35"/>
    <row r="44787" hidden="1" x14ac:dyDescent="0.35"/>
    <row r="44788" hidden="1" x14ac:dyDescent="0.35"/>
    <row r="44789" hidden="1" x14ac:dyDescent="0.35"/>
    <row r="44790" hidden="1" x14ac:dyDescent="0.35"/>
    <row r="44791" hidden="1" x14ac:dyDescent="0.35"/>
    <row r="44792" hidden="1" x14ac:dyDescent="0.35"/>
    <row r="44793" hidden="1" x14ac:dyDescent="0.35"/>
    <row r="44794" hidden="1" x14ac:dyDescent="0.35"/>
    <row r="44795" hidden="1" x14ac:dyDescent="0.35"/>
    <row r="44796" hidden="1" x14ac:dyDescent="0.35"/>
    <row r="44797" hidden="1" x14ac:dyDescent="0.35"/>
    <row r="44798" hidden="1" x14ac:dyDescent="0.35"/>
    <row r="44799" hidden="1" x14ac:dyDescent="0.35"/>
    <row r="44800" hidden="1" x14ac:dyDescent="0.35"/>
    <row r="44801" hidden="1" x14ac:dyDescent="0.35"/>
    <row r="44802" hidden="1" x14ac:dyDescent="0.35"/>
    <row r="44803" hidden="1" x14ac:dyDescent="0.35"/>
    <row r="44804" hidden="1" x14ac:dyDescent="0.35"/>
    <row r="44805" hidden="1" x14ac:dyDescent="0.35"/>
    <row r="44806" hidden="1" x14ac:dyDescent="0.35"/>
    <row r="44807" hidden="1" x14ac:dyDescent="0.35"/>
    <row r="44808" hidden="1" x14ac:dyDescent="0.35"/>
    <row r="44809" hidden="1" x14ac:dyDescent="0.35"/>
    <row r="44810" hidden="1" x14ac:dyDescent="0.35"/>
    <row r="44811" hidden="1" x14ac:dyDescent="0.35"/>
    <row r="44812" hidden="1" x14ac:dyDescent="0.35"/>
    <row r="44813" hidden="1" x14ac:dyDescent="0.35"/>
    <row r="44814" hidden="1" x14ac:dyDescent="0.35"/>
    <row r="44815" hidden="1" x14ac:dyDescent="0.35"/>
    <row r="44816" hidden="1" x14ac:dyDescent="0.35"/>
    <row r="44817" hidden="1" x14ac:dyDescent="0.35"/>
    <row r="44818" hidden="1" x14ac:dyDescent="0.35"/>
    <row r="44819" hidden="1" x14ac:dyDescent="0.35"/>
    <row r="44820" hidden="1" x14ac:dyDescent="0.35"/>
    <row r="44821" hidden="1" x14ac:dyDescent="0.35"/>
    <row r="44822" hidden="1" x14ac:dyDescent="0.35"/>
    <row r="44823" hidden="1" x14ac:dyDescent="0.35"/>
    <row r="44824" hidden="1" x14ac:dyDescent="0.35"/>
    <row r="44825" hidden="1" x14ac:dyDescent="0.35"/>
    <row r="44826" hidden="1" x14ac:dyDescent="0.35"/>
    <row r="44827" hidden="1" x14ac:dyDescent="0.35"/>
    <row r="44828" hidden="1" x14ac:dyDescent="0.35"/>
    <row r="44829" hidden="1" x14ac:dyDescent="0.35"/>
    <row r="44830" hidden="1" x14ac:dyDescent="0.35"/>
    <row r="44831" hidden="1" x14ac:dyDescent="0.35"/>
    <row r="44832" hidden="1" x14ac:dyDescent="0.35"/>
    <row r="44833" hidden="1" x14ac:dyDescent="0.35"/>
    <row r="44834" hidden="1" x14ac:dyDescent="0.35"/>
    <row r="44835" hidden="1" x14ac:dyDescent="0.35"/>
    <row r="44836" hidden="1" x14ac:dyDescent="0.35"/>
    <row r="44837" hidden="1" x14ac:dyDescent="0.35"/>
    <row r="44838" hidden="1" x14ac:dyDescent="0.35"/>
    <row r="44839" hidden="1" x14ac:dyDescent="0.35"/>
    <row r="44840" hidden="1" x14ac:dyDescent="0.35"/>
    <row r="44841" hidden="1" x14ac:dyDescent="0.35"/>
    <row r="44842" hidden="1" x14ac:dyDescent="0.35"/>
    <row r="44843" hidden="1" x14ac:dyDescent="0.35"/>
    <row r="44844" hidden="1" x14ac:dyDescent="0.35"/>
    <row r="44845" hidden="1" x14ac:dyDescent="0.35"/>
    <row r="44846" hidden="1" x14ac:dyDescent="0.35"/>
    <row r="44847" hidden="1" x14ac:dyDescent="0.35"/>
    <row r="44848" hidden="1" x14ac:dyDescent="0.35"/>
    <row r="44849" hidden="1" x14ac:dyDescent="0.35"/>
    <row r="44850" hidden="1" x14ac:dyDescent="0.35"/>
    <row r="44851" hidden="1" x14ac:dyDescent="0.35"/>
    <row r="44852" hidden="1" x14ac:dyDescent="0.35"/>
    <row r="44853" hidden="1" x14ac:dyDescent="0.35"/>
    <row r="44854" hidden="1" x14ac:dyDescent="0.35"/>
    <row r="44855" hidden="1" x14ac:dyDescent="0.35"/>
    <row r="44856" hidden="1" x14ac:dyDescent="0.35"/>
    <row r="44857" hidden="1" x14ac:dyDescent="0.35"/>
    <row r="44858" hidden="1" x14ac:dyDescent="0.35"/>
    <row r="44859" hidden="1" x14ac:dyDescent="0.35"/>
    <row r="44860" hidden="1" x14ac:dyDescent="0.35"/>
    <row r="44861" hidden="1" x14ac:dyDescent="0.35"/>
    <row r="44862" hidden="1" x14ac:dyDescent="0.35"/>
    <row r="44863" hidden="1" x14ac:dyDescent="0.35"/>
    <row r="44864" hidden="1" x14ac:dyDescent="0.35"/>
    <row r="44865" hidden="1" x14ac:dyDescent="0.35"/>
    <row r="44866" hidden="1" x14ac:dyDescent="0.35"/>
    <row r="44867" hidden="1" x14ac:dyDescent="0.35"/>
    <row r="44868" hidden="1" x14ac:dyDescent="0.35"/>
    <row r="44869" hidden="1" x14ac:dyDescent="0.35"/>
    <row r="44870" hidden="1" x14ac:dyDescent="0.35"/>
    <row r="44871" hidden="1" x14ac:dyDescent="0.35"/>
    <row r="44872" hidden="1" x14ac:dyDescent="0.35"/>
    <row r="44873" hidden="1" x14ac:dyDescent="0.35"/>
    <row r="44874" hidden="1" x14ac:dyDescent="0.35"/>
    <row r="44875" hidden="1" x14ac:dyDescent="0.35"/>
    <row r="44876" hidden="1" x14ac:dyDescent="0.35"/>
    <row r="44877" hidden="1" x14ac:dyDescent="0.35"/>
    <row r="44878" hidden="1" x14ac:dyDescent="0.35"/>
    <row r="44879" hidden="1" x14ac:dyDescent="0.35"/>
    <row r="44880" hidden="1" x14ac:dyDescent="0.35"/>
    <row r="44881" hidden="1" x14ac:dyDescent="0.35"/>
    <row r="44882" hidden="1" x14ac:dyDescent="0.35"/>
    <row r="44883" hidden="1" x14ac:dyDescent="0.35"/>
    <row r="44884" hidden="1" x14ac:dyDescent="0.35"/>
    <row r="44885" hidden="1" x14ac:dyDescent="0.35"/>
    <row r="44886" hidden="1" x14ac:dyDescent="0.35"/>
    <row r="44887" hidden="1" x14ac:dyDescent="0.35"/>
    <row r="44888" hidden="1" x14ac:dyDescent="0.35"/>
    <row r="44889" hidden="1" x14ac:dyDescent="0.35"/>
    <row r="44890" hidden="1" x14ac:dyDescent="0.35"/>
    <row r="44891" hidden="1" x14ac:dyDescent="0.35"/>
    <row r="44892" hidden="1" x14ac:dyDescent="0.35"/>
    <row r="44893" hidden="1" x14ac:dyDescent="0.35"/>
    <row r="44894" hidden="1" x14ac:dyDescent="0.35"/>
    <row r="44895" hidden="1" x14ac:dyDescent="0.35"/>
    <row r="44896" hidden="1" x14ac:dyDescent="0.35"/>
    <row r="44897" hidden="1" x14ac:dyDescent="0.35"/>
    <row r="44898" hidden="1" x14ac:dyDescent="0.35"/>
    <row r="44899" hidden="1" x14ac:dyDescent="0.35"/>
    <row r="44900" hidden="1" x14ac:dyDescent="0.35"/>
    <row r="44901" hidden="1" x14ac:dyDescent="0.35"/>
    <row r="44902" hidden="1" x14ac:dyDescent="0.35"/>
    <row r="44903" hidden="1" x14ac:dyDescent="0.35"/>
    <row r="44904" hidden="1" x14ac:dyDescent="0.35"/>
    <row r="44905" hidden="1" x14ac:dyDescent="0.35"/>
    <row r="44906" hidden="1" x14ac:dyDescent="0.35"/>
    <row r="44907" hidden="1" x14ac:dyDescent="0.35"/>
    <row r="44908" hidden="1" x14ac:dyDescent="0.35"/>
    <row r="44909" hidden="1" x14ac:dyDescent="0.35"/>
    <row r="44910" hidden="1" x14ac:dyDescent="0.35"/>
    <row r="44911" hidden="1" x14ac:dyDescent="0.35"/>
    <row r="44912" hidden="1" x14ac:dyDescent="0.35"/>
    <row r="44913" hidden="1" x14ac:dyDescent="0.35"/>
    <row r="44914" hidden="1" x14ac:dyDescent="0.35"/>
    <row r="44915" hidden="1" x14ac:dyDescent="0.35"/>
    <row r="44916" hidden="1" x14ac:dyDescent="0.35"/>
    <row r="44917" hidden="1" x14ac:dyDescent="0.35"/>
    <row r="44918" hidden="1" x14ac:dyDescent="0.35"/>
    <row r="44919" hidden="1" x14ac:dyDescent="0.35"/>
    <row r="44920" hidden="1" x14ac:dyDescent="0.35"/>
    <row r="44921" hidden="1" x14ac:dyDescent="0.35"/>
    <row r="44922" hidden="1" x14ac:dyDescent="0.35"/>
    <row r="44923" hidden="1" x14ac:dyDescent="0.35"/>
    <row r="44924" hidden="1" x14ac:dyDescent="0.35"/>
    <row r="44925" hidden="1" x14ac:dyDescent="0.35"/>
    <row r="44926" hidden="1" x14ac:dyDescent="0.35"/>
    <row r="44927" hidden="1" x14ac:dyDescent="0.35"/>
    <row r="44928" hidden="1" x14ac:dyDescent="0.35"/>
    <row r="44929" hidden="1" x14ac:dyDescent="0.35"/>
    <row r="44930" hidden="1" x14ac:dyDescent="0.35"/>
    <row r="44931" hidden="1" x14ac:dyDescent="0.35"/>
    <row r="44932" hidden="1" x14ac:dyDescent="0.35"/>
    <row r="44933" hidden="1" x14ac:dyDescent="0.35"/>
    <row r="44934" hidden="1" x14ac:dyDescent="0.35"/>
    <row r="44935" hidden="1" x14ac:dyDescent="0.35"/>
    <row r="44936" hidden="1" x14ac:dyDescent="0.35"/>
    <row r="44937" hidden="1" x14ac:dyDescent="0.35"/>
    <row r="44938" hidden="1" x14ac:dyDescent="0.35"/>
    <row r="44939" hidden="1" x14ac:dyDescent="0.35"/>
    <row r="44940" hidden="1" x14ac:dyDescent="0.35"/>
    <row r="44941" hidden="1" x14ac:dyDescent="0.35"/>
    <row r="44942" hidden="1" x14ac:dyDescent="0.35"/>
    <row r="44943" hidden="1" x14ac:dyDescent="0.35"/>
    <row r="44944" hidden="1" x14ac:dyDescent="0.35"/>
    <row r="44945" hidden="1" x14ac:dyDescent="0.35"/>
    <row r="44946" hidden="1" x14ac:dyDescent="0.35"/>
    <row r="44947" hidden="1" x14ac:dyDescent="0.35"/>
    <row r="44948" hidden="1" x14ac:dyDescent="0.35"/>
    <row r="44949" hidden="1" x14ac:dyDescent="0.35"/>
    <row r="44950" hidden="1" x14ac:dyDescent="0.35"/>
    <row r="44951" hidden="1" x14ac:dyDescent="0.35"/>
    <row r="44952" hidden="1" x14ac:dyDescent="0.35"/>
    <row r="44953" hidden="1" x14ac:dyDescent="0.35"/>
    <row r="44954" hidden="1" x14ac:dyDescent="0.35"/>
    <row r="44955" hidden="1" x14ac:dyDescent="0.35"/>
    <row r="44956" hidden="1" x14ac:dyDescent="0.35"/>
    <row r="44957" hidden="1" x14ac:dyDescent="0.35"/>
    <row r="44958" hidden="1" x14ac:dyDescent="0.35"/>
    <row r="44959" hidden="1" x14ac:dyDescent="0.35"/>
    <row r="44960" hidden="1" x14ac:dyDescent="0.35"/>
    <row r="44961" hidden="1" x14ac:dyDescent="0.35"/>
    <row r="44962" hidden="1" x14ac:dyDescent="0.35"/>
    <row r="44963" hidden="1" x14ac:dyDescent="0.35"/>
    <row r="44964" hidden="1" x14ac:dyDescent="0.35"/>
    <row r="44965" hidden="1" x14ac:dyDescent="0.35"/>
    <row r="44966" hidden="1" x14ac:dyDescent="0.35"/>
    <row r="44967" hidden="1" x14ac:dyDescent="0.35"/>
    <row r="44968" hidden="1" x14ac:dyDescent="0.35"/>
    <row r="44969" hidden="1" x14ac:dyDescent="0.35"/>
    <row r="44970" hidden="1" x14ac:dyDescent="0.35"/>
    <row r="44971" hidden="1" x14ac:dyDescent="0.35"/>
    <row r="44972" hidden="1" x14ac:dyDescent="0.35"/>
    <row r="44973" hidden="1" x14ac:dyDescent="0.35"/>
    <row r="44974" hidden="1" x14ac:dyDescent="0.35"/>
    <row r="44975" hidden="1" x14ac:dyDescent="0.35"/>
    <row r="44976" hidden="1" x14ac:dyDescent="0.35"/>
    <row r="44977" hidden="1" x14ac:dyDescent="0.35"/>
    <row r="44978" hidden="1" x14ac:dyDescent="0.35"/>
    <row r="44979" hidden="1" x14ac:dyDescent="0.35"/>
    <row r="44980" hidden="1" x14ac:dyDescent="0.35"/>
    <row r="44981" hidden="1" x14ac:dyDescent="0.35"/>
    <row r="44982" hidden="1" x14ac:dyDescent="0.35"/>
    <row r="44983" hidden="1" x14ac:dyDescent="0.35"/>
    <row r="44984" hidden="1" x14ac:dyDescent="0.35"/>
    <row r="44985" hidden="1" x14ac:dyDescent="0.35"/>
    <row r="44986" hidden="1" x14ac:dyDescent="0.35"/>
    <row r="44987" hidden="1" x14ac:dyDescent="0.35"/>
    <row r="44988" hidden="1" x14ac:dyDescent="0.35"/>
    <row r="44989" hidden="1" x14ac:dyDescent="0.35"/>
    <row r="44990" hidden="1" x14ac:dyDescent="0.35"/>
    <row r="44991" hidden="1" x14ac:dyDescent="0.35"/>
    <row r="44992" hidden="1" x14ac:dyDescent="0.35"/>
    <row r="44993" hidden="1" x14ac:dyDescent="0.35"/>
    <row r="44994" hidden="1" x14ac:dyDescent="0.35"/>
    <row r="44995" hidden="1" x14ac:dyDescent="0.35"/>
    <row r="44996" hidden="1" x14ac:dyDescent="0.35"/>
    <row r="44997" hidden="1" x14ac:dyDescent="0.35"/>
    <row r="44998" hidden="1" x14ac:dyDescent="0.35"/>
    <row r="44999" hidden="1" x14ac:dyDescent="0.35"/>
    <row r="45000" hidden="1" x14ac:dyDescent="0.35"/>
    <row r="45001" hidden="1" x14ac:dyDescent="0.35"/>
    <row r="45002" hidden="1" x14ac:dyDescent="0.35"/>
    <row r="45003" hidden="1" x14ac:dyDescent="0.35"/>
    <row r="45004" hidden="1" x14ac:dyDescent="0.35"/>
    <row r="45005" hidden="1" x14ac:dyDescent="0.35"/>
    <row r="45006" hidden="1" x14ac:dyDescent="0.35"/>
    <row r="45007" hidden="1" x14ac:dyDescent="0.35"/>
    <row r="45008" hidden="1" x14ac:dyDescent="0.35"/>
    <row r="45009" hidden="1" x14ac:dyDescent="0.35"/>
    <row r="45010" hidden="1" x14ac:dyDescent="0.35"/>
    <row r="45011" hidden="1" x14ac:dyDescent="0.35"/>
    <row r="45012" hidden="1" x14ac:dyDescent="0.35"/>
    <row r="45013" hidden="1" x14ac:dyDescent="0.35"/>
    <row r="45014" hidden="1" x14ac:dyDescent="0.35"/>
    <row r="45015" hidden="1" x14ac:dyDescent="0.35"/>
    <row r="45016" hidden="1" x14ac:dyDescent="0.35"/>
    <row r="45017" hidden="1" x14ac:dyDescent="0.35"/>
    <row r="45018" hidden="1" x14ac:dyDescent="0.35"/>
    <row r="45019" hidden="1" x14ac:dyDescent="0.35"/>
    <row r="45020" hidden="1" x14ac:dyDescent="0.35"/>
    <row r="45021" hidden="1" x14ac:dyDescent="0.35"/>
    <row r="45022" hidden="1" x14ac:dyDescent="0.35"/>
    <row r="45023" hidden="1" x14ac:dyDescent="0.35"/>
    <row r="45024" hidden="1" x14ac:dyDescent="0.35"/>
    <row r="45025" hidden="1" x14ac:dyDescent="0.35"/>
    <row r="45026" hidden="1" x14ac:dyDescent="0.35"/>
    <row r="45027" hidden="1" x14ac:dyDescent="0.35"/>
    <row r="45028" hidden="1" x14ac:dyDescent="0.35"/>
    <row r="45029" hidden="1" x14ac:dyDescent="0.35"/>
    <row r="45030" hidden="1" x14ac:dyDescent="0.35"/>
    <row r="45031" hidden="1" x14ac:dyDescent="0.35"/>
    <row r="45032" hidden="1" x14ac:dyDescent="0.35"/>
    <row r="45033" hidden="1" x14ac:dyDescent="0.35"/>
    <row r="45034" hidden="1" x14ac:dyDescent="0.35"/>
    <row r="45035" hidden="1" x14ac:dyDescent="0.35"/>
    <row r="45036" hidden="1" x14ac:dyDescent="0.35"/>
    <row r="45037" hidden="1" x14ac:dyDescent="0.35"/>
    <row r="45038" hidden="1" x14ac:dyDescent="0.35"/>
    <row r="45039" hidden="1" x14ac:dyDescent="0.35"/>
    <row r="45040" hidden="1" x14ac:dyDescent="0.35"/>
    <row r="45041" hidden="1" x14ac:dyDescent="0.35"/>
    <row r="45042" hidden="1" x14ac:dyDescent="0.35"/>
    <row r="45043" hidden="1" x14ac:dyDescent="0.35"/>
    <row r="45044" hidden="1" x14ac:dyDescent="0.35"/>
    <row r="45045" hidden="1" x14ac:dyDescent="0.35"/>
    <row r="45046" hidden="1" x14ac:dyDescent="0.35"/>
    <row r="45047" hidden="1" x14ac:dyDescent="0.35"/>
    <row r="45048" hidden="1" x14ac:dyDescent="0.35"/>
    <row r="45049" hidden="1" x14ac:dyDescent="0.35"/>
    <row r="45050" hidden="1" x14ac:dyDescent="0.35"/>
    <row r="45051" hidden="1" x14ac:dyDescent="0.35"/>
    <row r="45052" hidden="1" x14ac:dyDescent="0.35"/>
    <row r="45053" hidden="1" x14ac:dyDescent="0.35"/>
    <row r="45054" hidden="1" x14ac:dyDescent="0.35"/>
    <row r="45055" hidden="1" x14ac:dyDescent="0.35"/>
    <row r="45056" hidden="1" x14ac:dyDescent="0.35"/>
    <row r="45057" hidden="1" x14ac:dyDescent="0.35"/>
    <row r="45058" hidden="1" x14ac:dyDescent="0.35"/>
    <row r="45059" hidden="1" x14ac:dyDescent="0.35"/>
    <row r="45060" hidden="1" x14ac:dyDescent="0.35"/>
    <row r="45061" hidden="1" x14ac:dyDescent="0.35"/>
    <row r="45062" hidden="1" x14ac:dyDescent="0.35"/>
    <row r="45063" hidden="1" x14ac:dyDescent="0.35"/>
    <row r="45064" hidden="1" x14ac:dyDescent="0.35"/>
    <row r="45065" hidden="1" x14ac:dyDescent="0.35"/>
    <row r="45066" hidden="1" x14ac:dyDescent="0.35"/>
    <row r="45067" hidden="1" x14ac:dyDescent="0.35"/>
    <row r="45068" hidden="1" x14ac:dyDescent="0.35"/>
    <row r="45069" hidden="1" x14ac:dyDescent="0.35"/>
    <row r="45070" hidden="1" x14ac:dyDescent="0.35"/>
    <row r="45071" hidden="1" x14ac:dyDescent="0.35"/>
    <row r="45072" hidden="1" x14ac:dyDescent="0.35"/>
    <row r="45073" hidden="1" x14ac:dyDescent="0.35"/>
    <row r="45074" hidden="1" x14ac:dyDescent="0.35"/>
    <row r="45075" hidden="1" x14ac:dyDescent="0.35"/>
    <row r="45076" hidden="1" x14ac:dyDescent="0.35"/>
    <row r="45077" hidden="1" x14ac:dyDescent="0.35"/>
    <row r="45078" hidden="1" x14ac:dyDescent="0.35"/>
    <row r="45079" hidden="1" x14ac:dyDescent="0.35"/>
    <row r="45080" hidden="1" x14ac:dyDescent="0.35"/>
    <row r="45081" hidden="1" x14ac:dyDescent="0.35"/>
    <row r="45082" hidden="1" x14ac:dyDescent="0.35"/>
    <row r="45083" hidden="1" x14ac:dyDescent="0.35"/>
    <row r="45084" hidden="1" x14ac:dyDescent="0.35"/>
    <row r="45085" hidden="1" x14ac:dyDescent="0.35"/>
    <row r="45086" hidden="1" x14ac:dyDescent="0.35"/>
    <row r="45087" hidden="1" x14ac:dyDescent="0.35"/>
    <row r="45088" hidden="1" x14ac:dyDescent="0.35"/>
    <row r="45089" hidden="1" x14ac:dyDescent="0.35"/>
    <row r="45090" hidden="1" x14ac:dyDescent="0.35"/>
    <row r="45091" hidden="1" x14ac:dyDescent="0.35"/>
    <row r="45092" hidden="1" x14ac:dyDescent="0.35"/>
    <row r="45093" hidden="1" x14ac:dyDescent="0.35"/>
    <row r="45094" hidden="1" x14ac:dyDescent="0.35"/>
    <row r="45095" hidden="1" x14ac:dyDescent="0.35"/>
    <row r="45096" hidden="1" x14ac:dyDescent="0.35"/>
    <row r="45097" hidden="1" x14ac:dyDescent="0.35"/>
    <row r="45098" hidden="1" x14ac:dyDescent="0.35"/>
    <row r="45099" hidden="1" x14ac:dyDescent="0.35"/>
    <row r="45100" hidden="1" x14ac:dyDescent="0.35"/>
    <row r="45101" hidden="1" x14ac:dyDescent="0.35"/>
    <row r="45102" hidden="1" x14ac:dyDescent="0.35"/>
    <row r="45103" hidden="1" x14ac:dyDescent="0.35"/>
    <row r="45104" hidden="1" x14ac:dyDescent="0.35"/>
    <row r="45105" hidden="1" x14ac:dyDescent="0.35"/>
    <row r="45106" hidden="1" x14ac:dyDescent="0.35"/>
    <row r="45107" hidden="1" x14ac:dyDescent="0.35"/>
    <row r="45108" hidden="1" x14ac:dyDescent="0.35"/>
    <row r="45109" hidden="1" x14ac:dyDescent="0.35"/>
    <row r="45110" hidden="1" x14ac:dyDescent="0.35"/>
    <row r="45111" hidden="1" x14ac:dyDescent="0.35"/>
    <row r="45112" hidden="1" x14ac:dyDescent="0.35"/>
    <row r="45113" hidden="1" x14ac:dyDescent="0.35"/>
    <row r="45114" hidden="1" x14ac:dyDescent="0.35"/>
    <row r="45115" hidden="1" x14ac:dyDescent="0.35"/>
    <row r="45116" hidden="1" x14ac:dyDescent="0.35"/>
    <row r="45117" hidden="1" x14ac:dyDescent="0.35"/>
    <row r="45118" hidden="1" x14ac:dyDescent="0.35"/>
    <row r="45119" hidden="1" x14ac:dyDescent="0.35"/>
    <row r="45120" hidden="1" x14ac:dyDescent="0.35"/>
    <row r="45121" hidden="1" x14ac:dyDescent="0.35"/>
    <row r="45122" hidden="1" x14ac:dyDescent="0.35"/>
    <row r="45123" hidden="1" x14ac:dyDescent="0.35"/>
    <row r="45124" hidden="1" x14ac:dyDescent="0.35"/>
    <row r="45125" hidden="1" x14ac:dyDescent="0.35"/>
    <row r="45126" hidden="1" x14ac:dyDescent="0.35"/>
    <row r="45127" hidden="1" x14ac:dyDescent="0.35"/>
    <row r="45128" hidden="1" x14ac:dyDescent="0.35"/>
    <row r="45129" hidden="1" x14ac:dyDescent="0.35"/>
    <row r="45130" hidden="1" x14ac:dyDescent="0.35"/>
    <row r="45131" hidden="1" x14ac:dyDescent="0.35"/>
    <row r="45132" hidden="1" x14ac:dyDescent="0.35"/>
    <row r="45133" hidden="1" x14ac:dyDescent="0.35"/>
    <row r="45134" hidden="1" x14ac:dyDescent="0.35"/>
    <row r="45135" hidden="1" x14ac:dyDescent="0.35"/>
    <row r="45136" hidden="1" x14ac:dyDescent="0.35"/>
    <row r="45137" hidden="1" x14ac:dyDescent="0.35"/>
    <row r="45138" hidden="1" x14ac:dyDescent="0.35"/>
    <row r="45139" hidden="1" x14ac:dyDescent="0.35"/>
    <row r="45140" hidden="1" x14ac:dyDescent="0.35"/>
    <row r="45141" hidden="1" x14ac:dyDescent="0.35"/>
    <row r="45142" hidden="1" x14ac:dyDescent="0.35"/>
    <row r="45143" hidden="1" x14ac:dyDescent="0.35"/>
    <row r="45144" hidden="1" x14ac:dyDescent="0.35"/>
    <row r="45145" hidden="1" x14ac:dyDescent="0.35"/>
    <row r="45146" hidden="1" x14ac:dyDescent="0.35"/>
    <row r="45147" hidden="1" x14ac:dyDescent="0.35"/>
    <row r="45148" hidden="1" x14ac:dyDescent="0.35"/>
    <row r="45149" hidden="1" x14ac:dyDescent="0.35"/>
    <row r="45150" hidden="1" x14ac:dyDescent="0.35"/>
    <row r="45151" hidden="1" x14ac:dyDescent="0.35"/>
    <row r="45152" hidden="1" x14ac:dyDescent="0.35"/>
    <row r="45153" hidden="1" x14ac:dyDescent="0.35"/>
    <row r="45154" hidden="1" x14ac:dyDescent="0.35"/>
    <row r="45155" hidden="1" x14ac:dyDescent="0.35"/>
    <row r="45156" hidden="1" x14ac:dyDescent="0.35"/>
    <row r="45157" hidden="1" x14ac:dyDescent="0.35"/>
    <row r="45158" hidden="1" x14ac:dyDescent="0.35"/>
    <row r="45159" hidden="1" x14ac:dyDescent="0.35"/>
    <row r="45160" hidden="1" x14ac:dyDescent="0.35"/>
    <row r="45161" hidden="1" x14ac:dyDescent="0.35"/>
    <row r="45162" hidden="1" x14ac:dyDescent="0.35"/>
    <row r="45163" hidden="1" x14ac:dyDescent="0.35"/>
    <row r="45164" hidden="1" x14ac:dyDescent="0.35"/>
    <row r="45165" hidden="1" x14ac:dyDescent="0.35"/>
    <row r="45166" hidden="1" x14ac:dyDescent="0.35"/>
    <row r="45167" hidden="1" x14ac:dyDescent="0.35"/>
    <row r="45168" hidden="1" x14ac:dyDescent="0.35"/>
    <row r="45169" hidden="1" x14ac:dyDescent="0.35"/>
    <row r="45170" hidden="1" x14ac:dyDescent="0.35"/>
    <row r="45171" hidden="1" x14ac:dyDescent="0.35"/>
    <row r="45172" hidden="1" x14ac:dyDescent="0.35"/>
    <row r="45173" hidden="1" x14ac:dyDescent="0.35"/>
    <row r="45174" hidden="1" x14ac:dyDescent="0.35"/>
    <row r="45175" hidden="1" x14ac:dyDescent="0.35"/>
    <row r="45176" hidden="1" x14ac:dyDescent="0.35"/>
    <row r="45177" hidden="1" x14ac:dyDescent="0.35"/>
    <row r="45178" hidden="1" x14ac:dyDescent="0.35"/>
    <row r="45179" hidden="1" x14ac:dyDescent="0.35"/>
    <row r="45180" hidden="1" x14ac:dyDescent="0.35"/>
    <row r="45181" hidden="1" x14ac:dyDescent="0.35"/>
    <row r="45182" hidden="1" x14ac:dyDescent="0.35"/>
    <row r="45183" hidden="1" x14ac:dyDescent="0.35"/>
    <row r="45184" hidden="1" x14ac:dyDescent="0.35"/>
    <row r="45185" hidden="1" x14ac:dyDescent="0.35"/>
    <row r="45186" hidden="1" x14ac:dyDescent="0.35"/>
    <row r="45187" hidden="1" x14ac:dyDescent="0.35"/>
    <row r="45188" hidden="1" x14ac:dyDescent="0.35"/>
    <row r="45189" hidden="1" x14ac:dyDescent="0.35"/>
    <row r="45190" hidden="1" x14ac:dyDescent="0.35"/>
    <row r="45191" hidden="1" x14ac:dyDescent="0.35"/>
    <row r="45192" hidden="1" x14ac:dyDescent="0.35"/>
    <row r="45193" hidden="1" x14ac:dyDescent="0.35"/>
    <row r="45194" hidden="1" x14ac:dyDescent="0.35"/>
    <row r="45195" hidden="1" x14ac:dyDescent="0.35"/>
    <row r="45196" hidden="1" x14ac:dyDescent="0.35"/>
    <row r="45197" hidden="1" x14ac:dyDescent="0.35"/>
    <row r="45198" hidden="1" x14ac:dyDescent="0.35"/>
    <row r="45199" hidden="1" x14ac:dyDescent="0.35"/>
    <row r="45200" hidden="1" x14ac:dyDescent="0.35"/>
    <row r="45201" hidden="1" x14ac:dyDescent="0.35"/>
    <row r="45202" hidden="1" x14ac:dyDescent="0.35"/>
    <row r="45203" hidden="1" x14ac:dyDescent="0.35"/>
    <row r="45204" hidden="1" x14ac:dyDescent="0.35"/>
    <row r="45205" hidden="1" x14ac:dyDescent="0.35"/>
    <row r="45206" hidden="1" x14ac:dyDescent="0.35"/>
    <row r="45207" hidden="1" x14ac:dyDescent="0.35"/>
    <row r="45208" hidden="1" x14ac:dyDescent="0.35"/>
    <row r="45209" hidden="1" x14ac:dyDescent="0.35"/>
    <row r="45210" hidden="1" x14ac:dyDescent="0.35"/>
    <row r="45211" hidden="1" x14ac:dyDescent="0.35"/>
    <row r="45212" hidden="1" x14ac:dyDescent="0.35"/>
    <row r="45213" hidden="1" x14ac:dyDescent="0.35"/>
    <row r="45214" hidden="1" x14ac:dyDescent="0.35"/>
    <row r="45215" hidden="1" x14ac:dyDescent="0.35"/>
    <row r="45216" hidden="1" x14ac:dyDescent="0.35"/>
    <row r="45217" hidden="1" x14ac:dyDescent="0.35"/>
    <row r="45218" hidden="1" x14ac:dyDescent="0.35"/>
    <row r="45219" hidden="1" x14ac:dyDescent="0.35"/>
    <row r="45220" hidden="1" x14ac:dyDescent="0.35"/>
    <row r="45221" hidden="1" x14ac:dyDescent="0.35"/>
    <row r="45222" hidden="1" x14ac:dyDescent="0.35"/>
    <row r="45223" hidden="1" x14ac:dyDescent="0.35"/>
    <row r="45224" hidden="1" x14ac:dyDescent="0.35"/>
    <row r="45225" hidden="1" x14ac:dyDescent="0.35"/>
    <row r="45226" hidden="1" x14ac:dyDescent="0.35"/>
    <row r="45227" hidden="1" x14ac:dyDescent="0.35"/>
    <row r="45228" hidden="1" x14ac:dyDescent="0.35"/>
    <row r="45229" hidden="1" x14ac:dyDescent="0.35"/>
    <row r="45230" hidden="1" x14ac:dyDescent="0.35"/>
    <row r="45231" hidden="1" x14ac:dyDescent="0.35"/>
    <row r="45232" hidden="1" x14ac:dyDescent="0.35"/>
    <row r="45233" hidden="1" x14ac:dyDescent="0.35"/>
    <row r="45234" hidden="1" x14ac:dyDescent="0.35"/>
    <row r="45235" hidden="1" x14ac:dyDescent="0.35"/>
    <row r="45236" hidden="1" x14ac:dyDescent="0.35"/>
    <row r="45237" hidden="1" x14ac:dyDescent="0.35"/>
    <row r="45238" hidden="1" x14ac:dyDescent="0.35"/>
    <row r="45239" hidden="1" x14ac:dyDescent="0.35"/>
    <row r="45240" hidden="1" x14ac:dyDescent="0.35"/>
    <row r="45241" hidden="1" x14ac:dyDescent="0.35"/>
    <row r="45242" hidden="1" x14ac:dyDescent="0.35"/>
    <row r="45243" hidden="1" x14ac:dyDescent="0.35"/>
    <row r="45244" hidden="1" x14ac:dyDescent="0.35"/>
    <row r="45245" hidden="1" x14ac:dyDescent="0.35"/>
    <row r="45246" hidden="1" x14ac:dyDescent="0.35"/>
    <row r="45247" hidden="1" x14ac:dyDescent="0.35"/>
    <row r="45248" hidden="1" x14ac:dyDescent="0.35"/>
    <row r="45249" hidden="1" x14ac:dyDescent="0.35"/>
    <row r="45250" hidden="1" x14ac:dyDescent="0.35"/>
    <row r="45251" hidden="1" x14ac:dyDescent="0.35"/>
    <row r="45252" hidden="1" x14ac:dyDescent="0.35"/>
    <row r="45253" hidden="1" x14ac:dyDescent="0.35"/>
    <row r="45254" hidden="1" x14ac:dyDescent="0.35"/>
    <row r="45255" hidden="1" x14ac:dyDescent="0.35"/>
    <row r="45256" hidden="1" x14ac:dyDescent="0.35"/>
    <row r="45257" hidden="1" x14ac:dyDescent="0.35"/>
    <row r="45258" hidden="1" x14ac:dyDescent="0.35"/>
    <row r="45259" hidden="1" x14ac:dyDescent="0.35"/>
    <row r="45260" hidden="1" x14ac:dyDescent="0.35"/>
    <row r="45261" hidden="1" x14ac:dyDescent="0.35"/>
    <row r="45262" hidden="1" x14ac:dyDescent="0.35"/>
    <row r="45263" hidden="1" x14ac:dyDescent="0.35"/>
    <row r="45264" hidden="1" x14ac:dyDescent="0.35"/>
    <row r="45265" hidden="1" x14ac:dyDescent="0.35"/>
    <row r="45266" hidden="1" x14ac:dyDescent="0.35"/>
    <row r="45267" hidden="1" x14ac:dyDescent="0.35"/>
    <row r="45268" hidden="1" x14ac:dyDescent="0.35"/>
    <row r="45269" hidden="1" x14ac:dyDescent="0.35"/>
    <row r="45270" hidden="1" x14ac:dyDescent="0.35"/>
    <row r="45271" hidden="1" x14ac:dyDescent="0.35"/>
    <row r="45272" hidden="1" x14ac:dyDescent="0.35"/>
    <row r="45273" hidden="1" x14ac:dyDescent="0.35"/>
    <row r="45274" hidden="1" x14ac:dyDescent="0.35"/>
    <row r="45275" hidden="1" x14ac:dyDescent="0.35"/>
    <row r="45276" hidden="1" x14ac:dyDescent="0.35"/>
    <row r="45277" hidden="1" x14ac:dyDescent="0.35"/>
    <row r="45278" hidden="1" x14ac:dyDescent="0.35"/>
    <row r="45279" hidden="1" x14ac:dyDescent="0.35"/>
    <row r="45280" hidden="1" x14ac:dyDescent="0.35"/>
    <row r="45281" hidden="1" x14ac:dyDescent="0.35"/>
    <row r="45282" hidden="1" x14ac:dyDescent="0.35"/>
    <row r="45283" hidden="1" x14ac:dyDescent="0.35"/>
    <row r="45284" hidden="1" x14ac:dyDescent="0.35"/>
    <row r="45285" hidden="1" x14ac:dyDescent="0.35"/>
    <row r="45286" hidden="1" x14ac:dyDescent="0.35"/>
    <row r="45287" hidden="1" x14ac:dyDescent="0.35"/>
    <row r="45288" hidden="1" x14ac:dyDescent="0.35"/>
    <row r="45289" hidden="1" x14ac:dyDescent="0.35"/>
    <row r="45290" hidden="1" x14ac:dyDescent="0.35"/>
    <row r="45291" hidden="1" x14ac:dyDescent="0.35"/>
    <row r="45292" hidden="1" x14ac:dyDescent="0.35"/>
    <row r="45293" hidden="1" x14ac:dyDescent="0.35"/>
    <row r="45294" hidden="1" x14ac:dyDescent="0.35"/>
    <row r="45295" hidden="1" x14ac:dyDescent="0.35"/>
    <row r="45296" hidden="1" x14ac:dyDescent="0.35"/>
    <row r="45297" hidden="1" x14ac:dyDescent="0.35"/>
    <row r="45298" hidden="1" x14ac:dyDescent="0.35"/>
    <row r="45299" hidden="1" x14ac:dyDescent="0.35"/>
    <row r="45300" hidden="1" x14ac:dyDescent="0.35"/>
    <row r="45301" hidden="1" x14ac:dyDescent="0.35"/>
    <row r="45302" hidden="1" x14ac:dyDescent="0.35"/>
    <row r="45303" hidden="1" x14ac:dyDescent="0.35"/>
    <row r="45304" hidden="1" x14ac:dyDescent="0.35"/>
    <row r="45305" hidden="1" x14ac:dyDescent="0.35"/>
    <row r="45306" hidden="1" x14ac:dyDescent="0.35"/>
    <row r="45307" hidden="1" x14ac:dyDescent="0.35"/>
    <row r="45308" hidden="1" x14ac:dyDescent="0.35"/>
    <row r="45309" hidden="1" x14ac:dyDescent="0.35"/>
    <row r="45310" hidden="1" x14ac:dyDescent="0.35"/>
    <row r="45311" hidden="1" x14ac:dyDescent="0.35"/>
    <row r="45312" hidden="1" x14ac:dyDescent="0.35"/>
    <row r="45313" hidden="1" x14ac:dyDescent="0.35"/>
    <row r="45314" hidden="1" x14ac:dyDescent="0.35"/>
    <row r="45315" hidden="1" x14ac:dyDescent="0.35"/>
    <row r="45316" hidden="1" x14ac:dyDescent="0.35"/>
    <row r="45317" hidden="1" x14ac:dyDescent="0.35"/>
    <row r="45318" hidden="1" x14ac:dyDescent="0.35"/>
    <row r="45319" hidden="1" x14ac:dyDescent="0.35"/>
    <row r="45320" hidden="1" x14ac:dyDescent="0.35"/>
    <row r="45321" hidden="1" x14ac:dyDescent="0.35"/>
    <row r="45322" hidden="1" x14ac:dyDescent="0.35"/>
    <row r="45323" hidden="1" x14ac:dyDescent="0.35"/>
    <row r="45324" hidden="1" x14ac:dyDescent="0.35"/>
    <row r="45325" hidden="1" x14ac:dyDescent="0.35"/>
    <row r="45326" hidden="1" x14ac:dyDescent="0.35"/>
    <row r="45327" hidden="1" x14ac:dyDescent="0.35"/>
    <row r="45328" hidden="1" x14ac:dyDescent="0.35"/>
    <row r="45329" hidden="1" x14ac:dyDescent="0.35"/>
    <row r="45330" hidden="1" x14ac:dyDescent="0.35"/>
    <row r="45331" hidden="1" x14ac:dyDescent="0.35"/>
    <row r="45332" hidden="1" x14ac:dyDescent="0.35"/>
    <row r="45333" hidden="1" x14ac:dyDescent="0.35"/>
    <row r="45334" hidden="1" x14ac:dyDescent="0.35"/>
    <row r="45335" hidden="1" x14ac:dyDescent="0.35"/>
    <row r="45336" hidden="1" x14ac:dyDescent="0.35"/>
    <row r="45337" hidden="1" x14ac:dyDescent="0.35"/>
    <row r="45338" hidden="1" x14ac:dyDescent="0.35"/>
    <row r="45339" hidden="1" x14ac:dyDescent="0.35"/>
    <row r="45340" hidden="1" x14ac:dyDescent="0.35"/>
    <row r="45341" hidden="1" x14ac:dyDescent="0.35"/>
    <row r="45342" hidden="1" x14ac:dyDescent="0.35"/>
    <row r="45343" hidden="1" x14ac:dyDescent="0.35"/>
    <row r="45344" hidden="1" x14ac:dyDescent="0.35"/>
    <row r="45345" hidden="1" x14ac:dyDescent="0.35"/>
    <row r="45346" hidden="1" x14ac:dyDescent="0.35"/>
    <row r="45347" hidden="1" x14ac:dyDescent="0.35"/>
    <row r="45348" hidden="1" x14ac:dyDescent="0.35"/>
    <row r="45349" hidden="1" x14ac:dyDescent="0.35"/>
    <row r="45350" hidden="1" x14ac:dyDescent="0.35"/>
    <row r="45351" hidden="1" x14ac:dyDescent="0.35"/>
    <row r="45352" hidden="1" x14ac:dyDescent="0.35"/>
    <row r="45353" hidden="1" x14ac:dyDescent="0.35"/>
    <row r="45354" hidden="1" x14ac:dyDescent="0.35"/>
    <row r="45355" hidden="1" x14ac:dyDescent="0.35"/>
    <row r="45356" hidden="1" x14ac:dyDescent="0.35"/>
    <row r="45357" hidden="1" x14ac:dyDescent="0.35"/>
    <row r="45358" hidden="1" x14ac:dyDescent="0.35"/>
    <row r="45359" hidden="1" x14ac:dyDescent="0.35"/>
    <row r="45360" hidden="1" x14ac:dyDescent="0.35"/>
    <row r="45361" hidden="1" x14ac:dyDescent="0.35"/>
    <row r="45362" hidden="1" x14ac:dyDescent="0.35"/>
    <row r="45363" hidden="1" x14ac:dyDescent="0.35"/>
    <row r="45364" hidden="1" x14ac:dyDescent="0.35"/>
    <row r="45365" hidden="1" x14ac:dyDescent="0.35"/>
    <row r="45366" hidden="1" x14ac:dyDescent="0.35"/>
    <row r="45367" hidden="1" x14ac:dyDescent="0.35"/>
    <row r="45368" hidden="1" x14ac:dyDescent="0.35"/>
    <row r="45369" hidden="1" x14ac:dyDescent="0.35"/>
    <row r="45370" hidden="1" x14ac:dyDescent="0.35"/>
    <row r="45371" hidden="1" x14ac:dyDescent="0.35"/>
    <row r="45372" hidden="1" x14ac:dyDescent="0.35"/>
    <row r="45373" hidden="1" x14ac:dyDescent="0.35"/>
    <row r="45374" hidden="1" x14ac:dyDescent="0.35"/>
    <row r="45375" hidden="1" x14ac:dyDescent="0.35"/>
    <row r="45376" hidden="1" x14ac:dyDescent="0.35"/>
    <row r="45377" hidden="1" x14ac:dyDescent="0.35"/>
    <row r="45378" hidden="1" x14ac:dyDescent="0.35"/>
    <row r="45379" hidden="1" x14ac:dyDescent="0.35"/>
    <row r="45380" hidden="1" x14ac:dyDescent="0.35"/>
    <row r="45381" hidden="1" x14ac:dyDescent="0.35"/>
    <row r="45382" hidden="1" x14ac:dyDescent="0.35"/>
    <row r="45383" hidden="1" x14ac:dyDescent="0.35"/>
    <row r="45384" hidden="1" x14ac:dyDescent="0.35"/>
    <row r="45385" hidden="1" x14ac:dyDescent="0.35"/>
    <row r="45386" hidden="1" x14ac:dyDescent="0.35"/>
    <row r="45387" hidden="1" x14ac:dyDescent="0.35"/>
    <row r="45388" hidden="1" x14ac:dyDescent="0.35"/>
    <row r="45389" hidden="1" x14ac:dyDescent="0.35"/>
    <row r="45390" hidden="1" x14ac:dyDescent="0.35"/>
    <row r="45391" hidden="1" x14ac:dyDescent="0.35"/>
    <row r="45392" hidden="1" x14ac:dyDescent="0.35"/>
    <row r="45393" hidden="1" x14ac:dyDescent="0.35"/>
    <row r="45394" hidden="1" x14ac:dyDescent="0.35"/>
    <row r="45395" hidden="1" x14ac:dyDescent="0.35"/>
    <row r="45396" hidden="1" x14ac:dyDescent="0.35"/>
    <row r="45397" hidden="1" x14ac:dyDescent="0.35"/>
    <row r="45398" hidden="1" x14ac:dyDescent="0.35"/>
    <row r="45399" hidden="1" x14ac:dyDescent="0.35"/>
    <row r="45400" hidden="1" x14ac:dyDescent="0.35"/>
    <row r="45401" hidden="1" x14ac:dyDescent="0.35"/>
    <row r="45402" hidden="1" x14ac:dyDescent="0.35"/>
    <row r="45403" hidden="1" x14ac:dyDescent="0.35"/>
    <row r="45404" hidden="1" x14ac:dyDescent="0.35"/>
    <row r="45405" hidden="1" x14ac:dyDescent="0.35"/>
    <row r="45406" hidden="1" x14ac:dyDescent="0.35"/>
    <row r="45407" hidden="1" x14ac:dyDescent="0.35"/>
    <row r="45408" hidden="1" x14ac:dyDescent="0.35"/>
    <row r="45409" hidden="1" x14ac:dyDescent="0.35"/>
    <row r="45410" hidden="1" x14ac:dyDescent="0.35"/>
    <row r="45411" hidden="1" x14ac:dyDescent="0.35"/>
    <row r="45412" hidden="1" x14ac:dyDescent="0.35"/>
    <row r="45413" hidden="1" x14ac:dyDescent="0.35"/>
    <row r="45414" hidden="1" x14ac:dyDescent="0.35"/>
    <row r="45415" hidden="1" x14ac:dyDescent="0.35"/>
    <row r="45416" hidden="1" x14ac:dyDescent="0.35"/>
    <row r="45417" hidden="1" x14ac:dyDescent="0.35"/>
    <row r="45418" hidden="1" x14ac:dyDescent="0.35"/>
    <row r="45419" hidden="1" x14ac:dyDescent="0.35"/>
    <row r="45420" hidden="1" x14ac:dyDescent="0.35"/>
    <row r="45421" hidden="1" x14ac:dyDescent="0.35"/>
    <row r="45422" hidden="1" x14ac:dyDescent="0.35"/>
    <row r="45423" hidden="1" x14ac:dyDescent="0.35"/>
    <row r="45424" hidden="1" x14ac:dyDescent="0.35"/>
    <row r="45425" hidden="1" x14ac:dyDescent="0.35"/>
    <row r="45426" hidden="1" x14ac:dyDescent="0.35"/>
    <row r="45427" hidden="1" x14ac:dyDescent="0.35"/>
    <row r="45428" hidden="1" x14ac:dyDescent="0.35"/>
    <row r="45429" hidden="1" x14ac:dyDescent="0.35"/>
    <row r="45430" hidden="1" x14ac:dyDescent="0.35"/>
    <row r="45431" hidden="1" x14ac:dyDescent="0.35"/>
    <row r="45432" hidden="1" x14ac:dyDescent="0.35"/>
    <row r="45433" hidden="1" x14ac:dyDescent="0.35"/>
    <row r="45434" hidden="1" x14ac:dyDescent="0.35"/>
    <row r="45435" hidden="1" x14ac:dyDescent="0.35"/>
    <row r="45436" hidden="1" x14ac:dyDescent="0.35"/>
    <row r="45437" hidden="1" x14ac:dyDescent="0.35"/>
    <row r="45438" hidden="1" x14ac:dyDescent="0.35"/>
    <row r="45439" hidden="1" x14ac:dyDescent="0.35"/>
    <row r="45440" hidden="1" x14ac:dyDescent="0.35"/>
    <row r="45441" hidden="1" x14ac:dyDescent="0.35"/>
    <row r="45442" hidden="1" x14ac:dyDescent="0.35"/>
    <row r="45443" hidden="1" x14ac:dyDescent="0.35"/>
    <row r="45444" hidden="1" x14ac:dyDescent="0.35"/>
    <row r="45445" hidden="1" x14ac:dyDescent="0.35"/>
    <row r="45446" hidden="1" x14ac:dyDescent="0.35"/>
    <row r="45447" hidden="1" x14ac:dyDescent="0.35"/>
    <row r="45448" hidden="1" x14ac:dyDescent="0.35"/>
    <row r="45449" hidden="1" x14ac:dyDescent="0.35"/>
    <row r="45450" hidden="1" x14ac:dyDescent="0.35"/>
    <row r="45451" hidden="1" x14ac:dyDescent="0.35"/>
    <row r="45452" hidden="1" x14ac:dyDescent="0.35"/>
    <row r="45453" hidden="1" x14ac:dyDescent="0.35"/>
    <row r="45454" hidden="1" x14ac:dyDescent="0.35"/>
    <row r="45455" hidden="1" x14ac:dyDescent="0.35"/>
    <row r="45456" hidden="1" x14ac:dyDescent="0.35"/>
    <row r="45457" hidden="1" x14ac:dyDescent="0.35"/>
    <row r="45458" hidden="1" x14ac:dyDescent="0.35"/>
    <row r="45459" hidden="1" x14ac:dyDescent="0.35"/>
    <row r="45460" hidden="1" x14ac:dyDescent="0.35"/>
    <row r="45461" hidden="1" x14ac:dyDescent="0.35"/>
    <row r="45462" hidden="1" x14ac:dyDescent="0.35"/>
    <row r="45463" hidden="1" x14ac:dyDescent="0.35"/>
    <row r="45464" hidden="1" x14ac:dyDescent="0.35"/>
    <row r="45465" hidden="1" x14ac:dyDescent="0.35"/>
    <row r="45466" hidden="1" x14ac:dyDescent="0.35"/>
    <row r="45467" hidden="1" x14ac:dyDescent="0.35"/>
    <row r="45468" hidden="1" x14ac:dyDescent="0.35"/>
    <row r="45469" hidden="1" x14ac:dyDescent="0.35"/>
    <row r="45470" hidden="1" x14ac:dyDescent="0.35"/>
    <row r="45471" hidden="1" x14ac:dyDescent="0.35"/>
    <row r="45472" hidden="1" x14ac:dyDescent="0.35"/>
    <row r="45473" hidden="1" x14ac:dyDescent="0.35"/>
    <row r="45474" hidden="1" x14ac:dyDescent="0.35"/>
    <row r="45475" hidden="1" x14ac:dyDescent="0.35"/>
    <row r="45476" hidden="1" x14ac:dyDescent="0.35"/>
    <row r="45477" hidden="1" x14ac:dyDescent="0.35"/>
    <row r="45478" hidden="1" x14ac:dyDescent="0.35"/>
    <row r="45479" hidden="1" x14ac:dyDescent="0.35"/>
    <row r="45480" hidden="1" x14ac:dyDescent="0.35"/>
    <row r="45481" hidden="1" x14ac:dyDescent="0.35"/>
    <row r="45482" hidden="1" x14ac:dyDescent="0.35"/>
    <row r="45483" hidden="1" x14ac:dyDescent="0.35"/>
    <row r="45484" hidden="1" x14ac:dyDescent="0.35"/>
    <row r="45485" hidden="1" x14ac:dyDescent="0.35"/>
    <row r="45486" hidden="1" x14ac:dyDescent="0.35"/>
    <row r="45487" hidden="1" x14ac:dyDescent="0.35"/>
    <row r="45488" hidden="1" x14ac:dyDescent="0.35"/>
    <row r="45489" hidden="1" x14ac:dyDescent="0.35"/>
    <row r="45490" hidden="1" x14ac:dyDescent="0.35"/>
    <row r="45491" hidden="1" x14ac:dyDescent="0.35"/>
    <row r="45492" hidden="1" x14ac:dyDescent="0.35"/>
    <row r="45493" hidden="1" x14ac:dyDescent="0.35"/>
    <row r="45494" hidden="1" x14ac:dyDescent="0.35"/>
    <row r="45495" hidden="1" x14ac:dyDescent="0.35"/>
    <row r="45496" hidden="1" x14ac:dyDescent="0.35"/>
    <row r="45497" hidden="1" x14ac:dyDescent="0.35"/>
    <row r="45498" hidden="1" x14ac:dyDescent="0.35"/>
    <row r="45499" hidden="1" x14ac:dyDescent="0.35"/>
    <row r="45500" hidden="1" x14ac:dyDescent="0.35"/>
    <row r="45501" hidden="1" x14ac:dyDescent="0.35"/>
    <row r="45502" hidden="1" x14ac:dyDescent="0.35"/>
    <row r="45503" hidden="1" x14ac:dyDescent="0.35"/>
    <row r="45504" hidden="1" x14ac:dyDescent="0.35"/>
    <row r="45505" hidden="1" x14ac:dyDescent="0.35"/>
    <row r="45506" hidden="1" x14ac:dyDescent="0.35"/>
    <row r="45507" hidden="1" x14ac:dyDescent="0.35"/>
    <row r="45508" hidden="1" x14ac:dyDescent="0.35"/>
    <row r="45509" hidden="1" x14ac:dyDescent="0.35"/>
    <row r="45510" hidden="1" x14ac:dyDescent="0.35"/>
    <row r="45511" hidden="1" x14ac:dyDescent="0.35"/>
    <row r="45512" hidden="1" x14ac:dyDescent="0.35"/>
    <row r="45513" hidden="1" x14ac:dyDescent="0.35"/>
    <row r="45514" hidden="1" x14ac:dyDescent="0.35"/>
    <row r="45515" hidden="1" x14ac:dyDescent="0.35"/>
    <row r="45516" hidden="1" x14ac:dyDescent="0.35"/>
    <row r="45517" hidden="1" x14ac:dyDescent="0.35"/>
    <row r="45518" hidden="1" x14ac:dyDescent="0.35"/>
    <row r="45519" hidden="1" x14ac:dyDescent="0.35"/>
    <row r="45520" hidden="1" x14ac:dyDescent="0.35"/>
    <row r="45521" hidden="1" x14ac:dyDescent="0.35"/>
    <row r="45522" hidden="1" x14ac:dyDescent="0.35"/>
    <row r="45523" hidden="1" x14ac:dyDescent="0.35"/>
    <row r="45524" hidden="1" x14ac:dyDescent="0.35"/>
    <row r="45525" hidden="1" x14ac:dyDescent="0.35"/>
    <row r="45526" hidden="1" x14ac:dyDescent="0.35"/>
    <row r="45527" hidden="1" x14ac:dyDescent="0.35"/>
    <row r="45528" hidden="1" x14ac:dyDescent="0.35"/>
    <row r="45529" hidden="1" x14ac:dyDescent="0.35"/>
    <row r="45530" hidden="1" x14ac:dyDescent="0.35"/>
    <row r="45531" hidden="1" x14ac:dyDescent="0.35"/>
    <row r="45532" hidden="1" x14ac:dyDescent="0.35"/>
    <row r="45533" hidden="1" x14ac:dyDescent="0.35"/>
    <row r="45534" hidden="1" x14ac:dyDescent="0.35"/>
    <row r="45535" hidden="1" x14ac:dyDescent="0.35"/>
    <row r="45536" hidden="1" x14ac:dyDescent="0.35"/>
    <row r="45537" hidden="1" x14ac:dyDescent="0.35"/>
    <row r="45538" hidden="1" x14ac:dyDescent="0.35"/>
    <row r="45539" hidden="1" x14ac:dyDescent="0.35"/>
    <row r="45540" hidden="1" x14ac:dyDescent="0.35"/>
    <row r="45541" hidden="1" x14ac:dyDescent="0.35"/>
    <row r="45542" hidden="1" x14ac:dyDescent="0.35"/>
    <row r="45543" hidden="1" x14ac:dyDescent="0.35"/>
    <row r="45544" hidden="1" x14ac:dyDescent="0.35"/>
    <row r="45545" hidden="1" x14ac:dyDescent="0.35"/>
    <row r="45546" hidden="1" x14ac:dyDescent="0.35"/>
    <row r="45547" hidden="1" x14ac:dyDescent="0.35"/>
    <row r="45548" hidden="1" x14ac:dyDescent="0.35"/>
    <row r="45549" hidden="1" x14ac:dyDescent="0.35"/>
    <row r="45550" hidden="1" x14ac:dyDescent="0.35"/>
    <row r="45551" hidden="1" x14ac:dyDescent="0.35"/>
    <row r="45552" hidden="1" x14ac:dyDescent="0.35"/>
    <row r="45553" hidden="1" x14ac:dyDescent="0.35"/>
    <row r="45554" hidden="1" x14ac:dyDescent="0.35"/>
    <row r="45555" hidden="1" x14ac:dyDescent="0.35"/>
    <row r="45556" hidden="1" x14ac:dyDescent="0.35"/>
    <row r="45557" hidden="1" x14ac:dyDescent="0.35"/>
    <row r="45558" hidden="1" x14ac:dyDescent="0.35"/>
    <row r="45559" hidden="1" x14ac:dyDescent="0.35"/>
    <row r="45560" hidden="1" x14ac:dyDescent="0.35"/>
    <row r="45561" hidden="1" x14ac:dyDescent="0.35"/>
    <row r="45562" hidden="1" x14ac:dyDescent="0.35"/>
    <row r="45563" hidden="1" x14ac:dyDescent="0.35"/>
    <row r="45564" hidden="1" x14ac:dyDescent="0.35"/>
    <row r="45565" hidden="1" x14ac:dyDescent="0.35"/>
    <row r="45566" hidden="1" x14ac:dyDescent="0.35"/>
    <row r="45567" hidden="1" x14ac:dyDescent="0.35"/>
    <row r="45568" hidden="1" x14ac:dyDescent="0.35"/>
    <row r="45569" hidden="1" x14ac:dyDescent="0.35"/>
    <row r="45570" hidden="1" x14ac:dyDescent="0.35"/>
    <row r="45571" hidden="1" x14ac:dyDescent="0.35"/>
    <row r="45572" hidden="1" x14ac:dyDescent="0.35"/>
    <row r="45573" hidden="1" x14ac:dyDescent="0.35"/>
    <row r="45574" hidden="1" x14ac:dyDescent="0.35"/>
    <row r="45575" hidden="1" x14ac:dyDescent="0.35"/>
    <row r="45576" hidden="1" x14ac:dyDescent="0.35"/>
    <row r="45577" hidden="1" x14ac:dyDescent="0.35"/>
    <row r="45578" hidden="1" x14ac:dyDescent="0.35"/>
    <row r="45579" hidden="1" x14ac:dyDescent="0.35"/>
    <row r="45580" hidden="1" x14ac:dyDescent="0.35"/>
    <row r="45581" hidden="1" x14ac:dyDescent="0.35"/>
    <row r="45582" hidden="1" x14ac:dyDescent="0.35"/>
    <row r="45583" hidden="1" x14ac:dyDescent="0.35"/>
    <row r="45584" hidden="1" x14ac:dyDescent="0.35"/>
    <row r="45585" hidden="1" x14ac:dyDescent="0.35"/>
    <row r="45586" hidden="1" x14ac:dyDescent="0.35"/>
    <row r="45587" hidden="1" x14ac:dyDescent="0.35"/>
    <row r="45588" hidden="1" x14ac:dyDescent="0.35"/>
    <row r="45589" hidden="1" x14ac:dyDescent="0.35"/>
    <row r="45590" hidden="1" x14ac:dyDescent="0.35"/>
    <row r="45591" hidden="1" x14ac:dyDescent="0.35"/>
    <row r="45592" hidden="1" x14ac:dyDescent="0.35"/>
    <row r="45593" hidden="1" x14ac:dyDescent="0.35"/>
    <row r="45594" hidden="1" x14ac:dyDescent="0.35"/>
    <row r="45595" hidden="1" x14ac:dyDescent="0.35"/>
    <row r="45596" hidden="1" x14ac:dyDescent="0.35"/>
    <row r="45597" hidden="1" x14ac:dyDescent="0.35"/>
    <row r="45598" hidden="1" x14ac:dyDescent="0.35"/>
    <row r="45599" hidden="1" x14ac:dyDescent="0.35"/>
    <row r="45600" hidden="1" x14ac:dyDescent="0.35"/>
    <row r="45601" hidden="1" x14ac:dyDescent="0.35"/>
    <row r="45602" hidden="1" x14ac:dyDescent="0.35"/>
    <row r="45603" hidden="1" x14ac:dyDescent="0.35"/>
    <row r="45604" hidden="1" x14ac:dyDescent="0.35"/>
    <row r="45605" hidden="1" x14ac:dyDescent="0.35"/>
    <row r="45606" hidden="1" x14ac:dyDescent="0.35"/>
    <row r="45607" hidden="1" x14ac:dyDescent="0.35"/>
    <row r="45608" hidden="1" x14ac:dyDescent="0.35"/>
    <row r="45609" hidden="1" x14ac:dyDescent="0.35"/>
    <row r="45610" hidden="1" x14ac:dyDescent="0.35"/>
    <row r="45611" hidden="1" x14ac:dyDescent="0.35"/>
    <row r="45612" hidden="1" x14ac:dyDescent="0.35"/>
    <row r="45613" hidden="1" x14ac:dyDescent="0.35"/>
    <row r="45614" hidden="1" x14ac:dyDescent="0.35"/>
    <row r="45615" hidden="1" x14ac:dyDescent="0.35"/>
    <row r="45616" hidden="1" x14ac:dyDescent="0.35"/>
    <row r="45617" hidden="1" x14ac:dyDescent="0.35"/>
    <row r="45618" hidden="1" x14ac:dyDescent="0.35"/>
    <row r="45619" hidden="1" x14ac:dyDescent="0.35"/>
    <row r="45620" hidden="1" x14ac:dyDescent="0.35"/>
    <row r="45621" hidden="1" x14ac:dyDescent="0.35"/>
    <row r="45622" hidden="1" x14ac:dyDescent="0.35"/>
    <row r="45623" hidden="1" x14ac:dyDescent="0.35"/>
    <row r="45624" hidden="1" x14ac:dyDescent="0.35"/>
    <row r="45625" hidden="1" x14ac:dyDescent="0.35"/>
    <row r="45626" hidden="1" x14ac:dyDescent="0.35"/>
    <row r="45627" hidden="1" x14ac:dyDescent="0.35"/>
    <row r="45628" hidden="1" x14ac:dyDescent="0.35"/>
    <row r="45629" hidden="1" x14ac:dyDescent="0.35"/>
    <row r="45630" hidden="1" x14ac:dyDescent="0.35"/>
    <row r="45631" hidden="1" x14ac:dyDescent="0.35"/>
    <row r="45632" hidden="1" x14ac:dyDescent="0.35"/>
    <row r="45633" hidden="1" x14ac:dyDescent="0.35"/>
    <row r="45634" hidden="1" x14ac:dyDescent="0.35"/>
    <row r="45635" hidden="1" x14ac:dyDescent="0.35"/>
    <row r="45636" hidden="1" x14ac:dyDescent="0.35"/>
    <row r="45637" hidden="1" x14ac:dyDescent="0.35"/>
    <row r="45638" hidden="1" x14ac:dyDescent="0.35"/>
    <row r="45639" hidden="1" x14ac:dyDescent="0.35"/>
    <row r="45640" hidden="1" x14ac:dyDescent="0.35"/>
    <row r="45641" hidden="1" x14ac:dyDescent="0.35"/>
    <row r="45642" hidden="1" x14ac:dyDescent="0.35"/>
    <row r="45643" hidden="1" x14ac:dyDescent="0.35"/>
    <row r="45644" hidden="1" x14ac:dyDescent="0.35"/>
    <row r="45645" hidden="1" x14ac:dyDescent="0.35"/>
    <row r="45646" hidden="1" x14ac:dyDescent="0.35"/>
    <row r="45647" hidden="1" x14ac:dyDescent="0.35"/>
    <row r="45648" hidden="1" x14ac:dyDescent="0.35"/>
    <row r="45649" hidden="1" x14ac:dyDescent="0.35"/>
    <row r="45650" hidden="1" x14ac:dyDescent="0.35"/>
    <row r="45651" hidden="1" x14ac:dyDescent="0.35"/>
    <row r="45652" hidden="1" x14ac:dyDescent="0.35"/>
    <row r="45653" hidden="1" x14ac:dyDescent="0.35"/>
    <row r="45654" hidden="1" x14ac:dyDescent="0.35"/>
    <row r="45655" hidden="1" x14ac:dyDescent="0.35"/>
    <row r="45656" hidden="1" x14ac:dyDescent="0.35"/>
    <row r="45657" hidden="1" x14ac:dyDescent="0.35"/>
    <row r="45658" hidden="1" x14ac:dyDescent="0.35"/>
    <row r="45659" hidden="1" x14ac:dyDescent="0.35"/>
    <row r="45660" hidden="1" x14ac:dyDescent="0.35"/>
    <row r="45661" hidden="1" x14ac:dyDescent="0.35"/>
    <row r="45662" hidden="1" x14ac:dyDescent="0.35"/>
    <row r="45663" hidden="1" x14ac:dyDescent="0.35"/>
    <row r="45664" hidden="1" x14ac:dyDescent="0.35"/>
    <row r="45665" hidden="1" x14ac:dyDescent="0.35"/>
    <row r="45666" hidden="1" x14ac:dyDescent="0.35"/>
    <row r="45667" hidden="1" x14ac:dyDescent="0.35"/>
    <row r="45668" hidden="1" x14ac:dyDescent="0.35"/>
    <row r="45669" hidden="1" x14ac:dyDescent="0.35"/>
    <row r="45670" hidden="1" x14ac:dyDescent="0.35"/>
    <row r="45671" hidden="1" x14ac:dyDescent="0.35"/>
    <row r="45672" hidden="1" x14ac:dyDescent="0.35"/>
    <row r="45673" hidden="1" x14ac:dyDescent="0.35"/>
    <row r="45674" hidden="1" x14ac:dyDescent="0.35"/>
    <row r="45675" hidden="1" x14ac:dyDescent="0.35"/>
    <row r="45676" hidden="1" x14ac:dyDescent="0.35"/>
    <row r="45677" hidden="1" x14ac:dyDescent="0.35"/>
    <row r="45678" hidden="1" x14ac:dyDescent="0.35"/>
    <row r="45679" hidden="1" x14ac:dyDescent="0.35"/>
    <row r="45680" hidden="1" x14ac:dyDescent="0.35"/>
    <row r="45681" hidden="1" x14ac:dyDescent="0.35"/>
    <row r="45682" hidden="1" x14ac:dyDescent="0.35"/>
    <row r="45683" hidden="1" x14ac:dyDescent="0.35"/>
    <row r="45684" hidden="1" x14ac:dyDescent="0.35"/>
    <row r="45685" hidden="1" x14ac:dyDescent="0.35"/>
    <row r="45686" hidden="1" x14ac:dyDescent="0.35"/>
    <row r="45687" hidden="1" x14ac:dyDescent="0.35"/>
    <row r="45688" hidden="1" x14ac:dyDescent="0.35"/>
    <row r="45689" hidden="1" x14ac:dyDescent="0.35"/>
    <row r="45690" hidden="1" x14ac:dyDescent="0.35"/>
    <row r="45691" hidden="1" x14ac:dyDescent="0.35"/>
    <row r="45692" hidden="1" x14ac:dyDescent="0.35"/>
    <row r="45693" hidden="1" x14ac:dyDescent="0.35"/>
    <row r="45694" hidden="1" x14ac:dyDescent="0.35"/>
    <row r="45695" hidden="1" x14ac:dyDescent="0.35"/>
    <row r="45696" hidden="1" x14ac:dyDescent="0.35"/>
    <row r="45697" hidden="1" x14ac:dyDescent="0.35"/>
    <row r="45698" hidden="1" x14ac:dyDescent="0.35"/>
    <row r="45699" hidden="1" x14ac:dyDescent="0.35"/>
    <row r="45700" hidden="1" x14ac:dyDescent="0.35"/>
    <row r="45701" hidden="1" x14ac:dyDescent="0.35"/>
    <row r="45702" hidden="1" x14ac:dyDescent="0.35"/>
    <row r="45703" hidden="1" x14ac:dyDescent="0.35"/>
    <row r="45704" hidden="1" x14ac:dyDescent="0.35"/>
    <row r="45705" hidden="1" x14ac:dyDescent="0.35"/>
    <row r="45706" hidden="1" x14ac:dyDescent="0.35"/>
    <row r="45707" hidden="1" x14ac:dyDescent="0.35"/>
    <row r="45708" hidden="1" x14ac:dyDescent="0.35"/>
    <row r="45709" hidden="1" x14ac:dyDescent="0.35"/>
    <row r="45710" hidden="1" x14ac:dyDescent="0.35"/>
    <row r="45711" hidden="1" x14ac:dyDescent="0.35"/>
    <row r="45712" hidden="1" x14ac:dyDescent="0.35"/>
    <row r="45713" hidden="1" x14ac:dyDescent="0.35"/>
    <row r="45714" hidden="1" x14ac:dyDescent="0.35"/>
    <row r="45715" hidden="1" x14ac:dyDescent="0.35"/>
    <row r="45716" hidden="1" x14ac:dyDescent="0.35"/>
    <row r="45717" hidden="1" x14ac:dyDescent="0.35"/>
    <row r="45718" hidden="1" x14ac:dyDescent="0.35"/>
    <row r="45719" hidden="1" x14ac:dyDescent="0.35"/>
    <row r="45720" hidden="1" x14ac:dyDescent="0.35"/>
    <row r="45721" hidden="1" x14ac:dyDescent="0.35"/>
    <row r="45722" hidden="1" x14ac:dyDescent="0.35"/>
    <row r="45723" hidden="1" x14ac:dyDescent="0.35"/>
    <row r="45724" hidden="1" x14ac:dyDescent="0.35"/>
    <row r="45725" hidden="1" x14ac:dyDescent="0.35"/>
    <row r="45726" hidden="1" x14ac:dyDescent="0.35"/>
    <row r="45727" hidden="1" x14ac:dyDescent="0.35"/>
    <row r="45728" hidden="1" x14ac:dyDescent="0.35"/>
    <row r="45729" hidden="1" x14ac:dyDescent="0.35"/>
    <row r="45730" hidden="1" x14ac:dyDescent="0.35"/>
    <row r="45731" hidden="1" x14ac:dyDescent="0.35"/>
    <row r="45732" hidden="1" x14ac:dyDescent="0.35"/>
    <row r="45733" hidden="1" x14ac:dyDescent="0.35"/>
    <row r="45734" hidden="1" x14ac:dyDescent="0.35"/>
    <row r="45735" hidden="1" x14ac:dyDescent="0.35"/>
    <row r="45736" hidden="1" x14ac:dyDescent="0.35"/>
    <row r="45737" hidden="1" x14ac:dyDescent="0.35"/>
    <row r="45738" hidden="1" x14ac:dyDescent="0.35"/>
    <row r="45739" hidden="1" x14ac:dyDescent="0.35"/>
    <row r="45740" hidden="1" x14ac:dyDescent="0.35"/>
    <row r="45741" hidden="1" x14ac:dyDescent="0.35"/>
    <row r="45742" hidden="1" x14ac:dyDescent="0.35"/>
    <row r="45743" hidden="1" x14ac:dyDescent="0.35"/>
    <row r="45744" hidden="1" x14ac:dyDescent="0.35"/>
    <row r="45745" hidden="1" x14ac:dyDescent="0.35"/>
    <row r="45746" hidden="1" x14ac:dyDescent="0.35"/>
    <row r="45747" hidden="1" x14ac:dyDescent="0.35"/>
    <row r="45748" hidden="1" x14ac:dyDescent="0.35"/>
    <row r="45749" hidden="1" x14ac:dyDescent="0.35"/>
    <row r="45750" hidden="1" x14ac:dyDescent="0.35"/>
    <row r="45751" hidden="1" x14ac:dyDescent="0.35"/>
    <row r="45752" hidden="1" x14ac:dyDescent="0.35"/>
    <row r="45753" hidden="1" x14ac:dyDescent="0.35"/>
    <row r="45754" hidden="1" x14ac:dyDescent="0.35"/>
    <row r="45755" hidden="1" x14ac:dyDescent="0.35"/>
    <row r="45756" hidden="1" x14ac:dyDescent="0.35"/>
    <row r="45757" hidden="1" x14ac:dyDescent="0.35"/>
    <row r="45758" hidden="1" x14ac:dyDescent="0.35"/>
    <row r="45759" hidden="1" x14ac:dyDescent="0.35"/>
    <row r="45760" hidden="1" x14ac:dyDescent="0.35"/>
    <row r="45761" hidden="1" x14ac:dyDescent="0.35"/>
    <row r="45762" hidden="1" x14ac:dyDescent="0.35"/>
    <row r="45763" hidden="1" x14ac:dyDescent="0.35"/>
    <row r="45764" hidden="1" x14ac:dyDescent="0.35"/>
    <row r="45765" hidden="1" x14ac:dyDescent="0.35"/>
    <row r="45766" hidden="1" x14ac:dyDescent="0.35"/>
    <row r="45767" hidden="1" x14ac:dyDescent="0.35"/>
    <row r="45768" hidden="1" x14ac:dyDescent="0.35"/>
    <row r="45769" hidden="1" x14ac:dyDescent="0.35"/>
    <row r="45770" hidden="1" x14ac:dyDescent="0.35"/>
    <row r="45771" hidden="1" x14ac:dyDescent="0.35"/>
    <row r="45772" hidden="1" x14ac:dyDescent="0.35"/>
    <row r="45773" hidden="1" x14ac:dyDescent="0.35"/>
    <row r="45774" hidden="1" x14ac:dyDescent="0.35"/>
    <row r="45775" hidden="1" x14ac:dyDescent="0.35"/>
    <row r="45776" hidden="1" x14ac:dyDescent="0.35"/>
    <row r="45777" hidden="1" x14ac:dyDescent="0.35"/>
    <row r="45778" hidden="1" x14ac:dyDescent="0.35"/>
    <row r="45779" hidden="1" x14ac:dyDescent="0.35"/>
    <row r="45780" hidden="1" x14ac:dyDescent="0.35"/>
    <row r="45781" hidden="1" x14ac:dyDescent="0.35"/>
    <row r="45782" hidden="1" x14ac:dyDescent="0.35"/>
    <row r="45783" hidden="1" x14ac:dyDescent="0.35"/>
    <row r="45784" hidden="1" x14ac:dyDescent="0.35"/>
    <row r="45785" hidden="1" x14ac:dyDescent="0.35"/>
    <row r="45786" hidden="1" x14ac:dyDescent="0.35"/>
    <row r="45787" hidden="1" x14ac:dyDescent="0.35"/>
    <row r="45788" hidden="1" x14ac:dyDescent="0.35"/>
    <row r="45789" hidden="1" x14ac:dyDescent="0.35"/>
    <row r="45790" hidden="1" x14ac:dyDescent="0.35"/>
    <row r="45791" hidden="1" x14ac:dyDescent="0.35"/>
    <row r="45792" hidden="1" x14ac:dyDescent="0.35"/>
    <row r="45793" hidden="1" x14ac:dyDescent="0.35"/>
    <row r="45794" hidden="1" x14ac:dyDescent="0.35"/>
    <row r="45795" hidden="1" x14ac:dyDescent="0.35"/>
    <row r="45796" hidden="1" x14ac:dyDescent="0.35"/>
    <row r="45797" hidden="1" x14ac:dyDescent="0.35"/>
    <row r="45798" hidden="1" x14ac:dyDescent="0.35"/>
    <row r="45799" hidden="1" x14ac:dyDescent="0.35"/>
    <row r="45800" hidden="1" x14ac:dyDescent="0.35"/>
    <row r="45801" hidden="1" x14ac:dyDescent="0.35"/>
    <row r="45802" hidden="1" x14ac:dyDescent="0.35"/>
    <row r="45803" hidden="1" x14ac:dyDescent="0.35"/>
    <row r="45804" hidden="1" x14ac:dyDescent="0.35"/>
    <row r="45805" hidden="1" x14ac:dyDescent="0.35"/>
    <row r="45806" hidden="1" x14ac:dyDescent="0.35"/>
    <row r="45807" hidden="1" x14ac:dyDescent="0.35"/>
    <row r="45808" hidden="1" x14ac:dyDescent="0.35"/>
    <row r="45809" hidden="1" x14ac:dyDescent="0.35"/>
    <row r="45810" hidden="1" x14ac:dyDescent="0.35"/>
    <row r="45811" hidden="1" x14ac:dyDescent="0.35"/>
    <row r="45812" hidden="1" x14ac:dyDescent="0.35"/>
    <row r="45813" hidden="1" x14ac:dyDescent="0.35"/>
    <row r="45814" hidden="1" x14ac:dyDescent="0.35"/>
    <row r="45815" hidden="1" x14ac:dyDescent="0.35"/>
    <row r="45816" hidden="1" x14ac:dyDescent="0.35"/>
    <row r="45817" hidden="1" x14ac:dyDescent="0.35"/>
    <row r="45818" hidden="1" x14ac:dyDescent="0.35"/>
    <row r="45819" hidden="1" x14ac:dyDescent="0.35"/>
    <row r="45820" hidden="1" x14ac:dyDescent="0.35"/>
    <row r="45821" hidden="1" x14ac:dyDescent="0.35"/>
    <row r="45822" hidden="1" x14ac:dyDescent="0.35"/>
    <row r="45823" hidden="1" x14ac:dyDescent="0.35"/>
    <row r="45824" hidden="1" x14ac:dyDescent="0.35"/>
    <row r="45825" hidden="1" x14ac:dyDescent="0.35"/>
    <row r="45826" hidden="1" x14ac:dyDescent="0.35"/>
    <row r="45827" hidden="1" x14ac:dyDescent="0.35"/>
    <row r="45828" hidden="1" x14ac:dyDescent="0.35"/>
    <row r="45829" hidden="1" x14ac:dyDescent="0.35"/>
    <row r="45830" hidden="1" x14ac:dyDescent="0.35"/>
    <row r="45831" hidden="1" x14ac:dyDescent="0.35"/>
    <row r="45832" hidden="1" x14ac:dyDescent="0.35"/>
    <row r="45833" hidden="1" x14ac:dyDescent="0.35"/>
    <row r="45834" hidden="1" x14ac:dyDescent="0.35"/>
    <row r="45835" hidden="1" x14ac:dyDescent="0.35"/>
    <row r="45836" hidden="1" x14ac:dyDescent="0.35"/>
    <row r="45837" hidden="1" x14ac:dyDescent="0.35"/>
    <row r="45838" hidden="1" x14ac:dyDescent="0.35"/>
    <row r="45839" hidden="1" x14ac:dyDescent="0.35"/>
    <row r="45840" hidden="1" x14ac:dyDescent="0.35"/>
    <row r="45841" hidden="1" x14ac:dyDescent="0.35"/>
    <row r="45842" hidden="1" x14ac:dyDescent="0.35"/>
    <row r="45843" hidden="1" x14ac:dyDescent="0.35"/>
    <row r="45844" hidden="1" x14ac:dyDescent="0.35"/>
    <row r="45845" hidden="1" x14ac:dyDescent="0.35"/>
    <row r="45846" hidden="1" x14ac:dyDescent="0.35"/>
    <row r="45847" hidden="1" x14ac:dyDescent="0.35"/>
    <row r="45848" hidden="1" x14ac:dyDescent="0.35"/>
    <row r="45849" hidden="1" x14ac:dyDescent="0.35"/>
    <row r="45850" hidden="1" x14ac:dyDescent="0.35"/>
    <row r="45851" hidden="1" x14ac:dyDescent="0.35"/>
    <row r="45852" hidden="1" x14ac:dyDescent="0.35"/>
    <row r="45853" hidden="1" x14ac:dyDescent="0.35"/>
    <row r="45854" hidden="1" x14ac:dyDescent="0.35"/>
    <row r="45855" hidden="1" x14ac:dyDescent="0.35"/>
    <row r="45856" hidden="1" x14ac:dyDescent="0.35"/>
    <row r="45857" hidden="1" x14ac:dyDescent="0.35"/>
    <row r="45858" hidden="1" x14ac:dyDescent="0.35"/>
    <row r="45859" hidden="1" x14ac:dyDescent="0.35"/>
    <row r="45860" hidden="1" x14ac:dyDescent="0.35"/>
    <row r="45861" hidden="1" x14ac:dyDescent="0.35"/>
    <row r="45862" hidden="1" x14ac:dyDescent="0.35"/>
    <row r="45863" hidden="1" x14ac:dyDescent="0.35"/>
    <row r="45864" hidden="1" x14ac:dyDescent="0.35"/>
    <row r="45865" hidden="1" x14ac:dyDescent="0.35"/>
    <row r="45866" hidden="1" x14ac:dyDescent="0.35"/>
    <row r="45867" hidden="1" x14ac:dyDescent="0.35"/>
    <row r="45868" hidden="1" x14ac:dyDescent="0.35"/>
    <row r="45869" hidden="1" x14ac:dyDescent="0.35"/>
    <row r="45870" hidden="1" x14ac:dyDescent="0.35"/>
    <row r="45871" hidden="1" x14ac:dyDescent="0.35"/>
    <row r="45872" hidden="1" x14ac:dyDescent="0.35"/>
    <row r="45873" hidden="1" x14ac:dyDescent="0.35"/>
    <row r="45874" hidden="1" x14ac:dyDescent="0.35"/>
    <row r="45875" hidden="1" x14ac:dyDescent="0.35"/>
    <row r="45876" hidden="1" x14ac:dyDescent="0.35"/>
    <row r="45877" hidden="1" x14ac:dyDescent="0.35"/>
    <row r="45878" hidden="1" x14ac:dyDescent="0.35"/>
    <row r="45879" hidden="1" x14ac:dyDescent="0.35"/>
    <row r="45880" hidden="1" x14ac:dyDescent="0.35"/>
    <row r="45881" hidden="1" x14ac:dyDescent="0.35"/>
    <row r="45882" hidden="1" x14ac:dyDescent="0.35"/>
    <row r="45883" hidden="1" x14ac:dyDescent="0.35"/>
    <row r="45884" hidden="1" x14ac:dyDescent="0.35"/>
    <row r="45885" hidden="1" x14ac:dyDescent="0.35"/>
    <row r="45886" hidden="1" x14ac:dyDescent="0.35"/>
    <row r="45887" hidden="1" x14ac:dyDescent="0.35"/>
    <row r="45888" hidden="1" x14ac:dyDescent="0.35"/>
    <row r="45889" hidden="1" x14ac:dyDescent="0.35"/>
    <row r="45890" hidden="1" x14ac:dyDescent="0.35"/>
    <row r="45891" hidden="1" x14ac:dyDescent="0.35"/>
    <row r="45892" hidden="1" x14ac:dyDescent="0.35"/>
    <row r="45893" hidden="1" x14ac:dyDescent="0.35"/>
    <row r="45894" hidden="1" x14ac:dyDescent="0.35"/>
    <row r="45895" hidden="1" x14ac:dyDescent="0.35"/>
    <row r="45896" hidden="1" x14ac:dyDescent="0.35"/>
    <row r="45897" hidden="1" x14ac:dyDescent="0.35"/>
    <row r="45898" hidden="1" x14ac:dyDescent="0.35"/>
    <row r="45899" hidden="1" x14ac:dyDescent="0.35"/>
    <row r="45900" hidden="1" x14ac:dyDescent="0.35"/>
    <row r="45901" hidden="1" x14ac:dyDescent="0.35"/>
    <row r="45902" hidden="1" x14ac:dyDescent="0.35"/>
    <row r="45903" hidden="1" x14ac:dyDescent="0.35"/>
    <row r="45904" hidden="1" x14ac:dyDescent="0.35"/>
    <row r="45905" hidden="1" x14ac:dyDescent="0.35"/>
    <row r="45906" hidden="1" x14ac:dyDescent="0.35"/>
    <row r="45907" hidden="1" x14ac:dyDescent="0.35"/>
    <row r="45908" hidden="1" x14ac:dyDescent="0.35"/>
    <row r="45909" hidden="1" x14ac:dyDescent="0.35"/>
    <row r="45910" hidden="1" x14ac:dyDescent="0.35"/>
    <row r="45911" hidden="1" x14ac:dyDescent="0.35"/>
    <row r="45912" hidden="1" x14ac:dyDescent="0.35"/>
    <row r="45913" hidden="1" x14ac:dyDescent="0.35"/>
    <row r="45914" hidden="1" x14ac:dyDescent="0.35"/>
    <row r="45915" hidden="1" x14ac:dyDescent="0.35"/>
    <row r="45916" hidden="1" x14ac:dyDescent="0.35"/>
    <row r="45917" hidden="1" x14ac:dyDescent="0.35"/>
    <row r="45918" hidden="1" x14ac:dyDescent="0.35"/>
    <row r="45919" hidden="1" x14ac:dyDescent="0.35"/>
    <row r="45920" hidden="1" x14ac:dyDescent="0.35"/>
    <row r="45921" hidden="1" x14ac:dyDescent="0.35"/>
    <row r="45922" hidden="1" x14ac:dyDescent="0.35"/>
    <row r="45923" hidden="1" x14ac:dyDescent="0.35"/>
    <row r="45924" hidden="1" x14ac:dyDescent="0.35"/>
    <row r="45925" hidden="1" x14ac:dyDescent="0.35"/>
    <row r="45926" hidden="1" x14ac:dyDescent="0.35"/>
    <row r="45927" hidden="1" x14ac:dyDescent="0.35"/>
    <row r="45928" hidden="1" x14ac:dyDescent="0.35"/>
    <row r="45929" hidden="1" x14ac:dyDescent="0.35"/>
    <row r="45930" hidden="1" x14ac:dyDescent="0.35"/>
    <row r="45931" hidden="1" x14ac:dyDescent="0.35"/>
    <row r="45932" hidden="1" x14ac:dyDescent="0.35"/>
    <row r="45933" hidden="1" x14ac:dyDescent="0.35"/>
    <row r="45934" hidden="1" x14ac:dyDescent="0.35"/>
    <row r="45935" hidden="1" x14ac:dyDescent="0.35"/>
    <row r="45936" hidden="1" x14ac:dyDescent="0.35"/>
    <row r="45937" hidden="1" x14ac:dyDescent="0.35"/>
    <row r="45938" hidden="1" x14ac:dyDescent="0.35"/>
    <row r="45939" hidden="1" x14ac:dyDescent="0.35"/>
    <row r="45940" hidden="1" x14ac:dyDescent="0.35"/>
    <row r="45941" hidden="1" x14ac:dyDescent="0.35"/>
    <row r="45942" hidden="1" x14ac:dyDescent="0.35"/>
    <row r="45943" hidden="1" x14ac:dyDescent="0.35"/>
    <row r="45944" hidden="1" x14ac:dyDescent="0.35"/>
    <row r="45945" hidden="1" x14ac:dyDescent="0.35"/>
    <row r="45946" hidden="1" x14ac:dyDescent="0.35"/>
    <row r="45947" hidden="1" x14ac:dyDescent="0.35"/>
    <row r="45948" hidden="1" x14ac:dyDescent="0.35"/>
    <row r="45949" hidden="1" x14ac:dyDescent="0.35"/>
    <row r="45950" hidden="1" x14ac:dyDescent="0.35"/>
    <row r="45951" hidden="1" x14ac:dyDescent="0.35"/>
    <row r="45952" hidden="1" x14ac:dyDescent="0.35"/>
    <row r="45953" hidden="1" x14ac:dyDescent="0.35"/>
    <row r="45954" hidden="1" x14ac:dyDescent="0.35"/>
    <row r="45955" hidden="1" x14ac:dyDescent="0.35"/>
    <row r="45956" hidden="1" x14ac:dyDescent="0.35"/>
    <row r="45957" hidden="1" x14ac:dyDescent="0.35"/>
    <row r="45958" hidden="1" x14ac:dyDescent="0.35"/>
    <row r="45959" hidden="1" x14ac:dyDescent="0.35"/>
    <row r="45960" hidden="1" x14ac:dyDescent="0.35"/>
    <row r="45961" hidden="1" x14ac:dyDescent="0.35"/>
    <row r="45962" hidden="1" x14ac:dyDescent="0.35"/>
    <row r="45963" hidden="1" x14ac:dyDescent="0.35"/>
    <row r="45964" hidden="1" x14ac:dyDescent="0.35"/>
    <row r="45965" hidden="1" x14ac:dyDescent="0.35"/>
    <row r="45966" hidden="1" x14ac:dyDescent="0.35"/>
    <row r="45967" hidden="1" x14ac:dyDescent="0.35"/>
    <row r="45968" hidden="1" x14ac:dyDescent="0.35"/>
    <row r="45969" hidden="1" x14ac:dyDescent="0.35"/>
    <row r="45970" hidden="1" x14ac:dyDescent="0.35"/>
    <row r="45971" hidden="1" x14ac:dyDescent="0.35"/>
    <row r="45972" hidden="1" x14ac:dyDescent="0.35"/>
    <row r="45973" hidden="1" x14ac:dyDescent="0.35"/>
    <row r="45974" hidden="1" x14ac:dyDescent="0.35"/>
    <row r="45975" hidden="1" x14ac:dyDescent="0.35"/>
    <row r="45976" hidden="1" x14ac:dyDescent="0.35"/>
    <row r="45977" hidden="1" x14ac:dyDescent="0.35"/>
    <row r="45978" hidden="1" x14ac:dyDescent="0.35"/>
    <row r="45979" hidden="1" x14ac:dyDescent="0.35"/>
    <row r="45980" hidden="1" x14ac:dyDescent="0.35"/>
    <row r="45981" hidden="1" x14ac:dyDescent="0.35"/>
    <row r="45982" hidden="1" x14ac:dyDescent="0.35"/>
    <row r="45983" hidden="1" x14ac:dyDescent="0.35"/>
    <row r="45984" hidden="1" x14ac:dyDescent="0.35"/>
    <row r="45985" hidden="1" x14ac:dyDescent="0.35"/>
    <row r="45986" hidden="1" x14ac:dyDescent="0.35"/>
    <row r="45987" hidden="1" x14ac:dyDescent="0.35"/>
    <row r="45988" hidden="1" x14ac:dyDescent="0.35"/>
    <row r="45989" hidden="1" x14ac:dyDescent="0.35"/>
    <row r="45990" hidden="1" x14ac:dyDescent="0.35"/>
    <row r="45991" hidden="1" x14ac:dyDescent="0.35"/>
    <row r="45992" hidden="1" x14ac:dyDescent="0.35"/>
    <row r="45993" hidden="1" x14ac:dyDescent="0.35"/>
    <row r="45994" hidden="1" x14ac:dyDescent="0.35"/>
    <row r="45995" hidden="1" x14ac:dyDescent="0.35"/>
    <row r="45996" hidden="1" x14ac:dyDescent="0.35"/>
    <row r="45997" hidden="1" x14ac:dyDescent="0.35"/>
    <row r="45998" hidden="1" x14ac:dyDescent="0.35"/>
    <row r="45999" hidden="1" x14ac:dyDescent="0.35"/>
    <row r="46000" hidden="1" x14ac:dyDescent="0.35"/>
    <row r="46001" hidden="1" x14ac:dyDescent="0.35"/>
    <row r="46002" hidden="1" x14ac:dyDescent="0.35"/>
    <row r="46003" hidden="1" x14ac:dyDescent="0.35"/>
    <row r="46004" hidden="1" x14ac:dyDescent="0.35"/>
    <row r="46005" hidden="1" x14ac:dyDescent="0.35"/>
    <row r="46006" hidden="1" x14ac:dyDescent="0.35"/>
    <row r="46007" hidden="1" x14ac:dyDescent="0.35"/>
    <row r="46008" hidden="1" x14ac:dyDescent="0.35"/>
    <row r="46009" hidden="1" x14ac:dyDescent="0.35"/>
    <row r="46010" hidden="1" x14ac:dyDescent="0.35"/>
    <row r="46011" hidden="1" x14ac:dyDescent="0.35"/>
    <row r="46012" hidden="1" x14ac:dyDescent="0.35"/>
    <row r="46013" hidden="1" x14ac:dyDescent="0.35"/>
    <row r="46014" hidden="1" x14ac:dyDescent="0.35"/>
    <row r="46015" hidden="1" x14ac:dyDescent="0.35"/>
    <row r="46016" hidden="1" x14ac:dyDescent="0.35"/>
    <row r="46017" hidden="1" x14ac:dyDescent="0.35"/>
    <row r="46018" hidden="1" x14ac:dyDescent="0.35"/>
    <row r="46019" hidden="1" x14ac:dyDescent="0.35"/>
    <row r="46020" hidden="1" x14ac:dyDescent="0.35"/>
    <row r="46021" hidden="1" x14ac:dyDescent="0.35"/>
    <row r="46022" hidden="1" x14ac:dyDescent="0.35"/>
    <row r="46023" hidden="1" x14ac:dyDescent="0.35"/>
    <row r="46024" hidden="1" x14ac:dyDescent="0.35"/>
    <row r="46025" hidden="1" x14ac:dyDescent="0.35"/>
    <row r="46026" hidden="1" x14ac:dyDescent="0.35"/>
    <row r="46027" hidden="1" x14ac:dyDescent="0.35"/>
    <row r="46028" hidden="1" x14ac:dyDescent="0.35"/>
    <row r="46029" hidden="1" x14ac:dyDescent="0.35"/>
    <row r="46030" hidden="1" x14ac:dyDescent="0.35"/>
    <row r="46031" hidden="1" x14ac:dyDescent="0.35"/>
    <row r="46032" hidden="1" x14ac:dyDescent="0.35"/>
    <row r="46033" hidden="1" x14ac:dyDescent="0.35"/>
    <row r="46034" hidden="1" x14ac:dyDescent="0.35"/>
    <row r="46035" hidden="1" x14ac:dyDescent="0.35"/>
    <row r="46036" hidden="1" x14ac:dyDescent="0.35"/>
    <row r="46037" hidden="1" x14ac:dyDescent="0.35"/>
    <row r="46038" hidden="1" x14ac:dyDescent="0.35"/>
    <row r="46039" hidden="1" x14ac:dyDescent="0.35"/>
    <row r="46040" hidden="1" x14ac:dyDescent="0.35"/>
    <row r="46041" hidden="1" x14ac:dyDescent="0.35"/>
    <row r="46042" hidden="1" x14ac:dyDescent="0.35"/>
    <row r="46043" hidden="1" x14ac:dyDescent="0.35"/>
    <row r="46044" hidden="1" x14ac:dyDescent="0.35"/>
    <row r="46045" hidden="1" x14ac:dyDescent="0.35"/>
    <row r="46046" hidden="1" x14ac:dyDescent="0.35"/>
    <row r="46047" hidden="1" x14ac:dyDescent="0.35"/>
    <row r="46048" hidden="1" x14ac:dyDescent="0.35"/>
    <row r="46049" hidden="1" x14ac:dyDescent="0.35"/>
    <row r="46050" hidden="1" x14ac:dyDescent="0.35"/>
    <row r="46051" hidden="1" x14ac:dyDescent="0.35"/>
    <row r="46052" hidden="1" x14ac:dyDescent="0.35"/>
    <row r="46053" hidden="1" x14ac:dyDescent="0.35"/>
    <row r="46054" hidden="1" x14ac:dyDescent="0.35"/>
    <row r="46055" hidden="1" x14ac:dyDescent="0.35"/>
    <row r="46056" hidden="1" x14ac:dyDescent="0.35"/>
    <row r="46057" hidden="1" x14ac:dyDescent="0.35"/>
    <row r="46058" hidden="1" x14ac:dyDescent="0.35"/>
    <row r="46059" hidden="1" x14ac:dyDescent="0.35"/>
    <row r="46060" hidden="1" x14ac:dyDescent="0.35"/>
    <row r="46061" hidden="1" x14ac:dyDescent="0.35"/>
    <row r="46062" hidden="1" x14ac:dyDescent="0.35"/>
    <row r="46063" hidden="1" x14ac:dyDescent="0.35"/>
    <row r="46064" hidden="1" x14ac:dyDescent="0.35"/>
    <row r="46065" hidden="1" x14ac:dyDescent="0.35"/>
    <row r="46066" hidden="1" x14ac:dyDescent="0.35"/>
    <row r="46067" hidden="1" x14ac:dyDescent="0.35"/>
    <row r="46068" hidden="1" x14ac:dyDescent="0.35"/>
    <row r="46069" hidden="1" x14ac:dyDescent="0.35"/>
    <row r="46070" hidden="1" x14ac:dyDescent="0.35"/>
    <row r="46071" hidden="1" x14ac:dyDescent="0.35"/>
    <row r="46072" hidden="1" x14ac:dyDescent="0.35"/>
    <row r="46073" hidden="1" x14ac:dyDescent="0.35"/>
    <row r="46074" hidden="1" x14ac:dyDescent="0.35"/>
    <row r="46075" hidden="1" x14ac:dyDescent="0.35"/>
    <row r="46076" hidden="1" x14ac:dyDescent="0.35"/>
    <row r="46077" hidden="1" x14ac:dyDescent="0.35"/>
    <row r="46078" hidden="1" x14ac:dyDescent="0.35"/>
    <row r="46079" hidden="1" x14ac:dyDescent="0.35"/>
    <row r="46080" hidden="1" x14ac:dyDescent="0.35"/>
    <row r="46081" hidden="1" x14ac:dyDescent="0.35"/>
    <row r="46082" hidden="1" x14ac:dyDescent="0.35"/>
    <row r="46083" hidden="1" x14ac:dyDescent="0.35"/>
    <row r="46084" hidden="1" x14ac:dyDescent="0.35"/>
    <row r="46085" hidden="1" x14ac:dyDescent="0.35"/>
    <row r="46086" hidden="1" x14ac:dyDescent="0.35"/>
    <row r="46087" hidden="1" x14ac:dyDescent="0.35"/>
    <row r="46088" hidden="1" x14ac:dyDescent="0.35"/>
    <row r="46089" hidden="1" x14ac:dyDescent="0.35"/>
    <row r="46090" hidden="1" x14ac:dyDescent="0.35"/>
    <row r="46091" hidden="1" x14ac:dyDescent="0.35"/>
    <row r="46092" hidden="1" x14ac:dyDescent="0.35"/>
    <row r="46093" hidden="1" x14ac:dyDescent="0.35"/>
    <row r="46094" hidden="1" x14ac:dyDescent="0.35"/>
    <row r="46095" hidden="1" x14ac:dyDescent="0.35"/>
    <row r="46096" hidden="1" x14ac:dyDescent="0.35"/>
    <row r="46097" hidden="1" x14ac:dyDescent="0.35"/>
    <row r="46098" hidden="1" x14ac:dyDescent="0.35"/>
    <row r="46099" hidden="1" x14ac:dyDescent="0.35"/>
    <row r="46100" hidden="1" x14ac:dyDescent="0.35"/>
    <row r="46101" hidden="1" x14ac:dyDescent="0.35"/>
    <row r="46102" hidden="1" x14ac:dyDescent="0.35"/>
    <row r="46103" hidden="1" x14ac:dyDescent="0.35"/>
    <row r="46104" hidden="1" x14ac:dyDescent="0.35"/>
    <row r="46105" hidden="1" x14ac:dyDescent="0.35"/>
    <row r="46106" hidden="1" x14ac:dyDescent="0.35"/>
    <row r="46107" hidden="1" x14ac:dyDescent="0.35"/>
    <row r="46108" hidden="1" x14ac:dyDescent="0.35"/>
    <row r="46109" hidden="1" x14ac:dyDescent="0.35"/>
    <row r="46110" hidden="1" x14ac:dyDescent="0.35"/>
    <row r="46111" hidden="1" x14ac:dyDescent="0.35"/>
    <row r="46112" hidden="1" x14ac:dyDescent="0.35"/>
    <row r="46113" hidden="1" x14ac:dyDescent="0.35"/>
    <row r="46114" hidden="1" x14ac:dyDescent="0.35"/>
    <row r="46115" hidden="1" x14ac:dyDescent="0.35"/>
    <row r="46116" hidden="1" x14ac:dyDescent="0.35"/>
    <row r="46117" hidden="1" x14ac:dyDescent="0.35"/>
    <row r="46118" hidden="1" x14ac:dyDescent="0.35"/>
    <row r="46119" hidden="1" x14ac:dyDescent="0.35"/>
    <row r="46120" hidden="1" x14ac:dyDescent="0.35"/>
    <row r="46121" hidden="1" x14ac:dyDescent="0.35"/>
    <row r="46122" hidden="1" x14ac:dyDescent="0.35"/>
    <row r="46123" hidden="1" x14ac:dyDescent="0.35"/>
    <row r="46124" hidden="1" x14ac:dyDescent="0.35"/>
    <row r="46125" hidden="1" x14ac:dyDescent="0.35"/>
    <row r="46126" hidden="1" x14ac:dyDescent="0.35"/>
    <row r="46127" hidden="1" x14ac:dyDescent="0.35"/>
    <row r="46128" hidden="1" x14ac:dyDescent="0.35"/>
    <row r="46129" hidden="1" x14ac:dyDescent="0.35"/>
    <row r="46130" hidden="1" x14ac:dyDescent="0.35"/>
    <row r="46131" hidden="1" x14ac:dyDescent="0.35"/>
    <row r="46132" hidden="1" x14ac:dyDescent="0.35"/>
    <row r="46133" hidden="1" x14ac:dyDescent="0.35"/>
    <row r="46134" hidden="1" x14ac:dyDescent="0.35"/>
    <row r="46135" hidden="1" x14ac:dyDescent="0.35"/>
    <row r="46136" hidden="1" x14ac:dyDescent="0.35"/>
    <row r="46137" hidden="1" x14ac:dyDescent="0.35"/>
    <row r="46138" hidden="1" x14ac:dyDescent="0.35"/>
    <row r="46139" hidden="1" x14ac:dyDescent="0.35"/>
    <row r="46140" hidden="1" x14ac:dyDescent="0.35"/>
    <row r="46141" hidden="1" x14ac:dyDescent="0.35"/>
    <row r="46142" hidden="1" x14ac:dyDescent="0.35"/>
    <row r="46143" hidden="1" x14ac:dyDescent="0.35"/>
    <row r="46144" hidden="1" x14ac:dyDescent="0.35"/>
    <row r="46145" hidden="1" x14ac:dyDescent="0.35"/>
    <row r="46146" hidden="1" x14ac:dyDescent="0.35"/>
    <row r="46147" hidden="1" x14ac:dyDescent="0.35"/>
    <row r="46148" hidden="1" x14ac:dyDescent="0.35"/>
    <row r="46149" hidden="1" x14ac:dyDescent="0.35"/>
    <row r="46150" hidden="1" x14ac:dyDescent="0.35"/>
    <row r="46151" hidden="1" x14ac:dyDescent="0.35"/>
    <row r="46152" hidden="1" x14ac:dyDescent="0.35"/>
    <row r="46153" hidden="1" x14ac:dyDescent="0.35"/>
    <row r="46154" hidden="1" x14ac:dyDescent="0.35"/>
    <row r="46155" hidden="1" x14ac:dyDescent="0.35"/>
    <row r="46156" hidden="1" x14ac:dyDescent="0.35"/>
    <row r="46157" hidden="1" x14ac:dyDescent="0.35"/>
    <row r="46158" hidden="1" x14ac:dyDescent="0.35"/>
    <row r="46159" hidden="1" x14ac:dyDescent="0.35"/>
    <row r="46160" hidden="1" x14ac:dyDescent="0.35"/>
    <row r="46161" hidden="1" x14ac:dyDescent="0.35"/>
    <row r="46162" hidden="1" x14ac:dyDescent="0.35"/>
    <row r="46163" hidden="1" x14ac:dyDescent="0.35"/>
    <row r="46164" hidden="1" x14ac:dyDescent="0.35"/>
    <row r="46165" hidden="1" x14ac:dyDescent="0.35"/>
    <row r="46166" hidden="1" x14ac:dyDescent="0.35"/>
    <row r="46167" hidden="1" x14ac:dyDescent="0.35"/>
    <row r="46168" hidden="1" x14ac:dyDescent="0.35"/>
    <row r="46169" hidden="1" x14ac:dyDescent="0.35"/>
    <row r="46170" hidden="1" x14ac:dyDescent="0.35"/>
    <row r="46171" hidden="1" x14ac:dyDescent="0.35"/>
    <row r="46172" hidden="1" x14ac:dyDescent="0.35"/>
    <row r="46173" hidden="1" x14ac:dyDescent="0.35"/>
    <row r="46174" hidden="1" x14ac:dyDescent="0.35"/>
    <row r="46175" hidden="1" x14ac:dyDescent="0.35"/>
    <row r="46176" hidden="1" x14ac:dyDescent="0.35"/>
    <row r="46177" hidden="1" x14ac:dyDescent="0.35"/>
    <row r="46178" hidden="1" x14ac:dyDescent="0.35"/>
    <row r="46179" hidden="1" x14ac:dyDescent="0.35"/>
    <row r="46180" hidden="1" x14ac:dyDescent="0.35"/>
    <row r="46181" hidden="1" x14ac:dyDescent="0.35"/>
    <row r="46182" hidden="1" x14ac:dyDescent="0.35"/>
    <row r="46183" hidden="1" x14ac:dyDescent="0.35"/>
    <row r="46184" hidden="1" x14ac:dyDescent="0.35"/>
    <row r="46185" hidden="1" x14ac:dyDescent="0.35"/>
    <row r="46186" hidden="1" x14ac:dyDescent="0.35"/>
    <row r="46187" hidden="1" x14ac:dyDescent="0.35"/>
    <row r="46188" hidden="1" x14ac:dyDescent="0.35"/>
    <row r="46189" hidden="1" x14ac:dyDescent="0.35"/>
    <row r="46190" hidden="1" x14ac:dyDescent="0.35"/>
    <row r="46191" hidden="1" x14ac:dyDescent="0.35"/>
    <row r="46192" hidden="1" x14ac:dyDescent="0.35"/>
    <row r="46193" hidden="1" x14ac:dyDescent="0.35"/>
    <row r="46194" hidden="1" x14ac:dyDescent="0.35"/>
    <row r="46195" hidden="1" x14ac:dyDescent="0.35"/>
    <row r="46196" hidden="1" x14ac:dyDescent="0.35"/>
    <row r="46197" hidden="1" x14ac:dyDescent="0.35"/>
    <row r="46198" hidden="1" x14ac:dyDescent="0.35"/>
    <row r="46199" hidden="1" x14ac:dyDescent="0.35"/>
    <row r="46200" hidden="1" x14ac:dyDescent="0.35"/>
    <row r="46201" hidden="1" x14ac:dyDescent="0.35"/>
    <row r="46202" hidden="1" x14ac:dyDescent="0.35"/>
    <row r="46203" hidden="1" x14ac:dyDescent="0.35"/>
    <row r="46204" hidden="1" x14ac:dyDescent="0.35"/>
    <row r="46205" hidden="1" x14ac:dyDescent="0.35"/>
    <row r="46206" hidden="1" x14ac:dyDescent="0.35"/>
    <row r="46207" hidden="1" x14ac:dyDescent="0.35"/>
    <row r="46208" hidden="1" x14ac:dyDescent="0.35"/>
    <row r="46209" hidden="1" x14ac:dyDescent="0.35"/>
    <row r="46210" hidden="1" x14ac:dyDescent="0.35"/>
    <row r="46211" hidden="1" x14ac:dyDescent="0.35"/>
    <row r="46212" hidden="1" x14ac:dyDescent="0.35"/>
    <row r="46213" hidden="1" x14ac:dyDescent="0.35"/>
    <row r="46214" hidden="1" x14ac:dyDescent="0.35"/>
    <row r="46215" hidden="1" x14ac:dyDescent="0.35"/>
    <row r="46216" hidden="1" x14ac:dyDescent="0.35"/>
    <row r="46217" hidden="1" x14ac:dyDescent="0.35"/>
    <row r="46218" hidden="1" x14ac:dyDescent="0.35"/>
    <row r="46219" hidden="1" x14ac:dyDescent="0.35"/>
    <row r="46220" hidden="1" x14ac:dyDescent="0.35"/>
    <row r="46221" hidden="1" x14ac:dyDescent="0.35"/>
    <row r="46222" hidden="1" x14ac:dyDescent="0.35"/>
    <row r="46223" hidden="1" x14ac:dyDescent="0.35"/>
    <row r="46224" hidden="1" x14ac:dyDescent="0.35"/>
    <row r="46225" hidden="1" x14ac:dyDescent="0.35"/>
    <row r="46226" hidden="1" x14ac:dyDescent="0.35"/>
    <row r="46227" hidden="1" x14ac:dyDescent="0.35"/>
    <row r="46228" hidden="1" x14ac:dyDescent="0.35"/>
    <row r="46229" hidden="1" x14ac:dyDescent="0.35"/>
    <row r="46230" hidden="1" x14ac:dyDescent="0.35"/>
    <row r="46231" hidden="1" x14ac:dyDescent="0.35"/>
    <row r="46232" hidden="1" x14ac:dyDescent="0.35"/>
    <row r="46233" hidden="1" x14ac:dyDescent="0.35"/>
    <row r="46234" hidden="1" x14ac:dyDescent="0.35"/>
    <row r="46235" hidden="1" x14ac:dyDescent="0.35"/>
    <row r="46236" hidden="1" x14ac:dyDescent="0.35"/>
    <row r="46237" hidden="1" x14ac:dyDescent="0.35"/>
    <row r="46238" hidden="1" x14ac:dyDescent="0.35"/>
    <row r="46239" hidden="1" x14ac:dyDescent="0.35"/>
    <row r="46240" hidden="1" x14ac:dyDescent="0.35"/>
    <row r="46241" hidden="1" x14ac:dyDescent="0.35"/>
    <row r="46242" hidden="1" x14ac:dyDescent="0.35"/>
    <row r="46243" hidden="1" x14ac:dyDescent="0.35"/>
    <row r="46244" hidden="1" x14ac:dyDescent="0.35"/>
    <row r="46245" hidden="1" x14ac:dyDescent="0.35"/>
    <row r="46246" hidden="1" x14ac:dyDescent="0.35"/>
    <row r="46247" hidden="1" x14ac:dyDescent="0.35"/>
    <row r="46248" hidden="1" x14ac:dyDescent="0.35"/>
    <row r="46249" hidden="1" x14ac:dyDescent="0.35"/>
    <row r="46250" hidden="1" x14ac:dyDescent="0.35"/>
    <row r="46251" hidden="1" x14ac:dyDescent="0.35"/>
    <row r="46252" hidden="1" x14ac:dyDescent="0.35"/>
    <row r="46253" hidden="1" x14ac:dyDescent="0.35"/>
    <row r="46254" hidden="1" x14ac:dyDescent="0.35"/>
    <row r="46255" hidden="1" x14ac:dyDescent="0.35"/>
    <row r="46256" hidden="1" x14ac:dyDescent="0.35"/>
    <row r="46257" hidden="1" x14ac:dyDescent="0.35"/>
    <row r="46258" hidden="1" x14ac:dyDescent="0.35"/>
    <row r="46259" hidden="1" x14ac:dyDescent="0.35"/>
    <row r="46260" hidden="1" x14ac:dyDescent="0.35"/>
    <row r="46261" hidden="1" x14ac:dyDescent="0.35"/>
    <row r="46262" hidden="1" x14ac:dyDescent="0.35"/>
    <row r="46263" hidden="1" x14ac:dyDescent="0.35"/>
    <row r="46264" hidden="1" x14ac:dyDescent="0.35"/>
    <row r="46265" hidden="1" x14ac:dyDescent="0.35"/>
    <row r="46266" hidden="1" x14ac:dyDescent="0.35"/>
    <row r="46267" hidden="1" x14ac:dyDescent="0.35"/>
    <row r="46268" hidden="1" x14ac:dyDescent="0.35"/>
    <row r="46269" hidden="1" x14ac:dyDescent="0.35"/>
    <row r="46270" hidden="1" x14ac:dyDescent="0.35"/>
    <row r="46271" hidden="1" x14ac:dyDescent="0.35"/>
    <row r="46272" hidden="1" x14ac:dyDescent="0.35"/>
    <row r="46273" hidden="1" x14ac:dyDescent="0.35"/>
    <row r="46274" hidden="1" x14ac:dyDescent="0.35"/>
    <row r="46275" hidden="1" x14ac:dyDescent="0.35"/>
    <row r="46276" hidden="1" x14ac:dyDescent="0.35"/>
    <row r="46277" hidden="1" x14ac:dyDescent="0.35"/>
    <row r="46278" hidden="1" x14ac:dyDescent="0.35"/>
    <row r="46279" hidden="1" x14ac:dyDescent="0.35"/>
    <row r="46280" hidden="1" x14ac:dyDescent="0.35"/>
    <row r="46281" hidden="1" x14ac:dyDescent="0.35"/>
    <row r="46282" hidden="1" x14ac:dyDescent="0.35"/>
    <row r="46283" hidden="1" x14ac:dyDescent="0.35"/>
    <row r="46284" hidden="1" x14ac:dyDescent="0.35"/>
    <row r="46285" hidden="1" x14ac:dyDescent="0.35"/>
    <row r="46286" hidden="1" x14ac:dyDescent="0.35"/>
    <row r="46287" hidden="1" x14ac:dyDescent="0.35"/>
    <row r="46288" hidden="1" x14ac:dyDescent="0.35"/>
    <row r="46289" hidden="1" x14ac:dyDescent="0.35"/>
    <row r="46290" hidden="1" x14ac:dyDescent="0.35"/>
    <row r="46291" hidden="1" x14ac:dyDescent="0.35"/>
    <row r="46292" hidden="1" x14ac:dyDescent="0.35"/>
    <row r="46293" hidden="1" x14ac:dyDescent="0.35"/>
    <row r="46294" hidden="1" x14ac:dyDescent="0.35"/>
    <row r="46295" hidden="1" x14ac:dyDescent="0.35"/>
    <row r="46296" hidden="1" x14ac:dyDescent="0.35"/>
    <row r="46297" hidden="1" x14ac:dyDescent="0.35"/>
    <row r="46298" hidden="1" x14ac:dyDescent="0.35"/>
    <row r="46299" hidden="1" x14ac:dyDescent="0.35"/>
    <row r="46300" hidden="1" x14ac:dyDescent="0.35"/>
    <row r="46301" hidden="1" x14ac:dyDescent="0.35"/>
    <row r="46302" hidden="1" x14ac:dyDescent="0.35"/>
    <row r="46303" hidden="1" x14ac:dyDescent="0.35"/>
    <row r="46304" hidden="1" x14ac:dyDescent="0.35"/>
    <row r="46305" hidden="1" x14ac:dyDescent="0.35"/>
    <row r="46306" hidden="1" x14ac:dyDescent="0.35"/>
    <row r="46307" hidden="1" x14ac:dyDescent="0.35"/>
    <row r="46308" hidden="1" x14ac:dyDescent="0.35"/>
    <row r="46309" hidden="1" x14ac:dyDescent="0.35"/>
    <row r="46310" hidden="1" x14ac:dyDescent="0.35"/>
    <row r="46311" hidden="1" x14ac:dyDescent="0.35"/>
    <row r="46312" hidden="1" x14ac:dyDescent="0.35"/>
    <row r="46313" hidden="1" x14ac:dyDescent="0.35"/>
    <row r="46314" hidden="1" x14ac:dyDescent="0.35"/>
    <row r="46315" hidden="1" x14ac:dyDescent="0.35"/>
    <row r="46316" hidden="1" x14ac:dyDescent="0.35"/>
    <row r="46317" hidden="1" x14ac:dyDescent="0.35"/>
    <row r="46318" hidden="1" x14ac:dyDescent="0.35"/>
    <row r="46319" hidden="1" x14ac:dyDescent="0.35"/>
    <row r="46320" hidden="1" x14ac:dyDescent="0.35"/>
    <row r="46321" hidden="1" x14ac:dyDescent="0.35"/>
    <row r="46322" hidden="1" x14ac:dyDescent="0.35"/>
    <row r="46323" hidden="1" x14ac:dyDescent="0.35"/>
    <row r="46324" hidden="1" x14ac:dyDescent="0.35"/>
    <row r="46325" hidden="1" x14ac:dyDescent="0.35"/>
    <row r="46326" hidden="1" x14ac:dyDescent="0.35"/>
    <row r="46327" hidden="1" x14ac:dyDescent="0.35"/>
    <row r="46328" hidden="1" x14ac:dyDescent="0.35"/>
    <row r="46329" hidden="1" x14ac:dyDescent="0.35"/>
    <row r="46330" hidden="1" x14ac:dyDescent="0.35"/>
    <row r="46331" hidden="1" x14ac:dyDescent="0.35"/>
    <row r="46332" hidden="1" x14ac:dyDescent="0.35"/>
    <row r="46333" hidden="1" x14ac:dyDescent="0.35"/>
    <row r="46334" hidden="1" x14ac:dyDescent="0.35"/>
    <row r="46335" hidden="1" x14ac:dyDescent="0.35"/>
    <row r="46336" hidden="1" x14ac:dyDescent="0.35"/>
    <row r="46337" hidden="1" x14ac:dyDescent="0.35"/>
    <row r="46338" hidden="1" x14ac:dyDescent="0.35"/>
    <row r="46339" hidden="1" x14ac:dyDescent="0.35"/>
    <row r="46340" hidden="1" x14ac:dyDescent="0.35"/>
    <row r="46341" hidden="1" x14ac:dyDescent="0.35"/>
    <row r="46342" hidden="1" x14ac:dyDescent="0.35"/>
    <row r="46343" hidden="1" x14ac:dyDescent="0.35"/>
    <row r="46344" hidden="1" x14ac:dyDescent="0.35"/>
    <row r="46345" hidden="1" x14ac:dyDescent="0.35"/>
    <row r="46346" hidden="1" x14ac:dyDescent="0.35"/>
    <row r="46347" hidden="1" x14ac:dyDescent="0.35"/>
    <row r="46348" hidden="1" x14ac:dyDescent="0.35"/>
    <row r="46349" hidden="1" x14ac:dyDescent="0.35"/>
    <row r="46350" hidden="1" x14ac:dyDescent="0.35"/>
    <row r="46351" hidden="1" x14ac:dyDescent="0.35"/>
    <row r="46352" hidden="1" x14ac:dyDescent="0.35"/>
    <row r="46353" hidden="1" x14ac:dyDescent="0.35"/>
    <row r="46354" hidden="1" x14ac:dyDescent="0.35"/>
    <row r="46355" hidden="1" x14ac:dyDescent="0.35"/>
    <row r="46356" hidden="1" x14ac:dyDescent="0.35"/>
    <row r="46357" hidden="1" x14ac:dyDescent="0.35"/>
    <row r="46358" hidden="1" x14ac:dyDescent="0.35"/>
    <row r="46359" hidden="1" x14ac:dyDescent="0.35"/>
    <row r="46360" hidden="1" x14ac:dyDescent="0.35"/>
    <row r="46361" hidden="1" x14ac:dyDescent="0.35"/>
    <row r="46362" hidden="1" x14ac:dyDescent="0.35"/>
    <row r="46363" hidden="1" x14ac:dyDescent="0.35"/>
    <row r="46364" hidden="1" x14ac:dyDescent="0.35"/>
    <row r="46365" hidden="1" x14ac:dyDescent="0.35"/>
    <row r="46366" hidden="1" x14ac:dyDescent="0.35"/>
    <row r="46367" hidden="1" x14ac:dyDescent="0.35"/>
    <row r="46368" hidden="1" x14ac:dyDescent="0.35"/>
    <row r="46369" hidden="1" x14ac:dyDescent="0.35"/>
    <row r="46370" hidden="1" x14ac:dyDescent="0.35"/>
    <row r="46371" hidden="1" x14ac:dyDescent="0.35"/>
    <row r="46372" hidden="1" x14ac:dyDescent="0.35"/>
    <row r="46373" hidden="1" x14ac:dyDescent="0.35"/>
    <row r="46374" hidden="1" x14ac:dyDescent="0.35"/>
    <row r="46375" hidden="1" x14ac:dyDescent="0.35"/>
    <row r="46376" hidden="1" x14ac:dyDescent="0.35"/>
    <row r="46377" hidden="1" x14ac:dyDescent="0.35"/>
    <row r="46378" hidden="1" x14ac:dyDescent="0.35"/>
    <row r="46379" hidden="1" x14ac:dyDescent="0.35"/>
    <row r="46380" hidden="1" x14ac:dyDescent="0.35"/>
    <row r="46381" hidden="1" x14ac:dyDescent="0.35"/>
    <row r="46382" hidden="1" x14ac:dyDescent="0.35"/>
    <row r="46383" hidden="1" x14ac:dyDescent="0.35"/>
    <row r="46384" hidden="1" x14ac:dyDescent="0.35"/>
    <row r="46385" hidden="1" x14ac:dyDescent="0.35"/>
    <row r="46386" hidden="1" x14ac:dyDescent="0.35"/>
    <row r="46387" hidden="1" x14ac:dyDescent="0.35"/>
    <row r="46388" hidden="1" x14ac:dyDescent="0.35"/>
    <row r="46389" hidden="1" x14ac:dyDescent="0.35"/>
    <row r="46390" hidden="1" x14ac:dyDescent="0.35"/>
    <row r="46391" hidden="1" x14ac:dyDescent="0.35"/>
    <row r="46392" hidden="1" x14ac:dyDescent="0.35"/>
    <row r="46393" hidden="1" x14ac:dyDescent="0.35"/>
    <row r="46394" hidden="1" x14ac:dyDescent="0.35"/>
    <row r="46395" hidden="1" x14ac:dyDescent="0.35"/>
    <row r="46396" hidden="1" x14ac:dyDescent="0.35"/>
    <row r="46397" hidden="1" x14ac:dyDescent="0.35"/>
    <row r="46398" hidden="1" x14ac:dyDescent="0.35"/>
    <row r="46399" hidden="1" x14ac:dyDescent="0.35"/>
    <row r="46400" hidden="1" x14ac:dyDescent="0.35"/>
    <row r="46401" hidden="1" x14ac:dyDescent="0.35"/>
    <row r="46402" hidden="1" x14ac:dyDescent="0.35"/>
    <row r="46403" hidden="1" x14ac:dyDescent="0.35"/>
    <row r="46404" hidden="1" x14ac:dyDescent="0.35"/>
    <row r="46405" hidden="1" x14ac:dyDescent="0.35"/>
    <row r="46406" hidden="1" x14ac:dyDescent="0.35"/>
    <row r="46407" hidden="1" x14ac:dyDescent="0.35"/>
    <row r="46408" hidden="1" x14ac:dyDescent="0.35"/>
    <row r="46409" hidden="1" x14ac:dyDescent="0.35"/>
    <row r="46410" hidden="1" x14ac:dyDescent="0.35"/>
    <row r="46411" hidden="1" x14ac:dyDescent="0.35"/>
    <row r="46412" hidden="1" x14ac:dyDescent="0.35"/>
    <row r="46413" hidden="1" x14ac:dyDescent="0.35"/>
    <row r="46414" hidden="1" x14ac:dyDescent="0.35"/>
    <row r="46415" hidden="1" x14ac:dyDescent="0.35"/>
    <row r="46416" hidden="1" x14ac:dyDescent="0.35"/>
    <row r="46417" hidden="1" x14ac:dyDescent="0.35"/>
    <row r="46418" hidden="1" x14ac:dyDescent="0.35"/>
    <row r="46419" hidden="1" x14ac:dyDescent="0.35"/>
    <row r="46420" hidden="1" x14ac:dyDescent="0.35"/>
    <row r="46421" hidden="1" x14ac:dyDescent="0.35"/>
    <row r="46422" hidden="1" x14ac:dyDescent="0.35"/>
    <row r="46423" hidden="1" x14ac:dyDescent="0.35"/>
    <row r="46424" hidden="1" x14ac:dyDescent="0.35"/>
    <row r="46425" hidden="1" x14ac:dyDescent="0.35"/>
    <row r="46426" hidden="1" x14ac:dyDescent="0.35"/>
    <row r="46427" hidden="1" x14ac:dyDescent="0.35"/>
    <row r="46428" hidden="1" x14ac:dyDescent="0.35"/>
    <row r="46429" hidden="1" x14ac:dyDescent="0.35"/>
    <row r="46430" hidden="1" x14ac:dyDescent="0.35"/>
    <row r="46431" hidden="1" x14ac:dyDescent="0.35"/>
    <row r="46432" hidden="1" x14ac:dyDescent="0.35"/>
    <row r="46433" hidden="1" x14ac:dyDescent="0.35"/>
    <row r="46434" hidden="1" x14ac:dyDescent="0.35"/>
    <row r="46435" hidden="1" x14ac:dyDescent="0.35"/>
    <row r="46436" hidden="1" x14ac:dyDescent="0.35"/>
    <row r="46437" hidden="1" x14ac:dyDescent="0.35"/>
    <row r="46438" hidden="1" x14ac:dyDescent="0.35"/>
    <row r="46439" hidden="1" x14ac:dyDescent="0.35"/>
    <row r="46440" hidden="1" x14ac:dyDescent="0.35"/>
    <row r="46441" hidden="1" x14ac:dyDescent="0.35"/>
    <row r="46442" hidden="1" x14ac:dyDescent="0.35"/>
    <row r="46443" hidden="1" x14ac:dyDescent="0.35"/>
    <row r="46444" hidden="1" x14ac:dyDescent="0.35"/>
    <row r="46445" hidden="1" x14ac:dyDescent="0.35"/>
    <row r="46446" hidden="1" x14ac:dyDescent="0.35"/>
    <row r="46447" hidden="1" x14ac:dyDescent="0.35"/>
    <row r="46448" hidden="1" x14ac:dyDescent="0.35"/>
    <row r="46449" hidden="1" x14ac:dyDescent="0.35"/>
    <row r="46450" hidden="1" x14ac:dyDescent="0.35"/>
    <row r="46451" hidden="1" x14ac:dyDescent="0.35"/>
    <row r="46452" hidden="1" x14ac:dyDescent="0.35"/>
    <row r="46453" hidden="1" x14ac:dyDescent="0.35"/>
    <row r="46454" hidden="1" x14ac:dyDescent="0.35"/>
    <row r="46455" hidden="1" x14ac:dyDescent="0.35"/>
    <row r="46456" hidden="1" x14ac:dyDescent="0.35"/>
    <row r="46457" hidden="1" x14ac:dyDescent="0.35"/>
    <row r="46458" hidden="1" x14ac:dyDescent="0.35"/>
    <row r="46459" hidden="1" x14ac:dyDescent="0.35"/>
    <row r="46460" hidden="1" x14ac:dyDescent="0.35"/>
    <row r="46461" hidden="1" x14ac:dyDescent="0.35"/>
    <row r="46462" hidden="1" x14ac:dyDescent="0.35"/>
    <row r="46463" hidden="1" x14ac:dyDescent="0.35"/>
    <row r="46464" hidden="1" x14ac:dyDescent="0.35"/>
    <row r="46465" hidden="1" x14ac:dyDescent="0.35"/>
    <row r="46466" hidden="1" x14ac:dyDescent="0.35"/>
    <row r="46467" hidden="1" x14ac:dyDescent="0.35"/>
    <row r="46468" hidden="1" x14ac:dyDescent="0.35"/>
    <row r="46469" hidden="1" x14ac:dyDescent="0.35"/>
    <row r="46470" hidden="1" x14ac:dyDescent="0.35"/>
    <row r="46471" hidden="1" x14ac:dyDescent="0.35"/>
    <row r="46472" hidden="1" x14ac:dyDescent="0.35"/>
    <row r="46473" hidden="1" x14ac:dyDescent="0.35"/>
    <row r="46474" hidden="1" x14ac:dyDescent="0.35"/>
    <row r="46475" hidden="1" x14ac:dyDescent="0.35"/>
    <row r="46476" hidden="1" x14ac:dyDescent="0.35"/>
    <row r="46477" hidden="1" x14ac:dyDescent="0.35"/>
    <row r="46478" hidden="1" x14ac:dyDescent="0.35"/>
    <row r="46479" hidden="1" x14ac:dyDescent="0.35"/>
    <row r="46480" hidden="1" x14ac:dyDescent="0.35"/>
    <row r="46481" hidden="1" x14ac:dyDescent="0.35"/>
    <row r="46482" hidden="1" x14ac:dyDescent="0.35"/>
    <row r="46483" hidden="1" x14ac:dyDescent="0.35"/>
    <row r="46484" hidden="1" x14ac:dyDescent="0.35"/>
    <row r="46485" hidden="1" x14ac:dyDescent="0.35"/>
    <row r="46486" hidden="1" x14ac:dyDescent="0.35"/>
    <row r="46487" hidden="1" x14ac:dyDescent="0.35"/>
    <row r="46488" hidden="1" x14ac:dyDescent="0.35"/>
    <row r="46489" hidden="1" x14ac:dyDescent="0.35"/>
    <row r="46490" hidden="1" x14ac:dyDescent="0.35"/>
    <row r="46491" hidden="1" x14ac:dyDescent="0.35"/>
    <row r="46492" hidden="1" x14ac:dyDescent="0.35"/>
    <row r="46493" hidden="1" x14ac:dyDescent="0.35"/>
    <row r="46494" hidden="1" x14ac:dyDescent="0.35"/>
    <row r="46495" hidden="1" x14ac:dyDescent="0.35"/>
    <row r="46496" hidden="1" x14ac:dyDescent="0.35"/>
    <row r="46497" hidden="1" x14ac:dyDescent="0.35"/>
    <row r="46498" hidden="1" x14ac:dyDescent="0.35"/>
    <row r="46499" hidden="1" x14ac:dyDescent="0.35"/>
    <row r="46500" hidden="1" x14ac:dyDescent="0.35"/>
    <row r="46501" hidden="1" x14ac:dyDescent="0.35"/>
    <row r="46502" hidden="1" x14ac:dyDescent="0.35"/>
    <row r="46503" hidden="1" x14ac:dyDescent="0.35"/>
    <row r="46504" hidden="1" x14ac:dyDescent="0.35"/>
    <row r="46505" hidden="1" x14ac:dyDescent="0.35"/>
    <row r="46506" hidden="1" x14ac:dyDescent="0.35"/>
    <row r="46507" hidden="1" x14ac:dyDescent="0.35"/>
    <row r="46508" hidden="1" x14ac:dyDescent="0.35"/>
    <row r="46509" hidden="1" x14ac:dyDescent="0.35"/>
    <row r="46510" hidden="1" x14ac:dyDescent="0.35"/>
    <row r="46511" hidden="1" x14ac:dyDescent="0.35"/>
    <row r="46512" hidden="1" x14ac:dyDescent="0.35"/>
    <row r="46513" hidden="1" x14ac:dyDescent="0.35"/>
    <row r="46514" hidden="1" x14ac:dyDescent="0.35"/>
    <row r="46515" hidden="1" x14ac:dyDescent="0.35"/>
    <row r="46516" hidden="1" x14ac:dyDescent="0.35"/>
    <row r="46517" hidden="1" x14ac:dyDescent="0.35"/>
    <row r="46518" hidden="1" x14ac:dyDescent="0.35"/>
    <row r="46519" hidden="1" x14ac:dyDescent="0.35"/>
    <row r="46520" hidden="1" x14ac:dyDescent="0.35"/>
    <row r="46521" hidden="1" x14ac:dyDescent="0.35"/>
    <row r="46522" hidden="1" x14ac:dyDescent="0.35"/>
    <row r="46523" hidden="1" x14ac:dyDescent="0.35"/>
    <row r="46524" hidden="1" x14ac:dyDescent="0.35"/>
    <row r="46525" hidden="1" x14ac:dyDescent="0.35"/>
    <row r="46526" hidden="1" x14ac:dyDescent="0.35"/>
    <row r="46527" hidden="1" x14ac:dyDescent="0.35"/>
    <row r="46528" hidden="1" x14ac:dyDescent="0.35"/>
    <row r="46529" hidden="1" x14ac:dyDescent="0.35"/>
    <row r="46530" hidden="1" x14ac:dyDescent="0.35"/>
    <row r="46531" hidden="1" x14ac:dyDescent="0.35"/>
    <row r="46532" hidden="1" x14ac:dyDescent="0.35"/>
    <row r="46533" hidden="1" x14ac:dyDescent="0.35"/>
    <row r="46534" hidden="1" x14ac:dyDescent="0.35"/>
    <row r="46535" hidden="1" x14ac:dyDescent="0.35"/>
    <row r="46536" hidden="1" x14ac:dyDescent="0.35"/>
    <row r="46537" hidden="1" x14ac:dyDescent="0.35"/>
    <row r="46538" hidden="1" x14ac:dyDescent="0.35"/>
    <row r="46539" hidden="1" x14ac:dyDescent="0.35"/>
    <row r="46540" hidden="1" x14ac:dyDescent="0.35"/>
    <row r="46541" hidden="1" x14ac:dyDescent="0.35"/>
    <row r="46542" hidden="1" x14ac:dyDescent="0.35"/>
    <row r="46543" hidden="1" x14ac:dyDescent="0.35"/>
    <row r="46544" hidden="1" x14ac:dyDescent="0.35"/>
    <row r="46545" hidden="1" x14ac:dyDescent="0.35"/>
    <row r="46546" hidden="1" x14ac:dyDescent="0.35"/>
    <row r="46547" hidden="1" x14ac:dyDescent="0.35"/>
    <row r="46548" hidden="1" x14ac:dyDescent="0.35"/>
    <row r="46549" hidden="1" x14ac:dyDescent="0.35"/>
    <row r="46550" hidden="1" x14ac:dyDescent="0.35"/>
    <row r="46551" hidden="1" x14ac:dyDescent="0.35"/>
    <row r="46552" hidden="1" x14ac:dyDescent="0.35"/>
    <row r="46553" hidden="1" x14ac:dyDescent="0.35"/>
    <row r="46554" hidden="1" x14ac:dyDescent="0.35"/>
    <row r="46555" hidden="1" x14ac:dyDescent="0.35"/>
    <row r="46556" hidden="1" x14ac:dyDescent="0.35"/>
    <row r="46557" hidden="1" x14ac:dyDescent="0.35"/>
    <row r="46558" hidden="1" x14ac:dyDescent="0.35"/>
    <row r="46559" hidden="1" x14ac:dyDescent="0.35"/>
    <row r="46560" hidden="1" x14ac:dyDescent="0.35"/>
    <row r="46561" hidden="1" x14ac:dyDescent="0.35"/>
    <row r="46562" hidden="1" x14ac:dyDescent="0.35"/>
    <row r="46563" hidden="1" x14ac:dyDescent="0.35"/>
    <row r="46564" hidden="1" x14ac:dyDescent="0.35"/>
    <row r="46565" hidden="1" x14ac:dyDescent="0.35"/>
    <row r="46566" hidden="1" x14ac:dyDescent="0.35"/>
    <row r="46567" hidden="1" x14ac:dyDescent="0.35"/>
    <row r="46568" hidden="1" x14ac:dyDescent="0.35"/>
    <row r="46569" hidden="1" x14ac:dyDescent="0.35"/>
    <row r="46570" hidden="1" x14ac:dyDescent="0.35"/>
    <row r="46571" hidden="1" x14ac:dyDescent="0.35"/>
    <row r="46572" hidden="1" x14ac:dyDescent="0.35"/>
    <row r="46573" hidden="1" x14ac:dyDescent="0.35"/>
    <row r="46574" hidden="1" x14ac:dyDescent="0.35"/>
    <row r="46575" hidden="1" x14ac:dyDescent="0.35"/>
    <row r="46576" hidden="1" x14ac:dyDescent="0.35"/>
    <row r="46577" hidden="1" x14ac:dyDescent="0.35"/>
    <row r="46578" hidden="1" x14ac:dyDescent="0.35"/>
    <row r="46579" hidden="1" x14ac:dyDescent="0.35"/>
    <row r="46580" hidden="1" x14ac:dyDescent="0.35"/>
    <row r="46581" hidden="1" x14ac:dyDescent="0.35"/>
    <row r="46582" hidden="1" x14ac:dyDescent="0.35"/>
    <row r="46583" hidden="1" x14ac:dyDescent="0.35"/>
    <row r="46584" hidden="1" x14ac:dyDescent="0.35"/>
    <row r="46585" hidden="1" x14ac:dyDescent="0.35"/>
    <row r="46586" hidden="1" x14ac:dyDescent="0.35"/>
    <row r="46587" hidden="1" x14ac:dyDescent="0.35"/>
    <row r="46588" hidden="1" x14ac:dyDescent="0.35"/>
    <row r="46589" hidden="1" x14ac:dyDescent="0.35"/>
    <row r="46590" hidden="1" x14ac:dyDescent="0.35"/>
    <row r="46591" hidden="1" x14ac:dyDescent="0.35"/>
    <row r="46592" hidden="1" x14ac:dyDescent="0.35"/>
    <row r="46593" hidden="1" x14ac:dyDescent="0.35"/>
    <row r="46594" hidden="1" x14ac:dyDescent="0.35"/>
    <row r="46595" hidden="1" x14ac:dyDescent="0.35"/>
    <row r="46596" hidden="1" x14ac:dyDescent="0.35"/>
    <row r="46597" hidden="1" x14ac:dyDescent="0.35"/>
    <row r="46598" hidden="1" x14ac:dyDescent="0.35"/>
    <row r="46599" hidden="1" x14ac:dyDescent="0.35"/>
    <row r="46600" hidden="1" x14ac:dyDescent="0.35"/>
    <row r="46601" hidden="1" x14ac:dyDescent="0.35"/>
    <row r="46602" hidden="1" x14ac:dyDescent="0.35"/>
    <row r="46603" hidden="1" x14ac:dyDescent="0.35"/>
    <row r="46604" hidden="1" x14ac:dyDescent="0.35"/>
    <row r="46605" hidden="1" x14ac:dyDescent="0.35"/>
    <row r="46606" hidden="1" x14ac:dyDescent="0.35"/>
    <row r="46607" hidden="1" x14ac:dyDescent="0.35"/>
    <row r="46608" hidden="1" x14ac:dyDescent="0.35"/>
    <row r="46609" hidden="1" x14ac:dyDescent="0.35"/>
    <row r="46610" hidden="1" x14ac:dyDescent="0.35"/>
    <row r="46611" hidden="1" x14ac:dyDescent="0.35"/>
    <row r="46612" hidden="1" x14ac:dyDescent="0.35"/>
    <row r="46613" hidden="1" x14ac:dyDescent="0.35"/>
    <row r="46614" hidden="1" x14ac:dyDescent="0.35"/>
    <row r="46615" hidden="1" x14ac:dyDescent="0.35"/>
    <row r="46616" hidden="1" x14ac:dyDescent="0.35"/>
    <row r="46617" hidden="1" x14ac:dyDescent="0.35"/>
    <row r="46618" hidden="1" x14ac:dyDescent="0.35"/>
    <row r="46619" hidden="1" x14ac:dyDescent="0.35"/>
    <row r="46620" hidden="1" x14ac:dyDescent="0.35"/>
    <row r="46621" hidden="1" x14ac:dyDescent="0.35"/>
    <row r="46622" hidden="1" x14ac:dyDescent="0.35"/>
    <row r="46623" hidden="1" x14ac:dyDescent="0.35"/>
    <row r="46624" hidden="1" x14ac:dyDescent="0.35"/>
    <row r="46625" hidden="1" x14ac:dyDescent="0.35"/>
    <row r="46626" hidden="1" x14ac:dyDescent="0.35"/>
    <row r="46627" hidden="1" x14ac:dyDescent="0.35"/>
    <row r="46628" hidden="1" x14ac:dyDescent="0.35"/>
    <row r="46629" hidden="1" x14ac:dyDescent="0.35"/>
    <row r="46630" hidden="1" x14ac:dyDescent="0.35"/>
    <row r="46631" hidden="1" x14ac:dyDescent="0.35"/>
    <row r="46632" hidden="1" x14ac:dyDescent="0.35"/>
    <row r="46633" hidden="1" x14ac:dyDescent="0.35"/>
    <row r="46634" hidden="1" x14ac:dyDescent="0.35"/>
    <row r="46635" hidden="1" x14ac:dyDescent="0.35"/>
    <row r="46636" hidden="1" x14ac:dyDescent="0.35"/>
    <row r="46637" hidden="1" x14ac:dyDescent="0.35"/>
    <row r="46638" hidden="1" x14ac:dyDescent="0.35"/>
    <row r="46639" hidden="1" x14ac:dyDescent="0.35"/>
    <row r="46640" hidden="1" x14ac:dyDescent="0.35"/>
    <row r="46641" hidden="1" x14ac:dyDescent="0.35"/>
    <row r="46642" hidden="1" x14ac:dyDescent="0.35"/>
    <row r="46643" hidden="1" x14ac:dyDescent="0.35"/>
    <row r="46644" hidden="1" x14ac:dyDescent="0.35"/>
    <row r="46645" hidden="1" x14ac:dyDescent="0.35"/>
    <row r="46646" hidden="1" x14ac:dyDescent="0.35"/>
    <row r="46647" hidden="1" x14ac:dyDescent="0.35"/>
    <row r="46648" hidden="1" x14ac:dyDescent="0.35"/>
    <row r="46649" hidden="1" x14ac:dyDescent="0.35"/>
    <row r="46650" hidden="1" x14ac:dyDescent="0.35"/>
    <row r="46651" hidden="1" x14ac:dyDescent="0.35"/>
    <row r="46652" hidden="1" x14ac:dyDescent="0.35"/>
    <row r="46653" hidden="1" x14ac:dyDescent="0.35"/>
    <row r="46654" hidden="1" x14ac:dyDescent="0.35"/>
    <row r="46655" hidden="1" x14ac:dyDescent="0.35"/>
    <row r="46656" hidden="1" x14ac:dyDescent="0.35"/>
    <row r="46657" hidden="1" x14ac:dyDescent="0.35"/>
    <row r="46658" hidden="1" x14ac:dyDescent="0.35"/>
    <row r="46659" hidden="1" x14ac:dyDescent="0.35"/>
    <row r="46660" hidden="1" x14ac:dyDescent="0.35"/>
    <row r="46661" hidden="1" x14ac:dyDescent="0.35"/>
    <row r="46662" hidden="1" x14ac:dyDescent="0.35"/>
    <row r="46663" hidden="1" x14ac:dyDescent="0.35"/>
    <row r="46664" hidden="1" x14ac:dyDescent="0.35"/>
    <row r="46665" hidden="1" x14ac:dyDescent="0.35"/>
    <row r="46666" hidden="1" x14ac:dyDescent="0.35"/>
    <row r="46667" hidden="1" x14ac:dyDescent="0.35"/>
    <row r="46668" hidden="1" x14ac:dyDescent="0.35"/>
    <row r="46669" hidden="1" x14ac:dyDescent="0.35"/>
    <row r="46670" hidden="1" x14ac:dyDescent="0.35"/>
    <row r="46671" hidden="1" x14ac:dyDescent="0.35"/>
    <row r="46672" hidden="1" x14ac:dyDescent="0.35"/>
    <row r="46673" hidden="1" x14ac:dyDescent="0.35"/>
    <row r="46674" hidden="1" x14ac:dyDescent="0.35"/>
    <row r="46675" hidden="1" x14ac:dyDescent="0.35"/>
    <row r="46676" hidden="1" x14ac:dyDescent="0.35"/>
    <row r="46677" hidden="1" x14ac:dyDescent="0.35"/>
    <row r="46678" hidden="1" x14ac:dyDescent="0.35"/>
    <row r="46679" hidden="1" x14ac:dyDescent="0.35"/>
    <row r="46680" hidden="1" x14ac:dyDescent="0.35"/>
    <row r="46681" hidden="1" x14ac:dyDescent="0.35"/>
    <row r="46682" hidden="1" x14ac:dyDescent="0.35"/>
    <row r="46683" hidden="1" x14ac:dyDescent="0.35"/>
    <row r="46684" hidden="1" x14ac:dyDescent="0.35"/>
    <row r="46685" hidden="1" x14ac:dyDescent="0.35"/>
    <row r="46686" hidden="1" x14ac:dyDescent="0.35"/>
    <row r="46687" hidden="1" x14ac:dyDescent="0.35"/>
    <row r="46688" hidden="1" x14ac:dyDescent="0.35"/>
    <row r="46689" hidden="1" x14ac:dyDescent="0.35"/>
    <row r="46690" hidden="1" x14ac:dyDescent="0.35"/>
    <row r="46691" hidden="1" x14ac:dyDescent="0.35"/>
    <row r="46692" hidden="1" x14ac:dyDescent="0.35"/>
    <row r="46693" hidden="1" x14ac:dyDescent="0.35"/>
    <row r="46694" hidden="1" x14ac:dyDescent="0.35"/>
    <row r="46695" hidden="1" x14ac:dyDescent="0.35"/>
    <row r="46696" hidden="1" x14ac:dyDescent="0.35"/>
    <row r="46697" hidden="1" x14ac:dyDescent="0.35"/>
    <row r="46698" hidden="1" x14ac:dyDescent="0.35"/>
    <row r="46699" hidden="1" x14ac:dyDescent="0.35"/>
    <row r="46700" hidden="1" x14ac:dyDescent="0.35"/>
    <row r="46701" hidden="1" x14ac:dyDescent="0.35"/>
    <row r="46702" hidden="1" x14ac:dyDescent="0.35"/>
    <row r="46703" hidden="1" x14ac:dyDescent="0.35"/>
    <row r="46704" hidden="1" x14ac:dyDescent="0.35"/>
    <row r="46705" hidden="1" x14ac:dyDescent="0.35"/>
    <row r="46706" hidden="1" x14ac:dyDescent="0.35"/>
    <row r="46707" hidden="1" x14ac:dyDescent="0.35"/>
    <row r="46708" hidden="1" x14ac:dyDescent="0.35"/>
    <row r="46709" hidden="1" x14ac:dyDescent="0.35"/>
    <row r="46710" hidden="1" x14ac:dyDescent="0.35"/>
    <row r="46711" hidden="1" x14ac:dyDescent="0.35"/>
    <row r="46712" hidden="1" x14ac:dyDescent="0.35"/>
    <row r="46713" hidden="1" x14ac:dyDescent="0.35"/>
    <row r="46714" hidden="1" x14ac:dyDescent="0.35"/>
    <row r="46715" hidden="1" x14ac:dyDescent="0.35"/>
    <row r="46716" hidden="1" x14ac:dyDescent="0.35"/>
    <row r="46717" hidden="1" x14ac:dyDescent="0.35"/>
    <row r="46718" hidden="1" x14ac:dyDescent="0.35"/>
    <row r="46719" hidden="1" x14ac:dyDescent="0.35"/>
    <row r="46720" hidden="1" x14ac:dyDescent="0.35"/>
    <row r="46721" hidden="1" x14ac:dyDescent="0.35"/>
    <row r="46722" hidden="1" x14ac:dyDescent="0.35"/>
    <row r="46723" hidden="1" x14ac:dyDescent="0.35"/>
    <row r="46724" hidden="1" x14ac:dyDescent="0.35"/>
    <row r="46725" hidden="1" x14ac:dyDescent="0.35"/>
    <row r="46726" hidden="1" x14ac:dyDescent="0.35"/>
    <row r="46727" hidden="1" x14ac:dyDescent="0.35"/>
    <row r="46728" hidden="1" x14ac:dyDescent="0.35"/>
    <row r="46729" hidden="1" x14ac:dyDescent="0.35"/>
    <row r="46730" hidden="1" x14ac:dyDescent="0.35"/>
    <row r="46731" hidden="1" x14ac:dyDescent="0.35"/>
    <row r="46732" hidden="1" x14ac:dyDescent="0.35"/>
    <row r="46733" hidden="1" x14ac:dyDescent="0.35"/>
    <row r="46734" hidden="1" x14ac:dyDescent="0.35"/>
    <row r="46735" hidden="1" x14ac:dyDescent="0.35"/>
    <row r="46736" hidden="1" x14ac:dyDescent="0.35"/>
    <row r="46737" hidden="1" x14ac:dyDescent="0.35"/>
    <row r="46738" hidden="1" x14ac:dyDescent="0.35"/>
    <row r="46739" hidden="1" x14ac:dyDescent="0.35"/>
    <row r="46740" hidden="1" x14ac:dyDescent="0.35"/>
    <row r="46741" hidden="1" x14ac:dyDescent="0.35"/>
    <row r="46742" hidden="1" x14ac:dyDescent="0.35"/>
    <row r="46743" hidden="1" x14ac:dyDescent="0.35"/>
    <row r="46744" hidden="1" x14ac:dyDescent="0.35"/>
    <row r="46745" hidden="1" x14ac:dyDescent="0.35"/>
    <row r="46746" hidden="1" x14ac:dyDescent="0.35"/>
    <row r="46747" hidden="1" x14ac:dyDescent="0.35"/>
    <row r="46748" hidden="1" x14ac:dyDescent="0.35"/>
    <row r="46749" hidden="1" x14ac:dyDescent="0.35"/>
    <row r="46750" hidden="1" x14ac:dyDescent="0.35"/>
    <row r="46751" hidden="1" x14ac:dyDescent="0.35"/>
    <row r="46752" hidden="1" x14ac:dyDescent="0.35"/>
    <row r="46753" hidden="1" x14ac:dyDescent="0.35"/>
    <row r="46754" hidden="1" x14ac:dyDescent="0.35"/>
    <row r="46755" hidden="1" x14ac:dyDescent="0.35"/>
    <row r="46756" hidden="1" x14ac:dyDescent="0.35"/>
    <row r="46757" hidden="1" x14ac:dyDescent="0.35"/>
    <row r="46758" hidden="1" x14ac:dyDescent="0.35"/>
    <row r="46759" hidden="1" x14ac:dyDescent="0.35"/>
    <row r="46760" hidden="1" x14ac:dyDescent="0.35"/>
    <row r="46761" hidden="1" x14ac:dyDescent="0.35"/>
    <row r="46762" hidden="1" x14ac:dyDescent="0.35"/>
    <row r="46763" hidden="1" x14ac:dyDescent="0.35"/>
    <row r="46764" hidden="1" x14ac:dyDescent="0.35"/>
    <row r="46765" hidden="1" x14ac:dyDescent="0.35"/>
    <row r="46766" hidden="1" x14ac:dyDescent="0.35"/>
    <row r="46767" hidden="1" x14ac:dyDescent="0.35"/>
    <row r="46768" hidden="1" x14ac:dyDescent="0.35"/>
    <row r="46769" hidden="1" x14ac:dyDescent="0.35"/>
    <row r="46770" hidden="1" x14ac:dyDescent="0.35"/>
    <row r="46771" hidden="1" x14ac:dyDescent="0.35"/>
    <row r="46772" hidden="1" x14ac:dyDescent="0.35"/>
    <row r="46773" hidden="1" x14ac:dyDescent="0.35"/>
    <row r="46774" hidden="1" x14ac:dyDescent="0.35"/>
    <row r="46775" hidden="1" x14ac:dyDescent="0.35"/>
    <row r="46776" hidden="1" x14ac:dyDescent="0.35"/>
    <row r="46777" hidden="1" x14ac:dyDescent="0.35"/>
    <row r="46778" hidden="1" x14ac:dyDescent="0.35"/>
    <row r="46779" hidden="1" x14ac:dyDescent="0.35"/>
    <row r="46780" hidden="1" x14ac:dyDescent="0.35"/>
    <row r="46781" hidden="1" x14ac:dyDescent="0.35"/>
    <row r="46782" hidden="1" x14ac:dyDescent="0.35"/>
    <row r="46783" hidden="1" x14ac:dyDescent="0.35"/>
    <row r="46784" hidden="1" x14ac:dyDescent="0.35"/>
    <row r="46785" hidden="1" x14ac:dyDescent="0.35"/>
    <row r="46786" hidden="1" x14ac:dyDescent="0.35"/>
    <row r="46787" hidden="1" x14ac:dyDescent="0.35"/>
    <row r="46788" hidden="1" x14ac:dyDescent="0.35"/>
    <row r="46789" hidden="1" x14ac:dyDescent="0.35"/>
    <row r="46790" hidden="1" x14ac:dyDescent="0.35"/>
    <row r="46791" hidden="1" x14ac:dyDescent="0.35"/>
    <row r="46792" hidden="1" x14ac:dyDescent="0.35"/>
    <row r="46793" hidden="1" x14ac:dyDescent="0.35"/>
    <row r="46794" hidden="1" x14ac:dyDescent="0.35"/>
    <row r="46795" hidden="1" x14ac:dyDescent="0.35"/>
    <row r="46796" hidden="1" x14ac:dyDescent="0.35"/>
    <row r="46797" hidden="1" x14ac:dyDescent="0.35"/>
    <row r="46798" hidden="1" x14ac:dyDescent="0.35"/>
    <row r="46799" hidden="1" x14ac:dyDescent="0.35"/>
    <row r="46800" hidden="1" x14ac:dyDescent="0.35"/>
    <row r="46801" hidden="1" x14ac:dyDescent="0.35"/>
    <row r="46802" hidden="1" x14ac:dyDescent="0.35"/>
    <row r="46803" hidden="1" x14ac:dyDescent="0.35"/>
    <row r="46804" hidden="1" x14ac:dyDescent="0.35"/>
    <row r="46805" hidden="1" x14ac:dyDescent="0.35"/>
    <row r="46806" hidden="1" x14ac:dyDescent="0.35"/>
    <row r="46807" hidden="1" x14ac:dyDescent="0.35"/>
    <row r="46808" hidden="1" x14ac:dyDescent="0.35"/>
    <row r="46809" hidden="1" x14ac:dyDescent="0.35"/>
    <row r="46810" hidden="1" x14ac:dyDescent="0.35"/>
    <row r="46811" hidden="1" x14ac:dyDescent="0.35"/>
    <row r="46812" hidden="1" x14ac:dyDescent="0.35"/>
    <row r="46813" hidden="1" x14ac:dyDescent="0.35"/>
    <row r="46814" hidden="1" x14ac:dyDescent="0.35"/>
    <row r="46815" hidden="1" x14ac:dyDescent="0.35"/>
    <row r="46816" hidden="1" x14ac:dyDescent="0.35"/>
    <row r="46817" hidden="1" x14ac:dyDescent="0.35"/>
    <row r="46818" hidden="1" x14ac:dyDescent="0.35"/>
    <row r="46819" hidden="1" x14ac:dyDescent="0.35"/>
    <row r="46820" hidden="1" x14ac:dyDescent="0.35"/>
    <row r="46821" hidden="1" x14ac:dyDescent="0.35"/>
    <row r="46822" hidden="1" x14ac:dyDescent="0.35"/>
    <row r="46823" hidden="1" x14ac:dyDescent="0.35"/>
    <row r="46824" hidden="1" x14ac:dyDescent="0.35"/>
    <row r="46825" hidden="1" x14ac:dyDescent="0.35"/>
    <row r="46826" hidden="1" x14ac:dyDescent="0.35"/>
    <row r="46827" hidden="1" x14ac:dyDescent="0.35"/>
    <row r="46828" hidden="1" x14ac:dyDescent="0.35"/>
    <row r="46829" hidden="1" x14ac:dyDescent="0.35"/>
    <row r="46830" hidden="1" x14ac:dyDescent="0.35"/>
    <row r="46831" hidden="1" x14ac:dyDescent="0.35"/>
    <row r="46832" hidden="1" x14ac:dyDescent="0.35"/>
    <row r="46833" hidden="1" x14ac:dyDescent="0.35"/>
    <row r="46834" hidden="1" x14ac:dyDescent="0.35"/>
    <row r="46835" hidden="1" x14ac:dyDescent="0.35"/>
    <row r="46836" hidden="1" x14ac:dyDescent="0.35"/>
    <row r="46837" hidden="1" x14ac:dyDescent="0.35"/>
    <row r="46838" hidden="1" x14ac:dyDescent="0.35"/>
    <row r="46839" hidden="1" x14ac:dyDescent="0.35"/>
    <row r="46840" hidden="1" x14ac:dyDescent="0.35"/>
    <row r="46841" hidden="1" x14ac:dyDescent="0.35"/>
    <row r="46842" hidden="1" x14ac:dyDescent="0.35"/>
    <row r="46843" hidden="1" x14ac:dyDescent="0.35"/>
    <row r="46844" hidden="1" x14ac:dyDescent="0.35"/>
    <row r="46845" hidden="1" x14ac:dyDescent="0.35"/>
    <row r="46846" hidden="1" x14ac:dyDescent="0.35"/>
    <row r="46847" hidden="1" x14ac:dyDescent="0.35"/>
    <row r="46848" hidden="1" x14ac:dyDescent="0.35"/>
    <row r="46849" hidden="1" x14ac:dyDescent="0.35"/>
    <row r="46850" hidden="1" x14ac:dyDescent="0.35"/>
    <row r="46851" hidden="1" x14ac:dyDescent="0.35"/>
    <row r="46852" hidden="1" x14ac:dyDescent="0.35"/>
    <row r="46853" hidden="1" x14ac:dyDescent="0.35"/>
    <row r="46854" hidden="1" x14ac:dyDescent="0.35"/>
    <row r="46855" hidden="1" x14ac:dyDescent="0.35"/>
    <row r="46856" hidden="1" x14ac:dyDescent="0.35"/>
    <row r="46857" hidden="1" x14ac:dyDescent="0.35"/>
    <row r="46858" hidden="1" x14ac:dyDescent="0.35"/>
    <row r="46859" hidden="1" x14ac:dyDescent="0.35"/>
    <row r="46860" hidden="1" x14ac:dyDescent="0.35"/>
    <row r="46861" hidden="1" x14ac:dyDescent="0.35"/>
    <row r="46862" hidden="1" x14ac:dyDescent="0.35"/>
    <row r="46863" hidden="1" x14ac:dyDescent="0.35"/>
    <row r="46864" hidden="1" x14ac:dyDescent="0.35"/>
    <row r="46865" hidden="1" x14ac:dyDescent="0.35"/>
    <row r="46866" hidden="1" x14ac:dyDescent="0.35"/>
    <row r="46867" hidden="1" x14ac:dyDescent="0.35"/>
    <row r="46868" hidden="1" x14ac:dyDescent="0.35"/>
    <row r="46869" hidden="1" x14ac:dyDescent="0.35"/>
    <row r="46870" hidden="1" x14ac:dyDescent="0.35"/>
    <row r="46871" hidden="1" x14ac:dyDescent="0.35"/>
    <row r="46872" hidden="1" x14ac:dyDescent="0.35"/>
    <row r="46873" hidden="1" x14ac:dyDescent="0.35"/>
    <row r="46874" hidden="1" x14ac:dyDescent="0.35"/>
    <row r="46875" hidden="1" x14ac:dyDescent="0.35"/>
    <row r="46876" hidden="1" x14ac:dyDescent="0.35"/>
    <row r="46877" hidden="1" x14ac:dyDescent="0.35"/>
    <row r="46878" hidden="1" x14ac:dyDescent="0.35"/>
    <row r="46879" hidden="1" x14ac:dyDescent="0.35"/>
    <row r="46880" hidden="1" x14ac:dyDescent="0.35"/>
    <row r="46881" hidden="1" x14ac:dyDescent="0.35"/>
    <row r="46882" hidden="1" x14ac:dyDescent="0.35"/>
    <row r="46883" hidden="1" x14ac:dyDescent="0.35"/>
    <row r="46884" hidden="1" x14ac:dyDescent="0.35"/>
    <row r="46885" hidden="1" x14ac:dyDescent="0.35"/>
    <row r="46886" hidden="1" x14ac:dyDescent="0.35"/>
    <row r="46887" hidden="1" x14ac:dyDescent="0.35"/>
    <row r="46888" hidden="1" x14ac:dyDescent="0.35"/>
    <row r="46889" hidden="1" x14ac:dyDescent="0.35"/>
    <row r="46890" hidden="1" x14ac:dyDescent="0.35"/>
    <row r="46891" hidden="1" x14ac:dyDescent="0.35"/>
    <row r="46892" hidden="1" x14ac:dyDescent="0.35"/>
    <row r="46893" hidden="1" x14ac:dyDescent="0.35"/>
    <row r="46894" hidden="1" x14ac:dyDescent="0.35"/>
    <row r="46895" hidden="1" x14ac:dyDescent="0.35"/>
    <row r="46896" hidden="1" x14ac:dyDescent="0.35"/>
    <row r="46897" hidden="1" x14ac:dyDescent="0.35"/>
    <row r="46898" hidden="1" x14ac:dyDescent="0.35"/>
    <row r="46899" hidden="1" x14ac:dyDescent="0.35"/>
    <row r="46900" hidden="1" x14ac:dyDescent="0.35"/>
    <row r="46901" hidden="1" x14ac:dyDescent="0.35"/>
    <row r="46902" hidden="1" x14ac:dyDescent="0.35"/>
    <row r="46903" hidden="1" x14ac:dyDescent="0.35"/>
    <row r="46904" hidden="1" x14ac:dyDescent="0.35"/>
    <row r="46905" hidden="1" x14ac:dyDescent="0.35"/>
    <row r="46906" hidden="1" x14ac:dyDescent="0.35"/>
    <row r="46907" hidden="1" x14ac:dyDescent="0.35"/>
    <row r="46908" hidden="1" x14ac:dyDescent="0.35"/>
    <row r="46909" hidden="1" x14ac:dyDescent="0.35"/>
    <row r="46910" hidden="1" x14ac:dyDescent="0.35"/>
    <row r="46911" hidden="1" x14ac:dyDescent="0.35"/>
    <row r="46912" hidden="1" x14ac:dyDescent="0.35"/>
    <row r="46913" hidden="1" x14ac:dyDescent="0.35"/>
    <row r="46914" hidden="1" x14ac:dyDescent="0.35"/>
    <row r="46915" hidden="1" x14ac:dyDescent="0.35"/>
    <row r="46916" hidden="1" x14ac:dyDescent="0.35"/>
    <row r="46917" hidden="1" x14ac:dyDescent="0.35"/>
    <row r="46918" hidden="1" x14ac:dyDescent="0.35"/>
    <row r="46919" hidden="1" x14ac:dyDescent="0.35"/>
    <row r="46920" hidden="1" x14ac:dyDescent="0.35"/>
    <row r="46921" hidden="1" x14ac:dyDescent="0.35"/>
    <row r="46922" hidden="1" x14ac:dyDescent="0.35"/>
    <row r="46923" hidden="1" x14ac:dyDescent="0.35"/>
    <row r="46924" hidden="1" x14ac:dyDescent="0.35"/>
    <row r="46925" hidden="1" x14ac:dyDescent="0.35"/>
    <row r="46926" hidden="1" x14ac:dyDescent="0.35"/>
    <row r="46927" hidden="1" x14ac:dyDescent="0.35"/>
    <row r="46928" hidden="1" x14ac:dyDescent="0.35"/>
    <row r="46929" hidden="1" x14ac:dyDescent="0.35"/>
    <row r="46930" hidden="1" x14ac:dyDescent="0.35"/>
    <row r="46931" hidden="1" x14ac:dyDescent="0.35"/>
    <row r="46932" hidden="1" x14ac:dyDescent="0.35"/>
    <row r="46933" hidden="1" x14ac:dyDescent="0.35"/>
    <row r="46934" hidden="1" x14ac:dyDescent="0.35"/>
    <row r="46935" hidden="1" x14ac:dyDescent="0.35"/>
    <row r="46936" hidden="1" x14ac:dyDescent="0.35"/>
    <row r="46937" hidden="1" x14ac:dyDescent="0.35"/>
    <row r="46938" hidden="1" x14ac:dyDescent="0.35"/>
    <row r="46939" hidden="1" x14ac:dyDescent="0.35"/>
    <row r="46940" hidden="1" x14ac:dyDescent="0.35"/>
    <row r="46941" hidden="1" x14ac:dyDescent="0.35"/>
    <row r="46942" hidden="1" x14ac:dyDescent="0.35"/>
    <row r="46943" hidden="1" x14ac:dyDescent="0.35"/>
    <row r="46944" hidden="1" x14ac:dyDescent="0.35"/>
    <row r="46945" hidden="1" x14ac:dyDescent="0.35"/>
    <row r="46946" hidden="1" x14ac:dyDescent="0.35"/>
    <row r="46947" hidden="1" x14ac:dyDescent="0.35"/>
    <row r="46948" hidden="1" x14ac:dyDescent="0.35"/>
    <row r="46949" hidden="1" x14ac:dyDescent="0.35"/>
    <row r="46950" hidden="1" x14ac:dyDescent="0.35"/>
    <row r="46951" hidden="1" x14ac:dyDescent="0.35"/>
    <row r="46952" hidden="1" x14ac:dyDescent="0.35"/>
    <row r="46953" hidden="1" x14ac:dyDescent="0.35"/>
    <row r="46954" hidden="1" x14ac:dyDescent="0.35"/>
    <row r="46955" hidden="1" x14ac:dyDescent="0.35"/>
    <row r="46956" hidden="1" x14ac:dyDescent="0.35"/>
    <row r="46957" hidden="1" x14ac:dyDescent="0.35"/>
    <row r="46958" hidden="1" x14ac:dyDescent="0.35"/>
    <row r="46959" hidden="1" x14ac:dyDescent="0.35"/>
    <row r="46960" hidden="1" x14ac:dyDescent="0.35"/>
    <row r="46961" hidden="1" x14ac:dyDescent="0.35"/>
    <row r="46962" hidden="1" x14ac:dyDescent="0.35"/>
    <row r="46963" hidden="1" x14ac:dyDescent="0.35"/>
    <row r="46964" hidden="1" x14ac:dyDescent="0.35"/>
    <row r="46965" hidden="1" x14ac:dyDescent="0.35"/>
    <row r="46966" hidden="1" x14ac:dyDescent="0.35"/>
    <row r="46967" hidden="1" x14ac:dyDescent="0.35"/>
    <row r="46968" hidden="1" x14ac:dyDescent="0.35"/>
    <row r="46969" hidden="1" x14ac:dyDescent="0.35"/>
    <row r="46970" hidden="1" x14ac:dyDescent="0.35"/>
    <row r="46971" hidden="1" x14ac:dyDescent="0.35"/>
    <row r="46972" hidden="1" x14ac:dyDescent="0.35"/>
    <row r="46973" hidden="1" x14ac:dyDescent="0.35"/>
    <row r="46974" hidden="1" x14ac:dyDescent="0.35"/>
    <row r="46975" hidden="1" x14ac:dyDescent="0.35"/>
    <row r="46976" hidden="1" x14ac:dyDescent="0.35"/>
    <row r="46977" hidden="1" x14ac:dyDescent="0.35"/>
    <row r="46978" hidden="1" x14ac:dyDescent="0.35"/>
    <row r="46979" hidden="1" x14ac:dyDescent="0.35"/>
    <row r="46980" hidden="1" x14ac:dyDescent="0.35"/>
    <row r="46981" hidden="1" x14ac:dyDescent="0.35"/>
    <row r="46982" hidden="1" x14ac:dyDescent="0.35"/>
    <row r="46983" hidden="1" x14ac:dyDescent="0.35"/>
    <row r="46984" hidden="1" x14ac:dyDescent="0.35"/>
    <row r="46985" hidden="1" x14ac:dyDescent="0.35"/>
    <row r="46986" hidden="1" x14ac:dyDescent="0.35"/>
    <row r="46987" hidden="1" x14ac:dyDescent="0.35"/>
    <row r="46988" hidden="1" x14ac:dyDescent="0.35"/>
    <row r="46989" hidden="1" x14ac:dyDescent="0.35"/>
    <row r="46990" hidden="1" x14ac:dyDescent="0.35"/>
    <row r="46991" hidden="1" x14ac:dyDescent="0.35"/>
    <row r="46992" hidden="1" x14ac:dyDescent="0.35"/>
    <row r="46993" hidden="1" x14ac:dyDescent="0.35"/>
    <row r="46994" hidden="1" x14ac:dyDescent="0.35"/>
    <row r="46995" hidden="1" x14ac:dyDescent="0.35"/>
    <row r="46996" hidden="1" x14ac:dyDescent="0.35"/>
    <row r="46997" hidden="1" x14ac:dyDescent="0.35"/>
    <row r="46998" hidden="1" x14ac:dyDescent="0.35"/>
    <row r="46999" hidden="1" x14ac:dyDescent="0.35"/>
    <row r="47000" hidden="1" x14ac:dyDescent="0.35"/>
    <row r="47001" hidden="1" x14ac:dyDescent="0.35"/>
    <row r="47002" hidden="1" x14ac:dyDescent="0.35"/>
    <row r="47003" hidden="1" x14ac:dyDescent="0.35"/>
    <row r="47004" hidden="1" x14ac:dyDescent="0.35"/>
    <row r="47005" hidden="1" x14ac:dyDescent="0.35"/>
    <row r="47006" hidden="1" x14ac:dyDescent="0.35"/>
    <row r="47007" hidden="1" x14ac:dyDescent="0.35"/>
    <row r="47008" hidden="1" x14ac:dyDescent="0.35"/>
    <row r="47009" hidden="1" x14ac:dyDescent="0.35"/>
    <row r="47010" hidden="1" x14ac:dyDescent="0.35"/>
    <row r="47011" hidden="1" x14ac:dyDescent="0.35"/>
    <row r="47012" hidden="1" x14ac:dyDescent="0.35"/>
    <row r="47013" hidden="1" x14ac:dyDescent="0.35"/>
    <row r="47014" hidden="1" x14ac:dyDescent="0.35"/>
    <row r="47015" hidden="1" x14ac:dyDescent="0.35"/>
    <row r="47016" hidden="1" x14ac:dyDescent="0.35"/>
    <row r="47017" hidden="1" x14ac:dyDescent="0.35"/>
    <row r="47018" hidden="1" x14ac:dyDescent="0.35"/>
    <row r="47019" hidden="1" x14ac:dyDescent="0.35"/>
    <row r="47020" hidden="1" x14ac:dyDescent="0.35"/>
    <row r="47021" hidden="1" x14ac:dyDescent="0.35"/>
    <row r="47022" hidden="1" x14ac:dyDescent="0.35"/>
    <row r="47023" hidden="1" x14ac:dyDescent="0.35"/>
    <row r="47024" hidden="1" x14ac:dyDescent="0.35"/>
    <row r="47025" hidden="1" x14ac:dyDescent="0.35"/>
    <row r="47026" hidden="1" x14ac:dyDescent="0.35"/>
    <row r="47027" hidden="1" x14ac:dyDescent="0.35"/>
    <row r="47028" hidden="1" x14ac:dyDescent="0.35"/>
    <row r="47029" hidden="1" x14ac:dyDescent="0.35"/>
    <row r="47030" hidden="1" x14ac:dyDescent="0.35"/>
    <row r="47031" hidden="1" x14ac:dyDescent="0.35"/>
    <row r="47032" hidden="1" x14ac:dyDescent="0.35"/>
    <row r="47033" hidden="1" x14ac:dyDescent="0.35"/>
    <row r="47034" hidden="1" x14ac:dyDescent="0.35"/>
    <row r="47035" hidden="1" x14ac:dyDescent="0.35"/>
    <row r="47036" hidden="1" x14ac:dyDescent="0.35"/>
    <row r="47037" hidden="1" x14ac:dyDescent="0.35"/>
    <row r="47038" hidden="1" x14ac:dyDescent="0.35"/>
    <row r="47039" hidden="1" x14ac:dyDescent="0.35"/>
    <row r="47040" hidden="1" x14ac:dyDescent="0.35"/>
    <row r="47041" hidden="1" x14ac:dyDescent="0.35"/>
    <row r="47042" hidden="1" x14ac:dyDescent="0.35"/>
    <row r="47043" hidden="1" x14ac:dyDescent="0.35"/>
    <row r="47044" hidden="1" x14ac:dyDescent="0.35"/>
    <row r="47045" hidden="1" x14ac:dyDescent="0.35"/>
    <row r="47046" hidden="1" x14ac:dyDescent="0.35"/>
    <row r="47047" hidden="1" x14ac:dyDescent="0.35"/>
    <row r="47048" hidden="1" x14ac:dyDescent="0.35"/>
    <row r="47049" hidden="1" x14ac:dyDescent="0.35"/>
    <row r="47050" hidden="1" x14ac:dyDescent="0.35"/>
    <row r="47051" hidden="1" x14ac:dyDescent="0.35"/>
    <row r="47052" hidden="1" x14ac:dyDescent="0.35"/>
    <row r="47053" hidden="1" x14ac:dyDescent="0.35"/>
    <row r="47054" hidden="1" x14ac:dyDescent="0.35"/>
    <row r="47055" hidden="1" x14ac:dyDescent="0.35"/>
    <row r="47056" hidden="1" x14ac:dyDescent="0.35"/>
    <row r="47057" hidden="1" x14ac:dyDescent="0.35"/>
    <row r="47058" hidden="1" x14ac:dyDescent="0.35"/>
    <row r="47059" hidden="1" x14ac:dyDescent="0.35"/>
    <row r="47060" hidden="1" x14ac:dyDescent="0.35"/>
    <row r="47061" hidden="1" x14ac:dyDescent="0.35"/>
    <row r="47062" hidden="1" x14ac:dyDescent="0.35"/>
    <row r="47063" hidden="1" x14ac:dyDescent="0.35"/>
    <row r="47064" hidden="1" x14ac:dyDescent="0.35"/>
    <row r="47065" hidden="1" x14ac:dyDescent="0.35"/>
    <row r="47066" hidden="1" x14ac:dyDescent="0.35"/>
    <row r="47067" hidden="1" x14ac:dyDescent="0.35"/>
    <row r="47068" hidden="1" x14ac:dyDescent="0.35"/>
    <row r="47069" hidden="1" x14ac:dyDescent="0.35"/>
    <row r="47070" hidden="1" x14ac:dyDescent="0.35"/>
    <row r="47071" hidden="1" x14ac:dyDescent="0.35"/>
    <row r="47072" hidden="1" x14ac:dyDescent="0.35"/>
    <row r="47073" hidden="1" x14ac:dyDescent="0.35"/>
    <row r="47074" hidden="1" x14ac:dyDescent="0.35"/>
    <row r="47075" hidden="1" x14ac:dyDescent="0.35"/>
    <row r="47076" hidden="1" x14ac:dyDescent="0.35"/>
    <row r="47077" hidden="1" x14ac:dyDescent="0.35"/>
    <row r="47078" hidden="1" x14ac:dyDescent="0.35"/>
    <row r="47079" hidden="1" x14ac:dyDescent="0.35"/>
    <row r="47080" hidden="1" x14ac:dyDescent="0.35"/>
    <row r="47081" hidden="1" x14ac:dyDescent="0.35"/>
    <row r="47082" hidden="1" x14ac:dyDescent="0.35"/>
    <row r="47083" hidden="1" x14ac:dyDescent="0.35"/>
    <row r="47084" hidden="1" x14ac:dyDescent="0.35"/>
    <row r="47085" hidden="1" x14ac:dyDescent="0.35"/>
    <row r="47086" hidden="1" x14ac:dyDescent="0.35"/>
    <row r="47087" hidden="1" x14ac:dyDescent="0.35"/>
    <row r="47088" hidden="1" x14ac:dyDescent="0.35"/>
    <row r="47089" hidden="1" x14ac:dyDescent="0.35"/>
    <row r="47090" hidden="1" x14ac:dyDescent="0.35"/>
    <row r="47091" hidden="1" x14ac:dyDescent="0.35"/>
    <row r="47092" hidden="1" x14ac:dyDescent="0.35"/>
    <row r="47093" hidden="1" x14ac:dyDescent="0.35"/>
    <row r="47094" hidden="1" x14ac:dyDescent="0.35"/>
    <row r="47095" hidden="1" x14ac:dyDescent="0.35"/>
    <row r="47096" hidden="1" x14ac:dyDescent="0.35"/>
    <row r="47097" hidden="1" x14ac:dyDescent="0.35"/>
    <row r="47098" hidden="1" x14ac:dyDescent="0.35"/>
    <row r="47099" hidden="1" x14ac:dyDescent="0.35"/>
    <row r="47100" hidden="1" x14ac:dyDescent="0.35"/>
    <row r="47101" hidden="1" x14ac:dyDescent="0.35"/>
    <row r="47102" hidden="1" x14ac:dyDescent="0.35"/>
    <row r="47103" hidden="1" x14ac:dyDescent="0.35"/>
    <row r="47104" hidden="1" x14ac:dyDescent="0.35"/>
    <row r="47105" hidden="1" x14ac:dyDescent="0.35"/>
    <row r="47106" hidden="1" x14ac:dyDescent="0.35"/>
    <row r="47107" hidden="1" x14ac:dyDescent="0.35"/>
    <row r="47108" hidden="1" x14ac:dyDescent="0.35"/>
    <row r="47109" hidden="1" x14ac:dyDescent="0.35"/>
    <row r="47110" hidden="1" x14ac:dyDescent="0.35"/>
    <row r="47111" hidden="1" x14ac:dyDescent="0.35"/>
    <row r="47112" hidden="1" x14ac:dyDescent="0.35"/>
    <row r="47113" hidden="1" x14ac:dyDescent="0.35"/>
    <row r="47114" hidden="1" x14ac:dyDescent="0.35"/>
    <row r="47115" hidden="1" x14ac:dyDescent="0.35"/>
    <row r="47116" hidden="1" x14ac:dyDescent="0.35"/>
    <row r="47117" hidden="1" x14ac:dyDescent="0.35"/>
    <row r="47118" hidden="1" x14ac:dyDescent="0.35"/>
    <row r="47119" hidden="1" x14ac:dyDescent="0.35"/>
    <row r="47120" hidden="1" x14ac:dyDescent="0.35"/>
    <row r="47121" hidden="1" x14ac:dyDescent="0.35"/>
    <row r="47122" hidden="1" x14ac:dyDescent="0.35"/>
    <row r="47123" hidden="1" x14ac:dyDescent="0.35"/>
    <row r="47124" hidden="1" x14ac:dyDescent="0.35"/>
    <row r="47125" hidden="1" x14ac:dyDescent="0.35"/>
    <row r="47126" hidden="1" x14ac:dyDescent="0.35"/>
    <row r="47127" hidden="1" x14ac:dyDescent="0.35"/>
    <row r="47128" hidden="1" x14ac:dyDescent="0.35"/>
    <row r="47129" hidden="1" x14ac:dyDescent="0.35"/>
    <row r="47130" hidden="1" x14ac:dyDescent="0.35"/>
    <row r="47131" hidden="1" x14ac:dyDescent="0.35"/>
    <row r="47132" hidden="1" x14ac:dyDescent="0.35"/>
    <row r="47133" hidden="1" x14ac:dyDescent="0.35"/>
    <row r="47134" hidden="1" x14ac:dyDescent="0.35"/>
    <row r="47135" hidden="1" x14ac:dyDescent="0.35"/>
    <row r="47136" hidden="1" x14ac:dyDescent="0.35"/>
    <row r="47137" hidden="1" x14ac:dyDescent="0.35"/>
    <row r="47138" hidden="1" x14ac:dyDescent="0.35"/>
    <row r="47139" hidden="1" x14ac:dyDescent="0.35"/>
    <row r="47140" hidden="1" x14ac:dyDescent="0.35"/>
    <row r="47141" hidden="1" x14ac:dyDescent="0.35"/>
    <row r="47142" hidden="1" x14ac:dyDescent="0.35"/>
    <row r="47143" hidden="1" x14ac:dyDescent="0.35"/>
    <row r="47144" hidden="1" x14ac:dyDescent="0.35"/>
    <row r="47145" hidden="1" x14ac:dyDescent="0.35"/>
    <row r="47146" hidden="1" x14ac:dyDescent="0.35"/>
    <row r="47147" hidden="1" x14ac:dyDescent="0.35"/>
    <row r="47148" hidden="1" x14ac:dyDescent="0.35"/>
    <row r="47149" hidden="1" x14ac:dyDescent="0.35"/>
    <row r="47150" hidden="1" x14ac:dyDescent="0.35"/>
    <row r="47151" hidden="1" x14ac:dyDescent="0.35"/>
    <row r="47152" hidden="1" x14ac:dyDescent="0.35"/>
    <row r="47153" hidden="1" x14ac:dyDescent="0.35"/>
    <row r="47154" hidden="1" x14ac:dyDescent="0.35"/>
    <row r="47155" hidden="1" x14ac:dyDescent="0.35"/>
    <row r="47156" hidden="1" x14ac:dyDescent="0.35"/>
    <row r="47157" hidden="1" x14ac:dyDescent="0.35"/>
    <row r="47158" hidden="1" x14ac:dyDescent="0.35"/>
    <row r="47159" hidden="1" x14ac:dyDescent="0.35"/>
    <row r="47160" hidden="1" x14ac:dyDescent="0.35"/>
    <row r="47161" hidden="1" x14ac:dyDescent="0.35"/>
    <row r="47162" hidden="1" x14ac:dyDescent="0.35"/>
    <row r="47163" hidden="1" x14ac:dyDescent="0.35"/>
    <row r="47164" hidden="1" x14ac:dyDescent="0.35"/>
    <row r="47165" hidden="1" x14ac:dyDescent="0.35"/>
    <row r="47166" hidden="1" x14ac:dyDescent="0.35"/>
    <row r="47167" hidden="1" x14ac:dyDescent="0.35"/>
    <row r="47168" hidden="1" x14ac:dyDescent="0.35"/>
    <row r="47169" hidden="1" x14ac:dyDescent="0.35"/>
    <row r="47170" hidden="1" x14ac:dyDescent="0.35"/>
    <row r="47171" hidden="1" x14ac:dyDescent="0.35"/>
    <row r="47172" hidden="1" x14ac:dyDescent="0.35"/>
    <row r="47173" hidden="1" x14ac:dyDescent="0.35"/>
    <row r="47174" hidden="1" x14ac:dyDescent="0.35"/>
    <row r="47175" hidden="1" x14ac:dyDescent="0.35"/>
    <row r="47176" hidden="1" x14ac:dyDescent="0.35"/>
    <row r="47177" hidden="1" x14ac:dyDescent="0.35"/>
    <row r="47178" hidden="1" x14ac:dyDescent="0.35"/>
    <row r="47179" hidden="1" x14ac:dyDescent="0.35"/>
    <row r="47180" hidden="1" x14ac:dyDescent="0.35"/>
    <row r="47181" hidden="1" x14ac:dyDescent="0.35"/>
    <row r="47182" hidden="1" x14ac:dyDescent="0.35"/>
    <row r="47183" hidden="1" x14ac:dyDescent="0.35"/>
    <row r="47184" hidden="1" x14ac:dyDescent="0.35"/>
    <row r="47185" hidden="1" x14ac:dyDescent="0.35"/>
    <row r="47186" hidden="1" x14ac:dyDescent="0.35"/>
    <row r="47187" hidden="1" x14ac:dyDescent="0.35"/>
    <row r="47188" hidden="1" x14ac:dyDescent="0.35"/>
    <row r="47189" hidden="1" x14ac:dyDescent="0.35"/>
    <row r="47190" hidden="1" x14ac:dyDescent="0.35"/>
    <row r="47191" hidden="1" x14ac:dyDescent="0.35"/>
    <row r="47192" hidden="1" x14ac:dyDescent="0.35"/>
    <row r="47193" hidden="1" x14ac:dyDescent="0.35"/>
    <row r="47194" hidden="1" x14ac:dyDescent="0.35"/>
    <row r="47195" hidden="1" x14ac:dyDescent="0.35"/>
    <row r="47196" hidden="1" x14ac:dyDescent="0.35"/>
    <row r="47197" hidden="1" x14ac:dyDescent="0.35"/>
    <row r="47198" hidden="1" x14ac:dyDescent="0.35"/>
    <row r="47199" hidden="1" x14ac:dyDescent="0.35"/>
    <row r="47200" hidden="1" x14ac:dyDescent="0.35"/>
    <row r="47201" hidden="1" x14ac:dyDescent="0.35"/>
    <row r="47202" hidden="1" x14ac:dyDescent="0.35"/>
    <row r="47203" hidden="1" x14ac:dyDescent="0.35"/>
    <row r="47204" hidden="1" x14ac:dyDescent="0.35"/>
    <row r="47205" hidden="1" x14ac:dyDescent="0.35"/>
    <row r="47206" hidden="1" x14ac:dyDescent="0.35"/>
    <row r="47207" hidden="1" x14ac:dyDescent="0.35"/>
    <row r="47208" hidden="1" x14ac:dyDescent="0.35"/>
    <row r="47209" hidden="1" x14ac:dyDescent="0.35"/>
    <row r="47210" hidden="1" x14ac:dyDescent="0.35"/>
    <row r="47211" hidden="1" x14ac:dyDescent="0.35"/>
    <row r="47212" hidden="1" x14ac:dyDescent="0.35"/>
    <row r="47213" hidden="1" x14ac:dyDescent="0.35"/>
    <row r="47214" hidden="1" x14ac:dyDescent="0.35"/>
    <row r="47215" hidden="1" x14ac:dyDescent="0.35"/>
    <row r="47216" hidden="1" x14ac:dyDescent="0.35"/>
    <row r="47217" hidden="1" x14ac:dyDescent="0.35"/>
    <row r="47218" hidden="1" x14ac:dyDescent="0.35"/>
    <row r="47219" hidden="1" x14ac:dyDescent="0.35"/>
    <row r="47220" hidden="1" x14ac:dyDescent="0.35"/>
    <row r="47221" hidden="1" x14ac:dyDescent="0.35"/>
    <row r="47222" hidden="1" x14ac:dyDescent="0.35"/>
    <row r="47223" hidden="1" x14ac:dyDescent="0.35"/>
    <row r="47224" hidden="1" x14ac:dyDescent="0.35"/>
    <row r="47225" hidden="1" x14ac:dyDescent="0.35"/>
    <row r="47226" hidden="1" x14ac:dyDescent="0.35"/>
    <row r="47227" hidden="1" x14ac:dyDescent="0.35"/>
    <row r="47228" hidden="1" x14ac:dyDescent="0.35"/>
    <row r="47229" hidden="1" x14ac:dyDescent="0.35"/>
    <row r="47230" hidden="1" x14ac:dyDescent="0.35"/>
    <row r="47231" hidden="1" x14ac:dyDescent="0.35"/>
    <row r="47232" hidden="1" x14ac:dyDescent="0.35"/>
    <row r="47233" hidden="1" x14ac:dyDescent="0.35"/>
    <row r="47234" hidden="1" x14ac:dyDescent="0.35"/>
    <row r="47235" hidden="1" x14ac:dyDescent="0.35"/>
    <row r="47236" hidden="1" x14ac:dyDescent="0.35"/>
    <row r="47237" hidden="1" x14ac:dyDescent="0.35"/>
    <row r="47238" hidden="1" x14ac:dyDescent="0.35"/>
    <row r="47239" hidden="1" x14ac:dyDescent="0.35"/>
    <row r="47240" hidden="1" x14ac:dyDescent="0.35"/>
    <row r="47241" hidden="1" x14ac:dyDescent="0.35"/>
    <row r="47242" hidden="1" x14ac:dyDescent="0.35"/>
    <row r="47243" hidden="1" x14ac:dyDescent="0.35"/>
    <row r="47244" hidden="1" x14ac:dyDescent="0.35"/>
    <row r="47245" hidden="1" x14ac:dyDescent="0.35"/>
    <row r="47246" hidden="1" x14ac:dyDescent="0.35"/>
    <row r="47247" hidden="1" x14ac:dyDescent="0.35"/>
    <row r="47248" hidden="1" x14ac:dyDescent="0.35"/>
    <row r="47249" hidden="1" x14ac:dyDescent="0.35"/>
    <row r="47250" hidden="1" x14ac:dyDescent="0.35"/>
    <row r="47251" hidden="1" x14ac:dyDescent="0.35"/>
    <row r="47252" hidden="1" x14ac:dyDescent="0.35"/>
    <row r="47253" hidden="1" x14ac:dyDescent="0.35"/>
    <row r="47254" hidden="1" x14ac:dyDescent="0.35"/>
    <row r="47255" hidden="1" x14ac:dyDescent="0.35"/>
    <row r="47256" hidden="1" x14ac:dyDescent="0.35"/>
    <row r="47257" hidden="1" x14ac:dyDescent="0.35"/>
    <row r="47258" hidden="1" x14ac:dyDescent="0.35"/>
    <row r="47259" hidden="1" x14ac:dyDescent="0.35"/>
    <row r="47260" hidden="1" x14ac:dyDescent="0.35"/>
    <row r="47261" hidden="1" x14ac:dyDescent="0.35"/>
    <row r="47262" hidden="1" x14ac:dyDescent="0.35"/>
    <row r="47263" hidden="1" x14ac:dyDescent="0.35"/>
    <row r="47264" hidden="1" x14ac:dyDescent="0.35"/>
    <row r="47265" hidden="1" x14ac:dyDescent="0.35"/>
    <row r="47266" hidden="1" x14ac:dyDescent="0.35"/>
    <row r="47267" hidden="1" x14ac:dyDescent="0.35"/>
    <row r="47268" hidden="1" x14ac:dyDescent="0.35"/>
    <row r="47269" hidden="1" x14ac:dyDescent="0.35"/>
    <row r="47270" hidden="1" x14ac:dyDescent="0.35"/>
    <row r="47271" hidden="1" x14ac:dyDescent="0.35"/>
    <row r="47272" hidden="1" x14ac:dyDescent="0.35"/>
    <row r="47273" hidden="1" x14ac:dyDescent="0.35"/>
    <row r="47274" hidden="1" x14ac:dyDescent="0.35"/>
    <row r="47275" hidden="1" x14ac:dyDescent="0.35"/>
    <row r="47276" hidden="1" x14ac:dyDescent="0.35"/>
    <row r="47277" hidden="1" x14ac:dyDescent="0.35"/>
    <row r="47278" hidden="1" x14ac:dyDescent="0.35"/>
    <row r="47279" hidden="1" x14ac:dyDescent="0.35"/>
    <row r="47280" hidden="1" x14ac:dyDescent="0.35"/>
    <row r="47281" hidden="1" x14ac:dyDescent="0.35"/>
    <row r="47282" hidden="1" x14ac:dyDescent="0.35"/>
    <row r="47283" hidden="1" x14ac:dyDescent="0.35"/>
    <row r="47284" hidden="1" x14ac:dyDescent="0.35"/>
    <row r="47285" hidden="1" x14ac:dyDescent="0.35"/>
    <row r="47286" hidden="1" x14ac:dyDescent="0.35"/>
    <row r="47287" hidden="1" x14ac:dyDescent="0.35"/>
    <row r="47288" hidden="1" x14ac:dyDescent="0.35"/>
    <row r="47289" hidden="1" x14ac:dyDescent="0.35"/>
    <row r="47290" hidden="1" x14ac:dyDescent="0.35"/>
    <row r="47291" hidden="1" x14ac:dyDescent="0.35"/>
    <row r="47292" hidden="1" x14ac:dyDescent="0.35"/>
    <row r="47293" hidden="1" x14ac:dyDescent="0.35"/>
    <row r="47294" hidden="1" x14ac:dyDescent="0.35"/>
    <row r="47295" hidden="1" x14ac:dyDescent="0.35"/>
    <row r="47296" hidden="1" x14ac:dyDescent="0.35"/>
    <row r="47297" hidden="1" x14ac:dyDescent="0.35"/>
    <row r="47298" hidden="1" x14ac:dyDescent="0.35"/>
    <row r="47299" hidden="1" x14ac:dyDescent="0.35"/>
    <row r="47300" hidden="1" x14ac:dyDescent="0.35"/>
    <row r="47301" hidden="1" x14ac:dyDescent="0.35"/>
    <row r="47302" hidden="1" x14ac:dyDescent="0.35"/>
    <row r="47303" hidden="1" x14ac:dyDescent="0.35"/>
    <row r="47304" hidden="1" x14ac:dyDescent="0.35"/>
    <row r="47305" hidden="1" x14ac:dyDescent="0.35"/>
    <row r="47306" hidden="1" x14ac:dyDescent="0.35"/>
    <row r="47307" hidden="1" x14ac:dyDescent="0.35"/>
    <row r="47308" hidden="1" x14ac:dyDescent="0.35"/>
    <row r="47309" hidden="1" x14ac:dyDescent="0.35"/>
    <row r="47310" hidden="1" x14ac:dyDescent="0.35"/>
    <row r="47311" hidden="1" x14ac:dyDescent="0.35"/>
    <row r="47312" hidden="1" x14ac:dyDescent="0.35"/>
    <row r="47313" hidden="1" x14ac:dyDescent="0.35"/>
    <row r="47314" hidden="1" x14ac:dyDescent="0.35"/>
    <row r="47315" hidden="1" x14ac:dyDescent="0.35"/>
    <row r="47316" hidden="1" x14ac:dyDescent="0.35"/>
    <row r="47317" hidden="1" x14ac:dyDescent="0.35"/>
    <row r="47318" hidden="1" x14ac:dyDescent="0.35"/>
    <row r="47319" hidden="1" x14ac:dyDescent="0.35"/>
    <row r="47320" hidden="1" x14ac:dyDescent="0.35"/>
    <row r="47321" hidden="1" x14ac:dyDescent="0.35"/>
    <row r="47322" hidden="1" x14ac:dyDescent="0.35"/>
    <row r="47323" hidden="1" x14ac:dyDescent="0.35"/>
    <row r="47324" hidden="1" x14ac:dyDescent="0.35"/>
    <row r="47325" hidden="1" x14ac:dyDescent="0.35"/>
    <row r="47326" hidden="1" x14ac:dyDescent="0.35"/>
    <row r="47327" hidden="1" x14ac:dyDescent="0.35"/>
    <row r="47328" hidden="1" x14ac:dyDescent="0.35"/>
    <row r="47329" hidden="1" x14ac:dyDescent="0.35"/>
    <row r="47330" hidden="1" x14ac:dyDescent="0.35"/>
    <row r="47331" hidden="1" x14ac:dyDescent="0.35"/>
    <row r="47332" hidden="1" x14ac:dyDescent="0.35"/>
    <row r="47333" hidden="1" x14ac:dyDescent="0.35"/>
    <row r="47334" hidden="1" x14ac:dyDescent="0.35"/>
    <row r="47335" hidden="1" x14ac:dyDescent="0.35"/>
    <row r="47336" hidden="1" x14ac:dyDescent="0.35"/>
    <row r="47337" hidden="1" x14ac:dyDescent="0.35"/>
    <row r="47338" hidden="1" x14ac:dyDescent="0.35"/>
    <row r="47339" hidden="1" x14ac:dyDescent="0.35"/>
    <row r="47340" hidden="1" x14ac:dyDescent="0.35"/>
    <row r="47341" hidden="1" x14ac:dyDescent="0.35"/>
    <row r="47342" hidden="1" x14ac:dyDescent="0.35"/>
    <row r="47343" hidden="1" x14ac:dyDescent="0.35"/>
    <row r="47344" hidden="1" x14ac:dyDescent="0.35"/>
    <row r="47345" hidden="1" x14ac:dyDescent="0.35"/>
    <row r="47346" hidden="1" x14ac:dyDescent="0.35"/>
    <row r="47347" hidden="1" x14ac:dyDescent="0.35"/>
    <row r="47348" hidden="1" x14ac:dyDescent="0.35"/>
    <row r="47349" hidden="1" x14ac:dyDescent="0.35"/>
    <row r="47350" hidden="1" x14ac:dyDescent="0.35"/>
    <row r="47351" hidden="1" x14ac:dyDescent="0.35"/>
    <row r="47352" hidden="1" x14ac:dyDescent="0.35"/>
    <row r="47353" hidden="1" x14ac:dyDescent="0.35"/>
    <row r="47354" hidden="1" x14ac:dyDescent="0.35"/>
    <row r="47355" hidden="1" x14ac:dyDescent="0.35"/>
    <row r="47356" hidden="1" x14ac:dyDescent="0.35"/>
    <row r="47357" hidden="1" x14ac:dyDescent="0.35"/>
    <row r="47358" hidden="1" x14ac:dyDescent="0.35"/>
    <row r="47359" hidden="1" x14ac:dyDescent="0.35"/>
    <row r="47360" hidden="1" x14ac:dyDescent="0.35"/>
    <row r="47361" hidden="1" x14ac:dyDescent="0.35"/>
    <row r="47362" hidden="1" x14ac:dyDescent="0.35"/>
    <row r="47363" hidden="1" x14ac:dyDescent="0.35"/>
    <row r="47364" hidden="1" x14ac:dyDescent="0.35"/>
    <row r="47365" hidden="1" x14ac:dyDescent="0.35"/>
    <row r="47366" hidden="1" x14ac:dyDescent="0.35"/>
    <row r="47367" hidden="1" x14ac:dyDescent="0.35"/>
    <row r="47368" hidden="1" x14ac:dyDescent="0.35"/>
    <row r="47369" hidden="1" x14ac:dyDescent="0.35"/>
    <row r="47370" hidden="1" x14ac:dyDescent="0.35"/>
    <row r="47371" hidden="1" x14ac:dyDescent="0.35"/>
    <row r="47372" hidden="1" x14ac:dyDescent="0.35"/>
    <row r="47373" hidden="1" x14ac:dyDescent="0.35"/>
    <row r="47374" hidden="1" x14ac:dyDescent="0.35"/>
    <row r="47375" hidden="1" x14ac:dyDescent="0.35"/>
    <row r="47376" hidden="1" x14ac:dyDescent="0.35"/>
    <row r="47377" hidden="1" x14ac:dyDescent="0.35"/>
    <row r="47378" hidden="1" x14ac:dyDescent="0.35"/>
    <row r="47379" hidden="1" x14ac:dyDescent="0.35"/>
    <row r="47380" hidden="1" x14ac:dyDescent="0.35"/>
    <row r="47381" hidden="1" x14ac:dyDescent="0.35"/>
    <row r="47382" hidden="1" x14ac:dyDescent="0.35"/>
    <row r="47383" hidden="1" x14ac:dyDescent="0.35"/>
    <row r="47384" hidden="1" x14ac:dyDescent="0.35"/>
    <row r="47385" hidden="1" x14ac:dyDescent="0.35"/>
    <row r="47386" hidden="1" x14ac:dyDescent="0.35"/>
    <row r="47387" hidden="1" x14ac:dyDescent="0.35"/>
    <row r="47388" hidden="1" x14ac:dyDescent="0.35"/>
    <row r="47389" hidden="1" x14ac:dyDescent="0.35"/>
    <row r="47390" hidden="1" x14ac:dyDescent="0.35"/>
    <row r="47391" hidden="1" x14ac:dyDescent="0.35"/>
    <row r="47392" hidden="1" x14ac:dyDescent="0.35"/>
    <row r="47393" hidden="1" x14ac:dyDescent="0.35"/>
    <row r="47394" hidden="1" x14ac:dyDescent="0.35"/>
    <row r="47395" hidden="1" x14ac:dyDescent="0.35"/>
    <row r="47396" hidden="1" x14ac:dyDescent="0.35"/>
    <row r="47397" hidden="1" x14ac:dyDescent="0.35"/>
    <row r="47398" hidden="1" x14ac:dyDescent="0.35"/>
    <row r="47399" hidden="1" x14ac:dyDescent="0.35"/>
    <row r="47400" hidden="1" x14ac:dyDescent="0.35"/>
    <row r="47401" hidden="1" x14ac:dyDescent="0.35"/>
    <row r="47402" hidden="1" x14ac:dyDescent="0.35"/>
    <row r="47403" hidden="1" x14ac:dyDescent="0.35"/>
    <row r="47404" hidden="1" x14ac:dyDescent="0.35"/>
    <row r="47405" hidden="1" x14ac:dyDescent="0.35"/>
    <row r="47406" hidden="1" x14ac:dyDescent="0.35"/>
    <row r="47407" hidden="1" x14ac:dyDescent="0.35"/>
    <row r="47408" hidden="1" x14ac:dyDescent="0.35"/>
    <row r="47409" hidden="1" x14ac:dyDescent="0.35"/>
    <row r="47410" hidden="1" x14ac:dyDescent="0.35"/>
    <row r="47411" hidden="1" x14ac:dyDescent="0.35"/>
    <row r="47412" hidden="1" x14ac:dyDescent="0.35"/>
    <row r="47413" hidden="1" x14ac:dyDescent="0.35"/>
    <row r="47414" hidden="1" x14ac:dyDescent="0.35"/>
    <row r="47415" hidden="1" x14ac:dyDescent="0.35"/>
    <row r="47416" hidden="1" x14ac:dyDescent="0.35"/>
    <row r="47417" hidden="1" x14ac:dyDescent="0.35"/>
    <row r="47418" hidden="1" x14ac:dyDescent="0.35"/>
    <row r="47419" hidden="1" x14ac:dyDescent="0.35"/>
    <row r="47420" hidden="1" x14ac:dyDescent="0.35"/>
    <row r="47421" hidden="1" x14ac:dyDescent="0.35"/>
    <row r="47422" hidden="1" x14ac:dyDescent="0.35"/>
    <row r="47423" hidden="1" x14ac:dyDescent="0.35"/>
    <row r="47424" hidden="1" x14ac:dyDescent="0.35"/>
    <row r="47425" hidden="1" x14ac:dyDescent="0.35"/>
    <row r="47426" hidden="1" x14ac:dyDescent="0.35"/>
    <row r="47427" hidden="1" x14ac:dyDescent="0.35"/>
    <row r="47428" hidden="1" x14ac:dyDescent="0.35"/>
    <row r="47429" hidden="1" x14ac:dyDescent="0.35"/>
    <row r="47430" hidden="1" x14ac:dyDescent="0.35"/>
    <row r="47431" hidden="1" x14ac:dyDescent="0.35"/>
    <row r="47432" hidden="1" x14ac:dyDescent="0.35"/>
    <row r="47433" hidden="1" x14ac:dyDescent="0.35"/>
    <row r="47434" hidden="1" x14ac:dyDescent="0.35"/>
    <row r="47435" hidden="1" x14ac:dyDescent="0.35"/>
    <row r="47436" hidden="1" x14ac:dyDescent="0.35"/>
    <row r="47437" hidden="1" x14ac:dyDescent="0.35"/>
    <row r="47438" hidden="1" x14ac:dyDescent="0.35"/>
    <row r="47439" hidden="1" x14ac:dyDescent="0.35"/>
    <row r="47440" hidden="1" x14ac:dyDescent="0.35"/>
    <row r="47441" hidden="1" x14ac:dyDescent="0.35"/>
    <row r="47442" hidden="1" x14ac:dyDescent="0.35"/>
    <row r="47443" hidden="1" x14ac:dyDescent="0.35"/>
    <row r="47444" hidden="1" x14ac:dyDescent="0.35"/>
    <row r="47445" hidden="1" x14ac:dyDescent="0.35"/>
    <row r="47446" hidden="1" x14ac:dyDescent="0.35"/>
    <row r="47447" hidden="1" x14ac:dyDescent="0.35"/>
    <row r="47448" hidden="1" x14ac:dyDescent="0.35"/>
    <row r="47449" hidden="1" x14ac:dyDescent="0.35"/>
    <row r="47450" hidden="1" x14ac:dyDescent="0.35"/>
    <row r="47451" hidden="1" x14ac:dyDescent="0.35"/>
    <row r="47452" hidden="1" x14ac:dyDescent="0.35"/>
    <row r="47453" hidden="1" x14ac:dyDescent="0.35"/>
    <row r="47454" hidden="1" x14ac:dyDescent="0.35"/>
    <row r="47455" hidden="1" x14ac:dyDescent="0.35"/>
    <row r="47456" hidden="1" x14ac:dyDescent="0.35"/>
    <row r="47457" hidden="1" x14ac:dyDescent="0.35"/>
    <row r="47458" hidden="1" x14ac:dyDescent="0.35"/>
    <row r="47459" hidden="1" x14ac:dyDescent="0.35"/>
    <row r="47460" hidden="1" x14ac:dyDescent="0.35"/>
    <row r="47461" hidden="1" x14ac:dyDescent="0.35"/>
    <row r="47462" hidden="1" x14ac:dyDescent="0.35"/>
    <row r="47463" hidden="1" x14ac:dyDescent="0.35"/>
    <row r="47464" hidden="1" x14ac:dyDescent="0.35"/>
    <row r="47465" hidden="1" x14ac:dyDescent="0.35"/>
    <row r="47466" hidden="1" x14ac:dyDescent="0.35"/>
    <row r="47467" hidden="1" x14ac:dyDescent="0.35"/>
    <row r="47468" hidden="1" x14ac:dyDescent="0.35"/>
    <row r="47469" hidden="1" x14ac:dyDescent="0.35"/>
    <row r="47470" hidden="1" x14ac:dyDescent="0.35"/>
    <row r="47471" hidden="1" x14ac:dyDescent="0.35"/>
    <row r="47472" hidden="1" x14ac:dyDescent="0.35"/>
    <row r="47473" hidden="1" x14ac:dyDescent="0.35"/>
    <row r="47474" hidden="1" x14ac:dyDescent="0.35"/>
    <row r="47475" hidden="1" x14ac:dyDescent="0.35"/>
    <row r="47476" hidden="1" x14ac:dyDescent="0.35"/>
    <row r="47477" hidden="1" x14ac:dyDescent="0.35"/>
    <row r="47478" hidden="1" x14ac:dyDescent="0.35"/>
    <row r="47479" hidden="1" x14ac:dyDescent="0.35"/>
    <row r="47480" hidden="1" x14ac:dyDescent="0.35"/>
    <row r="47481" hidden="1" x14ac:dyDescent="0.35"/>
    <row r="47482" hidden="1" x14ac:dyDescent="0.35"/>
    <row r="47483" hidden="1" x14ac:dyDescent="0.35"/>
    <row r="47484" hidden="1" x14ac:dyDescent="0.35"/>
    <row r="47485" hidden="1" x14ac:dyDescent="0.35"/>
    <row r="47486" hidden="1" x14ac:dyDescent="0.35"/>
    <row r="47487" hidden="1" x14ac:dyDescent="0.35"/>
    <row r="47488" hidden="1" x14ac:dyDescent="0.35"/>
    <row r="47489" hidden="1" x14ac:dyDescent="0.35"/>
    <row r="47490" hidden="1" x14ac:dyDescent="0.35"/>
    <row r="47491" hidden="1" x14ac:dyDescent="0.35"/>
    <row r="47492" hidden="1" x14ac:dyDescent="0.35"/>
    <row r="47493" hidden="1" x14ac:dyDescent="0.35"/>
    <row r="47494" hidden="1" x14ac:dyDescent="0.35"/>
    <row r="47495" hidden="1" x14ac:dyDescent="0.35"/>
    <row r="47496" hidden="1" x14ac:dyDescent="0.35"/>
    <row r="47497" hidden="1" x14ac:dyDescent="0.35"/>
    <row r="47498" hidden="1" x14ac:dyDescent="0.35"/>
    <row r="47499" hidden="1" x14ac:dyDescent="0.35"/>
    <row r="47500" hidden="1" x14ac:dyDescent="0.35"/>
    <row r="47501" hidden="1" x14ac:dyDescent="0.35"/>
    <row r="47502" hidden="1" x14ac:dyDescent="0.35"/>
    <row r="47503" hidden="1" x14ac:dyDescent="0.35"/>
    <row r="47504" hidden="1" x14ac:dyDescent="0.35"/>
    <row r="47505" hidden="1" x14ac:dyDescent="0.35"/>
    <row r="47506" hidden="1" x14ac:dyDescent="0.35"/>
    <row r="47507" hidden="1" x14ac:dyDescent="0.35"/>
    <row r="47508" hidden="1" x14ac:dyDescent="0.35"/>
    <row r="47509" hidden="1" x14ac:dyDescent="0.35"/>
    <row r="47510" hidden="1" x14ac:dyDescent="0.35"/>
    <row r="47511" hidden="1" x14ac:dyDescent="0.35"/>
    <row r="47512" hidden="1" x14ac:dyDescent="0.35"/>
    <row r="47513" hidden="1" x14ac:dyDescent="0.35"/>
    <row r="47514" hidden="1" x14ac:dyDescent="0.35"/>
    <row r="47515" hidden="1" x14ac:dyDescent="0.35"/>
    <row r="47516" hidden="1" x14ac:dyDescent="0.35"/>
    <row r="47517" hidden="1" x14ac:dyDescent="0.35"/>
    <row r="47518" hidden="1" x14ac:dyDescent="0.35"/>
    <row r="47519" hidden="1" x14ac:dyDescent="0.35"/>
    <row r="47520" hidden="1" x14ac:dyDescent="0.35"/>
    <row r="47521" hidden="1" x14ac:dyDescent="0.35"/>
    <row r="47522" hidden="1" x14ac:dyDescent="0.35"/>
    <row r="47523" hidden="1" x14ac:dyDescent="0.35"/>
    <row r="47524" hidden="1" x14ac:dyDescent="0.35"/>
    <row r="47525" hidden="1" x14ac:dyDescent="0.35"/>
    <row r="47526" hidden="1" x14ac:dyDescent="0.35"/>
    <row r="47527" hidden="1" x14ac:dyDescent="0.35"/>
    <row r="47528" hidden="1" x14ac:dyDescent="0.35"/>
    <row r="47529" hidden="1" x14ac:dyDescent="0.35"/>
    <row r="47530" hidden="1" x14ac:dyDescent="0.35"/>
    <row r="47531" hidden="1" x14ac:dyDescent="0.35"/>
    <row r="47532" hidden="1" x14ac:dyDescent="0.35"/>
    <row r="47533" hidden="1" x14ac:dyDescent="0.35"/>
    <row r="47534" hidden="1" x14ac:dyDescent="0.35"/>
    <row r="47535" hidden="1" x14ac:dyDescent="0.35"/>
    <row r="47536" hidden="1" x14ac:dyDescent="0.35"/>
    <row r="47537" hidden="1" x14ac:dyDescent="0.35"/>
    <row r="47538" hidden="1" x14ac:dyDescent="0.35"/>
    <row r="47539" hidden="1" x14ac:dyDescent="0.35"/>
    <row r="47540" hidden="1" x14ac:dyDescent="0.35"/>
    <row r="47541" hidden="1" x14ac:dyDescent="0.35"/>
    <row r="47542" hidden="1" x14ac:dyDescent="0.35"/>
    <row r="47543" hidden="1" x14ac:dyDescent="0.35"/>
    <row r="47544" hidden="1" x14ac:dyDescent="0.35"/>
    <row r="47545" hidden="1" x14ac:dyDescent="0.35"/>
    <row r="47546" hidden="1" x14ac:dyDescent="0.35"/>
    <row r="47547" hidden="1" x14ac:dyDescent="0.35"/>
    <row r="47548" hidden="1" x14ac:dyDescent="0.35"/>
    <row r="47549" hidden="1" x14ac:dyDescent="0.35"/>
    <row r="47550" hidden="1" x14ac:dyDescent="0.35"/>
    <row r="47551" hidden="1" x14ac:dyDescent="0.35"/>
    <row r="47552" hidden="1" x14ac:dyDescent="0.35"/>
    <row r="47553" hidden="1" x14ac:dyDescent="0.35"/>
    <row r="47554" hidden="1" x14ac:dyDescent="0.35"/>
    <row r="47555" hidden="1" x14ac:dyDescent="0.35"/>
    <row r="47556" hidden="1" x14ac:dyDescent="0.35"/>
    <row r="47557" hidden="1" x14ac:dyDescent="0.35"/>
    <row r="47558" hidden="1" x14ac:dyDescent="0.35"/>
    <row r="47559" hidden="1" x14ac:dyDescent="0.35"/>
    <row r="47560" hidden="1" x14ac:dyDescent="0.35"/>
    <row r="47561" hidden="1" x14ac:dyDescent="0.35"/>
    <row r="47562" hidden="1" x14ac:dyDescent="0.35"/>
    <row r="47563" hidden="1" x14ac:dyDescent="0.35"/>
    <row r="47564" hidden="1" x14ac:dyDescent="0.35"/>
    <row r="47565" hidden="1" x14ac:dyDescent="0.35"/>
    <row r="47566" hidden="1" x14ac:dyDescent="0.35"/>
    <row r="47567" hidden="1" x14ac:dyDescent="0.35"/>
    <row r="47568" hidden="1" x14ac:dyDescent="0.35"/>
    <row r="47569" hidden="1" x14ac:dyDescent="0.35"/>
    <row r="47570" hidden="1" x14ac:dyDescent="0.35"/>
    <row r="47571" hidden="1" x14ac:dyDescent="0.35"/>
    <row r="47572" hidden="1" x14ac:dyDescent="0.35"/>
    <row r="47573" hidden="1" x14ac:dyDescent="0.35"/>
    <row r="47574" hidden="1" x14ac:dyDescent="0.35"/>
    <row r="47575" hidden="1" x14ac:dyDescent="0.35"/>
    <row r="47576" hidden="1" x14ac:dyDescent="0.35"/>
    <row r="47577" hidden="1" x14ac:dyDescent="0.35"/>
    <row r="47578" hidden="1" x14ac:dyDescent="0.35"/>
    <row r="47579" hidden="1" x14ac:dyDescent="0.35"/>
    <row r="47580" hidden="1" x14ac:dyDescent="0.35"/>
    <row r="47581" hidden="1" x14ac:dyDescent="0.35"/>
    <row r="47582" hidden="1" x14ac:dyDescent="0.35"/>
    <row r="47583" hidden="1" x14ac:dyDescent="0.35"/>
    <row r="47584" hidden="1" x14ac:dyDescent="0.35"/>
    <row r="47585" hidden="1" x14ac:dyDescent="0.35"/>
    <row r="47586" hidden="1" x14ac:dyDescent="0.35"/>
    <row r="47587" hidden="1" x14ac:dyDescent="0.35"/>
    <row r="47588" hidden="1" x14ac:dyDescent="0.35"/>
    <row r="47589" hidden="1" x14ac:dyDescent="0.35"/>
    <row r="47590" hidden="1" x14ac:dyDescent="0.35"/>
    <row r="47591" hidden="1" x14ac:dyDescent="0.35"/>
    <row r="47592" hidden="1" x14ac:dyDescent="0.35"/>
    <row r="47593" hidden="1" x14ac:dyDescent="0.35"/>
    <row r="47594" hidden="1" x14ac:dyDescent="0.35"/>
    <row r="47595" hidden="1" x14ac:dyDescent="0.35"/>
    <row r="47596" hidden="1" x14ac:dyDescent="0.35"/>
    <row r="47597" hidden="1" x14ac:dyDescent="0.35"/>
    <row r="47598" hidden="1" x14ac:dyDescent="0.35"/>
    <row r="47599" hidden="1" x14ac:dyDescent="0.35"/>
    <row r="47600" hidden="1" x14ac:dyDescent="0.35"/>
    <row r="47601" hidden="1" x14ac:dyDescent="0.35"/>
    <row r="47602" hidden="1" x14ac:dyDescent="0.35"/>
    <row r="47603" hidden="1" x14ac:dyDescent="0.35"/>
    <row r="47604" hidden="1" x14ac:dyDescent="0.35"/>
    <row r="47605" hidden="1" x14ac:dyDescent="0.35"/>
    <row r="47606" hidden="1" x14ac:dyDescent="0.35"/>
    <row r="47607" hidden="1" x14ac:dyDescent="0.35"/>
    <row r="47608" hidden="1" x14ac:dyDescent="0.35"/>
    <row r="47609" hidden="1" x14ac:dyDescent="0.35"/>
    <row r="47610" hidden="1" x14ac:dyDescent="0.35"/>
    <row r="47611" hidden="1" x14ac:dyDescent="0.35"/>
    <row r="47612" hidden="1" x14ac:dyDescent="0.35"/>
    <row r="47613" hidden="1" x14ac:dyDescent="0.35"/>
    <row r="47614" hidden="1" x14ac:dyDescent="0.35"/>
    <row r="47615" hidden="1" x14ac:dyDescent="0.35"/>
    <row r="47616" hidden="1" x14ac:dyDescent="0.35"/>
    <row r="47617" hidden="1" x14ac:dyDescent="0.35"/>
    <row r="47618" hidden="1" x14ac:dyDescent="0.35"/>
    <row r="47619" hidden="1" x14ac:dyDescent="0.35"/>
    <row r="47620" hidden="1" x14ac:dyDescent="0.35"/>
    <row r="47621" hidden="1" x14ac:dyDescent="0.35"/>
    <row r="47622" hidden="1" x14ac:dyDescent="0.35"/>
    <row r="47623" hidden="1" x14ac:dyDescent="0.35"/>
    <row r="47624" hidden="1" x14ac:dyDescent="0.35"/>
    <row r="47625" hidden="1" x14ac:dyDescent="0.35"/>
    <row r="47626" hidden="1" x14ac:dyDescent="0.35"/>
    <row r="47627" hidden="1" x14ac:dyDescent="0.35"/>
    <row r="47628" hidden="1" x14ac:dyDescent="0.35"/>
    <row r="47629" hidden="1" x14ac:dyDescent="0.35"/>
    <row r="47630" hidden="1" x14ac:dyDescent="0.35"/>
    <row r="47631" hidden="1" x14ac:dyDescent="0.35"/>
    <row r="47632" hidden="1" x14ac:dyDescent="0.35"/>
    <row r="47633" hidden="1" x14ac:dyDescent="0.35"/>
    <row r="47634" hidden="1" x14ac:dyDescent="0.35"/>
    <row r="47635" hidden="1" x14ac:dyDescent="0.35"/>
    <row r="47636" hidden="1" x14ac:dyDescent="0.35"/>
    <row r="47637" hidden="1" x14ac:dyDescent="0.35"/>
    <row r="47638" hidden="1" x14ac:dyDescent="0.35"/>
    <row r="47639" hidden="1" x14ac:dyDescent="0.35"/>
    <row r="47640" hidden="1" x14ac:dyDescent="0.35"/>
    <row r="47641" hidden="1" x14ac:dyDescent="0.35"/>
    <row r="47642" hidden="1" x14ac:dyDescent="0.35"/>
    <row r="47643" hidden="1" x14ac:dyDescent="0.35"/>
    <row r="47644" hidden="1" x14ac:dyDescent="0.35"/>
    <row r="47645" hidden="1" x14ac:dyDescent="0.35"/>
    <row r="47646" hidden="1" x14ac:dyDescent="0.35"/>
    <row r="47647" hidden="1" x14ac:dyDescent="0.35"/>
    <row r="47648" hidden="1" x14ac:dyDescent="0.35"/>
    <row r="47649" hidden="1" x14ac:dyDescent="0.35"/>
    <row r="47650" hidden="1" x14ac:dyDescent="0.35"/>
    <row r="47651" hidden="1" x14ac:dyDescent="0.35"/>
    <row r="47652" hidden="1" x14ac:dyDescent="0.35"/>
    <row r="47653" hidden="1" x14ac:dyDescent="0.35"/>
    <row r="47654" hidden="1" x14ac:dyDescent="0.35"/>
    <row r="47655" hidden="1" x14ac:dyDescent="0.35"/>
    <row r="47656" hidden="1" x14ac:dyDescent="0.35"/>
    <row r="47657" hidden="1" x14ac:dyDescent="0.35"/>
    <row r="47658" hidden="1" x14ac:dyDescent="0.35"/>
    <row r="47659" hidden="1" x14ac:dyDescent="0.35"/>
    <row r="47660" hidden="1" x14ac:dyDescent="0.35"/>
    <row r="47661" hidden="1" x14ac:dyDescent="0.35"/>
    <row r="47662" hidden="1" x14ac:dyDescent="0.35"/>
    <row r="47663" hidden="1" x14ac:dyDescent="0.35"/>
    <row r="47664" hidden="1" x14ac:dyDescent="0.35"/>
    <row r="47665" hidden="1" x14ac:dyDescent="0.35"/>
    <row r="47666" hidden="1" x14ac:dyDescent="0.35"/>
    <row r="47667" hidden="1" x14ac:dyDescent="0.35"/>
    <row r="47668" hidden="1" x14ac:dyDescent="0.35"/>
    <row r="47669" hidden="1" x14ac:dyDescent="0.35"/>
    <row r="47670" hidden="1" x14ac:dyDescent="0.35"/>
    <row r="47671" hidden="1" x14ac:dyDescent="0.35"/>
    <row r="47672" hidden="1" x14ac:dyDescent="0.35"/>
    <row r="47673" hidden="1" x14ac:dyDescent="0.35"/>
    <row r="47674" hidden="1" x14ac:dyDescent="0.35"/>
    <row r="47675" hidden="1" x14ac:dyDescent="0.35"/>
    <row r="47676" hidden="1" x14ac:dyDescent="0.35"/>
    <row r="47677" hidden="1" x14ac:dyDescent="0.35"/>
    <row r="47678" hidden="1" x14ac:dyDescent="0.35"/>
    <row r="47679" hidden="1" x14ac:dyDescent="0.35"/>
    <row r="47680" hidden="1" x14ac:dyDescent="0.35"/>
    <row r="47681" hidden="1" x14ac:dyDescent="0.35"/>
    <row r="47682" hidden="1" x14ac:dyDescent="0.35"/>
    <row r="47683" hidden="1" x14ac:dyDescent="0.35"/>
    <row r="47684" hidden="1" x14ac:dyDescent="0.35"/>
    <row r="47685" hidden="1" x14ac:dyDescent="0.35"/>
    <row r="47686" hidden="1" x14ac:dyDescent="0.35"/>
    <row r="47687" hidden="1" x14ac:dyDescent="0.35"/>
    <row r="47688" hidden="1" x14ac:dyDescent="0.35"/>
    <row r="47689" hidden="1" x14ac:dyDescent="0.35"/>
    <row r="47690" hidden="1" x14ac:dyDescent="0.35"/>
    <row r="47691" hidden="1" x14ac:dyDescent="0.35"/>
    <row r="47692" hidden="1" x14ac:dyDescent="0.35"/>
    <row r="47693" hidden="1" x14ac:dyDescent="0.35"/>
    <row r="47694" hidden="1" x14ac:dyDescent="0.35"/>
    <row r="47695" hidden="1" x14ac:dyDescent="0.35"/>
    <row r="47696" hidden="1" x14ac:dyDescent="0.35"/>
    <row r="47697" hidden="1" x14ac:dyDescent="0.35"/>
    <row r="47698" hidden="1" x14ac:dyDescent="0.35"/>
    <row r="47699" hidden="1" x14ac:dyDescent="0.35"/>
    <row r="47700" hidden="1" x14ac:dyDescent="0.35"/>
    <row r="47701" hidden="1" x14ac:dyDescent="0.35"/>
    <row r="47702" hidden="1" x14ac:dyDescent="0.35"/>
    <row r="47703" hidden="1" x14ac:dyDescent="0.35"/>
    <row r="47704" hidden="1" x14ac:dyDescent="0.35"/>
    <row r="47705" hidden="1" x14ac:dyDescent="0.35"/>
    <row r="47706" hidden="1" x14ac:dyDescent="0.35"/>
    <row r="47707" hidden="1" x14ac:dyDescent="0.35"/>
    <row r="47708" hidden="1" x14ac:dyDescent="0.35"/>
    <row r="47709" hidden="1" x14ac:dyDescent="0.35"/>
    <row r="47710" hidden="1" x14ac:dyDescent="0.35"/>
    <row r="47711" hidden="1" x14ac:dyDescent="0.35"/>
    <row r="47712" hidden="1" x14ac:dyDescent="0.35"/>
    <row r="47713" hidden="1" x14ac:dyDescent="0.35"/>
    <row r="47714" hidden="1" x14ac:dyDescent="0.35"/>
    <row r="47715" hidden="1" x14ac:dyDescent="0.35"/>
    <row r="47716" hidden="1" x14ac:dyDescent="0.35"/>
    <row r="47717" hidden="1" x14ac:dyDescent="0.35"/>
    <row r="47718" hidden="1" x14ac:dyDescent="0.35"/>
    <row r="47719" hidden="1" x14ac:dyDescent="0.35"/>
    <row r="47720" hidden="1" x14ac:dyDescent="0.35"/>
    <row r="47721" hidden="1" x14ac:dyDescent="0.35"/>
    <row r="47722" hidden="1" x14ac:dyDescent="0.35"/>
    <row r="47723" hidden="1" x14ac:dyDescent="0.35"/>
    <row r="47724" hidden="1" x14ac:dyDescent="0.35"/>
    <row r="47725" hidden="1" x14ac:dyDescent="0.35"/>
    <row r="47726" hidden="1" x14ac:dyDescent="0.35"/>
    <row r="47727" hidden="1" x14ac:dyDescent="0.35"/>
    <row r="47728" hidden="1" x14ac:dyDescent="0.35"/>
    <row r="47729" hidden="1" x14ac:dyDescent="0.35"/>
    <row r="47730" hidden="1" x14ac:dyDescent="0.35"/>
    <row r="47731" hidden="1" x14ac:dyDescent="0.35"/>
    <row r="47732" hidden="1" x14ac:dyDescent="0.35"/>
    <row r="47733" hidden="1" x14ac:dyDescent="0.35"/>
    <row r="47734" hidden="1" x14ac:dyDescent="0.35"/>
    <row r="47735" hidden="1" x14ac:dyDescent="0.35"/>
    <row r="47736" hidden="1" x14ac:dyDescent="0.35"/>
    <row r="47737" hidden="1" x14ac:dyDescent="0.35"/>
    <row r="47738" hidden="1" x14ac:dyDescent="0.35"/>
    <row r="47739" hidden="1" x14ac:dyDescent="0.35"/>
    <row r="47740" hidden="1" x14ac:dyDescent="0.35"/>
    <row r="47741" hidden="1" x14ac:dyDescent="0.35"/>
    <row r="47742" hidden="1" x14ac:dyDescent="0.35"/>
    <row r="47743" hidden="1" x14ac:dyDescent="0.35"/>
    <row r="47744" hidden="1" x14ac:dyDescent="0.35"/>
    <row r="47745" hidden="1" x14ac:dyDescent="0.35"/>
    <row r="47746" hidden="1" x14ac:dyDescent="0.35"/>
    <row r="47747" hidden="1" x14ac:dyDescent="0.35"/>
    <row r="47748" hidden="1" x14ac:dyDescent="0.35"/>
    <row r="47749" hidden="1" x14ac:dyDescent="0.35"/>
    <row r="47750" hidden="1" x14ac:dyDescent="0.35"/>
    <row r="47751" hidden="1" x14ac:dyDescent="0.35"/>
    <row r="47752" hidden="1" x14ac:dyDescent="0.35"/>
    <row r="47753" hidden="1" x14ac:dyDescent="0.35"/>
    <row r="47754" hidden="1" x14ac:dyDescent="0.35"/>
    <row r="47755" hidden="1" x14ac:dyDescent="0.35"/>
    <row r="47756" hidden="1" x14ac:dyDescent="0.35"/>
    <row r="47757" hidden="1" x14ac:dyDescent="0.35"/>
    <row r="47758" hidden="1" x14ac:dyDescent="0.35"/>
    <row r="47759" hidden="1" x14ac:dyDescent="0.35"/>
    <row r="47760" hidden="1" x14ac:dyDescent="0.35"/>
    <row r="47761" hidden="1" x14ac:dyDescent="0.35"/>
    <row r="47762" hidden="1" x14ac:dyDescent="0.35"/>
    <row r="47763" hidden="1" x14ac:dyDescent="0.35"/>
    <row r="47764" hidden="1" x14ac:dyDescent="0.35"/>
    <row r="47765" hidden="1" x14ac:dyDescent="0.35"/>
    <row r="47766" hidden="1" x14ac:dyDescent="0.35"/>
    <row r="47767" hidden="1" x14ac:dyDescent="0.35"/>
    <row r="47768" hidden="1" x14ac:dyDescent="0.35"/>
    <row r="47769" hidden="1" x14ac:dyDescent="0.35"/>
    <row r="47770" hidden="1" x14ac:dyDescent="0.35"/>
    <row r="47771" hidden="1" x14ac:dyDescent="0.35"/>
    <row r="47772" hidden="1" x14ac:dyDescent="0.35"/>
    <row r="47773" hidden="1" x14ac:dyDescent="0.35"/>
    <row r="47774" hidden="1" x14ac:dyDescent="0.35"/>
    <row r="47775" hidden="1" x14ac:dyDescent="0.35"/>
    <row r="47776" hidden="1" x14ac:dyDescent="0.35"/>
    <row r="47777" hidden="1" x14ac:dyDescent="0.35"/>
    <row r="47778" hidden="1" x14ac:dyDescent="0.35"/>
    <row r="47779" hidden="1" x14ac:dyDescent="0.35"/>
    <row r="47780" hidden="1" x14ac:dyDescent="0.35"/>
    <row r="47781" hidden="1" x14ac:dyDescent="0.35"/>
    <row r="47782" hidden="1" x14ac:dyDescent="0.35"/>
    <row r="47783" hidden="1" x14ac:dyDescent="0.35"/>
    <row r="47784" hidden="1" x14ac:dyDescent="0.35"/>
    <row r="47785" hidden="1" x14ac:dyDescent="0.35"/>
    <row r="47786" hidden="1" x14ac:dyDescent="0.35"/>
    <row r="47787" hidden="1" x14ac:dyDescent="0.35"/>
    <row r="47788" hidden="1" x14ac:dyDescent="0.35"/>
    <row r="47789" hidden="1" x14ac:dyDescent="0.35"/>
    <row r="47790" hidden="1" x14ac:dyDescent="0.35"/>
    <row r="47791" hidden="1" x14ac:dyDescent="0.35"/>
    <row r="47792" hidden="1" x14ac:dyDescent="0.35"/>
    <row r="47793" hidden="1" x14ac:dyDescent="0.35"/>
    <row r="47794" hidden="1" x14ac:dyDescent="0.35"/>
    <row r="47795" hidden="1" x14ac:dyDescent="0.35"/>
    <row r="47796" hidden="1" x14ac:dyDescent="0.35"/>
    <row r="47797" hidden="1" x14ac:dyDescent="0.35"/>
    <row r="47798" hidden="1" x14ac:dyDescent="0.35"/>
    <row r="47799" hidden="1" x14ac:dyDescent="0.35"/>
    <row r="47800" hidden="1" x14ac:dyDescent="0.35"/>
    <row r="47801" hidden="1" x14ac:dyDescent="0.35"/>
    <row r="47802" hidden="1" x14ac:dyDescent="0.35"/>
    <row r="47803" hidden="1" x14ac:dyDescent="0.35"/>
    <row r="47804" hidden="1" x14ac:dyDescent="0.35"/>
    <row r="47805" hidden="1" x14ac:dyDescent="0.35"/>
    <row r="47806" hidden="1" x14ac:dyDescent="0.35"/>
    <row r="47807" hidden="1" x14ac:dyDescent="0.35"/>
    <row r="47808" hidden="1" x14ac:dyDescent="0.35"/>
    <row r="47809" hidden="1" x14ac:dyDescent="0.35"/>
    <row r="47810" hidden="1" x14ac:dyDescent="0.35"/>
    <row r="47811" hidden="1" x14ac:dyDescent="0.35"/>
    <row r="47812" hidden="1" x14ac:dyDescent="0.35"/>
    <row r="47813" hidden="1" x14ac:dyDescent="0.35"/>
    <row r="47814" hidden="1" x14ac:dyDescent="0.35"/>
    <row r="47815" hidden="1" x14ac:dyDescent="0.35"/>
    <row r="47816" hidden="1" x14ac:dyDescent="0.35"/>
    <row r="47817" hidden="1" x14ac:dyDescent="0.35"/>
    <row r="47818" hidden="1" x14ac:dyDescent="0.35"/>
    <row r="47819" hidden="1" x14ac:dyDescent="0.35"/>
    <row r="47820" hidden="1" x14ac:dyDescent="0.35"/>
    <row r="47821" hidden="1" x14ac:dyDescent="0.35"/>
    <row r="47822" hidden="1" x14ac:dyDescent="0.35"/>
    <row r="47823" hidden="1" x14ac:dyDescent="0.35"/>
    <row r="47824" hidden="1" x14ac:dyDescent="0.35"/>
    <row r="47825" hidden="1" x14ac:dyDescent="0.35"/>
    <row r="47826" hidden="1" x14ac:dyDescent="0.35"/>
    <row r="47827" hidden="1" x14ac:dyDescent="0.35"/>
    <row r="47828" hidden="1" x14ac:dyDescent="0.35"/>
    <row r="47829" hidden="1" x14ac:dyDescent="0.35"/>
    <row r="47830" hidden="1" x14ac:dyDescent="0.35"/>
    <row r="47831" hidden="1" x14ac:dyDescent="0.35"/>
    <row r="47832" hidden="1" x14ac:dyDescent="0.35"/>
    <row r="47833" hidden="1" x14ac:dyDescent="0.35"/>
    <row r="47834" hidden="1" x14ac:dyDescent="0.35"/>
    <row r="47835" hidden="1" x14ac:dyDescent="0.35"/>
    <row r="47836" hidden="1" x14ac:dyDescent="0.35"/>
    <row r="47837" hidden="1" x14ac:dyDescent="0.35"/>
    <row r="47838" hidden="1" x14ac:dyDescent="0.35"/>
    <row r="47839" hidden="1" x14ac:dyDescent="0.35"/>
    <row r="47840" hidden="1" x14ac:dyDescent="0.35"/>
    <row r="47841" hidden="1" x14ac:dyDescent="0.35"/>
    <row r="47842" hidden="1" x14ac:dyDescent="0.35"/>
    <row r="47843" hidden="1" x14ac:dyDescent="0.35"/>
    <row r="47844" hidden="1" x14ac:dyDescent="0.35"/>
    <row r="47845" hidden="1" x14ac:dyDescent="0.35"/>
    <row r="47846" hidden="1" x14ac:dyDescent="0.35"/>
    <row r="47847" hidden="1" x14ac:dyDescent="0.35"/>
    <row r="47848" hidden="1" x14ac:dyDescent="0.35"/>
    <row r="47849" hidden="1" x14ac:dyDescent="0.35"/>
    <row r="47850" hidden="1" x14ac:dyDescent="0.35"/>
    <row r="47851" hidden="1" x14ac:dyDescent="0.35"/>
    <row r="47852" hidden="1" x14ac:dyDescent="0.35"/>
    <row r="47853" hidden="1" x14ac:dyDescent="0.35"/>
    <row r="47854" hidden="1" x14ac:dyDescent="0.35"/>
    <row r="47855" hidden="1" x14ac:dyDescent="0.35"/>
    <row r="47856" hidden="1" x14ac:dyDescent="0.35"/>
    <row r="47857" hidden="1" x14ac:dyDescent="0.35"/>
    <row r="47858" hidden="1" x14ac:dyDescent="0.35"/>
    <row r="47859" hidden="1" x14ac:dyDescent="0.35"/>
    <row r="47860" hidden="1" x14ac:dyDescent="0.35"/>
    <row r="47861" hidden="1" x14ac:dyDescent="0.35"/>
    <row r="47862" hidden="1" x14ac:dyDescent="0.35"/>
    <row r="47863" hidden="1" x14ac:dyDescent="0.35"/>
    <row r="47864" hidden="1" x14ac:dyDescent="0.35"/>
    <row r="47865" hidden="1" x14ac:dyDescent="0.35"/>
    <row r="47866" hidden="1" x14ac:dyDescent="0.35"/>
    <row r="47867" hidden="1" x14ac:dyDescent="0.35"/>
    <row r="47868" hidden="1" x14ac:dyDescent="0.35"/>
    <row r="47869" hidden="1" x14ac:dyDescent="0.35"/>
    <row r="47870" hidden="1" x14ac:dyDescent="0.35"/>
    <row r="47871" hidden="1" x14ac:dyDescent="0.35"/>
    <row r="47872" hidden="1" x14ac:dyDescent="0.35"/>
    <row r="47873" hidden="1" x14ac:dyDescent="0.35"/>
    <row r="47874" hidden="1" x14ac:dyDescent="0.35"/>
    <row r="47875" hidden="1" x14ac:dyDescent="0.35"/>
    <row r="47876" hidden="1" x14ac:dyDescent="0.35"/>
    <row r="47877" hidden="1" x14ac:dyDescent="0.35"/>
    <row r="47878" hidden="1" x14ac:dyDescent="0.35"/>
    <row r="47879" hidden="1" x14ac:dyDescent="0.35"/>
    <row r="47880" hidden="1" x14ac:dyDescent="0.35"/>
    <row r="47881" hidden="1" x14ac:dyDescent="0.35"/>
    <row r="47882" hidden="1" x14ac:dyDescent="0.35"/>
    <row r="47883" hidden="1" x14ac:dyDescent="0.35"/>
    <row r="47884" hidden="1" x14ac:dyDescent="0.35"/>
    <row r="47885" hidden="1" x14ac:dyDescent="0.35"/>
    <row r="47886" hidden="1" x14ac:dyDescent="0.35"/>
    <row r="47887" hidden="1" x14ac:dyDescent="0.35"/>
    <row r="47888" hidden="1" x14ac:dyDescent="0.35"/>
    <row r="47889" hidden="1" x14ac:dyDescent="0.35"/>
    <row r="47890" hidden="1" x14ac:dyDescent="0.35"/>
    <row r="47891" hidden="1" x14ac:dyDescent="0.35"/>
    <row r="47892" hidden="1" x14ac:dyDescent="0.35"/>
    <row r="47893" hidden="1" x14ac:dyDescent="0.35"/>
    <row r="47894" hidden="1" x14ac:dyDescent="0.35"/>
    <row r="47895" hidden="1" x14ac:dyDescent="0.35"/>
    <row r="47896" hidden="1" x14ac:dyDescent="0.35"/>
    <row r="47897" hidden="1" x14ac:dyDescent="0.35"/>
    <row r="47898" hidden="1" x14ac:dyDescent="0.35"/>
    <row r="47899" hidden="1" x14ac:dyDescent="0.35"/>
    <row r="47900" hidden="1" x14ac:dyDescent="0.35"/>
    <row r="47901" hidden="1" x14ac:dyDescent="0.35"/>
    <row r="47902" hidden="1" x14ac:dyDescent="0.35"/>
    <row r="47903" hidden="1" x14ac:dyDescent="0.35"/>
    <row r="47904" hidden="1" x14ac:dyDescent="0.35"/>
    <row r="47905" hidden="1" x14ac:dyDescent="0.35"/>
    <row r="47906" hidden="1" x14ac:dyDescent="0.35"/>
    <row r="47907" hidden="1" x14ac:dyDescent="0.35"/>
    <row r="47908" hidden="1" x14ac:dyDescent="0.35"/>
    <row r="47909" hidden="1" x14ac:dyDescent="0.35"/>
    <row r="47910" hidden="1" x14ac:dyDescent="0.35"/>
    <row r="47911" hidden="1" x14ac:dyDescent="0.35"/>
    <row r="47912" hidden="1" x14ac:dyDescent="0.35"/>
    <row r="47913" hidden="1" x14ac:dyDescent="0.35"/>
    <row r="47914" hidden="1" x14ac:dyDescent="0.35"/>
    <row r="47915" hidden="1" x14ac:dyDescent="0.35"/>
    <row r="47916" hidden="1" x14ac:dyDescent="0.35"/>
    <row r="47917" hidden="1" x14ac:dyDescent="0.35"/>
    <row r="47918" hidden="1" x14ac:dyDescent="0.35"/>
    <row r="47919" hidden="1" x14ac:dyDescent="0.35"/>
    <row r="47920" hidden="1" x14ac:dyDescent="0.35"/>
    <row r="47921" hidden="1" x14ac:dyDescent="0.35"/>
    <row r="47922" hidden="1" x14ac:dyDescent="0.35"/>
    <row r="47923" hidden="1" x14ac:dyDescent="0.35"/>
    <row r="47924" hidden="1" x14ac:dyDescent="0.35"/>
    <row r="47925" hidden="1" x14ac:dyDescent="0.35"/>
    <row r="47926" hidden="1" x14ac:dyDescent="0.35"/>
    <row r="47927" hidden="1" x14ac:dyDescent="0.35"/>
    <row r="47928" hidden="1" x14ac:dyDescent="0.35"/>
    <row r="47929" hidden="1" x14ac:dyDescent="0.35"/>
    <row r="47930" hidden="1" x14ac:dyDescent="0.35"/>
    <row r="47931" hidden="1" x14ac:dyDescent="0.35"/>
    <row r="47932" hidden="1" x14ac:dyDescent="0.35"/>
    <row r="47933" hidden="1" x14ac:dyDescent="0.35"/>
    <row r="47934" hidden="1" x14ac:dyDescent="0.35"/>
    <row r="47935" hidden="1" x14ac:dyDescent="0.35"/>
    <row r="47936" hidden="1" x14ac:dyDescent="0.35"/>
    <row r="47937" hidden="1" x14ac:dyDescent="0.35"/>
    <row r="47938" hidden="1" x14ac:dyDescent="0.35"/>
    <row r="47939" hidden="1" x14ac:dyDescent="0.35"/>
    <row r="47940" hidden="1" x14ac:dyDescent="0.35"/>
    <row r="47941" hidden="1" x14ac:dyDescent="0.35"/>
    <row r="47942" hidden="1" x14ac:dyDescent="0.35"/>
    <row r="47943" hidden="1" x14ac:dyDescent="0.35"/>
    <row r="47944" hidden="1" x14ac:dyDescent="0.35"/>
    <row r="47945" hidden="1" x14ac:dyDescent="0.35"/>
    <row r="47946" hidden="1" x14ac:dyDescent="0.35"/>
    <row r="47947" hidden="1" x14ac:dyDescent="0.35"/>
    <row r="47948" hidden="1" x14ac:dyDescent="0.35"/>
    <row r="47949" hidden="1" x14ac:dyDescent="0.35"/>
    <row r="47950" hidden="1" x14ac:dyDescent="0.35"/>
    <row r="47951" hidden="1" x14ac:dyDescent="0.35"/>
    <row r="47952" hidden="1" x14ac:dyDescent="0.35"/>
    <row r="47953" hidden="1" x14ac:dyDescent="0.35"/>
    <row r="47954" hidden="1" x14ac:dyDescent="0.35"/>
    <row r="47955" hidden="1" x14ac:dyDescent="0.35"/>
    <row r="47956" hidden="1" x14ac:dyDescent="0.35"/>
    <row r="47957" hidden="1" x14ac:dyDescent="0.35"/>
    <row r="47958" hidden="1" x14ac:dyDescent="0.35"/>
    <row r="47959" hidden="1" x14ac:dyDescent="0.35"/>
    <row r="47960" hidden="1" x14ac:dyDescent="0.35"/>
    <row r="47961" hidden="1" x14ac:dyDescent="0.35"/>
    <row r="47962" hidden="1" x14ac:dyDescent="0.35"/>
    <row r="47963" hidden="1" x14ac:dyDescent="0.35"/>
    <row r="47964" hidden="1" x14ac:dyDescent="0.35"/>
    <row r="47965" hidden="1" x14ac:dyDescent="0.35"/>
    <row r="47966" hidden="1" x14ac:dyDescent="0.35"/>
    <row r="47967" hidden="1" x14ac:dyDescent="0.35"/>
    <row r="47968" hidden="1" x14ac:dyDescent="0.35"/>
    <row r="47969" hidden="1" x14ac:dyDescent="0.35"/>
    <row r="47970" hidden="1" x14ac:dyDescent="0.35"/>
    <row r="47971" hidden="1" x14ac:dyDescent="0.35"/>
    <row r="47972" hidden="1" x14ac:dyDescent="0.35"/>
    <row r="47973" hidden="1" x14ac:dyDescent="0.35"/>
    <row r="47974" hidden="1" x14ac:dyDescent="0.35"/>
    <row r="47975" hidden="1" x14ac:dyDescent="0.35"/>
    <row r="47976" hidden="1" x14ac:dyDescent="0.35"/>
    <row r="47977" hidden="1" x14ac:dyDescent="0.35"/>
    <row r="47978" hidden="1" x14ac:dyDescent="0.35"/>
    <row r="47979" hidden="1" x14ac:dyDescent="0.35"/>
    <row r="47980" hidden="1" x14ac:dyDescent="0.35"/>
    <row r="47981" hidden="1" x14ac:dyDescent="0.35"/>
    <row r="47982" hidden="1" x14ac:dyDescent="0.35"/>
    <row r="47983" hidden="1" x14ac:dyDescent="0.35"/>
    <row r="47984" hidden="1" x14ac:dyDescent="0.35"/>
    <row r="47985" hidden="1" x14ac:dyDescent="0.35"/>
    <row r="47986" hidden="1" x14ac:dyDescent="0.35"/>
    <row r="47987" hidden="1" x14ac:dyDescent="0.35"/>
    <row r="47988" hidden="1" x14ac:dyDescent="0.35"/>
    <row r="47989" hidden="1" x14ac:dyDescent="0.35"/>
    <row r="47990" hidden="1" x14ac:dyDescent="0.35"/>
    <row r="47991" hidden="1" x14ac:dyDescent="0.35"/>
    <row r="47992" hidden="1" x14ac:dyDescent="0.35"/>
    <row r="47993" hidden="1" x14ac:dyDescent="0.35"/>
    <row r="47994" hidden="1" x14ac:dyDescent="0.35"/>
    <row r="47995" hidden="1" x14ac:dyDescent="0.35"/>
    <row r="47996" hidden="1" x14ac:dyDescent="0.35"/>
    <row r="47997" hidden="1" x14ac:dyDescent="0.35"/>
    <row r="47998" hidden="1" x14ac:dyDescent="0.35"/>
    <row r="47999" hidden="1" x14ac:dyDescent="0.35"/>
    <row r="48000" hidden="1" x14ac:dyDescent="0.35"/>
    <row r="48001" hidden="1" x14ac:dyDescent="0.35"/>
    <row r="48002" hidden="1" x14ac:dyDescent="0.35"/>
    <row r="48003" hidden="1" x14ac:dyDescent="0.35"/>
    <row r="48004" hidden="1" x14ac:dyDescent="0.35"/>
    <row r="48005" hidden="1" x14ac:dyDescent="0.35"/>
    <row r="48006" hidden="1" x14ac:dyDescent="0.35"/>
    <row r="48007" hidden="1" x14ac:dyDescent="0.35"/>
    <row r="48008" hidden="1" x14ac:dyDescent="0.35"/>
    <row r="48009" hidden="1" x14ac:dyDescent="0.35"/>
    <row r="48010" hidden="1" x14ac:dyDescent="0.35"/>
    <row r="48011" hidden="1" x14ac:dyDescent="0.35"/>
    <row r="48012" hidden="1" x14ac:dyDescent="0.35"/>
    <row r="48013" hidden="1" x14ac:dyDescent="0.35"/>
    <row r="48014" hidden="1" x14ac:dyDescent="0.35"/>
    <row r="48015" hidden="1" x14ac:dyDescent="0.35"/>
    <row r="48016" hidden="1" x14ac:dyDescent="0.35"/>
    <row r="48017" hidden="1" x14ac:dyDescent="0.35"/>
    <row r="48018" hidden="1" x14ac:dyDescent="0.35"/>
    <row r="48019" hidden="1" x14ac:dyDescent="0.35"/>
    <row r="48020" hidden="1" x14ac:dyDescent="0.35"/>
    <row r="48021" hidden="1" x14ac:dyDescent="0.35"/>
    <row r="48022" hidden="1" x14ac:dyDescent="0.35"/>
    <row r="48023" hidden="1" x14ac:dyDescent="0.35"/>
    <row r="48024" hidden="1" x14ac:dyDescent="0.35"/>
    <row r="48025" hidden="1" x14ac:dyDescent="0.35"/>
    <row r="48026" hidden="1" x14ac:dyDescent="0.35"/>
    <row r="48027" hidden="1" x14ac:dyDescent="0.35"/>
    <row r="48028" hidden="1" x14ac:dyDescent="0.35"/>
    <row r="48029" hidden="1" x14ac:dyDescent="0.35"/>
    <row r="48030" hidden="1" x14ac:dyDescent="0.35"/>
    <row r="48031" hidden="1" x14ac:dyDescent="0.35"/>
    <row r="48032" hidden="1" x14ac:dyDescent="0.35"/>
    <row r="48033" hidden="1" x14ac:dyDescent="0.35"/>
    <row r="48034" hidden="1" x14ac:dyDescent="0.35"/>
    <row r="48035" hidden="1" x14ac:dyDescent="0.35"/>
    <row r="48036" hidden="1" x14ac:dyDescent="0.35"/>
    <row r="48037" hidden="1" x14ac:dyDescent="0.35"/>
    <row r="48038" hidden="1" x14ac:dyDescent="0.35"/>
    <row r="48039" hidden="1" x14ac:dyDescent="0.35"/>
    <row r="48040" hidden="1" x14ac:dyDescent="0.35"/>
    <row r="48041" hidden="1" x14ac:dyDescent="0.35"/>
    <row r="48042" hidden="1" x14ac:dyDescent="0.35"/>
    <row r="48043" hidden="1" x14ac:dyDescent="0.35"/>
    <row r="48044" hidden="1" x14ac:dyDescent="0.35"/>
    <row r="48045" hidden="1" x14ac:dyDescent="0.35"/>
    <row r="48046" hidden="1" x14ac:dyDescent="0.35"/>
    <row r="48047" hidden="1" x14ac:dyDescent="0.35"/>
    <row r="48048" hidden="1" x14ac:dyDescent="0.35"/>
    <row r="48049" hidden="1" x14ac:dyDescent="0.35"/>
    <row r="48050" hidden="1" x14ac:dyDescent="0.35"/>
    <row r="48051" hidden="1" x14ac:dyDescent="0.35"/>
    <row r="48052" hidden="1" x14ac:dyDescent="0.35"/>
    <row r="48053" hidden="1" x14ac:dyDescent="0.35"/>
    <row r="48054" hidden="1" x14ac:dyDescent="0.35"/>
    <row r="48055" hidden="1" x14ac:dyDescent="0.35"/>
    <row r="48056" hidden="1" x14ac:dyDescent="0.35"/>
    <row r="48057" hidden="1" x14ac:dyDescent="0.35"/>
    <row r="48058" hidden="1" x14ac:dyDescent="0.35"/>
    <row r="48059" hidden="1" x14ac:dyDescent="0.35"/>
    <row r="48060" hidden="1" x14ac:dyDescent="0.35"/>
    <row r="48061" hidden="1" x14ac:dyDescent="0.35"/>
    <row r="48062" hidden="1" x14ac:dyDescent="0.35"/>
    <row r="48063" hidden="1" x14ac:dyDescent="0.35"/>
    <row r="48064" hidden="1" x14ac:dyDescent="0.35"/>
    <row r="48065" hidden="1" x14ac:dyDescent="0.35"/>
    <row r="48066" hidden="1" x14ac:dyDescent="0.35"/>
    <row r="48067" hidden="1" x14ac:dyDescent="0.35"/>
    <row r="48068" hidden="1" x14ac:dyDescent="0.35"/>
    <row r="48069" hidden="1" x14ac:dyDescent="0.35"/>
    <row r="48070" hidden="1" x14ac:dyDescent="0.35"/>
    <row r="48071" hidden="1" x14ac:dyDescent="0.35"/>
    <row r="48072" hidden="1" x14ac:dyDescent="0.35"/>
    <row r="48073" hidden="1" x14ac:dyDescent="0.35"/>
    <row r="48074" hidden="1" x14ac:dyDescent="0.35"/>
    <row r="48075" hidden="1" x14ac:dyDescent="0.35"/>
    <row r="48076" hidden="1" x14ac:dyDescent="0.35"/>
    <row r="48077" hidden="1" x14ac:dyDescent="0.35"/>
    <row r="48078" hidden="1" x14ac:dyDescent="0.35"/>
    <row r="48079" hidden="1" x14ac:dyDescent="0.35"/>
    <row r="48080" hidden="1" x14ac:dyDescent="0.35"/>
    <row r="48081" hidden="1" x14ac:dyDescent="0.35"/>
    <row r="48082" hidden="1" x14ac:dyDescent="0.35"/>
    <row r="48083" hidden="1" x14ac:dyDescent="0.35"/>
    <row r="48084" hidden="1" x14ac:dyDescent="0.35"/>
    <row r="48085" hidden="1" x14ac:dyDescent="0.35"/>
    <row r="48086" hidden="1" x14ac:dyDescent="0.35"/>
    <row r="48087" hidden="1" x14ac:dyDescent="0.35"/>
    <row r="48088" hidden="1" x14ac:dyDescent="0.35"/>
    <row r="48089" hidden="1" x14ac:dyDescent="0.35"/>
    <row r="48090" hidden="1" x14ac:dyDescent="0.35"/>
    <row r="48091" hidden="1" x14ac:dyDescent="0.35"/>
    <row r="48092" hidden="1" x14ac:dyDescent="0.35"/>
    <row r="48093" hidden="1" x14ac:dyDescent="0.35"/>
    <row r="48094" hidden="1" x14ac:dyDescent="0.35"/>
    <row r="48095" hidden="1" x14ac:dyDescent="0.35"/>
    <row r="48096" hidden="1" x14ac:dyDescent="0.35"/>
    <row r="48097" hidden="1" x14ac:dyDescent="0.35"/>
    <row r="48098" hidden="1" x14ac:dyDescent="0.35"/>
    <row r="48099" hidden="1" x14ac:dyDescent="0.35"/>
    <row r="48100" hidden="1" x14ac:dyDescent="0.35"/>
    <row r="48101" hidden="1" x14ac:dyDescent="0.35"/>
    <row r="48102" hidden="1" x14ac:dyDescent="0.35"/>
    <row r="48103" hidden="1" x14ac:dyDescent="0.35"/>
    <row r="48104" hidden="1" x14ac:dyDescent="0.35"/>
    <row r="48105" hidden="1" x14ac:dyDescent="0.35"/>
    <row r="48106" hidden="1" x14ac:dyDescent="0.35"/>
    <row r="48107" hidden="1" x14ac:dyDescent="0.35"/>
    <row r="48108" hidden="1" x14ac:dyDescent="0.35"/>
    <row r="48109" hidden="1" x14ac:dyDescent="0.35"/>
    <row r="48110" hidden="1" x14ac:dyDescent="0.35"/>
    <row r="48111" hidden="1" x14ac:dyDescent="0.35"/>
    <row r="48112" hidden="1" x14ac:dyDescent="0.35"/>
    <row r="48113" hidden="1" x14ac:dyDescent="0.35"/>
    <row r="48114" hidden="1" x14ac:dyDescent="0.35"/>
    <row r="48115" hidden="1" x14ac:dyDescent="0.35"/>
    <row r="48116" hidden="1" x14ac:dyDescent="0.35"/>
    <row r="48117" hidden="1" x14ac:dyDescent="0.35"/>
    <row r="48118" hidden="1" x14ac:dyDescent="0.35"/>
    <row r="48119" hidden="1" x14ac:dyDescent="0.35"/>
    <row r="48120" hidden="1" x14ac:dyDescent="0.35"/>
    <row r="48121" hidden="1" x14ac:dyDescent="0.35"/>
    <row r="48122" hidden="1" x14ac:dyDescent="0.35"/>
    <row r="48123" hidden="1" x14ac:dyDescent="0.35"/>
    <row r="48124" hidden="1" x14ac:dyDescent="0.35"/>
    <row r="48125" hidden="1" x14ac:dyDescent="0.35"/>
    <row r="48126" hidden="1" x14ac:dyDescent="0.35"/>
    <row r="48127" hidden="1" x14ac:dyDescent="0.35"/>
    <row r="48128" hidden="1" x14ac:dyDescent="0.35"/>
    <row r="48129" hidden="1" x14ac:dyDescent="0.35"/>
    <row r="48130" hidden="1" x14ac:dyDescent="0.35"/>
    <row r="48131" hidden="1" x14ac:dyDescent="0.35"/>
    <row r="48132" hidden="1" x14ac:dyDescent="0.35"/>
    <row r="48133" hidden="1" x14ac:dyDescent="0.35"/>
    <row r="48134" hidden="1" x14ac:dyDescent="0.35"/>
    <row r="48135" hidden="1" x14ac:dyDescent="0.35"/>
    <row r="48136" hidden="1" x14ac:dyDescent="0.35"/>
    <row r="48137" hidden="1" x14ac:dyDescent="0.35"/>
    <row r="48138" hidden="1" x14ac:dyDescent="0.35"/>
    <row r="48139" hidden="1" x14ac:dyDescent="0.35"/>
    <row r="48140" hidden="1" x14ac:dyDescent="0.35"/>
    <row r="48141" hidden="1" x14ac:dyDescent="0.35"/>
    <row r="48142" hidden="1" x14ac:dyDescent="0.35"/>
    <row r="48143" hidden="1" x14ac:dyDescent="0.35"/>
    <row r="48144" hidden="1" x14ac:dyDescent="0.35"/>
    <row r="48145" hidden="1" x14ac:dyDescent="0.35"/>
    <row r="48146" hidden="1" x14ac:dyDescent="0.35"/>
    <row r="48147" hidden="1" x14ac:dyDescent="0.35"/>
    <row r="48148" hidden="1" x14ac:dyDescent="0.35"/>
    <row r="48149" hidden="1" x14ac:dyDescent="0.35"/>
    <row r="48150" hidden="1" x14ac:dyDescent="0.35"/>
    <row r="48151" hidden="1" x14ac:dyDescent="0.35"/>
    <row r="48152" hidden="1" x14ac:dyDescent="0.35"/>
    <row r="48153" hidden="1" x14ac:dyDescent="0.35"/>
    <row r="48154" hidden="1" x14ac:dyDescent="0.35"/>
    <row r="48155" hidden="1" x14ac:dyDescent="0.35"/>
    <row r="48156" hidden="1" x14ac:dyDescent="0.35"/>
    <row r="48157" hidden="1" x14ac:dyDescent="0.35"/>
    <row r="48158" hidden="1" x14ac:dyDescent="0.35"/>
    <row r="48159" hidden="1" x14ac:dyDescent="0.35"/>
    <row r="48160" hidden="1" x14ac:dyDescent="0.35"/>
    <row r="48161" hidden="1" x14ac:dyDescent="0.35"/>
    <row r="48162" hidden="1" x14ac:dyDescent="0.35"/>
    <row r="48163" hidden="1" x14ac:dyDescent="0.35"/>
    <row r="48164" hidden="1" x14ac:dyDescent="0.35"/>
    <row r="48165" hidden="1" x14ac:dyDescent="0.35"/>
    <row r="48166" hidden="1" x14ac:dyDescent="0.35"/>
    <row r="48167" hidden="1" x14ac:dyDescent="0.35"/>
    <row r="48168" hidden="1" x14ac:dyDescent="0.35"/>
    <row r="48169" hidden="1" x14ac:dyDescent="0.35"/>
    <row r="48170" hidden="1" x14ac:dyDescent="0.35"/>
    <row r="48171" hidden="1" x14ac:dyDescent="0.35"/>
    <row r="48172" hidden="1" x14ac:dyDescent="0.35"/>
    <row r="48173" hidden="1" x14ac:dyDescent="0.35"/>
    <row r="48174" hidden="1" x14ac:dyDescent="0.35"/>
    <row r="48175" hidden="1" x14ac:dyDescent="0.35"/>
    <row r="48176" hidden="1" x14ac:dyDescent="0.35"/>
    <row r="48177" hidden="1" x14ac:dyDescent="0.35"/>
    <row r="48178" hidden="1" x14ac:dyDescent="0.35"/>
    <row r="48179" hidden="1" x14ac:dyDescent="0.35"/>
    <row r="48180" hidden="1" x14ac:dyDescent="0.35"/>
    <row r="48181" hidden="1" x14ac:dyDescent="0.35"/>
    <row r="48182" hidden="1" x14ac:dyDescent="0.35"/>
    <row r="48183" hidden="1" x14ac:dyDescent="0.35"/>
    <row r="48184" hidden="1" x14ac:dyDescent="0.35"/>
    <row r="48185" hidden="1" x14ac:dyDescent="0.35"/>
    <row r="48186" hidden="1" x14ac:dyDescent="0.35"/>
    <row r="48187" hidden="1" x14ac:dyDescent="0.35"/>
    <row r="48188" hidden="1" x14ac:dyDescent="0.35"/>
    <row r="48189" hidden="1" x14ac:dyDescent="0.35"/>
    <row r="48190" hidden="1" x14ac:dyDescent="0.35"/>
    <row r="48191" hidden="1" x14ac:dyDescent="0.35"/>
    <row r="48192" hidden="1" x14ac:dyDescent="0.35"/>
    <row r="48193" hidden="1" x14ac:dyDescent="0.35"/>
    <row r="48194" hidden="1" x14ac:dyDescent="0.35"/>
    <row r="48195" hidden="1" x14ac:dyDescent="0.35"/>
    <row r="48196" hidden="1" x14ac:dyDescent="0.35"/>
    <row r="48197" hidden="1" x14ac:dyDescent="0.35"/>
    <row r="48198" hidden="1" x14ac:dyDescent="0.35"/>
    <row r="48199" hidden="1" x14ac:dyDescent="0.35"/>
    <row r="48200" hidden="1" x14ac:dyDescent="0.35"/>
    <row r="48201" hidden="1" x14ac:dyDescent="0.35"/>
    <row r="48202" hidden="1" x14ac:dyDescent="0.35"/>
    <row r="48203" hidden="1" x14ac:dyDescent="0.35"/>
    <row r="48204" hidden="1" x14ac:dyDescent="0.35"/>
    <row r="48205" hidden="1" x14ac:dyDescent="0.35"/>
    <row r="48206" hidden="1" x14ac:dyDescent="0.35"/>
    <row r="48207" hidden="1" x14ac:dyDescent="0.35"/>
    <row r="48208" hidden="1" x14ac:dyDescent="0.35"/>
    <row r="48209" hidden="1" x14ac:dyDescent="0.35"/>
    <row r="48210" hidden="1" x14ac:dyDescent="0.35"/>
    <row r="48211" hidden="1" x14ac:dyDescent="0.35"/>
    <row r="48212" hidden="1" x14ac:dyDescent="0.35"/>
    <row r="48213" hidden="1" x14ac:dyDescent="0.35"/>
    <row r="48214" hidden="1" x14ac:dyDescent="0.35"/>
    <row r="48215" hidden="1" x14ac:dyDescent="0.35"/>
    <row r="48216" hidden="1" x14ac:dyDescent="0.35"/>
    <row r="48217" hidden="1" x14ac:dyDescent="0.35"/>
    <row r="48218" hidden="1" x14ac:dyDescent="0.35"/>
    <row r="48219" hidden="1" x14ac:dyDescent="0.35"/>
    <row r="48220" hidden="1" x14ac:dyDescent="0.35"/>
    <row r="48221" hidden="1" x14ac:dyDescent="0.35"/>
    <row r="48222" hidden="1" x14ac:dyDescent="0.35"/>
    <row r="48223" hidden="1" x14ac:dyDescent="0.35"/>
    <row r="48224" hidden="1" x14ac:dyDescent="0.35"/>
    <row r="48225" hidden="1" x14ac:dyDescent="0.35"/>
    <row r="48226" hidden="1" x14ac:dyDescent="0.35"/>
    <row r="48227" hidden="1" x14ac:dyDescent="0.35"/>
    <row r="48228" hidden="1" x14ac:dyDescent="0.35"/>
    <row r="48229" hidden="1" x14ac:dyDescent="0.35"/>
    <row r="48230" hidden="1" x14ac:dyDescent="0.35"/>
    <row r="48231" hidden="1" x14ac:dyDescent="0.35"/>
    <row r="48232" hidden="1" x14ac:dyDescent="0.35"/>
    <row r="48233" hidden="1" x14ac:dyDescent="0.35"/>
    <row r="48234" hidden="1" x14ac:dyDescent="0.35"/>
    <row r="48235" hidden="1" x14ac:dyDescent="0.35"/>
    <row r="48236" hidden="1" x14ac:dyDescent="0.35"/>
    <row r="48237" hidden="1" x14ac:dyDescent="0.35"/>
    <row r="48238" hidden="1" x14ac:dyDescent="0.35"/>
    <row r="48239" hidden="1" x14ac:dyDescent="0.35"/>
    <row r="48240" hidden="1" x14ac:dyDescent="0.35"/>
    <row r="48241" hidden="1" x14ac:dyDescent="0.35"/>
    <row r="48242" hidden="1" x14ac:dyDescent="0.35"/>
    <row r="48243" hidden="1" x14ac:dyDescent="0.35"/>
    <row r="48244" hidden="1" x14ac:dyDescent="0.35"/>
    <row r="48245" hidden="1" x14ac:dyDescent="0.35"/>
    <row r="48246" hidden="1" x14ac:dyDescent="0.35"/>
    <row r="48247" hidden="1" x14ac:dyDescent="0.35"/>
    <row r="48248" hidden="1" x14ac:dyDescent="0.35"/>
    <row r="48249" hidden="1" x14ac:dyDescent="0.35"/>
    <row r="48250" hidden="1" x14ac:dyDescent="0.35"/>
    <row r="48251" hidden="1" x14ac:dyDescent="0.35"/>
    <row r="48252" hidden="1" x14ac:dyDescent="0.35"/>
    <row r="48253" hidden="1" x14ac:dyDescent="0.35"/>
    <row r="48254" hidden="1" x14ac:dyDescent="0.35"/>
    <row r="48255" hidden="1" x14ac:dyDescent="0.35"/>
    <row r="48256" hidden="1" x14ac:dyDescent="0.35"/>
    <row r="48257" hidden="1" x14ac:dyDescent="0.35"/>
    <row r="48258" hidden="1" x14ac:dyDescent="0.35"/>
    <row r="48259" hidden="1" x14ac:dyDescent="0.35"/>
    <row r="48260" hidden="1" x14ac:dyDescent="0.35"/>
    <row r="48261" hidden="1" x14ac:dyDescent="0.35"/>
    <row r="48262" hidden="1" x14ac:dyDescent="0.35"/>
    <row r="48263" hidden="1" x14ac:dyDescent="0.35"/>
    <row r="48264" hidden="1" x14ac:dyDescent="0.35"/>
    <row r="48265" hidden="1" x14ac:dyDescent="0.35"/>
    <row r="48266" hidden="1" x14ac:dyDescent="0.35"/>
    <row r="48267" hidden="1" x14ac:dyDescent="0.35"/>
    <row r="48268" hidden="1" x14ac:dyDescent="0.35"/>
    <row r="48269" hidden="1" x14ac:dyDescent="0.35"/>
    <row r="48270" hidden="1" x14ac:dyDescent="0.35"/>
    <row r="48271" hidden="1" x14ac:dyDescent="0.35"/>
    <row r="48272" hidden="1" x14ac:dyDescent="0.35"/>
    <row r="48273" hidden="1" x14ac:dyDescent="0.35"/>
    <row r="48274" hidden="1" x14ac:dyDescent="0.35"/>
    <row r="48275" hidden="1" x14ac:dyDescent="0.35"/>
    <row r="48276" hidden="1" x14ac:dyDescent="0.35"/>
    <row r="48277" hidden="1" x14ac:dyDescent="0.35"/>
    <row r="48278" hidden="1" x14ac:dyDescent="0.35"/>
    <row r="48279" hidden="1" x14ac:dyDescent="0.35"/>
    <row r="48280" hidden="1" x14ac:dyDescent="0.35"/>
    <row r="48281" hidden="1" x14ac:dyDescent="0.35"/>
    <row r="48282" hidden="1" x14ac:dyDescent="0.35"/>
    <row r="48283" hidden="1" x14ac:dyDescent="0.35"/>
    <row r="48284" hidden="1" x14ac:dyDescent="0.35"/>
    <row r="48285" hidden="1" x14ac:dyDescent="0.35"/>
    <row r="48286" hidden="1" x14ac:dyDescent="0.35"/>
    <row r="48287" hidden="1" x14ac:dyDescent="0.35"/>
    <row r="48288" hidden="1" x14ac:dyDescent="0.35"/>
    <row r="48289" hidden="1" x14ac:dyDescent="0.35"/>
    <row r="48290" hidden="1" x14ac:dyDescent="0.35"/>
    <row r="48291" hidden="1" x14ac:dyDescent="0.35"/>
    <row r="48292" hidden="1" x14ac:dyDescent="0.35"/>
    <row r="48293" hidden="1" x14ac:dyDescent="0.35"/>
    <row r="48294" hidden="1" x14ac:dyDescent="0.35"/>
    <row r="48295" hidden="1" x14ac:dyDescent="0.35"/>
    <row r="48296" hidden="1" x14ac:dyDescent="0.35"/>
    <row r="48297" hidden="1" x14ac:dyDescent="0.35"/>
    <row r="48298" hidden="1" x14ac:dyDescent="0.35"/>
    <row r="48299" hidden="1" x14ac:dyDescent="0.35"/>
    <row r="48300" hidden="1" x14ac:dyDescent="0.35"/>
    <row r="48301" hidden="1" x14ac:dyDescent="0.35"/>
    <row r="48302" hidden="1" x14ac:dyDescent="0.35"/>
    <row r="48303" hidden="1" x14ac:dyDescent="0.35"/>
    <row r="48304" hidden="1" x14ac:dyDescent="0.35"/>
    <row r="48305" hidden="1" x14ac:dyDescent="0.35"/>
    <row r="48306" hidden="1" x14ac:dyDescent="0.35"/>
    <row r="48307" hidden="1" x14ac:dyDescent="0.35"/>
    <row r="48308" hidden="1" x14ac:dyDescent="0.35"/>
    <row r="48309" hidden="1" x14ac:dyDescent="0.35"/>
    <row r="48310" hidden="1" x14ac:dyDescent="0.35"/>
    <row r="48311" hidden="1" x14ac:dyDescent="0.35"/>
    <row r="48312" hidden="1" x14ac:dyDescent="0.35"/>
    <row r="48313" hidden="1" x14ac:dyDescent="0.35"/>
    <row r="48314" hidden="1" x14ac:dyDescent="0.35"/>
    <row r="48315" hidden="1" x14ac:dyDescent="0.35"/>
    <row r="48316" hidden="1" x14ac:dyDescent="0.35"/>
    <row r="48317" hidden="1" x14ac:dyDescent="0.35"/>
    <row r="48318" hidden="1" x14ac:dyDescent="0.35"/>
    <row r="48319" hidden="1" x14ac:dyDescent="0.35"/>
    <row r="48320" hidden="1" x14ac:dyDescent="0.35"/>
    <row r="48321" hidden="1" x14ac:dyDescent="0.35"/>
    <row r="48322" hidden="1" x14ac:dyDescent="0.35"/>
    <row r="48323" hidden="1" x14ac:dyDescent="0.35"/>
    <row r="48324" hidden="1" x14ac:dyDescent="0.35"/>
    <row r="48325" hidden="1" x14ac:dyDescent="0.35"/>
    <row r="48326" hidden="1" x14ac:dyDescent="0.35"/>
    <row r="48327" hidden="1" x14ac:dyDescent="0.35"/>
    <row r="48328" hidden="1" x14ac:dyDescent="0.35"/>
    <row r="48329" hidden="1" x14ac:dyDescent="0.35"/>
    <row r="48330" hidden="1" x14ac:dyDescent="0.35"/>
    <row r="48331" hidden="1" x14ac:dyDescent="0.35"/>
    <row r="48332" hidden="1" x14ac:dyDescent="0.35"/>
    <row r="48333" hidden="1" x14ac:dyDescent="0.35"/>
    <row r="48334" hidden="1" x14ac:dyDescent="0.35"/>
    <row r="48335" hidden="1" x14ac:dyDescent="0.35"/>
    <row r="48336" hidden="1" x14ac:dyDescent="0.35"/>
    <row r="48337" hidden="1" x14ac:dyDescent="0.35"/>
    <row r="48338" hidden="1" x14ac:dyDescent="0.35"/>
    <row r="48339" hidden="1" x14ac:dyDescent="0.35"/>
    <row r="48340" hidden="1" x14ac:dyDescent="0.35"/>
    <row r="48341" hidden="1" x14ac:dyDescent="0.35"/>
    <row r="48342" hidden="1" x14ac:dyDescent="0.35"/>
    <row r="48343" hidden="1" x14ac:dyDescent="0.35"/>
    <row r="48344" hidden="1" x14ac:dyDescent="0.35"/>
    <row r="48345" hidden="1" x14ac:dyDescent="0.35"/>
    <row r="48346" hidden="1" x14ac:dyDescent="0.35"/>
    <row r="48347" hidden="1" x14ac:dyDescent="0.35"/>
    <row r="48348" hidden="1" x14ac:dyDescent="0.35"/>
    <row r="48349" hidden="1" x14ac:dyDescent="0.35"/>
    <row r="48350" hidden="1" x14ac:dyDescent="0.35"/>
    <row r="48351" hidden="1" x14ac:dyDescent="0.35"/>
    <row r="48352" hidden="1" x14ac:dyDescent="0.35"/>
    <row r="48353" hidden="1" x14ac:dyDescent="0.35"/>
    <row r="48354" hidden="1" x14ac:dyDescent="0.35"/>
    <row r="48355" hidden="1" x14ac:dyDescent="0.35"/>
    <row r="48356" hidden="1" x14ac:dyDescent="0.35"/>
    <row r="48357" hidden="1" x14ac:dyDescent="0.35"/>
    <row r="48358" hidden="1" x14ac:dyDescent="0.35"/>
    <row r="48359" hidden="1" x14ac:dyDescent="0.35"/>
    <row r="48360" hidden="1" x14ac:dyDescent="0.35"/>
    <row r="48361" hidden="1" x14ac:dyDescent="0.35"/>
    <row r="48362" hidden="1" x14ac:dyDescent="0.35"/>
    <row r="48363" hidden="1" x14ac:dyDescent="0.35"/>
    <row r="48364" hidden="1" x14ac:dyDescent="0.35"/>
    <row r="48365" hidden="1" x14ac:dyDescent="0.35"/>
    <row r="48366" hidden="1" x14ac:dyDescent="0.35"/>
    <row r="48367" hidden="1" x14ac:dyDescent="0.35"/>
    <row r="48368" hidden="1" x14ac:dyDescent="0.35"/>
    <row r="48369" hidden="1" x14ac:dyDescent="0.35"/>
    <row r="48370" hidden="1" x14ac:dyDescent="0.35"/>
    <row r="48371" hidden="1" x14ac:dyDescent="0.35"/>
    <row r="48372" hidden="1" x14ac:dyDescent="0.35"/>
    <row r="48373" hidden="1" x14ac:dyDescent="0.35"/>
    <row r="48374" hidden="1" x14ac:dyDescent="0.35"/>
    <row r="48375" hidden="1" x14ac:dyDescent="0.35"/>
    <row r="48376" hidden="1" x14ac:dyDescent="0.35"/>
    <row r="48377" hidden="1" x14ac:dyDescent="0.35"/>
    <row r="48378" hidden="1" x14ac:dyDescent="0.35"/>
    <row r="48379" hidden="1" x14ac:dyDescent="0.35"/>
    <row r="48380" hidden="1" x14ac:dyDescent="0.35"/>
    <row r="48381" hidden="1" x14ac:dyDescent="0.35"/>
    <row r="48382" hidden="1" x14ac:dyDescent="0.35"/>
    <row r="48383" hidden="1" x14ac:dyDescent="0.35"/>
    <row r="48384" hidden="1" x14ac:dyDescent="0.35"/>
    <row r="48385" hidden="1" x14ac:dyDescent="0.35"/>
    <row r="48386" hidden="1" x14ac:dyDescent="0.35"/>
    <row r="48387" hidden="1" x14ac:dyDescent="0.35"/>
    <row r="48388" hidden="1" x14ac:dyDescent="0.35"/>
    <row r="48389" hidden="1" x14ac:dyDescent="0.35"/>
    <row r="48390" hidden="1" x14ac:dyDescent="0.35"/>
    <row r="48391" hidden="1" x14ac:dyDescent="0.35"/>
    <row r="48392" hidden="1" x14ac:dyDescent="0.35"/>
    <row r="48393" hidden="1" x14ac:dyDescent="0.35"/>
    <row r="48394" hidden="1" x14ac:dyDescent="0.35"/>
    <row r="48395" hidden="1" x14ac:dyDescent="0.35"/>
    <row r="48396" hidden="1" x14ac:dyDescent="0.35"/>
    <row r="48397" hidden="1" x14ac:dyDescent="0.35"/>
    <row r="48398" hidden="1" x14ac:dyDescent="0.35"/>
    <row r="48399" hidden="1" x14ac:dyDescent="0.35"/>
    <row r="48400" hidden="1" x14ac:dyDescent="0.35"/>
    <row r="48401" hidden="1" x14ac:dyDescent="0.35"/>
    <row r="48402" hidden="1" x14ac:dyDescent="0.35"/>
    <row r="48403" hidden="1" x14ac:dyDescent="0.35"/>
    <row r="48404" hidden="1" x14ac:dyDescent="0.35"/>
    <row r="48405" hidden="1" x14ac:dyDescent="0.35"/>
    <row r="48406" hidden="1" x14ac:dyDescent="0.35"/>
    <row r="48407" hidden="1" x14ac:dyDescent="0.35"/>
    <row r="48408" hidden="1" x14ac:dyDescent="0.35"/>
    <row r="48409" hidden="1" x14ac:dyDescent="0.35"/>
    <row r="48410" hidden="1" x14ac:dyDescent="0.35"/>
    <row r="48411" hidden="1" x14ac:dyDescent="0.35"/>
    <row r="48412" hidden="1" x14ac:dyDescent="0.35"/>
    <row r="48413" hidden="1" x14ac:dyDescent="0.35"/>
    <row r="48414" hidden="1" x14ac:dyDescent="0.35"/>
    <row r="48415" hidden="1" x14ac:dyDescent="0.35"/>
    <row r="48416" hidden="1" x14ac:dyDescent="0.35"/>
    <row r="48417" hidden="1" x14ac:dyDescent="0.35"/>
    <row r="48418" hidden="1" x14ac:dyDescent="0.35"/>
    <row r="48419" hidden="1" x14ac:dyDescent="0.35"/>
    <row r="48420" hidden="1" x14ac:dyDescent="0.35"/>
    <row r="48421" hidden="1" x14ac:dyDescent="0.35"/>
    <row r="48422" hidden="1" x14ac:dyDescent="0.35"/>
    <row r="48423" hidden="1" x14ac:dyDescent="0.35"/>
    <row r="48424" hidden="1" x14ac:dyDescent="0.35"/>
    <row r="48425" hidden="1" x14ac:dyDescent="0.35"/>
    <row r="48426" hidden="1" x14ac:dyDescent="0.35"/>
    <row r="48427" hidden="1" x14ac:dyDescent="0.35"/>
    <row r="48428" hidden="1" x14ac:dyDescent="0.35"/>
    <row r="48429" hidden="1" x14ac:dyDescent="0.35"/>
    <row r="48430" hidden="1" x14ac:dyDescent="0.35"/>
    <row r="48431" hidden="1" x14ac:dyDescent="0.35"/>
    <row r="48432" hidden="1" x14ac:dyDescent="0.35"/>
    <row r="48433" hidden="1" x14ac:dyDescent="0.35"/>
    <row r="48434" hidden="1" x14ac:dyDescent="0.35"/>
    <row r="48435" hidden="1" x14ac:dyDescent="0.35"/>
    <row r="48436" hidden="1" x14ac:dyDescent="0.35"/>
    <row r="48437" hidden="1" x14ac:dyDescent="0.35"/>
    <row r="48438" hidden="1" x14ac:dyDescent="0.35"/>
    <row r="48439" hidden="1" x14ac:dyDescent="0.35"/>
    <row r="48440" hidden="1" x14ac:dyDescent="0.35"/>
    <row r="48441" hidden="1" x14ac:dyDescent="0.35"/>
    <row r="48442" hidden="1" x14ac:dyDescent="0.35"/>
    <row r="48443" hidden="1" x14ac:dyDescent="0.35"/>
    <row r="48444" hidden="1" x14ac:dyDescent="0.35"/>
    <row r="48445" hidden="1" x14ac:dyDescent="0.35"/>
    <row r="48446" hidden="1" x14ac:dyDescent="0.35"/>
    <row r="48447" hidden="1" x14ac:dyDescent="0.35"/>
    <row r="48448" hidden="1" x14ac:dyDescent="0.35"/>
    <row r="48449" hidden="1" x14ac:dyDescent="0.35"/>
    <row r="48450" hidden="1" x14ac:dyDescent="0.35"/>
    <row r="48451" hidden="1" x14ac:dyDescent="0.35"/>
    <row r="48452" hidden="1" x14ac:dyDescent="0.35"/>
    <row r="48453" hidden="1" x14ac:dyDescent="0.35"/>
    <row r="48454" hidden="1" x14ac:dyDescent="0.35"/>
    <row r="48455" hidden="1" x14ac:dyDescent="0.35"/>
    <row r="48456" hidden="1" x14ac:dyDescent="0.35"/>
    <row r="48457" hidden="1" x14ac:dyDescent="0.35"/>
    <row r="48458" hidden="1" x14ac:dyDescent="0.35"/>
    <row r="48459" hidden="1" x14ac:dyDescent="0.35"/>
    <row r="48460" hidden="1" x14ac:dyDescent="0.35"/>
    <row r="48461" hidden="1" x14ac:dyDescent="0.35"/>
    <row r="48462" hidden="1" x14ac:dyDescent="0.35"/>
    <row r="48463" hidden="1" x14ac:dyDescent="0.35"/>
    <row r="48464" hidden="1" x14ac:dyDescent="0.35"/>
    <row r="48465" hidden="1" x14ac:dyDescent="0.35"/>
    <row r="48466" hidden="1" x14ac:dyDescent="0.35"/>
    <row r="48467" hidden="1" x14ac:dyDescent="0.35"/>
    <row r="48468" hidden="1" x14ac:dyDescent="0.35"/>
    <row r="48469" hidden="1" x14ac:dyDescent="0.35"/>
    <row r="48470" hidden="1" x14ac:dyDescent="0.35"/>
    <row r="48471" hidden="1" x14ac:dyDescent="0.35"/>
    <row r="48472" hidden="1" x14ac:dyDescent="0.35"/>
    <row r="48473" hidden="1" x14ac:dyDescent="0.35"/>
    <row r="48474" hidden="1" x14ac:dyDescent="0.35"/>
    <row r="48475" hidden="1" x14ac:dyDescent="0.35"/>
    <row r="48476" hidden="1" x14ac:dyDescent="0.35"/>
    <row r="48477" hidden="1" x14ac:dyDescent="0.35"/>
    <row r="48478" hidden="1" x14ac:dyDescent="0.35"/>
    <row r="48479" hidden="1" x14ac:dyDescent="0.35"/>
    <row r="48480" hidden="1" x14ac:dyDescent="0.35"/>
    <row r="48481" hidden="1" x14ac:dyDescent="0.35"/>
    <row r="48482" hidden="1" x14ac:dyDescent="0.35"/>
    <row r="48483" hidden="1" x14ac:dyDescent="0.35"/>
    <row r="48484" hidden="1" x14ac:dyDescent="0.35"/>
    <row r="48485" hidden="1" x14ac:dyDescent="0.35"/>
    <row r="48486" hidden="1" x14ac:dyDescent="0.35"/>
    <row r="48487" hidden="1" x14ac:dyDescent="0.35"/>
    <row r="48488" hidden="1" x14ac:dyDescent="0.35"/>
    <row r="48489" hidden="1" x14ac:dyDescent="0.35"/>
    <row r="48490" hidden="1" x14ac:dyDescent="0.35"/>
    <row r="48491" hidden="1" x14ac:dyDescent="0.35"/>
    <row r="48492" hidden="1" x14ac:dyDescent="0.35"/>
    <row r="48493" hidden="1" x14ac:dyDescent="0.35"/>
    <row r="48494" hidden="1" x14ac:dyDescent="0.35"/>
    <row r="48495" hidden="1" x14ac:dyDescent="0.35"/>
    <row r="48496" hidden="1" x14ac:dyDescent="0.35"/>
    <row r="48497" hidden="1" x14ac:dyDescent="0.35"/>
    <row r="48498" hidden="1" x14ac:dyDescent="0.35"/>
    <row r="48499" hidden="1" x14ac:dyDescent="0.35"/>
    <row r="48500" hidden="1" x14ac:dyDescent="0.35"/>
    <row r="48501" hidden="1" x14ac:dyDescent="0.35"/>
    <row r="48502" hidden="1" x14ac:dyDescent="0.35"/>
    <row r="48503" hidden="1" x14ac:dyDescent="0.35"/>
    <row r="48504" hidden="1" x14ac:dyDescent="0.35"/>
    <row r="48505" hidden="1" x14ac:dyDescent="0.35"/>
    <row r="48506" hidden="1" x14ac:dyDescent="0.35"/>
    <row r="48507" hidden="1" x14ac:dyDescent="0.35"/>
    <row r="48508" hidden="1" x14ac:dyDescent="0.35"/>
    <row r="48509" hidden="1" x14ac:dyDescent="0.35"/>
    <row r="48510" hidden="1" x14ac:dyDescent="0.35"/>
    <row r="48511" hidden="1" x14ac:dyDescent="0.35"/>
    <row r="48512" hidden="1" x14ac:dyDescent="0.35"/>
    <row r="48513" hidden="1" x14ac:dyDescent="0.35"/>
    <row r="48514" hidden="1" x14ac:dyDescent="0.35"/>
    <row r="48515" hidden="1" x14ac:dyDescent="0.35"/>
    <row r="48516" hidden="1" x14ac:dyDescent="0.35"/>
    <row r="48517" hidden="1" x14ac:dyDescent="0.35"/>
    <row r="48518" hidden="1" x14ac:dyDescent="0.35"/>
    <row r="48519" hidden="1" x14ac:dyDescent="0.35"/>
    <row r="48520" hidden="1" x14ac:dyDescent="0.35"/>
    <row r="48521" hidden="1" x14ac:dyDescent="0.35"/>
    <row r="48522" hidden="1" x14ac:dyDescent="0.35"/>
    <row r="48523" hidden="1" x14ac:dyDescent="0.35"/>
    <row r="48524" hidden="1" x14ac:dyDescent="0.35"/>
    <row r="48525" hidden="1" x14ac:dyDescent="0.35"/>
    <row r="48526" hidden="1" x14ac:dyDescent="0.35"/>
    <row r="48527" hidden="1" x14ac:dyDescent="0.35"/>
    <row r="48528" hidden="1" x14ac:dyDescent="0.35"/>
    <row r="48529" hidden="1" x14ac:dyDescent="0.35"/>
    <row r="48530" hidden="1" x14ac:dyDescent="0.35"/>
    <row r="48531" hidden="1" x14ac:dyDescent="0.35"/>
    <row r="48532" hidden="1" x14ac:dyDescent="0.35"/>
    <row r="48533" hidden="1" x14ac:dyDescent="0.35"/>
    <row r="48534" hidden="1" x14ac:dyDescent="0.35"/>
    <row r="48535" hidden="1" x14ac:dyDescent="0.35"/>
    <row r="48536" hidden="1" x14ac:dyDescent="0.35"/>
    <row r="48537" hidden="1" x14ac:dyDescent="0.35"/>
    <row r="48538" hidden="1" x14ac:dyDescent="0.35"/>
    <row r="48539" hidden="1" x14ac:dyDescent="0.35"/>
    <row r="48540" hidden="1" x14ac:dyDescent="0.35"/>
    <row r="48541" hidden="1" x14ac:dyDescent="0.35"/>
    <row r="48542" hidden="1" x14ac:dyDescent="0.35"/>
    <row r="48543" hidden="1" x14ac:dyDescent="0.35"/>
    <row r="48544" hidden="1" x14ac:dyDescent="0.35"/>
    <row r="48545" hidden="1" x14ac:dyDescent="0.35"/>
    <row r="48546" hidden="1" x14ac:dyDescent="0.35"/>
    <row r="48547" hidden="1" x14ac:dyDescent="0.35"/>
    <row r="48548" hidden="1" x14ac:dyDescent="0.35"/>
    <row r="48549" hidden="1" x14ac:dyDescent="0.35"/>
    <row r="48550" hidden="1" x14ac:dyDescent="0.35"/>
    <row r="48551" hidden="1" x14ac:dyDescent="0.35"/>
    <row r="48552" hidden="1" x14ac:dyDescent="0.35"/>
    <row r="48553" hidden="1" x14ac:dyDescent="0.35"/>
    <row r="48554" hidden="1" x14ac:dyDescent="0.35"/>
    <row r="48555" hidden="1" x14ac:dyDescent="0.35"/>
    <row r="48556" hidden="1" x14ac:dyDescent="0.35"/>
    <row r="48557" hidden="1" x14ac:dyDescent="0.35"/>
    <row r="48558" hidden="1" x14ac:dyDescent="0.35"/>
    <row r="48559" hidden="1" x14ac:dyDescent="0.35"/>
    <row r="48560" hidden="1" x14ac:dyDescent="0.35"/>
    <row r="48561" hidden="1" x14ac:dyDescent="0.35"/>
    <row r="48562" hidden="1" x14ac:dyDescent="0.35"/>
    <row r="48563" hidden="1" x14ac:dyDescent="0.35"/>
    <row r="48564" hidden="1" x14ac:dyDescent="0.35"/>
    <row r="48565" hidden="1" x14ac:dyDescent="0.35"/>
    <row r="48566" hidden="1" x14ac:dyDescent="0.35"/>
    <row r="48567" hidden="1" x14ac:dyDescent="0.35"/>
    <row r="48568" hidden="1" x14ac:dyDescent="0.35"/>
    <row r="48569" hidden="1" x14ac:dyDescent="0.35"/>
    <row r="48570" hidden="1" x14ac:dyDescent="0.35"/>
    <row r="48571" hidden="1" x14ac:dyDescent="0.35"/>
    <row r="48572" hidden="1" x14ac:dyDescent="0.35"/>
    <row r="48573" hidden="1" x14ac:dyDescent="0.35"/>
    <row r="48574" hidden="1" x14ac:dyDescent="0.35"/>
    <row r="48575" hidden="1" x14ac:dyDescent="0.35"/>
    <row r="48576" hidden="1" x14ac:dyDescent="0.35"/>
    <row r="48577" hidden="1" x14ac:dyDescent="0.35"/>
    <row r="48578" hidden="1" x14ac:dyDescent="0.35"/>
    <row r="48579" hidden="1" x14ac:dyDescent="0.35"/>
    <row r="48580" hidden="1" x14ac:dyDescent="0.35"/>
    <row r="48581" hidden="1" x14ac:dyDescent="0.35"/>
    <row r="48582" hidden="1" x14ac:dyDescent="0.35"/>
    <row r="48583" hidden="1" x14ac:dyDescent="0.35"/>
    <row r="48584" hidden="1" x14ac:dyDescent="0.35"/>
    <row r="48585" hidden="1" x14ac:dyDescent="0.35"/>
    <row r="48586" hidden="1" x14ac:dyDescent="0.35"/>
    <row r="48587" hidden="1" x14ac:dyDescent="0.35"/>
    <row r="48588" hidden="1" x14ac:dyDescent="0.35"/>
    <row r="48589" hidden="1" x14ac:dyDescent="0.35"/>
    <row r="48590" hidden="1" x14ac:dyDescent="0.35"/>
    <row r="48591" hidden="1" x14ac:dyDescent="0.35"/>
    <row r="48592" hidden="1" x14ac:dyDescent="0.35"/>
    <row r="48593" hidden="1" x14ac:dyDescent="0.35"/>
    <row r="48594" hidden="1" x14ac:dyDescent="0.35"/>
    <row r="48595" hidden="1" x14ac:dyDescent="0.35"/>
    <row r="48596" hidden="1" x14ac:dyDescent="0.35"/>
    <row r="48597" hidden="1" x14ac:dyDescent="0.35"/>
    <row r="48598" hidden="1" x14ac:dyDescent="0.35"/>
    <row r="48599" hidden="1" x14ac:dyDescent="0.35"/>
    <row r="48600" hidden="1" x14ac:dyDescent="0.35"/>
    <row r="48601" hidden="1" x14ac:dyDescent="0.35"/>
    <row r="48602" hidden="1" x14ac:dyDescent="0.35"/>
    <row r="48603" hidden="1" x14ac:dyDescent="0.35"/>
    <row r="48604" hidden="1" x14ac:dyDescent="0.35"/>
    <row r="48605" hidden="1" x14ac:dyDescent="0.35"/>
    <row r="48606" hidden="1" x14ac:dyDescent="0.35"/>
    <row r="48607" hidden="1" x14ac:dyDescent="0.35"/>
    <row r="48608" hidden="1" x14ac:dyDescent="0.35"/>
    <row r="48609" hidden="1" x14ac:dyDescent="0.35"/>
    <row r="48610" hidden="1" x14ac:dyDescent="0.35"/>
    <row r="48611" hidden="1" x14ac:dyDescent="0.35"/>
    <row r="48612" hidden="1" x14ac:dyDescent="0.35"/>
    <row r="48613" hidden="1" x14ac:dyDescent="0.35"/>
    <row r="48614" hidden="1" x14ac:dyDescent="0.35"/>
    <row r="48615" hidden="1" x14ac:dyDescent="0.35"/>
    <row r="48616" hidden="1" x14ac:dyDescent="0.35"/>
    <row r="48617" hidden="1" x14ac:dyDescent="0.35"/>
    <row r="48618" hidden="1" x14ac:dyDescent="0.35"/>
    <row r="48619" hidden="1" x14ac:dyDescent="0.35"/>
    <row r="48620" hidden="1" x14ac:dyDescent="0.35"/>
    <row r="48621" hidden="1" x14ac:dyDescent="0.35"/>
    <row r="48622" hidden="1" x14ac:dyDescent="0.35"/>
    <row r="48623" hidden="1" x14ac:dyDescent="0.35"/>
    <row r="48624" hidden="1" x14ac:dyDescent="0.35"/>
    <row r="48625" hidden="1" x14ac:dyDescent="0.35"/>
    <row r="48626" hidden="1" x14ac:dyDescent="0.35"/>
    <row r="48627" hidden="1" x14ac:dyDescent="0.35"/>
    <row r="48628" hidden="1" x14ac:dyDescent="0.35"/>
    <row r="48629" hidden="1" x14ac:dyDescent="0.35"/>
    <row r="48630" hidden="1" x14ac:dyDescent="0.35"/>
    <row r="48631" hidden="1" x14ac:dyDescent="0.35"/>
    <row r="48632" hidden="1" x14ac:dyDescent="0.35"/>
    <row r="48633" hidden="1" x14ac:dyDescent="0.35"/>
    <row r="48634" hidden="1" x14ac:dyDescent="0.35"/>
    <row r="48635" hidden="1" x14ac:dyDescent="0.35"/>
    <row r="48636" hidden="1" x14ac:dyDescent="0.35"/>
    <row r="48637" hidden="1" x14ac:dyDescent="0.35"/>
    <row r="48638" hidden="1" x14ac:dyDescent="0.35"/>
    <row r="48639" hidden="1" x14ac:dyDescent="0.35"/>
    <row r="48640" hidden="1" x14ac:dyDescent="0.35"/>
    <row r="48641" hidden="1" x14ac:dyDescent="0.35"/>
    <row r="48642" hidden="1" x14ac:dyDescent="0.35"/>
    <row r="48643" hidden="1" x14ac:dyDescent="0.35"/>
    <row r="48644" hidden="1" x14ac:dyDescent="0.35"/>
    <row r="48645" hidden="1" x14ac:dyDescent="0.35"/>
    <row r="48646" hidden="1" x14ac:dyDescent="0.35"/>
    <row r="48647" hidden="1" x14ac:dyDescent="0.35"/>
    <row r="48648" hidden="1" x14ac:dyDescent="0.35"/>
    <row r="48649" hidden="1" x14ac:dyDescent="0.35"/>
    <row r="48650" hidden="1" x14ac:dyDescent="0.35"/>
    <row r="48651" hidden="1" x14ac:dyDescent="0.35"/>
    <row r="48652" hidden="1" x14ac:dyDescent="0.35"/>
    <row r="48653" hidden="1" x14ac:dyDescent="0.35"/>
    <row r="48654" hidden="1" x14ac:dyDescent="0.35"/>
    <row r="48655" hidden="1" x14ac:dyDescent="0.35"/>
    <row r="48656" hidden="1" x14ac:dyDescent="0.35"/>
    <row r="48657" hidden="1" x14ac:dyDescent="0.35"/>
    <row r="48658" hidden="1" x14ac:dyDescent="0.35"/>
    <row r="48659" hidden="1" x14ac:dyDescent="0.35"/>
    <row r="48660" hidden="1" x14ac:dyDescent="0.35"/>
    <row r="48661" hidden="1" x14ac:dyDescent="0.35"/>
    <row r="48662" hidden="1" x14ac:dyDescent="0.35"/>
    <row r="48663" hidden="1" x14ac:dyDescent="0.35"/>
    <row r="48664" hidden="1" x14ac:dyDescent="0.35"/>
    <row r="48665" hidden="1" x14ac:dyDescent="0.35"/>
    <row r="48666" hidden="1" x14ac:dyDescent="0.35"/>
    <row r="48667" hidden="1" x14ac:dyDescent="0.35"/>
    <row r="48668" hidden="1" x14ac:dyDescent="0.35"/>
    <row r="48669" hidden="1" x14ac:dyDescent="0.35"/>
    <row r="48670" hidden="1" x14ac:dyDescent="0.35"/>
    <row r="48671" hidden="1" x14ac:dyDescent="0.35"/>
    <row r="48672" hidden="1" x14ac:dyDescent="0.35"/>
    <row r="48673" hidden="1" x14ac:dyDescent="0.35"/>
    <row r="48674" hidden="1" x14ac:dyDescent="0.35"/>
    <row r="48675" hidden="1" x14ac:dyDescent="0.35"/>
    <row r="48676" hidden="1" x14ac:dyDescent="0.35"/>
    <row r="48677" hidden="1" x14ac:dyDescent="0.35"/>
    <row r="48678" hidden="1" x14ac:dyDescent="0.35"/>
    <row r="48679" hidden="1" x14ac:dyDescent="0.35"/>
    <row r="48680" hidden="1" x14ac:dyDescent="0.35"/>
    <row r="48681" hidden="1" x14ac:dyDescent="0.35"/>
    <row r="48682" hidden="1" x14ac:dyDescent="0.35"/>
    <row r="48683" hidden="1" x14ac:dyDescent="0.35"/>
    <row r="48684" hidden="1" x14ac:dyDescent="0.35"/>
    <row r="48685" hidden="1" x14ac:dyDescent="0.35"/>
    <row r="48686" hidden="1" x14ac:dyDescent="0.35"/>
    <row r="48687" hidden="1" x14ac:dyDescent="0.35"/>
    <row r="48688" hidden="1" x14ac:dyDescent="0.35"/>
    <row r="48689" hidden="1" x14ac:dyDescent="0.35"/>
    <row r="48690" hidden="1" x14ac:dyDescent="0.35"/>
    <row r="48691" hidden="1" x14ac:dyDescent="0.35"/>
    <row r="48692" hidden="1" x14ac:dyDescent="0.35"/>
    <row r="48693" hidden="1" x14ac:dyDescent="0.35"/>
    <row r="48694" hidden="1" x14ac:dyDescent="0.35"/>
    <row r="48695" hidden="1" x14ac:dyDescent="0.35"/>
    <row r="48696" hidden="1" x14ac:dyDescent="0.35"/>
    <row r="48697" hidden="1" x14ac:dyDescent="0.35"/>
    <row r="48698" hidden="1" x14ac:dyDescent="0.35"/>
    <row r="48699" hidden="1" x14ac:dyDescent="0.35"/>
    <row r="48700" hidden="1" x14ac:dyDescent="0.35"/>
    <row r="48701" hidden="1" x14ac:dyDescent="0.35"/>
    <row r="48702" hidden="1" x14ac:dyDescent="0.35"/>
    <row r="48703" hidden="1" x14ac:dyDescent="0.35"/>
    <row r="48704" hidden="1" x14ac:dyDescent="0.35"/>
    <row r="48705" hidden="1" x14ac:dyDescent="0.35"/>
    <row r="48706" hidden="1" x14ac:dyDescent="0.35"/>
    <row r="48707" hidden="1" x14ac:dyDescent="0.35"/>
    <row r="48708" hidden="1" x14ac:dyDescent="0.35"/>
    <row r="48709" hidden="1" x14ac:dyDescent="0.35"/>
    <row r="48710" hidden="1" x14ac:dyDescent="0.35"/>
    <row r="48711" hidden="1" x14ac:dyDescent="0.35"/>
    <row r="48712" hidden="1" x14ac:dyDescent="0.35"/>
    <row r="48713" hidden="1" x14ac:dyDescent="0.35"/>
    <row r="48714" hidden="1" x14ac:dyDescent="0.35"/>
    <row r="48715" hidden="1" x14ac:dyDescent="0.35"/>
    <row r="48716" hidden="1" x14ac:dyDescent="0.35"/>
    <row r="48717" hidden="1" x14ac:dyDescent="0.35"/>
    <row r="48718" hidden="1" x14ac:dyDescent="0.35"/>
    <row r="48719" hidden="1" x14ac:dyDescent="0.35"/>
    <row r="48720" hidden="1" x14ac:dyDescent="0.35"/>
    <row r="48721" hidden="1" x14ac:dyDescent="0.35"/>
    <row r="48722" hidden="1" x14ac:dyDescent="0.35"/>
    <row r="48723" hidden="1" x14ac:dyDescent="0.35"/>
    <row r="48724" hidden="1" x14ac:dyDescent="0.35"/>
    <row r="48725" hidden="1" x14ac:dyDescent="0.35"/>
    <row r="48726" hidden="1" x14ac:dyDescent="0.35"/>
    <row r="48727" hidden="1" x14ac:dyDescent="0.35"/>
    <row r="48728" hidden="1" x14ac:dyDescent="0.35"/>
    <row r="48729" hidden="1" x14ac:dyDescent="0.35"/>
    <row r="48730" hidden="1" x14ac:dyDescent="0.35"/>
    <row r="48731" hidden="1" x14ac:dyDescent="0.35"/>
    <row r="48732" hidden="1" x14ac:dyDescent="0.35"/>
    <row r="48733" hidden="1" x14ac:dyDescent="0.35"/>
    <row r="48734" hidden="1" x14ac:dyDescent="0.35"/>
    <row r="48735" hidden="1" x14ac:dyDescent="0.35"/>
    <row r="48736" hidden="1" x14ac:dyDescent="0.35"/>
    <row r="48737" hidden="1" x14ac:dyDescent="0.35"/>
    <row r="48738" hidden="1" x14ac:dyDescent="0.35"/>
    <row r="48739" hidden="1" x14ac:dyDescent="0.35"/>
    <row r="48740" hidden="1" x14ac:dyDescent="0.35"/>
    <row r="48741" hidden="1" x14ac:dyDescent="0.35"/>
    <row r="48742" hidden="1" x14ac:dyDescent="0.35"/>
    <row r="48743" hidden="1" x14ac:dyDescent="0.35"/>
    <row r="48744" hidden="1" x14ac:dyDescent="0.35"/>
    <row r="48745" hidden="1" x14ac:dyDescent="0.35"/>
    <row r="48746" hidden="1" x14ac:dyDescent="0.35"/>
    <row r="48747" hidden="1" x14ac:dyDescent="0.35"/>
    <row r="48748" hidden="1" x14ac:dyDescent="0.35"/>
    <row r="48749" hidden="1" x14ac:dyDescent="0.35"/>
    <row r="48750" hidden="1" x14ac:dyDescent="0.35"/>
    <row r="48751" hidden="1" x14ac:dyDescent="0.35"/>
    <row r="48752" hidden="1" x14ac:dyDescent="0.35"/>
    <row r="48753" hidden="1" x14ac:dyDescent="0.35"/>
    <row r="48754" hidden="1" x14ac:dyDescent="0.35"/>
    <row r="48755" hidden="1" x14ac:dyDescent="0.35"/>
    <row r="48756" hidden="1" x14ac:dyDescent="0.35"/>
    <row r="48757" hidden="1" x14ac:dyDescent="0.35"/>
    <row r="48758" hidden="1" x14ac:dyDescent="0.35"/>
    <row r="48759" hidden="1" x14ac:dyDescent="0.35"/>
    <row r="48760" hidden="1" x14ac:dyDescent="0.35"/>
    <row r="48761" hidden="1" x14ac:dyDescent="0.35"/>
    <row r="48762" hidden="1" x14ac:dyDescent="0.35"/>
    <row r="48763" hidden="1" x14ac:dyDescent="0.35"/>
    <row r="48764" hidden="1" x14ac:dyDescent="0.35"/>
    <row r="48765" hidden="1" x14ac:dyDescent="0.35"/>
    <row r="48766" hidden="1" x14ac:dyDescent="0.35"/>
    <row r="48767" hidden="1" x14ac:dyDescent="0.35"/>
    <row r="48768" hidden="1" x14ac:dyDescent="0.35"/>
    <row r="48769" hidden="1" x14ac:dyDescent="0.35"/>
    <row r="48770" hidden="1" x14ac:dyDescent="0.35"/>
    <row r="48771" hidden="1" x14ac:dyDescent="0.35"/>
    <row r="48772" hidden="1" x14ac:dyDescent="0.35"/>
    <row r="48773" hidden="1" x14ac:dyDescent="0.35"/>
    <row r="48774" hidden="1" x14ac:dyDescent="0.35"/>
    <row r="48775" hidden="1" x14ac:dyDescent="0.35"/>
    <row r="48776" hidden="1" x14ac:dyDescent="0.35"/>
    <row r="48777" hidden="1" x14ac:dyDescent="0.35"/>
    <row r="48778" hidden="1" x14ac:dyDescent="0.35"/>
    <row r="48779" hidden="1" x14ac:dyDescent="0.35"/>
    <row r="48780" hidden="1" x14ac:dyDescent="0.35"/>
    <row r="48781" hidden="1" x14ac:dyDescent="0.35"/>
    <row r="48782" hidden="1" x14ac:dyDescent="0.35"/>
    <row r="48783" hidden="1" x14ac:dyDescent="0.35"/>
    <row r="48784" hidden="1" x14ac:dyDescent="0.35"/>
    <row r="48785" hidden="1" x14ac:dyDescent="0.35"/>
    <row r="48786" hidden="1" x14ac:dyDescent="0.35"/>
    <row r="48787" hidden="1" x14ac:dyDescent="0.35"/>
    <row r="48788" hidden="1" x14ac:dyDescent="0.35"/>
    <row r="48789" hidden="1" x14ac:dyDescent="0.35"/>
    <row r="48790" hidden="1" x14ac:dyDescent="0.35"/>
    <row r="48791" hidden="1" x14ac:dyDescent="0.35"/>
    <row r="48792" hidden="1" x14ac:dyDescent="0.35"/>
    <row r="48793" hidden="1" x14ac:dyDescent="0.35"/>
    <row r="48794" hidden="1" x14ac:dyDescent="0.35"/>
    <row r="48795" hidden="1" x14ac:dyDescent="0.35"/>
    <row r="48796" hidden="1" x14ac:dyDescent="0.35"/>
    <row r="48797" hidden="1" x14ac:dyDescent="0.35"/>
    <row r="48798" hidden="1" x14ac:dyDescent="0.35"/>
    <row r="48799" hidden="1" x14ac:dyDescent="0.35"/>
    <row r="48800" hidden="1" x14ac:dyDescent="0.35"/>
    <row r="48801" hidden="1" x14ac:dyDescent="0.35"/>
    <row r="48802" hidden="1" x14ac:dyDescent="0.35"/>
    <row r="48803" hidden="1" x14ac:dyDescent="0.35"/>
    <row r="48804" hidden="1" x14ac:dyDescent="0.35"/>
    <row r="48805" hidden="1" x14ac:dyDescent="0.35"/>
    <row r="48806" hidden="1" x14ac:dyDescent="0.35"/>
    <row r="48807" hidden="1" x14ac:dyDescent="0.35"/>
    <row r="48808" hidden="1" x14ac:dyDescent="0.35"/>
    <row r="48809" hidden="1" x14ac:dyDescent="0.35"/>
    <row r="48810" hidden="1" x14ac:dyDescent="0.35"/>
    <row r="48811" hidden="1" x14ac:dyDescent="0.35"/>
    <row r="48812" hidden="1" x14ac:dyDescent="0.35"/>
    <row r="48813" hidden="1" x14ac:dyDescent="0.35"/>
    <row r="48814" hidden="1" x14ac:dyDescent="0.35"/>
    <row r="48815" hidden="1" x14ac:dyDescent="0.35"/>
    <row r="48816" hidden="1" x14ac:dyDescent="0.35"/>
    <row r="48817" hidden="1" x14ac:dyDescent="0.35"/>
    <row r="48818" hidden="1" x14ac:dyDescent="0.35"/>
    <row r="48819" hidden="1" x14ac:dyDescent="0.35"/>
    <row r="48820" hidden="1" x14ac:dyDescent="0.35"/>
    <row r="48821" hidden="1" x14ac:dyDescent="0.35"/>
    <row r="48822" hidden="1" x14ac:dyDescent="0.35"/>
    <row r="48823" hidden="1" x14ac:dyDescent="0.35"/>
    <row r="48824" hidden="1" x14ac:dyDescent="0.35"/>
    <row r="48825" hidden="1" x14ac:dyDescent="0.35"/>
    <row r="48826" hidden="1" x14ac:dyDescent="0.35"/>
    <row r="48827" hidden="1" x14ac:dyDescent="0.35"/>
    <row r="48828" hidden="1" x14ac:dyDescent="0.35"/>
    <row r="48829" hidden="1" x14ac:dyDescent="0.35"/>
    <row r="48830" hidden="1" x14ac:dyDescent="0.35"/>
    <row r="48831" hidden="1" x14ac:dyDescent="0.35"/>
    <row r="48832" hidden="1" x14ac:dyDescent="0.35"/>
    <row r="48833" hidden="1" x14ac:dyDescent="0.35"/>
    <row r="48834" hidden="1" x14ac:dyDescent="0.35"/>
    <row r="48835" hidden="1" x14ac:dyDescent="0.35"/>
    <row r="48836" hidden="1" x14ac:dyDescent="0.35"/>
    <row r="48837" hidden="1" x14ac:dyDescent="0.35"/>
    <row r="48838" hidden="1" x14ac:dyDescent="0.35"/>
    <row r="48839" hidden="1" x14ac:dyDescent="0.35"/>
    <row r="48840" hidden="1" x14ac:dyDescent="0.35"/>
    <row r="48841" hidden="1" x14ac:dyDescent="0.35"/>
    <row r="48842" hidden="1" x14ac:dyDescent="0.35"/>
    <row r="48843" hidden="1" x14ac:dyDescent="0.35"/>
    <row r="48844" hidden="1" x14ac:dyDescent="0.35"/>
    <row r="48845" hidden="1" x14ac:dyDescent="0.35"/>
    <row r="48846" hidden="1" x14ac:dyDescent="0.35"/>
    <row r="48847" hidden="1" x14ac:dyDescent="0.35"/>
    <row r="48848" hidden="1" x14ac:dyDescent="0.35"/>
    <row r="48849" hidden="1" x14ac:dyDescent="0.35"/>
    <row r="48850" hidden="1" x14ac:dyDescent="0.35"/>
    <row r="48851" hidden="1" x14ac:dyDescent="0.35"/>
    <row r="48852" hidden="1" x14ac:dyDescent="0.35"/>
    <row r="48853" hidden="1" x14ac:dyDescent="0.35"/>
    <row r="48854" hidden="1" x14ac:dyDescent="0.35"/>
    <row r="48855" hidden="1" x14ac:dyDescent="0.35"/>
    <row r="48856" hidden="1" x14ac:dyDescent="0.35"/>
    <row r="48857" hidden="1" x14ac:dyDescent="0.35"/>
    <row r="48858" hidden="1" x14ac:dyDescent="0.35"/>
    <row r="48859" hidden="1" x14ac:dyDescent="0.35"/>
    <row r="48860" hidden="1" x14ac:dyDescent="0.35"/>
    <row r="48861" hidden="1" x14ac:dyDescent="0.35"/>
    <row r="48862" hidden="1" x14ac:dyDescent="0.35"/>
    <row r="48863" hidden="1" x14ac:dyDescent="0.35"/>
    <row r="48864" hidden="1" x14ac:dyDescent="0.35"/>
    <row r="48865" hidden="1" x14ac:dyDescent="0.35"/>
    <row r="48866" hidden="1" x14ac:dyDescent="0.35"/>
    <row r="48867" hidden="1" x14ac:dyDescent="0.35"/>
    <row r="48868" hidden="1" x14ac:dyDescent="0.35"/>
    <row r="48869" hidden="1" x14ac:dyDescent="0.35"/>
    <row r="48870" hidden="1" x14ac:dyDescent="0.35"/>
    <row r="48871" hidden="1" x14ac:dyDescent="0.35"/>
    <row r="48872" hidden="1" x14ac:dyDescent="0.35"/>
    <row r="48873" hidden="1" x14ac:dyDescent="0.35"/>
    <row r="48874" hidden="1" x14ac:dyDescent="0.35"/>
    <row r="48875" hidden="1" x14ac:dyDescent="0.35"/>
    <row r="48876" hidden="1" x14ac:dyDescent="0.35"/>
    <row r="48877" hidden="1" x14ac:dyDescent="0.35"/>
    <row r="48878" hidden="1" x14ac:dyDescent="0.35"/>
    <row r="48879" hidden="1" x14ac:dyDescent="0.35"/>
    <row r="48880" hidden="1" x14ac:dyDescent="0.35"/>
    <row r="48881" hidden="1" x14ac:dyDescent="0.35"/>
    <row r="48882" hidden="1" x14ac:dyDescent="0.35"/>
    <row r="48883" hidden="1" x14ac:dyDescent="0.35"/>
    <row r="48884" hidden="1" x14ac:dyDescent="0.35"/>
    <row r="48885" hidden="1" x14ac:dyDescent="0.35"/>
    <row r="48886" hidden="1" x14ac:dyDescent="0.35"/>
    <row r="48887" hidden="1" x14ac:dyDescent="0.35"/>
    <row r="48888" hidden="1" x14ac:dyDescent="0.35"/>
    <row r="48889" hidden="1" x14ac:dyDescent="0.35"/>
    <row r="48890" hidden="1" x14ac:dyDescent="0.35"/>
    <row r="48891" hidden="1" x14ac:dyDescent="0.35"/>
    <row r="48892" hidden="1" x14ac:dyDescent="0.35"/>
    <row r="48893" hidden="1" x14ac:dyDescent="0.35"/>
    <row r="48894" hidden="1" x14ac:dyDescent="0.35"/>
    <row r="48895" hidden="1" x14ac:dyDescent="0.35"/>
    <row r="48896" hidden="1" x14ac:dyDescent="0.35"/>
    <row r="48897" hidden="1" x14ac:dyDescent="0.35"/>
    <row r="48898" hidden="1" x14ac:dyDescent="0.35"/>
    <row r="48899" hidden="1" x14ac:dyDescent="0.35"/>
    <row r="48900" hidden="1" x14ac:dyDescent="0.35"/>
    <row r="48901" hidden="1" x14ac:dyDescent="0.35"/>
    <row r="48902" hidden="1" x14ac:dyDescent="0.35"/>
    <row r="48903" hidden="1" x14ac:dyDescent="0.35"/>
    <row r="48904" hidden="1" x14ac:dyDescent="0.35"/>
    <row r="48905" hidden="1" x14ac:dyDescent="0.35"/>
    <row r="48906" hidden="1" x14ac:dyDescent="0.35"/>
    <row r="48907" hidden="1" x14ac:dyDescent="0.35"/>
    <row r="48908" hidden="1" x14ac:dyDescent="0.35"/>
    <row r="48909" hidden="1" x14ac:dyDescent="0.35"/>
    <row r="48910" hidden="1" x14ac:dyDescent="0.35"/>
    <row r="48911" hidden="1" x14ac:dyDescent="0.35"/>
    <row r="48912" hidden="1" x14ac:dyDescent="0.35"/>
    <row r="48913" hidden="1" x14ac:dyDescent="0.35"/>
    <row r="48914" hidden="1" x14ac:dyDescent="0.35"/>
    <row r="48915" hidden="1" x14ac:dyDescent="0.35"/>
    <row r="48916" hidden="1" x14ac:dyDescent="0.35"/>
    <row r="48917" hidden="1" x14ac:dyDescent="0.35"/>
    <row r="48918" hidden="1" x14ac:dyDescent="0.35"/>
    <row r="48919" hidden="1" x14ac:dyDescent="0.35"/>
    <row r="48920" hidden="1" x14ac:dyDescent="0.35"/>
    <row r="48921" hidden="1" x14ac:dyDescent="0.35"/>
    <row r="48922" hidden="1" x14ac:dyDescent="0.35"/>
    <row r="48923" hidden="1" x14ac:dyDescent="0.35"/>
    <row r="48924" hidden="1" x14ac:dyDescent="0.35"/>
    <row r="48925" hidden="1" x14ac:dyDescent="0.35"/>
    <row r="48926" hidden="1" x14ac:dyDescent="0.35"/>
    <row r="48927" hidden="1" x14ac:dyDescent="0.35"/>
    <row r="48928" hidden="1" x14ac:dyDescent="0.35"/>
    <row r="48929" hidden="1" x14ac:dyDescent="0.35"/>
    <row r="48930" hidden="1" x14ac:dyDescent="0.35"/>
    <row r="48931" hidden="1" x14ac:dyDescent="0.35"/>
    <row r="48932" hidden="1" x14ac:dyDescent="0.35"/>
    <row r="48933" hidden="1" x14ac:dyDescent="0.35"/>
    <row r="48934" hidden="1" x14ac:dyDescent="0.35"/>
    <row r="48935" hidden="1" x14ac:dyDescent="0.35"/>
    <row r="48936" hidden="1" x14ac:dyDescent="0.35"/>
    <row r="48937" hidden="1" x14ac:dyDescent="0.35"/>
    <row r="48938" hidden="1" x14ac:dyDescent="0.35"/>
    <row r="48939" hidden="1" x14ac:dyDescent="0.35"/>
    <row r="48940" hidden="1" x14ac:dyDescent="0.35"/>
    <row r="48941" hidden="1" x14ac:dyDescent="0.35"/>
    <row r="48942" hidden="1" x14ac:dyDescent="0.35"/>
    <row r="48943" hidden="1" x14ac:dyDescent="0.35"/>
    <row r="48944" hidden="1" x14ac:dyDescent="0.35"/>
    <row r="48945" hidden="1" x14ac:dyDescent="0.35"/>
    <row r="48946" hidden="1" x14ac:dyDescent="0.35"/>
    <row r="48947" hidden="1" x14ac:dyDescent="0.35"/>
    <row r="48948" hidden="1" x14ac:dyDescent="0.35"/>
    <row r="48949" hidden="1" x14ac:dyDescent="0.35"/>
    <row r="48950" hidden="1" x14ac:dyDescent="0.35"/>
    <row r="48951" hidden="1" x14ac:dyDescent="0.35"/>
    <row r="48952" hidden="1" x14ac:dyDescent="0.35"/>
    <row r="48953" hidden="1" x14ac:dyDescent="0.35"/>
    <row r="48954" hidden="1" x14ac:dyDescent="0.35"/>
    <row r="48955" hidden="1" x14ac:dyDescent="0.35"/>
    <row r="48956" hidden="1" x14ac:dyDescent="0.35"/>
    <row r="48957" hidden="1" x14ac:dyDescent="0.35"/>
    <row r="48958" hidden="1" x14ac:dyDescent="0.35"/>
    <row r="48959" hidden="1" x14ac:dyDescent="0.35"/>
    <row r="48960" hidden="1" x14ac:dyDescent="0.35"/>
    <row r="48961" hidden="1" x14ac:dyDescent="0.35"/>
    <row r="48962" hidden="1" x14ac:dyDescent="0.35"/>
    <row r="48963" hidden="1" x14ac:dyDescent="0.35"/>
    <row r="48964" hidden="1" x14ac:dyDescent="0.35"/>
    <row r="48965" hidden="1" x14ac:dyDescent="0.35"/>
    <row r="48966" hidden="1" x14ac:dyDescent="0.35"/>
    <row r="48967" hidden="1" x14ac:dyDescent="0.35"/>
    <row r="48968" hidden="1" x14ac:dyDescent="0.35"/>
    <row r="48969" hidden="1" x14ac:dyDescent="0.35"/>
    <row r="48970" hidden="1" x14ac:dyDescent="0.35"/>
    <row r="48971" hidden="1" x14ac:dyDescent="0.35"/>
    <row r="48972" hidden="1" x14ac:dyDescent="0.35"/>
    <row r="48973" hidden="1" x14ac:dyDescent="0.35"/>
    <row r="48974" hidden="1" x14ac:dyDescent="0.35"/>
    <row r="48975" hidden="1" x14ac:dyDescent="0.35"/>
    <row r="48976" hidden="1" x14ac:dyDescent="0.35"/>
    <row r="48977" hidden="1" x14ac:dyDescent="0.35"/>
    <row r="48978" hidden="1" x14ac:dyDescent="0.35"/>
    <row r="48979" hidden="1" x14ac:dyDescent="0.35"/>
    <row r="48980" hidden="1" x14ac:dyDescent="0.35"/>
    <row r="48981" hidden="1" x14ac:dyDescent="0.35"/>
    <row r="48982" hidden="1" x14ac:dyDescent="0.35"/>
    <row r="48983" hidden="1" x14ac:dyDescent="0.35"/>
    <row r="48984" hidden="1" x14ac:dyDescent="0.35"/>
    <row r="48985" hidden="1" x14ac:dyDescent="0.35"/>
    <row r="48986" hidden="1" x14ac:dyDescent="0.35"/>
    <row r="48987" hidden="1" x14ac:dyDescent="0.35"/>
    <row r="48988" hidden="1" x14ac:dyDescent="0.35"/>
    <row r="48989" hidden="1" x14ac:dyDescent="0.35"/>
    <row r="48990" hidden="1" x14ac:dyDescent="0.35"/>
    <row r="48991" hidden="1" x14ac:dyDescent="0.35"/>
    <row r="48992" hidden="1" x14ac:dyDescent="0.35"/>
    <row r="48993" hidden="1" x14ac:dyDescent="0.35"/>
    <row r="48994" hidden="1" x14ac:dyDescent="0.35"/>
    <row r="48995" hidden="1" x14ac:dyDescent="0.35"/>
    <row r="48996" hidden="1" x14ac:dyDescent="0.35"/>
    <row r="48997" hidden="1" x14ac:dyDescent="0.35"/>
    <row r="48998" hidden="1" x14ac:dyDescent="0.35"/>
    <row r="48999" hidden="1" x14ac:dyDescent="0.35"/>
    <row r="49000" hidden="1" x14ac:dyDescent="0.35"/>
    <row r="49001" hidden="1" x14ac:dyDescent="0.35"/>
    <row r="49002" hidden="1" x14ac:dyDescent="0.35"/>
    <row r="49003" hidden="1" x14ac:dyDescent="0.35"/>
    <row r="49004" hidden="1" x14ac:dyDescent="0.35"/>
    <row r="49005" hidden="1" x14ac:dyDescent="0.35"/>
    <row r="49006" hidden="1" x14ac:dyDescent="0.35"/>
    <row r="49007" hidden="1" x14ac:dyDescent="0.35"/>
    <row r="49008" hidden="1" x14ac:dyDescent="0.35"/>
    <row r="49009" hidden="1" x14ac:dyDescent="0.35"/>
    <row r="49010" hidden="1" x14ac:dyDescent="0.35"/>
    <row r="49011" hidden="1" x14ac:dyDescent="0.35"/>
    <row r="49012" hidden="1" x14ac:dyDescent="0.35"/>
    <row r="49013" hidden="1" x14ac:dyDescent="0.35"/>
    <row r="49014" hidden="1" x14ac:dyDescent="0.35"/>
    <row r="49015" hidden="1" x14ac:dyDescent="0.35"/>
    <row r="49016" hidden="1" x14ac:dyDescent="0.35"/>
    <row r="49017" hidden="1" x14ac:dyDescent="0.35"/>
    <row r="49018" hidden="1" x14ac:dyDescent="0.35"/>
    <row r="49019" hidden="1" x14ac:dyDescent="0.35"/>
    <row r="49020" hidden="1" x14ac:dyDescent="0.35"/>
    <row r="49021" hidden="1" x14ac:dyDescent="0.35"/>
    <row r="49022" hidden="1" x14ac:dyDescent="0.35"/>
    <row r="49023" hidden="1" x14ac:dyDescent="0.35"/>
    <row r="49024" hidden="1" x14ac:dyDescent="0.35"/>
    <row r="49025" hidden="1" x14ac:dyDescent="0.35"/>
    <row r="49026" hidden="1" x14ac:dyDescent="0.35"/>
    <row r="49027" hidden="1" x14ac:dyDescent="0.35"/>
    <row r="49028" hidden="1" x14ac:dyDescent="0.35"/>
    <row r="49029" hidden="1" x14ac:dyDescent="0.35"/>
    <row r="49030" hidden="1" x14ac:dyDescent="0.35"/>
    <row r="49031" hidden="1" x14ac:dyDescent="0.35"/>
    <row r="49032" hidden="1" x14ac:dyDescent="0.35"/>
    <row r="49033" hidden="1" x14ac:dyDescent="0.35"/>
    <row r="49034" hidden="1" x14ac:dyDescent="0.35"/>
    <row r="49035" hidden="1" x14ac:dyDescent="0.35"/>
    <row r="49036" hidden="1" x14ac:dyDescent="0.35"/>
    <row r="49037" hidden="1" x14ac:dyDescent="0.35"/>
    <row r="49038" hidden="1" x14ac:dyDescent="0.35"/>
    <row r="49039" hidden="1" x14ac:dyDescent="0.35"/>
    <row r="49040" hidden="1" x14ac:dyDescent="0.35"/>
    <row r="49041" hidden="1" x14ac:dyDescent="0.35"/>
    <row r="49042" hidden="1" x14ac:dyDescent="0.35"/>
    <row r="49043" hidden="1" x14ac:dyDescent="0.35"/>
    <row r="49044" hidden="1" x14ac:dyDescent="0.35"/>
    <row r="49045" hidden="1" x14ac:dyDescent="0.35"/>
    <row r="49046" hidden="1" x14ac:dyDescent="0.35"/>
    <row r="49047" hidden="1" x14ac:dyDescent="0.35"/>
    <row r="49048" hidden="1" x14ac:dyDescent="0.35"/>
    <row r="49049" hidden="1" x14ac:dyDescent="0.35"/>
    <row r="49050" hidden="1" x14ac:dyDescent="0.35"/>
    <row r="49051" hidden="1" x14ac:dyDescent="0.35"/>
    <row r="49052" hidden="1" x14ac:dyDescent="0.35"/>
    <row r="49053" hidden="1" x14ac:dyDescent="0.35"/>
    <row r="49054" hidden="1" x14ac:dyDescent="0.35"/>
    <row r="49055" hidden="1" x14ac:dyDescent="0.35"/>
    <row r="49056" hidden="1" x14ac:dyDescent="0.35"/>
    <row r="49057" hidden="1" x14ac:dyDescent="0.35"/>
    <row r="49058" hidden="1" x14ac:dyDescent="0.35"/>
    <row r="49059" hidden="1" x14ac:dyDescent="0.35"/>
    <row r="49060" hidden="1" x14ac:dyDescent="0.35"/>
    <row r="49061" hidden="1" x14ac:dyDescent="0.35"/>
    <row r="49062" hidden="1" x14ac:dyDescent="0.35"/>
    <row r="49063" hidden="1" x14ac:dyDescent="0.35"/>
    <row r="49064" hidden="1" x14ac:dyDescent="0.35"/>
    <row r="49065" hidden="1" x14ac:dyDescent="0.35"/>
    <row r="49066" hidden="1" x14ac:dyDescent="0.35"/>
    <row r="49067" hidden="1" x14ac:dyDescent="0.35"/>
    <row r="49068" hidden="1" x14ac:dyDescent="0.35"/>
    <row r="49069" hidden="1" x14ac:dyDescent="0.35"/>
    <row r="49070" hidden="1" x14ac:dyDescent="0.35"/>
    <row r="49071" hidden="1" x14ac:dyDescent="0.35"/>
    <row r="49072" hidden="1" x14ac:dyDescent="0.35"/>
    <row r="49073" hidden="1" x14ac:dyDescent="0.35"/>
    <row r="49074" hidden="1" x14ac:dyDescent="0.35"/>
    <row r="49075" hidden="1" x14ac:dyDescent="0.35"/>
    <row r="49076" hidden="1" x14ac:dyDescent="0.35"/>
    <row r="49077" hidden="1" x14ac:dyDescent="0.35"/>
    <row r="49078" hidden="1" x14ac:dyDescent="0.35"/>
    <row r="49079" hidden="1" x14ac:dyDescent="0.35"/>
    <row r="49080" hidden="1" x14ac:dyDescent="0.35"/>
    <row r="49081" hidden="1" x14ac:dyDescent="0.35"/>
    <row r="49082" hidden="1" x14ac:dyDescent="0.35"/>
    <row r="49083" hidden="1" x14ac:dyDescent="0.35"/>
    <row r="49084" hidden="1" x14ac:dyDescent="0.35"/>
    <row r="49085" hidden="1" x14ac:dyDescent="0.35"/>
    <row r="49086" hidden="1" x14ac:dyDescent="0.35"/>
    <row r="49087" hidden="1" x14ac:dyDescent="0.35"/>
    <row r="49088" hidden="1" x14ac:dyDescent="0.35"/>
    <row r="49089" hidden="1" x14ac:dyDescent="0.35"/>
    <row r="49090" hidden="1" x14ac:dyDescent="0.35"/>
    <row r="49091" hidden="1" x14ac:dyDescent="0.35"/>
    <row r="49092" hidden="1" x14ac:dyDescent="0.35"/>
    <row r="49093" hidden="1" x14ac:dyDescent="0.35"/>
    <row r="49094" hidden="1" x14ac:dyDescent="0.35"/>
    <row r="49095" hidden="1" x14ac:dyDescent="0.35"/>
    <row r="49096" hidden="1" x14ac:dyDescent="0.35"/>
    <row r="49097" hidden="1" x14ac:dyDescent="0.35"/>
    <row r="49098" hidden="1" x14ac:dyDescent="0.35"/>
    <row r="49099" hidden="1" x14ac:dyDescent="0.35"/>
    <row r="49100" hidden="1" x14ac:dyDescent="0.35"/>
    <row r="49101" hidden="1" x14ac:dyDescent="0.35"/>
    <row r="49102" hidden="1" x14ac:dyDescent="0.35"/>
    <row r="49103" hidden="1" x14ac:dyDescent="0.35"/>
    <row r="49104" hidden="1" x14ac:dyDescent="0.35"/>
    <row r="49105" hidden="1" x14ac:dyDescent="0.35"/>
    <row r="49106" hidden="1" x14ac:dyDescent="0.35"/>
    <row r="49107" hidden="1" x14ac:dyDescent="0.35"/>
    <row r="49108" hidden="1" x14ac:dyDescent="0.35"/>
    <row r="49109" hidden="1" x14ac:dyDescent="0.35"/>
    <row r="49110" hidden="1" x14ac:dyDescent="0.35"/>
    <row r="49111" hidden="1" x14ac:dyDescent="0.35"/>
    <row r="49112" hidden="1" x14ac:dyDescent="0.35"/>
    <row r="49113" hidden="1" x14ac:dyDescent="0.35"/>
    <row r="49114" hidden="1" x14ac:dyDescent="0.35"/>
    <row r="49115" hidden="1" x14ac:dyDescent="0.35"/>
    <row r="49116" hidden="1" x14ac:dyDescent="0.35"/>
    <row r="49117" hidden="1" x14ac:dyDescent="0.35"/>
    <row r="49118" hidden="1" x14ac:dyDescent="0.35"/>
    <row r="49119" hidden="1" x14ac:dyDescent="0.35"/>
    <row r="49120" hidden="1" x14ac:dyDescent="0.35"/>
    <row r="49121" hidden="1" x14ac:dyDescent="0.35"/>
    <row r="49122" hidden="1" x14ac:dyDescent="0.35"/>
    <row r="49123" hidden="1" x14ac:dyDescent="0.35"/>
    <row r="49124" hidden="1" x14ac:dyDescent="0.35"/>
    <row r="49125" hidden="1" x14ac:dyDescent="0.35"/>
    <row r="49126" hidden="1" x14ac:dyDescent="0.35"/>
    <row r="49127" hidden="1" x14ac:dyDescent="0.35"/>
    <row r="49128" hidden="1" x14ac:dyDescent="0.35"/>
    <row r="49129" hidden="1" x14ac:dyDescent="0.35"/>
    <row r="49130" hidden="1" x14ac:dyDescent="0.35"/>
    <row r="49131" hidden="1" x14ac:dyDescent="0.35"/>
    <row r="49132" hidden="1" x14ac:dyDescent="0.35"/>
    <row r="49133" hidden="1" x14ac:dyDescent="0.35"/>
    <row r="49134" hidden="1" x14ac:dyDescent="0.35"/>
    <row r="49135" hidden="1" x14ac:dyDescent="0.35"/>
    <row r="49136" hidden="1" x14ac:dyDescent="0.35"/>
    <row r="49137" hidden="1" x14ac:dyDescent="0.35"/>
    <row r="49138" hidden="1" x14ac:dyDescent="0.35"/>
    <row r="49139" hidden="1" x14ac:dyDescent="0.35"/>
    <row r="49140" hidden="1" x14ac:dyDescent="0.35"/>
    <row r="49141" hidden="1" x14ac:dyDescent="0.35"/>
    <row r="49142" hidden="1" x14ac:dyDescent="0.35"/>
    <row r="49143" hidden="1" x14ac:dyDescent="0.35"/>
    <row r="49144" hidden="1" x14ac:dyDescent="0.35"/>
    <row r="49145" hidden="1" x14ac:dyDescent="0.35"/>
    <row r="49146" hidden="1" x14ac:dyDescent="0.35"/>
    <row r="49147" hidden="1" x14ac:dyDescent="0.35"/>
    <row r="49148" hidden="1" x14ac:dyDescent="0.35"/>
    <row r="49149" hidden="1" x14ac:dyDescent="0.35"/>
    <row r="49150" hidden="1" x14ac:dyDescent="0.35"/>
    <row r="49151" hidden="1" x14ac:dyDescent="0.35"/>
    <row r="49152" hidden="1" x14ac:dyDescent="0.35"/>
    <row r="49153" hidden="1" x14ac:dyDescent="0.35"/>
    <row r="49154" hidden="1" x14ac:dyDescent="0.35"/>
    <row r="49155" hidden="1" x14ac:dyDescent="0.35"/>
    <row r="49156" hidden="1" x14ac:dyDescent="0.35"/>
    <row r="49157" hidden="1" x14ac:dyDescent="0.35"/>
    <row r="49158" hidden="1" x14ac:dyDescent="0.35"/>
    <row r="49159" hidden="1" x14ac:dyDescent="0.35"/>
    <row r="49160" hidden="1" x14ac:dyDescent="0.35"/>
    <row r="49161" hidden="1" x14ac:dyDescent="0.35"/>
    <row r="49162" hidden="1" x14ac:dyDescent="0.35"/>
    <row r="49163" hidden="1" x14ac:dyDescent="0.35"/>
    <row r="49164" hidden="1" x14ac:dyDescent="0.35"/>
    <row r="49165" hidden="1" x14ac:dyDescent="0.35"/>
    <row r="49166" hidden="1" x14ac:dyDescent="0.35"/>
    <row r="49167" hidden="1" x14ac:dyDescent="0.35"/>
    <row r="49168" hidden="1" x14ac:dyDescent="0.35"/>
    <row r="49169" hidden="1" x14ac:dyDescent="0.35"/>
    <row r="49170" hidden="1" x14ac:dyDescent="0.35"/>
    <row r="49171" hidden="1" x14ac:dyDescent="0.35"/>
    <row r="49172" hidden="1" x14ac:dyDescent="0.35"/>
    <row r="49173" hidden="1" x14ac:dyDescent="0.35"/>
    <row r="49174" hidden="1" x14ac:dyDescent="0.35"/>
    <row r="49175" hidden="1" x14ac:dyDescent="0.35"/>
    <row r="49176" hidden="1" x14ac:dyDescent="0.35"/>
    <row r="49177" hidden="1" x14ac:dyDescent="0.35"/>
    <row r="49178" hidden="1" x14ac:dyDescent="0.35"/>
    <row r="49179" hidden="1" x14ac:dyDescent="0.35"/>
    <row r="49180" hidden="1" x14ac:dyDescent="0.35"/>
    <row r="49181" hidden="1" x14ac:dyDescent="0.35"/>
    <row r="49182" hidden="1" x14ac:dyDescent="0.35"/>
    <row r="49183" hidden="1" x14ac:dyDescent="0.35"/>
    <row r="49184" hidden="1" x14ac:dyDescent="0.35"/>
    <row r="49185" hidden="1" x14ac:dyDescent="0.35"/>
    <row r="49186" hidden="1" x14ac:dyDescent="0.35"/>
    <row r="49187" hidden="1" x14ac:dyDescent="0.35"/>
    <row r="49188" hidden="1" x14ac:dyDescent="0.35"/>
    <row r="49189" hidden="1" x14ac:dyDescent="0.35"/>
    <row r="49190" hidden="1" x14ac:dyDescent="0.35"/>
    <row r="49191" hidden="1" x14ac:dyDescent="0.35"/>
    <row r="49192" hidden="1" x14ac:dyDescent="0.35"/>
    <row r="49193" hidden="1" x14ac:dyDescent="0.35"/>
    <row r="49194" hidden="1" x14ac:dyDescent="0.35"/>
    <row r="49195" hidden="1" x14ac:dyDescent="0.35"/>
    <row r="49196" hidden="1" x14ac:dyDescent="0.35"/>
    <row r="49197" hidden="1" x14ac:dyDescent="0.35"/>
    <row r="49198" hidden="1" x14ac:dyDescent="0.35"/>
    <row r="49199" hidden="1" x14ac:dyDescent="0.35"/>
    <row r="49200" hidden="1" x14ac:dyDescent="0.35"/>
    <row r="49201" hidden="1" x14ac:dyDescent="0.35"/>
    <row r="49202" hidden="1" x14ac:dyDescent="0.35"/>
    <row r="49203" hidden="1" x14ac:dyDescent="0.35"/>
    <row r="49204" hidden="1" x14ac:dyDescent="0.35"/>
    <row r="49205" hidden="1" x14ac:dyDescent="0.35"/>
    <row r="49206" hidden="1" x14ac:dyDescent="0.35"/>
    <row r="49207" hidden="1" x14ac:dyDescent="0.35"/>
    <row r="49208" hidden="1" x14ac:dyDescent="0.35"/>
    <row r="49209" hidden="1" x14ac:dyDescent="0.35"/>
    <row r="49210" hidden="1" x14ac:dyDescent="0.35"/>
    <row r="49211" hidden="1" x14ac:dyDescent="0.35"/>
    <row r="49212" hidden="1" x14ac:dyDescent="0.35"/>
    <row r="49213" hidden="1" x14ac:dyDescent="0.35"/>
    <row r="49214" hidden="1" x14ac:dyDescent="0.35"/>
    <row r="49215" hidden="1" x14ac:dyDescent="0.35"/>
    <row r="49216" hidden="1" x14ac:dyDescent="0.35"/>
    <row r="49217" hidden="1" x14ac:dyDescent="0.35"/>
    <row r="49218" hidden="1" x14ac:dyDescent="0.35"/>
    <row r="49219" hidden="1" x14ac:dyDescent="0.35"/>
    <row r="49220" hidden="1" x14ac:dyDescent="0.35"/>
    <row r="49221" hidden="1" x14ac:dyDescent="0.35"/>
    <row r="49222" hidden="1" x14ac:dyDescent="0.35"/>
    <row r="49223" hidden="1" x14ac:dyDescent="0.35"/>
    <row r="49224" hidden="1" x14ac:dyDescent="0.35"/>
    <row r="49225" hidden="1" x14ac:dyDescent="0.35"/>
    <row r="49226" hidden="1" x14ac:dyDescent="0.35"/>
    <row r="49227" hidden="1" x14ac:dyDescent="0.35"/>
    <row r="49228" hidden="1" x14ac:dyDescent="0.35"/>
    <row r="49229" hidden="1" x14ac:dyDescent="0.35"/>
    <row r="49230" hidden="1" x14ac:dyDescent="0.35"/>
    <row r="49231" hidden="1" x14ac:dyDescent="0.35"/>
    <row r="49232" hidden="1" x14ac:dyDescent="0.35"/>
    <row r="49233" hidden="1" x14ac:dyDescent="0.35"/>
    <row r="49234" hidden="1" x14ac:dyDescent="0.35"/>
    <row r="49235" hidden="1" x14ac:dyDescent="0.35"/>
    <row r="49236" hidden="1" x14ac:dyDescent="0.35"/>
    <row r="49237" hidden="1" x14ac:dyDescent="0.35"/>
    <row r="49238" hidden="1" x14ac:dyDescent="0.35"/>
    <row r="49239" hidden="1" x14ac:dyDescent="0.35"/>
    <row r="49240" hidden="1" x14ac:dyDescent="0.35"/>
    <row r="49241" hidden="1" x14ac:dyDescent="0.35"/>
    <row r="49242" hidden="1" x14ac:dyDescent="0.35"/>
    <row r="49243" hidden="1" x14ac:dyDescent="0.35"/>
    <row r="49244" hidden="1" x14ac:dyDescent="0.35"/>
    <row r="49245" hidden="1" x14ac:dyDescent="0.35"/>
    <row r="49246" hidden="1" x14ac:dyDescent="0.35"/>
    <row r="49247" hidden="1" x14ac:dyDescent="0.35"/>
    <row r="49248" hidden="1" x14ac:dyDescent="0.35"/>
    <row r="49249" hidden="1" x14ac:dyDescent="0.35"/>
    <row r="49250" hidden="1" x14ac:dyDescent="0.35"/>
    <row r="49251" hidden="1" x14ac:dyDescent="0.35"/>
    <row r="49252" hidden="1" x14ac:dyDescent="0.35"/>
    <row r="49253" hidden="1" x14ac:dyDescent="0.35"/>
    <row r="49254" hidden="1" x14ac:dyDescent="0.35"/>
    <row r="49255" hidden="1" x14ac:dyDescent="0.35"/>
    <row r="49256" hidden="1" x14ac:dyDescent="0.35"/>
    <row r="49257" hidden="1" x14ac:dyDescent="0.35"/>
    <row r="49258" hidden="1" x14ac:dyDescent="0.35"/>
    <row r="49259" hidden="1" x14ac:dyDescent="0.35"/>
    <row r="49260" hidden="1" x14ac:dyDescent="0.35"/>
    <row r="49261" hidden="1" x14ac:dyDescent="0.35"/>
    <row r="49262" hidden="1" x14ac:dyDescent="0.35"/>
    <row r="49263" hidden="1" x14ac:dyDescent="0.35"/>
    <row r="49264" hidden="1" x14ac:dyDescent="0.35"/>
    <row r="49265" hidden="1" x14ac:dyDescent="0.35"/>
    <row r="49266" hidden="1" x14ac:dyDescent="0.35"/>
    <row r="49267" hidden="1" x14ac:dyDescent="0.35"/>
    <row r="49268" hidden="1" x14ac:dyDescent="0.35"/>
    <row r="49269" hidden="1" x14ac:dyDescent="0.35"/>
    <row r="49270" hidden="1" x14ac:dyDescent="0.35"/>
    <row r="49271" hidden="1" x14ac:dyDescent="0.35"/>
    <row r="49272" hidden="1" x14ac:dyDescent="0.35"/>
    <row r="49273" hidden="1" x14ac:dyDescent="0.35"/>
    <row r="49274" hidden="1" x14ac:dyDescent="0.35"/>
    <row r="49275" hidden="1" x14ac:dyDescent="0.35"/>
    <row r="49276" hidden="1" x14ac:dyDescent="0.35"/>
    <row r="49277" hidden="1" x14ac:dyDescent="0.35"/>
    <row r="49278" hidden="1" x14ac:dyDescent="0.35"/>
    <row r="49279" hidden="1" x14ac:dyDescent="0.35"/>
    <row r="49280" hidden="1" x14ac:dyDescent="0.35"/>
    <row r="49281" hidden="1" x14ac:dyDescent="0.35"/>
    <row r="49282" hidden="1" x14ac:dyDescent="0.35"/>
    <row r="49283" hidden="1" x14ac:dyDescent="0.35"/>
    <row r="49284" hidden="1" x14ac:dyDescent="0.35"/>
    <row r="49285" hidden="1" x14ac:dyDescent="0.35"/>
    <row r="49286" hidden="1" x14ac:dyDescent="0.35"/>
    <row r="49287" hidden="1" x14ac:dyDescent="0.35"/>
    <row r="49288" hidden="1" x14ac:dyDescent="0.35"/>
    <row r="49289" hidden="1" x14ac:dyDescent="0.35"/>
    <row r="49290" hidden="1" x14ac:dyDescent="0.35"/>
    <row r="49291" hidden="1" x14ac:dyDescent="0.35"/>
    <row r="49292" hidden="1" x14ac:dyDescent="0.35"/>
    <row r="49293" hidden="1" x14ac:dyDescent="0.35"/>
    <row r="49294" hidden="1" x14ac:dyDescent="0.35"/>
    <row r="49295" hidden="1" x14ac:dyDescent="0.35"/>
    <row r="49296" hidden="1" x14ac:dyDescent="0.35"/>
    <row r="49297" hidden="1" x14ac:dyDescent="0.35"/>
    <row r="49298" hidden="1" x14ac:dyDescent="0.35"/>
    <row r="49299" hidden="1" x14ac:dyDescent="0.35"/>
    <row r="49300" hidden="1" x14ac:dyDescent="0.35"/>
    <row r="49301" hidden="1" x14ac:dyDescent="0.35"/>
    <row r="49302" hidden="1" x14ac:dyDescent="0.35"/>
    <row r="49303" hidden="1" x14ac:dyDescent="0.35"/>
    <row r="49304" hidden="1" x14ac:dyDescent="0.35"/>
    <row r="49305" hidden="1" x14ac:dyDescent="0.35"/>
    <row r="49306" hidden="1" x14ac:dyDescent="0.35"/>
    <row r="49307" hidden="1" x14ac:dyDescent="0.35"/>
    <row r="49308" hidden="1" x14ac:dyDescent="0.35"/>
    <row r="49309" hidden="1" x14ac:dyDescent="0.35"/>
    <row r="49310" hidden="1" x14ac:dyDescent="0.35"/>
    <row r="49311" hidden="1" x14ac:dyDescent="0.35"/>
    <row r="49312" hidden="1" x14ac:dyDescent="0.35"/>
    <row r="49313" hidden="1" x14ac:dyDescent="0.35"/>
    <row r="49314" hidden="1" x14ac:dyDescent="0.35"/>
    <row r="49315" hidden="1" x14ac:dyDescent="0.35"/>
    <row r="49316" hidden="1" x14ac:dyDescent="0.35"/>
    <row r="49317" hidden="1" x14ac:dyDescent="0.35"/>
    <row r="49318" hidden="1" x14ac:dyDescent="0.35"/>
    <row r="49319" hidden="1" x14ac:dyDescent="0.35"/>
    <row r="49320" hidden="1" x14ac:dyDescent="0.35"/>
    <row r="49321" hidden="1" x14ac:dyDescent="0.35"/>
    <row r="49322" hidden="1" x14ac:dyDescent="0.35"/>
    <row r="49323" hidden="1" x14ac:dyDescent="0.35"/>
    <row r="49324" hidden="1" x14ac:dyDescent="0.35"/>
    <row r="49325" hidden="1" x14ac:dyDescent="0.35"/>
    <row r="49326" hidden="1" x14ac:dyDescent="0.35"/>
    <row r="49327" hidden="1" x14ac:dyDescent="0.35"/>
    <row r="49328" hidden="1" x14ac:dyDescent="0.35"/>
    <row r="49329" hidden="1" x14ac:dyDescent="0.35"/>
    <row r="49330" hidden="1" x14ac:dyDescent="0.35"/>
    <row r="49331" hidden="1" x14ac:dyDescent="0.35"/>
    <row r="49332" hidden="1" x14ac:dyDescent="0.35"/>
    <row r="49333" hidden="1" x14ac:dyDescent="0.35"/>
    <row r="49334" hidden="1" x14ac:dyDescent="0.35"/>
    <row r="49335" hidden="1" x14ac:dyDescent="0.35"/>
    <row r="49336" hidden="1" x14ac:dyDescent="0.35"/>
    <row r="49337" hidden="1" x14ac:dyDescent="0.35"/>
    <row r="49338" hidden="1" x14ac:dyDescent="0.35"/>
    <row r="49339" hidden="1" x14ac:dyDescent="0.35"/>
    <row r="49340" hidden="1" x14ac:dyDescent="0.35"/>
    <row r="49341" hidden="1" x14ac:dyDescent="0.35"/>
    <row r="49342" hidden="1" x14ac:dyDescent="0.35"/>
    <row r="49343" hidden="1" x14ac:dyDescent="0.35"/>
    <row r="49344" hidden="1" x14ac:dyDescent="0.35"/>
    <row r="49345" hidden="1" x14ac:dyDescent="0.35"/>
    <row r="49346" hidden="1" x14ac:dyDescent="0.35"/>
    <row r="49347" hidden="1" x14ac:dyDescent="0.35"/>
    <row r="49348" hidden="1" x14ac:dyDescent="0.35"/>
    <row r="49349" hidden="1" x14ac:dyDescent="0.35"/>
    <row r="49350" hidden="1" x14ac:dyDescent="0.35"/>
    <row r="49351" hidden="1" x14ac:dyDescent="0.35"/>
    <row r="49352" hidden="1" x14ac:dyDescent="0.35"/>
    <row r="49353" hidden="1" x14ac:dyDescent="0.35"/>
    <row r="49354" hidden="1" x14ac:dyDescent="0.35"/>
    <row r="49355" hidden="1" x14ac:dyDescent="0.35"/>
    <row r="49356" hidden="1" x14ac:dyDescent="0.35"/>
    <row r="49357" hidden="1" x14ac:dyDescent="0.35"/>
    <row r="49358" hidden="1" x14ac:dyDescent="0.35"/>
    <row r="49359" hidden="1" x14ac:dyDescent="0.35"/>
    <row r="49360" hidden="1" x14ac:dyDescent="0.35"/>
    <row r="49361" hidden="1" x14ac:dyDescent="0.35"/>
    <row r="49362" hidden="1" x14ac:dyDescent="0.35"/>
    <row r="49363" hidden="1" x14ac:dyDescent="0.35"/>
    <row r="49364" hidden="1" x14ac:dyDescent="0.35"/>
    <row r="49365" hidden="1" x14ac:dyDescent="0.35"/>
    <row r="49366" hidden="1" x14ac:dyDescent="0.35"/>
    <row r="49367" hidden="1" x14ac:dyDescent="0.35"/>
    <row r="49368" hidden="1" x14ac:dyDescent="0.35"/>
    <row r="49369" hidden="1" x14ac:dyDescent="0.35"/>
    <row r="49370" hidden="1" x14ac:dyDescent="0.35"/>
    <row r="49371" hidden="1" x14ac:dyDescent="0.35"/>
    <row r="49372" hidden="1" x14ac:dyDescent="0.35"/>
    <row r="49373" hidden="1" x14ac:dyDescent="0.35"/>
    <row r="49374" hidden="1" x14ac:dyDescent="0.35"/>
    <row r="49375" hidden="1" x14ac:dyDescent="0.35"/>
    <row r="49376" hidden="1" x14ac:dyDescent="0.35"/>
    <row r="49377" hidden="1" x14ac:dyDescent="0.35"/>
    <row r="49378" hidden="1" x14ac:dyDescent="0.35"/>
    <row r="49379" hidden="1" x14ac:dyDescent="0.35"/>
    <row r="49380" hidden="1" x14ac:dyDescent="0.35"/>
    <row r="49381" hidden="1" x14ac:dyDescent="0.35"/>
    <row r="49382" hidden="1" x14ac:dyDescent="0.35"/>
    <row r="49383" hidden="1" x14ac:dyDescent="0.35"/>
    <row r="49384" hidden="1" x14ac:dyDescent="0.35"/>
    <row r="49385" hidden="1" x14ac:dyDescent="0.35"/>
    <row r="49386" hidden="1" x14ac:dyDescent="0.35"/>
    <row r="49387" hidden="1" x14ac:dyDescent="0.35"/>
    <row r="49388" hidden="1" x14ac:dyDescent="0.35"/>
    <row r="49389" hidden="1" x14ac:dyDescent="0.35"/>
    <row r="49390" hidden="1" x14ac:dyDescent="0.35"/>
    <row r="49391" hidden="1" x14ac:dyDescent="0.35"/>
    <row r="49392" hidden="1" x14ac:dyDescent="0.35"/>
    <row r="49393" hidden="1" x14ac:dyDescent="0.35"/>
    <row r="49394" hidden="1" x14ac:dyDescent="0.35"/>
    <row r="49395" hidden="1" x14ac:dyDescent="0.35"/>
    <row r="49396" hidden="1" x14ac:dyDescent="0.35"/>
    <row r="49397" hidden="1" x14ac:dyDescent="0.35"/>
    <row r="49398" hidden="1" x14ac:dyDescent="0.35"/>
    <row r="49399" hidden="1" x14ac:dyDescent="0.35"/>
    <row r="49400" hidden="1" x14ac:dyDescent="0.35"/>
    <row r="49401" hidden="1" x14ac:dyDescent="0.35"/>
    <row r="49402" hidden="1" x14ac:dyDescent="0.35"/>
    <row r="49403" hidden="1" x14ac:dyDescent="0.35"/>
    <row r="49404" hidden="1" x14ac:dyDescent="0.35"/>
    <row r="49405" hidden="1" x14ac:dyDescent="0.35"/>
    <row r="49406" hidden="1" x14ac:dyDescent="0.35"/>
    <row r="49407" hidden="1" x14ac:dyDescent="0.35"/>
    <row r="49408" hidden="1" x14ac:dyDescent="0.35"/>
    <row r="49409" hidden="1" x14ac:dyDescent="0.35"/>
    <row r="49410" hidden="1" x14ac:dyDescent="0.35"/>
    <row r="49411" hidden="1" x14ac:dyDescent="0.35"/>
    <row r="49412" hidden="1" x14ac:dyDescent="0.35"/>
    <row r="49413" hidden="1" x14ac:dyDescent="0.35"/>
    <row r="49414" hidden="1" x14ac:dyDescent="0.35"/>
    <row r="49415" hidden="1" x14ac:dyDescent="0.35"/>
    <row r="49416" hidden="1" x14ac:dyDescent="0.35"/>
    <row r="49417" hidden="1" x14ac:dyDescent="0.35"/>
    <row r="49418" hidden="1" x14ac:dyDescent="0.35"/>
    <row r="49419" hidden="1" x14ac:dyDescent="0.35"/>
    <row r="49420" hidden="1" x14ac:dyDescent="0.35"/>
    <row r="49421" hidden="1" x14ac:dyDescent="0.35"/>
    <row r="49422" hidden="1" x14ac:dyDescent="0.35"/>
    <row r="49423" hidden="1" x14ac:dyDescent="0.35"/>
    <row r="49424" hidden="1" x14ac:dyDescent="0.35"/>
    <row r="49425" hidden="1" x14ac:dyDescent="0.35"/>
    <row r="49426" hidden="1" x14ac:dyDescent="0.35"/>
    <row r="49427" hidden="1" x14ac:dyDescent="0.35"/>
    <row r="49428" hidden="1" x14ac:dyDescent="0.35"/>
    <row r="49429" hidden="1" x14ac:dyDescent="0.35"/>
    <row r="49430" hidden="1" x14ac:dyDescent="0.35"/>
    <row r="49431" hidden="1" x14ac:dyDescent="0.35"/>
    <row r="49432" hidden="1" x14ac:dyDescent="0.35"/>
    <row r="49433" hidden="1" x14ac:dyDescent="0.35"/>
    <row r="49434" hidden="1" x14ac:dyDescent="0.35"/>
    <row r="49435" hidden="1" x14ac:dyDescent="0.35"/>
    <row r="49436" hidden="1" x14ac:dyDescent="0.35"/>
    <row r="49437" hidden="1" x14ac:dyDescent="0.35"/>
    <row r="49438" hidden="1" x14ac:dyDescent="0.35"/>
    <row r="49439" hidden="1" x14ac:dyDescent="0.35"/>
    <row r="49440" hidden="1" x14ac:dyDescent="0.35"/>
    <row r="49441" hidden="1" x14ac:dyDescent="0.35"/>
    <row r="49442" hidden="1" x14ac:dyDescent="0.35"/>
    <row r="49443" hidden="1" x14ac:dyDescent="0.35"/>
    <row r="49444" hidden="1" x14ac:dyDescent="0.35"/>
    <row r="49445" hidden="1" x14ac:dyDescent="0.35"/>
    <row r="49446" hidden="1" x14ac:dyDescent="0.35"/>
    <row r="49447" hidden="1" x14ac:dyDescent="0.35"/>
    <row r="49448" hidden="1" x14ac:dyDescent="0.35"/>
    <row r="49449" hidden="1" x14ac:dyDescent="0.35"/>
    <row r="49450" hidden="1" x14ac:dyDescent="0.35"/>
    <row r="49451" hidden="1" x14ac:dyDescent="0.35"/>
    <row r="49452" hidden="1" x14ac:dyDescent="0.35"/>
    <row r="49453" hidden="1" x14ac:dyDescent="0.35"/>
    <row r="49454" hidden="1" x14ac:dyDescent="0.35"/>
    <row r="49455" hidden="1" x14ac:dyDescent="0.35"/>
    <row r="49456" hidden="1" x14ac:dyDescent="0.35"/>
    <row r="49457" hidden="1" x14ac:dyDescent="0.35"/>
    <row r="49458" hidden="1" x14ac:dyDescent="0.35"/>
    <row r="49459" hidden="1" x14ac:dyDescent="0.35"/>
    <row r="49460" hidden="1" x14ac:dyDescent="0.35"/>
    <row r="49461" hidden="1" x14ac:dyDescent="0.35"/>
    <row r="49462" hidden="1" x14ac:dyDescent="0.35"/>
    <row r="49463" hidden="1" x14ac:dyDescent="0.35"/>
    <row r="49464" hidden="1" x14ac:dyDescent="0.35"/>
    <row r="49465" hidden="1" x14ac:dyDescent="0.35"/>
    <row r="49466" hidden="1" x14ac:dyDescent="0.35"/>
    <row r="49467" hidden="1" x14ac:dyDescent="0.35"/>
    <row r="49468" hidden="1" x14ac:dyDescent="0.35"/>
    <row r="49469" hidden="1" x14ac:dyDescent="0.35"/>
    <row r="49470" hidden="1" x14ac:dyDescent="0.35"/>
    <row r="49471" hidden="1" x14ac:dyDescent="0.35"/>
    <row r="49472" hidden="1" x14ac:dyDescent="0.35"/>
    <row r="49473" hidden="1" x14ac:dyDescent="0.35"/>
    <row r="49474" hidden="1" x14ac:dyDescent="0.35"/>
    <row r="49475" hidden="1" x14ac:dyDescent="0.35"/>
    <row r="49476" hidden="1" x14ac:dyDescent="0.35"/>
    <row r="49477" hidden="1" x14ac:dyDescent="0.35"/>
    <row r="49478" hidden="1" x14ac:dyDescent="0.35"/>
    <row r="49479" hidden="1" x14ac:dyDescent="0.35"/>
    <row r="49480" hidden="1" x14ac:dyDescent="0.35"/>
    <row r="49481" hidden="1" x14ac:dyDescent="0.35"/>
    <row r="49482" hidden="1" x14ac:dyDescent="0.35"/>
    <row r="49483" hidden="1" x14ac:dyDescent="0.35"/>
    <row r="49484" hidden="1" x14ac:dyDescent="0.35"/>
    <row r="49485" hidden="1" x14ac:dyDescent="0.35"/>
    <row r="49486" hidden="1" x14ac:dyDescent="0.35"/>
    <row r="49487" hidden="1" x14ac:dyDescent="0.35"/>
    <row r="49488" hidden="1" x14ac:dyDescent="0.35"/>
    <row r="49489" hidden="1" x14ac:dyDescent="0.35"/>
    <row r="49490" hidden="1" x14ac:dyDescent="0.35"/>
    <row r="49491" hidden="1" x14ac:dyDescent="0.35"/>
    <row r="49492" hidden="1" x14ac:dyDescent="0.35"/>
    <row r="49493" hidden="1" x14ac:dyDescent="0.35"/>
    <row r="49494" hidden="1" x14ac:dyDescent="0.35"/>
    <row r="49495" hidden="1" x14ac:dyDescent="0.35"/>
    <row r="49496" hidden="1" x14ac:dyDescent="0.35"/>
    <row r="49497" hidden="1" x14ac:dyDescent="0.35"/>
    <row r="49498" hidden="1" x14ac:dyDescent="0.35"/>
    <row r="49499" hidden="1" x14ac:dyDescent="0.35"/>
    <row r="49500" hidden="1" x14ac:dyDescent="0.35"/>
    <row r="49501" hidden="1" x14ac:dyDescent="0.35"/>
    <row r="49502" hidden="1" x14ac:dyDescent="0.35"/>
    <row r="49503" hidden="1" x14ac:dyDescent="0.35"/>
    <row r="49504" hidden="1" x14ac:dyDescent="0.35"/>
    <row r="49505" hidden="1" x14ac:dyDescent="0.35"/>
    <row r="49506" hidden="1" x14ac:dyDescent="0.35"/>
    <row r="49507" hidden="1" x14ac:dyDescent="0.35"/>
    <row r="49508" hidden="1" x14ac:dyDescent="0.35"/>
    <row r="49509" hidden="1" x14ac:dyDescent="0.35"/>
    <row r="49510" hidden="1" x14ac:dyDescent="0.35"/>
    <row r="49511" hidden="1" x14ac:dyDescent="0.35"/>
    <row r="49512" hidden="1" x14ac:dyDescent="0.35"/>
    <row r="49513" hidden="1" x14ac:dyDescent="0.35"/>
    <row r="49514" hidden="1" x14ac:dyDescent="0.35"/>
    <row r="49515" hidden="1" x14ac:dyDescent="0.35"/>
    <row r="49516" hidden="1" x14ac:dyDescent="0.35"/>
    <row r="49517" hidden="1" x14ac:dyDescent="0.35"/>
    <row r="49518" hidden="1" x14ac:dyDescent="0.35"/>
    <row r="49519" hidden="1" x14ac:dyDescent="0.35"/>
    <row r="49520" hidden="1" x14ac:dyDescent="0.35"/>
    <row r="49521" hidden="1" x14ac:dyDescent="0.35"/>
    <row r="49522" hidden="1" x14ac:dyDescent="0.35"/>
    <row r="49523" hidden="1" x14ac:dyDescent="0.35"/>
    <row r="49524" hidden="1" x14ac:dyDescent="0.35"/>
    <row r="49525" hidden="1" x14ac:dyDescent="0.35"/>
    <row r="49526" hidden="1" x14ac:dyDescent="0.35"/>
    <row r="49527" hidden="1" x14ac:dyDescent="0.35"/>
    <row r="49528" hidden="1" x14ac:dyDescent="0.35"/>
    <row r="49529" hidden="1" x14ac:dyDescent="0.35"/>
    <row r="49530" hidden="1" x14ac:dyDescent="0.35"/>
    <row r="49531" hidden="1" x14ac:dyDescent="0.35"/>
    <row r="49532" hidden="1" x14ac:dyDescent="0.35"/>
    <row r="49533" hidden="1" x14ac:dyDescent="0.35"/>
    <row r="49534" hidden="1" x14ac:dyDescent="0.35"/>
    <row r="49535" hidden="1" x14ac:dyDescent="0.35"/>
    <row r="49536" hidden="1" x14ac:dyDescent="0.35"/>
    <row r="49537" hidden="1" x14ac:dyDescent="0.35"/>
    <row r="49538" hidden="1" x14ac:dyDescent="0.35"/>
    <row r="49539" hidden="1" x14ac:dyDescent="0.35"/>
    <row r="49540" hidden="1" x14ac:dyDescent="0.35"/>
    <row r="49541" hidden="1" x14ac:dyDescent="0.35"/>
    <row r="49542" hidden="1" x14ac:dyDescent="0.35"/>
    <row r="49543" hidden="1" x14ac:dyDescent="0.35"/>
    <row r="49544" hidden="1" x14ac:dyDescent="0.35"/>
    <row r="49545" hidden="1" x14ac:dyDescent="0.35"/>
    <row r="49546" hidden="1" x14ac:dyDescent="0.35"/>
    <row r="49547" hidden="1" x14ac:dyDescent="0.35"/>
    <row r="49548" hidden="1" x14ac:dyDescent="0.35"/>
    <row r="49549" hidden="1" x14ac:dyDescent="0.35"/>
    <row r="49550" hidden="1" x14ac:dyDescent="0.35"/>
    <row r="49551" hidden="1" x14ac:dyDescent="0.35"/>
    <row r="49552" hidden="1" x14ac:dyDescent="0.35"/>
    <row r="49553" hidden="1" x14ac:dyDescent="0.35"/>
    <row r="49554" hidden="1" x14ac:dyDescent="0.35"/>
    <row r="49555" hidden="1" x14ac:dyDescent="0.35"/>
    <row r="49556" hidden="1" x14ac:dyDescent="0.35"/>
    <row r="49557" hidden="1" x14ac:dyDescent="0.35"/>
    <row r="49558" hidden="1" x14ac:dyDescent="0.35"/>
    <row r="49559" hidden="1" x14ac:dyDescent="0.35"/>
    <row r="49560" hidden="1" x14ac:dyDescent="0.35"/>
    <row r="49561" hidden="1" x14ac:dyDescent="0.35"/>
    <row r="49562" hidden="1" x14ac:dyDescent="0.35"/>
    <row r="49563" hidden="1" x14ac:dyDescent="0.35"/>
    <row r="49564" hidden="1" x14ac:dyDescent="0.35"/>
    <row r="49565" hidden="1" x14ac:dyDescent="0.35"/>
    <row r="49566" hidden="1" x14ac:dyDescent="0.35"/>
    <row r="49567" hidden="1" x14ac:dyDescent="0.35"/>
    <row r="49568" hidden="1" x14ac:dyDescent="0.35"/>
    <row r="49569" hidden="1" x14ac:dyDescent="0.35"/>
    <row r="49570" hidden="1" x14ac:dyDescent="0.35"/>
    <row r="49571" hidden="1" x14ac:dyDescent="0.35"/>
    <row r="49572" hidden="1" x14ac:dyDescent="0.35"/>
    <row r="49573" hidden="1" x14ac:dyDescent="0.35"/>
    <row r="49574" hidden="1" x14ac:dyDescent="0.35"/>
    <row r="49575" hidden="1" x14ac:dyDescent="0.35"/>
    <row r="49576" hidden="1" x14ac:dyDescent="0.35"/>
    <row r="49577" hidden="1" x14ac:dyDescent="0.35"/>
    <row r="49578" hidden="1" x14ac:dyDescent="0.35"/>
    <row r="49579" hidden="1" x14ac:dyDescent="0.35"/>
    <row r="49580" hidden="1" x14ac:dyDescent="0.35"/>
    <row r="49581" hidden="1" x14ac:dyDescent="0.35"/>
    <row r="49582" hidden="1" x14ac:dyDescent="0.35"/>
    <row r="49583" hidden="1" x14ac:dyDescent="0.35"/>
    <row r="49584" hidden="1" x14ac:dyDescent="0.35"/>
    <row r="49585" hidden="1" x14ac:dyDescent="0.35"/>
    <row r="49586" hidden="1" x14ac:dyDescent="0.35"/>
    <row r="49587" hidden="1" x14ac:dyDescent="0.35"/>
    <row r="49588" hidden="1" x14ac:dyDescent="0.35"/>
    <row r="49589" hidden="1" x14ac:dyDescent="0.35"/>
    <row r="49590" hidden="1" x14ac:dyDescent="0.35"/>
    <row r="49591" hidden="1" x14ac:dyDescent="0.35"/>
    <row r="49592" hidden="1" x14ac:dyDescent="0.35"/>
    <row r="49593" hidden="1" x14ac:dyDescent="0.35"/>
    <row r="49594" hidden="1" x14ac:dyDescent="0.35"/>
    <row r="49595" hidden="1" x14ac:dyDescent="0.35"/>
    <row r="49596" hidden="1" x14ac:dyDescent="0.35"/>
    <row r="49597" hidden="1" x14ac:dyDescent="0.35"/>
    <row r="49598" hidden="1" x14ac:dyDescent="0.35"/>
    <row r="49599" hidden="1" x14ac:dyDescent="0.35"/>
    <row r="49600" hidden="1" x14ac:dyDescent="0.35"/>
    <row r="49601" hidden="1" x14ac:dyDescent="0.35"/>
    <row r="49602" hidden="1" x14ac:dyDescent="0.35"/>
    <row r="49603" hidden="1" x14ac:dyDescent="0.35"/>
    <row r="49604" hidden="1" x14ac:dyDescent="0.35"/>
    <row r="49605" hidden="1" x14ac:dyDescent="0.35"/>
    <row r="49606" hidden="1" x14ac:dyDescent="0.35"/>
    <row r="49607" hidden="1" x14ac:dyDescent="0.35"/>
    <row r="49608" hidden="1" x14ac:dyDescent="0.35"/>
    <row r="49609" hidden="1" x14ac:dyDescent="0.35"/>
    <row r="49610" hidden="1" x14ac:dyDescent="0.35"/>
    <row r="49611" hidden="1" x14ac:dyDescent="0.35"/>
    <row r="49612" hidden="1" x14ac:dyDescent="0.35"/>
    <row r="49613" hidden="1" x14ac:dyDescent="0.35"/>
    <row r="49614" hidden="1" x14ac:dyDescent="0.35"/>
    <row r="49615" hidden="1" x14ac:dyDescent="0.35"/>
    <row r="49616" hidden="1" x14ac:dyDescent="0.35"/>
    <row r="49617" hidden="1" x14ac:dyDescent="0.35"/>
    <row r="49618" hidden="1" x14ac:dyDescent="0.35"/>
    <row r="49619" hidden="1" x14ac:dyDescent="0.35"/>
    <row r="49620" hidden="1" x14ac:dyDescent="0.35"/>
    <row r="49621" hidden="1" x14ac:dyDescent="0.35"/>
    <row r="49622" hidden="1" x14ac:dyDescent="0.35"/>
    <row r="49623" hidden="1" x14ac:dyDescent="0.35"/>
    <row r="49624" hidden="1" x14ac:dyDescent="0.35"/>
    <row r="49625" hidden="1" x14ac:dyDescent="0.35"/>
    <row r="49626" hidden="1" x14ac:dyDescent="0.35"/>
    <row r="49627" hidden="1" x14ac:dyDescent="0.35"/>
    <row r="49628" hidden="1" x14ac:dyDescent="0.35"/>
    <row r="49629" hidden="1" x14ac:dyDescent="0.35"/>
    <row r="49630" hidden="1" x14ac:dyDescent="0.35"/>
    <row r="49631" hidden="1" x14ac:dyDescent="0.35"/>
    <row r="49632" hidden="1" x14ac:dyDescent="0.35"/>
    <row r="49633" hidden="1" x14ac:dyDescent="0.35"/>
    <row r="49634" hidden="1" x14ac:dyDescent="0.35"/>
    <row r="49635" hidden="1" x14ac:dyDescent="0.35"/>
    <row r="49636" hidden="1" x14ac:dyDescent="0.35"/>
    <row r="49637" hidden="1" x14ac:dyDescent="0.35"/>
    <row r="49638" hidden="1" x14ac:dyDescent="0.35"/>
    <row r="49639" hidden="1" x14ac:dyDescent="0.35"/>
    <row r="49640" hidden="1" x14ac:dyDescent="0.35"/>
    <row r="49641" hidden="1" x14ac:dyDescent="0.35"/>
    <row r="49642" hidden="1" x14ac:dyDescent="0.35"/>
    <row r="49643" hidden="1" x14ac:dyDescent="0.35"/>
    <row r="49644" hidden="1" x14ac:dyDescent="0.35"/>
    <row r="49645" hidden="1" x14ac:dyDescent="0.35"/>
    <row r="49646" hidden="1" x14ac:dyDescent="0.35"/>
    <row r="49647" hidden="1" x14ac:dyDescent="0.35"/>
    <row r="49648" hidden="1" x14ac:dyDescent="0.35"/>
    <row r="49649" hidden="1" x14ac:dyDescent="0.35"/>
    <row r="49650" hidden="1" x14ac:dyDescent="0.35"/>
    <row r="49651" hidden="1" x14ac:dyDescent="0.35"/>
    <row r="49652" hidden="1" x14ac:dyDescent="0.35"/>
    <row r="49653" hidden="1" x14ac:dyDescent="0.35"/>
    <row r="49654" hidden="1" x14ac:dyDescent="0.35"/>
    <row r="49655" hidden="1" x14ac:dyDescent="0.35"/>
    <row r="49656" hidden="1" x14ac:dyDescent="0.35"/>
    <row r="49657" hidden="1" x14ac:dyDescent="0.35"/>
    <row r="49658" hidden="1" x14ac:dyDescent="0.35"/>
    <row r="49659" hidden="1" x14ac:dyDescent="0.35"/>
    <row r="49660" hidden="1" x14ac:dyDescent="0.35"/>
    <row r="49661" hidden="1" x14ac:dyDescent="0.35"/>
    <row r="49662" hidden="1" x14ac:dyDescent="0.35"/>
    <row r="49663" hidden="1" x14ac:dyDescent="0.35"/>
    <row r="49664" hidden="1" x14ac:dyDescent="0.35"/>
    <row r="49665" hidden="1" x14ac:dyDescent="0.35"/>
    <row r="49666" hidden="1" x14ac:dyDescent="0.35"/>
    <row r="49667" hidden="1" x14ac:dyDescent="0.35"/>
    <row r="49668" hidden="1" x14ac:dyDescent="0.35"/>
    <row r="49669" hidden="1" x14ac:dyDescent="0.35"/>
    <row r="49670" hidden="1" x14ac:dyDescent="0.35"/>
    <row r="49671" hidden="1" x14ac:dyDescent="0.35"/>
    <row r="49672" hidden="1" x14ac:dyDescent="0.35"/>
    <row r="49673" hidden="1" x14ac:dyDescent="0.35"/>
    <row r="49674" hidden="1" x14ac:dyDescent="0.35"/>
    <row r="49675" hidden="1" x14ac:dyDescent="0.35"/>
    <row r="49676" hidden="1" x14ac:dyDescent="0.35"/>
    <row r="49677" hidden="1" x14ac:dyDescent="0.35"/>
    <row r="49678" hidden="1" x14ac:dyDescent="0.35"/>
    <row r="49679" hidden="1" x14ac:dyDescent="0.35"/>
    <row r="49680" hidden="1" x14ac:dyDescent="0.35"/>
    <row r="49681" hidden="1" x14ac:dyDescent="0.35"/>
    <row r="49682" hidden="1" x14ac:dyDescent="0.35"/>
    <row r="49683" hidden="1" x14ac:dyDescent="0.35"/>
    <row r="49684" hidden="1" x14ac:dyDescent="0.35"/>
    <row r="49685" hidden="1" x14ac:dyDescent="0.35"/>
    <row r="49686" hidden="1" x14ac:dyDescent="0.35"/>
    <row r="49687" hidden="1" x14ac:dyDescent="0.35"/>
    <row r="49688" hidden="1" x14ac:dyDescent="0.35"/>
    <row r="49689" hidden="1" x14ac:dyDescent="0.35"/>
    <row r="49690" hidden="1" x14ac:dyDescent="0.35"/>
    <row r="49691" hidden="1" x14ac:dyDescent="0.35"/>
    <row r="49692" hidden="1" x14ac:dyDescent="0.35"/>
    <row r="49693" hidden="1" x14ac:dyDescent="0.35"/>
    <row r="49694" hidden="1" x14ac:dyDescent="0.35"/>
    <row r="49695" hidden="1" x14ac:dyDescent="0.35"/>
    <row r="49696" hidden="1" x14ac:dyDescent="0.35"/>
    <row r="49697" hidden="1" x14ac:dyDescent="0.35"/>
    <row r="49698" hidden="1" x14ac:dyDescent="0.35"/>
    <row r="49699" hidden="1" x14ac:dyDescent="0.35"/>
    <row r="49700" hidden="1" x14ac:dyDescent="0.35"/>
    <row r="49701" hidden="1" x14ac:dyDescent="0.35"/>
    <row r="49702" hidden="1" x14ac:dyDescent="0.35"/>
    <row r="49703" hidden="1" x14ac:dyDescent="0.35"/>
    <row r="49704" hidden="1" x14ac:dyDescent="0.35"/>
    <row r="49705" hidden="1" x14ac:dyDescent="0.35"/>
    <row r="49706" hidden="1" x14ac:dyDescent="0.35"/>
    <row r="49707" hidden="1" x14ac:dyDescent="0.35"/>
    <row r="49708" hidden="1" x14ac:dyDescent="0.35"/>
    <row r="49709" hidden="1" x14ac:dyDescent="0.35"/>
    <row r="49710" hidden="1" x14ac:dyDescent="0.35"/>
    <row r="49711" hidden="1" x14ac:dyDescent="0.35"/>
    <row r="49712" hidden="1" x14ac:dyDescent="0.35"/>
    <row r="49713" hidden="1" x14ac:dyDescent="0.35"/>
    <row r="49714" hidden="1" x14ac:dyDescent="0.35"/>
    <row r="49715" hidden="1" x14ac:dyDescent="0.35"/>
    <row r="49716" hidden="1" x14ac:dyDescent="0.35"/>
    <row r="49717" hidden="1" x14ac:dyDescent="0.35"/>
    <row r="49718" hidden="1" x14ac:dyDescent="0.35"/>
    <row r="49719" hidden="1" x14ac:dyDescent="0.35"/>
    <row r="49720" hidden="1" x14ac:dyDescent="0.35"/>
    <row r="49721" hidden="1" x14ac:dyDescent="0.35"/>
    <row r="49722" hidden="1" x14ac:dyDescent="0.35"/>
    <row r="49723" hidden="1" x14ac:dyDescent="0.35"/>
    <row r="49724" hidden="1" x14ac:dyDescent="0.35"/>
    <row r="49725" hidden="1" x14ac:dyDescent="0.35"/>
    <row r="49726" hidden="1" x14ac:dyDescent="0.35"/>
    <row r="49727" hidden="1" x14ac:dyDescent="0.35"/>
    <row r="49728" hidden="1" x14ac:dyDescent="0.35"/>
    <row r="49729" hidden="1" x14ac:dyDescent="0.35"/>
    <row r="49730" hidden="1" x14ac:dyDescent="0.35"/>
    <row r="49731" hidden="1" x14ac:dyDescent="0.35"/>
    <row r="49732" hidden="1" x14ac:dyDescent="0.35"/>
    <row r="49733" hidden="1" x14ac:dyDescent="0.35"/>
    <row r="49734" hidden="1" x14ac:dyDescent="0.35"/>
    <row r="49735" hidden="1" x14ac:dyDescent="0.35"/>
    <row r="49736" hidden="1" x14ac:dyDescent="0.35"/>
    <row r="49737" hidden="1" x14ac:dyDescent="0.35"/>
    <row r="49738" hidden="1" x14ac:dyDescent="0.35"/>
    <row r="49739" hidden="1" x14ac:dyDescent="0.35"/>
    <row r="49740" hidden="1" x14ac:dyDescent="0.35"/>
    <row r="49741" hidden="1" x14ac:dyDescent="0.35"/>
    <row r="49742" hidden="1" x14ac:dyDescent="0.35"/>
    <row r="49743" hidden="1" x14ac:dyDescent="0.35"/>
    <row r="49744" hidden="1" x14ac:dyDescent="0.35"/>
    <row r="49745" hidden="1" x14ac:dyDescent="0.35"/>
    <row r="49746" hidden="1" x14ac:dyDescent="0.35"/>
    <row r="49747" hidden="1" x14ac:dyDescent="0.35"/>
    <row r="49748" hidden="1" x14ac:dyDescent="0.35"/>
    <row r="49749" hidden="1" x14ac:dyDescent="0.35"/>
    <row r="49750" hidden="1" x14ac:dyDescent="0.35"/>
    <row r="49751" hidden="1" x14ac:dyDescent="0.35"/>
    <row r="49752" hidden="1" x14ac:dyDescent="0.35"/>
    <row r="49753" hidden="1" x14ac:dyDescent="0.35"/>
    <row r="49754" hidden="1" x14ac:dyDescent="0.35"/>
    <row r="49755" hidden="1" x14ac:dyDescent="0.35"/>
    <row r="49756" hidden="1" x14ac:dyDescent="0.35"/>
    <row r="49757" hidden="1" x14ac:dyDescent="0.35"/>
    <row r="49758" hidden="1" x14ac:dyDescent="0.35"/>
    <row r="49759" hidden="1" x14ac:dyDescent="0.35"/>
    <row r="49760" hidden="1" x14ac:dyDescent="0.35"/>
    <row r="49761" hidden="1" x14ac:dyDescent="0.35"/>
    <row r="49762" hidden="1" x14ac:dyDescent="0.35"/>
    <row r="49763" hidden="1" x14ac:dyDescent="0.35"/>
    <row r="49764" hidden="1" x14ac:dyDescent="0.35"/>
    <row r="49765" hidden="1" x14ac:dyDescent="0.35"/>
    <row r="49766" hidden="1" x14ac:dyDescent="0.35"/>
    <row r="49767" hidden="1" x14ac:dyDescent="0.35"/>
    <row r="49768" hidden="1" x14ac:dyDescent="0.35"/>
    <row r="49769" hidden="1" x14ac:dyDescent="0.35"/>
    <row r="49770" hidden="1" x14ac:dyDescent="0.35"/>
    <row r="49771" hidden="1" x14ac:dyDescent="0.35"/>
    <row r="49772" hidden="1" x14ac:dyDescent="0.35"/>
    <row r="49773" hidden="1" x14ac:dyDescent="0.35"/>
    <row r="49774" hidden="1" x14ac:dyDescent="0.35"/>
    <row r="49775" hidden="1" x14ac:dyDescent="0.35"/>
    <row r="49776" hidden="1" x14ac:dyDescent="0.35"/>
    <row r="49777" hidden="1" x14ac:dyDescent="0.35"/>
    <row r="49778" hidden="1" x14ac:dyDescent="0.35"/>
    <row r="49779" hidden="1" x14ac:dyDescent="0.35"/>
    <row r="49780" hidden="1" x14ac:dyDescent="0.35"/>
    <row r="49781" hidden="1" x14ac:dyDescent="0.35"/>
    <row r="49782" hidden="1" x14ac:dyDescent="0.35"/>
    <row r="49783" hidden="1" x14ac:dyDescent="0.35"/>
    <row r="49784" hidden="1" x14ac:dyDescent="0.35"/>
    <row r="49785" hidden="1" x14ac:dyDescent="0.35"/>
    <row r="49786" hidden="1" x14ac:dyDescent="0.35"/>
    <row r="49787" hidden="1" x14ac:dyDescent="0.35"/>
    <row r="49788" hidden="1" x14ac:dyDescent="0.35"/>
    <row r="49789" hidden="1" x14ac:dyDescent="0.35"/>
    <row r="49790" hidden="1" x14ac:dyDescent="0.35"/>
    <row r="49791" hidden="1" x14ac:dyDescent="0.35"/>
    <row r="49792" hidden="1" x14ac:dyDescent="0.35"/>
    <row r="49793" hidden="1" x14ac:dyDescent="0.35"/>
    <row r="49794" hidden="1" x14ac:dyDescent="0.35"/>
    <row r="49795" hidden="1" x14ac:dyDescent="0.35"/>
    <row r="49796" hidden="1" x14ac:dyDescent="0.35"/>
    <row r="49797" hidden="1" x14ac:dyDescent="0.35"/>
    <row r="49798" hidden="1" x14ac:dyDescent="0.35"/>
    <row r="49799" hidden="1" x14ac:dyDescent="0.35"/>
    <row r="49800" hidden="1" x14ac:dyDescent="0.35"/>
    <row r="49801" hidden="1" x14ac:dyDescent="0.35"/>
    <row r="49802" hidden="1" x14ac:dyDescent="0.35"/>
    <row r="49803" hidden="1" x14ac:dyDescent="0.35"/>
    <row r="49804" hidden="1" x14ac:dyDescent="0.35"/>
    <row r="49805" hidden="1" x14ac:dyDescent="0.35"/>
    <row r="49806" hidden="1" x14ac:dyDescent="0.35"/>
    <row r="49807" hidden="1" x14ac:dyDescent="0.35"/>
    <row r="49808" hidden="1" x14ac:dyDescent="0.35"/>
    <row r="49809" hidden="1" x14ac:dyDescent="0.35"/>
    <row r="49810" hidden="1" x14ac:dyDescent="0.35"/>
    <row r="49811" hidden="1" x14ac:dyDescent="0.35"/>
    <row r="49812" hidden="1" x14ac:dyDescent="0.35"/>
    <row r="49813" hidden="1" x14ac:dyDescent="0.35"/>
    <row r="49814" hidden="1" x14ac:dyDescent="0.35"/>
    <row r="49815" hidden="1" x14ac:dyDescent="0.35"/>
    <row r="49816" hidden="1" x14ac:dyDescent="0.35"/>
    <row r="49817" hidden="1" x14ac:dyDescent="0.35"/>
    <row r="49818" hidden="1" x14ac:dyDescent="0.35"/>
    <row r="49819" hidden="1" x14ac:dyDescent="0.35"/>
    <row r="49820" hidden="1" x14ac:dyDescent="0.35"/>
    <row r="49821" hidden="1" x14ac:dyDescent="0.35"/>
    <row r="49822" hidden="1" x14ac:dyDescent="0.35"/>
    <row r="49823" hidden="1" x14ac:dyDescent="0.35"/>
    <row r="49824" hidden="1" x14ac:dyDescent="0.35"/>
    <row r="49825" hidden="1" x14ac:dyDescent="0.35"/>
    <row r="49826" hidden="1" x14ac:dyDescent="0.35"/>
    <row r="49827" hidden="1" x14ac:dyDescent="0.35"/>
    <row r="49828" hidden="1" x14ac:dyDescent="0.35"/>
    <row r="49829" hidden="1" x14ac:dyDescent="0.35"/>
    <row r="49830" hidden="1" x14ac:dyDescent="0.35"/>
    <row r="49831" hidden="1" x14ac:dyDescent="0.35"/>
    <row r="49832" hidden="1" x14ac:dyDescent="0.35"/>
    <row r="49833" hidden="1" x14ac:dyDescent="0.35"/>
    <row r="49834" hidden="1" x14ac:dyDescent="0.35"/>
    <row r="49835" hidden="1" x14ac:dyDescent="0.35"/>
    <row r="49836" hidden="1" x14ac:dyDescent="0.35"/>
    <row r="49837" hidden="1" x14ac:dyDescent="0.35"/>
    <row r="49838" hidden="1" x14ac:dyDescent="0.35"/>
    <row r="49839" hidden="1" x14ac:dyDescent="0.35"/>
    <row r="49840" hidden="1" x14ac:dyDescent="0.35"/>
    <row r="49841" hidden="1" x14ac:dyDescent="0.35"/>
    <row r="49842" hidden="1" x14ac:dyDescent="0.35"/>
    <row r="49843" hidden="1" x14ac:dyDescent="0.35"/>
    <row r="49844" hidden="1" x14ac:dyDescent="0.35"/>
    <row r="49845" hidden="1" x14ac:dyDescent="0.35"/>
    <row r="49846" hidden="1" x14ac:dyDescent="0.35"/>
    <row r="49847" hidden="1" x14ac:dyDescent="0.35"/>
    <row r="49848" hidden="1" x14ac:dyDescent="0.35"/>
    <row r="49849" hidden="1" x14ac:dyDescent="0.35"/>
    <row r="49850" hidden="1" x14ac:dyDescent="0.35"/>
    <row r="49851" hidden="1" x14ac:dyDescent="0.35"/>
    <row r="49852" hidden="1" x14ac:dyDescent="0.35"/>
    <row r="49853" hidden="1" x14ac:dyDescent="0.35"/>
    <row r="49854" hidden="1" x14ac:dyDescent="0.35"/>
    <row r="49855" hidden="1" x14ac:dyDescent="0.35"/>
    <row r="49856" hidden="1" x14ac:dyDescent="0.35"/>
    <row r="49857" hidden="1" x14ac:dyDescent="0.35"/>
    <row r="49858" hidden="1" x14ac:dyDescent="0.35"/>
    <row r="49859" hidden="1" x14ac:dyDescent="0.35"/>
    <row r="49860" hidden="1" x14ac:dyDescent="0.35"/>
    <row r="49861" hidden="1" x14ac:dyDescent="0.35"/>
    <row r="49862" hidden="1" x14ac:dyDescent="0.35"/>
    <row r="49863" hidden="1" x14ac:dyDescent="0.35"/>
    <row r="49864" hidden="1" x14ac:dyDescent="0.35"/>
    <row r="49865" hidden="1" x14ac:dyDescent="0.35"/>
    <row r="49866" hidden="1" x14ac:dyDescent="0.35"/>
    <row r="49867" hidden="1" x14ac:dyDescent="0.35"/>
    <row r="49868" hidden="1" x14ac:dyDescent="0.35"/>
    <row r="49869" hidden="1" x14ac:dyDescent="0.35"/>
    <row r="49870" hidden="1" x14ac:dyDescent="0.35"/>
    <row r="49871" hidden="1" x14ac:dyDescent="0.35"/>
    <row r="49872" hidden="1" x14ac:dyDescent="0.35"/>
    <row r="49873" hidden="1" x14ac:dyDescent="0.35"/>
    <row r="49874" hidden="1" x14ac:dyDescent="0.35"/>
    <row r="49875" hidden="1" x14ac:dyDescent="0.35"/>
    <row r="49876" hidden="1" x14ac:dyDescent="0.35"/>
    <row r="49877" hidden="1" x14ac:dyDescent="0.35"/>
    <row r="49878" hidden="1" x14ac:dyDescent="0.35"/>
    <row r="49879" hidden="1" x14ac:dyDescent="0.35"/>
    <row r="49880" hidden="1" x14ac:dyDescent="0.35"/>
    <row r="49881" hidden="1" x14ac:dyDescent="0.35"/>
    <row r="49882" hidden="1" x14ac:dyDescent="0.35"/>
    <row r="49883" hidden="1" x14ac:dyDescent="0.35"/>
    <row r="49884" hidden="1" x14ac:dyDescent="0.35"/>
    <row r="49885" hidden="1" x14ac:dyDescent="0.35"/>
    <row r="49886" hidden="1" x14ac:dyDescent="0.35"/>
    <row r="49887" hidden="1" x14ac:dyDescent="0.35"/>
    <row r="49888" hidden="1" x14ac:dyDescent="0.35"/>
    <row r="49889" hidden="1" x14ac:dyDescent="0.35"/>
    <row r="49890" hidden="1" x14ac:dyDescent="0.35"/>
    <row r="49891" hidden="1" x14ac:dyDescent="0.35"/>
    <row r="49892" hidden="1" x14ac:dyDescent="0.35"/>
    <row r="49893" hidden="1" x14ac:dyDescent="0.35"/>
    <row r="49894" hidden="1" x14ac:dyDescent="0.35"/>
    <row r="49895" hidden="1" x14ac:dyDescent="0.35"/>
    <row r="49896" hidden="1" x14ac:dyDescent="0.35"/>
    <row r="49897" hidden="1" x14ac:dyDescent="0.35"/>
    <row r="49898" hidden="1" x14ac:dyDescent="0.35"/>
    <row r="49899" hidden="1" x14ac:dyDescent="0.35"/>
    <row r="49900" hidden="1" x14ac:dyDescent="0.35"/>
    <row r="49901" hidden="1" x14ac:dyDescent="0.35"/>
    <row r="49902" hidden="1" x14ac:dyDescent="0.35"/>
    <row r="49903" hidden="1" x14ac:dyDescent="0.35"/>
    <row r="49904" hidden="1" x14ac:dyDescent="0.35"/>
    <row r="49905" hidden="1" x14ac:dyDescent="0.35"/>
    <row r="49906" hidden="1" x14ac:dyDescent="0.35"/>
    <row r="49907" hidden="1" x14ac:dyDescent="0.35"/>
    <row r="49908" hidden="1" x14ac:dyDescent="0.35"/>
    <row r="49909" hidden="1" x14ac:dyDescent="0.35"/>
    <row r="49910" hidden="1" x14ac:dyDescent="0.35"/>
    <row r="49911" hidden="1" x14ac:dyDescent="0.35"/>
    <row r="49912" hidden="1" x14ac:dyDescent="0.35"/>
    <row r="49913" hidden="1" x14ac:dyDescent="0.35"/>
    <row r="49914" hidden="1" x14ac:dyDescent="0.35"/>
    <row r="49915" hidden="1" x14ac:dyDescent="0.35"/>
    <row r="49916" hidden="1" x14ac:dyDescent="0.35"/>
    <row r="49917" hidden="1" x14ac:dyDescent="0.35"/>
    <row r="49918" hidden="1" x14ac:dyDescent="0.35"/>
    <row r="49919" hidden="1" x14ac:dyDescent="0.35"/>
    <row r="49920" hidden="1" x14ac:dyDescent="0.35"/>
    <row r="49921" hidden="1" x14ac:dyDescent="0.35"/>
    <row r="49922" hidden="1" x14ac:dyDescent="0.35"/>
    <row r="49923" hidden="1" x14ac:dyDescent="0.35"/>
    <row r="49924" hidden="1" x14ac:dyDescent="0.35"/>
    <row r="49925" hidden="1" x14ac:dyDescent="0.35"/>
    <row r="49926" hidden="1" x14ac:dyDescent="0.35"/>
    <row r="49927" hidden="1" x14ac:dyDescent="0.35"/>
    <row r="49928" hidden="1" x14ac:dyDescent="0.35"/>
    <row r="49929" hidden="1" x14ac:dyDescent="0.35"/>
    <row r="49930" hidden="1" x14ac:dyDescent="0.35"/>
    <row r="49931" hidden="1" x14ac:dyDescent="0.35"/>
    <row r="49932" hidden="1" x14ac:dyDescent="0.35"/>
    <row r="49933" hidden="1" x14ac:dyDescent="0.35"/>
    <row r="49934" hidden="1" x14ac:dyDescent="0.35"/>
    <row r="49935" hidden="1" x14ac:dyDescent="0.35"/>
    <row r="49936" hidden="1" x14ac:dyDescent="0.35"/>
    <row r="49937" hidden="1" x14ac:dyDescent="0.35"/>
    <row r="49938" hidden="1" x14ac:dyDescent="0.35"/>
    <row r="49939" hidden="1" x14ac:dyDescent="0.35"/>
    <row r="49940" hidden="1" x14ac:dyDescent="0.35"/>
    <row r="49941" hidden="1" x14ac:dyDescent="0.35"/>
    <row r="49942" hidden="1" x14ac:dyDescent="0.35"/>
    <row r="49943" hidden="1" x14ac:dyDescent="0.35"/>
    <row r="49944" hidden="1" x14ac:dyDescent="0.35"/>
    <row r="49945" hidden="1" x14ac:dyDescent="0.35"/>
    <row r="49946" hidden="1" x14ac:dyDescent="0.35"/>
    <row r="49947" hidden="1" x14ac:dyDescent="0.35"/>
    <row r="49948" hidden="1" x14ac:dyDescent="0.35"/>
    <row r="49949" hidden="1" x14ac:dyDescent="0.35"/>
    <row r="49950" hidden="1" x14ac:dyDescent="0.35"/>
    <row r="49951" hidden="1" x14ac:dyDescent="0.35"/>
    <row r="49952" hidden="1" x14ac:dyDescent="0.35"/>
    <row r="49953" hidden="1" x14ac:dyDescent="0.35"/>
    <row r="49954" hidden="1" x14ac:dyDescent="0.35"/>
    <row r="49955" hidden="1" x14ac:dyDescent="0.35"/>
    <row r="49956" hidden="1" x14ac:dyDescent="0.35"/>
    <row r="49957" hidden="1" x14ac:dyDescent="0.35"/>
    <row r="49958" hidden="1" x14ac:dyDescent="0.35"/>
    <row r="49959" hidden="1" x14ac:dyDescent="0.35"/>
    <row r="49960" hidden="1" x14ac:dyDescent="0.35"/>
    <row r="49961" hidden="1" x14ac:dyDescent="0.35"/>
    <row r="49962" hidden="1" x14ac:dyDescent="0.35"/>
    <row r="49963" hidden="1" x14ac:dyDescent="0.35"/>
    <row r="49964" hidden="1" x14ac:dyDescent="0.35"/>
    <row r="49965" hidden="1" x14ac:dyDescent="0.35"/>
    <row r="49966" hidden="1" x14ac:dyDescent="0.35"/>
    <row r="49967" hidden="1" x14ac:dyDescent="0.35"/>
    <row r="49968" hidden="1" x14ac:dyDescent="0.35"/>
    <row r="49969" hidden="1" x14ac:dyDescent="0.35"/>
    <row r="49970" hidden="1" x14ac:dyDescent="0.35"/>
    <row r="49971" hidden="1" x14ac:dyDescent="0.35"/>
    <row r="49972" hidden="1" x14ac:dyDescent="0.35"/>
    <row r="49973" hidden="1" x14ac:dyDescent="0.35"/>
    <row r="49974" hidden="1" x14ac:dyDescent="0.35"/>
    <row r="49975" hidden="1" x14ac:dyDescent="0.35"/>
    <row r="49976" hidden="1" x14ac:dyDescent="0.35"/>
    <row r="49977" hidden="1" x14ac:dyDescent="0.35"/>
    <row r="49978" hidden="1" x14ac:dyDescent="0.35"/>
    <row r="49979" hidden="1" x14ac:dyDescent="0.35"/>
    <row r="49980" hidden="1" x14ac:dyDescent="0.35"/>
    <row r="49981" hidden="1" x14ac:dyDescent="0.35"/>
    <row r="49982" hidden="1" x14ac:dyDescent="0.35"/>
    <row r="49983" hidden="1" x14ac:dyDescent="0.35"/>
    <row r="49984" hidden="1" x14ac:dyDescent="0.35"/>
    <row r="49985" hidden="1" x14ac:dyDescent="0.35"/>
    <row r="49986" hidden="1" x14ac:dyDescent="0.35"/>
    <row r="49987" hidden="1" x14ac:dyDescent="0.35"/>
    <row r="49988" hidden="1" x14ac:dyDescent="0.35"/>
    <row r="49989" hidden="1" x14ac:dyDescent="0.35"/>
    <row r="49990" hidden="1" x14ac:dyDescent="0.35"/>
    <row r="49991" hidden="1" x14ac:dyDescent="0.35"/>
    <row r="49992" hidden="1" x14ac:dyDescent="0.35"/>
    <row r="49993" hidden="1" x14ac:dyDescent="0.35"/>
    <row r="49994" hidden="1" x14ac:dyDescent="0.35"/>
    <row r="49995" hidden="1" x14ac:dyDescent="0.35"/>
    <row r="49996" hidden="1" x14ac:dyDescent="0.35"/>
    <row r="49997" hidden="1" x14ac:dyDescent="0.35"/>
    <row r="49998" hidden="1" x14ac:dyDescent="0.35"/>
    <row r="49999" hidden="1" x14ac:dyDescent="0.35"/>
    <row r="50000" hidden="1" x14ac:dyDescent="0.35"/>
    <row r="50001" hidden="1" x14ac:dyDescent="0.35"/>
    <row r="50002" hidden="1" x14ac:dyDescent="0.35"/>
    <row r="50003" hidden="1" x14ac:dyDescent="0.35"/>
    <row r="50004" hidden="1" x14ac:dyDescent="0.35"/>
    <row r="50005" hidden="1" x14ac:dyDescent="0.35"/>
    <row r="50006" hidden="1" x14ac:dyDescent="0.35"/>
    <row r="50007" hidden="1" x14ac:dyDescent="0.35"/>
    <row r="50008" hidden="1" x14ac:dyDescent="0.35"/>
    <row r="50009" hidden="1" x14ac:dyDescent="0.35"/>
    <row r="50010" hidden="1" x14ac:dyDescent="0.35"/>
    <row r="50011" hidden="1" x14ac:dyDescent="0.35"/>
    <row r="50012" hidden="1" x14ac:dyDescent="0.35"/>
    <row r="50013" hidden="1" x14ac:dyDescent="0.35"/>
    <row r="50014" hidden="1" x14ac:dyDescent="0.35"/>
    <row r="50015" hidden="1" x14ac:dyDescent="0.35"/>
    <row r="50016" hidden="1" x14ac:dyDescent="0.35"/>
    <row r="50017" hidden="1" x14ac:dyDescent="0.35"/>
    <row r="50018" hidden="1" x14ac:dyDescent="0.35"/>
    <row r="50019" hidden="1" x14ac:dyDescent="0.35"/>
    <row r="50020" hidden="1" x14ac:dyDescent="0.35"/>
    <row r="50021" hidden="1" x14ac:dyDescent="0.35"/>
    <row r="50022" hidden="1" x14ac:dyDescent="0.35"/>
    <row r="50023" hidden="1" x14ac:dyDescent="0.35"/>
    <row r="50024" hidden="1" x14ac:dyDescent="0.35"/>
    <row r="50025" hidden="1" x14ac:dyDescent="0.35"/>
    <row r="50026" hidden="1" x14ac:dyDescent="0.35"/>
    <row r="50027" hidden="1" x14ac:dyDescent="0.35"/>
    <row r="50028" hidden="1" x14ac:dyDescent="0.35"/>
    <row r="50029" hidden="1" x14ac:dyDescent="0.35"/>
    <row r="50030" hidden="1" x14ac:dyDescent="0.35"/>
    <row r="50031" hidden="1" x14ac:dyDescent="0.35"/>
    <row r="50032" hidden="1" x14ac:dyDescent="0.35"/>
    <row r="50033" hidden="1" x14ac:dyDescent="0.35"/>
    <row r="50034" hidden="1" x14ac:dyDescent="0.35"/>
    <row r="50035" hidden="1" x14ac:dyDescent="0.35"/>
    <row r="50036" hidden="1" x14ac:dyDescent="0.35"/>
    <row r="50037" hidden="1" x14ac:dyDescent="0.35"/>
    <row r="50038" hidden="1" x14ac:dyDescent="0.35"/>
    <row r="50039" hidden="1" x14ac:dyDescent="0.35"/>
    <row r="50040" hidden="1" x14ac:dyDescent="0.35"/>
    <row r="50041" hidden="1" x14ac:dyDescent="0.35"/>
    <row r="50042" hidden="1" x14ac:dyDescent="0.35"/>
    <row r="50043" hidden="1" x14ac:dyDescent="0.35"/>
    <row r="50044" hidden="1" x14ac:dyDescent="0.35"/>
    <row r="50045" hidden="1" x14ac:dyDescent="0.35"/>
    <row r="50046" hidden="1" x14ac:dyDescent="0.35"/>
    <row r="50047" hidden="1" x14ac:dyDescent="0.35"/>
    <row r="50048" hidden="1" x14ac:dyDescent="0.35"/>
    <row r="50049" hidden="1" x14ac:dyDescent="0.35"/>
    <row r="50050" hidden="1" x14ac:dyDescent="0.35"/>
    <row r="50051" hidden="1" x14ac:dyDescent="0.35"/>
    <row r="50052" hidden="1" x14ac:dyDescent="0.35"/>
    <row r="50053" hidden="1" x14ac:dyDescent="0.35"/>
    <row r="50054" hidden="1" x14ac:dyDescent="0.35"/>
    <row r="50055" hidden="1" x14ac:dyDescent="0.35"/>
    <row r="50056" hidden="1" x14ac:dyDescent="0.35"/>
    <row r="50057" hidden="1" x14ac:dyDescent="0.35"/>
    <row r="50058" hidden="1" x14ac:dyDescent="0.35"/>
    <row r="50059" hidden="1" x14ac:dyDescent="0.35"/>
    <row r="50060" hidden="1" x14ac:dyDescent="0.35"/>
    <row r="50061" hidden="1" x14ac:dyDescent="0.35"/>
    <row r="50062" hidden="1" x14ac:dyDescent="0.35"/>
    <row r="50063" hidden="1" x14ac:dyDescent="0.35"/>
    <row r="50064" hidden="1" x14ac:dyDescent="0.35"/>
    <row r="50065" hidden="1" x14ac:dyDescent="0.35"/>
    <row r="50066" hidden="1" x14ac:dyDescent="0.35"/>
    <row r="50067" hidden="1" x14ac:dyDescent="0.35"/>
    <row r="50068" hidden="1" x14ac:dyDescent="0.35"/>
    <row r="50069" hidden="1" x14ac:dyDescent="0.35"/>
    <row r="50070" hidden="1" x14ac:dyDescent="0.35"/>
    <row r="50071" hidden="1" x14ac:dyDescent="0.35"/>
    <row r="50072" hidden="1" x14ac:dyDescent="0.35"/>
    <row r="50073" hidden="1" x14ac:dyDescent="0.35"/>
    <row r="50074" hidden="1" x14ac:dyDescent="0.35"/>
    <row r="50075" hidden="1" x14ac:dyDescent="0.35"/>
    <row r="50076" hidden="1" x14ac:dyDescent="0.35"/>
    <row r="50077" hidden="1" x14ac:dyDescent="0.35"/>
    <row r="50078" hidden="1" x14ac:dyDescent="0.35"/>
    <row r="50079" hidden="1" x14ac:dyDescent="0.35"/>
    <row r="50080" hidden="1" x14ac:dyDescent="0.35"/>
    <row r="50081" hidden="1" x14ac:dyDescent="0.35"/>
    <row r="50082" hidden="1" x14ac:dyDescent="0.35"/>
    <row r="50083" hidden="1" x14ac:dyDescent="0.35"/>
    <row r="50084" hidden="1" x14ac:dyDescent="0.35"/>
    <row r="50085" hidden="1" x14ac:dyDescent="0.35"/>
    <row r="50086" hidden="1" x14ac:dyDescent="0.35"/>
    <row r="50087" hidden="1" x14ac:dyDescent="0.35"/>
    <row r="50088" hidden="1" x14ac:dyDescent="0.35"/>
    <row r="50089" hidden="1" x14ac:dyDescent="0.35"/>
    <row r="50090" hidden="1" x14ac:dyDescent="0.35"/>
    <row r="50091" hidden="1" x14ac:dyDescent="0.35"/>
    <row r="50092" hidden="1" x14ac:dyDescent="0.35"/>
    <row r="50093" hidden="1" x14ac:dyDescent="0.35"/>
    <row r="50094" hidden="1" x14ac:dyDescent="0.35"/>
    <row r="50095" hidden="1" x14ac:dyDescent="0.35"/>
    <row r="50096" hidden="1" x14ac:dyDescent="0.35"/>
    <row r="50097" hidden="1" x14ac:dyDescent="0.35"/>
    <row r="50098" hidden="1" x14ac:dyDescent="0.35"/>
    <row r="50099" hidden="1" x14ac:dyDescent="0.35"/>
    <row r="50100" hidden="1" x14ac:dyDescent="0.35"/>
    <row r="50101" hidden="1" x14ac:dyDescent="0.35"/>
    <row r="50102" hidden="1" x14ac:dyDescent="0.35"/>
    <row r="50103" hidden="1" x14ac:dyDescent="0.35"/>
    <row r="50104" hidden="1" x14ac:dyDescent="0.35"/>
    <row r="50105" hidden="1" x14ac:dyDescent="0.35"/>
    <row r="50106" hidden="1" x14ac:dyDescent="0.35"/>
    <row r="50107" hidden="1" x14ac:dyDescent="0.35"/>
    <row r="50108" hidden="1" x14ac:dyDescent="0.35"/>
    <row r="50109" hidden="1" x14ac:dyDescent="0.35"/>
    <row r="50110" hidden="1" x14ac:dyDescent="0.35"/>
    <row r="50111" hidden="1" x14ac:dyDescent="0.35"/>
    <row r="50112" hidden="1" x14ac:dyDescent="0.35"/>
    <row r="50113" hidden="1" x14ac:dyDescent="0.35"/>
    <row r="50114" hidden="1" x14ac:dyDescent="0.35"/>
    <row r="50115" hidden="1" x14ac:dyDescent="0.35"/>
    <row r="50116" hidden="1" x14ac:dyDescent="0.35"/>
    <row r="50117" hidden="1" x14ac:dyDescent="0.35"/>
    <row r="50118" hidden="1" x14ac:dyDescent="0.35"/>
    <row r="50119" hidden="1" x14ac:dyDescent="0.35"/>
    <row r="50120" hidden="1" x14ac:dyDescent="0.35"/>
    <row r="50121" hidden="1" x14ac:dyDescent="0.35"/>
    <row r="50122" hidden="1" x14ac:dyDescent="0.35"/>
    <row r="50123" hidden="1" x14ac:dyDescent="0.35"/>
    <row r="50124" hidden="1" x14ac:dyDescent="0.35"/>
    <row r="50125" hidden="1" x14ac:dyDescent="0.35"/>
    <row r="50126" hidden="1" x14ac:dyDescent="0.35"/>
    <row r="50127" hidden="1" x14ac:dyDescent="0.35"/>
    <row r="50128" hidden="1" x14ac:dyDescent="0.35"/>
    <row r="50129" hidden="1" x14ac:dyDescent="0.35"/>
    <row r="50130" hidden="1" x14ac:dyDescent="0.35"/>
    <row r="50131" hidden="1" x14ac:dyDescent="0.35"/>
    <row r="50132" hidden="1" x14ac:dyDescent="0.35"/>
    <row r="50133" hidden="1" x14ac:dyDescent="0.35"/>
    <row r="50134" hidden="1" x14ac:dyDescent="0.35"/>
    <row r="50135" hidden="1" x14ac:dyDescent="0.35"/>
    <row r="50136" hidden="1" x14ac:dyDescent="0.35"/>
    <row r="50137" hidden="1" x14ac:dyDescent="0.35"/>
    <row r="50138" hidden="1" x14ac:dyDescent="0.35"/>
    <row r="50139" hidden="1" x14ac:dyDescent="0.35"/>
    <row r="50140" hidden="1" x14ac:dyDescent="0.35"/>
    <row r="50141" hidden="1" x14ac:dyDescent="0.35"/>
    <row r="50142" hidden="1" x14ac:dyDescent="0.35"/>
    <row r="50143" hidden="1" x14ac:dyDescent="0.35"/>
    <row r="50144" hidden="1" x14ac:dyDescent="0.35"/>
    <row r="50145" hidden="1" x14ac:dyDescent="0.35"/>
    <row r="50146" hidden="1" x14ac:dyDescent="0.35"/>
    <row r="50147" hidden="1" x14ac:dyDescent="0.35"/>
    <row r="50148" hidden="1" x14ac:dyDescent="0.35"/>
    <row r="50149" hidden="1" x14ac:dyDescent="0.35"/>
    <row r="50150" hidden="1" x14ac:dyDescent="0.35"/>
    <row r="50151" hidden="1" x14ac:dyDescent="0.35"/>
    <row r="50152" hidden="1" x14ac:dyDescent="0.35"/>
    <row r="50153" hidden="1" x14ac:dyDescent="0.35"/>
    <row r="50154" hidden="1" x14ac:dyDescent="0.35"/>
    <row r="50155" hidden="1" x14ac:dyDescent="0.35"/>
    <row r="50156" hidden="1" x14ac:dyDescent="0.35"/>
    <row r="50157" hidden="1" x14ac:dyDescent="0.35"/>
    <row r="50158" hidden="1" x14ac:dyDescent="0.35"/>
    <row r="50159" hidden="1" x14ac:dyDescent="0.35"/>
    <row r="50160" hidden="1" x14ac:dyDescent="0.35"/>
    <row r="50161" hidden="1" x14ac:dyDescent="0.35"/>
    <row r="50162" hidden="1" x14ac:dyDescent="0.35"/>
    <row r="50163" hidden="1" x14ac:dyDescent="0.35"/>
    <row r="50164" hidden="1" x14ac:dyDescent="0.35"/>
    <row r="50165" hidden="1" x14ac:dyDescent="0.35"/>
    <row r="50166" hidden="1" x14ac:dyDescent="0.35"/>
    <row r="50167" hidden="1" x14ac:dyDescent="0.35"/>
    <row r="50168" hidden="1" x14ac:dyDescent="0.35"/>
    <row r="50169" hidden="1" x14ac:dyDescent="0.35"/>
    <row r="50170" hidden="1" x14ac:dyDescent="0.35"/>
    <row r="50171" hidden="1" x14ac:dyDescent="0.35"/>
    <row r="50172" hidden="1" x14ac:dyDescent="0.35"/>
    <row r="50173" hidden="1" x14ac:dyDescent="0.35"/>
    <row r="50174" hidden="1" x14ac:dyDescent="0.35"/>
    <row r="50175" hidden="1" x14ac:dyDescent="0.35"/>
    <row r="50176" hidden="1" x14ac:dyDescent="0.35"/>
    <row r="50177" hidden="1" x14ac:dyDescent="0.35"/>
    <row r="50178" hidden="1" x14ac:dyDescent="0.35"/>
    <row r="50179" hidden="1" x14ac:dyDescent="0.35"/>
    <row r="50180" hidden="1" x14ac:dyDescent="0.35"/>
    <row r="50181" hidden="1" x14ac:dyDescent="0.35"/>
    <row r="50182" hidden="1" x14ac:dyDescent="0.35"/>
    <row r="50183" hidden="1" x14ac:dyDescent="0.35"/>
    <row r="50184" hidden="1" x14ac:dyDescent="0.35"/>
    <row r="50185" hidden="1" x14ac:dyDescent="0.35"/>
    <row r="50186" hidden="1" x14ac:dyDescent="0.35"/>
    <row r="50187" hidden="1" x14ac:dyDescent="0.35"/>
    <row r="50188" hidden="1" x14ac:dyDescent="0.35"/>
    <row r="50189" hidden="1" x14ac:dyDescent="0.35"/>
    <row r="50190" hidden="1" x14ac:dyDescent="0.35"/>
    <row r="50191" hidden="1" x14ac:dyDescent="0.35"/>
    <row r="50192" hidden="1" x14ac:dyDescent="0.35"/>
    <row r="50193" hidden="1" x14ac:dyDescent="0.35"/>
    <row r="50194" hidden="1" x14ac:dyDescent="0.35"/>
    <row r="50195" hidden="1" x14ac:dyDescent="0.35"/>
    <row r="50196" hidden="1" x14ac:dyDescent="0.35"/>
    <row r="50197" hidden="1" x14ac:dyDescent="0.35"/>
    <row r="50198" hidden="1" x14ac:dyDescent="0.35"/>
    <row r="50199" hidden="1" x14ac:dyDescent="0.35"/>
    <row r="50200" hidden="1" x14ac:dyDescent="0.35"/>
    <row r="50201" hidden="1" x14ac:dyDescent="0.35"/>
    <row r="50202" hidden="1" x14ac:dyDescent="0.35"/>
    <row r="50203" hidden="1" x14ac:dyDescent="0.35"/>
    <row r="50204" hidden="1" x14ac:dyDescent="0.35"/>
    <row r="50205" hidden="1" x14ac:dyDescent="0.35"/>
    <row r="50206" hidden="1" x14ac:dyDescent="0.35"/>
    <row r="50207" hidden="1" x14ac:dyDescent="0.35"/>
    <row r="50208" hidden="1" x14ac:dyDescent="0.35"/>
    <row r="50209" hidden="1" x14ac:dyDescent="0.35"/>
    <row r="50210" hidden="1" x14ac:dyDescent="0.35"/>
    <row r="50211" hidden="1" x14ac:dyDescent="0.35"/>
    <row r="50212" hidden="1" x14ac:dyDescent="0.35"/>
    <row r="50213" hidden="1" x14ac:dyDescent="0.35"/>
    <row r="50214" hidden="1" x14ac:dyDescent="0.35"/>
    <row r="50215" hidden="1" x14ac:dyDescent="0.35"/>
    <row r="50216" hidden="1" x14ac:dyDescent="0.35"/>
    <row r="50217" hidden="1" x14ac:dyDescent="0.35"/>
    <row r="50218" hidden="1" x14ac:dyDescent="0.35"/>
    <row r="50219" hidden="1" x14ac:dyDescent="0.35"/>
    <row r="50220" hidden="1" x14ac:dyDescent="0.35"/>
    <row r="50221" hidden="1" x14ac:dyDescent="0.35"/>
    <row r="50222" hidden="1" x14ac:dyDescent="0.35"/>
    <row r="50223" hidden="1" x14ac:dyDescent="0.35"/>
    <row r="50224" hidden="1" x14ac:dyDescent="0.35"/>
    <row r="50225" hidden="1" x14ac:dyDescent="0.35"/>
    <row r="50226" hidden="1" x14ac:dyDescent="0.35"/>
    <row r="50227" hidden="1" x14ac:dyDescent="0.35"/>
    <row r="50228" hidden="1" x14ac:dyDescent="0.35"/>
    <row r="50229" hidden="1" x14ac:dyDescent="0.35"/>
    <row r="50230" hidden="1" x14ac:dyDescent="0.35"/>
    <row r="50231" hidden="1" x14ac:dyDescent="0.35"/>
    <row r="50232" hidden="1" x14ac:dyDescent="0.35"/>
    <row r="50233" hidden="1" x14ac:dyDescent="0.35"/>
    <row r="50234" hidden="1" x14ac:dyDescent="0.35"/>
    <row r="50235" hidden="1" x14ac:dyDescent="0.35"/>
    <row r="50236" hidden="1" x14ac:dyDescent="0.35"/>
    <row r="50237" hidden="1" x14ac:dyDescent="0.35"/>
    <row r="50238" hidden="1" x14ac:dyDescent="0.35"/>
    <row r="50239" hidden="1" x14ac:dyDescent="0.35"/>
    <row r="50240" hidden="1" x14ac:dyDescent="0.35"/>
    <row r="50241" hidden="1" x14ac:dyDescent="0.35"/>
    <row r="50242" hidden="1" x14ac:dyDescent="0.35"/>
    <row r="50243" hidden="1" x14ac:dyDescent="0.35"/>
    <row r="50244" hidden="1" x14ac:dyDescent="0.35"/>
    <row r="50245" hidden="1" x14ac:dyDescent="0.35"/>
    <row r="50246" hidden="1" x14ac:dyDescent="0.35"/>
    <row r="50247" hidden="1" x14ac:dyDescent="0.35"/>
    <row r="50248" hidden="1" x14ac:dyDescent="0.35"/>
    <row r="50249" hidden="1" x14ac:dyDescent="0.35"/>
    <row r="50250" hidden="1" x14ac:dyDescent="0.35"/>
    <row r="50251" hidden="1" x14ac:dyDescent="0.35"/>
    <row r="50252" hidden="1" x14ac:dyDescent="0.35"/>
    <row r="50253" hidden="1" x14ac:dyDescent="0.35"/>
    <row r="50254" hidden="1" x14ac:dyDescent="0.35"/>
    <row r="50255" hidden="1" x14ac:dyDescent="0.35"/>
    <row r="50256" hidden="1" x14ac:dyDescent="0.35"/>
    <row r="50257" hidden="1" x14ac:dyDescent="0.35"/>
    <row r="50258" hidden="1" x14ac:dyDescent="0.35"/>
    <row r="50259" hidden="1" x14ac:dyDescent="0.35"/>
    <row r="50260" hidden="1" x14ac:dyDescent="0.35"/>
    <row r="50261" hidden="1" x14ac:dyDescent="0.35"/>
    <row r="50262" hidden="1" x14ac:dyDescent="0.35"/>
    <row r="50263" hidden="1" x14ac:dyDescent="0.35"/>
    <row r="50264" hidden="1" x14ac:dyDescent="0.35"/>
    <row r="50265" hidden="1" x14ac:dyDescent="0.35"/>
    <row r="50266" hidden="1" x14ac:dyDescent="0.35"/>
    <row r="50267" hidden="1" x14ac:dyDescent="0.35"/>
    <row r="50268" hidden="1" x14ac:dyDescent="0.35"/>
    <row r="50269" hidden="1" x14ac:dyDescent="0.35"/>
    <row r="50270" hidden="1" x14ac:dyDescent="0.35"/>
    <row r="50271" hidden="1" x14ac:dyDescent="0.35"/>
    <row r="50272" hidden="1" x14ac:dyDescent="0.35"/>
    <row r="50273" hidden="1" x14ac:dyDescent="0.35"/>
    <row r="50274" hidden="1" x14ac:dyDescent="0.35"/>
    <row r="50275" hidden="1" x14ac:dyDescent="0.35"/>
    <row r="50276" hidden="1" x14ac:dyDescent="0.35"/>
    <row r="50277" hidden="1" x14ac:dyDescent="0.35"/>
    <row r="50278" hidden="1" x14ac:dyDescent="0.35"/>
    <row r="50279" hidden="1" x14ac:dyDescent="0.35"/>
    <row r="50280" hidden="1" x14ac:dyDescent="0.35"/>
    <row r="50281" hidden="1" x14ac:dyDescent="0.35"/>
    <row r="50282" hidden="1" x14ac:dyDescent="0.35"/>
    <row r="50283" hidden="1" x14ac:dyDescent="0.35"/>
    <row r="50284" hidden="1" x14ac:dyDescent="0.35"/>
    <row r="50285" hidden="1" x14ac:dyDescent="0.35"/>
    <row r="50286" hidden="1" x14ac:dyDescent="0.35"/>
    <row r="50287" hidden="1" x14ac:dyDescent="0.35"/>
    <row r="50288" hidden="1" x14ac:dyDescent="0.35"/>
    <row r="50289" hidden="1" x14ac:dyDescent="0.35"/>
    <row r="50290" hidden="1" x14ac:dyDescent="0.35"/>
    <row r="50291" hidden="1" x14ac:dyDescent="0.35"/>
    <row r="50292" hidden="1" x14ac:dyDescent="0.35"/>
    <row r="50293" hidden="1" x14ac:dyDescent="0.35"/>
    <row r="50294" hidden="1" x14ac:dyDescent="0.35"/>
    <row r="50295" hidden="1" x14ac:dyDescent="0.35"/>
    <row r="50296" hidden="1" x14ac:dyDescent="0.35"/>
    <row r="50297" hidden="1" x14ac:dyDescent="0.35"/>
    <row r="50298" hidden="1" x14ac:dyDescent="0.35"/>
    <row r="50299" hidden="1" x14ac:dyDescent="0.35"/>
    <row r="50300" hidden="1" x14ac:dyDescent="0.35"/>
    <row r="50301" hidden="1" x14ac:dyDescent="0.35"/>
    <row r="50302" hidden="1" x14ac:dyDescent="0.35"/>
    <row r="50303" hidden="1" x14ac:dyDescent="0.35"/>
    <row r="50304" hidden="1" x14ac:dyDescent="0.35"/>
    <row r="50305" hidden="1" x14ac:dyDescent="0.35"/>
    <row r="50306" hidden="1" x14ac:dyDescent="0.35"/>
    <row r="50307" hidden="1" x14ac:dyDescent="0.35"/>
    <row r="50308" hidden="1" x14ac:dyDescent="0.35"/>
    <row r="50309" hidden="1" x14ac:dyDescent="0.35"/>
    <row r="50310" hidden="1" x14ac:dyDescent="0.35"/>
    <row r="50311" hidden="1" x14ac:dyDescent="0.35"/>
    <row r="50312" hidden="1" x14ac:dyDescent="0.35"/>
    <row r="50313" hidden="1" x14ac:dyDescent="0.35"/>
    <row r="50314" hidden="1" x14ac:dyDescent="0.35"/>
    <row r="50315" hidden="1" x14ac:dyDescent="0.35"/>
    <row r="50316" hidden="1" x14ac:dyDescent="0.35"/>
    <row r="50317" hidden="1" x14ac:dyDescent="0.35"/>
    <row r="50318" hidden="1" x14ac:dyDescent="0.35"/>
    <row r="50319" hidden="1" x14ac:dyDescent="0.35"/>
    <row r="50320" hidden="1" x14ac:dyDescent="0.35"/>
    <row r="50321" hidden="1" x14ac:dyDescent="0.35"/>
    <row r="50322" hidden="1" x14ac:dyDescent="0.35"/>
    <row r="50323" hidden="1" x14ac:dyDescent="0.35"/>
    <row r="50324" hidden="1" x14ac:dyDescent="0.35"/>
    <row r="50325" hidden="1" x14ac:dyDescent="0.35"/>
    <row r="50326" hidden="1" x14ac:dyDescent="0.35"/>
    <row r="50327" hidden="1" x14ac:dyDescent="0.35"/>
    <row r="50328" hidden="1" x14ac:dyDescent="0.35"/>
    <row r="50329" hidden="1" x14ac:dyDescent="0.35"/>
    <row r="50330" hidden="1" x14ac:dyDescent="0.35"/>
    <row r="50331" hidden="1" x14ac:dyDescent="0.35"/>
    <row r="50332" hidden="1" x14ac:dyDescent="0.35"/>
    <row r="50333" hidden="1" x14ac:dyDescent="0.35"/>
    <row r="50334" hidden="1" x14ac:dyDescent="0.35"/>
    <row r="50335" hidden="1" x14ac:dyDescent="0.35"/>
    <row r="50336" hidden="1" x14ac:dyDescent="0.35"/>
    <row r="50337" hidden="1" x14ac:dyDescent="0.35"/>
    <row r="50338" hidden="1" x14ac:dyDescent="0.35"/>
    <row r="50339" hidden="1" x14ac:dyDescent="0.35"/>
    <row r="50340" hidden="1" x14ac:dyDescent="0.35"/>
    <row r="50341" hidden="1" x14ac:dyDescent="0.35"/>
    <row r="50342" hidden="1" x14ac:dyDescent="0.35"/>
    <row r="50343" hidden="1" x14ac:dyDescent="0.35"/>
    <row r="50344" hidden="1" x14ac:dyDescent="0.35"/>
    <row r="50345" hidden="1" x14ac:dyDescent="0.35"/>
    <row r="50346" hidden="1" x14ac:dyDescent="0.35"/>
    <row r="50347" hidden="1" x14ac:dyDescent="0.35"/>
    <row r="50348" hidden="1" x14ac:dyDescent="0.35"/>
    <row r="50349" hidden="1" x14ac:dyDescent="0.35"/>
    <row r="50350" hidden="1" x14ac:dyDescent="0.35"/>
    <row r="50351" hidden="1" x14ac:dyDescent="0.35"/>
    <row r="50352" hidden="1" x14ac:dyDescent="0.35"/>
    <row r="50353" hidden="1" x14ac:dyDescent="0.35"/>
    <row r="50354" hidden="1" x14ac:dyDescent="0.35"/>
    <row r="50355" hidden="1" x14ac:dyDescent="0.35"/>
    <row r="50356" hidden="1" x14ac:dyDescent="0.35"/>
    <row r="50357" hidden="1" x14ac:dyDescent="0.35"/>
    <row r="50358" hidden="1" x14ac:dyDescent="0.35"/>
    <row r="50359" hidden="1" x14ac:dyDescent="0.35"/>
    <row r="50360" hidden="1" x14ac:dyDescent="0.35"/>
    <row r="50361" hidden="1" x14ac:dyDescent="0.35"/>
    <row r="50362" hidden="1" x14ac:dyDescent="0.35"/>
    <row r="50363" hidden="1" x14ac:dyDescent="0.35"/>
    <row r="50364" hidden="1" x14ac:dyDescent="0.35"/>
    <row r="50365" hidden="1" x14ac:dyDescent="0.35"/>
    <row r="50366" hidden="1" x14ac:dyDescent="0.35"/>
    <row r="50367" hidden="1" x14ac:dyDescent="0.35"/>
    <row r="50368" hidden="1" x14ac:dyDescent="0.35"/>
    <row r="50369" hidden="1" x14ac:dyDescent="0.35"/>
    <row r="50370" hidden="1" x14ac:dyDescent="0.35"/>
    <row r="50371" hidden="1" x14ac:dyDescent="0.35"/>
    <row r="50372" hidden="1" x14ac:dyDescent="0.35"/>
    <row r="50373" hidden="1" x14ac:dyDescent="0.35"/>
    <row r="50374" hidden="1" x14ac:dyDescent="0.35"/>
    <row r="50375" hidden="1" x14ac:dyDescent="0.35"/>
    <row r="50376" hidden="1" x14ac:dyDescent="0.35"/>
    <row r="50377" hidden="1" x14ac:dyDescent="0.35"/>
    <row r="50378" hidden="1" x14ac:dyDescent="0.35"/>
    <row r="50379" hidden="1" x14ac:dyDescent="0.35"/>
    <row r="50380" hidden="1" x14ac:dyDescent="0.35"/>
    <row r="50381" hidden="1" x14ac:dyDescent="0.35"/>
    <row r="50382" hidden="1" x14ac:dyDescent="0.35"/>
    <row r="50383" hidden="1" x14ac:dyDescent="0.35"/>
    <row r="50384" hidden="1" x14ac:dyDescent="0.35"/>
    <row r="50385" hidden="1" x14ac:dyDescent="0.35"/>
    <row r="50386" hidden="1" x14ac:dyDescent="0.35"/>
    <row r="50387" hidden="1" x14ac:dyDescent="0.35"/>
    <row r="50388" hidden="1" x14ac:dyDescent="0.35"/>
    <row r="50389" hidden="1" x14ac:dyDescent="0.35"/>
    <row r="50390" hidden="1" x14ac:dyDescent="0.35"/>
    <row r="50391" hidden="1" x14ac:dyDescent="0.35"/>
    <row r="50392" hidden="1" x14ac:dyDescent="0.35"/>
    <row r="50393" hidden="1" x14ac:dyDescent="0.35"/>
    <row r="50394" hidden="1" x14ac:dyDescent="0.35"/>
    <row r="50395" hidden="1" x14ac:dyDescent="0.35"/>
    <row r="50396" hidden="1" x14ac:dyDescent="0.35"/>
    <row r="50397" hidden="1" x14ac:dyDescent="0.35"/>
    <row r="50398" hidden="1" x14ac:dyDescent="0.35"/>
    <row r="50399" hidden="1" x14ac:dyDescent="0.35"/>
    <row r="50400" hidden="1" x14ac:dyDescent="0.35"/>
    <row r="50401" hidden="1" x14ac:dyDescent="0.35"/>
    <row r="50402" hidden="1" x14ac:dyDescent="0.35"/>
    <row r="50403" hidden="1" x14ac:dyDescent="0.35"/>
    <row r="50404" hidden="1" x14ac:dyDescent="0.35"/>
    <row r="50405" hidden="1" x14ac:dyDescent="0.35"/>
    <row r="50406" hidden="1" x14ac:dyDescent="0.35"/>
    <row r="50407" hidden="1" x14ac:dyDescent="0.35"/>
    <row r="50408" hidden="1" x14ac:dyDescent="0.35"/>
    <row r="50409" hidden="1" x14ac:dyDescent="0.35"/>
    <row r="50410" hidden="1" x14ac:dyDescent="0.35"/>
    <row r="50411" hidden="1" x14ac:dyDescent="0.35"/>
    <row r="50412" hidden="1" x14ac:dyDescent="0.35"/>
    <row r="50413" hidden="1" x14ac:dyDescent="0.35"/>
    <row r="50414" hidden="1" x14ac:dyDescent="0.35"/>
    <row r="50415" hidden="1" x14ac:dyDescent="0.35"/>
    <row r="50416" hidden="1" x14ac:dyDescent="0.35"/>
    <row r="50417" hidden="1" x14ac:dyDescent="0.35"/>
    <row r="50418" hidden="1" x14ac:dyDescent="0.35"/>
    <row r="50419" hidden="1" x14ac:dyDescent="0.35"/>
    <row r="50420" hidden="1" x14ac:dyDescent="0.35"/>
    <row r="50421" hidden="1" x14ac:dyDescent="0.35"/>
    <row r="50422" hidden="1" x14ac:dyDescent="0.35"/>
    <row r="50423" hidden="1" x14ac:dyDescent="0.35"/>
    <row r="50424" hidden="1" x14ac:dyDescent="0.35"/>
    <row r="50425" hidden="1" x14ac:dyDescent="0.35"/>
    <row r="50426" hidden="1" x14ac:dyDescent="0.35"/>
    <row r="50427" hidden="1" x14ac:dyDescent="0.35"/>
    <row r="50428" hidden="1" x14ac:dyDescent="0.35"/>
    <row r="50429" hidden="1" x14ac:dyDescent="0.35"/>
    <row r="50430" hidden="1" x14ac:dyDescent="0.35"/>
    <row r="50431" hidden="1" x14ac:dyDescent="0.35"/>
    <row r="50432" hidden="1" x14ac:dyDescent="0.35"/>
    <row r="50433" hidden="1" x14ac:dyDescent="0.35"/>
    <row r="50434" hidden="1" x14ac:dyDescent="0.35"/>
    <row r="50435" hidden="1" x14ac:dyDescent="0.35"/>
    <row r="50436" hidden="1" x14ac:dyDescent="0.35"/>
    <row r="50437" hidden="1" x14ac:dyDescent="0.35"/>
    <row r="50438" hidden="1" x14ac:dyDescent="0.35"/>
    <row r="50439" hidden="1" x14ac:dyDescent="0.35"/>
    <row r="50440" hidden="1" x14ac:dyDescent="0.35"/>
    <row r="50441" hidden="1" x14ac:dyDescent="0.35"/>
    <row r="50442" hidden="1" x14ac:dyDescent="0.35"/>
    <row r="50443" hidden="1" x14ac:dyDescent="0.35"/>
    <row r="50444" hidden="1" x14ac:dyDescent="0.35"/>
    <row r="50445" hidden="1" x14ac:dyDescent="0.35"/>
    <row r="50446" hidden="1" x14ac:dyDescent="0.35"/>
    <row r="50447" hidden="1" x14ac:dyDescent="0.35"/>
    <row r="50448" hidden="1" x14ac:dyDescent="0.35"/>
    <row r="50449" hidden="1" x14ac:dyDescent="0.35"/>
    <row r="50450" hidden="1" x14ac:dyDescent="0.35"/>
    <row r="50451" hidden="1" x14ac:dyDescent="0.35"/>
    <row r="50452" hidden="1" x14ac:dyDescent="0.35"/>
    <row r="50453" hidden="1" x14ac:dyDescent="0.35"/>
    <row r="50454" hidden="1" x14ac:dyDescent="0.35"/>
    <row r="50455" hidden="1" x14ac:dyDescent="0.35"/>
    <row r="50456" hidden="1" x14ac:dyDescent="0.35"/>
    <row r="50457" hidden="1" x14ac:dyDescent="0.35"/>
    <row r="50458" hidden="1" x14ac:dyDescent="0.35"/>
    <row r="50459" hidden="1" x14ac:dyDescent="0.35"/>
    <row r="50460" hidden="1" x14ac:dyDescent="0.35"/>
    <row r="50461" hidden="1" x14ac:dyDescent="0.35"/>
    <row r="50462" hidden="1" x14ac:dyDescent="0.35"/>
    <row r="50463" hidden="1" x14ac:dyDescent="0.35"/>
    <row r="50464" hidden="1" x14ac:dyDescent="0.35"/>
    <row r="50465" hidden="1" x14ac:dyDescent="0.35"/>
    <row r="50466" hidden="1" x14ac:dyDescent="0.35"/>
    <row r="50467" hidden="1" x14ac:dyDescent="0.35"/>
    <row r="50468" hidden="1" x14ac:dyDescent="0.35"/>
    <row r="50469" hidden="1" x14ac:dyDescent="0.35"/>
    <row r="50470" hidden="1" x14ac:dyDescent="0.35"/>
    <row r="50471" hidden="1" x14ac:dyDescent="0.35"/>
    <row r="50472" hidden="1" x14ac:dyDescent="0.35"/>
    <row r="50473" hidden="1" x14ac:dyDescent="0.35"/>
    <row r="50474" hidden="1" x14ac:dyDescent="0.35"/>
    <row r="50475" hidden="1" x14ac:dyDescent="0.35"/>
    <row r="50476" hidden="1" x14ac:dyDescent="0.35"/>
    <row r="50477" hidden="1" x14ac:dyDescent="0.35"/>
    <row r="50478" hidden="1" x14ac:dyDescent="0.35"/>
    <row r="50479" hidden="1" x14ac:dyDescent="0.35"/>
    <row r="50480" hidden="1" x14ac:dyDescent="0.35"/>
    <row r="50481" hidden="1" x14ac:dyDescent="0.35"/>
    <row r="50482" hidden="1" x14ac:dyDescent="0.35"/>
    <row r="50483" hidden="1" x14ac:dyDescent="0.35"/>
    <row r="50484" hidden="1" x14ac:dyDescent="0.35"/>
    <row r="50485" hidden="1" x14ac:dyDescent="0.35"/>
    <row r="50486" hidden="1" x14ac:dyDescent="0.35"/>
    <row r="50487" hidden="1" x14ac:dyDescent="0.35"/>
    <row r="50488" hidden="1" x14ac:dyDescent="0.35"/>
    <row r="50489" hidden="1" x14ac:dyDescent="0.35"/>
    <row r="50490" hidden="1" x14ac:dyDescent="0.35"/>
    <row r="50491" hidden="1" x14ac:dyDescent="0.35"/>
    <row r="50492" hidden="1" x14ac:dyDescent="0.35"/>
    <row r="50493" hidden="1" x14ac:dyDescent="0.35"/>
    <row r="50494" hidden="1" x14ac:dyDescent="0.35"/>
    <row r="50495" hidden="1" x14ac:dyDescent="0.35"/>
    <row r="50496" hidden="1" x14ac:dyDescent="0.35"/>
    <row r="50497" hidden="1" x14ac:dyDescent="0.35"/>
    <row r="50498" hidden="1" x14ac:dyDescent="0.35"/>
    <row r="50499" hidden="1" x14ac:dyDescent="0.35"/>
    <row r="50500" hidden="1" x14ac:dyDescent="0.35"/>
    <row r="50501" hidden="1" x14ac:dyDescent="0.35"/>
    <row r="50502" hidden="1" x14ac:dyDescent="0.35"/>
    <row r="50503" hidden="1" x14ac:dyDescent="0.35"/>
    <row r="50504" hidden="1" x14ac:dyDescent="0.35"/>
    <row r="50505" hidden="1" x14ac:dyDescent="0.35"/>
    <row r="50506" hidden="1" x14ac:dyDescent="0.35"/>
    <row r="50507" hidden="1" x14ac:dyDescent="0.35"/>
    <row r="50508" hidden="1" x14ac:dyDescent="0.35"/>
    <row r="50509" hidden="1" x14ac:dyDescent="0.35"/>
    <row r="50510" hidden="1" x14ac:dyDescent="0.35"/>
    <row r="50511" hidden="1" x14ac:dyDescent="0.35"/>
    <row r="50512" hidden="1" x14ac:dyDescent="0.35"/>
    <row r="50513" hidden="1" x14ac:dyDescent="0.35"/>
    <row r="50514" hidden="1" x14ac:dyDescent="0.35"/>
    <row r="50515" hidden="1" x14ac:dyDescent="0.35"/>
    <row r="50516" hidden="1" x14ac:dyDescent="0.35"/>
    <row r="50517" hidden="1" x14ac:dyDescent="0.35"/>
    <row r="50518" hidden="1" x14ac:dyDescent="0.35"/>
    <row r="50519" hidden="1" x14ac:dyDescent="0.35"/>
    <row r="50520" hidden="1" x14ac:dyDescent="0.35"/>
    <row r="50521" hidden="1" x14ac:dyDescent="0.35"/>
    <row r="50522" hidden="1" x14ac:dyDescent="0.35"/>
    <row r="50523" hidden="1" x14ac:dyDescent="0.35"/>
    <row r="50524" hidden="1" x14ac:dyDescent="0.35"/>
    <row r="50525" hidden="1" x14ac:dyDescent="0.35"/>
    <row r="50526" hidden="1" x14ac:dyDescent="0.35"/>
    <row r="50527" hidden="1" x14ac:dyDescent="0.35"/>
    <row r="50528" hidden="1" x14ac:dyDescent="0.35"/>
    <row r="50529" hidden="1" x14ac:dyDescent="0.35"/>
    <row r="50530" hidden="1" x14ac:dyDescent="0.35"/>
    <row r="50531" hidden="1" x14ac:dyDescent="0.35"/>
    <row r="50532" hidden="1" x14ac:dyDescent="0.35"/>
    <row r="50533" hidden="1" x14ac:dyDescent="0.35"/>
    <row r="50534" hidden="1" x14ac:dyDescent="0.35"/>
    <row r="50535" hidden="1" x14ac:dyDescent="0.35"/>
    <row r="50536" hidden="1" x14ac:dyDescent="0.35"/>
    <row r="50537" hidden="1" x14ac:dyDescent="0.35"/>
    <row r="50538" hidden="1" x14ac:dyDescent="0.35"/>
    <row r="50539" hidden="1" x14ac:dyDescent="0.35"/>
    <row r="50540" hidden="1" x14ac:dyDescent="0.35"/>
    <row r="50541" hidden="1" x14ac:dyDescent="0.35"/>
    <row r="50542" hidden="1" x14ac:dyDescent="0.35"/>
    <row r="50543" hidden="1" x14ac:dyDescent="0.35"/>
    <row r="50544" hidden="1" x14ac:dyDescent="0.35"/>
    <row r="50545" hidden="1" x14ac:dyDescent="0.35"/>
    <row r="50546" hidden="1" x14ac:dyDescent="0.35"/>
    <row r="50547" hidden="1" x14ac:dyDescent="0.35"/>
    <row r="50548" hidden="1" x14ac:dyDescent="0.35"/>
    <row r="50549" hidden="1" x14ac:dyDescent="0.35"/>
    <row r="50550" hidden="1" x14ac:dyDescent="0.35"/>
    <row r="50551" hidden="1" x14ac:dyDescent="0.35"/>
    <row r="50552" hidden="1" x14ac:dyDescent="0.35"/>
    <row r="50553" hidden="1" x14ac:dyDescent="0.35"/>
    <row r="50554" hidden="1" x14ac:dyDescent="0.35"/>
    <row r="50555" hidden="1" x14ac:dyDescent="0.35"/>
    <row r="50556" hidden="1" x14ac:dyDescent="0.35"/>
    <row r="50557" hidden="1" x14ac:dyDescent="0.35"/>
    <row r="50558" hidden="1" x14ac:dyDescent="0.35"/>
    <row r="50559" hidden="1" x14ac:dyDescent="0.35"/>
    <row r="50560" hidden="1" x14ac:dyDescent="0.35"/>
    <row r="50561" hidden="1" x14ac:dyDescent="0.35"/>
    <row r="50562" hidden="1" x14ac:dyDescent="0.35"/>
    <row r="50563" hidden="1" x14ac:dyDescent="0.35"/>
    <row r="50564" hidden="1" x14ac:dyDescent="0.35"/>
    <row r="50565" hidden="1" x14ac:dyDescent="0.35"/>
    <row r="50566" hidden="1" x14ac:dyDescent="0.35"/>
    <row r="50567" hidden="1" x14ac:dyDescent="0.35"/>
    <row r="50568" hidden="1" x14ac:dyDescent="0.35"/>
    <row r="50569" hidden="1" x14ac:dyDescent="0.35"/>
    <row r="50570" hidden="1" x14ac:dyDescent="0.35"/>
    <row r="50571" hidden="1" x14ac:dyDescent="0.35"/>
    <row r="50572" hidden="1" x14ac:dyDescent="0.35"/>
    <row r="50573" hidden="1" x14ac:dyDescent="0.35"/>
    <row r="50574" hidden="1" x14ac:dyDescent="0.35"/>
    <row r="50575" hidden="1" x14ac:dyDescent="0.35"/>
    <row r="50576" hidden="1" x14ac:dyDescent="0.35"/>
    <row r="50577" hidden="1" x14ac:dyDescent="0.35"/>
    <row r="50578" hidden="1" x14ac:dyDescent="0.35"/>
    <row r="50579" hidden="1" x14ac:dyDescent="0.35"/>
    <row r="50580" hidden="1" x14ac:dyDescent="0.35"/>
    <row r="50581" hidden="1" x14ac:dyDescent="0.35"/>
    <row r="50582" hidden="1" x14ac:dyDescent="0.35"/>
    <row r="50583" hidden="1" x14ac:dyDescent="0.35"/>
    <row r="50584" hidden="1" x14ac:dyDescent="0.35"/>
    <row r="50585" hidden="1" x14ac:dyDescent="0.35"/>
    <row r="50586" hidden="1" x14ac:dyDescent="0.35"/>
    <row r="50587" hidden="1" x14ac:dyDescent="0.35"/>
    <row r="50588" hidden="1" x14ac:dyDescent="0.35"/>
    <row r="50589" hidden="1" x14ac:dyDescent="0.35"/>
    <row r="50590" hidden="1" x14ac:dyDescent="0.35"/>
    <row r="50591" hidden="1" x14ac:dyDescent="0.35"/>
    <row r="50592" hidden="1" x14ac:dyDescent="0.35"/>
    <row r="50593" hidden="1" x14ac:dyDescent="0.35"/>
    <row r="50594" hidden="1" x14ac:dyDescent="0.35"/>
    <row r="50595" hidden="1" x14ac:dyDescent="0.35"/>
    <row r="50596" hidden="1" x14ac:dyDescent="0.35"/>
    <row r="50597" hidden="1" x14ac:dyDescent="0.35"/>
    <row r="50598" hidden="1" x14ac:dyDescent="0.35"/>
    <row r="50599" hidden="1" x14ac:dyDescent="0.35"/>
    <row r="50600" hidden="1" x14ac:dyDescent="0.35"/>
    <row r="50601" hidden="1" x14ac:dyDescent="0.35"/>
    <row r="50602" hidden="1" x14ac:dyDescent="0.35"/>
    <row r="50603" hidden="1" x14ac:dyDescent="0.35"/>
    <row r="50604" hidden="1" x14ac:dyDescent="0.35"/>
    <row r="50605" hidden="1" x14ac:dyDescent="0.35"/>
    <row r="50606" hidden="1" x14ac:dyDescent="0.35"/>
    <row r="50607" hidden="1" x14ac:dyDescent="0.35"/>
    <row r="50608" hidden="1" x14ac:dyDescent="0.35"/>
    <row r="50609" hidden="1" x14ac:dyDescent="0.35"/>
    <row r="50610" hidden="1" x14ac:dyDescent="0.35"/>
    <row r="50611" hidden="1" x14ac:dyDescent="0.35"/>
    <row r="50612" hidden="1" x14ac:dyDescent="0.35"/>
    <row r="50613" hidden="1" x14ac:dyDescent="0.35"/>
    <row r="50614" hidden="1" x14ac:dyDescent="0.35"/>
    <row r="50615" hidden="1" x14ac:dyDescent="0.35"/>
    <row r="50616" hidden="1" x14ac:dyDescent="0.35"/>
    <row r="50617" hidden="1" x14ac:dyDescent="0.35"/>
    <row r="50618" hidden="1" x14ac:dyDescent="0.35"/>
    <row r="50619" hidden="1" x14ac:dyDescent="0.35"/>
    <row r="50620" hidden="1" x14ac:dyDescent="0.35"/>
    <row r="50621" hidden="1" x14ac:dyDescent="0.35"/>
    <row r="50622" hidden="1" x14ac:dyDescent="0.35"/>
    <row r="50623" hidden="1" x14ac:dyDescent="0.35"/>
    <row r="50624" hidden="1" x14ac:dyDescent="0.35"/>
    <row r="50625" hidden="1" x14ac:dyDescent="0.35"/>
    <row r="50626" hidden="1" x14ac:dyDescent="0.35"/>
    <row r="50627" hidden="1" x14ac:dyDescent="0.35"/>
    <row r="50628" hidden="1" x14ac:dyDescent="0.35"/>
    <row r="50629" hidden="1" x14ac:dyDescent="0.35"/>
    <row r="50630" hidden="1" x14ac:dyDescent="0.35"/>
    <row r="50631" hidden="1" x14ac:dyDescent="0.35"/>
    <row r="50632" hidden="1" x14ac:dyDescent="0.35"/>
    <row r="50633" hidden="1" x14ac:dyDescent="0.35"/>
    <row r="50634" hidden="1" x14ac:dyDescent="0.35"/>
    <row r="50635" hidden="1" x14ac:dyDescent="0.35"/>
    <row r="50636" hidden="1" x14ac:dyDescent="0.35"/>
    <row r="50637" hidden="1" x14ac:dyDescent="0.35"/>
    <row r="50638" hidden="1" x14ac:dyDescent="0.35"/>
    <row r="50639" hidden="1" x14ac:dyDescent="0.35"/>
    <row r="50640" hidden="1" x14ac:dyDescent="0.35"/>
    <row r="50641" hidden="1" x14ac:dyDescent="0.35"/>
    <row r="50642" hidden="1" x14ac:dyDescent="0.35"/>
    <row r="50643" hidden="1" x14ac:dyDescent="0.35"/>
    <row r="50644" hidden="1" x14ac:dyDescent="0.35"/>
    <row r="50645" hidden="1" x14ac:dyDescent="0.35"/>
    <row r="50646" hidden="1" x14ac:dyDescent="0.35"/>
    <row r="50647" hidden="1" x14ac:dyDescent="0.35"/>
    <row r="50648" hidden="1" x14ac:dyDescent="0.35"/>
    <row r="50649" hidden="1" x14ac:dyDescent="0.35"/>
    <row r="50650" hidden="1" x14ac:dyDescent="0.35"/>
    <row r="50651" hidden="1" x14ac:dyDescent="0.35"/>
    <row r="50652" hidden="1" x14ac:dyDescent="0.35"/>
    <row r="50653" hidden="1" x14ac:dyDescent="0.35"/>
    <row r="50654" hidden="1" x14ac:dyDescent="0.35"/>
    <row r="50655" hidden="1" x14ac:dyDescent="0.35"/>
    <row r="50656" hidden="1" x14ac:dyDescent="0.35"/>
    <row r="50657" hidden="1" x14ac:dyDescent="0.35"/>
    <row r="50658" hidden="1" x14ac:dyDescent="0.35"/>
    <row r="50659" hidden="1" x14ac:dyDescent="0.35"/>
    <row r="50660" hidden="1" x14ac:dyDescent="0.35"/>
    <row r="50661" hidden="1" x14ac:dyDescent="0.35"/>
    <row r="50662" hidden="1" x14ac:dyDescent="0.35"/>
    <row r="50663" hidden="1" x14ac:dyDescent="0.35"/>
    <row r="50664" hidden="1" x14ac:dyDescent="0.35"/>
    <row r="50665" hidden="1" x14ac:dyDescent="0.35"/>
    <row r="50666" hidden="1" x14ac:dyDescent="0.35"/>
    <row r="50667" hidden="1" x14ac:dyDescent="0.35"/>
    <row r="50668" hidden="1" x14ac:dyDescent="0.35"/>
    <row r="50669" hidden="1" x14ac:dyDescent="0.35"/>
    <row r="50670" hidden="1" x14ac:dyDescent="0.35"/>
    <row r="50671" hidden="1" x14ac:dyDescent="0.35"/>
    <row r="50672" hidden="1" x14ac:dyDescent="0.35"/>
    <row r="50673" hidden="1" x14ac:dyDescent="0.35"/>
    <row r="50674" hidden="1" x14ac:dyDescent="0.35"/>
    <row r="50675" hidden="1" x14ac:dyDescent="0.35"/>
    <row r="50676" hidden="1" x14ac:dyDescent="0.35"/>
    <row r="50677" hidden="1" x14ac:dyDescent="0.35"/>
    <row r="50678" hidden="1" x14ac:dyDescent="0.35"/>
    <row r="50679" hidden="1" x14ac:dyDescent="0.35"/>
    <row r="50680" hidden="1" x14ac:dyDescent="0.35"/>
    <row r="50681" hidden="1" x14ac:dyDescent="0.35"/>
    <row r="50682" hidden="1" x14ac:dyDescent="0.35"/>
    <row r="50683" hidden="1" x14ac:dyDescent="0.35"/>
    <row r="50684" hidden="1" x14ac:dyDescent="0.35"/>
    <row r="50685" hidden="1" x14ac:dyDescent="0.35"/>
    <row r="50686" hidden="1" x14ac:dyDescent="0.35"/>
    <row r="50687" hidden="1" x14ac:dyDescent="0.35"/>
    <row r="50688" hidden="1" x14ac:dyDescent="0.35"/>
    <row r="50689" hidden="1" x14ac:dyDescent="0.35"/>
    <row r="50690" hidden="1" x14ac:dyDescent="0.35"/>
    <row r="50691" hidden="1" x14ac:dyDescent="0.35"/>
    <row r="50692" hidden="1" x14ac:dyDescent="0.35"/>
    <row r="50693" hidden="1" x14ac:dyDescent="0.35"/>
    <row r="50694" hidden="1" x14ac:dyDescent="0.35"/>
    <row r="50695" hidden="1" x14ac:dyDescent="0.35"/>
    <row r="50696" hidden="1" x14ac:dyDescent="0.35"/>
    <row r="50697" hidden="1" x14ac:dyDescent="0.35"/>
    <row r="50698" hidden="1" x14ac:dyDescent="0.35"/>
    <row r="50699" hidden="1" x14ac:dyDescent="0.35"/>
    <row r="50700" hidden="1" x14ac:dyDescent="0.35"/>
    <row r="50701" hidden="1" x14ac:dyDescent="0.35"/>
    <row r="50702" hidden="1" x14ac:dyDescent="0.35"/>
    <row r="50703" hidden="1" x14ac:dyDescent="0.35"/>
    <row r="50704" hidden="1" x14ac:dyDescent="0.35"/>
    <row r="50705" hidden="1" x14ac:dyDescent="0.35"/>
    <row r="50706" hidden="1" x14ac:dyDescent="0.35"/>
    <row r="50707" hidden="1" x14ac:dyDescent="0.35"/>
    <row r="50708" hidden="1" x14ac:dyDescent="0.35"/>
    <row r="50709" hidden="1" x14ac:dyDescent="0.35"/>
    <row r="50710" hidden="1" x14ac:dyDescent="0.35"/>
    <row r="50711" hidden="1" x14ac:dyDescent="0.35"/>
    <row r="50712" hidden="1" x14ac:dyDescent="0.35"/>
    <row r="50713" hidden="1" x14ac:dyDescent="0.35"/>
    <row r="50714" hidden="1" x14ac:dyDescent="0.35"/>
    <row r="50715" hidden="1" x14ac:dyDescent="0.35"/>
    <row r="50716" hidden="1" x14ac:dyDescent="0.35"/>
    <row r="50717" hidden="1" x14ac:dyDescent="0.35"/>
    <row r="50718" hidden="1" x14ac:dyDescent="0.35"/>
    <row r="50719" hidden="1" x14ac:dyDescent="0.35"/>
    <row r="50720" hidden="1" x14ac:dyDescent="0.35"/>
    <row r="50721" hidden="1" x14ac:dyDescent="0.35"/>
    <row r="50722" hidden="1" x14ac:dyDescent="0.35"/>
    <row r="50723" hidden="1" x14ac:dyDescent="0.35"/>
    <row r="50724" hidden="1" x14ac:dyDescent="0.35"/>
    <row r="50725" hidden="1" x14ac:dyDescent="0.35"/>
    <row r="50726" hidden="1" x14ac:dyDescent="0.35"/>
    <row r="50727" hidden="1" x14ac:dyDescent="0.35"/>
    <row r="50728" hidden="1" x14ac:dyDescent="0.35"/>
    <row r="50729" hidden="1" x14ac:dyDescent="0.35"/>
    <row r="50730" hidden="1" x14ac:dyDescent="0.35"/>
    <row r="50731" hidden="1" x14ac:dyDescent="0.35"/>
    <row r="50732" hidden="1" x14ac:dyDescent="0.35"/>
    <row r="50733" hidden="1" x14ac:dyDescent="0.35"/>
    <row r="50734" hidden="1" x14ac:dyDescent="0.35"/>
    <row r="50735" hidden="1" x14ac:dyDescent="0.35"/>
    <row r="50736" hidden="1" x14ac:dyDescent="0.35"/>
    <row r="50737" hidden="1" x14ac:dyDescent="0.35"/>
    <row r="50738" hidden="1" x14ac:dyDescent="0.35"/>
    <row r="50739" hidden="1" x14ac:dyDescent="0.35"/>
    <row r="50740" hidden="1" x14ac:dyDescent="0.35"/>
    <row r="50741" hidden="1" x14ac:dyDescent="0.35"/>
    <row r="50742" hidden="1" x14ac:dyDescent="0.35"/>
    <row r="50743" hidden="1" x14ac:dyDescent="0.35"/>
    <row r="50744" hidden="1" x14ac:dyDescent="0.35"/>
    <row r="50745" hidden="1" x14ac:dyDescent="0.35"/>
    <row r="50746" hidden="1" x14ac:dyDescent="0.35"/>
    <row r="50747" hidden="1" x14ac:dyDescent="0.35"/>
    <row r="50748" hidden="1" x14ac:dyDescent="0.35"/>
    <row r="50749" hidden="1" x14ac:dyDescent="0.35"/>
    <row r="50750" hidden="1" x14ac:dyDescent="0.35"/>
    <row r="50751" hidden="1" x14ac:dyDescent="0.35"/>
    <row r="50752" hidden="1" x14ac:dyDescent="0.35"/>
    <row r="50753" hidden="1" x14ac:dyDescent="0.35"/>
    <row r="50754" hidden="1" x14ac:dyDescent="0.35"/>
    <row r="50755" hidden="1" x14ac:dyDescent="0.35"/>
    <row r="50756" hidden="1" x14ac:dyDescent="0.35"/>
    <row r="50757" hidden="1" x14ac:dyDescent="0.35"/>
    <row r="50758" hidden="1" x14ac:dyDescent="0.35"/>
    <row r="50759" hidden="1" x14ac:dyDescent="0.35"/>
    <row r="50760" hidden="1" x14ac:dyDescent="0.35"/>
    <row r="50761" hidden="1" x14ac:dyDescent="0.35"/>
    <row r="50762" hidden="1" x14ac:dyDescent="0.35"/>
    <row r="50763" hidden="1" x14ac:dyDescent="0.35"/>
    <row r="50764" hidden="1" x14ac:dyDescent="0.35"/>
    <row r="50765" hidden="1" x14ac:dyDescent="0.35"/>
    <row r="50766" hidden="1" x14ac:dyDescent="0.35"/>
    <row r="50767" hidden="1" x14ac:dyDescent="0.35"/>
    <row r="50768" hidden="1" x14ac:dyDescent="0.35"/>
    <row r="50769" hidden="1" x14ac:dyDescent="0.35"/>
    <row r="50770" hidden="1" x14ac:dyDescent="0.35"/>
    <row r="50771" hidden="1" x14ac:dyDescent="0.35"/>
    <row r="50772" hidden="1" x14ac:dyDescent="0.35"/>
    <row r="50773" hidden="1" x14ac:dyDescent="0.35"/>
    <row r="50774" hidden="1" x14ac:dyDescent="0.35"/>
    <row r="50775" hidden="1" x14ac:dyDescent="0.35"/>
    <row r="50776" hidden="1" x14ac:dyDescent="0.35"/>
    <row r="50777" hidden="1" x14ac:dyDescent="0.35"/>
    <row r="50778" hidden="1" x14ac:dyDescent="0.35"/>
    <row r="50779" hidden="1" x14ac:dyDescent="0.35"/>
    <row r="50780" hidden="1" x14ac:dyDescent="0.35"/>
    <row r="50781" hidden="1" x14ac:dyDescent="0.35"/>
    <row r="50782" hidden="1" x14ac:dyDescent="0.35"/>
    <row r="50783" hidden="1" x14ac:dyDescent="0.35"/>
    <row r="50784" hidden="1" x14ac:dyDescent="0.35"/>
    <row r="50785" hidden="1" x14ac:dyDescent="0.35"/>
    <row r="50786" hidden="1" x14ac:dyDescent="0.35"/>
    <row r="50787" hidden="1" x14ac:dyDescent="0.35"/>
    <row r="50788" hidden="1" x14ac:dyDescent="0.35"/>
    <row r="50789" hidden="1" x14ac:dyDescent="0.35"/>
    <row r="50790" hidden="1" x14ac:dyDescent="0.35"/>
    <row r="50791" hidden="1" x14ac:dyDescent="0.35"/>
    <row r="50792" hidden="1" x14ac:dyDescent="0.35"/>
    <row r="50793" hidden="1" x14ac:dyDescent="0.35"/>
    <row r="50794" hidden="1" x14ac:dyDescent="0.35"/>
    <row r="50795" hidden="1" x14ac:dyDescent="0.35"/>
    <row r="50796" hidden="1" x14ac:dyDescent="0.35"/>
    <row r="50797" hidden="1" x14ac:dyDescent="0.35"/>
    <row r="50798" hidden="1" x14ac:dyDescent="0.35"/>
    <row r="50799" hidden="1" x14ac:dyDescent="0.35"/>
    <row r="50800" hidden="1" x14ac:dyDescent="0.35"/>
    <row r="50801" hidden="1" x14ac:dyDescent="0.35"/>
    <row r="50802" hidden="1" x14ac:dyDescent="0.35"/>
    <row r="50803" hidden="1" x14ac:dyDescent="0.35"/>
    <row r="50804" hidden="1" x14ac:dyDescent="0.35"/>
    <row r="50805" hidden="1" x14ac:dyDescent="0.35"/>
    <row r="50806" hidden="1" x14ac:dyDescent="0.35"/>
    <row r="50807" hidden="1" x14ac:dyDescent="0.35"/>
    <row r="50808" hidden="1" x14ac:dyDescent="0.35"/>
    <row r="50809" hidden="1" x14ac:dyDescent="0.35"/>
    <row r="50810" hidden="1" x14ac:dyDescent="0.35"/>
    <row r="50811" hidden="1" x14ac:dyDescent="0.35"/>
    <row r="50812" hidden="1" x14ac:dyDescent="0.35"/>
    <row r="50813" hidden="1" x14ac:dyDescent="0.35"/>
    <row r="50814" hidden="1" x14ac:dyDescent="0.35"/>
    <row r="50815" hidden="1" x14ac:dyDescent="0.35"/>
    <row r="50816" hidden="1" x14ac:dyDescent="0.35"/>
    <row r="50817" hidden="1" x14ac:dyDescent="0.35"/>
    <row r="50818" hidden="1" x14ac:dyDescent="0.35"/>
    <row r="50819" hidden="1" x14ac:dyDescent="0.35"/>
    <row r="50820" hidden="1" x14ac:dyDescent="0.35"/>
    <row r="50821" hidden="1" x14ac:dyDescent="0.35"/>
    <row r="50822" hidden="1" x14ac:dyDescent="0.35"/>
    <row r="50823" hidden="1" x14ac:dyDescent="0.35"/>
    <row r="50824" hidden="1" x14ac:dyDescent="0.35"/>
    <row r="50825" hidden="1" x14ac:dyDescent="0.35"/>
    <row r="50826" hidden="1" x14ac:dyDescent="0.35"/>
    <row r="50827" hidden="1" x14ac:dyDescent="0.35"/>
    <row r="50828" hidden="1" x14ac:dyDescent="0.35"/>
    <row r="50829" hidden="1" x14ac:dyDescent="0.35"/>
    <row r="50830" hidden="1" x14ac:dyDescent="0.35"/>
    <row r="50831" hidden="1" x14ac:dyDescent="0.35"/>
    <row r="50832" hidden="1" x14ac:dyDescent="0.35"/>
    <row r="50833" hidden="1" x14ac:dyDescent="0.35"/>
    <row r="50834" hidden="1" x14ac:dyDescent="0.35"/>
    <row r="50835" hidden="1" x14ac:dyDescent="0.35"/>
    <row r="50836" hidden="1" x14ac:dyDescent="0.35"/>
    <row r="50837" hidden="1" x14ac:dyDescent="0.35"/>
    <row r="50838" hidden="1" x14ac:dyDescent="0.35"/>
    <row r="50839" hidden="1" x14ac:dyDescent="0.35"/>
    <row r="50840" hidden="1" x14ac:dyDescent="0.35"/>
    <row r="50841" hidden="1" x14ac:dyDescent="0.35"/>
    <row r="50842" hidden="1" x14ac:dyDescent="0.35"/>
    <row r="50843" hidden="1" x14ac:dyDescent="0.35"/>
    <row r="50844" hidden="1" x14ac:dyDescent="0.35"/>
    <row r="50845" hidden="1" x14ac:dyDescent="0.35"/>
    <row r="50846" hidden="1" x14ac:dyDescent="0.35"/>
    <row r="50847" hidden="1" x14ac:dyDescent="0.35"/>
    <row r="50848" hidden="1" x14ac:dyDescent="0.35"/>
    <row r="50849" hidden="1" x14ac:dyDescent="0.35"/>
    <row r="50850" hidden="1" x14ac:dyDescent="0.35"/>
    <row r="50851" hidden="1" x14ac:dyDescent="0.35"/>
    <row r="50852" hidden="1" x14ac:dyDescent="0.35"/>
    <row r="50853" hidden="1" x14ac:dyDescent="0.35"/>
    <row r="50854" hidden="1" x14ac:dyDescent="0.35"/>
    <row r="50855" hidden="1" x14ac:dyDescent="0.35"/>
    <row r="50856" hidden="1" x14ac:dyDescent="0.35"/>
    <row r="50857" hidden="1" x14ac:dyDescent="0.35"/>
    <row r="50858" hidden="1" x14ac:dyDescent="0.35"/>
    <row r="50859" hidden="1" x14ac:dyDescent="0.35"/>
    <row r="50860" hidden="1" x14ac:dyDescent="0.35"/>
    <row r="50861" hidden="1" x14ac:dyDescent="0.35"/>
    <row r="50862" hidden="1" x14ac:dyDescent="0.35"/>
    <row r="50863" hidden="1" x14ac:dyDescent="0.35"/>
    <row r="50864" hidden="1" x14ac:dyDescent="0.35"/>
    <row r="50865" hidden="1" x14ac:dyDescent="0.35"/>
    <row r="50866" hidden="1" x14ac:dyDescent="0.35"/>
    <row r="50867" hidden="1" x14ac:dyDescent="0.35"/>
    <row r="50868" hidden="1" x14ac:dyDescent="0.35"/>
    <row r="50869" hidden="1" x14ac:dyDescent="0.35"/>
    <row r="50870" hidden="1" x14ac:dyDescent="0.35"/>
    <row r="50871" hidden="1" x14ac:dyDescent="0.35"/>
    <row r="50872" hidden="1" x14ac:dyDescent="0.35"/>
    <row r="50873" hidden="1" x14ac:dyDescent="0.35"/>
    <row r="50874" hidden="1" x14ac:dyDescent="0.35"/>
    <row r="50875" hidden="1" x14ac:dyDescent="0.35"/>
    <row r="50876" hidden="1" x14ac:dyDescent="0.35"/>
    <row r="50877" hidden="1" x14ac:dyDescent="0.35"/>
    <row r="50878" hidden="1" x14ac:dyDescent="0.35"/>
    <row r="50879" hidden="1" x14ac:dyDescent="0.35"/>
    <row r="50880" hidden="1" x14ac:dyDescent="0.35"/>
    <row r="50881" hidden="1" x14ac:dyDescent="0.35"/>
    <row r="50882" hidden="1" x14ac:dyDescent="0.35"/>
    <row r="50883" hidden="1" x14ac:dyDescent="0.35"/>
    <row r="50884" hidden="1" x14ac:dyDescent="0.35"/>
    <row r="50885" hidden="1" x14ac:dyDescent="0.35"/>
    <row r="50886" hidden="1" x14ac:dyDescent="0.35"/>
    <row r="50887" hidden="1" x14ac:dyDescent="0.35"/>
    <row r="50888" hidden="1" x14ac:dyDescent="0.35"/>
    <row r="50889" hidden="1" x14ac:dyDescent="0.35"/>
    <row r="50890" hidden="1" x14ac:dyDescent="0.35"/>
    <row r="50891" hidden="1" x14ac:dyDescent="0.35"/>
    <row r="50892" hidden="1" x14ac:dyDescent="0.35"/>
    <row r="50893" hidden="1" x14ac:dyDescent="0.35"/>
    <row r="50894" hidden="1" x14ac:dyDescent="0.35"/>
    <row r="50895" hidden="1" x14ac:dyDescent="0.35"/>
    <row r="50896" hidden="1" x14ac:dyDescent="0.35"/>
    <row r="50897" hidden="1" x14ac:dyDescent="0.35"/>
    <row r="50898" hidden="1" x14ac:dyDescent="0.35"/>
    <row r="50899" hidden="1" x14ac:dyDescent="0.35"/>
    <row r="50900" hidden="1" x14ac:dyDescent="0.35"/>
    <row r="50901" hidden="1" x14ac:dyDescent="0.35"/>
    <row r="50902" hidden="1" x14ac:dyDescent="0.35"/>
    <row r="50903" hidden="1" x14ac:dyDescent="0.35"/>
    <row r="50904" hidden="1" x14ac:dyDescent="0.35"/>
    <row r="50905" hidden="1" x14ac:dyDescent="0.35"/>
    <row r="50906" hidden="1" x14ac:dyDescent="0.35"/>
    <row r="50907" hidden="1" x14ac:dyDescent="0.35"/>
    <row r="50908" hidden="1" x14ac:dyDescent="0.35"/>
    <row r="50909" hidden="1" x14ac:dyDescent="0.35"/>
    <row r="50910" hidden="1" x14ac:dyDescent="0.35"/>
    <row r="50911" hidden="1" x14ac:dyDescent="0.35"/>
    <row r="50912" hidden="1" x14ac:dyDescent="0.35"/>
    <row r="50913" hidden="1" x14ac:dyDescent="0.35"/>
    <row r="50914" hidden="1" x14ac:dyDescent="0.35"/>
    <row r="50915" hidden="1" x14ac:dyDescent="0.35"/>
    <row r="50916" hidden="1" x14ac:dyDescent="0.35"/>
    <row r="50917" hidden="1" x14ac:dyDescent="0.35"/>
    <row r="50918" hidden="1" x14ac:dyDescent="0.35"/>
    <row r="50919" hidden="1" x14ac:dyDescent="0.35"/>
    <row r="50920" hidden="1" x14ac:dyDescent="0.35"/>
    <row r="50921" hidden="1" x14ac:dyDescent="0.35"/>
    <row r="50922" hidden="1" x14ac:dyDescent="0.35"/>
    <row r="50923" hidden="1" x14ac:dyDescent="0.35"/>
    <row r="50924" hidden="1" x14ac:dyDescent="0.35"/>
    <row r="50925" hidden="1" x14ac:dyDescent="0.35"/>
    <row r="50926" hidden="1" x14ac:dyDescent="0.35"/>
    <row r="50927" hidden="1" x14ac:dyDescent="0.35"/>
    <row r="50928" hidden="1" x14ac:dyDescent="0.35"/>
    <row r="50929" hidden="1" x14ac:dyDescent="0.35"/>
    <row r="50930" hidden="1" x14ac:dyDescent="0.35"/>
    <row r="50931" hidden="1" x14ac:dyDescent="0.35"/>
    <row r="50932" hidden="1" x14ac:dyDescent="0.35"/>
    <row r="50933" hidden="1" x14ac:dyDescent="0.35"/>
    <row r="50934" hidden="1" x14ac:dyDescent="0.35"/>
    <row r="50935" hidden="1" x14ac:dyDescent="0.35"/>
    <row r="50936" hidden="1" x14ac:dyDescent="0.35"/>
    <row r="50937" hidden="1" x14ac:dyDescent="0.35"/>
    <row r="50938" hidden="1" x14ac:dyDescent="0.35"/>
    <row r="50939" hidden="1" x14ac:dyDescent="0.35"/>
    <row r="50940" hidden="1" x14ac:dyDescent="0.35"/>
    <row r="50941" hidden="1" x14ac:dyDescent="0.35"/>
    <row r="50942" hidden="1" x14ac:dyDescent="0.35"/>
    <row r="50943" hidden="1" x14ac:dyDescent="0.35"/>
    <row r="50944" hidden="1" x14ac:dyDescent="0.35"/>
    <row r="50945" hidden="1" x14ac:dyDescent="0.35"/>
    <row r="50946" hidden="1" x14ac:dyDescent="0.35"/>
    <row r="50947" hidden="1" x14ac:dyDescent="0.35"/>
    <row r="50948" hidden="1" x14ac:dyDescent="0.35"/>
    <row r="50949" hidden="1" x14ac:dyDescent="0.35"/>
    <row r="50950" hidden="1" x14ac:dyDescent="0.35"/>
    <row r="50951" hidden="1" x14ac:dyDescent="0.35"/>
    <row r="50952" hidden="1" x14ac:dyDescent="0.35"/>
    <row r="50953" hidden="1" x14ac:dyDescent="0.35"/>
    <row r="50954" hidden="1" x14ac:dyDescent="0.35"/>
    <row r="50955" hidden="1" x14ac:dyDescent="0.35"/>
    <row r="50956" hidden="1" x14ac:dyDescent="0.35"/>
    <row r="50957" hidden="1" x14ac:dyDescent="0.35"/>
    <row r="50958" hidden="1" x14ac:dyDescent="0.35"/>
    <row r="50959" hidden="1" x14ac:dyDescent="0.35"/>
    <row r="50960" hidden="1" x14ac:dyDescent="0.35"/>
    <row r="50961" hidden="1" x14ac:dyDescent="0.35"/>
    <row r="50962" hidden="1" x14ac:dyDescent="0.35"/>
    <row r="50963" hidden="1" x14ac:dyDescent="0.35"/>
    <row r="50964" hidden="1" x14ac:dyDescent="0.35"/>
    <row r="50965" hidden="1" x14ac:dyDescent="0.35"/>
    <row r="50966" hidden="1" x14ac:dyDescent="0.35"/>
    <row r="50967" hidden="1" x14ac:dyDescent="0.35"/>
    <row r="50968" hidden="1" x14ac:dyDescent="0.35"/>
    <row r="50969" hidden="1" x14ac:dyDescent="0.35"/>
    <row r="50970" hidden="1" x14ac:dyDescent="0.35"/>
    <row r="50971" hidden="1" x14ac:dyDescent="0.35"/>
    <row r="50972" hidden="1" x14ac:dyDescent="0.35"/>
    <row r="50973" hidden="1" x14ac:dyDescent="0.35"/>
    <row r="50974" hidden="1" x14ac:dyDescent="0.35"/>
    <row r="50975" hidden="1" x14ac:dyDescent="0.35"/>
    <row r="50976" hidden="1" x14ac:dyDescent="0.35"/>
    <row r="50977" hidden="1" x14ac:dyDescent="0.35"/>
    <row r="50978" hidden="1" x14ac:dyDescent="0.35"/>
    <row r="50979" hidden="1" x14ac:dyDescent="0.35"/>
    <row r="50980" hidden="1" x14ac:dyDescent="0.35"/>
    <row r="50981" hidden="1" x14ac:dyDescent="0.35"/>
    <row r="50982" hidden="1" x14ac:dyDescent="0.35"/>
    <row r="50983" hidden="1" x14ac:dyDescent="0.35"/>
    <row r="50984" hidden="1" x14ac:dyDescent="0.35"/>
    <row r="50985" hidden="1" x14ac:dyDescent="0.35"/>
    <row r="50986" hidden="1" x14ac:dyDescent="0.35"/>
    <row r="50987" hidden="1" x14ac:dyDescent="0.35"/>
    <row r="50988" hidden="1" x14ac:dyDescent="0.35"/>
    <row r="50989" hidden="1" x14ac:dyDescent="0.35"/>
    <row r="50990" hidden="1" x14ac:dyDescent="0.35"/>
    <row r="50991" hidden="1" x14ac:dyDescent="0.35"/>
    <row r="50992" hidden="1" x14ac:dyDescent="0.35"/>
    <row r="50993" hidden="1" x14ac:dyDescent="0.35"/>
    <row r="50994" hidden="1" x14ac:dyDescent="0.35"/>
    <row r="50995" hidden="1" x14ac:dyDescent="0.35"/>
    <row r="50996" hidden="1" x14ac:dyDescent="0.35"/>
    <row r="50997" hidden="1" x14ac:dyDescent="0.35"/>
    <row r="50998" hidden="1" x14ac:dyDescent="0.35"/>
    <row r="50999" hidden="1" x14ac:dyDescent="0.35"/>
    <row r="51000" hidden="1" x14ac:dyDescent="0.35"/>
    <row r="51001" hidden="1" x14ac:dyDescent="0.35"/>
    <row r="51002" hidden="1" x14ac:dyDescent="0.35"/>
    <row r="51003" hidden="1" x14ac:dyDescent="0.35"/>
    <row r="51004" hidden="1" x14ac:dyDescent="0.35"/>
    <row r="51005" hidden="1" x14ac:dyDescent="0.35"/>
    <row r="51006" hidden="1" x14ac:dyDescent="0.35"/>
    <row r="51007" hidden="1" x14ac:dyDescent="0.35"/>
    <row r="51008" hidden="1" x14ac:dyDescent="0.35"/>
    <row r="51009" hidden="1" x14ac:dyDescent="0.35"/>
    <row r="51010" hidden="1" x14ac:dyDescent="0.35"/>
    <row r="51011" hidden="1" x14ac:dyDescent="0.35"/>
    <row r="51012" hidden="1" x14ac:dyDescent="0.35"/>
    <row r="51013" hidden="1" x14ac:dyDescent="0.35"/>
    <row r="51014" hidden="1" x14ac:dyDescent="0.35"/>
    <row r="51015" hidden="1" x14ac:dyDescent="0.35"/>
    <row r="51016" hidden="1" x14ac:dyDescent="0.35"/>
    <row r="51017" hidden="1" x14ac:dyDescent="0.35"/>
    <row r="51018" hidden="1" x14ac:dyDescent="0.35"/>
    <row r="51019" hidden="1" x14ac:dyDescent="0.35"/>
    <row r="51020" hidden="1" x14ac:dyDescent="0.35"/>
    <row r="51021" hidden="1" x14ac:dyDescent="0.35"/>
    <row r="51022" hidden="1" x14ac:dyDescent="0.35"/>
    <row r="51023" hidden="1" x14ac:dyDescent="0.35"/>
    <row r="51024" hidden="1" x14ac:dyDescent="0.35"/>
    <row r="51025" hidden="1" x14ac:dyDescent="0.35"/>
    <row r="51026" hidden="1" x14ac:dyDescent="0.35"/>
    <row r="51027" hidden="1" x14ac:dyDescent="0.35"/>
    <row r="51028" hidden="1" x14ac:dyDescent="0.35"/>
    <row r="51029" hidden="1" x14ac:dyDescent="0.35"/>
    <row r="51030" hidden="1" x14ac:dyDescent="0.35"/>
    <row r="51031" hidden="1" x14ac:dyDescent="0.35"/>
    <row r="51032" hidden="1" x14ac:dyDescent="0.35"/>
    <row r="51033" hidden="1" x14ac:dyDescent="0.35"/>
    <row r="51034" hidden="1" x14ac:dyDescent="0.35"/>
    <row r="51035" hidden="1" x14ac:dyDescent="0.35"/>
    <row r="51036" hidden="1" x14ac:dyDescent="0.35"/>
    <row r="51037" hidden="1" x14ac:dyDescent="0.35"/>
    <row r="51038" hidden="1" x14ac:dyDescent="0.35"/>
    <row r="51039" hidden="1" x14ac:dyDescent="0.35"/>
    <row r="51040" hidden="1" x14ac:dyDescent="0.35"/>
    <row r="51041" hidden="1" x14ac:dyDescent="0.35"/>
    <row r="51042" hidden="1" x14ac:dyDescent="0.35"/>
    <row r="51043" hidden="1" x14ac:dyDescent="0.35"/>
    <row r="51044" hidden="1" x14ac:dyDescent="0.35"/>
    <row r="51045" hidden="1" x14ac:dyDescent="0.35"/>
    <row r="51046" hidden="1" x14ac:dyDescent="0.35"/>
    <row r="51047" hidden="1" x14ac:dyDescent="0.35"/>
    <row r="51048" hidden="1" x14ac:dyDescent="0.35"/>
    <row r="51049" hidden="1" x14ac:dyDescent="0.35"/>
    <row r="51050" hidden="1" x14ac:dyDescent="0.35"/>
    <row r="51051" hidden="1" x14ac:dyDescent="0.35"/>
    <row r="51052" hidden="1" x14ac:dyDescent="0.35"/>
    <row r="51053" hidden="1" x14ac:dyDescent="0.35"/>
    <row r="51054" hidden="1" x14ac:dyDescent="0.35"/>
    <row r="51055" hidden="1" x14ac:dyDescent="0.35"/>
    <row r="51056" hidden="1" x14ac:dyDescent="0.35"/>
    <row r="51057" hidden="1" x14ac:dyDescent="0.35"/>
    <row r="51058" hidden="1" x14ac:dyDescent="0.35"/>
    <row r="51059" hidden="1" x14ac:dyDescent="0.35"/>
    <row r="51060" hidden="1" x14ac:dyDescent="0.35"/>
    <row r="51061" hidden="1" x14ac:dyDescent="0.35"/>
    <row r="51062" hidden="1" x14ac:dyDescent="0.35"/>
    <row r="51063" hidden="1" x14ac:dyDescent="0.35"/>
    <row r="51064" hidden="1" x14ac:dyDescent="0.35"/>
    <row r="51065" hidden="1" x14ac:dyDescent="0.35"/>
    <row r="51066" hidden="1" x14ac:dyDescent="0.35"/>
    <row r="51067" hidden="1" x14ac:dyDescent="0.35"/>
    <row r="51068" hidden="1" x14ac:dyDescent="0.35"/>
    <row r="51069" hidden="1" x14ac:dyDescent="0.35"/>
    <row r="51070" hidden="1" x14ac:dyDescent="0.35"/>
    <row r="51071" hidden="1" x14ac:dyDescent="0.35"/>
    <row r="51072" hidden="1" x14ac:dyDescent="0.35"/>
    <row r="51073" hidden="1" x14ac:dyDescent="0.35"/>
    <row r="51074" hidden="1" x14ac:dyDescent="0.35"/>
    <row r="51075" hidden="1" x14ac:dyDescent="0.35"/>
    <row r="51076" hidden="1" x14ac:dyDescent="0.35"/>
    <row r="51077" hidden="1" x14ac:dyDescent="0.35"/>
    <row r="51078" hidden="1" x14ac:dyDescent="0.35"/>
    <row r="51079" hidden="1" x14ac:dyDescent="0.35"/>
    <row r="51080" hidden="1" x14ac:dyDescent="0.35"/>
    <row r="51081" hidden="1" x14ac:dyDescent="0.35"/>
    <row r="51082" hidden="1" x14ac:dyDescent="0.35"/>
    <row r="51083" hidden="1" x14ac:dyDescent="0.35"/>
    <row r="51084" hidden="1" x14ac:dyDescent="0.35"/>
    <row r="51085" hidden="1" x14ac:dyDescent="0.35"/>
    <row r="51086" hidden="1" x14ac:dyDescent="0.35"/>
    <row r="51087" hidden="1" x14ac:dyDescent="0.35"/>
    <row r="51088" hidden="1" x14ac:dyDescent="0.35"/>
    <row r="51089" hidden="1" x14ac:dyDescent="0.35"/>
    <row r="51090" hidden="1" x14ac:dyDescent="0.35"/>
    <row r="51091" hidden="1" x14ac:dyDescent="0.35"/>
    <row r="51092" hidden="1" x14ac:dyDescent="0.35"/>
    <row r="51093" hidden="1" x14ac:dyDescent="0.35"/>
    <row r="51094" hidden="1" x14ac:dyDescent="0.35"/>
    <row r="51095" hidden="1" x14ac:dyDescent="0.35"/>
    <row r="51096" hidden="1" x14ac:dyDescent="0.35"/>
    <row r="51097" hidden="1" x14ac:dyDescent="0.35"/>
    <row r="51098" hidden="1" x14ac:dyDescent="0.35"/>
    <row r="51099" hidden="1" x14ac:dyDescent="0.35"/>
    <row r="51100" hidden="1" x14ac:dyDescent="0.35"/>
    <row r="51101" hidden="1" x14ac:dyDescent="0.35"/>
    <row r="51102" hidden="1" x14ac:dyDescent="0.35"/>
    <row r="51103" hidden="1" x14ac:dyDescent="0.35"/>
    <row r="51104" hidden="1" x14ac:dyDescent="0.35"/>
    <row r="51105" hidden="1" x14ac:dyDescent="0.35"/>
    <row r="51106" hidden="1" x14ac:dyDescent="0.35"/>
    <row r="51107" hidden="1" x14ac:dyDescent="0.35"/>
    <row r="51108" hidden="1" x14ac:dyDescent="0.35"/>
    <row r="51109" hidden="1" x14ac:dyDescent="0.35"/>
    <row r="51110" hidden="1" x14ac:dyDescent="0.35"/>
    <row r="51111" hidden="1" x14ac:dyDescent="0.35"/>
    <row r="51112" hidden="1" x14ac:dyDescent="0.35"/>
    <row r="51113" hidden="1" x14ac:dyDescent="0.35"/>
    <row r="51114" hidden="1" x14ac:dyDescent="0.35"/>
    <row r="51115" hidden="1" x14ac:dyDescent="0.35"/>
    <row r="51116" hidden="1" x14ac:dyDescent="0.35"/>
    <row r="51117" hidden="1" x14ac:dyDescent="0.35"/>
    <row r="51118" hidden="1" x14ac:dyDescent="0.35"/>
    <row r="51119" hidden="1" x14ac:dyDescent="0.35"/>
    <row r="51120" hidden="1" x14ac:dyDescent="0.35"/>
    <row r="51121" hidden="1" x14ac:dyDescent="0.35"/>
    <row r="51122" hidden="1" x14ac:dyDescent="0.35"/>
    <row r="51123" hidden="1" x14ac:dyDescent="0.35"/>
    <row r="51124" hidden="1" x14ac:dyDescent="0.35"/>
    <row r="51125" hidden="1" x14ac:dyDescent="0.35"/>
    <row r="51126" hidden="1" x14ac:dyDescent="0.35"/>
    <row r="51127" hidden="1" x14ac:dyDescent="0.35"/>
    <row r="51128" hidden="1" x14ac:dyDescent="0.35"/>
    <row r="51129" hidden="1" x14ac:dyDescent="0.35"/>
    <row r="51130" hidden="1" x14ac:dyDescent="0.35"/>
    <row r="51131" hidden="1" x14ac:dyDescent="0.35"/>
    <row r="51132" hidden="1" x14ac:dyDescent="0.35"/>
    <row r="51133" hidden="1" x14ac:dyDescent="0.35"/>
    <row r="51134" hidden="1" x14ac:dyDescent="0.35"/>
    <row r="51135" hidden="1" x14ac:dyDescent="0.35"/>
    <row r="51136" hidden="1" x14ac:dyDescent="0.35"/>
    <row r="51137" hidden="1" x14ac:dyDescent="0.35"/>
    <row r="51138" hidden="1" x14ac:dyDescent="0.35"/>
    <row r="51139" hidden="1" x14ac:dyDescent="0.35"/>
    <row r="51140" hidden="1" x14ac:dyDescent="0.35"/>
    <row r="51141" hidden="1" x14ac:dyDescent="0.35"/>
    <row r="51142" hidden="1" x14ac:dyDescent="0.35"/>
    <row r="51143" hidden="1" x14ac:dyDescent="0.35"/>
    <row r="51144" hidden="1" x14ac:dyDescent="0.35"/>
    <row r="51145" hidden="1" x14ac:dyDescent="0.35"/>
    <row r="51146" hidden="1" x14ac:dyDescent="0.35"/>
    <row r="51147" hidden="1" x14ac:dyDescent="0.35"/>
    <row r="51148" hidden="1" x14ac:dyDescent="0.35"/>
    <row r="51149" hidden="1" x14ac:dyDescent="0.35"/>
    <row r="51150" hidden="1" x14ac:dyDescent="0.35"/>
    <row r="51151" hidden="1" x14ac:dyDescent="0.35"/>
    <row r="51152" hidden="1" x14ac:dyDescent="0.35"/>
    <row r="51153" hidden="1" x14ac:dyDescent="0.35"/>
    <row r="51154" hidden="1" x14ac:dyDescent="0.35"/>
    <row r="51155" hidden="1" x14ac:dyDescent="0.35"/>
    <row r="51156" hidden="1" x14ac:dyDescent="0.35"/>
    <row r="51157" hidden="1" x14ac:dyDescent="0.35"/>
    <row r="51158" hidden="1" x14ac:dyDescent="0.35"/>
    <row r="51159" hidden="1" x14ac:dyDescent="0.35"/>
    <row r="51160" hidden="1" x14ac:dyDescent="0.35"/>
    <row r="51161" hidden="1" x14ac:dyDescent="0.35"/>
    <row r="51162" hidden="1" x14ac:dyDescent="0.35"/>
    <row r="51163" hidden="1" x14ac:dyDescent="0.35"/>
    <row r="51164" hidden="1" x14ac:dyDescent="0.35"/>
    <row r="51165" hidden="1" x14ac:dyDescent="0.35"/>
    <row r="51166" hidden="1" x14ac:dyDescent="0.35"/>
    <row r="51167" hidden="1" x14ac:dyDescent="0.35"/>
    <row r="51168" hidden="1" x14ac:dyDescent="0.35"/>
    <row r="51169" hidden="1" x14ac:dyDescent="0.35"/>
    <row r="51170" hidden="1" x14ac:dyDescent="0.35"/>
    <row r="51171" hidden="1" x14ac:dyDescent="0.35"/>
    <row r="51172" hidden="1" x14ac:dyDescent="0.35"/>
    <row r="51173" hidden="1" x14ac:dyDescent="0.35"/>
    <row r="51174" hidden="1" x14ac:dyDescent="0.35"/>
    <row r="51175" hidden="1" x14ac:dyDescent="0.35"/>
    <row r="51176" hidden="1" x14ac:dyDescent="0.35"/>
    <row r="51177" hidden="1" x14ac:dyDescent="0.35"/>
    <row r="51178" hidden="1" x14ac:dyDescent="0.35"/>
    <row r="51179" hidden="1" x14ac:dyDescent="0.35"/>
    <row r="51180" hidden="1" x14ac:dyDescent="0.35"/>
    <row r="51181" hidden="1" x14ac:dyDescent="0.35"/>
    <row r="51182" hidden="1" x14ac:dyDescent="0.35"/>
    <row r="51183" hidden="1" x14ac:dyDescent="0.35"/>
    <row r="51184" hidden="1" x14ac:dyDescent="0.35"/>
    <row r="51185" hidden="1" x14ac:dyDescent="0.35"/>
    <row r="51186" hidden="1" x14ac:dyDescent="0.35"/>
    <row r="51187" hidden="1" x14ac:dyDescent="0.35"/>
    <row r="51188" hidden="1" x14ac:dyDescent="0.35"/>
    <row r="51189" hidden="1" x14ac:dyDescent="0.35"/>
    <row r="51190" hidden="1" x14ac:dyDescent="0.35"/>
    <row r="51191" hidden="1" x14ac:dyDescent="0.35"/>
    <row r="51192" hidden="1" x14ac:dyDescent="0.35"/>
    <row r="51193" hidden="1" x14ac:dyDescent="0.35"/>
    <row r="51194" hidden="1" x14ac:dyDescent="0.35"/>
    <row r="51195" hidden="1" x14ac:dyDescent="0.35"/>
    <row r="51196" hidden="1" x14ac:dyDescent="0.35"/>
    <row r="51197" hidden="1" x14ac:dyDescent="0.35"/>
    <row r="51198" hidden="1" x14ac:dyDescent="0.35"/>
    <row r="51199" hidden="1" x14ac:dyDescent="0.35"/>
    <row r="51200" hidden="1" x14ac:dyDescent="0.35"/>
    <row r="51201" hidden="1" x14ac:dyDescent="0.35"/>
    <row r="51202" hidden="1" x14ac:dyDescent="0.35"/>
    <row r="51203" hidden="1" x14ac:dyDescent="0.35"/>
    <row r="51204" hidden="1" x14ac:dyDescent="0.35"/>
    <row r="51205" hidden="1" x14ac:dyDescent="0.35"/>
    <row r="51206" hidden="1" x14ac:dyDescent="0.35"/>
    <row r="51207" hidden="1" x14ac:dyDescent="0.35"/>
    <row r="51208" hidden="1" x14ac:dyDescent="0.35"/>
    <row r="51209" hidden="1" x14ac:dyDescent="0.35"/>
    <row r="51210" hidden="1" x14ac:dyDescent="0.35"/>
    <row r="51211" hidden="1" x14ac:dyDescent="0.35"/>
    <row r="51212" hidden="1" x14ac:dyDescent="0.35"/>
    <row r="51213" hidden="1" x14ac:dyDescent="0.35"/>
    <row r="51214" hidden="1" x14ac:dyDescent="0.35"/>
    <row r="51215" hidden="1" x14ac:dyDescent="0.35"/>
    <row r="51216" hidden="1" x14ac:dyDescent="0.35"/>
    <row r="51217" hidden="1" x14ac:dyDescent="0.35"/>
    <row r="51218" hidden="1" x14ac:dyDescent="0.35"/>
    <row r="51219" hidden="1" x14ac:dyDescent="0.35"/>
    <row r="51220" hidden="1" x14ac:dyDescent="0.35"/>
    <row r="51221" hidden="1" x14ac:dyDescent="0.35"/>
    <row r="51222" hidden="1" x14ac:dyDescent="0.35"/>
    <row r="51223" hidden="1" x14ac:dyDescent="0.35"/>
    <row r="51224" hidden="1" x14ac:dyDescent="0.35"/>
    <row r="51225" hidden="1" x14ac:dyDescent="0.35"/>
    <row r="51226" hidden="1" x14ac:dyDescent="0.35"/>
    <row r="51227" hidden="1" x14ac:dyDescent="0.35"/>
    <row r="51228" hidden="1" x14ac:dyDescent="0.35"/>
    <row r="51229" hidden="1" x14ac:dyDescent="0.35"/>
    <row r="51230" hidden="1" x14ac:dyDescent="0.35"/>
    <row r="51231" hidden="1" x14ac:dyDescent="0.35"/>
    <row r="51232" hidden="1" x14ac:dyDescent="0.35"/>
    <row r="51233" hidden="1" x14ac:dyDescent="0.35"/>
    <row r="51234" hidden="1" x14ac:dyDescent="0.35"/>
    <row r="51235" hidden="1" x14ac:dyDescent="0.35"/>
    <row r="51236" hidden="1" x14ac:dyDescent="0.35"/>
    <row r="51237" hidden="1" x14ac:dyDescent="0.35"/>
    <row r="51238" hidden="1" x14ac:dyDescent="0.35"/>
    <row r="51239" hidden="1" x14ac:dyDescent="0.35"/>
    <row r="51240" hidden="1" x14ac:dyDescent="0.35"/>
    <row r="51241" hidden="1" x14ac:dyDescent="0.35"/>
    <row r="51242" hidden="1" x14ac:dyDescent="0.35"/>
    <row r="51243" hidden="1" x14ac:dyDescent="0.35"/>
    <row r="51244" hidden="1" x14ac:dyDescent="0.35"/>
    <row r="51245" hidden="1" x14ac:dyDescent="0.35"/>
    <row r="51246" hidden="1" x14ac:dyDescent="0.35"/>
    <row r="51247" hidden="1" x14ac:dyDescent="0.35"/>
    <row r="51248" hidden="1" x14ac:dyDescent="0.35"/>
    <row r="51249" hidden="1" x14ac:dyDescent="0.35"/>
    <row r="51250" hidden="1" x14ac:dyDescent="0.35"/>
    <row r="51251" hidden="1" x14ac:dyDescent="0.35"/>
    <row r="51252" hidden="1" x14ac:dyDescent="0.35"/>
    <row r="51253" hidden="1" x14ac:dyDescent="0.35"/>
    <row r="51254" hidden="1" x14ac:dyDescent="0.35"/>
    <row r="51255" hidden="1" x14ac:dyDescent="0.35"/>
    <row r="51256" hidden="1" x14ac:dyDescent="0.35"/>
    <row r="51257" hidden="1" x14ac:dyDescent="0.35"/>
    <row r="51258" hidden="1" x14ac:dyDescent="0.35"/>
    <row r="51259" hidden="1" x14ac:dyDescent="0.35"/>
    <row r="51260" hidden="1" x14ac:dyDescent="0.35"/>
    <row r="51261" hidden="1" x14ac:dyDescent="0.35"/>
    <row r="51262" hidden="1" x14ac:dyDescent="0.35"/>
    <row r="51263" hidden="1" x14ac:dyDescent="0.35"/>
    <row r="51264" hidden="1" x14ac:dyDescent="0.35"/>
    <row r="51265" hidden="1" x14ac:dyDescent="0.35"/>
    <row r="51266" hidden="1" x14ac:dyDescent="0.35"/>
    <row r="51267" hidden="1" x14ac:dyDescent="0.35"/>
    <row r="51268" hidden="1" x14ac:dyDescent="0.35"/>
    <row r="51269" hidden="1" x14ac:dyDescent="0.35"/>
    <row r="51270" hidden="1" x14ac:dyDescent="0.35"/>
    <row r="51271" hidden="1" x14ac:dyDescent="0.35"/>
    <row r="51272" hidden="1" x14ac:dyDescent="0.35"/>
    <row r="51273" hidden="1" x14ac:dyDescent="0.35"/>
    <row r="51274" hidden="1" x14ac:dyDescent="0.35"/>
    <row r="51275" hidden="1" x14ac:dyDescent="0.35"/>
    <row r="51276" hidden="1" x14ac:dyDescent="0.35"/>
    <row r="51277" hidden="1" x14ac:dyDescent="0.35"/>
    <row r="51278" hidden="1" x14ac:dyDescent="0.35"/>
    <row r="51279" hidden="1" x14ac:dyDescent="0.35"/>
    <row r="51280" hidden="1" x14ac:dyDescent="0.35"/>
    <row r="51281" hidden="1" x14ac:dyDescent="0.35"/>
    <row r="51282" hidden="1" x14ac:dyDescent="0.35"/>
    <row r="51283" hidden="1" x14ac:dyDescent="0.35"/>
    <row r="51284" hidden="1" x14ac:dyDescent="0.35"/>
    <row r="51285" hidden="1" x14ac:dyDescent="0.35"/>
    <row r="51286" hidden="1" x14ac:dyDescent="0.35"/>
    <row r="51287" hidden="1" x14ac:dyDescent="0.35"/>
    <row r="51288" hidden="1" x14ac:dyDescent="0.35"/>
    <row r="51289" hidden="1" x14ac:dyDescent="0.35"/>
    <row r="51290" hidden="1" x14ac:dyDescent="0.35"/>
    <row r="51291" hidden="1" x14ac:dyDescent="0.35"/>
    <row r="51292" hidden="1" x14ac:dyDescent="0.35"/>
    <row r="51293" hidden="1" x14ac:dyDescent="0.35"/>
    <row r="51294" hidden="1" x14ac:dyDescent="0.35"/>
    <row r="51295" hidden="1" x14ac:dyDescent="0.35"/>
    <row r="51296" hidden="1" x14ac:dyDescent="0.35"/>
    <row r="51297" hidden="1" x14ac:dyDescent="0.35"/>
    <row r="51298" hidden="1" x14ac:dyDescent="0.35"/>
    <row r="51299" hidden="1" x14ac:dyDescent="0.35"/>
    <row r="51300" hidden="1" x14ac:dyDescent="0.35"/>
    <row r="51301" hidden="1" x14ac:dyDescent="0.35"/>
    <row r="51302" hidden="1" x14ac:dyDescent="0.35"/>
    <row r="51303" hidden="1" x14ac:dyDescent="0.35"/>
    <row r="51304" hidden="1" x14ac:dyDescent="0.35"/>
    <row r="51305" hidden="1" x14ac:dyDescent="0.35"/>
    <row r="51306" hidden="1" x14ac:dyDescent="0.35"/>
    <row r="51307" hidden="1" x14ac:dyDescent="0.35"/>
    <row r="51308" hidden="1" x14ac:dyDescent="0.35"/>
    <row r="51309" hidden="1" x14ac:dyDescent="0.35"/>
    <row r="51310" hidden="1" x14ac:dyDescent="0.35"/>
    <row r="51311" hidden="1" x14ac:dyDescent="0.35"/>
    <row r="51312" hidden="1" x14ac:dyDescent="0.35"/>
    <row r="51313" hidden="1" x14ac:dyDescent="0.35"/>
    <row r="51314" hidden="1" x14ac:dyDescent="0.35"/>
    <row r="51315" hidden="1" x14ac:dyDescent="0.35"/>
    <row r="51316" hidden="1" x14ac:dyDescent="0.35"/>
    <row r="51317" hidden="1" x14ac:dyDescent="0.35"/>
    <row r="51318" hidden="1" x14ac:dyDescent="0.35"/>
    <row r="51319" hidden="1" x14ac:dyDescent="0.35"/>
    <row r="51320" hidden="1" x14ac:dyDescent="0.35"/>
    <row r="51321" hidden="1" x14ac:dyDescent="0.35"/>
    <row r="51322" hidden="1" x14ac:dyDescent="0.35"/>
    <row r="51323" hidden="1" x14ac:dyDescent="0.35"/>
    <row r="51324" hidden="1" x14ac:dyDescent="0.35"/>
    <row r="51325" hidden="1" x14ac:dyDescent="0.35"/>
    <row r="51326" hidden="1" x14ac:dyDescent="0.35"/>
    <row r="51327" hidden="1" x14ac:dyDescent="0.35"/>
    <row r="51328" hidden="1" x14ac:dyDescent="0.35"/>
    <row r="51329" hidden="1" x14ac:dyDescent="0.35"/>
    <row r="51330" hidden="1" x14ac:dyDescent="0.35"/>
    <row r="51331" hidden="1" x14ac:dyDescent="0.35"/>
    <row r="51332" hidden="1" x14ac:dyDescent="0.35"/>
    <row r="51333" hidden="1" x14ac:dyDescent="0.35"/>
    <row r="51334" hidden="1" x14ac:dyDescent="0.35"/>
    <row r="51335" hidden="1" x14ac:dyDescent="0.35"/>
    <row r="51336" hidden="1" x14ac:dyDescent="0.35"/>
    <row r="51337" hidden="1" x14ac:dyDescent="0.35"/>
    <row r="51338" hidden="1" x14ac:dyDescent="0.35"/>
    <row r="51339" hidden="1" x14ac:dyDescent="0.35"/>
    <row r="51340" hidden="1" x14ac:dyDescent="0.35"/>
    <row r="51341" hidden="1" x14ac:dyDescent="0.35"/>
    <row r="51342" hidden="1" x14ac:dyDescent="0.35"/>
    <row r="51343" hidden="1" x14ac:dyDescent="0.35"/>
    <row r="51344" hidden="1" x14ac:dyDescent="0.35"/>
    <row r="51345" hidden="1" x14ac:dyDescent="0.35"/>
    <row r="51346" hidden="1" x14ac:dyDescent="0.35"/>
    <row r="51347" hidden="1" x14ac:dyDescent="0.35"/>
    <row r="51348" hidden="1" x14ac:dyDescent="0.35"/>
    <row r="51349" hidden="1" x14ac:dyDescent="0.35"/>
    <row r="51350" hidden="1" x14ac:dyDescent="0.35"/>
    <row r="51351" hidden="1" x14ac:dyDescent="0.35"/>
    <row r="51352" hidden="1" x14ac:dyDescent="0.35"/>
    <row r="51353" hidden="1" x14ac:dyDescent="0.35"/>
    <row r="51354" hidden="1" x14ac:dyDescent="0.35"/>
    <row r="51355" hidden="1" x14ac:dyDescent="0.35"/>
    <row r="51356" hidden="1" x14ac:dyDescent="0.35"/>
    <row r="51357" hidden="1" x14ac:dyDescent="0.35"/>
    <row r="51358" hidden="1" x14ac:dyDescent="0.35"/>
    <row r="51359" hidden="1" x14ac:dyDescent="0.35"/>
    <row r="51360" hidden="1" x14ac:dyDescent="0.35"/>
    <row r="51361" hidden="1" x14ac:dyDescent="0.35"/>
    <row r="51362" hidden="1" x14ac:dyDescent="0.35"/>
    <row r="51363" hidden="1" x14ac:dyDescent="0.35"/>
    <row r="51364" hidden="1" x14ac:dyDescent="0.35"/>
    <row r="51365" hidden="1" x14ac:dyDescent="0.35"/>
    <row r="51366" hidden="1" x14ac:dyDescent="0.35"/>
    <row r="51367" hidden="1" x14ac:dyDescent="0.35"/>
    <row r="51368" hidden="1" x14ac:dyDescent="0.35"/>
    <row r="51369" hidden="1" x14ac:dyDescent="0.35"/>
    <row r="51370" hidden="1" x14ac:dyDescent="0.35"/>
    <row r="51371" hidden="1" x14ac:dyDescent="0.35"/>
    <row r="51372" hidden="1" x14ac:dyDescent="0.35"/>
    <row r="51373" hidden="1" x14ac:dyDescent="0.35"/>
    <row r="51374" hidden="1" x14ac:dyDescent="0.35"/>
    <row r="51375" hidden="1" x14ac:dyDescent="0.35"/>
    <row r="51376" hidden="1" x14ac:dyDescent="0.35"/>
    <row r="51377" hidden="1" x14ac:dyDescent="0.35"/>
    <row r="51378" hidden="1" x14ac:dyDescent="0.35"/>
    <row r="51379" hidden="1" x14ac:dyDescent="0.35"/>
    <row r="51380" hidden="1" x14ac:dyDescent="0.35"/>
    <row r="51381" hidden="1" x14ac:dyDescent="0.35"/>
    <row r="51382" hidden="1" x14ac:dyDescent="0.35"/>
    <row r="51383" hidden="1" x14ac:dyDescent="0.35"/>
    <row r="51384" hidden="1" x14ac:dyDescent="0.35"/>
    <row r="51385" hidden="1" x14ac:dyDescent="0.35"/>
    <row r="51386" hidden="1" x14ac:dyDescent="0.35"/>
    <row r="51387" hidden="1" x14ac:dyDescent="0.35"/>
    <row r="51388" hidden="1" x14ac:dyDescent="0.35"/>
    <row r="51389" hidden="1" x14ac:dyDescent="0.35"/>
    <row r="51390" hidden="1" x14ac:dyDescent="0.35"/>
    <row r="51391" hidden="1" x14ac:dyDescent="0.35"/>
    <row r="51392" hidden="1" x14ac:dyDescent="0.35"/>
    <row r="51393" hidden="1" x14ac:dyDescent="0.35"/>
    <row r="51394" hidden="1" x14ac:dyDescent="0.35"/>
    <row r="51395" hidden="1" x14ac:dyDescent="0.35"/>
    <row r="51396" hidden="1" x14ac:dyDescent="0.35"/>
    <row r="51397" hidden="1" x14ac:dyDescent="0.35"/>
    <row r="51398" hidden="1" x14ac:dyDescent="0.35"/>
    <row r="51399" hidden="1" x14ac:dyDescent="0.35"/>
    <row r="51400" hidden="1" x14ac:dyDescent="0.35"/>
    <row r="51401" hidden="1" x14ac:dyDescent="0.35"/>
    <row r="51402" hidden="1" x14ac:dyDescent="0.35"/>
    <row r="51403" hidden="1" x14ac:dyDescent="0.35"/>
    <row r="51404" hidden="1" x14ac:dyDescent="0.35"/>
    <row r="51405" hidden="1" x14ac:dyDescent="0.35"/>
    <row r="51406" hidden="1" x14ac:dyDescent="0.35"/>
    <row r="51407" hidden="1" x14ac:dyDescent="0.35"/>
    <row r="51408" hidden="1" x14ac:dyDescent="0.35"/>
    <row r="51409" hidden="1" x14ac:dyDescent="0.35"/>
    <row r="51410" hidden="1" x14ac:dyDescent="0.35"/>
    <row r="51411" hidden="1" x14ac:dyDescent="0.35"/>
    <row r="51412" hidden="1" x14ac:dyDescent="0.35"/>
    <row r="51413" hidden="1" x14ac:dyDescent="0.35"/>
    <row r="51414" hidden="1" x14ac:dyDescent="0.35"/>
    <row r="51415" hidden="1" x14ac:dyDescent="0.35"/>
    <row r="51416" hidden="1" x14ac:dyDescent="0.35"/>
    <row r="51417" hidden="1" x14ac:dyDescent="0.35"/>
    <row r="51418" hidden="1" x14ac:dyDescent="0.35"/>
    <row r="51419" hidden="1" x14ac:dyDescent="0.35"/>
    <row r="51420" hidden="1" x14ac:dyDescent="0.35"/>
    <row r="51421" hidden="1" x14ac:dyDescent="0.35"/>
    <row r="51422" hidden="1" x14ac:dyDescent="0.35"/>
    <row r="51423" hidden="1" x14ac:dyDescent="0.35"/>
    <row r="51424" hidden="1" x14ac:dyDescent="0.35"/>
    <row r="51425" hidden="1" x14ac:dyDescent="0.35"/>
    <row r="51426" hidden="1" x14ac:dyDescent="0.35"/>
    <row r="51427" hidden="1" x14ac:dyDescent="0.35"/>
    <row r="51428" hidden="1" x14ac:dyDescent="0.35"/>
    <row r="51429" hidden="1" x14ac:dyDescent="0.35"/>
    <row r="51430" hidden="1" x14ac:dyDescent="0.35"/>
    <row r="51431" hidden="1" x14ac:dyDescent="0.35"/>
    <row r="51432" hidden="1" x14ac:dyDescent="0.35"/>
    <row r="51433" hidden="1" x14ac:dyDescent="0.35"/>
    <row r="51434" hidden="1" x14ac:dyDescent="0.35"/>
    <row r="51435" hidden="1" x14ac:dyDescent="0.35"/>
    <row r="51436" hidden="1" x14ac:dyDescent="0.35"/>
    <row r="51437" hidden="1" x14ac:dyDescent="0.35"/>
    <row r="51438" hidden="1" x14ac:dyDescent="0.35"/>
    <row r="51439" hidden="1" x14ac:dyDescent="0.35"/>
    <row r="51440" hidden="1" x14ac:dyDescent="0.35"/>
    <row r="51441" hidden="1" x14ac:dyDescent="0.35"/>
    <row r="51442" hidden="1" x14ac:dyDescent="0.35"/>
    <row r="51443" hidden="1" x14ac:dyDescent="0.35"/>
    <row r="51444" hidden="1" x14ac:dyDescent="0.35"/>
    <row r="51445" hidden="1" x14ac:dyDescent="0.35"/>
    <row r="51446" hidden="1" x14ac:dyDescent="0.35"/>
    <row r="51447" hidden="1" x14ac:dyDescent="0.35"/>
    <row r="51448" hidden="1" x14ac:dyDescent="0.35"/>
    <row r="51449" hidden="1" x14ac:dyDescent="0.35"/>
    <row r="51450" hidden="1" x14ac:dyDescent="0.35"/>
    <row r="51451" hidden="1" x14ac:dyDescent="0.35"/>
    <row r="51452" hidden="1" x14ac:dyDescent="0.35"/>
    <row r="51453" hidden="1" x14ac:dyDescent="0.35"/>
    <row r="51454" hidden="1" x14ac:dyDescent="0.35"/>
    <row r="51455" hidden="1" x14ac:dyDescent="0.35"/>
    <row r="51456" hidden="1" x14ac:dyDescent="0.35"/>
    <row r="51457" hidden="1" x14ac:dyDescent="0.35"/>
    <row r="51458" hidden="1" x14ac:dyDescent="0.35"/>
    <row r="51459" hidden="1" x14ac:dyDescent="0.35"/>
    <row r="51460" hidden="1" x14ac:dyDescent="0.35"/>
    <row r="51461" hidden="1" x14ac:dyDescent="0.35"/>
    <row r="51462" hidden="1" x14ac:dyDescent="0.35"/>
    <row r="51463" hidden="1" x14ac:dyDescent="0.35"/>
    <row r="51464" hidden="1" x14ac:dyDescent="0.35"/>
    <row r="51465" hidden="1" x14ac:dyDescent="0.35"/>
    <row r="51466" hidden="1" x14ac:dyDescent="0.35"/>
    <row r="51467" hidden="1" x14ac:dyDescent="0.35"/>
    <row r="51468" hidden="1" x14ac:dyDescent="0.35"/>
    <row r="51469" hidden="1" x14ac:dyDescent="0.35"/>
    <row r="51470" hidden="1" x14ac:dyDescent="0.35"/>
    <row r="51471" hidden="1" x14ac:dyDescent="0.35"/>
    <row r="51472" hidden="1" x14ac:dyDescent="0.35"/>
    <row r="51473" hidden="1" x14ac:dyDescent="0.35"/>
    <row r="51474" hidden="1" x14ac:dyDescent="0.35"/>
    <row r="51475" hidden="1" x14ac:dyDescent="0.35"/>
    <row r="51476" hidden="1" x14ac:dyDescent="0.35"/>
    <row r="51477" hidden="1" x14ac:dyDescent="0.35"/>
    <row r="51478" hidden="1" x14ac:dyDescent="0.35"/>
    <row r="51479" hidden="1" x14ac:dyDescent="0.35"/>
    <row r="51480" hidden="1" x14ac:dyDescent="0.35"/>
    <row r="51481" hidden="1" x14ac:dyDescent="0.35"/>
    <row r="51482" hidden="1" x14ac:dyDescent="0.35"/>
    <row r="51483" hidden="1" x14ac:dyDescent="0.35"/>
    <row r="51484" hidden="1" x14ac:dyDescent="0.35"/>
    <row r="51485" hidden="1" x14ac:dyDescent="0.35"/>
    <row r="51486" hidden="1" x14ac:dyDescent="0.35"/>
    <row r="51487" hidden="1" x14ac:dyDescent="0.35"/>
    <row r="51488" hidden="1" x14ac:dyDescent="0.35"/>
    <row r="51489" hidden="1" x14ac:dyDescent="0.35"/>
    <row r="51490" hidden="1" x14ac:dyDescent="0.35"/>
    <row r="51491" hidden="1" x14ac:dyDescent="0.35"/>
    <row r="51492" hidden="1" x14ac:dyDescent="0.35"/>
    <row r="51493" hidden="1" x14ac:dyDescent="0.35"/>
    <row r="51494" hidden="1" x14ac:dyDescent="0.35"/>
    <row r="51495" hidden="1" x14ac:dyDescent="0.35"/>
    <row r="51496" hidden="1" x14ac:dyDescent="0.35"/>
    <row r="51497" hidden="1" x14ac:dyDescent="0.35"/>
    <row r="51498" hidden="1" x14ac:dyDescent="0.35"/>
    <row r="51499" hidden="1" x14ac:dyDescent="0.35"/>
    <row r="51500" hidden="1" x14ac:dyDescent="0.35"/>
    <row r="51501" hidden="1" x14ac:dyDescent="0.35"/>
    <row r="51502" hidden="1" x14ac:dyDescent="0.35"/>
    <row r="51503" hidden="1" x14ac:dyDescent="0.35"/>
    <row r="51504" hidden="1" x14ac:dyDescent="0.35"/>
    <row r="51505" hidden="1" x14ac:dyDescent="0.35"/>
    <row r="51506" hidden="1" x14ac:dyDescent="0.35"/>
    <row r="51507" hidden="1" x14ac:dyDescent="0.35"/>
    <row r="51508" hidden="1" x14ac:dyDescent="0.35"/>
    <row r="51509" hidden="1" x14ac:dyDescent="0.35"/>
    <row r="51510" hidden="1" x14ac:dyDescent="0.35"/>
    <row r="51511" hidden="1" x14ac:dyDescent="0.35"/>
    <row r="51512" hidden="1" x14ac:dyDescent="0.35"/>
    <row r="51513" hidden="1" x14ac:dyDescent="0.35"/>
    <row r="51514" hidden="1" x14ac:dyDescent="0.35"/>
    <row r="51515" hidden="1" x14ac:dyDescent="0.35"/>
    <row r="51516" hidden="1" x14ac:dyDescent="0.35"/>
    <row r="51517" hidden="1" x14ac:dyDescent="0.35"/>
    <row r="51518" hidden="1" x14ac:dyDescent="0.35"/>
    <row r="51519" hidden="1" x14ac:dyDescent="0.35"/>
    <row r="51520" hidden="1" x14ac:dyDescent="0.35"/>
    <row r="51521" hidden="1" x14ac:dyDescent="0.35"/>
    <row r="51522" hidden="1" x14ac:dyDescent="0.35"/>
    <row r="51523" hidden="1" x14ac:dyDescent="0.35"/>
    <row r="51524" hidden="1" x14ac:dyDescent="0.35"/>
    <row r="51525" hidden="1" x14ac:dyDescent="0.35"/>
    <row r="51526" hidden="1" x14ac:dyDescent="0.35"/>
    <row r="51527" hidden="1" x14ac:dyDescent="0.35"/>
    <row r="51528" hidden="1" x14ac:dyDescent="0.35"/>
    <row r="51529" hidden="1" x14ac:dyDescent="0.35"/>
    <row r="51530" hidden="1" x14ac:dyDescent="0.35"/>
    <row r="51531" hidden="1" x14ac:dyDescent="0.35"/>
    <row r="51532" hidden="1" x14ac:dyDescent="0.35"/>
    <row r="51533" hidden="1" x14ac:dyDescent="0.35"/>
    <row r="51534" hidden="1" x14ac:dyDescent="0.35"/>
    <row r="51535" hidden="1" x14ac:dyDescent="0.35"/>
    <row r="51536" hidden="1" x14ac:dyDescent="0.35"/>
    <row r="51537" hidden="1" x14ac:dyDescent="0.35"/>
    <row r="51538" hidden="1" x14ac:dyDescent="0.35"/>
    <row r="51539" hidden="1" x14ac:dyDescent="0.35"/>
    <row r="51540" hidden="1" x14ac:dyDescent="0.35"/>
    <row r="51541" hidden="1" x14ac:dyDescent="0.35"/>
    <row r="51542" hidden="1" x14ac:dyDescent="0.35"/>
    <row r="51543" hidden="1" x14ac:dyDescent="0.35"/>
    <row r="51544" hidden="1" x14ac:dyDescent="0.35"/>
    <row r="51545" hidden="1" x14ac:dyDescent="0.35"/>
    <row r="51546" hidden="1" x14ac:dyDescent="0.35"/>
    <row r="51547" hidden="1" x14ac:dyDescent="0.35"/>
    <row r="51548" hidden="1" x14ac:dyDescent="0.35"/>
    <row r="51549" hidden="1" x14ac:dyDescent="0.35"/>
    <row r="51550" hidden="1" x14ac:dyDescent="0.35"/>
    <row r="51551" hidden="1" x14ac:dyDescent="0.35"/>
    <row r="51552" hidden="1" x14ac:dyDescent="0.35"/>
    <row r="51553" hidden="1" x14ac:dyDescent="0.35"/>
    <row r="51554" hidden="1" x14ac:dyDescent="0.35"/>
    <row r="51555" hidden="1" x14ac:dyDescent="0.35"/>
    <row r="51556" hidden="1" x14ac:dyDescent="0.35"/>
    <row r="51557" hidden="1" x14ac:dyDescent="0.35"/>
    <row r="51558" hidden="1" x14ac:dyDescent="0.35"/>
    <row r="51559" hidden="1" x14ac:dyDescent="0.35"/>
    <row r="51560" hidden="1" x14ac:dyDescent="0.35"/>
    <row r="51561" hidden="1" x14ac:dyDescent="0.35"/>
    <row r="51562" hidden="1" x14ac:dyDescent="0.35"/>
    <row r="51563" hidden="1" x14ac:dyDescent="0.35"/>
    <row r="51564" hidden="1" x14ac:dyDescent="0.35"/>
    <row r="51565" hidden="1" x14ac:dyDescent="0.35"/>
    <row r="51566" hidden="1" x14ac:dyDescent="0.35"/>
    <row r="51567" hidden="1" x14ac:dyDescent="0.35"/>
    <row r="51568" hidden="1" x14ac:dyDescent="0.35"/>
    <row r="51569" hidden="1" x14ac:dyDescent="0.35"/>
    <row r="51570" hidden="1" x14ac:dyDescent="0.35"/>
    <row r="51571" hidden="1" x14ac:dyDescent="0.35"/>
    <row r="51572" hidden="1" x14ac:dyDescent="0.35"/>
    <row r="51573" hidden="1" x14ac:dyDescent="0.35"/>
    <row r="51574" hidden="1" x14ac:dyDescent="0.35"/>
    <row r="51575" hidden="1" x14ac:dyDescent="0.35"/>
    <row r="51576" hidden="1" x14ac:dyDescent="0.35"/>
    <row r="51577" hidden="1" x14ac:dyDescent="0.35"/>
    <row r="51578" hidden="1" x14ac:dyDescent="0.35"/>
    <row r="51579" hidden="1" x14ac:dyDescent="0.35"/>
    <row r="51580" hidden="1" x14ac:dyDescent="0.35"/>
    <row r="51581" hidden="1" x14ac:dyDescent="0.35"/>
    <row r="51582" hidden="1" x14ac:dyDescent="0.35"/>
    <row r="51583" hidden="1" x14ac:dyDescent="0.35"/>
    <row r="51584" hidden="1" x14ac:dyDescent="0.35"/>
    <row r="51585" hidden="1" x14ac:dyDescent="0.35"/>
    <row r="51586" hidden="1" x14ac:dyDescent="0.35"/>
    <row r="51587" hidden="1" x14ac:dyDescent="0.35"/>
    <row r="51588" hidden="1" x14ac:dyDescent="0.35"/>
    <row r="51589" hidden="1" x14ac:dyDescent="0.35"/>
    <row r="51590" hidden="1" x14ac:dyDescent="0.35"/>
    <row r="51591" hidden="1" x14ac:dyDescent="0.35"/>
    <row r="51592" hidden="1" x14ac:dyDescent="0.35"/>
    <row r="51593" hidden="1" x14ac:dyDescent="0.35"/>
    <row r="51594" hidden="1" x14ac:dyDescent="0.35"/>
    <row r="51595" hidden="1" x14ac:dyDescent="0.35"/>
    <row r="51596" hidden="1" x14ac:dyDescent="0.35"/>
    <row r="51597" hidden="1" x14ac:dyDescent="0.35"/>
    <row r="51598" hidden="1" x14ac:dyDescent="0.35"/>
    <row r="51599" hidden="1" x14ac:dyDescent="0.35"/>
    <row r="51600" hidden="1" x14ac:dyDescent="0.35"/>
    <row r="51601" hidden="1" x14ac:dyDescent="0.35"/>
    <row r="51602" hidden="1" x14ac:dyDescent="0.35"/>
    <row r="51603" hidden="1" x14ac:dyDescent="0.35"/>
    <row r="51604" hidden="1" x14ac:dyDescent="0.35"/>
    <row r="51605" hidden="1" x14ac:dyDescent="0.35"/>
    <row r="51606" hidden="1" x14ac:dyDescent="0.35"/>
    <row r="51607" hidden="1" x14ac:dyDescent="0.35"/>
    <row r="51608" hidden="1" x14ac:dyDescent="0.35"/>
    <row r="51609" hidden="1" x14ac:dyDescent="0.35"/>
    <row r="51610" hidden="1" x14ac:dyDescent="0.35"/>
    <row r="51611" hidden="1" x14ac:dyDescent="0.35"/>
    <row r="51612" hidden="1" x14ac:dyDescent="0.35"/>
    <row r="51613" hidden="1" x14ac:dyDescent="0.35"/>
    <row r="51614" hidden="1" x14ac:dyDescent="0.35"/>
    <row r="51615" hidden="1" x14ac:dyDescent="0.35"/>
    <row r="51616" hidden="1" x14ac:dyDescent="0.35"/>
    <row r="51617" hidden="1" x14ac:dyDescent="0.35"/>
    <row r="51618" hidden="1" x14ac:dyDescent="0.35"/>
    <row r="51619" hidden="1" x14ac:dyDescent="0.35"/>
    <row r="51620" hidden="1" x14ac:dyDescent="0.35"/>
    <row r="51621" hidden="1" x14ac:dyDescent="0.35"/>
    <row r="51622" hidden="1" x14ac:dyDescent="0.35"/>
    <row r="51623" hidden="1" x14ac:dyDescent="0.35"/>
    <row r="51624" hidden="1" x14ac:dyDescent="0.35"/>
    <row r="51625" hidden="1" x14ac:dyDescent="0.35"/>
    <row r="51626" hidden="1" x14ac:dyDescent="0.35"/>
    <row r="51627" hidden="1" x14ac:dyDescent="0.35"/>
    <row r="51628" hidden="1" x14ac:dyDescent="0.35"/>
    <row r="51629" hidden="1" x14ac:dyDescent="0.35"/>
    <row r="51630" hidden="1" x14ac:dyDescent="0.35"/>
    <row r="51631" hidden="1" x14ac:dyDescent="0.35"/>
    <row r="51632" hidden="1" x14ac:dyDescent="0.35"/>
    <row r="51633" hidden="1" x14ac:dyDescent="0.35"/>
    <row r="51634" hidden="1" x14ac:dyDescent="0.35"/>
    <row r="51635" hidden="1" x14ac:dyDescent="0.35"/>
    <row r="51636" hidden="1" x14ac:dyDescent="0.35"/>
    <row r="51637" hidden="1" x14ac:dyDescent="0.35"/>
    <row r="51638" hidden="1" x14ac:dyDescent="0.35"/>
    <row r="51639" hidden="1" x14ac:dyDescent="0.35"/>
    <row r="51640" hidden="1" x14ac:dyDescent="0.35"/>
    <row r="51641" hidden="1" x14ac:dyDescent="0.35"/>
    <row r="51642" hidden="1" x14ac:dyDescent="0.35"/>
    <row r="51643" hidden="1" x14ac:dyDescent="0.35"/>
    <row r="51644" hidden="1" x14ac:dyDescent="0.35"/>
    <row r="51645" hidden="1" x14ac:dyDescent="0.35"/>
    <row r="51646" hidden="1" x14ac:dyDescent="0.35"/>
    <row r="51647" hidden="1" x14ac:dyDescent="0.35"/>
    <row r="51648" hidden="1" x14ac:dyDescent="0.35"/>
    <row r="51649" hidden="1" x14ac:dyDescent="0.35"/>
    <row r="51650" hidden="1" x14ac:dyDescent="0.35"/>
    <row r="51651" hidden="1" x14ac:dyDescent="0.35"/>
    <row r="51652" hidden="1" x14ac:dyDescent="0.35"/>
    <row r="51653" hidden="1" x14ac:dyDescent="0.35"/>
    <row r="51654" hidden="1" x14ac:dyDescent="0.35"/>
    <row r="51655" hidden="1" x14ac:dyDescent="0.35"/>
    <row r="51656" hidden="1" x14ac:dyDescent="0.35"/>
    <row r="51657" hidden="1" x14ac:dyDescent="0.35"/>
    <row r="51658" hidden="1" x14ac:dyDescent="0.35"/>
    <row r="51659" hidden="1" x14ac:dyDescent="0.35"/>
    <row r="51660" hidden="1" x14ac:dyDescent="0.35"/>
    <row r="51661" hidden="1" x14ac:dyDescent="0.35"/>
    <row r="51662" hidden="1" x14ac:dyDescent="0.35"/>
    <row r="51663" hidden="1" x14ac:dyDescent="0.35"/>
    <row r="51664" hidden="1" x14ac:dyDescent="0.35"/>
    <row r="51665" hidden="1" x14ac:dyDescent="0.35"/>
    <row r="51666" hidden="1" x14ac:dyDescent="0.35"/>
    <row r="51667" hidden="1" x14ac:dyDescent="0.35"/>
    <row r="51668" hidden="1" x14ac:dyDescent="0.35"/>
    <row r="51669" hidden="1" x14ac:dyDescent="0.35"/>
    <row r="51670" hidden="1" x14ac:dyDescent="0.35"/>
    <row r="51671" hidden="1" x14ac:dyDescent="0.35"/>
    <row r="51672" hidden="1" x14ac:dyDescent="0.35"/>
    <row r="51673" hidden="1" x14ac:dyDescent="0.35"/>
    <row r="51674" hidden="1" x14ac:dyDescent="0.35"/>
    <row r="51675" hidden="1" x14ac:dyDescent="0.35"/>
    <row r="51676" hidden="1" x14ac:dyDescent="0.35"/>
    <row r="51677" hidden="1" x14ac:dyDescent="0.35"/>
    <row r="51678" hidden="1" x14ac:dyDescent="0.35"/>
    <row r="51679" hidden="1" x14ac:dyDescent="0.35"/>
    <row r="51680" hidden="1" x14ac:dyDescent="0.35"/>
    <row r="51681" hidden="1" x14ac:dyDescent="0.35"/>
    <row r="51682" hidden="1" x14ac:dyDescent="0.35"/>
    <row r="51683" hidden="1" x14ac:dyDescent="0.35"/>
    <row r="51684" hidden="1" x14ac:dyDescent="0.35"/>
    <row r="51685" hidden="1" x14ac:dyDescent="0.35"/>
    <row r="51686" hidden="1" x14ac:dyDescent="0.35"/>
    <row r="51687" hidden="1" x14ac:dyDescent="0.35"/>
    <row r="51688" hidden="1" x14ac:dyDescent="0.35"/>
    <row r="51689" hidden="1" x14ac:dyDescent="0.35"/>
    <row r="51690" hidden="1" x14ac:dyDescent="0.35"/>
    <row r="51691" hidden="1" x14ac:dyDescent="0.35"/>
    <row r="51692" hidden="1" x14ac:dyDescent="0.35"/>
    <row r="51693" hidden="1" x14ac:dyDescent="0.35"/>
    <row r="51694" hidden="1" x14ac:dyDescent="0.35"/>
    <row r="51695" hidden="1" x14ac:dyDescent="0.35"/>
    <row r="51696" hidden="1" x14ac:dyDescent="0.35"/>
    <row r="51697" hidden="1" x14ac:dyDescent="0.35"/>
    <row r="51698" hidden="1" x14ac:dyDescent="0.35"/>
    <row r="51699" hidden="1" x14ac:dyDescent="0.35"/>
    <row r="51700" hidden="1" x14ac:dyDescent="0.35"/>
    <row r="51701" hidden="1" x14ac:dyDescent="0.35"/>
    <row r="51702" hidden="1" x14ac:dyDescent="0.35"/>
    <row r="51703" hidden="1" x14ac:dyDescent="0.35"/>
    <row r="51704" hidden="1" x14ac:dyDescent="0.35"/>
    <row r="51705" hidden="1" x14ac:dyDescent="0.35"/>
    <row r="51706" hidden="1" x14ac:dyDescent="0.35"/>
    <row r="51707" hidden="1" x14ac:dyDescent="0.35"/>
    <row r="51708" hidden="1" x14ac:dyDescent="0.35"/>
    <row r="51709" hidden="1" x14ac:dyDescent="0.35"/>
    <row r="51710" hidden="1" x14ac:dyDescent="0.35"/>
    <row r="51711" hidden="1" x14ac:dyDescent="0.35"/>
    <row r="51712" hidden="1" x14ac:dyDescent="0.35"/>
    <row r="51713" hidden="1" x14ac:dyDescent="0.35"/>
    <row r="51714" hidden="1" x14ac:dyDescent="0.35"/>
    <row r="51715" hidden="1" x14ac:dyDescent="0.35"/>
    <row r="51716" hidden="1" x14ac:dyDescent="0.35"/>
    <row r="51717" hidden="1" x14ac:dyDescent="0.35"/>
    <row r="51718" hidden="1" x14ac:dyDescent="0.35"/>
    <row r="51719" hidden="1" x14ac:dyDescent="0.35"/>
    <row r="51720" hidden="1" x14ac:dyDescent="0.35"/>
    <row r="51721" hidden="1" x14ac:dyDescent="0.35"/>
    <row r="51722" hidden="1" x14ac:dyDescent="0.35"/>
    <row r="51723" hidden="1" x14ac:dyDescent="0.35"/>
    <row r="51724" hidden="1" x14ac:dyDescent="0.35"/>
    <row r="51725" hidden="1" x14ac:dyDescent="0.35"/>
    <row r="51726" hidden="1" x14ac:dyDescent="0.35"/>
    <row r="51727" hidden="1" x14ac:dyDescent="0.35"/>
    <row r="51728" hidden="1" x14ac:dyDescent="0.35"/>
    <row r="51729" hidden="1" x14ac:dyDescent="0.35"/>
    <row r="51730" hidden="1" x14ac:dyDescent="0.35"/>
    <row r="51731" hidden="1" x14ac:dyDescent="0.35"/>
    <row r="51732" hidden="1" x14ac:dyDescent="0.35"/>
    <row r="51733" hidden="1" x14ac:dyDescent="0.35"/>
    <row r="51734" hidden="1" x14ac:dyDescent="0.35"/>
    <row r="51735" hidden="1" x14ac:dyDescent="0.35"/>
    <row r="51736" hidden="1" x14ac:dyDescent="0.35"/>
    <row r="51737" hidden="1" x14ac:dyDescent="0.35"/>
    <row r="51738" hidden="1" x14ac:dyDescent="0.35"/>
    <row r="51739" hidden="1" x14ac:dyDescent="0.35"/>
    <row r="51740" hidden="1" x14ac:dyDescent="0.35"/>
    <row r="51741" hidden="1" x14ac:dyDescent="0.35"/>
    <row r="51742" hidden="1" x14ac:dyDescent="0.35"/>
    <row r="51743" hidden="1" x14ac:dyDescent="0.35"/>
    <row r="51744" hidden="1" x14ac:dyDescent="0.35"/>
    <row r="51745" hidden="1" x14ac:dyDescent="0.35"/>
    <row r="51746" hidden="1" x14ac:dyDescent="0.35"/>
    <row r="51747" hidden="1" x14ac:dyDescent="0.35"/>
    <row r="51748" hidden="1" x14ac:dyDescent="0.35"/>
    <row r="51749" hidden="1" x14ac:dyDescent="0.35"/>
    <row r="51750" hidden="1" x14ac:dyDescent="0.35"/>
    <row r="51751" hidden="1" x14ac:dyDescent="0.35"/>
    <row r="51752" hidden="1" x14ac:dyDescent="0.35"/>
    <row r="51753" hidden="1" x14ac:dyDescent="0.35"/>
    <row r="51754" hidden="1" x14ac:dyDescent="0.35"/>
    <row r="51755" hidden="1" x14ac:dyDescent="0.35"/>
    <row r="51756" hidden="1" x14ac:dyDescent="0.35"/>
    <row r="51757" hidden="1" x14ac:dyDescent="0.35"/>
    <row r="51758" hidden="1" x14ac:dyDescent="0.35"/>
    <row r="51759" hidden="1" x14ac:dyDescent="0.35"/>
    <row r="51760" hidden="1" x14ac:dyDescent="0.35"/>
    <row r="51761" hidden="1" x14ac:dyDescent="0.35"/>
    <row r="51762" hidden="1" x14ac:dyDescent="0.35"/>
    <row r="51763" hidden="1" x14ac:dyDescent="0.35"/>
    <row r="51764" hidden="1" x14ac:dyDescent="0.35"/>
    <row r="51765" hidden="1" x14ac:dyDescent="0.35"/>
    <row r="51766" hidden="1" x14ac:dyDescent="0.35"/>
    <row r="51767" hidden="1" x14ac:dyDescent="0.35"/>
    <row r="51768" hidden="1" x14ac:dyDescent="0.35"/>
    <row r="51769" hidden="1" x14ac:dyDescent="0.35"/>
    <row r="51770" hidden="1" x14ac:dyDescent="0.35"/>
    <row r="51771" hidden="1" x14ac:dyDescent="0.35"/>
    <row r="51772" hidden="1" x14ac:dyDescent="0.35"/>
    <row r="51773" hidden="1" x14ac:dyDescent="0.35"/>
    <row r="51774" hidden="1" x14ac:dyDescent="0.35"/>
    <row r="51775" hidden="1" x14ac:dyDescent="0.35"/>
    <row r="51776" hidden="1" x14ac:dyDescent="0.35"/>
    <row r="51777" hidden="1" x14ac:dyDescent="0.35"/>
    <row r="51778" hidden="1" x14ac:dyDescent="0.35"/>
    <row r="51779" hidden="1" x14ac:dyDescent="0.35"/>
    <row r="51780" hidden="1" x14ac:dyDescent="0.35"/>
    <row r="51781" hidden="1" x14ac:dyDescent="0.35"/>
    <row r="51782" hidden="1" x14ac:dyDescent="0.35"/>
    <row r="51783" hidden="1" x14ac:dyDescent="0.35"/>
    <row r="51784" hidden="1" x14ac:dyDescent="0.35"/>
    <row r="51785" hidden="1" x14ac:dyDescent="0.35"/>
    <row r="51786" hidden="1" x14ac:dyDescent="0.35"/>
    <row r="51787" hidden="1" x14ac:dyDescent="0.35"/>
    <row r="51788" hidden="1" x14ac:dyDescent="0.35"/>
    <row r="51789" hidden="1" x14ac:dyDescent="0.35"/>
    <row r="51790" hidden="1" x14ac:dyDescent="0.35"/>
    <row r="51791" hidden="1" x14ac:dyDescent="0.35"/>
    <row r="51792" hidden="1" x14ac:dyDescent="0.35"/>
    <row r="51793" hidden="1" x14ac:dyDescent="0.35"/>
    <row r="51794" hidden="1" x14ac:dyDescent="0.35"/>
    <row r="51795" hidden="1" x14ac:dyDescent="0.35"/>
    <row r="51796" hidden="1" x14ac:dyDescent="0.35"/>
    <row r="51797" hidden="1" x14ac:dyDescent="0.35"/>
    <row r="51798" hidden="1" x14ac:dyDescent="0.35"/>
    <row r="51799" hidden="1" x14ac:dyDescent="0.35"/>
    <row r="51800" hidden="1" x14ac:dyDescent="0.35"/>
    <row r="51801" hidden="1" x14ac:dyDescent="0.35"/>
    <row r="51802" hidden="1" x14ac:dyDescent="0.35"/>
    <row r="51803" hidden="1" x14ac:dyDescent="0.35"/>
    <row r="51804" hidden="1" x14ac:dyDescent="0.35"/>
    <row r="51805" hidden="1" x14ac:dyDescent="0.35"/>
    <row r="51806" hidden="1" x14ac:dyDescent="0.35"/>
    <row r="51807" hidden="1" x14ac:dyDescent="0.35"/>
    <row r="51808" hidden="1" x14ac:dyDescent="0.35"/>
    <row r="51809" hidden="1" x14ac:dyDescent="0.35"/>
    <row r="51810" hidden="1" x14ac:dyDescent="0.35"/>
    <row r="51811" hidden="1" x14ac:dyDescent="0.35"/>
    <row r="51812" hidden="1" x14ac:dyDescent="0.35"/>
    <row r="51813" hidden="1" x14ac:dyDescent="0.35"/>
    <row r="51814" hidden="1" x14ac:dyDescent="0.35"/>
    <row r="51815" hidden="1" x14ac:dyDescent="0.35"/>
    <row r="51816" hidden="1" x14ac:dyDescent="0.35"/>
    <row r="51817" hidden="1" x14ac:dyDescent="0.35"/>
    <row r="51818" hidden="1" x14ac:dyDescent="0.35"/>
    <row r="51819" hidden="1" x14ac:dyDescent="0.35"/>
    <row r="51820" hidden="1" x14ac:dyDescent="0.35"/>
    <row r="51821" hidden="1" x14ac:dyDescent="0.35"/>
    <row r="51822" hidden="1" x14ac:dyDescent="0.35"/>
    <row r="51823" hidden="1" x14ac:dyDescent="0.35"/>
    <row r="51824" hidden="1" x14ac:dyDescent="0.35"/>
    <row r="51825" hidden="1" x14ac:dyDescent="0.35"/>
    <row r="51826" hidden="1" x14ac:dyDescent="0.35"/>
    <row r="51827" hidden="1" x14ac:dyDescent="0.35"/>
    <row r="51828" hidden="1" x14ac:dyDescent="0.35"/>
    <row r="51829" hidden="1" x14ac:dyDescent="0.35"/>
    <row r="51830" hidden="1" x14ac:dyDescent="0.35"/>
    <row r="51831" hidden="1" x14ac:dyDescent="0.35"/>
    <row r="51832" hidden="1" x14ac:dyDescent="0.35"/>
    <row r="51833" hidden="1" x14ac:dyDescent="0.35"/>
    <row r="51834" hidden="1" x14ac:dyDescent="0.35"/>
    <row r="51835" hidden="1" x14ac:dyDescent="0.35"/>
    <row r="51836" hidden="1" x14ac:dyDescent="0.35"/>
    <row r="51837" hidden="1" x14ac:dyDescent="0.35"/>
    <row r="51838" hidden="1" x14ac:dyDescent="0.35"/>
    <row r="51839" hidden="1" x14ac:dyDescent="0.35"/>
    <row r="51840" hidden="1" x14ac:dyDescent="0.35"/>
    <row r="51841" hidden="1" x14ac:dyDescent="0.35"/>
    <row r="51842" hidden="1" x14ac:dyDescent="0.35"/>
    <row r="51843" hidden="1" x14ac:dyDescent="0.35"/>
    <row r="51844" hidden="1" x14ac:dyDescent="0.35"/>
    <row r="51845" hidden="1" x14ac:dyDescent="0.35"/>
    <row r="51846" hidden="1" x14ac:dyDescent="0.35"/>
    <row r="51847" hidden="1" x14ac:dyDescent="0.35"/>
    <row r="51848" hidden="1" x14ac:dyDescent="0.35"/>
    <row r="51849" hidden="1" x14ac:dyDescent="0.35"/>
    <row r="51850" hidden="1" x14ac:dyDescent="0.35"/>
    <row r="51851" hidden="1" x14ac:dyDescent="0.35"/>
    <row r="51852" hidden="1" x14ac:dyDescent="0.35"/>
    <row r="51853" hidden="1" x14ac:dyDescent="0.35"/>
    <row r="51854" hidden="1" x14ac:dyDescent="0.35"/>
    <row r="51855" hidden="1" x14ac:dyDescent="0.35"/>
    <row r="51856" hidden="1" x14ac:dyDescent="0.35"/>
    <row r="51857" hidden="1" x14ac:dyDescent="0.35"/>
    <row r="51858" hidden="1" x14ac:dyDescent="0.35"/>
    <row r="51859" hidden="1" x14ac:dyDescent="0.35"/>
    <row r="51860" hidden="1" x14ac:dyDescent="0.35"/>
    <row r="51861" hidden="1" x14ac:dyDescent="0.35"/>
    <row r="51862" hidden="1" x14ac:dyDescent="0.35"/>
    <row r="51863" hidden="1" x14ac:dyDescent="0.35"/>
    <row r="51864" hidden="1" x14ac:dyDescent="0.35"/>
    <row r="51865" hidden="1" x14ac:dyDescent="0.35"/>
    <row r="51866" hidden="1" x14ac:dyDescent="0.35"/>
    <row r="51867" hidden="1" x14ac:dyDescent="0.35"/>
    <row r="51868" hidden="1" x14ac:dyDescent="0.35"/>
    <row r="51869" hidden="1" x14ac:dyDescent="0.35"/>
    <row r="51870" hidden="1" x14ac:dyDescent="0.35"/>
    <row r="51871" hidden="1" x14ac:dyDescent="0.35"/>
    <row r="51872" hidden="1" x14ac:dyDescent="0.35"/>
    <row r="51873" hidden="1" x14ac:dyDescent="0.35"/>
    <row r="51874" hidden="1" x14ac:dyDescent="0.35"/>
    <row r="51875" hidden="1" x14ac:dyDescent="0.35"/>
    <row r="51876" hidden="1" x14ac:dyDescent="0.35"/>
    <row r="51877" hidden="1" x14ac:dyDescent="0.35"/>
    <row r="51878" hidden="1" x14ac:dyDescent="0.35"/>
    <row r="51879" hidden="1" x14ac:dyDescent="0.35"/>
    <row r="51880" hidden="1" x14ac:dyDescent="0.35"/>
    <row r="51881" hidden="1" x14ac:dyDescent="0.35"/>
    <row r="51882" hidden="1" x14ac:dyDescent="0.35"/>
    <row r="51883" hidden="1" x14ac:dyDescent="0.35"/>
    <row r="51884" hidden="1" x14ac:dyDescent="0.35"/>
    <row r="51885" hidden="1" x14ac:dyDescent="0.35"/>
    <row r="51886" hidden="1" x14ac:dyDescent="0.35"/>
    <row r="51887" hidden="1" x14ac:dyDescent="0.35"/>
    <row r="51888" hidden="1" x14ac:dyDescent="0.35"/>
    <row r="51889" hidden="1" x14ac:dyDescent="0.35"/>
    <row r="51890" hidden="1" x14ac:dyDescent="0.35"/>
    <row r="51891" hidden="1" x14ac:dyDescent="0.35"/>
    <row r="51892" hidden="1" x14ac:dyDescent="0.35"/>
    <row r="51893" hidden="1" x14ac:dyDescent="0.35"/>
    <row r="51894" hidden="1" x14ac:dyDescent="0.35"/>
    <row r="51895" hidden="1" x14ac:dyDescent="0.35"/>
    <row r="51896" hidden="1" x14ac:dyDescent="0.35"/>
    <row r="51897" hidden="1" x14ac:dyDescent="0.35"/>
    <row r="51898" hidden="1" x14ac:dyDescent="0.35"/>
    <row r="51899" hidden="1" x14ac:dyDescent="0.35"/>
    <row r="51900" hidden="1" x14ac:dyDescent="0.35"/>
    <row r="51901" hidden="1" x14ac:dyDescent="0.35"/>
    <row r="51902" hidden="1" x14ac:dyDescent="0.35"/>
    <row r="51903" hidden="1" x14ac:dyDescent="0.35"/>
    <row r="51904" hidden="1" x14ac:dyDescent="0.35"/>
    <row r="51905" hidden="1" x14ac:dyDescent="0.35"/>
    <row r="51906" hidden="1" x14ac:dyDescent="0.35"/>
    <row r="51907" hidden="1" x14ac:dyDescent="0.35"/>
    <row r="51908" hidden="1" x14ac:dyDescent="0.35"/>
    <row r="51909" hidden="1" x14ac:dyDescent="0.35"/>
    <row r="51910" hidden="1" x14ac:dyDescent="0.35"/>
    <row r="51911" hidden="1" x14ac:dyDescent="0.35"/>
    <row r="51912" hidden="1" x14ac:dyDescent="0.35"/>
    <row r="51913" hidden="1" x14ac:dyDescent="0.35"/>
    <row r="51914" hidden="1" x14ac:dyDescent="0.35"/>
    <row r="51915" hidden="1" x14ac:dyDescent="0.35"/>
    <row r="51916" hidden="1" x14ac:dyDescent="0.35"/>
    <row r="51917" hidden="1" x14ac:dyDescent="0.35"/>
    <row r="51918" hidden="1" x14ac:dyDescent="0.35"/>
    <row r="51919" hidden="1" x14ac:dyDescent="0.35"/>
    <row r="51920" hidden="1" x14ac:dyDescent="0.35"/>
    <row r="51921" hidden="1" x14ac:dyDescent="0.35"/>
    <row r="51922" hidden="1" x14ac:dyDescent="0.35"/>
    <row r="51923" hidden="1" x14ac:dyDescent="0.35"/>
    <row r="51924" hidden="1" x14ac:dyDescent="0.35"/>
    <row r="51925" hidden="1" x14ac:dyDescent="0.35"/>
    <row r="51926" hidden="1" x14ac:dyDescent="0.35"/>
    <row r="51927" hidden="1" x14ac:dyDescent="0.35"/>
    <row r="51928" hidden="1" x14ac:dyDescent="0.35"/>
    <row r="51929" hidden="1" x14ac:dyDescent="0.35"/>
    <row r="51930" hidden="1" x14ac:dyDescent="0.35"/>
    <row r="51931" hidden="1" x14ac:dyDescent="0.35"/>
    <row r="51932" hidden="1" x14ac:dyDescent="0.35"/>
    <row r="51933" hidden="1" x14ac:dyDescent="0.35"/>
    <row r="51934" hidden="1" x14ac:dyDescent="0.35"/>
    <row r="51935" hidden="1" x14ac:dyDescent="0.35"/>
    <row r="51936" hidden="1" x14ac:dyDescent="0.35"/>
    <row r="51937" hidden="1" x14ac:dyDescent="0.35"/>
    <row r="51938" hidden="1" x14ac:dyDescent="0.35"/>
    <row r="51939" hidden="1" x14ac:dyDescent="0.35"/>
    <row r="51940" hidden="1" x14ac:dyDescent="0.35"/>
    <row r="51941" hidden="1" x14ac:dyDescent="0.35"/>
    <row r="51942" hidden="1" x14ac:dyDescent="0.35"/>
    <row r="51943" hidden="1" x14ac:dyDescent="0.35"/>
    <row r="51944" hidden="1" x14ac:dyDescent="0.35"/>
    <row r="51945" hidden="1" x14ac:dyDescent="0.35"/>
    <row r="51946" hidden="1" x14ac:dyDescent="0.35"/>
    <row r="51947" hidden="1" x14ac:dyDescent="0.35"/>
    <row r="51948" hidden="1" x14ac:dyDescent="0.35"/>
    <row r="51949" hidden="1" x14ac:dyDescent="0.35"/>
    <row r="51950" hidden="1" x14ac:dyDescent="0.35"/>
    <row r="51951" hidden="1" x14ac:dyDescent="0.35"/>
    <row r="51952" hidden="1" x14ac:dyDescent="0.35"/>
    <row r="51953" hidden="1" x14ac:dyDescent="0.35"/>
    <row r="51954" hidden="1" x14ac:dyDescent="0.35"/>
    <row r="51955" hidden="1" x14ac:dyDescent="0.35"/>
    <row r="51956" hidden="1" x14ac:dyDescent="0.35"/>
    <row r="51957" hidden="1" x14ac:dyDescent="0.35"/>
    <row r="51958" hidden="1" x14ac:dyDescent="0.35"/>
    <row r="51959" hidden="1" x14ac:dyDescent="0.35"/>
    <row r="51960" hidden="1" x14ac:dyDescent="0.35"/>
    <row r="51961" hidden="1" x14ac:dyDescent="0.35"/>
    <row r="51962" hidden="1" x14ac:dyDescent="0.35"/>
    <row r="51963" hidden="1" x14ac:dyDescent="0.35"/>
    <row r="51964" hidden="1" x14ac:dyDescent="0.35"/>
    <row r="51965" hidden="1" x14ac:dyDescent="0.35"/>
    <row r="51966" hidden="1" x14ac:dyDescent="0.35"/>
    <row r="51967" hidden="1" x14ac:dyDescent="0.35"/>
    <row r="51968" hidden="1" x14ac:dyDescent="0.35"/>
    <row r="51969" hidden="1" x14ac:dyDescent="0.35"/>
    <row r="51970" hidden="1" x14ac:dyDescent="0.35"/>
    <row r="51971" hidden="1" x14ac:dyDescent="0.35"/>
    <row r="51972" hidden="1" x14ac:dyDescent="0.35"/>
    <row r="51973" hidden="1" x14ac:dyDescent="0.35"/>
    <row r="51974" hidden="1" x14ac:dyDescent="0.35"/>
    <row r="51975" hidden="1" x14ac:dyDescent="0.35"/>
    <row r="51976" hidden="1" x14ac:dyDescent="0.35"/>
    <row r="51977" hidden="1" x14ac:dyDescent="0.35"/>
    <row r="51978" hidden="1" x14ac:dyDescent="0.35"/>
    <row r="51979" hidden="1" x14ac:dyDescent="0.35"/>
    <row r="51980" hidden="1" x14ac:dyDescent="0.35"/>
    <row r="51981" hidden="1" x14ac:dyDescent="0.35"/>
    <row r="51982" hidden="1" x14ac:dyDescent="0.35"/>
    <row r="51983" hidden="1" x14ac:dyDescent="0.35"/>
    <row r="51984" hidden="1" x14ac:dyDescent="0.35"/>
    <row r="51985" hidden="1" x14ac:dyDescent="0.35"/>
    <row r="51986" hidden="1" x14ac:dyDescent="0.35"/>
    <row r="51987" hidden="1" x14ac:dyDescent="0.35"/>
    <row r="51988" hidden="1" x14ac:dyDescent="0.35"/>
    <row r="51989" hidden="1" x14ac:dyDescent="0.35"/>
    <row r="51990" hidden="1" x14ac:dyDescent="0.35"/>
    <row r="51991" hidden="1" x14ac:dyDescent="0.35"/>
    <row r="51992" hidden="1" x14ac:dyDescent="0.35"/>
    <row r="51993" hidden="1" x14ac:dyDescent="0.35"/>
    <row r="51994" hidden="1" x14ac:dyDescent="0.35"/>
    <row r="51995" hidden="1" x14ac:dyDescent="0.35"/>
    <row r="51996" hidden="1" x14ac:dyDescent="0.35"/>
    <row r="51997" hidden="1" x14ac:dyDescent="0.35"/>
    <row r="51998" hidden="1" x14ac:dyDescent="0.35"/>
    <row r="51999" hidden="1" x14ac:dyDescent="0.35"/>
    <row r="52000" hidden="1" x14ac:dyDescent="0.35"/>
    <row r="52001" hidden="1" x14ac:dyDescent="0.35"/>
    <row r="52002" hidden="1" x14ac:dyDescent="0.35"/>
    <row r="52003" hidden="1" x14ac:dyDescent="0.35"/>
    <row r="52004" hidden="1" x14ac:dyDescent="0.35"/>
    <row r="52005" hidden="1" x14ac:dyDescent="0.35"/>
    <row r="52006" hidden="1" x14ac:dyDescent="0.35"/>
    <row r="52007" hidden="1" x14ac:dyDescent="0.35"/>
    <row r="52008" hidden="1" x14ac:dyDescent="0.35"/>
    <row r="52009" hidden="1" x14ac:dyDescent="0.35"/>
    <row r="52010" hidden="1" x14ac:dyDescent="0.35"/>
    <row r="52011" hidden="1" x14ac:dyDescent="0.35"/>
    <row r="52012" hidden="1" x14ac:dyDescent="0.35"/>
    <row r="52013" hidden="1" x14ac:dyDescent="0.35"/>
    <row r="52014" hidden="1" x14ac:dyDescent="0.35"/>
    <row r="52015" hidden="1" x14ac:dyDescent="0.35"/>
    <row r="52016" hidden="1" x14ac:dyDescent="0.35"/>
    <row r="52017" hidden="1" x14ac:dyDescent="0.35"/>
    <row r="52018" hidden="1" x14ac:dyDescent="0.35"/>
    <row r="52019" hidden="1" x14ac:dyDescent="0.35"/>
    <row r="52020" hidden="1" x14ac:dyDescent="0.35"/>
    <row r="52021" hidden="1" x14ac:dyDescent="0.35"/>
    <row r="52022" hidden="1" x14ac:dyDescent="0.35"/>
    <row r="52023" hidden="1" x14ac:dyDescent="0.35"/>
    <row r="52024" hidden="1" x14ac:dyDescent="0.35"/>
    <row r="52025" hidden="1" x14ac:dyDescent="0.35"/>
    <row r="52026" hidden="1" x14ac:dyDescent="0.35"/>
    <row r="52027" hidden="1" x14ac:dyDescent="0.35"/>
    <row r="52028" hidden="1" x14ac:dyDescent="0.35"/>
    <row r="52029" hidden="1" x14ac:dyDescent="0.35"/>
    <row r="52030" hidden="1" x14ac:dyDescent="0.35"/>
    <row r="52031" hidden="1" x14ac:dyDescent="0.35"/>
    <row r="52032" hidden="1" x14ac:dyDescent="0.35"/>
    <row r="52033" hidden="1" x14ac:dyDescent="0.35"/>
    <row r="52034" hidden="1" x14ac:dyDescent="0.35"/>
    <row r="52035" hidden="1" x14ac:dyDescent="0.35"/>
    <row r="52036" hidden="1" x14ac:dyDescent="0.35"/>
    <row r="52037" hidden="1" x14ac:dyDescent="0.35"/>
    <row r="52038" hidden="1" x14ac:dyDescent="0.35"/>
    <row r="52039" hidden="1" x14ac:dyDescent="0.35"/>
    <row r="52040" hidden="1" x14ac:dyDescent="0.35"/>
    <row r="52041" hidden="1" x14ac:dyDescent="0.35"/>
    <row r="52042" hidden="1" x14ac:dyDescent="0.35"/>
    <row r="52043" hidden="1" x14ac:dyDescent="0.35"/>
    <row r="52044" hidden="1" x14ac:dyDescent="0.35"/>
    <row r="52045" hidden="1" x14ac:dyDescent="0.35"/>
    <row r="52046" hidden="1" x14ac:dyDescent="0.35"/>
    <row r="52047" hidden="1" x14ac:dyDescent="0.35"/>
    <row r="52048" hidden="1" x14ac:dyDescent="0.35"/>
    <row r="52049" hidden="1" x14ac:dyDescent="0.35"/>
    <row r="52050" hidden="1" x14ac:dyDescent="0.35"/>
    <row r="52051" hidden="1" x14ac:dyDescent="0.35"/>
    <row r="52052" hidden="1" x14ac:dyDescent="0.35"/>
    <row r="52053" hidden="1" x14ac:dyDescent="0.35"/>
    <row r="52054" hidden="1" x14ac:dyDescent="0.35"/>
    <row r="52055" hidden="1" x14ac:dyDescent="0.35"/>
    <row r="52056" hidden="1" x14ac:dyDescent="0.35"/>
    <row r="52057" hidden="1" x14ac:dyDescent="0.35"/>
    <row r="52058" hidden="1" x14ac:dyDescent="0.35"/>
    <row r="52059" hidden="1" x14ac:dyDescent="0.35"/>
    <row r="52060" hidden="1" x14ac:dyDescent="0.35"/>
    <row r="52061" hidden="1" x14ac:dyDescent="0.35"/>
    <row r="52062" hidden="1" x14ac:dyDescent="0.35"/>
    <row r="52063" hidden="1" x14ac:dyDescent="0.35"/>
    <row r="52064" hidden="1" x14ac:dyDescent="0.35"/>
    <row r="52065" hidden="1" x14ac:dyDescent="0.35"/>
    <row r="52066" hidden="1" x14ac:dyDescent="0.35"/>
    <row r="52067" hidden="1" x14ac:dyDescent="0.35"/>
    <row r="52068" hidden="1" x14ac:dyDescent="0.35"/>
    <row r="52069" hidden="1" x14ac:dyDescent="0.35"/>
    <row r="52070" hidden="1" x14ac:dyDescent="0.35"/>
    <row r="52071" hidden="1" x14ac:dyDescent="0.35"/>
    <row r="52072" hidden="1" x14ac:dyDescent="0.35"/>
    <row r="52073" hidden="1" x14ac:dyDescent="0.35"/>
    <row r="52074" hidden="1" x14ac:dyDescent="0.35"/>
    <row r="52075" hidden="1" x14ac:dyDescent="0.35"/>
    <row r="52076" hidden="1" x14ac:dyDescent="0.35"/>
    <row r="52077" hidden="1" x14ac:dyDescent="0.35"/>
    <row r="52078" hidden="1" x14ac:dyDescent="0.35"/>
    <row r="52079" hidden="1" x14ac:dyDescent="0.35"/>
    <row r="52080" hidden="1" x14ac:dyDescent="0.35"/>
    <row r="52081" hidden="1" x14ac:dyDescent="0.35"/>
    <row r="52082" hidden="1" x14ac:dyDescent="0.35"/>
    <row r="52083" hidden="1" x14ac:dyDescent="0.35"/>
    <row r="52084" hidden="1" x14ac:dyDescent="0.35"/>
    <row r="52085" hidden="1" x14ac:dyDescent="0.35"/>
    <row r="52086" hidden="1" x14ac:dyDescent="0.35"/>
    <row r="52087" hidden="1" x14ac:dyDescent="0.35"/>
    <row r="52088" hidden="1" x14ac:dyDescent="0.35"/>
    <row r="52089" hidden="1" x14ac:dyDescent="0.35"/>
    <row r="52090" hidden="1" x14ac:dyDescent="0.35"/>
    <row r="52091" hidden="1" x14ac:dyDescent="0.35"/>
    <row r="52092" hidden="1" x14ac:dyDescent="0.35"/>
    <row r="52093" hidden="1" x14ac:dyDescent="0.35"/>
    <row r="52094" hidden="1" x14ac:dyDescent="0.35"/>
    <row r="52095" hidden="1" x14ac:dyDescent="0.35"/>
    <row r="52096" hidden="1" x14ac:dyDescent="0.35"/>
    <row r="52097" hidden="1" x14ac:dyDescent="0.35"/>
    <row r="52098" hidden="1" x14ac:dyDescent="0.35"/>
    <row r="52099" hidden="1" x14ac:dyDescent="0.35"/>
    <row r="52100" hidden="1" x14ac:dyDescent="0.35"/>
    <row r="52101" hidden="1" x14ac:dyDescent="0.35"/>
    <row r="52102" hidden="1" x14ac:dyDescent="0.35"/>
    <row r="52103" hidden="1" x14ac:dyDescent="0.35"/>
    <row r="52104" hidden="1" x14ac:dyDescent="0.35"/>
    <row r="52105" hidden="1" x14ac:dyDescent="0.35"/>
    <row r="52106" hidden="1" x14ac:dyDescent="0.35"/>
    <row r="52107" hidden="1" x14ac:dyDescent="0.35"/>
    <row r="52108" hidden="1" x14ac:dyDescent="0.35"/>
    <row r="52109" hidden="1" x14ac:dyDescent="0.35"/>
    <row r="52110" hidden="1" x14ac:dyDescent="0.35"/>
    <row r="52111" hidden="1" x14ac:dyDescent="0.35"/>
    <row r="52112" hidden="1" x14ac:dyDescent="0.35"/>
    <row r="52113" hidden="1" x14ac:dyDescent="0.35"/>
    <row r="52114" hidden="1" x14ac:dyDescent="0.35"/>
    <row r="52115" hidden="1" x14ac:dyDescent="0.35"/>
    <row r="52116" hidden="1" x14ac:dyDescent="0.35"/>
    <row r="52117" hidden="1" x14ac:dyDescent="0.35"/>
    <row r="52118" hidden="1" x14ac:dyDescent="0.35"/>
    <row r="52119" hidden="1" x14ac:dyDescent="0.35"/>
    <row r="52120" hidden="1" x14ac:dyDescent="0.35"/>
    <row r="52121" hidden="1" x14ac:dyDescent="0.35"/>
    <row r="52122" hidden="1" x14ac:dyDescent="0.35"/>
    <row r="52123" hidden="1" x14ac:dyDescent="0.35"/>
    <row r="52124" hidden="1" x14ac:dyDescent="0.35"/>
    <row r="52125" hidden="1" x14ac:dyDescent="0.35"/>
    <row r="52126" hidden="1" x14ac:dyDescent="0.35"/>
    <row r="52127" hidden="1" x14ac:dyDescent="0.35"/>
    <row r="52128" hidden="1" x14ac:dyDescent="0.35"/>
    <row r="52129" hidden="1" x14ac:dyDescent="0.35"/>
    <row r="52130" hidden="1" x14ac:dyDescent="0.35"/>
    <row r="52131" hidden="1" x14ac:dyDescent="0.35"/>
    <row r="52132" hidden="1" x14ac:dyDescent="0.35"/>
    <row r="52133" hidden="1" x14ac:dyDescent="0.35"/>
    <row r="52134" hidden="1" x14ac:dyDescent="0.35"/>
    <row r="52135" hidden="1" x14ac:dyDescent="0.35"/>
    <row r="52136" hidden="1" x14ac:dyDescent="0.35"/>
    <row r="52137" hidden="1" x14ac:dyDescent="0.35"/>
    <row r="52138" hidden="1" x14ac:dyDescent="0.35"/>
    <row r="52139" hidden="1" x14ac:dyDescent="0.35"/>
    <row r="52140" hidden="1" x14ac:dyDescent="0.35"/>
    <row r="52141" hidden="1" x14ac:dyDescent="0.35"/>
    <row r="52142" hidden="1" x14ac:dyDescent="0.35"/>
    <row r="52143" hidden="1" x14ac:dyDescent="0.35"/>
    <row r="52144" hidden="1" x14ac:dyDescent="0.35"/>
    <row r="52145" hidden="1" x14ac:dyDescent="0.35"/>
    <row r="52146" hidden="1" x14ac:dyDescent="0.35"/>
    <row r="52147" hidden="1" x14ac:dyDescent="0.35"/>
    <row r="52148" hidden="1" x14ac:dyDescent="0.35"/>
    <row r="52149" hidden="1" x14ac:dyDescent="0.35"/>
    <row r="52150" hidden="1" x14ac:dyDescent="0.35"/>
    <row r="52151" hidden="1" x14ac:dyDescent="0.35"/>
    <row r="52152" hidden="1" x14ac:dyDescent="0.35"/>
    <row r="52153" hidden="1" x14ac:dyDescent="0.35"/>
    <row r="52154" hidden="1" x14ac:dyDescent="0.35"/>
    <row r="52155" hidden="1" x14ac:dyDescent="0.35"/>
    <row r="52156" hidden="1" x14ac:dyDescent="0.35"/>
    <row r="52157" hidden="1" x14ac:dyDescent="0.35"/>
    <row r="52158" hidden="1" x14ac:dyDescent="0.35"/>
    <row r="52159" hidden="1" x14ac:dyDescent="0.35"/>
    <row r="52160" hidden="1" x14ac:dyDescent="0.35"/>
    <row r="52161" hidden="1" x14ac:dyDescent="0.35"/>
    <row r="52162" hidden="1" x14ac:dyDescent="0.35"/>
    <row r="52163" hidden="1" x14ac:dyDescent="0.35"/>
    <row r="52164" hidden="1" x14ac:dyDescent="0.35"/>
    <row r="52165" hidden="1" x14ac:dyDescent="0.35"/>
    <row r="52166" hidden="1" x14ac:dyDescent="0.35"/>
    <row r="52167" hidden="1" x14ac:dyDescent="0.35"/>
    <row r="52168" hidden="1" x14ac:dyDescent="0.35"/>
    <row r="52169" hidden="1" x14ac:dyDescent="0.35"/>
    <row r="52170" hidden="1" x14ac:dyDescent="0.35"/>
    <row r="52171" hidden="1" x14ac:dyDescent="0.35"/>
    <row r="52172" hidden="1" x14ac:dyDescent="0.35"/>
    <row r="52173" hidden="1" x14ac:dyDescent="0.35"/>
    <row r="52174" hidden="1" x14ac:dyDescent="0.35"/>
    <row r="52175" hidden="1" x14ac:dyDescent="0.35"/>
    <row r="52176" hidden="1" x14ac:dyDescent="0.35"/>
    <row r="52177" hidden="1" x14ac:dyDescent="0.35"/>
    <row r="52178" hidden="1" x14ac:dyDescent="0.35"/>
    <row r="52179" hidden="1" x14ac:dyDescent="0.35"/>
    <row r="52180" hidden="1" x14ac:dyDescent="0.35"/>
    <row r="52181" hidden="1" x14ac:dyDescent="0.35"/>
    <row r="52182" hidden="1" x14ac:dyDescent="0.35"/>
    <row r="52183" hidden="1" x14ac:dyDescent="0.35"/>
    <row r="52184" hidden="1" x14ac:dyDescent="0.35"/>
    <row r="52185" hidden="1" x14ac:dyDescent="0.35"/>
    <row r="52186" hidden="1" x14ac:dyDescent="0.35"/>
    <row r="52187" hidden="1" x14ac:dyDescent="0.35"/>
    <row r="52188" hidden="1" x14ac:dyDescent="0.35"/>
    <row r="52189" hidden="1" x14ac:dyDescent="0.35"/>
    <row r="52190" hidden="1" x14ac:dyDescent="0.35"/>
    <row r="52191" hidden="1" x14ac:dyDescent="0.35"/>
    <row r="52192" hidden="1" x14ac:dyDescent="0.35"/>
    <row r="52193" hidden="1" x14ac:dyDescent="0.35"/>
    <row r="52194" hidden="1" x14ac:dyDescent="0.35"/>
    <row r="52195" hidden="1" x14ac:dyDescent="0.35"/>
    <row r="52196" hidden="1" x14ac:dyDescent="0.35"/>
    <row r="52197" hidden="1" x14ac:dyDescent="0.35"/>
    <row r="52198" hidden="1" x14ac:dyDescent="0.35"/>
    <row r="52199" hidden="1" x14ac:dyDescent="0.35"/>
    <row r="52200" hidden="1" x14ac:dyDescent="0.35"/>
    <row r="52201" hidden="1" x14ac:dyDescent="0.35"/>
    <row r="52202" hidden="1" x14ac:dyDescent="0.35"/>
    <row r="52203" hidden="1" x14ac:dyDescent="0.35"/>
    <row r="52204" hidden="1" x14ac:dyDescent="0.35"/>
    <row r="52205" hidden="1" x14ac:dyDescent="0.35"/>
    <row r="52206" hidden="1" x14ac:dyDescent="0.35"/>
    <row r="52207" hidden="1" x14ac:dyDescent="0.35"/>
    <row r="52208" hidden="1" x14ac:dyDescent="0.35"/>
    <row r="52209" hidden="1" x14ac:dyDescent="0.35"/>
    <row r="52210" hidden="1" x14ac:dyDescent="0.35"/>
    <row r="52211" hidden="1" x14ac:dyDescent="0.35"/>
    <row r="52212" hidden="1" x14ac:dyDescent="0.35"/>
    <row r="52213" hidden="1" x14ac:dyDescent="0.35"/>
    <row r="52214" hidden="1" x14ac:dyDescent="0.35"/>
    <row r="52215" hidden="1" x14ac:dyDescent="0.35"/>
    <row r="52216" hidden="1" x14ac:dyDescent="0.35"/>
    <row r="52217" hidden="1" x14ac:dyDescent="0.35"/>
    <row r="52218" hidden="1" x14ac:dyDescent="0.35"/>
    <row r="52219" hidden="1" x14ac:dyDescent="0.35"/>
    <row r="52220" hidden="1" x14ac:dyDescent="0.35"/>
    <row r="52221" hidden="1" x14ac:dyDescent="0.35"/>
    <row r="52222" hidden="1" x14ac:dyDescent="0.35"/>
    <row r="52223" hidden="1" x14ac:dyDescent="0.35"/>
    <row r="52224" hidden="1" x14ac:dyDescent="0.35"/>
    <row r="52225" hidden="1" x14ac:dyDescent="0.35"/>
    <row r="52226" hidden="1" x14ac:dyDescent="0.35"/>
    <row r="52227" hidden="1" x14ac:dyDescent="0.35"/>
    <row r="52228" hidden="1" x14ac:dyDescent="0.35"/>
    <row r="52229" hidden="1" x14ac:dyDescent="0.35"/>
    <row r="52230" hidden="1" x14ac:dyDescent="0.35"/>
    <row r="52231" hidden="1" x14ac:dyDescent="0.35"/>
    <row r="52232" hidden="1" x14ac:dyDescent="0.35"/>
    <row r="52233" hidden="1" x14ac:dyDescent="0.35"/>
    <row r="52234" hidden="1" x14ac:dyDescent="0.35"/>
    <row r="52235" hidden="1" x14ac:dyDescent="0.35"/>
    <row r="52236" hidden="1" x14ac:dyDescent="0.35"/>
    <row r="52237" hidden="1" x14ac:dyDescent="0.35"/>
    <row r="52238" hidden="1" x14ac:dyDescent="0.35"/>
    <row r="52239" hidden="1" x14ac:dyDescent="0.35"/>
    <row r="52240" hidden="1" x14ac:dyDescent="0.35"/>
    <row r="52241" hidden="1" x14ac:dyDescent="0.35"/>
    <row r="52242" hidden="1" x14ac:dyDescent="0.35"/>
    <row r="52243" hidden="1" x14ac:dyDescent="0.35"/>
    <row r="52244" hidden="1" x14ac:dyDescent="0.35"/>
    <row r="52245" hidden="1" x14ac:dyDescent="0.35"/>
    <row r="52246" hidden="1" x14ac:dyDescent="0.35"/>
    <row r="52247" hidden="1" x14ac:dyDescent="0.35"/>
    <row r="52248" hidden="1" x14ac:dyDescent="0.35"/>
    <row r="52249" hidden="1" x14ac:dyDescent="0.35"/>
    <row r="52250" hidden="1" x14ac:dyDescent="0.35"/>
    <row r="52251" hidden="1" x14ac:dyDescent="0.35"/>
    <row r="52252" hidden="1" x14ac:dyDescent="0.35"/>
    <row r="52253" hidden="1" x14ac:dyDescent="0.35"/>
    <row r="52254" hidden="1" x14ac:dyDescent="0.35"/>
    <row r="52255" hidden="1" x14ac:dyDescent="0.35"/>
    <row r="52256" hidden="1" x14ac:dyDescent="0.35"/>
    <row r="52257" hidden="1" x14ac:dyDescent="0.35"/>
    <row r="52258" hidden="1" x14ac:dyDescent="0.35"/>
    <row r="52259" hidden="1" x14ac:dyDescent="0.35"/>
    <row r="52260" hidden="1" x14ac:dyDescent="0.35"/>
    <row r="52261" hidden="1" x14ac:dyDescent="0.35"/>
    <row r="52262" hidden="1" x14ac:dyDescent="0.35"/>
    <row r="52263" hidden="1" x14ac:dyDescent="0.35"/>
    <row r="52264" hidden="1" x14ac:dyDescent="0.35"/>
    <row r="52265" hidden="1" x14ac:dyDescent="0.35"/>
    <row r="52266" hidden="1" x14ac:dyDescent="0.35"/>
    <row r="52267" hidden="1" x14ac:dyDescent="0.35"/>
    <row r="52268" hidden="1" x14ac:dyDescent="0.35"/>
    <row r="52269" hidden="1" x14ac:dyDescent="0.35"/>
    <row r="52270" hidden="1" x14ac:dyDescent="0.35"/>
    <row r="52271" hidden="1" x14ac:dyDescent="0.35"/>
    <row r="52272" hidden="1" x14ac:dyDescent="0.35"/>
    <row r="52273" hidden="1" x14ac:dyDescent="0.35"/>
    <row r="52274" hidden="1" x14ac:dyDescent="0.35"/>
    <row r="52275" hidden="1" x14ac:dyDescent="0.35"/>
    <row r="52276" hidden="1" x14ac:dyDescent="0.35"/>
    <row r="52277" hidden="1" x14ac:dyDescent="0.35"/>
    <row r="52278" hidden="1" x14ac:dyDescent="0.35"/>
    <row r="52279" hidden="1" x14ac:dyDescent="0.35"/>
    <row r="52280" hidden="1" x14ac:dyDescent="0.35"/>
    <row r="52281" hidden="1" x14ac:dyDescent="0.35"/>
    <row r="52282" hidden="1" x14ac:dyDescent="0.35"/>
    <row r="52283" hidden="1" x14ac:dyDescent="0.35"/>
    <row r="52284" hidden="1" x14ac:dyDescent="0.35"/>
    <row r="52285" hidden="1" x14ac:dyDescent="0.35"/>
    <row r="52286" hidden="1" x14ac:dyDescent="0.35"/>
    <row r="52287" hidden="1" x14ac:dyDescent="0.35"/>
    <row r="52288" hidden="1" x14ac:dyDescent="0.35"/>
    <row r="52289" hidden="1" x14ac:dyDescent="0.35"/>
    <row r="52290" hidden="1" x14ac:dyDescent="0.35"/>
    <row r="52291" hidden="1" x14ac:dyDescent="0.35"/>
    <row r="52292" hidden="1" x14ac:dyDescent="0.35"/>
    <row r="52293" hidden="1" x14ac:dyDescent="0.35"/>
    <row r="52294" hidden="1" x14ac:dyDescent="0.35"/>
    <row r="52295" hidden="1" x14ac:dyDescent="0.35"/>
    <row r="52296" hidden="1" x14ac:dyDescent="0.35"/>
    <row r="52297" hidden="1" x14ac:dyDescent="0.35"/>
    <row r="52298" hidden="1" x14ac:dyDescent="0.35"/>
    <row r="52299" hidden="1" x14ac:dyDescent="0.35"/>
    <row r="52300" hidden="1" x14ac:dyDescent="0.35"/>
    <row r="52301" hidden="1" x14ac:dyDescent="0.35"/>
    <row r="52302" hidden="1" x14ac:dyDescent="0.35"/>
    <row r="52303" hidden="1" x14ac:dyDescent="0.35"/>
    <row r="52304" hidden="1" x14ac:dyDescent="0.35"/>
    <row r="52305" hidden="1" x14ac:dyDescent="0.35"/>
    <row r="52306" hidden="1" x14ac:dyDescent="0.35"/>
    <row r="52307" hidden="1" x14ac:dyDescent="0.35"/>
    <row r="52308" hidden="1" x14ac:dyDescent="0.35"/>
    <row r="52309" hidden="1" x14ac:dyDescent="0.35"/>
    <row r="52310" hidden="1" x14ac:dyDescent="0.35"/>
    <row r="52311" hidden="1" x14ac:dyDescent="0.35"/>
    <row r="52312" hidden="1" x14ac:dyDescent="0.35"/>
    <row r="52313" hidden="1" x14ac:dyDescent="0.35"/>
    <row r="52314" hidden="1" x14ac:dyDescent="0.35"/>
    <row r="52315" hidden="1" x14ac:dyDescent="0.35"/>
    <row r="52316" hidden="1" x14ac:dyDescent="0.35"/>
    <row r="52317" hidden="1" x14ac:dyDescent="0.35"/>
    <row r="52318" hidden="1" x14ac:dyDescent="0.35"/>
    <row r="52319" hidden="1" x14ac:dyDescent="0.35"/>
    <row r="52320" hidden="1" x14ac:dyDescent="0.35"/>
    <row r="52321" hidden="1" x14ac:dyDescent="0.35"/>
    <row r="52322" hidden="1" x14ac:dyDescent="0.35"/>
    <row r="52323" hidden="1" x14ac:dyDescent="0.35"/>
    <row r="52324" hidden="1" x14ac:dyDescent="0.35"/>
    <row r="52325" hidden="1" x14ac:dyDescent="0.35"/>
    <row r="52326" hidden="1" x14ac:dyDescent="0.35"/>
    <row r="52327" hidden="1" x14ac:dyDescent="0.35"/>
    <row r="52328" hidden="1" x14ac:dyDescent="0.35"/>
    <row r="52329" hidden="1" x14ac:dyDescent="0.35"/>
    <row r="52330" hidden="1" x14ac:dyDescent="0.35"/>
    <row r="52331" hidden="1" x14ac:dyDescent="0.35"/>
    <row r="52332" hidden="1" x14ac:dyDescent="0.35"/>
    <row r="52333" hidden="1" x14ac:dyDescent="0.35"/>
    <row r="52334" hidden="1" x14ac:dyDescent="0.35"/>
    <row r="52335" hidden="1" x14ac:dyDescent="0.35"/>
    <row r="52336" hidden="1" x14ac:dyDescent="0.35"/>
    <row r="52337" hidden="1" x14ac:dyDescent="0.35"/>
    <row r="52338" hidden="1" x14ac:dyDescent="0.35"/>
    <row r="52339" hidden="1" x14ac:dyDescent="0.35"/>
    <row r="52340" hidden="1" x14ac:dyDescent="0.35"/>
    <row r="52341" hidden="1" x14ac:dyDescent="0.35"/>
    <row r="52342" hidden="1" x14ac:dyDescent="0.35"/>
    <row r="52343" hidden="1" x14ac:dyDescent="0.35"/>
    <row r="52344" hidden="1" x14ac:dyDescent="0.35"/>
    <row r="52345" hidden="1" x14ac:dyDescent="0.35"/>
    <row r="52346" hidden="1" x14ac:dyDescent="0.35"/>
    <row r="52347" hidden="1" x14ac:dyDescent="0.35"/>
    <row r="52348" hidden="1" x14ac:dyDescent="0.35"/>
    <row r="52349" hidden="1" x14ac:dyDescent="0.35"/>
    <row r="52350" hidden="1" x14ac:dyDescent="0.35"/>
    <row r="52351" hidden="1" x14ac:dyDescent="0.35"/>
    <row r="52352" hidden="1" x14ac:dyDescent="0.35"/>
    <row r="52353" hidden="1" x14ac:dyDescent="0.35"/>
    <row r="52354" hidden="1" x14ac:dyDescent="0.35"/>
    <row r="52355" hidden="1" x14ac:dyDescent="0.35"/>
    <row r="52356" hidden="1" x14ac:dyDescent="0.35"/>
    <row r="52357" hidden="1" x14ac:dyDescent="0.35"/>
    <row r="52358" hidden="1" x14ac:dyDescent="0.35"/>
    <row r="52359" hidden="1" x14ac:dyDescent="0.35"/>
    <row r="52360" hidden="1" x14ac:dyDescent="0.35"/>
    <row r="52361" hidden="1" x14ac:dyDescent="0.35"/>
    <row r="52362" hidden="1" x14ac:dyDescent="0.35"/>
    <row r="52363" hidden="1" x14ac:dyDescent="0.35"/>
    <row r="52364" hidden="1" x14ac:dyDescent="0.35"/>
    <row r="52365" hidden="1" x14ac:dyDescent="0.35"/>
    <row r="52366" hidden="1" x14ac:dyDescent="0.35"/>
    <row r="52367" hidden="1" x14ac:dyDescent="0.35"/>
    <row r="52368" hidden="1" x14ac:dyDescent="0.35"/>
    <row r="52369" hidden="1" x14ac:dyDescent="0.35"/>
    <row r="52370" hidden="1" x14ac:dyDescent="0.35"/>
    <row r="52371" hidden="1" x14ac:dyDescent="0.35"/>
    <row r="52372" hidden="1" x14ac:dyDescent="0.35"/>
    <row r="52373" hidden="1" x14ac:dyDescent="0.35"/>
    <row r="52374" hidden="1" x14ac:dyDescent="0.35"/>
    <row r="52375" hidden="1" x14ac:dyDescent="0.35"/>
    <row r="52376" hidden="1" x14ac:dyDescent="0.35"/>
    <row r="52377" hidden="1" x14ac:dyDescent="0.35"/>
    <row r="52378" hidden="1" x14ac:dyDescent="0.35"/>
    <row r="52379" hidden="1" x14ac:dyDescent="0.35"/>
    <row r="52380" hidden="1" x14ac:dyDescent="0.35"/>
    <row r="52381" hidden="1" x14ac:dyDescent="0.35"/>
    <row r="52382" hidden="1" x14ac:dyDescent="0.35"/>
    <row r="52383" hidden="1" x14ac:dyDescent="0.35"/>
    <row r="52384" hidden="1" x14ac:dyDescent="0.35"/>
    <row r="52385" hidden="1" x14ac:dyDescent="0.35"/>
    <row r="52386" hidden="1" x14ac:dyDescent="0.35"/>
    <row r="52387" hidden="1" x14ac:dyDescent="0.35"/>
    <row r="52388" hidden="1" x14ac:dyDescent="0.35"/>
    <row r="52389" hidden="1" x14ac:dyDescent="0.35"/>
    <row r="52390" hidden="1" x14ac:dyDescent="0.35"/>
    <row r="52391" hidden="1" x14ac:dyDescent="0.35"/>
    <row r="52392" hidden="1" x14ac:dyDescent="0.35"/>
    <row r="52393" hidden="1" x14ac:dyDescent="0.35"/>
    <row r="52394" hidden="1" x14ac:dyDescent="0.35"/>
    <row r="52395" hidden="1" x14ac:dyDescent="0.35"/>
    <row r="52396" hidden="1" x14ac:dyDescent="0.35"/>
    <row r="52397" hidden="1" x14ac:dyDescent="0.35"/>
    <row r="52398" hidden="1" x14ac:dyDescent="0.35"/>
    <row r="52399" hidden="1" x14ac:dyDescent="0.35"/>
    <row r="52400" hidden="1" x14ac:dyDescent="0.35"/>
    <row r="52401" hidden="1" x14ac:dyDescent="0.35"/>
    <row r="52402" hidden="1" x14ac:dyDescent="0.35"/>
    <row r="52403" hidden="1" x14ac:dyDescent="0.35"/>
    <row r="52404" hidden="1" x14ac:dyDescent="0.35"/>
    <row r="52405" hidden="1" x14ac:dyDescent="0.35"/>
    <row r="52406" hidden="1" x14ac:dyDescent="0.35"/>
    <row r="52407" hidden="1" x14ac:dyDescent="0.35"/>
    <row r="52408" hidden="1" x14ac:dyDescent="0.35"/>
    <row r="52409" hidden="1" x14ac:dyDescent="0.35"/>
    <row r="52410" hidden="1" x14ac:dyDescent="0.35"/>
    <row r="52411" hidden="1" x14ac:dyDescent="0.35"/>
    <row r="52412" hidden="1" x14ac:dyDescent="0.35"/>
    <row r="52413" hidden="1" x14ac:dyDescent="0.35"/>
    <row r="52414" hidden="1" x14ac:dyDescent="0.35"/>
    <row r="52415" hidden="1" x14ac:dyDescent="0.35"/>
    <row r="52416" hidden="1" x14ac:dyDescent="0.35"/>
    <row r="52417" hidden="1" x14ac:dyDescent="0.35"/>
    <row r="52418" hidden="1" x14ac:dyDescent="0.35"/>
    <row r="52419" hidden="1" x14ac:dyDescent="0.35"/>
    <row r="52420" hidden="1" x14ac:dyDescent="0.35"/>
    <row r="52421" hidden="1" x14ac:dyDescent="0.35"/>
    <row r="52422" hidden="1" x14ac:dyDescent="0.35"/>
    <row r="52423" hidden="1" x14ac:dyDescent="0.35"/>
    <row r="52424" hidden="1" x14ac:dyDescent="0.35"/>
    <row r="52425" hidden="1" x14ac:dyDescent="0.35"/>
    <row r="52426" hidden="1" x14ac:dyDescent="0.35"/>
    <row r="52427" hidden="1" x14ac:dyDescent="0.35"/>
    <row r="52428" hidden="1" x14ac:dyDescent="0.35"/>
    <row r="52429" hidden="1" x14ac:dyDescent="0.35"/>
    <row r="52430" hidden="1" x14ac:dyDescent="0.35"/>
    <row r="52431" hidden="1" x14ac:dyDescent="0.35"/>
    <row r="52432" hidden="1" x14ac:dyDescent="0.35"/>
    <row r="52433" hidden="1" x14ac:dyDescent="0.35"/>
    <row r="52434" hidden="1" x14ac:dyDescent="0.35"/>
    <row r="52435" hidden="1" x14ac:dyDescent="0.35"/>
    <row r="52436" hidden="1" x14ac:dyDescent="0.35"/>
    <row r="52437" hidden="1" x14ac:dyDescent="0.35"/>
    <row r="52438" hidden="1" x14ac:dyDescent="0.35"/>
    <row r="52439" hidden="1" x14ac:dyDescent="0.35"/>
    <row r="52440" hidden="1" x14ac:dyDescent="0.35"/>
    <row r="52441" hidden="1" x14ac:dyDescent="0.35"/>
    <row r="52442" hidden="1" x14ac:dyDescent="0.35"/>
    <row r="52443" hidden="1" x14ac:dyDescent="0.35"/>
    <row r="52444" hidden="1" x14ac:dyDescent="0.35"/>
    <row r="52445" hidden="1" x14ac:dyDescent="0.35"/>
    <row r="52446" hidden="1" x14ac:dyDescent="0.35"/>
    <row r="52447" hidden="1" x14ac:dyDescent="0.35"/>
    <row r="52448" hidden="1" x14ac:dyDescent="0.35"/>
    <row r="52449" hidden="1" x14ac:dyDescent="0.35"/>
    <row r="52450" hidden="1" x14ac:dyDescent="0.35"/>
    <row r="52451" hidden="1" x14ac:dyDescent="0.35"/>
    <row r="52452" hidden="1" x14ac:dyDescent="0.35"/>
    <row r="52453" hidden="1" x14ac:dyDescent="0.35"/>
    <row r="52454" hidden="1" x14ac:dyDescent="0.35"/>
    <row r="52455" hidden="1" x14ac:dyDescent="0.35"/>
    <row r="52456" hidden="1" x14ac:dyDescent="0.35"/>
    <row r="52457" hidden="1" x14ac:dyDescent="0.35"/>
    <row r="52458" hidden="1" x14ac:dyDescent="0.35"/>
    <row r="52459" hidden="1" x14ac:dyDescent="0.35"/>
    <row r="52460" hidden="1" x14ac:dyDescent="0.35"/>
    <row r="52461" hidden="1" x14ac:dyDescent="0.35"/>
    <row r="52462" hidden="1" x14ac:dyDescent="0.35"/>
    <row r="52463" hidden="1" x14ac:dyDescent="0.35"/>
    <row r="52464" hidden="1" x14ac:dyDescent="0.35"/>
    <row r="52465" hidden="1" x14ac:dyDescent="0.35"/>
    <row r="52466" hidden="1" x14ac:dyDescent="0.35"/>
    <row r="52467" hidden="1" x14ac:dyDescent="0.35"/>
    <row r="52468" hidden="1" x14ac:dyDescent="0.35"/>
    <row r="52469" hidden="1" x14ac:dyDescent="0.35"/>
    <row r="52470" hidden="1" x14ac:dyDescent="0.35"/>
    <row r="52471" hidden="1" x14ac:dyDescent="0.35"/>
    <row r="52472" hidden="1" x14ac:dyDescent="0.35"/>
    <row r="52473" hidden="1" x14ac:dyDescent="0.35"/>
    <row r="52474" hidden="1" x14ac:dyDescent="0.35"/>
    <row r="52475" hidden="1" x14ac:dyDescent="0.35"/>
    <row r="52476" hidden="1" x14ac:dyDescent="0.35"/>
    <row r="52477" hidden="1" x14ac:dyDescent="0.35"/>
    <row r="52478" hidden="1" x14ac:dyDescent="0.35"/>
    <row r="52479" hidden="1" x14ac:dyDescent="0.35"/>
    <row r="52480" hidden="1" x14ac:dyDescent="0.35"/>
    <row r="52481" hidden="1" x14ac:dyDescent="0.35"/>
    <row r="52482" hidden="1" x14ac:dyDescent="0.35"/>
    <row r="52483" hidden="1" x14ac:dyDescent="0.35"/>
    <row r="52484" hidden="1" x14ac:dyDescent="0.35"/>
    <row r="52485" hidden="1" x14ac:dyDescent="0.35"/>
    <row r="52486" hidden="1" x14ac:dyDescent="0.35"/>
    <row r="52487" hidden="1" x14ac:dyDescent="0.35"/>
    <row r="52488" hidden="1" x14ac:dyDescent="0.35"/>
    <row r="52489" hidden="1" x14ac:dyDescent="0.35"/>
    <row r="52490" hidden="1" x14ac:dyDescent="0.35"/>
    <row r="52491" hidden="1" x14ac:dyDescent="0.35"/>
    <row r="52492" hidden="1" x14ac:dyDescent="0.35"/>
    <row r="52493" hidden="1" x14ac:dyDescent="0.35"/>
    <row r="52494" hidden="1" x14ac:dyDescent="0.35"/>
    <row r="52495" hidden="1" x14ac:dyDescent="0.35"/>
    <row r="52496" hidden="1" x14ac:dyDescent="0.35"/>
    <row r="52497" hidden="1" x14ac:dyDescent="0.35"/>
    <row r="52498" hidden="1" x14ac:dyDescent="0.35"/>
    <row r="52499" hidden="1" x14ac:dyDescent="0.35"/>
    <row r="52500" hidden="1" x14ac:dyDescent="0.35"/>
    <row r="52501" hidden="1" x14ac:dyDescent="0.35"/>
    <row r="52502" hidden="1" x14ac:dyDescent="0.35"/>
    <row r="52503" hidden="1" x14ac:dyDescent="0.35"/>
    <row r="52504" hidden="1" x14ac:dyDescent="0.35"/>
    <row r="52505" hidden="1" x14ac:dyDescent="0.35"/>
    <row r="52506" hidden="1" x14ac:dyDescent="0.35"/>
    <row r="52507" hidden="1" x14ac:dyDescent="0.35"/>
    <row r="52508" hidden="1" x14ac:dyDescent="0.35"/>
    <row r="52509" hidden="1" x14ac:dyDescent="0.35"/>
    <row r="52510" hidden="1" x14ac:dyDescent="0.35"/>
    <row r="52511" hidden="1" x14ac:dyDescent="0.35"/>
    <row r="52512" hidden="1" x14ac:dyDescent="0.35"/>
    <row r="52513" hidden="1" x14ac:dyDescent="0.35"/>
    <row r="52514" hidden="1" x14ac:dyDescent="0.35"/>
    <row r="52515" hidden="1" x14ac:dyDescent="0.35"/>
    <row r="52516" hidden="1" x14ac:dyDescent="0.35"/>
    <row r="52517" hidden="1" x14ac:dyDescent="0.35"/>
    <row r="52518" hidden="1" x14ac:dyDescent="0.35"/>
    <row r="52519" hidden="1" x14ac:dyDescent="0.35"/>
    <row r="52520" hidden="1" x14ac:dyDescent="0.35"/>
    <row r="52521" hidden="1" x14ac:dyDescent="0.35"/>
    <row r="52522" hidden="1" x14ac:dyDescent="0.35"/>
    <row r="52523" hidden="1" x14ac:dyDescent="0.35"/>
    <row r="52524" hidden="1" x14ac:dyDescent="0.35"/>
    <row r="52525" hidden="1" x14ac:dyDescent="0.35"/>
    <row r="52526" hidden="1" x14ac:dyDescent="0.35"/>
    <row r="52527" hidden="1" x14ac:dyDescent="0.35"/>
    <row r="52528" hidden="1" x14ac:dyDescent="0.35"/>
    <row r="52529" hidden="1" x14ac:dyDescent="0.35"/>
    <row r="52530" hidden="1" x14ac:dyDescent="0.35"/>
    <row r="52531" hidden="1" x14ac:dyDescent="0.35"/>
    <row r="52532" hidden="1" x14ac:dyDescent="0.35"/>
    <row r="52533" hidden="1" x14ac:dyDescent="0.35"/>
    <row r="52534" hidden="1" x14ac:dyDescent="0.35"/>
    <row r="52535" hidden="1" x14ac:dyDescent="0.35"/>
    <row r="52536" hidden="1" x14ac:dyDescent="0.35"/>
    <row r="52537" hidden="1" x14ac:dyDescent="0.35"/>
    <row r="52538" hidden="1" x14ac:dyDescent="0.35"/>
    <row r="52539" hidden="1" x14ac:dyDescent="0.35"/>
    <row r="52540" hidden="1" x14ac:dyDescent="0.35"/>
    <row r="52541" hidden="1" x14ac:dyDescent="0.35"/>
    <row r="52542" hidden="1" x14ac:dyDescent="0.35"/>
    <row r="52543" hidden="1" x14ac:dyDescent="0.35"/>
    <row r="52544" hidden="1" x14ac:dyDescent="0.35"/>
    <row r="52545" hidden="1" x14ac:dyDescent="0.35"/>
    <row r="52546" hidden="1" x14ac:dyDescent="0.35"/>
    <row r="52547" hidden="1" x14ac:dyDescent="0.35"/>
    <row r="52548" hidden="1" x14ac:dyDescent="0.35"/>
    <row r="52549" hidden="1" x14ac:dyDescent="0.35"/>
    <row r="52550" hidden="1" x14ac:dyDescent="0.35"/>
    <row r="52551" hidden="1" x14ac:dyDescent="0.35"/>
    <row r="52552" hidden="1" x14ac:dyDescent="0.35"/>
    <row r="52553" hidden="1" x14ac:dyDescent="0.35"/>
    <row r="52554" hidden="1" x14ac:dyDescent="0.35"/>
    <row r="52555" hidden="1" x14ac:dyDescent="0.35"/>
    <row r="52556" hidden="1" x14ac:dyDescent="0.35"/>
    <row r="52557" hidden="1" x14ac:dyDescent="0.35"/>
    <row r="52558" hidden="1" x14ac:dyDescent="0.35"/>
    <row r="52559" hidden="1" x14ac:dyDescent="0.35"/>
    <row r="52560" hidden="1" x14ac:dyDescent="0.35"/>
    <row r="52561" hidden="1" x14ac:dyDescent="0.35"/>
    <row r="52562" hidden="1" x14ac:dyDescent="0.35"/>
    <row r="52563" hidden="1" x14ac:dyDescent="0.35"/>
    <row r="52564" hidden="1" x14ac:dyDescent="0.35"/>
    <row r="52565" hidden="1" x14ac:dyDescent="0.35"/>
    <row r="52566" hidden="1" x14ac:dyDescent="0.35"/>
    <row r="52567" hidden="1" x14ac:dyDescent="0.35"/>
    <row r="52568" hidden="1" x14ac:dyDescent="0.35"/>
    <row r="52569" hidden="1" x14ac:dyDescent="0.35"/>
    <row r="52570" hidden="1" x14ac:dyDescent="0.35"/>
    <row r="52571" hidden="1" x14ac:dyDescent="0.35"/>
    <row r="52572" hidden="1" x14ac:dyDescent="0.35"/>
    <row r="52573" hidden="1" x14ac:dyDescent="0.35"/>
    <row r="52574" hidden="1" x14ac:dyDescent="0.35"/>
    <row r="52575" hidden="1" x14ac:dyDescent="0.35"/>
    <row r="52576" hidden="1" x14ac:dyDescent="0.35"/>
    <row r="52577" hidden="1" x14ac:dyDescent="0.35"/>
    <row r="52578" hidden="1" x14ac:dyDescent="0.35"/>
    <row r="52579" hidden="1" x14ac:dyDescent="0.35"/>
    <row r="52580" hidden="1" x14ac:dyDescent="0.35"/>
    <row r="52581" hidden="1" x14ac:dyDescent="0.35"/>
    <row r="52582" hidden="1" x14ac:dyDescent="0.35"/>
    <row r="52583" hidden="1" x14ac:dyDescent="0.35"/>
    <row r="52584" hidden="1" x14ac:dyDescent="0.35"/>
    <row r="52585" hidden="1" x14ac:dyDescent="0.35"/>
    <row r="52586" hidden="1" x14ac:dyDescent="0.35"/>
    <row r="52587" hidden="1" x14ac:dyDescent="0.35"/>
    <row r="52588" hidden="1" x14ac:dyDescent="0.35"/>
    <row r="52589" hidden="1" x14ac:dyDescent="0.35"/>
    <row r="52590" hidden="1" x14ac:dyDescent="0.35"/>
    <row r="52591" hidden="1" x14ac:dyDescent="0.35"/>
    <row r="52592" hidden="1" x14ac:dyDescent="0.35"/>
    <row r="52593" hidden="1" x14ac:dyDescent="0.35"/>
    <row r="52594" hidden="1" x14ac:dyDescent="0.35"/>
    <row r="52595" hidden="1" x14ac:dyDescent="0.35"/>
    <row r="52596" hidden="1" x14ac:dyDescent="0.35"/>
    <row r="52597" hidden="1" x14ac:dyDescent="0.35"/>
    <row r="52598" hidden="1" x14ac:dyDescent="0.35"/>
    <row r="52599" hidden="1" x14ac:dyDescent="0.35"/>
    <row r="52600" hidden="1" x14ac:dyDescent="0.35"/>
    <row r="52601" hidden="1" x14ac:dyDescent="0.35"/>
    <row r="52602" hidden="1" x14ac:dyDescent="0.35"/>
    <row r="52603" hidden="1" x14ac:dyDescent="0.35"/>
    <row r="52604" hidden="1" x14ac:dyDescent="0.35"/>
    <row r="52605" hidden="1" x14ac:dyDescent="0.35"/>
    <row r="52606" hidden="1" x14ac:dyDescent="0.35"/>
    <row r="52607" hidden="1" x14ac:dyDescent="0.35"/>
    <row r="52608" hidden="1" x14ac:dyDescent="0.35"/>
    <row r="52609" hidden="1" x14ac:dyDescent="0.35"/>
    <row r="52610" hidden="1" x14ac:dyDescent="0.35"/>
    <row r="52611" hidden="1" x14ac:dyDescent="0.35"/>
    <row r="52612" hidden="1" x14ac:dyDescent="0.35"/>
    <row r="52613" hidden="1" x14ac:dyDescent="0.35"/>
    <row r="52614" hidden="1" x14ac:dyDescent="0.35"/>
    <row r="52615" hidden="1" x14ac:dyDescent="0.35"/>
    <row r="52616" hidden="1" x14ac:dyDescent="0.35"/>
    <row r="52617" hidden="1" x14ac:dyDescent="0.35"/>
    <row r="52618" hidden="1" x14ac:dyDescent="0.35"/>
    <row r="52619" hidden="1" x14ac:dyDescent="0.35"/>
    <row r="52620" hidden="1" x14ac:dyDescent="0.35"/>
    <row r="52621" hidden="1" x14ac:dyDescent="0.35"/>
    <row r="52622" hidden="1" x14ac:dyDescent="0.35"/>
    <row r="52623" hidden="1" x14ac:dyDescent="0.35"/>
    <row r="52624" hidden="1" x14ac:dyDescent="0.35"/>
    <row r="52625" hidden="1" x14ac:dyDescent="0.35"/>
    <row r="52626" hidden="1" x14ac:dyDescent="0.35"/>
    <row r="52627" hidden="1" x14ac:dyDescent="0.35"/>
    <row r="52628" hidden="1" x14ac:dyDescent="0.35"/>
    <row r="52629" hidden="1" x14ac:dyDescent="0.35"/>
    <row r="52630" hidden="1" x14ac:dyDescent="0.35"/>
    <row r="52631" hidden="1" x14ac:dyDescent="0.35"/>
    <row r="52632" hidden="1" x14ac:dyDescent="0.35"/>
    <row r="52633" hidden="1" x14ac:dyDescent="0.35"/>
    <row r="52634" hidden="1" x14ac:dyDescent="0.35"/>
    <row r="52635" hidden="1" x14ac:dyDescent="0.35"/>
    <row r="52636" hidden="1" x14ac:dyDescent="0.35"/>
    <row r="52637" hidden="1" x14ac:dyDescent="0.35"/>
    <row r="52638" hidden="1" x14ac:dyDescent="0.35"/>
    <row r="52639" hidden="1" x14ac:dyDescent="0.35"/>
    <row r="52640" hidden="1" x14ac:dyDescent="0.35"/>
    <row r="52641" hidden="1" x14ac:dyDescent="0.35"/>
    <row r="52642" hidden="1" x14ac:dyDescent="0.35"/>
    <row r="52643" hidden="1" x14ac:dyDescent="0.35"/>
    <row r="52644" hidden="1" x14ac:dyDescent="0.35"/>
    <row r="52645" hidden="1" x14ac:dyDescent="0.35"/>
    <row r="52646" hidden="1" x14ac:dyDescent="0.35"/>
    <row r="52647" hidden="1" x14ac:dyDescent="0.35"/>
    <row r="52648" hidden="1" x14ac:dyDescent="0.35"/>
    <row r="52649" hidden="1" x14ac:dyDescent="0.35"/>
    <row r="52650" hidden="1" x14ac:dyDescent="0.35"/>
    <row r="52651" hidden="1" x14ac:dyDescent="0.35"/>
    <row r="52652" hidden="1" x14ac:dyDescent="0.35"/>
    <row r="52653" hidden="1" x14ac:dyDescent="0.35"/>
    <row r="52654" hidden="1" x14ac:dyDescent="0.35"/>
    <row r="52655" hidden="1" x14ac:dyDescent="0.35"/>
    <row r="52656" hidden="1" x14ac:dyDescent="0.35"/>
    <row r="52657" hidden="1" x14ac:dyDescent="0.35"/>
    <row r="52658" hidden="1" x14ac:dyDescent="0.35"/>
    <row r="52659" hidden="1" x14ac:dyDescent="0.35"/>
    <row r="52660" hidden="1" x14ac:dyDescent="0.35"/>
    <row r="52661" hidden="1" x14ac:dyDescent="0.35"/>
    <row r="52662" hidden="1" x14ac:dyDescent="0.35"/>
    <row r="52663" hidden="1" x14ac:dyDescent="0.35"/>
    <row r="52664" hidden="1" x14ac:dyDescent="0.35"/>
    <row r="52665" hidden="1" x14ac:dyDescent="0.35"/>
    <row r="52666" hidden="1" x14ac:dyDescent="0.35"/>
    <row r="52667" hidden="1" x14ac:dyDescent="0.35"/>
    <row r="52668" hidden="1" x14ac:dyDescent="0.35"/>
    <row r="52669" hidden="1" x14ac:dyDescent="0.35"/>
    <row r="52670" hidden="1" x14ac:dyDescent="0.35"/>
    <row r="52671" hidden="1" x14ac:dyDescent="0.35"/>
    <row r="52672" hidden="1" x14ac:dyDescent="0.35"/>
    <row r="52673" hidden="1" x14ac:dyDescent="0.35"/>
    <row r="52674" hidden="1" x14ac:dyDescent="0.35"/>
    <row r="52675" hidden="1" x14ac:dyDescent="0.35"/>
    <row r="52676" hidden="1" x14ac:dyDescent="0.35"/>
    <row r="52677" hidden="1" x14ac:dyDescent="0.35"/>
    <row r="52678" hidden="1" x14ac:dyDescent="0.35"/>
    <row r="52679" hidden="1" x14ac:dyDescent="0.35"/>
    <row r="52680" hidden="1" x14ac:dyDescent="0.35"/>
    <row r="52681" hidden="1" x14ac:dyDescent="0.35"/>
    <row r="52682" hidden="1" x14ac:dyDescent="0.35"/>
    <row r="52683" hidden="1" x14ac:dyDescent="0.35"/>
    <row r="52684" hidden="1" x14ac:dyDescent="0.35"/>
    <row r="52685" hidden="1" x14ac:dyDescent="0.35"/>
    <row r="52686" hidden="1" x14ac:dyDescent="0.35"/>
    <row r="52687" hidden="1" x14ac:dyDescent="0.35"/>
    <row r="52688" hidden="1" x14ac:dyDescent="0.35"/>
    <row r="52689" hidden="1" x14ac:dyDescent="0.35"/>
    <row r="52690" hidden="1" x14ac:dyDescent="0.35"/>
    <row r="52691" hidden="1" x14ac:dyDescent="0.35"/>
    <row r="52692" hidden="1" x14ac:dyDescent="0.35"/>
    <row r="52693" hidden="1" x14ac:dyDescent="0.35"/>
    <row r="52694" hidden="1" x14ac:dyDescent="0.35"/>
    <row r="52695" hidden="1" x14ac:dyDescent="0.35"/>
    <row r="52696" hidden="1" x14ac:dyDescent="0.35"/>
    <row r="52697" hidden="1" x14ac:dyDescent="0.35"/>
    <row r="52698" hidden="1" x14ac:dyDescent="0.35"/>
    <row r="52699" hidden="1" x14ac:dyDescent="0.35"/>
    <row r="52700" hidden="1" x14ac:dyDescent="0.35"/>
    <row r="52701" hidden="1" x14ac:dyDescent="0.35"/>
    <row r="52702" hidden="1" x14ac:dyDescent="0.35"/>
    <row r="52703" hidden="1" x14ac:dyDescent="0.35"/>
    <row r="52704" hidden="1" x14ac:dyDescent="0.35"/>
    <row r="52705" hidden="1" x14ac:dyDescent="0.35"/>
    <row r="52706" hidden="1" x14ac:dyDescent="0.35"/>
    <row r="52707" hidden="1" x14ac:dyDescent="0.35"/>
    <row r="52708" hidden="1" x14ac:dyDescent="0.35"/>
    <row r="52709" hidden="1" x14ac:dyDescent="0.35"/>
    <row r="52710" hidden="1" x14ac:dyDescent="0.35"/>
    <row r="52711" hidden="1" x14ac:dyDescent="0.35"/>
    <row r="52712" hidden="1" x14ac:dyDescent="0.35"/>
    <row r="52713" hidden="1" x14ac:dyDescent="0.35"/>
    <row r="52714" hidden="1" x14ac:dyDescent="0.35"/>
    <row r="52715" hidden="1" x14ac:dyDescent="0.35"/>
    <row r="52716" hidden="1" x14ac:dyDescent="0.35"/>
    <row r="52717" hidden="1" x14ac:dyDescent="0.35"/>
    <row r="52718" hidden="1" x14ac:dyDescent="0.35"/>
    <row r="52719" hidden="1" x14ac:dyDescent="0.35"/>
    <row r="52720" hidden="1" x14ac:dyDescent="0.35"/>
    <row r="52721" hidden="1" x14ac:dyDescent="0.35"/>
    <row r="52722" hidden="1" x14ac:dyDescent="0.35"/>
    <row r="52723" hidden="1" x14ac:dyDescent="0.35"/>
    <row r="52724" hidden="1" x14ac:dyDescent="0.35"/>
    <row r="52725" hidden="1" x14ac:dyDescent="0.35"/>
    <row r="52726" hidden="1" x14ac:dyDescent="0.35"/>
    <row r="52727" hidden="1" x14ac:dyDescent="0.35"/>
    <row r="52728" hidden="1" x14ac:dyDescent="0.35"/>
    <row r="52729" hidden="1" x14ac:dyDescent="0.35"/>
    <row r="52730" hidden="1" x14ac:dyDescent="0.35"/>
    <row r="52731" hidden="1" x14ac:dyDescent="0.35"/>
    <row r="52732" hidden="1" x14ac:dyDescent="0.35"/>
    <row r="52733" hidden="1" x14ac:dyDescent="0.35"/>
    <row r="52734" hidden="1" x14ac:dyDescent="0.35"/>
    <row r="52735" hidden="1" x14ac:dyDescent="0.35"/>
    <row r="52736" hidden="1" x14ac:dyDescent="0.35"/>
    <row r="52737" hidden="1" x14ac:dyDescent="0.35"/>
    <row r="52738" hidden="1" x14ac:dyDescent="0.35"/>
    <row r="52739" hidden="1" x14ac:dyDescent="0.35"/>
    <row r="52740" hidden="1" x14ac:dyDescent="0.35"/>
    <row r="52741" hidden="1" x14ac:dyDescent="0.35"/>
    <row r="52742" hidden="1" x14ac:dyDescent="0.35"/>
    <row r="52743" hidden="1" x14ac:dyDescent="0.35"/>
    <row r="52744" hidden="1" x14ac:dyDescent="0.35"/>
    <row r="52745" hidden="1" x14ac:dyDescent="0.35"/>
    <row r="52746" hidden="1" x14ac:dyDescent="0.35"/>
    <row r="52747" hidden="1" x14ac:dyDescent="0.35"/>
    <row r="52748" hidden="1" x14ac:dyDescent="0.35"/>
    <row r="52749" hidden="1" x14ac:dyDescent="0.35"/>
    <row r="52750" hidden="1" x14ac:dyDescent="0.35"/>
    <row r="52751" hidden="1" x14ac:dyDescent="0.35"/>
    <row r="52752" hidden="1" x14ac:dyDescent="0.35"/>
    <row r="52753" hidden="1" x14ac:dyDescent="0.35"/>
    <row r="52754" hidden="1" x14ac:dyDescent="0.35"/>
    <row r="52755" hidden="1" x14ac:dyDescent="0.35"/>
    <row r="52756" hidden="1" x14ac:dyDescent="0.35"/>
    <row r="52757" hidden="1" x14ac:dyDescent="0.35"/>
    <row r="52758" hidden="1" x14ac:dyDescent="0.35"/>
    <row r="52759" hidden="1" x14ac:dyDescent="0.35"/>
    <row r="52760" hidden="1" x14ac:dyDescent="0.35"/>
    <row r="52761" hidden="1" x14ac:dyDescent="0.35"/>
    <row r="52762" hidden="1" x14ac:dyDescent="0.35"/>
    <row r="52763" hidden="1" x14ac:dyDescent="0.35"/>
    <row r="52764" hidden="1" x14ac:dyDescent="0.35"/>
    <row r="52765" hidden="1" x14ac:dyDescent="0.35"/>
    <row r="52766" hidden="1" x14ac:dyDescent="0.35"/>
    <row r="52767" hidden="1" x14ac:dyDescent="0.35"/>
    <row r="52768" hidden="1" x14ac:dyDescent="0.35"/>
    <row r="52769" hidden="1" x14ac:dyDescent="0.35"/>
    <row r="52770" hidden="1" x14ac:dyDescent="0.35"/>
    <row r="52771" hidden="1" x14ac:dyDescent="0.35"/>
    <row r="52772" hidden="1" x14ac:dyDescent="0.35"/>
    <row r="52773" hidden="1" x14ac:dyDescent="0.35"/>
    <row r="52774" hidden="1" x14ac:dyDescent="0.35"/>
    <row r="52775" hidden="1" x14ac:dyDescent="0.35"/>
    <row r="52776" hidden="1" x14ac:dyDescent="0.35"/>
    <row r="52777" hidden="1" x14ac:dyDescent="0.35"/>
    <row r="52778" hidden="1" x14ac:dyDescent="0.35"/>
    <row r="52779" hidden="1" x14ac:dyDescent="0.35"/>
    <row r="52780" hidden="1" x14ac:dyDescent="0.35"/>
    <row r="52781" hidden="1" x14ac:dyDescent="0.35"/>
    <row r="52782" hidden="1" x14ac:dyDescent="0.35"/>
    <row r="52783" hidden="1" x14ac:dyDescent="0.35"/>
    <row r="52784" hidden="1" x14ac:dyDescent="0.35"/>
    <row r="52785" hidden="1" x14ac:dyDescent="0.35"/>
    <row r="52786" hidden="1" x14ac:dyDescent="0.35"/>
    <row r="52787" hidden="1" x14ac:dyDescent="0.35"/>
    <row r="52788" hidden="1" x14ac:dyDescent="0.35"/>
    <row r="52789" hidden="1" x14ac:dyDescent="0.35"/>
    <row r="52790" hidden="1" x14ac:dyDescent="0.35"/>
    <row r="52791" hidden="1" x14ac:dyDescent="0.35"/>
    <row r="52792" hidden="1" x14ac:dyDescent="0.35"/>
    <row r="52793" hidden="1" x14ac:dyDescent="0.35"/>
    <row r="52794" hidden="1" x14ac:dyDescent="0.35"/>
    <row r="52795" hidden="1" x14ac:dyDescent="0.35"/>
    <row r="52796" hidden="1" x14ac:dyDescent="0.35"/>
    <row r="52797" hidden="1" x14ac:dyDescent="0.35"/>
    <row r="52798" hidden="1" x14ac:dyDescent="0.35"/>
    <row r="52799" hidden="1" x14ac:dyDescent="0.35"/>
    <row r="52800" hidden="1" x14ac:dyDescent="0.35"/>
    <row r="52801" hidden="1" x14ac:dyDescent="0.35"/>
    <row r="52802" hidden="1" x14ac:dyDescent="0.35"/>
    <row r="52803" hidden="1" x14ac:dyDescent="0.35"/>
    <row r="52804" hidden="1" x14ac:dyDescent="0.35"/>
    <row r="52805" hidden="1" x14ac:dyDescent="0.35"/>
    <row r="52806" hidden="1" x14ac:dyDescent="0.35"/>
    <row r="52807" hidden="1" x14ac:dyDescent="0.35"/>
    <row r="52808" hidden="1" x14ac:dyDescent="0.35"/>
    <row r="52809" hidden="1" x14ac:dyDescent="0.35"/>
    <row r="52810" hidden="1" x14ac:dyDescent="0.35"/>
    <row r="52811" hidden="1" x14ac:dyDescent="0.35"/>
    <row r="52812" hidden="1" x14ac:dyDescent="0.35"/>
    <row r="52813" hidden="1" x14ac:dyDescent="0.35"/>
    <row r="52814" hidden="1" x14ac:dyDescent="0.35"/>
    <row r="52815" hidden="1" x14ac:dyDescent="0.35"/>
    <row r="52816" hidden="1" x14ac:dyDescent="0.35"/>
    <row r="52817" hidden="1" x14ac:dyDescent="0.35"/>
    <row r="52818" hidden="1" x14ac:dyDescent="0.35"/>
    <row r="52819" hidden="1" x14ac:dyDescent="0.35"/>
    <row r="52820" hidden="1" x14ac:dyDescent="0.35"/>
    <row r="52821" hidden="1" x14ac:dyDescent="0.35"/>
    <row r="52822" hidden="1" x14ac:dyDescent="0.35"/>
    <row r="52823" hidden="1" x14ac:dyDescent="0.35"/>
    <row r="52824" hidden="1" x14ac:dyDescent="0.35"/>
    <row r="52825" hidden="1" x14ac:dyDescent="0.35"/>
    <row r="52826" hidden="1" x14ac:dyDescent="0.35"/>
    <row r="52827" hidden="1" x14ac:dyDescent="0.35"/>
    <row r="52828" hidden="1" x14ac:dyDescent="0.35"/>
    <row r="52829" hidden="1" x14ac:dyDescent="0.35"/>
    <row r="52830" hidden="1" x14ac:dyDescent="0.35"/>
    <row r="52831" hidden="1" x14ac:dyDescent="0.35"/>
    <row r="52832" hidden="1" x14ac:dyDescent="0.35"/>
    <row r="52833" hidden="1" x14ac:dyDescent="0.35"/>
    <row r="52834" hidden="1" x14ac:dyDescent="0.35"/>
    <row r="52835" hidden="1" x14ac:dyDescent="0.35"/>
    <row r="52836" hidden="1" x14ac:dyDescent="0.35"/>
    <row r="52837" hidden="1" x14ac:dyDescent="0.35"/>
    <row r="52838" hidden="1" x14ac:dyDescent="0.35"/>
    <row r="52839" hidden="1" x14ac:dyDescent="0.35"/>
    <row r="52840" hidden="1" x14ac:dyDescent="0.35"/>
    <row r="52841" hidden="1" x14ac:dyDescent="0.35"/>
    <row r="52842" hidden="1" x14ac:dyDescent="0.35"/>
    <row r="52843" hidden="1" x14ac:dyDescent="0.35"/>
    <row r="52844" hidden="1" x14ac:dyDescent="0.35"/>
    <row r="52845" hidden="1" x14ac:dyDescent="0.35"/>
    <row r="52846" hidden="1" x14ac:dyDescent="0.35"/>
    <row r="52847" hidden="1" x14ac:dyDescent="0.35"/>
    <row r="52848" hidden="1" x14ac:dyDescent="0.35"/>
    <row r="52849" hidden="1" x14ac:dyDescent="0.35"/>
    <row r="52850" hidden="1" x14ac:dyDescent="0.35"/>
    <row r="52851" hidden="1" x14ac:dyDescent="0.35"/>
    <row r="52852" hidden="1" x14ac:dyDescent="0.35"/>
    <row r="52853" hidden="1" x14ac:dyDescent="0.35"/>
    <row r="52854" hidden="1" x14ac:dyDescent="0.35"/>
    <row r="52855" hidden="1" x14ac:dyDescent="0.35"/>
    <row r="52856" hidden="1" x14ac:dyDescent="0.35"/>
    <row r="52857" hidden="1" x14ac:dyDescent="0.35"/>
    <row r="52858" hidden="1" x14ac:dyDescent="0.35"/>
    <row r="52859" hidden="1" x14ac:dyDescent="0.35"/>
    <row r="52860" hidden="1" x14ac:dyDescent="0.35"/>
    <row r="52861" hidden="1" x14ac:dyDescent="0.35"/>
    <row r="52862" hidden="1" x14ac:dyDescent="0.35"/>
    <row r="52863" hidden="1" x14ac:dyDescent="0.35"/>
    <row r="52864" hidden="1" x14ac:dyDescent="0.35"/>
    <row r="52865" hidden="1" x14ac:dyDescent="0.35"/>
    <row r="52866" hidden="1" x14ac:dyDescent="0.35"/>
    <row r="52867" hidden="1" x14ac:dyDescent="0.35"/>
    <row r="52868" hidden="1" x14ac:dyDescent="0.35"/>
    <row r="52869" hidden="1" x14ac:dyDescent="0.35"/>
    <row r="52870" hidden="1" x14ac:dyDescent="0.35"/>
    <row r="52871" hidden="1" x14ac:dyDescent="0.35"/>
    <row r="52872" hidden="1" x14ac:dyDescent="0.35"/>
    <row r="52873" hidden="1" x14ac:dyDescent="0.35"/>
    <row r="52874" hidden="1" x14ac:dyDescent="0.35"/>
    <row r="52875" hidden="1" x14ac:dyDescent="0.35"/>
    <row r="52876" hidden="1" x14ac:dyDescent="0.35"/>
    <row r="52877" hidden="1" x14ac:dyDescent="0.35"/>
    <row r="52878" hidden="1" x14ac:dyDescent="0.35"/>
    <row r="52879" hidden="1" x14ac:dyDescent="0.35"/>
    <row r="52880" hidden="1" x14ac:dyDescent="0.35"/>
    <row r="52881" hidden="1" x14ac:dyDescent="0.35"/>
    <row r="52882" hidden="1" x14ac:dyDescent="0.35"/>
    <row r="52883" hidden="1" x14ac:dyDescent="0.35"/>
    <row r="52884" hidden="1" x14ac:dyDescent="0.35"/>
    <row r="52885" hidden="1" x14ac:dyDescent="0.35"/>
    <row r="52886" hidden="1" x14ac:dyDescent="0.35"/>
    <row r="52887" hidden="1" x14ac:dyDescent="0.35"/>
    <row r="52888" hidden="1" x14ac:dyDescent="0.35"/>
    <row r="52889" hidden="1" x14ac:dyDescent="0.35"/>
    <row r="52890" hidden="1" x14ac:dyDescent="0.35"/>
    <row r="52891" hidden="1" x14ac:dyDescent="0.35"/>
    <row r="52892" hidden="1" x14ac:dyDescent="0.35"/>
    <row r="52893" hidden="1" x14ac:dyDescent="0.35"/>
    <row r="52894" hidden="1" x14ac:dyDescent="0.35"/>
    <row r="52895" hidden="1" x14ac:dyDescent="0.35"/>
    <row r="52896" hidden="1" x14ac:dyDescent="0.35"/>
    <row r="52897" hidden="1" x14ac:dyDescent="0.35"/>
    <row r="52898" hidden="1" x14ac:dyDescent="0.35"/>
    <row r="52899" hidden="1" x14ac:dyDescent="0.35"/>
    <row r="52900" hidden="1" x14ac:dyDescent="0.35"/>
    <row r="52901" hidden="1" x14ac:dyDescent="0.35"/>
    <row r="52902" hidden="1" x14ac:dyDescent="0.35"/>
    <row r="52903" hidden="1" x14ac:dyDescent="0.35"/>
    <row r="52904" hidden="1" x14ac:dyDescent="0.35"/>
    <row r="52905" hidden="1" x14ac:dyDescent="0.35"/>
    <row r="52906" hidden="1" x14ac:dyDescent="0.35"/>
    <row r="52907" hidden="1" x14ac:dyDescent="0.35"/>
    <row r="52908" hidden="1" x14ac:dyDescent="0.35"/>
    <row r="52909" hidden="1" x14ac:dyDescent="0.35"/>
    <row r="52910" hidden="1" x14ac:dyDescent="0.35"/>
    <row r="52911" hidden="1" x14ac:dyDescent="0.35"/>
    <row r="52912" hidden="1" x14ac:dyDescent="0.35"/>
    <row r="52913" hidden="1" x14ac:dyDescent="0.35"/>
    <row r="52914" hidden="1" x14ac:dyDescent="0.35"/>
    <row r="52915" hidden="1" x14ac:dyDescent="0.35"/>
    <row r="52916" hidden="1" x14ac:dyDescent="0.35"/>
    <row r="52917" hidden="1" x14ac:dyDescent="0.35"/>
    <row r="52918" hidden="1" x14ac:dyDescent="0.35"/>
    <row r="52919" hidden="1" x14ac:dyDescent="0.35"/>
    <row r="52920" hidden="1" x14ac:dyDescent="0.35"/>
    <row r="52921" hidden="1" x14ac:dyDescent="0.35"/>
    <row r="52922" hidden="1" x14ac:dyDescent="0.35"/>
    <row r="52923" hidden="1" x14ac:dyDescent="0.35"/>
    <row r="52924" hidden="1" x14ac:dyDescent="0.35"/>
    <row r="52925" hidden="1" x14ac:dyDescent="0.35"/>
    <row r="52926" hidden="1" x14ac:dyDescent="0.35"/>
    <row r="52927" hidden="1" x14ac:dyDescent="0.35"/>
    <row r="52928" hidden="1" x14ac:dyDescent="0.35"/>
    <row r="52929" hidden="1" x14ac:dyDescent="0.35"/>
    <row r="52930" hidden="1" x14ac:dyDescent="0.35"/>
    <row r="52931" hidden="1" x14ac:dyDescent="0.35"/>
    <row r="52932" hidden="1" x14ac:dyDescent="0.35"/>
    <row r="52933" hidden="1" x14ac:dyDescent="0.35"/>
    <row r="52934" hidden="1" x14ac:dyDescent="0.35"/>
    <row r="52935" hidden="1" x14ac:dyDescent="0.35"/>
    <row r="52936" hidden="1" x14ac:dyDescent="0.35"/>
    <row r="52937" hidden="1" x14ac:dyDescent="0.35"/>
    <row r="52938" hidden="1" x14ac:dyDescent="0.35"/>
    <row r="52939" hidden="1" x14ac:dyDescent="0.35"/>
    <row r="52940" hidden="1" x14ac:dyDescent="0.35"/>
    <row r="52941" hidden="1" x14ac:dyDescent="0.35"/>
    <row r="52942" hidden="1" x14ac:dyDescent="0.35"/>
    <row r="52943" hidden="1" x14ac:dyDescent="0.35"/>
    <row r="52944" hidden="1" x14ac:dyDescent="0.35"/>
    <row r="52945" hidden="1" x14ac:dyDescent="0.35"/>
    <row r="52946" hidden="1" x14ac:dyDescent="0.35"/>
    <row r="52947" hidden="1" x14ac:dyDescent="0.35"/>
    <row r="52948" hidden="1" x14ac:dyDescent="0.35"/>
    <row r="52949" hidden="1" x14ac:dyDescent="0.35"/>
    <row r="52950" hidden="1" x14ac:dyDescent="0.35"/>
    <row r="52951" hidden="1" x14ac:dyDescent="0.35"/>
    <row r="52952" hidden="1" x14ac:dyDescent="0.35"/>
    <row r="52953" hidden="1" x14ac:dyDescent="0.35"/>
    <row r="52954" hidden="1" x14ac:dyDescent="0.35"/>
    <row r="52955" hidden="1" x14ac:dyDescent="0.35"/>
    <row r="52956" hidden="1" x14ac:dyDescent="0.35"/>
    <row r="52957" hidden="1" x14ac:dyDescent="0.35"/>
    <row r="52958" hidden="1" x14ac:dyDescent="0.35"/>
    <row r="52959" hidden="1" x14ac:dyDescent="0.35"/>
    <row r="52960" hidden="1" x14ac:dyDescent="0.35"/>
    <row r="52961" hidden="1" x14ac:dyDescent="0.35"/>
    <row r="52962" hidden="1" x14ac:dyDescent="0.35"/>
    <row r="52963" hidden="1" x14ac:dyDescent="0.35"/>
    <row r="52964" hidden="1" x14ac:dyDescent="0.35"/>
    <row r="52965" hidden="1" x14ac:dyDescent="0.35"/>
    <row r="52966" hidden="1" x14ac:dyDescent="0.35"/>
    <row r="52967" hidden="1" x14ac:dyDescent="0.35"/>
    <row r="52968" hidden="1" x14ac:dyDescent="0.35"/>
    <row r="52969" hidden="1" x14ac:dyDescent="0.35"/>
    <row r="52970" hidden="1" x14ac:dyDescent="0.35"/>
    <row r="52971" hidden="1" x14ac:dyDescent="0.35"/>
    <row r="52972" hidden="1" x14ac:dyDescent="0.35"/>
    <row r="52973" hidden="1" x14ac:dyDescent="0.35"/>
    <row r="52974" hidden="1" x14ac:dyDescent="0.35"/>
    <row r="52975" hidden="1" x14ac:dyDescent="0.35"/>
    <row r="52976" hidden="1" x14ac:dyDescent="0.35"/>
    <row r="52977" hidden="1" x14ac:dyDescent="0.35"/>
    <row r="52978" hidden="1" x14ac:dyDescent="0.35"/>
    <row r="52979" hidden="1" x14ac:dyDescent="0.35"/>
    <row r="52980" hidden="1" x14ac:dyDescent="0.35"/>
    <row r="52981" hidden="1" x14ac:dyDescent="0.35"/>
    <row r="52982" hidden="1" x14ac:dyDescent="0.35"/>
    <row r="52983" hidden="1" x14ac:dyDescent="0.35"/>
    <row r="52984" hidden="1" x14ac:dyDescent="0.35"/>
    <row r="52985" hidden="1" x14ac:dyDescent="0.35"/>
    <row r="52986" hidden="1" x14ac:dyDescent="0.35"/>
    <row r="52987" hidden="1" x14ac:dyDescent="0.35"/>
    <row r="52988" hidden="1" x14ac:dyDescent="0.35"/>
    <row r="52989" hidden="1" x14ac:dyDescent="0.35"/>
    <row r="52990" hidden="1" x14ac:dyDescent="0.35"/>
    <row r="52991" hidden="1" x14ac:dyDescent="0.35"/>
    <row r="52992" hidden="1" x14ac:dyDescent="0.35"/>
    <row r="52993" hidden="1" x14ac:dyDescent="0.35"/>
    <row r="52994" hidden="1" x14ac:dyDescent="0.35"/>
    <row r="52995" hidden="1" x14ac:dyDescent="0.35"/>
    <row r="52996" hidden="1" x14ac:dyDescent="0.35"/>
    <row r="52997" hidden="1" x14ac:dyDescent="0.35"/>
    <row r="52998" hidden="1" x14ac:dyDescent="0.35"/>
    <row r="52999" hidden="1" x14ac:dyDescent="0.35"/>
    <row r="53000" hidden="1" x14ac:dyDescent="0.35"/>
    <row r="53001" hidden="1" x14ac:dyDescent="0.35"/>
    <row r="53002" hidden="1" x14ac:dyDescent="0.35"/>
    <row r="53003" hidden="1" x14ac:dyDescent="0.35"/>
    <row r="53004" hidden="1" x14ac:dyDescent="0.35"/>
    <row r="53005" hidden="1" x14ac:dyDescent="0.35"/>
    <row r="53006" hidden="1" x14ac:dyDescent="0.35"/>
    <row r="53007" hidden="1" x14ac:dyDescent="0.35"/>
    <row r="53008" hidden="1" x14ac:dyDescent="0.35"/>
    <row r="53009" hidden="1" x14ac:dyDescent="0.35"/>
    <row r="53010" hidden="1" x14ac:dyDescent="0.35"/>
    <row r="53011" hidden="1" x14ac:dyDescent="0.35"/>
    <row r="53012" hidden="1" x14ac:dyDescent="0.35"/>
    <row r="53013" hidden="1" x14ac:dyDescent="0.35"/>
    <row r="53014" hidden="1" x14ac:dyDescent="0.35"/>
    <row r="53015" hidden="1" x14ac:dyDescent="0.35"/>
    <row r="53016" hidden="1" x14ac:dyDescent="0.35"/>
    <row r="53017" hidden="1" x14ac:dyDescent="0.35"/>
    <row r="53018" hidden="1" x14ac:dyDescent="0.35"/>
    <row r="53019" hidden="1" x14ac:dyDescent="0.35"/>
    <row r="53020" hidden="1" x14ac:dyDescent="0.35"/>
    <row r="53021" hidden="1" x14ac:dyDescent="0.35"/>
    <row r="53022" hidden="1" x14ac:dyDescent="0.35"/>
    <row r="53023" hidden="1" x14ac:dyDescent="0.35"/>
    <row r="53024" hidden="1" x14ac:dyDescent="0.35"/>
    <row r="53025" hidden="1" x14ac:dyDescent="0.35"/>
    <row r="53026" hidden="1" x14ac:dyDescent="0.35"/>
    <row r="53027" hidden="1" x14ac:dyDescent="0.35"/>
    <row r="53028" hidden="1" x14ac:dyDescent="0.35"/>
    <row r="53029" hidden="1" x14ac:dyDescent="0.35"/>
    <row r="53030" hidden="1" x14ac:dyDescent="0.35"/>
    <row r="53031" hidden="1" x14ac:dyDescent="0.35"/>
    <row r="53032" hidden="1" x14ac:dyDescent="0.35"/>
    <row r="53033" hidden="1" x14ac:dyDescent="0.35"/>
    <row r="53034" hidden="1" x14ac:dyDescent="0.35"/>
    <row r="53035" hidden="1" x14ac:dyDescent="0.35"/>
    <row r="53036" hidden="1" x14ac:dyDescent="0.35"/>
    <row r="53037" hidden="1" x14ac:dyDescent="0.35"/>
    <row r="53038" hidden="1" x14ac:dyDescent="0.35"/>
    <row r="53039" hidden="1" x14ac:dyDescent="0.35"/>
    <row r="53040" hidden="1" x14ac:dyDescent="0.35"/>
    <row r="53041" hidden="1" x14ac:dyDescent="0.35"/>
    <row r="53042" hidden="1" x14ac:dyDescent="0.35"/>
    <row r="53043" hidden="1" x14ac:dyDescent="0.35"/>
    <row r="53044" hidden="1" x14ac:dyDescent="0.35"/>
    <row r="53045" hidden="1" x14ac:dyDescent="0.35"/>
    <row r="53046" hidden="1" x14ac:dyDescent="0.35"/>
    <row r="53047" hidden="1" x14ac:dyDescent="0.35"/>
    <row r="53048" hidden="1" x14ac:dyDescent="0.35"/>
    <row r="53049" hidden="1" x14ac:dyDescent="0.35"/>
    <row r="53050" hidden="1" x14ac:dyDescent="0.35"/>
    <row r="53051" hidden="1" x14ac:dyDescent="0.35"/>
    <row r="53052" hidden="1" x14ac:dyDescent="0.35"/>
    <row r="53053" hidden="1" x14ac:dyDescent="0.35"/>
    <row r="53054" hidden="1" x14ac:dyDescent="0.35"/>
    <row r="53055" hidden="1" x14ac:dyDescent="0.35"/>
    <row r="53056" hidden="1" x14ac:dyDescent="0.35"/>
    <row r="53057" hidden="1" x14ac:dyDescent="0.35"/>
    <row r="53058" hidden="1" x14ac:dyDescent="0.35"/>
    <row r="53059" hidden="1" x14ac:dyDescent="0.35"/>
    <row r="53060" hidden="1" x14ac:dyDescent="0.35"/>
    <row r="53061" hidden="1" x14ac:dyDescent="0.35"/>
    <row r="53062" hidden="1" x14ac:dyDescent="0.35"/>
    <row r="53063" hidden="1" x14ac:dyDescent="0.35"/>
    <row r="53064" hidden="1" x14ac:dyDescent="0.35"/>
    <row r="53065" hidden="1" x14ac:dyDescent="0.35"/>
    <row r="53066" hidden="1" x14ac:dyDescent="0.35"/>
    <row r="53067" hidden="1" x14ac:dyDescent="0.35"/>
    <row r="53068" hidden="1" x14ac:dyDescent="0.35"/>
    <row r="53069" hidden="1" x14ac:dyDescent="0.35"/>
    <row r="53070" hidden="1" x14ac:dyDescent="0.35"/>
    <row r="53071" hidden="1" x14ac:dyDescent="0.35"/>
    <row r="53072" hidden="1" x14ac:dyDescent="0.35"/>
    <row r="53073" hidden="1" x14ac:dyDescent="0.35"/>
    <row r="53074" hidden="1" x14ac:dyDescent="0.35"/>
    <row r="53075" hidden="1" x14ac:dyDescent="0.35"/>
    <row r="53076" hidden="1" x14ac:dyDescent="0.35"/>
    <row r="53077" hidden="1" x14ac:dyDescent="0.35"/>
    <row r="53078" hidden="1" x14ac:dyDescent="0.35"/>
    <row r="53079" hidden="1" x14ac:dyDescent="0.35"/>
    <row r="53080" hidden="1" x14ac:dyDescent="0.35"/>
    <row r="53081" hidden="1" x14ac:dyDescent="0.35"/>
    <row r="53082" hidden="1" x14ac:dyDescent="0.35"/>
    <row r="53083" hidden="1" x14ac:dyDescent="0.35"/>
    <row r="53084" hidden="1" x14ac:dyDescent="0.35"/>
    <row r="53085" hidden="1" x14ac:dyDescent="0.35"/>
    <row r="53086" hidden="1" x14ac:dyDescent="0.35"/>
    <row r="53087" hidden="1" x14ac:dyDescent="0.35"/>
    <row r="53088" hidden="1" x14ac:dyDescent="0.35"/>
    <row r="53089" hidden="1" x14ac:dyDescent="0.35"/>
    <row r="53090" hidden="1" x14ac:dyDescent="0.35"/>
    <row r="53091" hidden="1" x14ac:dyDescent="0.35"/>
    <row r="53092" hidden="1" x14ac:dyDescent="0.35"/>
    <row r="53093" hidden="1" x14ac:dyDescent="0.35"/>
    <row r="53094" hidden="1" x14ac:dyDescent="0.35"/>
    <row r="53095" hidden="1" x14ac:dyDescent="0.35"/>
    <row r="53096" hidden="1" x14ac:dyDescent="0.35"/>
    <row r="53097" hidden="1" x14ac:dyDescent="0.35"/>
    <row r="53098" hidden="1" x14ac:dyDescent="0.35"/>
    <row r="53099" hidden="1" x14ac:dyDescent="0.35"/>
    <row r="53100" hidden="1" x14ac:dyDescent="0.35"/>
    <row r="53101" hidden="1" x14ac:dyDescent="0.35"/>
    <row r="53102" hidden="1" x14ac:dyDescent="0.35"/>
    <row r="53103" hidden="1" x14ac:dyDescent="0.35"/>
    <row r="53104" hidden="1" x14ac:dyDescent="0.35"/>
    <row r="53105" hidden="1" x14ac:dyDescent="0.35"/>
    <row r="53106" hidden="1" x14ac:dyDescent="0.35"/>
    <row r="53107" hidden="1" x14ac:dyDescent="0.35"/>
    <row r="53108" hidden="1" x14ac:dyDescent="0.35"/>
    <row r="53109" hidden="1" x14ac:dyDescent="0.35"/>
    <row r="53110" hidden="1" x14ac:dyDescent="0.35"/>
    <row r="53111" hidden="1" x14ac:dyDescent="0.35"/>
    <row r="53112" hidden="1" x14ac:dyDescent="0.35"/>
    <row r="53113" hidden="1" x14ac:dyDescent="0.35"/>
    <row r="53114" hidden="1" x14ac:dyDescent="0.35"/>
    <row r="53115" hidden="1" x14ac:dyDescent="0.35"/>
    <row r="53116" hidden="1" x14ac:dyDescent="0.35"/>
    <row r="53117" hidden="1" x14ac:dyDescent="0.35"/>
    <row r="53118" hidden="1" x14ac:dyDescent="0.35"/>
    <row r="53119" hidden="1" x14ac:dyDescent="0.35"/>
    <row r="53120" hidden="1" x14ac:dyDescent="0.35"/>
    <row r="53121" hidden="1" x14ac:dyDescent="0.35"/>
    <row r="53122" hidden="1" x14ac:dyDescent="0.35"/>
    <row r="53123" hidden="1" x14ac:dyDescent="0.35"/>
    <row r="53124" hidden="1" x14ac:dyDescent="0.35"/>
    <row r="53125" hidden="1" x14ac:dyDescent="0.35"/>
    <row r="53126" hidden="1" x14ac:dyDescent="0.35"/>
    <row r="53127" hidden="1" x14ac:dyDescent="0.35"/>
    <row r="53128" hidden="1" x14ac:dyDescent="0.35"/>
    <row r="53129" hidden="1" x14ac:dyDescent="0.35"/>
    <row r="53130" hidden="1" x14ac:dyDescent="0.35"/>
    <row r="53131" hidden="1" x14ac:dyDescent="0.35"/>
    <row r="53132" hidden="1" x14ac:dyDescent="0.35"/>
    <row r="53133" hidden="1" x14ac:dyDescent="0.35"/>
    <row r="53134" hidden="1" x14ac:dyDescent="0.35"/>
    <row r="53135" hidden="1" x14ac:dyDescent="0.35"/>
    <row r="53136" hidden="1" x14ac:dyDescent="0.35"/>
    <row r="53137" hidden="1" x14ac:dyDescent="0.35"/>
    <row r="53138" hidden="1" x14ac:dyDescent="0.35"/>
    <row r="53139" hidden="1" x14ac:dyDescent="0.35"/>
    <row r="53140" hidden="1" x14ac:dyDescent="0.35"/>
    <row r="53141" hidden="1" x14ac:dyDescent="0.35"/>
    <row r="53142" hidden="1" x14ac:dyDescent="0.35"/>
    <row r="53143" hidden="1" x14ac:dyDescent="0.35"/>
    <row r="53144" hidden="1" x14ac:dyDescent="0.35"/>
    <row r="53145" hidden="1" x14ac:dyDescent="0.35"/>
    <row r="53146" hidden="1" x14ac:dyDescent="0.35"/>
    <row r="53147" hidden="1" x14ac:dyDescent="0.35"/>
    <row r="53148" hidden="1" x14ac:dyDescent="0.35"/>
    <row r="53149" hidden="1" x14ac:dyDescent="0.35"/>
    <row r="53150" hidden="1" x14ac:dyDescent="0.35"/>
    <row r="53151" hidden="1" x14ac:dyDescent="0.35"/>
    <row r="53152" hidden="1" x14ac:dyDescent="0.35"/>
    <row r="53153" hidden="1" x14ac:dyDescent="0.35"/>
    <row r="53154" hidden="1" x14ac:dyDescent="0.35"/>
    <row r="53155" hidden="1" x14ac:dyDescent="0.35"/>
    <row r="53156" hidden="1" x14ac:dyDescent="0.35"/>
    <row r="53157" hidden="1" x14ac:dyDescent="0.35"/>
    <row r="53158" hidden="1" x14ac:dyDescent="0.35"/>
    <row r="53159" hidden="1" x14ac:dyDescent="0.35"/>
    <row r="53160" hidden="1" x14ac:dyDescent="0.35"/>
    <row r="53161" hidden="1" x14ac:dyDescent="0.35"/>
    <row r="53162" hidden="1" x14ac:dyDescent="0.35"/>
    <row r="53163" hidden="1" x14ac:dyDescent="0.35"/>
    <row r="53164" hidden="1" x14ac:dyDescent="0.35"/>
    <row r="53165" hidden="1" x14ac:dyDescent="0.35"/>
    <row r="53166" hidden="1" x14ac:dyDescent="0.35"/>
    <row r="53167" hidden="1" x14ac:dyDescent="0.35"/>
    <row r="53168" hidden="1" x14ac:dyDescent="0.35"/>
    <row r="53169" hidden="1" x14ac:dyDescent="0.35"/>
    <row r="53170" hidden="1" x14ac:dyDescent="0.35"/>
    <row r="53171" hidden="1" x14ac:dyDescent="0.35"/>
    <row r="53172" hidden="1" x14ac:dyDescent="0.35"/>
    <row r="53173" hidden="1" x14ac:dyDescent="0.35"/>
    <row r="53174" hidden="1" x14ac:dyDescent="0.35"/>
    <row r="53175" hidden="1" x14ac:dyDescent="0.35"/>
    <row r="53176" hidden="1" x14ac:dyDescent="0.35"/>
    <row r="53177" hidden="1" x14ac:dyDescent="0.35"/>
    <row r="53178" hidden="1" x14ac:dyDescent="0.35"/>
    <row r="53179" hidden="1" x14ac:dyDescent="0.35"/>
    <row r="53180" hidden="1" x14ac:dyDescent="0.35"/>
    <row r="53181" hidden="1" x14ac:dyDescent="0.35"/>
    <row r="53182" hidden="1" x14ac:dyDescent="0.35"/>
    <row r="53183" hidden="1" x14ac:dyDescent="0.35"/>
    <row r="53184" hidden="1" x14ac:dyDescent="0.35"/>
    <row r="53185" hidden="1" x14ac:dyDescent="0.35"/>
    <row r="53186" hidden="1" x14ac:dyDescent="0.35"/>
    <row r="53187" hidden="1" x14ac:dyDescent="0.35"/>
    <row r="53188" hidden="1" x14ac:dyDescent="0.35"/>
    <row r="53189" hidden="1" x14ac:dyDescent="0.35"/>
    <row r="53190" hidden="1" x14ac:dyDescent="0.35"/>
    <row r="53191" hidden="1" x14ac:dyDescent="0.35"/>
    <row r="53192" hidden="1" x14ac:dyDescent="0.35"/>
    <row r="53193" hidden="1" x14ac:dyDescent="0.35"/>
    <row r="53194" hidden="1" x14ac:dyDescent="0.35"/>
    <row r="53195" hidden="1" x14ac:dyDescent="0.35"/>
    <row r="53196" hidden="1" x14ac:dyDescent="0.35"/>
    <row r="53197" hidden="1" x14ac:dyDescent="0.35"/>
    <row r="53198" hidden="1" x14ac:dyDescent="0.35"/>
    <row r="53199" hidden="1" x14ac:dyDescent="0.35"/>
    <row r="53200" hidden="1" x14ac:dyDescent="0.35"/>
    <row r="53201" hidden="1" x14ac:dyDescent="0.35"/>
    <row r="53202" hidden="1" x14ac:dyDescent="0.35"/>
    <row r="53203" hidden="1" x14ac:dyDescent="0.35"/>
    <row r="53204" hidden="1" x14ac:dyDescent="0.35"/>
    <row r="53205" hidden="1" x14ac:dyDescent="0.35"/>
    <row r="53206" hidden="1" x14ac:dyDescent="0.35"/>
    <row r="53207" hidden="1" x14ac:dyDescent="0.35"/>
    <row r="53208" hidden="1" x14ac:dyDescent="0.35"/>
    <row r="53209" hidden="1" x14ac:dyDescent="0.35"/>
    <row r="53210" hidden="1" x14ac:dyDescent="0.35"/>
    <row r="53211" hidden="1" x14ac:dyDescent="0.35"/>
    <row r="53212" hidden="1" x14ac:dyDescent="0.35"/>
    <row r="53213" hidden="1" x14ac:dyDescent="0.35"/>
    <row r="53214" hidden="1" x14ac:dyDescent="0.35"/>
    <row r="53215" hidden="1" x14ac:dyDescent="0.35"/>
    <row r="53216" hidden="1" x14ac:dyDescent="0.35"/>
    <row r="53217" hidden="1" x14ac:dyDescent="0.35"/>
    <row r="53218" hidden="1" x14ac:dyDescent="0.35"/>
    <row r="53219" hidden="1" x14ac:dyDescent="0.35"/>
    <row r="53220" hidden="1" x14ac:dyDescent="0.35"/>
    <row r="53221" hidden="1" x14ac:dyDescent="0.35"/>
    <row r="53222" hidden="1" x14ac:dyDescent="0.35"/>
    <row r="53223" hidden="1" x14ac:dyDescent="0.35"/>
    <row r="53224" hidden="1" x14ac:dyDescent="0.35"/>
    <row r="53225" hidden="1" x14ac:dyDescent="0.35"/>
    <row r="53226" hidden="1" x14ac:dyDescent="0.35"/>
    <row r="53227" hidden="1" x14ac:dyDescent="0.35"/>
    <row r="53228" hidden="1" x14ac:dyDescent="0.35"/>
    <row r="53229" hidden="1" x14ac:dyDescent="0.35"/>
    <row r="53230" hidden="1" x14ac:dyDescent="0.35"/>
    <row r="53231" hidden="1" x14ac:dyDescent="0.35"/>
    <row r="53232" hidden="1" x14ac:dyDescent="0.35"/>
    <row r="53233" hidden="1" x14ac:dyDescent="0.35"/>
    <row r="53234" hidden="1" x14ac:dyDescent="0.35"/>
    <row r="53235" hidden="1" x14ac:dyDescent="0.35"/>
    <row r="53236" hidden="1" x14ac:dyDescent="0.35"/>
    <row r="53237" hidden="1" x14ac:dyDescent="0.35"/>
    <row r="53238" hidden="1" x14ac:dyDescent="0.35"/>
    <row r="53239" hidden="1" x14ac:dyDescent="0.35"/>
    <row r="53240" hidden="1" x14ac:dyDescent="0.35"/>
    <row r="53241" hidden="1" x14ac:dyDescent="0.35"/>
    <row r="53242" hidden="1" x14ac:dyDescent="0.35"/>
    <row r="53243" hidden="1" x14ac:dyDescent="0.35"/>
    <row r="53244" hidden="1" x14ac:dyDescent="0.35"/>
    <row r="53245" hidden="1" x14ac:dyDescent="0.35"/>
    <row r="53246" hidden="1" x14ac:dyDescent="0.35"/>
    <row r="53247" hidden="1" x14ac:dyDescent="0.35"/>
    <row r="53248" hidden="1" x14ac:dyDescent="0.35"/>
    <row r="53249" hidden="1" x14ac:dyDescent="0.35"/>
    <row r="53250" hidden="1" x14ac:dyDescent="0.35"/>
    <row r="53251" hidden="1" x14ac:dyDescent="0.35"/>
    <row r="53252" hidden="1" x14ac:dyDescent="0.35"/>
    <row r="53253" hidden="1" x14ac:dyDescent="0.35"/>
    <row r="53254" hidden="1" x14ac:dyDescent="0.35"/>
    <row r="53255" hidden="1" x14ac:dyDescent="0.35"/>
    <row r="53256" hidden="1" x14ac:dyDescent="0.35"/>
    <row r="53257" hidden="1" x14ac:dyDescent="0.35"/>
    <row r="53258" hidden="1" x14ac:dyDescent="0.35"/>
    <row r="53259" hidden="1" x14ac:dyDescent="0.35"/>
    <row r="53260" hidden="1" x14ac:dyDescent="0.35"/>
    <row r="53261" hidden="1" x14ac:dyDescent="0.35"/>
    <row r="53262" hidden="1" x14ac:dyDescent="0.35"/>
    <row r="53263" hidden="1" x14ac:dyDescent="0.35"/>
    <row r="53264" hidden="1" x14ac:dyDescent="0.35"/>
    <row r="53265" hidden="1" x14ac:dyDescent="0.35"/>
    <row r="53266" hidden="1" x14ac:dyDescent="0.35"/>
    <row r="53267" hidden="1" x14ac:dyDescent="0.35"/>
    <row r="53268" hidden="1" x14ac:dyDescent="0.35"/>
    <row r="53269" hidden="1" x14ac:dyDescent="0.35"/>
    <row r="53270" hidden="1" x14ac:dyDescent="0.35"/>
    <row r="53271" hidden="1" x14ac:dyDescent="0.35"/>
    <row r="53272" hidden="1" x14ac:dyDescent="0.35"/>
    <row r="53273" hidden="1" x14ac:dyDescent="0.35"/>
    <row r="53274" hidden="1" x14ac:dyDescent="0.35"/>
    <row r="53275" hidden="1" x14ac:dyDescent="0.35"/>
    <row r="53276" hidden="1" x14ac:dyDescent="0.35"/>
    <row r="53277" hidden="1" x14ac:dyDescent="0.35"/>
    <row r="53278" hidden="1" x14ac:dyDescent="0.35"/>
    <row r="53279" hidden="1" x14ac:dyDescent="0.35"/>
    <row r="53280" hidden="1" x14ac:dyDescent="0.35"/>
    <row r="53281" hidden="1" x14ac:dyDescent="0.35"/>
    <row r="53282" hidden="1" x14ac:dyDescent="0.35"/>
    <row r="53283" hidden="1" x14ac:dyDescent="0.35"/>
    <row r="53284" hidden="1" x14ac:dyDescent="0.35"/>
    <row r="53285" hidden="1" x14ac:dyDescent="0.35"/>
    <row r="53286" hidden="1" x14ac:dyDescent="0.35"/>
    <row r="53287" hidden="1" x14ac:dyDescent="0.35"/>
    <row r="53288" hidden="1" x14ac:dyDescent="0.35"/>
    <row r="53289" hidden="1" x14ac:dyDescent="0.35"/>
    <row r="53290" hidden="1" x14ac:dyDescent="0.35"/>
    <row r="53291" hidden="1" x14ac:dyDescent="0.35"/>
    <row r="53292" hidden="1" x14ac:dyDescent="0.35"/>
    <row r="53293" hidden="1" x14ac:dyDescent="0.35"/>
    <row r="53294" hidden="1" x14ac:dyDescent="0.35"/>
    <row r="53295" hidden="1" x14ac:dyDescent="0.35"/>
    <row r="53296" hidden="1" x14ac:dyDescent="0.35"/>
    <row r="53297" hidden="1" x14ac:dyDescent="0.35"/>
    <row r="53298" hidden="1" x14ac:dyDescent="0.35"/>
    <row r="53299" hidden="1" x14ac:dyDescent="0.35"/>
    <row r="53300" hidden="1" x14ac:dyDescent="0.35"/>
    <row r="53301" hidden="1" x14ac:dyDescent="0.35"/>
    <row r="53302" hidden="1" x14ac:dyDescent="0.35"/>
    <row r="53303" hidden="1" x14ac:dyDescent="0.35"/>
    <row r="53304" hidden="1" x14ac:dyDescent="0.35"/>
    <row r="53305" hidden="1" x14ac:dyDescent="0.35"/>
    <row r="53306" hidden="1" x14ac:dyDescent="0.35"/>
    <row r="53307" hidden="1" x14ac:dyDescent="0.35"/>
    <row r="53308" hidden="1" x14ac:dyDescent="0.35"/>
    <row r="53309" hidden="1" x14ac:dyDescent="0.35"/>
    <row r="53310" hidden="1" x14ac:dyDescent="0.35"/>
    <row r="53311" hidden="1" x14ac:dyDescent="0.35"/>
    <row r="53312" hidden="1" x14ac:dyDescent="0.35"/>
    <row r="53313" hidden="1" x14ac:dyDescent="0.35"/>
    <row r="53314" hidden="1" x14ac:dyDescent="0.35"/>
    <row r="53315" hidden="1" x14ac:dyDescent="0.35"/>
    <row r="53316" hidden="1" x14ac:dyDescent="0.35"/>
    <row r="53317" hidden="1" x14ac:dyDescent="0.35"/>
    <row r="53318" hidden="1" x14ac:dyDescent="0.35"/>
    <row r="53319" hidden="1" x14ac:dyDescent="0.35"/>
    <row r="53320" hidden="1" x14ac:dyDescent="0.35"/>
    <row r="53321" hidden="1" x14ac:dyDescent="0.35"/>
    <row r="53322" hidden="1" x14ac:dyDescent="0.35"/>
    <row r="53323" hidden="1" x14ac:dyDescent="0.35"/>
    <row r="53324" hidden="1" x14ac:dyDescent="0.35"/>
    <row r="53325" hidden="1" x14ac:dyDescent="0.35"/>
    <row r="53326" hidden="1" x14ac:dyDescent="0.35"/>
    <row r="53327" hidden="1" x14ac:dyDescent="0.35"/>
    <row r="53328" hidden="1" x14ac:dyDescent="0.35"/>
    <row r="53329" hidden="1" x14ac:dyDescent="0.35"/>
    <row r="53330" hidden="1" x14ac:dyDescent="0.35"/>
    <row r="53331" hidden="1" x14ac:dyDescent="0.35"/>
    <row r="53332" hidden="1" x14ac:dyDescent="0.35"/>
    <row r="53333" hidden="1" x14ac:dyDescent="0.35"/>
    <row r="53334" hidden="1" x14ac:dyDescent="0.35"/>
    <row r="53335" hidden="1" x14ac:dyDescent="0.35"/>
    <row r="53336" hidden="1" x14ac:dyDescent="0.35"/>
    <row r="53337" hidden="1" x14ac:dyDescent="0.35"/>
    <row r="53338" hidden="1" x14ac:dyDescent="0.35"/>
    <row r="53339" hidden="1" x14ac:dyDescent="0.35"/>
    <row r="53340" hidden="1" x14ac:dyDescent="0.35"/>
    <row r="53341" hidden="1" x14ac:dyDescent="0.35"/>
    <row r="53342" hidden="1" x14ac:dyDescent="0.35"/>
    <row r="53343" hidden="1" x14ac:dyDescent="0.35"/>
    <row r="53344" hidden="1" x14ac:dyDescent="0.35"/>
    <row r="53345" hidden="1" x14ac:dyDescent="0.35"/>
    <row r="53346" hidden="1" x14ac:dyDescent="0.35"/>
    <row r="53347" hidden="1" x14ac:dyDescent="0.35"/>
    <row r="53348" hidden="1" x14ac:dyDescent="0.35"/>
    <row r="53349" hidden="1" x14ac:dyDescent="0.35"/>
    <row r="53350" hidden="1" x14ac:dyDescent="0.35"/>
    <row r="53351" hidden="1" x14ac:dyDescent="0.35"/>
    <row r="53352" hidden="1" x14ac:dyDescent="0.35"/>
    <row r="53353" hidden="1" x14ac:dyDescent="0.35"/>
    <row r="53354" hidden="1" x14ac:dyDescent="0.35"/>
    <row r="53355" hidden="1" x14ac:dyDescent="0.35"/>
    <row r="53356" hidden="1" x14ac:dyDescent="0.35"/>
    <row r="53357" hidden="1" x14ac:dyDescent="0.35"/>
    <row r="53358" hidden="1" x14ac:dyDescent="0.35"/>
    <row r="53359" hidden="1" x14ac:dyDescent="0.35"/>
    <row r="53360" hidden="1" x14ac:dyDescent="0.35"/>
    <row r="53361" hidden="1" x14ac:dyDescent="0.35"/>
    <row r="53362" hidden="1" x14ac:dyDescent="0.35"/>
    <row r="53363" hidden="1" x14ac:dyDescent="0.35"/>
    <row r="53364" hidden="1" x14ac:dyDescent="0.35"/>
    <row r="53365" hidden="1" x14ac:dyDescent="0.35"/>
    <row r="53366" hidden="1" x14ac:dyDescent="0.35"/>
    <row r="53367" hidden="1" x14ac:dyDescent="0.35"/>
    <row r="53368" hidden="1" x14ac:dyDescent="0.35"/>
    <row r="53369" hidden="1" x14ac:dyDescent="0.35"/>
    <row r="53370" hidden="1" x14ac:dyDescent="0.35"/>
    <row r="53371" hidden="1" x14ac:dyDescent="0.35"/>
    <row r="53372" hidden="1" x14ac:dyDescent="0.35"/>
    <row r="53373" hidden="1" x14ac:dyDescent="0.35"/>
    <row r="53374" hidden="1" x14ac:dyDescent="0.35"/>
    <row r="53375" hidden="1" x14ac:dyDescent="0.35"/>
    <row r="53376" hidden="1" x14ac:dyDescent="0.35"/>
    <row r="53377" hidden="1" x14ac:dyDescent="0.35"/>
    <row r="53378" hidden="1" x14ac:dyDescent="0.35"/>
    <row r="53379" hidden="1" x14ac:dyDescent="0.35"/>
    <row r="53380" hidden="1" x14ac:dyDescent="0.35"/>
    <row r="53381" hidden="1" x14ac:dyDescent="0.35"/>
    <row r="53382" hidden="1" x14ac:dyDescent="0.35"/>
    <row r="53383" hidden="1" x14ac:dyDescent="0.35"/>
    <row r="53384" hidden="1" x14ac:dyDescent="0.35"/>
    <row r="53385" hidden="1" x14ac:dyDescent="0.35"/>
    <row r="53386" hidden="1" x14ac:dyDescent="0.35"/>
    <row r="53387" hidden="1" x14ac:dyDescent="0.35"/>
    <row r="53388" hidden="1" x14ac:dyDescent="0.35"/>
    <row r="53389" hidden="1" x14ac:dyDescent="0.35"/>
    <row r="53390" hidden="1" x14ac:dyDescent="0.35"/>
    <row r="53391" hidden="1" x14ac:dyDescent="0.35"/>
    <row r="53392" hidden="1" x14ac:dyDescent="0.35"/>
    <row r="53393" hidden="1" x14ac:dyDescent="0.35"/>
    <row r="53394" hidden="1" x14ac:dyDescent="0.35"/>
    <row r="53395" hidden="1" x14ac:dyDescent="0.35"/>
    <row r="53396" hidden="1" x14ac:dyDescent="0.35"/>
    <row r="53397" hidden="1" x14ac:dyDescent="0.35"/>
    <row r="53398" hidden="1" x14ac:dyDescent="0.35"/>
    <row r="53399" hidden="1" x14ac:dyDescent="0.35"/>
    <row r="53400" hidden="1" x14ac:dyDescent="0.35"/>
    <row r="53401" hidden="1" x14ac:dyDescent="0.35"/>
    <row r="53402" hidden="1" x14ac:dyDescent="0.35"/>
    <row r="53403" hidden="1" x14ac:dyDescent="0.35"/>
    <row r="53404" hidden="1" x14ac:dyDescent="0.35"/>
    <row r="53405" hidden="1" x14ac:dyDescent="0.35"/>
    <row r="53406" hidden="1" x14ac:dyDescent="0.35"/>
    <row r="53407" hidden="1" x14ac:dyDescent="0.35"/>
    <row r="53408" hidden="1" x14ac:dyDescent="0.35"/>
    <row r="53409" hidden="1" x14ac:dyDescent="0.35"/>
    <row r="53410" hidden="1" x14ac:dyDescent="0.35"/>
    <row r="53411" hidden="1" x14ac:dyDescent="0.35"/>
    <row r="53412" hidden="1" x14ac:dyDescent="0.35"/>
    <row r="53413" hidden="1" x14ac:dyDescent="0.35"/>
    <row r="53414" hidden="1" x14ac:dyDescent="0.35"/>
    <row r="53415" hidden="1" x14ac:dyDescent="0.35"/>
    <row r="53416" hidden="1" x14ac:dyDescent="0.35"/>
    <row r="53417" hidden="1" x14ac:dyDescent="0.35"/>
    <row r="53418" hidden="1" x14ac:dyDescent="0.35"/>
    <row r="53419" hidden="1" x14ac:dyDescent="0.35"/>
    <row r="53420" hidden="1" x14ac:dyDescent="0.35"/>
    <row r="53421" hidden="1" x14ac:dyDescent="0.35"/>
    <row r="53422" hidden="1" x14ac:dyDescent="0.35"/>
    <row r="53423" hidden="1" x14ac:dyDescent="0.35"/>
    <row r="53424" hidden="1" x14ac:dyDescent="0.35"/>
    <row r="53425" hidden="1" x14ac:dyDescent="0.35"/>
    <row r="53426" hidden="1" x14ac:dyDescent="0.35"/>
    <row r="53427" hidden="1" x14ac:dyDescent="0.35"/>
    <row r="53428" hidden="1" x14ac:dyDescent="0.35"/>
    <row r="53429" hidden="1" x14ac:dyDescent="0.35"/>
    <row r="53430" hidden="1" x14ac:dyDescent="0.35"/>
    <row r="53431" hidden="1" x14ac:dyDescent="0.35"/>
    <row r="53432" hidden="1" x14ac:dyDescent="0.35"/>
    <row r="53433" hidden="1" x14ac:dyDescent="0.35"/>
    <row r="53434" hidden="1" x14ac:dyDescent="0.35"/>
    <row r="53435" hidden="1" x14ac:dyDescent="0.35"/>
    <row r="53436" hidden="1" x14ac:dyDescent="0.35"/>
    <row r="53437" hidden="1" x14ac:dyDescent="0.35"/>
    <row r="53438" hidden="1" x14ac:dyDescent="0.35"/>
    <row r="53439" hidden="1" x14ac:dyDescent="0.35"/>
    <row r="53440" hidden="1" x14ac:dyDescent="0.35"/>
    <row r="53441" hidden="1" x14ac:dyDescent="0.35"/>
    <row r="53442" hidden="1" x14ac:dyDescent="0.35"/>
    <row r="53443" hidden="1" x14ac:dyDescent="0.35"/>
    <row r="53444" hidden="1" x14ac:dyDescent="0.35"/>
    <row r="53445" hidden="1" x14ac:dyDescent="0.35"/>
    <row r="53446" hidden="1" x14ac:dyDescent="0.35"/>
    <row r="53447" hidden="1" x14ac:dyDescent="0.35"/>
    <row r="53448" hidden="1" x14ac:dyDescent="0.35"/>
    <row r="53449" hidden="1" x14ac:dyDescent="0.35"/>
    <row r="53450" hidden="1" x14ac:dyDescent="0.35"/>
    <row r="53451" hidden="1" x14ac:dyDescent="0.35"/>
    <row r="53452" hidden="1" x14ac:dyDescent="0.35"/>
    <row r="53453" hidden="1" x14ac:dyDescent="0.35"/>
    <row r="53454" hidden="1" x14ac:dyDescent="0.35"/>
    <row r="53455" hidden="1" x14ac:dyDescent="0.35"/>
    <row r="53456" hidden="1" x14ac:dyDescent="0.35"/>
    <row r="53457" hidden="1" x14ac:dyDescent="0.35"/>
    <row r="53458" hidden="1" x14ac:dyDescent="0.35"/>
    <row r="53459" hidden="1" x14ac:dyDescent="0.35"/>
    <row r="53460" hidden="1" x14ac:dyDescent="0.35"/>
    <row r="53461" hidden="1" x14ac:dyDescent="0.35"/>
    <row r="53462" hidden="1" x14ac:dyDescent="0.35"/>
    <row r="53463" hidden="1" x14ac:dyDescent="0.35"/>
    <row r="53464" hidden="1" x14ac:dyDescent="0.35"/>
    <row r="53465" hidden="1" x14ac:dyDescent="0.35"/>
    <row r="53466" hidden="1" x14ac:dyDescent="0.35"/>
    <row r="53467" hidden="1" x14ac:dyDescent="0.35"/>
    <row r="53468" hidden="1" x14ac:dyDescent="0.35"/>
    <row r="53469" hidden="1" x14ac:dyDescent="0.35"/>
    <row r="53470" hidden="1" x14ac:dyDescent="0.35"/>
    <row r="53471" hidden="1" x14ac:dyDescent="0.35"/>
    <row r="53472" hidden="1" x14ac:dyDescent="0.35"/>
    <row r="53473" hidden="1" x14ac:dyDescent="0.35"/>
    <row r="53474" hidden="1" x14ac:dyDescent="0.35"/>
    <row r="53475" hidden="1" x14ac:dyDescent="0.35"/>
    <row r="53476" hidden="1" x14ac:dyDescent="0.35"/>
    <row r="53477" hidden="1" x14ac:dyDescent="0.35"/>
    <row r="53478" hidden="1" x14ac:dyDescent="0.35"/>
    <row r="53479" hidden="1" x14ac:dyDescent="0.35"/>
    <row r="53480" hidden="1" x14ac:dyDescent="0.35"/>
    <row r="53481" hidden="1" x14ac:dyDescent="0.35"/>
    <row r="53482" hidden="1" x14ac:dyDescent="0.35"/>
    <row r="53483" hidden="1" x14ac:dyDescent="0.35"/>
    <row r="53484" hidden="1" x14ac:dyDescent="0.35"/>
    <row r="53485" hidden="1" x14ac:dyDescent="0.35"/>
    <row r="53486" hidden="1" x14ac:dyDescent="0.35"/>
    <row r="53487" hidden="1" x14ac:dyDescent="0.35"/>
    <row r="53488" hidden="1" x14ac:dyDescent="0.35"/>
    <row r="53489" hidden="1" x14ac:dyDescent="0.35"/>
    <row r="53490" hidden="1" x14ac:dyDescent="0.35"/>
    <row r="53491" hidden="1" x14ac:dyDescent="0.35"/>
    <row r="53492" hidden="1" x14ac:dyDescent="0.35"/>
    <row r="53493" hidden="1" x14ac:dyDescent="0.35"/>
    <row r="53494" hidden="1" x14ac:dyDescent="0.35"/>
    <row r="53495" hidden="1" x14ac:dyDescent="0.35"/>
    <row r="53496" hidden="1" x14ac:dyDescent="0.35"/>
    <row r="53497" hidden="1" x14ac:dyDescent="0.35"/>
    <row r="53498" hidden="1" x14ac:dyDescent="0.35"/>
    <row r="53499" hidden="1" x14ac:dyDescent="0.35"/>
    <row r="53500" hidden="1" x14ac:dyDescent="0.35"/>
    <row r="53501" hidden="1" x14ac:dyDescent="0.35"/>
    <row r="53502" hidden="1" x14ac:dyDescent="0.35"/>
    <row r="53503" hidden="1" x14ac:dyDescent="0.35"/>
    <row r="53504" hidden="1" x14ac:dyDescent="0.35"/>
    <row r="53505" hidden="1" x14ac:dyDescent="0.35"/>
    <row r="53506" hidden="1" x14ac:dyDescent="0.35"/>
    <row r="53507" hidden="1" x14ac:dyDescent="0.35"/>
    <row r="53508" hidden="1" x14ac:dyDescent="0.35"/>
    <row r="53509" hidden="1" x14ac:dyDescent="0.35"/>
    <row r="53510" hidden="1" x14ac:dyDescent="0.35"/>
    <row r="53511" hidden="1" x14ac:dyDescent="0.35"/>
    <row r="53512" hidden="1" x14ac:dyDescent="0.35"/>
    <row r="53513" hidden="1" x14ac:dyDescent="0.35"/>
    <row r="53514" hidden="1" x14ac:dyDescent="0.35"/>
    <row r="53515" hidden="1" x14ac:dyDescent="0.35"/>
    <row r="53516" hidden="1" x14ac:dyDescent="0.35"/>
    <row r="53517" hidden="1" x14ac:dyDescent="0.35"/>
    <row r="53518" hidden="1" x14ac:dyDescent="0.35"/>
    <row r="53519" hidden="1" x14ac:dyDescent="0.35"/>
    <row r="53520" hidden="1" x14ac:dyDescent="0.35"/>
    <row r="53521" hidden="1" x14ac:dyDescent="0.35"/>
    <row r="53522" hidden="1" x14ac:dyDescent="0.35"/>
    <row r="53523" hidden="1" x14ac:dyDescent="0.35"/>
    <row r="53524" hidden="1" x14ac:dyDescent="0.35"/>
    <row r="53525" hidden="1" x14ac:dyDescent="0.35"/>
    <row r="53526" hidden="1" x14ac:dyDescent="0.35"/>
    <row r="53527" hidden="1" x14ac:dyDescent="0.35"/>
    <row r="53528" hidden="1" x14ac:dyDescent="0.35"/>
    <row r="53529" hidden="1" x14ac:dyDescent="0.35"/>
    <row r="53530" hidden="1" x14ac:dyDescent="0.35"/>
    <row r="53531" hidden="1" x14ac:dyDescent="0.35"/>
    <row r="53532" hidden="1" x14ac:dyDescent="0.35"/>
    <row r="53533" hidden="1" x14ac:dyDescent="0.35"/>
    <row r="53534" hidden="1" x14ac:dyDescent="0.35"/>
    <row r="53535" hidden="1" x14ac:dyDescent="0.35"/>
    <row r="53536" hidden="1" x14ac:dyDescent="0.35"/>
    <row r="53537" hidden="1" x14ac:dyDescent="0.35"/>
    <row r="53538" hidden="1" x14ac:dyDescent="0.35"/>
    <row r="53539" hidden="1" x14ac:dyDescent="0.35"/>
    <row r="53540" hidden="1" x14ac:dyDescent="0.35"/>
    <row r="53541" hidden="1" x14ac:dyDescent="0.35"/>
    <row r="53542" hidden="1" x14ac:dyDescent="0.35"/>
    <row r="53543" hidden="1" x14ac:dyDescent="0.35"/>
    <row r="53544" hidden="1" x14ac:dyDescent="0.35"/>
    <row r="53545" hidden="1" x14ac:dyDescent="0.35"/>
    <row r="53546" hidden="1" x14ac:dyDescent="0.35"/>
    <row r="53547" hidden="1" x14ac:dyDescent="0.35"/>
    <row r="53548" hidden="1" x14ac:dyDescent="0.35"/>
    <row r="53549" hidden="1" x14ac:dyDescent="0.35"/>
    <row r="53550" hidden="1" x14ac:dyDescent="0.35"/>
    <row r="53551" hidden="1" x14ac:dyDescent="0.35"/>
    <row r="53552" hidden="1" x14ac:dyDescent="0.35"/>
    <row r="53553" hidden="1" x14ac:dyDescent="0.35"/>
    <row r="53554" hidden="1" x14ac:dyDescent="0.35"/>
    <row r="53555" hidden="1" x14ac:dyDescent="0.35"/>
    <row r="53556" hidden="1" x14ac:dyDescent="0.35"/>
    <row r="53557" hidden="1" x14ac:dyDescent="0.35"/>
    <row r="53558" hidden="1" x14ac:dyDescent="0.35"/>
    <row r="53559" hidden="1" x14ac:dyDescent="0.35"/>
    <row r="53560" hidden="1" x14ac:dyDescent="0.35"/>
    <row r="53561" hidden="1" x14ac:dyDescent="0.35"/>
    <row r="53562" hidden="1" x14ac:dyDescent="0.35"/>
    <row r="53563" hidden="1" x14ac:dyDescent="0.35"/>
    <row r="53564" hidden="1" x14ac:dyDescent="0.35"/>
    <row r="53565" hidden="1" x14ac:dyDescent="0.35"/>
    <row r="53566" hidden="1" x14ac:dyDescent="0.35"/>
    <row r="53567" hidden="1" x14ac:dyDescent="0.35"/>
    <row r="53568" hidden="1" x14ac:dyDescent="0.35"/>
    <row r="53569" hidden="1" x14ac:dyDescent="0.35"/>
    <row r="53570" hidden="1" x14ac:dyDescent="0.35"/>
    <row r="53571" hidden="1" x14ac:dyDescent="0.35"/>
    <row r="53572" hidden="1" x14ac:dyDescent="0.35"/>
    <row r="53573" hidden="1" x14ac:dyDescent="0.35"/>
    <row r="53574" hidden="1" x14ac:dyDescent="0.35"/>
    <row r="53575" hidden="1" x14ac:dyDescent="0.35"/>
    <row r="53576" hidden="1" x14ac:dyDescent="0.35"/>
    <row r="53577" hidden="1" x14ac:dyDescent="0.35"/>
    <row r="53578" hidden="1" x14ac:dyDescent="0.35"/>
    <row r="53579" hidden="1" x14ac:dyDescent="0.35"/>
    <row r="53580" hidden="1" x14ac:dyDescent="0.35"/>
    <row r="53581" hidden="1" x14ac:dyDescent="0.35"/>
    <row r="53582" hidden="1" x14ac:dyDescent="0.35"/>
    <row r="53583" hidden="1" x14ac:dyDescent="0.35"/>
    <row r="53584" hidden="1" x14ac:dyDescent="0.35"/>
    <row r="53585" hidden="1" x14ac:dyDescent="0.35"/>
    <row r="53586" hidden="1" x14ac:dyDescent="0.35"/>
    <row r="53587" hidden="1" x14ac:dyDescent="0.35"/>
    <row r="53588" hidden="1" x14ac:dyDescent="0.35"/>
    <row r="53589" hidden="1" x14ac:dyDescent="0.35"/>
    <row r="53590" hidden="1" x14ac:dyDescent="0.35"/>
    <row r="53591" hidden="1" x14ac:dyDescent="0.35"/>
    <row r="53592" hidden="1" x14ac:dyDescent="0.35"/>
    <row r="53593" hidden="1" x14ac:dyDescent="0.35"/>
    <row r="53594" hidden="1" x14ac:dyDescent="0.35"/>
    <row r="53595" hidden="1" x14ac:dyDescent="0.35"/>
    <row r="53596" hidden="1" x14ac:dyDescent="0.35"/>
    <row r="53597" hidden="1" x14ac:dyDescent="0.35"/>
    <row r="53598" hidden="1" x14ac:dyDescent="0.35"/>
    <row r="53599" hidden="1" x14ac:dyDescent="0.35"/>
    <row r="53600" hidden="1" x14ac:dyDescent="0.35"/>
    <row r="53601" hidden="1" x14ac:dyDescent="0.35"/>
    <row r="53602" hidden="1" x14ac:dyDescent="0.35"/>
    <row r="53603" hidden="1" x14ac:dyDescent="0.35"/>
    <row r="53604" hidden="1" x14ac:dyDescent="0.35"/>
    <row r="53605" hidden="1" x14ac:dyDescent="0.35"/>
    <row r="53606" hidden="1" x14ac:dyDescent="0.35"/>
    <row r="53607" hidden="1" x14ac:dyDescent="0.35"/>
    <row r="53608" hidden="1" x14ac:dyDescent="0.35"/>
    <row r="53609" hidden="1" x14ac:dyDescent="0.35"/>
    <row r="53610" hidden="1" x14ac:dyDescent="0.35"/>
    <row r="53611" hidden="1" x14ac:dyDescent="0.35"/>
    <row r="53612" hidden="1" x14ac:dyDescent="0.35"/>
    <row r="53613" hidden="1" x14ac:dyDescent="0.35"/>
    <row r="53614" hidden="1" x14ac:dyDescent="0.35"/>
    <row r="53615" hidden="1" x14ac:dyDescent="0.35"/>
    <row r="53616" hidden="1" x14ac:dyDescent="0.35"/>
    <row r="53617" hidden="1" x14ac:dyDescent="0.35"/>
    <row r="53618" hidden="1" x14ac:dyDescent="0.35"/>
    <row r="53619" hidden="1" x14ac:dyDescent="0.35"/>
    <row r="53620" hidden="1" x14ac:dyDescent="0.35"/>
    <row r="53621" hidden="1" x14ac:dyDescent="0.35"/>
    <row r="53622" hidden="1" x14ac:dyDescent="0.35"/>
    <row r="53623" hidden="1" x14ac:dyDescent="0.35"/>
    <row r="53624" hidden="1" x14ac:dyDescent="0.35"/>
    <row r="53625" hidden="1" x14ac:dyDescent="0.35"/>
    <row r="53626" hidden="1" x14ac:dyDescent="0.35"/>
    <row r="53627" hidden="1" x14ac:dyDescent="0.35"/>
    <row r="53628" hidden="1" x14ac:dyDescent="0.35"/>
    <row r="53629" hidden="1" x14ac:dyDescent="0.35"/>
    <row r="53630" hidden="1" x14ac:dyDescent="0.35"/>
    <row r="53631" hidden="1" x14ac:dyDescent="0.35"/>
    <row r="53632" hidden="1" x14ac:dyDescent="0.35"/>
    <row r="53633" hidden="1" x14ac:dyDescent="0.35"/>
    <row r="53634" hidden="1" x14ac:dyDescent="0.35"/>
    <row r="53635" hidden="1" x14ac:dyDescent="0.35"/>
    <row r="53636" hidden="1" x14ac:dyDescent="0.35"/>
    <row r="53637" hidden="1" x14ac:dyDescent="0.35"/>
    <row r="53638" hidden="1" x14ac:dyDescent="0.35"/>
    <row r="53639" hidden="1" x14ac:dyDescent="0.35"/>
    <row r="53640" hidden="1" x14ac:dyDescent="0.35"/>
    <row r="53641" hidden="1" x14ac:dyDescent="0.35"/>
    <row r="53642" hidden="1" x14ac:dyDescent="0.35"/>
    <row r="53643" hidden="1" x14ac:dyDescent="0.35"/>
    <row r="53644" hidden="1" x14ac:dyDescent="0.35"/>
    <row r="53645" hidden="1" x14ac:dyDescent="0.35"/>
    <row r="53646" hidden="1" x14ac:dyDescent="0.35"/>
    <row r="53647" hidden="1" x14ac:dyDescent="0.35"/>
    <row r="53648" hidden="1" x14ac:dyDescent="0.35"/>
    <row r="53649" hidden="1" x14ac:dyDescent="0.35"/>
    <row r="53650" hidden="1" x14ac:dyDescent="0.35"/>
    <row r="53651" hidden="1" x14ac:dyDescent="0.35"/>
    <row r="53652" hidden="1" x14ac:dyDescent="0.35"/>
    <row r="53653" hidden="1" x14ac:dyDescent="0.35"/>
    <row r="53654" hidden="1" x14ac:dyDescent="0.35"/>
    <row r="53655" hidden="1" x14ac:dyDescent="0.35"/>
    <row r="53656" hidden="1" x14ac:dyDescent="0.35"/>
    <row r="53657" hidden="1" x14ac:dyDescent="0.35"/>
    <row r="53658" hidden="1" x14ac:dyDescent="0.35"/>
    <row r="53659" hidden="1" x14ac:dyDescent="0.35"/>
    <row r="53660" hidden="1" x14ac:dyDescent="0.35"/>
    <row r="53661" hidden="1" x14ac:dyDescent="0.35"/>
    <row r="53662" hidden="1" x14ac:dyDescent="0.35"/>
    <row r="53663" hidden="1" x14ac:dyDescent="0.35"/>
    <row r="53664" hidden="1" x14ac:dyDescent="0.35"/>
    <row r="53665" hidden="1" x14ac:dyDescent="0.35"/>
    <row r="53666" hidden="1" x14ac:dyDescent="0.35"/>
    <row r="53667" hidden="1" x14ac:dyDescent="0.35"/>
    <row r="53668" hidden="1" x14ac:dyDescent="0.35"/>
    <row r="53669" hidden="1" x14ac:dyDescent="0.35"/>
    <row r="53670" hidden="1" x14ac:dyDescent="0.35"/>
    <row r="53671" hidden="1" x14ac:dyDescent="0.35"/>
    <row r="53672" hidden="1" x14ac:dyDescent="0.35"/>
    <row r="53673" hidden="1" x14ac:dyDescent="0.35"/>
    <row r="53674" hidden="1" x14ac:dyDescent="0.35"/>
    <row r="53675" hidden="1" x14ac:dyDescent="0.35"/>
    <row r="53676" hidden="1" x14ac:dyDescent="0.35"/>
    <row r="53677" hidden="1" x14ac:dyDescent="0.35"/>
    <row r="53678" hidden="1" x14ac:dyDescent="0.35"/>
    <row r="53679" hidden="1" x14ac:dyDescent="0.35"/>
    <row r="53680" hidden="1" x14ac:dyDescent="0.35"/>
    <row r="53681" hidden="1" x14ac:dyDescent="0.35"/>
    <row r="53682" hidden="1" x14ac:dyDescent="0.35"/>
    <row r="53683" hidden="1" x14ac:dyDescent="0.35"/>
    <row r="53684" hidden="1" x14ac:dyDescent="0.35"/>
    <row r="53685" hidden="1" x14ac:dyDescent="0.35"/>
    <row r="53686" hidden="1" x14ac:dyDescent="0.35"/>
    <row r="53687" hidden="1" x14ac:dyDescent="0.35"/>
    <row r="53688" hidden="1" x14ac:dyDescent="0.35"/>
    <row r="53689" hidden="1" x14ac:dyDescent="0.35"/>
    <row r="53690" hidden="1" x14ac:dyDescent="0.35"/>
    <row r="53691" hidden="1" x14ac:dyDescent="0.35"/>
    <row r="53692" hidden="1" x14ac:dyDescent="0.35"/>
    <row r="53693" hidden="1" x14ac:dyDescent="0.35"/>
    <row r="53694" hidden="1" x14ac:dyDescent="0.35"/>
    <row r="53695" hidden="1" x14ac:dyDescent="0.35"/>
    <row r="53696" hidden="1" x14ac:dyDescent="0.35"/>
    <row r="53697" hidden="1" x14ac:dyDescent="0.35"/>
    <row r="53698" hidden="1" x14ac:dyDescent="0.35"/>
    <row r="53699" hidden="1" x14ac:dyDescent="0.35"/>
    <row r="53700" hidden="1" x14ac:dyDescent="0.35"/>
    <row r="53701" hidden="1" x14ac:dyDescent="0.35"/>
    <row r="53702" hidden="1" x14ac:dyDescent="0.35"/>
    <row r="53703" hidden="1" x14ac:dyDescent="0.35"/>
    <row r="53704" hidden="1" x14ac:dyDescent="0.35"/>
    <row r="53705" hidden="1" x14ac:dyDescent="0.35"/>
    <row r="53706" hidden="1" x14ac:dyDescent="0.35"/>
    <row r="53707" hidden="1" x14ac:dyDescent="0.35"/>
    <row r="53708" hidden="1" x14ac:dyDescent="0.35"/>
    <row r="53709" hidden="1" x14ac:dyDescent="0.35"/>
    <row r="53710" hidden="1" x14ac:dyDescent="0.35"/>
    <row r="53711" hidden="1" x14ac:dyDescent="0.35"/>
    <row r="53712" hidden="1" x14ac:dyDescent="0.35"/>
    <row r="53713" hidden="1" x14ac:dyDescent="0.35"/>
    <row r="53714" hidden="1" x14ac:dyDescent="0.35"/>
    <row r="53715" hidden="1" x14ac:dyDescent="0.35"/>
    <row r="53716" hidden="1" x14ac:dyDescent="0.35"/>
    <row r="53717" hidden="1" x14ac:dyDescent="0.35"/>
    <row r="53718" hidden="1" x14ac:dyDescent="0.35"/>
    <row r="53719" hidden="1" x14ac:dyDescent="0.35"/>
    <row r="53720" hidden="1" x14ac:dyDescent="0.35"/>
    <row r="53721" hidden="1" x14ac:dyDescent="0.35"/>
    <row r="53722" hidden="1" x14ac:dyDescent="0.35"/>
    <row r="53723" hidden="1" x14ac:dyDescent="0.35"/>
    <row r="53724" hidden="1" x14ac:dyDescent="0.35"/>
    <row r="53725" hidden="1" x14ac:dyDescent="0.35"/>
    <row r="53726" hidden="1" x14ac:dyDescent="0.35"/>
    <row r="53727" hidden="1" x14ac:dyDescent="0.35"/>
    <row r="53728" hidden="1" x14ac:dyDescent="0.35"/>
    <row r="53729" hidden="1" x14ac:dyDescent="0.35"/>
    <row r="53730" hidden="1" x14ac:dyDescent="0.35"/>
    <row r="53731" hidden="1" x14ac:dyDescent="0.35"/>
    <row r="53732" hidden="1" x14ac:dyDescent="0.35"/>
    <row r="53733" hidden="1" x14ac:dyDescent="0.35"/>
    <row r="53734" hidden="1" x14ac:dyDescent="0.35"/>
    <row r="53735" hidden="1" x14ac:dyDescent="0.35"/>
    <row r="53736" hidden="1" x14ac:dyDescent="0.35"/>
    <row r="53737" hidden="1" x14ac:dyDescent="0.35"/>
    <row r="53738" hidden="1" x14ac:dyDescent="0.35"/>
    <row r="53739" hidden="1" x14ac:dyDescent="0.35"/>
    <row r="53740" hidden="1" x14ac:dyDescent="0.35"/>
    <row r="53741" hidden="1" x14ac:dyDescent="0.35"/>
    <row r="53742" hidden="1" x14ac:dyDescent="0.35"/>
    <row r="53743" hidden="1" x14ac:dyDescent="0.35"/>
    <row r="53744" hidden="1" x14ac:dyDescent="0.35"/>
    <row r="53745" hidden="1" x14ac:dyDescent="0.35"/>
    <row r="53746" hidden="1" x14ac:dyDescent="0.35"/>
    <row r="53747" hidden="1" x14ac:dyDescent="0.35"/>
    <row r="53748" hidden="1" x14ac:dyDescent="0.35"/>
    <row r="53749" hidden="1" x14ac:dyDescent="0.35"/>
    <row r="53750" hidden="1" x14ac:dyDescent="0.35"/>
    <row r="53751" hidden="1" x14ac:dyDescent="0.35"/>
    <row r="53752" hidden="1" x14ac:dyDescent="0.35"/>
    <row r="53753" hidden="1" x14ac:dyDescent="0.35"/>
    <row r="53754" hidden="1" x14ac:dyDescent="0.35"/>
    <row r="53755" hidden="1" x14ac:dyDescent="0.35"/>
    <row r="53756" hidden="1" x14ac:dyDescent="0.35"/>
    <row r="53757" hidden="1" x14ac:dyDescent="0.35"/>
    <row r="53758" hidden="1" x14ac:dyDescent="0.35"/>
    <row r="53759" hidden="1" x14ac:dyDescent="0.35"/>
    <row r="53760" hidden="1" x14ac:dyDescent="0.35"/>
    <row r="53761" hidden="1" x14ac:dyDescent="0.35"/>
    <row r="53762" hidden="1" x14ac:dyDescent="0.35"/>
    <row r="53763" hidden="1" x14ac:dyDescent="0.35"/>
    <row r="53764" hidden="1" x14ac:dyDescent="0.35"/>
    <row r="53765" hidden="1" x14ac:dyDescent="0.35"/>
    <row r="53766" hidden="1" x14ac:dyDescent="0.35"/>
    <row r="53767" hidden="1" x14ac:dyDescent="0.35"/>
    <row r="53768" hidden="1" x14ac:dyDescent="0.35"/>
    <row r="53769" hidden="1" x14ac:dyDescent="0.35"/>
    <row r="53770" hidden="1" x14ac:dyDescent="0.35"/>
    <row r="53771" hidden="1" x14ac:dyDescent="0.35"/>
    <row r="53772" hidden="1" x14ac:dyDescent="0.35"/>
    <row r="53773" hidden="1" x14ac:dyDescent="0.35"/>
    <row r="53774" hidden="1" x14ac:dyDescent="0.35"/>
    <row r="53775" hidden="1" x14ac:dyDescent="0.35"/>
    <row r="53776" hidden="1" x14ac:dyDescent="0.35"/>
    <row r="53777" hidden="1" x14ac:dyDescent="0.35"/>
    <row r="53778" hidden="1" x14ac:dyDescent="0.35"/>
    <row r="53779" hidden="1" x14ac:dyDescent="0.35"/>
    <row r="53780" hidden="1" x14ac:dyDescent="0.35"/>
    <row r="53781" hidden="1" x14ac:dyDescent="0.35"/>
    <row r="53782" hidden="1" x14ac:dyDescent="0.35"/>
    <row r="53783" hidden="1" x14ac:dyDescent="0.35"/>
    <row r="53784" hidden="1" x14ac:dyDescent="0.35"/>
    <row r="53785" hidden="1" x14ac:dyDescent="0.35"/>
    <row r="53786" hidden="1" x14ac:dyDescent="0.35"/>
    <row r="53787" hidden="1" x14ac:dyDescent="0.35"/>
    <row r="53788" hidden="1" x14ac:dyDescent="0.35"/>
    <row r="53789" hidden="1" x14ac:dyDescent="0.35"/>
    <row r="53790" hidden="1" x14ac:dyDescent="0.35"/>
    <row r="53791" hidden="1" x14ac:dyDescent="0.35"/>
    <row r="53792" hidden="1" x14ac:dyDescent="0.35"/>
    <row r="53793" hidden="1" x14ac:dyDescent="0.35"/>
    <row r="53794" hidden="1" x14ac:dyDescent="0.35"/>
    <row r="53795" hidden="1" x14ac:dyDescent="0.35"/>
    <row r="53796" hidden="1" x14ac:dyDescent="0.35"/>
    <row r="53797" hidden="1" x14ac:dyDescent="0.35"/>
    <row r="53798" hidden="1" x14ac:dyDescent="0.35"/>
    <row r="53799" hidden="1" x14ac:dyDescent="0.35"/>
    <row r="53800" hidden="1" x14ac:dyDescent="0.35"/>
    <row r="53801" hidden="1" x14ac:dyDescent="0.35"/>
    <row r="53802" hidden="1" x14ac:dyDescent="0.35"/>
    <row r="53803" hidden="1" x14ac:dyDescent="0.35"/>
    <row r="53804" hidden="1" x14ac:dyDescent="0.35"/>
    <row r="53805" hidden="1" x14ac:dyDescent="0.35"/>
    <row r="53806" hidden="1" x14ac:dyDescent="0.35"/>
    <row r="53807" hidden="1" x14ac:dyDescent="0.35"/>
    <row r="53808" hidden="1" x14ac:dyDescent="0.35"/>
    <row r="53809" hidden="1" x14ac:dyDescent="0.35"/>
    <row r="53810" hidden="1" x14ac:dyDescent="0.35"/>
    <row r="53811" hidden="1" x14ac:dyDescent="0.35"/>
    <row r="53812" hidden="1" x14ac:dyDescent="0.35"/>
    <row r="53813" hidden="1" x14ac:dyDescent="0.35"/>
    <row r="53814" hidden="1" x14ac:dyDescent="0.35"/>
    <row r="53815" hidden="1" x14ac:dyDescent="0.35"/>
    <row r="53816" hidden="1" x14ac:dyDescent="0.35"/>
    <row r="53817" hidden="1" x14ac:dyDescent="0.35"/>
    <row r="53818" hidden="1" x14ac:dyDescent="0.35"/>
    <row r="53819" hidden="1" x14ac:dyDescent="0.35"/>
    <row r="53820" hidden="1" x14ac:dyDescent="0.35"/>
    <row r="53821" hidden="1" x14ac:dyDescent="0.35"/>
    <row r="53822" hidden="1" x14ac:dyDescent="0.35"/>
    <row r="53823" hidden="1" x14ac:dyDescent="0.35"/>
    <row r="53824" hidden="1" x14ac:dyDescent="0.35"/>
    <row r="53825" hidden="1" x14ac:dyDescent="0.35"/>
    <row r="53826" hidden="1" x14ac:dyDescent="0.35"/>
    <row r="53827" hidden="1" x14ac:dyDescent="0.35"/>
    <row r="53828" hidden="1" x14ac:dyDescent="0.35"/>
    <row r="53829" hidden="1" x14ac:dyDescent="0.35"/>
    <row r="53830" hidden="1" x14ac:dyDescent="0.35"/>
    <row r="53831" hidden="1" x14ac:dyDescent="0.35"/>
    <row r="53832" hidden="1" x14ac:dyDescent="0.35"/>
    <row r="53833" hidden="1" x14ac:dyDescent="0.35"/>
    <row r="53834" hidden="1" x14ac:dyDescent="0.35"/>
    <row r="53835" hidden="1" x14ac:dyDescent="0.35"/>
    <row r="53836" hidden="1" x14ac:dyDescent="0.35"/>
    <row r="53837" hidden="1" x14ac:dyDescent="0.35"/>
    <row r="53838" hidden="1" x14ac:dyDescent="0.35"/>
    <row r="53839" hidden="1" x14ac:dyDescent="0.35"/>
    <row r="53840" hidden="1" x14ac:dyDescent="0.35"/>
    <row r="53841" hidden="1" x14ac:dyDescent="0.35"/>
    <row r="53842" hidden="1" x14ac:dyDescent="0.35"/>
    <row r="53843" hidden="1" x14ac:dyDescent="0.35"/>
    <row r="53844" hidden="1" x14ac:dyDescent="0.35"/>
    <row r="53845" hidden="1" x14ac:dyDescent="0.35"/>
    <row r="53846" hidden="1" x14ac:dyDescent="0.35"/>
    <row r="53847" hidden="1" x14ac:dyDescent="0.35"/>
    <row r="53848" hidden="1" x14ac:dyDescent="0.35"/>
    <row r="53849" hidden="1" x14ac:dyDescent="0.35"/>
    <row r="53850" hidden="1" x14ac:dyDescent="0.35"/>
    <row r="53851" hidden="1" x14ac:dyDescent="0.35"/>
    <row r="53852" hidden="1" x14ac:dyDescent="0.35"/>
    <row r="53853" hidden="1" x14ac:dyDescent="0.35"/>
    <row r="53854" hidden="1" x14ac:dyDescent="0.35"/>
    <row r="53855" hidden="1" x14ac:dyDescent="0.35"/>
    <row r="53856" hidden="1" x14ac:dyDescent="0.35"/>
    <row r="53857" hidden="1" x14ac:dyDescent="0.35"/>
    <row r="53858" hidden="1" x14ac:dyDescent="0.35"/>
    <row r="53859" hidden="1" x14ac:dyDescent="0.35"/>
    <row r="53860" hidden="1" x14ac:dyDescent="0.35"/>
    <row r="53861" hidden="1" x14ac:dyDescent="0.35"/>
    <row r="53862" hidden="1" x14ac:dyDescent="0.35"/>
    <row r="53863" hidden="1" x14ac:dyDescent="0.35"/>
    <row r="53864" hidden="1" x14ac:dyDescent="0.35"/>
    <row r="53865" hidden="1" x14ac:dyDescent="0.35"/>
    <row r="53866" hidden="1" x14ac:dyDescent="0.35"/>
    <row r="53867" hidden="1" x14ac:dyDescent="0.35"/>
    <row r="53868" hidden="1" x14ac:dyDescent="0.35"/>
    <row r="53869" hidden="1" x14ac:dyDescent="0.35"/>
    <row r="53870" hidden="1" x14ac:dyDescent="0.35"/>
    <row r="53871" hidden="1" x14ac:dyDescent="0.35"/>
    <row r="53872" hidden="1" x14ac:dyDescent="0.35"/>
    <row r="53873" hidden="1" x14ac:dyDescent="0.35"/>
    <row r="53874" hidden="1" x14ac:dyDescent="0.35"/>
    <row r="53875" hidden="1" x14ac:dyDescent="0.35"/>
    <row r="53876" hidden="1" x14ac:dyDescent="0.35"/>
    <row r="53877" hidden="1" x14ac:dyDescent="0.35"/>
    <row r="53878" hidden="1" x14ac:dyDescent="0.35"/>
    <row r="53879" hidden="1" x14ac:dyDescent="0.35"/>
    <row r="53880" hidden="1" x14ac:dyDescent="0.35"/>
    <row r="53881" hidden="1" x14ac:dyDescent="0.35"/>
    <row r="53882" hidden="1" x14ac:dyDescent="0.35"/>
    <row r="53883" hidden="1" x14ac:dyDescent="0.35"/>
    <row r="53884" hidden="1" x14ac:dyDescent="0.35"/>
    <row r="53885" hidden="1" x14ac:dyDescent="0.35"/>
    <row r="53886" hidden="1" x14ac:dyDescent="0.35"/>
    <row r="53887" hidden="1" x14ac:dyDescent="0.35"/>
    <row r="53888" hidden="1" x14ac:dyDescent="0.35"/>
    <row r="53889" hidden="1" x14ac:dyDescent="0.35"/>
    <row r="53890" hidden="1" x14ac:dyDescent="0.35"/>
    <row r="53891" hidden="1" x14ac:dyDescent="0.35"/>
    <row r="53892" hidden="1" x14ac:dyDescent="0.35"/>
    <row r="53893" hidden="1" x14ac:dyDescent="0.35"/>
    <row r="53894" hidden="1" x14ac:dyDescent="0.35"/>
    <row r="53895" hidden="1" x14ac:dyDescent="0.35"/>
    <row r="53896" hidden="1" x14ac:dyDescent="0.35"/>
    <row r="53897" hidden="1" x14ac:dyDescent="0.35"/>
    <row r="53898" hidden="1" x14ac:dyDescent="0.35"/>
    <row r="53899" hidden="1" x14ac:dyDescent="0.35"/>
    <row r="53900" hidden="1" x14ac:dyDescent="0.35"/>
    <row r="53901" hidden="1" x14ac:dyDescent="0.35"/>
    <row r="53902" hidden="1" x14ac:dyDescent="0.35"/>
    <row r="53903" hidden="1" x14ac:dyDescent="0.35"/>
    <row r="53904" hidden="1" x14ac:dyDescent="0.35"/>
    <row r="53905" hidden="1" x14ac:dyDescent="0.35"/>
    <row r="53906" hidden="1" x14ac:dyDescent="0.35"/>
    <row r="53907" hidden="1" x14ac:dyDescent="0.35"/>
    <row r="53908" hidden="1" x14ac:dyDescent="0.35"/>
    <row r="53909" hidden="1" x14ac:dyDescent="0.35"/>
    <row r="53910" hidden="1" x14ac:dyDescent="0.35"/>
    <row r="53911" hidden="1" x14ac:dyDescent="0.35"/>
    <row r="53912" hidden="1" x14ac:dyDescent="0.35"/>
    <row r="53913" hidden="1" x14ac:dyDescent="0.35"/>
    <row r="53914" hidden="1" x14ac:dyDescent="0.35"/>
    <row r="53915" hidden="1" x14ac:dyDescent="0.35"/>
    <row r="53916" hidden="1" x14ac:dyDescent="0.35"/>
    <row r="53917" hidden="1" x14ac:dyDescent="0.35"/>
    <row r="53918" hidden="1" x14ac:dyDescent="0.35"/>
    <row r="53919" hidden="1" x14ac:dyDescent="0.35"/>
    <row r="53920" hidden="1" x14ac:dyDescent="0.35"/>
    <row r="53921" hidden="1" x14ac:dyDescent="0.35"/>
    <row r="53922" hidden="1" x14ac:dyDescent="0.35"/>
    <row r="53923" hidden="1" x14ac:dyDescent="0.35"/>
    <row r="53924" hidden="1" x14ac:dyDescent="0.35"/>
    <row r="53925" hidden="1" x14ac:dyDescent="0.35"/>
    <row r="53926" hidden="1" x14ac:dyDescent="0.35"/>
    <row r="53927" hidden="1" x14ac:dyDescent="0.35"/>
    <row r="53928" hidden="1" x14ac:dyDescent="0.35"/>
    <row r="53929" hidden="1" x14ac:dyDescent="0.35"/>
    <row r="53930" hidden="1" x14ac:dyDescent="0.35"/>
    <row r="53931" hidden="1" x14ac:dyDescent="0.35"/>
    <row r="53932" hidden="1" x14ac:dyDescent="0.35"/>
    <row r="53933" hidden="1" x14ac:dyDescent="0.35"/>
    <row r="53934" hidden="1" x14ac:dyDescent="0.35"/>
    <row r="53935" hidden="1" x14ac:dyDescent="0.35"/>
    <row r="53936" hidden="1" x14ac:dyDescent="0.35"/>
    <row r="53937" hidden="1" x14ac:dyDescent="0.35"/>
    <row r="53938" hidden="1" x14ac:dyDescent="0.35"/>
    <row r="53939" hidden="1" x14ac:dyDescent="0.35"/>
    <row r="53940" hidden="1" x14ac:dyDescent="0.35"/>
    <row r="53941" hidden="1" x14ac:dyDescent="0.35"/>
    <row r="53942" hidden="1" x14ac:dyDescent="0.35"/>
    <row r="53943" hidden="1" x14ac:dyDescent="0.35"/>
    <row r="53944" hidden="1" x14ac:dyDescent="0.35"/>
    <row r="53945" hidden="1" x14ac:dyDescent="0.35"/>
    <row r="53946" hidden="1" x14ac:dyDescent="0.35"/>
    <row r="53947" hidden="1" x14ac:dyDescent="0.35"/>
    <row r="53948" hidden="1" x14ac:dyDescent="0.35"/>
    <row r="53949" hidden="1" x14ac:dyDescent="0.35"/>
    <row r="53950" hidden="1" x14ac:dyDescent="0.35"/>
    <row r="53951" hidden="1" x14ac:dyDescent="0.35"/>
    <row r="53952" hidden="1" x14ac:dyDescent="0.35"/>
    <row r="53953" hidden="1" x14ac:dyDescent="0.35"/>
    <row r="53954" hidden="1" x14ac:dyDescent="0.35"/>
    <row r="53955" hidden="1" x14ac:dyDescent="0.35"/>
    <row r="53956" hidden="1" x14ac:dyDescent="0.35"/>
    <row r="53957" hidden="1" x14ac:dyDescent="0.35"/>
    <row r="53958" hidden="1" x14ac:dyDescent="0.35"/>
    <row r="53959" hidden="1" x14ac:dyDescent="0.35"/>
    <row r="53960" hidden="1" x14ac:dyDescent="0.35"/>
    <row r="53961" hidden="1" x14ac:dyDescent="0.35"/>
    <row r="53962" hidden="1" x14ac:dyDescent="0.35"/>
    <row r="53963" hidden="1" x14ac:dyDescent="0.35"/>
    <row r="53964" hidden="1" x14ac:dyDescent="0.35"/>
    <row r="53965" hidden="1" x14ac:dyDescent="0.35"/>
    <row r="53966" hidden="1" x14ac:dyDescent="0.35"/>
    <row r="53967" hidden="1" x14ac:dyDescent="0.35"/>
    <row r="53968" hidden="1" x14ac:dyDescent="0.35"/>
    <row r="53969" hidden="1" x14ac:dyDescent="0.35"/>
    <row r="53970" hidden="1" x14ac:dyDescent="0.35"/>
    <row r="53971" hidden="1" x14ac:dyDescent="0.35"/>
    <row r="53972" hidden="1" x14ac:dyDescent="0.35"/>
    <row r="53973" hidden="1" x14ac:dyDescent="0.35"/>
    <row r="53974" hidden="1" x14ac:dyDescent="0.35"/>
    <row r="53975" hidden="1" x14ac:dyDescent="0.35"/>
    <row r="53976" hidden="1" x14ac:dyDescent="0.35"/>
    <row r="53977" hidden="1" x14ac:dyDescent="0.35"/>
    <row r="53978" hidden="1" x14ac:dyDescent="0.35"/>
    <row r="53979" hidden="1" x14ac:dyDescent="0.35"/>
    <row r="53980" hidden="1" x14ac:dyDescent="0.35"/>
    <row r="53981" hidden="1" x14ac:dyDescent="0.35"/>
    <row r="53982" hidden="1" x14ac:dyDescent="0.35"/>
    <row r="53983" hidden="1" x14ac:dyDescent="0.35"/>
    <row r="53984" hidden="1" x14ac:dyDescent="0.35"/>
    <row r="53985" hidden="1" x14ac:dyDescent="0.35"/>
    <row r="53986" hidden="1" x14ac:dyDescent="0.35"/>
    <row r="53987" hidden="1" x14ac:dyDescent="0.35"/>
    <row r="53988" hidden="1" x14ac:dyDescent="0.35"/>
    <row r="53989" hidden="1" x14ac:dyDescent="0.35"/>
    <row r="53990" hidden="1" x14ac:dyDescent="0.35"/>
    <row r="53991" hidden="1" x14ac:dyDescent="0.35"/>
    <row r="53992" hidden="1" x14ac:dyDescent="0.35"/>
    <row r="53993" hidden="1" x14ac:dyDescent="0.35"/>
    <row r="53994" hidden="1" x14ac:dyDescent="0.35"/>
    <row r="53995" hidden="1" x14ac:dyDescent="0.35"/>
    <row r="53996" hidden="1" x14ac:dyDescent="0.35"/>
    <row r="53997" hidden="1" x14ac:dyDescent="0.35"/>
    <row r="53998" hidden="1" x14ac:dyDescent="0.35"/>
    <row r="53999" hidden="1" x14ac:dyDescent="0.35"/>
    <row r="54000" hidden="1" x14ac:dyDescent="0.35"/>
    <row r="54001" hidden="1" x14ac:dyDescent="0.35"/>
    <row r="54002" hidden="1" x14ac:dyDescent="0.35"/>
    <row r="54003" hidden="1" x14ac:dyDescent="0.35"/>
    <row r="54004" hidden="1" x14ac:dyDescent="0.35"/>
    <row r="54005" hidden="1" x14ac:dyDescent="0.35"/>
    <row r="54006" hidden="1" x14ac:dyDescent="0.35"/>
    <row r="54007" hidden="1" x14ac:dyDescent="0.35"/>
    <row r="54008" hidden="1" x14ac:dyDescent="0.35"/>
    <row r="54009" hidden="1" x14ac:dyDescent="0.35"/>
    <row r="54010" hidden="1" x14ac:dyDescent="0.35"/>
    <row r="54011" hidden="1" x14ac:dyDescent="0.35"/>
    <row r="54012" hidden="1" x14ac:dyDescent="0.35"/>
    <row r="54013" hidden="1" x14ac:dyDescent="0.35"/>
    <row r="54014" hidden="1" x14ac:dyDescent="0.35"/>
    <row r="54015" hidden="1" x14ac:dyDescent="0.35"/>
    <row r="54016" hidden="1" x14ac:dyDescent="0.35"/>
    <row r="54017" hidden="1" x14ac:dyDescent="0.35"/>
    <row r="54018" hidden="1" x14ac:dyDescent="0.35"/>
    <row r="54019" hidden="1" x14ac:dyDescent="0.35"/>
    <row r="54020" hidden="1" x14ac:dyDescent="0.35"/>
    <row r="54021" hidden="1" x14ac:dyDescent="0.35"/>
    <row r="54022" hidden="1" x14ac:dyDescent="0.35"/>
    <row r="54023" hidden="1" x14ac:dyDescent="0.35"/>
    <row r="54024" hidden="1" x14ac:dyDescent="0.35"/>
    <row r="54025" hidden="1" x14ac:dyDescent="0.35"/>
    <row r="54026" hidden="1" x14ac:dyDescent="0.35"/>
    <row r="54027" hidden="1" x14ac:dyDescent="0.35"/>
    <row r="54028" hidden="1" x14ac:dyDescent="0.35"/>
    <row r="54029" hidden="1" x14ac:dyDescent="0.35"/>
    <row r="54030" hidden="1" x14ac:dyDescent="0.35"/>
    <row r="54031" hidden="1" x14ac:dyDescent="0.35"/>
    <row r="54032" hidden="1" x14ac:dyDescent="0.35"/>
    <row r="54033" hidden="1" x14ac:dyDescent="0.35"/>
    <row r="54034" hidden="1" x14ac:dyDescent="0.35"/>
    <row r="54035" hidden="1" x14ac:dyDescent="0.35"/>
    <row r="54036" hidden="1" x14ac:dyDescent="0.35"/>
    <row r="54037" hidden="1" x14ac:dyDescent="0.35"/>
    <row r="54038" hidden="1" x14ac:dyDescent="0.35"/>
    <row r="54039" hidden="1" x14ac:dyDescent="0.35"/>
    <row r="54040" hidden="1" x14ac:dyDescent="0.35"/>
    <row r="54041" hidden="1" x14ac:dyDescent="0.35"/>
    <row r="54042" hidden="1" x14ac:dyDescent="0.35"/>
    <row r="54043" hidden="1" x14ac:dyDescent="0.35"/>
    <row r="54044" hidden="1" x14ac:dyDescent="0.35"/>
    <row r="54045" hidden="1" x14ac:dyDescent="0.35"/>
    <row r="54046" hidden="1" x14ac:dyDescent="0.35"/>
    <row r="54047" hidden="1" x14ac:dyDescent="0.35"/>
    <row r="54048" hidden="1" x14ac:dyDescent="0.35"/>
    <row r="54049" hidden="1" x14ac:dyDescent="0.35"/>
    <row r="54050" hidden="1" x14ac:dyDescent="0.35"/>
    <row r="54051" hidden="1" x14ac:dyDescent="0.35"/>
    <row r="54052" hidden="1" x14ac:dyDescent="0.35"/>
    <row r="54053" hidden="1" x14ac:dyDescent="0.35"/>
    <row r="54054" hidden="1" x14ac:dyDescent="0.35"/>
    <row r="54055" hidden="1" x14ac:dyDescent="0.35"/>
    <row r="54056" hidden="1" x14ac:dyDescent="0.35"/>
    <row r="54057" hidden="1" x14ac:dyDescent="0.35"/>
    <row r="54058" hidden="1" x14ac:dyDescent="0.35"/>
    <row r="54059" hidden="1" x14ac:dyDescent="0.35"/>
    <row r="54060" hidden="1" x14ac:dyDescent="0.35"/>
    <row r="54061" hidden="1" x14ac:dyDescent="0.35"/>
    <row r="54062" hidden="1" x14ac:dyDescent="0.35"/>
    <row r="54063" hidden="1" x14ac:dyDescent="0.35"/>
    <row r="54064" hidden="1" x14ac:dyDescent="0.35"/>
    <row r="54065" hidden="1" x14ac:dyDescent="0.35"/>
    <row r="54066" hidden="1" x14ac:dyDescent="0.35"/>
    <row r="54067" hidden="1" x14ac:dyDescent="0.35"/>
    <row r="54068" hidden="1" x14ac:dyDescent="0.35"/>
    <row r="54069" hidden="1" x14ac:dyDescent="0.35"/>
    <row r="54070" hidden="1" x14ac:dyDescent="0.35"/>
    <row r="54071" hidden="1" x14ac:dyDescent="0.35"/>
    <row r="54072" hidden="1" x14ac:dyDescent="0.35"/>
    <row r="54073" hidden="1" x14ac:dyDescent="0.35"/>
    <row r="54074" hidden="1" x14ac:dyDescent="0.35"/>
    <row r="54075" hidden="1" x14ac:dyDescent="0.35"/>
    <row r="54076" hidden="1" x14ac:dyDescent="0.35"/>
    <row r="54077" hidden="1" x14ac:dyDescent="0.35"/>
    <row r="54078" hidden="1" x14ac:dyDescent="0.35"/>
    <row r="54079" hidden="1" x14ac:dyDescent="0.35"/>
    <row r="54080" hidden="1" x14ac:dyDescent="0.35"/>
    <row r="54081" hidden="1" x14ac:dyDescent="0.35"/>
    <row r="54082" hidden="1" x14ac:dyDescent="0.35"/>
    <row r="54083" hidden="1" x14ac:dyDescent="0.35"/>
    <row r="54084" hidden="1" x14ac:dyDescent="0.35"/>
    <row r="54085" hidden="1" x14ac:dyDescent="0.35"/>
    <row r="54086" hidden="1" x14ac:dyDescent="0.35"/>
    <row r="54087" hidden="1" x14ac:dyDescent="0.35"/>
    <row r="54088" hidden="1" x14ac:dyDescent="0.35"/>
    <row r="54089" hidden="1" x14ac:dyDescent="0.35"/>
    <row r="54090" hidden="1" x14ac:dyDescent="0.35"/>
    <row r="54091" hidden="1" x14ac:dyDescent="0.35"/>
    <row r="54092" hidden="1" x14ac:dyDescent="0.35"/>
    <row r="54093" hidden="1" x14ac:dyDescent="0.35"/>
    <row r="54094" hidden="1" x14ac:dyDescent="0.35"/>
    <row r="54095" hidden="1" x14ac:dyDescent="0.35"/>
    <row r="54096" hidden="1" x14ac:dyDescent="0.35"/>
    <row r="54097" hidden="1" x14ac:dyDescent="0.35"/>
    <row r="54098" hidden="1" x14ac:dyDescent="0.35"/>
    <row r="54099" hidden="1" x14ac:dyDescent="0.35"/>
    <row r="54100" hidden="1" x14ac:dyDescent="0.35"/>
    <row r="54101" hidden="1" x14ac:dyDescent="0.35"/>
    <row r="54102" hidden="1" x14ac:dyDescent="0.35"/>
    <row r="54103" hidden="1" x14ac:dyDescent="0.35"/>
    <row r="54104" hidden="1" x14ac:dyDescent="0.35"/>
    <row r="54105" hidden="1" x14ac:dyDescent="0.35"/>
    <row r="54106" hidden="1" x14ac:dyDescent="0.35"/>
    <row r="54107" hidden="1" x14ac:dyDescent="0.35"/>
    <row r="54108" hidden="1" x14ac:dyDescent="0.35"/>
    <row r="54109" hidden="1" x14ac:dyDescent="0.35"/>
    <row r="54110" hidden="1" x14ac:dyDescent="0.35"/>
    <row r="54111" hidden="1" x14ac:dyDescent="0.35"/>
    <row r="54112" hidden="1" x14ac:dyDescent="0.35"/>
    <row r="54113" hidden="1" x14ac:dyDescent="0.35"/>
    <row r="54114" hidden="1" x14ac:dyDescent="0.35"/>
    <row r="54115" hidden="1" x14ac:dyDescent="0.35"/>
    <row r="54116" hidden="1" x14ac:dyDescent="0.35"/>
    <row r="54117" hidden="1" x14ac:dyDescent="0.35"/>
    <row r="54118" hidden="1" x14ac:dyDescent="0.35"/>
    <row r="54119" hidden="1" x14ac:dyDescent="0.35"/>
    <row r="54120" hidden="1" x14ac:dyDescent="0.35"/>
    <row r="54121" hidden="1" x14ac:dyDescent="0.35"/>
    <row r="54122" hidden="1" x14ac:dyDescent="0.35"/>
    <row r="54123" hidden="1" x14ac:dyDescent="0.35"/>
    <row r="54124" hidden="1" x14ac:dyDescent="0.35"/>
    <row r="54125" hidden="1" x14ac:dyDescent="0.35"/>
    <row r="54126" hidden="1" x14ac:dyDescent="0.35"/>
    <row r="54127" hidden="1" x14ac:dyDescent="0.35"/>
    <row r="54128" hidden="1" x14ac:dyDescent="0.35"/>
    <row r="54129" hidden="1" x14ac:dyDescent="0.35"/>
    <row r="54130" hidden="1" x14ac:dyDescent="0.35"/>
    <row r="54131" hidden="1" x14ac:dyDescent="0.35"/>
    <row r="54132" hidden="1" x14ac:dyDescent="0.35"/>
    <row r="54133" hidden="1" x14ac:dyDescent="0.35"/>
    <row r="54134" hidden="1" x14ac:dyDescent="0.35"/>
    <row r="54135" hidden="1" x14ac:dyDescent="0.35"/>
    <row r="54136" hidden="1" x14ac:dyDescent="0.35"/>
    <row r="54137" hidden="1" x14ac:dyDescent="0.35"/>
    <row r="54138" hidden="1" x14ac:dyDescent="0.35"/>
    <row r="54139" hidden="1" x14ac:dyDescent="0.35"/>
    <row r="54140" hidden="1" x14ac:dyDescent="0.35"/>
    <row r="54141" hidden="1" x14ac:dyDescent="0.35"/>
    <row r="54142" hidden="1" x14ac:dyDescent="0.35"/>
    <row r="54143" hidden="1" x14ac:dyDescent="0.35"/>
    <row r="54144" hidden="1" x14ac:dyDescent="0.35"/>
    <row r="54145" hidden="1" x14ac:dyDescent="0.35"/>
    <row r="54146" hidden="1" x14ac:dyDescent="0.35"/>
    <row r="54147" hidden="1" x14ac:dyDescent="0.35"/>
    <row r="54148" hidden="1" x14ac:dyDescent="0.35"/>
    <row r="54149" hidden="1" x14ac:dyDescent="0.35"/>
    <row r="54150" hidden="1" x14ac:dyDescent="0.35"/>
    <row r="54151" hidden="1" x14ac:dyDescent="0.35"/>
    <row r="54152" hidden="1" x14ac:dyDescent="0.35"/>
    <row r="54153" hidden="1" x14ac:dyDescent="0.35"/>
    <row r="54154" hidden="1" x14ac:dyDescent="0.35"/>
    <row r="54155" hidden="1" x14ac:dyDescent="0.35"/>
    <row r="54156" hidden="1" x14ac:dyDescent="0.35"/>
    <row r="54157" hidden="1" x14ac:dyDescent="0.35"/>
    <row r="54158" hidden="1" x14ac:dyDescent="0.35"/>
    <row r="54159" hidden="1" x14ac:dyDescent="0.35"/>
    <row r="54160" hidden="1" x14ac:dyDescent="0.35"/>
    <row r="54161" hidden="1" x14ac:dyDescent="0.35"/>
    <row r="54162" hidden="1" x14ac:dyDescent="0.35"/>
    <row r="54163" hidden="1" x14ac:dyDescent="0.35"/>
    <row r="54164" hidden="1" x14ac:dyDescent="0.35"/>
    <row r="54165" hidden="1" x14ac:dyDescent="0.35"/>
    <row r="54166" hidden="1" x14ac:dyDescent="0.35"/>
    <row r="54167" hidden="1" x14ac:dyDescent="0.35"/>
    <row r="54168" hidden="1" x14ac:dyDescent="0.35"/>
    <row r="54169" hidden="1" x14ac:dyDescent="0.35"/>
    <row r="54170" hidden="1" x14ac:dyDescent="0.35"/>
    <row r="54171" hidden="1" x14ac:dyDescent="0.35"/>
    <row r="54172" hidden="1" x14ac:dyDescent="0.35"/>
    <row r="54173" hidden="1" x14ac:dyDescent="0.35"/>
    <row r="54174" hidden="1" x14ac:dyDescent="0.35"/>
    <row r="54175" hidden="1" x14ac:dyDescent="0.35"/>
    <row r="54176" hidden="1" x14ac:dyDescent="0.35"/>
    <row r="54177" hidden="1" x14ac:dyDescent="0.35"/>
    <row r="54178" hidden="1" x14ac:dyDescent="0.35"/>
    <row r="54179" hidden="1" x14ac:dyDescent="0.35"/>
    <row r="54180" hidden="1" x14ac:dyDescent="0.35"/>
    <row r="54181" hidden="1" x14ac:dyDescent="0.35"/>
    <row r="54182" hidden="1" x14ac:dyDescent="0.35"/>
    <row r="54183" hidden="1" x14ac:dyDescent="0.35"/>
    <row r="54184" hidden="1" x14ac:dyDescent="0.35"/>
    <row r="54185" hidden="1" x14ac:dyDescent="0.35"/>
    <row r="54186" hidden="1" x14ac:dyDescent="0.35"/>
    <row r="54187" hidden="1" x14ac:dyDescent="0.35"/>
    <row r="54188" hidden="1" x14ac:dyDescent="0.35"/>
    <row r="54189" hidden="1" x14ac:dyDescent="0.35"/>
    <row r="54190" hidden="1" x14ac:dyDescent="0.35"/>
    <row r="54191" hidden="1" x14ac:dyDescent="0.35"/>
    <row r="54192" hidden="1" x14ac:dyDescent="0.35"/>
    <row r="54193" hidden="1" x14ac:dyDescent="0.35"/>
    <row r="54194" hidden="1" x14ac:dyDescent="0.35"/>
    <row r="54195" hidden="1" x14ac:dyDescent="0.35"/>
    <row r="54196" hidden="1" x14ac:dyDescent="0.35"/>
    <row r="54197" hidden="1" x14ac:dyDescent="0.35"/>
    <row r="54198" hidden="1" x14ac:dyDescent="0.35"/>
    <row r="54199" hidden="1" x14ac:dyDescent="0.35"/>
    <row r="54200" hidden="1" x14ac:dyDescent="0.35"/>
    <row r="54201" hidden="1" x14ac:dyDescent="0.35"/>
    <row r="54202" hidden="1" x14ac:dyDescent="0.35"/>
    <row r="54203" hidden="1" x14ac:dyDescent="0.35"/>
    <row r="54204" hidden="1" x14ac:dyDescent="0.35"/>
    <row r="54205" hidden="1" x14ac:dyDescent="0.35"/>
    <row r="54206" hidden="1" x14ac:dyDescent="0.35"/>
    <row r="54207" hidden="1" x14ac:dyDescent="0.35"/>
    <row r="54208" hidden="1" x14ac:dyDescent="0.35"/>
    <row r="54209" hidden="1" x14ac:dyDescent="0.35"/>
    <row r="54210" hidden="1" x14ac:dyDescent="0.35"/>
    <row r="54211" hidden="1" x14ac:dyDescent="0.35"/>
    <row r="54212" hidden="1" x14ac:dyDescent="0.35"/>
    <row r="54213" hidden="1" x14ac:dyDescent="0.35"/>
    <row r="54214" hidden="1" x14ac:dyDescent="0.35"/>
    <row r="54215" hidden="1" x14ac:dyDescent="0.35"/>
    <row r="54216" hidden="1" x14ac:dyDescent="0.35"/>
    <row r="54217" hidden="1" x14ac:dyDescent="0.35"/>
    <row r="54218" hidden="1" x14ac:dyDescent="0.35"/>
    <row r="54219" hidden="1" x14ac:dyDescent="0.35"/>
    <row r="54220" hidden="1" x14ac:dyDescent="0.35"/>
    <row r="54221" hidden="1" x14ac:dyDescent="0.35"/>
    <row r="54222" hidden="1" x14ac:dyDescent="0.35"/>
    <row r="54223" hidden="1" x14ac:dyDescent="0.35"/>
    <row r="54224" hidden="1" x14ac:dyDescent="0.35"/>
    <row r="54225" hidden="1" x14ac:dyDescent="0.35"/>
    <row r="54226" hidden="1" x14ac:dyDescent="0.35"/>
    <row r="54227" hidden="1" x14ac:dyDescent="0.35"/>
    <row r="54228" hidden="1" x14ac:dyDescent="0.35"/>
    <row r="54229" hidden="1" x14ac:dyDescent="0.35"/>
    <row r="54230" hidden="1" x14ac:dyDescent="0.35"/>
    <row r="54231" hidden="1" x14ac:dyDescent="0.35"/>
    <row r="54232" hidden="1" x14ac:dyDescent="0.35"/>
    <row r="54233" hidden="1" x14ac:dyDescent="0.35"/>
    <row r="54234" hidden="1" x14ac:dyDescent="0.35"/>
    <row r="54235" hidden="1" x14ac:dyDescent="0.35"/>
    <row r="54236" hidden="1" x14ac:dyDescent="0.35"/>
    <row r="54237" hidden="1" x14ac:dyDescent="0.35"/>
    <row r="54238" hidden="1" x14ac:dyDescent="0.35"/>
    <row r="54239" hidden="1" x14ac:dyDescent="0.35"/>
    <row r="54240" hidden="1" x14ac:dyDescent="0.35"/>
    <row r="54241" hidden="1" x14ac:dyDescent="0.35"/>
    <row r="54242" hidden="1" x14ac:dyDescent="0.35"/>
    <row r="54243" hidden="1" x14ac:dyDescent="0.35"/>
    <row r="54244" hidden="1" x14ac:dyDescent="0.35"/>
    <row r="54245" hidden="1" x14ac:dyDescent="0.35"/>
    <row r="54246" hidden="1" x14ac:dyDescent="0.35"/>
    <row r="54247" hidden="1" x14ac:dyDescent="0.35"/>
    <row r="54248" hidden="1" x14ac:dyDescent="0.35"/>
    <row r="54249" hidden="1" x14ac:dyDescent="0.35"/>
    <row r="54250" hidden="1" x14ac:dyDescent="0.35"/>
    <row r="54251" hidden="1" x14ac:dyDescent="0.35"/>
    <row r="54252" hidden="1" x14ac:dyDescent="0.35"/>
    <row r="54253" hidden="1" x14ac:dyDescent="0.35"/>
    <row r="54254" hidden="1" x14ac:dyDescent="0.35"/>
    <row r="54255" hidden="1" x14ac:dyDescent="0.35"/>
    <row r="54256" hidden="1" x14ac:dyDescent="0.35"/>
    <row r="54257" hidden="1" x14ac:dyDescent="0.35"/>
    <row r="54258" hidden="1" x14ac:dyDescent="0.35"/>
    <row r="54259" hidden="1" x14ac:dyDescent="0.35"/>
    <row r="54260" hidden="1" x14ac:dyDescent="0.35"/>
    <row r="54261" hidden="1" x14ac:dyDescent="0.35"/>
    <row r="54262" hidden="1" x14ac:dyDescent="0.35"/>
    <row r="54263" hidden="1" x14ac:dyDescent="0.35"/>
    <row r="54264" hidden="1" x14ac:dyDescent="0.35"/>
    <row r="54265" hidden="1" x14ac:dyDescent="0.35"/>
    <row r="54266" hidden="1" x14ac:dyDescent="0.35"/>
    <row r="54267" hidden="1" x14ac:dyDescent="0.35"/>
    <row r="54268" hidden="1" x14ac:dyDescent="0.35"/>
    <row r="54269" hidden="1" x14ac:dyDescent="0.35"/>
    <row r="54270" hidden="1" x14ac:dyDescent="0.35"/>
    <row r="54271" hidden="1" x14ac:dyDescent="0.35"/>
    <row r="54272" hidden="1" x14ac:dyDescent="0.35"/>
    <row r="54273" hidden="1" x14ac:dyDescent="0.35"/>
    <row r="54274" hidden="1" x14ac:dyDescent="0.35"/>
    <row r="54275" hidden="1" x14ac:dyDescent="0.35"/>
    <row r="54276" hidden="1" x14ac:dyDescent="0.35"/>
    <row r="54277" hidden="1" x14ac:dyDescent="0.35"/>
    <row r="54278" hidden="1" x14ac:dyDescent="0.35"/>
    <row r="54279" hidden="1" x14ac:dyDescent="0.35"/>
    <row r="54280" hidden="1" x14ac:dyDescent="0.35"/>
    <row r="54281" hidden="1" x14ac:dyDescent="0.35"/>
    <row r="54282" hidden="1" x14ac:dyDescent="0.35"/>
    <row r="54283" hidden="1" x14ac:dyDescent="0.35"/>
    <row r="54284" hidden="1" x14ac:dyDescent="0.35"/>
    <row r="54285" hidden="1" x14ac:dyDescent="0.35"/>
    <row r="54286" hidden="1" x14ac:dyDescent="0.35"/>
    <row r="54287" hidden="1" x14ac:dyDescent="0.35"/>
    <row r="54288" hidden="1" x14ac:dyDescent="0.35"/>
    <row r="54289" hidden="1" x14ac:dyDescent="0.35"/>
    <row r="54290" hidden="1" x14ac:dyDescent="0.35"/>
    <row r="54291" hidden="1" x14ac:dyDescent="0.35"/>
    <row r="54292" hidden="1" x14ac:dyDescent="0.35"/>
    <row r="54293" hidden="1" x14ac:dyDescent="0.35"/>
    <row r="54294" hidden="1" x14ac:dyDescent="0.35"/>
    <row r="54295" hidden="1" x14ac:dyDescent="0.35"/>
    <row r="54296" hidden="1" x14ac:dyDescent="0.35"/>
    <row r="54297" hidden="1" x14ac:dyDescent="0.35"/>
    <row r="54298" hidden="1" x14ac:dyDescent="0.35"/>
    <row r="54299" hidden="1" x14ac:dyDescent="0.35"/>
    <row r="54300" hidden="1" x14ac:dyDescent="0.35"/>
    <row r="54301" hidden="1" x14ac:dyDescent="0.35"/>
    <row r="54302" hidden="1" x14ac:dyDescent="0.35"/>
    <row r="54303" hidden="1" x14ac:dyDescent="0.35"/>
    <row r="54304" hidden="1" x14ac:dyDescent="0.35"/>
    <row r="54305" hidden="1" x14ac:dyDescent="0.35"/>
    <row r="54306" hidden="1" x14ac:dyDescent="0.35"/>
    <row r="54307" hidden="1" x14ac:dyDescent="0.35"/>
    <row r="54308" hidden="1" x14ac:dyDescent="0.35"/>
    <row r="54309" hidden="1" x14ac:dyDescent="0.35"/>
    <row r="54310" hidden="1" x14ac:dyDescent="0.35"/>
    <row r="54311" hidden="1" x14ac:dyDescent="0.35"/>
    <row r="54312" hidden="1" x14ac:dyDescent="0.35"/>
    <row r="54313" hidden="1" x14ac:dyDescent="0.35"/>
    <row r="54314" hidden="1" x14ac:dyDescent="0.35"/>
    <row r="54315" hidden="1" x14ac:dyDescent="0.35"/>
    <row r="54316" hidden="1" x14ac:dyDescent="0.35"/>
    <row r="54317" hidden="1" x14ac:dyDescent="0.35"/>
    <row r="54318" hidden="1" x14ac:dyDescent="0.35"/>
    <row r="54319" hidden="1" x14ac:dyDescent="0.35"/>
    <row r="54320" hidden="1" x14ac:dyDescent="0.35"/>
    <row r="54321" hidden="1" x14ac:dyDescent="0.35"/>
    <row r="54322" hidden="1" x14ac:dyDescent="0.35"/>
    <row r="54323" hidden="1" x14ac:dyDescent="0.35"/>
    <row r="54324" hidden="1" x14ac:dyDescent="0.35"/>
    <row r="54325" hidden="1" x14ac:dyDescent="0.35"/>
    <row r="54326" hidden="1" x14ac:dyDescent="0.35"/>
    <row r="54327" hidden="1" x14ac:dyDescent="0.35"/>
    <row r="54328" hidden="1" x14ac:dyDescent="0.35"/>
    <row r="54329" hidden="1" x14ac:dyDescent="0.35"/>
    <row r="54330" hidden="1" x14ac:dyDescent="0.35"/>
    <row r="54331" hidden="1" x14ac:dyDescent="0.35"/>
    <row r="54332" hidden="1" x14ac:dyDescent="0.35"/>
    <row r="54333" hidden="1" x14ac:dyDescent="0.35"/>
    <row r="54334" hidden="1" x14ac:dyDescent="0.35"/>
    <row r="54335" hidden="1" x14ac:dyDescent="0.35"/>
    <row r="54336" hidden="1" x14ac:dyDescent="0.35"/>
    <row r="54337" hidden="1" x14ac:dyDescent="0.35"/>
    <row r="54338" hidden="1" x14ac:dyDescent="0.35"/>
    <row r="54339" hidden="1" x14ac:dyDescent="0.35"/>
    <row r="54340" hidden="1" x14ac:dyDescent="0.35"/>
    <row r="54341" hidden="1" x14ac:dyDescent="0.35"/>
    <row r="54342" hidden="1" x14ac:dyDescent="0.35"/>
    <row r="54343" hidden="1" x14ac:dyDescent="0.35"/>
    <row r="54344" hidden="1" x14ac:dyDescent="0.35"/>
    <row r="54345" hidden="1" x14ac:dyDescent="0.35"/>
    <row r="54346" hidden="1" x14ac:dyDescent="0.35"/>
    <row r="54347" hidden="1" x14ac:dyDescent="0.35"/>
    <row r="54348" hidden="1" x14ac:dyDescent="0.35"/>
    <row r="54349" hidden="1" x14ac:dyDescent="0.35"/>
    <row r="54350" hidden="1" x14ac:dyDescent="0.35"/>
    <row r="54351" hidden="1" x14ac:dyDescent="0.35"/>
    <row r="54352" hidden="1" x14ac:dyDescent="0.35"/>
    <row r="54353" hidden="1" x14ac:dyDescent="0.35"/>
    <row r="54354" hidden="1" x14ac:dyDescent="0.35"/>
    <row r="54355" hidden="1" x14ac:dyDescent="0.35"/>
    <row r="54356" hidden="1" x14ac:dyDescent="0.35"/>
    <row r="54357" hidden="1" x14ac:dyDescent="0.35"/>
    <row r="54358" hidden="1" x14ac:dyDescent="0.35"/>
    <row r="54359" hidden="1" x14ac:dyDescent="0.35"/>
    <row r="54360" hidden="1" x14ac:dyDescent="0.35"/>
    <row r="54361" hidden="1" x14ac:dyDescent="0.35"/>
    <row r="54362" hidden="1" x14ac:dyDescent="0.35"/>
    <row r="54363" hidden="1" x14ac:dyDescent="0.35"/>
    <row r="54364" hidden="1" x14ac:dyDescent="0.35"/>
    <row r="54365" hidden="1" x14ac:dyDescent="0.35"/>
    <row r="54366" hidden="1" x14ac:dyDescent="0.35"/>
    <row r="54367" hidden="1" x14ac:dyDescent="0.35"/>
    <row r="54368" hidden="1" x14ac:dyDescent="0.35"/>
    <row r="54369" hidden="1" x14ac:dyDescent="0.35"/>
    <row r="54370" hidden="1" x14ac:dyDescent="0.35"/>
    <row r="54371" hidden="1" x14ac:dyDescent="0.35"/>
    <row r="54372" hidden="1" x14ac:dyDescent="0.35"/>
    <row r="54373" hidden="1" x14ac:dyDescent="0.35"/>
    <row r="54374" hidden="1" x14ac:dyDescent="0.35"/>
    <row r="54375" hidden="1" x14ac:dyDescent="0.35"/>
    <row r="54376" hidden="1" x14ac:dyDescent="0.35"/>
    <row r="54377" hidden="1" x14ac:dyDescent="0.35"/>
    <row r="54378" hidden="1" x14ac:dyDescent="0.35"/>
    <row r="54379" hidden="1" x14ac:dyDescent="0.35"/>
    <row r="54380" hidden="1" x14ac:dyDescent="0.35"/>
    <row r="54381" hidden="1" x14ac:dyDescent="0.35"/>
    <row r="54382" hidden="1" x14ac:dyDescent="0.35"/>
    <row r="54383" hidden="1" x14ac:dyDescent="0.35"/>
    <row r="54384" hidden="1" x14ac:dyDescent="0.35"/>
    <row r="54385" hidden="1" x14ac:dyDescent="0.35"/>
    <row r="54386" hidden="1" x14ac:dyDescent="0.35"/>
    <row r="54387" hidden="1" x14ac:dyDescent="0.35"/>
    <row r="54388" hidden="1" x14ac:dyDescent="0.35"/>
    <row r="54389" hidden="1" x14ac:dyDescent="0.35"/>
    <row r="54390" hidden="1" x14ac:dyDescent="0.35"/>
    <row r="54391" hidden="1" x14ac:dyDescent="0.35"/>
    <row r="54392" hidden="1" x14ac:dyDescent="0.35"/>
    <row r="54393" hidden="1" x14ac:dyDescent="0.35"/>
    <row r="54394" hidden="1" x14ac:dyDescent="0.35"/>
    <row r="54395" hidden="1" x14ac:dyDescent="0.35"/>
    <row r="54396" hidden="1" x14ac:dyDescent="0.35"/>
    <row r="54397" hidden="1" x14ac:dyDescent="0.35"/>
    <row r="54398" hidden="1" x14ac:dyDescent="0.35"/>
    <row r="54399" hidden="1" x14ac:dyDescent="0.35"/>
    <row r="54400" hidden="1" x14ac:dyDescent="0.35"/>
    <row r="54401" hidden="1" x14ac:dyDescent="0.35"/>
    <row r="54402" hidden="1" x14ac:dyDescent="0.35"/>
    <row r="54403" hidden="1" x14ac:dyDescent="0.35"/>
    <row r="54404" hidden="1" x14ac:dyDescent="0.35"/>
    <row r="54405" hidden="1" x14ac:dyDescent="0.35"/>
    <row r="54406" hidden="1" x14ac:dyDescent="0.35"/>
    <row r="54407" hidden="1" x14ac:dyDescent="0.35"/>
    <row r="54408" hidden="1" x14ac:dyDescent="0.35"/>
    <row r="54409" hidden="1" x14ac:dyDescent="0.35"/>
    <row r="54410" hidden="1" x14ac:dyDescent="0.35"/>
    <row r="54411" hidden="1" x14ac:dyDescent="0.35"/>
    <row r="54412" hidden="1" x14ac:dyDescent="0.35"/>
    <row r="54413" hidden="1" x14ac:dyDescent="0.35"/>
    <row r="54414" hidden="1" x14ac:dyDescent="0.35"/>
    <row r="54415" hidden="1" x14ac:dyDescent="0.35"/>
    <row r="54416" hidden="1" x14ac:dyDescent="0.35"/>
    <row r="54417" hidden="1" x14ac:dyDescent="0.35"/>
    <row r="54418" hidden="1" x14ac:dyDescent="0.35"/>
    <row r="54419" hidden="1" x14ac:dyDescent="0.35"/>
    <row r="54420" hidden="1" x14ac:dyDescent="0.35"/>
    <row r="54421" hidden="1" x14ac:dyDescent="0.35"/>
    <row r="54422" hidden="1" x14ac:dyDescent="0.35"/>
    <row r="54423" hidden="1" x14ac:dyDescent="0.35"/>
    <row r="54424" hidden="1" x14ac:dyDescent="0.35"/>
    <row r="54425" hidden="1" x14ac:dyDescent="0.35"/>
    <row r="54426" hidden="1" x14ac:dyDescent="0.35"/>
    <row r="54427" hidden="1" x14ac:dyDescent="0.35"/>
    <row r="54428" hidden="1" x14ac:dyDescent="0.35"/>
    <row r="54429" hidden="1" x14ac:dyDescent="0.35"/>
    <row r="54430" hidden="1" x14ac:dyDescent="0.35"/>
    <row r="54431" hidden="1" x14ac:dyDescent="0.35"/>
    <row r="54432" hidden="1" x14ac:dyDescent="0.35"/>
    <row r="54433" hidden="1" x14ac:dyDescent="0.35"/>
    <row r="54434" hidden="1" x14ac:dyDescent="0.35"/>
    <row r="54435" hidden="1" x14ac:dyDescent="0.35"/>
    <row r="54436" hidden="1" x14ac:dyDescent="0.35"/>
    <row r="54437" hidden="1" x14ac:dyDescent="0.35"/>
    <row r="54438" hidden="1" x14ac:dyDescent="0.35"/>
    <row r="54439" hidden="1" x14ac:dyDescent="0.35"/>
    <row r="54440" hidden="1" x14ac:dyDescent="0.35"/>
    <row r="54441" hidden="1" x14ac:dyDescent="0.35"/>
    <row r="54442" hidden="1" x14ac:dyDescent="0.35"/>
    <row r="54443" hidden="1" x14ac:dyDescent="0.35"/>
    <row r="54444" hidden="1" x14ac:dyDescent="0.35"/>
    <row r="54445" hidden="1" x14ac:dyDescent="0.35"/>
    <row r="54446" hidden="1" x14ac:dyDescent="0.35"/>
    <row r="54447" hidden="1" x14ac:dyDescent="0.35"/>
    <row r="54448" hidden="1" x14ac:dyDescent="0.35"/>
    <row r="54449" hidden="1" x14ac:dyDescent="0.35"/>
    <row r="54450" hidden="1" x14ac:dyDescent="0.35"/>
    <row r="54451" hidden="1" x14ac:dyDescent="0.35"/>
    <row r="54452" hidden="1" x14ac:dyDescent="0.35"/>
    <row r="54453" hidden="1" x14ac:dyDescent="0.35"/>
    <row r="54454" hidden="1" x14ac:dyDescent="0.35"/>
    <row r="54455" hidden="1" x14ac:dyDescent="0.35"/>
    <row r="54456" hidden="1" x14ac:dyDescent="0.35"/>
    <row r="54457" hidden="1" x14ac:dyDescent="0.35"/>
    <row r="54458" hidden="1" x14ac:dyDescent="0.35"/>
    <row r="54459" hidden="1" x14ac:dyDescent="0.35"/>
    <row r="54460" hidden="1" x14ac:dyDescent="0.35"/>
    <row r="54461" hidden="1" x14ac:dyDescent="0.35"/>
    <row r="54462" hidden="1" x14ac:dyDescent="0.35"/>
    <row r="54463" hidden="1" x14ac:dyDescent="0.35"/>
    <row r="54464" hidden="1" x14ac:dyDescent="0.35"/>
    <row r="54465" hidden="1" x14ac:dyDescent="0.35"/>
    <row r="54466" hidden="1" x14ac:dyDescent="0.35"/>
    <row r="54467" hidden="1" x14ac:dyDescent="0.35"/>
    <row r="54468" hidden="1" x14ac:dyDescent="0.35"/>
    <row r="54469" hidden="1" x14ac:dyDescent="0.35"/>
    <row r="54470" hidden="1" x14ac:dyDescent="0.35"/>
    <row r="54471" hidden="1" x14ac:dyDescent="0.35"/>
    <row r="54472" hidden="1" x14ac:dyDescent="0.35"/>
    <row r="54473" hidden="1" x14ac:dyDescent="0.35"/>
    <row r="54474" hidden="1" x14ac:dyDescent="0.35"/>
    <row r="54475" hidden="1" x14ac:dyDescent="0.35"/>
    <row r="54476" hidden="1" x14ac:dyDescent="0.35"/>
    <row r="54477" hidden="1" x14ac:dyDescent="0.35"/>
    <row r="54478" hidden="1" x14ac:dyDescent="0.35"/>
    <row r="54479" hidden="1" x14ac:dyDescent="0.35"/>
    <row r="54480" hidden="1" x14ac:dyDescent="0.35"/>
    <row r="54481" hidden="1" x14ac:dyDescent="0.35"/>
    <row r="54482" hidden="1" x14ac:dyDescent="0.35"/>
    <row r="54483" hidden="1" x14ac:dyDescent="0.35"/>
    <row r="54484" hidden="1" x14ac:dyDescent="0.35"/>
    <row r="54485" hidden="1" x14ac:dyDescent="0.35"/>
    <row r="54486" hidden="1" x14ac:dyDescent="0.35"/>
    <row r="54487" hidden="1" x14ac:dyDescent="0.35"/>
    <row r="54488" hidden="1" x14ac:dyDescent="0.35"/>
    <row r="54489" hidden="1" x14ac:dyDescent="0.35"/>
    <row r="54490" hidden="1" x14ac:dyDescent="0.35"/>
    <row r="54491" hidden="1" x14ac:dyDescent="0.35"/>
    <row r="54492" hidden="1" x14ac:dyDescent="0.35"/>
    <row r="54493" hidden="1" x14ac:dyDescent="0.35"/>
    <row r="54494" hidden="1" x14ac:dyDescent="0.35"/>
    <row r="54495" hidden="1" x14ac:dyDescent="0.35"/>
    <row r="54496" hidden="1" x14ac:dyDescent="0.35"/>
    <row r="54497" hidden="1" x14ac:dyDescent="0.35"/>
    <row r="54498" hidden="1" x14ac:dyDescent="0.35"/>
    <row r="54499" hidden="1" x14ac:dyDescent="0.35"/>
    <row r="54500" hidden="1" x14ac:dyDescent="0.35"/>
    <row r="54501" hidden="1" x14ac:dyDescent="0.35"/>
    <row r="54502" hidden="1" x14ac:dyDescent="0.35"/>
    <row r="54503" hidden="1" x14ac:dyDescent="0.35"/>
    <row r="54504" hidden="1" x14ac:dyDescent="0.35"/>
    <row r="54505" hidden="1" x14ac:dyDescent="0.35"/>
    <row r="54506" hidden="1" x14ac:dyDescent="0.35"/>
    <row r="54507" hidden="1" x14ac:dyDescent="0.35"/>
    <row r="54508" hidden="1" x14ac:dyDescent="0.35"/>
    <row r="54509" hidden="1" x14ac:dyDescent="0.35"/>
    <row r="54510" hidden="1" x14ac:dyDescent="0.35"/>
    <row r="54511" hidden="1" x14ac:dyDescent="0.35"/>
    <row r="54512" hidden="1" x14ac:dyDescent="0.35"/>
    <row r="54513" hidden="1" x14ac:dyDescent="0.35"/>
    <row r="54514" hidden="1" x14ac:dyDescent="0.35"/>
    <row r="54515" hidden="1" x14ac:dyDescent="0.35"/>
    <row r="54516" hidden="1" x14ac:dyDescent="0.35"/>
    <row r="54517" hidden="1" x14ac:dyDescent="0.35"/>
    <row r="54518" hidden="1" x14ac:dyDescent="0.35"/>
    <row r="54519" hidden="1" x14ac:dyDescent="0.35"/>
    <row r="54520" hidden="1" x14ac:dyDescent="0.35"/>
    <row r="54521" hidden="1" x14ac:dyDescent="0.35"/>
    <row r="54522" hidden="1" x14ac:dyDescent="0.35"/>
    <row r="54523" hidden="1" x14ac:dyDescent="0.35"/>
    <row r="54524" hidden="1" x14ac:dyDescent="0.35"/>
    <row r="54525" hidden="1" x14ac:dyDescent="0.35"/>
    <row r="54526" hidden="1" x14ac:dyDescent="0.35"/>
    <row r="54527" hidden="1" x14ac:dyDescent="0.35"/>
    <row r="54528" hidden="1" x14ac:dyDescent="0.35"/>
    <row r="54529" hidden="1" x14ac:dyDescent="0.35"/>
    <row r="54530" hidden="1" x14ac:dyDescent="0.35"/>
    <row r="54531" hidden="1" x14ac:dyDescent="0.35"/>
    <row r="54532" hidden="1" x14ac:dyDescent="0.35"/>
    <row r="54533" hidden="1" x14ac:dyDescent="0.35"/>
    <row r="54534" hidden="1" x14ac:dyDescent="0.35"/>
    <row r="54535" hidden="1" x14ac:dyDescent="0.35"/>
    <row r="54536" hidden="1" x14ac:dyDescent="0.35"/>
    <row r="54537" hidden="1" x14ac:dyDescent="0.35"/>
    <row r="54538" hidden="1" x14ac:dyDescent="0.35"/>
    <row r="54539" hidden="1" x14ac:dyDescent="0.35"/>
    <row r="54540" hidden="1" x14ac:dyDescent="0.35"/>
    <row r="54541" hidden="1" x14ac:dyDescent="0.35"/>
    <row r="54542" hidden="1" x14ac:dyDescent="0.35"/>
    <row r="54543" hidden="1" x14ac:dyDescent="0.35"/>
    <row r="54544" hidden="1" x14ac:dyDescent="0.35"/>
    <row r="54545" hidden="1" x14ac:dyDescent="0.35"/>
    <row r="54546" hidden="1" x14ac:dyDescent="0.35"/>
    <row r="54547" hidden="1" x14ac:dyDescent="0.35"/>
    <row r="54548" hidden="1" x14ac:dyDescent="0.35"/>
    <row r="54549" hidden="1" x14ac:dyDescent="0.35"/>
    <row r="54550" hidden="1" x14ac:dyDescent="0.35"/>
    <row r="54551" hidden="1" x14ac:dyDescent="0.35"/>
    <row r="54552" hidden="1" x14ac:dyDescent="0.35"/>
    <row r="54553" hidden="1" x14ac:dyDescent="0.35"/>
    <row r="54554" hidden="1" x14ac:dyDescent="0.35"/>
    <row r="54555" hidden="1" x14ac:dyDescent="0.35"/>
    <row r="54556" hidden="1" x14ac:dyDescent="0.35"/>
    <row r="54557" hidden="1" x14ac:dyDescent="0.35"/>
    <row r="54558" hidden="1" x14ac:dyDescent="0.35"/>
    <row r="54559" hidden="1" x14ac:dyDescent="0.35"/>
    <row r="54560" hidden="1" x14ac:dyDescent="0.35"/>
    <row r="54561" hidden="1" x14ac:dyDescent="0.35"/>
    <row r="54562" hidden="1" x14ac:dyDescent="0.35"/>
    <row r="54563" hidden="1" x14ac:dyDescent="0.35"/>
    <row r="54564" hidden="1" x14ac:dyDescent="0.35"/>
    <row r="54565" hidden="1" x14ac:dyDescent="0.35"/>
    <row r="54566" hidden="1" x14ac:dyDescent="0.35"/>
    <row r="54567" hidden="1" x14ac:dyDescent="0.35"/>
    <row r="54568" hidden="1" x14ac:dyDescent="0.35"/>
    <row r="54569" hidden="1" x14ac:dyDescent="0.35"/>
    <row r="54570" hidden="1" x14ac:dyDescent="0.35"/>
    <row r="54571" hidden="1" x14ac:dyDescent="0.35"/>
    <row r="54572" hidden="1" x14ac:dyDescent="0.35"/>
    <row r="54573" hidden="1" x14ac:dyDescent="0.35"/>
    <row r="54574" hidden="1" x14ac:dyDescent="0.35"/>
    <row r="54575" hidden="1" x14ac:dyDescent="0.35"/>
    <row r="54576" hidden="1" x14ac:dyDescent="0.35"/>
    <row r="54577" hidden="1" x14ac:dyDescent="0.35"/>
    <row r="54578" hidden="1" x14ac:dyDescent="0.35"/>
    <row r="54579" hidden="1" x14ac:dyDescent="0.35"/>
    <row r="54580" hidden="1" x14ac:dyDescent="0.35"/>
    <row r="54581" hidden="1" x14ac:dyDescent="0.35"/>
    <row r="54582" hidden="1" x14ac:dyDescent="0.35"/>
    <row r="54583" hidden="1" x14ac:dyDescent="0.35"/>
    <row r="54584" hidden="1" x14ac:dyDescent="0.35"/>
    <row r="54585" hidden="1" x14ac:dyDescent="0.35"/>
    <row r="54586" hidden="1" x14ac:dyDescent="0.35"/>
    <row r="54587" hidden="1" x14ac:dyDescent="0.35"/>
    <row r="54588" hidden="1" x14ac:dyDescent="0.35"/>
    <row r="54589" hidden="1" x14ac:dyDescent="0.35"/>
    <row r="54590" hidden="1" x14ac:dyDescent="0.35"/>
    <row r="54591" hidden="1" x14ac:dyDescent="0.35"/>
    <row r="54592" hidden="1" x14ac:dyDescent="0.35"/>
    <row r="54593" hidden="1" x14ac:dyDescent="0.35"/>
    <row r="54594" hidden="1" x14ac:dyDescent="0.35"/>
    <row r="54595" hidden="1" x14ac:dyDescent="0.35"/>
    <row r="54596" hidden="1" x14ac:dyDescent="0.35"/>
    <row r="54597" hidden="1" x14ac:dyDescent="0.35"/>
    <row r="54598" hidden="1" x14ac:dyDescent="0.35"/>
    <row r="54599" hidden="1" x14ac:dyDescent="0.35"/>
    <row r="54600" hidden="1" x14ac:dyDescent="0.35"/>
    <row r="54601" hidden="1" x14ac:dyDescent="0.35"/>
    <row r="54602" hidden="1" x14ac:dyDescent="0.35"/>
    <row r="54603" hidden="1" x14ac:dyDescent="0.35"/>
    <row r="54604" hidden="1" x14ac:dyDescent="0.35"/>
    <row r="54605" hidden="1" x14ac:dyDescent="0.35"/>
    <row r="54606" hidden="1" x14ac:dyDescent="0.35"/>
    <row r="54607" hidden="1" x14ac:dyDescent="0.35"/>
    <row r="54608" hidden="1" x14ac:dyDescent="0.35"/>
    <row r="54609" hidden="1" x14ac:dyDescent="0.35"/>
    <row r="54610" hidden="1" x14ac:dyDescent="0.35"/>
    <row r="54611" hidden="1" x14ac:dyDescent="0.35"/>
    <row r="54612" hidden="1" x14ac:dyDescent="0.35"/>
    <row r="54613" hidden="1" x14ac:dyDescent="0.35"/>
    <row r="54614" hidden="1" x14ac:dyDescent="0.35"/>
    <row r="54615" hidden="1" x14ac:dyDescent="0.35"/>
    <row r="54616" hidden="1" x14ac:dyDescent="0.35"/>
    <row r="54617" hidden="1" x14ac:dyDescent="0.35"/>
    <row r="54618" hidden="1" x14ac:dyDescent="0.35"/>
    <row r="54619" hidden="1" x14ac:dyDescent="0.35"/>
    <row r="54620" hidden="1" x14ac:dyDescent="0.35"/>
    <row r="54621" hidden="1" x14ac:dyDescent="0.35"/>
    <row r="54622" hidden="1" x14ac:dyDescent="0.35"/>
    <row r="54623" hidden="1" x14ac:dyDescent="0.35"/>
    <row r="54624" hidden="1" x14ac:dyDescent="0.35"/>
    <row r="54625" hidden="1" x14ac:dyDescent="0.35"/>
    <row r="54626" hidden="1" x14ac:dyDescent="0.35"/>
    <row r="54627" hidden="1" x14ac:dyDescent="0.35"/>
    <row r="54628" hidden="1" x14ac:dyDescent="0.35"/>
    <row r="54629" hidden="1" x14ac:dyDescent="0.35"/>
    <row r="54630" hidden="1" x14ac:dyDescent="0.35"/>
    <row r="54631" hidden="1" x14ac:dyDescent="0.35"/>
    <row r="54632" hidden="1" x14ac:dyDescent="0.35"/>
    <row r="54633" hidden="1" x14ac:dyDescent="0.35"/>
    <row r="54634" hidden="1" x14ac:dyDescent="0.35"/>
    <row r="54635" hidden="1" x14ac:dyDescent="0.35"/>
    <row r="54636" hidden="1" x14ac:dyDescent="0.35"/>
    <row r="54637" hidden="1" x14ac:dyDescent="0.35"/>
    <row r="54638" hidden="1" x14ac:dyDescent="0.35"/>
    <row r="54639" hidden="1" x14ac:dyDescent="0.35"/>
    <row r="54640" hidden="1" x14ac:dyDescent="0.35"/>
    <row r="54641" hidden="1" x14ac:dyDescent="0.35"/>
    <row r="54642" hidden="1" x14ac:dyDescent="0.35"/>
    <row r="54643" hidden="1" x14ac:dyDescent="0.35"/>
    <row r="54644" hidden="1" x14ac:dyDescent="0.35"/>
    <row r="54645" hidden="1" x14ac:dyDescent="0.35"/>
    <row r="54646" hidden="1" x14ac:dyDescent="0.35"/>
    <row r="54647" hidden="1" x14ac:dyDescent="0.35"/>
    <row r="54648" hidden="1" x14ac:dyDescent="0.35"/>
    <row r="54649" hidden="1" x14ac:dyDescent="0.35"/>
    <row r="54650" hidden="1" x14ac:dyDescent="0.35"/>
    <row r="54651" hidden="1" x14ac:dyDescent="0.35"/>
    <row r="54652" hidden="1" x14ac:dyDescent="0.35"/>
    <row r="54653" hidden="1" x14ac:dyDescent="0.35"/>
    <row r="54654" hidden="1" x14ac:dyDescent="0.35"/>
    <row r="54655" hidden="1" x14ac:dyDescent="0.35"/>
    <row r="54656" hidden="1" x14ac:dyDescent="0.35"/>
    <row r="54657" hidden="1" x14ac:dyDescent="0.35"/>
    <row r="54658" hidden="1" x14ac:dyDescent="0.35"/>
    <row r="54659" hidden="1" x14ac:dyDescent="0.35"/>
    <row r="54660" hidden="1" x14ac:dyDescent="0.35"/>
    <row r="54661" hidden="1" x14ac:dyDescent="0.35"/>
    <row r="54662" hidden="1" x14ac:dyDescent="0.35"/>
    <row r="54663" hidden="1" x14ac:dyDescent="0.35"/>
    <row r="54664" hidden="1" x14ac:dyDescent="0.35"/>
    <row r="54665" hidden="1" x14ac:dyDescent="0.35"/>
    <row r="54666" hidden="1" x14ac:dyDescent="0.35"/>
    <row r="54667" hidden="1" x14ac:dyDescent="0.35"/>
    <row r="54668" hidden="1" x14ac:dyDescent="0.35"/>
    <row r="54669" hidden="1" x14ac:dyDescent="0.35"/>
    <row r="54670" hidden="1" x14ac:dyDescent="0.35"/>
    <row r="54671" hidden="1" x14ac:dyDescent="0.35"/>
    <row r="54672" hidden="1" x14ac:dyDescent="0.35"/>
    <row r="54673" hidden="1" x14ac:dyDescent="0.35"/>
    <row r="54674" hidden="1" x14ac:dyDescent="0.35"/>
    <row r="54675" hidden="1" x14ac:dyDescent="0.35"/>
    <row r="54676" hidden="1" x14ac:dyDescent="0.35"/>
    <row r="54677" hidden="1" x14ac:dyDescent="0.35"/>
    <row r="54678" hidden="1" x14ac:dyDescent="0.35"/>
    <row r="54679" hidden="1" x14ac:dyDescent="0.35"/>
    <row r="54680" hidden="1" x14ac:dyDescent="0.35"/>
    <row r="54681" hidden="1" x14ac:dyDescent="0.35"/>
    <row r="54682" hidden="1" x14ac:dyDescent="0.35"/>
    <row r="54683" hidden="1" x14ac:dyDescent="0.35"/>
    <row r="54684" hidden="1" x14ac:dyDescent="0.35"/>
    <row r="54685" hidden="1" x14ac:dyDescent="0.35"/>
    <row r="54686" hidden="1" x14ac:dyDescent="0.35"/>
    <row r="54687" hidden="1" x14ac:dyDescent="0.35"/>
    <row r="54688" hidden="1" x14ac:dyDescent="0.35"/>
    <row r="54689" hidden="1" x14ac:dyDescent="0.35"/>
    <row r="54690" hidden="1" x14ac:dyDescent="0.35"/>
    <row r="54691" hidden="1" x14ac:dyDescent="0.35"/>
    <row r="54692" hidden="1" x14ac:dyDescent="0.35"/>
    <row r="54693" hidden="1" x14ac:dyDescent="0.35"/>
    <row r="54694" hidden="1" x14ac:dyDescent="0.35"/>
    <row r="54695" hidden="1" x14ac:dyDescent="0.35"/>
    <row r="54696" hidden="1" x14ac:dyDescent="0.35"/>
    <row r="54697" hidden="1" x14ac:dyDescent="0.35"/>
    <row r="54698" hidden="1" x14ac:dyDescent="0.35"/>
    <row r="54699" hidden="1" x14ac:dyDescent="0.35"/>
    <row r="54700" hidden="1" x14ac:dyDescent="0.35"/>
    <row r="54701" hidden="1" x14ac:dyDescent="0.35"/>
    <row r="54702" hidden="1" x14ac:dyDescent="0.35"/>
    <row r="54703" hidden="1" x14ac:dyDescent="0.35"/>
    <row r="54704" hidden="1" x14ac:dyDescent="0.35"/>
    <row r="54705" hidden="1" x14ac:dyDescent="0.35"/>
    <row r="54706" hidden="1" x14ac:dyDescent="0.35"/>
    <row r="54707" hidden="1" x14ac:dyDescent="0.35"/>
    <row r="54708" hidden="1" x14ac:dyDescent="0.35"/>
    <row r="54709" hidden="1" x14ac:dyDescent="0.35"/>
    <row r="54710" hidden="1" x14ac:dyDescent="0.35"/>
    <row r="54711" hidden="1" x14ac:dyDescent="0.35"/>
    <row r="54712" hidden="1" x14ac:dyDescent="0.35"/>
    <row r="54713" hidden="1" x14ac:dyDescent="0.35"/>
    <row r="54714" hidden="1" x14ac:dyDescent="0.35"/>
    <row r="54715" hidden="1" x14ac:dyDescent="0.35"/>
    <row r="54716" hidden="1" x14ac:dyDescent="0.35"/>
    <row r="54717" hidden="1" x14ac:dyDescent="0.35"/>
    <row r="54718" hidden="1" x14ac:dyDescent="0.35"/>
    <row r="54719" hidden="1" x14ac:dyDescent="0.35"/>
    <row r="54720" hidden="1" x14ac:dyDescent="0.35"/>
    <row r="54721" hidden="1" x14ac:dyDescent="0.35"/>
    <row r="54722" hidden="1" x14ac:dyDescent="0.35"/>
    <row r="54723" hidden="1" x14ac:dyDescent="0.35"/>
    <row r="54724" hidden="1" x14ac:dyDescent="0.35"/>
    <row r="54725" hidden="1" x14ac:dyDescent="0.35"/>
    <row r="54726" hidden="1" x14ac:dyDescent="0.35"/>
    <row r="54727" hidden="1" x14ac:dyDescent="0.35"/>
    <row r="54728" hidden="1" x14ac:dyDescent="0.35"/>
    <row r="54729" hidden="1" x14ac:dyDescent="0.35"/>
    <row r="54730" hidden="1" x14ac:dyDescent="0.35"/>
    <row r="54731" hidden="1" x14ac:dyDescent="0.35"/>
    <row r="54732" hidden="1" x14ac:dyDescent="0.35"/>
    <row r="54733" hidden="1" x14ac:dyDescent="0.35"/>
    <row r="54734" hidden="1" x14ac:dyDescent="0.35"/>
    <row r="54735" hidden="1" x14ac:dyDescent="0.35"/>
    <row r="54736" hidden="1" x14ac:dyDescent="0.35"/>
    <row r="54737" hidden="1" x14ac:dyDescent="0.35"/>
    <row r="54738" hidden="1" x14ac:dyDescent="0.35"/>
    <row r="54739" hidden="1" x14ac:dyDescent="0.35"/>
    <row r="54740" hidden="1" x14ac:dyDescent="0.35"/>
    <row r="54741" hidden="1" x14ac:dyDescent="0.35"/>
    <row r="54742" hidden="1" x14ac:dyDescent="0.35"/>
    <row r="54743" hidden="1" x14ac:dyDescent="0.35"/>
    <row r="54744" hidden="1" x14ac:dyDescent="0.35"/>
    <row r="54745" hidden="1" x14ac:dyDescent="0.35"/>
    <row r="54746" hidden="1" x14ac:dyDescent="0.35"/>
    <row r="54747" hidden="1" x14ac:dyDescent="0.35"/>
    <row r="54748" hidden="1" x14ac:dyDescent="0.35"/>
    <row r="54749" hidden="1" x14ac:dyDescent="0.35"/>
    <row r="54750" hidden="1" x14ac:dyDescent="0.35"/>
    <row r="54751" hidden="1" x14ac:dyDescent="0.35"/>
    <row r="54752" hidden="1" x14ac:dyDescent="0.35"/>
    <row r="54753" hidden="1" x14ac:dyDescent="0.35"/>
    <row r="54754" hidden="1" x14ac:dyDescent="0.35"/>
    <row r="54755" hidden="1" x14ac:dyDescent="0.35"/>
    <row r="54756" hidden="1" x14ac:dyDescent="0.35"/>
    <row r="54757" hidden="1" x14ac:dyDescent="0.35"/>
    <row r="54758" hidden="1" x14ac:dyDescent="0.35"/>
    <row r="54759" hidden="1" x14ac:dyDescent="0.35"/>
    <row r="54760" hidden="1" x14ac:dyDescent="0.35"/>
    <row r="54761" hidden="1" x14ac:dyDescent="0.35"/>
    <row r="54762" hidden="1" x14ac:dyDescent="0.35"/>
    <row r="54763" hidden="1" x14ac:dyDescent="0.35"/>
    <row r="54764" hidden="1" x14ac:dyDescent="0.35"/>
    <row r="54765" hidden="1" x14ac:dyDescent="0.35"/>
    <row r="54766" hidden="1" x14ac:dyDescent="0.35"/>
    <row r="54767" hidden="1" x14ac:dyDescent="0.35"/>
    <row r="54768" hidden="1" x14ac:dyDescent="0.35"/>
    <row r="54769" hidden="1" x14ac:dyDescent="0.35"/>
    <row r="54770" hidden="1" x14ac:dyDescent="0.35"/>
    <row r="54771" hidden="1" x14ac:dyDescent="0.35"/>
    <row r="54772" hidden="1" x14ac:dyDescent="0.35"/>
    <row r="54773" hidden="1" x14ac:dyDescent="0.35"/>
    <row r="54774" hidden="1" x14ac:dyDescent="0.35"/>
    <row r="54775" hidden="1" x14ac:dyDescent="0.35"/>
    <row r="54776" hidden="1" x14ac:dyDescent="0.35"/>
    <row r="54777" hidden="1" x14ac:dyDescent="0.35"/>
    <row r="54778" hidden="1" x14ac:dyDescent="0.35"/>
    <row r="54779" hidden="1" x14ac:dyDescent="0.35"/>
    <row r="54780" hidden="1" x14ac:dyDescent="0.35"/>
    <row r="54781" hidden="1" x14ac:dyDescent="0.35"/>
    <row r="54782" hidden="1" x14ac:dyDescent="0.35"/>
    <row r="54783" hidden="1" x14ac:dyDescent="0.35"/>
    <row r="54784" hidden="1" x14ac:dyDescent="0.35"/>
    <row r="54785" hidden="1" x14ac:dyDescent="0.35"/>
    <row r="54786" hidden="1" x14ac:dyDescent="0.35"/>
    <row r="54787" hidden="1" x14ac:dyDescent="0.35"/>
    <row r="54788" hidden="1" x14ac:dyDescent="0.35"/>
    <row r="54789" hidden="1" x14ac:dyDescent="0.35"/>
    <row r="54790" hidden="1" x14ac:dyDescent="0.35"/>
    <row r="54791" hidden="1" x14ac:dyDescent="0.35"/>
    <row r="54792" hidden="1" x14ac:dyDescent="0.35"/>
    <row r="54793" hidden="1" x14ac:dyDescent="0.35"/>
    <row r="54794" hidden="1" x14ac:dyDescent="0.35"/>
    <row r="54795" hidden="1" x14ac:dyDescent="0.35"/>
    <row r="54796" hidden="1" x14ac:dyDescent="0.35"/>
    <row r="54797" hidden="1" x14ac:dyDescent="0.35"/>
    <row r="54798" hidden="1" x14ac:dyDescent="0.35"/>
    <row r="54799" hidden="1" x14ac:dyDescent="0.35"/>
    <row r="54800" hidden="1" x14ac:dyDescent="0.35"/>
    <row r="54801" hidden="1" x14ac:dyDescent="0.35"/>
    <row r="54802" hidden="1" x14ac:dyDescent="0.35"/>
    <row r="54803" hidden="1" x14ac:dyDescent="0.35"/>
    <row r="54804" hidden="1" x14ac:dyDescent="0.35"/>
    <row r="54805" hidden="1" x14ac:dyDescent="0.35"/>
    <row r="54806" hidden="1" x14ac:dyDescent="0.35"/>
    <row r="54807" hidden="1" x14ac:dyDescent="0.35"/>
    <row r="54808" hidden="1" x14ac:dyDescent="0.35"/>
    <row r="54809" hidden="1" x14ac:dyDescent="0.35"/>
    <row r="54810" hidden="1" x14ac:dyDescent="0.35"/>
    <row r="54811" hidden="1" x14ac:dyDescent="0.35"/>
    <row r="54812" hidden="1" x14ac:dyDescent="0.35"/>
    <row r="54813" hidden="1" x14ac:dyDescent="0.35"/>
    <row r="54814" hidden="1" x14ac:dyDescent="0.35"/>
    <row r="54815" hidden="1" x14ac:dyDescent="0.35"/>
    <row r="54816" hidden="1" x14ac:dyDescent="0.35"/>
    <row r="54817" hidden="1" x14ac:dyDescent="0.35"/>
    <row r="54818" hidden="1" x14ac:dyDescent="0.35"/>
    <row r="54819" hidden="1" x14ac:dyDescent="0.35"/>
    <row r="54820" hidden="1" x14ac:dyDescent="0.35"/>
    <row r="54821" hidden="1" x14ac:dyDescent="0.35"/>
    <row r="54822" hidden="1" x14ac:dyDescent="0.35"/>
    <row r="54823" hidden="1" x14ac:dyDescent="0.35"/>
    <row r="54824" hidden="1" x14ac:dyDescent="0.35"/>
    <row r="54825" hidden="1" x14ac:dyDescent="0.35"/>
    <row r="54826" hidden="1" x14ac:dyDescent="0.35"/>
    <row r="54827" hidden="1" x14ac:dyDescent="0.35"/>
    <row r="54828" hidden="1" x14ac:dyDescent="0.35"/>
    <row r="54829" hidden="1" x14ac:dyDescent="0.35"/>
    <row r="54830" hidden="1" x14ac:dyDescent="0.35"/>
    <row r="54831" hidden="1" x14ac:dyDescent="0.35"/>
    <row r="54832" hidden="1" x14ac:dyDescent="0.35"/>
    <row r="54833" hidden="1" x14ac:dyDescent="0.35"/>
    <row r="54834" hidden="1" x14ac:dyDescent="0.35"/>
    <row r="54835" hidden="1" x14ac:dyDescent="0.35"/>
    <row r="54836" hidden="1" x14ac:dyDescent="0.35"/>
    <row r="54837" hidden="1" x14ac:dyDescent="0.35"/>
    <row r="54838" hidden="1" x14ac:dyDescent="0.35"/>
    <row r="54839" hidden="1" x14ac:dyDescent="0.35"/>
    <row r="54840" hidden="1" x14ac:dyDescent="0.35"/>
    <row r="54841" hidden="1" x14ac:dyDescent="0.35"/>
    <row r="54842" hidden="1" x14ac:dyDescent="0.35"/>
    <row r="54843" hidden="1" x14ac:dyDescent="0.35"/>
    <row r="54844" hidden="1" x14ac:dyDescent="0.35"/>
    <row r="54845" hidden="1" x14ac:dyDescent="0.35"/>
    <row r="54846" hidden="1" x14ac:dyDescent="0.35"/>
    <row r="54847" hidden="1" x14ac:dyDescent="0.35"/>
    <row r="54848" hidden="1" x14ac:dyDescent="0.35"/>
    <row r="54849" hidden="1" x14ac:dyDescent="0.35"/>
    <row r="54850" hidden="1" x14ac:dyDescent="0.35"/>
    <row r="54851" hidden="1" x14ac:dyDescent="0.35"/>
    <row r="54852" hidden="1" x14ac:dyDescent="0.35"/>
    <row r="54853" hidden="1" x14ac:dyDescent="0.35"/>
    <row r="54854" hidden="1" x14ac:dyDescent="0.35"/>
    <row r="54855" hidden="1" x14ac:dyDescent="0.35"/>
    <row r="54856" hidden="1" x14ac:dyDescent="0.35"/>
    <row r="54857" hidden="1" x14ac:dyDescent="0.35"/>
    <row r="54858" hidden="1" x14ac:dyDescent="0.35"/>
    <row r="54859" hidden="1" x14ac:dyDescent="0.35"/>
    <row r="54860" hidden="1" x14ac:dyDescent="0.35"/>
    <row r="54861" hidden="1" x14ac:dyDescent="0.35"/>
    <row r="54862" hidden="1" x14ac:dyDescent="0.35"/>
    <row r="54863" hidden="1" x14ac:dyDescent="0.35"/>
    <row r="54864" hidden="1" x14ac:dyDescent="0.35"/>
    <row r="54865" hidden="1" x14ac:dyDescent="0.35"/>
    <row r="54866" hidden="1" x14ac:dyDescent="0.35"/>
    <row r="54867" hidden="1" x14ac:dyDescent="0.35"/>
    <row r="54868" hidden="1" x14ac:dyDescent="0.35"/>
    <row r="54869" hidden="1" x14ac:dyDescent="0.35"/>
    <row r="54870" hidden="1" x14ac:dyDescent="0.35"/>
    <row r="54871" hidden="1" x14ac:dyDescent="0.35"/>
    <row r="54872" hidden="1" x14ac:dyDescent="0.35"/>
    <row r="54873" hidden="1" x14ac:dyDescent="0.35"/>
    <row r="54874" hidden="1" x14ac:dyDescent="0.35"/>
    <row r="54875" hidden="1" x14ac:dyDescent="0.35"/>
    <row r="54876" hidden="1" x14ac:dyDescent="0.35"/>
    <row r="54877" hidden="1" x14ac:dyDescent="0.35"/>
    <row r="54878" hidden="1" x14ac:dyDescent="0.35"/>
    <row r="54879" hidden="1" x14ac:dyDescent="0.35"/>
    <row r="54880" hidden="1" x14ac:dyDescent="0.35"/>
    <row r="54881" hidden="1" x14ac:dyDescent="0.35"/>
    <row r="54882" hidden="1" x14ac:dyDescent="0.35"/>
    <row r="54883" hidden="1" x14ac:dyDescent="0.35"/>
    <row r="54884" hidden="1" x14ac:dyDescent="0.35"/>
    <row r="54885" hidden="1" x14ac:dyDescent="0.35"/>
    <row r="54886" hidden="1" x14ac:dyDescent="0.35"/>
    <row r="54887" hidden="1" x14ac:dyDescent="0.35"/>
    <row r="54888" hidden="1" x14ac:dyDescent="0.35"/>
    <row r="54889" hidden="1" x14ac:dyDescent="0.35"/>
    <row r="54890" hidden="1" x14ac:dyDescent="0.35"/>
    <row r="54891" hidden="1" x14ac:dyDescent="0.35"/>
    <row r="54892" hidden="1" x14ac:dyDescent="0.35"/>
    <row r="54893" hidden="1" x14ac:dyDescent="0.35"/>
    <row r="54894" hidden="1" x14ac:dyDescent="0.35"/>
    <row r="54895" hidden="1" x14ac:dyDescent="0.35"/>
    <row r="54896" hidden="1" x14ac:dyDescent="0.35"/>
    <row r="54897" hidden="1" x14ac:dyDescent="0.35"/>
    <row r="54898" hidden="1" x14ac:dyDescent="0.35"/>
    <row r="54899" hidden="1" x14ac:dyDescent="0.35"/>
    <row r="54900" hidden="1" x14ac:dyDescent="0.35"/>
    <row r="54901" hidden="1" x14ac:dyDescent="0.35"/>
    <row r="54902" hidden="1" x14ac:dyDescent="0.35"/>
    <row r="54903" hidden="1" x14ac:dyDescent="0.35"/>
    <row r="54904" hidden="1" x14ac:dyDescent="0.35"/>
    <row r="54905" hidden="1" x14ac:dyDescent="0.35"/>
    <row r="54906" hidden="1" x14ac:dyDescent="0.35"/>
    <row r="54907" hidden="1" x14ac:dyDescent="0.35"/>
    <row r="54908" hidden="1" x14ac:dyDescent="0.35"/>
    <row r="54909" hidden="1" x14ac:dyDescent="0.35"/>
    <row r="54910" hidden="1" x14ac:dyDescent="0.35"/>
    <row r="54911" hidden="1" x14ac:dyDescent="0.35"/>
    <row r="54912" hidden="1" x14ac:dyDescent="0.35"/>
    <row r="54913" hidden="1" x14ac:dyDescent="0.35"/>
    <row r="54914" hidden="1" x14ac:dyDescent="0.35"/>
    <row r="54915" hidden="1" x14ac:dyDescent="0.35"/>
    <row r="54916" hidden="1" x14ac:dyDescent="0.35"/>
    <row r="54917" hidden="1" x14ac:dyDescent="0.35"/>
    <row r="54918" hidden="1" x14ac:dyDescent="0.35"/>
    <row r="54919" hidden="1" x14ac:dyDescent="0.35"/>
    <row r="54920" hidden="1" x14ac:dyDescent="0.35"/>
    <row r="54921" hidden="1" x14ac:dyDescent="0.35"/>
    <row r="54922" hidden="1" x14ac:dyDescent="0.35"/>
    <row r="54923" hidden="1" x14ac:dyDescent="0.35"/>
    <row r="54924" hidden="1" x14ac:dyDescent="0.35"/>
    <row r="54925" hidden="1" x14ac:dyDescent="0.35"/>
    <row r="54926" hidden="1" x14ac:dyDescent="0.35"/>
    <row r="54927" hidden="1" x14ac:dyDescent="0.35"/>
    <row r="54928" hidden="1" x14ac:dyDescent="0.35"/>
    <row r="54929" hidden="1" x14ac:dyDescent="0.35"/>
    <row r="54930" hidden="1" x14ac:dyDescent="0.35"/>
    <row r="54931" hidden="1" x14ac:dyDescent="0.35"/>
    <row r="54932" hidden="1" x14ac:dyDescent="0.35"/>
    <row r="54933" hidden="1" x14ac:dyDescent="0.35"/>
    <row r="54934" hidden="1" x14ac:dyDescent="0.35"/>
    <row r="54935" hidden="1" x14ac:dyDescent="0.35"/>
    <row r="54936" hidden="1" x14ac:dyDescent="0.35"/>
    <row r="54937" hidden="1" x14ac:dyDescent="0.35"/>
    <row r="54938" hidden="1" x14ac:dyDescent="0.35"/>
    <row r="54939" hidden="1" x14ac:dyDescent="0.35"/>
    <row r="54940" hidden="1" x14ac:dyDescent="0.35"/>
    <row r="54941" hidden="1" x14ac:dyDescent="0.35"/>
    <row r="54942" hidden="1" x14ac:dyDescent="0.35"/>
    <row r="54943" hidden="1" x14ac:dyDescent="0.35"/>
    <row r="54944" hidden="1" x14ac:dyDescent="0.35"/>
    <row r="54945" hidden="1" x14ac:dyDescent="0.35"/>
    <row r="54946" hidden="1" x14ac:dyDescent="0.35"/>
    <row r="54947" hidden="1" x14ac:dyDescent="0.35"/>
    <row r="54948" hidden="1" x14ac:dyDescent="0.35"/>
    <row r="54949" hidden="1" x14ac:dyDescent="0.35"/>
    <row r="54950" hidden="1" x14ac:dyDescent="0.35"/>
    <row r="54951" hidden="1" x14ac:dyDescent="0.35"/>
    <row r="54952" hidden="1" x14ac:dyDescent="0.35"/>
    <row r="54953" hidden="1" x14ac:dyDescent="0.35"/>
    <row r="54954" hidden="1" x14ac:dyDescent="0.35"/>
    <row r="54955" hidden="1" x14ac:dyDescent="0.35"/>
    <row r="54956" hidden="1" x14ac:dyDescent="0.35"/>
    <row r="54957" hidden="1" x14ac:dyDescent="0.35"/>
    <row r="54958" hidden="1" x14ac:dyDescent="0.35"/>
    <row r="54959" hidden="1" x14ac:dyDescent="0.35"/>
    <row r="54960" hidden="1" x14ac:dyDescent="0.35"/>
    <row r="54961" hidden="1" x14ac:dyDescent="0.35"/>
    <row r="54962" hidden="1" x14ac:dyDescent="0.35"/>
    <row r="54963" hidden="1" x14ac:dyDescent="0.35"/>
    <row r="54964" hidden="1" x14ac:dyDescent="0.35"/>
    <row r="54965" hidden="1" x14ac:dyDescent="0.35"/>
    <row r="54966" hidden="1" x14ac:dyDescent="0.35"/>
    <row r="54967" hidden="1" x14ac:dyDescent="0.35"/>
    <row r="54968" hidden="1" x14ac:dyDescent="0.35"/>
    <row r="54969" hidden="1" x14ac:dyDescent="0.35"/>
    <row r="54970" hidden="1" x14ac:dyDescent="0.35"/>
    <row r="54971" hidden="1" x14ac:dyDescent="0.35"/>
    <row r="54972" hidden="1" x14ac:dyDescent="0.35"/>
    <row r="54973" hidden="1" x14ac:dyDescent="0.35"/>
    <row r="54974" hidden="1" x14ac:dyDescent="0.35"/>
    <row r="54975" hidden="1" x14ac:dyDescent="0.35"/>
    <row r="54976" hidden="1" x14ac:dyDescent="0.35"/>
    <row r="54977" hidden="1" x14ac:dyDescent="0.35"/>
    <row r="54978" hidden="1" x14ac:dyDescent="0.35"/>
    <row r="54979" hidden="1" x14ac:dyDescent="0.35"/>
    <row r="54980" hidden="1" x14ac:dyDescent="0.35"/>
    <row r="54981" hidden="1" x14ac:dyDescent="0.35"/>
    <row r="54982" hidden="1" x14ac:dyDescent="0.35"/>
    <row r="54983" hidden="1" x14ac:dyDescent="0.35"/>
    <row r="54984" hidden="1" x14ac:dyDescent="0.35"/>
    <row r="54985" hidden="1" x14ac:dyDescent="0.35"/>
    <row r="54986" hidden="1" x14ac:dyDescent="0.35"/>
    <row r="54987" hidden="1" x14ac:dyDescent="0.35"/>
    <row r="54988" hidden="1" x14ac:dyDescent="0.35"/>
    <row r="54989" hidden="1" x14ac:dyDescent="0.35"/>
    <row r="54990" hidden="1" x14ac:dyDescent="0.35"/>
    <row r="54991" hidden="1" x14ac:dyDescent="0.35"/>
    <row r="54992" hidden="1" x14ac:dyDescent="0.35"/>
    <row r="54993" hidden="1" x14ac:dyDescent="0.35"/>
    <row r="54994" hidden="1" x14ac:dyDescent="0.35"/>
    <row r="54995" hidden="1" x14ac:dyDescent="0.35"/>
    <row r="54996" hidden="1" x14ac:dyDescent="0.35"/>
    <row r="54997" hidden="1" x14ac:dyDescent="0.35"/>
    <row r="54998" hidden="1" x14ac:dyDescent="0.35"/>
    <row r="54999" hidden="1" x14ac:dyDescent="0.35"/>
    <row r="55000" hidden="1" x14ac:dyDescent="0.35"/>
    <row r="55001" hidden="1" x14ac:dyDescent="0.35"/>
    <row r="55002" hidden="1" x14ac:dyDescent="0.35"/>
    <row r="55003" hidden="1" x14ac:dyDescent="0.35"/>
    <row r="55004" hidden="1" x14ac:dyDescent="0.35"/>
    <row r="55005" hidden="1" x14ac:dyDescent="0.35"/>
    <row r="55006" hidden="1" x14ac:dyDescent="0.35"/>
    <row r="55007" hidden="1" x14ac:dyDescent="0.35"/>
    <row r="55008" hidden="1" x14ac:dyDescent="0.35"/>
    <row r="55009" hidden="1" x14ac:dyDescent="0.35"/>
    <row r="55010" hidden="1" x14ac:dyDescent="0.35"/>
    <row r="55011" hidden="1" x14ac:dyDescent="0.35"/>
    <row r="55012" hidden="1" x14ac:dyDescent="0.35"/>
    <row r="55013" hidden="1" x14ac:dyDescent="0.35"/>
    <row r="55014" hidden="1" x14ac:dyDescent="0.35"/>
    <row r="55015" hidden="1" x14ac:dyDescent="0.35"/>
    <row r="55016" hidden="1" x14ac:dyDescent="0.35"/>
    <row r="55017" hidden="1" x14ac:dyDescent="0.35"/>
    <row r="55018" hidden="1" x14ac:dyDescent="0.35"/>
    <row r="55019" hidden="1" x14ac:dyDescent="0.35"/>
    <row r="55020" hidden="1" x14ac:dyDescent="0.35"/>
    <row r="55021" hidden="1" x14ac:dyDescent="0.35"/>
    <row r="55022" hidden="1" x14ac:dyDescent="0.35"/>
    <row r="55023" hidden="1" x14ac:dyDescent="0.35"/>
    <row r="55024" hidden="1" x14ac:dyDescent="0.35"/>
    <row r="55025" hidden="1" x14ac:dyDescent="0.35"/>
    <row r="55026" hidden="1" x14ac:dyDescent="0.35"/>
    <row r="55027" hidden="1" x14ac:dyDescent="0.35"/>
    <row r="55028" hidden="1" x14ac:dyDescent="0.35"/>
    <row r="55029" hidden="1" x14ac:dyDescent="0.35"/>
    <row r="55030" hidden="1" x14ac:dyDescent="0.35"/>
    <row r="55031" hidden="1" x14ac:dyDescent="0.35"/>
    <row r="55032" hidden="1" x14ac:dyDescent="0.35"/>
    <row r="55033" hidden="1" x14ac:dyDescent="0.35"/>
    <row r="55034" hidden="1" x14ac:dyDescent="0.35"/>
    <row r="55035" hidden="1" x14ac:dyDescent="0.35"/>
    <row r="55036" hidden="1" x14ac:dyDescent="0.35"/>
    <row r="55037" hidden="1" x14ac:dyDescent="0.35"/>
    <row r="55038" hidden="1" x14ac:dyDescent="0.35"/>
    <row r="55039" hidden="1" x14ac:dyDescent="0.35"/>
    <row r="55040" hidden="1" x14ac:dyDescent="0.35"/>
    <row r="55041" hidden="1" x14ac:dyDescent="0.35"/>
    <row r="55042" hidden="1" x14ac:dyDescent="0.35"/>
    <row r="55043" hidden="1" x14ac:dyDescent="0.35"/>
    <row r="55044" hidden="1" x14ac:dyDescent="0.35"/>
    <row r="55045" hidden="1" x14ac:dyDescent="0.35"/>
    <row r="55046" hidden="1" x14ac:dyDescent="0.35"/>
    <row r="55047" hidden="1" x14ac:dyDescent="0.35"/>
    <row r="55048" hidden="1" x14ac:dyDescent="0.35"/>
    <row r="55049" hidden="1" x14ac:dyDescent="0.35"/>
    <row r="55050" hidden="1" x14ac:dyDescent="0.35"/>
    <row r="55051" hidden="1" x14ac:dyDescent="0.35"/>
    <row r="55052" hidden="1" x14ac:dyDescent="0.35"/>
    <row r="55053" hidden="1" x14ac:dyDescent="0.35"/>
    <row r="55054" hidden="1" x14ac:dyDescent="0.35"/>
    <row r="55055" hidden="1" x14ac:dyDescent="0.35"/>
    <row r="55056" hidden="1" x14ac:dyDescent="0.35"/>
    <row r="55057" hidden="1" x14ac:dyDescent="0.35"/>
    <row r="55058" hidden="1" x14ac:dyDescent="0.35"/>
    <row r="55059" hidden="1" x14ac:dyDescent="0.35"/>
    <row r="55060" hidden="1" x14ac:dyDescent="0.35"/>
    <row r="55061" hidden="1" x14ac:dyDescent="0.35"/>
    <row r="55062" hidden="1" x14ac:dyDescent="0.35"/>
    <row r="55063" hidden="1" x14ac:dyDescent="0.35"/>
    <row r="55064" hidden="1" x14ac:dyDescent="0.35"/>
    <row r="55065" hidden="1" x14ac:dyDescent="0.35"/>
    <row r="55066" hidden="1" x14ac:dyDescent="0.35"/>
    <row r="55067" hidden="1" x14ac:dyDescent="0.35"/>
    <row r="55068" hidden="1" x14ac:dyDescent="0.35"/>
    <row r="55069" hidden="1" x14ac:dyDescent="0.35"/>
    <row r="55070" hidden="1" x14ac:dyDescent="0.35"/>
    <row r="55071" hidden="1" x14ac:dyDescent="0.35"/>
    <row r="55072" hidden="1" x14ac:dyDescent="0.35"/>
    <row r="55073" hidden="1" x14ac:dyDescent="0.35"/>
    <row r="55074" hidden="1" x14ac:dyDescent="0.35"/>
    <row r="55075" hidden="1" x14ac:dyDescent="0.35"/>
    <row r="55076" hidden="1" x14ac:dyDescent="0.35"/>
    <row r="55077" hidden="1" x14ac:dyDescent="0.35"/>
    <row r="55078" hidden="1" x14ac:dyDescent="0.35"/>
    <row r="55079" hidden="1" x14ac:dyDescent="0.35"/>
    <row r="55080" hidden="1" x14ac:dyDescent="0.35"/>
    <row r="55081" hidden="1" x14ac:dyDescent="0.35"/>
    <row r="55082" hidden="1" x14ac:dyDescent="0.35"/>
    <row r="55083" hidden="1" x14ac:dyDescent="0.35"/>
    <row r="55084" hidden="1" x14ac:dyDescent="0.35"/>
    <row r="55085" hidden="1" x14ac:dyDescent="0.35"/>
    <row r="55086" hidden="1" x14ac:dyDescent="0.35"/>
    <row r="55087" hidden="1" x14ac:dyDescent="0.35"/>
    <row r="55088" hidden="1" x14ac:dyDescent="0.35"/>
    <row r="55089" hidden="1" x14ac:dyDescent="0.35"/>
    <row r="55090" hidden="1" x14ac:dyDescent="0.35"/>
    <row r="55091" hidden="1" x14ac:dyDescent="0.35"/>
    <row r="55092" hidden="1" x14ac:dyDescent="0.35"/>
    <row r="55093" hidden="1" x14ac:dyDescent="0.35"/>
    <row r="55094" hidden="1" x14ac:dyDescent="0.35"/>
    <row r="55095" hidden="1" x14ac:dyDescent="0.35"/>
    <row r="55096" hidden="1" x14ac:dyDescent="0.35"/>
    <row r="55097" hidden="1" x14ac:dyDescent="0.35"/>
    <row r="55098" hidden="1" x14ac:dyDescent="0.35"/>
    <row r="55099" hidden="1" x14ac:dyDescent="0.35"/>
    <row r="55100" hidden="1" x14ac:dyDescent="0.35"/>
    <row r="55101" hidden="1" x14ac:dyDescent="0.35"/>
    <row r="55102" hidden="1" x14ac:dyDescent="0.35"/>
    <row r="55103" hidden="1" x14ac:dyDescent="0.35"/>
    <row r="55104" hidden="1" x14ac:dyDescent="0.35"/>
    <row r="55105" hidden="1" x14ac:dyDescent="0.35"/>
    <row r="55106" hidden="1" x14ac:dyDescent="0.35"/>
    <row r="55107" hidden="1" x14ac:dyDescent="0.35"/>
    <row r="55108" hidden="1" x14ac:dyDescent="0.35"/>
    <row r="55109" hidden="1" x14ac:dyDescent="0.35"/>
    <row r="55110" hidden="1" x14ac:dyDescent="0.35"/>
    <row r="55111" hidden="1" x14ac:dyDescent="0.35"/>
    <row r="55112" hidden="1" x14ac:dyDescent="0.35"/>
    <row r="55113" hidden="1" x14ac:dyDescent="0.35"/>
    <row r="55114" hidden="1" x14ac:dyDescent="0.35"/>
    <row r="55115" hidden="1" x14ac:dyDescent="0.35"/>
    <row r="55116" hidden="1" x14ac:dyDescent="0.35"/>
    <row r="55117" hidden="1" x14ac:dyDescent="0.35"/>
    <row r="55118" hidden="1" x14ac:dyDescent="0.35"/>
    <row r="55119" hidden="1" x14ac:dyDescent="0.35"/>
    <row r="55120" hidden="1" x14ac:dyDescent="0.35"/>
    <row r="55121" hidden="1" x14ac:dyDescent="0.35"/>
    <row r="55122" hidden="1" x14ac:dyDescent="0.35"/>
    <row r="55123" hidden="1" x14ac:dyDescent="0.35"/>
    <row r="55124" hidden="1" x14ac:dyDescent="0.35"/>
    <row r="55125" hidden="1" x14ac:dyDescent="0.35"/>
    <row r="55126" hidden="1" x14ac:dyDescent="0.35"/>
    <row r="55127" hidden="1" x14ac:dyDescent="0.35"/>
    <row r="55128" hidden="1" x14ac:dyDescent="0.35"/>
    <row r="55129" hidden="1" x14ac:dyDescent="0.35"/>
    <row r="55130" hidden="1" x14ac:dyDescent="0.35"/>
    <row r="55131" hidden="1" x14ac:dyDescent="0.35"/>
    <row r="55132" hidden="1" x14ac:dyDescent="0.35"/>
    <row r="55133" hidden="1" x14ac:dyDescent="0.35"/>
    <row r="55134" hidden="1" x14ac:dyDescent="0.35"/>
    <row r="55135" hidden="1" x14ac:dyDescent="0.35"/>
    <row r="55136" hidden="1" x14ac:dyDescent="0.35"/>
    <row r="55137" hidden="1" x14ac:dyDescent="0.35"/>
    <row r="55138" hidden="1" x14ac:dyDescent="0.35"/>
    <row r="55139" hidden="1" x14ac:dyDescent="0.35"/>
    <row r="55140" hidden="1" x14ac:dyDescent="0.35"/>
    <row r="55141" hidden="1" x14ac:dyDescent="0.35"/>
    <row r="55142" hidden="1" x14ac:dyDescent="0.35"/>
    <row r="55143" hidden="1" x14ac:dyDescent="0.35"/>
    <row r="55144" hidden="1" x14ac:dyDescent="0.35"/>
    <row r="55145" hidden="1" x14ac:dyDescent="0.35"/>
    <row r="55146" hidden="1" x14ac:dyDescent="0.35"/>
    <row r="55147" hidden="1" x14ac:dyDescent="0.35"/>
    <row r="55148" hidden="1" x14ac:dyDescent="0.35"/>
    <row r="55149" hidden="1" x14ac:dyDescent="0.35"/>
    <row r="55150" hidden="1" x14ac:dyDescent="0.35"/>
    <row r="55151" hidden="1" x14ac:dyDescent="0.35"/>
    <row r="55152" hidden="1" x14ac:dyDescent="0.35"/>
    <row r="55153" hidden="1" x14ac:dyDescent="0.35"/>
    <row r="55154" hidden="1" x14ac:dyDescent="0.35"/>
    <row r="55155" hidden="1" x14ac:dyDescent="0.35"/>
    <row r="55156" hidden="1" x14ac:dyDescent="0.35"/>
    <row r="55157" hidden="1" x14ac:dyDescent="0.35"/>
    <row r="55158" hidden="1" x14ac:dyDescent="0.35"/>
    <row r="55159" hidden="1" x14ac:dyDescent="0.35"/>
    <row r="55160" hidden="1" x14ac:dyDescent="0.35"/>
    <row r="55161" hidden="1" x14ac:dyDescent="0.35"/>
    <row r="55162" hidden="1" x14ac:dyDescent="0.35"/>
    <row r="55163" hidden="1" x14ac:dyDescent="0.35"/>
    <row r="55164" hidden="1" x14ac:dyDescent="0.35"/>
    <row r="55165" hidden="1" x14ac:dyDescent="0.35"/>
    <row r="55166" hidden="1" x14ac:dyDescent="0.35"/>
    <row r="55167" hidden="1" x14ac:dyDescent="0.35"/>
    <row r="55168" hidden="1" x14ac:dyDescent="0.35"/>
    <row r="55169" hidden="1" x14ac:dyDescent="0.35"/>
    <row r="55170" hidden="1" x14ac:dyDescent="0.35"/>
    <row r="55171" hidden="1" x14ac:dyDescent="0.35"/>
    <row r="55172" hidden="1" x14ac:dyDescent="0.35"/>
    <row r="55173" hidden="1" x14ac:dyDescent="0.35"/>
    <row r="55174" hidden="1" x14ac:dyDescent="0.35"/>
    <row r="55175" hidden="1" x14ac:dyDescent="0.35"/>
    <row r="55176" hidden="1" x14ac:dyDescent="0.35"/>
    <row r="55177" hidden="1" x14ac:dyDescent="0.35"/>
    <row r="55178" hidden="1" x14ac:dyDescent="0.35"/>
    <row r="55179" hidden="1" x14ac:dyDescent="0.35"/>
    <row r="55180" hidden="1" x14ac:dyDescent="0.35"/>
    <row r="55181" hidden="1" x14ac:dyDescent="0.35"/>
    <row r="55182" hidden="1" x14ac:dyDescent="0.35"/>
    <row r="55183" hidden="1" x14ac:dyDescent="0.35"/>
    <row r="55184" hidden="1" x14ac:dyDescent="0.35"/>
    <row r="55185" hidden="1" x14ac:dyDescent="0.35"/>
    <row r="55186" hidden="1" x14ac:dyDescent="0.35"/>
    <row r="55187" hidden="1" x14ac:dyDescent="0.35"/>
    <row r="55188" hidden="1" x14ac:dyDescent="0.35"/>
    <row r="55189" hidden="1" x14ac:dyDescent="0.35"/>
    <row r="55190" hidden="1" x14ac:dyDescent="0.35"/>
    <row r="55191" hidden="1" x14ac:dyDescent="0.35"/>
    <row r="55192" hidden="1" x14ac:dyDescent="0.35"/>
    <row r="55193" hidden="1" x14ac:dyDescent="0.35"/>
    <row r="55194" hidden="1" x14ac:dyDescent="0.35"/>
    <row r="55195" hidden="1" x14ac:dyDescent="0.35"/>
    <row r="55196" hidden="1" x14ac:dyDescent="0.35"/>
    <row r="55197" hidden="1" x14ac:dyDescent="0.35"/>
    <row r="55198" hidden="1" x14ac:dyDescent="0.35"/>
    <row r="55199" hidden="1" x14ac:dyDescent="0.35"/>
    <row r="55200" hidden="1" x14ac:dyDescent="0.35"/>
    <row r="55201" hidden="1" x14ac:dyDescent="0.35"/>
    <row r="55202" hidden="1" x14ac:dyDescent="0.35"/>
    <row r="55203" hidden="1" x14ac:dyDescent="0.35"/>
    <row r="55204" hidden="1" x14ac:dyDescent="0.35"/>
    <row r="55205" hidden="1" x14ac:dyDescent="0.35"/>
    <row r="55206" hidden="1" x14ac:dyDescent="0.35"/>
    <row r="55207" hidden="1" x14ac:dyDescent="0.35"/>
    <row r="55208" hidden="1" x14ac:dyDescent="0.35"/>
    <row r="55209" hidden="1" x14ac:dyDescent="0.35"/>
    <row r="55210" hidden="1" x14ac:dyDescent="0.35"/>
    <row r="55211" hidden="1" x14ac:dyDescent="0.35"/>
    <row r="55212" hidden="1" x14ac:dyDescent="0.35"/>
    <row r="55213" hidden="1" x14ac:dyDescent="0.35"/>
    <row r="55214" hidden="1" x14ac:dyDescent="0.35"/>
    <row r="55215" hidden="1" x14ac:dyDescent="0.35"/>
    <row r="55216" hidden="1" x14ac:dyDescent="0.35"/>
    <row r="55217" hidden="1" x14ac:dyDescent="0.35"/>
    <row r="55218" hidden="1" x14ac:dyDescent="0.35"/>
    <row r="55219" hidden="1" x14ac:dyDescent="0.35"/>
    <row r="55220" hidden="1" x14ac:dyDescent="0.35"/>
    <row r="55221" hidden="1" x14ac:dyDescent="0.35"/>
    <row r="55222" hidden="1" x14ac:dyDescent="0.35"/>
    <row r="55223" hidden="1" x14ac:dyDescent="0.35"/>
    <row r="55224" hidden="1" x14ac:dyDescent="0.35"/>
    <row r="55225" hidden="1" x14ac:dyDescent="0.35"/>
    <row r="55226" hidden="1" x14ac:dyDescent="0.35"/>
    <row r="55227" hidden="1" x14ac:dyDescent="0.35"/>
    <row r="55228" hidden="1" x14ac:dyDescent="0.35"/>
    <row r="55229" hidden="1" x14ac:dyDescent="0.35"/>
    <row r="55230" hidden="1" x14ac:dyDescent="0.35"/>
    <row r="55231" hidden="1" x14ac:dyDescent="0.35"/>
    <row r="55232" hidden="1" x14ac:dyDescent="0.35"/>
    <row r="55233" hidden="1" x14ac:dyDescent="0.35"/>
    <row r="55234" hidden="1" x14ac:dyDescent="0.35"/>
    <row r="55235" hidden="1" x14ac:dyDescent="0.35"/>
    <row r="55236" hidden="1" x14ac:dyDescent="0.35"/>
    <row r="55237" hidden="1" x14ac:dyDescent="0.35"/>
    <row r="55238" hidden="1" x14ac:dyDescent="0.35"/>
    <row r="55239" hidden="1" x14ac:dyDescent="0.35"/>
    <row r="55240" hidden="1" x14ac:dyDescent="0.35"/>
    <row r="55241" hidden="1" x14ac:dyDescent="0.35"/>
    <row r="55242" hidden="1" x14ac:dyDescent="0.35"/>
    <row r="55243" hidden="1" x14ac:dyDescent="0.35"/>
    <row r="55244" hidden="1" x14ac:dyDescent="0.35"/>
    <row r="55245" hidden="1" x14ac:dyDescent="0.35"/>
    <row r="55246" hidden="1" x14ac:dyDescent="0.35"/>
    <row r="55247" hidden="1" x14ac:dyDescent="0.35"/>
    <row r="55248" hidden="1" x14ac:dyDescent="0.35"/>
    <row r="55249" hidden="1" x14ac:dyDescent="0.35"/>
    <row r="55250" hidden="1" x14ac:dyDescent="0.35"/>
    <row r="55251" hidden="1" x14ac:dyDescent="0.35"/>
    <row r="55252" hidden="1" x14ac:dyDescent="0.35"/>
    <row r="55253" hidden="1" x14ac:dyDescent="0.35"/>
    <row r="55254" hidden="1" x14ac:dyDescent="0.35"/>
    <row r="55255" hidden="1" x14ac:dyDescent="0.35"/>
    <row r="55256" hidden="1" x14ac:dyDescent="0.35"/>
    <row r="55257" hidden="1" x14ac:dyDescent="0.35"/>
    <row r="55258" hidden="1" x14ac:dyDescent="0.35"/>
    <row r="55259" hidden="1" x14ac:dyDescent="0.35"/>
    <row r="55260" hidden="1" x14ac:dyDescent="0.35"/>
    <row r="55261" hidden="1" x14ac:dyDescent="0.35"/>
    <row r="55262" hidden="1" x14ac:dyDescent="0.35"/>
    <row r="55263" hidden="1" x14ac:dyDescent="0.35"/>
    <row r="55264" hidden="1" x14ac:dyDescent="0.35"/>
    <row r="55265" hidden="1" x14ac:dyDescent="0.35"/>
    <row r="55266" hidden="1" x14ac:dyDescent="0.35"/>
    <row r="55267" hidden="1" x14ac:dyDescent="0.35"/>
    <row r="55268" hidden="1" x14ac:dyDescent="0.35"/>
    <row r="55269" hidden="1" x14ac:dyDescent="0.35"/>
    <row r="55270" hidden="1" x14ac:dyDescent="0.35"/>
    <row r="55271" hidden="1" x14ac:dyDescent="0.35"/>
    <row r="55272" hidden="1" x14ac:dyDescent="0.35"/>
    <row r="55273" hidden="1" x14ac:dyDescent="0.35"/>
    <row r="55274" hidden="1" x14ac:dyDescent="0.35"/>
    <row r="55275" hidden="1" x14ac:dyDescent="0.35"/>
    <row r="55276" hidden="1" x14ac:dyDescent="0.35"/>
    <row r="55277" hidden="1" x14ac:dyDescent="0.35"/>
    <row r="55278" hidden="1" x14ac:dyDescent="0.35"/>
    <row r="55279" hidden="1" x14ac:dyDescent="0.35"/>
    <row r="55280" hidden="1" x14ac:dyDescent="0.35"/>
    <row r="55281" hidden="1" x14ac:dyDescent="0.35"/>
    <row r="55282" hidden="1" x14ac:dyDescent="0.35"/>
    <row r="55283" hidden="1" x14ac:dyDescent="0.35"/>
    <row r="55284" hidden="1" x14ac:dyDescent="0.35"/>
    <row r="55285" hidden="1" x14ac:dyDescent="0.35"/>
    <row r="55286" hidden="1" x14ac:dyDescent="0.35"/>
    <row r="55287" hidden="1" x14ac:dyDescent="0.35"/>
    <row r="55288" hidden="1" x14ac:dyDescent="0.35"/>
    <row r="55289" hidden="1" x14ac:dyDescent="0.35"/>
    <row r="55290" hidden="1" x14ac:dyDescent="0.35"/>
    <row r="55291" hidden="1" x14ac:dyDescent="0.35"/>
    <row r="55292" hidden="1" x14ac:dyDescent="0.35"/>
    <row r="55293" hidden="1" x14ac:dyDescent="0.35"/>
    <row r="55294" hidden="1" x14ac:dyDescent="0.35"/>
    <row r="55295" hidden="1" x14ac:dyDescent="0.35"/>
    <row r="55296" hidden="1" x14ac:dyDescent="0.35"/>
    <row r="55297" hidden="1" x14ac:dyDescent="0.35"/>
    <row r="55298" hidden="1" x14ac:dyDescent="0.35"/>
    <row r="55299" hidden="1" x14ac:dyDescent="0.35"/>
    <row r="55300" hidden="1" x14ac:dyDescent="0.35"/>
    <row r="55301" hidden="1" x14ac:dyDescent="0.35"/>
    <row r="55302" hidden="1" x14ac:dyDescent="0.35"/>
    <row r="55303" hidden="1" x14ac:dyDescent="0.35"/>
    <row r="55304" hidden="1" x14ac:dyDescent="0.35"/>
    <row r="55305" hidden="1" x14ac:dyDescent="0.35"/>
    <row r="55306" hidden="1" x14ac:dyDescent="0.35"/>
    <row r="55307" hidden="1" x14ac:dyDescent="0.35"/>
    <row r="55308" hidden="1" x14ac:dyDescent="0.35"/>
    <row r="55309" hidden="1" x14ac:dyDescent="0.35"/>
    <row r="55310" hidden="1" x14ac:dyDescent="0.35"/>
    <row r="55311" hidden="1" x14ac:dyDescent="0.35"/>
    <row r="55312" hidden="1" x14ac:dyDescent="0.35"/>
    <row r="55313" hidden="1" x14ac:dyDescent="0.35"/>
    <row r="55314" hidden="1" x14ac:dyDescent="0.35"/>
    <row r="55315" hidden="1" x14ac:dyDescent="0.35"/>
    <row r="55316" hidden="1" x14ac:dyDescent="0.35"/>
    <row r="55317" hidden="1" x14ac:dyDescent="0.35"/>
    <row r="55318" hidden="1" x14ac:dyDescent="0.35"/>
    <row r="55319" hidden="1" x14ac:dyDescent="0.35"/>
    <row r="55320" hidden="1" x14ac:dyDescent="0.35"/>
    <row r="55321" hidden="1" x14ac:dyDescent="0.35"/>
    <row r="55322" hidden="1" x14ac:dyDescent="0.35"/>
    <row r="55323" hidden="1" x14ac:dyDescent="0.35"/>
    <row r="55324" hidden="1" x14ac:dyDescent="0.35"/>
    <row r="55325" hidden="1" x14ac:dyDescent="0.35"/>
    <row r="55326" hidden="1" x14ac:dyDescent="0.35"/>
    <row r="55327" hidden="1" x14ac:dyDescent="0.35"/>
    <row r="55328" hidden="1" x14ac:dyDescent="0.35"/>
    <row r="55329" hidden="1" x14ac:dyDescent="0.35"/>
    <row r="55330" hidden="1" x14ac:dyDescent="0.35"/>
    <row r="55331" hidden="1" x14ac:dyDescent="0.35"/>
    <row r="55332" hidden="1" x14ac:dyDescent="0.35"/>
    <row r="55333" hidden="1" x14ac:dyDescent="0.35"/>
    <row r="55334" hidden="1" x14ac:dyDescent="0.35"/>
    <row r="55335" hidden="1" x14ac:dyDescent="0.35"/>
    <row r="55336" hidden="1" x14ac:dyDescent="0.35"/>
    <row r="55337" hidden="1" x14ac:dyDescent="0.35"/>
    <row r="55338" hidden="1" x14ac:dyDescent="0.35"/>
    <row r="55339" hidden="1" x14ac:dyDescent="0.35"/>
    <row r="55340" hidden="1" x14ac:dyDescent="0.35"/>
    <row r="55341" hidden="1" x14ac:dyDescent="0.35"/>
    <row r="55342" hidden="1" x14ac:dyDescent="0.35"/>
    <row r="55343" hidden="1" x14ac:dyDescent="0.35"/>
    <row r="55344" hidden="1" x14ac:dyDescent="0.35"/>
    <row r="55345" hidden="1" x14ac:dyDescent="0.35"/>
    <row r="55346" hidden="1" x14ac:dyDescent="0.35"/>
    <row r="55347" hidden="1" x14ac:dyDescent="0.35"/>
    <row r="55348" hidden="1" x14ac:dyDescent="0.35"/>
    <row r="55349" hidden="1" x14ac:dyDescent="0.35"/>
    <row r="55350" hidden="1" x14ac:dyDescent="0.35"/>
    <row r="55351" hidden="1" x14ac:dyDescent="0.35"/>
    <row r="55352" hidden="1" x14ac:dyDescent="0.35"/>
    <row r="55353" hidden="1" x14ac:dyDescent="0.35"/>
    <row r="55354" hidden="1" x14ac:dyDescent="0.35"/>
    <row r="55355" hidden="1" x14ac:dyDescent="0.35"/>
    <row r="55356" hidden="1" x14ac:dyDescent="0.35"/>
    <row r="55357" hidden="1" x14ac:dyDescent="0.35"/>
    <row r="55358" hidden="1" x14ac:dyDescent="0.35"/>
    <row r="55359" hidden="1" x14ac:dyDescent="0.35"/>
    <row r="55360" hidden="1" x14ac:dyDescent="0.35"/>
    <row r="55361" hidden="1" x14ac:dyDescent="0.35"/>
    <row r="55362" hidden="1" x14ac:dyDescent="0.35"/>
    <row r="55363" hidden="1" x14ac:dyDescent="0.35"/>
    <row r="55364" hidden="1" x14ac:dyDescent="0.35"/>
    <row r="55365" hidden="1" x14ac:dyDescent="0.35"/>
    <row r="55366" hidden="1" x14ac:dyDescent="0.35"/>
    <row r="55367" hidden="1" x14ac:dyDescent="0.35"/>
    <row r="55368" hidden="1" x14ac:dyDescent="0.35"/>
    <row r="55369" hidden="1" x14ac:dyDescent="0.35"/>
    <row r="55370" hidden="1" x14ac:dyDescent="0.35"/>
    <row r="55371" hidden="1" x14ac:dyDescent="0.35"/>
    <row r="55372" hidden="1" x14ac:dyDescent="0.35"/>
    <row r="55373" hidden="1" x14ac:dyDescent="0.35"/>
    <row r="55374" hidden="1" x14ac:dyDescent="0.35"/>
    <row r="55375" hidden="1" x14ac:dyDescent="0.35"/>
    <row r="55376" hidden="1" x14ac:dyDescent="0.35"/>
    <row r="55377" hidden="1" x14ac:dyDescent="0.35"/>
    <row r="55378" hidden="1" x14ac:dyDescent="0.35"/>
    <row r="55379" hidden="1" x14ac:dyDescent="0.35"/>
    <row r="55380" hidden="1" x14ac:dyDescent="0.35"/>
    <row r="55381" hidden="1" x14ac:dyDescent="0.35"/>
    <row r="55382" hidden="1" x14ac:dyDescent="0.35"/>
    <row r="55383" hidden="1" x14ac:dyDescent="0.35"/>
    <row r="55384" hidden="1" x14ac:dyDescent="0.35"/>
    <row r="55385" hidden="1" x14ac:dyDescent="0.35"/>
    <row r="55386" hidden="1" x14ac:dyDescent="0.35"/>
    <row r="55387" hidden="1" x14ac:dyDescent="0.35"/>
    <row r="55388" hidden="1" x14ac:dyDescent="0.35"/>
    <row r="55389" hidden="1" x14ac:dyDescent="0.35"/>
    <row r="55390" hidden="1" x14ac:dyDescent="0.35"/>
    <row r="55391" hidden="1" x14ac:dyDescent="0.35"/>
    <row r="55392" hidden="1" x14ac:dyDescent="0.35"/>
    <row r="55393" hidden="1" x14ac:dyDescent="0.35"/>
    <row r="55394" hidden="1" x14ac:dyDescent="0.35"/>
    <row r="55395" hidden="1" x14ac:dyDescent="0.35"/>
    <row r="55396" hidden="1" x14ac:dyDescent="0.35"/>
    <row r="55397" hidden="1" x14ac:dyDescent="0.35"/>
    <row r="55398" hidden="1" x14ac:dyDescent="0.35"/>
    <row r="55399" hidden="1" x14ac:dyDescent="0.35"/>
    <row r="55400" hidden="1" x14ac:dyDescent="0.35"/>
    <row r="55401" hidden="1" x14ac:dyDescent="0.35"/>
    <row r="55402" hidden="1" x14ac:dyDescent="0.35"/>
    <row r="55403" hidden="1" x14ac:dyDescent="0.35"/>
    <row r="55404" hidden="1" x14ac:dyDescent="0.35"/>
    <row r="55405" hidden="1" x14ac:dyDescent="0.35"/>
    <row r="55406" hidden="1" x14ac:dyDescent="0.35"/>
    <row r="55407" hidden="1" x14ac:dyDescent="0.35"/>
    <row r="55408" hidden="1" x14ac:dyDescent="0.35"/>
    <row r="55409" hidden="1" x14ac:dyDescent="0.35"/>
    <row r="55410" hidden="1" x14ac:dyDescent="0.35"/>
    <row r="55411" hidden="1" x14ac:dyDescent="0.35"/>
    <row r="55412" hidden="1" x14ac:dyDescent="0.35"/>
    <row r="55413" hidden="1" x14ac:dyDescent="0.35"/>
    <row r="55414" hidden="1" x14ac:dyDescent="0.35"/>
    <row r="55415" hidden="1" x14ac:dyDescent="0.35"/>
    <row r="55416" hidden="1" x14ac:dyDescent="0.35"/>
    <row r="55417" hidden="1" x14ac:dyDescent="0.35"/>
    <row r="55418" hidden="1" x14ac:dyDescent="0.35"/>
    <row r="55419" hidden="1" x14ac:dyDescent="0.35"/>
    <row r="55420" hidden="1" x14ac:dyDescent="0.35"/>
    <row r="55421" hidden="1" x14ac:dyDescent="0.35"/>
    <row r="55422" hidden="1" x14ac:dyDescent="0.35"/>
    <row r="55423" hidden="1" x14ac:dyDescent="0.35"/>
    <row r="55424" hidden="1" x14ac:dyDescent="0.35"/>
    <row r="55425" hidden="1" x14ac:dyDescent="0.35"/>
    <row r="55426" hidden="1" x14ac:dyDescent="0.35"/>
    <row r="55427" hidden="1" x14ac:dyDescent="0.35"/>
    <row r="55428" hidden="1" x14ac:dyDescent="0.35"/>
    <row r="55429" hidden="1" x14ac:dyDescent="0.35"/>
    <row r="55430" hidden="1" x14ac:dyDescent="0.35"/>
    <row r="55431" hidden="1" x14ac:dyDescent="0.35"/>
    <row r="55432" hidden="1" x14ac:dyDescent="0.35"/>
    <row r="55433" hidden="1" x14ac:dyDescent="0.35"/>
    <row r="55434" hidden="1" x14ac:dyDescent="0.35"/>
    <row r="55435" hidden="1" x14ac:dyDescent="0.35"/>
    <row r="55436" hidden="1" x14ac:dyDescent="0.35"/>
    <row r="55437" hidden="1" x14ac:dyDescent="0.35"/>
    <row r="55438" hidden="1" x14ac:dyDescent="0.35"/>
    <row r="55439" hidden="1" x14ac:dyDescent="0.35"/>
    <row r="55440" hidden="1" x14ac:dyDescent="0.35"/>
    <row r="55441" hidden="1" x14ac:dyDescent="0.35"/>
    <row r="55442" hidden="1" x14ac:dyDescent="0.35"/>
    <row r="55443" hidden="1" x14ac:dyDescent="0.35"/>
    <row r="55444" hidden="1" x14ac:dyDescent="0.35"/>
    <row r="55445" hidden="1" x14ac:dyDescent="0.35"/>
    <row r="55446" hidden="1" x14ac:dyDescent="0.35"/>
    <row r="55447" hidden="1" x14ac:dyDescent="0.35"/>
    <row r="55448" hidden="1" x14ac:dyDescent="0.35"/>
    <row r="55449" hidden="1" x14ac:dyDescent="0.35"/>
    <row r="55450" hidden="1" x14ac:dyDescent="0.35"/>
    <row r="55451" hidden="1" x14ac:dyDescent="0.35"/>
    <row r="55452" hidden="1" x14ac:dyDescent="0.35"/>
    <row r="55453" hidden="1" x14ac:dyDescent="0.35"/>
    <row r="55454" hidden="1" x14ac:dyDescent="0.35"/>
    <row r="55455" hidden="1" x14ac:dyDescent="0.35"/>
    <row r="55456" hidden="1" x14ac:dyDescent="0.35"/>
    <row r="55457" hidden="1" x14ac:dyDescent="0.35"/>
    <row r="55458" hidden="1" x14ac:dyDescent="0.35"/>
    <row r="55459" hidden="1" x14ac:dyDescent="0.35"/>
    <row r="55460" hidden="1" x14ac:dyDescent="0.35"/>
    <row r="55461" hidden="1" x14ac:dyDescent="0.35"/>
    <row r="55462" hidden="1" x14ac:dyDescent="0.35"/>
    <row r="55463" hidden="1" x14ac:dyDescent="0.35"/>
    <row r="55464" hidden="1" x14ac:dyDescent="0.35"/>
    <row r="55465" hidden="1" x14ac:dyDescent="0.35"/>
    <row r="55466" hidden="1" x14ac:dyDescent="0.35"/>
    <row r="55467" hidden="1" x14ac:dyDescent="0.35"/>
    <row r="55468" hidden="1" x14ac:dyDescent="0.35"/>
    <row r="55469" hidden="1" x14ac:dyDescent="0.35"/>
    <row r="55470" hidden="1" x14ac:dyDescent="0.35"/>
    <row r="55471" hidden="1" x14ac:dyDescent="0.35"/>
    <row r="55472" hidden="1" x14ac:dyDescent="0.35"/>
    <row r="55473" hidden="1" x14ac:dyDescent="0.35"/>
    <row r="55474" hidden="1" x14ac:dyDescent="0.35"/>
    <row r="55475" hidden="1" x14ac:dyDescent="0.35"/>
    <row r="55476" hidden="1" x14ac:dyDescent="0.35"/>
    <row r="55477" hidden="1" x14ac:dyDescent="0.35"/>
    <row r="55478" hidden="1" x14ac:dyDescent="0.35"/>
    <row r="55479" hidden="1" x14ac:dyDescent="0.35"/>
    <row r="55480" hidden="1" x14ac:dyDescent="0.35"/>
    <row r="55481" hidden="1" x14ac:dyDescent="0.35"/>
    <row r="55482" hidden="1" x14ac:dyDescent="0.35"/>
    <row r="55483" hidden="1" x14ac:dyDescent="0.35"/>
    <row r="55484" hidden="1" x14ac:dyDescent="0.35"/>
    <row r="55485" hidden="1" x14ac:dyDescent="0.35"/>
    <row r="55486" hidden="1" x14ac:dyDescent="0.35"/>
    <row r="55487" hidden="1" x14ac:dyDescent="0.35"/>
    <row r="55488" hidden="1" x14ac:dyDescent="0.35"/>
    <row r="55489" hidden="1" x14ac:dyDescent="0.35"/>
    <row r="55490" hidden="1" x14ac:dyDescent="0.35"/>
    <row r="55491" hidden="1" x14ac:dyDescent="0.35"/>
    <row r="55492" hidden="1" x14ac:dyDescent="0.35"/>
    <row r="55493" hidden="1" x14ac:dyDescent="0.35"/>
    <row r="55494" hidden="1" x14ac:dyDescent="0.35"/>
    <row r="55495" hidden="1" x14ac:dyDescent="0.35"/>
    <row r="55496" hidden="1" x14ac:dyDescent="0.35"/>
    <row r="55497" hidden="1" x14ac:dyDescent="0.35"/>
    <row r="55498" hidden="1" x14ac:dyDescent="0.35"/>
    <row r="55499" hidden="1" x14ac:dyDescent="0.35"/>
    <row r="55500" hidden="1" x14ac:dyDescent="0.35"/>
    <row r="55501" hidden="1" x14ac:dyDescent="0.35"/>
    <row r="55502" hidden="1" x14ac:dyDescent="0.35"/>
    <row r="55503" hidden="1" x14ac:dyDescent="0.35"/>
    <row r="55504" hidden="1" x14ac:dyDescent="0.35"/>
    <row r="55505" hidden="1" x14ac:dyDescent="0.35"/>
    <row r="55506" hidden="1" x14ac:dyDescent="0.35"/>
    <row r="55507" hidden="1" x14ac:dyDescent="0.35"/>
    <row r="55508" hidden="1" x14ac:dyDescent="0.35"/>
    <row r="55509" hidden="1" x14ac:dyDescent="0.35"/>
    <row r="55510" hidden="1" x14ac:dyDescent="0.35"/>
    <row r="55511" hidden="1" x14ac:dyDescent="0.35"/>
    <row r="55512" hidden="1" x14ac:dyDescent="0.35"/>
    <row r="55513" hidden="1" x14ac:dyDescent="0.35"/>
    <row r="55514" hidden="1" x14ac:dyDescent="0.35"/>
    <row r="55515" hidden="1" x14ac:dyDescent="0.35"/>
    <row r="55516" hidden="1" x14ac:dyDescent="0.35"/>
    <row r="55517" hidden="1" x14ac:dyDescent="0.35"/>
    <row r="55518" hidden="1" x14ac:dyDescent="0.35"/>
    <row r="55519" hidden="1" x14ac:dyDescent="0.35"/>
    <row r="55520" hidden="1" x14ac:dyDescent="0.35"/>
    <row r="55521" hidden="1" x14ac:dyDescent="0.35"/>
    <row r="55522" hidden="1" x14ac:dyDescent="0.35"/>
    <row r="55523" hidden="1" x14ac:dyDescent="0.35"/>
    <row r="55524" hidden="1" x14ac:dyDescent="0.35"/>
    <row r="55525" hidden="1" x14ac:dyDescent="0.35"/>
    <row r="55526" hidden="1" x14ac:dyDescent="0.35"/>
    <row r="55527" hidden="1" x14ac:dyDescent="0.35"/>
    <row r="55528" hidden="1" x14ac:dyDescent="0.35"/>
    <row r="55529" hidden="1" x14ac:dyDescent="0.35"/>
    <row r="55530" hidden="1" x14ac:dyDescent="0.35"/>
    <row r="55531" hidden="1" x14ac:dyDescent="0.35"/>
    <row r="55532" hidden="1" x14ac:dyDescent="0.35"/>
    <row r="55533" hidden="1" x14ac:dyDescent="0.35"/>
    <row r="55534" hidden="1" x14ac:dyDescent="0.35"/>
    <row r="55535" hidden="1" x14ac:dyDescent="0.35"/>
    <row r="55536" hidden="1" x14ac:dyDescent="0.35"/>
    <row r="55537" hidden="1" x14ac:dyDescent="0.35"/>
    <row r="55538" hidden="1" x14ac:dyDescent="0.35"/>
    <row r="55539" hidden="1" x14ac:dyDescent="0.35"/>
    <row r="55540" hidden="1" x14ac:dyDescent="0.35"/>
    <row r="55541" hidden="1" x14ac:dyDescent="0.35"/>
    <row r="55542" hidden="1" x14ac:dyDescent="0.35"/>
    <row r="55543" hidden="1" x14ac:dyDescent="0.35"/>
    <row r="55544" hidden="1" x14ac:dyDescent="0.35"/>
    <row r="55545" hidden="1" x14ac:dyDescent="0.35"/>
    <row r="55546" hidden="1" x14ac:dyDescent="0.35"/>
    <row r="55547" hidden="1" x14ac:dyDescent="0.35"/>
    <row r="55548" hidden="1" x14ac:dyDescent="0.35"/>
    <row r="55549" hidden="1" x14ac:dyDescent="0.35"/>
    <row r="55550" hidden="1" x14ac:dyDescent="0.35"/>
    <row r="55551" hidden="1" x14ac:dyDescent="0.35"/>
    <row r="55552" hidden="1" x14ac:dyDescent="0.35"/>
    <row r="55553" hidden="1" x14ac:dyDescent="0.35"/>
    <row r="55554" hidden="1" x14ac:dyDescent="0.35"/>
    <row r="55555" hidden="1" x14ac:dyDescent="0.35"/>
    <row r="55556" hidden="1" x14ac:dyDescent="0.35"/>
    <row r="55557" hidden="1" x14ac:dyDescent="0.35"/>
    <row r="55558" hidden="1" x14ac:dyDescent="0.35"/>
    <row r="55559" hidden="1" x14ac:dyDescent="0.35"/>
    <row r="55560" hidden="1" x14ac:dyDescent="0.35"/>
    <row r="55561" hidden="1" x14ac:dyDescent="0.35"/>
    <row r="55562" hidden="1" x14ac:dyDescent="0.35"/>
    <row r="55563" hidden="1" x14ac:dyDescent="0.35"/>
    <row r="55564" hidden="1" x14ac:dyDescent="0.35"/>
    <row r="55565" hidden="1" x14ac:dyDescent="0.35"/>
    <row r="55566" hidden="1" x14ac:dyDescent="0.35"/>
    <row r="55567" hidden="1" x14ac:dyDescent="0.35"/>
    <row r="55568" hidden="1" x14ac:dyDescent="0.35"/>
    <row r="55569" hidden="1" x14ac:dyDescent="0.35"/>
    <row r="55570" hidden="1" x14ac:dyDescent="0.35"/>
    <row r="55571" hidden="1" x14ac:dyDescent="0.35"/>
    <row r="55572" hidden="1" x14ac:dyDescent="0.35"/>
    <row r="55573" hidden="1" x14ac:dyDescent="0.35"/>
    <row r="55574" hidden="1" x14ac:dyDescent="0.35"/>
    <row r="55575" hidden="1" x14ac:dyDescent="0.35"/>
    <row r="55576" hidden="1" x14ac:dyDescent="0.35"/>
    <row r="55577" hidden="1" x14ac:dyDescent="0.35"/>
    <row r="55578" hidden="1" x14ac:dyDescent="0.35"/>
    <row r="55579" hidden="1" x14ac:dyDescent="0.35"/>
    <row r="55580" hidden="1" x14ac:dyDescent="0.35"/>
    <row r="55581" hidden="1" x14ac:dyDescent="0.35"/>
    <row r="55582" hidden="1" x14ac:dyDescent="0.35"/>
    <row r="55583" hidden="1" x14ac:dyDescent="0.35"/>
    <row r="55584" hidden="1" x14ac:dyDescent="0.35"/>
    <row r="55585" hidden="1" x14ac:dyDescent="0.35"/>
    <row r="55586" hidden="1" x14ac:dyDescent="0.35"/>
    <row r="55587" hidden="1" x14ac:dyDescent="0.35"/>
    <row r="55588" hidden="1" x14ac:dyDescent="0.35"/>
    <row r="55589" hidden="1" x14ac:dyDescent="0.35"/>
    <row r="55590" hidden="1" x14ac:dyDescent="0.35"/>
    <row r="55591" hidden="1" x14ac:dyDescent="0.35"/>
    <row r="55592" hidden="1" x14ac:dyDescent="0.35"/>
    <row r="55593" hidden="1" x14ac:dyDescent="0.35"/>
    <row r="55594" hidden="1" x14ac:dyDescent="0.35"/>
    <row r="55595" hidden="1" x14ac:dyDescent="0.35"/>
    <row r="55596" hidden="1" x14ac:dyDescent="0.35"/>
    <row r="55597" hidden="1" x14ac:dyDescent="0.35"/>
    <row r="55598" hidden="1" x14ac:dyDescent="0.35"/>
    <row r="55599" hidden="1" x14ac:dyDescent="0.35"/>
    <row r="55600" hidden="1" x14ac:dyDescent="0.35"/>
    <row r="55601" hidden="1" x14ac:dyDescent="0.35"/>
    <row r="55602" hidden="1" x14ac:dyDescent="0.35"/>
    <row r="55603" hidden="1" x14ac:dyDescent="0.35"/>
    <row r="55604" hidden="1" x14ac:dyDescent="0.35"/>
    <row r="55605" hidden="1" x14ac:dyDescent="0.35"/>
    <row r="55606" hidden="1" x14ac:dyDescent="0.35"/>
    <row r="55607" hidden="1" x14ac:dyDescent="0.35"/>
    <row r="55608" hidden="1" x14ac:dyDescent="0.35"/>
    <row r="55609" hidden="1" x14ac:dyDescent="0.35"/>
    <row r="55610" hidden="1" x14ac:dyDescent="0.35"/>
    <row r="55611" hidden="1" x14ac:dyDescent="0.35"/>
    <row r="55612" hidden="1" x14ac:dyDescent="0.35"/>
    <row r="55613" hidden="1" x14ac:dyDescent="0.35"/>
    <row r="55614" hidden="1" x14ac:dyDescent="0.35"/>
    <row r="55615" hidden="1" x14ac:dyDescent="0.35"/>
    <row r="55616" hidden="1" x14ac:dyDescent="0.35"/>
    <row r="55617" hidden="1" x14ac:dyDescent="0.35"/>
    <row r="55618" hidden="1" x14ac:dyDescent="0.35"/>
    <row r="55619" hidden="1" x14ac:dyDescent="0.35"/>
    <row r="55620" hidden="1" x14ac:dyDescent="0.35"/>
    <row r="55621" hidden="1" x14ac:dyDescent="0.35"/>
    <row r="55622" hidden="1" x14ac:dyDescent="0.35"/>
    <row r="55623" hidden="1" x14ac:dyDescent="0.35"/>
    <row r="55624" hidden="1" x14ac:dyDescent="0.35"/>
    <row r="55625" hidden="1" x14ac:dyDescent="0.35"/>
    <row r="55626" hidden="1" x14ac:dyDescent="0.35"/>
    <row r="55627" hidden="1" x14ac:dyDescent="0.35"/>
    <row r="55628" hidden="1" x14ac:dyDescent="0.35"/>
    <row r="55629" hidden="1" x14ac:dyDescent="0.35"/>
    <row r="55630" hidden="1" x14ac:dyDescent="0.35"/>
    <row r="55631" hidden="1" x14ac:dyDescent="0.35"/>
    <row r="55632" hidden="1" x14ac:dyDescent="0.35"/>
    <row r="55633" hidden="1" x14ac:dyDescent="0.35"/>
    <row r="55634" hidden="1" x14ac:dyDescent="0.35"/>
    <row r="55635" hidden="1" x14ac:dyDescent="0.35"/>
    <row r="55636" hidden="1" x14ac:dyDescent="0.35"/>
    <row r="55637" hidden="1" x14ac:dyDescent="0.35"/>
    <row r="55638" hidden="1" x14ac:dyDescent="0.35"/>
    <row r="55639" hidden="1" x14ac:dyDescent="0.35"/>
    <row r="55640" hidden="1" x14ac:dyDescent="0.35"/>
    <row r="55641" hidden="1" x14ac:dyDescent="0.35"/>
    <row r="55642" hidden="1" x14ac:dyDescent="0.35"/>
    <row r="55643" hidden="1" x14ac:dyDescent="0.35"/>
    <row r="55644" hidden="1" x14ac:dyDescent="0.35"/>
    <row r="55645" hidden="1" x14ac:dyDescent="0.35"/>
    <row r="55646" hidden="1" x14ac:dyDescent="0.35"/>
    <row r="55647" hidden="1" x14ac:dyDescent="0.35"/>
    <row r="55648" hidden="1" x14ac:dyDescent="0.35"/>
    <row r="55649" hidden="1" x14ac:dyDescent="0.35"/>
    <row r="55650" hidden="1" x14ac:dyDescent="0.35"/>
    <row r="55651" hidden="1" x14ac:dyDescent="0.35"/>
    <row r="55652" hidden="1" x14ac:dyDescent="0.35"/>
    <row r="55653" hidden="1" x14ac:dyDescent="0.35"/>
    <row r="55654" hidden="1" x14ac:dyDescent="0.35"/>
    <row r="55655" hidden="1" x14ac:dyDescent="0.35"/>
    <row r="55656" hidden="1" x14ac:dyDescent="0.35"/>
    <row r="55657" hidden="1" x14ac:dyDescent="0.35"/>
    <row r="55658" hidden="1" x14ac:dyDescent="0.35"/>
    <row r="55659" hidden="1" x14ac:dyDescent="0.35"/>
    <row r="55660" hidden="1" x14ac:dyDescent="0.35"/>
    <row r="55661" hidden="1" x14ac:dyDescent="0.35"/>
    <row r="55662" hidden="1" x14ac:dyDescent="0.35"/>
    <row r="55663" hidden="1" x14ac:dyDescent="0.35"/>
    <row r="55664" hidden="1" x14ac:dyDescent="0.35"/>
    <row r="55665" hidden="1" x14ac:dyDescent="0.35"/>
    <row r="55666" hidden="1" x14ac:dyDescent="0.35"/>
    <row r="55667" hidden="1" x14ac:dyDescent="0.35"/>
    <row r="55668" hidden="1" x14ac:dyDescent="0.35"/>
    <row r="55669" hidden="1" x14ac:dyDescent="0.35"/>
    <row r="55670" hidden="1" x14ac:dyDescent="0.35"/>
    <row r="55671" hidden="1" x14ac:dyDescent="0.35"/>
    <row r="55672" hidden="1" x14ac:dyDescent="0.35"/>
    <row r="55673" hidden="1" x14ac:dyDescent="0.35"/>
    <row r="55674" hidden="1" x14ac:dyDescent="0.35"/>
    <row r="55675" hidden="1" x14ac:dyDescent="0.35"/>
    <row r="55676" hidden="1" x14ac:dyDescent="0.35"/>
    <row r="55677" hidden="1" x14ac:dyDescent="0.35"/>
    <row r="55678" hidden="1" x14ac:dyDescent="0.35"/>
    <row r="55679" hidden="1" x14ac:dyDescent="0.35"/>
    <row r="55680" hidden="1" x14ac:dyDescent="0.35"/>
    <row r="55681" hidden="1" x14ac:dyDescent="0.35"/>
    <row r="55682" hidden="1" x14ac:dyDescent="0.35"/>
    <row r="55683" hidden="1" x14ac:dyDescent="0.35"/>
    <row r="55684" hidden="1" x14ac:dyDescent="0.35"/>
    <row r="55685" hidden="1" x14ac:dyDescent="0.35"/>
    <row r="55686" hidden="1" x14ac:dyDescent="0.35"/>
    <row r="55687" hidden="1" x14ac:dyDescent="0.35"/>
    <row r="55688" hidden="1" x14ac:dyDescent="0.35"/>
    <row r="55689" hidden="1" x14ac:dyDescent="0.35"/>
    <row r="55690" hidden="1" x14ac:dyDescent="0.35"/>
    <row r="55691" hidden="1" x14ac:dyDescent="0.35"/>
    <row r="55692" hidden="1" x14ac:dyDescent="0.35"/>
    <row r="55693" hidden="1" x14ac:dyDescent="0.35"/>
    <row r="55694" hidden="1" x14ac:dyDescent="0.35"/>
    <row r="55695" hidden="1" x14ac:dyDescent="0.35"/>
    <row r="55696" hidden="1" x14ac:dyDescent="0.35"/>
    <row r="55697" hidden="1" x14ac:dyDescent="0.35"/>
    <row r="55698" hidden="1" x14ac:dyDescent="0.35"/>
    <row r="55699" hidden="1" x14ac:dyDescent="0.35"/>
    <row r="55700" hidden="1" x14ac:dyDescent="0.35"/>
    <row r="55701" hidden="1" x14ac:dyDescent="0.35"/>
    <row r="55702" hidden="1" x14ac:dyDescent="0.35"/>
    <row r="55703" hidden="1" x14ac:dyDescent="0.35"/>
    <row r="55704" hidden="1" x14ac:dyDescent="0.35"/>
    <row r="55705" hidden="1" x14ac:dyDescent="0.35"/>
    <row r="55706" hidden="1" x14ac:dyDescent="0.35"/>
    <row r="55707" hidden="1" x14ac:dyDescent="0.35"/>
    <row r="55708" hidden="1" x14ac:dyDescent="0.35"/>
    <row r="55709" hidden="1" x14ac:dyDescent="0.35"/>
    <row r="55710" hidden="1" x14ac:dyDescent="0.35"/>
    <row r="55711" hidden="1" x14ac:dyDescent="0.35"/>
    <row r="55712" hidden="1" x14ac:dyDescent="0.35"/>
    <row r="55713" hidden="1" x14ac:dyDescent="0.35"/>
    <row r="55714" hidden="1" x14ac:dyDescent="0.35"/>
    <row r="55715" hidden="1" x14ac:dyDescent="0.35"/>
    <row r="55716" hidden="1" x14ac:dyDescent="0.35"/>
    <row r="55717" hidden="1" x14ac:dyDescent="0.35"/>
    <row r="55718" hidden="1" x14ac:dyDescent="0.35"/>
    <row r="55719" hidden="1" x14ac:dyDescent="0.35"/>
    <row r="55720" hidden="1" x14ac:dyDescent="0.35"/>
    <row r="55721" hidden="1" x14ac:dyDescent="0.35"/>
    <row r="55722" hidden="1" x14ac:dyDescent="0.35"/>
    <row r="55723" hidden="1" x14ac:dyDescent="0.35"/>
    <row r="55724" hidden="1" x14ac:dyDescent="0.35"/>
    <row r="55725" hidden="1" x14ac:dyDescent="0.35"/>
    <row r="55726" hidden="1" x14ac:dyDescent="0.35"/>
    <row r="55727" hidden="1" x14ac:dyDescent="0.35"/>
    <row r="55728" hidden="1" x14ac:dyDescent="0.35"/>
    <row r="55729" hidden="1" x14ac:dyDescent="0.35"/>
    <row r="55730" hidden="1" x14ac:dyDescent="0.35"/>
    <row r="55731" hidden="1" x14ac:dyDescent="0.35"/>
    <row r="55732" hidden="1" x14ac:dyDescent="0.35"/>
    <row r="55733" hidden="1" x14ac:dyDescent="0.35"/>
    <row r="55734" hidden="1" x14ac:dyDescent="0.35"/>
    <row r="55735" hidden="1" x14ac:dyDescent="0.35"/>
    <row r="55736" hidden="1" x14ac:dyDescent="0.35"/>
    <row r="55737" hidden="1" x14ac:dyDescent="0.35"/>
    <row r="55738" hidden="1" x14ac:dyDescent="0.35"/>
    <row r="55739" hidden="1" x14ac:dyDescent="0.35"/>
    <row r="55740" hidden="1" x14ac:dyDescent="0.35"/>
    <row r="55741" hidden="1" x14ac:dyDescent="0.35"/>
    <row r="55742" hidden="1" x14ac:dyDescent="0.35"/>
    <row r="55743" hidden="1" x14ac:dyDescent="0.35"/>
    <row r="55744" hidden="1" x14ac:dyDescent="0.35"/>
    <row r="55745" hidden="1" x14ac:dyDescent="0.35"/>
    <row r="55746" hidden="1" x14ac:dyDescent="0.35"/>
    <row r="55747" hidden="1" x14ac:dyDescent="0.35"/>
    <row r="55748" hidden="1" x14ac:dyDescent="0.35"/>
    <row r="55749" hidden="1" x14ac:dyDescent="0.35"/>
    <row r="55750" hidden="1" x14ac:dyDescent="0.35"/>
    <row r="55751" hidden="1" x14ac:dyDescent="0.35"/>
    <row r="55752" hidden="1" x14ac:dyDescent="0.35"/>
    <row r="55753" hidden="1" x14ac:dyDescent="0.35"/>
    <row r="55754" hidden="1" x14ac:dyDescent="0.35"/>
    <row r="55755" hidden="1" x14ac:dyDescent="0.35"/>
    <row r="55756" hidden="1" x14ac:dyDescent="0.35"/>
    <row r="55757" hidden="1" x14ac:dyDescent="0.35"/>
    <row r="55758" hidden="1" x14ac:dyDescent="0.35"/>
    <row r="55759" hidden="1" x14ac:dyDescent="0.35"/>
    <row r="55760" hidden="1" x14ac:dyDescent="0.35"/>
    <row r="55761" hidden="1" x14ac:dyDescent="0.35"/>
    <row r="55762" hidden="1" x14ac:dyDescent="0.35"/>
    <row r="55763" hidden="1" x14ac:dyDescent="0.35"/>
    <row r="55764" hidden="1" x14ac:dyDescent="0.35"/>
    <row r="55765" hidden="1" x14ac:dyDescent="0.35"/>
    <row r="55766" hidden="1" x14ac:dyDescent="0.35"/>
    <row r="55767" hidden="1" x14ac:dyDescent="0.35"/>
    <row r="55768" hidden="1" x14ac:dyDescent="0.35"/>
    <row r="55769" hidden="1" x14ac:dyDescent="0.35"/>
    <row r="55770" hidden="1" x14ac:dyDescent="0.35"/>
    <row r="55771" hidden="1" x14ac:dyDescent="0.35"/>
    <row r="55772" hidden="1" x14ac:dyDescent="0.35"/>
    <row r="55773" hidden="1" x14ac:dyDescent="0.35"/>
    <row r="55774" hidden="1" x14ac:dyDescent="0.35"/>
    <row r="55775" hidden="1" x14ac:dyDescent="0.35"/>
    <row r="55776" hidden="1" x14ac:dyDescent="0.35"/>
    <row r="55777" hidden="1" x14ac:dyDescent="0.35"/>
    <row r="55778" hidden="1" x14ac:dyDescent="0.35"/>
    <row r="55779" hidden="1" x14ac:dyDescent="0.35"/>
    <row r="55780" hidden="1" x14ac:dyDescent="0.35"/>
    <row r="55781" hidden="1" x14ac:dyDescent="0.35"/>
    <row r="55782" hidden="1" x14ac:dyDescent="0.35"/>
    <row r="55783" hidden="1" x14ac:dyDescent="0.35"/>
    <row r="55784" hidden="1" x14ac:dyDescent="0.35"/>
    <row r="55785" hidden="1" x14ac:dyDescent="0.35"/>
    <row r="55786" hidden="1" x14ac:dyDescent="0.35"/>
    <row r="55787" hidden="1" x14ac:dyDescent="0.35"/>
    <row r="55788" hidden="1" x14ac:dyDescent="0.35"/>
    <row r="55789" hidden="1" x14ac:dyDescent="0.35"/>
    <row r="55790" hidden="1" x14ac:dyDescent="0.35"/>
    <row r="55791" hidden="1" x14ac:dyDescent="0.35"/>
    <row r="55792" hidden="1" x14ac:dyDescent="0.35"/>
    <row r="55793" hidden="1" x14ac:dyDescent="0.35"/>
    <row r="55794" hidden="1" x14ac:dyDescent="0.35"/>
    <row r="55795" hidden="1" x14ac:dyDescent="0.35"/>
    <row r="55796" hidden="1" x14ac:dyDescent="0.35"/>
    <row r="55797" hidden="1" x14ac:dyDescent="0.35"/>
    <row r="55798" hidden="1" x14ac:dyDescent="0.35"/>
    <row r="55799" hidden="1" x14ac:dyDescent="0.35"/>
    <row r="55800" hidden="1" x14ac:dyDescent="0.35"/>
    <row r="55801" hidden="1" x14ac:dyDescent="0.35"/>
    <row r="55802" hidden="1" x14ac:dyDescent="0.35"/>
    <row r="55803" hidden="1" x14ac:dyDescent="0.35"/>
    <row r="55804" hidden="1" x14ac:dyDescent="0.35"/>
    <row r="55805" hidden="1" x14ac:dyDescent="0.35"/>
    <row r="55806" hidden="1" x14ac:dyDescent="0.35"/>
    <row r="55807" hidden="1" x14ac:dyDescent="0.35"/>
    <row r="55808" hidden="1" x14ac:dyDescent="0.35"/>
    <row r="55809" hidden="1" x14ac:dyDescent="0.35"/>
    <row r="55810" hidden="1" x14ac:dyDescent="0.35"/>
    <row r="55811" hidden="1" x14ac:dyDescent="0.35"/>
    <row r="55812" hidden="1" x14ac:dyDescent="0.35"/>
    <row r="55813" hidden="1" x14ac:dyDescent="0.35"/>
    <row r="55814" hidden="1" x14ac:dyDescent="0.35"/>
    <row r="55815" hidden="1" x14ac:dyDescent="0.35"/>
    <row r="55816" hidden="1" x14ac:dyDescent="0.35"/>
    <row r="55817" hidden="1" x14ac:dyDescent="0.35"/>
    <row r="55818" hidden="1" x14ac:dyDescent="0.35"/>
    <row r="55819" hidden="1" x14ac:dyDescent="0.35"/>
    <row r="55820" hidden="1" x14ac:dyDescent="0.35"/>
    <row r="55821" hidden="1" x14ac:dyDescent="0.35"/>
    <row r="55822" hidden="1" x14ac:dyDescent="0.35"/>
    <row r="55823" hidden="1" x14ac:dyDescent="0.35"/>
    <row r="55824" hidden="1" x14ac:dyDescent="0.35"/>
    <row r="55825" hidden="1" x14ac:dyDescent="0.35"/>
    <row r="55826" hidden="1" x14ac:dyDescent="0.35"/>
    <row r="55827" hidden="1" x14ac:dyDescent="0.35"/>
    <row r="55828" hidden="1" x14ac:dyDescent="0.35"/>
    <row r="55829" hidden="1" x14ac:dyDescent="0.35"/>
    <row r="55830" hidden="1" x14ac:dyDescent="0.35"/>
    <row r="55831" hidden="1" x14ac:dyDescent="0.35"/>
    <row r="55832" hidden="1" x14ac:dyDescent="0.35"/>
    <row r="55833" hidden="1" x14ac:dyDescent="0.35"/>
    <row r="55834" hidden="1" x14ac:dyDescent="0.35"/>
    <row r="55835" hidden="1" x14ac:dyDescent="0.35"/>
    <row r="55836" hidden="1" x14ac:dyDescent="0.35"/>
    <row r="55837" hidden="1" x14ac:dyDescent="0.35"/>
    <row r="55838" hidden="1" x14ac:dyDescent="0.35"/>
    <row r="55839" hidden="1" x14ac:dyDescent="0.35"/>
    <row r="55840" hidden="1" x14ac:dyDescent="0.35"/>
    <row r="55841" hidden="1" x14ac:dyDescent="0.35"/>
    <row r="55842" hidden="1" x14ac:dyDescent="0.35"/>
    <row r="55843" hidden="1" x14ac:dyDescent="0.35"/>
    <row r="55844" hidden="1" x14ac:dyDescent="0.35"/>
    <row r="55845" hidden="1" x14ac:dyDescent="0.35"/>
    <row r="55846" hidden="1" x14ac:dyDescent="0.35"/>
    <row r="55847" hidden="1" x14ac:dyDescent="0.35"/>
    <row r="55848" hidden="1" x14ac:dyDescent="0.35"/>
    <row r="55849" hidden="1" x14ac:dyDescent="0.35"/>
    <row r="55850" hidden="1" x14ac:dyDescent="0.35"/>
    <row r="55851" hidden="1" x14ac:dyDescent="0.35"/>
    <row r="55852" hidden="1" x14ac:dyDescent="0.35"/>
    <row r="55853" hidden="1" x14ac:dyDescent="0.35"/>
    <row r="55854" hidden="1" x14ac:dyDescent="0.35"/>
    <row r="55855" hidden="1" x14ac:dyDescent="0.35"/>
    <row r="55856" hidden="1" x14ac:dyDescent="0.35"/>
    <row r="55857" hidden="1" x14ac:dyDescent="0.35"/>
    <row r="55858" hidden="1" x14ac:dyDescent="0.35"/>
    <row r="55859" hidden="1" x14ac:dyDescent="0.35"/>
    <row r="55860" hidden="1" x14ac:dyDescent="0.35"/>
    <row r="55861" hidden="1" x14ac:dyDescent="0.35"/>
    <row r="55862" hidden="1" x14ac:dyDescent="0.35"/>
    <row r="55863" hidden="1" x14ac:dyDescent="0.35"/>
    <row r="55864" hidden="1" x14ac:dyDescent="0.35"/>
    <row r="55865" hidden="1" x14ac:dyDescent="0.35"/>
    <row r="55866" hidden="1" x14ac:dyDescent="0.35"/>
    <row r="55867" hidden="1" x14ac:dyDescent="0.35"/>
    <row r="55868" hidden="1" x14ac:dyDescent="0.35"/>
    <row r="55869" hidden="1" x14ac:dyDescent="0.35"/>
    <row r="55870" hidden="1" x14ac:dyDescent="0.35"/>
    <row r="55871" hidden="1" x14ac:dyDescent="0.35"/>
    <row r="55872" hidden="1" x14ac:dyDescent="0.35"/>
    <row r="55873" hidden="1" x14ac:dyDescent="0.35"/>
    <row r="55874" hidden="1" x14ac:dyDescent="0.35"/>
    <row r="55875" hidden="1" x14ac:dyDescent="0.35"/>
    <row r="55876" hidden="1" x14ac:dyDescent="0.35"/>
    <row r="55877" hidden="1" x14ac:dyDescent="0.35"/>
    <row r="55878" hidden="1" x14ac:dyDescent="0.35"/>
    <row r="55879" hidden="1" x14ac:dyDescent="0.35"/>
    <row r="55880" hidden="1" x14ac:dyDescent="0.35"/>
    <row r="55881" hidden="1" x14ac:dyDescent="0.35"/>
    <row r="55882" hidden="1" x14ac:dyDescent="0.35"/>
    <row r="55883" hidden="1" x14ac:dyDescent="0.35"/>
    <row r="55884" hidden="1" x14ac:dyDescent="0.35"/>
    <row r="55885" hidden="1" x14ac:dyDescent="0.35"/>
    <row r="55886" hidden="1" x14ac:dyDescent="0.35"/>
    <row r="55887" hidden="1" x14ac:dyDescent="0.35"/>
    <row r="55888" hidden="1" x14ac:dyDescent="0.35"/>
    <row r="55889" hidden="1" x14ac:dyDescent="0.35"/>
    <row r="55890" hidden="1" x14ac:dyDescent="0.35"/>
    <row r="55891" hidden="1" x14ac:dyDescent="0.35"/>
    <row r="55892" hidden="1" x14ac:dyDescent="0.35"/>
    <row r="55893" hidden="1" x14ac:dyDescent="0.35"/>
    <row r="55894" hidden="1" x14ac:dyDescent="0.35"/>
    <row r="55895" hidden="1" x14ac:dyDescent="0.35"/>
    <row r="55896" hidden="1" x14ac:dyDescent="0.35"/>
    <row r="55897" hidden="1" x14ac:dyDescent="0.35"/>
    <row r="55898" hidden="1" x14ac:dyDescent="0.35"/>
    <row r="55899" hidden="1" x14ac:dyDescent="0.35"/>
    <row r="55900" hidden="1" x14ac:dyDescent="0.35"/>
    <row r="55901" hidden="1" x14ac:dyDescent="0.35"/>
    <row r="55902" hidden="1" x14ac:dyDescent="0.35"/>
    <row r="55903" hidden="1" x14ac:dyDescent="0.35"/>
    <row r="55904" hidden="1" x14ac:dyDescent="0.35"/>
    <row r="55905" hidden="1" x14ac:dyDescent="0.35"/>
    <row r="55906" hidden="1" x14ac:dyDescent="0.35"/>
    <row r="55907" hidden="1" x14ac:dyDescent="0.35"/>
    <row r="55908" hidden="1" x14ac:dyDescent="0.35"/>
    <row r="55909" hidden="1" x14ac:dyDescent="0.35"/>
    <row r="55910" hidden="1" x14ac:dyDescent="0.35"/>
    <row r="55911" hidden="1" x14ac:dyDescent="0.35"/>
    <row r="55912" hidden="1" x14ac:dyDescent="0.35"/>
    <row r="55913" hidden="1" x14ac:dyDescent="0.35"/>
    <row r="55914" hidden="1" x14ac:dyDescent="0.35"/>
    <row r="55915" hidden="1" x14ac:dyDescent="0.35"/>
    <row r="55916" hidden="1" x14ac:dyDescent="0.35"/>
    <row r="55917" hidden="1" x14ac:dyDescent="0.35"/>
    <row r="55918" hidden="1" x14ac:dyDescent="0.35"/>
    <row r="55919" hidden="1" x14ac:dyDescent="0.35"/>
    <row r="55920" hidden="1" x14ac:dyDescent="0.35"/>
    <row r="55921" hidden="1" x14ac:dyDescent="0.35"/>
    <row r="55922" hidden="1" x14ac:dyDescent="0.35"/>
    <row r="55923" hidden="1" x14ac:dyDescent="0.35"/>
    <row r="55924" hidden="1" x14ac:dyDescent="0.35"/>
    <row r="55925" hidden="1" x14ac:dyDescent="0.35"/>
    <row r="55926" hidden="1" x14ac:dyDescent="0.35"/>
    <row r="55927" hidden="1" x14ac:dyDescent="0.35"/>
    <row r="55928" hidden="1" x14ac:dyDescent="0.35"/>
    <row r="55929" hidden="1" x14ac:dyDescent="0.35"/>
    <row r="55930" hidden="1" x14ac:dyDescent="0.35"/>
    <row r="55931" hidden="1" x14ac:dyDescent="0.35"/>
    <row r="55932" hidden="1" x14ac:dyDescent="0.35"/>
    <row r="55933" hidden="1" x14ac:dyDescent="0.35"/>
    <row r="55934" hidden="1" x14ac:dyDescent="0.35"/>
    <row r="55935" hidden="1" x14ac:dyDescent="0.35"/>
    <row r="55936" hidden="1" x14ac:dyDescent="0.35"/>
    <row r="55937" hidden="1" x14ac:dyDescent="0.35"/>
    <row r="55938" hidden="1" x14ac:dyDescent="0.35"/>
    <row r="55939" hidden="1" x14ac:dyDescent="0.35"/>
    <row r="55940" hidden="1" x14ac:dyDescent="0.35"/>
    <row r="55941" hidden="1" x14ac:dyDescent="0.35"/>
    <row r="55942" hidden="1" x14ac:dyDescent="0.35"/>
    <row r="55943" hidden="1" x14ac:dyDescent="0.35"/>
    <row r="55944" hidden="1" x14ac:dyDescent="0.35"/>
    <row r="55945" hidden="1" x14ac:dyDescent="0.35"/>
    <row r="55946" hidden="1" x14ac:dyDescent="0.35"/>
    <row r="55947" hidden="1" x14ac:dyDescent="0.35"/>
    <row r="55948" hidden="1" x14ac:dyDescent="0.35"/>
    <row r="55949" hidden="1" x14ac:dyDescent="0.35"/>
    <row r="55950" hidden="1" x14ac:dyDescent="0.35"/>
    <row r="55951" hidden="1" x14ac:dyDescent="0.35"/>
    <row r="55952" hidden="1" x14ac:dyDescent="0.35"/>
    <row r="55953" hidden="1" x14ac:dyDescent="0.35"/>
    <row r="55954" hidden="1" x14ac:dyDescent="0.35"/>
    <row r="55955" hidden="1" x14ac:dyDescent="0.35"/>
    <row r="55956" hidden="1" x14ac:dyDescent="0.35"/>
    <row r="55957" hidden="1" x14ac:dyDescent="0.35"/>
    <row r="55958" hidden="1" x14ac:dyDescent="0.35"/>
    <row r="55959" hidden="1" x14ac:dyDescent="0.35"/>
    <row r="55960" hidden="1" x14ac:dyDescent="0.35"/>
    <row r="55961" hidden="1" x14ac:dyDescent="0.35"/>
    <row r="55962" hidden="1" x14ac:dyDescent="0.35"/>
    <row r="55963" hidden="1" x14ac:dyDescent="0.35"/>
    <row r="55964" hidden="1" x14ac:dyDescent="0.35"/>
    <row r="55965" hidden="1" x14ac:dyDescent="0.35"/>
    <row r="55966" hidden="1" x14ac:dyDescent="0.35"/>
    <row r="55967" hidden="1" x14ac:dyDescent="0.35"/>
    <row r="55968" hidden="1" x14ac:dyDescent="0.35"/>
    <row r="55969" hidden="1" x14ac:dyDescent="0.35"/>
    <row r="55970" hidden="1" x14ac:dyDescent="0.35"/>
    <row r="55971" hidden="1" x14ac:dyDescent="0.35"/>
    <row r="55972" hidden="1" x14ac:dyDescent="0.35"/>
    <row r="55973" hidden="1" x14ac:dyDescent="0.35"/>
    <row r="55974" hidden="1" x14ac:dyDescent="0.35"/>
    <row r="55975" hidden="1" x14ac:dyDescent="0.35"/>
    <row r="55976" hidden="1" x14ac:dyDescent="0.35"/>
    <row r="55977" hidden="1" x14ac:dyDescent="0.35"/>
    <row r="55978" hidden="1" x14ac:dyDescent="0.35"/>
    <row r="55979" hidden="1" x14ac:dyDescent="0.35"/>
    <row r="55980" hidden="1" x14ac:dyDescent="0.35"/>
    <row r="55981" hidden="1" x14ac:dyDescent="0.35"/>
    <row r="55982" hidden="1" x14ac:dyDescent="0.35"/>
    <row r="55983" hidden="1" x14ac:dyDescent="0.35"/>
    <row r="55984" hidden="1" x14ac:dyDescent="0.35"/>
    <row r="55985" hidden="1" x14ac:dyDescent="0.35"/>
    <row r="55986" hidden="1" x14ac:dyDescent="0.35"/>
    <row r="55987" hidden="1" x14ac:dyDescent="0.35"/>
    <row r="55988" hidden="1" x14ac:dyDescent="0.35"/>
    <row r="55989" hidden="1" x14ac:dyDescent="0.35"/>
    <row r="55990" hidden="1" x14ac:dyDescent="0.35"/>
    <row r="55991" hidden="1" x14ac:dyDescent="0.35"/>
    <row r="55992" hidden="1" x14ac:dyDescent="0.35"/>
    <row r="55993" hidden="1" x14ac:dyDescent="0.35"/>
    <row r="55994" hidden="1" x14ac:dyDescent="0.35"/>
    <row r="55995" hidden="1" x14ac:dyDescent="0.35"/>
    <row r="55996" hidden="1" x14ac:dyDescent="0.35"/>
    <row r="55997" hidden="1" x14ac:dyDescent="0.35"/>
    <row r="55998" hidden="1" x14ac:dyDescent="0.35"/>
    <row r="55999" hidden="1" x14ac:dyDescent="0.35"/>
    <row r="56000" hidden="1" x14ac:dyDescent="0.35"/>
    <row r="56001" hidden="1" x14ac:dyDescent="0.35"/>
    <row r="56002" hidden="1" x14ac:dyDescent="0.35"/>
    <row r="56003" hidden="1" x14ac:dyDescent="0.35"/>
    <row r="56004" hidden="1" x14ac:dyDescent="0.35"/>
    <row r="56005" hidden="1" x14ac:dyDescent="0.35"/>
    <row r="56006" hidden="1" x14ac:dyDescent="0.35"/>
    <row r="56007" hidden="1" x14ac:dyDescent="0.35"/>
    <row r="56008" hidden="1" x14ac:dyDescent="0.35"/>
    <row r="56009" hidden="1" x14ac:dyDescent="0.35"/>
    <row r="56010" hidden="1" x14ac:dyDescent="0.35"/>
    <row r="56011" hidden="1" x14ac:dyDescent="0.35"/>
    <row r="56012" hidden="1" x14ac:dyDescent="0.35"/>
    <row r="56013" hidden="1" x14ac:dyDescent="0.35"/>
    <row r="56014" hidden="1" x14ac:dyDescent="0.35"/>
    <row r="56015" hidden="1" x14ac:dyDescent="0.35"/>
    <row r="56016" hidden="1" x14ac:dyDescent="0.35"/>
    <row r="56017" hidden="1" x14ac:dyDescent="0.35"/>
    <row r="56018" hidden="1" x14ac:dyDescent="0.35"/>
    <row r="56019" hidden="1" x14ac:dyDescent="0.35"/>
    <row r="56020" hidden="1" x14ac:dyDescent="0.35"/>
    <row r="56021" hidden="1" x14ac:dyDescent="0.35"/>
    <row r="56022" hidden="1" x14ac:dyDescent="0.35"/>
    <row r="56023" hidden="1" x14ac:dyDescent="0.35"/>
    <row r="56024" hidden="1" x14ac:dyDescent="0.35"/>
    <row r="56025" hidden="1" x14ac:dyDescent="0.35"/>
    <row r="56026" hidden="1" x14ac:dyDescent="0.35"/>
    <row r="56027" hidden="1" x14ac:dyDescent="0.35"/>
    <row r="56028" hidden="1" x14ac:dyDescent="0.35"/>
    <row r="56029" hidden="1" x14ac:dyDescent="0.35"/>
    <row r="56030" hidden="1" x14ac:dyDescent="0.35"/>
    <row r="56031" hidden="1" x14ac:dyDescent="0.35"/>
    <row r="56032" hidden="1" x14ac:dyDescent="0.35"/>
    <row r="56033" hidden="1" x14ac:dyDescent="0.35"/>
    <row r="56034" hidden="1" x14ac:dyDescent="0.35"/>
    <row r="56035" hidden="1" x14ac:dyDescent="0.35"/>
    <row r="56036" hidden="1" x14ac:dyDescent="0.35"/>
    <row r="56037" hidden="1" x14ac:dyDescent="0.35"/>
    <row r="56038" hidden="1" x14ac:dyDescent="0.35"/>
    <row r="56039" hidden="1" x14ac:dyDescent="0.35"/>
    <row r="56040" hidden="1" x14ac:dyDescent="0.35"/>
    <row r="56041" hidden="1" x14ac:dyDescent="0.35"/>
    <row r="56042" hidden="1" x14ac:dyDescent="0.35"/>
    <row r="56043" hidden="1" x14ac:dyDescent="0.35"/>
    <row r="56044" hidden="1" x14ac:dyDescent="0.35"/>
    <row r="56045" hidden="1" x14ac:dyDescent="0.35"/>
    <row r="56046" hidden="1" x14ac:dyDescent="0.35"/>
    <row r="56047" hidden="1" x14ac:dyDescent="0.35"/>
    <row r="56048" hidden="1" x14ac:dyDescent="0.35"/>
    <row r="56049" hidden="1" x14ac:dyDescent="0.35"/>
    <row r="56050" hidden="1" x14ac:dyDescent="0.35"/>
    <row r="56051" hidden="1" x14ac:dyDescent="0.35"/>
    <row r="56052" hidden="1" x14ac:dyDescent="0.35"/>
    <row r="56053" hidden="1" x14ac:dyDescent="0.35"/>
    <row r="56054" hidden="1" x14ac:dyDescent="0.35"/>
    <row r="56055" hidden="1" x14ac:dyDescent="0.35"/>
    <row r="56056" hidden="1" x14ac:dyDescent="0.35"/>
    <row r="56057" hidden="1" x14ac:dyDescent="0.35"/>
    <row r="56058" hidden="1" x14ac:dyDescent="0.35"/>
    <row r="56059" hidden="1" x14ac:dyDescent="0.35"/>
    <row r="56060" hidden="1" x14ac:dyDescent="0.35"/>
    <row r="56061" hidden="1" x14ac:dyDescent="0.35"/>
    <row r="56062" hidden="1" x14ac:dyDescent="0.35"/>
    <row r="56063" hidden="1" x14ac:dyDescent="0.35"/>
    <row r="56064" hidden="1" x14ac:dyDescent="0.35"/>
    <row r="56065" hidden="1" x14ac:dyDescent="0.35"/>
    <row r="56066" hidden="1" x14ac:dyDescent="0.35"/>
    <row r="56067" hidden="1" x14ac:dyDescent="0.35"/>
    <row r="56068" hidden="1" x14ac:dyDescent="0.35"/>
    <row r="56069" hidden="1" x14ac:dyDescent="0.35"/>
    <row r="56070" hidden="1" x14ac:dyDescent="0.35"/>
    <row r="56071" hidden="1" x14ac:dyDescent="0.35"/>
    <row r="56072" hidden="1" x14ac:dyDescent="0.35"/>
    <row r="56073" hidden="1" x14ac:dyDescent="0.35"/>
    <row r="56074" hidden="1" x14ac:dyDescent="0.35"/>
    <row r="56075" hidden="1" x14ac:dyDescent="0.35"/>
    <row r="56076" hidden="1" x14ac:dyDescent="0.35"/>
    <row r="56077" hidden="1" x14ac:dyDescent="0.35"/>
    <row r="56078" hidden="1" x14ac:dyDescent="0.35"/>
    <row r="56079" hidden="1" x14ac:dyDescent="0.35"/>
    <row r="56080" hidden="1" x14ac:dyDescent="0.35"/>
    <row r="56081" hidden="1" x14ac:dyDescent="0.35"/>
    <row r="56082" hidden="1" x14ac:dyDescent="0.35"/>
    <row r="56083" hidden="1" x14ac:dyDescent="0.35"/>
    <row r="56084" hidden="1" x14ac:dyDescent="0.35"/>
    <row r="56085" hidden="1" x14ac:dyDescent="0.35"/>
    <row r="56086" hidden="1" x14ac:dyDescent="0.35"/>
    <row r="56087" hidden="1" x14ac:dyDescent="0.35"/>
    <row r="56088" hidden="1" x14ac:dyDescent="0.35"/>
    <row r="56089" hidden="1" x14ac:dyDescent="0.35"/>
    <row r="56090" hidden="1" x14ac:dyDescent="0.35"/>
    <row r="56091" hidden="1" x14ac:dyDescent="0.35"/>
    <row r="56092" hidden="1" x14ac:dyDescent="0.35"/>
    <row r="56093" hidden="1" x14ac:dyDescent="0.35"/>
    <row r="56094" hidden="1" x14ac:dyDescent="0.35"/>
    <row r="56095" hidden="1" x14ac:dyDescent="0.35"/>
    <row r="56096" hidden="1" x14ac:dyDescent="0.35"/>
    <row r="56097" hidden="1" x14ac:dyDescent="0.35"/>
    <row r="56098" hidden="1" x14ac:dyDescent="0.35"/>
    <row r="56099" hidden="1" x14ac:dyDescent="0.35"/>
    <row r="56100" hidden="1" x14ac:dyDescent="0.35"/>
    <row r="56101" hidden="1" x14ac:dyDescent="0.35"/>
    <row r="56102" hidden="1" x14ac:dyDescent="0.35"/>
    <row r="56103" hidden="1" x14ac:dyDescent="0.35"/>
    <row r="56104" hidden="1" x14ac:dyDescent="0.35"/>
    <row r="56105" hidden="1" x14ac:dyDescent="0.35"/>
    <row r="56106" hidden="1" x14ac:dyDescent="0.35"/>
    <row r="56107" hidden="1" x14ac:dyDescent="0.35"/>
    <row r="56108" hidden="1" x14ac:dyDescent="0.35"/>
    <row r="56109" hidden="1" x14ac:dyDescent="0.35"/>
    <row r="56110" hidden="1" x14ac:dyDescent="0.35"/>
    <row r="56111" hidden="1" x14ac:dyDescent="0.35"/>
    <row r="56112" hidden="1" x14ac:dyDescent="0.35"/>
    <row r="56113" hidden="1" x14ac:dyDescent="0.35"/>
    <row r="56114" hidden="1" x14ac:dyDescent="0.35"/>
    <row r="56115" hidden="1" x14ac:dyDescent="0.35"/>
    <row r="56116" hidden="1" x14ac:dyDescent="0.35"/>
    <row r="56117" hidden="1" x14ac:dyDescent="0.35"/>
    <row r="56118" hidden="1" x14ac:dyDescent="0.35"/>
    <row r="56119" hidden="1" x14ac:dyDescent="0.35"/>
    <row r="56120" hidden="1" x14ac:dyDescent="0.35"/>
    <row r="56121" hidden="1" x14ac:dyDescent="0.35"/>
    <row r="56122" hidden="1" x14ac:dyDescent="0.35"/>
    <row r="56123" hidden="1" x14ac:dyDescent="0.35"/>
    <row r="56124" hidden="1" x14ac:dyDescent="0.35"/>
    <row r="56125" hidden="1" x14ac:dyDescent="0.35"/>
    <row r="56126" hidden="1" x14ac:dyDescent="0.35"/>
    <row r="56127" hidden="1" x14ac:dyDescent="0.35"/>
    <row r="56128" hidden="1" x14ac:dyDescent="0.35"/>
    <row r="56129" hidden="1" x14ac:dyDescent="0.35"/>
    <row r="56130" hidden="1" x14ac:dyDescent="0.35"/>
    <row r="56131" hidden="1" x14ac:dyDescent="0.35"/>
    <row r="56132" hidden="1" x14ac:dyDescent="0.35"/>
    <row r="56133" hidden="1" x14ac:dyDescent="0.35"/>
    <row r="56134" hidden="1" x14ac:dyDescent="0.35"/>
    <row r="56135" hidden="1" x14ac:dyDescent="0.35"/>
    <row r="56136" hidden="1" x14ac:dyDescent="0.35"/>
    <row r="56137" hidden="1" x14ac:dyDescent="0.35"/>
    <row r="56138" hidden="1" x14ac:dyDescent="0.35"/>
    <row r="56139" hidden="1" x14ac:dyDescent="0.35"/>
    <row r="56140" hidden="1" x14ac:dyDescent="0.35"/>
    <row r="56141" hidden="1" x14ac:dyDescent="0.35"/>
    <row r="56142" hidden="1" x14ac:dyDescent="0.35"/>
    <row r="56143" hidden="1" x14ac:dyDescent="0.35"/>
    <row r="56144" hidden="1" x14ac:dyDescent="0.35"/>
    <row r="56145" hidden="1" x14ac:dyDescent="0.35"/>
    <row r="56146" hidden="1" x14ac:dyDescent="0.35"/>
    <row r="56147" hidden="1" x14ac:dyDescent="0.35"/>
    <row r="56148" hidden="1" x14ac:dyDescent="0.35"/>
    <row r="56149" hidden="1" x14ac:dyDescent="0.35"/>
    <row r="56150" hidden="1" x14ac:dyDescent="0.35"/>
    <row r="56151" hidden="1" x14ac:dyDescent="0.35"/>
    <row r="56152" hidden="1" x14ac:dyDescent="0.35"/>
    <row r="56153" hidden="1" x14ac:dyDescent="0.35"/>
    <row r="56154" hidden="1" x14ac:dyDescent="0.35"/>
    <row r="56155" hidden="1" x14ac:dyDescent="0.35"/>
    <row r="56156" hidden="1" x14ac:dyDescent="0.35"/>
    <row r="56157" hidden="1" x14ac:dyDescent="0.35"/>
    <row r="56158" hidden="1" x14ac:dyDescent="0.35"/>
    <row r="56159" hidden="1" x14ac:dyDescent="0.35"/>
    <row r="56160" hidden="1" x14ac:dyDescent="0.35"/>
    <row r="56161" hidden="1" x14ac:dyDescent="0.35"/>
    <row r="56162" hidden="1" x14ac:dyDescent="0.35"/>
    <row r="56163" hidden="1" x14ac:dyDescent="0.35"/>
    <row r="56164" hidden="1" x14ac:dyDescent="0.35"/>
    <row r="56165" hidden="1" x14ac:dyDescent="0.35"/>
    <row r="56166" hidden="1" x14ac:dyDescent="0.35"/>
    <row r="56167" hidden="1" x14ac:dyDescent="0.35"/>
    <row r="56168" hidden="1" x14ac:dyDescent="0.35"/>
    <row r="56169" hidden="1" x14ac:dyDescent="0.35"/>
    <row r="56170" hidden="1" x14ac:dyDescent="0.35"/>
    <row r="56171" hidden="1" x14ac:dyDescent="0.35"/>
    <row r="56172" hidden="1" x14ac:dyDescent="0.35"/>
    <row r="56173" hidden="1" x14ac:dyDescent="0.35"/>
    <row r="56174" hidden="1" x14ac:dyDescent="0.35"/>
    <row r="56175" hidden="1" x14ac:dyDescent="0.35"/>
    <row r="56176" hidden="1" x14ac:dyDescent="0.35"/>
    <row r="56177" hidden="1" x14ac:dyDescent="0.35"/>
    <row r="56178" hidden="1" x14ac:dyDescent="0.35"/>
    <row r="56179" hidden="1" x14ac:dyDescent="0.35"/>
    <row r="56180" hidden="1" x14ac:dyDescent="0.35"/>
    <row r="56181" hidden="1" x14ac:dyDescent="0.35"/>
    <row r="56182" hidden="1" x14ac:dyDescent="0.35"/>
    <row r="56183" hidden="1" x14ac:dyDescent="0.35"/>
    <row r="56184" hidden="1" x14ac:dyDescent="0.35"/>
    <row r="56185" hidden="1" x14ac:dyDescent="0.35"/>
    <row r="56186" hidden="1" x14ac:dyDescent="0.35"/>
    <row r="56187" hidden="1" x14ac:dyDescent="0.35"/>
    <row r="56188" hidden="1" x14ac:dyDescent="0.35"/>
    <row r="56189" hidden="1" x14ac:dyDescent="0.35"/>
    <row r="56190" hidden="1" x14ac:dyDescent="0.35"/>
    <row r="56191" hidden="1" x14ac:dyDescent="0.35"/>
    <row r="56192" hidden="1" x14ac:dyDescent="0.35"/>
    <row r="56193" hidden="1" x14ac:dyDescent="0.35"/>
    <row r="56194" hidden="1" x14ac:dyDescent="0.35"/>
    <row r="56195" hidden="1" x14ac:dyDescent="0.35"/>
    <row r="56196" hidden="1" x14ac:dyDescent="0.35"/>
    <row r="56197" hidden="1" x14ac:dyDescent="0.35"/>
    <row r="56198" hidden="1" x14ac:dyDescent="0.35"/>
    <row r="56199" hidden="1" x14ac:dyDescent="0.35"/>
    <row r="56200" hidden="1" x14ac:dyDescent="0.35"/>
    <row r="56201" hidden="1" x14ac:dyDescent="0.35"/>
    <row r="56202" hidden="1" x14ac:dyDescent="0.35"/>
    <row r="56203" hidden="1" x14ac:dyDescent="0.35"/>
    <row r="56204" hidden="1" x14ac:dyDescent="0.35"/>
    <row r="56205" hidden="1" x14ac:dyDescent="0.35"/>
    <row r="56206" hidden="1" x14ac:dyDescent="0.35"/>
    <row r="56207" hidden="1" x14ac:dyDescent="0.35"/>
    <row r="56208" hidden="1" x14ac:dyDescent="0.35"/>
    <row r="56209" hidden="1" x14ac:dyDescent="0.35"/>
    <row r="56210" hidden="1" x14ac:dyDescent="0.35"/>
    <row r="56211" hidden="1" x14ac:dyDescent="0.35"/>
    <row r="56212" hidden="1" x14ac:dyDescent="0.35"/>
    <row r="56213" hidden="1" x14ac:dyDescent="0.35"/>
    <row r="56214" hidden="1" x14ac:dyDescent="0.35"/>
    <row r="56215" hidden="1" x14ac:dyDescent="0.35"/>
    <row r="56216" hidden="1" x14ac:dyDescent="0.35"/>
    <row r="56217" hidden="1" x14ac:dyDescent="0.35"/>
    <row r="56218" hidden="1" x14ac:dyDescent="0.35"/>
    <row r="56219" hidden="1" x14ac:dyDescent="0.35"/>
    <row r="56220" hidden="1" x14ac:dyDescent="0.35"/>
    <row r="56221" hidden="1" x14ac:dyDescent="0.35"/>
    <row r="56222" hidden="1" x14ac:dyDescent="0.35"/>
    <row r="56223" hidden="1" x14ac:dyDescent="0.35"/>
    <row r="56224" hidden="1" x14ac:dyDescent="0.35"/>
    <row r="56225" hidden="1" x14ac:dyDescent="0.35"/>
    <row r="56226" hidden="1" x14ac:dyDescent="0.35"/>
    <row r="56227" hidden="1" x14ac:dyDescent="0.35"/>
    <row r="56228" hidden="1" x14ac:dyDescent="0.35"/>
    <row r="56229" hidden="1" x14ac:dyDescent="0.35"/>
    <row r="56230" hidden="1" x14ac:dyDescent="0.35"/>
    <row r="56231" hidden="1" x14ac:dyDescent="0.35"/>
    <row r="56232" hidden="1" x14ac:dyDescent="0.35"/>
    <row r="56233" hidden="1" x14ac:dyDescent="0.35"/>
    <row r="56234" hidden="1" x14ac:dyDescent="0.35"/>
    <row r="56235" hidden="1" x14ac:dyDescent="0.35"/>
    <row r="56236" hidden="1" x14ac:dyDescent="0.35"/>
    <row r="56237" hidden="1" x14ac:dyDescent="0.35"/>
    <row r="56238" hidden="1" x14ac:dyDescent="0.35"/>
    <row r="56239" hidden="1" x14ac:dyDescent="0.35"/>
    <row r="56240" hidden="1" x14ac:dyDescent="0.35"/>
    <row r="56241" hidden="1" x14ac:dyDescent="0.35"/>
    <row r="56242" hidden="1" x14ac:dyDescent="0.35"/>
    <row r="56243" hidden="1" x14ac:dyDescent="0.35"/>
    <row r="56244" hidden="1" x14ac:dyDescent="0.35"/>
    <row r="56245" hidden="1" x14ac:dyDescent="0.35"/>
    <row r="56246" hidden="1" x14ac:dyDescent="0.35"/>
    <row r="56247" hidden="1" x14ac:dyDescent="0.35"/>
    <row r="56248" hidden="1" x14ac:dyDescent="0.35"/>
    <row r="56249" hidden="1" x14ac:dyDescent="0.35"/>
    <row r="56250" hidden="1" x14ac:dyDescent="0.35"/>
    <row r="56251" hidden="1" x14ac:dyDescent="0.35"/>
    <row r="56252" hidden="1" x14ac:dyDescent="0.35"/>
    <row r="56253" hidden="1" x14ac:dyDescent="0.35"/>
    <row r="56254" hidden="1" x14ac:dyDescent="0.35"/>
    <row r="56255" hidden="1" x14ac:dyDescent="0.35"/>
    <row r="56256" hidden="1" x14ac:dyDescent="0.35"/>
    <row r="56257" hidden="1" x14ac:dyDescent="0.35"/>
    <row r="56258" hidden="1" x14ac:dyDescent="0.35"/>
    <row r="56259" hidden="1" x14ac:dyDescent="0.35"/>
    <row r="56260" hidden="1" x14ac:dyDescent="0.35"/>
    <row r="56261" hidden="1" x14ac:dyDescent="0.35"/>
    <row r="56262" hidden="1" x14ac:dyDescent="0.35"/>
    <row r="56263" hidden="1" x14ac:dyDescent="0.35"/>
    <row r="56264" hidden="1" x14ac:dyDescent="0.35"/>
    <row r="56265" hidden="1" x14ac:dyDescent="0.35"/>
    <row r="56266" hidden="1" x14ac:dyDescent="0.35"/>
    <row r="56267" hidden="1" x14ac:dyDescent="0.35"/>
    <row r="56268" hidden="1" x14ac:dyDescent="0.35"/>
    <row r="56269" hidden="1" x14ac:dyDescent="0.35"/>
    <row r="56270" hidden="1" x14ac:dyDescent="0.35"/>
    <row r="56271" hidden="1" x14ac:dyDescent="0.35"/>
    <row r="56272" hidden="1" x14ac:dyDescent="0.35"/>
    <row r="56273" hidden="1" x14ac:dyDescent="0.35"/>
    <row r="56274" hidden="1" x14ac:dyDescent="0.35"/>
    <row r="56275" hidden="1" x14ac:dyDescent="0.35"/>
    <row r="56276" hidden="1" x14ac:dyDescent="0.35"/>
    <row r="56277" hidden="1" x14ac:dyDescent="0.35"/>
    <row r="56278" hidden="1" x14ac:dyDescent="0.35"/>
    <row r="56279" hidden="1" x14ac:dyDescent="0.35"/>
    <row r="56280" hidden="1" x14ac:dyDescent="0.35"/>
    <row r="56281" hidden="1" x14ac:dyDescent="0.35"/>
    <row r="56282" hidden="1" x14ac:dyDescent="0.35"/>
    <row r="56283" hidden="1" x14ac:dyDescent="0.35"/>
    <row r="56284" hidden="1" x14ac:dyDescent="0.35"/>
    <row r="56285" hidden="1" x14ac:dyDescent="0.35"/>
    <row r="56286" hidden="1" x14ac:dyDescent="0.35"/>
    <row r="56287" hidden="1" x14ac:dyDescent="0.35"/>
    <row r="56288" hidden="1" x14ac:dyDescent="0.35"/>
    <row r="56289" hidden="1" x14ac:dyDescent="0.35"/>
    <row r="56290" hidden="1" x14ac:dyDescent="0.35"/>
    <row r="56291" hidden="1" x14ac:dyDescent="0.35"/>
    <row r="56292" hidden="1" x14ac:dyDescent="0.35"/>
    <row r="56293" hidden="1" x14ac:dyDescent="0.35"/>
    <row r="56294" hidden="1" x14ac:dyDescent="0.35"/>
    <row r="56295" hidden="1" x14ac:dyDescent="0.35"/>
    <row r="56296" hidden="1" x14ac:dyDescent="0.35"/>
    <row r="56297" hidden="1" x14ac:dyDescent="0.35"/>
    <row r="56298" hidden="1" x14ac:dyDescent="0.35"/>
    <row r="56299" hidden="1" x14ac:dyDescent="0.35"/>
    <row r="56300" hidden="1" x14ac:dyDescent="0.35"/>
    <row r="56301" hidden="1" x14ac:dyDescent="0.35"/>
    <row r="56302" hidden="1" x14ac:dyDescent="0.35"/>
    <row r="56303" hidden="1" x14ac:dyDescent="0.35"/>
    <row r="56304" hidden="1" x14ac:dyDescent="0.35"/>
    <row r="56305" hidden="1" x14ac:dyDescent="0.35"/>
    <row r="56306" hidden="1" x14ac:dyDescent="0.35"/>
    <row r="56307" hidden="1" x14ac:dyDescent="0.35"/>
    <row r="56308" hidden="1" x14ac:dyDescent="0.35"/>
    <row r="56309" hidden="1" x14ac:dyDescent="0.35"/>
    <row r="56310" hidden="1" x14ac:dyDescent="0.35"/>
    <row r="56311" hidden="1" x14ac:dyDescent="0.35"/>
    <row r="56312" hidden="1" x14ac:dyDescent="0.35"/>
    <row r="56313" hidden="1" x14ac:dyDescent="0.35"/>
    <row r="56314" hidden="1" x14ac:dyDescent="0.35"/>
    <row r="56315" hidden="1" x14ac:dyDescent="0.35"/>
    <row r="56316" hidden="1" x14ac:dyDescent="0.35"/>
    <row r="56317" hidden="1" x14ac:dyDescent="0.35"/>
    <row r="56318" hidden="1" x14ac:dyDescent="0.35"/>
    <row r="56319" hidden="1" x14ac:dyDescent="0.35"/>
    <row r="56320" hidden="1" x14ac:dyDescent="0.35"/>
    <row r="56321" hidden="1" x14ac:dyDescent="0.35"/>
    <row r="56322" hidden="1" x14ac:dyDescent="0.35"/>
    <row r="56323" hidden="1" x14ac:dyDescent="0.35"/>
    <row r="56324" hidden="1" x14ac:dyDescent="0.35"/>
    <row r="56325" hidden="1" x14ac:dyDescent="0.35"/>
    <row r="56326" hidden="1" x14ac:dyDescent="0.35"/>
    <row r="56327" hidden="1" x14ac:dyDescent="0.35"/>
    <row r="56328" hidden="1" x14ac:dyDescent="0.35"/>
    <row r="56329" hidden="1" x14ac:dyDescent="0.35"/>
    <row r="56330" hidden="1" x14ac:dyDescent="0.35"/>
    <row r="56331" hidden="1" x14ac:dyDescent="0.35"/>
    <row r="56332" hidden="1" x14ac:dyDescent="0.35"/>
    <row r="56333" hidden="1" x14ac:dyDescent="0.35"/>
    <row r="56334" hidden="1" x14ac:dyDescent="0.35"/>
    <row r="56335" hidden="1" x14ac:dyDescent="0.35"/>
    <row r="56336" hidden="1" x14ac:dyDescent="0.35"/>
    <row r="56337" hidden="1" x14ac:dyDescent="0.35"/>
    <row r="56338" hidden="1" x14ac:dyDescent="0.35"/>
    <row r="56339" hidden="1" x14ac:dyDescent="0.35"/>
    <row r="56340" hidden="1" x14ac:dyDescent="0.35"/>
    <row r="56341" hidden="1" x14ac:dyDescent="0.35"/>
    <row r="56342" hidden="1" x14ac:dyDescent="0.35"/>
    <row r="56343" hidden="1" x14ac:dyDescent="0.35"/>
    <row r="56344" hidden="1" x14ac:dyDescent="0.35"/>
    <row r="56345" hidden="1" x14ac:dyDescent="0.35"/>
    <row r="56346" hidden="1" x14ac:dyDescent="0.35"/>
    <row r="56347" hidden="1" x14ac:dyDescent="0.35"/>
    <row r="56348" hidden="1" x14ac:dyDescent="0.35"/>
    <row r="56349" hidden="1" x14ac:dyDescent="0.35"/>
    <row r="56350" hidden="1" x14ac:dyDescent="0.35"/>
    <row r="56351" hidden="1" x14ac:dyDescent="0.35"/>
    <row r="56352" hidden="1" x14ac:dyDescent="0.35"/>
    <row r="56353" hidden="1" x14ac:dyDescent="0.35"/>
    <row r="56354" hidden="1" x14ac:dyDescent="0.35"/>
    <row r="56355" hidden="1" x14ac:dyDescent="0.35"/>
    <row r="56356" hidden="1" x14ac:dyDescent="0.35"/>
    <row r="56357" hidden="1" x14ac:dyDescent="0.35"/>
    <row r="56358" hidden="1" x14ac:dyDescent="0.35"/>
    <row r="56359" hidden="1" x14ac:dyDescent="0.35"/>
    <row r="56360" hidden="1" x14ac:dyDescent="0.35"/>
    <row r="56361" hidden="1" x14ac:dyDescent="0.35"/>
    <row r="56362" hidden="1" x14ac:dyDescent="0.35"/>
    <row r="56363" hidden="1" x14ac:dyDescent="0.35"/>
    <row r="56364" hidden="1" x14ac:dyDescent="0.35"/>
    <row r="56365" hidden="1" x14ac:dyDescent="0.35"/>
    <row r="56366" hidden="1" x14ac:dyDescent="0.35"/>
    <row r="56367" hidden="1" x14ac:dyDescent="0.35"/>
    <row r="56368" hidden="1" x14ac:dyDescent="0.35"/>
    <row r="56369" hidden="1" x14ac:dyDescent="0.35"/>
    <row r="56370" hidden="1" x14ac:dyDescent="0.35"/>
    <row r="56371" hidden="1" x14ac:dyDescent="0.35"/>
    <row r="56372" hidden="1" x14ac:dyDescent="0.35"/>
    <row r="56373" hidden="1" x14ac:dyDescent="0.35"/>
    <row r="56374" hidden="1" x14ac:dyDescent="0.35"/>
    <row r="56375" hidden="1" x14ac:dyDescent="0.35"/>
    <row r="56376" hidden="1" x14ac:dyDescent="0.35"/>
    <row r="56377" hidden="1" x14ac:dyDescent="0.35"/>
    <row r="56378" hidden="1" x14ac:dyDescent="0.35"/>
    <row r="56379" hidden="1" x14ac:dyDescent="0.35"/>
    <row r="56380" hidden="1" x14ac:dyDescent="0.35"/>
    <row r="56381" hidden="1" x14ac:dyDescent="0.35"/>
    <row r="56382" hidden="1" x14ac:dyDescent="0.35"/>
    <row r="56383" hidden="1" x14ac:dyDescent="0.35"/>
    <row r="56384" hidden="1" x14ac:dyDescent="0.35"/>
    <row r="56385" hidden="1" x14ac:dyDescent="0.35"/>
    <row r="56386" hidden="1" x14ac:dyDescent="0.35"/>
    <row r="56387" hidden="1" x14ac:dyDescent="0.35"/>
    <row r="56388" hidden="1" x14ac:dyDescent="0.35"/>
    <row r="56389" hidden="1" x14ac:dyDescent="0.35"/>
    <row r="56390" hidden="1" x14ac:dyDescent="0.35"/>
    <row r="56391" hidden="1" x14ac:dyDescent="0.35"/>
    <row r="56392" hidden="1" x14ac:dyDescent="0.35"/>
    <row r="56393" hidden="1" x14ac:dyDescent="0.35"/>
    <row r="56394" hidden="1" x14ac:dyDescent="0.35"/>
    <row r="56395" hidden="1" x14ac:dyDescent="0.35"/>
    <row r="56396" hidden="1" x14ac:dyDescent="0.35"/>
    <row r="56397" hidden="1" x14ac:dyDescent="0.35"/>
    <row r="56398" hidden="1" x14ac:dyDescent="0.35"/>
    <row r="56399" hidden="1" x14ac:dyDescent="0.35"/>
    <row r="56400" hidden="1" x14ac:dyDescent="0.35"/>
    <row r="56401" hidden="1" x14ac:dyDescent="0.35"/>
    <row r="56402" hidden="1" x14ac:dyDescent="0.35"/>
    <row r="56403" hidden="1" x14ac:dyDescent="0.35"/>
    <row r="56404" hidden="1" x14ac:dyDescent="0.35"/>
    <row r="56405" hidden="1" x14ac:dyDescent="0.35"/>
    <row r="56406" hidden="1" x14ac:dyDescent="0.35"/>
    <row r="56407" hidden="1" x14ac:dyDescent="0.35"/>
    <row r="56408" hidden="1" x14ac:dyDescent="0.35"/>
    <row r="56409" hidden="1" x14ac:dyDescent="0.35"/>
    <row r="56410" hidden="1" x14ac:dyDescent="0.35"/>
    <row r="56411" hidden="1" x14ac:dyDescent="0.35"/>
    <row r="56412" hidden="1" x14ac:dyDescent="0.35"/>
    <row r="56413" hidden="1" x14ac:dyDescent="0.35"/>
    <row r="56414" hidden="1" x14ac:dyDescent="0.35"/>
    <row r="56415" hidden="1" x14ac:dyDescent="0.35"/>
    <row r="56416" hidden="1" x14ac:dyDescent="0.35"/>
    <row r="56417" hidden="1" x14ac:dyDescent="0.35"/>
    <row r="56418" hidden="1" x14ac:dyDescent="0.35"/>
    <row r="56419" hidden="1" x14ac:dyDescent="0.35"/>
    <row r="56420" hidden="1" x14ac:dyDescent="0.35"/>
    <row r="56421" hidden="1" x14ac:dyDescent="0.35"/>
    <row r="56422" hidden="1" x14ac:dyDescent="0.35"/>
    <row r="56423" hidden="1" x14ac:dyDescent="0.35"/>
    <row r="56424" hidden="1" x14ac:dyDescent="0.35"/>
    <row r="56425" hidden="1" x14ac:dyDescent="0.35"/>
    <row r="56426" hidden="1" x14ac:dyDescent="0.35"/>
    <row r="56427" hidden="1" x14ac:dyDescent="0.35"/>
    <row r="56428" hidden="1" x14ac:dyDescent="0.35"/>
    <row r="56429" hidden="1" x14ac:dyDescent="0.35"/>
    <row r="56430" hidden="1" x14ac:dyDescent="0.35"/>
    <row r="56431" hidden="1" x14ac:dyDescent="0.35"/>
    <row r="56432" hidden="1" x14ac:dyDescent="0.35"/>
    <row r="56433" hidden="1" x14ac:dyDescent="0.35"/>
    <row r="56434" hidden="1" x14ac:dyDescent="0.35"/>
    <row r="56435" hidden="1" x14ac:dyDescent="0.35"/>
    <row r="56436" hidden="1" x14ac:dyDescent="0.35"/>
    <row r="56437" hidden="1" x14ac:dyDescent="0.35"/>
    <row r="56438" hidden="1" x14ac:dyDescent="0.35"/>
    <row r="56439" hidden="1" x14ac:dyDescent="0.35"/>
    <row r="56440" hidden="1" x14ac:dyDescent="0.35"/>
    <row r="56441" hidden="1" x14ac:dyDescent="0.35"/>
    <row r="56442" hidden="1" x14ac:dyDescent="0.35"/>
    <row r="56443" hidden="1" x14ac:dyDescent="0.35"/>
    <row r="56444" hidden="1" x14ac:dyDescent="0.35"/>
    <row r="56445" hidden="1" x14ac:dyDescent="0.35"/>
    <row r="56446" hidden="1" x14ac:dyDescent="0.35"/>
    <row r="56447" hidden="1" x14ac:dyDescent="0.35"/>
    <row r="56448" hidden="1" x14ac:dyDescent="0.35"/>
    <row r="56449" hidden="1" x14ac:dyDescent="0.35"/>
    <row r="56450" hidden="1" x14ac:dyDescent="0.35"/>
    <row r="56451" hidden="1" x14ac:dyDescent="0.35"/>
    <row r="56452" hidden="1" x14ac:dyDescent="0.35"/>
    <row r="56453" hidden="1" x14ac:dyDescent="0.35"/>
    <row r="56454" hidden="1" x14ac:dyDescent="0.35"/>
    <row r="56455" hidden="1" x14ac:dyDescent="0.35"/>
    <row r="56456" hidden="1" x14ac:dyDescent="0.35"/>
    <row r="56457" hidden="1" x14ac:dyDescent="0.35"/>
    <row r="56458" hidden="1" x14ac:dyDescent="0.35"/>
    <row r="56459" hidden="1" x14ac:dyDescent="0.35"/>
    <row r="56460" hidden="1" x14ac:dyDescent="0.35"/>
    <row r="56461" hidden="1" x14ac:dyDescent="0.35"/>
    <row r="56462" hidden="1" x14ac:dyDescent="0.35"/>
    <row r="56463" hidden="1" x14ac:dyDescent="0.35"/>
    <row r="56464" hidden="1" x14ac:dyDescent="0.35"/>
    <row r="56465" hidden="1" x14ac:dyDescent="0.35"/>
    <row r="56466" hidden="1" x14ac:dyDescent="0.35"/>
    <row r="56467" hidden="1" x14ac:dyDescent="0.35"/>
    <row r="56468" hidden="1" x14ac:dyDescent="0.35"/>
    <row r="56469" hidden="1" x14ac:dyDescent="0.35"/>
    <row r="56470" hidden="1" x14ac:dyDescent="0.35"/>
    <row r="56471" hidden="1" x14ac:dyDescent="0.35"/>
    <row r="56472" hidden="1" x14ac:dyDescent="0.35"/>
    <row r="56473" hidden="1" x14ac:dyDescent="0.35"/>
    <row r="56474" hidden="1" x14ac:dyDescent="0.35"/>
    <row r="56475" hidden="1" x14ac:dyDescent="0.35"/>
    <row r="56476" hidden="1" x14ac:dyDescent="0.35"/>
    <row r="56477" hidden="1" x14ac:dyDescent="0.35"/>
    <row r="56478" hidden="1" x14ac:dyDescent="0.35"/>
    <row r="56479" hidden="1" x14ac:dyDescent="0.35"/>
    <row r="56480" hidden="1" x14ac:dyDescent="0.35"/>
    <row r="56481" hidden="1" x14ac:dyDescent="0.35"/>
    <row r="56482" hidden="1" x14ac:dyDescent="0.35"/>
    <row r="56483" hidden="1" x14ac:dyDescent="0.35"/>
    <row r="56484" hidden="1" x14ac:dyDescent="0.35"/>
    <row r="56485" hidden="1" x14ac:dyDescent="0.35"/>
    <row r="56486" hidden="1" x14ac:dyDescent="0.35"/>
    <row r="56487" hidden="1" x14ac:dyDescent="0.35"/>
    <row r="56488" hidden="1" x14ac:dyDescent="0.35"/>
    <row r="56489" hidden="1" x14ac:dyDescent="0.35"/>
    <row r="56490" hidden="1" x14ac:dyDescent="0.35"/>
    <row r="56491" hidden="1" x14ac:dyDescent="0.35"/>
    <row r="56492" hidden="1" x14ac:dyDescent="0.35"/>
    <row r="56493" hidden="1" x14ac:dyDescent="0.35"/>
    <row r="56494" hidden="1" x14ac:dyDescent="0.35"/>
    <row r="56495" hidden="1" x14ac:dyDescent="0.35"/>
    <row r="56496" hidden="1" x14ac:dyDescent="0.35"/>
    <row r="56497" hidden="1" x14ac:dyDescent="0.35"/>
    <row r="56498" hidden="1" x14ac:dyDescent="0.35"/>
    <row r="56499" hidden="1" x14ac:dyDescent="0.35"/>
    <row r="56500" hidden="1" x14ac:dyDescent="0.35"/>
    <row r="56501" hidden="1" x14ac:dyDescent="0.35"/>
    <row r="56502" hidden="1" x14ac:dyDescent="0.35"/>
    <row r="56503" hidden="1" x14ac:dyDescent="0.35"/>
    <row r="56504" hidden="1" x14ac:dyDescent="0.35"/>
    <row r="56505" hidden="1" x14ac:dyDescent="0.35"/>
    <row r="56506" hidden="1" x14ac:dyDescent="0.35"/>
    <row r="56507" hidden="1" x14ac:dyDescent="0.35"/>
    <row r="56508" hidden="1" x14ac:dyDescent="0.35"/>
    <row r="56509" hidden="1" x14ac:dyDescent="0.35"/>
    <row r="56510" hidden="1" x14ac:dyDescent="0.35"/>
    <row r="56511" hidden="1" x14ac:dyDescent="0.35"/>
    <row r="56512" hidden="1" x14ac:dyDescent="0.35"/>
    <row r="56513" hidden="1" x14ac:dyDescent="0.35"/>
    <row r="56514" hidden="1" x14ac:dyDescent="0.35"/>
    <row r="56515" hidden="1" x14ac:dyDescent="0.35"/>
    <row r="56516" hidden="1" x14ac:dyDescent="0.35"/>
    <row r="56517" hidden="1" x14ac:dyDescent="0.35"/>
    <row r="56518" hidden="1" x14ac:dyDescent="0.35"/>
    <row r="56519" hidden="1" x14ac:dyDescent="0.35"/>
    <row r="56520" hidden="1" x14ac:dyDescent="0.35"/>
    <row r="56521" hidden="1" x14ac:dyDescent="0.35"/>
    <row r="56522" hidden="1" x14ac:dyDescent="0.35"/>
    <row r="56523" hidden="1" x14ac:dyDescent="0.35"/>
    <row r="56524" hidden="1" x14ac:dyDescent="0.35"/>
    <row r="56525" hidden="1" x14ac:dyDescent="0.35"/>
    <row r="56526" hidden="1" x14ac:dyDescent="0.35"/>
    <row r="56527" hidden="1" x14ac:dyDescent="0.35"/>
    <row r="56528" hidden="1" x14ac:dyDescent="0.35"/>
    <row r="56529" hidden="1" x14ac:dyDescent="0.35"/>
    <row r="56530" hidden="1" x14ac:dyDescent="0.35"/>
    <row r="56531" hidden="1" x14ac:dyDescent="0.35"/>
    <row r="56532" hidden="1" x14ac:dyDescent="0.35"/>
    <row r="56533" hidden="1" x14ac:dyDescent="0.35"/>
    <row r="56534" hidden="1" x14ac:dyDescent="0.35"/>
    <row r="56535" hidden="1" x14ac:dyDescent="0.35"/>
    <row r="56536" hidden="1" x14ac:dyDescent="0.35"/>
    <row r="56537" hidden="1" x14ac:dyDescent="0.35"/>
    <row r="56538" hidden="1" x14ac:dyDescent="0.35"/>
    <row r="56539" hidden="1" x14ac:dyDescent="0.35"/>
    <row r="56540" hidden="1" x14ac:dyDescent="0.35"/>
    <row r="56541" hidden="1" x14ac:dyDescent="0.35"/>
    <row r="56542" hidden="1" x14ac:dyDescent="0.35"/>
    <row r="56543" hidden="1" x14ac:dyDescent="0.35"/>
    <row r="56544" hidden="1" x14ac:dyDescent="0.35"/>
    <row r="56545" hidden="1" x14ac:dyDescent="0.35"/>
    <row r="56546" hidden="1" x14ac:dyDescent="0.35"/>
    <row r="56547" hidden="1" x14ac:dyDescent="0.35"/>
    <row r="56548" hidden="1" x14ac:dyDescent="0.35"/>
    <row r="56549" hidden="1" x14ac:dyDescent="0.35"/>
    <row r="56550" hidden="1" x14ac:dyDescent="0.35"/>
    <row r="56551" hidden="1" x14ac:dyDescent="0.35"/>
    <row r="56552" hidden="1" x14ac:dyDescent="0.35"/>
    <row r="56553" hidden="1" x14ac:dyDescent="0.35"/>
    <row r="56554" hidden="1" x14ac:dyDescent="0.35"/>
    <row r="56555" hidden="1" x14ac:dyDescent="0.35"/>
    <row r="56556" hidden="1" x14ac:dyDescent="0.35"/>
    <row r="56557" hidden="1" x14ac:dyDescent="0.35"/>
    <row r="56558" hidden="1" x14ac:dyDescent="0.35"/>
    <row r="56559" hidden="1" x14ac:dyDescent="0.35"/>
    <row r="56560" hidden="1" x14ac:dyDescent="0.35"/>
    <row r="56561" hidden="1" x14ac:dyDescent="0.35"/>
    <row r="56562" hidden="1" x14ac:dyDescent="0.35"/>
    <row r="56563" hidden="1" x14ac:dyDescent="0.35"/>
    <row r="56564" hidden="1" x14ac:dyDescent="0.35"/>
    <row r="56565" hidden="1" x14ac:dyDescent="0.35"/>
    <row r="56566" hidden="1" x14ac:dyDescent="0.35"/>
    <row r="56567" hidden="1" x14ac:dyDescent="0.35"/>
    <row r="56568" hidden="1" x14ac:dyDescent="0.35"/>
    <row r="56569" hidden="1" x14ac:dyDescent="0.35"/>
    <row r="56570" hidden="1" x14ac:dyDescent="0.35"/>
    <row r="56571" hidden="1" x14ac:dyDescent="0.35"/>
    <row r="56572" hidden="1" x14ac:dyDescent="0.35"/>
    <row r="56573" hidden="1" x14ac:dyDescent="0.35"/>
    <row r="56574" hidden="1" x14ac:dyDescent="0.35"/>
    <row r="56575" hidden="1" x14ac:dyDescent="0.35"/>
    <row r="56576" hidden="1" x14ac:dyDescent="0.35"/>
    <row r="56577" hidden="1" x14ac:dyDescent="0.35"/>
    <row r="56578" hidden="1" x14ac:dyDescent="0.35"/>
    <row r="56579" hidden="1" x14ac:dyDescent="0.35"/>
    <row r="56580" hidden="1" x14ac:dyDescent="0.35"/>
    <row r="56581" hidden="1" x14ac:dyDescent="0.35"/>
    <row r="56582" hidden="1" x14ac:dyDescent="0.35"/>
    <row r="56583" hidden="1" x14ac:dyDescent="0.35"/>
    <row r="56584" hidden="1" x14ac:dyDescent="0.35"/>
    <row r="56585" hidden="1" x14ac:dyDescent="0.35"/>
    <row r="56586" hidden="1" x14ac:dyDescent="0.35"/>
    <row r="56587" hidden="1" x14ac:dyDescent="0.35"/>
    <row r="56588" hidden="1" x14ac:dyDescent="0.35"/>
    <row r="56589" hidden="1" x14ac:dyDescent="0.35"/>
    <row r="56590" hidden="1" x14ac:dyDescent="0.35"/>
    <row r="56591" hidden="1" x14ac:dyDescent="0.35"/>
    <row r="56592" hidden="1" x14ac:dyDescent="0.35"/>
    <row r="56593" hidden="1" x14ac:dyDescent="0.35"/>
    <row r="56594" hidden="1" x14ac:dyDescent="0.35"/>
    <row r="56595" hidden="1" x14ac:dyDescent="0.35"/>
    <row r="56596" hidden="1" x14ac:dyDescent="0.35"/>
    <row r="56597" hidden="1" x14ac:dyDescent="0.35"/>
    <row r="56598" hidden="1" x14ac:dyDescent="0.35"/>
    <row r="56599" hidden="1" x14ac:dyDescent="0.35"/>
    <row r="56600" hidden="1" x14ac:dyDescent="0.35"/>
    <row r="56601" hidden="1" x14ac:dyDescent="0.35"/>
    <row r="56602" hidden="1" x14ac:dyDescent="0.35"/>
    <row r="56603" hidden="1" x14ac:dyDescent="0.35"/>
    <row r="56604" hidden="1" x14ac:dyDescent="0.35"/>
    <row r="56605" hidden="1" x14ac:dyDescent="0.35"/>
    <row r="56606" hidden="1" x14ac:dyDescent="0.35"/>
    <row r="56607" hidden="1" x14ac:dyDescent="0.35"/>
    <row r="56608" hidden="1" x14ac:dyDescent="0.35"/>
    <row r="56609" hidden="1" x14ac:dyDescent="0.35"/>
    <row r="56610" hidden="1" x14ac:dyDescent="0.35"/>
    <row r="56611" hidden="1" x14ac:dyDescent="0.35"/>
    <row r="56612" hidden="1" x14ac:dyDescent="0.35"/>
    <row r="56613" hidden="1" x14ac:dyDescent="0.35"/>
    <row r="56614" hidden="1" x14ac:dyDescent="0.35"/>
    <row r="56615" hidden="1" x14ac:dyDescent="0.35"/>
    <row r="56616" hidden="1" x14ac:dyDescent="0.35"/>
    <row r="56617" hidden="1" x14ac:dyDescent="0.35"/>
    <row r="56618" hidden="1" x14ac:dyDescent="0.35"/>
    <row r="56619" hidden="1" x14ac:dyDescent="0.35"/>
    <row r="56620" hidden="1" x14ac:dyDescent="0.35"/>
    <row r="56621" hidden="1" x14ac:dyDescent="0.35"/>
    <row r="56622" hidden="1" x14ac:dyDescent="0.35"/>
    <row r="56623" hidden="1" x14ac:dyDescent="0.35"/>
    <row r="56624" hidden="1" x14ac:dyDescent="0.35"/>
    <row r="56625" hidden="1" x14ac:dyDescent="0.35"/>
    <row r="56626" hidden="1" x14ac:dyDescent="0.35"/>
    <row r="56627" hidden="1" x14ac:dyDescent="0.35"/>
    <row r="56628" hidden="1" x14ac:dyDescent="0.35"/>
    <row r="56629" hidden="1" x14ac:dyDescent="0.35"/>
    <row r="56630" hidden="1" x14ac:dyDescent="0.35"/>
    <row r="56631" hidden="1" x14ac:dyDescent="0.35"/>
    <row r="56632" hidden="1" x14ac:dyDescent="0.35"/>
    <row r="56633" hidden="1" x14ac:dyDescent="0.35"/>
    <row r="56634" hidden="1" x14ac:dyDescent="0.35"/>
    <row r="56635" hidden="1" x14ac:dyDescent="0.35"/>
    <row r="56636" hidden="1" x14ac:dyDescent="0.35"/>
    <row r="56637" hidden="1" x14ac:dyDescent="0.35"/>
    <row r="56638" hidden="1" x14ac:dyDescent="0.35"/>
    <row r="56639" hidden="1" x14ac:dyDescent="0.35"/>
    <row r="56640" hidden="1" x14ac:dyDescent="0.35"/>
    <row r="56641" hidden="1" x14ac:dyDescent="0.35"/>
    <row r="56642" hidden="1" x14ac:dyDescent="0.35"/>
    <row r="56643" hidden="1" x14ac:dyDescent="0.35"/>
    <row r="56644" hidden="1" x14ac:dyDescent="0.35"/>
    <row r="56645" hidden="1" x14ac:dyDescent="0.35"/>
    <row r="56646" hidden="1" x14ac:dyDescent="0.35"/>
    <row r="56647" hidden="1" x14ac:dyDescent="0.35"/>
    <row r="56648" hidden="1" x14ac:dyDescent="0.35"/>
    <row r="56649" hidden="1" x14ac:dyDescent="0.35"/>
    <row r="56650" hidden="1" x14ac:dyDescent="0.35"/>
    <row r="56651" hidden="1" x14ac:dyDescent="0.35"/>
    <row r="56652" hidden="1" x14ac:dyDescent="0.35"/>
    <row r="56653" hidden="1" x14ac:dyDescent="0.35"/>
    <row r="56654" hidden="1" x14ac:dyDescent="0.35"/>
    <row r="56655" hidden="1" x14ac:dyDescent="0.35"/>
    <row r="56656" hidden="1" x14ac:dyDescent="0.35"/>
    <row r="56657" hidden="1" x14ac:dyDescent="0.35"/>
    <row r="56658" hidden="1" x14ac:dyDescent="0.35"/>
    <row r="56659" hidden="1" x14ac:dyDescent="0.35"/>
    <row r="56660" hidden="1" x14ac:dyDescent="0.35"/>
    <row r="56661" hidden="1" x14ac:dyDescent="0.35"/>
    <row r="56662" hidden="1" x14ac:dyDescent="0.35"/>
    <row r="56663" hidden="1" x14ac:dyDescent="0.35"/>
    <row r="56664" hidden="1" x14ac:dyDescent="0.35"/>
    <row r="56665" hidden="1" x14ac:dyDescent="0.35"/>
    <row r="56666" hidden="1" x14ac:dyDescent="0.35"/>
    <row r="56667" hidden="1" x14ac:dyDescent="0.35"/>
    <row r="56668" hidden="1" x14ac:dyDescent="0.35"/>
    <row r="56669" hidden="1" x14ac:dyDescent="0.35"/>
    <row r="56670" hidden="1" x14ac:dyDescent="0.35"/>
    <row r="56671" hidden="1" x14ac:dyDescent="0.35"/>
    <row r="56672" hidden="1" x14ac:dyDescent="0.35"/>
    <row r="56673" hidden="1" x14ac:dyDescent="0.35"/>
    <row r="56674" hidden="1" x14ac:dyDescent="0.35"/>
    <row r="56675" hidden="1" x14ac:dyDescent="0.35"/>
    <row r="56676" hidden="1" x14ac:dyDescent="0.35"/>
    <row r="56677" hidden="1" x14ac:dyDescent="0.35"/>
    <row r="56678" hidden="1" x14ac:dyDescent="0.35"/>
    <row r="56679" hidden="1" x14ac:dyDescent="0.35"/>
    <row r="56680" hidden="1" x14ac:dyDescent="0.35"/>
    <row r="56681" hidden="1" x14ac:dyDescent="0.35"/>
    <row r="56682" hidden="1" x14ac:dyDescent="0.35"/>
    <row r="56683" hidden="1" x14ac:dyDescent="0.35"/>
    <row r="56684" hidden="1" x14ac:dyDescent="0.35"/>
    <row r="56685" hidden="1" x14ac:dyDescent="0.35"/>
    <row r="56686" hidden="1" x14ac:dyDescent="0.35"/>
    <row r="56687" hidden="1" x14ac:dyDescent="0.35"/>
    <row r="56688" hidden="1" x14ac:dyDescent="0.35"/>
    <row r="56689" hidden="1" x14ac:dyDescent="0.35"/>
    <row r="56690" hidden="1" x14ac:dyDescent="0.35"/>
    <row r="56691" hidden="1" x14ac:dyDescent="0.35"/>
    <row r="56692" hidden="1" x14ac:dyDescent="0.35"/>
    <row r="56693" hidden="1" x14ac:dyDescent="0.35"/>
    <row r="56694" hidden="1" x14ac:dyDescent="0.35"/>
    <row r="56695" hidden="1" x14ac:dyDescent="0.35"/>
    <row r="56696" hidden="1" x14ac:dyDescent="0.35"/>
    <row r="56697" hidden="1" x14ac:dyDescent="0.35"/>
    <row r="56698" hidden="1" x14ac:dyDescent="0.35"/>
    <row r="56699" hidden="1" x14ac:dyDescent="0.35"/>
    <row r="56700" hidden="1" x14ac:dyDescent="0.35"/>
    <row r="56701" hidden="1" x14ac:dyDescent="0.35"/>
    <row r="56702" hidden="1" x14ac:dyDescent="0.35"/>
    <row r="56703" hidden="1" x14ac:dyDescent="0.35"/>
    <row r="56704" hidden="1" x14ac:dyDescent="0.35"/>
    <row r="56705" hidden="1" x14ac:dyDescent="0.35"/>
    <row r="56706" hidden="1" x14ac:dyDescent="0.35"/>
    <row r="56707" hidden="1" x14ac:dyDescent="0.35"/>
    <row r="56708" hidden="1" x14ac:dyDescent="0.35"/>
    <row r="56709" hidden="1" x14ac:dyDescent="0.35"/>
    <row r="56710" hidden="1" x14ac:dyDescent="0.35"/>
    <row r="56711" hidden="1" x14ac:dyDescent="0.35"/>
    <row r="56712" hidden="1" x14ac:dyDescent="0.35"/>
    <row r="56713" hidden="1" x14ac:dyDescent="0.35"/>
    <row r="56714" hidden="1" x14ac:dyDescent="0.35"/>
    <row r="56715" hidden="1" x14ac:dyDescent="0.35"/>
    <row r="56716" hidden="1" x14ac:dyDescent="0.35"/>
    <row r="56717" hidden="1" x14ac:dyDescent="0.35"/>
    <row r="56718" hidden="1" x14ac:dyDescent="0.35"/>
    <row r="56719" hidden="1" x14ac:dyDescent="0.35"/>
    <row r="56720" hidden="1" x14ac:dyDescent="0.35"/>
    <row r="56721" hidden="1" x14ac:dyDescent="0.35"/>
    <row r="56722" hidden="1" x14ac:dyDescent="0.35"/>
    <row r="56723" hidden="1" x14ac:dyDescent="0.35"/>
    <row r="56724" hidden="1" x14ac:dyDescent="0.35"/>
    <row r="56725" hidden="1" x14ac:dyDescent="0.35"/>
    <row r="56726" hidden="1" x14ac:dyDescent="0.35"/>
    <row r="56727" hidden="1" x14ac:dyDescent="0.35"/>
    <row r="56728" hidden="1" x14ac:dyDescent="0.35"/>
    <row r="56729" hidden="1" x14ac:dyDescent="0.35"/>
    <row r="56730" hidden="1" x14ac:dyDescent="0.35"/>
    <row r="56731" hidden="1" x14ac:dyDescent="0.35"/>
    <row r="56732" hidden="1" x14ac:dyDescent="0.35"/>
    <row r="56733" hidden="1" x14ac:dyDescent="0.35"/>
    <row r="56734" hidden="1" x14ac:dyDescent="0.35"/>
    <row r="56735" hidden="1" x14ac:dyDescent="0.35"/>
    <row r="56736" hidden="1" x14ac:dyDescent="0.35"/>
    <row r="56737" hidden="1" x14ac:dyDescent="0.35"/>
    <row r="56738" hidden="1" x14ac:dyDescent="0.35"/>
    <row r="56739" hidden="1" x14ac:dyDescent="0.35"/>
    <row r="56740" hidden="1" x14ac:dyDescent="0.35"/>
    <row r="56741" hidden="1" x14ac:dyDescent="0.35"/>
    <row r="56742" hidden="1" x14ac:dyDescent="0.35"/>
    <row r="56743" hidden="1" x14ac:dyDescent="0.35"/>
    <row r="56744" hidden="1" x14ac:dyDescent="0.35"/>
    <row r="56745" hidden="1" x14ac:dyDescent="0.35"/>
    <row r="56746" hidden="1" x14ac:dyDescent="0.35"/>
    <row r="56747" hidden="1" x14ac:dyDescent="0.35"/>
    <row r="56748" hidden="1" x14ac:dyDescent="0.35"/>
    <row r="56749" hidden="1" x14ac:dyDescent="0.35"/>
    <row r="56750" hidden="1" x14ac:dyDescent="0.35"/>
    <row r="56751" hidden="1" x14ac:dyDescent="0.35"/>
    <row r="56752" hidden="1" x14ac:dyDescent="0.35"/>
    <row r="56753" hidden="1" x14ac:dyDescent="0.35"/>
    <row r="56754" hidden="1" x14ac:dyDescent="0.35"/>
    <row r="56755" hidden="1" x14ac:dyDescent="0.35"/>
    <row r="56756" hidden="1" x14ac:dyDescent="0.35"/>
    <row r="56757" hidden="1" x14ac:dyDescent="0.35"/>
    <row r="56758" hidden="1" x14ac:dyDescent="0.35"/>
    <row r="56759" hidden="1" x14ac:dyDescent="0.35"/>
    <row r="56760" hidden="1" x14ac:dyDescent="0.35"/>
    <row r="56761" hidden="1" x14ac:dyDescent="0.35"/>
    <row r="56762" hidden="1" x14ac:dyDescent="0.35"/>
    <row r="56763" hidden="1" x14ac:dyDescent="0.35"/>
    <row r="56764" hidden="1" x14ac:dyDescent="0.35"/>
    <row r="56765" hidden="1" x14ac:dyDescent="0.35"/>
    <row r="56766" hidden="1" x14ac:dyDescent="0.35"/>
    <row r="56767" hidden="1" x14ac:dyDescent="0.35"/>
    <row r="56768" hidden="1" x14ac:dyDescent="0.35"/>
    <row r="56769" hidden="1" x14ac:dyDescent="0.35"/>
    <row r="56770" hidden="1" x14ac:dyDescent="0.35"/>
    <row r="56771" hidden="1" x14ac:dyDescent="0.35"/>
    <row r="56772" hidden="1" x14ac:dyDescent="0.35"/>
    <row r="56773" hidden="1" x14ac:dyDescent="0.35"/>
    <row r="56774" hidden="1" x14ac:dyDescent="0.35"/>
    <row r="56775" hidden="1" x14ac:dyDescent="0.35"/>
    <row r="56776" hidden="1" x14ac:dyDescent="0.35"/>
    <row r="56777" hidden="1" x14ac:dyDescent="0.35"/>
    <row r="56778" hidden="1" x14ac:dyDescent="0.35"/>
    <row r="56779" hidden="1" x14ac:dyDescent="0.35"/>
    <row r="56780" hidden="1" x14ac:dyDescent="0.35"/>
    <row r="56781" hidden="1" x14ac:dyDescent="0.35"/>
    <row r="56782" hidden="1" x14ac:dyDescent="0.35"/>
    <row r="56783" hidden="1" x14ac:dyDescent="0.35"/>
    <row r="56784" hidden="1" x14ac:dyDescent="0.35"/>
    <row r="56785" hidden="1" x14ac:dyDescent="0.35"/>
    <row r="56786" hidden="1" x14ac:dyDescent="0.35"/>
    <row r="56787" hidden="1" x14ac:dyDescent="0.35"/>
    <row r="56788" hidden="1" x14ac:dyDescent="0.35"/>
    <row r="56789" hidden="1" x14ac:dyDescent="0.35"/>
    <row r="56790" hidden="1" x14ac:dyDescent="0.35"/>
    <row r="56791" hidden="1" x14ac:dyDescent="0.35"/>
    <row r="56792" hidden="1" x14ac:dyDescent="0.35"/>
    <row r="56793" hidden="1" x14ac:dyDescent="0.35"/>
    <row r="56794" hidden="1" x14ac:dyDescent="0.35"/>
    <row r="56795" hidden="1" x14ac:dyDescent="0.35"/>
    <row r="56796" hidden="1" x14ac:dyDescent="0.35"/>
    <row r="56797" hidden="1" x14ac:dyDescent="0.35"/>
    <row r="56798" hidden="1" x14ac:dyDescent="0.35"/>
    <row r="56799" hidden="1" x14ac:dyDescent="0.35"/>
    <row r="56800" hidden="1" x14ac:dyDescent="0.35"/>
    <row r="56801" hidden="1" x14ac:dyDescent="0.35"/>
    <row r="56802" hidden="1" x14ac:dyDescent="0.35"/>
    <row r="56803" hidden="1" x14ac:dyDescent="0.35"/>
    <row r="56804" hidden="1" x14ac:dyDescent="0.35"/>
    <row r="56805" hidden="1" x14ac:dyDescent="0.35"/>
    <row r="56806" hidden="1" x14ac:dyDescent="0.35"/>
    <row r="56807" hidden="1" x14ac:dyDescent="0.35"/>
    <row r="56808" hidden="1" x14ac:dyDescent="0.35"/>
    <row r="56809" hidden="1" x14ac:dyDescent="0.35"/>
    <row r="56810" hidden="1" x14ac:dyDescent="0.35"/>
    <row r="56811" hidden="1" x14ac:dyDescent="0.35"/>
    <row r="56812" hidden="1" x14ac:dyDescent="0.35"/>
    <row r="56813" hidden="1" x14ac:dyDescent="0.35"/>
    <row r="56814" hidden="1" x14ac:dyDescent="0.35"/>
    <row r="56815" hidden="1" x14ac:dyDescent="0.35"/>
    <row r="56816" hidden="1" x14ac:dyDescent="0.35"/>
    <row r="56817" hidden="1" x14ac:dyDescent="0.35"/>
    <row r="56818" hidden="1" x14ac:dyDescent="0.35"/>
    <row r="56819" hidden="1" x14ac:dyDescent="0.35"/>
    <row r="56820" hidden="1" x14ac:dyDescent="0.35"/>
    <row r="56821" hidden="1" x14ac:dyDescent="0.35"/>
    <row r="56822" hidden="1" x14ac:dyDescent="0.35"/>
    <row r="56823" hidden="1" x14ac:dyDescent="0.35"/>
    <row r="56824" hidden="1" x14ac:dyDescent="0.35"/>
    <row r="56825" hidden="1" x14ac:dyDescent="0.35"/>
    <row r="56826" hidden="1" x14ac:dyDescent="0.35"/>
    <row r="56827" hidden="1" x14ac:dyDescent="0.35"/>
    <row r="56828" hidden="1" x14ac:dyDescent="0.35"/>
    <row r="56829" hidden="1" x14ac:dyDescent="0.35"/>
    <row r="56830" hidden="1" x14ac:dyDescent="0.35"/>
    <row r="56831" hidden="1" x14ac:dyDescent="0.35"/>
    <row r="56832" hidden="1" x14ac:dyDescent="0.35"/>
    <row r="56833" hidden="1" x14ac:dyDescent="0.35"/>
    <row r="56834" hidden="1" x14ac:dyDescent="0.35"/>
    <row r="56835" hidden="1" x14ac:dyDescent="0.35"/>
    <row r="56836" hidden="1" x14ac:dyDescent="0.35"/>
    <row r="56837" hidden="1" x14ac:dyDescent="0.35"/>
    <row r="56838" hidden="1" x14ac:dyDescent="0.35"/>
    <row r="56839" hidden="1" x14ac:dyDescent="0.35"/>
    <row r="56840" hidden="1" x14ac:dyDescent="0.35"/>
    <row r="56841" hidden="1" x14ac:dyDescent="0.35"/>
    <row r="56842" hidden="1" x14ac:dyDescent="0.35"/>
    <row r="56843" hidden="1" x14ac:dyDescent="0.35"/>
    <row r="56844" hidden="1" x14ac:dyDescent="0.35"/>
    <row r="56845" hidden="1" x14ac:dyDescent="0.35"/>
    <row r="56846" hidden="1" x14ac:dyDescent="0.35"/>
    <row r="56847" hidden="1" x14ac:dyDescent="0.35"/>
    <row r="56848" hidden="1" x14ac:dyDescent="0.35"/>
    <row r="56849" hidden="1" x14ac:dyDescent="0.35"/>
    <row r="56850" hidden="1" x14ac:dyDescent="0.35"/>
    <row r="56851" hidden="1" x14ac:dyDescent="0.35"/>
    <row r="56852" hidden="1" x14ac:dyDescent="0.35"/>
    <row r="56853" hidden="1" x14ac:dyDescent="0.35"/>
    <row r="56854" hidden="1" x14ac:dyDescent="0.35"/>
    <row r="56855" hidden="1" x14ac:dyDescent="0.35"/>
    <row r="56856" hidden="1" x14ac:dyDescent="0.35"/>
    <row r="56857" hidden="1" x14ac:dyDescent="0.35"/>
    <row r="56858" hidden="1" x14ac:dyDescent="0.35"/>
    <row r="56859" hidden="1" x14ac:dyDescent="0.35"/>
    <row r="56860" hidden="1" x14ac:dyDescent="0.35"/>
    <row r="56861" hidden="1" x14ac:dyDescent="0.35"/>
    <row r="56862" hidden="1" x14ac:dyDescent="0.35"/>
    <row r="56863" hidden="1" x14ac:dyDescent="0.35"/>
    <row r="56864" hidden="1" x14ac:dyDescent="0.35"/>
    <row r="56865" hidden="1" x14ac:dyDescent="0.35"/>
    <row r="56866" hidden="1" x14ac:dyDescent="0.35"/>
    <row r="56867" hidden="1" x14ac:dyDescent="0.35"/>
    <row r="56868" hidden="1" x14ac:dyDescent="0.35"/>
    <row r="56869" hidden="1" x14ac:dyDescent="0.35"/>
    <row r="56870" hidden="1" x14ac:dyDescent="0.35"/>
    <row r="56871" hidden="1" x14ac:dyDescent="0.35"/>
    <row r="56872" hidden="1" x14ac:dyDescent="0.35"/>
    <row r="56873" hidden="1" x14ac:dyDescent="0.35"/>
    <row r="56874" hidden="1" x14ac:dyDescent="0.35"/>
    <row r="56875" hidden="1" x14ac:dyDescent="0.35"/>
    <row r="56876" hidden="1" x14ac:dyDescent="0.35"/>
    <row r="56877" hidden="1" x14ac:dyDescent="0.35"/>
    <row r="56878" hidden="1" x14ac:dyDescent="0.35"/>
    <row r="56879" hidden="1" x14ac:dyDescent="0.35"/>
    <row r="56880" hidden="1" x14ac:dyDescent="0.35"/>
    <row r="56881" hidden="1" x14ac:dyDescent="0.35"/>
    <row r="56882" hidden="1" x14ac:dyDescent="0.35"/>
    <row r="56883" hidden="1" x14ac:dyDescent="0.35"/>
    <row r="56884" hidden="1" x14ac:dyDescent="0.35"/>
    <row r="56885" hidden="1" x14ac:dyDescent="0.35"/>
    <row r="56886" hidden="1" x14ac:dyDescent="0.35"/>
    <row r="56887" hidden="1" x14ac:dyDescent="0.35"/>
    <row r="56888" hidden="1" x14ac:dyDescent="0.35"/>
    <row r="56889" hidden="1" x14ac:dyDescent="0.35"/>
    <row r="56890" hidden="1" x14ac:dyDescent="0.35"/>
    <row r="56891" hidden="1" x14ac:dyDescent="0.35"/>
    <row r="56892" hidden="1" x14ac:dyDescent="0.35"/>
    <row r="56893" hidden="1" x14ac:dyDescent="0.35"/>
    <row r="56894" hidden="1" x14ac:dyDescent="0.35"/>
    <row r="56895" hidden="1" x14ac:dyDescent="0.35"/>
    <row r="56896" hidden="1" x14ac:dyDescent="0.35"/>
    <row r="56897" hidden="1" x14ac:dyDescent="0.35"/>
    <row r="56898" hidden="1" x14ac:dyDescent="0.35"/>
    <row r="56899" hidden="1" x14ac:dyDescent="0.35"/>
    <row r="56900" hidden="1" x14ac:dyDescent="0.35"/>
    <row r="56901" hidden="1" x14ac:dyDescent="0.35"/>
    <row r="56902" hidden="1" x14ac:dyDescent="0.35"/>
    <row r="56903" hidden="1" x14ac:dyDescent="0.35"/>
    <row r="56904" hidden="1" x14ac:dyDescent="0.35"/>
    <row r="56905" hidden="1" x14ac:dyDescent="0.35"/>
    <row r="56906" hidden="1" x14ac:dyDescent="0.35"/>
    <row r="56907" hidden="1" x14ac:dyDescent="0.35"/>
    <row r="56908" hidden="1" x14ac:dyDescent="0.35"/>
    <row r="56909" hidden="1" x14ac:dyDescent="0.35"/>
    <row r="56910" hidden="1" x14ac:dyDescent="0.35"/>
    <row r="56911" hidden="1" x14ac:dyDescent="0.35"/>
    <row r="56912" hidden="1" x14ac:dyDescent="0.35"/>
    <row r="56913" hidden="1" x14ac:dyDescent="0.35"/>
    <row r="56914" hidden="1" x14ac:dyDescent="0.35"/>
    <row r="56915" hidden="1" x14ac:dyDescent="0.35"/>
    <row r="56916" hidden="1" x14ac:dyDescent="0.35"/>
    <row r="56917" hidden="1" x14ac:dyDescent="0.35"/>
    <row r="56918" hidden="1" x14ac:dyDescent="0.35"/>
    <row r="56919" hidden="1" x14ac:dyDescent="0.35"/>
    <row r="56920" hidden="1" x14ac:dyDescent="0.35"/>
    <row r="56921" hidden="1" x14ac:dyDescent="0.35"/>
    <row r="56922" hidden="1" x14ac:dyDescent="0.35"/>
    <row r="56923" hidden="1" x14ac:dyDescent="0.35"/>
    <row r="56924" hidden="1" x14ac:dyDescent="0.35"/>
    <row r="56925" hidden="1" x14ac:dyDescent="0.35"/>
    <row r="56926" hidden="1" x14ac:dyDescent="0.35"/>
    <row r="56927" hidden="1" x14ac:dyDescent="0.35"/>
    <row r="56928" hidden="1" x14ac:dyDescent="0.35"/>
    <row r="56929" hidden="1" x14ac:dyDescent="0.35"/>
    <row r="56930" hidden="1" x14ac:dyDescent="0.35"/>
    <row r="56931" hidden="1" x14ac:dyDescent="0.35"/>
    <row r="56932" hidden="1" x14ac:dyDescent="0.35"/>
    <row r="56933" hidden="1" x14ac:dyDescent="0.35"/>
    <row r="56934" hidden="1" x14ac:dyDescent="0.35"/>
    <row r="56935" hidden="1" x14ac:dyDescent="0.35"/>
    <row r="56936" hidden="1" x14ac:dyDescent="0.35"/>
    <row r="56937" hidden="1" x14ac:dyDescent="0.35"/>
    <row r="56938" hidden="1" x14ac:dyDescent="0.35"/>
    <row r="56939" hidden="1" x14ac:dyDescent="0.35"/>
    <row r="56940" hidden="1" x14ac:dyDescent="0.35"/>
    <row r="56941" hidden="1" x14ac:dyDescent="0.35"/>
    <row r="56942" hidden="1" x14ac:dyDescent="0.35"/>
    <row r="56943" hidden="1" x14ac:dyDescent="0.35"/>
    <row r="56944" hidden="1" x14ac:dyDescent="0.35"/>
    <row r="56945" hidden="1" x14ac:dyDescent="0.35"/>
    <row r="56946" hidden="1" x14ac:dyDescent="0.35"/>
    <row r="56947" hidden="1" x14ac:dyDescent="0.35"/>
    <row r="56948" hidden="1" x14ac:dyDescent="0.35"/>
    <row r="56949" hidden="1" x14ac:dyDescent="0.35"/>
    <row r="56950" hidden="1" x14ac:dyDescent="0.35"/>
    <row r="56951" hidden="1" x14ac:dyDescent="0.35"/>
    <row r="56952" hidden="1" x14ac:dyDescent="0.35"/>
    <row r="56953" hidden="1" x14ac:dyDescent="0.35"/>
    <row r="56954" hidden="1" x14ac:dyDescent="0.35"/>
    <row r="56955" hidden="1" x14ac:dyDescent="0.35"/>
    <row r="56956" hidden="1" x14ac:dyDescent="0.35"/>
    <row r="56957" hidden="1" x14ac:dyDescent="0.35"/>
    <row r="56958" hidden="1" x14ac:dyDescent="0.35"/>
    <row r="56959" hidden="1" x14ac:dyDescent="0.35"/>
    <row r="56960" hidden="1" x14ac:dyDescent="0.35"/>
    <row r="56961" hidden="1" x14ac:dyDescent="0.35"/>
    <row r="56962" hidden="1" x14ac:dyDescent="0.35"/>
    <row r="56963" hidden="1" x14ac:dyDescent="0.35"/>
    <row r="56964" hidden="1" x14ac:dyDescent="0.35"/>
    <row r="56965" hidden="1" x14ac:dyDescent="0.35"/>
    <row r="56966" hidden="1" x14ac:dyDescent="0.35"/>
    <row r="56967" hidden="1" x14ac:dyDescent="0.35"/>
    <row r="56968" hidden="1" x14ac:dyDescent="0.35"/>
    <row r="56969" hidden="1" x14ac:dyDescent="0.35"/>
    <row r="56970" hidden="1" x14ac:dyDescent="0.35"/>
    <row r="56971" hidden="1" x14ac:dyDescent="0.35"/>
    <row r="56972" hidden="1" x14ac:dyDescent="0.35"/>
    <row r="56973" hidden="1" x14ac:dyDescent="0.35"/>
    <row r="56974" hidden="1" x14ac:dyDescent="0.35"/>
    <row r="56975" hidden="1" x14ac:dyDescent="0.35"/>
    <row r="56976" hidden="1" x14ac:dyDescent="0.35"/>
    <row r="56977" hidden="1" x14ac:dyDescent="0.35"/>
    <row r="56978" hidden="1" x14ac:dyDescent="0.35"/>
    <row r="56979" hidden="1" x14ac:dyDescent="0.35"/>
    <row r="56980" hidden="1" x14ac:dyDescent="0.35"/>
    <row r="56981" hidden="1" x14ac:dyDescent="0.35"/>
    <row r="56982" hidden="1" x14ac:dyDescent="0.35"/>
    <row r="56983" hidden="1" x14ac:dyDescent="0.35"/>
    <row r="56984" hidden="1" x14ac:dyDescent="0.35"/>
    <row r="56985" hidden="1" x14ac:dyDescent="0.35"/>
    <row r="56986" hidden="1" x14ac:dyDescent="0.35"/>
    <row r="56987" hidden="1" x14ac:dyDescent="0.35"/>
    <row r="56988" hidden="1" x14ac:dyDescent="0.35"/>
    <row r="56989" hidden="1" x14ac:dyDescent="0.35"/>
    <row r="56990" hidden="1" x14ac:dyDescent="0.35"/>
    <row r="56991" hidden="1" x14ac:dyDescent="0.35"/>
    <row r="56992" hidden="1" x14ac:dyDescent="0.35"/>
    <row r="56993" hidden="1" x14ac:dyDescent="0.35"/>
    <row r="56994" hidden="1" x14ac:dyDescent="0.35"/>
    <row r="56995" hidden="1" x14ac:dyDescent="0.35"/>
    <row r="56996" hidden="1" x14ac:dyDescent="0.35"/>
    <row r="56997" hidden="1" x14ac:dyDescent="0.35"/>
    <row r="56998" hidden="1" x14ac:dyDescent="0.35"/>
    <row r="56999" hidden="1" x14ac:dyDescent="0.35"/>
    <row r="57000" hidden="1" x14ac:dyDescent="0.35"/>
    <row r="57001" hidden="1" x14ac:dyDescent="0.35"/>
    <row r="57002" hidden="1" x14ac:dyDescent="0.35"/>
    <row r="57003" hidden="1" x14ac:dyDescent="0.35"/>
    <row r="57004" hidden="1" x14ac:dyDescent="0.35"/>
    <row r="57005" hidden="1" x14ac:dyDescent="0.35"/>
    <row r="57006" hidden="1" x14ac:dyDescent="0.35"/>
    <row r="57007" hidden="1" x14ac:dyDescent="0.35"/>
    <row r="57008" hidden="1" x14ac:dyDescent="0.35"/>
    <row r="57009" hidden="1" x14ac:dyDescent="0.35"/>
    <row r="57010" hidden="1" x14ac:dyDescent="0.35"/>
    <row r="57011" hidden="1" x14ac:dyDescent="0.35"/>
    <row r="57012" hidden="1" x14ac:dyDescent="0.35"/>
    <row r="57013" hidden="1" x14ac:dyDescent="0.35"/>
    <row r="57014" hidden="1" x14ac:dyDescent="0.35"/>
    <row r="57015" hidden="1" x14ac:dyDescent="0.35"/>
    <row r="57016" hidden="1" x14ac:dyDescent="0.35"/>
    <row r="57017" hidden="1" x14ac:dyDescent="0.35"/>
    <row r="57018" hidden="1" x14ac:dyDescent="0.35"/>
    <row r="57019" hidden="1" x14ac:dyDescent="0.35"/>
    <row r="57020" hidden="1" x14ac:dyDescent="0.35"/>
    <row r="57021" hidden="1" x14ac:dyDescent="0.35"/>
    <row r="57022" hidden="1" x14ac:dyDescent="0.35"/>
    <row r="57023" hidden="1" x14ac:dyDescent="0.35"/>
    <row r="57024" hidden="1" x14ac:dyDescent="0.35"/>
    <row r="57025" hidden="1" x14ac:dyDescent="0.35"/>
    <row r="57026" hidden="1" x14ac:dyDescent="0.35"/>
    <row r="57027" hidden="1" x14ac:dyDescent="0.35"/>
    <row r="57028" hidden="1" x14ac:dyDescent="0.35"/>
    <row r="57029" hidden="1" x14ac:dyDescent="0.35"/>
    <row r="57030" hidden="1" x14ac:dyDescent="0.35"/>
    <row r="57031" hidden="1" x14ac:dyDescent="0.35"/>
    <row r="57032" hidden="1" x14ac:dyDescent="0.35"/>
    <row r="57033" hidden="1" x14ac:dyDescent="0.35"/>
    <row r="57034" hidden="1" x14ac:dyDescent="0.35"/>
    <row r="57035" hidden="1" x14ac:dyDescent="0.35"/>
    <row r="57036" hidden="1" x14ac:dyDescent="0.35"/>
    <row r="57037" hidden="1" x14ac:dyDescent="0.35"/>
    <row r="57038" hidden="1" x14ac:dyDescent="0.35"/>
    <row r="57039" hidden="1" x14ac:dyDescent="0.35"/>
    <row r="57040" hidden="1" x14ac:dyDescent="0.35"/>
    <row r="57041" hidden="1" x14ac:dyDescent="0.35"/>
    <row r="57042" hidden="1" x14ac:dyDescent="0.35"/>
    <row r="57043" hidden="1" x14ac:dyDescent="0.35"/>
    <row r="57044" hidden="1" x14ac:dyDescent="0.35"/>
    <row r="57045" hidden="1" x14ac:dyDescent="0.35"/>
    <row r="57046" hidden="1" x14ac:dyDescent="0.35"/>
    <row r="57047" hidden="1" x14ac:dyDescent="0.35"/>
    <row r="57048" hidden="1" x14ac:dyDescent="0.35"/>
    <row r="57049" hidden="1" x14ac:dyDescent="0.35"/>
    <row r="57050" hidden="1" x14ac:dyDescent="0.35"/>
    <row r="57051" hidden="1" x14ac:dyDescent="0.35"/>
    <row r="57052" hidden="1" x14ac:dyDescent="0.35"/>
    <row r="57053" hidden="1" x14ac:dyDescent="0.35"/>
    <row r="57054" hidden="1" x14ac:dyDescent="0.35"/>
    <row r="57055" hidden="1" x14ac:dyDescent="0.35"/>
    <row r="57056" hidden="1" x14ac:dyDescent="0.35"/>
    <row r="57057" hidden="1" x14ac:dyDescent="0.35"/>
    <row r="57058" hidden="1" x14ac:dyDescent="0.35"/>
    <row r="57059" hidden="1" x14ac:dyDescent="0.35"/>
    <row r="57060" hidden="1" x14ac:dyDescent="0.35"/>
    <row r="57061" hidden="1" x14ac:dyDescent="0.35"/>
    <row r="57062" hidden="1" x14ac:dyDescent="0.35"/>
    <row r="57063" hidden="1" x14ac:dyDescent="0.35"/>
    <row r="57064" hidden="1" x14ac:dyDescent="0.35"/>
    <row r="57065" hidden="1" x14ac:dyDescent="0.35"/>
    <row r="57066" hidden="1" x14ac:dyDescent="0.35"/>
    <row r="57067" hidden="1" x14ac:dyDescent="0.35"/>
    <row r="57068" hidden="1" x14ac:dyDescent="0.35"/>
    <row r="57069" hidden="1" x14ac:dyDescent="0.35"/>
    <row r="57070" hidden="1" x14ac:dyDescent="0.35"/>
    <row r="57071" hidden="1" x14ac:dyDescent="0.35"/>
    <row r="57072" hidden="1" x14ac:dyDescent="0.35"/>
    <row r="57073" hidden="1" x14ac:dyDescent="0.35"/>
    <row r="57074" hidden="1" x14ac:dyDescent="0.35"/>
    <row r="57075" hidden="1" x14ac:dyDescent="0.35"/>
    <row r="57076" hidden="1" x14ac:dyDescent="0.35"/>
    <row r="57077" hidden="1" x14ac:dyDescent="0.35"/>
    <row r="57078" hidden="1" x14ac:dyDescent="0.35"/>
    <row r="57079" hidden="1" x14ac:dyDescent="0.35"/>
    <row r="57080" hidden="1" x14ac:dyDescent="0.35"/>
    <row r="57081" hidden="1" x14ac:dyDescent="0.35"/>
    <row r="57082" hidden="1" x14ac:dyDescent="0.35"/>
    <row r="57083" hidden="1" x14ac:dyDescent="0.35"/>
    <row r="57084" hidden="1" x14ac:dyDescent="0.35"/>
    <row r="57085" hidden="1" x14ac:dyDescent="0.35"/>
    <row r="57086" hidden="1" x14ac:dyDescent="0.35"/>
    <row r="57087" hidden="1" x14ac:dyDescent="0.35"/>
    <row r="57088" hidden="1" x14ac:dyDescent="0.35"/>
    <row r="57089" hidden="1" x14ac:dyDescent="0.35"/>
    <row r="57090" hidden="1" x14ac:dyDescent="0.35"/>
    <row r="57091" hidden="1" x14ac:dyDescent="0.35"/>
    <row r="57092" hidden="1" x14ac:dyDescent="0.35"/>
    <row r="57093" hidden="1" x14ac:dyDescent="0.35"/>
    <row r="57094" hidden="1" x14ac:dyDescent="0.35"/>
    <row r="57095" hidden="1" x14ac:dyDescent="0.35"/>
    <row r="57096" hidden="1" x14ac:dyDescent="0.35"/>
    <row r="57097" hidden="1" x14ac:dyDescent="0.35"/>
    <row r="57098" hidden="1" x14ac:dyDescent="0.35"/>
    <row r="57099" hidden="1" x14ac:dyDescent="0.35"/>
    <row r="57100" hidden="1" x14ac:dyDescent="0.35"/>
    <row r="57101" hidden="1" x14ac:dyDescent="0.35"/>
    <row r="57102" hidden="1" x14ac:dyDescent="0.35"/>
    <row r="57103" hidden="1" x14ac:dyDescent="0.35"/>
    <row r="57104" hidden="1" x14ac:dyDescent="0.35"/>
    <row r="57105" hidden="1" x14ac:dyDescent="0.35"/>
    <row r="57106" hidden="1" x14ac:dyDescent="0.35"/>
    <row r="57107" hidden="1" x14ac:dyDescent="0.35"/>
    <row r="57108" hidden="1" x14ac:dyDescent="0.35"/>
    <row r="57109" hidden="1" x14ac:dyDescent="0.35"/>
    <row r="57110" hidden="1" x14ac:dyDescent="0.35"/>
    <row r="57111" hidden="1" x14ac:dyDescent="0.35"/>
    <row r="57112" hidden="1" x14ac:dyDescent="0.35"/>
    <row r="57113" hidden="1" x14ac:dyDescent="0.35"/>
    <row r="57114" hidden="1" x14ac:dyDescent="0.35"/>
    <row r="57115" hidden="1" x14ac:dyDescent="0.35"/>
    <row r="57116" hidden="1" x14ac:dyDescent="0.35"/>
    <row r="57117" hidden="1" x14ac:dyDescent="0.35"/>
    <row r="57118" hidden="1" x14ac:dyDescent="0.35"/>
    <row r="57119" hidden="1" x14ac:dyDescent="0.35"/>
    <row r="57120" hidden="1" x14ac:dyDescent="0.35"/>
    <row r="57121" hidden="1" x14ac:dyDescent="0.35"/>
    <row r="57122" hidden="1" x14ac:dyDescent="0.35"/>
    <row r="57123" hidden="1" x14ac:dyDescent="0.35"/>
    <row r="57124" hidden="1" x14ac:dyDescent="0.35"/>
    <row r="57125" hidden="1" x14ac:dyDescent="0.35"/>
    <row r="57126" hidden="1" x14ac:dyDescent="0.35"/>
    <row r="57127" hidden="1" x14ac:dyDescent="0.35"/>
    <row r="57128" hidden="1" x14ac:dyDescent="0.35"/>
    <row r="57129" hidden="1" x14ac:dyDescent="0.35"/>
    <row r="57130" hidden="1" x14ac:dyDescent="0.35"/>
    <row r="57131" hidden="1" x14ac:dyDescent="0.35"/>
    <row r="57132" hidden="1" x14ac:dyDescent="0.35"/>
    <row r="57133" hidden="1" x14ac:dyDescent="0.35"/>
    <row r="57134" hidden="1" x14ac:dyDescent="0.35"/>
    <row r="57135" hidden="1" x14ac:dyDescent="0.35"/>
    <row r="57136" hidden="1" x14ac:dyDescent="0.35"/>
    <row r="57137" hidden="1" x14ac:dyDescent="0.35"/>
    <row r="57138" hidden="1" x14ac:dyDescent="0.35"/>
    <row r="57139" hidden="1" x14ac:dyDescent="0.35"/>
    <row r="57140" hidden="1" x14ac:dyDescent="0.35"/>
    <row r="57141" hidden="1" x14ac:dyDescent="0.35"/>
    <row r="57142" hidden="1" x14ac:dyDescent="0.35"/>
    <row r="57143" hidden="1" x14ac:dyDescent="0.35"/>
    <row r="57144" hidden="1" x14ac:dyDescent="0.35"/>
    <row r="57145" hidden="1" x14ac:dyDescent="0.35"/>
    <row r="57146" hidden="1" x14ac:dyDescent="0.35"/>
    <row r="57147" hidden="1" x14ac:dyDescent="0.35"/>
    <row r="57148" hidden="1" x14ac:dyDescent="0.35"/>
    <row r="57149" hidden="1" x14ac:dyDescent="0.35"/>
    <row r="57150" hidden="1" x14ac:dyDescent="0.35"/>
    <row r="57151" hidden="1" x14ac:dyDescent="0.35"/>
    <row r="57152" hidden="1" x14ac:dyDescent="0.35"/>
    <row r="57153" hidden="1" x14ac:dyDescent="0.35"/>
    <row r="57154" hidden="1" x14ac:dyDescent="0.35"/>
    <row r="57155" hidden="1" x14ac:dyDescent="0.35"/>
    <row r="57156" hidden="1" x14ac:dyDescent="0.35"/>
    <row r="57157" hidden="1" x14ac:dyDescent="0.35"/>
    <row r="57158" hidden="1" x14ac:dyDescent="0.35"/>
    <row r="57159" hidden="1" x14ac:dyDescent="0.35"/>
    <row r="57160" hidden="1" x14ac:dyDescent="0.35"/>
    <row r="57161" hidden="1" x14ac:dyDescent="0.35"/>
    <row r="57162" hidden="1" x14ac:dyDescent="0.35"/>
    <row r="57163" hidden="1" x14ac:dyDescent="0.35"/>
    <row r="57164" hidden="1" x14ac:dyDescent="0.35"/>
    <row r="57165" hidden="1" x14ac:dyDescent="0.35"/>
    <row r="57166" hidden="1" x14ac:dyDescent="0.35"/>
    <row r="57167" hidden="1" x14ac:dyDescent="0.35"/>
    <row r="57168" hidden="1" x14ac:dyDescent="0.35"/>
    <row r="57169" hidden="1" x14ac:dyDescent="0.35"/>
    <row r="57170" hidden="1" x14ac:dyDescent="0.35"/>
    <row r="57171" hidden="1" x14ac:dyDescent="0.35"/>
    <row r="57172" hidden="1" x14ac:dyDescent="0.35"/>
    <row r="57173" hidden="1" x14ac:dyDescent="0.35"/>
    <row r="57174" hidden="1" x14ac:dyDescent="0.35"/>
    <row r="57175" hidden="1" x14ac:dyDescent="0.35"/>
    <row r="57176" hidden="1" x14ac:dyDescent="0.35"/>
    <row r="57177" hidden="1" x14ac:dyDescent="0.35"/>
    <row r="57178" hidden="1" x14ac:dyDescent="0.35"/>
    <row r="57179" hidden="1" x14ac:dyDescent="0.35"/>
    <row r="57180" hidden="1" x14ac:dyDescent="0.35"/>
    <row r="57181" hidden="1" x14ac:dyDescent="0.35"/>
    <row r="57182" hidden="1" x14ac:dyDescent="0.35"/>
    <row r="57183" hidden="1" x14ac:dyDescent="0.35"/>
    <row r="57184" hidden="1" x14ac:dyDescent="0.35"/>
    <row r="57185" hidden="1" x14ac:dyDescent="0.35"/>
    <row r="57186" hidden="1" x14ac:dyDescent="0.35"/>
    <row r="57187" hidden="1" x14ac:dyDescent="0.35"/>
    <row r="57188" hidden="1" x14ac:dyDescent="0.35"/>
    <row r="57189" hidden="1" x14ac:dyDescent="0.35"/>
    <row r="57190" hidden="1" x14ac:dyDescent="0.35"/>
    <row r="57191" hidden="1" x14ac:dyDescent="0.35"/>
    <row r="57192" hidden="1" x14ac:dyDescent="0.35"/>
    <row r="57193" hidden="1" x14ac:dyDescent="0.35"/>
    <row r="57194" hidden="1" x14ac:dyDescent="0.35"/>
    <row r="57195" hidden="1" x14ac:dyDescent="0.35"/>
    <row r="57196" hidden="1" x14ac:dyDescent="0.35"/>
    <row r="57197" hidden="1" x14ac:dyDescent="0.35"/>
    <row r="57198" hidden="1" x14ac:dyDescent="0.35"/>
    <row r="57199" hidden="1" x14ac:dyDescent="0.35"/>
    <row r="57200" hidden="1" x14ac:dyDescent="0.35"/>
    <row r="57201" hidden="1" x14ac:dyDescent="0.35"/>
    <row r="57202" hidden="1" x14ac:dyDescent="0.35"/>
    <row r="57203" hidden="1" x14ac:dyDescent="0.35"/>
    <row r="57204" hidden="1" x14ac:dyDescent="0.35"/>
    <row r="57205" hidden="1" x14ac:dyDescent="0.35"/>
    <row r="57206" hidden="1" x14ac:dyDescent="0.35"/>
    <row r="57207" hidden="1" x14ac:dyDescent="0.35"/>
    <row r="57208" hidden="1" x14ac:dyDescent="0.35"/>
    <row r="57209" hidden="1" x14ac:dyDescent="0.35"/>
    <row r="57210" hidden="1" x14ac:dyDescent="0.35"/>
    <row r="57211" hidden="1" x14ac:dyDescent="0.35"/>
    <row r="57212" hidden="1" x14ac:dyDescent="0.35"/>
    <row r="57213" hidden="1" x14ac:dyDescent="0.35"/>
    <row r="57214" hidden="1" x14ac:dyDescent="0.35"/>
    <row r="57215" hidden="1" x14ac:dyDescent="0.35"/>
    <row r="57216" hidden="1" x14ac:dyDescent="0.35"/>
    <row r="57217" hidden="1" x14ac:dyDescent="0.35"/>
    <row r="57218" hidden="1" x14ac:dyDescent="0.35"/>
    <row r="57219" hidden="1" x14ac:dyDescent="0.35"/>
    <row r="57220" hidden="1" x14ac:dyDescent="0.35"/>
    <row r="57221" hidden="1" x14ac:dyDescent="0.35"/>
    <row r="57222" hidden="1" x14ac:dyDescent="0.35"/>
    <row r="57223" hidden="1" x14ac:dyDescent="0.35"/>
    <row r="57224" hidden="1" x14ac:dyDescent="0.35"/>
    <row r="57225" hidden="1" x14ac:dyDescent="0.35"/>
    <row r="57226" hidden="1" x14ac:dyDescent="0.35"/>
    <row r="57227" hidden="1" x14ac:dyDescent="0.35"/>
    <row r="57228" hidden="1" x14ac:dyDescent="0.35"/>
    <row r="57229" hidden="1" x14ac:dyDescent="0.35"/>
    <row r="57230" hidden="1" x14ac:dyDescent="0.35"/>
    <row r="57231" hidden="1" x14ac:dyDescent="0.35"/>
    <row r="57232" hidden="1" x14ac:dyDescent="0.35"/>
    <row r="57233" hidden="1" x14ac:dyDescent="0.35"/>
    <row r="57234" hidden="1" x14ac:dyDescent="0.35"/>
    <row r="57235" hidden="1" x14ac:dyDescent="0.35"/>
    <row r="57236" hidden="1" x14ac:dyDescent="0.35"/>
    <row r="57237" hidden="1" x14ac:dyDescent="0.35"/>
    <row r="57238" hidden="1" x14ac:dyDescent="0.35"/>
    <row r="57239" hidden="1" x14ac:dyDescent="0.35"/>
    <row r="57240" hidden="1" x14ac:dyDescent="0.35"/>
    <row r="57241" hidden="1" x14ac:dyDescent="0.35"/>
    <row r="57242" hidden="1" x14ac:dyDescent="0.35"/>
    <row r="57243" hidden="1" x14ac:dyDescent="0.35"/>
    <row r="57244" hidden="1" x14ac:dyDescent="0.35"/>
    <row r="57245" hidden="1" x14ac:dyDescent="0.35"/>
    <row r="57246" hidden="1" x14ac:dyDescent="0.35"/>
    <row r="57247" hidden="1" x14ac:dyDescent="0.35"/>
    <row r="57248" hidden="1" x14ac:dyDescent="0.35"/>
    <row r="57249" hidden="1" x14ac:dyDescent="0.35"/>
    <row r="57250" hidden="1" x14ac:dyDescent="0.35"/>
    <row r="57251" hidden="1" x14ac:dyDescent="0.35"/>
    <row r="57252" hidden="1" x14ac:dyDescent="0.35"/>
    <row r="57253" hidden="1" x14ac:dyDescent="0.35"/>
    <row r="57254" hidden="1" x14ac:dyDescent="0.35"/>
    <row r="57255" hidden="1" x14ac:dyDescent="0.35"/>
    <row r="57256" hidden="1" x14ac:dyDescent="0.35"/>
    <row r="57257" hidden="1" x14ac:dyDescent="0.35"/>
    <row r="57258" hidden="1" x14ac:dyDescent="0.35"/>
    <row r="57259" hidden="1" x14ac:dyDescent="0.35"/>
    <row r="57260" hidden="1" x14ac:dyDescent="0.35"/>
    <row r="57261" hidden="1" x14ac:dyDescent="0.35"/>
    <row r="57262" hidden="1" x14ac:dyDescent="0.35"/>
    <row r="57263" hidden="1" x14ac:dyDescent="0.35"/>
    <row r="57264" hidden="1" x14ac:dyDescent="0.35"/>
    <row r="57265" hidden="1" x14ac:dyDescent="0.35"/>
    <row r="57266" hidden="1" x14ac:dyDescent="0.35"/>
    <row r="57267" hidden="1" x14ac:dyDescent="0.35"/>
    <row r="57268" hidden="1" x14ac:dyDescent="0.35"/>
    <row r="57269" hidden="1" x14ac:dyDescent="0.35"/>
    <row r="57270" hidden="1" x14ac:dyDescent="0.35"/>
    <row r="57271" hidden="1" x14ac:dyDescent="0.35"/>
    <row r="57272" hidden="1" x14ac:dyDescent="0.35"/>
    <row r="57273" hidden="1" x14ac:dyDescent="0.35"/>
    <row r="57274" hidden="1" x14ac:dyDescent="0.35"/>
    <row r="57275" hidden="1" x14ac:dyDescent="0.35"/>
    <row r="57276" hidden="1" x14ac:dyDescent="0.35"/>
    <row r="57277" hidden="1" x14ac:dyDescent="0.35"/>
    <row r="57278" hidden="1" x14ac:dyDescent="0.35"/>
    <row r="57279" hidden="1" x14ac:dyDescent="0.35"/>
    <row r="57280" hidden="1" x14ac:dyDescent="0.35"/>
    <row r="57281" hidden="1" x14ac:dyDescent="0.35"/>
    <row r="57282" hidden="1" x14ac:dyDescent="0.35"/>
    <row r="57283" hidden="1" x14ac:dyDescent="0.35"/>
    <row r="57284" hidden="1" x14ac:dyDescent="0.35"/>
    <row r="57285" hidden="1" x14ac:dyDescent="0.35"/>
    <row r="57286" hidden="1" x14ac:dyDescent="0.35"/>
    <row r="57287" hidden="1" x14ac:dyDescent="0.35"/>
    <row r="57288" hidden="1" x14ac:dyDescent="0.35"/>
    <row r="57289" hidden="1" x14ac:dyDescent="0.35"/>
    <row r="57290" hidden="1" x14ac:dyDescent="0.35"/>
    <row r="57291" hidden="1" x14ac:dyDescent="0.35"/>
    <row r="57292" hidden="1" x14ac:dyDescent="0.35"/>
    <row r="57293" hidden="1" x14ac:dyDescent="0.35"/>
    <row r="57294" hidden="1" x14ac:dyDescent="0.35"/>
    <row r="57295" hidden="1" x14ac:dyDescent="0.35"/>
    <row r="57296" hidden="1" x14ac:dyDescent="0.35"/>
    <row r="57297" hidden="1" x14ac:dyDescent="0.35"/>
    <row r="57298" hidden="1" x14ac:dyDescent="0.35"/>
    <row r="57299" hidden="1" x14ac:dyDescent="0.35"/>
    <row r="57300" hidden="1" x14ac:dyDescent="0.35"/>
    <row r="57301" hidden="1" x14ac:dyDescent="0.35"/>
    <row r="57302" hidden="1" x14ac:dyDescent="0.35"/>
    <row r="57303" hidden="1" x14ac:dyDescent="0.35"/>
    <row r="57304" hidden="1" x14ac:dyDescent="0.35"/>
    <row r="57305" hidden="1" x14ac:dyDescent="0.35"/>
    <row r="57306" hidden="1" x14ac:dyDescent="0.35"/>
    <row r="57307" hidden="1" x14ac:dyDescent="0.35"/>
    <row r="57308" hidden="1" x14ac:dyDescent="0.35"/>
    <row r="57309" hidden="1" x14ac:dyDescent="0.35"/>
    <row r="57310" hidden="1" x14ac:dyDescent="0.35"/>
    <row r="57311" hidden="1" x14ac:dyDescent="0.35"/>
    <row r="57312" hidden="1" x14ac:dyDescent="0.35"/>
    <row r="57313" hidden="1" x14ac:dyDescent="0.35"/>
    <row r="57314" hidden="1" x14ac:dyDescent="0.35"/>
    <row r="57315" hidden="1" x14ac:dyDescent="0.35"/>
    <row r="57316" hidden="1" x14ac:dyDescent="0.35"/>
    <row r="57317" hidden="1" x14ac:dyDescent="0.35"/>
    <row r="57318" hidden="1" x14ac:dyDescent="0.35"/>
    <row r="57319" hidden="1" x14ac:dyDescent="0.35"/>
    <row r="57320" hidden="1" x14ac:dyDescent="0.35"/>
    <row r="57321" hidden="1" x14ac:dyDescent="0.35"/>
    <row r="57322" hidden="1" x14ac:dyDescent="0.35"/>
    <row r="57323" hidden="1" x14ac:dyDescent="0.35"/>
    <row r="57324" hidden="1" x14ac:dyDescent="0.35"/>
    <row r="57325" hidden="1" x14ac:dyDescent="0.35"/>
    <row r="57326" hidden="1" x14ac:dyDescent="0.35"/>
    <row r="57327" hidden="1" x14ac:dyDescent="0.35"/>
    <row r="57328" hidden="1" x14ac:dyDescent="0.35"/>
    <row r="57329" hidden="1" x14ac:dyDescent="0.35"/>
    <row r="57330" hidden="1" x14ac:dyDescent="0.35"/>
    <row r="57331" hidden="1" x14ac:dyDescent="0.35"/>
    <row r="57332" hidden="1" x14ac:dyDescent="0.35"/>
    <row r="57333" hidden="1" x14ac:dyDescent="0.35"/>
    <row r="57334" hidden="1" x14ac:dyDescent="0.35"/>
    <row r="57335" hidden="1" x14ac:dyDescent="0.35"/>
    <row r="57336" hidden="1" x14ac:dyDescent="0.35"/>
    <row r="57337" hidden="1" x14ac:dyDescent="0.35"/>
    <row r="57338" hidden="1" x14ac:dyDescent="0.35"/>
    <row r="57339" hidden="1" x14ac:dyDescent="0.35"/>
    <row r="57340" hidden="1" x14ac:dyDescent="0.35"/>
    <row r="57341" hidden="1" x14ac:dyDescent="0.35"/>
    <row r="57342" hidden="1" x14ac:dyDescent="0.35"/>
    <row r="57343" hidden="1" x14ac:dyDescent="0.35"/>
    <row r="57344" hidden="1" x14ac:dyDescent="0.35"/>
    <row r="57345" hidden="1" x14ac:dyDescent="0.35"/>
    <row r="57346" hidden="1" x14ac:dyDescent="0.35"/>
    <row r="57347" hidden="1" x14ac:dyDescent="0.35"/>
    <row r="57348" hidden="1" x14ac:dyDescent="0.35"/>
    <row r="57349" hidden="1" x14ac:dyDescent="0.35"/>
    <row r="57350" hidden="1" x14ac:dyDescent="0.35"/>
    <row r="57351" hidden="1" x14ac:dyDescent="0.35"/>
    <row r="57352" hidden="1" x14ac:dyDescent="0.35"/>
    <row r="57353" hidden="1" x14ac:dyDescent="0.35"/>
    <row r="57354" hidden="1" x14ac:dyDescent="0.35"/>
    <row r="57355" hidden="1" x14ac:dyDescent="0.35"/>
    <row r="57356" hidden="1" x14ac:dyDescent="0.35"/>
    <row r="57357" hidden="1" x14ac:dyDescent="0.35"/>
    <row r="57358" hidden="1" x14ac:dyDescent="0.35"/>
    <row r="57359" hidden="1" x14ac:dyDescent="0.35"/>
    <row r="57360" hidden="1" x14ac:dyDescent="0.35"/>
    <row r="57361" hidden="1" x14ac:dyDescent="0.35"/>
    <row r="57362" hidden="1" x14ac:dyDescent="0.35"/>
    <row r="57363" hidden="1" x14ac:dyDescent="0.35"/>
    <row r="57364" hidden="1" x14ac:dyDescent="0.35"/>
    <row r="57365" hidden="1" x14ac:dyDescent="0.35"/>
    <row r="57366" hidden="1" x14ac:dyDescent="0.35"/>
    <row r="57367" hidden="1" x14ac:dyDescent="0.35"/>
    <row r="57368" hidden="1" x14ac:dyDescent="0.35"/>
    <row r="57369" hidden="1" x14ac:dyDescent="0.35"/>
    <row r="57370" hidden="1" x14ac:dyDescent="0.35"/>
    <row r="57371" hidden="1" x14ac:dyDescent="0.35"/>
    <row r="57372" hidden="1" x14ac:dyDescent="0.35"/>
    <row r="57373" hidden="1" x14ac:dyDescent="0.35"/>
    <row r="57374" hidden="1" x14ac:dyDescent="0.35"/>
    <row r="57375" hidden="1" x14ac:dyDescent="0.35"/>
    <row r="57376" hidden="1" x14ac:dyDescent="0.35"/>
    <row r="57377" hidden="1" x14ac:dyDescent="0.35"/>
    <row r="57378" hidden="1" x14ac:dyDescent="0.35"/>
    <row r="57379" hidden="1" x14ac:dyDescent="0.35"/>
    <row r="57380" hidden="1" x14ac:dyDescent="0.35"/>
    <row r="57381" hidden="1" x14ac:dyDescent="0.35"/>
    <row r="57382" hidden="1" x14ac:dyDescent="0.35"/>
    <row r="57383" hidden="1" x14ac:dyDescent="0.35"/>
    <row r="57384" hidden="1" x14ac:dyDescent="0.35"/>
    <row r="57385" hidden="1" x14ac:dyDescent="0.35"/>
    <row r="57386" hidden="1" x14ac:dyDescent="0.35"/>
    <row r="57387" hidden="1" x14ac:dyDescent="0.35"/>
    <row r="57388" hidden="1" x14ac:dyDescent="0.35"/>
    <row r="57389" hidden="1" x14ac:dyDescent="0.35"/>
    <row r="57390" hidden="1" x14ac:dyDescent="0.35"/>
    <row r="57391" hidden="1" x14ac:dyDescent="0.35"/>
    <row r="57392" hidden="1" x14ac:dyDescent="0.35"/>
    <row r="57393" hidden="1" x14ac:dyDescent="0.35"/>
    <row r="57394" hidden="1" x14ac:dyDescent="0.35"/>
    <row r="57395" hidden="1" x14ac:dyDescent="0.35"/>
    <row r="57396" hidden="1" x14ac:dyDescent="0.35"/>
    <row r="57397" hidden="1" x14ac:dyDescent="0.35"/>
    <row r="57398" hidden="1" x14ac:dyDescent="0.35"/>
    <row r="57399" hidden="1" x14ac:dyDescent="0.35"/>
    <row r="57400" hidden="1" x14ac:dyDescent="0.35"/>
    <row r="57401" hidden="1" x14ac:dyDescent="0.35"/>
    <row r="57402" hidden="1" x14ac:dyDescent="0.35"/>
    <row r="57403" hidden="1" x14ac:dyDescent="0.35"/>
    <row r="57404" hidden="1" x14ac:dyDescent="0.35"/>
    <row r="57405" hidden="1" x14ac:dyDescent="0.35"/>
    <row r="57406" hidden="1" x14ac:dyDescent="0.35"/>
    <row r="57407" hidden="1" x14ac:dyDescent="0.35"/>
    <row r="57408" hidden="1" x14ac:dyDescent="0.35"/>
    <row r="57409" hidden="1" x14ac:dyDescent="0.35"/>
    <row r="57410" hidden="1" x14ac:dyDescent="0.35"/>
    <row r="57411" hidden="1" x14ac:dyDescent="0.35"/>
    <row r="57412" hidden="1" x14ac:dyDescent="0.35"/>
    <row r="57413" hidden="1" x14ac:dyDescent="0.35"/>
    <row r="57414" hidden="1" x14ac:dyDescent="0.35"/>
    <row r="57415" hidden="1" x14ac:dyDescent="0.35"/>
    <row r="57416" hidden="1" x14ac:dyDescent="0.35"/>
    <row r="57417" hidden="1" x14ac:dyDescent="0.35"/>
    <row r="57418" hidden="1" x14ac:dyDescent="0.35"/>
    <row r="57419" hidden="1" x14ac:dyDescent="0.35"/>
    <row r="57420" hidden="1" x14ac:dyDescent="0.35"/>
    <row r="57421" hidden="1" x14ac:dyDescent="0.35"/>
    <row r="57422" hidden="1" x14ac:dyDescent="0.35"/>
    <row r="57423" hidden="1" x14ac:dyDescent="0.35"/>
    <row r="57424" hidden="1" x14ac:dyDescent="0.35"/>
    <row r="57425" hidden="1" x14ac:dyDescent="0.35"/>
    <row r="57426" hidden="1" x14ac:dyDescent="0.35"/>
    <row r="57427" hidden="1" x14ac:dyDescent="0.35"/>
    <row r="57428" hidden="1" x14ac:dyDescent="0.35"/>
    <row r="57429" hidden="1" x14ac:dyDescent="0.35"/>
    <row r="57430" hidden="1" x14ac:dyDescent="0.35"/>
    <row r="57431" hidden="1" x14ac:dyDescent="0.35"/>
    <row r="57432" hidden="1" x14ac:dyDescent="0.35"/>
    <row r="57433" hidden="1" x14ac:dyDescent="0.35"/>
    <row r="57434" hidden="1" x14ac:dyDescent="0.35"/>
    <row r="57435" hidden="1" x14ac:dyDescent="0.35"/>
    <row r="57436" hidden="1" x14ac:dyDescent="0.35"/>
    <row r="57437" hidden="1" x14ac:dyDescent="0.35"/>
    <row r="57438" hidden="1" x14ac:dyDescent="0.35"/>
    <row r="57439" hidden="1" x14ac:dyDescent="0.35"/>
    <row r="57440" hidden="1" x14ac:dyDescent="0.35"/>
    <row r="57441" hidden="1" x14ac:dyDescent="0.35"/>
    <row r="57442" hidden="1" x14ac:dyDescent="0.35"/>
    <row r="57443" hidden="1" x14ac:dyDescent="0.35"/>
    <row r="57444" hidden="1" x14ac:dyDescent="0.35"/>
    <row r="57445" hidden="1" x14ac:dyDescent="0.35"/>
    <row r="57446" hidden="1" x14ac:dyDescent="0.35"/>
    <row r="57447" hidden="1" x14ac:dyDescent="0.35"/>
    <row r="57448" hidden="1" x14ac:dyDescent="0.35"/>
    <row r="57449" hidden="1" x14ac:dyDescent="0.35"/>
    <row r="57450" hidden="1" x14ac:dyDescent="0.35"/>
    <row r="57451" hidden="1" x14ac:dyDescent="0.35"/>
    <row r="57452" hidden="1" x14ac:dyDescent="0.35"/>
    <row r="57453" hidden="1" x14ac:dyDescent="0.35"/>
    <row r="57454" hidden="1" x14ac:dyDescent="0.35"/>
    <row r="57455" hidden="1" x14ac:dyDescent="0.35"/>
    <row r="57456" hidden="1" x14ac:dyDescent="0.35"/>
    <row r="57457" hidden="1" x14ac:dyDescent="0.35"/>
    <row r="57458" hidden="1" x14ac:dyDescent="0.35"/>
    <row r="57459" hidden="1" x14ac:dyDescent="0.35"/>
    <row r="57460" hidden="1" x14ac:dyDescent="0.35"/>
    <row r="57461" hidden="1" x14ac:dyDescent="0.35"/>
    <row r="57462" hidden="1" x14ac:dyDescent="0.35"/>
    <row r="57463" hidden="1" x14ac:dyDescent="0.35"/>
    <row r="57464" hidden="1" x14ac:dyDescent="0.35"/>
    <row r="57465" hidden="1" x14ac:dyDescent="0.35"/>
    <row r="57466" hidden="1" x14ac:dyDescent="0.35"/>
    <row r="57467" hidden="1" x14ac:dyDescent="0.35"/>
    <row r="57468" hidden="1" x14ac:dyDescent="0.35"/>
    <row r="57469" hidden="1" x14ac:dyDescent="0.35"/>
    <row r="57470" hidden="1" x14ac:dyDescent="0.35"/>
    <row r="57471" hidden="1" x14ac:dyDescent="0.35"/>
    <row r="57472" hidden="1" x14ac:dyDescent="0.35"/>
    <row r="57473" hidden="1" x14ac:dyDescent="0.35"/>
    <row r="57474" hidden="1" x14ac:dyDescent="0.35"/>
    <row r="57475" hidden="1" x14ac:dyDescent="0.35"/>
    <row r="57476" hidden="1" x14ac:dyDescent="0.35"/>
    <row r="57477" hidden="1" x14ac:dyDescent="0.35"/>
    <row r="57478" hidden="1" x14ac:dyDescent="0.35"/>
    <row r="57479" hidden="1" x14ac:dyDescent="0.35"/>
    <row r="57480" hidden="1" x14ac:dyDescent="0.35"/>
    <row r="57481" hidden="1" x14ac:dyDescent="0.35"/>
    <row r="57482" hidden="1" x14ac:dyDescent="0.35"/>
    <row r="57483" hidden="1" x14ac:dyDescent="0.35"/>
    <row r="57484" hidden="1" x14ac:dyDescent="0.35"/>
    <row r="57485" hidden="1" x14ac:dyDescent="0.35"/>
    <row r="57486" hidden="1" x14ac:dyDescent="0.35"/>
    <row r="57487" hidden="1" x14ac:dyDescent="0.35"/>
    <row r="57488" hidden="1" x14ac:dyDescent="0.35"/>
    <row r="57489" hidden="1" x14ac:dyDescent="0.35"/>
    <row r="57490" hidden="1" x14ac:dyDescent="0.35"/>
    <row r="57491" hidden="1" x14ac:dyDescent="0.35"/>
    <row r="57492" hidden="1" x14ac:dyDescent="0.35"/>
    <row r="57493" hidden="1" x14ac:dyDescent="0.35"/>
    <row r="57494" hidden="1" x14ac:dyDescent="0.35"/>
    <row r="57495" hidden="1" x14ac:dyDescent="0.35"/>
    <row r="57496" hidden="1" x14ac:dyDescent="0.35"/>
    <row r="57497" hidden="1" x14ac:dyDescent="0.35"/>
    <row r="57498" hidden="1" x14ac:dyDescent="0.35"/>
    <row r="57499" hidden="1" x14ac:dyDescent="0.35"/>
    <row r="57500" hidden="1" x14ac:dyDescent="0.35"/>
    <row r="57501" hidden="1" x14ac:dyDescent="0.35"/>
    <row r="57502" hidden="1" x14ac:dyDescent="0.35"/>
    <row r="57503" hidden="1" x14ac:dyDescent="0.35"/>
    <row r="57504" hidden="1" x14ac:dyDescent="0.35"/>
    <row r="57505" hidden="1" x14ac:dyDescent="0.35"/>
    <row r="57506" hidden="1" x14ac:dyDescent="0.35"/>
    <row r="57507" hidden="1" x14ac:dyDescent="0.35"/>
    <row r="57508" hidden="1" x14ac:dyDescent="0.35"/>
    <row r="57509" hidden="1" x14ac:dyDescent="0.35"/>
    <row r="57510" hidden="1" x14ac:dyDescent="0.35"/>
    <row r="57511" hidden="1" x14ac:dyDescent="0.35"/>
    <row r="57512" hidden="1" x14ac:dyDescent="0.35"/>
    <row r="57513" hidden="1" x14ac:dyDescent="0.35"/>
    <row r="57514" hidden="1" x14ac:dyDescent="0.35"/>
    <row r="57515" hidden="1" x14ac:dyDescent="0.35"/>
    <row r="57516" hidden="1" x14ac:dyDescent="0.35"/>
    <row r="57517" hidden="1" x14ac:dyDescent="0.35"/>
    <row r="57518" hidden="1" x14ac:dyDescent="0.35"/>
    <row r="57519" hidden="1" x14ac:dyDescent="0.35"/>
    <row r="57520" hidden="1" x14ac:dyDescent="0.35"/>
    <row r="57521" hidden="1" x14ac:dyDescent="0.35"/>
    <row r="57522" hidden="1" x14ac:dyDescent="0.35"/>
    <row r="57523" hidden="1" x14ac:dyDescent="0.35"/>
    <row r="57524" hidden="1" x14ac:dyDescent="0.35"/>
    <row r="57525" hidden="1" x14ac:dyDescent="0.35"/>
    <row r="57526" hidden="1" x14ac:dyDescent="0.35"/>
    <row r="57527" hidden="1" x14ac:dyDescent="0.35"/>
    <row r="57528" hidden="1" x14ac:dyDescent="0.35"/>
    <row r="57529" hidden="1" x14ac:dyDescent="0.35"/>
    <row r="57530" hidden="1" x14ac:dyDescent="0.35"/>
    <row r="57531" hidden="1" x14ac:dyDescent="0.35"/>
    <row r="57532" hidden="1" x14ac:dyDescent="0.35"/>
    <row r="57533" hidden="1" x14ac:dyDescent="0.35"/>
    <row r="57534" hidden="1" x14ac:dyDescent="0.35"/>
    <row r="57535" hidden="1" x14ac:dyDescent="0.35"/>
    <row r="57536" hidden="1" x14ac:dyDescent="0.35"/>
    <row r="57537" hidden="1" x14ac:dyDescent="0.35"/>
    <row r="57538" hidden="1" x14ac:dyDescent="0.35"/>
    <row r="57539" hidden="1" x14ac:dyDescent="0.35"/>
    <row r="57540" hidden="1" x14ac:dyDescent="0.35"/>
    <row r="57541" hidden="1" x14ac:dyDescent="0.35"/>
    <row r="57542" hidden="1" x14ac:dyDescent="0.35"/>
    <row r="57543" hidden="1" x14ac:dyDescent="0.35"/>
    <row r="57544" hidden="1" x14ac:dyDescent="0.35"/>
    <row r="57545" hidden="1" x14ac:dyDescent="0.35"/>
    <row r="57546" hidden="1" x14ac:dyDescent="0.35"/>
    <row r="57547" hidden="1" x14ac:dyDescent="0.35"/>
    <row r="57548" hidden="1" x14ac:dyDescent="0.35"/>
    <row r="57549" hidden="1" x14ac:dyDescent="0.35"/>
    <row r="57550" hidden="1" x14ac:dyDescent="0.35"/>
    <row r="57551" hidden="1" x14ac:dyDescent="0.35"/>
    <row r="57552" hidden="1" x14ac:dyDescent="0.35"/>
    <row r="57553" hidden="1" x14ac:dyDescent="0.35"/>
    <row r="57554" hidden="1" x14ac:dyDescent="0.35"/>
    <row r="57555" hidden="1" x14ac:dyDescent="0.35"/>
    <row r="57556" hidden="1" x14ac:dyDescent="0.35"/>
    <row r="57557" hidden="1" x14ac:dyDescent="0.35"/>
    <row r="57558" hidden="1" x14ac:dyDescent="0.35"/>
    <row r="57559" hidden="1" x14ac:dyDescent="0.35"/>
    <row r="57560" hidden="1" x14ac:dyDescent="0.35"/>
    <row r="57561" hidden="1" x14ac:dyDescent="0.35"/>
    <row r="57562" hidden="1" x14ac:dyDescent="0.35"/>
    <row r="57563" hidden="1" x14ac:dyDescent="0.35"/>
    <row r="57564" hidden="1" x14ac:dyDescent="0.35"/>
    <row r="57565" hidden="1" x14ac:dyDescent="0.35"/>
    <row r="57566" hidden="1" x14ac:dyDescent="0.35"/>
    <row r="57567" hidden="1" x14ac:dyDescent="0.35"/>
    <row r="57568" hidden="1" x14ac:dyDescent="0.35"/>
    <row r="57569" hidden="1" x14ac:dyDescent="0.35"/>
    <row r="57570" hidden="1" x14ac:dyDescent="0.35"/>
    <row r="57571" hidden="1" x14ac:dyDescent="0.35"/>
    <row r="57572" hidden="1" x14ac:dyDescent="0.35"/>
    <row r="57573" hidden="1" x14ac:dyDescent="0.35"/>
    <row r="57574" hidden="1" x14ac:dyDescent="0.35"/>
    <row r="57575" hidden="1" x14ac:dyDescent="0.35"/>
    <row r="57576" hidden="1" x14ac:dyDescent="0.35"/>
    <row r="57577" hidden="1" x14ac:dyDescent="0.35"/>
    <row r="57578" hidden="1" x14ac:dyDescent="0.35"/>
    <row r="57579" hidden="1" x14ac:dyDescent="0.35"/>
    <row r="57580" hidden="1" x14ac:dyDescent="0.35"/>
    <row r="57581" hidden="1" x14ac:dyDescent="0.35"/>
    <row r="57582" hidden="1" x14ac:dyDescent="0.35"/>
    <row r="57583" hidden="1" x14ac:dyDescent="0.35"/>
    <row r="57584" hidden="1" x14ac:dyDescent="0.35"/>
    <row r="57585" hidden="1" x14ac:dyDescent="0.35"/>
    <row r="57586" hidden="1" x14ac:dyDescent="0.35"/>
    <row r="57587" hidden="1" x14ac:dyDescent="0.35"/>
    <row r="57588" hidden="1" x14ac:dyDescent="0.35"/>
    <row r="57589" hidden="1" x14ac:dyDescent="0.35"/>
    <row r="57590" hidden="1" x14ac:dyDescent="0.35"/>
    <row r="57591" hidden="1" x14ac:dyDescent="0.35"/>
    <row r="57592" hidden="1" x14ac:dyDescent="0.35"/>
    <row r="57593" hidden="1" x14ac:dyDescent="0.35"/>
    <row r="57594" hidden="1" x14ac:dyDescent="0.35"/>
    <row r="57595" hidden="1" x14ac:dyDescent="0.35"/>
    <row r="57596" hidden="1" x14ac:dyDescent="0.35"/>
    <row r="57597" hidden="1" x14ac:dyDescent="0.35"/>
    <row r="57598" hidden="1" x14ac:dyDescent="0.35"/>
    <row r="57599" hidden="1" x14ac:dyDescent="0.35"/>
    <row r="57600" hidden="1" x14ac:dyDescent="0.35"/>
    <row r="57601" hidden="1" x14ac:dyDescent="0.35"/>
    <row r="57602" hidden="1" x14ac:dyDescent="0.35"/>
    <row r="57603" hidden="1" x14ac:dyDescent="0.35"/>
    <row r="57604" hidden="1" x14ac:dyDescent="0.35"/>
    <row r="57605" hidden="1" x14ac:dyDescent="0.35"/>
    <row r="57606" hidden="1" x14ac:dyDescent="0.35"/>
    <row r="57607" hidden="1" x14ac:dyDescent="0.35"/>
    <row r="57608" hidden="1" x14ac:dyDescent="0.35"/>
    <row r="57609" hidden="1" x14ac:dyDescent="0.35"/>
    <row r="57610" hidden="1" x14ac:dyDescent="0.35"/>
    <row r="57611" hidden="1" x14ac:dyDescent="0.35"/>
    <row r="57612" hidden="1" x14ac:dyDescent="0.35"/>
    <row r="57613" hidden="1" x14ac:dyDescent="0.35"/>
    <row r="57614" hidden="1" x14ac:dyDescent="0.35"/>
    <row r="57615" hidden="1" x14ac:dyDescent="0.35"/>
    <row r="57616" hidden="1" x14ac:dyDescent="0.35"/>
    <row r="57617" hidden="1" x14ac:dyDescent="0.35"/>
    <row r="57618" hidden="1" x14ac:dyDescent="0.35"/>
    <row r="57619" hidden="1" x14ac:dyDescent="0.35"/>
    <row r="57620" hidden="1" x14ac:dyDescent="0.35"/>
    <row r="57621" hidden="1" x14ac:dyDescent="0.35"/>
    <row r="57622" hidden="1" x14ac:dyDescent="0.35"/>
    <row r="57623" hidden="1" x14ac:dyDescent="0.35"/>
    <row r="57624" hidden="1" x14ac:dyDescent="0.35"/>
    <row r="57625" hidden="1" x14ac:dyDescent="0.35"/>
    <row r="57626" hidden="1" x14ac:dyDescent="0.35"/>
    <row r="57627" hidden="1" x14ac:dyDescent="0.35"/>
    <row r="57628" hidden="1" x14ac:dyDescent="0.35"/>
    <row r="57629" hidden="1" x14ac:dyDescent="0.35"/>
    <row r="57630" hidden="1" x14ac:dyDescent="0.35"/>
    <row r="57631" hidden="1" x14ac:dyDescent="0.35"/>
    <row r="57632" hidden="1" x14ac:dyDescent="0.35"/>
    <row r="57633" hidden="1" x14ac:dyDescent="0.35"/>
    <row r="57634" hidden="1" x14ac:dyDescent="0.35"/>
    <row r="57635" hidden="1" x14ac:dyDescent="0.35"/>
    <row r="57636" hidden="1" x14ac:dyDescent="0.35"/>
    <row r="57637" hidden="1" x14ac:dyDescent="0.35"/>
    <row r="57638" hidden="1" x14ac:dyDescent="0.35"/>
    <row r="57639" hidden="1" x14ac:dyDescent="0.35"/>
    <row r="57640" hidden="1" x14ac:dyDescent="0.35"/>
    <row r="57641" hidden="1" x14ac:dyDescent="0.35"/>
    <row r="57642" hidden="1" x14ac:dyDescent="0.35"/>
    <row r="57643" hidden="1" x14ac:dyDescent="0.35"/>
    <row r="57644" hidden="1" x14ac:dyDescent="0.35"/>
    <row r="57645" hidden="1" x14ac:dyDescent="0.35"/>
    <row r="57646" hidden="1" x14ac:dyDescent="0.35"/>
    <row r="57647" hidden="1" x14ac:dyDescent="0.35"/>
    <row r="57648" hidden="1" x14ac:dyDescent="0.35"/>
    <row r="57649" hidden="1" x14ac:dyDescent="0.35"/>
    <row r="57650" hidden="1" x14ac:dyDescent="0.35"/>
    <row r="57651" hidden="1" x14ac:dyDescent="0.35"/>
    <row r="57652" hidden="1" x14ac:dyDescent="0.35"/>
    <row r="57653" hidden="1" x14ac:dyDescent="0.35"/>
    <row r="57654" hidden="1" x14ac:dyDescent="0.35"/>
    <row r="57655" hidden="1" x14ac:dyDescent="0.35"/>
    <row r="57656" hidden="1" x14ac:dyDescent="0.35"/>
    <row r="57657" hidden="1" x14ac:dyDescent="0.35"/>
    <row r="57658" hidden="1" x14ac:dyDescent="0.35"/>
    <row r="57659" hidden="1" x14ac:dyDescent="0.35"/>
    <row r="57660" hidden="1" x14ac:dyDescent="0.35"/>
    <row r="57661" hidden="1" x14ac:dyDescent="0.35"/>
    <row r="57662" hidden="1" x14ac:dyDescent="0.35"/>
    <row r="57663" hidden="1" x14ac:dyDescent="0.35"/>
    <row r="57664" hidden="1" x14ac:dyDescent="0.35"/>
    <row r="57665" hidden="1" x14ac:dyDescent="0.35"/>
    <row r="57666" hidden="1" x14ac:dyDescent="0.35"/>
    <row r="57667" hidden="1" x14ac:dyDescent="0.35"/>
    <row r="57668" hidden="1" x14ac:dyDescent="0.35"/>
    <row r="57669" hidden="1" x14ac:dyDescent="0.35"/>
    <row r="57670" hidden="1" x14ac:dyDescent="0.35"/>
    <row r="57671" hidden="1" x14ac:dyDescent="0.35"/>
    <row r="57672" hidden="1" x14ac:dyDescent="0.35"/>
    <row r="57673" hidden="1" x14ac:dyDescent="0.35"/>
    <row r="57674" hidden="1" x14ac:dyDescent="0.35"/>
    <row r="57675" hidden="1" x14ac:dyDescent="0.35"/>
    <row r="57676" hidden="1" x14ac:dyDescent="0.35"/>
    <row r="57677" hidden="1" x14ac:dyDescent="0.35"/>
    <row r="57678" hidden="1" x14ac:dyDescent="0.35"/>
    <row r="57679" hidden="1" x14ac:dyDescent="0.35"/>
    <row r="57680" hidden="1" x14ac:dyDescent="0.35"/>
    <row r="57681" hidden="1" x14ac:dyDescent="0.35"/>
    <row r="57682" hidden="1" x14ac:dyDescent="0.35"/>
    <row r="57683" hidden="1" x14ac:dyDescent="0.35"/>
    <row r="57684" hidden="1" x14ac:dyDescent="0.35"/>
    <row r="57685" hidden="1" x14ac:dyDescent="0.35"/>
    <row r="57686" hidden="1" x14ac:dyDescent="0.35"/>
    <row r="57687" hidden="1" x14ac:dyDescent="0.35"/>
    <row r="57688" hidden="1" x14ac:dyDescent="0.35"/>
    <row r="57689" hidden="1" x14ac:dyDescent="0.35"/>
    <row r="57690" hidden="1" x14ac:dyDescent="0.35"/>
    <row r="57691" hidden="1" x14ac:dyDescent="0.35"/>
    <row r="57692" hidden="1" x14ac:dyDescent="0.35"/>
    <row r="57693" hidden="1" x14ac:dyDescent="0.35"/>
    <row r="57694" hidden="1" x14ac:dyDescent="0.35"/>
    <row r="57695" hidden="1" x14ac:dyDescent="0.35"/>
    <row r="57696" hidden="1" x14ac:dyDescent="0.35"/>
    <row r="57697" hidden="1" x14ac:dyDescent="0.35"/>
    <row r="57698" hidden="1" x14ac:dyDescent="0.35"/>
    <row r="57699" hidden="1" x14ac:dyDescent="0.35"/>
    <row r="57700" hidden="1" x14ac:dyDescent="0.35"/>
    <row r="57701" hidden="1" x14ac:dyDescent="0.35"/>
    <row r="57702" hidden="1" x14ac:dyDescent="0.35"/>
    <row r="57703" hidden="1" x14ac:dyDescent="0.35"/>
    <row r="57704" hidden="1" x14ac:dyDescent="0.35"/>
    <row r="57705" hidden="1" x14ac:dyDescent="0.35"/>
    <row r="57706" hidden="1" x14ac:dyDescent="0.35"/>
    <row r="57707" hidden="1" x14ac:dyDescent="0.35"/>
    <row r="57708" hidden="1" x14ac:dyDescent="0.35"/>
    <row r="57709" hidden="1" x14ac:dyDescent="0.35"/>
    <row r="57710" hidden="1" x14ac:dyDescent="0.35"/>
    <row r="57711" hidden="1" x14ac:dyDescent="0.35"/>
    <row r="57712" hidden="1" x14ac:dyDescent="0.35"/>
    <row r="57713" hidden="1" x14ac:dyDescent="0.35"/>
    <row r="57714" hidden="1" x14ac:dyDescent="0.35"/>
    <row r="57715" hidden="1" x14ac:dyDescent="0.35"/>
    <row r="57716" hidden="1" x14ac:dyDescent="0.35"/>
    <row r="57717" hidden="1" x14ac:dyDescent="0.35"/>
    <row r="57718" hidden="1" x14ac:dyDescent="0.35"/>
    <row r="57719" hidden="1" x14ac:dyDescent="0.35"/>
    <row r="57720" hidden="1" x14ac:dyDescent="0.35"/>
    <row r="57721" hidden="1" x14ac:dyDescent="0.35"/>
    <row r="57722" hidden="1" x14ac:dyDescent="0.35"/>
    <row r="57723" hidden="1" x14ac:dyDescent="0.35"/>
    <row r="57724" hidden="1" x14ac:dyDescent="0.35"/>
    <row r="57725" hidden="1" x14ac:dyDescent="0.35"/>
    <row r="57726" hidden="1" x14ac:dyDescent="0.35"/>
    <row r="57727" hidden="1" x14ac:dyDescent="0.35"/>
    <row r="57728" hidden="1" x14ac:dyDescent="0.35"/>
    <row r="57729" hidden="1" x14ac:dyDescent="0.35"/>
    <row r="57730" hidden="1" x14ac:dyDescent="0.35"/>
    <row r="57731" hidden="1" x14ac:dyDescent="0.35"/>
    <row r="57732" hidden="1" x14ac:dyDescent="0.35"/>
    <row r="57733" hidden="1" x14ac:dyDescent="0.35"/>
    <row r="57734" hidden="1" x14ac:dyDescent="0.35"/>
    <row r="57735" hidden="1" x14ac:dyDescent="0.35"/>
    <row r="57736" hidden="1" x14ac:dyDescent="0.35"/>
    <row r="57737" hidden="1" x14ac:dyDescent="0.35"/>
    <row r="57738" hidden="1" x14ac:dyDescent="0.35"/>
    <row r="57739" hidden="1" x14ac:dyDescent="0.35"/>
    <row r="57740" hidden="1" x14ac:dyDescent="0.35"/>
    <row r="57741" hidden="1" x14ac:dyDescent="0.35"/>
    <row r="57742" hidden="1" x14ac:dyDescent="0.35"/>
    <row r="57743" hidden="1" x14ac:dyDescent="0.35"/>
    <row r="57744" hidden="1" x14ac:dyDescent="0.35"/>
    <row r="57745" hidden="1" x14ac:dyDescent="0.35"/>
    <row r="57746" hidden="1" x14ac:dyDescent="0.35"/>
    <row r="57747" hidden="1" x14ac:dyDescent="0.35"/>
    <row r="57748" hidden="1" x14ac:dyDescent="0.35"/>
    <row r="57749" hidden="1" x14ac:dyDescent="0.35"/>
    <row r="57750" hidden="1" x14ac:dyDescent="0.35"/>
    <row r="57751" hidden="1" x14ac:dyDescent="0.35"/>
    <row r="57752" hidden="1" x14ac:dyDescent="0.35"/>
    <row r="57753" hidden="1" x14ac:dyDescent="0.35"/>
    <row r="57754" hidden="1" x14ac:dyDescent="0.35"/>
    <row r="57755" hidden="1" x14ac:dyDescent="0.35"/>
    <row r="57756" hidden="1" x14ac:dyDescent="0.35"/>
    <row r="57757" hidden="1" x14ac:dyDescent="0.35"/>
    <row r="57758" hidden="1" x14ac:dyDescent="0.35"/>
    <row r="57759" hidden="1" x14ac:dyDescent="0.35"/>
    <row r="57760" hidden="1" x14ac:dyDescent="0.35"/>
    <row r="57761" hidden="1" x14ac:dyDescent="0.35"/>
    <row r="57762" hidden="1" x14ac:dyDescent="0.35"/>
    <row r="57763" hidden="1" x14ac:dyDescent="0.35"/>
    <row r="57764" hidden="1" x14ac:dyDescent="0.35"/>
    <row r="57765" hidden="1" x14ac:dyDescent="0.35"/>
    <row r="57766" hidden="1" x14ac:dyDescent="0.35"/>
    <row r="57767" hidden="1" x14ac:dyDescent="0.35"/>
    <row r="57768" hidden="1" x14ac:dyDescent="0.35"/>
    <row r="57769" hidden="1" x14ac:dyDescent="0.35"/>
    <row r="57770" hidden="1" x14ac:dyDescent="0.35"/>
    <row r="57771" hidden="1" x14ac:dyDescent="0.35"/>
    <row r="57772" hidden="1" x14ac:dyDescent="0.35"/>
    <row r="57773" hidden="1" x14ac:dyDescent="0.35"/>
    <row r="57774" hidden="1" x14ac:dyDescent="0.35"/>
    <row r="57775" hidden="1" x14ac:dyDescent="0.35"/>
    <row r="57776" hidden="1" x14ac:dyDescent="0.35"/>
    <row r="57777" hidden="1" x14ac:dyDescent="0.35"/>
    <row r="57778" hidden="1" x14ac:dyDescent="0.35"/>
    <row r="57779" hidden="1" x14ac:dyDescent="0.35"/>
    <row r="57780" hidden="1" x14ac:dyDescent="0.35"/>
    <row r="57781" hidden="1" x14ac:dyDescent="0.35"/>
    <row r="57782" hidden="1" x14ac:dyDescent="0.35"/>
    <row r="57783" hidden="1" x14ac:dyDescent="0.35"/>
    <row r="57784" hidden="1" x14ac:dyDescent="0.35"/>
    <row r="57785" hidden="1" x14ac:dyDescent="0.35"/>
    <row r="57786" hidden="1" x14ac:dyDescent="0.35"/>
    <row r="57787" hidden="1" x14ac:dyDescent="0.35"/>
    <row r="57788" hidden="1" x14ac:dyDescent="0.35"/>
    <row r="57789" hidden="1" x14ac:dyDescent="0.35"/>
    <row r="57790" hidden="1" x14ac:dyDescent="0.35"/>
    <row r="57791" hidden="1" x14ac:dyDescent="0.35"/>
    <row r="57792" hidden="1" x14ac:dyDescent="0.35"/>
    <row r="57793" hidden="1" x14ac:dyDescent="0.35"/>
    <row r="57794" hidden="1" x14ac:dyDescent="0.35"/>
    <row r="57795" hidden="1" x14ac:dyDescent="0.35"/>
    <row r="57796" hidden="1" x14ac:dyDescent="0.35"/>
    <row r="57797" hidden="1" x14ac:dyDescent="0.35"/>
    <row r="57798" hidden="1" x14ac:dyDescent="0.35"/>
    <row r="57799" hidden="1" x14ac:dyDescent="0.35"/>
    <row r="57800" hidden="1" x14ac:dyDescent="0.35"/>
    <row r="57801" hidden="1" x14ac:dyDescent="0.35"/>
    <row r="57802" hidden="1" x14ac:dyDescent="0.35"/>
    <row r="57803" hidden="1" x14ac:dyDescent="0.35"/>
    <row r="57804" hidden="1" x14ac:dyDescent="0.35"/>
    <row r="57805" hidden="1" x14ac:dyDescent="0.35"/>
    <row r="57806" hidden="1" x14ac:dyDescent="0.35"/>
    <row r="57807" hidden="1" x14ac:dyDescent="0.35"/>
    <row r="57808" hidden="1" x14ac:dyDescent="0.35"/>
    <row r="57809" hidden="1" x14ac:dyDescent="0.35"/>
    <row r="57810" hidden="1" x14ac:dyDescent="0.35"/>
    <row r="57811" hidden="1" x14ac:dyDescent="0.35"/>
    <row r="57812" hidden="1" x14ac:dyDescent="0.35"/>
    <row r="57813" hidden="1" x14ac:dyDescent="0.35"/>
    <row r="57814" hidden="1" x14ac:dyDescent="0.35"/>
    <row r="57815" hidden="1" x14ac:dyDescent="0.35"/>
    <row r="57816" hidden="1" x14ac:dyDescent="0.35"/>
    <row r="57817" hidden="1" x14ac:dyDescent="0.35"/>
    <row r="57818" hidden="1" x14ac:dyDescent="0.35"/>
    <row r="57819" hidden="1" x14ac:dyDescent="0.35"/>
    <row r="57820" hidden="1" x14ac:dyDescent="0.35"/>
    <row r="57821" hidden="1" x14ac:dyDescent="0.35"/>
    <row r="57822" hidden="1" x14ac:dyDescent="0.35"/>
    <row r="57823" hidden="1" x14ac:dyDescent="0.35"/>
    <row r="57824" hidden="1" x14ac:dyDescent="0.35"/>
    <row r="57825" hidden="1" x14ac:dyDescent="0.35"/>
    <row r="57826" hidden="1" x14ac:dyDescent="0.35"/>
    <row r="57827" hidden="1" x14ac:dyDescent="0.35"/>
    <row r="57828" hidden="1" x14ac:dyDescent="0.35"/>
    <row r="57829" hidden="1" x14ac:dyDescent="0.35"/>
    <row r="57830" hidden="1" x14ac:dyDescent="0.35"/>
    <row r="57831" hidden="1" x14ac:dyDescent="0.35"/>
    <row r="57832" hidden="1" x14ac:dyDescent="0.35"/>
    <row r="57833" hidden="1" x14ac:dyDescent="0.35"/>
    <row r="57834" hidden="1" x14ac:dyDescent="0.35"/>
    <row r="57835" hidden="1" x14ac:dyDescent="0.35"/>
    <row r="57836" hidden="1" x14ac:dyDescent="0.35"/>
    <row r="57837" hidden="1" x14ac:dyDescent="0.35"/>
    <row r="57838" hidden="1" x14ac:dyDescent="0.35"/>
    <row r="57839" hidden="1" x14ac:dyDescent="0.35"/>
    <row r="57840" hidden="1" x14ac:dyDescent="0.35"/>
    <row r="57841" hidden="1" x14ac:dyDescent="0.35"/>
    <row r="57842" hidden="1" x14ac:dyDescent="0.35"/>
    <row r="57843" hidden="1" x14ac:dyDescent="0.35"/>
    <row r="57844" hidden="1" x14ac:dyDescent="0.35"/>
    <row r="57845" hidden="1" x14ac:dyDescent="0.35"/>
    <row r="57846" hidden="1" x14ac:dyDescent="0.35"/>
    <row r="57847" hidden="1" x14ac:dyDescent="0.35"/>
    <row r="57848" hidden="1" x14ac:dyDescent="0.35"/>
    <row r="57849" hidden="1" x14ac:dyDescent="0.35"/>
    <row r="57850" hidden="1" x14ac:dyDescent="0.35"/>
    <row r="57851" hidden="1" x14ac:dyDescent="0.35"/>
    <row r="57852" hidden="1" x14ac:dyDescent="0.35"/>
    <row r="57853" hidden="1" x14ac:dyDescent="0.35"/>
    <row r="57854" hidden="1" x14ac:dyDescent="0.35"/>
    <row r="57855" hidden="1" x14ac:dyDescent="0.35"/>
    <row r="57856" hidden="1" x14ac:dyDescent="0.35"/>
    <row r="57857" hidden="1" x14ac:dyDescent="0.35"/>
    <row r="57858" hidden="1" x14ac:dyDescent="0.35"/>
    <row r="57859" hidden="1" x14ac:dyDescent="0.35"/>
    <row r="57860" hidden="1" x14ac:dyDescent="0.35"/>
    <row r="57861" hidden="1" x14ac:dyDescent="0.35"/>
    <row r="57862" hidden="1" x14ac:dyDescent="0.35"/>
    <row r="57863" hidden="1" x14ac:dyDescent="0.35"/>
    <row r="57864" hidden="1" x14ac:dyDescent="0.35"/>
    <row r="57865" hidden="1" x14ac:dyDescent="0.35"/>
    <row r="57866" hidden="1" x14ac:dyDescent="0.35"/>
    <row r="57867" hidden="1" x14ac:dyDescent="0.35"/>
    <row r="57868" hidden="1" x14ac:dyDescent="0.35"/>
    <row r="57869" hidden="1" x14ac:dyDescent="0.35"/>
    <row r="57870" hidden="1" x14ac:dyDescent="0.35"/>
    <row r="57871" hidden="1" x14ac:dyDescent="0.35"/>
    <row r="57872" hidden="1" x14ac:dyDescent="0.35"/>
    <row r="57873" hidden="1" x14ac:dyDescent="0.35"/>
    <row r="57874" hidden="1" x14ac:dyDescent="0.35"/>
    <row r="57875" hidden="1" x14ac:dyDescent="0.35"/>
    <row r="57876" hidden="1" x14ac:dyDescent="0.35"/>
    <row r="57877" hidden="1" x14ac:dyDescent="0.35"/>
    <row r="57878" hidden="1" x14ac:dyDescent="0.35"/>
    <row r="57879" hidden="1" x14ac:dyDescent="0.35"/>
    <row r="57880" hidden="1" x14ac:dyDescent="0.35"/>
    <row r="57881" hidden="1" x14ac:dyDescent="0.35"/>
    <row r="57882" hidden="1" x14ac:dyDescent="0.35"/>
    <row r="57883" hidden="1" x14ac:dyDescent="0.35"/>
    <row r="57884" hidden="1" x14ac:dyDescent="0.35"/>
    <row r="57885" hidden="1" x14ac:dyDescent="0.35"/>
    <row r="57886" hidden="1" x14ac:dyDescent="0.35"/>
    <row r="57887" hidden="1" x14ac:dyDescent="0.35"/>
    <row r="57888" hidden="1" x14ac:dyDescent="0.35"/>
    <row r="57889" hidden="1" x14ac:dyDescent="0.35"/>
    <row r="57890" hidden="1" x14ac:dyDescent="0.35"/>
    <row r="57891" hidden="1" x14ac:dyDescent="0.35"/>
    <row r="57892" hidden="1" x14ac:dyDescent="0.35"/>
    <row r="57893" hidden="1" x14ac:dyDescent="0.35"/>
    <row r="57894" hidden="1" x14ac:dyDescent="0.35"/>
    <row r="57895" hidden="1" x14ac:dyDescent="0.35"/>
    <row r="57896" hidden="1" x14ac:dyDescent="0.35"/>
    <row r="57897" hidden="1" x14ac:dyDescent="0.35"/>
    <row r="57898" hidden="1" x14ac:dyDescent="0.35"/>
    <row r="57899" hidden="1" x14ac:dyDescent="0.35"/>
    <row r="57900" hidden="1" x14ac:dyDescent="0.35"/>
    <row r="57901" hidden="1" x14ac:dyDescent="0.35"/>
    <row r="57902" hidden="1" x14ac:dyDescent="0.35"/>
    <row r="57903" hidden="1" x14ac:dyDescent="0.35"/>
    <row r="57904" hidden="1" x14ac:dyDescent="0.35"/>
    <row r="57905" hidden="1" x14ac:dyDescent="0.35"/>
    <row r="57906" hidden="1" x14ac:dyDescent="0.35"/>
    <row r="57907" hidden="1" x14ac:dyDescent="0.35"/>
    <row r="57908" hidden="1" x14ac:dyDescent="0.35"/>
    <row r="57909" hidden="1" x14ac:dyDescent="0.35"/>
    <row r="57910" hidden="1" x14ac:dyDescent="0.35"/>
    <row r="57911" hidden="1" x14ac:dyDescent="0.35"/>
    <row r="57912" hidden="1" x14ac:dyDescent="0.35"/>
    <row r="57913" hidden="1" x14ac:dyDescent="0.35"/>
    <row r="57914" hidden="1" x14ac:dyDescent="0.35"/>
    <row r="57915" hidden="1" x14ac:dyDescent="0.35"/>
    <row r="57916" hidden="1" x14ac:dyDescent="0.35"/>
    <row r="57917" hidden="1" x14ac:dyDescent="0.35"/>
    <row r="57918" hidden="1" x14ac:dyDescent="0.35"/>
    <row r="57919" hidden="1" x14ac:dyDescent="0.35"/>
    <row r="57920" hidden="1" x14ac:dyDescent="0.35"/>
    <row r="57921" hidden="1" x14ac:dyDescent="0.35"/>
    <row r="57922" hidden="1" x14ac:dyDescent="0.35"/>
    <row r="57923" hidden="1" x14ac:dyDescent="0.35"/>
    <row r="57924" hidden="1" x14ac:dyDescent="0.35"/>
    <row r="57925" hidden="1" x14ac:dyDescent="0.35"/>
    <row r="57926" hidden="1" x14ac:dyDescent="0.35"/>
    <row r="57927" hidden="1" x14ac:dyDescent="0.35"/>
    <row r="57928" hidden="1" x14ac:dyDescent="0.35"/>
    <row r="57929" hidden="1" x14ac:dyDescent="0.35"/>
    <row r="57930" hidden="1" x14ac:dyDescent="0.35"/>
    <row r="57931" hidden="1" x14ac:dyDescent="0.35"/>
    <row r="57932" hidden="1" x14ac:dyDescent="0.35"/>
    <row r="57933" hidden="1" x14ac:dyDescent="0.35"/>
    <row r="57934" hidden="1" x14ac:dyDescent="0.35"/>
    <row r="57935" hidden="1" x14ac:dyDescent="0.35"/>
    <row r="57936" hidden="1" x14ac:dyDescent="0.35"/>
    <row r="57937" hidden="1" x14ac:dyDescent="0.35"/>
    <row r="57938" hidden="1" x14ac:dyDescent="0.35"/>
    <row r="57939" hidden="1" x14ac:dyDescent="0.35"/>
    <row r="57940" hidden="1" x14ac:dyDescent="0.35"/>
    <row r="57941" hidden="1" x14ac:dyDescent="0.35"/>
    <row r="57942" hidden="1" x14ac:dyDescent="0.35"/>
    <row r="57943" hidden="1" x14ac:dyDescent="0.35"/>
    <row r="57944" hidden="1" x14ac:dyDescent="0.35"/>
    <row r="57945" hidden="1" x14ac:dyDescent="0.35"/>
    <row r="57946" hidden="1" x14ac:dyDescent="0.35"/>
    <row r="57947" hidden="1" x14ac:dyDescent="0.35"/>
    <row r="57948" hidden="1" x14ac:dyDescent="0.35"/>
    <row r="57949" hidden="1" x14ac:dyDescent="0.35"/>
    <row r="57950" hidden="1" x14ac:dyDescent="0.35"/>
    <row r="57951" hidden="1" x14ac:dyDescent="0.35"/>
    <row r="57952" hidden="1" x14ac:dyDescent="0.35"/>
    <row r="57953" hidden="1" x14ac:dyDescent="0.35"/>
    <row r="57954" hidden="1" x14ac:dyDescent="0.35"/>
    <row r="57955" hidden="1" x14ac:dyDescent="0.35"/>
    <row r="57956" hidden="1" x14ac:dyDescent="0.35"/>
    <row r="57957" hidden="1" x14ac:dyDescent="0.35"/>
    <row r="57958" hidden="1" x14ac:dyDescent="0.35"/>
    <row r="57959" hidden="1" x14ac:dyDescent="0.35"/>
    <row r="57960" hidden="1" x14ac:dyDescent="0.35"/>
    <row r="57961" hidden="1" x14ac:dyDescent="0.35"/>
    <row r="57962" hidden="1" x14ac:dyDescent="0.35"/>
    <row r="57963" hidden="1" x14ac:dyDescent="0.35"/>
    <row r="57964" hidden="1" x14ac:dyDescent="0.35"/>
    <row r="57965" hidden="1" x14ac:dyDescent="0.35"/>
    <row r="57966" hidden="1" x14ac:dyDescent="0.35"/>
    <row r="57967" hidden="1" x14ac:dyDescent="0.35"/>
    <row r="57968" hidden="1" x14ac:dyDescent="0.35"/>
    <row r="57969" hidden="1" x14ac:dyDescent="0.35"/>
    <row r="57970" hidden="1" x14ac:dyDescent="0.35"/>
    <row r="57971" hidden="1" x14ac:dyDescent="0.35"/>
    <row r="57972" hidden="1" x14ac:dyDescent="0.35"/>
    <row r="57973" hidden="1" x14ac:dyDescent="0.35"/>
    <row r="57974" hidden="1" x14ac:dyDescent="0.35"/>
    <row r="57975" hidden="1" x14ac:dyDescent="0.35"/>
    <row r="57976" hidden="1" x14ac:dyDescent="0.35"/>
    <row r="57977" hidden="1" x14ac:dyDescent="0.35"/>
    <row r="57978" hidden="1" x14ac:dyDescent="0.35"/>
    <row r="57979" hidden="1" x14ac:dyDescent="0.35"/>
    <row r="57980" hidden="1" x14ac:dyDescent="0.35"/>
    <row r="57981" hidden="1" x14ac:dyDescent="0.35"/>
    <row r="57982" hidden="1" x14ac:dyDescent="0.35"/>
    <row r="57983" hidden="1" x14ac:dyDescent="0.35"/>
    <row r="57984" hidden="1" x14ac:dyDescent="0.35"/>
    <row r="57985" hidden="1" x14ac:dyDescent="0.35"/>
    <row r="57986" hidden="1" x14ac:dyDescent="0.35"/>
    <row r="57987" hidden="1" x14ac:dyDescent="0.35"/>
    <row r="57988" hidden="1" x14ac:dyDescent="0.35"/>
    <row r="57989" hidden="1" x14ac:dyDescent="0.35"/>
    <row r="57990" hidden="1" x14ac:dyDescent="0.35"/>
    <row r="57991" hidden="1" x14ac:dyDescent="0.35"/>
    <row r="57992" hidden="1" x14ac:dyDescent="0.35"/>
    <row r="57993" hidden="1" x14ac:dyDescent="0.35"/>
    <row r="57994" hidden="1" x14ac:dyDescent="0.35"/>
    <row r="57995" hidden="1" x14ac:dyDescent="0.35"/>
    <row r="57996" hidden="1" x14ac:dyDescent="0.35"/>
    <row r="57997" hidden="1" x14ac:dyDescent="0.35"/>
    <row r="57998" hidden="1" x14ac:dyDescent="0.35"/>
    <row r="57999" hidden="1" x14ac:dyDescent="0.35"/>
    <row r="58000" hidden="1" x14ac:dyDescent="0.35"/>
    <row r="58001" hidden="1" x14ac:dyDescent="0.35"/>
    <row r="58002" hidden="1" x14ac:dyDescent="0.35"/>
    <row r="58003" hidden="1" x14ac:dyDescent="0.35"/>
    <row r="58004" hidden="1" x14ac:dyDescent="0.35"/>
    <row r="58005" hidden="1" x14ac:dyDescent="0.35"/>
    <row r="58006" hidden="1" x14ac:dyDescent="0.35"/>
    <row r="58007" hidden="1" x14ac:dyDescent="0.35"/>
    <row r="58008" hidden="1" x14ac:dyDescent="0.35"/>
    <row r="58009" hidden="1" x14ac:dyDescent="0.35"/>
    <row r="58010" hidden="1" x14ac:dyDescent="0.35"/>
    <row r="58011" hidden="1" x14ac:dyDescent="0.35"/>
    <row r="58012" hidden="1" x14ac:dyDescent="0.35"/>
    <row r="58013" hidden="1" x14ac:dyDescent="0.35"/>
    <row r="58014" hidden="1" x14ac:dyDescent="0.35"/>
    <row r="58015" hidden="1" x14ac:dyDescent="0.35"/>
    <row r="58016" hidden="1" x14ac:dyDescent="0.35"/>
    <row r="58017" hidden="1" x14ac:dyDescent="0.35"/>
    <row r="58018" hidden="1" x14ac:dyDescent="0.35"/>
    <row r="58019" hidden="1" x14ac:dyDescent="0.35"/>
    <row r="58020" hidden="1" x14ac:dyDescent="0.35"/>
    <row r="58021" hidden="1" x14ac:dyDescent="0.35"/>
    <row r="58022" hidden="1" x14ac:dyDescent="0.35"/>
    <row r="58023" hidden="1" x14ac:dyDescent="0.35"/>
    <row r="58024" hidden="1" x14ac:dyDescent="0.35"/>
    <row r="58025" hidden="1" x14ac:dyDescent="0.35"/>
    <row r="58026" hidden="1" x14ac:dyDescent="0.35"/>
    <row r="58027" hidden="1" x14ac:dyDescent="0.35"/>
    <row r="58028" hidden="1" x14ac:dyDescent="0.35"/>
    <row r="58029" hidden="1" x14ac:dyDescent="0.35"/>
    <row r="58030" hidden="1" x14ac:dyDescent="0.35"/>
    <row r="58031" hidden="1" x14ac:dyDescent="0.35"/>
    <row r="58032" hidden="1" x14ac:dyDescent="0.35"/>
    <row r="58033" hidden="1" x14ac:dyDescent="0.35"/>
    <row r="58034" hidden="1" x14ac:dyDescent="0.35"/>
    <row r="58035" hidden="1" x14ac:dyDescent="0.35"/>
    <row r="58036" hidden="1" x14ac:dyDescent="0.35"/>
    <row r="58037" hidden="1" x14ac:dyDescent="0.35"/>
    <row r="58038" hidden="1" x14ac:dyDescent="0.35"/>
    <row r="58039" hidden="1" x14ac:dyDescent="0.35"/>
    <row r="58040" hidden="1" x14ac:dyDescent="0.35"/>
    <row r="58041" hidden="1" x14ac:dyDescent="0.35"/>
    <row r="58042" hidden="1" x14ac:dyDescent="0.35"/>
    <row r="58043" hidden="1" x14ac:dyDescent="0.35"/>
    <row r="58044" hidden="1" x14ac:dyDescent="0.35"/>
    <row r="58045" hidden="1" x14ac:dyDescent="0.35"/>
    <row r="58046" hidden="1" x14ac:dyDescent="0.35"/>
    <row r="58047" hidden="1" x14ac:dyDescent="0.35"/>
    <row r="58048" hidden="1" x14ac:dyDescent="0.35"/>
    <row r="58049" hidden="1" x14ac:dyDescent="0.35"/>
    <row r="58050" hidden="1" x14ac:dyDescent="0.35"/>
    <row r="58051" hidden="1" x14ac:dyDescent="0.35"/>
    <row r="58052" hidden="1" x14ac:dyDescent="0.35"/>
    <row r="58053" hidden="1" x14ac:dyDescent="0.35"/>
    <row r="58054" hidden="1" x14ac:dyDescent="0.35"/>
    <row r="58055" hidden="1" x14ac:dyDescent="0.35"/>
    <row r="58056" hidden="1" x14ac:dyDescent="0.35"/>
    <row r="58057" hidden="1" x14ac:dyDescent="0.35"/>
    <row r="58058" hidden="1" x14ac:dyDescent="0.35"/>
    <row r="58059" hidden="1" x14ac:dyDescent="0.35"/>
    <row r="58060" hidden="1" x14ac:dyDescent="0.35"/>
    <row r="58061" hidden="1" x14ac:dyDescent="0.35"/>
    <row r="58062" hidden="1" x14ac:dyDescent="0.35"/>
    <row r="58063" hidden="1" x14ac:dyDescent="0.35"/>
    <row r="58064" hidden="1" x14ac:dyDescent="0.35"/>
    <row r="58065" hidden="1" x14ac:dyDescent="0.35"/>
    <row r="58066" hidden="1" x14ac:dyDescent="0.35"/>
    <row r="58067" hidden="1" x14ac:dyDescent="0.35"/>
    <row r="58068" hidden="1" x14ac:dyDescent="0.35"/>
    <row r="58069" hidden="1" x14ac:dyDescent="0.35"/>
    <row r="58070" hidden="1" x14ac:dyDescent="0.35"/>
    <row r="58071" hidden="1" x14ac:dyDescent="0.35"/>
    <row r="58072" hidden="1" x14ac:dyDescent="0.35"/>
    <row r="58073" hidden="1" x14ac:dyDescent="0.35"/>
    <row r="58074" hidden="1" x14ac:dyDescent="0.35"/>
    <row r="58075" hidden="1" x14ac:dyDescent="0.35"/>
    <row r="58076" hidden="1" x14ac:dyDescent="0.35"/>
    <row r="58077" hidden="1" x14ac:dyDescent="0.35"/>
    <row r="58078" hidden="1" x14ac:dyDescent="0.35"/>
    <row r="58079" hidden="1" x14ac:dyDescent="0.35"/>
    <row r="58080" hidden="1" x14ac:dyDescent="0.35"/>
    <row r="58081" hidden="1" x14ac:dyDescent="0.35"/>
    <row r="58082" hidden="1" x14ac:dyDescent="0.35"/>
    <row r="58083" hidden="1" x14ac:dyDescent="0.35"/>
    <row r="58084" hidden="1" x14ac:dyDescent="0.35"/>
    <row r="58085" hidden="1" x14ac:dyDescent="0.35"/>
    <row r="58086" hidden="1" x14ac:dyDescent="0.35"/>
    <row r="58087" hidden="1" x14ac:dyDescent="0.35"/>
    <row r="58088" hidden="1" x14ac:dyDescent="0.35"/>
    <row r="58089" hidden="1" x14ac:dyDescent="0.35"/>
    <row r="58090" hidden="1" x14ac:dyDescent="0.35"/>
    <row r="58091" hidden="1" x14ac:dyDescent="0.35"/>
    <row r="58092" hidden="1" x14ac:dyDescent="0.35"/>
    <row r="58093" hidden="1" x14ac:dyDescent="0.35"/>
    <row r="58094" hidden="1" x14ac:dyDescent="0.35"/>
    <row r="58095" hidden="1" x14ac:dyDescent="0.35"/>
    <row r="58096" hidden="1" x14ac:dyDescent="0.35"/>
    <row r="58097" hidden="1" x14ac:dyDescent="0.35"/>
    <row r="58098" hidden="1" x14ac:dyDescent="0.35"/>
    <row r="58099" hidden="1" x14ac:dyDescent="0.35"/>
    <row r="58100" hidden="1" x14ac:dyDescent="0.35"/>
    <row r="58101" hidden="1" x14ac:dyDescent="0.35"/>
    <row r="58102" hidden="1" x14ac:dyDescent="0.35"/>
    <row r="58103" hidden="1" x14ac:dyDescent="0.35"/>
    <row r="58104" hidden="1" x14ac:dyDescent="0.35"/>
    <row r="58105" hidden="1" x14ac:dyDescent="0.35"/>
    <row r="58106" hidden="1" x14ac:dyDescent="0.35"/>
    <row r="58107" hidden="1" x14ac:dyDescent="0.35"/>
    <row r="58108" hidden="1" x14ac:dyDescent="0.35"/>
    <row r="58109" hidden="1" x14ac:dyDescent="0.35"/>
    <row r="58110" hidden="1" x14ac:dyDescent="0.35"/>
    <row r="58111" hidden="1" x14ac:dyDescent="0.35"/>
    <row r="58112" hidden="1" x14ac:dyDescent="0.35"/>
    <row r="58113" hidden="1" x14ac:dyDescent="0.35"/>
    <row r="58114" hidden="1" x14ac:dyDescent="0.35"/>
    <row r="58115" hidden="1" x14ac:dyDescent="0.35"/>
    <row r="58116" hidden="1" x14ac:dyDescent="0.35"/>
    <row r="58117" hidden="1" x14ac:dyDescent="0.35"/>
    <row r="58118" hidden="1" x14ac:dyDescent="0.35"/>
    <row r="58119" hidden="1" x14ac:dyDescent="0.35"/>
    <row r="58120" hidden="1" x14ac:dyDescent="0.35"/>
    <row r="58121" hidden="1" x14ac:dyDescent="0.35"/>
    <row r="58122" hidden="1" x14ac:dyDescent="0.35"/>
    <row r="58123" hidden="1" x14ac:dyDescent="0.35"/>
    <row r="58124" hidden="1" x14ac:dyDescent="0.35"/>
    <row r="58125" hidden="1" x14ac:dyDescent="0.35"/>
    <row r="58126" hidden="1" x14ac:dyDescent="0.35"/>
    <row r="58127" hidden="1" x14ac:dyDescent="0.35"/>
    <row r="58128" hidden="1" x14ac:dyDescent="0.35"/>
    <row r="58129" hidden="1" x14ac:dyDescent="0.35"/>
    <row r="58130" hidden="1" x14ac:dyDescent="0.35"/>
    <row r="58131" hidden="1" x14ac:dyDescent="0.35"/>
    <row r="58132" hidden="1" x14ac:dyDescent="0.35"/>
    <row r="58133" hidden="1" x14ac:dyDescent="0.35"/>
    <row r="58134" hidden="1" x14ac:dyDescent="0.35"/>
    <row r="58135" hidden="1" x14ac:dyDescent="0.35"/>
    <row r="58136" hidden="1" x14ac:dyDescent="0.35"/>
    <row r="58137" hidden="1" x14ac:dyDescent="0.35"/>
    <row r="58138" hidden="1" x14ac:dyDescent="0.35"/>
    <row r="58139" hidden="1" x14ac:dyDescent="0.35"/>
    <row r="58140" hidden="1" x14ac:dyDescent="0.35"/>
    <row r="58141" hidden="1" x14ac:dyDescent="0.35"/>
    <row r="58142" hidden="1" x14ac:dyDescent="0.35"/>
    <row r="58143" hidden="1" x14ac:dyDescent="0.35"/>
    <row r="58144" hidden="1" x14ac:dyDescent="0.35"/>
    <row r="58145" hidden="1" x14ac:dyDescent="0.35"/>
    <row r="58146" hidden="1" x14ac:dyDescent="0.35"/>
    <row r="58147" hidden="1" x14ac:dyDescent="0.35"/>
    <row r="58148" hidden="1" x14ac:dyDescent="0.35"/>
    <row r="58149" hidden="1" x14ac:dyDescent="0.35"/>
    <row r="58150" hidden="1" x14ac:dyDescent="0.35"/>
    <row r="58151" hidden="1" x14ac:dyDescent="0.35"/>
    <row r="58152" hidden="1" x14ac:dyDescent="0.35"/>
    <row r="58153" hidden="1" x14ac:dyDescent="0.35"/>
    <row r="58154" hidden="1" x14ac:dyDescent="0.35"/>
    <row r="58155" hidden="1" x14ac:dyDescent="0.35"/>
    <row r="58156" hidden="1" x14ac:dyDescent="0.35"/>
    <row r="58157" hidden="1" x14ac:dyDescent="0.35"/>
    <row r="58158" hidden="1" x14ac:dyDescent="0.35"/>
    <row r="58159" hidden="1" x14ac:dyDescent="0.35"/>
    <row r="58160" hidden="1" x14ac:dyDescent="0.35"/>
    <row r="58161" hidden="1" x14ac:dyDescent="0.35"/>
    <row r="58162" hidden="1" x14ac:dyDescent="0.35"/>
    <row r="58163" hidden="1" x14ac:dyDescent="0.35"/>
    <row r="58164" hidden="1" x14ac:dyDescent="0.35"/>
    <row r="58165" hidden="1" x14ac:dyDescent="0.35"/>
    <row r="58166" hidden="1" x14ac:dyDescent="0.35"/>
    <row r="58167" hidden="1" x14ac:dyDescent="0.35"/>
    <row r="58168" hidden="1" x14ac:dyDescent="0.35"/>
    <row r="58169" hidden="1" x14ac:dyDescent="0.35"/>
    <row r="58170" hidden="1" x14ac:dyDescent="0.35"/>
    <row r="58171" hidden="1" x14ac:dyDescent="0.35"/>
    <row r="58172" hidden="1" x14ac:dyDescent="0.35"/>
    <row r="58173" hidden="1" x14ac:dyDescent="0.35"/>
    <row r="58174" hidden="1" x14ac:dyDescent="0.35"/>
    <row r="58175" hidden="1" x14ac:dyDescent="0.35"/>
    <row r="58176" hidden="1" x14ac:dyDescent="0.35"/>
    <row r="58177" hidden="1" x14ac:dyDescent="0.35"/>
    <row r="58178" hidden="1" x14ac:dyDescent="0.35"/>
    <row r="58179" hidden="1" x14ac:dyDescent="0.35"/>
    <row r="58180" hidden="1" x14ac:dyDescent="0.35"/>
    <row r="58181" hidden="1" x14ac:dyDescent="0.35"/>
    <row r="58182" hidden="1" x14ac:dyDescent="0.35"/>
    <row r="58183" hidden="1" x14ac:dyDescent="0.35"/>
    <row r="58184" hidden="1" x14ac:dyDescent="0.35"/>
    <row r="58185" hidden="1" x14ac:dyDescent="0.35"/>
    <row r="58186" hidden="1" x14ac:dyDescent="0.35"/>
    <row r="58187" hidden="1" x14ac:dyDescent="0.35"/>
    <row r="58188" hidden="1" x14ac:dyDescent="0.35"/>
    <row r="58189" hidden="1" x14ac:dyDescent="0.35"/>
    <row r="58190" hidden="1" x14ac:dyDescent="0.35"/>
    <row r="58191" hidden="1" x14ac:dyDescent="0.35"/>
    <row r="58192" hidden="1" x14ac:dyDescent="0.35"/>
    <row r="58193" hidden="1" x14ac:dyDescent="0.35"/>
    <row r="58194" hidden="1" x14ac:dyDescent="0.35"/>
    <row r="58195" hidden="1" x14ac:dyDescent="0.35"/>
    <row r="58196" hidden="1" x14ac:dyDescent="0.35"/>
    <row r="58197" hidden="1" x14ac:dyDescent="0.35"/>
    <row r="58198" hidden="1" x14ac:dyDescent="0.35"/>
    <row r="58199" hidden="1" x14ac:dyDescent="0.35"/>
    <row r="58200" hidden="1" x14ac:dyDescent="0.35"/>
    <row r="58201" hidden="1" x14ac:dyDescent="0.35"/>
    <row r="58202" hidden="1" x14ac:dyDescent="0.35"/>
    <row r="58203" hidden="1" x14ac:dyDescent="0.35"/>
    <row r="58204" hidden="1" x14ac:dyDescent="0.35"/>
    <row r="58205" hidden="1" x14ac:dyDescent="0.35"/>
    <row r="58206" hidden="1" x14ac:dyDescent="0.35"/>
    <row r="58207" hidden="1" x14ac:dyDescent="0.35"/>
    <row r="58208" hidden="1" x14ac:dyDescent="0.35"/>
    <row r="58209" hidden="1" x14ac:dyDescent="0.35"/>
    <row r="58210" hidden="1" x14ac:dyDescent="0.35"/>
    <row r="58211" hidden="1" x14ac:dyDescent="0.35"/>
    <row r="58212" hidden="1" x14ac:dyDescent="0.35"/>
    <row r="58213" hidden="1" x14ac:dyDescent="0.35"/>
    <row r="58214" hidden="1" x14ac:dyDescent="0.35"/>
    <row r="58215" hidden="1" x14ac:dyDescent="0.35"/>
    <row r="58216" hidden="1" x14ac:dyDescent="0.35"/>
    <row r="58217" hidden="1" x14ac:dyDescent="0.35"/>
    <row r="58218" hidden="1" x14ac:dyDescent="0.35"/>
    <row r="58219" hidden="1" x14ac:dyDescent="0.35"/>
    <row r="58220" hidden="1" x14ac:dyDescent="0.35"/>
    <row r="58221" hidden="1" x14ac:dyDescent="0.35"/>
    <row r="58222" hidden="1" x14ac:dyDescent="0.35"/>
    <row r="58223" hidden="1" x14ac:dyDescent="0.35"/>
    <row r="58224" hidden="1" x14ac:dyDescent="0.35"/>
    <row r="58225" hidden="1" x14ac:dyDescent="0.35"/>
    <row r="58226" hidden="1" x14ac:dyDescent="0.35"/>
    <row r="58227" hidden="1" x14ac:dyDescent="0.35"/>
    <row r="58228" hidden="1" x14ac:dyDescent="0.35"/>
    <row r="58229" hidden="1" x14ac:dyDescent="0.35"/>
    <row r="58230" hidden="1" x14ac:dyDescent="0.35"/>
    <row r="58231" hidden="1" x14ac:dyDescent="0.35"/>
    <row r="58232" hidden="1" x14ac:dyDescent="0.35"/>
    <row r="58233" hidden="1" x14ac:dyDescent="0.35"/>
    <row r="58234" hidden="1" x14ac:dyDescent="0.35"/>
    <row r="58235" hidden="1" x14ac:dyDescent="0.35"/>
    <row r="58236" hidden="1" x14ac:dyDescent="0.35"/>
    <row r="58237" hidden="1" x14ac:dyDescent="0.35"/>
    <row r="58238" hidden="1" x14ac:dyDescent="0.35"/>
    <row r="58239" hidden="1" x14ac:dyDescent="0.35"/>
    <row r="58240" hidden="1" x14ac:dyDescent="0.35"/>
    <row r="58241" hidden="1" x14ac:dyDescent="0.35"/>
    <row r="58242" hidden="1" x14ac:dyDescent="0.35"/>
    <row r="58243" hidden="1" x14ac:dyDescent="0.35"/>
    <row r="58244" hidden="1" x14ac:dyDescent="0.35"/>
    <row r="58245" hidden="1" x14ac:dyDescent="0.35"/>
    <row r="58246" hidden="1" x14ac:dyDescent="0.35"/>
    <row r="58247" hidden="1" x14ac:dyDescent="0.35"/>
    <row r="58248" hidden="1" x14ac:dyDescent="0.35"/>
    <row r="58249" hidden="1" x14ac:dyDescent="0.35"/>
    <row r="58250" hidden="1" x14ac:dyDescent="0.35"/>
    <row r="58251" hidden="1" x14ac:dyDescent="0.35"/>
    <row r="58252" hidden="1" x14ac:dyDescent="0.35"/>
    <row r="58253" hidden="1" x14ac:dyDescent="0.35"/>
    <row r="58254" hidden="1" x14ac:dyDescent="0.35"/>
    <row r="58255" hidden="1" x14ac:dyDescent="0.35"/>
    <row r="58256" hidden="1" x14ac:dyDescent="0.35"/>
    <row r="58257" hidden="1" x14ac:dyDescent="0.35"/>
    <row r="58258" hidden="1" x14ac:dyDescent="0.35"/>
    <row r="58259" hidden="1" x14ac:dyDescent="0.35"/>
    <row r="58260" hidden="1" x14ac:dyDescent="0.35"/>
    <row r="58261" hidden="1" x14ac:dyDescent="0.35"/>
    <row r="58262" hidden="1" x14ac:dyDescent="0.35"/>
    <row r="58263" hidden="1" x14ac:dyDescent="0.35"/>
    <row r="58264" hidden="1" x14ac:dyDescent="0.35"/>
    <row r="58265" hidden="1" x14ac:dyDescent="0.35"/>
    <row r="58266" hidden="1" x14ac:dyDescent="0.35"/>
    <row r="58267" hidden="1" x14ac:dyDescent="0.35"/>
    <row r="58268" hidden="1" x14ac:dyDescent="0.35"/>
    <row r="58269" hidden="1" x14ac:dyDescent="0.35"/>
    <row r="58270" hidden="1" x14ac:dyDescent="0.35"/>
    <row r="58271" hidden="1" x14ac:dyDescent="0.35"/>
    <row r="58272" hidden="1" x14ac:dyDescent="0.35"/>
    <row r="58273" hidden="1" x14ac:dyDescent="0.35"/>
    <row r="58274" hidden="1" x14ac:dyDescent="0.35"/>
    <row r="58275" hidden="1" x14ac:dyDescent="0.35"/>
    <row r="58276" hidden="1" x14ac:dyDescent="0.35"/>
    <row r="58277" hidden="1" x14ac:dyDescent="0.35"/>
    <row r="58278" hidden="1" x14ac:dyDescent="0.35"/>
    <row r="58279" hidden="1" x14ac:dyDescent="0.35"/>
    <row r="58280" hidden="1" x14ac:dyDescent="0.35"/>
    <row r="58281" hidden="1" x14ac:dyDescent="0.35"/>
    <row r="58282" hidden="1" x14ac:dyDescent="0.35"/>
    <row r="58283" hidden="1" x14ac:dyDescent="0.35"/>
    <row r="58284" hidden="1" x14ac:dyDescent="0.35"/>
    <row r="58285" hidden="1" x14ac:dyDescent="0.35"/>
    <row r="58286" hidden="1" x14ac:dyDescent="0.35"/>
    <row r="58287" hidden="1" x14ac:dyDescent="0.35"/>
    <row r="58288" hidden="1" x14ac:dyDescent="0.35"/>
    <row r="58289" hidden="1" x14ac:dyDescent="0.35"/>
    <row r="58290" hidden="1" x14ac:dyDescent="0.35"/>
    <row r="58291" hidden="1" x14ac:dyDescent="0.35"/>
    <row r="58292" hidden="1" x14ac:dyDescent="0.35"/>
    <row r="58293" hidden="1" x14ac:dyDescent="0.35"/>
    <row r="58294" hidden="1" x14ac:dyDescent="0.35"/>
    <row r="58295" hidden="1" x14ac:dyDescent="0.35"/>
    <row r="58296" hidden="1" x14ac:dyDescent="0.35"/>
    <row r="58297" hidden="1" x14ac:dyDescent="0.35"/>
    <row r="58298" hidden="1" x14ac:dyDescent="0.35"/>
    <row r="58299" hidden="1" x14ac:dyDescent="0.35"/>
    <row r="58300" hidden="1" x14ac:dyDescent="0.35"/>
    <row r="58301" hidden="1" x14ac:dyDescent="0.35"/>
    <row r="58302" hidden="1" x14ac:dyDescent="0.35"/>
    <row r="58303" hidden="1" x14ac:dyDescent="0.35"/>
    <row r="58304" hidden="1" x14ac:dyDescent="0.35"/>
    <row r="58305" hidden="1" x14ac:dyDescent="0.35"/>
    <row r="58306" hidden="1" x14ac:dyDescent="0.35"/>
    <row r="58307" hidden="1" x14ac:dyDescent="0.35"/>
    <row r="58308" hidden="1" x14ac:dyDescent="0.35"/>
    <row r="58309" hidden="1" x14ac:dyDescent="0.35"/>
    <row r="58310" hidden="1" x14ac:dyDescent="0.35"/>
    <row r="58311" hidden="1" x14ac:dyDescent="0.35"/>
    <row r="58312" hidden="1" x14ac:dyDescent="0.35"/>
    <row r="58313" hidden="1" x14ac:dyDescent="0.35"/>
    <row r="58314" hidden="1" x14ac:dyDescent="0.35"/>
    <row r="58315" hidden="1" x14ac:dyDescent="0.35"/>
    <row r="58316" hidden="1" x14ac:dyDescent="0.35"/>
    <row r="58317" hidden="1" x14ac:dyDescent="0.35"/>
    <row r="58318" hidden="1" x14ac:dyDescent="0.35"/>
    <row r="58319" hidden="1" x14ac:dyDescent="0.35"/>
    <row r="58320" hidden="1" x14ac:dyDescent="0.35"/>
    <row r="58321" hidden="1" x14ac:dyDescent="0.35"/>
    <row r="58322" hidden="1" x14ac:dyDescent="0.35"/>
    <row r="58323" hidden="1" x14ac:dyDescent="0.35"/>
    <row r="58324" hidden="1" x14ac:dyDescent="0.35"/>
    <row r="58325" hidden="1" x14ac:dyDescent="0.35"/>
    <row r="58326" hidden="1" x14ac:dyDescent="0.35"/>
    <row r="58327" hidden="1" x14ac:dyDescent="0.35"/>
    <row r="58328" hidden="1" x14ac:dyDescent="0.35"/>
    <row r="58329" hidden="1" x14ac:dyDescent="0.35"/>
    <row r="58330" hidden="1" x14ac:dyDescent="0.35"/>
    <row r="58331" hidden="1" x14ac:dyDescent="0.35"/>
    <row r="58332" hidden="1" x14ac:dyDescent="0.35"/>
    <row r="58333" hidden="1" x14ac:dyDescent="0.35"/>
    <row r="58334" hidden="1" x14ac:dyDescent="0.35"/>
    <row r="58335" hidden="1" x14ac:dyDescent="0.35"/>
    <row r="58336" hidden="1" x14ac:dyDescent="0.35"/>
    <row r="58337" hidden="1" x14ac:dyDescent="0.35"/>
    <row r="58338" hidden="1" x14ac:dyDescent="0.35"/>
    <row r="58339" hidden="1" x14ac:dyDescent="0.35"/>
    <row r="58340" hidden="1" x14ac:dyDescent="0.35"/>
    <row r="58341" hidden="1" x14ac:dyDescent="0.35"/>
    <row r="58342" hidden="1" x14ac:dyDescent="0.35"/>
    <row r="58343" hidden="1" x14ac:dyDescent="0.35"/>
    <row r="58344" hidden="1" x14ac:dyDescent="0.35"/>
    <row r="58345" hidden="1" x14ac:dyDescent="0.35"/>
    <row r="58346" hidden="1" x14ac:dyDescent="0.35"/>
    <row r="58347" hidden="1" x14ac:dyDescent="0.35"/>
    <row r="58348" hidden="1" x14ac:dyDescent="0.35"/>
    <row r="58349" hidden="1" x14ac:dyDescent="0.35"/>
    <row r="58350" hidden="1" x14ac:dyDescent="0.35"/>
    <row r="58351" hidden="1" x14ac:dyDescent="0.35"/>
    <row r="58352" hidden="1" x14ac:dyDescent="0.35"/>
    <row r="58353" hidden="1" x14ac:dyDescent="0.35"/>
    <row r="58354" hidden="1" x14ac:dyDescent="0.35"/>
    <row r="58355" hidden="1" x14ac:dyDescent="0.35"/>
    <row r="58356" hidden="1" x14ac:dyDescent="0.35"/>
    <row r="58357" hidden="1" x14ac:dyDescent="0.35"/>
    <row r="58358" hidden="1" x14ac:dyDescent="0.35"/>
    <row r="58359" hidden="1" x14ac:dyDescent="0.35"/>
    <row r="58360" hidden="1" x14ac:dyDescent="0.35"/>
    <row r="58361" hidden="1" x14ac:dyDescent="0.35"/>
    <row r="58362" hidden="1" x14ac:dyDescent="0.35"/>
    <row r="58363" hidden="1" x14ac:dyDescent="0.35"/>
    <row r="58364" hidden="1" x14ac:dyDescent="0.35"/>
    <row r="58365" hidden="1" x14ac:dyDescent="0.35"/>
    <row r="58366" hidden="1" x14ac:dyDescent="0.35"/>
    <row r="58367" hidden="1" x14ac:dyDescent="0.35"/>
    <row r="58368" hidden="1" x14ac:dyDescent="0.35"/>
    <row r="58369" hidden="1" x14ac:dyDescent="0.35"/>
    <row r="58370" hidden="1" x14ac:dyDescent="0.35"/>
    <row r="58371" hidden="1" x14ac:dyDescent="0.35"/>
    <row r="58372" hidden="1" x14ac:dyDescent="0.35"/>
    <row r="58373" hidden="1" x14ac:dyDescent="0.35"/>
    <row r="58374" hidden="1" x14ac:dyDescent="0.35"/>
    <row r="58375" hidden="1" x14ac:dyDescent="0.35"/>
    <row r="58376" hidden="1" x14ac:dyDescent="0.35"/>
    <row r="58377" hidden="1" x14ac:dyDescent="0.35"/>
    <row r="58378" hidden="1" x14ac:dyDescent="0.35"/>
    <row r="58379" hidden="1" x14ac:dyDescent="0.35"/>
    <row r="58380" hidden="1" x14ac:dyDescent="0.35"/>
    <row r="58381" hidden="1" x14ac:dyDescent="0.35"/>
    <row r="58382" hidden="1" x14ac:dyDescent="0.35"/>
    <row r="58383" hidden="1" x14ac:dyDescent="0.35"/>
    <row r="58384" hidden="1" x14ac:dyDescent="0.35"/>
    <row r="58385" hidden="1" x14ac:dyDescent="0.35"/>
    <row r="58386" hidden="1" x14ac:dyDescent="0.35"/>
    <row r="58387" hidden="1" x14ac:dyDescent="0.35"/>
    <row r="58388" hidden="1" x14ac:dyDescent="0.35"/>
    <row r="58389" hidden="1" x14ac:dyDescent="0.35"/>
    <row r="58390" hidden="1" x14ac:dyDescent="0.35"/>
    <row r="58391" hidden="1" x14ac:dyDescent="0.35"/>
    <row r="58392" hidden="1" x14ac:dyDescent="0.35"/>
    <row r="58393" hidden="1" x14ac:dyDescent="0.35"/>
    <row r="58394" hidden="1" x14ac:dyDescent="0.35"/>
    <row r="58395" hidden="1" x14ac:dyDescent="0.35"/>
    <row r="58396" hidden="1" x14ac:dyDescent="0.35"/>
    <row r="58397" hidden="1" x14ac:dyDescent="0.35"/>
    <row r="58398" hidden="1" x14ac:dyDescent="0.35"/>
    <row r="58399" hidden="1" x14ac:dyDescent="0.35"/>
    <row r="58400" hidden="1" x14ac:dyDescent="0.35"/>
    <row r="58401" hidden="1" x14ac:dyDescent="0.35"/>
    <row r="58402" hidden="1" x14ac:dyDescent="0.35"/>
    <row r="58403" hidden="1" x14ac:dyDescent="0.35"/>
    <row r="58404" hidden="1" x14ac:dyDescent="0.35"/>
    <row r="58405" hidden="1" x14ac:dyDescent="0.35"/>
    <row r="58406" hidden="1" x14ac:dyDescent="0.35"/>
    <row r="58407" hidden="1" x14ac:dyDescent="0.35"/>
    <row r="58408" hidden="1" x14ac:dyDescent="0.35"/>
    <row r="58409" hidden="1" x14ac:dyDescent="0.35"/>
    <row r="58410" hidden="1" x14ac:dyDescent="0.35"/>
    <row r="58411" hidden="1" x14ac:dyDescent="0.35"/>
    <row r="58412" hidden="1" x14ac:dyDescent="0.35"/>
    <row r="58413" hidden="1" x14ac:dyDescent="0.35"/>
    <row r="58414" hidden="1" x14ac:dyDescent="0.35"/>
    <row r="58415" hidden="1" x14ac:dyDescent="0.35"/>
    <row r="58416" hidden="1" x14ac:dyDescent="0.35"/>
    <row r="58417" hidden="1" x14ac:dyDescent="0.35"/>
    <row r="58418" hidden="1" x14ac:dyDescent="0.35"/>
    <row r="58419" hidden="1" x14ac:dyDescent="0.35"/>
    <row r="58420" hidden="1" x14ac:dyDescent="0.35"/>
    <row r="58421" hidden="1" x14ac:dyDescent="0.35"/>
    <row r="58422" hidden="1" x14ac:dyDescent="0.35"/>
    <row r="58423" hidden="1" x14ac:dyDescent="0.35"/>
    <row r="58424" hidden="1" x14ac:dyDescent="0.35"/>
    <row r="58425" hidden="1" x14ac:dyDescent="0.35"/>
    <row r="58426" hidden="1" x14ac:dyDescent="0.35"/>
    <row r="58427" hidden="1" x14ac:dyDescent="0.35"/>
    <row r="58428" hidden="1" x14ac:dyDescent="0.35"/>
    <row r="58429" hidden="1" x14ac:dyDescent="0.35"/>
    <row r="58430" hidden="1" x14ac:dyDescent="0.35"/>
    <row r="58431" hidden="1" x14ac:dyDescent="0.35"/>
    <row r="58432" hidden="1" x14ac:dyDescent="0.35"/>
    <row r="58433" hidden="1" x14ac:dyDescent="0.35"/>
    <row r="58434" hidden="1" x14ac:dyDescent="0.35"/>
    <row r="58435" hidden="1" x14ac:dyDescent="0.35"/>
    <row r="58436" hidden="1" x14ac:dyDescent="0.35"/>
    <row r="58437" hidden="1" x14ac:dyDescent="0.35"/>
    <row r="58438" hidden="1" x14ac:dyDescent="0.35"/>
    <row r="58439" hidden="1" x14ac:dyDescent="0.35"/>
    <row r="58440" hidden="1" x14ac:dyDescent="0.35"/>
    <row r="58441" hidden="1" x14ac:dyDescent="0.35"/>
    <row r="58442" hidden="1" x14ac:dyDescent="0.35"/>
    <row r="58443" hidden="1" x14ac:dyDescent="0.35"/>
    <row r="58444" hidden="1" x14ac:dyDescent="0.35"/>
    <row r="58445" hidden="1" x14ac:dyDescent="0.35"/>
    <row r="58446" hidden="1" x14ac:dyDescent="0.35"/>
    <row r="58447" hidden="1" x14ac:dyDescent="0.35"/>
    <row r="58448" hidden="1" x14ac:dyDescent="0.35"/>
    <row r="58449" hidden="1" x14ac:dyDescent="0.35"/>
    <row r="58450" hidden="1" x14ac:dyDescent="0.35"/>
    <row r="58451" hidden="1" x14ac:dyDescent="0.35"/>
    <row r="58452" hidden="1" x14ac:dyDescent="0.35"/>
    <row r="58453" hidden="1" x14ac:dyDescent="0.35"/>
    <row r="58454" hidden="1" x14ac:dyDescent="0.35"/>
    <row r="58455" hidden="1" x14ac:dyDescent="0.35"/>
    <row r="58456" hidden="1" x14ac:dyDescent="0.35"/>
    <row r="58457" hidden="1" x14ac:dyDescent="0.35"/>
    <row r="58458" hidden="1" x14ac:dyDescent="0.35"/>
    <row r="58459" hidden="1" x14ac:dyDescent="0.35"/>
    <row r="58460" hidden="1" x14ac:dyDescent="0.35"/>
    <row r="58461" hidden="1" x14ac:dyDescent="0.35"/>
    <row r="58462" hidden="1" x14ac:dyDescent="0.35"/>
    <row r="58463" hidden="1" x14ac:dyDescent="0.35"/>
    <row r="58464" hidden="1" x14ac:dyDescent="0.35"/>
    <row r="58465" hidden="1" x14ac:dyDescent="0.35"/>
    <row r="58466" hidden="1" x14ac:dyDescent="0.35"/>
    <row r="58467" hidden="1" x14ac:dyDescent="0.35"/>
    <row r="58468" hidden="1" x14ac:dyDescent="0.35"/>
    <row r="58469" hidden="1" x14ac:dyDescent="0.35"/>
    <row r="58470" hidden="1" x14ac:dyDescent="0.35"/>
    <row r="58471" hidden="1" x14ac:dyDescent="0.35"/>
    <row r="58472" hidden="1" x14ac:dyDescent="0.35"/>
    <row r="58473" hidden="1" x14ac:dyDescent="0.35"/>
    <row r="58474" hidden="1" x14ac:dyDescent="0.35"/>
    <row r="58475" hidden="1" x14ac:dyDescent="0.35"/>
    <row r="58476" hidden="1" x14ac:dyDescent="0.35"/>
    <row r="58477" hidden="1" x14ac:dyDescent="0.35"/>
    <row r="58478" hidden="1" x14ac:dyDescent="0.35"/>
    <row r="58479" hidden="1" x14ac:dyDescent="0.35"/>
    <row r="58480" hidden="1" x14ac:dyDescent="0.35"/>
    <row r="58481" hidden="1" x14ac:dyDescent="0.35"/>
    <row r="58482" hidden="1" x14ac:dyDescent="0.35"/>
    <row r="58483" hidden="1" x14ac:dyDescent="0.35"/>
    <row r="58484" hidden="1" x14ac:dyDescent="0.35"/>
    <row r="58485" hidden="1" x14ac:dyDescent="0.35"/>
    <row r="58486" hidden="1" x14ac:dyDescent="0.35"/>
    <row r="58487" hidden="1" x14ac:dyDescent="0.35"/>
    <row r="58488" hidden="1" x14ac:dyDescent="0.35"/>
    <row r="58489" hidden="1" x14ac:dyDescent="0.35"/>
    <row r="58490" hidden="1" x14ac:dyDescent="0.35"/>
    <row r="58491" hidden="1" x14ac:dyDescent="0.35"/>
    <row r="58492" hidden="1" x14ac:dyDescent="0.35"/>
    <row r="58493" hidden="1" x14ac:dyDescent="0.35"/>
    <row r="58494" hidden="1" x14ac:dyDescent="0.35"/>
    <row r="58495" hidden="1" x14ac:dyDescent="0.35"/>
    <row r="58496" hidden="1" x14ac:dyDescent="0.35"/>
    <row r="58497" hidden="1" x14ac:dyDescent="0.35"/>
    <row r="58498" hidden="1" x14ac:dyDescent="0.35"/>
    <row r="58499" hidden="1" x14ac:dyDescent="0.35"/>
    <row r="58500" hidden="1" x14ac:dyDescent="0.35"/>
    <row r="58501" hidden="1" x14ac:dyDescent="0.35"/>
    <row r="58502" hidden="1" x14ac:dyDescent="0.35"/>
    <row r="58503" hidden="1" x14ac:dyDescent="0.35"/>
    <row r="58504" hidden="1" x14ac:dyDescent="0.35"/>
    <row r="58505" hidden="1" x14ac:dyDescent="0.35"/>
    <row r="58506" hidden="1" x14ac:dyDescent="0.35"/>
    <row r="58507" hidden="1" x14ac:dyDescent="0.35"/>
    <row r="58508" hidden="1" x14ac:dyDescent="0.35"/>
    <row r="58509" hidden="1" x14ac:dyDescent="0.35"/>
    <row r="58510" hidden="1" x14ac:dyDescent="0.35"/>
    <row r="58511" hidden="1" x14ac:dyDescent="0.35"/>
    <row r="58512" hidden="1" x14ac:dyDescent="0.35"/>
    <row r="58513" hidden="1" x14ac:dyDescent="0.35"/>
    <row r="58514" hidden="1" x14ac:dyDescent="0.35"/>
    <row r="58515" hidden="1" x14ac:dyDescent="0.35"/>
    <row r="58516" hidden="1" x14ac:dyDescent="0.35"/>
    <row r="58517" hidden="1" x14ac:dyDescent="0.35"/>
    <row r="58518" hidden="1" x14ac:dyDescent="0.35"/>
    <row r="58519" hidden="1" x14ac:dyDescent="0.35"/>
    <row r="58520" hidden="1" x14ac:dyDescent="0.35"/>
    <row r="58521" hidden="1" x14ac:dyDescent="0.35"/>
    <row r="58522" hidden="1" x14ac:dyDescent="0.35"/>
    <row r="58523" hidden="1" x14ac:dyDescent="0.35"/>
    <row r="58524" hidden="1" x14ac:dyDescent="0.35"/>
    <row r="58525" hidden="1" x14ac:dyDescent="0.35"/>
    <row r="58526" hidden="1" x14ac:dyDescent="0.35"/>
    <row r="58527" hidden="1" x14ac:dyDescent="0.35"/>
    <row r="58528" hidden="1" x14ac:dyDescent="0.35"/>
    <row r="58529" hidden="1" x14ac:dyDescent="0.35"/>
    <row r="58530" hidden="1" x14ac:dyDescent="0.35"/>
    <row r="58531" hidden="1" x14ac:dyDescent="0.35"/>
    <row r="58532" hidden="1" x14ac:dyDescent="0.35"/>
    <row r="58533" hidden="1" x14ac:dyDescent="0.35"/>
    <row r="58534" hidden="1" x14ac:dyDescent="0.35"/>
    <row r="58535" hidden="1" x14ac:dyDescent="0.35"/>
    <row r="58536" hidden="1" x14ac:dyDescent="0.35"/>
    <row r="58537" hidden="1" x14ac:dyDescent="0.35"/>
    <row r="58538" hidden="1" x14ac:dyDescent="0.35"/>
    <row r="58539" hidden="1" x14ac:dyDescent="0.35"/>
    <row r="58540" hidden="1" x14ac:dyDescent="0.35"/>
    <row r="58541" hidden="1" x14ac:dyDescent="0.35"/>
    <row r="58542" hidden="1" x14ac:dyDescent="0.35"/>
    <row r="58543" hidden="1" x14ac:dyDescent="0.35"/>
    <row r="58544" hidden="1" x14ac:dyDescent="0.35"/>
    <row r="58545" hidden="1" x14ac:dyDescent="0.35"/>
    <row r="58546" hidden="1" x14ac:dyDescent="0.35"/>
    <row r="58547" hidden="1" x14ac:dyDescent="0.35"/>
    <row r="58548" hidden="1" x14ac:dyDescent="0.35"/>
    <row r="58549" hidden="1" x14ac:dyDescent="0.35"/>
    <row r="58550" hidden="1" x14ac:dyDescent="0.35"/>
    <row r="58551" hidden="1" x14ac:dyDescent="0.35"/>
    <row r="58552" hidden="1" x14ac:dyDescent="0.35"/>
    <row r="58553" hidden="1" x14ac:dyDescent="0.35"/>
    <row r="58554" hidden="1" x14ac:dyDescent="0.35"/>
    <row r="58555" hidden="1" x14ac:dyDescent="0.35"/>
    <row r="58556" hidden="1" x14ac:dyDescent="0.35"/>
    <row r="58557" hidden="1" x14ac:dyDescent="0.35"/>
    <row r="58558" hidden="1" x14ac:dyDescent="0.35"/>
    <row r="58559" hidden="1" x14ac:dyDescent="0.35"/>
    <row r="58560" hidden="1" x14ac:dyDescent="0.35"/>
    <row r="58561" hidden="1" x14ac:dyDescent="0.35"/>
    <row r="58562" hidden="1" x14ac:dyDescent="0.35"/>
    <row r="58563" hidden="1" x14ac:dyDescent="0.35"/>
    <row r="58564" hidden="1" x14ac:dyDescent="0.35"/>
    <row r="58565" hidden="1" x14ac:dyDescent="0.35"/>
    <row r="58566" hidden="1" x14ac:dyDescent="0.35"/>
    <row r="58567" hidden="1" x14ac:dyDescent="0.35"/>
    <row r="58568" hidden="1" x14ac:dyDescent="0.35"/>
    <row r="58569" hidden="1" x14ac:dyDescent="0.35"/>
    <row r="58570" hidden="1" x14ac:dyDescent="0.35"/>
    <row r="58571" hidden="1" x14ac:dyDescent="0.35"/>
    <row r="58572" hidden="1" x14ac:dyDescent="0.35"/>
    <row r="58573" hidden="1" x14ac:dyDescent="0.35"/>
    <row r="58574" hidden="1" x14ac:dyDescent="0.35"/>
    <row r="58575" hidden="1" x14ac:dyDescent="0.35"/>
    <row r="58576" hidden="1" x14ac:dyDescent="0.35"/>
    <row r="58577" hidden="1" x14ac:dyDescent="0.35"/>
    <row r="58578" hidden="1" x14ac:dyDescent="0.35"/>
    <row r="58579" hidden="1" x14ac:dyDescent="0.35"/>
    <row r="58580" hidden="1" x14ac:dyDescent="0.35"/>
    <row r="58581" hidden="1" x14ac:dyDescent="0.35"/>
    <row r="58582" hidden="1" x14ac:dyDescent="0.35"/>
    <row r="58583" hidden="1" x14ac:dyDescent="0.35"/>
    <row r="58584" hidden="1" x14ac:dyDescent="0.35"/>
    <row r="58585" hidden="1" x14ac:dyDescent="0.35"/>
    <row r="58586" hidden="1" x14ac:dyDescent="0.35"/>
    <row r="58587" hidden="1" x14ac:dyDescent="0.35"/>
    <row r="58588" hidden="1" x14ac:dyDescent="0.35"/>
    <row r="58589" hidden="1" x14ac:dyDescent="0.35"/>
    <row r="58590" hidden="1" x14ac:dyDescent="0.35"/>
    <row r="58591" hidden="1" x14ac:dyDescent="0.35"/>
    <row r="58592" hidden="1" x14ac:dyDescent="0.35"/>
    <row r="58593" hidden="1" x14ac:dyDescent="0.35"/>
    <row r="58594" hidden="1" x14ac:dyDescent="0.35"/>
    <row r="58595" hidden="1" x14ac:dyDescent="0.35"/>
    <row r="58596" hidden="1" x14ac:dyDescent="0.35"/>
    <row r="58597" hidden="1" x14ac:dyDescent="0.35"/>
    <row r="58598" hidden="1" x14ac:dyDescent="0.35"/>
    <row r="58599" hidden="1" x14ac:dyDescent="0.35"/>
    <row r="58600" hidden="1" x14ac:dyDescent="0.35"/>
    <row r="58601" hidden="1" x14ac:dyDescent="0.35"/>
    <row r="58602" hidden="1" x14ac:dyDescent="0.35"/>
    <row r="58603" hidden="1" x14ac:dyDescent="0.35"/>
    <row r="58604" hidden="1" x14ac:dyDescent="0.35"/>
    <row r="58605" hidden="1" x14ac:dyDescent="0.35"/>
    <row r="58606" hidden="1" x14ac:dyDescent="0.35"/>
    <row r="58607" hidden="1" x14ac:dyDescent="0.35"/>
    <row r="58608" hidden="1" x14ac:dyDescent="0.35"/>
    <row r="58609" hidden="1" x14ac:dyDescent="0.35"/>
    <row r="58610" hidden="1" x14ac:dyDescent="0.35"/>
    <row r="58611" hidden="1" x14ac:dyDescent="0.35"/>
    <row r="58612" hidden="1" x14ac:dyDescent="0.35"/>
    <row r="58613" hidden="1" x14ac:dyDescent="0.35"/>
    <row r="58614" hidden="1" x14ac:dyDescent="0.35"/>
    <row r="58615" hidden="1" x14ac:dyDescent="0.35"/>
    <row r="58616" hidden="1" x14ac:dyDescent="0.35"/>
    <row r="58617" hidden="1" x14ac:dyDescent="0.35"/>
    <row r="58618" hidden="1" x14ac:dyDescent="0.35"/>
    <row r="58619" hidden="1" x14ac:dyDescent="0.35"/>
    <row r="58620" hidden="1" x14ac:dyDescent="0.35"/>
    <row r="58621" hidden="1" x14ac:dyDescent="0.35"/>
    <row r="58622" hidden="1" x14ac:dyDescent="0.35"/>
    <row r="58623" hidden="1" x14ac:dyDescent="0.35"/>
    <row r="58624" hidden="1" x14ac:dyDescent="0.35"/>
    <row r="58625" hidden="1" x14ac:dyDescent="0.35"/>
    <row r="58626" hidden="1" x14ac:dyDescent="0.35"/>
    <row r="58627" hidden="1" x14ac:dyDescent="0.35"/>
    <row r="58628" hidden="1" x14ac:dyDescent="0.35"/>
    <row r="58629" hidden="1" x14ac:dyDescent="0.35"/>
    <row r="58630" hidden="1" x14ac:dyDescent="0.35"/>
    <row r="58631" hidden="1" x14ac:dyDescent="0.35"/>
    <row r="58632" hidden="1" x14ac:dyDescent="0.35"/>
    <row r="58633" hidden="1" x14ac:dyDescent="0.35"/>
    <row r="58634" hidden="1" x14ac:dyDescent="0.35"/>
    <row r="58635" hidden="1" x14ac:dyDescent="0.35"/>
    <row r="58636" hidden="1" x14ac:dyDescent="0.35"/>
    <row r="58637" hidden="1" x14ac:dyDescent="0.35"/>
    <row r="58638" hidden="1" x14ac:dyDescent="0.35"/>
    <row r="58639" hidden="1" x14ac:dyDescent="0.35"/>
    <row r="58640" hidden="1" x14ac:dyDescent="0.35"/>
    <row r="58641" hidden="1" x14ac:dyDescent="0.35"/>
    <row r="58642" hidden="1" x14ac:dyDescent="0.35"/>
    <row r="58643" hidden="1" x14ac:dyDescent="0.35"/>
    <row r="58644" hidden="1" x14ac:dyDescent="0.35"/>
    <row r="58645" hidden="1" x14ac:dyDescent="0.35"/>
    <row r="58646" hidden="1" x14ac:dyDescent="0.35"/>
    <row r="58647" hidden="1" x14ac:dyDescent="0.35"/>
    <row r="58648" hidden="1" x14ac:dyDescent="0.35"/>
    <row r="58649" hidden="1" x14ac:dyDescent="0.35"/>
    <row r="58650" hidden="1" x14ac:dyDescent="0.35"/>
    <row r="58651" hidden="1" x14ac:dyDescent="0.35"/>
    <row r="58652" hidden="1" x14ac:dyDescent="0.35"/>
    <row r="58653" hidden="1" x14ac:dyDescent="0.35"/>
    <row r="58654" hidden="1" x14ac:dyDescent="0.35"/>
    <row r="58655" hidden="1" x14ac:dyDescent="0.35"/>
    <row r="58656" hidden="1" x14ac:dyDescent="0.35"/>
    <row r="58657" hidden="1" x14ac:dyDescent="0.35"/>
    <row r="58658" hidden="1" x14ac:dyDescent="0.35"/>
    <row r="58659" hidden="1" x14ac:dyDescent="0.35"/>
    <row r="58660" hidden="1" x14ac:dyDescent="0.35"/>
    <row r="58661" hidden="1" x14ac:dyDescent="0.35"/>
    <row r="58662" hidden="1" x14ac:dyDescent="0.35"/>
    <row r="58663" hidden="1" x14ac:dyDescent="0.35"/>
    <row r="58664" hidden="1" x14ac:dyDescent="0.35"/>
    <row r="58665" hidden="1" x14ac:dyDescent="0.35"/>
    <row r="58666" hidden="1" x14ac:dyDescent="0.35"/>
    <row r="58667" hidden="1" x14ac:dyDescent="0.35"/>
    <row r="58668" hidden="1" x14ac:dyDescent="0.35"/>
    <row r="58669" hidden="1" x14ac:dyDescent="0.35"/>
    <row r="58670" hidden="1" x14ac:dyDescent="0.35"/>
    <row r="58671" hidden="1" x14ac:dyDescent="0.35"/>
    <row r="58672" hidden="1" x14ac:dyDescent="0.35"/>
    <row r="58673" hidden="1" x14ac:dyDescent="0.35"/>
    <row r="58674" hidden="1" x14ac:dyDescent="0.35"/>
    <row r="58675" hidden="1" x14ac:dyDescent="0.35"/>
    <row r="58676" hidden="1" x14ac:dyDescent="0.35"/>
    <row r="58677" hidden="1" x14ac:dyDescent="0.35"/>
    <row r="58678" hidden="1" x14ac:dyDescent="0.35"/>
    <row r="58679" hidden="1" x14ac:dyDescent="0.35"/>
    <row r="58680" hidden="1" x14ac:dyDescent="0.35"/>
    <row r="58681" hidden="1" x14ac:dyDescent="0.35"/>
    <row r="58682" hidden="1" x14ac:dyDescent="0.35"/>
    <row r="58683" hidden="1" x14ac:dyDescent="0.35"/>
    <row r="58684" hidden="1" x14ac:dyDescent="0.35"/>
    <row r="58685" hidden="1" x14ac:dyDescent="0.35"/>
    <row r="58686" hidden="1" x14ac:dyDescent="0.35"/>
    <row r="58687" hidden="1" x14ac:dyDescent="0.35"/>
    <row r="58688" hidden="1" x14ac:dyDescent="0.35"/>
    <row r="58689" hidden="1" x14ac:dyDescent="0.35"/>
    <row r="58690" hidden="1" x14ac:dyDescent="0.35"/>
    <row r="58691" hidden="1" x14ac:dyDescent="0.35"/>
    <row r="58692" hidden="1" x14ac:dyDescent="0.35"/>
    <row r="58693" hidden="1" x14ac:dyDescent="0.35"/>
    <row r="58694" hidden="1" x14ac:dyDescent="0.35"/>
    <row r="58695" hidden="1" x14ac:dyDescent="0.35"/>
    <row r="58696" hidden="1" x14ac:dyDescent="0.35"/>
    <row r="58697" hidden="1" x14ac:dyDescent="0.35"/>
    <row r="58698" hidden="1" x14ac:dyDescent="0.35"/>
    <row r="58699" hidden="1" x14ac:dyDescent="0.35"/>
    <row r="58700" hidden="1" x14ac:dyDescent="0.35"/>
    <row r="58701" hidden="1" x14ac:dyDescent="0.35"/>
    <row r="58702" hidden="1" x14ac:dyDescent="0.35"/>
    <row r="58703" hidden="1" x14ac:dyDescent="0.35"/>
    <row r="58704" hidden="1" x14ac:dyDescent="0.35"/>
    <row r="58705" hidden="1" x14ac:dyDescent="0.35"/>
    <row r="58706" hidden="1" x14ac:dyDescent="0.35"/>
    <row r="58707" hidden="1" x14ac:dyDescent="0.35"/>
    <row r="58708" hidden="1" x14ac:dyDescent="0.35"/>
    <row r="58709" hidden="1" x14ac:dyDescent="0.35"/>
    <row r="58710" hidden="1" x14ac:dyDescent="0.35"/>
    <row r="58711" hidden="1" x14ac:dyDescent="0.35"/>
    <row r="58712" hidden="1" x14ac:dyDescent="0.35"/>
    <row r="58713" hidden="1" x14ac:dyDescent="0.35"/>
    <row r="58714" hidden="1" x14ac:dyDescent="0.35"/>
    <row r="58715" hidden="1" x14ac:dyDescent="0.35"/>
    <row r="58716" hidden="1" x14ac:dyDescent="0.35"/>
    <row r="58717" hidden="1" x14ac:dyDescent="0.35"/>
    <row r="58718" hidden="1" x14ac:dyDescent="0.35"/>
    <row r="58719" hidden="1" x14ac:dyDescent="0.35"/>
    <row r="58720" hidden="1" x14ac:dyDescent="0.35"/>
    <row r="58721" hidden="1" x14ac:dyDescent="0.35"/>
    <row r="58722" hidden="1" x14ac:dyDescent="0.35"/>
    <row r="58723" hidden="1" x14ac:dyDescent="0.35"/>
    <row r="58724" hidden="1" x14ac:dyDescent="0.35"/>
    <row r="58725" hidden="1" x14ac:dyDescent="0.35"/>
    <row r="58726" hidden="1" x14ac:dyDescent="0.35"/>
    <row r="58727" hidden="1" x14ac:dyDescent="0.35"/>
    <row r="58728" hidden="1" x14ac:dyDescent="0.35"/>
    <row r="58729" hidden="1" x14ac:dyDescent="0.35"/>
    <row r="58730" hidden="1" x14ac:dyDescent="0.35"/>
    <row r="58731" hidden="1" x14ac:dyDescent="0.35"/>
    <row r="58732" hidden="1" x14ac:dyDescent="0.35"/>
    <row r="58733" hidden="1" x14ac:dyDescent="0.35"/>
    <row r="58734" hidden="1" x14ac:dyDescent="0.35"/>
    <row r="58735" hidden="1" x14ac:dyDescent="0.35"/>
    <row r="58736" hidden="1" x14ac:dyDescent="0.35"/>
    <row r="58737" hidden="1" x14ac:dyDescent="0.35"/>
    <row r="58738" hidden="1" x14ac:dyDescent="0.35"/>
    <row r="58739" hidden="1" x14ac:dyDescent="0.35"/>
    <row r="58740" hidden="1" x14ac:dyDescent="0.35"/>
    <row r="58741" hidden="1" x14ac:dyDescent="0.35"/>
    <row r="58742" hidden="1" x14ac:dyDescent="0.35"/>
    <row r="58743" hidden="1" x14ac:dyDescent="0.35"/>
    <row r="58744" hidden="1" x14ac:dyDescent="0.35"/>
    <row r="58745" hidden="1" x14ac:dyDescent="0.35"/>
    <row r="58746" hidden="1" x14ac:dyDescent="0.35"/>
    <row r="58747" hidden="1" x14ac:dyDescent="0.35"/>
    <row r="58748" hidden="1" x14ac:dyDescent="0.35"/>
    <row r="58749" hidden="1" x14ac:dyDescent="0.35"/>
    <row r="58750" hidden="1" x14ac:dyDescent="0.35"/>
    <row r="58751" hidden="1" x14ac:dyDescent="0.35"/>
    <row r="58752" hidden="1" x14ac:dyDescent="0.35"/>
    <row r="58753" hidden="1" x14ac:dyDescent="0.35"/>
    <row r="58754" hidden="1" x14ac:dyDescent="0.35"/>
    <row r="58755" hidden="1" x14ac:dyDescent="0.35"/>
    <row r="58756" hidden="1" x14ac:dyDescent="0.35"/>
    <row r="58757" hidden="1" x14ac:dyDescent="0.35"/>
    <row r="58758" hidden="1" x14ac:dyDescent="0.35"/>
    <row r="58759" hidden="1" x14ac:dyDescent="0.35"/>
    <row r="58760" hidden="1" x14ac:dyDescent="0.35"/>
    <row r="58761" hidden="1" x14ac:dyDescent="0.35"/>
    <row r="58762" hidden="1" x14ac:dyDescent="0.35"/>
    <row r="58763" hidden="1" x14ac:dyDescent="0.35"/>
    <row r="58764" hidden="1" x14ac:dyDescent="0.35"/>
    <row r="58765" hidden="1" x14ac:dyDescent="0.35"/>
    <row r="58766" hidden="1" x14ac:dyDescent="0.35"/>
    <row r="58767" hidden="1" x14ac:dyDescent="0.35"/>
    <row r="58768" hidden="1" x14ac:dyDescent="0.35"/>
    <row r="58769" hidden="1" x14ac:dyDescent="0.35"/>
    <row r="58770" hidden="1" x14ac:dyDescent="0.35"/>
    <row r="58771" hidden="1" x14ac:dyDescent="0.35"/>
    <row r="58772" hidden="1" x14ac:dyDescent="0.35"/>
    <row r="58773" hidden="1" x14ac:dyDescent="0.35"/>
    <row r="58774" hidden="1" x14ac:dyDescent="0.35"/>
    <row r="58775" hidden="1" x14ac:dyDescent="0.35"/>
    <row r="58776" hidden="1" x14ac:dyDescent="0.35"/>
    <row r="58777" hidden="1" x14ac:dyDescent="0.35"/>
    <row r="58778" hidden="1" x14ac:dyDescent="0.35"/>
    <row r="58779" hidden="1" x14ac:dyDescent="0.35"/>
    <row r="58780" hidden="1" x14ac:dyDescent="0.35"/>
    <row r="58781" hidden="1" x14ac:dyDescent="0.35"/>
    <row r="58782" hidden="1" x14ac:dyDescent="0.35"/>
    <row r="58783" hidden="1" x14ac:dyDescent="0.35"/>
    <row r="58784" hidden="1" x14ac:dyDescent="0.35"/>
    <row r="58785" hidden="1" x14ac:dyDescent="0.35"/>
    <row r="58786" hidden="1" x14ac:dyDescent="0.35"/>
    <row r="58787" hidden="1" x14ac:dyDescent="0.35"/>
    <row r="58788" hidden="1" x14ac:dyDescent="0.35"/>
    <row r="58789" hidden="1" x14ac:dyDescent="0.35"/>
    <row r="58790" hidden="1" x14ac:dyDescent="0.35"/>
    <row r="58791" hidden="1" x14ac:dyDescent="0.35"/>
    <row r="58792" hidden="1" x14ac:dyDescent="0.35"/>
    <row r="58793" hidden="1" x14ac:dyDescent="0.35"/>
    <row r="58794" hidden="1" x14ac:dyDescent="0.35"/>
    <row r="58795" hidden="1" x14ac:dyDescent="0.35"/>
    <row r="58796" hidden="1" x14ac:dyDescent="0.35"/>
    <row r="58797" hidden="1" x14ac:dyDescent="0.35"/>
    <row r="58798" hidden="1" x14ac:dyDescent="0.35"/>
    <row r="58799" hidden="1" x14ac:dyDescent="0.35"/>
    <row r="58800" hidden="1" x14ac:dyDescent="0.35"/>
    <row r="58801" hidden="1" x14ac:dyDescent="0.35"/>
    <row r="58802" hidden="1" x14ac:dyDescent="0.35"/>
    <row r="58803" hidden="1" x14ac:dyDescent="0.35"/>
    <row r="58804" hidden="1" x14ac:dyDescent="0.35"/>
    <row r="58805" hidden="1" x14ac:dyDescent="0.35"/>
    <row r="58806" hidden="1" x14ac:dyDescent="0.35"/>
    <row r="58807" hidden="1" x14ac:dyDescent="0.35"/>
    <row r="58808" hidden="1" x14ac:dyDescent="0.35"/>
    <row r="58809" hidden="1" x14ac:dyDescent="0.35"/>
    <row r="58810" hidden="1" x14ac:dyDescent="0.35"/>
    <row r="58811" hidden="1" x14ac:dyDescent="0.35"/>
    <row r="58812" hidden="1" x14ac:dyDescent="0.35"/>
    <row r="58813" hidden="1" x14ac:dyDescent="0.35"/>
    <row r="58814" hidden="1" x14ac:dyDescent="0.35"/>
    <row r="58815" hidden="1" x14ac:dyDescent="0.35"/>
    <row r="58816" hidden="1" x14ac:dyDescent="0.35"/>
    <row r="58817" hidden="1" x14ac:dyDescent="0.35"/>
    <row r="58818" hidden="1" x14ac:dyDescent="0.35"/>
    <row r="58819" hidden="1" x14ac:dyDescent="0.35"/>
    <row r="58820" hidden="1" x14ac:dyDescent="0.35"/>
    <row r="58821" hidden="1" x14ac:dyDescent="0.35"/>
    <row r="58822" hidden="1" x14ac:dyDescent="0.35"/>
    <row r="58823" hidden="1" x14ac:dyDescent="0.35"/>
    <row r="58824" hidden="1" x14ac:dyDescent="0.35"/>
    <row r="58825" hidden="1" x14ac:dyDescent="0.35"/>
    <row r="58826" hidden="1" x14ac:dyDescent="0.35"/>
    <row r="58827" hidden="1" x14ac:dyDescent="0.35"/>
    <row r="58828" hidden="1" x14ac:dyDescent="0.35"/>
    <row r="58829" hidden="1" x14ac:dyDescent="0.35"/>
    <row r="58830" hidden="1" x14ac:dyDescent="0.35"/>
    <row r="58831" hidden="1" x14ac:dyDescent="0.35"/>
    <row r="58832" hidden="1" x14ac:dyDescent="0.35"/>
    <row r="58833" hidden="1" x14ac:dyDescent="0.35"/>
    <row r="58834" hidden="1" x14ac:dyDescent="0.35"/>
    <row r="58835" hidden="1" x14ac:dyDescent="0.35"/>
    <row r="58836" hidden="1" x14ac:dyDescent="0.35"/>
    <row r="58837" hidden="1" x14ac:dyDescent="0.35"/>
    <row r="58838" hidden="1" x14ac:dyDescent="0.35"/>
    <row r="58839" hidden="1" x14ac:dyDescent="0.35"/>
    <row r="58840" hidden="1" x14ac:dyDescent="0.35"/>
    <row r="58841" hidden="1" x14ac:dyDescent="0.35"/>
    <row r="58842" hidden="1" x14ac:dyDescent="0.35"/>
    <row r="58843" hidden="1" x14ac:dyDescent="0.35"/>
    <row r="58844" hidden="1" x14ac:dyDescent="0.35"/>
    <row r="58845" hidden="1" x14ac:dyDescent="0.35"/>
    <row r="58846" hidden="1" x14ac:dyDescent="0.35"/>
    <row r="58847" hidden="1" x14ac:dyDescent="0.35"/>
    <row r="58848" hidden="1" x14ac:dyDescent="0.35"/>
    <row r="58849" hidden="1" x14ac:dyDescent="0.35"/>
    <row r="58850" hidden="1" x14ac:dyDescent="0.35"/>
    <row r="58851" hidden="1" x14ac:dyDescent="0.35"/>
    <row r="58852" hidden="1" x14ac:dyDescent="0.35"/>
    <row r="58853" hidden="1" x14ac:dyDescent="0.35"/>
    <row r="58854" hidden="1" x14ac:dyDescent="0.35"/>
    <row r="58855" hidden="1" x14ac:dyDescent="0.35"/>
    <row r="58856" hidden="1" x14ac:dyDescent="0.35"/>
    <row r="58857" hidden="1" x14ac:dyDescent="0.35"/>
    <row r="58858" hidden="1" x14ac:dyDescent="0.35"/>
    <row r="58859" hidden="1" x14ac:dyDescent="0.35"/>
    <row r="58860" hidden="1" x14ac:dyDescent="0.35"/>
    <row r="58861" hidden="1" x14ac:dyDescent="0.35"/>
    <row r="58862" hidden="1" x14ac:dyDescent="0.35"/>
    <row r="58863" hidden="1" x14ac:dyDescent="0.35"/>
    <row r="58864" hidden="1" x14ac:dyDescent="0.35"/>
    <row r="58865" hidden="1" x14ac:dyDescent="0.35"/>
    <row r="58866" hidden="1" x14ac:dyDescent="0.35"/>
    <row r="58867" hidden="1" x14ac:dyDescent="0.35"/>
    <row r="58868" hidden="1" x14ac:dyDescent="0.35"/>
    <row r="58869" hidden="1" x14ac:dyDescent="0.35"/>
    <row r="58870" hidden="1" x14ac:dyDescent="0.35"/>
    <row r="58871" hidden="1" x14ac:dyDescent="0.35"/>
    <row r="58872" hidden="1" x14ac:dyDescent="0.35"/>
    <row r="58873" hidden="1" x14ac:dyDescent="0.35"/>
    <row r="58874" hidden="1" x14ac:dyDescent="0.35"/>
    <row r="58875" hidden="1" x14ac:dyDescent="0.35"/>
    <row r="58876" hidden="1" x14ac:dyDescent="0.35"/>
    <row r="58877" hidden="1" x14ac:dyDescent="0.35"/>
    <row r="58878" hidden="1" x14ac:dyDescent="0.35"/>
    <row r="58879" hidden="1" x14ac:dyDescent="0.35"/>
    <row r="58880" hidden="1" x14ac:dyDescent="0.35"/>
    <row r="58881" hidden="1" x14ac:dyDescent="0.35"/>
    <row r="58882" hidden="1" x14ac:dyDescent="0.35"/>
    <row r="58883" hidden="1" x14ac:dyDescent="0.35"/>
    <row r="58884" hidden="1" x14ac:dyDescent="0.35"/>
    <row r="58885" hidden="1" x14ac:dyDescent="0.35"/>
    <row r="58886" hidden="1" x14ac:dyDescent="0.35"/>
    <row r="58887" hidden="1" x14ac:dyDescent="0.35"/>
    <row r="58888" hidden="1" x14ac:dyDescent="0.35"/>
    <row r="58889" hidden="1" x14ac:dyDescent="0.35"/>
    <row r="58890" hidden="1" x14ac:dyDescent="0.35"/>
    <row r="58891" hidden="1" x14ac:dyDescent="0.35"/>
    <row r="58892" hidden="1" x14ac:dyDescent="0.35"/>
    <row r="58893" hidden="1" x14ac:dyDescent="0.35"/>
    <row r="58894" hidden="1" x14ac:dyDescent="0.35"/>
    <row r="58895" hidden="1" x14ac:dyDescent="0.35"/>
    <row r="58896" hidden="1" x14ac:dyDescent="0.35"/>
    <row r="58897" hidden="1" x14ac:dyDescent="0.35"/>
    <row r="58898" hidden="1" x14ac:dyDescent="0.35"/>
    <row r="58899" hidden="1" x14ac:dyDescent="0.35"/>
    <row r="58900" hidden="1" x14ac:dyDescent="0.35"/>
    <row r="58901" hidden="1" x14ac:dyDescent="0.35"/>
    <row r="58902" hidden="1" x14ac:dyDescent="0.35"/>
    <row r="58903" hidden="1" x14ac:dyDescent="0.35"/>
    <row r="58904" hidden="1" x14ac:dyDescent="0.35"/>
    <row r="58905" hidden="1" x14ac:dyDescent="0.35"/>
    <row r="58906" hidden="1" x14ac:dyDescent="0.35"/>
    <row r="58907" hidden="1" x14ac:dyDescent="0.35"/>
    <row r="58908" hidden="1" x14ac:dyDescent="0.35"/>
    <row r="58909" hidden="1" x14ac:dyDescent="0.35"/>
    <row r="58910" hidden="1" x14ac:dyDescent="0.35"/>
    <row r="58911" hidden="1" x14ac:dyDescent="0.35"/>
    <row r="58912" hidden="1" x14ac:dyDescent="0.35"/>
    <row r="58913" hidden="1" x14ac:dyDescent="0.35"/>
    <row r="58914" hidden="1" x14ac:dyDescent="0.35"/>
    <row r="58915" hidden="1" x14ac:dyDescent="0.35"/>
    <row r="58916" hidden="1" x14ac:dyDescent="0.35"/>
    <row r="58917" hidden="1" x14ac:dyDescent="0.35"/>
    <row r="58918" hidden="1" x14ac:dyDescent="0.35"/>
    <row r="58919" hidden="1" x14ac:dyDescent="0.35"/>
    <row r="58920" hidden="1" x14ac:dyDescent="0.35"/>
    <row r="58921" hidden="1" x14ac:dyDescent="0.35"/>
    <row r="58922" hidden="1" x14ac:dyDescent="0.35"/>
    <row r="58923" hidden="1" x14ac:dyDescent="0.35"/>
    <row r="58924" hidden="1" x14ac:dyDescent="0.35"/>
    <row r="58925" hidden="1" x14ac:dyDescent="0.35"/>
    <row r="58926" hidden="1" x14ac:dyDescent="0.35"/>
    <row r="58927" hidden="1" x14ac:dyDescent="0.35"/>
    <row r="58928" hidden="1" x14ac:dyDescent="0.35"/>
    <row r="58929" hidden="1" x14ac:dyDescent="0.35"/>
    <row r="58930" hidden="1" x14ac:dyDescent="0.35"/>
    <row r="58931" hidden="1" x14ac:dyDescent="0.35"/>
    <row r="58932" hidden="1" x14ac:dyDescent="0.35"/>
    <row r="58933" hidden="1" x14ac:dyDescent="0.35"/>
    <row r="58934" hidden="1" x14ac:dyDescent="0.35"/>
    <row r="58935" hidden="1" x14ac:dyDescent="0.35"/>
    <row r="58936" hidden="1" x14ac:dyDescent="0.35"/>
    <row r="58937" hidden="1" x14ac:dyDescent="0.35"/>
    <row r="58938" hidden="1" x14ac:dyDescent="0.35"/>
    <row r="58939" hidden="1" x14ac:dyDescent="0.35"/>
    <row r="58940" hidden="1" x14ac:dyDescent="0.35"/>
    <row r="58941" hidden="1" x14ac:dyDescent="0.35"/>
    <row r="58942" hidden="1" x14ac:dyDescent="0.35"/>
    <row r="58943" hidden="1" x14ac:dyDescent="0.35"/>
    <row r="58944" hidden="1" x14ac:dyDescent="0.35"/>
    <row r="58945" hidden="1" x14ac:dyDescent="0.35"/>
    <row r="58946" hidden="1" x14ac:dyDescent="0.35"/>
    <row r="58947" hidden="1" x14ac:dyDescent="0.35"/>
    <row r="58948" hidden="1" x14ac:dyDescent="0.35"/>
    <row r="58949" hidden="1" x14ac:dyDescent="0.35"/>
    <row r="58950" hidden="1" x14ac:dyDescent="0.35"/>
    <row r="58951" hidden="1" x14ac:dyDescent="0.35"/>
    <row r="58952" hidden="1" x14ac:dyDescent="0.35"/>
    <row r="58953" hidden="1" x14ac:dyDescent="0.35"/>
    <row r="58954" hidden="1" x14ac:dyDescent="0.35"/>
    <row r="58955" hidden="1" x14ac:dyDescent="0.35"/>
    <row r="58956" hidden="1" x14ac:dyDescent="0.35"/>
    <row r="58957" hidden="1" x14ac:dyDescent="0.35"/>
    <row r="58958" hidden="1" x14ac:dyDescent="0.35"/>
    <row r="58959" hidden="1" x14ac:dyDescent="0.35"/>
    <row r="58960" hidden="1" x14ac:dyDescent="0.35"/>
    <row r="58961" hidden="1" x14ac:dyDescent="0.35"/>
    <row r="58962" hidden="1" x14ac:dyDescent="0.35"/>
    <row r="58963" hidden="1" x14ac:dyDescent="0.35"/>
    <row r="58964" hidden="1" x14ac:dyDescent="0.35"/>
    <row r="58965" hidden="1" x14ac:dyDescent="0.35"/>
    <row r="58966" hidden="1" x14ac:dyDescent="0.35"/>
    <row r="58967" hidden="1" x14ac:dyDescent="0.35"/>
    <row r="58968" hidden="1" x14ac:dyDescent="0.35"/>
    <row r="58969" hidden="1" x14ac:dyDescent="0.35"/>
    <row r="58970" hidden="1" x14ac:dyDescent="0.35"/>
    <row r="58971" hidden="1" x14ac:dyDescent="0.35"/>
    <row r="58972" hidden="1" x14ac:dyDescent="0.35"/>
    <row r="58973" hidden="1" x14ac:dyDescent="0.35"/>
    <row r="58974" hidden="1" x14ac:dyDescent="0.35"/>
    <row r="58975" hidden="1" x14ac:dyDescent="0.35"/>
    <row r="58976" hidden="1" x14ac:dyDescent="0.35"/>
    <row r="58977" hidden="1" x14ac:dyDescent="0.35"/>
    <row r="58978" hidden="1" x14ac:dyDescent="0.35"/>
    <row r="58979" hidden="1" x14ac:dyDescent="0.35"/>
    <row r="58980" hidden="1" x14ac:dyDescent="0.35"/>
    <row r="58981" hidden="1" x14ac:dyDescent="0.35"/>
    <row r="58982" hidden="1" x14ac:dyDescent="0.35"/>
    <row r="58983" hidden="1" x14ac:dyDescent="0.35"/>
    <row r="58984" hidden="1" x14ac:dyDescent="0.35"/>
    <row r="58985" hidden="1" x14ac:dyDescent="0.35"/>
    <row r="58986" hidden="1" x14ac:dyDescent="0.35"/>
    <row r="58987" hidden="1" x14ac:dyDescent="0.35"/>
    <row r="58988" hidden="1" x14ac:dyDescent="0.35"/>
    <row r="58989" hidden="1" x14ac:dyDescent="0.35"/>
    <row r="58990" hidden="1" x14ac:dyDescent="0.35"/>
    <row r="58991" hidden="1" x14ac:dyDescent="0.35"/>
    <row r="58992" hidden="1" x14ac:dyDescent="0.35"/>
    <row r="58993" hidden="1" x14ac:dyDescent="0.35"/>
    <row r="58994" hidden="1" x14ac:dyDescent="0.35"/>
    <row r="58995" hidden="1" x14ac:dyDescent="0.35"/>
    <row r="58996" hidden="1" x14ac:dyDescent="0.35"/>
    <row r="58997" hidden="1" x14ac:dyDescent="0.35"/>
    <row r="58998" hidden="1" x14ac:dyDescent="0.35"/>
    <row r="58999" hidden="1" x14ac:dyDescent="0.35"/>
    <row r="59000" hidden="1" x14ac:dyDescent="0.35"/>
    <row r="59001" hidden="1" x14ac:dyDescent="0.35"/>
    <row r="59002" hidden="1" x14ac:dyDescent="0.35"/>
    <row r="59003" hidden="1" x14ac:dyDescent="0.35"/>
    <row r="59004" hidden="1" x14ac:dyDescent="0.35"/>
    <row r="59005" hidden="1" x14ac:dyDescent="0.35"/>
    <row r="59006" hidden="1" x14ac:dyDescent="0.35"/>
    <row r="59007" hidden="1" x14ac:dyDescent="0.35"/>
    <row r="59008" hidden="1" x14ac:dyDescent="0.35"/>
    <row r="59009" hidden="1" x14ac:dyDescent="0.35"/>
    <row r="59010" hidden="1" x14ac:dyDescent="0.35"/>
    <row r="59011" hidden="1" x14ac:dyDescent="0.35"/>
    <row r="59012" hidden="1" x14ac:dyDescent="0.35"/>
    <row r="59013" hidden="1" x14ac:dyDescent="0.35"/>
    <row r="59014" hidden="1" x14ac:dyDescent="0.35"/>
    <row r="59015" hidden="1" x14ac:dyDescent="0.35"/>
    <row r="59016" hidden="1" x14ac:dyDescent="0.35"/>
    <row r="59017" hidden="1" x14ac:dyDescent="0.35"/>
    <row r="59018" hidden="1" x14ac:dyDescent="0.35"/>
    <row r="59019" hidden="1" x14ac:dyDescent="0.35"/>
    <row r="59020" hidden="1" x14ac:dyDescent="0.35"/>
    <row r="59021" hidden="1" x14ac:dyDescent="0.35"/>
    <row r="59022" hidden="1" x14ac:dyDescent="0.35"/>
    <row r="59023" hidden="1" x14ac:dyDescent="0.35"/>
    <row r="59024" hidden="1" x14ac:dyDescent="0.35"/>
    <row r="59025" hidden="1" x14ac:dyDescent="0.35"/>
    <row r="59026" hidden="1" x14ac:dyDescent="0.35"/>
    <row r="59027" hidden="1" x14ac:dyDescent="0.35"/>
    <row r="59028" hidden="1" x14ac:dyDescent="0.35"/>
    <row r="59029" hidden="1" x14ac:dyDescent="0.35"/>
    <row r="59030" hidden="1" x14ac:dyDescent="0.35"/>
    <row r="59031" hidden="1" x14ac:dyDescent="0.35"/>
    <row r="59032" hidden="1" x14ac:dyDescent="0.35"/>
    <row r="59033" hidden="1" x14ac:dyDescent="0.35"/>
    <row r="59034" hidden="1" x14ac:dyDescent="0.35"/>
    <row r="59035" hidden="1" x14ac:dyDescent="0.35"/>
    <row r="59036" hidden="1" x14ac:dyDescent="0.35"/>
    <row r="59037" hidden="1" x14ac:dyDescent="0.35"/>
    <row r="59038" hidden="1" x14ac:dyDescent="0.35"/>
    <row r="59039" hidden="1" x14ac:dyDescent="0.35"/>
    <row r="59040" hidden="1" x14ac:dyDescent="0.35"/>
    <row r="59041" hidden="1" x14ac:dyDescent="0.35"/>
    <row r="59042" hidden="1" x14ac:dyDescent="0.35"/>
    <row r="59043" hidden="1" x14ac:dyDescent="0.35"/>
    <row r="59044" hidden="1" x14ac:dyDescent="0.35"/>
    <row r="59045" hidden="1" x14ac:dyDescent="0.35"/>
    <row r="59046" hidden="1" x14ac:dyDescent="0.35"/>
    <row r="59047" hidden="1" x14ac:dyDescent="0.35"/>
    <row r="59048" hidden="1" x14ac:dyDescent="0.35"/>
    <row r="59049" hidden="1" x14ac:dyDescent="0.35"/>
    <row r="59050" hidden="1" x14ac:dyDescent="0.35"/>
    <row r="59051" hidden="1" x14ac:dyDescent="0.35"/>
    <row r="59052" hidden="1" x14ac:dyDescent="0.35"/>
    <row r="59053" hidden="1" x14ac:dyDescent="0.35"/>
    <row r="59054" hidden="1" x14ac:dyDescent="0.35"/>
    <row r="59055" hidden="1" x14ac:dyDescent="0.35"/>
    <row r="59056" hidden="1" x14ac:dyDescent="0.35"/>
    <row r="59057" hidden="1" x14ac:dyDescent="0.35"/>
    <row r="59058" hidden="1" x14ac:dyDescent="0.35"/>
    <row r="59059" hidden="1" x14ac:dyDescent="0.35"/>
    <row r="59060" hidden="1" x14ac:dyDescent="0.35"/>
    <row r="59061" hidden="1" x14ac:dyDescent="0.35"/>
    <row r="59062" hidden="1" x14ac:dyDescent="0.35"/>
    <row r="59063" hidden="1" x14ac:dyDescent="0.35"/>
    <row r="59064" hidden="1" x14ac:dyDescent="0.35"/>
    <row r="59065" hidden="1" x14ac:dyDescent="0.35"/>
    <row r="59066" hidden="1" x14ac:dyDescent="0.35"/>
    <row r="59067" hidden="1" x14ac:dyDescent="0.35"/>
    <row r="59068" hidden="1" x14ac:dyDescent="0.35"/>
    <row r="59069" hidden="1" x14ac:dyDescent="0.35"/>
    <row r="59070" hidden="1" x14ac:dyDescent="0.35"/>
    <row r="59071" hidden="1" x14ac:dyDescent="0.35"/>
    <row r="59072" hidden="1" x14ac:dyDescent="0.35"/>
    <row r="59073" hidden="1" x14ac:dyDescent="0.35"/>
    <row r="59074" hidden="1" x14ac:dyDescent="0.35"/>
    <row r="59075" hidden="1" x14ac:dyDescent="0.35"/>
    <row r="59076" hidden="1" x14ac:dyDescent="0.35"/>
    <row r="59077" hidden="1" x14ac:dyDescent="0.35"/>
    <row r="59078" hidden="1" x14ac:dyDescent="0.35"/>
    <row r="59079" hidden="1" x14ac:dyDescent="0.35"/>
    <row r="59080" hidden="1" x14ac:dyDescent="0.35"/>
    <row r="59081" hidden="1" x14ac:dyDescent="0.35"/>
    <row r="59082" hidden="1" x14ac:dyDescent="0.35"/>
    <row r="59083" hidden="1" x14ac:dyDescent="0.35"/>
    <row r="59084" hidden="1" x14ac:dyDescent="0.35"/>
    <row r="59085" hidden="1" x14ac:dyDescent="0.35"/>
    <row r="59086" hidden="1" x14ac:dyDescent="0.35"/>
    <row r="59087" hidden="1" x14ac:dyDescent="0.35"/>
    <row r="59088" hidden="1" x14ac:dyDescent="0.35"/>
    <row r="59089" hidden="1" x14ac:dyDescent="0.35"/>
    <row r="59090" hidden="1" x14ac:dyDescent="0.35"/>
    <row r="59091" hidden="1" x14ac:dyDescent="0.35"/>
    <row r="59092" hidden="1" x14ac:dyDescent="0.35"/>
    <row r="59093" hidden="1" x14ac:dyDescent="0.35"/>
    <row r="59094" hidden="1" x14ac:dyDescent="0.35"/>
    <row r="59095" hidden="1" x14ac:dyDescent="0.35"/>
    <row r="59096" hidden="1" x14ac:dyDescent="0.35"/>
    <row r="59097" hidden="1" x14ac:dyDescent="0.35"/>
    <row r="59098" hidden="1" x14ac:dyDescent="0.35"/>
    <row r="59099" hidden="1" x14ac:dyDescent="0.35"/>
    <row r="59100" hidden="1" x14ac:dyDescent="0.35"/>
    <row r="59101" hidden="1" x14ac:dyDescent="0.35"/>
    <row r="59102" hidden="1" x14ac:dyDescent="0.35"/>
    <row r="59103" hidden="1" x14ac:dyDescent="0.35"/>
    <row r="59104" hidden="1" x14ac:dyDescent="0.35"/>
    <row r="59105" hidden="1" x14ac:dyDescent="0.35"/>
    <row r="59106" hidden="1" x14ac:dyDescent="0.35"/>
    <row r="59107" hidden="1" x14ac:dyDescent="0.35"/>
    <row r="59108" hidden="1" x14ac:dyDescent="0.35"/>
    <row r="59109" hidden="1" x14ac:dyDescent="0.35"/>
    <row r="59110" hidden="1" x14ac:dyDescent="0.35"/>
    <row r="59111" hidden="1" x14ac:dyDescent="0.35"/>
    <row r="59112" hidden="1" x14ac:dyDescent="0.35"/>
    <row r="59113" hidden="1" x14ac:dyDescent="0.35"/>
    <row r="59114" hidden="1" x14ac:dyDescent="0.35"/>
    <row r="59115" hidden="1" x14ac:dyDescent="0.35"/>
    <row r="59116" hidden="1" x14ac:dyDescent="0.35"/>
    <row r="59117" hidden="1" x14ac:dyDescent="0.35"/>
    <row r="59118" hidden="1" x14ac:dyDescent="0.35"/>
    <row r="59119" hidden="1" x14ac:dyDescent="0.35"/>
    <row r="59120" hidden="1" x14ac:dyDescent="0.35"/>
    <row r="59121" hidden="1" x14ac:dyDescent="0.35"/>
    <row r="59122" hidden="1" x14ac:dyDescent="0.35"/>
    <row r="59123" hidden="1" x14ac:dyDescent="0.35"/>
    <row r="59124" hidden="1" x14ac:dyDescent="0.35"/>
    <row r="59125" hidden="1" x14ac:dyDescent="0.35"/>
    <row r="59126" hidden="1" x14ac:dyDescent="0.35"/>
    <row r="59127" hidden="1" x14ac:dyDescent="0.35"/>
    <row r="59128" hidden="1" x14ac:dyDescent="0.35"/>
    <row r="59129" hidden="1" x14ac:dyDescent="0.35"/>
    <row r="59130" hidden="1" x14ac:dyDescent="0.35"/>
    <row r="59131" hidden="1" x14ac:dyDescent="0.35"/>
    <row r="59132" hidden="1" x14ac:dyDescent="0.35"/>
    <row r="59133" hidden="1" x14ac:dyDescent="0.35"/>
    <row r="59134" hidden="1" x14ac:dyDescent="0.35"/>
    <row r="59135" hidden="1" x14ac:dyDescent="0.35"/>
    <row r="59136" hidden="1" x14ac:dyDescent="0.35"/>
    <row r="59137" hidden="1" x14ac:dyDescent="0.35"/>
    <row r="59138" hidden="1" x14ac:dyDescent="0.35"/>
    <row r="59139" hidden="1" x14ac:dyDescent="0.35"/>
    <row r="59140" hidden="1" x14ac:dyDescent="0.35"/>
    <row r="59141" hidden="1" x14ac:dyDescent="0.35"/>
    <row r="59142" hidden="1" x14ac:dyDescent="0.35"/>
    <row r="59143" hidden="1" x14ac:dyDescent="0.35"/>
    <row r="59144" hidden="1" x14ac:dyDescent="0.35"/>
    <row r="59145" hidden="1" x14ac:dyDescent="0.35"/>
    <row r="59146" hidden="1" x14ac:dyDescent="0.35"/>
    <row r="59147" hidden="1" x14ac:dyDescent="0.35"/>
    <row r="59148" hidden="1" x14ac:dyDescent="0.35"/>
    <row r="59149" hidden="1" x14ac:dyDescent="0.35"/>
    <row r="59150" hidden="1" x14ac:dyDescent="0.35"/>
    <row r="59151" hidden="1" x14ac:dyDescent="0.35"/>
    <row r="59152" hidden="1" x14ac:dyDescent="0.35"/>
    <row r="59153" hidden="1" x14ac:dyDescent="0.35"/>
    <row r="59154" hidden="1" x14ac:dyDescent="0.35"/>
    <row r="59155" hidden="1" x14ac:dyDescent="0.35"/>
    <row r="59156" hidden="1" x14ac:dyDescent="0.35"/>
    <row r="59157" hidden="1" x14ac:dyDescent="0.35"/>
    <row r="59158" hidden="1" x14ac:dyDescent="0.35"/>
    <row r="59159" hidden="1" x14ac:dyDescent="0.35"/>
    <row r="59160" hidden="1" x14ac:dyDescent="0.35"/>
    <row r="59161" hidden="1" x14ac:dyDescent="0.35"/>
    <row r="59162" hidden="1" x14ac:dyDescent="0.35"/>
    <row r="59163" hidden="1" x14ac:dyDescent="0.35"/>
    <row r="59164" hidden="1" x14ac:dyDescent="0.35"/>
    <row r="59165" hidden="1" x14ac:dyDescent="0.35"/>
    <row r="59166" hidden="1" x14ac:dyDescent="0.35"/>
    <row r="59167" hidden="1" x14ac:dyDescent="0.35"/>
    <row r="59168" hidden="1" x14ac:dyDescent="0.35"/>
    <row r="59169" hidden="1" x14ac:dyDescent="0.35"/>
    <row r="59170" hidden="1" x14ac:dyDescent="0.35"/>
    <row r="59171" hidden="1" x14ac:dyDescent="0.35"/>
    <row r="59172" hidden="1" x14ac:dyDescent="0.35"/>
    <row r="59173" hidden="1" x14ac:dyDescent="0.35"/>
    <row r="59174" hidden="1" x14ac:dyDescent="0.35"/>
    <row r="59175" hidden="1" x14ac:dyDescent="0.35"/>
    <row r="59176" hidden="1" x14ac:dyDescent="0.35"/>
    <row r="59177" hidden="1" x14ac:dyDescent="0.35"/>
    <row r="59178" hidden="1" x14ac:dyDescent="0.35"/>
    <row r="59179" hidden="1" x14ac:dyDescent="0.35"/>
    <row r="59180" hidden="1" x14ac:dyDescent="0.35"/>
    <row r="59181" hidden="1" x14ac:dyDescent="0.35"/>
    <row r="59182" hidden="1" x14ac:dyDescent="0.35"/>
    <row r="59183" hidden="1" x14ac:dyDescent="0.35"/>
    <row r="59184" hidden="1" x14ac:dyDescent="0.35"/>
    <row r="59185" hidden="1" x14ac:dyDescent="0.35"/>
    <row r="59186" hidden="1" x14ac:dyDescent="0.35"/>
    <row r="59187" hidden="1" x14ac:dyDescent="0.35"/>
    <row r="59188" hidden="1" x14ac:dyDescent="0.35"/>
    <row r="59189" hidden="1" x14ac:dyDescent="0.35"/>
    <row r="59190" hidden="1" x14ac:dyDescent="0.35"/>
    <row r="59191" hidden="1" x14ac:dyDescent="0.35"/>
    <row r="59192" hidden="1" x14ac:dyDescent="0.35"/>
    <row r="59193" hidden="1" x14ac:dyDescent="0.35"/>
    <row r="59194" hidden="1" x14ac:dyDescent="0.35"/>
    <row r="59195" hidden="1" x14ac:dyDescent="0.35"/>
    <row r="59196" hidden="1" x14ac:dyDescent="0.35"/>
    <row r="59197" hidden="1" x14ac:dyDescent="0.35"/>
    <row r="59198" hidden="1" x14ac:dyDescent="0.35"/>
    <row r="59199" hidden="1" x14ac:dyDescent="0.35"/>
    <row r="59200" hidden="1" x14ac:dyDescent="0.35"/>
    <row r="59201" hidden="1" x14ac:dyDescent="0.35"/>
    <row r="59202" hidden="1" x14ac:dyDescent="0.35"/>
    <row r="59203" hidden="1" x14ac:dyDescent="0.35"/>
    <row r="59204" hidden="1" x14ac:dyDescent="0.35"/>
    <row r="59205" hidden="1" x14ac:dyDescent="0.35"/>
    <row r="59206" hidden="1" x14ac:dyDescent="0.35"/>
    <row r="59207" hidden="1" x14ac:dyDescent="0.35"/>
    <row r="59208" hidden="1" x14ac:dyDescent="0.35"/>
    <row r="59209" hidden="1" x14ac:dyDescent="0.35"/>
    <row r="59210" hidden="1" x14ac:dyDescent="0.35"/>
    <row r="59211" hidden="1" x14ac:dyDescent="0.35"/>
    <row r="59212" hidden="1" x14ac:dyDescent="0.35"/>
    <row r="59213" hidden="1" x14ac:dyDescent="0.35"/>
    <row r="59214" hidden="1" x14ac:dyDescent="0.35"/>
    <row r="59215" hidden="1" x14ac:dyDescent="0.35"/>
    <row r="59216" hidden="1" x14ac:dyDescent="0.35"/>
    <row r="59217" hidden="1" x14ac:dyDescent="0.35"/>
    <row r="59218" hidden="1" x14ac:dyDescent="0.35"/>
    <row r="59219" hidden="1" x14ac:dyDescent="0.35"/>
    <row r="59220" hidden="1" x14ac:dyDescent="0.35"/>
    <row r="59221" hidden="1" x14ac:dyDescent="0.35"/>
    <row r="59222" hidden="1" x14ac:dyDescent="0.35"/>
    <row r="59223" hidden="1" x14ac:dyDescent="0.35"/>
    <row r="59224" hidden="1" x14ac:dyDescent="0.35"/>
    <row r="59225" hidden="1" x14ac:dyDescent="0.35"/>
    <row r="59226" hidden="1" x14ac:dyDescent="0.35"/>
    <row r="59227" hidden="1" x14ac:dyDescent="0.35"/>
    <row r="59228" hidden="1" x14ac:dyDescent="0.35"/>
    <row r="59229" hidden="1" x14ac:dyDescent="0.35"/>
    <row r="59230" hidden="1" x14ac:dyDescent="0.35"/>
    <row r="59231" hidden="1" x14ac:dyDescent="0.35"/>
    <row r="59232" hidden="1" x14ac:dyDescent="0.35"/>
    <row r="59233" hidden="1" x14ac:dyDescent="0.35"/>
    <row r="59234" hidden="1" x14ac:dyDescent="0.35"/>
    <row r="59235" hidden="1" x14ac:dyDescent="0.35"/>
    <row r="59236" hidden="1" x14ac:dyDescent="0.35"/>
    <row r="59237" hidden="1" x14ac:dyDescent="0.35"/>
    <row r="59238" hidden="1" x14ac:dyDescent="0.35"/>
    <row r="59239" hidden="1" x14ac:dyDescent="0.35"/>
    <row r="59240" hidden="1" x14ac:dyDescent="0.35"/>
    <row r="59241" hidden="1" x14ac:dyDescent="0.35"/>
    <row r="59242" hidden="1" x14ac:dyDescent="0.35"/>
    <row r="59243" hidden="1" x14ac:dyDescent="0.35"/>
    <row r="59244" hidden="1" x14ac:dyDescent="0.35"/>
    <row r="59245" hidden="1" x14ac:dyDescent="0.35"/>
    <row r="59246" hidden="1" x14ac:dyDescent="0.35"/>
    <row r="59247" hidden="1" x14ac:dyDescent="0.35"/>
    <row r="59248" hidden="1" x14ac:dyDescent="0.35"/>
    <row r="59249" hidden="1" x14ac:dyDescent="0.35"/>
    <row r="59250" hidden="1" x14ac:dyDescent="0.35"/>
    <row r="59251" hidden="1" x14ac:dyDescent="0.35"/>
    <row r="59252" hidden="1" x14ac:dyDescent="0.35"/>
    <row r="59253" hidden="1" x14ac:dyDescent="0.35"/>
    <row r="59254" hidden="1" x14ac:dyDescent="0.35"/>
    <row r="59255" hidden="1" x14ac:dyDescent="0.35"/>
    <row r="59256" hidden="1" x14ac:dyDescent="0.35"/>
    <row r="59257" hidden="1" x14ac:dyDescent="0.35"/>
    <row r="59258" hidden="1" x14ac:dyDescent="0.35"/>
    <row r="59259" hidden="1" x14ac:dyDescent="0.35"/>
    <row r="59260" hidden="1" x14ac:dyDescent="0.35"/>
    <row r="59261" hidden="1" x14ac:dyDescent="0.35"/>
    <row r="59262" hidden="1" x14ac:dyDescent="0.35"/>
    <row r="59263" hidden="1" x14ac:dyDescent="0.35"/>
    <row r="59264" hidden="1" x14ac:dyDescent="0.35"/>
    <row r="59265" hidden="1" x14ac:dyDescent="0.35"/>
    <row r="59266" hidden="1" x14ac:dyDescent="0.35"/>
    <row r="59267" hidden="1" x14ac:dyDescent="0.35"/>
    <row r="59268" hidden="1" x14ac:dyDescent="0.35"/>
    <row r="59269" hidden="1" x14ac:dyDescent="0.35"/>
    <row r="59270" hidden="1" x14ac:dyDescent="0.35"/>
    <row r="59271" hidden="1" x14ac:dyDescent="0.35"/>
    <row r="59272" hidden="1" x14ac:dyDescent="0.35"/>
    <row r="59273" hidden="1" x14ac:dyDescent="0.35"/>
    <row r="59274" hidden="1" x14ac:dyDescent="0.35"/>
    <row r="59275" hidden="1" x14ac:dyDescent="0.35"/>
    <row r="59276" hidden="1" x14ac:dyDescent="0.35"/>
    <row r="59277" hidden="1" x14ac:dyDescent="0.35"/>
    <row r="59278" hidden="1" x14ac:dyDescent="0.35"/>
    <row r="59279" hidden="1" x14ac:dyDescent="0.35"/>
    <row r="59280" hidden="1" x14ac:dyDescent="0.35"/>
    <row r="59281" hidden="1" x14ac:dyDescent="0.35"/>
    <row r="59282" hidden="1" x14ac:dyDescent="0.35"/>
    <row r="59283" hidden="1" x14ac:dyDescent="0.35"/>
    <row r="59284" hidden="1" x14ac:dyDescent="0.35"/>
    <row r="59285" hidden="1" x14ac:dyDescent="0.35"/>
    <row r="59286" hidden="1" x14ac:dyDescent="0.35"/>
    <row r="59287" hidden="1" x14ac:dyDescent="0.35"/>
    <row r="59288" hidden="1" x14ac:dyDescent="0.35"/>
    <row r="59289" hidden="1" x14ac:dyDescent="0.35"/>
    <row r="59290" hidden="1" x14ac:dyDescent="0.35"/>
    <row r="59291" hidden="1" x14ac:dyDescent="0.35"/>
    <row r="59292" hidden="1" x14ac:dyDescent="0.35"/>
    <row r="59293" hidden="1" x14ac:dyDescent="0.35"/>
    <row r="59294" hidden="1" x14ac:dyDescent="0.35"/>
    <row r="59295" hidden="1" x14ac:dyDescent="0.35"/>
    <row r="59296" hidden="1" x14ac:dyDescent="0.35"/>
    <row r="59297" hidden="1" x14ac:dyDescent="0.35"/>
    <row r="59298" hidden="1" x14ac:dyDescent="0.35"/>
    <row r="59299" hidden="1" x14ac:dyDescent="0.35"/>
    <row r="59300" hidden="1" x14ac:dyDescent="0.35"/>
    <row r="59301" hidden="1" x14ac:dyDescent="0.35"/>
    <row r="59302" hidden="1" x14ac:dyDescent="0.35"/>
    <row r="59303" hidden="1" x14ac:dyDescent="0.35"/>
    <row r="59304" hidden="1" x14ac:dyDescent="0.35"/>
    <row r="59305" hidden="1" x14ac:dyDescent="0.35"/>
    <row r="59306" hidden="1" x14ac:dyDescent="0.35"/>
    <row r="59307" hidden="1" x14ac:dyDescent="0.35"/>
    <row r="59308" hidden="1" x14ac:dyDescent="0.35"/>
    <row r="59309" hidden="1" x14ac:dyDescent="0.35"/>
    <row r="59310" hidden="1" x14ac:dyDescent="0.35"/>
    <row r="59311" hidden="1" x14ac:dyDescent="0.35"/>
    <row r="59312" hidden="1" x14ac:dyDescent="0.35"/>
    <row r="59313" hidden="1" x14ac:dyDescent="0.35"/>
    <row r="59314" hidden="1" x14ac:dyDescent="0.35"/>
    <row r="59315" hidden="1" x14ac:dyDescent="0.35"/>
    <row r="59316" hidden="1" x14ac:dyDescent="0.35"/>
    <row r="59317" hidden="1" x14ac:dyDescent="0.35"/>
    <row r="59318" hidden="1" x14ac:dyDescent="0.35"/>
    <row r="59319" hidden="1" x14ac:dyDescent="0.35"/>
    <row r="59320" hidden="1" x14ac:dyDescent="0.35"/>
    <row r="59321" hidden="1" x14ac:dyDescent="0.35"/>
    <row r="59322" hidden="1" x14ac:dyDescent="0.35"/>
    <row r="59323" hidden="1" x14ac:dyDescent="0.35"/>
    <row r="59324" hidden="1" x14ac:dyDescent="0.35"/>
    <row r="59325" hidden="1" x14ac:dyDescent="0.35"/>
    <row r="59326" hidden="1" x14ac:dyDescent="0.35"/>
    <row r="59327" hidden="1" x14ac:dyDescent="0.35"/>
    <row r="59328" hidden="1" x14ac:dyDescent="0.35"/>
    <row r="59329" hidden="1" x14ac:dyDescent="0.35"/>
    <row r="59330" hidden="1" x14ac:dyDescent="0.35"/>
    <row r="59331" hidden="1" x14ac:dyDescent="0.35"/>
    <row r="59332" hidden="1" x14ac:dyDescent="0.35"/>
    <row r="59333" hidden="1" x14ac:dyDescent="0.35"/>
    <row r="59334" hidden="1" x14ac:dyDescent="0.35"/>
    <row r="59335" hidden="1" x14ac:dyDescent="0.35"/>
    <row r="59336" hidden="1" x14ac:dyDescent="0.35"/>
    <row r="59337" hidden="1" x14ac:dyDescent="0.35"/>
    <row r="59338" hidden="1" x14ac:dyDescent="0.35"/>
    <row r="59339" hidden="1" x14ac:dyDescent="0.35"/>
    <row r="59340" hidden="1" x14ac:dyDescent="0.35"/>
    <row r="59341" hidden="1" x14ac:dyDescent="0.35"/>
    <row r="59342" hidden="1" x14ac:dyDescent="0.35"/>
    <row r="59343" hidden="1" x14ac:dyDescent="0.35"/>
    <row r="59344" hidden="1" x14ac:dyDescent="0.35"/>
    <row r="59345" hidden="1" x14ac:dyDescent="0.35"/>
    <row r="59346" hidden="1" x14ac:dyDescent="0.35"/>
    <row r="59347" hidden="1" x14ac:dyDescent="0.35"/>
    <row r="59348" hidden="1" x14ac:dyDescent="0.35"/>
    <row r="59349" hidden="1" x14ac:dyDescent="0.35"/>
    <row r="59350" hidden="1" x14ac:dyDescent="0.35"/>
    <row r="59351" hidden="1" x14ac:dyDescent="0.35"/>
    <row r="59352" hidden="1" x14ac:dyDescent="0.35"/>
    <row r="59353" hidden="1" x14ac:dyDescent="0.35"/>
    <row r="59354" hidden="1" x14ac:dyDescent="0.35"/>
    <row r="59355" hidden="1" x14ac:dyDescent="0.35"/>
    <row r="59356" hidden="1" x14ac:dyDescent="0.35"/>
    <row r="59357" hidden="1" x14ac:dyDescent="0.35"/>
    <row r="59358" hidden="1" x14ac:dyDescent="0.35"/>
    <row r="59359" hidden="1" x14ac:dyDescent="0.35"/>
    <row r="59360" hidden="1" x14ac:dyDescent="0.35"/>
    <row r="59361" hidden="1" x14ac:dyDescent="0.35"/>
    <row r="59362" hidden="1" x14ac:dyDescent="0.35"/>
    <row r="59363" hidden="1" x14ac:dyDescent="0.35"/>
    <row r="59364" hidden="1" x14ac:dyDescent="0.35"/>
    <row r="59365" hidden="1" x14ac:dyDescent="0.35"/>
    <row r="59366" hidden="1" x14ac:dyDescent="0.35"/>
    <row r="59367" hidden="1" x14ac:dyDescent="0.35"/>
    <row r="59368" hidden="1" x14ac:dyDescent="0.35"/>
    <row r="59369" hidden="1" x14ac:dyDescent="0.35"/>
    <row r="59370" hidden="1" x14ac:dyDescent="0.35"/>
    <row r="59371" hidden="1" x14ac:dyDescent="0.35"/>
    <row r="59372" hidden="1" x14ac:dyDescent="0.35"/>
    <row r="59373" hidden="1" x14ac:dyDescent="0.35"/>
    <row r="59374" hidden="1" x14ac:dyDescent="0.35"/>
    <row r="59375" hidden="1" x14ac:dyDescent="0.35"/>
    <row r="59376" hidden="1" x14ac:dyDescent="0.35"/>
    <row r="59377" hidden="1" x14ac:dyDescent="0.35"/>
    <row r="59378" hidden="1" x14ac:dyDescent="0.35"/>
    <row r="59379" hidden="1" x14ac:dyDescent="0.35"/>
    <row r="59380" hidden="1" x14ac:dyDescent="0.35"/>
    <row r="59381" hidden="1" x14ac:dyDescent="0.35"/>
    <row r="59382" hidden="1" x14ac:dyDescent="0.35"/>
    <row r="59383" hidden="1" x14ac:dyDescent="0.35"/>
    <row r="59384" hidden="1" x14ac:dyDescent="0.35"/>
    <row r="59385" hidden="1" x14ac:dyDescent="0.35"/>
    <row r="59386" hidden="1" x14ac:dyDescent="0.35"/>
    <row r="59387" hidden="1" x14ac:dyDescent="0.35"/>
    <row r="59388" hidden="1" x14ac:dyDescent="0.35"/>
    <row r="59389" hidden="1" x14ac:dyDescent="0.35"/>
    <row r="59390" hidden="1" x14ac:dyDescent="0.35"/>
    <row r="59391" hidden="1" x14ac:dyDescent="0.35"/>
    <row r="59392" hidden="1" x14ac:dyDescent="0.35"/>
    <row r="59393" hidden="1" x14ac:dyDescent="0.35"/>
    <row r="59394" hidden="1" x14ac:dyDescent="0.35"/>
    <row r="59395" hidden="1" x14ac:dyDescent="0.35"/>
    <row r="59396" hidden="1" x14ac:dyDescent="0.35"/>
    <row r="59397" hidden="1" x14ac:dyDescent="0.35"/>
    <row r="59398" hidden="1" x14ac:dyDescent="0.35"/>
    <row r="59399" hidden="1" x14ac:dyDescent="0.35"/>
    <row r="59400" hidden="1" x14ac:dyDescent="0.35"/>
    <row r="59401" hidden="1" x14ac:dyDescent="0.35"/>
    <row r="59402" hidden="1" x14ac:dyDescent="0.35"/>
    <row r="59403" hidden="1" x14ac:dyDescent="0.35"/>
    <row r="59404" hidden="1" x14ac:dyDescent="0.35"/>
    <row r="59405" hidden="1" x14ac:dyDescent="0.35"/>
    <row r="59406" hidden="1" x14ac:dyDescent="0.35"/>
    <row r="59407" hidden="1" x14ac:dyDescent="0.35"/>
    <row r="59408" hidden="1" x14ac:dyDescent="0.35"/>
    <row r="59409" hidden="1" x14ac:dyDescent="0.35"/>
    <row r="59410" hidden="1" x14ac:dyDescent="0.35"/>
    <row r="59411" hidden="1" x14ac:dyDescent="0.35"/>
    <row r="59412" hidden="1" x14ac:dyDescent="0.35"/>
    <row r="59413" hidden="1" x14ac:dyDescent="0.35"/>
    <row r="59414" hidden="1" x14ac:dyDescent="0.35"/>
    <row r="59415" hidden="1" x14ac:dyDescent="0.35"/>
    <row r="59416" hidden="1" x14ac:dyDescent="0.35"/>
    <row r="59417" hidden="1" x14ac:dyDescent="0.35"/>
    <row r="59418" hidden="1" x14ac:dyDescent="0.35"/>
    <row r="59419" hidden="1" x14ac:dyDescent="0.35"/>
    <row r="59420" hidden="1" x14ac:dyDescent="0.35"/>
    <row r="59421" hidden="1" x14ac:dyDescent="0.35"/>
    <row r="59422" hidden="1" x14ac:dyDescent="0.35"/>
    <row r="59423" hidden="1" x14ac:dyDescent="0.35"/>
    <row r="59424" hidden="1" x14ac:dyDescent="0.35"/>
    <row r="59425" hidden="1" x14ac:dyDescent="0.35"/>
    <row r="59426" hidden="1" x14ac:dyDescent="0.35"/>
    <row r="59427" hidden="1" x14ac:dyDescent="0.35"/>
    <row r="59428" hidden="1" x14ac:dyDescent="0.35"/>
    <row r="59429" hidden="1" x14ac:dyDescent="0.35"/>
    <row r="59430" hidden="1" x14ac:dyDescent="0.35"/>
    <row r="59431" hidden="1" x14ac:dyDescent="0.35"/>
    <row r="59432" hidden="1" x14ac:dyDescent="0.35"/>
    <row r="59433" hidden="1" x14ac:dyDescent="0.35"/>
    <row r="59434" hidden="1" x14ac:dyDescent="0.35"/>
    <row r="59435" hidden="1" x14ac:dyDescent="0.35"/>
    <row r="59436" hidden="1" x14ac:dyDescent="0.35"/>
    <row r="59437" hidden="1" x14ac:dyDescent="0.35"/>
    <row r="59438" hidden="1" x14ac:dyDescent="0.35"/>
    <row r="59439" hidden="1" x14ac:dyDescent="0.35"/>
    <row r="59440" hidden="1" x14ac:dyDescent="0.35"/>
    <row r="59441" hidden="1" x14ac:dyDescent="0.35"/>
    <row r="59442" hidden="1" x14ac:dyDescent="0.35"/>
    <row r="59443" hidden="1" x14ac:dyDescent="0.35"/>
    <row r="59444" hidden="1" x14ac:dyDescent="0.35"/>
    <row r="59445" hidden="1" x14ac:dyDescent="0.35"/>
    <row r="59446" hidden="1" x14ac:dyDescent="0.35"/>
    <row r="59447" hidden="1" x14ac:dyDescent="0.35"/>
    <row r="59448" hidden="1" x14ac:dyDescent="0.35"/>
    <row r="59449" hidden="1" x14ac:dyDescent="0.35"/>
    <row r="59450" hidden="1" x14ac:dyDescent="0.35"/>
    <row r="59451" hidden="1" x14ac:dyDescent="0.35"/>
    <row r="59452" hidden="1" x14ac:dyDescent="0.35"/>
    <row r="59453" hidden="1" x14ac:dyDescent="0.35"/>
    <row r="59454" hidden="1" x14ac:dyDescent="0.35"/>
    <row r="59455" hidden="1" x14ac:dyDescent="0.35"/>
    <row r="59456" hidden="1" x14ac:dyDescent="0.35"/>
    <row r="59457" hidden="1" x14ac:dyDescent="0.35"/>
    <row r="59458" hidden="1" x14ac:dyDescent="0.35"/>
    <row r="59459" hidden="1" x14ac:dyDescent="0.35"/>
    <row r="59460" hidden="1" x14ac:dyDescent="0.35"/>
    <row r="59461" hidden="1" x14ac:dyDescent="0.35"/>
    <row r="59462" hidden="1" x14ac:dyDescent="0.35"/>
    <row r="59463" hidden="1" x14ac:dyDescent="0.35"/>
    <row r="59464" hidden="1" x14ac:dyDescent="0.35"/>
    <row r="59465" hidden="1" x14ac:dyDescent="0.35"/>
    <row r="59466" hidden="1" x14ac:dyDescent="0.35"/>
    <row r="59467" hidden="1" x14ac:dyDescent="0.35"/>
    <row r="59468" hidden="1" x14ac:dyDescent="0.35"/>
    <row r="59469" hidden="1" x14ac:dyDescent="0.35"/>
    <row r="59470" hidden="1" x14ac:dyDescent="0.35"/>
    <row r="59471" hidden="1" x14ac:dyDescent="0.35"/>
    <row r="59472" hidden="1" x14ac:dyDescent="0.35"/>
    <row r="59473" hidden="1" x14ac:dyDescent="0.35"/>
    <row r="59474" hidden="1" x14ac:dyDescent="0.35"/>
    <row r="59475" hidden="1" x14ac:dyDescent="0.35"/>
    <row r="59476" hidden="1" x14ac:dyDescent="0.35"/>
    <row r="59477" hidden="1" x14ac:dyDescent="0.35"/>
    <row r="59478" hidden="1" x14ac:dyDescent="0.35"/>
    <row r="59479" hidden="1" x14ac:dyDescent="0.35"/>
    <row r="59480" hidden="1" x14ac:dyDescent="0.35"/>
    <row r="59481" hidden="1" x14ac:dyDescent="0.35"/>
    <row r="59482" hidden="1" x14ac:dyDescent="0.35"/>
    <row r="59483" hidden="1" x14ac:dyDescent="0.35"/>
    <row r="59484" hidden="1" x14ac:dyDescent="0.35"/>
    <row r="59485" hidden="1" x14ac:dyDescent="0.35"/>
    <row r="59486" hidden="1" x14ac:dyDescent="0.35"/>
    <row r="59487" hidden="1" x14ac:dyDescent="0.35"/>
    <row r="59488" hidden="1" x14ac:dyDescent="0.35"/>
    <row r="59489" hidden="1" x14ac:dyDescent="0.35"/>
    <row r="59490" hidden="1" x14ac:dyDescent="0.35"/>
    <row r="59491" hidden="1" x14ac:dyDescent="0.35"/>
    <row r="59492" hidden="1" x14ac:dyDescent="0.35"/>
    <row r="59493" hidden="1" x14ac:dyDescent="0.35"/>
    <row r="59494" hidden="1" x14ac:dyDescent="0.35"/>
    <row r="59495" hidden="1" x14ac:dyDescent="0.35"/>
    <row r="59496" hidden="1" x14ac:dyDescent="0.35"/>
    <row r="59497" hidden="1" x14ac:dyDescent="0.35"/>
    <row r="59498" hidden="1" x14ac:dyDescent="0.35"/>
    <row r="59499" hidden="1" x14ac:dyDescent="0.35"/>
    <row r="59500" hidden="1" x14ac:dyDescent="0.35"/>
    <row r="59501" hidden="1" x14ac:dyDescent="0.35"/>
    <row r="59502" hidden="1" x14ac:dyDescent="0.35"/>
    <row r="59503" hidden="1" x14ac:dyDescent="0.35"/>
    <row r="59504" hidden="1" x14ac:dyDescent="0.35"/>
    <row r="59505" hidden="1" x14ac:dyDescent="0.35"/>
    <row r="59506" hidden="1" x14ac:dyDescent="0.35"/>
    <row r="59507" hidden="1" x14ac:dyDescent="0.35"/>
    <row r="59508" hidden="1" x14ac:dyDescent="0.35"/>
    <row r="59509" hidden="1" x14ac:dyDescent="0.35"/>
    <row r="59510" hidden="1" x14ac:dyDescent="0.35"/>
    <row r="59511" hidden="1" x14ac:dyDescent="0.35"/>
    <row r="59512" hidden="1" x14ac:dyDescent="0.35"/>
    <row r="59513" hidden="1" x14ac:dyDescent="0.35"/>
    <row r="59514" hidden="1" x14ac:dyDescent="0.35"/>
    <row r="59515" hidden="1" x14ac:dyDescent="0.35"/>
    <row r="59516" hidden="1" x14ac:dyDescent="0.35"/>
    <row r="59517" hidden="1" x14ac:dyDescent="0.35"/>
    <row r="59518" hidden="1" x14ac:dyDescent="0.35"/>
    <row r="59519" hidden="1" x14ac:dyDescent="0.35"/>
    <row r="59520" hidden="1" x14ac:dyDescent="0.35"/>
    <row r="59521" hidden="1" x14ac:dyDescent="0.35"/>
    <row r="59522" hidden="1" x14ac:dyDescent="0.35"/>
    <row r="59523" hidden="1" x14ac:dyDescent="0.35"/>
    <row r="59524" hidden="1" x14ac:dyDescent="0.35"/>
    <row r="59525" hidden="1" x14ac:dyDescent="0.35"/>
    <row r="59526" hidden="1" x14ac:dyDescent="0.35"/>
    <row r="59527" hidden="1" x14ac:dyDescent="0.35"/>
    <row r="59528" hidden="1" x14ac:dyDescent="0.35"/>
    <row r="59529" hidden="1" x14ac:dyDescent="0.35"/>
    <row r="59530" hidden="1" x14ac:dyDescent="0.35"/>
    <row r="59531" hidden="1" x14ac:dyDescent="0.35"/>
    <row r="59532" hidden="1" x14ac:dyDescent="0.35"/>
    <row r="59533" hidden="1" x14ac:dyDescent="0.35"/>
    <row r="59534" hidden="1" x14ac:dyDescent="0.35"/>
    <row r="59535" hidden="1" x14ac:dyDescent="0.35"/>
    <row r="59536" hidden="1" x14ac:dyDescent="0.35"/>
    <row r="59537" hidden="1" x14ac:dyDescent="0.35"/>
    <row r="59538" hidden="1" x14ac:dyDescent="0.35"/>
    <row r="59539" hidden="1" x14ac:dyDescent="0.35"/>
    <row r="59540" hidden="1" x14ac:dyDescent="0.35"/>
    <row r="59541" hidden="1" x14ac:dyDescent="0.35"/>
    <row r="59542" hidden="1" x14ac:dyDescent="0.35"/>
    <row r="59543" hidden="1" x14ac:dyDescent="0.35"/>
    <row r="59544" hidden="1" x14ac:dyDescent="0.35"/>
    <row r="59545" hidden="1" x14ac:dyDescent="0.35"/>
    <row r="59546" hidden="1" x14ac:dyDescent="0.35"/>
    <row r="59547" hidden="1" x14ac:dyDescent="0.35"/>
    <row r="59548" hidden="1" x14ac:dyDescent="0.35"/>
    <row r="59549" hidden="1" x14ac:dyDescent="0.35"/>
    <row r="59550" hidden="1" x14ac:dyDescent="0.35"/>
    <row r="59551" hidden="1" x14ac:dyDescent="0.35"/>
    <row r="59552" hidden="1" x14ac:dyDescent="0.35"/>
    <row r="59553" hidden="1" x14ac:dyDescent="0.35"/>
    <row r="59554" hidden="1" x14ac:dyDescent="0.35"/>
    <row r="59555" hidden="1" x14ac:dyDescent="0.35"/>
    <row r="59556" hidden="1" x14ac:dyDescent="0.35"/>
    <row r="59557" hidden="1" x14ac:dyDescent="0.35"/>
    <row r="59558" hidden="1" x14ac:dyDescent="0.35"/>
    <row r="59559" hidden="1" x14ac:dyDescent="0.35"/>
    <row r="59560" hidden="1" x14ac:dyDescent="0.35"/>
    <row r="59561" hidden="1" x14ac:dyDescent="0.35"/>
    <row r="59562" hidden="1" x14ac:dyDescent="0.35"/>
    <row r="59563" hidden="1" x14ac:dyDescent="0.35"/>
    <row r="59564" hidden="1" x14ac:dyDescent="0.35"/>
    <row r="59565" hidden="1" x14ac:dyDescent="0.35"/>
    <row r="59566" hidden="1" x14ac:dyDescent="0.35"/>
    <row r="59567" hidden="1" x14ac:dyDescent="0.35"/>
    <row r="59568" hidden="1" x14ac:dyDescent="0.35"/>
    <row r="59569" hidden="1" x14ac:dyDescent="0.35"/>
    <row r="59570" hidden="1" x14ac:dyDescent="0.35"/>
    <row r="59571" hidden="1" x14ac:dyDescent="0.35"/>
    <row r="59572" hidden="1" x14ac:dyDescent="0.35"/>
    <row r="59573" hidden="1" x14ac:dyDescent="0.35"/>
    <row r="59574" hidden="1" x14ac:dyDescent="0.35"/>
    <row r="59575" hidden="1" x14ac:dyDescent="0.35"/>
    <row r="59576" hidden="1" x14ac:dyDescent="0.35"/>
    <row r="59577" hidden="1" x14ac:dyDescent="0.35"/>
    <row r="59578" hidden="1" x14ac:dyDescent="0.35"/>
    <row r="59579" hidden="1" x14ac:dyDescent="0.35"/>
    <row r="59580" hidden="1" x14ac:dyDescent="0.35"/>
    <row r="59581" hidden="1" x14ac:dyDescent="0.35"/>
    <row r="59582" hidden="1" x14ac:dyDescent="0.35"/>
    <row r="59583" hidden="1" x14ac:dyDescent="0.35"/>
    <row r="59584" hidden="1" x14ac:dyDescent="0.35"/>
    <row r="59585" hidden="1" x14ac:dyDescent="0.35"/>
    <row r="59586" hidden="1" x14ac:dyDescent="0.35"/>
    <row r="59587" hidden="1" x14ac:dyDescent="0.35"/>
    <row r="59588" hidden="1" x14ac:dyDescent="0.35"/>
    <row r="59589" hidden="1" x14ac:dyDescent="0.35"/>
    <row r="59590" hidden="1" x14ac:dyDescent="0.35"/>
    <row r="59591" hidden="1" x14ac:dyDescent="0.35"/>
    <row r="59592" hidden="1" x14ac:dyDescent="0.35"/>
    <row r="59593" hidden="1" x14ac:dyDescent="0.35"/>
    <row r="59594" hidden="1" x14ac:dyDescent="0.35"/>
    <row r="59595" hidden="1" x14ac:dyDescent="0.35"/>
    <row r="59596" hidden="1" x14ac:dyDescent="0.35"/>
    <row r="59597" hidden="1" x14ac:dyDescent="0.35"/>
    <row r="59598" hidden="1" x14ac:dyDescent="0.35"/>
    <row r="59599" hidden="1" x14ac:dyDescent="0.35"/>
    <row r="59600" hidden="1" x14ac:dyDescent="0.35"/>
    <row r="59601" hidden="1" x14ac:dyDescent="0.35"/>
    <row r="59602" hidden="1" x14ac:dyDescent="0.35"/>
    <row r="59603" hidden="1" x14ac:dyDescent="0.35"/>
    <row r="59604" hidden="1" x14ac:dyDescent="0.35"/>
    <row r="59605" hidden="1" x14ac:dyDescent="0.35"/>
    <row r="59606" hidden="1" x14ac:dyDescent="0.35"/>
    <row r="59607" hidden="1" x14ac:dyDescent="0.35"/>
    <row r="59608" hidden="1" x14ac:dyDescent="0.35"/>
    <row r="59609" hidden="1" x14ac:dyDescent="0.35"/>
    <row r="59610" hidden="1" x14ac:dyDescent="0.35"/>
    <row r="59611" hidden="1" x14ac:dyDescent="0.35"/>
    <row r="59612" hidden="1" x14ac:dyDescent="0.35"/>
    <row r="59613" hidden="1" x14ac:dyDescent="0.35"/>
    <row r="59614" hidden="1" x14ac:dyDescent="0.35"/>
    <row r="59615" hidden="1" x14ac:dyDescent="0.35"/>
    <row r="59616" hidden="1" x14ac:dyDescent="0.35"/>
    <row r="59617" hidden="1" x14ac:dyDescent="0.35"/>
    <row r="59618" hidden="1" x14ac:dyDescent="0.35"/>
    <row r="59619" hidden="1" x14ac:dyDescent="0.35"/>
    <row r="59620" hidden="1" x14ac:dyDescent="0.35"/>
    <row r="59621" hidden="1" x14ac:dyDescent="0.35"/>
    <row r="59622" hidden="1" x14ac:dyDescent="0.35"/>
    <row r="59623" hidden="1" x14ac:dyDescent="0.35"/>
    <row r="59624" hidden="1" x14ac:dyDescent="0.35"/>
    <row r="59625" hidden="1" x14ac:dyDescent="0.35"/>
    <row r="59626" hidden="1" x14ac:dyDescent="0.35"/>
    <row r="59627" hidden="1" x14ac:dyDescent="0.35"/>
    <row r="59628" hidden="1" x14ac:dyDescent="0.35"/>
    <row r="59629" hidden="1" x14ac:dyDescent="0.35"/>
    <row r="59630" hidden="1" x14ac:dyDescent="0.35"/>
    <row r="59631" hidden="1" x14ac:dyDescent="0.35"/>
    <row r="59632" hidden="1" x14ac:dyDescent="0.35"/>
    <row r="59633" hidden="1" x14ac:dyDescent="0.35"/>
    <row r="59634" hidden="1" x14ac:dyDescent="0.35"/>
    <row r="59635" hidden="1" x14ac:dyDescent="0.35"/>
    <row r="59636" hidden="1" x14ac:dyDescent="0.35"/>
    <row r="59637" hidden="1" x14ac:dyDescent="0.35"/>
    <row r="59638" hidden="1" x14ac:dyDescent="0.35"/>
    <row r="59639" hidden="1" x14ac:dyDescent="0.35"/>
    <row r="59640" hidden="1" x14ac:dyDescent="0.35"/>
    <row r="59641" hidden="1" x14ac:dyDescent="0.35"/>
    <row r="59642" hidden="1" x14ac:dyDescent="0.35"/>
    <row r="59643" hidden="1" x14ac:dyDescent="0.35"/>
    <row r="59644" hidden="1" x14ac:dyDescent="0.35"/>
    <row r="59645" hidden="1" x14ac:dyDescent="0.35"/>
    <row r="59646" hidden="1" x14ac:dyDescent="0.35"/>
    <row r="59647" hidden="1" x14ac:dyDescent="0.35"/>
    <row r="59648" hidden="1" x14ac:dyDescent="0.35"/>
    <row r="59649" hidden="1" x14ac:dyDescent="0.35"/>
    <row r="59650" hidden="1" x14ac:dyDescent="0.35"/>
    <row r="59651" hidden="1" x14ac:dyDescent="0.35"/>
    <row r="59652" hidden="1" x14ac:dyDescent="0.35"/>
    <row r="59653" hidden="1" x14ac:dyDescent="0.35"/>
    <row r="59654" hidden="1" x14ac:dyDescent="0.35"/>
    <row r="59655" hidden="1" x14ac:dyDescent="0.35"/>
    <row r="59656" hidden="1" x14ac:dyDescent="0.35"/>
    <row r="59657" hidden="1" x14ac:dyDescent="0.35"/>
    <row r="59658" hidden="1" x14ac:dyDescent="0.35"/>
    <row r="59659" hidden="1" x14ac:dyDescent="0.35"/>
    <row r="59660" hidden="1" x14ac:dyDescent="0.35"/>
    <row r="59661" hidden="1" x14ac:dyDescent="0.35"/>
    <row r="59662" hidden="1" x14ac:dyDescent="0.35"/>
    <row r="59663" hidden="1" x14ac:dyDescent="0.35"/>
    <row r="59664" hidden="1" x14ac:dyDescent="0.35"/>
    <row r="59665" hidden="1" x14ac:dyDescent="0.35"/>
    <row r="59666" hidden="1" x14ac:dyDescent="0.35"/>
    <row r="59667" hidden="1" x14ac:dyDescent="0.35"/>
    <row r="59668" hidden="1" x14ac:dyDescent="0.35"/>
    <row r="59669" hidden="1" x14ac:dyDescent="0.35"/>
    <row r="59670" hidden="1" x14ac:dyDescent="0.35"/>
    <row r="59671" hidden="1" x14ac:dyDescent="0.35"/>
    <row r="59672" hidden="1" x14ac:dyDescent="0.35"/>
    <row r="59673" hidden="1" x14ac:dyDescent="0.35"/>
    <row r="59674" hidden="1" x14ac:dyDescent="0.35"/>
    <row r="59675" hidden="1" x14ac:dyDescent="0.35"/>
    <row r="59676" hidden="1" x14ac:dyDescent="0.35"/>
    <row r="59677" hidden="1" x14ac:dyDescent="0.35"/>
    <row r="59678" hidden="1" x14ac:dyDescent="0.35"/>
    <row r="59679" hidden="1" x14ac:dyDescent="0.35"/>
    <row r="59680" hidden="1" x14ac:dyDescent="0.35"/>
    <row r="59681" hidden="1" x14ac:dyDescent="0.35"/>
    <row r="59682" hidden="1" x14ac:dyDescent="0.35"/>
    <row r="59683" hidden="1" x14ac:dyDescent="0.35"/>
    <row r="59684" hidden="1" x14ac:dyDescent="0.35"/>
    <row r="59685" hidden="1" x14ac:dyDescent="0.35"/>
    <row r="59686" hidden="1" x14ac:dyDescent="0.35"/>
    <row r="59687" hidden="1" x14ac:dyDescent="0.35"/>
    <row r="59688" hidden="1" x14ac:dyDescent="0.35"/>
    <row r="59689" hidden="1" x14ac:dyDescent="0.35"/>
    <row r="59690" hidden="1" x14ac:dyDescent="0.35"/>
    <row r="59691" hidden="1" x14ac:dyDescent="0.35"/>
    <row r="59692" hidden="1" x14ac:dyDescent="0.35"/>
    <row r="59693" hidden="1" x14ac:dyDescent="0.35"/>
    <row r="59694" hidden="1" x14ac:dyDescent="0.35"/>
    <row r="59695" hidden="1" x14ac:dyDescent="0.35"/>
    <row r="59696" hidden="1" x14ac:dyDescent="0.35"/>
    <row r="59697" hidden="1" x14ac:dyDescent="0.35"/>
    <row r="59698" hidden="1" x14ac:dyDescent="0.35"/>
    <row r="59699" hidden="1" x14ac:dyDescent="0.35"/>
    <row r="59700" hidden="1" x14ac:dyDescent="0.35"/>
    <row r="59701" hidden="1" x14ac:dyDescent="0.35"/>
    <row r="59702" hidden="1" x14ac:dyDescent="0.35"/>
    <row r="59703" hidden="1" x14ac:dyDescent="0.35"/>
    <row r="59704" hidden="1" x14ac:dyDescent="0.35"/>
    <row r="59705" hidden="1" x14ac:dyDescent="0.35"/>
    <row r="59706" hidden="1" x14ac:dyDescent="0.35"/>
    <row r="59707" hidden="1" x14ac:dyDescent="0.35"/>
    <row r="59708" hidden="1" x14ac:dyDescent="0.35"/>
    <row r="59709" hidden="1" x14ac:dyDescent="0.35"/>
    <row r="59710" hidden="1" x14ac:dyDescent="0.35"/>
    <row r="59711" hidden="1" x14ac:dyDescent="0.35"/>
    <row r="59712" hidden="1" x14ac:dyDescent="0.35"/>
    <row r="59713" hidden="1" x14ac:dyDescent="0.35"/>
    <row r="59714" hidden="1" x14ac:dyDescent="0.35"/>
    <row r="59715" hidden="1" x14ac:dyDescent="0.35"/>
    <row r="59716" hidden="1" x14ac:dyDescent="0.35"/>
    <row r="59717" hidden="1" x14ac:dyDescent="0.35"/>
    <row r="59718" hidden="1" x14ac:dyDescent="0.35"/>
    <row r="59719" hidden="1" x14ac:dyDescent="0.35"/>
    <row r="59720" hidden="1" x14ac:dyDescent="0.35"/>
    <row r="59721" hidden="1" x14ac:dyDescent="0.35"/>
    <row r="59722" hidden="1" x14ac:dyDescent="0.35"/>
    <row r="59723" hidden="1" x14ac:dyDescent="0.35"/>
    <row r="59724" hidden="1" x14ac:dyDescent="0.35"/>
    <row r="59725" hidden="1" x14ac:dyDescent="0.35"/>
    <row r="59726" hidden="1" x14ac:dyDescent="0.35"/>
    <row r="59727" hidden="1" x14ac:dyDescent="0.35"/>
    <row r="59728" hidden="1" x14ac:dyDescent="0.35"/>
    <row r="59729" hidden="1" x14ac:dyDescent="0.35"/>
    <row r="59730" hidden="1" x14ac:dyDescent="0.35"/>
    <row r="59731" hidden="1" x14ac:dyDescent="0.35"/>
    <row r="59732" hidden="1" x14ac:dyDescent="0.35"/>
    <row r="59733" hidden="1" x14ac:dyDescent="0.35"/>
    <row r="59734" hidden="1" x14ac:dyDescent="0.35"/>
    <row r="59735" hidden="1" x14ac:dyDescent="0.35"/>
    <row r="59736" hidden="1" x14ac:dyDescent="0.35"/>
    <row r="59737" hidden="1" x14ac:dyDescent="0.35"/>
    <row r="59738" hidden="1" x14ac:dyDescent="0.35"/>
    <row r="59739" hidden="1" x14ac:dyDescent="0.35"/>
    <row r="59740" hidden="1" x14ac:dyDescent="0.35"/>
    <row r="59741" hidden="1" x14ac:dyDescent="0.35"/>
    <row r="59742" hidden="1" x14ac:dyDescent="0.35"/>
    <row r="59743" hidden="1" x14ac:dyDescent="0.35"/>
    <row r="59744" hidden="1" x14ac:dyDescent="0.35"/>
    <row r="59745" hidden="1" x14ac:dyDescent="0.35"/>
    <row r="59746" hidden="1" x14ac:dyDescent="0.35"/>
    <row r="59747" hidden="1" x14ac:dyDescent="0.35"/>
    <row r="59748" hidden="1" x14ac:dyDescent="0.35"/>
    <row r="59749" hidden="1" x14ac:dyDescent="0.35"/>
    <row r="59750" hidden="1" x14ac:dyDescent="0.35"/>
    <row r="59751" hidden="1" x14ac:dyDescent="0.35"/>
    <row r="59752" hidden="1" x14ac:dyDescent="0.35"/>
    <row r="59753" hidden="1" x14ac:dyDescent="0.35"/>
    <row r="59754" hidden="1" x14ac:dyDescent="0.35"/>
    <row r="59755" hidden="1" x14ac:dyDescent="0.35"/>
    <row r="59756" hidden="1" x14ac:dyDescent="0.35"/>
    <row r="59757" hidden="1" x14ac:dyDescent="0.35"/>
    <row r="59758" hidden="1" x14ac:dyDescent="0.35"/>
    <row r="59759" hidden="1" x14ac:dyDescent="0.35"/>
    <row r="59760" hidden="1" x14ac:dyDescent="0.35"/>
    <row r="59761" hidden="1" x14ac:dyDescent="0.35"/>
    <row r="59762" hidden="1" x14ac:dyDescent="0.35"/>
    <row r="59763" hidden="1" x14ac:dyDescent="0.35"/>
    <row r="59764" hidden="1" x14ac:dyDescent="0.35"/>
    <row r="59765" hidden="1" x14ac:dyDescent="0.35"/>
    <row r="59766" hidden="1" x14ac:dyDescent="0.35"/>
    <row r="59767" hidden="1" x14ac:dyDescent="0.35"/>
    <row r="59768" hidden="1" x14ac:dyDescent="0.35"/>
    <row r="59769" hidden="1" x14ac:dyDescent="0.35"/>
    <row r="59770" hidden="1" x14ac:dyDescent="0.35"/>
    <row r="59771" hidden="1" x14ac:dyDescent="0.35"/>
    <row r="59772" hidden="1" x14ac:dyDescent="0.35"/>
    <row r="59773" hidden="1" x14ac:dyDescent="0.35"/>
    <row r="59774" hidden="1" x14ac:dyDescent="0.35"/>
    <row r="59775" hidden="1" x14ac:dyDescent="0.35"/>
    <row r="59776" hidden="1" x14ac:dyDescent="0.35"/>
    <row r="59777" hidden="1" x14ac:dyDescent="0.35"/>
    <row r="59778" hidden="1" x14ac:dyDescent="0.35"/>
    <row r="59779" hidden="1" x14ac:dyDescent="0.35"/>
    <row r="59780" hidden="1" x14ac:dyDescent="0.35"/>
    <row r="59781" hidden="1" x14ac:dyDescent="0.35"/>
    <row r="59782" hidden="1" x14ac:dyDescent="0.35"/>
    <row r="59783" hidden="1" x14ac:dyDescent="0.35"/>
    <row r="59784" hidden="1" x14ac:dyDescent="0.35"/>
    <row r="59785" hidden="1" x14ac:dyDescent="0.35"/>
    <row r="59786" hidden="1" x14ac:dyDescent="0.35"/>
    <row r="59787" hidden="1" x14ac:dyDescent="0.35"/>
    <row r="59788" hidden="1" x14ac:dyDescent="0.35"/>
    <row r="59789" hidden="1" x14ac:dyDescent="0.35"/>
    <row r="59790" hidden="1" x14ac:dyDescent="0.35"/>
    <row r="59791" hidden="1" x14ac:dyDescent="0.35"/>
    <row r="59792" hidden="1" x14ac:dyDescent="0.35"/>
    <row r="59793" hidden="1" x14ac:dyDescent="0.35"/>
    <row r="59794" hidden="1" x14ac:dyDescent="0.35"/>
    <row r="59795" hidden="1" x14ac:dyDescent="0.35"/>
    <row r="59796" hidden="1" x14ac:dyDescent="0.35"/>
    <row r="59797" hidden="1" x14ac:dyDescent="0.35"/>
    <row r="59798" hidden="1" x14ac:dyDescent="0.35"/>
    <row r="59799" hidden="1" x14ac:dyDescent="0.35"/>
    <row r="59800" hidden="1" x14ac:dyDescent="0.35"/>
    <row r="59801" hidden="1" x14ac:dyDescent="0.35"/>
    <row r="59802" hidden="1" x14ac:dyDescent="0.35"/>
    <row r="59803" hidden="1" x14ac:dyDescent="0.35"/>
    <row r="59804" hidden="1" x14ac:dyDescent="0.35"/>
    <row r="59805" hidden="1" x14ac:dyDescent="0.35"/>
    <row r="59806" hidden="1" x14ac:dyDescent="0.35"/>
    <row r="59807" hidden="1" x14ac:dyDescent="0.35"/>
    <row r="59808" hidden="1" x14ac:dyDescent="0.35"/>
    <row r="59809" hidden="1" x14ac:dyDescent="0.35"/>
    <row r="59810" hidden="1" x14ac:dyDescent="0.35"/>
    <row r="59811" hidden="1" x14ac:dyDescent="0.35"/>
    <row r="59812" hidden="1" x14ac:dyDescent="0.35"/>
    <row r="59813" hidden="1" x14ac:dyDescent="0.35"/>
    <row r="59814" hidden="1" x14ac:dyDescent="0.35"/>
    <row r="59815" hidden="1" x14ac:dyDescent="0.35"/>
    <row r="59816" hidden="1" x14ac:dyDescent="0.35"/>
    <row r="59817" hidden="1" x14ac:dyDescent="0.35"/>
    <row r="59818" hidden="1" x14ac:dyDescent="0.35"/>
    <row r="59819" hidden="1" x14ac:dyDescent="0.35"/>
    <row r="59820" hidden="1" x14ac:dyDescent="0.35"/>
    <row r="59821" hidden="1" x14ac:dyDescent="0.35"/>
    <row r="59822" hidden="1" x14ac:dyDescent="0.35"/>
    <row r="59823" hidden="1" x14ac:dyDescent="0.35"/>
    <row r="59824" hidden="1" x14ac:dyDescent="0.35"/>
    <row r="59825" hidden="1" x14ac:dyDescent="0.35"/>
    <row r="59826" hidden="1" x14ac:dyDescent="0.35"/>
    <row r="59827" hidden="1" x14ac:dyDescent="0.35"/>
    <row r="59828" hidden="1" x14ac:dyDescent="0.35"/>
    <row r="59829" hidden="1" x14ac:dyDescent="0.35"/>
    <row r="59830" hidden="1" x14ac:dyDescent="0.35"/>
    <row r="59831" hidden="1" x14ac:dyDescent="0.35"/>
    <row r="59832" hidden="1" x14ac:dyDescent="0.35"/>
    <row r="59833" hidden="1" x14ac:dyDescent="0.35"/>
    <row r="59834" hidden="1" x14ac:dyDescent="0.35"/>
    <row r="59835" hidden="1" x14ac:dyDescent="0.35"/>
    <row r="59836" hidden="1" x14ac:dyDescent="0.35"/>
    <row r="59837" hidden="1" x14ac:dyDescent="0.35"/>
    <row r="59838" hidden="1" x14ac:dyDescent="0.35"/>
    <row r="59839" hidden="1" x14ac:dyDescent="0.35"/>
    <row r="59840" hidden="1" x14ac:dyDescent="0.35"/>
    <row r="59841" hidden="1" x14ac:dyDescent="0.35"/>
    <row r="59842" hidden="1" x14ac:dyDescent="0.35"/>
    <row r="59843" hidden="1" x14ac:dyDescent="0.35"/>
    <row r="59844" hidden="1" x14ac:dyDescent="0.35"/>
    <row r="59845" hidden="1" x14ac:dyDescent="0.35"/>
    <row r="59846" hidden="1" x14ac:dyDescent="0.35"/>
    <row r="59847" hidden="1" x14ac:dyDescent="0.35"/>
    <row r="59848" hidden="1" x14ac:dyDescent="0.35"/>
    <row r="59849" hidden="1" x14ac:dyDescent="0.35"/>
    <row r="59850" hidden="1" x14ac:dyDescent="0.35"/>
    <row r="59851" hidden="1" x14ac:dyDescent="0.35"/>
    <row r="59852" hidden="1" x14ac:dyDescent="0.35"/>
    <row r="59853" hidden="1" x14ac:dyDescent="0.35"/>
    <row r="59854" hidden="1" x14ac:dyDescent="0.35"/>
    <row r="59855" hidden="1" x14ac:dyDescent="0.35"/>
    <row r="59856" hidden="1" x14ac:dyDescent="0.35"/>
    <row r="59857" hidden="1" x14ac:dyDescent="0.35"/>
    <row r="59858" hidden="1" x14ac:dyDescent="0.35"/>
    <row r="59859" hidden="1" x14ac:dyDescent="0.35"/>
    <row r="59860" hidden="1" x14ac:dyDescent="0.35"/>
    <row r="59861" hidden="1" x14ac:dyDescent="0.35"/>
    <row r="59862" hidden="1" x14ac:dyDescent="0.35"/>
    <row r="59863" hidden="1" x14ac:dyDescent="0.35"/>
    <row r="59864" hidden="1" x14ac:dyDescent="0.35"/>
    <row r="59865" hidden="1" x14ac:dyDescent="0.35"/>
    <row r="59866" hidden="1" x14ac:dyDescent="0.35"/>
    <row r="59867" hidden="1" x14ac:dyDescent="0.35"/>
    <row r="59868" hidden="1" x14ac:dyDescent="0.35"/>
    <row r="59869" hidden="1" x14ac:dyDescent="0.35"/>
    <row r="59870" hidden="1" x14ac:dyDescent="0.35"/>
    <row r="59871" hidden="1" x14ac:dyDescent="0.35"/>
    <row r="59872" hidden="1" x14ac:dyDescent="0.35"/>
    <row r="59873" hidden="1" x14ac:dyDescent="0.35"/>
    <row r="59874" hidden="1" x14ac:dyDescent="0.35"/>
    <row r="59875" hidden="1" x14ac:dyDescent="0.35"/>
    <row r="59876" hidden="1" x14ac:dyDescent="0.35"/>
    <row r="59877" hidden="1" x14ac:dyDescent="0.35"/>
    <row r="59878" hidden="1" x14ac:dyDescent="0.35"/>
    <row r="59879" hidden="1" x14ac:dyDescent="0.35"/>
    <row r="59880" hidden="1" x14ac:dyDescent="0.35"/>
    <row r="59881" hidden="1" x14ac:dyDescent="0.35"/>
    <row r="59882" hidden="1" x14ac:dyDescent="0.35"/>
    <row r="59883" hidden="1" x14ac:dyDescent="0.35"/>
    <row r="59884" hidden="1" x14ac:dyDescent="0.35"/>
    <row r="59885" hidden="1" x14ac:dyDescent="0.35"/>
    <row r="59886" hidden="1" x14ac:dyDescent="0.35"/>
    <row r="59887" hidden="1" x14ac:dyDescent="0.35"/>
    <row r="59888" hidden="1" x14ac:dyDescent="0.35"/>
    <row r="59889" hidden="1" x14ac:dyDescent="0.35"/>
    <row r="59890" hidden="1" x14ac:dyDescent="0.35"/>
    <row r="59891" hidden="1" x14ac:dyDescent="0.35"/>
    <row r="59892" hidden="1" x14ac:dyDescent="0.35"/>
    <row r="59893" hidden="1" x14ac:dyDescent="0.35"/>
    <row r="59894" hidden="1" x14ac:dyDescent="0.35"/>
    <row r="59895" hidden="1" x14ac:dyDescent="0.35"/>
    <row r="59896" hidden="1" x14ac:dyDescent="0.35"/>
    <row r="59897" hidden="1" x14ac:dyDescent="0.35"/>
    <row r="59898" hidden="1" x14ac:dyDescent="0.35"/>
    <row r="59899" hidden="1" x14ac:dyDescent="0.35"/>
    <row r="59900" hidden="1" x14ac:dyDescent="0.35"/>
    <row r="59901" hidden="1" x14ac:dyDescent="0.35"/>
    <row r="59902" hidden="1" x14ac:dyDescent="0.35"/>
    <row r="59903" hidden="1" x14ac:dyDescent="0.35"/>
    <row r="59904" hidden="1" x14ac:dyDescent="0.35"/>
    <row r="59905" hidden="1" x14ac:dyDescent="0.35"/>
    <row r="59906" hidden="1" x14ac:dyDescent="0.35"/>
    <row r="59907" hidden="1" x14ac:dyDescent="0.35"/>
    <row r="59908" hidden="1" x14ac:dyDescent="0.35"/>
    <row r="59909" hidden="1" x14ac:dyDescent="0.35"/>
    <row r="59910" hidden="1" x14ac:dyDescent="0.35"/>
    <row r="59911" hidden="1" x14ac:dyDescent="0.35"/>
    <row r="59912" hidden="1" x14ac:dyDescent="0.35"/>
    <row r="59913" hidden="1" x14ac:dyDescent="0.35"/>
    <row r="59914" hidden="1" x14ac:dyDescent="0.35"/>
    <row r="59915" hidden="1" x14ac:dyDescent="0.35"/>
    <row r="59916" hidden="1" x14ac:dyDescent="0.35"/>
    <row r="59917" hidden="1" x14ac:dyDescent="0.35"/>
    <row r="59918" hidden="1" x14ac:dyDescent="0.35"/>
    <row r="59919" hidden="1" x14ac:dyDescent="0.35"/>
    <row r="59920" hidden="1" x14ac:dyDescent="0.35"/>
    <row r="59921" hidden="1" x14ac:dyDescent="0.35"/>
    <row r="59922" hidden="1" x14ac:dyDescent="0.35"/>
    <row r="59923" hidden="1" x14ac:dyDescent="0.35"/>
    <row r="59924" hidden="1" x14ac:dyDescent="0.35"/>
    <row r="59925" hidden="1" x14ac:dyDescent="0.35"/>
    <row r="59926" hidden="1" x14ac:dyDescent="0.35"/>
    <row r="59927" hidden="1" x14ac:dyDescent="0.35"/>
    <row r="59928" hidden="1" x14ac:dyDescent="0.35"/>
    <row r="59929" hidden="1" x14ac:dyDescent="0.35"/>
    <row r="59930" hidden="1" x14ac:dyDescent="0.35"/>
    <row r="59931" hidden="1" x14ac:dyDescent="0.35"/>
    <row r="59932" hidden="1" x14ac:dyDescent="0.35"/>
    <row r="59933" hidden="1" x14ac:dyDescent="0.35"/>
    <row r="59934" hidden="1" x14ac:dyDescent="0.35"/>
    <row r="59935" hidden="1" x14ac:dyDescent="0.35"/>
    <row r="59936" hidden="1" x14ac:dyDescent="0.35"/>
    <row r="59937" hidden="1" x14ac:dyDescent="0.35"/>
    <row r="59938" hidden="1" x14ac:dyDescent="0.35"/>
    <row r="59939" hidden="1" x14ac:dyDescent="0.35"/>
    <row r="59940" hidden="1" x14ac:dyDescent="0.35"/>
    <row r="59941" hidden="1" x14ac:dyDescent="0.35"/>
    <row r="59942" hidden="1" x14ac:dyDescent="0.35"/>
    <row r="59943" hidden="1" x14ac:dyDescent="0.35"/>
    <row r="59944" hidden="1" x14ac:dyDescent="0.35"/>
    <row r="59945" hidden="1" x14ac:dyDescent="0.35"/>
    <row r="59946" hidden="1" x14ac:dyDescent="0.35"/>
    <row r="59947" hidden="1" x14ac:dyDescent="0.35"/>
    <row r="59948" hidden="1" x14ac:dyDescent="0.35"/>
    <row r="59949" hidden="1" x14ac:dyDescent="0.35"/>
    <row r="59950" hidden="1" x14ac:dyDescent="0.35"/>
    <row r="59951" hidden="1" x14ac:dyDescent="0.35"/>
    <row r="59952" hidden="1" x14ac:dyDescent="0.35"/>
    <row r="59953" hidden="1" x14ac:dyDescent="0.35"/>
    <row r="59954" hidden="1" x14ac:dyDescent="0.35"/>
    <row r="59955" hidden="1" x14ac:dyDescent="0.35"/>
    <row r="59956" hidden="1" x14ac:dyDescent="0.35"/>
    <row r="59957" hidden="1" x14ac:dyDescent="0.35"/>
    <row r="59958" hidden="1" x14ac:dyDescent="0.35"/>
    <row r="59959" hidden="1" x14ac:dyDescent="0.35"/>
    <row r="59960" hidden="1" x14ac:dyDescent="0.35"/>
    <row r="59961" hidden="1" x14ac:dyDescent="0.35"/>
    <row r="59962" hidden="1" x14ac:dyDescent="0.35"/>
    <row r="59963" hidden="1" x14ac:dyDescent="0.35"/>
    <row r="59964" hidden="1" x14ac:dyDescent="0.35"/>
    <row r="59965" hidden="1" x14ac:dyDescent="0.35"/>
    <row r="59966" hidden="1" x14ac:dyDescent="0.35"/>
    <row r="59967" hidden="1" x14ac:dyDescent="0.35"/>
    <row r="59968" hidden="1" x14ac:dyDescent="0.35"/>
    <row r="59969" hidden="1" x14ac:dyDescent="0.35"/>
    <row r="59970" hidden="1" x14ac:dyDescent="0.35"/>
    <row r="59971" hidden="1" x14ac:dyDescent="0.35"/>
    <row r="59972" hidden="1" x14ac:dyDescent="0.35"/>
    <row r="59973" hidden="1" x14ac:dyDescent="0.35"/>
    <row r="59974" hidden="1" x14ac:dyDescent="0.35"/>
    <row r="59975" hidden="1" x14ac:dyDescent="0.35"/>
    <row r="59976" hidden="1" x14ac:dyDescent="0.35"/>
    <row r="59977" hidden="1" x14ac:dyDescent="0.35"/>
    <row r="59978" hidden="1" x14ac:dyDescent="0.35"/>
    <row r="59979" hidden="1" x14ac:dyDescent="0.35"/>
    <row r="59980" hidden="1" x14ac:dyDescent="0.35"/>
    <row r="59981" hidden="1" x14ac:dyDescent="0.35"/>
    <row r="59982" hidden="1" x14ac:dyDescent="0.35"/>
    <row r="59983" hidden="1" x14ac:dyDescent="0.35"/>
    <row r="59984" hidden="1" x14ac:dyDescent="0.35"/>
    <row r="59985" hidden="1" x14ac:dyDescent="0.35"/>
    <row r="59986" hidden="1" x14ac:dyDescent="0.35"/>
    <row r="59987" hidden="1" x14ac:dyDescent="0.35"/>
    <row r="59988" hidden="1" x14ac:dyDescent="0.35"/>
    <row r="59989" hidden="1" x14ac:dyDescent="0.35"/>
    <row r="59990" hidden="1" x14ac:dyDescent="0.35"/>
    <row r="59991" hidden="1" x14ac:dyDescent="0.35"/>
    <row r="59992" hidden="1" x14ac:dyDescent="0.35"/>
    <row r="59993" hidden="1" x14ac:dyDescent="0.35"/>
    <row r="59994" hidden="1" x14ac:dyDescent="0.35"/>
    <row r="59995" hidden="1" x14ac:dyDescent="0.35"/>
    <row r="59996" hidden="1" x14ac:dyDescent="0.35"/>
    <row r="59997" hidden="1" x14ac:dyDescent="0.35"/>
    <row r="59998" hidden="1" x14ac:dyDescent="0.35"/>
    <row r="59999" hidden="1" x14ac:dyDescent="0.35"/>
    <row r="60000" hidden="1" x14ac:dyDescent="0.35"/>
    <row r="60001" hidden="1" x14ac:dyDescent="0.35"/>
    <row r="60002" hidden="1" x14ac:dyDescent="0.35"/>
    <row r="60003" hidden="1" x14ac:dyDescent="0.35"/>
    <row r="60004" hidden="1" x14ac:dyDescent="0.35"/>
    <row r="60005" hidden="1" x14ac:dyDescent="0.35"/>
    <row r="60006" hidden="1" x14ac:dyDescent="0.35"/>
    <row r="60007" hidden="1" x14ac:dyDescent="0.35"/>
    <row r="60008" hidden="1" x14ac:dyDescent="0.35"/>
    <row r="60009" hidden="1" x14ac:dyDescent="0.35"/>
    <row r="60010" hidden="1" x14ac:dyDescent="0.35"/>
    <row r="60011" hidden="1" x14ac:dyDescent="0.35"/>
    <row r="60012" hidden="1" x14ac:dyDescent="0.35"/>
    <row r="60013" hidden="1" x14ac:dyDescent="0.35"/>
    <row r="60014" hidden="1" x14ac:dyDescent="0.35"/>
    <row r="60015" hidden="1" x14ac:dyDescent="0.35"/>
    <row r="60016" hidden="1" x14ac:dyDescent="0.35"/>
    <row r="60017" hidden="1" x14ac:dyDescent="0.35"/>
    <row r="60018" hidden="1" x14ac:dyDescent="0.35"/>
    <row r="60019" hidden="1" x14ac:dyDescent="0.35"/>
    <row r="60020" hidden="1" x14ac:dyDescent="0.35"/>
    <row r="60021" hidden="1" x14ac:dyDescent="0.35"/>
    <row r="60022" hidden="1" x14ac:dyDescent="0.35"/>
    <row r="60023" hidden="1" x14ac:dyDescent="0.35"/>
    <row r="60024" hidden="1" x14ac:dyDescent="0.35"/>
    <row r="60025" hidden="1" x14ac:dyDescent="0.35"/>
    <row r="60026" hidden="1" x14ac:dyDescent="0.35"/>
    <row r="60027" hidden="1" x14ac:dyDescent="0.35"/>
    <row r="60028" hidden="1" x14ac:dyDescent="0.35"/>
    <row r="60029" hidden="1" x14ac:dyDescent="0.35"/>
    <row r="60030" hidden="1" x14ac:dyDescent="0.35"/>
    <row r="60031" hidden="1" x14ac:dyDescent="0.35"/>
    <row r="60032" hidden="1" x14ac:dyDescent="0.35"/>
    <row r="60033" hidden="1" x14ac:dyDescent="0.35"/>
    <row r="60034" hidden="1" x14ac:dyDescent="0.35"/>
    <row r="60035" hidden="1" x14ac:dyDescent="0.35"/>
    <row r="60036" hidden="1" x14ac:dyDescent="0.35"/>
    <row r="60037" hidden="1" x14ac:dyDescent="0.35"/>
    <row r="60038" hidden="1" x14ac:dyDescent="0.35"/>
    <row r="60039" hidden="1" x14ac:dyDescent="0.35"/>
    <row r="60040" hidden="1" x14ac:dyDescent="0.35"/>
    <row r="60041" hidden="1" x14ac:dyDescent="0.35"/>
    <row r="60042" hidden="1" x14ac:dyDescent="0.35"/>
    <row r="60043" hidden="1" x14ac:dyDescent="0.35"/>
    <row r="60044" hidden="1" x14ac:dyDescent="0.35"/>
    <row r="60045" hidden="1" x14ac:dyDescent="0.35"/>
    <row r="60046" hidden="1" x14ac:dyDescent="0.35"/>
    <row r="60047" hidden="1" x14ac:dyDescent="0.35"/>
    <row r="60048" hidden="1" x14ac:dyDescent="0.35"/>
    <row r="60049" hidden="1" x14ac:dyDescent="0.35"/>
    <row r="60050" hidden="1" x14ac:dyDescent="0.35"/>
    <row r="60051" hidden="1" x14ac:dyDescent="0.35"/>
    <row r="60052" hidden="1" x14ac:dyDescent="0.35"/>
    <row r="60053" hidden="1" x14ac:dyDescent="0.35"/>
    <row r="60054" hidden="1" x14ac:dyDescent="0.35"/>
    <row r="60055" hidden="1" x14ac:dyDescent="0.35"/>
    <row r="60056" hidden="1" x14ac:dyDescent="0.35"/>
    <row r="60057" hidden="1" x14ac:dyDescent="0.35"/>
    <row r="60058" hidden="1" x14ac:dyDescent="0.35"/>
    <row r="60059" hidden="1" x14ac:dyDescent="0.35"/>
    <row r="60060" hidden="1" x14ac:dyDescent="0.35"/>
    <row r="60061" hidden="1" x14ac:dyDescent="0.35"/>
    <row r="60062" hidden="1" x14ac:dyDescent="0.35"/>
    <row r="60063" hidden="1" x14ac:dyDescent="0.35"/>
    <row r="60064" hidden="1" x14ac:dyDescent="0.35"/>
    <row r="60065" hidden="1" x14ac:dyDescent="0.35"/>
    <row r="60066" hidden="1" x14ac:dyDescent="0.35"/>
    <row r="60067" hidden="1" x14ac:dyDescent="0.35"/>
    <row r="60068" hidden="1" x14ac:dyDescent="0.35"/>
    <row r="60069" hidden="1" x14ac:dyDescent="0.35"/>
    <row r="60070" hidden="1" x14ac:dyDescent="0.35"/>
    <row r="60071" hidden="1" x14ac:dyDescent="0.35"/>
    <row r="60072" hidden="1" x14ac:dyDescent="0.35"/>
    <row r="60073" hidden="1" x14ac:dyDescent="0.35"/>
    <row r="60074" hidden="1" x14ac:dyDescent="0.35"/>
    <row r="60075" hidden="1" x14ac:dyDescent="0.35"/>
    <row r="60076" hidden="1" x14ac:dyDescent="0.35"/>
    <row r="60077" hidden="1" x14ac:dyDescent="0.35"/>
    <row r="60078" hidden="1" x14ac:dyDescent="0.35"/>
    <row r="60079" hidden="1" x14ac:dyDescent="0.35"/>
    <row r="60080" hidden="1" x14ac:dyDescent="0.35"/>
    <row r="60081" hidden="1" x14ac:dyDescent="0.35"/>
    <row r="60082" hidden="1" x14ac:dyDescent="0.35"/>
    <row r="60083" hidden="1" x14ac:dyDescent="0.35"/>
    <row r="60084" hidden="1" x14ac:dyDescent="0.35"/>
    <row r="60085" hidden="1" x14ac:dyDescent="0.35"/>
    <row r="60086" hidden="1" x14ac:dyDescent="0.35"/>
    <row r="60087" hidden="1" x14ac:dyDescent="0.35"/>
    <row r="60088" hidden="1" x14ac:dyDescent="0.35"/>
    <row r="60089" hidden="1" x14ac:dyDescent="0.35"/>
    <row r="60090" hidden="1" x14ac:dyDescent="0.35"/>
    <row r="60091" hidden="1" x14ac:dyDescent="0.35"/>
    <row r="60092" hidden="1" x14ac:dyDescent="0.35"/>
    <row r="60093" hidden="1" x14ac:dyDescent="0.35"/>
    <row r="60094" hidden="1" x14ac:dyDescent="0.35"/>
    <row r="60095" hidden="1" x14ac:dyDescent="0.35"/>
    <row r="60096" hidden="1" x14ac:dyDescent="0.35"/>
    <row r="60097" hidden="1" x14ac:dyDescent="0.35"/>
    <row r="60098" hidden="1" x14ac:dyDescent="0.35"/>
    <row r="60099" hidden="1" x14ac:dyDescent="0.35"/>
    <row r="60100" hidden="1" x14ac:dyDescent="0.35"/>
    <row r="60101" hidden="1" x14ac:dyDescent="0.35"/>
    <row r="60102" hidden="1" x14ac:dyDescent="0.35"/>
    <row r="60103" hidden="1" x14ac:dyDescent="0.35"/>
    <row r="60104" hidden="1" x14ac:dyDescent="0.35"/>
    <row r="60105" hidden="1" x14ac:dyDescent="0.35"/>
    <row r="60106" hidden="1" x14ac:dyDescent="0.35"/>
    <row r="60107" hidden="1" x14ac:dyDescent="0.35"/>
    <row r="60108" hidden="1" x14ac:dyDescent="0.35"/>
    <row r="60109" hidden="1" x14ac:dyDescent="0.35"/>
    <row r="60110" hidden="1" x14ac:dyDescent="0.35"/>
    <row r="60111" hidden="1" x14ac:dyDescent="0.35"/>
    <row r="60112" hidden="1" x14ac:dyDescent="0.35"/>
    <row r="60113" hidden="1" x14ac:dyDescent="0.35"/>
    <row r="60114" hidden="1" x14ac:dyDescent="0.35"/>
    <row r="60115" hidden="1" x14ac:dyDescent="0.35"/>
    <row r="60116" hidden="1" x14ac:dyDescent="0.35"/>
    <row r="60117" hidden="1" x14ac:dyDescent="0.35"/>
    <row r="60118" hidden="1" x14ac:dyDescent="0.35"/>
    <row r="60119" hidden="1" x14ac:dyDescent="0.35"/>
    <row r="60120" hidden="1" x14ac:dyDescent="0.35"/>
    <row r="60121" hidden="1" x14ac:dyDescent="0.35"/>
    <row r="60122" hidden="1" x14ac:dyDescent="0.35"/>
    <row r="60123" hidden="1" x14ac:dyDescent="0.35"/>
    <row r="60124" hidden="1" x14ac:dyDescent="0.35"/>
    <row r="60125" hidden="1" x14ac:dyDescent="0.35"/>
    <row r="60126" hidden="1" x14ac:dyDescent="0.35"/>
    <row r="60127" hidden="1" x14ac:dyDescent="0.35"/>
    <row r="60128" hidden="1" x14ac:dyDescent="0.35"/>
    <row r="60129" hidden="1" x14ac:dyDescent="0.35"/>
    <row r="60130" hidden="1" x14ac:dyDescent="0.35"/>
    <row r="60131" hidden="1" x14ac:dyDescent="0.35"/>
    <row r="60132" hidden="1" x14ac:dyDescent="0.35"/>
    <row r="60133" hidden="1" x14ac:dyDescent="0.35"/>
    <row r="60134" hidden="1" x14ac:dyDescent="0.35"/>
    <row r="60135" hidden="1" x14ac:dyDescent="0.35"/>
    <row r="60136" hidden="1" x14ac:dyDescent="0.35"/>
    <row r="60137" hidden="1" x14ac:dyDescent="0.35"/>
    <row r="60138" hidden="1" x14ac:dyDescent="0.35"/>
    <row r="60139" hidden="1" x14ac:dyDescent="0.35"/>
    <row r="60140" hidden="1" x14ac:dyDescent="0.35"/>
    <row r="60141" hidden="1" x14ac:dyDescent="0.35"/>
    <row r="60142" hidden="1" x14ac:dyDescent="0.35"/>
    <row r="60143" hidden="1" x14ac:dyDescent="0.35"/>
    <row r="60144" hidden="1" x14ac:dyDescent="0.35"/>
    <row r="60145" hidden="1" x14ac:dyDescent="0.35"/>
    <row r="60146" hidden="1" x14ac:dyDescent="0.35"/>
    <row r="60147" hidden="1" x14ac:dyDescent="0.35"/>
    <row r="60148" hidden="1" x14ac:dyDescent="0.35"/>
    <row r="60149" hidden="1" x14ac:dyDescent="0.35"/>
    <row r="60150" hidden="1" x14ac:dyDescent="0.35"/>
    <row r="60151" hidden="1" x14ac:dyDescent="0.35"/>
    <row r="60152" hidden="1" x14ac:dyDescent="0.35"/>
    <row r="60153" hidden="1" x14ac:dyDescent="0.35"/>
    <row r="60154" hidden="1" x14ac:dyDescent="0.35"/>
    <row r="60155" hidden="1" x14ac:dyDescent="0.35"/>
    <row r="60156" hidden="1" x14ac:dyDescent="0.35"/>
    <row r="60157" hidden="1" x14ac:dyDescent="0.35"/>
    <row r="60158" hidden="1" x14ac:dyDescent="0.35"/>
    <row r="60159" hidden="1" x14ac:dyDescent="0.35"/>
    <row r="60160" hidden="1" x14ac:dyDescent="0.35"/>
    <row r="60161" hidden="1" x14ac:dyDescent="0.35"/>
    <row r="60162" hidden="1" x14ac:dyDescent="0.35"/>
    <row r="60163" hidden="1" x14ac:dyDescent="0.35"/>
    <row r="60164" hidden="1" x14ac:dyDescent="0.35"/>
    <row r="60165" hidden="1" x14ac:dyDescent="0.35"/>
    <row r="60166" hidden="1" x14ac:dyDescent="0.35"/>
    <row r="60167" hidden="1" x14ac:dyDescent="0.35"/>
    <row r="60168" hidden="1" x14ac:dyDescent="0.35"/>
    <row r="60169" hidden="1" x14ac:dyDescent="0.35"/>
    <row r="60170" hidden="1" x14ac:dyDescent="0.35"/>
    <row r="60171" hidden="1" x14ac:dyDescent="0.35"/>
    <row r="60172" hidden="1" x14ac:dyDescent="0.35"/>
    <row r="60173" hidden="1" x14ac:dyDescent="0.35"/>
    <row r="60174" hidden="1" x14ac:dyDescent="0.35"/>
    <row r="60175" hidden="1" x14ac:dyDescent="0.35"/>
    <row r="60176" hidden="1" x14ac:dyDescent="0.35"/>
    <row r="60177" hidden="1" x14ac:dyDescent="0.35"/>
    <row r="60178" hidden="1" x14ac:dyDescent="0.35"/>
    <row r="60179" hidden="1" x14ac:dyDescent="0.35"/>
    <row r="60180" hidden="1" x14ac:dyDescent="0.35"/>
    <row r="60181" hidden="1" x14ac:dyDescent="0.35"/>
    <row r="60182" hidden="1" x14ac:dyDescent="0.35"/>
    <row r="60183" hidden="1" x14ac:dyDescent="0.35"/>
    <row r="60184" hidden="1" x14ac:dyDescent="0.35"/>
    <row r="60185" hidden="1" x14ac:dyDescent="0.35"/>
    <row r="60186" hidden="1" x14ac:dyDescent="0.35"/>
    <row r="60187" hidden="1" x14ac:dyDescent="0.35"/>
    <row r="60188" hidden="1" x14ac:dyDescent="0.35"/>
    <row r="60189" hidden="1" x14ac:dyDescent="0.35"/>
    <row r="60190" hidden="1" x14ac:dyDescent="0.35"/>
    <row r="60191" hidden="1" x14ac:dyDescent="0.35"/>
    <row r="60192" hidden="1" x14ac:dyDescent="0.35"/>
    <row r="60193" hidden="1" x14ac:dyDescent="0.35"/>
    <row r="60194" hidden="1" x14ac:dyDescent="0.35"/>
    <row r="60195" hidden="1" x14ac:dyDescent="0.35"/>
    <row r="60196" hidden="1" x14ac:dyDescent="0.35"/>
    <row r="60197" hidden="1" x14ac:dyDescent="0.35"/>
    <row r="60198" hidden="1" x14ac:dyDescent="0.35"/>
    <row r="60199" hidden="1" x14ac:dyDescent="0.35"/>
    <row r="60200" hidden="1" x14ac:dyDescent="0.35"/>
    <row r="60201" hidden="1" x14ac:dyDescent="0.35"/>
    <row r="60202" hidden="1" x14ac:dyDescent="0.35"/>
    <row r="60203" hidden="1" x14ac:dyDescent="0.35"/>
    <row r="60204" hidden="1" x14ac:dyDescent="0.35"/>
    <row r="60205" hidden="1" x14ac:dyDescent="0.35"/>
    <row r="60206" hidden="1" x14ac:dyDescent="0.35"/>
    <row r="60207" hidden="1" x14ac:dyDescent="0.35"/>
    <row r="60208" hidden="1" x14ac:dyDescent="0.35"/>
    <row r="60209" hidden="1" x14ac:dyDescent="0.35"/>
    <row r="60210" hidden="1" x14ac:dyDescent="0.35"/>
    <row r="60211" hidden="1" x14ac:dyDescent="0.35"/>
    <row r="60212" hidden="1" x14ac:dyDescent="0.35"/>
    <row r="60213" hidden="1" x14ac:dyDescent="0.35"/>
    <row r="60214" hidden="1" x14ac:dyDescent="0.35"/>
    <row r="60215" hidden="1" x14ac:dyDescent="0.35"/>
    <row r="60216" hidden="1" x14ac:dyDescent="0.35"/>
    <row r="60217" hidden="1" x14ac:dyDescent="0.35"/>
    <row r="60218" hidden="1" x14ac:dyDescent="0.35"/>
    <row r="60219" hidden="1" x14ac:dyDescent="0.35"/>
    <row r="60220" hidden="1" x14ac:dyDescent="0.35"/>
    <row r="60221" hidden="1" x14ac:dyDescent="0.35"/>
    <row r="60222" hidden="1" x14ac:dyDescent="0.35"/>
    <row r="60223" hidden="1" x14ac:dyDescent="0.35"/>
    <row r="60224" hidden="1" x14ac:dyDescent="0.35"/>
    <row r="60225" hidden="1" x14ac:dyDescent="0.35"/>
    <row r="60226" hidden="1" x14ac:dyDescent="0.35"/>
    <row r="60227" hidden="1" x14ac:dyDescent="0.35"/>
    <row r="60228" hidden="1" x14ac:dyDescent="0.35"/>
    <row r="60229" hidden="1" x14ac:dyDescent="0.35"/>
    <row r="60230" hidden="1" x14ac:dyDescent="0.35"/>
    <row r="60231" hidden="1" x14ac:dyDescent="0.35"/>
    <row r="60232" hidden="1" x14ac:dyDescent="0.35"/>
    <row r="60233" hidden="1" x14ac:dyDescent="0.35"/>
    <row r="60234" hidden="1" x14ac:dyDescent="0.35"/>
    <row r="60235" hidden="1" x14ac:dyDescent="0.35"/>
    <row r="60236" hidden="1" x14ac:dyDescent="0.35"/>
    <row r="60237" hidden="1" x14ac:dyDescent="0.35"/>
    <row r="60238" hidden="1" x14ac:dyDescent="0.35"/>
    <row r="60239" hidden="1" x14ac:dyDescent="0.35"/>
    <row r="60240" hidden="1" x14ac:dyDescent="0.35"/>
    <row r="60241" hidden="1" x14ac:dyDescent="0.35"/>
    <row r="60242" hidden="1" x14ac:dyDescent="0.35"/>
    <row r="60243" hidden="1" x14ac:dyDescent="0.35"/>
    <row r="60244" hidden="1" x14ac:dyDescent="0.35"/>
    <row r="60245" hidden="1" x14ac:dyDescent="0.35"/>
    <row r="60246" hidden="1" x14ac:dyDescent="0.35"/>
    <row r="60247" hidden="1" x14ac:dyDescent="0.35"/>
    <row r="60248" hidden="1" x14ac:dyDescent="0.35"/>
    <row r="60249" hidden="1" x14ac:dyDescent="0.35"/>
    <row r="60250" hidden="1" x14ac:dyDescent="0.35"/>
    <row r="60251" hidden="1" x14ac:dyDescent="0.35"/>
    <row r="60252" hidden="1" x14ac:dyDescent="0.35"/>
    <row r="60253" hidden="1" x14ac:dyDescent="0.35"/>
    <row r="60254" hidden="1" x14ac:dyDescent="0.35"/>
    <row r="60255" hidden="1" x14ac:dyDescent="0.35"/>
    <row r="60256" hidden="1" x14ac:dyDescent="0.35"/>
    <row r="60257" hidden="1" x14ac:dyDescent="0.35"/>
    <row r="60258" hidden="1" x14ac:dyDescent="0.35"/>
    <row r="60259" hidden="1" x14ac:dyDescent="0.35"/>
    <row r="60260" hidden="1" x14ac:dyDescent="0.35"/>
    <row r="60261" hidden="1" x14ac:dyDescent="0.35"/>
    <row r="60262" hidden="1" x14ac:dyDescent="0.35"/>
    <row r="60263" hidden="1" x14ac:dyDescent="0.35"/>
    <row r="60264" hidden="1" x14ac:dyDescent="0.35"/>
    <row r="60265" hidden="1" x14ac:dyDescent="0.35"/>
    <row r="60266" hidden="1" x14ac:dyDescent="0.35"/>
    <row r="60267" hidden="1" x14ac:dyDescent="0.35"/>
    <row r="60268" hidden="1" x14ac:dyDescent="0.35"/>
    <row r="60269" hidden="1" x14ac:dyDescent="0.35"/>
    <row r="60270" hidden="1" x14ac:dyDescent="0.35"/>
    <row r="60271" hidden="1" x14ac:dyDescent="0.35"/>
    <row r="60272" hidden="1" x14ac:dyDescent="0.35"/>
    <row r="60273" hidden="1" x14ac:dyDescent="0.35"/>
    <row r="60274" hidden="1" x14ac:dyDescent="0.35"/>
    <row r="60275" hidden="1" x14ac:dyDescent="0.35"/>
    <row r="60276" hidden="1" x14ac:dyDescent="0.35"/>
    <row r="60277" hidden="1" x14ac:dyDescent="0.35"/>
    <row r="60278" hidden="1" x14ac:dyDescent="0.35"/>
    <row r="60279" hidden="1" x14ac:dyDescent="0.35"/>
    <row r="60280" hidden="1" x14ac:dyDescent="0.35"/>
    <row r="60281" hidden="1" x14ac:dyDescent="0.35"/>
    <row r="60282" hidden="1" x14ac:dyDescent="0.35"/>
    <row r="60283" hidden="1" x14ac:dyDescent="0.35"/>
    <row r="60284" hidden="1" x14ac:dyDescent="0.35"/>
    <row r="60285" hidden="1" x14ac:dyDescent="0.35"/>
    <row r="60286" hidden="1" x14ac:dyDescent="0.35"/>
    <row r="60287" hidden="1" x14ac:dyDescent="0.35"/>
    <row r="60288" hidden="1" x14ac:dyDescent="0.35"/>
    <row r="60289" hidden="1" x14ac:dyDescent="0.35"/>
    <row r="60290" hidden="1" x14ac:dyDescent="0.35"/>
    <row r="60291" hidden="1" x14ac:dyDescent="0.35"/>
    <row r="60292" hidden="1" x14ac:dyDescent="0.35"/>
    <row r="60293" hidden="1" x14ac:dyDescent="0.35"/>
    <row r="60294" hidden="1" x14ac:dyDescent="0.35"/>
    <row r="60295" hidden="1" x14ac:dyDescent="0.35"/>
    <row r="60296" hidden="1" x14ac:dyDescent="0.35"/>
    <row r="60297" hidden="1" x14ac:dyDescent="0.35"/>
    <row r="60298" hidden="1" x14ac:dyDescent="0.35"/>
    <row r="60299" hidden="1" x14ac:dyDescent="0.35"/>
    <row r="60300" hidden="1" x14ac:dyDescent="0.35"/>
    <row r="60301" hidden="1" x14ac:dyDescent="0.35"/>
    <row r="60302" hidden="1" x14ac:dyDescent="0.35"/>
    <row r="60303" hidden="1" x14ac:dyDescent="0.35"/>
    <row r="60304" hidden="1" x14ac:dyDescent="0.35"/>
    <row r="60305" hidden="1" x14ac:dyDescent="0.35"/>
    <row r="60306" hidden="1" x14ac:dyDescent="0.35"/>
    <row r="60307" hidden="1" x14ac:dyDescent="0.35"/>
    <row r="60308" hidden="1" x14ac:dyDescent="0.35"/>
    <row r="60309" hidden="1" x14ac:dyDescent="0.35"/>
    <row r="60310" hidden="1" x14ac:dyDescent="0.35"/>
    <row r="60311" hidden="1" x14ac:dyDescent="0.35"/>
    <row r="60312" hidden="1" x14ac:dyDescent="0.35"/>
    <row r="60313" hidden="1" x14ac:dyDescent="0.35"/>
    <row r="60314" hidden="1" x14ac:dyDescent="0.35"/>
    <row r="60315" hidden="1" x14ac:dyDescent="0.35"/>
    <row r="60316" hidden="1" x14ac:dyDescent="0.35"/>
    <row r="60317" hidden="1" x14ac:dyDescent="0.35"/>
    <row r="60318" hidden="1" x14ac:dyDescent="0.35"/>
    <row r="60319" hidden="1" x14ac:dyDescent="0.35"/>
    <row r="60320" hidden="1" x14ac:dyDescent="0.35"/>
    <row r="60321" hidden="1" x14ac:dyDescent="0.35"/>
    <row r="60322" hidden="1" x14ac:dyDescent="0.35"/>
    <row r="60323" hidden="1" x14ac:dyDescent="0.35"/>
    <row r="60324" hidden="1" x14ac:dyDescent="0.35"/>
    <row r="60325" hidden="1" x14ac:dyDescent="0.35"/>
    <row r="60326" hidden="1" x14ac:dyDescent="0.35"/>
    <row r="60327" hidden="1" x14ac:dyDescent="0.35"/>
    <row r="60328" hidden="1" x14ac:dyDescent="0.35"/>
    <row r="60329" hidden="1" x14ac:dyDescent="0.35"/>
    <row r="60330" hidden="1" x14ac:dyDescent="0.35"/>
    <row r="60331" hidden="1" x14ac:dyDescent="0.35"/>
    <row r="60332" hidden="1" x14ac:dyDescent="0.35"/>
    <row r="60333" hidden="1" x14ac:dyDescent="0.35"/>
    <row r="60334" hidden="1" x14ac:dyDescent="0.35"/>
    <row r="60335" hidden="1" x14ac:dyDescent="0.35"/>
    <row r="60336" hidden="1" x14ac:dyDescent="0.35"/>
    <row r="60337" hidden="1" x14ac:dyDescent="0.35"/>
    <row r="60338" hidden="1" x14ac:dyDescent="0.35"/>
    <row r="60339" hidden="1" x14ac:dyDescent="0.35"/>
    <row r="60340" hidden="1" x14ac:dyDescent="0.35"/>
    <row r="60341" hidden="1" x14ac:dyDescent="0.35"/>
    <row r="60342" hidden="1" x14ac:dyDescent="0.35"/>
    <row r="60343" hidden="1" x14ac:dyDescent="0.35"/>
    <row r="60344" hidden="1" x14ac:dyDescent="0.35"/>
    <row r="60345" hidden="1" x14ac:dyDescent="0.35"/>
    <row r="60346" hidden="1" x14ac:dyDescent="0.35"/>
    <row r="60347" hidden="1" x14ac:dyDescent="0.35"/>
    <row r="60348" hidden="1" x14ac:dyDescent="0.35"/>
    <row r="60349" hidden="1" x14ac:dyDescent="0.35"/>
    <row r="60350" hidden="1" x14ac:dyDescent="0.35"/>
    <row r="60351" hidden="1" x14ac:dyDescent="0.35"/>
    <row r="60352" hidden="1" x14ac:dyDescent="0.35"/>
    <row r="60353" hidden="1" x14ac:dyDescent="0.35"/>
    <row r="60354" hidden="1" x14ac:dyDescent="0.35"/>
    <row r="60355" hidden="1" x14ac:dyDescent="0.35"/>
    <row r="60356" hidden="1" x14ac:dyDescent="0.35"/>
    <row r="60357" hidden="1" x14ac:dyDescent="0.35"/>
    <row r="60358" hidden="1" x14ac:dyDescent="0.35"/>
    <row r="60359" hidden="1" x14ac:dyDescent="0.35"/>
    <row r="60360" hidden="1" x14ac:dyDescent="0.35"/>
    <row r="60361" hidden="1" x14ac:dyDescent="0.35"/>
    <row r="60362" hidden="1" x14ac:dyDescent="0.35"/>
    <row r="60363" hidden="1" x14ac:dyDescent="0.35"/>
    <row r="60364" hidden="1" x14ac:dyDescent="0.35"/>
    <row r="60365" hidden="1" x14ac:dyDescent="0.35"/>
    <row r="60366" hidden="1" x14ac:dyDescent="0.35"/>
    <row r="60367" hidden="1" x14ac:dyDescent="0.35"/>
    <row r="60368" hidden="1" x14ac:dyDescent="0.35"/>
    <row r="60369" hidden="1" x14ac:dyDescent="0.35"/>
    <row r="60370" hidden="1" x14ac:dyDescent="0.35"/>
    <row r="60371" hidden="1" x14ac:dyDescent="0.35"/>
    <row r="60372" hidden="1" x14ac:dyDescent="0.35"/>
    <row r="60373" hidden="1" x14ac:dyDescent="0.35"/>
    <row r="60374" hidden="1" x14ac:dyDescent="0.35"/>
    <row r="60375" hidden="1" x14ac:dyDescent="0.35"/>
    <row r="60376" hidden="1" x14ac:dyDescent="0.35"/>
    <row r="60377" hidden="1" x14ac:dyDescent="0.35"/>
    <row r="60378" hidden="1" x14ac:dyDescent="0.35"/>
    <row r="60379" hidden="1" x14ac:dyDescent="0.35"/>
    <row r="60380" hidden="1" x14ac:dyDescent="0.35"/>
    <row r="60381" hidden="1" x14ac:dyDescent="0.35"/>
    <row r="60382" hidden="1" x14ac:dyDescent="0.35"/>
    <row r="60383" hidden="1" x14ac:dyDescent="0.35"/>
    <row r="60384" hidden="1" x14ac:dyDescent="0.35"/>
    <row r="60385" hidden="1" x14ac:dyDescent="0.35"/>
    <row r="60386" hidden="1" x14ac:dyDescent="0.35"/>
    <row r="60387" hidden="1" x14ac:dyDescent="0.35"/>
    <row r="60388" hidden="1" x14ac:dyDescent="0.35"/>
    <row r="60389" hidden="1" x14ac:dyDescent="0.35"/>
    <row r="60390" hidden="1" x14ac:dyDescent="0.35"/>
    <row r="60391" hidden="1" x14ac:dyDescent="0.35"/>
    <row r="60392" hidden="1" x14ac:dyDescent="0.35"/>
    <row r="60393" hidden="1" x14ac:dyDescent="0.35"/>
    <row r="60394" hidden="1" x14ac:dyDescent="0.35"/>
    <row r="60395" hidden="1" x14ac:dyDescent="0.35"/>
    <row r="60396" hidden="1" x14ac:dyDescent="0.35"/>
    <row r="60397" hidden="1" x14ac:dyDescent="0.35"/>
    <row r="60398" hidden="1" x14ac:dyDescent="0.35"/>
    <row r="60399" hidden="1" x14ac:dyDescent="0.35"/>
    <row r="60400" hidden="1" x14ac:dyDescent="0.35"/>
    <row r="60401" hidden="1" x14ac:dyDescent="0.35"/>
    <row r="60402" hidden="1" x14ac:dyDescent="0.35"/>
    <row r="60403" hidden="1" x14ac:dyDescent="0.35"/>
    <row r="60404" hidden="1" x14ac:dyDescent="0.35"/>
    <row r="60405" hidden="1" x14ac:dyDescent="0.35"/>
    <row r="60406" hidden="1" x14ac:dyDescent="0.35"/>
    <row r="60407" hidden="1" x14ac:dyDescent="0.35"/>
    <row r="60408" hidden="1" x14ac:dyDescent="0.35"/>
    <row r="60409" hidden="1" x14ac:dyDescent="0.35"/>
    <row r="60410" hidden="1" x14ac:dyDescent="0.35"/>
    <row r="60411" hidden="1" x14ac:dyDescent="0.35"/>
    <row r="60412" hidden="1" x14ac:dyDescent="0.35"/>
    <row r="60413" hidden="1" x14ac:dyDescent="0.35"/>
    <row r="60414" hidden="1" x14ac:dyDescent="0.35"/>
    <row r="60415" hidden="1" x14ac:dyDescent="0.35"/>
    <row r="60416" hidden="1" x14ac:dyDescent="0.35"/>
    <row r="60417" hidden="1" x14ac:dyDescent="0.35"/>
    <row r="60418" hidden="1" x14ac:dyDescent="0.35"/>
    <row r="60419" hidden="1" x14ac:dyDescent="0.35"/>
    <row r="60420" hidden="1" x14ac:dyDescent="0.35"/>
    <row r="60421" hidden="1" x14ac:dyDescent="0.35"/>
    <row r="60422" hidden="1" x14ac:dyDescent="0.35"/>
    <row r="60423" hidden="1" x14ac:dyDescent="0.35"/>
    <row r="60424" hidden="1" x14ac:dyDescent="0.35"/>
    <row r="60425" hidden="1" x14ac:dyDescent="0.35"/>
    <row r="60426" hidden="1" x14ac:dyDescent="0.35"/>
    <row r="60427" hidden="1" x14ac:dyDescent="0.35"/>
    <row r="60428" hidden="1" x14ac:dyDescent="0.35"/>
    <row r="60429" hidden="1" x14ac:dyDescent="0.35"/>
    <row r="60430" hidden="1" x14ac:dyDescent="0.35"/>
    <row r="60431" hidden="1" x14ac:dyDescent="0.35"/>
    <row r="60432" hidden="1" x14ac:dyDescent="0.35"/>
    <row r="60433" hidden="1" x14ac:dyDescent="0.35"/>
    <row r="60434" hidden="1" x14ac:dyDescent="0.35"/>
    <row r="60435" hidden="1" x14ac:dyDescent="0.35"/>
    <row r="60436" hidden="1" x14ac:dyDescent="0.35"/>
    <row r="60437" hidden="1" x14ac:dyDescent="0.35"/>
    <row r="60438" hidden="1" x14ac:dyDescent="0.35"/>
    <row r="60439" hidden="1" x14ac:dyDescent="0.35"/>
    <row r="60440" hidden="1" x14ac:dyDescent="0.35"/>
    <row r="60441" hidden="1" x14ac:dyDescent="0.35"/>
    <row r="60442" hidden="1" x14ac:dyDescent="0.35"/>
    <row r="60443" hidden="1" x14ac:dyDescent="0.35"/>
    <row r="60444" hidden="1" x14ac:dyDescent="0.35"/>
    <row r="60445" hidden="1" x14ac:dyDescent="0.35"/>
    <row r="60446" hidden="1" x14ac:dyDescent="0.35"/>
    <row r="60447" hidden="1" x14ac:dyDescent="0.35"/>
    <row r="60448" hidden="1" x14ac:dyDescent="0.35"/>
    <row r="60449" hidden="1" x14ac:dyDescent="0.35"/>
    <row r="60450" hidden="1" x14ac:dyDescent="0.35"/>
    <row r="60451" hidden="1" x14ac:dyDescent="0.35"/>
    <row r="60452" hidden="1" x14ac:dyDescent="0.35"/>
    <row r="60453" hidden="1" x14ac:dyDescent="0.35"/>
    <row r="60454" hidden="1" x14ac:dyDescent="0.35"/>
    <row r="60455" hidden="1" x14ac:dyDescent="0.35"/>
    <row r="60456" hidden="1" x14ac:dyDescent="0.35"/>
    <row r="60457" hidden="1" x14ac:dyDescent="0.35"/>
    <row r="60458" hidden="1" x14ac:dyDescent="0.35"/>
    <row r="60459" hidden="1" x14ac:dyDescent="0.35"/>
    <row r="60460" hidden="1" x14ac:dyDescent="0.35"/>
    <row r="60461" hidden="1" x14ac:dyDescent="0.35"/>
    <row r="60462" hidden="1" x14ac:dyDescent="0.35"/>
    <row r="60463" hidden="1" x14ac:dyDescent="0.35"/>
    <row r="60464" hidden="1" x14ac:dyDescent="0.35"/>
    <row r="60465" hidden="1" x14ac:dyDescent="0.35"/>
    <row r="60466" hidden="1" x14ac:dyDescent="0.35"/>
    <row r="60467" hidden="1" x14ac:dyDescent="0.35"/>
    <row r="60468" hidden="1" x14ac:dyDescent="0.35"/>
    <row r="60469" hidden="1" x14ac:dyDescent="0.35"/>
    <row r="60470" hidden="1" x14ac:dyDescent="0.35"/>
    <row r="60471" hidden="1" x14ac:dyDescent="0.35"/>
    <row r="60472" hidden="1" x14ac:dyDescent="0.35"/>
    <row r="60473" hidden="1" x14ac:dyDescent="0.35"/>
    <row r="60474" hidden="1" x14ac:dyDescent="0.35"/>
    <row r="60475" hidden="1" x14ac:dyDescent="0.35"/>
    <row r="60476" hidden="1" x14ac:dyDescent="0.35"/>
    <row r="60477" hidden="1" x14ac:dyDescent="0.35"/>
    <row r="60478" hidden="1" x14ac:dyDescent="0.35"/>
    <row r="60479" hidden="1" x14ac:dyDescent="0.35"/>
    <row r="60480" hidden="1" x14ac:dyDescent="0.35"/>
    <row r="60481" hidden="1" x14ac:dyDescent="0.35"/>
    <row r="60482" hidden="1" x14ac:dyDescent="0.35"/>
    <row r="60483" hidden="1" x14ac:dyDescent="0.35"/>
    <row r="60484" hidden="1" x14ac:dyDescent="0.35"/>
    <row r="60485" hidden="1" x14ac:dyDescent="0.35"/>
    <row r="60486" hidden="1" x14ac:dyDescent="0.35"/>
    <row r="60487" hidden="1" x14ac:dyDescent="0.35"/>
    <row r="60488" hidden="1" x14ac:dyDescent="0.35"/>
    <row r="60489" hidden="1" x14ac:dyDescent="0.35"/>
    <row r="60490" hidden="1" x14ac:dyDescent="0.35"/>
    <row r="60491" hidden="1" x14ac:dyDescent="0.35"/>
    <row r="60492" hidden="1" x14ac:dyDescent="0.35"/>
    <row r="60493" hidden="1" x14ac:dyDescent="0.35"/>
    <row r="60494" hidden="1" x14ac:dyDescent="0.35"/>
    <row r="60495" hidden="1" x14ac:dyDescent="0.35"/>
    <row r="60496" hidden="1" x14ac:dyDescent="0.35"/>
    <row r="60497" hidden="1" x14ac:dyDescent="0.35"/>
    <row r="60498" hidden="1" x14ac:dyDescent="0.35"/>
    <row r="60499" hidden="1" x14ac:dyDescent="0.35"/>
    <row r="60500" hidden="1" x14ac:dyDescent="0.35"/>
    <row r="60501" hidden="1" x14ac:dyDescent="0.35"/>
    <row r="60502" hidden="1" x14ac:dyDescent="0.35"/>
    <row r="60503" hidden="1" x14ac:dyDescent="0.35"/>
    <row r="60504" hidden="1" x14ac:dyDescent="0.35"/>
    <row r="60505" hidden="1" x14ac:dyDescent="0.35"/>
    <row r="60506" hidden="1" x14ac:dyDescent="0.35"/>
    <row r="60507" hidden="1" x14ac:dyDescent="0.35"/>
    <row r="60508" hidden="1" x14ac:dyDescent="0.35"/>
    <row r="60509" hidden="1" x14ac:dyDescent="0.35"/>
    <row r="60510" hidden="1" x14ac:dyDescent="0.35"/>
    <row r="60511" hidden="1" x14ac:dyDescent="0.35"/>
    <row r="60512" hidden="1" x14ac:dyDescent="0.35"/>
    <row r="60513" hidden="1" x14ac:dyDescent="0.35"/>
    <row r="60514" hidden="1" x14ac:dyDescent="0.35"/>
    <row r="60515" hidden="1" x14ac:dyDescent="0.35"/>
    <row r="60516" hidden="1" x14ac:dyDescent="0.35"/>
    <row r="60517" hidden="1" x14ac:dyDescent="0.35"/>
    <row r="60518" hidden="1" x14ac:dyDescent="0.35"/>
    <row r="60519" hidden="1" x14ac:dyDescent="0.35"/>
    <row r="60520" hidden="1" x14ac:dyDescent="0.35"/>
    <row r="60521" hidden="1" x14ac:dyDescent="0.35"/>
    <row r="60522" hidden="1" x14ac:dyDescent="0.35"/>
    <row r="60523" hidden="1" x14ac:dyDescent="0.35"/>
    <row r="60524" hidden="1" x14ac:dyDescent="0.35"/>
    <row r="60525" hidden="1" x14ac:dyDescent="0.35"/>
    <row r="60526" hidden="1" x14ac:dyDescent="0.35"/>
    <row r="60527" hidden="1" x14ac:dyDescent="0.35"/>
    <row r="60528" hidden="1" x14ac:dyDescent="0.35"/>
    <row r="60529" hidden="1" x14ac:dyDescent="0.35"/>
    <row r="60530" hidden="1" x14ac:dyDescent="0.35"/>
    <row r="60531" hidden="1" x14ac:dyDescent="0.35"/>
    <row r="60532" hidden="1" x14ac:dyDescent="0.35"/>
    <row r="60533" hidden="1" x14ac:dyDescent="0.35"/>
    <row r="60534" hidden="1" x14ac:dyDescent="0.35"/>
    <row r="60535" hidden="1" x14ac:dyDescent="0.35"/>
    <row r="60536" hidden="1" x14ac:dyDescent="0.35"/>
    <row r="60537" hidden="1" x14ac:dyDescent="0.35"/>
    <row r="60538" hidden="1" x14ac:dyDescent="0.35"/>
    <row r="60539" hidden="1" x14ac:dyDescent="0.35"/>
    <row r="60540" hidden="1" x14ac:dyDescent="0.35"/>
    <row r="60541" hidden="1" x14ac:dyDescent="0.35"/>
    <row r="60542" hidden="1" x14ac:dyDescent="0.35"/>
    <row r="60543" hidden="1" x14ac:dyDescent="0.35"/>
    <row r="60544" hidden="1" x14ac:dyDescent="0.35"/>
    <row r="60545" hidden="1" x14ac:dyDescent="0.35"/>
    <row r="60546" hidden="1" x14ac:dyDescent="0.35"/>
    <row r="60547" hidden="1" x14ac:dyDescent="0.35"/>
    <row r="60548" hidden="1" x14ac:dyDescent="0.35"/>
    <row r="60549" hidden="1" x14ac:dyDescent="0.35"/>
    <row r="60550" hidden="1" x14ac:dyDescent="0.35"/>
    <row r="60551" hidden="1" x14ac:dyDescent="0.35"/>
    <row r="60552" hidden="1" x14ac:dyDescent="0.35"/>
    <row r="60553" hidden="1" x14ac:dyDescent="0.35"/>
    <row r="60554" hidden="1" x14ac:dyDescent="0.35"/>
    <row r="60555" hidden="1" x14ac:dyDescent="0.35"/>
    <row r="60556" hidden="1" x14ac:dyDescent="0.35"/>
    <row r="60557" hidden="1" x14ac:dyDescent="0.35"/>
    <row r="60558" hidden="1" x14ac:dyDescent="0.35"/>
    <row r="60559" hidden="1" x14ac:dyDescent="0.35"/>
    <row r="60560" hidden="1" x14ac:dyDescent="0.35"/>
    <row r="60561" hidden="1" x14ac:dyDescent="0.35"/>
    <row r="60562" hidden="1" x14ac:dyDescent="0.35"/>
    <row r="60563" hidden="1" x14ac:dyDescent="0.35"/>
    <row r="60564" hidden="1" x14ac:dyDescent="0.35"/>
    <row r="60565" hidden="1" x14ac:dyDescent="0.35"/>
    <row r="60566" hidden="1" x14ac:dyDescent="0.35"/>
    <row r="60567" hidden="1" x14ac:dyDescent="0.35"/>
    <row r="60568" hidden="1" x14ac:dyDescent="0.35"/>
    <row r="60569" hidden="1" x14ac:dyDescent="0.35"/>
    <row r="60570" hidden="1" x14ac:dyDescent="0.35"/>
    <row r="60571" hidden="1" x14ac:dyDescent="0.35"/>
    <row r="60572" hidden="1" x14ac:dyDescent="0.35"/>
    <row r="60573" hidden="1" x14ac:dyDescent="0.35"/>
    <row r="60574" hidden="1" x14ac:dyDescent="0.35"/>
    <row r="60575" hidden="1" x14ac:dyDescent="0.35"/>
    <row r="60576" hidden="1" x14ac:dyDescent="0.35"/>
    <row r="60577" hidden="1" x14ac:dyDescent="0.35"/>
    <row r="60578" hidden="1" x14ac:dyDescent="0.35"/>
    <row r="60579" hidden="1" x14ac:dyDescent="0.35"/>
    <row r="60580" hidden="1" x14ac:dyDescent="0.35"/>
    <row r="60581" hidden="1" x14ac:dyDescent="0.35"/>
    <row r="60582" hidden="1" x14ac:dyDescent="0.35"/>
    <row r="60583" hidden="1" x14ac:dyDescent="0.35"/>
    <row r="60584" hidden="1" x14ac:dyDescent="0.35"/>
    <row r="60585" hidden="1" x14ac:dyDescent="0.35"/>
    <row r="60586" hidden="1" x14ac:dyDescent="0.35"/>
    <row r="60587" hidden="1" x14ac:dyDescent="0.35"/>
    <row r="60588" hidden="1" x14ac:dyDescent="0.35"/>
    <row r="60589" hidden="1" x14ac:dyDescent="0.35"/>
    <row r="60590" hidden="1" x14ac:dyDescent="0.35"/>
    <row r="60591" hidden="1" x14ac:dyDescent="0.35"/>
    <row r="60592" hidden="1" x14ac:dyDescent="0.35"/>
    <row r="60593" hidden="1" x14ac:dyDescent="0.35"/>
    <row r="60594" hidden="1" x14ac:dyDescent="0.35"/>
    <row r="60595" hidden="1" x14ac:dyDescent="0.35"/>
    <row r="60596" hidden="1" x14ac:dyDescent="0.35"/>
    <row r="60597" hidden="1" x14ac:dyDescent="0.35"/>
    <row r="60598" hidden="1" x14ac:dyDescent="0.35"/>
    <row r="60599" hidden="1" x14ac:dyDescent="0.35"/>
    <row r="60600" hidden="1" x14ac:dyDescent="0.35"/>
    <row r="60601" hidden="1" x14ac:dyDescent="0.35"/>
    <row r="60602" hidden="1" x14ac:dyDescent="0.35"/>
    <row r="60603" hidden="1" x14ac:dyDescent="0.35"/>
    <row r="60604" hidden="1" x14ac:dyDescent="0.35"/>
    <row r="60605" hidden="1" x14ac:dyDescent="0.35"/>
    <row r="60606" hidden="1" x14ac:dyDescent="0.35"/>
    <row r="60607" hidden="1" x14ac:dyDescent="0.35"/>
    <row r="60608" hidden="1" x14ac:dyDescent="0.35"/>
    <row r="60609" hidden="1" x14ac:dyDescent="0.35"/>
    <row r="60610" hidden="1" x14ac:dyDescent="0.35"/>
    <row r="60611" hidden="1" x14ac:dyDescent="0.35"/>
    <row r="60612" hidden="1" x14ac:dyDescent="0.35"/>
    <row r="60613" hidden="1" x14ac:dyDescent="0.35"/>
    <row r="60614" hidden="1" x14ac:dyDescent="0.35"/>
    <row r="60615" hidden="1" x14ac:dyDescent="0.35"/>
    <row r="60616" hidden="1" x14ac:dyDescent="0.35"/>
    <row r="60617" hidden="1" x14ac:dyDescent="0.35"/>
    <row r="60618" hidden="1" x14ac:dyDescent="0.35"/>
    <row r="60619" hidden="1" x14ac:dyDescent="0.35"/>
    <row r="60620" hidden="1" x14ac:dyDescent="0.35"/>
    <row r="60621" hidden="1" x14ac:dyDescent="0.35"/>
    <row r="60622" hidden="1" x14ac:dyDescent="0.35"/>
    <row r="60623" hidden="1" x14ac:dyDescent="0.35"/>
    <row r="60624" hidden="1" x14ac:dyDescent="0.35"/>
    <row r="60625" hidden="1" x14ac:dyDescent="0.35"/>
    <row r="60626" hidden="1" x14ac:dyDescent="0.35"/>
    <row r="60627" hidden="1" x14ac:dyDescent="0.35"/>
    <row r="60628" hidden="1" x14ac:dyDescent="0.35"/>
    <row r="60629" hidden="1" x14ac:dyDescent="0.35"/>
    <row r="60630" hidden="1" x14ac:dyDescent="0.35"/>
    <row r="60631" hidden="1" x14ac:dyDescent="0.35"/>
    <row r="60632" hidden="1" x14ac:dyDescent="0.35"/>
    <row r="60633" hidden="1" x14ac:dyDescent="0.35"/>
    <row r="60634" hidden="1" x14ac:dyDescent="0.35"/>
    <row r="60635" hidden="1" x14ac:dyDescent="0.35"/>
    <row r="60636" hidden="1" x14ac:dyDescent="0.35"/>
    <row r="60637" hidden="1" x14ac:dyDescent="0.35"/>
    <row r="60638" hidden="1" x14ac:dyDescent="0.35"/>
    <row r="60639" hidden="1" x14ac:dyDescent="0.35"/>
    <row r="60640" hidden="1" x14ac:dyDescent="0.35"/>
    <row r="60641" hidden="1" x14ac:dyDescent="0.35"/>
    <row r="60642" hidden="1" x14ac:dyDescent="0.35"/>
    <row r="60643" hidden="1" x14ac:dyDescent="0.35"/>
    <row r="60644" hidden="1" x14ac:dyDescent="0.35"/>
    <row r="60645" hidden="1" x14ac:dyDescent="0.35"/>
    <row r="60646" hidden="1" x14ac:dyDescent="0.35"/>
    <row r="60647" hidden="1" x14ac:dyDescent="0.35"/>
    <row r="60648" hidden="1" x14ac:dyDescent="0.35"/>
    <row r="60649" hidden="1" x14ac:dyDescent="0.35"/>
    <row r="60650" hidden="1" x14ac:dyDescent="0.35"/>
    <row r="60651" hidden="1" x14ac:dyDescent="0.35"/>
    <row r="60652" hidden="1" x14ac:dyDescent="0.35"/>
    <row r="60653" hidden="1" x14ac:dyDescent="0.35"/>
    <row r="60654" hidden="1" x14ac:dyDescent="0.35"/>
    <row r="60655" hidden="1" x14ac:dyDescent="0.35"/>
    <row r="60656" hidden="1" x14ac:dyDescent="0.35"/>
    <row r="60657" hidden="1" x14ac:dyDescent="0.35"/>
    <row r="60658" hidden="1" x14ac:dyDescent="0.35"/>
    <row r="60659" hidden="1" x14ac:dyDescent="0.35"/>
    <row r="60660" hidden="1" x14ac:dyDescent="0.35"/>
    <row r="60661" hidden="1" x14ac:dyDescent="0.35"/>
    <row r="60662" hidden="1" x14ac:dyDescent="0.35"/>
    <row r="60663" hidden="1" x14ac:dyDescent="0.35"/>
    <row r="60664" hidden="1" x14ac:dyDescent="0.35"/>
    <row r="60665" hidden="1" x14ac:dyDescent="0.35"/>
    <row r="60666" hidden="1" x14ac:dyDescent="0.35"/>
    <row r="60667" hidden="1" x14ac:dyDescent="0.35"/>
    <row r="60668" hidden="1" x14ac:dyDescent="0.35"/>
    <row r="60669" hidden="1" x14ac:dyDescent="0.35"/>
    <row r="60670" hidden="1" x14ac:dyDescent="0.35"/>
    <row r="60671" hidden="1" x14ac:dyDescent="0.35"/>
    <row r="60672" hidden="1" x14ac:dyDescent="0.35"/>
    <row r="60673" hidden="1" x14ac:dyDescent="0.35"/>
    <row r="60674" hidden="1" x14ac:dyDescent="0.35"/>
    <row r="60675" hidden="1" x14ac:dyDescent="0.35"/>
    <row r="60676" hidden="1" x14ac:dyDescent="0.35"/>
    <row r="60677" hidden="1" x14ac:dyDescent="0.35"/>
    <row r="60678" hidden="1" x14ac:dyDescent="0.35"/>
    <row r="60679" hidden="1" x14ac:dyDescent="0.35"/>
    <row r="60680" hidden="1" x14ac:dyDescent="0.35"/>
    <row r="60681" hidden="1" x14ac:dyDescent="0.35"/>
    <row r="60682" hidden="1" x14ac:dyDescent="0.35"/>
    <row r="60683" hidden="1" x14ac:dyDescent="0.35"/>
    <row r="60684" hidden="1" x14ac:dyDescent="0.35"/>
    <row r="60685" hidden="1" x14ac:dyDescent="0.35"/>
    <row r="60686" hidden="1" x14ac:dyDescent="0.35"/>
    <row r="60687" hidden="1" x14ac:dyDescent="0.35"/>
    <row r="60688" hidden="1" x14ac:dyDescent="0.35"/>
    <row r="60689" hidden="1" x14ac:dyDescent="0.35"/>
    <row r="60690" hidden="1" x14ac:dyDescent="0.35"/>
    <row r="60691" hidden="1" x14ac:dyDescent="0.35"/>
    <row r="60692" hidden="1" x14ac:dyDescent="0.35"/>
    <row r="60693" hidden="1" x14ac:dyDescent="0.35"/>
    <row r="60694" hidden="1" x14ac:dyDescent="0.35"/>
    <row r="60695" hidden="1" x14ac:dyDescent="0.35"/>
    <row r="60696" hidden="1" x14ac:dyDescent="0.35"/>
    <row r="60697" hidden="1" x14ac:dyDescent="0.35"/>
    <row r="60698" hidden="1" x14ac:dyDescent="0.35"/>
    <row r="60699" hidden="1" x14ac:dyDescent="0.35"/>
    <row r="60700" hidden="1" x14ac:dyDescent="0.35"/>
    <row r="60701" hidden="1" x14ac:dyDescent="0.35"/>
    <row r="60702" hidden="1" x14ac:dyDescent="0.35"/>
    <row r="60703" hidden="1" x14ac:dyDescent="0.35"/>
    <row r="60704" hidden="1" x14ac:dyDescent="0.35"/>
    <row r="60705" hidden="1" x14ac:dyDescent="0.35"/>
    <row r="60706" hidden="1" x14ac:dyDescent="0.35"/>
    <row r="60707" hidden="1" x14ac:dyDescent="0.35"/>
    <row r="60708" hidden="1" x14ac:dyDescent="0.35"/>
    <row r="60709" hidden="1" x14ac:dyDescent="0.35"/>
    <row r="60710" hidden="1" x14ac:dyDescent="0.35"/>
    <row r="60711" hidden="1" x14ac:dyDescent="0.35"/>
    <row r="60712" hidden="1" x14ac:dyDescent="0.35"/>
    <row r="60713" hidden="1" x14ac:dyDescent="0.35"/>
    <row r="60714" hidden="1" x14ac:dyDescent="0.35"/>
    <row r="60715" hidden="1" x14ac:dyDescent="0.35"/>
    <row r="60716" hidden="1" x14ac:dyDescent="0.35"/>
    <row r="60717" hidden="1" x14ac:dyDescent="0.35"/>
    <row r="60718" hidden="1" x14ac:dyDescent="0.35"/>
    <row r="60719" hidden="1" x14ac:dyDescent="0.35"/>
    <row r="60720" hidden="1" x14ac:dyDescent="0.35"/>
    <row r="60721" hidden="1" x14ac:dyDescent="0.35"/>
    <row r="60722" hidden="1" x14ac:dyDescent="0.35"/>
    <row r="60723" hidden="1" x14ac:dyDescent="0.35"/>
    <row r="60724" hidden="1" x14ac:dyDescent="0.35"/>
    <row r="60725" hidden="1" x14ac:dyDescent="0.35"/>
    <row r="60726" hidden="1" x14ac:dyDescent="0.35"/>
    <row r="60727" hidden="1" x14ac:dyDescent="0.35"/>
    <row r="60728" hidden="1" x14ac:dyDescent="0.35"/>
    <row r="60729" hidden="1" x14ac:dyDescent="0.35"/>
    <row r="60730" hidden="1" x14ac:dyDescent="0.35"/>
    <row r="60731" hidden="1" x14ac:dyDescent="0.35"/>
    <row r="60732" hidden="1" x14ac:dyDescent="0.35"/>
    <row r="60733" hidden="1" x14ac:dyDescent="0.35"/>
    <row r="60734" hidden="1" x14ac:dyDescent="0.35"/>
    <row r="60735" hidden="1" x14ac:dyDescent="0.35"/>
    <row r="60736" hidden="1" x14ac:dyDescent="0.35"/>
    <row r="60737" hidden="1" x14ac:dyDescent="0.35"/>
    <row r="60738" hidden="1" x14ac:dyDescent="0.35"/>
    <row r="60739" hidden="1" x14ac:dyDescent="0.35"/>
    <row r="60740" hidden="1" x14ac:dyDescent="0.35"/>
    <row r="60741" hidden="1" x14ac:dyDescent="0.35"/>
    <row r="60742" hidden="1" x14ac:dyDescent="0.35"/>
    <row r="60743" hidden="1" x14ac:dyDescent="0.35"/>
    <row r="60744" hidden="1" x14ac:dyDescent="0.35"/>
    <row r="60745" hidden="1" x14ac:dyDescent="0.35"/>
    <row r="60746" hidden="1" x14ac:dyDescent="0.35"/>
    <row r="60747" hidden="1" x14ac:dyDescent="0.35"/>
    <row r="60748" hidden="1" x14ac:dyDescent="0.35"/>
    <row r="60749" hidden="1" x14ac:dyDescent="0.35"/>
    <row r="60750" hidden="1" x14ac:dyDescent="0.35"/>
    <row r="60751" hidden="1" x14ac:dyDescent="0.35"/>
    <row r="60752" hidden="1" x14ac:dyDescent="0.35"/>
    <row r="60753" hidden="1" x14ac:dyDescent="0.35"/>
    <row r="60754" hidden="1" x14ac:dyDescent="0.35"/>
    <row r="60755" hidden="1" x14ac:dyDescent="0.35"/>
    <row r="60756" hidden="1" x14ac:dyDescent="0.35"/>
    <row r="60757" hidden="1" x14ac:dyDescent="0.35"/>
    <row r="60758" hidden="1" x14ac:dyDescent="0.35"/>
    <row r="60759" hidden="1" x14ac:dyDescent="0.35"/>
    <row r="60760" hidden="1" x14ac:dyDescent="0.35"/>
    <row r="60761" hidden="1" x14ac:dyDescent="0.35"/>
    <row r="60762" hidden="1" x14ac:dyDescent="0.35"/>
    <row r="60763" hidden="1" x14ac:dyDescent="0.35"/>
    <row r="60764" hidden="1" x14ac:dyDescent="0.35"/>
    <row r="60765" hidden="1" x14ac:dyDescent="0.35"/>
    <row r="60766" hidden="1" x14ac:dyDescent="0.35"/>
    <row r="60767" hidden="1" x14ac:dyDescent="0.35"/>
    <row r="60768" hidden="1" x14ac:dyDescent="0.35"/>
    <row r="60769" hidden="1" x14ac:dyDescent="0.35"/>
    <row r="60770" hidden="1" x14ac:dyDescent="0.35"/>
    <row r="60771" hidden="1" x14ac:dyDescent="0.35"/>
    <row r="60772" hidden="1" x14ac:dyDescent="0.35"/>
    <row r="60773" hidden="1" x14ac:dyDescent="0.35"/>
    <row r="60774" hidden="1" x14ac:dyDescent="0.35"/>
    <row r="60775" hidden="1" x14ac:dyDescent="0.35"/>
    <row r="60776" hidden="1" x14ac:dyDescent="0.35"/>
    <row r="60777" hidden="1" x14ac:dyDescent="0.35"/>
    <row r="60778" hidden="1" x14ac:dyDescent="0.35"/>
    <row r="60779" hidden="1" x14ac:dyDescent="0.35"/>
    <row r="60780" hidden="1" x14ac:dyDescent="0.35"/>
    <row r="60781" hidden="1" x14ac:dyDescent="0.35"/>
    <row r="60782" hidden="1" x14ac:dyDescent="0.35"/>
    <row r="60783" hidden="1" x14ac:dyDescent="0.35"/>
    <row r="60784" hidden="1" x14ac:dyDescent="0.35"/>
    <row r="60785" hidden="1" x14ac:dyDescent="0.35"/>
    <row r="60786" hidden="1" x14ac:dyDescent="0.35"/>
    <row r="60787" hidden="1" x14ac:dyDescent="0.35"/>
    <row r="60788" hidden="1" x14ac:dyDescent="0.35"/>
    <row r="60789" hidden="1" x14ac:dyDescent="0.35"/>
    <row r="60790" hidden="1" x14ac:dyDescent="0.35"/>
    <row r="60791" hidden="1" x14ac:dyDescent="0.35"/>
    <row r="60792" hidden="1" x14ac:dyDescent="0.35"/>
    <row r="60793" hidden="1" x14ac:dyDescent="0.35"/>
    <row r="60794" hidden="1" x14ac:dyDescent="0.35"/>
    <row r="60795" hidden="1" x14ac:dyDescent="0.35"/>
    <row r="60796" hidden="1" x14ac:dyDescent="0.35"/>
    <row r="60797" hidden="1" x14ac:dyDescent="0.35"/>
    <row r="60798" hidden="1" x14ac:dyDescent="0.35"/>
    <row r="60799" hidden="1" x14ac:dyDescent="0.35"/>
    <row r="60800" hidden="1" x14ac:dyDescent="0.35"/>
    <row r="60801" hidden="1" x14ac:dyDescent="0.35"/>
    <row r="60802" hidden="1" x14ac:dyDescent="0.35"/>
    <row r="60803" hidden="1" x14ac:dyDescent="0.35"/>
    <row r="60804" hidden="1" x14ac:dyDescent="0.35"/>
    <row r="60805" hidden="1" x14ac:dyDescent="0.35"/>
    <row r="60806" hidden="1" x14ac:dyDescent="0.35"/>
    <row r="60807" hidden="1" x14ac:dyDescent="0.35"/>
    <row r="60808" hidden="1" x14ac:dyDescent="0.35"/>
    <row r="60809" hidden="1" x14ac:dyDescent="0.35"/>
    <row r="60810" hidden="1" x14ac:dyDescent="0.35"/>
    <row r="60811" hidden="1" x14ac:dyDescent="0.35"/>
    <row r="60812" hidden="1" x14ac:dyDescent="0.35"/>
    <row r="60813" hidden="1" x14ac:dyDescent="0.35"/>
    <row r="60814" hidden="1" x14ac:dyDescent="0.35"/>
    <row r="60815" hidden="1" x14ac:dyDescent="0.35"/>
    <row r="60816" hidden="1" x14ac:dyDescent="0.35"/>
    <row r="60817" hidden="1" x14ac:dyDescent="0.35"/>
    <row r="60818" hidden="1" x14ac:dyDescent="0.35"/>
    <row r="60819" hidden="1" x14ac:dyDescent="0.35"/>
    <row r="60820" hidden="1" x14ac:dyDescent="0.35"/>
    <row r="60821" hidden="1" x14ac:dyDescent="0.35"/>
    <row r="60822" hidden="1" x14ac:dyDescent="0.35"/>
    <row r="60823" hidden="1" x14ac:dyDescent="0.35"/>
    <row r="60824" hidden="1" x14ac:dyDescent="0.35"/>
    <row r="60825" hidden="1" x14ac:dyDescent="0.35"/>
    <row r="60826" hidden="1" x14ac:dyDescent="0.35"/>
    <row r="60827" hidden="1" x14ac:dyDescent="0.35"/>
    <row r="60828" hidden="1" x14ac:dyDescent="0.35"/>
    <row r="60829" hidden="1" x14ac:dyDescent="0.35"/>
    <row r="60830" hidden="1" x14ac:dyDescent="0.35"/>
    <row r="60831" hidden="1" x14ac:dyDescent="0.35"/>
    <row r="60832" hidden="1" x14ac:dyDescent="0.35"/>
    <row r="60833" hidden="1" x14ac:dyDescent="0.35"/>
    <row r="60834" hidden="1" x14ac:dyDescent="0.35"/>
    <row r="60835" hidden="1" x14ac:dyDescent="0.35"/>
    <row r="60836" hidden="1" x14ac:dyDescent="0.35"/>
    <row r="60837" hidden="1" x14ac:dyDescent="0.35"/>
    <row r="60838" hidden="1" x14ac:dyDescent="0.35"/>
    <row r="60839" hidden="1" x14ac:dyDescent="0.35"/>
    <row r="60840" hidden="1" x14ac:dyDescent="0.35"/>
    <row r="60841" hidden="1" x14ac:dyDescent="0.35"/>
    <row r="60842" hidden="1" x14ac:dyDescent="0.35"/>
    <row r="60843" hidden="1" x14ac:dyDescent="0.35"/>
    <row r="60844" hidden="1" x14ac:dyDescent="0.35"/>
    <row r="60845" hidden="1" x14ac:dyDescent="0.35"/>
    <row r="60846" hidden="1" x14ac:dyDescent="0.35"/>
    <row r="60847" hidden="1" x14ac:dyDescent="0.35"/>
    <row r="60848" hidden="1" x14ac:dyDescent="0.35"/>
    <row r="60849" hidden="1" x14ac:dyDescent="0.35"/>
    <row r="60850" hidden="1" x14ac:dyDescent="0.35"/>
    <row r="60851" hidden="1" x14ac:dyDescent="0.35"/>
    <row r="60852" hidden="1" x14ac:dyDescent="0.35"/>
    <row r="60853" hidden="1" x14ac:dyDescent="0.35"/>
    <row r="60854" hidden="1" x14ac:dyDescent="0.35"/>
    <row r="60855" hidden="1" x14ac:dyDescent="0.35"/>
    <row r="60856" hidden="1" x14ac:dyDescent="0.35"/>
    <row r="60857" hidden="1" x14ac:dyDescent="0.35"/>
    <row r="60858" hidden="1" x14ac:dyDescent="0.35"/>
    <row r="60859" hidden="1" x14ac:dyDescent="0.35"/>
    <row r="60860" hidden="1" x14ac:dyDescent="0.35"/>
    <row r="60861" hidden="1" x14ac:dyDescent="0.35"/>
    <row r="60862" hidden="1" x14ac:dyDescent="0.35"/>
    <row r="60863" hidden="1" x14ac:dyDescent="0.35"/>
    <row r="60864" hidden="1" x14ac:dyDescent="0.35"/>
    <row r="60865" hidden="1" x14ac:dyDescent="0.35"/>
    <row r="60866" hidden="1" x14ac:dyDescent="0.35"/>
    <row r="60867" hidden="1" x14ac:dyDescent="0.35"/>
    <row r="60868" hidden="1" x14ac:dyDescent="0.35"/>
    <row r="60869" hidden="1" x14ac:dyDescent="0.35"/>
    <row r="60870" hidden="1" x14ac:dyDescent="0.35"/>
    <row r="60871" hidden="1" x14ac:dyDescent="0.35"/>
    <row r="60872" hidden="1" x14ac:dyDescent="0.35"/>
    <row r="60873" hidden="1" x14ac:dyDescent="0.35"/>
    <row r="60874" hidden="1" x14ac:dyDescent="0.35"/>
    <row r="60875" hidden="1" x14ac:dyDescent="0.35"/>
    <row r="60876" hidden="1" x14ac:dyDescent="0.35"/>
    <row r="60877" hidden="1" x14ac:dyDescent="0.35"/>
    <row r="60878" hidden="1" x14ac:dyDescent="0.35"/>
    <row r="60879" hidden="1" x14ac:dyDescent="0.35"/>
    <row r="60880" hidden="1" x14ac:dyDescent="0.35"/>
    <row r="60881" hidden="1" x14ac:dyDescent="0.35"/>
    <row r="60882" hidden="1" x14ac:dyDescent="0.35"/>
    <row r="60883" hidden="1" x14ac:dyDescent="0.35"/>
    <row r="60884" hidden="1" x14ac:dyDescent="0.35"/>
    <row r="60885" hidden="1" x14ac:dyDescent="0.35"/>
    <row r="60886" hidden="1" x14ac:dyDescent="0.35"/>
    <row r="60887" hidden="1" x14ac:dyDescent="0.35"/>
    <row r="60888" hidden="1" x14ac:dyDescent="0.35"/>
    <row r="60889" hidden="1" x14ac:dyDescent="0.35"/>
    <row r="60890" hidden="1" x14ac:dyDescent="0.35"/>
    <row r="60891" hidden="1" x14ac:dyDescent="0.35"/>
    <row r="60892" hidden="1" x14ac:dyDescent="0.35"/>
    <row r="60893" hidden="1" x14ac:dyDescent="0.35"/>
    <row r="60894" hidden="1" x14ac:dyDescent="0.35"/>
    <row r="60895" hidden="1" x14ac:dyDescent="0.35"/>
    <row r="60896" hidden="1" x14ac:dyDescent="0.35"/>
    <row r="60897" hidden="1" x14ac:dyDescent="0.35"/>
    <row r="60898" hidden="1" x14ac:dyDescent="0.35"/>
    <row r="60899" hidden="1" x14ac:dyDescent="0.35"/>
    <row r="60900" hidden="1" x14ac:dyDescent="0.35"/>
    <row r="60901" hidden="1" x14ac:dyDescent="0.35"/>
    <row r="60902" hidden="1" x14ac:dyDescent="0.35"/>
    <row r="60903" hidden="1" x14ac:dyDescent="0.35"/>
    <row r="60904" hidden="1" x14ac:dyDescent="0.35"/>
    <row r="60905" hidden="1" x14ac:dyDescent="0.35"/>
    <row r="60906" hidden="1" x14ac:dyDescent="0.35"/>
    <row r="60907" hidden="1" x14ac:dyDescent="0.35"/>
    <row r="60908" hidden="1" x14ac:dyDescent="0.35"/>
    <row r="60909" hidden="1" x14ac:dyDescent="0.35"/>
    <row r="60910" hidden="1" x14ac:dyDescent="0.35"/>
    <row r="60911" hidden="1" x14ac:dyDescent="0.35"/>
    <row r="60912" hidden="1" x14ac:dyDescent="0.35"/>
    <row r="60913" hidden="1" x14ac:dyDescent="0.35"/>
    <row r="60914" hidden="1" x14ac:dyDescent="0.35"/>
    <row r="60915" hidden="1" x14ac:dyDescent="0.35"/>
    <row r="60916" hidden="1" x14ac:dyDescent="0.35"/>
    <row r="60917" hidden="1" x14ac:dyDescent="0.35"/>
    <row r="60918" hidden="1" x14ac:dyDescent="0.35"/>
    <row r="60919" hidden="1" x14ac:dyDescent="0.35"/>
    <row r="60920" hidden="1" x14ac:dyDescent="0.35"/>
    <row r="60921" hidden="1" x14ac:dyDescent="0.35"/>
    <row r="60922" hidden="1" x14ac:dyDescent="0.35"/>
    <row r="60923" hidden="1" x14ac:dyDescent="0.35"/>
    <row r="60924" hidden="1" x14ac:dyDescent="0.35"/>
    <row r="60925" hidden="1" x14ac:dyDescent="0.35"/>
    <row r="60926" hidden="1" x14ac:dyDescent="0.35"/>
    <row r="60927" hidden="1" x14ac:dyDescent="0.35"/>
    <row r="60928" hidden="1" x14ac:dyDescent="0.35"/>
    <row r="60929" hidden="1" x14ac:dyDescent="0.35"/>
    <row r="60930" hidden="1" x14ac:dyDescent="0.35"/>
    <row r="60931" hidden="1" x14ac:dyDescent="0.35"/>
    <row r="60932" hidden="1" x14ac:dyDescent="0.35"/>
    <row r="60933" hidden="1" x14ac:dyDescent="0.35"/>
    <row r="60934" hidden="1" x14ac:dyDescent="0.35"/>
    <row r="60935" hidden="1" x14ac:dyDescent="0.35"/>
    <row r="60936" hidden="1" x14ac:dyDescent="0.35"/>
    <row r="60937" hidden="1" x14ac:dyDescent="0.35"/>
    <row r="60938" hidden="1" x14ac:dyDescent="0.35"/>
    <row r="60939" hidden="1" x14ac:dyDescent="0.35"/>
    <row r="60940" hidden="1" x14ac:dyDescent="0.35"/>
    <row r="60941" hidden="1" x14ac:dyDescent="0.35"/>
    <row r="60942" hidden="1" x14ac:dyDescent="0.35"/>
    <row r="60943" hidden="1" x14ac:dyDescent="0.35"/>
    <row r="60944" hidden="1" x14ac:dyDescent="0.35"/>
    <row r="60945" hidden="1" x14ac:dyDescent="0.35"/>
    <row r="60946" hidden="1" x14ac:dyDescent="0.35"/>
    <row r="60947" hidden="1" x14ac:dyDescent="0.35"/>
    <row r="60948" hidden="1" x14ac:dyDescent="0.35"/>
    <row r="60949" hidden="1" x14ac:dyDescent="0.35"/>
    <row r="60950" hidden="1" x14ac:dyDescent="0.35"/>
    <row r="60951" hidden="1" x14ac:dyDescent="0.35"/>
    <row r="60952" hidden="1" x14ac:dyDescent="0.35"/>
    <row r="60953" hidden="1" x14ac:dyDescent="0.35"/>
    <row r="60954" hidden="1" x14ac:dyDescent="0.35"/>
    <row r="60955" hidden="1" x14ac:dyDescent="0.35"/>
    <row r="60956" hidden="1" x14ac:dyDescent="0.35"/>
    <row r="60957" hidden="1" x14ac:dyDescent="0.35"/>
    <row r="60958" hidden="1" x14ac:dyDescent="0.35"/>
    <row r="60959" hidden="1" x14ac:dyDescent="0.35"/>
    <row r="60960" hidden="1" x14ac:dyDescent="0.35"/>
    <row r="60961" hidden="1" x14ac:dyDescent="0.35"/>
    <row r="60962" hidden="1" x14ac:dyDescent="0.35"/>
    <row r="60963" hidden="1" x14ac:dyDescent="0.35"/>
    <row r="60964" hidden="1" x14ac:dyDescent="0.35"/>
    <row r="60965" hidden="1" x14ac:dyDescent="0.35"/>
    <row r="60966" hidden="1" x14ac:dyDescent="0.35"/>
    <row r="60967" hidden="1" x14ac:dyDescent="0.35"/>
    <row r="60968" hidden="1" x14ac:dyDescent="0.35"/>
    <row r="60969" hidden="1" x14ac:dyDescent="0.35"/>
    <row r="60970" hidden="1" x14ac:dyDescent="0.35"/>
    <row r="60971" hidden="1" x14ac:dyDescent="0.35"/>
    <row r="60972" hidden="1" x14ac:dyDescent="0.35"/>
    <row r="60973" hidden="1" x14ac:dyDescent="0.35"/>
    <row r="60974" hidden="1" x14ac:dyDescent="0.35"/>
    <row r="60975" hidden="1" x14ac:dyDescent="0.35"/>
    <row r="60976" hidden="1" x14ac:dyDescent="0.35"/>
    <row r="60977" hidden="1" x14ac:dyDescent="0.35"/>
    <row r="60978" hidden="1" x14ac:dyDescent="0.35"/>
    <row r="60979" hidden="1" x14ac:dyDescent="0.35"/>
    <row r="60980" hidden="1" x14ac:dyDescent="0.35"/>
    <row r="60981" hidden="1" x14ac:dyDescent="0.35"/>
    <row r="60982" hidden="1" x14ac:dyDescent="0.35"/>
    <row r="60983" hidden="1" x14ac:dyDescent="0.35"/>
    <row r="60984" hidden="1" x14ac:dyDescent="0.35"/>
    <row r="60985" hidden="1" x14ac:dyDescent="0.35"/>
    <row r="60986" hidden="1" x14ac:dyDescent="0.35"/>
    <row r="60987" hidden="1" x14ac:dyDescent="0.35"/>
    <row r="60988" hidden="1" x14ac:dyDescent="0.35"/>
    <row r="60989" hidden="1" x14ac:dyDescent="0.35"/>
    <row r="60990" hidden="1" x14ac:dyDescent="0.35"/>
    <row r="60991" hidden="1" x14ac:dyDescent="0.35"/>
    <row r="60992" hidden="1" x14ac:dyDescent="0.35"/>
    <row r="60993" hidden="1" x14ac:dyDescent="0.35"/>
    <row r="60994" hidden="1" x14ac:dyDescent="0.35"/>
    <row r="60995" hidden="1" x14ac:dyDescent="0.35"/>
    <row r="60996" hidden="1" x14ac:dyDescent="0.35"/>
    <row r="60997" hidden="1" x14ac:dyDescent="0.35"/>
    <row r="60998" hidden="1" x14ac:dyDescent="0.35"/>
    <row r="60999" hidden="1" x14ac:dyDescent="0.35"/>
    <row r="61000" hidden="1" x14ac:dyDescent="0.35"/>
    <row r="61001" hidden="1" x14ac:dyDescent="0.35"/>
    <row r="61002" hidden="1" x14ac:dyDescent="0.35"/>
    <row r="61003" hidden="1" x14ac:dyDescent="0.35"/>
    <row r="61004" hidden="1" x14ac:dyDescent="0.35"/>
    <row r="61005" hidden="1" x14ac:dyDescent="0.35"/>
    <row r="61006" hidden="1" x14ac:dyDescent="0.35"/>
    <row r="61007" hidden="1" x14ac:dyDescent="0.35"/>
    <row r="61008" hidden="1" x14ac:dyDescent="0.35"/>
    <row r="61009" hidden="1" x14ac:dyDescent="0.35"/>
    <row r="61010" hidden="1" x14ac:dyDescent="0.35"/>
    <row r="61011" hidden="1" x14ac:dyDescent="0.35"/>
    <row r="61012" hidden="1" x14ac:dyDescent="0.35"/>
    <row r="61013" hidden="1" x14ac:dyDescent="0.35"/>
    <row r="61014" hidden="1" x14ac:dyDescent="0.35"/>
    <row r="61015" hidden="1" x14ac:dyDescent="0.35"/>
    <row r="61016" hidden="1" x14ac:dyDescent="0.35"/>
    <row r="61017" hidden="1" x14ac:dyDescent="0.35"/>
    <row r="61018" hidden="1" x14ac:dyDescent="0.35"/>
    <row r="61019" hidden="1" x14ac:dyDescent="0.35"/>
    <row r="61020" hidden="1" x14ac:dyDescent="0.35"/>
    <row r="61021" hidden="1" x14ac:dyDescent="0.35"/>
    <row r="61022" hidden="1" x14ac:dyDescent="0.35"/>
    <row r="61023" hidden="1" x14ac:dyDescent="0.35"/>
    <row r="61024" hidden="1" x14ac:dyDescent="0.35"/>
    <row r="61025" hidden="1" x14ac:dyDescent="0.35"/>
    <row r="61026" hidden="1" x14ac:dyDescent="0.35"/>
    <row r="61027" hidden="1" x14ac:dyDescent="0.35"/>
    <row r="61028" hidden="1" x14ac:dyDescent="0.35"/>
    <row r="61029" hidden="1" x14ac:dyDescent="0.35"/>
    <row r="61030" hidden="1" x14ac:dyDescent="0.35"/>
    <row r="61031" hidden="1" x14ac:dyDescent="0.35"/>
    <row r="61032" hidden="1" x14ac:dyDescent="0.35"/>
    <row r="61033" hidden="1" x14ac:dyDescent="0.35"/>
    <row r="61034" hidden="1" x14ac:dyDescent="0.35"/>
    <row r="61035" hidden="1" x14ac:dyDescent="0.35"/>
    <row r="61036" hidden="1" x14ac:dyDescent="0.35"/>
    <row r="61037" hidden="1" x14ac:dyDescent="0.35"/>
    <row r="61038" hidden="1" x14ac:dyDescent="0.35"/>
    <row r="61039" hidden="1" x14ac:dyDescent="0.35"/>
    <row r="61040" hidden="1" x14ac:dyDescent="0.35"/>
    <row r="61041" hidden="1" x14ac:dyDescent="0.35"/>
    <row r="61042" hidden="1" x14ac:dyDescent="0.35"/>
    <row r="61043" hidden="1" x14ac:dyDescent="0.35"/>
    <row r="61044" hidden="1" x14ac:dyDescent="0.35"/>
    <row r="61045" hidden="1" x14ac:dyDescent="0.35"/>
    <row r="61046" hidden="1" x14ac:dyDescent="0.35"/>
    <row r="61047" hidden="1" x14ac:dyDescent="0.35"/>
    <row r="61048" hidden="1" x14ac:dyDescent="0.35"/>
    <row r="61049" hidden="1" x14ac:dyDescent="0.35"/>
    <row r="61050" hidden="1" x14ac:dyDescent="0.35"/>
    <row r="61051" hidden="1" x14ac:dyDescent="0.35"/>
    <row r="61052" hidden="1" x14ac:dyDescent="0.35"/>
    <row r="61053" hidden="1" x14ac:dyDescent="0.35"/>
    <row r="61054" hidden="1" x14ac:dyDescent="0.35"/>
    <row r="61055" hidden="1" x14ac:dyDescent="0.35"/>
    <row r="61056" hidden="1" x14ac:dyDescent="0.35"/>
    <row r="61057" hidden="1" x14ac:dyDescent="0.35"/>
    <row r="61058" hidden="1" x14ac:dyDescent="0.35"/>
    <row r="61059" hidden="1" x14ac:dyDescent="0.35"/>
    <row r="61060" hidden="1" x14ac:dyDescent="0.35"/>
    <row r="61061" hidden="1" x14ac:dyDescent="0.35"/>
    <row r="61062" hidden="1" x14ac:dyDescent="0.35"/>
    <row r="61063" hidden="1" x14ac:dyDescent="0.35"/>
    <row r="61064" hidden="1" x14ac:dyDescent="0.35"/>
    <row r="61065" hidden="1" x14ac:dyDescent="0.35"/>
    <row r="61066" hidden="1" x14ac:dyDescent="0.35"/>
    <row r="61067" hidden="1" x14ac:dyDescent="0.35"/>
    <row r="61068" hidden="1" x14ac:dyDescent="0.35"/>
    <row r="61069" hidden="1" x14ac:dyDescent="0.35"/>
    <row r="61070" hidden="1" x14ac:dyDescent="0.35"/>
    <row r="61071" hidden="1" x14ac:dyDescent="0.35"/>
    <row r="61072" hidden="1" x14ac:dyDescent="0.35"/>
    <row r="61073" hidden="1" x14ac:dyDescent="0.35"/>
    <row r="61074" hidden="1" x14ac:dyDescent="0.35"/>
    <row r="61075" hidden="1" x14ac:dyDescent="0.35"/>
    <row r="61076" hidden="1" x14ac:dyDescent="0.35"/>
    <row r="61077" hidden="1" x14ac:dyDescent="0.35"/>
    <row r="61078" hidden="1" x14ac:dyDescent="0.35"/>
    <row r="61079" hidden="1" x14ac:dyDescent="0.35"/>
    <row r="61080" hidden="1" x14ac:dyDescent="0.35"/>
    <row r="61081" hidden="1" x14ac:dyDescent="0.35"/>
    <row r="61082" hidden="1" x14ac:dyDescent="0.35"/>
    <row r="61083" hidden="1" x14ac:dyDescent="0.35"/>
    <row r="61084" hidden="1" x14ac:dyDescent="0.35"/>
    <row r="61085" hidden="1" x14ac:dyDescent="0.35"/>
    <row r="61086" hidden="1" x14ac:dyDescent="0.35"/>
    <row r="61087" hidden="1" x14ac:dyDescent="0.35"/>
    <row r="61088" hidden="1" x14ac:dyDescent="0.35"/>
    <row r="61089" hidden="1" x14ac:dyDescent="0.35"/>
    <row r="61090" hidden="1" x14ac:dyDescent="0.35"/>
    <row r="61091" hidden="1" x14ac:dyDescent="0.35"/>
    <row r="61092" hidden="1" x14ac:dyDescent="0.35"/>
    <row r="61093" hidden="1" x14ac:dyDescent="0.35"/>
    <row r="61094" hidden="1" x14ac:dyDescent="0.35"/>
    <row r="61095" hidden="1" x14ac:dyDescent="0.35"/>
    <row r="61096" hidden="1" x14ac:dyDescent="0.35"/>
    <row r="61097" hidden="1" x14ac:dyDescent="0.35"/>
    <row r="61098" hidden="1" x14ac:dyDescent="0.35"/>
    <row r="61099" hidden="1" x14ac:dyDescent="0.35"/>
    <row r="61100" hidden="1" x14ac:dyDescent="0.35"/>
    <row r="61101" hidden="1" x14ac:dyDescent="0.35"/>
    <row r="61102" hidden="1" x14ac:dyDescent="0.35"/>
    <row r="61103" hidden="1" x14ac:dyDescent="0.35"/>
    <row r="61104" hidden="1" x14ac:dyDescent="0.35"/>
    <row r="61105" hidden="1" x14ac:dyDescent="0.35"/>
    <row r="61106" hidden="1" x14ac:dyDescent="0.35"/>
    <row r="61107" hidden="1" x14ac:dyDescent="0.35"/>
    <row r="61108" hidden="1" x14ac:dyDescent="0.35"/>
    <row r="61109" hidden="1" x14ac:dyDescent="0.35"/>
    <row r="61110" hidden="1" x14ac:dyDescent="0.35"/>
    <row r="61111" hidden="1" x14ac:dyDescent="0.35"/>
    <row r="61112" hidden="1" x14ac:dyDescent="0.35"/>
    <row r="61113" hidden="1" x14ac:dyDescent="0.35"/>
    <row r="61114" hidden="1" x14ac:dyDescent="0.35"/>
    <row r="61115" hidden="1" x14ac:dyDescent="0.35"/>
    <row r="61116" hidden="1" x14ac:dyDescent="0.35"/>
    <row r="61117" hidden="1" x14ac:dyDescent="0.35"/>
    <row r="61118" hidden="1" x14ac:dyDescent="0.35"/>
    <row r="61119" hidden="1" x14ac:dyDescent="0.35"/>
    <row r="61120" hidden="1" x14ac:dyDescent="0.35"/>
    <row r="61121" hidden="1" x14ac:dyDescent="0.35"/>
    <row r="61122" hidden="1" x14ac:dyDescent="0.35"/>
    <row r="61123" hidden="1" x14ac:dyDescent="0.35"/>
    <row r="61124" hidden="1" x14ac:dyDescent="0.35"/>
    <row r="61125" hidden="1" x14ac:dyDescent="0.35"/>
    <row r="61126" hidden="1" x14ac:dyDescent="0.35"/>
    <row r="61127" hidden="1" x14ac:dyDescent="0.35"/>
    <row r="61128" hidden="1" x14ac:dyDescent="0.35"/>
    <row r="61129" hidden="1" x14ac:dyDescent="0.35"/>
    <row r="61130" hidden="1" x14ac:dyDescent="0.35"/>
    <row r="61131" hidden="1" x14ac:dyDescent="0.35"/>
    <row r="61132" hidden="1" x14ac:dyDescent="0.35"/>
    <row r="61133" hidden="1" x14ac:dyDescent="0.35"/>
    <row r="61134" hidden="1" x14ac:dyDescent="0.35"/>
    <row r="61135" hidden="1" x14ac:dyDescent="0.35"/>
    <row r="61136" hidden="1" x14ac:dyDescent="0.35"/>
    <row r="61137" hidden="1" x14ac:dyDescent="0.35"/>
    <row r="61138" hidden="1" x14ac:dyDescent="0.35"/>
    <row r="61139" hidden="1" x14ac:dyDescent="0.35"/>
    <row r="61140" hidden="1" x14ac:dyDescent="0.35"/>
    <row r="61141" hidden="1" x14ac:dyDescent="0.35"/>
    <row r="61142" hidden="1" x14ac:dyDescent="0.35"/>
    <row r="61143" hidden="1" x14ac:dyDescent="0.35"/>
    <row r="61144" hidden="1" x14ac:dyDescent="0.35"/>
    <row r="61145" hidden="1" x14ac:dyDescent="0.35"/>
    <row r="61146" hidden="1" x14ac:dyDescent="0.35"/>
    <row r="61147" hidden="1" x14ac:dyDescent="0.35"/>
    <row r="61148" hidden="1" x14ac:dyDescent="0.35"/>
    <row r="61149" hidden="1" x14ac:dyDescent="0.35"/>
    <row r="61150" hidden="1" x14ac:dyDescent="0.35"/>
    <row r="61151" hidden="1" x14ac:dyDescent="0.35"/>
    <row r="61152" hidden="1" x14ac:dyDescent="0.35"/>
    <row r="61153" hidden="1" x14ac:dyDescent="0.35"/>
    <row r="61154" hidden="1" x14ac:dyDescent="0.35"/>
    <row r="61155" hidden="1" x14ac:dyDescent="0.35"/>
    <row r="61156" hidden="1" x14ac:dyDescent="0.35"/>
    <row r="61157" hidden="1" x14ac:dyDescent="0.35"/>
    <row r="61158" hidden="1" x14ac:dyDescent="0.35"/>
    <row r="61159" hidden="1" x14ac:dyDescent="0.35"/>
    <row r="61160" hidden="1" x14ac:dyDescent="0.35"/>
    <row r="61161" hidden="1" x14ac:dyDescent="0.35"/>
    <row r="61162" hidden="1" x14ac:dyDescent="0.35"/>
    <row r="61163" hidden="1" x14ac:dyDescent="0.35"/>
    <row r="61164" hidden="1" x14ac:dyDescent="0.35"/>
    <row r="61165" hidden="1" x14ac:dyDescent="0.35"/>
    <row r="61166" hidden="1" x14ac:dyDescent="0.35"/>
    <row r="61167" hidden="1" x14ac:dyDescent="0.35"/>
    <row r="61168" hidden="1" x14ac:dyDescent="0.35"/>
    <row r="61169" hidden="1" x14ac:dyDescent="0.35"/>
    <row r="61170" hidden="1" x14ac:dyDescent="0.35"/>
    <row r="61171" hidden="1" x14ac:dyDescent="0.35"/>
    <row r="61172" hidden="1" x14ac:dyDescent="0.35"/>
    <row r="61173" hidden="1" x14ac:dyDescent="0.35"/>
    <row r="61174" hidden="1" x14ac:dyDescent="0.35"/>
    <row r="61175" hidden="1" x14ac:dyDescent="0.35"/>
    <row r="61176" hidden="1" x14ac:dyDescent="0.35"/>
    <row r="61177" hidden="1" x14ac:dyDescent="0.35"/>
    <row r="61178" hidden="1" x14ac:dyDescent="0.35"/>
    <row r="61179" hidden="1" x14ac:dyDescent="0.35"/>
    <row r="61180" hidden="1" x14ac:dyDescent="0.35"/>
    <row r="61181" hidden="1" x14ac:dyDescent="0.35"/>
    <row r="61182" hidden="1" x14ac:dyDescent="0.35"/>
    <row r="61183" hidden="1" x14ac:dyDescent="0.35"/>
    <row r="61184" hidden="1" x14ac:dyDescent="0.35"/>
    <row r="61185" hidden="1" x14ac:dyDescent="0.35"/>
    <row r="61186" hidden="1" x14ac:dyDescent="0.35"/>
    <row r="61187" hidden="1" x14ac:dyDescent="0.35"/>
    <row r="61188" hidden="1" x14ac:dyDescent="0.35"/>
    <row r="61189" hidden="1" x14ac:dyDescent="0.35"/>
    <row r="61190" hidden="1" x14ac:dyDescent="0.35"/>
    <row r="61191" hidden="1" x14ac:dyDescent="0.35"/>
    <row r="61192" hidden="1" x14ac:dyDescent="0.35"/>
    <row r="61193" hidden="1" x14ac:dyDescent="0.35"/>
    <row r="61194" hidden="1" x14ac:dyDescent="0.35"/>
    <row r="61195" hidden="1" x14ac:dyDescent="0.35"/>
    <row r="61196" hidden="1" x14ac:dyDescent="0.35"/>
    <row r="61197" hidden="1" x14ac:dyDescent="0.35"/>
    <row r="61198" hidden="1" x14ac:dyDescent="0.35"/>
    <row r="61199" hidden="1" x14ac:dyDescent="0.35"/>
    <row r="61200" hidden="1" x14ac:dyDescent="0.35"/>
    <row r="61201" hidden="1" x14ac:dyDescent="0.35"/>
    <row r="61202" hidden="1" x14ac:dyDescent="0.35"/>
    <row r="61203" hidden="1" x14ac:dyDescent="0.35"/>
    <row r="61204" hidden="1" x14ac:dyDescent="0.35"/>
    <row r="61205" hidden="1" x14ac:dyDescent="0.35"/>
    <row r="61206" hidden="1" x14ac:dyDescent="0.35"/>
    <row r="61207" hidden="1" x14ac:dyDescent="0.35"/>
    <row r="61208" hidden="1" x14ac:dyDescent="0.35"/>
    <row r="61209" hidden="1" x14ac:dyDescent="0.35"/>
    <row r="61210" hidden="1" x14ac:dyDescent="0.35"/>
    <row r="61211" hidden="1" x14ac:dyDescent="0.35"/>
    <row r="61212" hidden="1" x14ac:dyDescent="0.35"/>
    <row r="61213" hidden="1" x14ac:dyDescent="0.35"/>
    <row r="61214" hidden="1" x14ac:dyDescent="0.35"/>
    <row r="61215" hidden="1" x14ac:dyDescent="0.35"/>
    <row r="61216" hidden="1" x14ac:dyDescent="0.35"/>
    <row r="61217" hidden="1" x14ac:dyDescent="0.35"/>
    <row r="61218" hidden="1" x14ac:dyDescent="0.35"/>
    <row r="61219" hidden="1" x14ac:dyDescent="0.35"/>
    <row r="61220" hidden="1" x14ac:dyDescent="0.35"/>
    <row r="61221" hidden="1" x14ac:dyDescent="0.35"/>
    <row r="61222" hidden="1" x14ac:dyDescent="0.35"/>
    <row r="61223" hidden="1" x14ac:dyDescent="0.35"/>
    <row r="61224" hidden="1" x14ac:dyDescent="0.35"/>
    <row r="61225" hidden="1" x14ac:dyDescent="0.35"/>
    <row r="61226" hidden="1" x14ac:dyDescent="0.35"/>
    <row r="61227" hidden="1" x14ac:dyDescent="0.35"/>
    <row r="61228" hidden="1" x14ac:dyDescent="0.35"/>
    <row r="61229" hidden="1" x14ac:dyDescent="0.35"/>
    <row r="61230" hidden="1" x14ac:dyDescent="0.35"/>
    <row r="61231" hidden="1" x14ac:dyDescent="0.35"/>
    <row r="61232" hidden="1" x14ac:dyDescent="0.35"/>
    <row r="61233" hidden="1" x14ac:dyDescent="0.35"/>
    <row r="61234" hidden="1" x14ac:dyDescent="0.35"/>
    <row r="61235" hidden="1" x14ac:dyDescent="0.35"/>
    <row r="61236" hidden="1" x14ac:dyDescent="0.35"/>
    <row r="61237" hidden="1" x14ac:dyDescent="0.35"/>
    <row r="61238" hidden="1" x14ac:dyDescent="0.35"/>
    <row r="61239" hidden="1" x14ac:dyDescent="0.35"/>
    <row r="61240" hidden="1" x14ac:dyDescent="0.35"/>
    <row r="61241" hidden="1" x14ac:dyDescent="0.35"/>
    <row r="61242" hidden="1" x14ac:dyDescent="0.35"/>
    <row r="61243" hidden="1" x14ac:dyDescent="0.35"/>
    <row r="61244" hidden="1" x14ac:dyDescent="0.35"/>
    <row r="61245" hidden="1" x14ac:dyDescent="0.35"/>
    <row r="61246" hidden="1" x14ac:dyDescent="0.35"/>
    <row r="61247" hidden="1" x14ac:dyDescent="0.35"/>
    <row r="61248" hidden="1" x14ac:dyDescent="0.35"/>
    <row r="61249" hidden="1" x14ac:dyDescent="0.35"/>
    <row r="61250" hidden="1" x14ac:dyDescent="0.35"/>
    <row r="61251" hidden="1" x14ac:dyDescent="0.35"/>
    <row r="61252" hidden="1" x14ac:dyDescent="0.35"/>
    <row r="61253" hidden="1" x14ac:dyDescent="0.35"/>
    <row r="61254" hidden="1" x14ac:dyDescent="0.35"/>
    <row r="61255" hidden="1" x14ac:dyDescent="0.35"/>
    <row r="61256" hidden="1" x14ac:dyDescent="0.35"/>
    <row r="61257" hidden="1" x14ac:dyDescent="0.35"/>
    <row r="61258" hidden="1" x14ac:dyDescent="0.35"/>
    <row r="61259" hidden="1" x14ac:dyDescent="0.35"/>
    <row r="61260" hidden="1" x14ac:dyDescent="0.35"/>
    <row r="61261" hidden="1" x14ac:dyDescent="0.35"/>
    <row r="61262" hidden="1" x14ac:dyDescent="0.35"/>
    <row r="61263" hidden="1" x14ac:dyDescent="0.35"/>
    <row r="61264" hidden="1" x14ac:dyDescent="0.35"/>
    <row r="61265" hidden="1" x14ac:dyDescent="0.35"/>
    <row r="61266" hidden="1" x14ac:dyDescent="0.35"/>
    <row r="61267" hidden="1" x14ac:dyDescent="0.35"/>
    <row r="61268" hidden="1" x14ac:dyDescent="0.35"/>
    <row r="61269" hidden="1" x14ac:dyDescent="0.35"/>
    <row r="61270" hidden="1" x14ac:dyDescent="0.35"/>
    <row r="61271" hidden="1" x14ac:dyDescent="0.35"/>
    <row r="61272" hidden="1" x14ac:dyDescent="0.35"/>
    <row r="61273" hidden="1" x14ac:dyDescent="0.35"/>
    <row r="61274" hidden="1" x14ac:dyDescent="0.35"/>
    <row r="61275" hidden="1" x14ac:dyDescent="0.35"/>
    <row r="61276" hidden="1" x14ac:dyDescent="0.35"/>
    <row r="61277" hidden="1" x14ac:dyDescent="0.35"/>
    <row r="61278" hidden="1" x14ac:dyDescent="0.35"/>
    <row r="61279" hidden="1" x14ac:dyDescent="0.35"/>
    <row r="61280" hidden="1" x14ac:dyDescent="0.35"/>
    <row r="61281" hidden="1" x14ac:dyDescent="0.35"/>
    <row r="61282" hidden="1" x14ac:dyDescent="0.35"/>
    <row r="61283" hidden="1" x14ac:dyDescent="0.35"/>
    <row r="61284" hidden="1" x14ac:dyDescent="0.35"/>
    <row r="61285" hidden="1" x14ac:dyDescent="0.35"/>
    <row r="61286" hidden="1" x14ac:dyDescent="0.35"/>
    <row r="61287" hidden="1" x14ac:dyDescent="0.35"/>
    <row r="61288" hidden="1" x14ac:dyDescent="0.35"/>
    <row r="61289" hidden="1" x14ac:dyDescent="0.35"/>
    <row r="61290" hidden="1" x14ac:dyDescent="0.35"/>
    <row r="61291" hidden="1" x14ac:dyDescent="0.35"/>
    <row r="61292" hidden="1" x14ac:dyDescent="0.35"/>
    <row r="61293" hidden="1" x14ac:dyDescent="0.35"/>
    <row r="61294" hidden="1" x14ac:dyDescent="0.35"/>
    <row r="61295" hidden="1" x14ac:dyDescent="0.35"/>
    <row r="61296" hidden="1" x14ac:dyDescent="0.35"/>
    <row r="61297" hidden="1" x14ac:dyDescent="0.35"/>
    <row r="61298" hidden="1" x14ac:dyDescent="0.35"/>
    <row r="61299" hidden="1" x14ac:dyDescent="0.35"/>
    <row r="61300" hidden="1" x14ac:dyDescent="0.35"/>
    <row r="61301" hidden="1" x14ac:dyDescent="0.35"/>
    <row r="61302" hidden="1" x14ac:dyDescent="0.35"/>
    <row r="61303" hidden="1" x14ac:dyDescent="0.35"/>
    <row r="61304" hidden="1" x14ac:dyDescent="0.35"/>
    <row r="61305" hidden="1" x14ac:dyDescent="0.35"/>
    <row r="61306" hidden="1" x14ac:dyDescent="0.35"/>
    <row r="61307" hidden="1" x14ac:dyDescent="0.35"/>
    <row r="61308" hidden="1" x14ac:dyDescent="0.35"/>
    <row r="61309" hidden="1" x14ac:dyDescent="0.35"/>
    <row r="61310" hidden="1" x14ac:dyDescent="0.35"/>
    <row r="61311" hidden="1" x14ac:dyDescent="0.35"/>
    <row r="61312" hidden="1" x14ac:dyDescent="0.35"/>
    <row r="61313" hidden="1" x14ac:dyDescent="0.35"/>
    <row r="61314" hidden="1" x14ac:dyDescent="0.35"/>
    <row r="61315" hidden="1" x14ac:dyDescent="0.35"/>
    <row r="61316" hidden="1" x14ac:dyDescent="0.35"/>
    <row r="61317" hidden="1" x14ac:dyDescent="0.35"/>
    <row r="61318" hidden="1" x14ac:dyDescent="0.35"/>
    <row r="61319" hidden="1" x14ac:dyDescent="0.35"/>
    <row r="61320" hidden="1" x14ac:dyDescent="0.35"/>
    <row r="61321" hidden="1" x14ac:dyDescent="0.35"/>
    <row r="61322" hidden="1" x14ac:dyDescent="0.35"/>
    <row r="61323" hidden="1" x14ac:dyDescent="0.35"/>
    <row r="61324" hidden="1" x14ac:dyDescent="0.35"/>
    <row r="61325" hidden="1" x14ac:dyDescent="0.35"/>
    <row r="61326" hidden="1" x14ac:dyDescent="0.35"/>
    <row r="61327" hidden="1" x14ac:dyDescent="0.35"/>
    <row r="61328" hidden="1" x14ac:dyDescent="0.35"/>
    <row r="61329" hidden="1" x14ac:dyDescent="0.35"/>
    <row r="61330" hidden="1" x14ac:dyDescent="0.35"/>
    <row r="61331" hidden="1" x14ac:dyDescent="0.35"/>
    <row r="61332" hidden="1" x14ac:dyDescent="0.35"/>
    <row r="61333" hidden="1" x14ac:dyDescent="0.35"/>
    <row r="61334" hidden="1" x14ac:dyDescent="0.35"/>
    <row r="61335" hidden="1" x14ac:dyDescent="0.35"/>
    <row r="61336" hidden="1" x14ac:dyDescent="0.35"/>
    <row r="61337" hidden="1" x14ac:dyDescent="0.35"/>
    <row r="61338" hidden="1" x14ac:dyDescent="0.35"/>
    <row r="61339" hidden="1" x14ac:dyDescent="0.35"/>
    <row r="61340" hidden="1" x14ac:dyDescent="0.35"/>
    <row r="61341" hidden="1" x14ac:dyDescent="0.35"/>
    <row r="61342" hidden="1" x14ac:dyDescent="0.35"/>
    <row r="61343" hidden="1" x14ac:dyDescent="0.35"/>
    <row r="61344" hidden="1" x14ac:dyDescent="0.35"/>
    <row r="61345" hidden="1" x14ac:dyDescent="0.35"/>
    <row r="61346" hidden="1" x14ac:dyDescent="0.35"/>
    <row r="61347" hidden="1" x14ac:dyDescent="0.35"/>
    <row r="61348" hidden="1" x14ac:dyDescent="0.35"/>
    <row r="61349" hidden="1" x14ac:dyDescent="0.35"/>
    <row r="61350" hidden="1" x14ac:dyDescent="0.35"/>
    <row r="61351" hidden="1" x14ac:dyDescent="0.35"/>
    <row r="61352" hidden="1" x14ac:dyDescent="0.35"/>
    <row r="61353" hidden="1" x14ac:dyDescent="0.35"/>
    <row r="61354" hidden="1" x14ac:dyDescent="0.35"/>
    <row r="61355" hidden="1" x14ac:dyDescent="0.35"/>
    <row r="61356" hidden="1" x14ac:dyDescent="0.35"/>
    <row r="61357" hidden="1" x14ac:dyDescent="0.35"/>
    <row r="61358" hidden="1" x14ac:dyDescent="0.35"/>
    <row r="61359" hidden="1" x14ac:dyDescent="0.35"/>
    <row r="61360" hidden="1" x14ac:dyDescent="0.35"/>
    <row r="61361" hidden="1" x14ac:dyDescent="0.35"/>
    <row r="61362" hidden="1" x14ac:dyDescent="0.35"/>
    <row r="61363" hidden="1" x14ac:dyDescent="0.35"/>
    <row r="61364" hidden="1" x14ac:dyDescent="0.35"/>
    <row r="61365" hidden="1" x14ac:dyDescent="0.35"/>
    <row r="61366" hidden="1" x14ac:dyDescent="0.35"/>
    <row r="61367" hidden="1" x14ac:dyDescent="0.35"/>
    <row r="61368" hidden="1" x14ac:dyDescent="0.35"/>
    <row r="61369" hidden="1" x14ac:dyDescent="0.35"/>
    <row r="61370" hidden="1" x14ac:dyDescent="0.35"/>
    <row r="61371" hidden="1" x14ac:dyDescent="0.35"/>
    <row r="61372" hidden="1" x14ac:dyDescent="0.35"/>
    <row r="61373" hidden="1" x14ac:dyDescent="0.35"/>
    <row r="61374" hidden="1" x14ac:dyDescent="0.35"/>
    <row r="61375" hidden="1" x14ac:dyDescent="0.35"/>
    <row r="61376" hidden="1" x14ac:dyDescent="0.35"/>
    <row r="61377" hidden="1" x14ac:dyDescent="0.35"/>
    <row r="61378" hidden="1" x14ac:dyDescent="0.35"/>
    <row r="61379" hidden="1" x14ac:dyDescent="0.35"/>
    <row r="61380" hidden="1" x14ac:dyDescent="0.35"/>
    <row r="61381" hidden="1" x14ac:dyDescent="0.35"/>
    <row r="61382" hidden="1" x14ac:dyDescent="0.35"/>
    <row r="61383" hidden="1" x14ac:dyDescent="0.35"/>
    <row r="61384" hidden="1" x14ac:dyDescent="0.35"/>
    <row r="61385" hidden="1" x14ac:dyDescent="0.35"/>
    <row r="61386" hidden="1" x14ac:dyDescent="0.35"/>
    <row r="61387" hidden="1" x14ac:dyDescent="0.35"/>
    <row r="61388" hidden="1" x14ac:dyDescent="0.35"/>
    <row r="61389" hidden="1" x14ac:dyDescent="0.35"/>
    <row r="61390" hidden="1" x14ac:dyDescent="0.35"/>
    <row r="61391" hidden="1" x14ac:dyDescent="0.35"/>
    <row r="61392" hidden="1" x14ac:dyDescent="0.35"/>
    <row r="61393" hidden="1" x14ac:dyDescent="0.35"/>
    <row r="61394" hidden="1" x14ac:dyDescent="0.35"/>
    <row r="61395" hidden="1" x14ac:dyDescent="0.35"/>
    <row r="61396" hidden="1" x14ac:dyDescent="0.35"/>
    <row r="61397" hidden="1" x14ac:dyDescent="0.35"/>
    <row r="61398" hidden="1" x14ac:dyDescent="0.35"/>
    <row r="61399" hidden="1" x14ac:dyDescent="0.35"/>
    <row r="61400" hidden="1" x14ac:dyDescent="0.35"/>
    <row r="61401" hidden="1" x14ac:dyDescent="0.35"/>
    <row r="61402" hidden="1" x14ac:dyDescent="0.35"/>
    <row r="61403" hidden="1" x14ac:dyDescent="0.35"/>
    <row r="61404" hidden="1" x14ac:dyDescent="0.35"/>
    <row r="61405" hidden="1" x14ac:dyDescent="0.35"/>
    <row r="61406" hidden="1" x14ac:dyDescent="0.35"/>
    <row r="61407" hidden="1" x14ac:dyDescent="0.35"/>
    <row r="61408" hidden="1" x14ac:dyDescent="0.35"/>
    <row r="61409" hidden="1" x14ac:dyDescent="0.35"/>
    <row r="61410" hidden="1" x14ac:dyDescent="0.35"/>
    <row r="61411" hidden="1" x14ac:dyDescent="0.35"/>
    <row r="61412" hidden="1" x14ac:dyDescent="0.35"/>
    <row r="61413" hidden="1" x14ac:dyDescent="0.35"/>
    <row r="61414" hidden="1" x14ac:dyDescent="0.35"/>
    <row r="61415" hidden="1" x14ac:dyDescent="0.35"/>
    <row r="61416" hidden="1" x14ac:dyDescent="0.35"/>
    <row r="61417" hidden="1" x14ac:dyDescent="0.35"/>
    <row r="61418" hidden="1" x14ac:dyDescent="0.35"/>
    <row r="61419" hidden="1" x14ac:dyDescent="0.35"/>
    <row r="61420" hidden="1" x14ac:dyDescent="0.35"/>
    <row r="61421" hidden="1" x14ac:dyDescent="0.35"/>
    <row r="61422" hidden="1" x14ac:dyDescent="0.35"/>
    <row r="61423" hidden="1" x14ac:dyDescent="0.35"/>
    <row r="61424" hidden="1" x14ac:dyDescent="0.35"/>
    <row r="61425" hidden="1" x14ac:dyDescent="0.35"/>
    <row r="61426" hidden="1" x14ac:dyDescent="0.35"/>
    <row r="61427" hidden="1" x14ac:dyDescent="0.35"/>
    <row r="61428" hidden="1" x14ac:dyDescent="0.35"/>
    <row r="61429" hidden="1" x14ac:dyDescent="0.35"/>
    <row r="61430" hidden="1" x14ac:dyDescent="0.35"/>
    <row r="61431" hidden="1" x14ac:dyDescent="0.35"/>
    <row r="61432" hidden="1" x14ac:dyDescent="0.35"/>
    <row r="61433" hidden="1" x14ac:dyDescent="0.35"/>
    <row r="61434" hidden="1" x14ac:dyDescent="0.35"/>
    <row r="61435" hidden="1" x14ac:dyDescent="0.35"/>
    <row r="61436" hidden="1" x14ac:dyDescent="0.35"/>
    <row r="61437" hidden="1" x14ac:dyDescent="0.35"/>
    <row r="61438" hidden="1" x14ac:dyDescent="0.35"/>
    <row r="61439" hidden="1" x14ac:dyDescent="0.35"/>
    <row r="61440" hidden="1" x14ac:dyDescent="0.35"/>
    <row r="61441" hidden="1" x14ac:dyDescent="0.35"/>
    <row r="61442" hidden="1" x14ac:dyDescent="0.35"/>
    <row r="61443" hidden="1" x14ac:dyDescent="0.35"/>
    <row r="61444" hidden="1" x14ac:dyDescent="0.35"/>
    <row r="61445" hidden="1" x14ac:dyDescent="0.35"/>
    <row r="61446" hidden="1" x14ac:dyDescent="0.35"/>
    <row r="61447" hidden="1" x14ac:dyDescent="0.35"/>
    <row r="61448" hidden="1" x14ac:dyDescent="0.35"/>
    <row r="61449" hidden="1" x14ac:dyDescent="0.35"/>
    <row r="61450" hidden="1" x14ac:dyDescent="0.35"/>
    <row r="61451" hidden="1" x14ac:dyDescent="0.35"/>
    <row r="61452" hidden="1" x14ac:dyDescent="0.35"/>
    <row r="61453" hidden="1" x14ac:dyDescent="0.35"/>
    <row r="61454" hidden="1" x14ac:dyDescent="0.35"/>
    <row r="61455" hidden="1" x14ac:dyDescent="0.35"/>
    <row r="61456" hidden="1" x14ac:dyDescent="0.35"/>
    <row r="61457" hidden="1" x14ac:dyDescent="0.35"/>
    <row r="61458" hidden="1" x14ac:dyDescent="0.35"/>
    <row r="61459" hidden="1" x14ac:dyDescent="0.35"/>
    <row r="61460" hidden="1" x14ac:dyDescent="0.35"/>
    <row r="61461" hidden="1" x14ac:dyDescent="0.35"/>
    <row r="61462" hidden="1" x14ac:dyDescent="0.35"/>
    <row r="61463" hidden="1" x14ac:dyDescent="0.35"/>
    <row r="61464" hidden="1" x14ac:dyDescent="0.35"/>
    <row r="61465" hidden="1" x14ac:dyDescent="0.35"/>
    <row r="61466" hidden="1" x14ac:dyDescent="0.35"/>
    <row r="61467" hidden="1" x14ac:dyDescent="0.35"/>
    <row r="61468" hidden="1" x14ac:dyDescent="0.35"/>
    <row r="61469" hidden="1" x14ac:dyDescent="0.35"/>
    <row r="61470" hidden="1" x14ac:dyDescent="0.35"/>
    <row r="61471" hidden="1" x14ac:dyDescent="0.35"/>
    <row r="61472" hidden="1" x14ac:dyDescent="0.35"/>
    <row r="61473" hidden="1" x14ac:dyDescent="0.35"/>
    <row r="61474" hidden="1" x14ac:dyDescent="0.35"/>
    <row r="61475" hidden="1" x14ac:dyDescent="0.35"/>
    <row r="61476" hidden="1" x14ac:dyDescent="0.35"/>
    <row r="61477" hidden="1" x14ac:dyDescent="0.35"/>
    <row r="61478" hidden="1" x14ac:dyDescent="0.35"/>
    <row r="61479" hidden="1" x14ac:dyDescent="0.35"/>
    <row r="61480" hidden="1" x14ac:dyDescent="0.35"/>
    <row r="61481" hidden="1" x14ac:dyDescent="0.35"/>
    <row r="61482" hidden="1" x14ac:dyDescent="0.35"/>
    <row r="61483" hidden="1" x14ac:dyDescent="0.35"/>
    <row r="61484" hidden="1" x14ac:dyDescent="0.35"/>
    <row r="61485" hidden="1" x14ac:dyDescent="0.35"/>
    <row r="61486" hidden="1" x14ac:dyDescent="0.35"/>
    <row r="61487" hidden="1" x14ac:dyDescent="0.35"/>
    <row r="61488" hidden="1" x14ac:dyDescent="0.35"/>
    <row r="61489" hidden="1" x14ac:dyDescent="0.35"/>
    <row r="61490" hidden="1" x14ac:dyDescent="0.35"/>
    <row r="61491" hidden="1" x14ac:dyDescent="0.35"/>
    <row r="61492" hidden="1" x14ac:dyDescent="0.35"/>
    <row r="61493" hidden="1" x14ac:dyDescent="0.35"/>
    <row r="61494" hidden="1" x14ac:dyDescent="0.35"/>
    <row r="61495" hidden="1" x14ac:dyDescent="0.35"/>
    <row r="61496" hidden="1" x14ac:dyDescent="0.35"/>
    <row r="61497" hidden="1" x14ac:dyDescent="0.35"/>
    <row r="61498" hidden="1" x14ac:dyDescent="0.35"/>
    <row r="61499" hidden="1" x14ac:dyDescent="0.35"/>
    <row r="61500" hidden="1" x14ac:dyDescent="0.35"/>
    <row r="61501" hidden="1" x14ac:dyDescent="0.35"/>
    <row r="61502" hidden="1" x14ac:dyDescent="0.35"/>
    <row r="61503" hidden="1" x14ac:dyDescent="0.35"/>
    <row r="61504" hidden="1" x14ac:dyDescent="0.35"/>
    <row r="61505" hidden="1" x14ac:dyDescent="0.35"/>
    <row r="61506" hidden="1" x14ac:dyDescent="0.35"/>
    <row r="61507" hidden="1" x14ac:dyDescent="0.35"/>
    <row r="61508" hidden="1" x14ac:dyDescent="0.35"/>
    <row r="61509" hidden="1" x14ac:dyDescent="0.35"/>
    <row r="61510" hidden="1" x14ac:dyDescent="0.35"/>
    <row r="61511" hidden="1" x14ac:dyDescent="0.35"/>
    <row r="61512" hidden="1" x14ac:dyDescent="0.35"/>
    <row r="61513" hidden="1" x14ac:dyDescent="0.35"/>
    <row r="61514" hidden="1" x14ac:dyDescent="0.35"/>
    <row r="61515" hidden="1" x14ac:dyDescent="0.35"/>
    <row r="61516" hidden="1" x14ac:dyDescent="0.35"/>
    <row r="61517" hidden="1" x14ac:dyDescent="0.35"/>
    <row r="61518" hidden="1" x14ac:dyDescent="0.35"/>
    <row r="61519" hidden="1" x14ac:dyDescent="0.35"/>
    <row r="61520" hidden="1" x14ac:dyDescent="0.35"/>
    <row r="61521" hidden="1" x14ac:dyDescent="0.35"/>
    <row r="61522" hidden="1" x14ac:dyDescent="0.35"/>
    <row r="61523" hidden="1" x14ac:dyDescent="0.35"/>
    <row r="61524" hidden="1" x14ac:dyDescent="0.35"/>
    <row r="61525" hidden="1" x14ac:dyDescent="0.35"/>
    <row r="61526" hidden="1" x14ac:dyDescent="0.35"/>
    <row r="61527" hidden="1" x14ac:dyDescent="0.35"/>
    <row r="61528" hidden="1" x14ac:dyDescent="0.35"/>
    <row r="61529" hidden="1" x14ac:dyDescent="0.35"/>
    <row r="61530" hidden="1" x14ac:dyDescent="0.35"/>
    <row r="61531" hidden="1" x14ac:dyDescent="0.35"/>
    <row r="61532" hidden="1" x14ac:dyDescent="0.35"/>
    <row r="61533" hidden="1" x14ac:dyDescent="0.35"/>
    <row r="61534" hidden="1" x14ac:dyDescent="0.35"/>
    <row r="61535" hidden="1" x14ac:dyDescent="0.35"/>
    <row r="61536" hidden="1" x14ac:dyDescent="0.35"/>
    <row r="61537" hidden="1" x14ac:dyDescent="0.35"/>
    <row r="61538" hidden="1" x14ac:dyDescent="0.35"/>
    <row r="61539" hidden="1" x14ac:dyDescent="0.35"/>
    <row r="61540" hidden="1" x14ac:dyDescent="0.35"/>
    <row r="61541" hidden="1" x14ac:dyDescent="0.35"/>
    <row r="61542" hidden="1" x14ac:dyDescent="0.35"/>
    <row r="61543" hidden="1" x14ac:dyDescent="0.35"/>
    <row r="61544" hidden="1" x14ac:dyDescent="0.35"/>
    <row r="61545" hidden="1" x14ac:dyDescent="0.35"/>
    <row r="61546" hidden="1" x14ac:dyDescent="0.35"/>
    <row r="61547" hidden="1" x14ac:dyDescent="0.35"/>
    <row r="61548" hidden="1" x14ac:dyDescent="0.35"/>
    <row r="61549" hidden="1" x14ac:dyDescent="0.35"/>
    <row r="61550" hidden="1" x14ac:dyDescent="0.35"/>
    <row r="61551" hidden="1" x14ac:dyDescent="0.35"/>
    <row r="61552" hidden="1" x14ac:dyDescent="0.35"/>
    <row r="61553" hidden="1" x14ac:dyDescent="0.35"/>
    <row r="61554" hidden="1" x14ac:dyDescent="0.35"/>
    <row r="61555" hidden="1" x14ac:dyDescent="0.35"/>
    <row r="61556" hidden="1" x14ac:dyDescent="0.35"/>
    <row r="61557" hidden="1" x14ac:dyDescent="0.35"/>
    <row r="61558" hidden="1" x14ac:dyDescent="0.35"/>
    <row r="61559" hidden="1" x14ac:dyDescent="0.35"/>
    <row r="61560" hidden="1" x14ac:dyDescent="0.35"/>
    <row r="61561" hidden="1" x14ac:dyDescent="0.35"/>
    <row r="61562" hidden="1" x14ac:dyDescent="0.35"/>
    <row r="61563" hidden="1" x14ac:dyDescent="0.35"/>
    <row r="61564" hidden="1" x14ac:dyDescent="0.35"/>
    <row r="61565" hidden="1" x14ac:dyDescent="0.35"/>
    <row r="61566" hidden="1" x14ac:dyDescent="0.35"/>
    <row r="61567" hidden="1" x14ac:dyDescent="0.35"/>
    <row r="61568" hidden="1" x14ac:dyDescent="0.35"/>
    <row r="61569" hidden="1" x14ac:dyDescent="0.35"/>
    <row r="61570" hidden="1" x14ac:dyDescent="0.35"/>
    <row r="61571" hidden="1" x14ac:dyDescent="0.35"/>
    <row r="61572" hidden="1" x14ac:dyDescent="0.35"/>
    <row r="61573" hidden="1" x14ac:dyDescent="0.35"/>
    <row r="61574" hidden="1" x14ac:dyDescent="0.35"/>
    <row r="61575" hidden="1" x14ac:dyDescent="0.35"/>
    <row r="61576" hidden="1" x14ac:dyDescent="0.35"/>
    <row r="61577" hidden="1" x14ac:dyDescent="0.35"/>
    <row r="61578" hidden="1" x14ac:dyDescent="0.35"/>
    <row r="61579" hidden="1" x14ac:dyDescent="0.35"/>
    <row r="61580" hidden="1" x14ac:dyDescent="0.35"/>
    <row r="61581" hidden="1" x14ac:dyDescent="0.35"/>
    <row r="61582" hidden="1" x14ac:dyDescent="0.35"/>
    <row r="61583" hidden="1" x14ac:dyDescent="0.35"/>
    <row r="61584" hidden="1" x14ac:dyDescent="0.35"/>
    <row r="61585" hidden="1" x14ac:dyDescent="0.35"/>
    <row r="61586" hidden="1" x14ac:dyDescent="0.35"/>
    <row r="61587" hidden="1" x14ac:dyDescent="0.35"/>
    <row r="61588" hidden="1" x14ac:dyDescent="0.35"/>
    <row r="61589" hidden="1" x14ac:dyDescent="0.35"/>
    <row r="61590" hidden="1" x14ac:dyDescent="0.35"/>
    <row r="61591" hidden="1" x14ac:dyDescent="0.35"/>
    <row r="61592" hidden="1" x14ac:dyDescent="0.35"/>
    <row r="61593" hidden="1" x14ac:dyDescent="0.35"/>
    <row r="61594" hidden="1" x14ac:dyDescent="0.35"/>
    <row r="61595" hidden="1" x14ac:dyDescent="0.35"/>
    <row r="61596" hidden="1" x14ac:dyDescent="0.35"/>
    <row r="61597" hidden="1" x14ac:dyDescent="0.35"/>
    <row r="61598" hidden="1" x14ac:dyDescent="0.35"/>
    <row r="61599" hidden="1" x14ac:dyDescent="0.35"/>
    <row r="61600" hidden="1" x14ac:dyDescent="0.35"/>
    <row r="61601" hidden="1" x14ac:dyDescent="0.35"/>
    <row r="61602" hidden="1" x14ac:dyDescent="0.35"/>
    <row r="61603" hidden="1" x14ac:dyDescent="0.35"/>
    <row r="61604" hidden="1" x14ac:dyDescent="0.35"/>
    <row r="61605" hidden="1" x14ac:dyDescent="0.35"/>
    <row r="61606" hidden="1" x14ac:dyDescent="0.35"/>
    <row r="61607" hidden="1" x14ac:dyDescent="0.35"/>
    <row r="61608" hidden="1" x14ac:dyDescent="0.35"/>
    <row r="61609" hidden="1" x14ac:dyDescent="0.35"/>
    <row r="61610" hidden="1" x14ac:dyDescent="0.35"/>
    <row r="61611" hidden="1" x14ac:dyDescent="0.35"/>
    <row r="61612" hidden="1" x14ac:dyDescent="0.35"/>
    <row r="61613" hidden="1" x14ac:dyDescent="0.35"/>
    <row r="61614" hidden="1" x14ac:dyDescent="0.35"/>
    <row r="61615" hidden="1" x14ac:dyDescent="0.35"/>
    <row r="61616" hidden="1" x14ac:dyDescent="0.35"/>
    <row r="61617" hidden="1" x14ac:dyDescent="0.35"/>
    <row r="61618" hidden="1" x14ac:dyDescent="0.35"/>
    <row r="61619" hidden="1" x14ac:dyDescent="0.35"/>
    <row r="61620" hidden="1" x14ac:dyDescent="0.35"/>
    <row r="61621" hidden="1" x14ac:dyDescent="0.35"/>
    <row r="61622" hidden="1" x14ac:dyDescent="0.35"/>
    <row r="61623" hidden="1" x14ac:dyDescent="0.35"/>
    <row r="61624" hidden="1" x14ac:dyDescent="0.35"/>
    <row r="61625" hidden="1" x14ac:dyDescent="0.35"/>
    <row r="61626" hidden="1" x14ac:dyDescent="0.35"/>
    <row r="61627" hidden="1" x14ac:dyDescent="0.35"/>
    <row r="61628" hidden="1" x14ac:dyDescent="0.35"/>
    <row r="61629" hidden="1" x14ac:dyDescent="0.35"/>
    <row r="61630" hidden="1" x14ac:dyDescent="0.35"/>
    <row r="61631" hidden="1" x14ac:dyDescent="0.35"/>
    <row r="61632" hidden="1" x14ac:dyDescent="0.35"/>
    <row r="61633" hidden="1" x14ac:dyDescent="0.35"/>
    <row r="61634" hidden="1" x14ac:dyDescent="0.35"/>
    <row r="61635" hidden="1" x14ac:dyDescent="0.35"/>
    <row r="61636" hidden="1" x14ac:dyDescent="0.35"/>
    <row r="61637" hidden="1" x14ac:dyDescent="0.35"/>
    <row r="61638" hidden="1" x14ac:dyDescent="0.35"/>
    <row r="61639" hidden="1" x14ac:dyDescent="0.35"/>
    <row r="61640" hidden="1" x14ac:dyDescent="0.35"/>
    <row r="61641" hidden="1" x14ac:dyDescent="0.35"/>
    <row r="61642" hidden="1" x14ac:dyDescent="0.35"/>
    <row r="61643" hidden="1" x14ac:dyDescent="0.35"/>
    <row r="61644" hidden="1" x14ac:dyDescent="0.35"/>
    <row r="61645" hidden="1" x14ac:dyDescent="0.35"/>
    <row r="61646" hidden="1" x14ac:dyDescent="0.35"/>
    <row r="61647" hidden="1" x14ac:dyDescent="0.35"/>
    <row r="61648" hidden="1" x14ac:dyDescent="0.35"/>
    <row r="61649" hidden="1" x14ac:dyDescent="0.35"/>
    <row r="61650" hidden="1" x14ac:dyDescent="0.35"/>
    <row r="61651" hidden="1" x14ac:dyDescent="0.35"/>
    <row r="61652" hidden="1" x14ac:dyDescent="0.35"/>
    <row r="61653" hidden="1" x14ac:dyDescent="0.35"/>
    <row r="61654" hidden="1" x14ac:dyDescent="0.35"/>
    <row r="61655" hidden="1" x14ac:dyDescent="0.35"/>
    <row r="61656" hidden="1" x14ac:dyDescent="0.35"/>
    <row r="61657" hidden="1" x14ac:dyDescent="0.35"/>
    <row r="61658" hidden="1" x14ac:dyDescent="0.35"/>
    <row r="61659" hidden="1" x14ac:dyDescent="0.35"/>
    <row r="61660" hidden="1" x14ac:dyDescent="0.35"/>
    <row r="61661" hidden="1" x14ac:dyDescent="0.35"/>
    <row r="61662" hidden="1" x14ac:dyDescent="0.35"/>
    <row r="61663" hidden="1" x14ac:dyDescent="0.35"/>
    <row r="61664" hidden="1" x14ac:dyDescent="0.35"/>
    <row r="61665" hidden="1" x14ac:dyDescent="0.35"/>
    <row r="61666" hidden="1" x14ac:dyDescent="0.35"/>
    <row r="61667" hidden="1" x14ac:dyDescent="0.35"/>
    <row r="61668" hidden="1" x14ac:dyDescent="0.35"/>
    <row r="61669" hidden="1" x14ac:dyDescent="0.35"/>
    <row r="61670" hidden="1" x14ac:dyDescent="0.35"/>
    <row r="61671" hidden="1" x14ac:dyDescent="0.35"/>
    <row r="61672" hidden="1" x14ac:dyDescent="0.35"/>
    <row r="61673" hidden="1" x14ac:dyDescent="0.35"/>
    <row r="61674" hidden="1" x14ac:dyDescent="0.35"/>
    <row r="61675" hidden="1" x14ac:dyDescent="0.35"/>
    <row r="61676" hidden="1" x14ac:dyDescent="0.35"/>
    <row r="61677" hidden="1" x14ac:dyDescent="0.35"/>
    <row r="61678" hidden="1" x14ac:dyDescent="0.35"/>
    <row r="61679" hidden="1" x14ac:dyDescent="0.35"/>
    <row r="61680" hidden="1" x14ac:dyDescent="0.35"/>
    <row r="61681" hidden="1" x14ac:dyDescent="0.35"/>
    <row r="61682" hidden="1" x14ac:dyDescent="0.35"/>
    <row r="61683" hidden="1" x14ac:dyDescent="0.35"/>
    <row r="61684" hidden="1" x14ac:dyDescent="0.35"/>
    <row r="61685" hidden="1" x14ac:dyDescent="0.35"/>
    <row r="61686" hidden="1" x14ac:dyDescent="0.35"/>
    <row r="61687" hidden="1" x14ac:dyDescent="0.35"/>
    <row r="61688" hidden="1" x14ac:dyDescent="0.35"/>
    <row r="61689" hidden="1" x14ac:dyDescent="0.35"/>
    <row r="61690" hidden="1" x14ac:dyDescent="0.35"/>
    <row r="61691" hidden="1" x14ac:dyDescent="0.35"/>
    <row r="61692" hidden="1" x14ac:dyDescent="0.35"/>
    <row r="61693" hidden="1" x14ac:dyDescent="0.35"/>
    <row r="61694" hidden="1" x14ac:dyDescent="0.35"/>
    <row r="61695" hidden="1" x14ac:dyDescent="0.35"/>
    <row r="61696" hidden="1" x14ac:dyDescent="0.35"/>
    <row r="61697" hidden="1" x14ac:dyDescent="0.35"/>
    <row r="61698" hidden="1" x14ac:dyDescent="0.35"/>
    <row r="61699" hidden="1" x14ac:dyDescent="0.35"/>
    <row r="61700" hidden="1" x14ac:dyDescent="0.35"/>
    <row r="61701" hidden="1" x14ac:dyDescent="0.35"/>
    <row r="61702" hidden="1" x14ac:dyDescent="0.35"/>
    <row r="61703" hidden="1" x14ac:dyDescent="0.35"/>
    <row r="61704" hidden="1" x14ac:dyDescent="0.35"/>
    <row r="61705" hidden="1" x14ac:dyDescent="0.35"/>
    <row r="61706" hidden="1" x14ac:dyDescent="0.35"/>
    <row r="61707" hidden="1" x14ac:dyDescent="0.35"/>
    <row r="61708" hidden="1" x14ac:dyDescent="0.35"/>
    <row r="61709" hidden="1" x14ac:dyDescent="0.35"/>
    <row r="61710" hidden="1" x14ac:dyDescent="0.35"/>
    <row r="61711" hidden="1" x14ac:dyDescent="0.35"/>
    <row r="61712" hidden="1" x14ac:dyDescent="0.35"/>
    <row r="61713" hidden="1" x14ac:dyDescent="0.35"/>
    <row r="61714" hidden="1" x14ac:dyDescent="0.35"/>
    <row r="61715" hidden="1" x14ac:dyDescent="0.35"/>
    <row r="61716" hidden="1" x14ac:dyDescent="0.35"/>
    <row r="61717" hidden="1" x14ac:dyDescent="0.35"/>
    <row r="61718" hidden="1" x14ac:dyDescent="0.35"/>
    <row r="61719" hidden="1" x14ac:dyDescent="0.35"/>
    <row r="61720" hidden="1" x14ac:dyDescent="0.35"/>
    <row r="61721" hidden="1" x14ac:dyDescent="0.35"/>
    <row r="61722" hidden="1" x14ac:dyDescent="0.35"/>
    <row r="61723" hidden="1" x14ac:dyDescent="0.35"/>
    <row r="61724" hidden="1" x14ac:dyDescent="0.35"/>
    <row r="61725" hidden="1" x14ac:dyDescent="0.35"/>
    <row r="61726" hidden="1" x14ac:dyDescent="0.35"/>
    <row r="61727" hidden="1" x14ac:dyDescent="0.35"/>
    <row r="61728" hidden="1" x14ac:dyDescent="0.35"/>
    <row r="61729" hidden="1" x14ac:dyDescent="0.35"/>
    <row r="61730" hidden="1" x14ac:dyDescent="0.35"/>
    <row r="61731" hidden="1" x14ac:dyDescent="0.35"/>
    <row r="61732" hidden="1" x14ac:dyDescent="0.35"/>
    <row r="61733" hidden="1" x14ac:dyDescent="0.35"/>
    <row r="61734" hidden="1" x14ac:dyDescent="0.35"/>
    <row r="61735" hidden="1" x14ac:dyDescent="0.35"/>
    <row r="61736" hidden="1" x14ac:dyDescent="0.35"/>
    <row r="61737" hidden="1" x14ac:dyDescent="0.35"/>
    <row r="61738" hidden="1" x14ac:dyDescent="0.35"/>
    <row r="61739" hidden="1" x14ac:dyDescent="0.35"/>
    <row r="61740" hidden="1" x14ac:dyDescent="0.35"/>
    <row r="61741" hidden="1" x14ac:dyDescent="0.35"/>
    <row r="61742" hidden="1" x14ac:dyDescent="0.35"/>
    <row r="61743" hidden="1" x14ac:dyDescent="0.35"/>
    <row r="61744" hidden="1" x14ac:dyDescent="0.35"/>
    <row r="61745" hidden="1" x14ac:dyDescent="0.35"/>
    <row r="61746" hidden="1" x14ac:dyDescent="0.35"/>
    <row r="61747" hidden="1" x14ac:dyDescent="0.35"/>
    <row r="61748" hidden="1" x14ac:dyDescent="0.35"/>
    <row r="61749" hidden="1" x14ac:dyDescent="0.35"/>
    <row r="61750" hidden="1" x14ac:dyDescent="0.35"/>
    <row r="61751" hidden="1" x14ac:dyDescent="0.35"/>
    <row r="61752" hidden="1" x14ac:dyDescent="0.35"/>
    <row r="61753" hidden="1" x14ac:dyDescent="0.35"/>
    <row r="61754" hidden="1" x14ac:dyDescent="0.35"/>
    <row r="61755" hidden="1" x14ac:dyDescent="0.35"/>
    <row r="61756" hidden="1" x14ac:dyDescent="0.35"/>
    <row r="61757" hidden="1" x14ac:dyDescent="0.35"/>
    <row r="61758" hidden="1" x14ac:dyDescent="0.35"/>
    <row r="61759" hidden="1" x14ac:dyDescent="0.35"/>
    <row r="61760" hidden="1" x14ac:dyDescent="0.35"/>
    <row r="61761" hidden="1" x14ac:dyDescent="0.35"/>
    <row r="61762" hidden="1" x14ac:dyDescent="0.35"/>
    <row r="61763" hidden="1" x14ac:dyDescent="0.35"/>
    <row r="61764" hidden="1" x14ac:dyDescent="0.35"/>
    <row r="61765" hidden="1" x14ac:dyDescent="0.35"/>
    <row r="61766" hidden="1" x14ac:dyDescent="0.35"/>
    <row r="61767" hidden="1" x14ac:dyDescent="0.35"/>
    <row r="61768" hidden="1" x14ac:dyDescent="0.35"/>
    <row r="61769" hidden="1" x14ac:dyDescent="0.35"/>
    <row r="61770" hidden="1" x14ac:dyDescent="0.35"/>
    <row r="61771" hidden="1" x14ac:dyDescent="0.35"/>
    <row r="61772" hidden="1" x14ac:dyDescent="0.35"/>
    <row r="61773" hidden="1" x14ac:dyDescent="0.35"/>
    <row r="61774" hidden="1" x14ac:dyDescent="0.35"/>
    <row r="61775" hidden="1" x14ac:dyDescent="0.35"/>
    <row r="61776" hidden="1" x14ac:dyDescent="0.35"/>
    <row r="61777" hidden="1" x14ac:dyDescent="0.35"/>
    <row r="61778" hidden="1" x14ac:dyDescent="0.35"/>
    <row r="61779" hidden="1" x14ac:dyDescent="0.35"/>
    <row r="61780" hidden="1" x14ac:dyDescent="0.35"/>
    <row r="61781" hidden="1" x14ac:dyDescent="0.35"/>
    <row r="61782" hidden="1" x14ac:dyDescent="0.35"/>
    <row r="61783" hidden="1" x14ac:dyDescent="0.35"/>
    <row r="61784" hidden="1" x14ac:dyDescent="0.35"/>
    <row r="61785" hidden="1" x14ac:dyDescent="0.35"/>
    <row r="61786" hidden="1" x14ac:dyDescent="0.35"/>
    <row r="61787" hidden="1" x14ac:dyDescent="0.35"/>
    <row r="61788" hidden="1" x14ac:dyDescent="0.35"/>
    <row r="61789" hidden="1" x14ac:dyDescent="0.35"/>
    <row r="61790" hidden="1" x14ac:dyDescent="0.35"/>
    <row r="61791" hidden="1" x14ac:dyDescent="0.35"/>
    <row r="61792" hidden="1" x14ac:dyDescent="0.35"/>
    <row r="61793" hidden="1" x14ac:dyDescent="0.35"/>
    <row r="61794" hidden="1" x14ac:dyDescent="0.35"/>
    <row r="61795" hidden="1" x14ac:dyDescent="0.35"/>
    <row r="61796" hidden="1" x14ac:dyDescent="0.35"/>
    <row r="61797" hidden="1" x14ac:dyDescent="0.35"/>
    <row r="61798" hidden="1" x14ac:dyDescent="0.35"/>
    <row r="61799" hidden="1" x14ac:dyDescent="0.35"/>
    <row r="61800" hidden="1" x14ac:dyDescent="0.35"/>
    <row r="61801" hidden="1" x14ac:dyDescent="0.35"/>
    <row r="61802" hidden="1" x14ac:dyDescent="0.35"/>
    <row r="61803" hidden="1" x14ac:dyDescent="0.35"/>
    <row r="61804" hidden="1" x14ac:dyDescent="0.35"/>
    <row r="61805" hidden="1" x14ac:dyDescent="0.35"/>
    <row r="61806" hidden="1" x14ac:dyDescent="0.35"/>
    <row r="61807" hidden="1" x14ac:dyDescent="0.35"/>
    <row r="61808" hidden="1" x14ac:dyDescent="0.35"/>
    <row r="61809" hidden="1" x14ac:dyDescent="0.35"/>
    <row r="61810" hidden="1" x14ac:dyDescent="0.35"/>
    <row r="61811" hidden="1" x14ac:dyDescent="0.35"/>
    <row r="61812" hidden="1" x14ac:dyDescent="0.35"/>
    <row r="61813" hidden="1" x14ac:dyDescent="0.35"/>
    <row r="61814" hidden="1" x14ac:dyDescent="0.35"/>
    <row r="61815" hidden="1" x14ac:dyDescent="0.35"/>
    <row r="61816" hidden="1" x14ac:dyDescent="0.35"/>
    <row r="61817" hidden="1" x14ac:dyDescent="0.35"/>
    <row r="61818" hidden="1" x14ac:dyDescent="0.35"/>
    <row r="61819" hidden="1" x14ac:dyDescent="0.35"/>
    <row r="61820" hidden="1" x14ac:dyDescent="0.35"/>
    <row r="61821" hidden="1" x14ac:dyDescent="0.35"/>
    <row r="61822" hidden="1" x14ac:dyDescent="0.35"/>
    <row r="61823" hidden="1" x14ac:dyDescent="0.35"/>
    <row r="61824" hidden="1" x14ac:dyDescent="0.35"/>
    <row r="61825" hidden="1" x14ac:dyDescent="0.35"/>
    <row r="61826" hidden="1" x14ac:dyDescent="0.35"/>
    <row r="61827" hidden="1" x14ac:dyDescent="0.35"/>
    <row r="61828" hidden="1" x14ac:dyDescent="0.35"/>
    <row r="61829" hidden="1" x14ac:dyDescent="0.35"/>
    <row r="61830" hidden="1" x14ac:dyDescent="0.35"/>
    <row r="61831" hidden="1" x14ac:dyDescent="0.35"/>
    <row r="61832" hidden="1" x14ac:dyDescent="0.35"/>
    <row r="61833" hidden="1" x14ac:dyDescent="0.35"/>
    <row r="61834" hidden="1" x14ac:dyDescent="0.35"/>
    <row r="61835" hidden="1" x14ac:dyDescent="0.35"/>
    <row r="61836" hidden="1" x14ac:dyDescent="0.35"/>
    <row r="61837" hidden="1" x14ac:dyDescent="0.35"/>
    <row r="61838" hidden="1" x14ac:dyDescent="0.35"/>
    <row r="61839" hidden="1" x14ac:dyDescent="0.35"/>
    <row r="61840" hidden="1" x14ac:dyDescent="0.35"/>
    <row r="61841" hidden="1" x14ac:dyDescent="0.35"/>
    <row r="61842" hidden="1" x14ac:dyDescent="0.35"/>
    <row r="61843" hidden="1" x14ac:dyDescent="0.35"/>
    <row r="61844" hidden="1" x14ac:dyDescent="0.35"/>
    <row r="61845" hidden="1" x14ac:dyDescent="0.35"/>
    <row r="61846" hidden="1" x14ac:dyDescent="0.35"/>
    <row r="61847" hidden="1" x14ac:dyDescent="0.35"/>
    <row r="61848" hidden="1" x14ac:dyDescent="0.35"/>
    <row r="61849" hidden="1" x14ac:dyDescent="0.35"/>
    <row r="61850" hidden="1" x14ac:dyDescent="0.35"/>
    <row r="61851" hidden="1" x14ac:dyDescent="0.35"/>
    <row r="61852" hidden="1" x14ac:dyDescent="0.35"/>
    <row r="61853" hidden="1" x14ac:dyDescent="0.35"/>
    <row r="61854" hidden="1" x14ac:dyDescent="0.35"/>
    <row r="61855" hidden="1" x14ac:dyDescent="0.35"/>
    <row r="61856" hidden="1" x14ac:dyDescent="0.35"/>
    <row r="61857" hidden="1" x14ac:dyDescent="0.35"/>
    <row r="61858" hidden="1" x14ac:dyDescent="0.35"/>
    <row r="61859" hidden="1" x14ac:dyDescent="0.35"/>
    <row r="61860" hidden="1" x14ac:dyDescent="0.35"/>
    <row r="61861" hidden="1" x14ac:dyDescent="0.35"/>
    <row r="61862" hidden="1" x14ac:dyDescent="0.35"/>
    <row r="61863" hidden="1" x14ac:dyDescent="0.35"/>
    <row r="61864" hidden="1" x14ac:dyDescent="0.35"/>
    <row r="61865" hidden="1" x14ac:dyDescent="0.35"/>
    <row r="61866" hidden="1" x14ac:dyDescent="0.35"/>
    <row r="61867" hidden="1" x14ac:dyDescent="0.35"/>
    <row r="61868" hidden="1" x14ac:dyDescent="0.35"/>
    <row r="61869" hidden="1" x14ac:dyDescent="0.35"/>
    <row r="61870" hidden="1" x14ac:dyDescent="0.35"/>
    <row r="61871" hidden="1" x14ac:dyDescent="0.35"/>
    <row r="61872" hidden="1" x14ac:dyDescent="0.35"/>
    <row r="61873" hidden="1" x14ac:dyDescent="0.35"/>
    <row r="61874" hidden="1" x14ac:dyDescent="0.35"/>
    <row r="61875" hidden="1" x14ac:dyDescent="0.35"/>
    <row r="61876" hidden="1" x14ac:dyDescent="0.35"/>
    <row r="61877" hidden="1" x14ac:dyDescent="0.35"/>
    <row r="61878" hidden="1" x14ac:dyDescent="0.35"/>
    <row r="61879" hidden="1" x14ac:dyDescent="0.35"/>
    <row r="61880" hidden="1" x14ac:dyDescent="0.35"/>
    <row r="61881" hidden="1" x14ac:dyDescent="0.35"/>
    <row r="61882" hidden="1" x14ac:dyDescent="0.35"/>
    <row r="61883" hidden="1" x14ac:dyDescent="0.35"/>
    <row r="61884" hidden="1" x14ac:dyDescent="0.35"/>
    <row r="61885" hidden="1" x14ac:dyDescent="0.35"/>
    <row r="61886" hidden="1" x14ac:dyDescent="0.35"/>
    <row r="61887" hidden="1" x14ac:dyDescent="0.35"/>
    <row r="61888" hidden="1" x14ac:dyDescent="0.35"/>
    <row r="61889" hidden="1" x14ac:dyDescent="0.35"/>
    <row r="61890" hidden="1" x14ac:dyDescent="0.35"/>
    <row r="61891" hidden="1" x14ac:dyDescent="0.35"/>
    <row r="61892" hidden="1" x14ac:dyDescent="0.35"/>
    <row r="61893" hidden="1" x14ac:dyDescent="0.35"/>
    <row r="61894" hidden="1" x14ac:dyDescent="0.35"/>
    <row r="61895" hidden="1" x14ac:dyDescent="0.35"/>
    <row r="61896" hidden="1" x14ac:dyDescent="0.35"/>
    <row r="61897" hidden="1" x14ac:dyDescent="0.35"/>
    <row r="61898" hidden="1" x14ac:dyDescent="0.35"/>
    <row r="61899" hidden="1" x14ac:dyDescent="0.35"/>
    <row r="61900" hidden="1" x14ac:dyDescent="0.35"/>
    <row r="61901" hidden="1" x14ac:dyDescent="0.35"/>
    <row r="61902" hidden="1" x14ac:dyDescent="0.35"/>
    <row r="61903" hidden="1" x14ac:dyDescent="0.35"/>
    <row r="61904" hidden="1" x14ac:dyDescent="0.35"/>
    <row r="61905" hidden="1" x14ac:dyDescent="0.35"/>
    <row r="61906" hidden="1" x14ac:dyDescent="0.35"/>
    <row r="61907" hidden="1" x14ac:dyDescent="0.35"/>
    <row r="61908" hidden="1" x14ac:dyDescent="0.35"/>
    <row r="61909" hidden="1" x14ac:dyDescent="0.35"/>
    <row r="61910" hidden="1" x14ac:dyDescent="0.35"/>
    <row r="61911" hidden="1" x14ac:dyDescent="0.35"/>
    <row r="61912" hidden="1" x14ac:dyDescent="0.35"/>
    <row r="61913" hidden="1" x14ac:dyDescent="0.35"/>
    <row r="61914" hidden="1" x14ac:dyDescent="0.35"/>
    <row r="61915" hidden="1" x14ac:dyDescent="0.35"/>
    <row r="61916" hidden="1" x14ac:dyDescent="0.35"/>
    <row r="61917" hidden="1" x14ac:dyDescent="0.35"/>
    <row r="61918" hidden="1" x14ac:dyDescent="0.35"/>
    <row r="61919" hidden="1" x14ac:dyDescent="0.35"/>
    <row r="61920" hidden="1" x14ac:dyDescent="0.35"/>
    <row r="61921" hidden="1" x14ac:dyDescent="0.35"/>
    <row r="61922" hidden="1" x14ac:dyDescent="0.35"/>
    <row r="61923" hidden="1" x14ac:dyDescent="0.35"/>
    <row r="61924" hidden="1" x14ac:dyDescent="0.35"/>
    <row r="61925" hidden="1" x14ac:dyDescent="0.35"/>
    <row r="61926" hidden="1" x14ac:dyDescent="0.35"/>
    <row r="61927" hidden="1" x14ac:dyDescent="0.35"/>
    <row r="61928" hidden="1" x14ac:dyDescent="0.35"/>
    <row r="61929" hidden="1" x14ac:dyDescent="0.35"/>
    <row r="61930" hidden="1" x14ac:dyDescent="0.35"/>
    <row r="61931" hidden="1" x14ac:dyDescent="0.35"/>
    <row r="61932" hidden="1" x14ac:dyDescent="0.35"/>
    <row r="61933" hidden="1" x14ac:dyDescent="0.35"/>
    <row r="61934" hidden="1" x14ac:dyDescent="0.35"/>
    <row r="61935" hidden="1" x14ac:dyDescent="0.35"/>
    <row r="61936" hidden="1" x14ac:dyDescent="0.35"/>
    <row r="61937" hidden="1" x14ac:dyDescent="0.35"/>
    <row r="61938" hidden="1" x14ac:dyDescent="0.35"/>
    <row r="61939" hidden="1" x14ac:dyDescent="0.35"/>
    <row r="61940" hidden="1" x14ac:dyDescent="0.35"/>
    <row r="61941" hidden="1" x14ac:dyDescent="0.35"/>
    <row r="61942" hidden="1" x14ac:dyDescent="0.35"/>
    <row r="61943" hidden="1" x14ac:dyDescent="0.35"/>
    <row r="61944" hidden="1" x14ac:dyDescent="0.35"/>
    <row r="61945" hidden="1" x14ac:dyDescent="0.35"/>
    <row r="61946" hidden="1" x14ac:dyDescent="0.35"/>
    <row r="61947" hidden="1" x14ac:dyDescent="0.35"/>
    <row r="61948" hidden="1" x14ac:dyDescent="0.35"/>
    <row r="61949" hidden="1" x14ac:dyDescent="0.35"/>
    <row r="61950" hidden="1" x14ac:dyDescent="0.35"/>
    <row r="61951" hidden="1" x14ac:dyDescent="0.35"/>
    <row r="61952" hidden="1" x14ac:dyDescent="0.35"/>
    <row r="61953" hidden="1" x14ac:dyDescent="0.35"/>
    <row r="61954" hidden="1" x14ac:dyDescent="0.35"/>
    <row r="61955" hidden="1" x14ac:dyDescent="0.35"/>
    <row r="61956" hidden="1" x14ac:dyDescent="0.35"/>
    <row r="61957" hidden="1" x14ac:dyDescent="0.35"/>
    <row r="61958" hidden="1" x14ac:dyDescent="0.35"/>
    <row r="61959" hidden="1" x14ac:dyDescent="0.35"/>
    <row r="61960" hidden="1" x14ac:dyDescent="0.35"/>
    <row r="61961" hidden="1" x14ac:dyDescent="0.35"/>
    <row r="61962" hidden="1" x14ac:dyDescent="0.35"/>
    <row r="61963" hidden="1" x14ac:dyDescent="0.35"/>
    <row r="61964" hidden="1" x14ac:dyDescent="0.35"/>
    <row r="61965" hidden="1" x14ac:dyDescent="0.35"/>
    <row r="61966" hidden="1" x14ac:dyDescent="0.35"/>
    <row r="61967" hidden="1" x14ac:dyDescent="0.35"/>
    <row r="61968" hidden="1" x14ac:dyDescent="0.35"/>
    <row r="61969" hidden="1" x14ac:dyDescent="0.35"/>
    <row r="61970" hidden="1" x14ac:dyDescent="0.35"/>
    <row r="61971" hidden="1" x14ac:dyDescent="0.35"/>
    <row r="61972" hidden="1" x14ac:dyDescent="0.35"/>
    <row r="61973" hidden="1" x14ac:dyDescent="0.35"/>
    <row r="61974" hidden="1" x14ac:dyDescent="0.35"/>
    <row r="61975" hidden="1" x14ac:dyDescent="0.35"/>
    <row r="61976" hidden="1" x14ac:dyDescent="0.35"/>
    <row r="61977" hidden="1" x14ac:dyDescent="0.35"/>
    <row r="61978" hidden="1" x14ac:dyDescent="0.35"/>
    <row r="61979" hidden="1" x14ac:dyDescent="0.35"/>
    <row r="61980" hidden="1" x14ac:dyDescent="0.35"/>
    <row r="61981" hidden="1" x14ac:dyDescent="0.35"/>
    <row r="61982" hidden="1" x14ac:dyDescent="0.35"/>
    <row r="61983" hidden="1" x14ac:dyDescent="0.35"/>
    <row r="61984" hidden="1" x14ac:dyDescent="0.35"/>
    <row r="61985" hidden="1" x14ac:dyDescent="0.35"/>
    <row r="61986" hidden="1" x14ac:dyDescent="0.35"/>
    <row r="61987" hidden="1" x14ac:dyDescent="0.35"/>
    <row r="61988" hidden="1" x14ac:dyDescent="0.35"/>
    <row r="61989" hidden="1" x14ac:dyDescent="0.35"/>
    <row r="61990" hidden="1" x14ac:dyDescent="0.35"/>
    <row r="61991" hidden="1" x14ac:dyDescent="0.35"/>
    <row r="61992" hidden="1" x14ac:dyDescent="0.35"/>
    <row r="61993" hidden="1" x14ac:dyDescent="0.35"/>
    <row r="61994" hidden="1" x14ac:dyDescent="0.35"/>
    <row r="61995" hidden="1" x14ac:dyDescent="0.35"/>
    <row r="61996" hidden="1" x14ac:dyDescent="0.35"/>
    <row r="61997" hidden="1" x14ac:dyDescent="0.35"/>
    <row r="61998" hidden="1" x14ac:dyDescent="0.35"/>
    <row r="61999" hidden="1" x14ac:dyDescent="0.35"/>
    <row r="62000" hidden="1" x14ac:dyDescent="0.35"/>
    <row r="62001" hidden="1" x14ac:dyDescent="0.35"/>
    <row r="62002" hidden="1" x14ac:dyDescent="0.35"/>
    <row r="62003" hidden="1" x14ac:dyDescent="0.35"/>
    <row r="62004" hidden="1" x14ac:dyDescent="0.35"/>
    <row r="62005" hidden="1" x14ac:dyDescent="0.35"/>
    <row r="62006" hidden="1" x14ac:dyDescent="0.35"/>
    <row r="62007" hidden="1" x14ac:dyDescent="0.35"/>
    <row r="62008" hidden="1" x14ac:dyDescent="0.35"/>
    <row r="62009" hidden="1" x14ac:dyDescent="0.35"/>
    <row r="62010" hidden="1" x14ac:dyDescent="0.35"/>
    <row r="62011" hidden="1" x14ac:dyDescent="0.35"/>
    <row r="62012" hidden="1" x14ac:dyDescent="0.35"/>
    <row r="62013" hidden="1" x14ac:dyDescent="0.35"/>
    <row r="62014" hidden="1" x14ac:dyDescent="0.35"/>
    <row r="62015" hidden="1" x14ac:dyDescent="0.35"/>
    <row r="62016" hidden="1" x14ac:dyDescent="0.35"/>
    <row r="62017" hidden="1" x14ac:dyDescent="0.35"/>
    <row r="62018" hidden="1" x14ac:dyDescent="0.35"/>
    <row r="62019" hidden="1" x14ac:dyDescent="0.35"/>
    <row r="62020" hidden="1" x14ac:dyDescent="0.35"/>
    <row r="62021" hidden="1" x14ac:dyDescent="0.35"/>
    <row r="62022" hidden="1" x14ac:dyDescent="0.35"/>
    <row r="62023" hidden="1" x14ac:dyDescent="0.35"/>
    <row r="62024" hidden="1" x14ac:dyDescent="0.35"/>
    <row r="62025" hidden="1" x14ac:dyDescent="0.35"/>
    <row r="62026" hidden="1" x14ac:dyDescent="0.35"/>
    <row r="62027" hidden="1" x14ac:dyDescent="0.35"/>
    <row r="62028" hidden="1" x14ac:dyDescent="0.35"/>
    <row r="62029" hidden="1" x14ac:dyDescent="0.35"/>
    <row r="62030" hidden="1" x14ac:dyDescent="0.35"/>
    <row r="62031" hidden="1" x14ac:dyDescent="0.35"/>
    <row r="62032" hidden="1" x14ac:dyDescent="0.35"/>
    <row r="62033" hidden="1" x14ac:dyDescent="0.35"/>
    <row r="62034" hidden="1" x14ac:dyDescent="0.35"/>
    <row r="62035" hidden="1" x14ac:dyDescent="0.35"/>
    <row r="62036" hidden="1" x14ac:dyDescent="0.35"/>
    <row r="62037" hidden="1" x14ac:dyDescent="0.35"/>
    <row r="62038" hidden="1" x14ac:dyDescent="0.35"/>
    <row r="62039" hidden="1" x14ac:dyDescent="0.35"/>
    <row r="62040" hidden="1" x14ac:dyDescent="0.35"/>
    <row r="62041" hidden="1" x14ac:dyDescent="0.35"/>
    <row r="62042" hidden="1" x14ac:dyDescent="0.35"/>
    <row r="62043" hidden="1" x14ac:dyDescent="0.35"/>
    <row r="62044" hidden="1" x14ac:dyDescent="0.35"/>
    <row r="62045" hidden="1" x14ac:dyDescent="0.35"/>
    <row r="62046" hidden="1" x14ac:dyDescent="0.35"/>
    <row r="62047" hidden="1" x14ac:dyDescent="0.35"/>
    <row r="62048" hidden="1" x14ac:dyDescent="0.35"/>
    <row r="62049" hidden="1" x14ac:dyDescent="0.35"/>
    <row r="62050" hidden="1" x14ac:dyDescent="0.35"/>
    <row r="62051" hidden="1" x14ac:dyDescent="0.35"/>
    <row r="62052" hidden="1" x14ac:dyDescent="0.35"/>
    <row r="62053" hidden="1" x14ac:dyDescent="0.35"/>
    <row r="62054" hidden="1" x14ac:dyDescent="0.35"/>
    <row r="62055" hidden="1" x14ac:dyDescent="0.35"/>
    <row r="62056" hidden="1" x14ac:dyDescent="0.35"/>
    <row r="62057" hidden="1" x14ac:dyDescent="0.35"/>
    <row r="62058" hidden="1" x14ac:dyDescent="0.35"/>
    <row r="62059" hidden="1" x14ac:dyDescent="0.35"/>
    <row r="62060" hidden="1" x14ac:dyDescent="0.35"/>
    <row r="62061" hidden="1" x14ac:dyDescent="0.35"/>
    <row r="62062" hidden="1" x14ac:dyDescent="0.35"/>
    <row r="62063" hidden="1" x14ac:dyDescent="0.35"/>
    <row r="62064" hidden="1" x14ac:dyDescent="0.35"/>
    <row r="62065" hidden="1" x14ac:dyDescent="0.35"/>
    <row r="62066" hidden="1" x14ac:dyDescent="0.35"/>
    <row r="62067" hidden="1" x14ac:dyDescent="0.35"/>
    <row r="62068" hidden="1" x14ac:dyDescent="0.35"/>
    <row r="62069" hidden="1" x14ac:dyDescent="0.35"/>
    <row r="62070" hidden="1" x14ac:dyDescent="0.35"/>
    <row r="62071" hidden="1" x14ac:dyDescent="0.35"/>
    <row r="62072" hidden="1" x14ac:dyDescent="0.35"/>
    <row r="62073" hidden="1" x14ac:dyDescent="0.35"/>
    <row r="62074" hidden="1" x14ac:dyDescent="0.35"/>
    <row r="62075" hidden="1" x14ac:dyDescent="0.35"/>
    <row r="62076" hidden="1" x14ac:dyDescent="0.35"/>
    <row r="62077" hidden="1" x14ac:dyDescent="0.35"/>
    <row r="62078" hidden="1" x14ac:dyDescent="0.35"/>
    <row r="62079" hidden="1" x14ac:dyDescent="0.35"/>
    <row r="62080" hidden="1" x14ac:dyDescent="0.35"/>
    <row r="62081" hidden="1" x14ac:dyDescent="0.35"/>
    <row r="62082" hidden="1" x14ac:dyDescent="0.35"/>
    <row r="62083" hidden="1" x14ac:dyDescent="0.35"/>
    <row r="62084" hidden="1" x14ac:dyDescent="0.35"/>
    <row r="62085" hidden="1" x14ac:dyDescent="0.35"/>
    <row r="62086" hidden="1" x14ac:dyDescent="0.35"/>
    <row r="62087" hidden="1" x14ac:dyDescent="0.35"/>
    <row r="62088" hidden="1" x14ac:dyDescent="0.35"/>
    <row r="62089" hidden="1" x14ac:dyDescent="0.35"/>
    <row r="62090" hidden="1" x14ac:dyDescent="0.35"/>
    <row r="62091" hidden="1" x14ac:dyDescent="0.35"/>
    <row r="62092" hidden="1" x14ac:dyDescent="0.35"/>
    <row r="62093" hidden="1" x14ac:dyDescent="0.35"/>
    <row r="62094" hidden="1" x14ac:dyDescent="0.35"/>
    <row r="62095" hidden="1" x14ac:dyDescent="0.35"/>
    <row r="62096" hidden="1" x14ac:dyDescent="0.35"/>
    <row r="62097" hidden="1" x14ac:dyDescent="0.35"/>
    <row r="62098" hidden="1" x14ac:dyDescent="0.35"/>
    <row r="62099" hidden="1" x14ac:dyDescent="0.35"/>
    <row r="62100" hidden="1" x14ac:dyDescent="0.35"/>
    <row r="62101" hidden="1" x14ac:dyDescent="0.35"/>
    <row r="62102" hidden="1" x14ac:dyDescent="0.35"/>
    <row r="62103" hidden="1" x14ac:dyDescent="0.35"/>
    <row r="62104" hidden="1" x14ac:dyDescent="0.35"/>
    <row r="62105" hidden="1" x14ac:dyDescent="0.35"/>
    <row r="62106" hidden="1" x14ac:dyDescent="0.35"/>
    <row r="62107" hidden="1" x14ac:dyDescent="0.35"/>
    <row r="62108" hidden="1" x14ac:dyDescent="0.35"/>
    <row r="62109" hidden="1" x14ac:dyDescent="0.35"/>
    <row r="62110" hidden="1" x14ac:dyDescent="0.35"/>
    <row r="62111" hidden="1" x14ac:dyDescent="0.35"/>
    <row r="62112" hidden="1" x14ac:dyDescent="0.35"/>
    <row r="62113" hidden="1" x14ac:dyDescent="0.35"/>
    <row r="62114" hidden="1" x14ac:dyDescent="0.35"/>
    <row r="62115" hidden="1" x14ac:dyDescent="0.35"/>
    <row r="62116" hidden="1" x14ac:dyDescent="0.35"/>
    <row r="62117" hidden="1" x14ac:dyDescent="0.35"/>
    <row r="62118" hidden="1" x14ac:dyDescent="0.35"/>
    <row r="62119" hidden="1" x14ac:dyDescent="0.35"/>
    <row r="62120" hidden="1" x14ac:dyDescent="0.35"/>
    <row r="62121" hidden="1" x14ac:dyDescent="0.35"/>
    <row r="62122" hidden="1" x14ac:dyDescent="0.35"/>
    <row r="62123" hidden="1" x14ac:dyDescent="0.35"/>
    <row r="62124" hidden="1" x14ac:dyDescent="0.35"/>
    <row r="62125" hidden="1" x14ac:dyDescent="0.35"/>
    <row r="62126" hidden="1" x14ac:dyDescent="0.35"/>
    <row r="62127" hidden="1" x14ac:dyDescent="0.35"/>
    <row r="62128" hidden="1" x14ac:dyDescent="0.35"/>
    <row r="62129" hidden="1" x14ac:dyDescent="0.35"/>
    <row r="62130" hidden="1" x14ac:dyDescent="0.35"/>
    <row r="62131" hidden="1" x14ac:dyDescent="0.35"/>
    <row r="62132" hidden="1" x14ac:dyDescent="0.35"/>
    <row r="62133" hidden="1" x14ac:dyDescent="0.35"/>
    <row r="62134" hidden="1" x14ac:dyDescent="0.35"/>
    <row r="62135" hidden="1" x14ac:dyDescent="0.35"/>
    <row r="62136" hidden="1" x14ac:dyDescent="0.35"/>
    <row r="62137" hidden="1" x14ac:dyDescent="0.35"/>
    <row r="62138" hidden="1" x14ac:dyDescent="0.35"/>
    <row r="62139" hidden="1" x14ac:dyDescent="0.35"/>
    <row r="62140" hidden="1" x14ac:dyDescent="0.35"/>
    <row r="62141" hidden="1" x14ac:dyDescent="0.35"/>
    <row r="62142" hidden="1" x14ac:dyDescent="0.35"/>
    <row r="62143" hidden="1" x14ac:dyDescent="0.35"/>
    <row r="62144" hidden="1" x14ac:dyDescent="0.35"/>
    <row r="62145" hidden="1" x14ac:dyDescent="0.35"/>
    <row r="62146" hidden="1" x14ac:dyDescent="0.35"/>
    <row r="62147" hidden="1" x14ac:dyDescent="0.35"/>
    <row r="62148" hidden="1" x14ac:dyDescent="0.35"/>
    <row r="62149" hidden="1" x14ac:dyDescent="0.35"/>
    <row r="62150" hidden="1" x14ac:dyDescent="0.35"/>
    <row r="62151" hidden="1" x14ac:dyDescent="0.35"/>
    <row r="62152" hidden="1" x14ac:dyDescent="0.35"/>
    <row r="62153" hidden="1" x14ac:dyDescent="0.35"/>
    <row r="62154" hidden="1" x14ac:dyDescent="0.35"/>
    <row r="62155" hidden="1" x14ac:dyDescent="0.35"/>
    <row r="62156" hidden="1" x14ac:dyDescent="0.35"/>
    <row r="62157" hidden="1" x14ac:dyDescent="0.35"/>
    <row r="62158" hidden="1" x14ac:dyDescent="0.35"/>
    <row r="62159" hidden="1" x14ac:dyDescent="0.35"/>
    <row r="62160" hidden="1" x14ac:dyDescent="0.35"/>
    <row r="62161" hidden="1" x14ac:dyDescent="0.35"/>
    <row r="62162" hidden="1" x14ac:dyDescent="0.35"/>
    <row r="62163" hidden="1" x14ac:dyDescent="0.35"/>
    <row r="62164" hidden="1" x14ac:dyDescent="0.35"/>
    <row r="62165" hidden="1" x14ac:dyDescent="0.35"/>
    <row r="62166" hidden="1" x14ac:dyDescent="0.35"/>
    <row r="62167" hidden="1" x14ac:dyDescent="0.35"/>
    <row r="62168" hidden="1" x14ac:dyDescent="0.35"/>
    <row r="62169" hidden="1" x14ac:dyDescent="0.35"/>
    <row r="62170" hidden="1" x14ac:dyDescent="0.35"/>
    <row r="62171" hidden="1" x14ac:dyDescent="0.35"/>
    <row r="62172" hidden="1" x14ac:dyDescent="0.35"/>
    <row r="62173" hidden="1" x14ac:dyDescent="0.35"/>
    <row r="62174" hidden="1" x14ac:dyDescent="0.35"/>
    <row r="62175" hidden="1" x14ac:dyDescent="0.35"/>
    <row r="62176" hidden="1" x14ac:dyDescent="0.35"/>
    <row r="62177" hidden="1" x14ac:dyDescent="0.35"/>
    <row r="62178" hidden="1" x14ac:dyDescent="0.35"/>
    <row r="62179" hidden="1" x14ac:dyDescent="0.35"/>
    <row r="62180" hidden="1" x14ac:dyDescent="0.35"/>
    <row r="62181" hidden="1" x14ac:dyDescent="0.35"/>
    <row r="62182" hidden="1" x14ac:dyDescent="0.35"/>
    <row r="62183" hidden="1" x14ac:dyDescent="0.35"/>
    <row r="62184" hidden="1" x14ac:dyDescent="0.35"/>
    <row r="62185" hidden="1" x14ac:dyDescent="0.35"/>
    <row r="62186" hidden="1" x14ac:dyDescent="0.35"/>
    <row r="62187" hidden="1" x14ac:dyDescent="0.35"/>
    <row r="62188" hidden="1" x14ac:dyDescent="0.35"/>
    <row r="62189" hidden="1" x14ac:dyDescent="0.35"/>
    <row r="62190" hidden="1" x14ac:dyDescent="0.35"/>
    <row r="62191" hidden="1" x14ac:dyDescent="0.35"/>
    <row r="62192" hidden="1" x14ac:dyDescent="0.35"/>
    <row r="62193" hidden="1" x14ac:dyDescent="0.35"/>
    <row r="62194" hidden="1" x14ac:dyDescent="0.35"/>
    <row r="62195" hidden="1" x14ac:dyDescent="0.35"/>
    <row r="62196" hidden="1" x14ac:dyDescent="0.35"/>
    <row r="62197" hidden="1" x14ac:dyDescent="0.35"/>
    <row r="62198" hidden="1" x14ac:dyDescent="0.35"/>
    <row r="62199" hidden="1" x14ac:dyDescent="0.35"/>
    <row r="62200" hidden="1" x14ac:dyDescent="0.35"/>
    <row r="62201" hidden="1" x14ac:dyDescent="0.35"/>
    <row r="62202" hidden="1" x14ac:dyDescent="0.35"/>
    <row r="62203" hidden="1" x14ac:dyDescent="0.35"/>
    <row r="62204" hidden="1" x14ac:dyDescent="0.35"/>
    <row r="62205" hidden="1" x14ac:dyDescent="0.35"/>
    <row r="62206" hidden="1" x14ac:dyDescent="0.35"/>
    <row r="62207" hidden="1" x14ac:dyDescent="0.35"/>
    <row r="62208" hidden="1" x14ac:dyDescent="0.35"/>
    <row r="62209" hidden="1" x14ac:dyDescent="0.35"/>
    <row r="62210" hidden="1" x14ac:dyDescent="0.35"/>
    <row r="62211" hidden="1" x14ac:dyDescent="0.35"/>
    <row r="62212" hidden="1" x14ac:dyDescent="0.35"/>
    <row r="62213" hidden="1" x14ac:dyDescent="0.35"/>
    <row r="62214" hidden="1" x14ac:dyDescent="0.35"/>
    <row r="62215" hidden="1" x14ac:dyDescent="0.35"/>
    <row r="62216" hidden="1" x14ac:dyDescent="0.35"/>
    <row r="62217" hidden="1" x14ac:dyDescent="0.35"/>
    <row r="62218" hidden="1" x14ac:dyDescent="0.35"/>
    <row r="62219" hidden="1" x14ac:dyDescent="0.35"/>
    <row r="62220" hidden="1" x14ac:dyDescent="0.35"/>
    <row r="62221" hidden="1" x14ac:dyDescent="0.35"/>
    <row r="62222" hidden="1" x14ac:dyDescent="0.35"/>
    <row r="62223" hidden="1" x14ac:dyDescent="0.35"/>
    <row r="62224" hidden="1" x14ac:dyDescent="0.35"/>
    <row r="62225" hidden="1" x14ac:dyDescent="0.35"/>
    <row r="62226" hidden="1" x14ac:dyDescent="0.35"/>
    <row r="62227" hidden="1" x14ac:dyDescent="0.35"/>
    <row r="62228" hidden="1" x14ac:dyDescent="0.35"/>
    <row r="62229" hidden="1" x14ac:dyDescent="0.35"/>
    <row r="62230" hidden="1" x14ac:dyDescent="0.35"/>
    <row r="62231" hidden="1" x14ac:dyDescent="0.35"/>
    <row r="62232" hidden="1" x14ac:dyDescent="0.35"/>
    <row r="62233" hidden="1" x14ac:dyDescent="0.35"/>
    <row r="62234" hidden="1" x14ac:dyDescent="0.35"/>
    <row r="62235" hidden="1" x14ac:dyDescent="0.35"/>
    <row r="62236" hidden="1" x14ac:dyDescent="0.35"/>
    <row r="62237" hidden="1" x14ac:dyDescent="0.35"/>
    <row r="62238" hidden="1" x14ac:dyDescent="0.35"/>
    <row r="62239" hidden="1" x14ac:dyDescent="0.35"/>
    <row r="62240" hidden="1" x14ac:dyDescent="0.35"/>
    <row r="62241" hidden="1" x14ac:dyDescent="0.35"/>
    <row r="62242" hidden="1" x14ac:dyDescent="0.35"/>
    <row r="62243" hidden="1" x14ac:dyDescent="0.35"/>
    <row r="62244" hidden="1" x14ac:dyDescent="0.35"/>
    <row r="62245" hidden="1" x14ac:dyDescent="0.35"/>
    <row r="62246" hidden="1" x14ac:dyDescent="0.35"/>
    <row r="62247" hidden="1" x14ac:dyDescent="0.35"/>
    <row r="62248" hidden="1" x14ac:dyDescent="0.35"/>
    <row r="62249" hidden="1" x14ac:dyDescent="0.35"/>
    <row r="62250" hidden="1" x14ac:dyDescent="0.35"/>
    <row r="62251" hidden="1" x14ac:dyDescent="0.35"/>
    <row r="62252" hidden="1" x14ac:dyDescent="0.35"/>
    <row r="62253" hidden="1" x14ac:dyDescent="0.35"/>
    <row r="62254" hidden="1" x14ac:dyDescent="0.35"/>
    <row r="62255" hidden="1" x14ac:dyDescent="0.35"/>
    <row r="62256" hidden="1" x14ac:dyDescent="0.35"/>
    <row r="62257" hidden="1" x14ac:dyDescent="0.35"/>
    <row r="62258" hidden="1" x14ac:dyDescent="0.35"/>
    <row r="62259" hidden="1" x14ac:dyDescent="0.35"/>
    <row r="62260" hidden="1" x14ac:dyDescent="0.35"/>
    <row r="62261" hidden="1" x14ac:dyDescent="0.35"/>
    <row r="62262" hidden="1" x14ac:dyDescent="0.35"/>
    <row r="62263" hidden="1" x14ac:dyDescent="0.35"/>
    <row r="62264" hidden="1" x14ac:dyDescent="0.35"/>
    <row r="62265" hidden="1" x14ac:dyDescent="0.35"/>
    <row r="62266" hidden="1" x14ac:dyDescent="0.35"/>
    <row r="62267" hidden="1" x14ac:dyDescent="0.35"/>
    <row r="62268" hidden="1" x14ac:dyDescent="0.35"/>
    <row r="62269" hidden="1" x14ac:dyDescent="0.35"/>
    <row r="62270" hidden="1" x14ac:dyDescent="0.35"/>
    <row r="62271" hidden="1" x14ac:dyDescent="0.35"/>
    <row r="62272" hidden="1" x14ac:dyDescent="0.35"/>
    <row r="62273" hidden="1" x14ac:dyDescent="0.35"/>
    <row r="62274" hidden="1" x14ac:dyDescent="0.35"/>
    <row r="62275" hidden="1" x14ac:dyDescent="0.35"/>
    <row r="62276" hidden="1" x14ac:dyDescent="0.35"/>
    <row r="62277" hidden="1" x14ac:dyDescent="0.35"/>
    <row r="62278" hidden="1" x14ac:dyDescent="0.35"/>
    <row r="62279" hidden="1" x14ac:dyDescent="0.35"/>
    <row r="62280" hidden="1" x14ac:dyDescent="0.35"/>
    <row r="62281" hidden="1" x14ac:dyDescent="0.35"/>
    <row r="62282" hidden="1" x14ac:dyDescent="0.35"/>
    <row r="62283" hidden="1" x14ac:dyDescent="0.35"/>
    <row r="62284" hidden="1" x14ac:dyDescent="0.35"/>
    <row r="62285" hidden="1" x14ac:dyDescent="0.35"/>
    <row r="62286" hidden="1" x14ac:dyDescent="0.35"/>
    <row r="62287" hidden="1" x14ac:dyDescent="0.35"/>
    <row r="62288" hidden="1" x14ac:dyDescent="0.35"/>
    <row r="62289" hidden="1" x14ac:dyDescent="0.35"/>
    <row r="62290" hidden="1" x14ac:dyDescent="0.35"/>
    <row r="62291" hidden="1" x14ac:dyDescent="0.35"/>
    <row r="62292" hidden="1" x14ac:dyDescent="0.35"/>
    <row r="62293" hidden="1" x14ac:dyDescent="0.35"/>
    <row r="62294" hidden="1" x14ac:dyDescent="0.35"/>
    <row r="62295" hidden="1" x14ac:dyDescent="0.35"/>
    <row r="62296" hidden="1" x14ac:dyDescent="0.35"/>
    <row r="62297" hidden="1" x14ac:dyDescent="0.35"/>
    <row r="62298" hidden="1" x14ac:dyDescent="0.35"/>
    <row r="62299" hidden="1" x14ac:dyDescent="0.35"/>
    <row r="62300" hidden="1" x14ac:dyDescent="0.35"/>
    <row r="62301" hidden="1" x14ac:dyDescent="0.35"/>
    <row r="62302" hidden="1" x14ac:dyDescent="0.35"/>
    <row r="62303" hidden="1" x14ac:dyDescent="0.35"/>
    <row r="62304" hidden="1" x14ac:dyDescent="0.35"/>
    <row r="62305" hidden="1" x14ac:dyDescent="0.35"/>
    <row r="62306" hidden="1" x14ac:dyDescent="0.35"/>
    <row r="62307" hidden="1" x14ac:dyDescent="0.35"/>
    <row r="62308" hidden="1" x14ac:dyDescent="0.35"/>
    <row r="62309" hidden="1" x14ac:dyDescent="0.35"/>
    <row r="62310" hidden="1" x14ac:dyDescent="0.35"/>
    <row r="62311" hidden="1" x14ac:dyDescent="0.35"/>
    <row r="62312" hidden="1" x14ac:dyDescent="0.35"/>
    <row r="62313" hidden="1" x14ac:dyDescent="0.35"/>
    <row r="62314" hidden="1" x14ac:dyDescent="0.35"/>
    <row r="62315" hidden="1" x14ac:dyDescent="0.35"/>
    <row r="62316" hidden="1" x14ac:dyDescent="0.35"/>
    <row r="62317" hidden="1" x14ac:dyDescent="0.35"/>
    <row r="62318" hidden="1" x14ac:dyDescent="0.35"/>
    <row r="62319" hidden="1" x14ac:dyDescent="0.35"/>
    <row r="62320" hidden="1" x14ac:dyDescent="0.35"/>
    <row r="62321" hidden="1" x14ac:dyDescent="0.35"/>
    <row r="62322" hidden="1" x14ac:dyDescent="0.35"/>
    <row r="62323" hidden="1" x14ac:dyDescent="0.35"/>
    <row r="62324" hidden="1" x14ac:dyDescent="0.35"/>
    <row r="62325" hidden="1" x14ac:dyDescent="0.35"/>
    <row r="62326" hidden="1" x14ac:dyDescent="0.35"/>
    <row r="62327" hidden="1" x14ac:dyDescent="0.35"/>
    <row r="62328" hidden="1" x14ac:dyDescent="0.35"/>
    <row r="62329" hidden="1" x14ac:dyDescent="0.35"/>
    <row r="62330" hidden="1" x14ac:dyDescent="0.35"/>
    <row r="62331" hidden="1" x14ac:dyDescent="0.35"/>
    <row r="62332" hidden="1" x14ac:dyDescent="0.35"/>
    <row r="62333" hidden="1" x14ac:dyDescent="0.35"/>
    <row r="62334" hidden="1" x14ac:dyDescent="0.35"/>
    <row r="62335" hidden="1" x14ac:dyDescent="0.35"/>
    <row r="62336" hidden="1" x14ac:dyDescent="0.35"/>
    <row r="62337" hidden="1" x14ac:dyDescent="0.35"/>
    <row r="62338" hidden="1" x14ac:dyDescent="0.35"/>
    <row r="62339" hidden="1" x14ac:dyDescent="0.35"/>
    <row r="62340" hidden="1" x14ac:dyDescent="0.35"/>
    <row r="62341" hidden="1" x14ac:dyDescent="0.35"/>
    <row r="62342" hidden="1" x14ac:dyDescent="0.35"/>
    <row r="62343" hidden="1" x14ac:dyDescent="0.35"/>
    <row r="62344" hidden="1" x14ac:dyDescent="0.35"/>
    <row r="62345" hidden="1" x14ac:dyDescent="0.35"/>
    <row r="62346" hidden="1" x14ac:dyDescent="0.35"/>
    <row r="62347" hidden="1" x14ac:dyDescent="0.35"/>
    <row r="62348" hidden="1" x14ac:dyDescent="0.35"/>
    <row r="62349" hidden="1" x14ac:dyDescent="0.35"/>
    <row r="62350" hidden="1" x14ac:dyDescent="0.35"/>
    <row r="62351" hidden="1" x14ac:dyDescent="0.35"/>
    <row r="62352" hidden="1" x14ac:dyDescent="0.35"/>
    <row r="62353" hidden="1" x14ac:dyDescent="0.35"/>
    <row r="62354" hidden="1" x14ac:dyDescent="0.35"/>
    <row r="62355" hidden="1" x14ac:dyDescent="0.35"/>
    <row r="62356" hidden="1" x14ac:dyDescent="0.35"/>
    <row r="62357" hidden="1" x14ac:dyDescent="0.35"/>
    <row r="62358" hidden="1" x14ac:dyDescent="0.35"/>
    <row r="62359" hidden="1" x14ac:dyDescent="0.35"/>
    <row r="62360" hidden="1" x14ac:dyDescent="0.35"/>
    <row r="62361" hidden="1" x14ac:dyDescent="0.35"/>
    <row r="62362" hidden="1" x14ac:dyDescent="0.35"/>
    <row r="62363" hidden="1" x14ac:dyDescent="0.35"/>
    <row r="62364" hidden="1" x14ac:dyDescent="0.35"/>
    <row r="62365" hidden="1" x14ac:dyDescent="0.35"/>
    <row r="62366" hidden="1" x14ac:dyDescent="0.35"/>
    <row r="62367" hidden="1" x14ac:dyDescent="0.35"/>
    <row r="62368" hidden="1" x14ac:dyDescent="0.35"/>
    <row r="62369" hidden="1" x14ac:dyDescent="0.35"/>
    <row r="62370" hidden="1" x14ac:dyDescent="0.35"/>
    <row r="62371" hidden="1" x14ac:dyDescent="0.35"/>
    <row r="62372" hidden="1" x14ac:dyDescent="0.35"/>
    <row r="62373" hidden="1" x14ac:dyDescent="0.35"/>
    <row r="62374" hidden="1" x14ac:dyDescent="0.35"/>
    <row r="62375" hidden="1" x14ac:dyDescent="0.35"/>
    <row r="62376" hidden="1" x14ac:dyDescent="0.35"/>
    <row r="62377" hidden="1" x14ac:dyDescent="0.35"/>
    <row r="62378" hidden="1" x14ac:dyDescent="0.35"/>
    <row r="62379" hidden="1" x14ac:dyDescent="0.35"/>
    <row r="62380" hidden="1" x14ac:dyDescent="0.35"/>
    <row r="62381" hidden="1" x14ac:dyDescent="0.35"/>
    <row r="62382" hidden="1" x14ac:dyDescent="0.35"/>
    <row r="62383" hidden="1" x14ac:dyDescent="0.35"/>
    <row r="62384" hidden="1" x14ac:dyDescent="0.35"/>
    <row r="62385" hidden="1" x14ac:dyDescent="0.35"/>
    <row r="62386" hidden="1" x14ac:dyDescent="0.35"/>
    <row r="62387" hidden="1" x14ac:dyDescent="0.35"/>
    <row r="62388" hidden="1" x14ac:dyDescent="0.35"/>
    <row r="62389" hidden="1" x14ac:dyDescent="0.35"/>
    <row r="62390" hidden="1" x14ac:dyDescent="0.35"/>
    <row r="62391" hidden="1" x14ac:dyDescent="0.35"/>
    <row r="62392" hidden="1" x14ac:dyDescent="0.35"/>
    <row r="62393" hidden="1" x14ac:dyDescent="0.35"/>
    <row r="62394" hidden="1" x14ac:dyDescent="0.35"/>
    <row r="62395" hidden="1" x14ac:dyDescent="0.35"/>
    <row r="62396" hidden="1" x14ac:dyDescent="0.35"/>
    <row r="62397" hidden="1" x14ac:dyDescent="0.35"/>
    <row r="62398" hidden="1" x14ac:dyDescent="0.35"/>
    <row r="62399" hidden="1" x14ac:dyDescent="0.35"/>
    <row r="62400" hidden="1" x14ac:dyDescent="0.35"/>
    <row r="62401" hidden="1" x14ac:dyDescent="0.35"/>
    <row r="62402" hidden="1" x14ac:dyDescent="0.35"/>
    <row r="62403" hidden="1" x14ac:dyDescent="0.35"/>
    <row r="62404" hidden="1" x14ac:dyDescent="0.35"/>
    <row r="62405" hidden="1" x14ac:dyDescent="0.35"/>
    <row r="62406" hidden="1" x14ac:dyDescent="0.35"/>
    <row r="62407" hidden="1" x14ac:dyDescent="0.35"/>
    <row r="62408" hidden="1" x14ac:dyDescent="0.35"/>
    <row r="62409" hidden="1" x14ac:dyDescent="0.35"/>
    <row r="62410" hidden="1" x14ac:dyDescent="0.35"/>
    <row r="62411" hidden="1" x14ac:dyDescent="0.35"/>
    <row r="62412" hidden="1" x14ac:dyDescent="0.35"/>
    <row r="62413" hidden="1" x14ac:dyDescent="0.35"/>
    <row r="62414" hidden="1" x14ac:dyDescent="0.35"/>
    <row r="62415" hidden="1" x14ac:dyDescent="0.35"/>
    <row r="62416" hidden="1" x14ac:dyDescent="0.35"/>
    <row r="62417" hidden="1" x14ac:dyDescent="0.35"/>
    <row r="62418" hidden="1" x14ac:dyDescent="0.35"/>
    <row r="62419" hidden="1" x14ac:dyDescent="0.35"/>
    <row r="62420" hidden="1" x14ac:dyDescent="0.35"/>
    <row r="62421" hidden="1" x14ac:dyDescent="0.35"/>
    <row r="62422" hidden="1" x14ac:dyDescent="0.35"/>
    <row r="62423" hidden="1" x14ac:dyDescent="0.35"/>
    <row r="62424" hidden="1" x14ac:dyDescent="0.35"/>
    <row r="62425" hidden="1" x14ac:dyDescent="0.35"/>
    <row r="62426" hidden="1" x14ac:dyDescent="0.35"/>
    <row r="62427" hidden="1" x14ac:dyDescent="0.35"/>
    <row r="62428" hidden="1" x14ac:dyDescent="0.35"/>
    <row r="62429" hidden="1" x14ac:dyDescent="0.35"/>
    <row r="62430" hidden="1" x14ac:dyDescent="0.35"/>
    <row r="62431" hidden="1" x14ac:dyDescent="0.35"/>
    <row r="62432" hidden="1" x14ac:dyDescent="0.35"/>
    <row r="62433" hidden="1" x14ac:dyDescent="0.35"/>
    <row r="62434" hidden="1" x14ac:dyDescent="0.35"/>
    <row r="62435" hidden="1" x14ac:dyDescent="0.35"/>
    <row r="62436" hidden="1" x14ac:dyDescent="0.35"/>
    <row r="62437" hidden="1" x14ac:dyDescent="0.35"/>
    <row r="62438" hidden="1" x14ac:dyDescent="0.35"/>
    <row r="62439" hidden="1" x14ac:dyDescent="0.35"/>
    <row r="62440" hidden="1" x14ac:dyDescent="0.35"/>
    <row r="62441" hidden="1" x14ac:dyDescent="0.35"/>
    <row r="62442" hidden="1" x14ac:dyDescent="0.35"/>
    <row r="62443" hidden="1" x14ac:dyDescent="0.35"/>
    <row r="62444" hidden="1" x14ac:dyDescent="0.35"/>
    <row r="62445" hidden="1" x14ac:dyDescent="0.35"/>
    <row r="62446" hidden="1" x14ac:dyDescent="0.35"/>
    <row r="62447" hidden="1" x14ac:dyDescent="0.35"/>
    <row r="62448" hidden="1" x14ac:dyDescent="0.35"/>
    <row r="62449" hidden="1" x14ac:dyDescent="0.35"/>
    <row r="62450" hidden="1" x14ac:dyDescent="0.35"/>
    <row r="62451" hidden="1" x14ac:dyDescent="0.35"/>
    <row r="62452" hidden="1" x14ac:dyDescent="0.35"/>
    <row r="62453" hidden="1" x14ac:dyDescent="0.35"/>
    <row r="62454" hidden="1" x14ac:dyDescent="0.35"/>
    <row r="62455" hidden="1" x14ac:dyDescent="0.35"/>
    <row r="62456" hidden="1" x14ac:dyDescent="0.35"/>
    <row r="62457" hidden="1" x14ac:dyDescent="0.35"/>
    <row r="62458" hidden="1" x14ac:dyDescent="0.35"/>
    <row r="62459" hidden="1" x14ac:dyDescent="0.35"/>
    <row r="62460" hidden="1" x14ac:dyDescent="0.35"/>
    <row r="62461" hidden="1" x14ac:dyDescent="0.35"/>
    <row r="62462" hidden="1" x14ac:dyDescent="0.35"/>
    <row r="62463" hidden="1" x14ac:dyDescent="0.35"/>
    <row r="62464" hidden="1" x14ac:dyDescent="0.35"/>
    <row r="62465" hidden="1" x14ac:dyDescent="0.35"/>
    <row r="62466" hidden="1" x14ac:dyDescent="0.35"/>
    <row r="62467" hidden="1" x14ac:dyDescent="0.35"/>
    <row r="62468" hidden="1" x14ac:dyDescent="0.35"/>
    <row r="62469" hidden="1" x14ac:dyDescent="0.35"/>
    <row r="62470" hidden="1" x14ac:dyDescent="0.35"/>
    <row r="62471" hidden="1" x14ac:dyDescent="0.35"/>
    <row r="62472" hidden="1" x14ac:dyDescent="0.35"/>
    <row r="62473" hidden="1" x14ac:dyDescent="0.35"/>
    <row r="62474" hidden="1" x14ac:dyDescent="0.35"/>
    <row r="62475" hidden="1" x14ac:dyDescent="0.35"/>
    <row r="62476" hidden="1" x14ac:dyDescent="0.35"/>
    <row r="62477" hidden="1" x14ac:dyDescent="0.35"/>
    <row r="62478" hidden="1" x14ac:dyDescent="0.35"/>
    <row r="62479" hidden="1" x14ac:dyDescent="0.35"/>
    <row r="62480" hidden="1" x14ac:dyDescent="0.35"/>
    <row r="62481" hidden="1" x14ac:dyDescent="0.35"/>
    <row r="62482" hidden="1" x14ac:dyDescent="0.35"/>
    <row r="62483" hidden="1" x14ac:dyDescent="0.35"/>
    <row r="62484" hidden="1" x14ac:dyDescent="0.35"/>
    <row r="62485" hidden="1" x14ac:dyDescent="0.35"/>
    <row r="62486" hidden="1" x14ac:dyDescent="0.35"/>
    <row r="62487" hidden="1" x14ac:dyDescent="0.35"/>
    <row r="62488" hidden="1" x14ac:dyDescent="0.35"/>
    <row r="62489" hidden="1" x14ac:dyDescent="0.35"/>
    <row r="62490" hidden="1" x14ac:dyDescent="0.35"/>
    <row r="62491" hidden="1" x14ac:dyDescent="0.35"/>
    <row r="62492" hidden="1" x14ac:dyDescent="0.35"/>
    <row r="62493" hidden="1" x14ac:dyDescent="0.35"/>
    <row r="62494" hidden="1" x14ac:dyDescent="0.35"/>
    <row r="62495" hidden="1" x14ac:dyDescent="0.35"/>
    <row r="62496" hidden="1" x14ac:dyDescent="0.35"/>
    <row r="62497" hidden="1" x14ac:dyDescent="0.35"/>
    <row r="62498" hidden="1" x14ac:dyDescent="0.35"/>
    <row r="62499" hidden="1" x14ac:dyDescent="0.35"/>
    <row r="62500" hidden="1" x14ac:dyDescent="0.35"/>
    <row r="62501" hidden="1" x14ac:dyDescent="0.35"/>
    <row r="62502" hidden="1" x14ac:dyDescent="0.35"/>
    <row r="62503" hidden="1" x14ac:dyDescent="0.35"/>
    <row r="62504" hidden="1" x14ac:dyDescent="0.35"/>
    <row r="62505" hidden="1" x14ac:dyDescent="0.35"/>
    <row r="62506" hidden="1" x14ac:dyDescent="0.35"/>
    <row r="62507" hidden="1" x14ac:dyDescent="0.35"/>
    <row r="62508" hidden="1" x14ac:dyDescent="0.35"/>
    <row r="62509" hidden="1" x14ac:dyDescent="0.35"/>
    <row r="62510" hidden="1" x14ac:dyDescent="0.35"/>
    <row r="62511" hidden="1" x14ac:dyDescent="0.35"/>
    <row r="62512" hidden="1" x14ac:dyDescent="0.35"/>
    <row r="62513" hidden="1" x14ac:dyDescent="0.35"/>
    <row r="62514" hidden="1" x14ac:dyDescent="0.35"/>
    <row r="62515" hidden="1" x14ac:dyDescent="0.35"/>
    <row r="62516" hidden="1" x14ac:dyDescent="0.35"/>
    <row r="62517" hidden="1" x14ac:dyDescent="0.35"/>
    <row r="62518" hidden="1" x14ac:dyDescent="0.35"/>
    <row r="62519" hidden="1" x14ac:dyDescent="0.35"/>
    <row r="62520" hidden="1" x14ac:dyDescent="0.35"/>
    <row r="62521" hidden="1" x14ac:dyDescent="0.35"/>
    <row r="62522" hidden="1" x14ac:dyDescent="0.35"/>
    <row r="62523" hidden="1" x14ac:dyDescent="0.35"/>
    <row r="62524" hidden="1" x14ac:dyDescent="0.35"/>
    <row r="62525" hidden="1" x14ac:dyDescent="0.35"/>
    <row r="62526" hidden="1" x14ac:dyDescent="0.35"/>
    <row r="62527" hidden="1" x14ac:dyDescent="0.35"/>
    <row r="62528" hidden="1" x14ac:dyDescent="0.35"/>
    <row r="62529" hidden="1" x14ac:dyDescent="0.35"/>
    <row r="62530" hidden="1" x14ac:dyDescent="0.35"/>
    <row r="62531" hidden="1" x14ac:dyDescent="0.35"/>
    <row r="62532" hidden="1" x14ac:dyDescent="0.35"/>
    <row r="62533" hidden="1" x14ac:dyDescent="0.35"/>
    <row r="62534" hidden="1" x14ac:dyDescent="0.35"/>
    <row r="62535" hidden="1" x14ac:dyDescent="0.35"/>
    <row r="62536" hidden="1" x14ac:dyDescent="0.35"/>
    <row r="62537" hidden="1" x14ac:dyDescent="0.35"/>
    <row r="62538" hidden="1" x14ac:dyDescent="0.35"/>
    <row r="62539" hidden="1" x14ac:dyDescent="0.35"/>
    <row r="62540" hidden="1" x14ac:dyDescent="0.35"/>
    <row r="62541" hidden="1" x14ac:dyDescent="0.35"/>
    <row r="62542" hidden="1" x14ac:dyDescent="0.35"/>
    <row r="62543" hidden="1" x14ac:dyDescent="0.35"/>
    <row r="62544" hidden="1" x14ac:dyDescent="0.35"/>
    <row r="62545" hidden="1" x14ac:dyDescent="0.35"/>
    <row r="62546" hidden="1" x14ac:dyDescent="0.35"/>
    <row r="62547" hidden="1" x14ac:dyDescent="0.35"/>
    <row r="62548" hidden="1" x14ac:dyDescent="0.35"/>
    <row r="62549" hidden="1" x14ac:dyDescent="0.35"/>
    <row r="62550" hidden="1" x14ac:dyDescent="0.35"/>
    <row r="62551" hidden="1" x14ac:dyDescent="0.35"/>
    <row r="62552" hidden="1" x14ac:dyDescent="0.35"/>
    <row r="62553" hidden="1" x14ac:dyDescent="0.35"/>
    <row r="62554" hidden="1" x14ac:dyDescent="0.35"/>
    <row r="62555" hidden="1" x14ac:dyDescent="0.35"/>
    <row r="62556" hidden="1" x14ac:dyDescent="0.35"/>
    <row r="62557" hidden="1" x14ac:dyDescent="0.35"/>
    <row r="62558" hidden="1" x14ac:dyDescent="0.35"/>
    <row r="62559" hidden="1" x14ac:dyDescent="0.35"/>
    <row r="62560" hidden="1" x14ac:dyDescent="0.35"/>
    <row r="62561" hidden="1" x14ac:dyDescent="0.35"/>
    <row r="62562" hidden="1" x14ac:dyDescent="0.35"/>
    <row r="62563" hidden="1" x14ac:dyDescent="0.35"/>
    <row r="62564" hidden="1" x14ac:dyDescent="0.35"/>
    <row r="62565" hidden="1" x14ac:dyDescent="0.35"/>
    <row r="62566" hidden="1" x14ac:dyDescent="0.35"/>
    <row r="62567" hidden="1" x14ac:dyDescent="0.35"/>
    <row r="62568" hidden="1" x14ac:dyDescent="0.35"/>
    <row r="62569" hidden="1" x14ac:dyDescent="0.35"/>
    <row r="62570" hidden="1" x14ac:dyDescent="0.35"/>
    <row r="62571" hidden="1" x14ac:dyDescent="0.35"/>
    <row r="62572" hidden="1" x14ac:dyDescent="0.35"/>
    <row r="62573" hidden="1" x14ac:dyDescent="0.35"/>
    <row r="62574" hidden="1" x14ac:dyDescent="0.35"/>
    <row r="62575" hidden="1" x14ac:dyDescent="0.35"/>
    <row r="62576" hidden="1" x14ac:dyDescent="0.35"/>
    <row r="62577" hidden="1" x14ac:dyDescent="0.35"/>
    <row r="62578" hidden="1" x14ac:dyDescent="0.35"/>
    <row r="62579" hidden="1" x14ac:dyDescent="0.35"/>
    <row r="62580" hidden="1" x14ac:dyDescent="0.35"/>
    <row r="62581" hidden="1" x14ac:dyDescent="0.35"/>
    <row r="62582" hidden="1" x14ac:dyDescent="0.35"/>
    <row r="62583" hidden="1" x14ac:dyDescent="0.35"/>
    <row r="62584" hidden="1" x14ac:dyDescent="0.35"/>
    <row r="62585" hidden="1" x14ac:dyDescent="0.35"/>
    <row r="62586" hidden="1" x14ac:dyDescent="0.35"/>
    <row r="62587" hidden="1" x14ac:dyDescent="0.35"/>
    <row r="62588" hidden="1" x14ac:dyDescent="0.35"/>
    <row r="62589" hidden="1" x14ac:dyDescent="0.35"/>
    <row r="62590" hidden="1" x14ac:dyDescent="0.35"/>
    <row r="62591" hidden="1" x14ac:dyDescent="0.35"/>
    <row r="62592" hidden="1" x14ac:dyDescent="0.35"/>
    <row r="62593" hidden="1" x14ac:dyDescent="0.35"/>
    <row r="62594" hidden="1" x14ac:dyDescent="0.35"/>
    <row r="62595" hidden="1" x14ac:dyDescent="0.35"/>
    <row r="62596" hidden="1" x14ac:dyDescent="0.35"/>
    <row r="62597" hidden="1" x14ac:dyDescent="0.35"/>
    <row r="62598" hidden="1" x14ac:dyDescent="0.35"/>
    <row r="62599" hidden="1" x14ac:dyDescent="0.35"/>
    <row r="62600" hidden="1" x14ac:dyDescent="0.35"/>
    <row r="62601" hidden="1" x14ac:dyDescent="0.35"/>
    <row r="62602" hidden="1" x14ac:dyDescent="0.35"/>
    <row r="62603" hidden="1" x14ac:dyDescent="0.35"/>
    <row r="62604" hidden="1" x14ac:dyDescent="0.35"/>
    <row r="62605" hidden="1" x14ac:dyDescent="0.35"/>
    <row r="62606" hidden="1" x14ac:dyDescent="0.35"/>
    <row r="62607" hidden="1" x14ac:dyDescent="0.35"/>
    <row r="62608" hidden="1" x14ac:dyDescent="0.35"/>
    <row r="62609" hidden="1" x14ac:dyDescent="0.35"/>
    <row r="62610" hidden="1" x14ac:dyDescent="0.35"/>
    <row r="62611" hidden="1" x14ac:dyDescent="0.35"/>
    <row r="62612" hidden="1" x14ac:dyDescent="0.35"/>
    <row r="62613" hidden="1" x14ac:dyDescent="0.35"/>
    <row r="62614" hidden="1" x14ac:dyDescent="0.35"/>
    <row r="62615" hidden="1" x14ac:dyDescent="0.35"/>
    <row r="62616" hidden="1" x14ac:dyDescent="0.35"/>
    <row r="62617" hidden="1" x14ac:dyDescent="0.35"/>
    <row r="62618" hidden="1" x14ac:dyDescent="0.35"/>
    <row r="62619" hidden="1" x14ac:dyDescent="0.35"/>
    <row r="62620" hidden="1" x14ac:dyDescent="0.35"/>
    <row r="62621" hidden="1" x14ac:dyDescent="0.35"/>
    <row r="62622" hidden="1" x14ac:dyDescent="0.35"/>
    <row r="62623" hidden="1" x14ac:dyDescent="0.35"/>
    <row r="62624" hidden="1" x14ac:dyDescent="0.35"/>
    <row r="62625" hidden="1" x14ac:dyDescent="0.35"/>
    <row r="62626" hidden="1" x14ac:dyDescent="0.35"/>
    <row r="62627" hidden="1" x14ac:dyDescent="0.35"/>
    <row r="62628" hidden="1" x14ac:dyDescent="0.35"/>
    <row r="62629" hidden="1" x14ac:dyDescent="0.35"/>
    <row r="62630" hidden="1" x14ac:dyDescent="0.35"/>
    <row r="62631" hidden="1" x14ac:dyDescent="0.35"/>
    <row r="62632" hidden="1" x14ac:dyDescent="0.35"/>
    <row r="62633" hidden="1" x14ac:dyDescent="0.35"/>
    <row r="62634" hidden="1" x14ac:dyDescent="0.35"/>
    <row r="62635" hidden="1" x14ac:dyDescent="0.35"/>
    <row r="62636" hidden="1" x14ac:dyDescent="0.35"/>
    <row r="62637" hidden="1" x14ac:dyDescent="0.35"/>
    <row r="62638" hidden="1" x14ac:dyDescent="0.35"/>
    <row r="62639" hidden="1" x14ac:dyDescent="0.35"/>
    <row r="62640" hidden="1" x14ac:dyDescent="0.35"/>
    <row r="62641" hidden="1" x14ac:dyDescent="0.35"/>
    <row r="62642" hidden="1" x14ac:dyDescent="0.35"/>
    <row r="62643" hidden="1" x14ac:dyDescent="0.35"/>
    <row r="62644" hidden="1" x14ac:dyDescent="0.35"/>
    <row r="62645" hidden="1" x14ac:dyDescent="0.35"/>
    <row r="62646" hidden="1" x14ac:dyDescent="0.35"/>
    <row r="62647" hidden="1" x14ac:dyDescent="0.35"/>
    <row r="62648" hidden="1" x14ac:dyDescent="0.35"/>
    <row r="62649" hidden="1" x14ac:dyDescent="0.35"/>
    <row r="62650" hidden="1" x14ac:dyDescent="0.35"/>
    <row r="62651" hidden="1" x14ac:dyDescent="0.35"/>
    <row r="62652" hidden="1" x14ac:dyDescent="0.35"/>
    <row r="62653" hidden="1" x14ac:dyDescent="0.35"/>
    <row r="62654" hidden="1" x14ac:dyDescent="0.35"/>
    <row r="62655" hidden="1" x14ac:dyDescent="0.35"/>
    <row r="62656" hidden="1" x14ac:dyDescent="0.35"/>
    <row r="62657" hidden="1" x14ac:dyDescent="0.35"/>
    <row r="62658" hidden="1" x14ac:dyDescent="0.35"/>
    <row r="62659" hidden="1" x14ac:dyDescent="0.35"/>
    <row r="62660" hidden="1" x14ac:dyDescent="0.35"/>
    <row r="62661" hidden="1" x14ac:dyDescent="0.35"/>
    <row r="62662" hidden="1" x14ac:dyDescent="0.35"/>
    <row r="62663" hidden="1" x14ac:dyDescent="0.35"/>
    <row r="62664" hidden="1" x14ac:dyDescent="0.35"/>
    <row r="62665" hidden="1" x14ac:dyDescent="0.35"/>
    <row r="62666" hidden="1" x14ac:dyDescent="0.35"/>
    <row r="62667" hidden="1" x14ac:dyDescent="0.35"/>
    <row r="62668" hidden="1" x14ac:dyDescent="0.35"/>
    <row r="62669" hidden="1" x14ac:dyDescent="0.35"/>
    <row r="62670" hidden="1" x14ac:dyDescent="0.35"/>
    <row r="62671" hidden="1" x14ac:dyDescent="0.35"/>
    <row r="62672" hidden="1" x14ac:dyDescent="0.35"/>
    <row r="62673" hidden="1" x14ac:dyDescent="0.35"/>
    <row r="62674" hidden="1" x14ac:dyDescent="0.35"/>
    <row r="62675" hidden="1" x14ac:dyDescent="0.35"/>
    <row r="62676" hidden="1" x14ac:dyDescent="0.35"/>
    <row r="62677" hidden="1" x14ac:dyDescent="0.35"/>
    <row r="62678" hidden="1" x14ac:dyDescent="0.35"/>
    <row r="62679" hidden="1" x14ac:dyDescent="0.35"/>
    <row r="62680" hidden="1" x14ac:dyDescent="0.35"/>
    <row r="62681" hidden="1" x14ac:dyDescent="0.35"/>
    <row r="62682" hidden="1" x14ac:dyDescent="0.35"/>
    <row r="62683" hidden="1" x14ac:dyDescent="0.35"/>
    <row r="62684" hidden="1" x14ac:dyDescent="0.35"/>
    <row r="62685" hidden="1" x14ac:dyDescent="0.35"/>
    <row r="62686" hidden="1" x14ac:dyDescent="0.35"/>
    <row r="62687" hidden="1" x14ac:dyDescent="0.35"/>
    <row r="62688" hidden="1" x14ac:dyDescent="0.35"/>
    <row r="62689" hidden="1" x14ac:dyDescent="0.35"/>
    <row r="62690" hidden="1" x14ac:dyDescent="0.35"/>
    <row r="62691" hidden="1" x14ac:dyDescent="0.35"/>
    <row r="62692" hidden="1" x14ac:dyDescent="0.35"/>
    <row r="62693" hidden="1" x14ac:dyDescent="0.35"/>
    <row r="62694" hidden="1" x14ac:dyDescent="0.35"/>
    <row r="62695" hidden="1" x14ac:dyDescent="0.35"/>
    <row r="62696" hidden="1" x14ac:dyDescent="0.35"/>
    <row r="62697" hidden="1" x14ac:dyDescent="0.35"/>
    <row r="62698" hidden="1" x14ac:dyDescent="0.35"/>
    <row r="62699" hidden="1" x14ac:dyDescent="0.35"/>
    <row r="62700" hidden="1" x14ac:dyDescent="0.35"/>
    <row r="62701" hidden="1" x14ac:dyDescent="0.35"/>
    <row r="62702" hidden="1" x14ac:dyDescent="0.35"/>
    <row r="62703" hidden="1" x14ac:dyDescent="0.35"/>
    <row r="62704" hidden="1" x14ac:dyDescent="0.35"/>
    <row r="62705" hidden="1" x14ac:dyDescent="0.35"/>
    <row r="62706" hidden="1" x14ac:dyDescent="0.35"/>
    <row r="62707" hidden="1" x14ac:dyDescent="0.35"/>
    <row r="62708" hidden="1" x14ac:dyDescent="0.35"/>
    <row r="62709" hidden="1" x14ac:dyDescent="0.35"/>
    <row r="62710" hidden="1" x14ac:dyDescent="0.35"/>
    <row r="62711" hidden="1" x14ac:dyDescent="0.35"/>
    <row r="62712" hidden="1" x14ac:dyDescent="0.35"/>
    <row r="62713" hidden="1" x14ac:dyDescent="0.35"/>
    <row r="62714" hidden="1" x14ac:dyDescent="0.35"/>
    <row r="62715" hidden="1" x14ac:dyDescent="0.35"/>
    <row r="62716" hidden="1" x14ac:dyDescent="0.35"/>
    <row r="62717" hidden="1" x14ac:dyDescent="0.35"/>
    <row r="62718" hidden="1" x14ac:dyDescent="0.35"/>
    <row r="62719" hidden="1" x14ac:dyDescent="0.35"/>
    <row r="62720" hidden="1" x14ac:dyDescent="0.35"/>
    <row r="62721" hidden="1" x14ac:dyDescent="0.35"/>
    <row r="62722" hidden="1" x14ac:dyDescent="0.35"/>
    <row r="62723" hidden="1" x14ac:dyDescent="0.35"/>
    <row r="62724" hidden="1" x14ac:dyDescent="0.35"/>
    <row r="62725" hidden="1" x14ac:dyDescent="0.35"/>
    <row r="62726" hidden="1" x14ac:dyDescent="0.35"/>
    <row r="62727" hidden="1" x14ac:dyDescent="0.35"/>
    <row r="62728" hidden="1" x14ac:dyDescent="0.35"/>
    <row r="62729" hidden="1" x14ac:dyDescent="0.35"/>
    <row r="62730" hidden="1" x14ac:dyDescent="0.35"/>
    <row r="62731" hidden="1" x14ac:dyDescent="0.35"/>
    <row r="62732" hidden="1" x14ac:dyDescent="0.35"/>
    <row r="62733" hidden="1" x14ac:dyDescent="0.35"/>
    <row r="62734" hidden="1" x14ac:dyDescent="0.35"/>
    <row r="62735" hidden="1" x14ac:dyDescent="0.35"/>
    <row r="62736" hidden="1" x14ac:dyDescent="0.35"/>
    <row r="62737" hidden="1" x14ac:dyDescent="0.35"/>
    <row r="62738" hidden="1" x14ac:dyDescent="0.35"/>
    <row r="62739" hidden="1" x14ac:dyDescent="0.35"/>
    <row r="62740" hidden="1" x14ac:dyDescent="0.35"/>
    <row r="62741" hidden="1" x14ac:dyDescent="0.35"/>
    <row r="62742" hidden="1" x14ac:dyDescent="0.35"/>
    <row r="62743" hidden="1" x14ac:dyDescent="0.35"/>
    <row r="62744" hidden="1" x14ac:dyDescent="0.35"/>
    <row r="62745" hidden="1" x14ac:dyDescent="0.35"/>
    <row r="62746" hidden="1" x14ac:dyDescent="0.35"/>
    <row r="62747" hidden="1" x14ac:dyDescent="0.35"/>
    <row r="62748" hidden="1" x14ac:dyDescent="0.35"/>
    <row r="62749" hidden="1" x14ac:dyDescent="0.35"/>
    <row r="62750" hidden="1" x14ac:dyDescent="0.35"/>
    <row r="62751" hidden="1" x14ac:dyDescent="0.35"/>
    <row r="62752" hidden="1" x14ac:dyDescent="0.35"/>
    <row r="62753" hidden="1" x14ac:dyDescent="0.35"/>
    <row r="62754" hidden="1" x14ac:dyDescent="0.35"/>
    <row r="62755" hidden="1" x14ac:dyDescent="0.35"/>
    <row r="62756" hidden="1" x14ac:dyDescent="0.35"/>
    <row r="62757" hidden="1" x14ac:dyDescent="0.35"/>
    <row r="62758" hidden="1" x14ac:dyDescent="0.35"/>
    <row r="62759" hidden="1" x14ac:dyDescent="0.35"/>
    <row r="62760" hidden="1" x14ac:dyDescent="0.35"/>
    <row r="62761" hidden="1" x14ac:dyDescent="0.35"/>
    <row r="62762" hidden="1" x14ac:dyDescent="0.35"/>
    <row r="62763" hidden="1" x14ac:dyDescent="0.35"/>
    <row r="62764" hidden="1" x14ac:dyDescent="0.35"/>
    <row r="62765" hidden="1" x14ac:dyDescent="0.35"/>
    <row r="62766" hidden="1" x14ac:dyDescent="0.35"/>
    <row r="62767" hidden="1" x14ac:dyDescent="0.35"/>
    <row r="62768" hidden="1" x14ac:dyDescent="0.35"/>
    <row r="62769" hidden="1" x14ac:dyDescent="0.35"/>
    <row r="62770" hidden="1" x14ac:dyDescent="0.35"/>
    <row r="62771" hidden="1" x14ac:dyDescent="0.35"/>
    <row r="62772" hidden="1" x14ac:dyDescent="0.35"/>
    <row r="62773" hidden="1" x14ac:dyDescent="0.35"/>
    <row r="62774" hidden="1" x14ac:dyDescent="0.35"/>
    <row r="62775" hidden="1" x14ac:dyDescent="0.35"/>
    <row r="62776" hidden="1" x14ac:dyDescent="0.35"/>
    <row r="62777" hidden="1" x14ac:dyDescent="0.35"/>
    <row r="62778" hidden="1" x14ac:dyDescent="0.35"/>
    <row r="62779" hidden="1" x14ac:dyDescent="0.35"/>
    <row r="62780" hidden="1" x14ac:dyDescent="0.35"/>
    <row r="62781" hidden="1" x14ac:dyDescent="0.35"/>
    <row r="62782" hidden="1" x14ac:dyDescent="0.35"/>
    <row r="62783" hidden="1" x14ac:dyDescent="0.35"/>
    <row r="62784" hidden="1" x14ac:dyDescent="0.35"/>
    <row r="62785" hidden="1" x14ac:dyDescent="0.35"/>
    <row r="62786" hidden="1" x14ac:dyDescent="0.35"/>
    <row r="62787" hidden="1" x14ac:dyDescent="0.35"/>
    <row r="62788" hidden="1" x14ac:dyDescent="0.35"/>
    <row r="62789" hidden="1" x14ac:dyDescent="0.35"/>
    <row r="62790" hidden="1" x14ac:dyDescent="0.35"/>
    <row r="62791" hidden="1" x14ac:dyDescent="0.35"/>
    <row r="62792" hidden="1" x14ac:dyDescent="0.35"/>
    <row r="62793" hidden="1" x14ac:dyDescent="0.35"/>
    <row r="62794" hidden="1" x14ac:dyDescent="0.35"/>
    <row r="62795" hidden="1" x14ac:dyDescent="0.35"/>
    <row r="62796" hidden="1" x14ac:dyDescent="0.35"/>
    <row r="62797" hidden="1" x14ac:dyDescent="0.35"/>
    <row r="62798" hidden="1" x14ac:dyDescent="0.35"/>
    <row r="62799" hidden="1" x14ac:dyDescent="0.35"/>
    <row r="62800" hidden="1" x14ac:dyDescent="0.35"/>
    <row r="62801" hidden="1" x14ac:dyDescent="0.35"/>
    <row r="62802" hidden="1" x14ac:dyDescent="0.35"/>
    <row r="62803" hidden="1" x14ac:dyDescent="0.35"/>
    <row r="62804" hidden="1" x14ac:dyDescent="0.35"/>
    <row r="62805" hidden="1" x14ac:dyDescent="0.35"/>
    <row r="62806" hidden="1" x14ac:dyDescent="0.35"/>
    <row r="62807" hidden="1" x14ac:dyDescent="0.35"/>
    <row r="62808" hidden="1" x14ac:dyDescent="0.35"/>
    <row r="62809" hidden="1" x14ac:dyDescent="0.35"/>
    <row r="62810" hidden="1" x14ac:dyDescent="0.35"/>
    <row r="62811" hidden="1" x14ac:dyDescent="0.35"/>
    <row r="62812" hidden="1" x14ac:dyDescent="0.35"/>
    <row r="62813" hidden="1" x14ac:dyDescent="0.35"/>
    <row r="62814" hidden="1" x14ac:dyDescent="0.35"/>
    <row r="62815" hidden="1" x14ac:dyDescent="0.35"/>
    <row r="62816" hidden="1" x14ac:dyDescent="0.35"/>
    <row r="62817" hidden="1" x14ac:dyDescent="0.35"/>
    <row r="62818" hidden="1" x14ac:dyDescent="0.35"/>
    <row r="62819" hidden="1" x14ac:dyDescent="0.35"/>
    <row r="62820" hidden="1" x14ac:dyDescent="0.35"/>
    <row r="62821" hidden="1" x14ac:dyDescent="0.35"/>
    <row r="62822" hidden="1" x14ac:dyDescent="0.35"/>
    <row r="62823" hidden="1" x14ac:dyDescent="0.35"/>
    <row r="62824" hidden="1" x14ac:dyDescent="0.35"/>
    <row r="62825" hidden="1" x14ac:dyDescent="0.35"/>
    <row r="62826" hidden="1" x14ac:dyDescent="0.35"/>
    <row r="62827" hidden="1" x14ac:dyDescent="0.35"/>
    <row r="62828" hidden="1" x14ac:dyDescent="0.35"/>
    <row r="62829" hidden="1" x14ac:dyDescent="0.35"/>
    <row r="62830" hidden="1" x14ac:dyDescent="0.35"/>
    <row r="62831" hidden="1" x14ac:dyDescent="0.35"/>
    <row r="62832" hidden="1" x14ac:dyDescent="0.35"/>
    <row r="62833" hidden="1" x14ac:dyDescent="0.35"/>
    <row r="62834" hidden="1" x14ac:dyDescent="0.35"/>
    <row r="62835" hidden="1" x14ac:dyDescent="0.35"/>
    <row r="62836" hidden="1" x14ac:dyDescent="0.35"/>
    <row r="62837" hidden="1" x14ac:dyDescent="0.35"/>
    <row r="62838" hidden="1" x14ac:dyDescent="0.35"/>
    <row r="62839" hidden="1" x14ac:dyDescent="0.35"/>
    <row r="62840" hidden="1" x14ac:dyDescent="0.35"/>
    <row r="62841" hidden="1" x14ac:dyDescent="0.35"/>
    <row r="62842" hidden="1" x14ac:dyDescent="0.35"/>
    <row r="62843" hidden="1" x14ac:dyDescent="0.35"/>
    <row r="62844" hidden="1" x14ac:dyDescent="0.35"/>
    <row r="62845" hidden="1" x14ac:dyDescent="0.35"/>
    <row r="62846" hidden="1" x14ac:dyDescent="0.35"/>
    <row r="62847" hidden="1" x14ac:dyDescent="0.35"/>
    <row r="62848" hidden="1" x14ac:dyDescent="0.35"/>
    <row r="62849" hidden="1" x14ac:dyDescent="0.35"/>
    <row r="62850" hidden="1" x14ac:dyDescent="0.35"/>
    <row r="62851" hidden="1" x14ac:dyDescent="0.35"/>
    <row r="62852" hidden="1" x14ac:dyDescent="0.35"/>
    <row r="62853" hidden="1" x14ac:dyDescent="0.35"/>
    <row r="62854" hidden="1" x14ac:dyDescent="0.35"/>
    <row r="62855" hidden="1" x14ac:dyDescent="0.35"/>
    <row r="62856" hidden="1" x14ac:dyDescent="0.35"/>
    <row r="62857" hidden="1" x14ac:dyDescent="0.35"/>
    <row r="62858" hidden="1" x14ac:dyDescent="0.35"/>
    <row r="62859" hidden="1" x14ac:dyDescent="0.35"/>
    <row r="62860" hidden="1" x14ac:dyDescent="0.35"/>
    <row r="62861" hidden="1" x14ac:dyDescent="0.35"/>
    <row r="62862" hidden="1" x14ac:dyDescent="0.35"/>
    <row r="62863" hidden="1" x14ac:dyDescent="0.35"/>
    <row r="62864" hidden="1" x14ac:dyDescent="0.35"/>
    <row r="62865" hidden="1" x14ac:dyDescent="0.35"/>
    <row r="62866" hidden="1" x14ac:dyDescent="0.35"/>
    <row r="62867" hidden="1" x14ac:dyDescent="0.35"/>
    <row r="62868" hidden="1" x14ac:dyDescent="0.35"/>
    <row r="62869" hidden="1" x14ac:dyDescent="0.35"/>
    <row r="62870" hidden="1" x14ac:dyDescent="0.35"/>
    <row r="62871" hidden="1" x14ac:dyDescent="0.35"/>
    <row r="62872" hidden="1" x14ac:dyDescent="0.35"/>
    <row r="62873" hidden="1" x14ac:dyDescent="0.35"/>
    <row r="62874" hidden="1" x14ac:dyDescent="0.35"/>
    <row r="62875" hidden="1" x14ac:dyDescent="0.35"/>
    <row r="62876" hidden="1" x14ac:dyDescent="0.35"/>
    <row r="62877" hidden="1" x14ac:dyDescent="0.35"/>
    <row r="62878" hidden="1" x14ac:dyDescent="0.35"/>
    <row r="62879" hidden="1" x14ac:dyDescent="0.35"/>
    <row r="62880" hidden="1" x14ac:dyDescent="0.35"/>
    <row r="62881" hidden="1" x14ac:dyDescent="0.35"/>
    <row r="62882" hidden="1" x14ac:dyDescent="0.35"/>
    <row r="62883" hidden="1" x14ac:dyDescent="0.35"/>
    <row r="62884" hidden="1" x14ac:dyDescent="0.35"/>
    <row r="62885" hidden="1" x14ac:dyDescent="0.35"/>
    <row r="62886" hidden="1" x14ac:dyDescent="0.35"/>
    <row r="62887" hidden="1" x14ac:dyDescent="0.35"/>
    <row r="62888" hidden="1" x14ac:dyDescent="0.35"/>
    <row r="62889" hidden="1" x14ac:dyDescent="0.35"/>
    <row r="62890" hidden="1" x14ac:dyDescent="0.35"/>
    <row r="62891" hidden="1" x14ac:dyDescent="0.35"/>
    <row r="62892" hidden="1" x14ac:dyDescent="0.35"/>
    <row r="62893" hidden="1" x14ac:dyDescent="0.35"/>
    <row r="62894" hidden="1" x14ac:dyDescent="0.35"/>
    <row r="62895" hidden="1" x14ac:dyDescent="0.35"/>
    <row r="62896" hidden="1" x14ac:dyDescent="0.35"/>
    <row r="62897" hidden="1" x14ac:dyDescent="0.35"/>
    <row r="62898" hidden="1" x14ac:dyDescent="0.35"/>
    <row r="62899" hidden="1" x14ac:dyDescent="0.35"/>
    <row r="62900" hidden="1" x14ac:dyDescent="0.35"/>
    <row r="62901" hidden="1" x14ac:dyDescent="0.35"/>
    <row r="62902" hidden="1" x14ac:dyDescent="0.35"/>
    <row r="62903" hidden="1" x14ac:dyDescent="0.35"/>
    <row r="62904" hidden="1" x14ac:dyDescent="0.35"/>
    <row r="62905" hidden="1" x14ac:dyDescent="0.35"/>
    <row r="62906" hidden="1" x14ac:dyDescent="0.35"/>
    <row r="62907" hidden="1" x14ac:dyDescent="0.35"/>
    <row r="62908" hidden="1" x14ac:dyDescent="0.35"/>
    <row r="62909" hidden="1" x14ac:dyDescent="0.35"/>
    <row r="62910" hidden="1" x14ac:dyDescent="0.35"/>
    <row r="62911" hidden="1" x14ac:dyDescent="0.35"/>
    <row r="62912" hidden="1" x14ac:dyDescent="0.35"/>
    <row r="62913" hidden="1" x14ac:dyDescent="0.35"/>
    <row r="62914" hidden="1" x14ac:dyDescent="0.35"/>
    <row r="62915" hidden="1" x14ac:dyDescent="0.35"/>
    <row r="62916" hidden="1" x14ac:dyDescent="0.35"/>
    <row r="62917" hidden="1" x14ac:dyDescent="0.35"/>
    <row r="62918" hidden="1" x14ac:dyDescent="0.35"/>
    <row r="62919" hidden="1" x14ac:dyDescent="0.35"/>
    <row r="62920" hidden="1" x14ac:dyDescent="0.35"/>
    <row r="62921" hidden="1" x14ac:dyDescent="0.35"/>
    <row r="62922" hidden="1" x14ac:dyDescent="0.35"/>
    <row r="62923" hidden="1" x14ac:dyDescent="0.35"/>
    <row r="62924" hidden="1" x14ac:dyDescent="0.35"/>
    <row r="62925" hidden="1" x14ac:dyDescent="0.35"/>
    <row r="62926" hidden="1" x14ac:dyDescent="0.35"/>
    <row r="62927" hidden="1" x14ac:dyDescent="0.35"/>
    <row r="62928" hidden="1" x14ac:dyDescent="0.35"/>
    <row r="62929" hidden="1" x14ac:dyDescent="0.35"/>
    <row r="62930" hidden="1" x14ac:dyDescent="0.35"/>
    <row r="62931" hidden="1" x14ac:dyDescent="0.35"/>
    <row r="62932" hidden="1" x14ac:dyDescent="0.35"/>
    <row r="62933" hidden="1" x14ac:dyDescent="0.35"/>
    <row r="62934" hidden="1" x14ac:dyDescent="0.35"/>
    <row r="62935" hidden="1" x14ac:dyDescent="0.35"/>
    <row r="62936" hidden="1" x14ac:dyDescent="0.35"/>
    <row r="62937" hidden="1" x14ac:dyDescent="0.35"/>
    <row r="62938" hidden="1" x14ac:dyDescent="0.35"/>
    <row r="62939" hidden="1" x14ac:dyDescent="0.35"/>
    <row r="62940" hidden="1" x14ac:dyDescent="0.35"/>
    <row r="62941" hidden="1" x14ac:dyDescent="0.35"/>
    <row r="62942" hidden="1" x14ac:dyDescent="0.35"/>
    <row r="62943" hidden="1" x14ac:dyDescent="0.35"/>
    <row r="62944" hidden="1" x14ac:dyDescent="0.35"/>
    <row r="62945" hidden="1" x14ac:dyDescent="0.35"/>
    <row r="62946" hidden="1" x14ac:dyDescent="0.35"/>
    <row r="62947" hidden="1" x14ac:dyDescent="0.35"/>
    <row r="62948" hidden="1" x14ac:dyDescent="0.35"/>
    <row r="62949" hidden="1" x14ac:dyDescent="0.35"/>
    <row r="62950" hidden="1" x14ac:dyDescent="0.35"/>
    <row r="62951" hidden="1" x14ac:dyDescent="0.35"/>
    <row r="62952" hidden="1" x14ac:dyDescent="0.35"/>
    <row r="62953" hidden="1" x14ac:dyDescent="0.35"/>
    <row r="62954" hidden="1" x14ac:dyDescent="0.35"/>
    <row r="62955" hidden="1" x14ac:dyDescent="0.35"/>
    <row r="62956" hidden="1" x14ac:dyDescent="0.35"/>
    <row r="62957" hidden="1" x14ac:dyDescent="0.35"/>
    <row r="62958" hidden="1" x14ac:dyDescent="0.35"/>
    <row r="62959" hidden="1" x14ac:dyDescent="0.35"/>
    <row r="62960" hidden="1" x14ac:dyDescent="0.35"/>
    <row r="62961" hidden="1" x14ac:dyDescent="0.35"/>
    <row r="62962" hidden="1" x14ac:dyDescent="0.35"/>
    <row r="62963" hidden="1" x14ac:dyDescent="0.35"/>
    <row r="62964" hidden="1" x14ac:dyDescent="0.35"/>
    <row r="62965" hidden="1" x14ac:dyDescent="0.35"/>
    <row r="62966" hidden="1" x14ac:dyDescent="0.35"/>
    <row r="62967" hidden="1" x14ac:dyDescent="0.35"/>
    <row r="62968" hidden="1" x14ac:dyDescent="0.35"/>
    <row r="62969" hidden="1" x14ac:dyDescent="0.35"/>
    <row r="62970" hidden="1" x14ac:dyDescent="0.35"/>
    <row r="62971" hidden="1" x14ac:dyDescent="0.35"/>
    <row r="62972" hidden="1" x14ac:dyDescent="0.35"/>
    <row r="62973" hidden="1" x14ac:dyDescent="0.35"/>
    <row r="62974" hidden="1" x14ac:dyDescent="0.35"/>
    <row r="62975" hidden="1" x14ac:dyDescent="0.35"/>
    <row r="62976" hidden="1" x14ac:dyDescent="0.35"/>
    <row r="62977" hidden="1" x14ac:dyDescent="0.35"/>
    <row r="62978" hidden="1" x14ac:dyDescent="0.35"/>
    <row r="62979" hidden="1" x14ac:dyDescent="0.35"/>
    <row r="62980" hidden="1" x14ac:dyDescent="0.35"/>
    <row r="62981" hidden="1" x14ac:dyDescent="0.35"/>
    <row r="62982" hidden="1" x14ac:dyDescent="0.35"/>
    <row r="62983" hidden="1" x14ac:dyDescent="0.35"/>
    <row r="62984" hidden="1" x14ac:dyDescent="0.35"/>
    <row r="62985" hidden="1" x14ac:dyDescent="0.35"/>
    <row r="62986" hidden="1" x14ac:dyDescent="0.35"/>
    <row r="62987" hidden="1" x14ac:dyDescent="0.35"/>
    <row r="62988" hidden="1" x14ac:dyDescent="0.35"/>
    <row r="62989" hidden="1" x14ac:dyDescent="0.35"/>
    <row r="62990" hidden="1" x14ac:dyDescent="0.35"/>
    <row r="62991" hidden="1" x14ac:dyDescent="0.35"/>
    <row r="62992" hidden="1" x14ac:dyDescent="0.35"/>
    <row r="62993" hidden="1" x14ac:dyDescent="0.35"/>
    <row r="62994" hidden="1" x14ac:dyDescent="0.35"/>
    <row r="62995" hidden="1" x14ac:dyDescent="0.35"/>
    <row r="62996" hidden="1" x14ac:dyDescent="0.35"/>
    <row r="62997" hidden="1" x14ac:dyDescent="0.35"/>
    <row r="62998" hidden="1" x14ac:dyDescent="0.35"/>
    <row r="62999" hidden="1" x14ac:dyDescent="0.35"/>
    <row r="63000" hidden="1" x14ac:dyDescent="0.35"/>
    <row r="63001" hidden="1" x14ac:dyDescent="0.35"/>
    <row r="63002" hidden="1" x14ac:dyDescent="0.35"/>
    <row r="63003" hidden="1" x14ac:dyDescent="0.35"/>
    <row r="63004" hidden="1" x14ac:dyDescent="0.35"/>
    <row r="63005" hidden="1" x14ac:dyDescent="0.35"/>
    <row r="63006" hidden="1" x14ac:dyDescent="0.35"/>
    <row r="63007" hidden="1" x14ac:dyDescent="0.35"/>
    <row r="63008" hidden="1" x14ac:dyDescent="0.35"/>
    <row r="63009" hidden="1" x14ac:dyDescent="0.35"/>
    <row r="63010" hidden="1" x14ac:dyDescent="0.35"/>
    <row r="63011" hidden="1" x14ac:dyDescent="0.35"/>
    <row r="63012" hidden="1" x14ac:dyDescent="0.35"/>
    <row r="63013" hidden="1" x14ac:dyDescent="0.35"/>
    <row r="63014" hidden="1" x14ac:dyDescent="0.35"/>
    <row r="63015" hidden="1" x14ac:dyDescent="0.35"/>
    <row r="63016" hidden="1" x14ac:dyDescent="0.35"/>
    <row r="63017" hidden="1" x14ac:dyDescent="0.35"/>
    <row r="63018" hidden="1" x14ac:dyDescent="0.35"/>
    <row r="63019" hidden="1" x14ac:dyDescent="0.35"/>
    <row r="63020" hidden="1" x14ac:dyDescent="0.35"/>
    <row r="63021" hidden="1" x14ac:dyDescent="0.35"/>
    <row r="63022" hidden="1" x14ac:dyDescent="0.35"/>
    <row r="63023" hidden="1" x14ac:dyDescent="0.35"/>
    <row r="63024" hidden="1" x14ac:dyDescent="0.35"/>
    <row r="63025" hidden="1" x14ac:dyDescent="0.35"/>
    <row r="63026" hidden="1" x14ac:dyDescent="0.35"/>
    <row r="63027" hidden="1" x14ac:dyDescent="0.35"/>
    <row r="63028" hidden="1" x14ac:dyDescent="0.35"/>
    <row r="63029" hidden="1" x14ac:dyDescent="0.35"/>
    <row r="63030" hidden="1" x14ac:dyDescent="0.35"/>
    <row r="63031" hidden="1" x14ac:dyDescent="0.35"/>
    <row r="63032" hidden="1" x14ac:dyDescent="0.35"/>
    <row r="63033" hidden="1" x14ac:dyDescent="0.35"/>
    <row r="63034" hidden="1" x14ac:dyDescent="0.35"/>
    <row r="63035" hidden="1" x14ac:dyDescent="0.35"/>
    <row r="63036" hidden="1" x14ac:dyDescent="0.35"/>
    <row r="63037" hidden="1" x14ac:dyDescent="0.35"/>
    <row r="63038" hidden="1" x14ac:dyDescent="0.35"/>
    <row r="63039" hidden="1" x14ac:dyDescent="0.35"/>
    <row r="63040" hidden="1" x14ac:dyDescent="0.35"/>
    <row r="63041" hidden="1" x14ac:dyDescent="0.35"/>
    <row r="63042" hidden="1" x14ac:dyDescent="0.35"/>
    <row r="63043" hidden="1" x14ac:dyDescent="0.35"/>
    <row r="63044" hidden="1" x14ac:dyDescent="0.35"/>
    <row r="63045" hidden="1" x14ac:dyDescent="0.35"/>
    <row r="63046" hidden="1" x14ac:dyDescent="0.35"/>
    <row r="63047" hidden="1" x14ac:dyDescent="0.35"/>
    <row r="63048" hidden="1" x14ac:dyDescent="0.35"/>
    <row r="63049" hidden="1" x14ac:dyDescent="0.35"/>
    <row r="63050" hidden="1" x14ac:dyDescent="0.35"/>
    <row r="63051" hidden="1" x14ac:dyDescent="0.35"/>
    <row r="63052" hidden="1" x14ac:dyDescent="0.35"/>
    <row r="63053" hidden="1" x14ac:dyDescent="0.35"/>
    <row r="63054" hidden="1" x14ac:dyDescent="0.35"/>
    <row r="63055" hidden="1" x14ac:dyDescent="0.35"/>
    <row r="63056" hidden="1" x14ac:dyDescent="0.35"/>
    <row r="63057" hidden="1" x14ac:dyDescent="0.35"/>
    <row r="63058" hidden="1" x14ac:dyDescent="0.35"/>
    <row r="63059" hidden="1" x14ac:dyDescent="0.35"/>
    <row r="63060" hidden="1" x14ac:dyDescent="0.35"/>
    <row r="63061" hidden="1" x14ac:dyDescent="0.35"/>
    <row r="63062" hidden="1" x14ac:dyDescent="0.35"/>
    <row r="63063" hidden="1" x14ac:dyDescent="0.35"/>
    <row r="63064" hidden="1" x14ac:dyDescent="0.35"/>
    <row r="63065" hidden="1" x14ac:dyDescent="0.35"/>
    <row r="63066" hidden="1" x14ac:dyDescent="0.35"/>
    <row r="63067" hidden="1" x14ac:dyDescent="0.35"/>
    <row r="63068" hidden="1" x14ac:dyDescent="0.35"/>
    <row r="63069" hidden="1" x14ac:dyDescent="0.35"/>
    <row r="63070" hidden="1" x14ac:dyDescent="0.35"/>
    <row r="63071" hidden="1" x14ac:dyDescent="0.35"/>
    <row r="63072" hidden="1" x14ac:dyDescent="0.35"/>
    <row r="63073" hidden="1" x14ac:dyDescent="0.35"/>
    <row r="63074" hidden="1" x14ac:dyDescent="0.35"/>
    <row r="63075" hidden="1" x14ac:dyDescent="0.35"/>
    <row r="63076" hidden="1" x14ac:dyDescent="0.35"/>
    <row r="63077" hidden="1" x14ac:dyDescent="0.35"/>
    <row r="63078" hidden="1" x14ac:dyDescent="0.35"/>
    <row r="63079" hidden="1" x14ac:dyDescent="0.35"/>
    <row r="63080" hidden="1" x14ac:dyDescent="0.35"/>
    <row r="63081" hidden="1" x14ac:dyDescent="0.35"/>
    <row r="63082" hidden="1" x14ac:dyDescent="0.35"/>
    <row r="63083" hidden="1" x14ac:dyDescent="0.35"/>
    <row r="63084" hidden="1" x14ac:dyDescent="0.35"/>
    <row r="63085" hidden="1" x14ac:dyDescent="0.35"/>
    <row r="63086" hidden="1" x14ac:dyDescent="0.35"/>
    <row r="63087" hidden="1" x14ac:dyDescent="0.35"/>
    <row r="63088" hidden="1" x14ac:dyDescent="0.35"/>
    <row r="63089" hidden="1" x14ac:dyDescent="0.35"/>
    <row r="63090" hidden="1" x14ac:dyDescent="0.35"/>
    <row r="63091" hidden="1" x14ac:dyDescent="0.35"/>
    <row r="63092" hidden="1" x14ac:dyDescent="0.35"/>
    <row r="63093" hidden="1" x14ac:dyDescent="0.35"/>
    <row r="63094" hidden="1" x14ac:dyDescent="0.35"/>
    <row r="63095" hidden="1" x14ac:dyDescent="0.35"/>
    <row r="63096" hidden="1" x14ac:dyDescent="0.35"/>
    <row r="63097" hidden="1" x14ac:dyDescent="0.35"/>
    <row r="63098" hidden="1" x14ac:dyDescent="0.35"/>
    <row r="63099" hidden="1" x14ac:dyDescent="0.35"/>
    <row r="63100" hidden="1" x14ac:dyDescent="0.35"/>
    <row r="63101" hidden="1" x14ac:dyDescent="0.35"/>
    <row r="63102" hidden="1" x14ac:dyDescent="0.35"/>
    <row r="63103" hidden="1" x14ac:dyDescent="0.35"/>
    <row r="63104" hidden="1" x14ac:dyDescent="0.35"/>
    <row r="63105" hidden="1" x14ac:dyDescent="0.35"/>
    <row r="63106" hidden="1" x14ac:dyDescent="0.35"/>
    <row r="63107" hidden="1" x14ac:dyDescent="0.35"/>
    <row r="63108" hidden="1" x14ac:dyDescent="0.35"/>
    <row r="63109" hidden="1" x14ac:dyDescent="0.35"/>
    <row r="63110" hidden="1" x14ac:dyDescent="0.35"/>
    <row r="63111" hidden="1" x14ac:dyDescent="0.35"/>
    <row r="63112" hidden="1" x14ac:dyDescent="0.35"/>
    <row r="63113" hidden="1" x14ac:dyDescent="0.35"/>
    <row r="63114" hidden="1" x14ac:dyDescent="0.35"/>
    <row r="63115" hidden="1" x14ac:dyDescent="0.35"/>
    <row r="63116" hidden="1" x14ac:dyDescent="0.35"/>
    <row r="63117" hidden="1" x14ac:dyDescent="0.35"/>
    <row r="63118" hidden="1" x14ac:dyDescent="0.35"/>
    <row r="63119" hidden="1" x14ac:dyDescent="0.35"/>
    <row r="63120" hidden="1" x14ac:dyDescent="0.35"/>
    <row r="63121" hidden="1" x14ac:dyDescent="0.35"/>
    <row r="63122" hidden="1" x14ac:dyDescent="0.35"/>
    <row r="63123" hidden="1" x14ac:dyDescent="0.35"/>
    <row r="63124" hidden="1" x14ac:dyDescent="0.35"/>
    <row r="63125" hidden="1" x14ac:dyDescent="0.35"/>
    <row r="63126" hidden="1" x14ac:dyDescent="0.35"/>
    <row r="63127" hidden="1" x14ac:dyDescent="0.35"/>
    <row r="63128" hidden="1" x14ac:dyDescent="0.35"/>
    <row r="63129" hidden="1" x14ac:dyDescent="0.35"/>
    <row r="63130" hidden="1" x14ac:dyDescent="0.35"/>
    <row r="63131" hidden="1" x14ac:dyDescent="0.35"/>
    <row r="63132" hidden="1" x14ac:dyDescent="0.35"/>
    <row r="63133" hidden="1" x14ac:dyDescent="0.35"/>
    <row r="63134" hidden="1" x14ac:dyDescent="0.35"/>
    <row r="63135" hidden="1" x14ac:dyDescent="0.35"/>
    <row r="63136" hidden="1" x14ac:dyDescent="0.35"/>
    <row r="63137" hidden="1" x14ac:dyDescent="0.35"/>
    <row r="63138" hidden="1" x14ac:dyDescent="0.35"/>
    <row r="63139" hidden="1" x14ac:dyDescent="0.35"/>
    <row r="63140" hidden="1" x14ac:dyDescent="0.35"/>
    <row r="63141" hidden="1" x14ac:dyDescent="0.35"/>
    <row r="63142" hidden="1" x14ac:dyDescent="0.35"/>
    <row r="63143" hidden="1" x14ac:dyDescent="0.35"/>
    <row r="63144" hidden="1" x14ac:dyDescent="0.35"/>
    <row r="63145" hidden="1" x14ac:dyDescent="0.35"/>
    <row r="63146" hidden="1" x14ac:dyDescent="0.35"/>
    <row r="63147" hidden="1" x14ac:dyDescent="0.35"/>
    <row r="63148" hidden="1" x14ac:dyDescent="0.35"/>
    <row r="63149" hidden="1" x14ac:dyDescent="0.35"/>
    <row r="63150" hidden="1" x14ac:dyDescent="0.35"/>
    <row r="63151" hidden="1" x14ac:dyDescent="0.35"/>
    <row r="63152" hidden="1" x14ac:dyDescent="0.35"/>
    <row r="63153" hidden="1" x14ac:dyDescent="0.35"/>
    <row r="63154" hidden="1" x14ac:dyDescent="0.35"/>
    <row r="63155" hidden="1" x14ac:dyDescent="0.35"/>
    <row r="63156" hidden="1" x14ac:dyDescent="0.35"/>
    <row r="63157" hidden="1" x14ac:dyDescent="0.35"/>
    <row r="63158" hidden="1" x14ac:dyDescent="0.35"/>
    <row r="63159" hidden="1" x14ac:dyDescent="0.35"/>
    <row r="63160" hidden="1" x14ac:dyDescent="0.35"/>
    <row r="63161" hidden="1" x14ac:dyDescent="0.35"/>
    <row r="63162" hidden="1" x14ac:dyDescent="0.35"/>
    <row r="63163" hidden="1" x14ac:dyDescent="0.35"/>
    <row r="63164" hidden="1" x14ac:dyDescent="0.35"/>
    <row r="63165" hidden="1" x14ac:dyDescent="0.35"/>
    <row r="63166" hidden="1" x14ac:dyDescent="0.35"/>
    <row r="63167" hidden="1" x14ac:dyDescent="0.35"/>
    <row r="63168" hidden="1" x14ac:dyDescent="0.35"/>
    <row r="63169" hidden="1" x14ac:dyDescent="0.35"/>
    <row r="63170" hidden="1" x14ac:dyDescent="0.35"/>
    <row r="63171" hidden="1" x14ac:dyDescent="0.35"/>
    <row r="63172" hidden="1" x14ac:dyDescent="0.35"/>
    <row r="63173" hidden="1" x14ac:dyDescent="0.35"/>
    <row r="63174" hidden="1" x14ac:dyDescent="0.35"/>
    <row r="63175" hidden="1" x14ac:dyDescent="0.35"/>
    <row r="63176" hidden="1" x14ac:dyDescent="0.35"/>
    <row r="63177" hidden="1" x14ac:dyDescent="0.35"/>
    <row r="63178" hidden="1" x14ac:dyDescent="0.35"/>
    <row r="63179" hidden="1" x14ac:dyDescent="0.35"/>
    <row r="63180" hidden="1" x14ac:dyDescent="0.35"/>
    <row r="63181" hidden="1" x14ac:dyDescent="0.35"/>
    <row r="63182" hidden="1" x14ac:dyDescent="0.35"/>
    <row r="63183" hidden="1" x14ac:dyDescent="0.35"/>
    <row r="63184" hidden="1" x14ac:dyDescent="0.35"/>
    <row r="63185" hidden="1" x14ac:dyDescent="0.35"/>
    <row r="63186" hidden="1" x14ac:dyDescent="0.35"/>
    <row r="63187" hidden="1" x14ac:dyDescent="0.35"/>
    <row r="63188" hidden="1" x14ac:dyDescent="0.35"/>
    <row r="63189" hidden="1" x14ac:dyDescent="0.35"/>
    <row r="63190" hidden="1" x14ac:dyDescent="0.35"/>
    <row r="63191" hidden="1" x14ac:dyDescent="0.35"/>
    <row r="63192" hidden="1" x14ac:dyDescent="0.35"/>
    <row r="63193" hidden="1" x14ac:dyDescent="0.35"/>
    <row r="63194" hidden="1" x14ac:dyDescent="0.35"/>
    <row r="63195" hidden="1" x14ac:dyDescent="0.35"/>
    <row r="63196" hidden="1" x14ac:dyDescent="0.35"/>
    <row r="63197" hidden="1" x14ac:dyDescent="0.35"/>
    <row r="63198" hidden="1" x14ac:dyDescent="0.35"/>
    <row r="63199" hidden="1" x14ac:dyDescent="0.35"/>
    <row r="63200" hidden="1" x14ac:dyDescent="0.35"/>
    <row r="63201" hidden="1" x14ac:dyDescent="0.35"/>
    <row r="63202" hidden="1" x14ac:dyDescent="0.35"/>
    <row r="63203" hidden="1" x14ac:dyDescent="0.35"/>
    <row r="63204" hidden="1" x14ac:dyDescent="0.35"/>
    <row r="63205" hidden="1" x14ac:dyDescent="0.35"/>
    <row r="63206" hidden="1" x14ac:dyDescent="0.35"/>
    <row r="63207" hidden="1" x14ac:dyDescent="0.35"/>
    <row r="63208" hidden="1" x14ac:dyDescent="0.35"/>
    <row r="63209" hidden="1" x14ac:dyDescent="0.35"/>
    <row r="63210" hidden="1" x14ac:dyDescent="0.35"/>
    <row r="63211" hidden="1" x14ac:dyDescent="0.35"/>
    <row r="63212" hidden="1" x14ac:dyDescent="0.35"/>
    <row r="63213" hidden="1" x14ac:dyDescent="0.35"/>
    <row r="63214" hidden="1" x14ac:dyDescent="0.35"/>
    <row r="63215" hidden="1" x14ac:dyDescent="0.35"/>
    <row r="63216" hidden="1" x14ac:dyDescent="0.35"/>
    <row r="63217" hidden="1" x14ac:dyDescent="0.35"/>
    <row r="63218" hidden="1" x14ac:dyDescent="0.35"/>
    <row r="63219" hidden="1" x14ac:dyDescent="0.35"/>
    <row r="63220" hidden="1" x14ac:dyDescent="0.35"/>
    <row r="63221" hidden="1" x14ac:dyDescent="0.35"/>
    <row r="63222" hidden="1" x14ac:dyDescent="0.35"/>
    <row r="63223" hidden="1" x14ac:dyDescent="0.35"/>
    <row r="63224" hidden="1" x14ac:dyDescent="0.35"/>
    <row r="63225" hidden="1" x14ac:dyDescent="0.35"/>
    <row r="63226" hidden="1" x14ac:dyDescent="0.35"/>
    <row r="63227" hidden="1" x14ac:dyDescent="0.35"/>
    <row r="63228" hidden="1" x14ac:dyDescent="0.35"/>
    <row r="63229" hidden="1" x14ac:dyDescent="0.35"/>
    <row r="63230" hidden="1" x14ac:dyDescent="0.35"/>
    <row r="63231" hidden="1" x14ac:dyDescent="0.35"/>
    <row r="63232" hidden="1" x14ac:dyDescent="0.35"/>
    <row r="63233" hidden="1" x14ac:dyDescent="0.35"/>
    <row r="63234" hidden="1" x14ac:dyDescent="0.35"/>
    <row r="63235" hidden="1" x14ac:dyDescent="0.35"/>
    <row r="63236" hidden="1" x14ac:dyDescent="0.35"/>
    <row r="63237" hidden="1" x14ac:dyDescent="0.35"/>
    <row r="63238" hidden="1" x14ac:dyDescent="0.35"/>
    <row r="63239" hidden="1" x14ac:dyDescent="0.35"/>
    <row r="63240" hidden="1" x14ac:dyDescent="0.35"/>
    <row r="63241" hidden="1" x14ac:dyDescent="0.35"/>
    <row r="63242" hidden="1" x14ac:dyDescent="0.35"/>
    <row r="63243" hidden="1" x14ac:dyDescent="0.35"/>
    <row r="63244" hidden="1" x14ac:dyDescent="0.35"/>
    <row r="63245" hidden="1" x14ac:dyDescent="0.35"/>
    <row r="63246" hidden="1" x14ac:dyDescent="0.35"/>
    <row r="63247" hidden="1" x14ac:dyDescent="0.35"/>
    <row r="63248" hidden="1" x14ac:dyDescent="0.35"/>
    <row r="63249" hidden="1" x14ac:dyDescent="0.35"/>
    <row r="63250" hidden="1" x14ac:dyDescent="0.35"/>
    <row r="63251" hidden="1" x14ac:dyDescent="0.35"/>
    <row r="63252" hidden="1" x14ac:dyDescent="0.35"/>
    <row r="63253" hidden="1" x14ac:dyDescent="0.35"/>
    <row r="63254" hidden="1" x14ac:dyDescent="0.35"/>
    <row r="63255" hidden="1" x14ac:dyDescent="0.35"/>
    <row r="63256" hidden="1" x14ac:dyDescent="0.35"/>
    <row r="63257" hidden="1" x14ac:dyDescent="0.35"/>
    <row r="63258" hidden="1" x14ac:dyDescent="0.35"/>
    <row r="63259" hidden="1" x14ac:dyDescent="0.35"/>
    <row r="63260" hidden="1" x14ac:dyDescent="0.35"/>
    <row r="63261" hidden="1" x14ac:dyDescent="0.35"/>
    <row r="63262" hidden="1" x14ac:dyDescent="0.35"/>
    <row r="63263" hidden="1" x14ac:dyDescent="0.35"/>
    <row r="63264" hidden="1" x14ac:dyDescent="0.35"/>
    <row r="63265" hidden="1" x14ac:dyDescent="0.35"/>
    <row r="63266" hidden="1" x14ac:dyDescent="0.35"/>
    <row r="63267" hidden="1" x14ac:dyDescent="0.35"/>
    <row r="63268" hidden="1" x14ac:dyDescent="0.35"/>
    <row r="63269" hidden="1" x14ac:dyDescent="0.35"/>
    <row r="63270" hidden="1" x14ac:dyDescent="0.35"/>
    <row r="63271" hidden="1" x14ac:dyDescent="0.35"/>
    <row r="63272" hidden="1" x14ac:dyDescent="0.35"/>
    <row r="63273" hidden="1" x14ac:dyDescent="0.35"/>
    <row r="63274" hidden="1" x14ac:dyDescent="0.35"/>
    <row r="63275" hidden="1" x14ac:dyDescent="0.35"/>
    <row r="63276" hidden="1" x14ac:dyDescent="0.35"/>
    <row r="63277" hidden="1" x14ac:dyDescent="0.35"/>
    <row r="63278" hidden="1" x14ac:dyDescent="0.35"/>
    <row r="63279" hidden="1" x14ac:dyDescent="0.35"/>
    <row r="63280" hidden="1" x14ac:dyDescent="0.35"/>
    <row r="63281" hidden="1" x14ac:dyDescent="0.35"/>
    <row r="63282" hidden="1" x14ac:dyDescent="0.35"/>
    <row r="63283" hidden="1" x14ac:dyDescent="0.35"/>
    <row r="63284" hidden="1" x14ac:dyDescent="0.35"/>
    <row r="63285" hidden="1" x14ac:dyDescent="0.35"/>
    <row r="63286" hidden="1" x14ac:dyDescent="0.35"/>
    <row r="63287" hidden="1" x14ac:dyDescent="0.35"/>
    <row r="63288" hidden="1" x14ac:dyDescent="0.35"/>
    <row r="63289" hidden="1" x14ac:dyDescent="0.35"/>
    <row r="63290" hidden="1" x14ac:dyDescent="0.35"/>
    <row r="63291" hidden="1" x14ac:dyDescent="0.35"/>
    <row r="63292" hidden="1" x14ac:dyDescent="0.35"/>
    <row r="63293" hidden="1" x14ac:dyDescent="0.35"/>
    <row r="63294" hidden="1" x14ac:dyDescent="0.35"/>
    <row r="63295" hidden="1" x14ac:dyDescent="0.35"/>
    <row r="63296" hidden="1" x14ac:dyDescent="0.35"/>
    <row r="63297" hidden="1" x14ac:dyDescent="0.35"/>
    <row r="63298" hidden="1" x14ac:dyDescent="0.35"/>
    <row r="63299" hidden="1" x14ac:dyDescent="0.35"/>
    <row r="63300" hidden="1" x14ac:dyDescent="0.35"/>
    <row r="63301" hidden="1" x14ac:dyDescent="0.35"/>
    <row r="63302" hidden="1" x14ac:dyDescent="0.35"/>
    <row r="63303" hidden="1" x14ac:dyDescent="0.35"/>
    <row r="63304" hidden="1" x14ac:dyDescent="0.35"/>
    <row r="63305" hidden="1" x14ac:dyDescent="0.35"/>
    <row r="63306" hidden="1" x14ac:dyDescent="0.35"/>
    <row r="63307" hidden="1" x14ac:dyDescent="0.35"/>
    <row r="63308" hidden="1" x14ac:dyDescent="0.35"/>
    <row r="63309" hidden="1" x14ac:dyDescent="0.35"/>
    <row r="63310" hidden="1" x14ac:dyDescent="0.35"/>
    <row r="63311" hidden="1" x14ac:dyDescent="0.35"/>
    <row r="63312" hidden="1" x14ac:dyDescent="0.35"/>
    <row r="63313" hidden="1" x14ac:dyDescent="0.35"/>
    <row r="63314" hidden="1" x14ac:dyDescent="0.35"/>
    <row r="63315" hidden="1" x14ac:dyDescent="0.35"/>
    <row r="63316" hidden="1" x14ac:dyDescent="0.35"/>
    <row r="63317" hidden="1" x14ac:dyDescent="0.35"/>
    <row r="63318" hidden="1" x14ac:dyDescent="0.35"/>
    <row r="63319" hidden="1" x14ac:dyDescent="0.35"/>
    <row r="63320" hidden="1" x14ac:dyDescent="0.35"/>
    <row r="63321" hidden="1" x14ac:dyDescent="0.35"/>
    <row r="63322" hidden="1" x14ac:dyDescent="0.35"/>
    <row r="63323" hidden="1" x14ac:dyDescent="0.35"/>
    <row r="63324" hidden="1" x14ac:dyDescent="0.35"/>
    <row r="63325" hidden="1" x14ac:dyDescent="0.35"/>
    <row r="63326" hidden="1" x14ac:dyDescent="0.35"/>
    <row r="63327" hidden="1" x14ac:dyDescent="0.35"/>
    <row r="63328" hidden="1" x14ac:dyDescent="0.35"/>
    <row r="63329" hidden="1" x14ac:dyDescent="0.35"/>
    <row r="63330" hidden="1" x14ac:dyDescent="0.35"/>
    <row r="63331" hidden="1" x14ac:dyDescent="0.35"/>
    <row r="63332" hidden="1" x14ac:dyDescent="0.35"/>
    <row r="63333" hidden="1" x14ac:dyDescent="0.35"/>
    <row r="63334" hidden="1" x14ac:dyDescent="0.35"/>
    <row r="63335" hidden="1" x14ac:dyDescent="0.35"/>
    <row r="63336" hidden="1" x14ac:dyDescent="0.35"/>
    <row r="63337" hidden="1" x14ac:dyDescent="0.35"/>
    <row r="63338" hidden="1" x14ac:dyDescent="0.35"/>
    <row r="63339" hidden="1" x14ac:dyDescent="0.35"/>
    <row r="63340" hidden="1" x14ac:dyDescent="0.35"/>
    <row r="63341" hidden="1" x14ac:dyDescent="0.35"/>
    <row r="63342" hidden="1" x14ac:dyDescent="0.35"/>
    <row r="63343" hidden="1" x14ac:dyDescent="0.35"/>
    <row r="63344" hidden="1" x14ac:dyDescent="0.35"/>
    <row r="63345" hidden="1" x14ac:dyDescent="0.35"/>
    <row r="63346" hidden="1" x14ac:dyDescent="0.35"/>
    <row r="63347" hidden="1" x14ac:dyDescent="0.35"/>
    <row r="63348" hidden="1" x14ac:dyDescent="0.35"/>
    <row r="63349" hidden="1" x14ac:dyDescent="0.35"/>
    <row r="63350" hidden="1" x14ac:dyDescent="0.35"/>
    <row r="63351" hidden="1" x14ac:dyDescent="0.35"/>
    <row r="63352" hidden="1" x14ac:dyDescent="0.35"/>
    <row r="63353" hidden="1" x14ac:dyDescent="0.35"/>
    <row r="63354" hidden="1" x14ac:dyDescent="0.35"/>
    <row r="63355" hidden="1" x14ac:dyDescent="0.35"/>
    <row r="63356" hidden="1" x14ac:dyDescent="0.35"/>
    <row r="63357" hidden="1" x14ac:dyDescent="0.35"/>
    <row r="63358" hidden="1" x14ac:dyDescent="0.35"/>
    <row r="63359" hidden="1" x14ac:dyDescent="0.35"/>
    <row r="63360" hidden="1" x14ac:dyDescent="0.35"/>
    <row r="63361" hidden="1" x14ac:dyDescent="0.35"/>
    <row r="63362" hidden="1" x14ac:dyDescent="0.35"/>
    <row r="63363" hidden="1" x14ac:dyDescent="0.35"/>
    <row r="63364" hidden="1" x14ac:dyDescent="0.35"/>
    <row r="63365" hidden="1" x14ac:dyDescent="0.35"/>
    <row r="63366" hidden="1" x14ac:dyDescent="0.35"/>
    <row r="63367" hidden="1" x14ac:dyDescent="0.35"/>
    <row r="63368" hidden="1" x14ac:dyDescent="0.35"/>
    <row r="63369" hidden="1" x14ac:dyDescent="0.35"/>
    <row r="63370" hidden="1" x14ac:dyDescent="0.35"/>
    <row r="63371" hidden="1" x14ac:dyDescent="0.35"/>
    <row r="63372" hidden="1" x14ac:dyDescent="0.35"/>
    <row r="63373" hidden="1" x14ac:dyDescent="0.35"/>
    <row r="63374" hidden="1" x14ac:dyDescent="0.35"/>
    <row r="63375" hidden="1" x14ac:dyDescent="0.35"/>
    <row r="63376" hidden="1" x14ac:dyDescent="0.35"/>
    <row r="63377" hidden="1" x14ac:dyDescent="0.35"/>
    <row r="63378" hidden="1" x14ac:dyDescent="0.35"/>
    <row r="63379" hidden="1" x14ac:dyDescent="0.35"/>
    <row r="63380" hidden="1" x14ac:dyDescent="0.35"/>
    <row r="63381" hidden="1" x14ac:dyDescent="0.35"/>
    <row r="63382" hidden="1" x14ac:dyDescent="0.35"/>
    <row r="63383" hidden="1" x14ac:dyDescent="0.35"/>
    <row r="63384" hidden="1" x14ac:dyDescent="0.35"/>
    <row r="63385" hidden="1" x14ac:dyDescent="0.35"/>
    <row r="63386" hidden="1" x14ac:dyDescent="0.35"/>
    <row r="63387" hidden="1" x14ac:dyDescent="0.35"/>
    <row r="63388" hidden="1" x14ac:dyDescent="0.35"/>
    <row r="63389" hidden="1" x14ac:dyDescent="0.35"/>
    <row r="63390" hidden="1" x14ac:dyDescent="0.35"/>
    <row r="63391" hidden="1" x14ac:dyDescent="0.35"/>
    <row r="63392" hidden="1" x14ac:dyDescent="0.35"/>
    <row r="63393" hidden="1" x14ac:dyDescent="0.35"/>
    <row r="63394" hidden="1" x14ac:dyDescent="0.35"/>
    <row r="63395" hidden="1" x14ac:dyDescent="0.35"/>
    <row r="63396" hidden="1" x14ac:dyDescent="0.35"/>
    <row r="63397" hidden="1" x14ac:dyDescent="0.35"/>
    <row r="63398" hidden="1" x14ac:dyDescent="0.35"/>
    <row r="63399" hidden="1" x14ac:dyDescent="0.35"/>
    <row r="63400" hidden="1" x14ac:dyDescent="0.35"/>
    <row r="63401" hidden="1" x14ac:dyDescent="0.35"/>
    <row r="63402" hidden="1" x14ac:dyDescent="0.35"/>
    <row r="63403" hidden="1" x14ac:dyDescent="0.35"/>
    <row r="63404" hidden="1" x14ac:dyDescent="0.35"/>
    <row r="63405" hidden="1" x14ac:dyDescent="0.35"/>
    <row r="63406" hidden="1" x14ac:dyDescent="0.35"/>
    <row r="63407" hidden="1" x14ac:dyDescent="0.35"/>
    <row r="63408" hidden="1" x14ac:dyDescent="0.35"/>
    <row r="63409" hidden="1" x14ac:dyDescent="0.35"/>
    <row r="63410" hidden="1" x14ac:dyDescent="0.35"/>
    <row r="63411" hidden="1" x14ac:dyDescent="0.35"/>
    <row r="63412" hidden="1" x14ac:dyDescent="0.35"/>
    <row r="63413" hidden="1" x14ac:dyDescent="0.35"/>
    <row r="63414" hidden="1" x14ac:dyDescent="0.35"/>
    <row r="63415" hidden="1" x14ac:dyDescent="0.35"/>
    <row r="63416" hidden="1" x14ac:dyDescent="0.35"/>
    <row r="63417" hidden="1" x14ac:dyDescent="0.35"/>
    <row r="63418" hidden="1" x14ac:dyDescent="0.35"/>
    <row r="63419" hidden="1" x14ac:dyDescent="0.35"/>
    <row r="63420" hidden="1" x14ac:dyDescent="0.35"/>
    <row r="63421" hidden="1" x14ac:dyDescent="0.35"/>
    <row r="63422" hidden="1" x14ac:dyDescent="0.35"/>
    <row r="63423" hidden="1" x14ac:dyDescent="0.35"/>
    <row r="63424" hidden="1" x14ac:dyDescent="0.35"/>
    <row r="63425" hidden="1" x14ac:dyDescent="0.35"/>
    <row r="63426" hidden="1" x14ac:dyDescent="0.35"/>
    <row r="63427" hidden="1" x14ac:dyDescent="0.35"/>
    <row r="63428" hidden="1" x14ac:dyDescent="0.35"/>
    <row r="63429" hidden="1" x14ac:dyDescent="0.35"/>
    <row r="63430" hidden="1" x14ac:dyDescent="0.35"/>
    <row r="63431" hidden="1" x14ac:dyDescent="0.35"/>
    <row r="63432" hidden="1" x14ac:dyDescent="0.35"/>
    <row r="63433" hidden="1" x14ac:dyDescent="0.35"/>
    <row r="63434" hidden="1" x14ac:dyDescent="0.35"/>
    <row r="63435" hidden="1" x14ac:dyDescent="0.35"/>
    <row r="63436" hidden="1" x14ac:dyDescent="0.35"/>
    <row r="63437" hidden="1" x14ac:dyDescent="0.35"/>
    <row r="63438" hidden="1" x14ac:dyDescent="0.35"/>
    <row r="63439" hidden="1" x14ac:dyDescent="0.35"/>
    <row r="63440" hidden="1" x14ac:dyDescent="0.35"/>
    <row r="63441" hidden="1" x14ac:dyDescent="0.35"/>
    <row r="63442" hidden="1" x14ac:dyDescent="0.35"/>
    <row r="63443" hidden="1" x14ac:dyDescent="0.35"/>
    <row r="63444" hidden="1" x14ac:dyDescent="0.35"/>
    <row r="63445" hidden="1" x14ac:dyDescent="0.35"/>
    <row r="63446" hidden="1" x14ac:dyDescent="0.35"/>
    <row r="63447" hidden="1" x14ac:dyDescent="0.35"/>
    <row r="63448" hidden="1" x14ac:dyDescent="0.35"/>
    <row r="63449" hidden="1" x14ac:dyDescent="0.35"/>
    <row r="63450" hidden="1" x14ac:dyDescent="0.35"/>
    <row r="63451" hidden="1" x14ac:dyDescent="0.35"/>
    <row r="63452" hidden="1" x14ac:dyDescent="0.35"/>
    <row r="63453" hidden="1" x14ac:dyDescent="0.35"/>
    <row r="63454" hidden="1" x14ac:dyDescent="0.35"/>
    <row r="63455" hidden="1" x14ac:dyDescent="0.35"/>
    <row r="63456" hidden="1" x14ac:dyDescent="0.35"/>
    <row r="63457" hidden="1" x14ac:dyDescent="0.35"/>
    <row r="63458" hidden="1" x14ac:dyDescent="0.35"/>
    <row r="63459" hidden="1" x14ac:dyDescent="0.35"/>
    <row r="63460" hidden="1" x14ac:dyDescent="0.35"/>
    <row r="63461" hidden="1" x14ac:dyDescent="0.35"/>
    <row r="63462" hidden="1" x14ac:dyDescent="0.35"/>
    <row r="63463" hidden="1" x14ac:dyDescent="0.35"/>
    <row r="63464" hidden="1" x14ac:dyDescent="0.35"/>
    <row r="63465" hidden="1" x14ac:dyDescent="0.35"/>
    <row r="63466" hidden="1" x14ac:dyDescent="0.35"/>
    <row r="63467" hidden="1" x14ac:dyDescent="0.35"/>
    <row r="63468" hidden="1" x14ac:dyDescent="0.35"/>
    <row r="63469" hidden="1" x14ac:dyDescent="0.35"/>
    <row r="63470" hidden="1" x14ac:dyDescent="0.35"/>
    <row r="63471" hidden="1" x14ac:dyDescent="0.35"/>
    <row r="63472" hidden="1" x14ac:dyDescent="0.35"/>
    <row r="63473" hidden="1" x14ac:dyDescent="0.35"/>
    <row r="63474" hidden="1" x14ac:dyDescent="0.35"/>
    <row r="63475" hidden="1" x14ac:dyDescent="0.35"/>
    <row r="63476" hidden="1" x14ac:dyDescent="0.35"/>
    <row r="63477" hidden="1" x14ac:dyDescent="0.35"/>
    <row r="63478" hidden="1" x14ac:dyDescent="0.35"/>
    <row r="63479" hidden="1" x14ac:dyDescent="0.35"/>
    <row r="63480" hidden="1" x14ac:dyDescent="0.35"/>
    <row r="63481" hidden="1" x14ac:dyDescent="0.35"/>
    <row r="63482" hidden="1" x14ac:dyDescent="0.35"/>
    <row r="63483" hidden="1" x14ac:dyDescent="0.35"/>
    <row r="63484" hidden="1" x14ac:dyDescent="0.35"/>
    <row r="63485" hidden="1" x14ac:dyDescent="0.35"/>
    <row r="63486" hidden="1" x14ac:dyDescent="0.35"/>
    <row r="63487" hidden="1" x14ac:dyDescent="0.35"/>
    <row r="63488" hidden="1" x14ac:dyDescent="0.35"/>
    <row r="63489" hidden="1" x14ac:dyDescent="0.35"/>
    <row r="63490" hidden="1" x14ac:dyDescent="0.35"/>
    <row r="63491" hidden="1" x14ac:dyDescent="0.35"/>
    <row r="63492" hidden="1" x14ac:dyDescent="0.35"/>
    <row r="63493" hidden="1" x14ac:dyDescent="0.35"/>
    <row r="63494" hidden="1" x14ac:dyDescent="0.35"/>
    <row r="63495" hidden="1" x14ac:dyDescent="0.35"/>
    <row r="63496" hidden="1" x14ac:dyDescent="0.35"/>
    <row r="63497" hidden="1" x14ac:dyDescent="0.35"/>
    <row r="63498" hidden="1" x14ac:dyDescent="0.35"/>
    <row r="63499" hidden="1" x14ac:dyDescent="0.35"/>
    <row r="63500" hidden="1" x14ac:dyDescent="0.35"/>
    <row r="63501" hidden="1" x14ac:dyDescent="0.35"/>
    <row r="63502" hidden="1" x14ac:dyDescent="0.35"/>
    <row r="63503" hidden="1" x14ac:dyDescent="0.35"/>
    <row r="63504" hidden="1" x14ac:dyDescent="0.35"/>
    <row r="63505" hidden="1" x14ac:dyDescent="0.35"/>
    <row r="63506" hidden="1" x14ac:dyDescent="0.35"/>
    <row r="63507" hidden="1" x14ac:dyDescent="0.35"/>
    <row r="63508" hidden="1" x14ac:dyDescent="0.35"/>
    <row r="63509" hidden="1" x14ac:dyDescent="0.35"/>
    <row r="63510" hidden="1" x14ac:dyDescent="0.35"/>
    <row r="63511" hidden="1" x14ac:dyDescent="0.35"/>
    <row r="63512" hidden="1" x14ac:dyDescent="0.35"/>
    <row r="63513" hidden="1" x14ac:dyDescent="0.35"/>
    <row r="63514" hidden="1" x14ac:dyDescent="0.35"/>
    <row r="63515" hidden="1" x14ac:dyDescent="0.35"/>
    <row r="63516" hidden="1" x14ac:dyDescent="0.35"/>
    <row r="63517" hidden="1" x14ac:dyDescent="0.35"/>
    <row r="63518" hidden="1" x14ac:dyDescent="0.35"/>
    <row r="63519" hidden="1" x14ac:dyDescent="0.35"/>
    <row r="63520" hidden="1" x14ac:dyDescent="0.35"/>
    <row r="63521" hidden="1" x14ac:dyDescent="0.35"/>
    <row r="63522" hidden="1" x14ac:dyDescent="0.35"/>
    <row r="63523" hidden="1" x14ac:dyDescent="0.35"/>
    <row r="63524" hidden="1" x14ac:dyDescent="0.35"/>
    <row r="63525" hidden="1" x14ac:dyDescent="0.35"/>
    <row r="63526" hidden="1" x14ac:dyDescent="0.35"/>
    <row r="63527" hidden="1" x14ac:dyDescent="0.35"/>
    <row r="63528" hidden="1" x14ac:dyDescent="0.35"/>
    <row r="63529" hidden="1" x14ac:dyDescent="0.35"/>
    <row r="63530" hidden="1" x14ac:dyDescent="0.35"/>
    <row r="63531" hidden="1" x14ac:dyDescent="0.35"/>
    <row r="63532" hidden="1" x14ac:dyDescent="0.35"/>
    <row r="63533" hidden="1" x14ac:dyDescent="0.35"/>
    <row r="63534" hidden="1" x14ac:dyDescent="0.35"/>
    <row r="63535" hidden="1" x14ac:dyDescent="0.35"/>
    <row r="63536" hidden="1" x14ac:dyDescent="0.35"/>
    <row r="63537" hidden="1" x14ac:dyDescent="0.35"/>
    <row r="63538" hidden="1" x14ac:dyDescent="0.35"/>
    <row r="63539" hidden="1" x14ac:dyDescent="0.35"/>
    <row r="63540" hidden="1" x14ac:dyDescent="0.35"/>
    <row r="63541" hidden="1" x14ac:dyDescent="0.35"/>
    <row r="63542" hidden="1" x14ac:dyDescent="0.35"/>
    <row r="63543" hidden="1" x14ac:dyDescent="0.35"/>
    <row r="63544" hidden="1" x14ac:dyDescent="0.35"/>
    <row r="63545" hidden="1" x14ac:dyDescent="0.35"/>
    <row r="63546" hidden="1" x14ac:dyDescent="0.35"/>
    <row r="63547" hidden="1" x14ac:dyDescent="0.35"/>
    <row r="63548" hidden="1" x14ac:dyDescent="0.35"/>
    <row r="63549" hidden="1" x14ac:dyDescent="0.35"/>
    <row r="63550" hidden="1" x14ac:dyDescent="0.35"/>
    <row r="63551" hidden="1" x14ac:dyDescent="0.35"/>
    <row r="63552" hidden="1" x14ac:dyDescent="0.35"/>
    <row r="63553" hidden="1" x14ac:dyDescent="0.35"/>
    <row r="63554" hidden="1" x14ac:dyDescent="0.35"/>
    <row r="63555" hidden="1" x14ac:dyDescent="0.35"/>
    <row r="63556" hidden="1" x14ac:dyDescent="0.35"/>
    <row r="63557" hidden="1" x14ac:dyDescent="0.35"/>
    <row r="63558" hidden="1" x14ac:dyDescent="0.35"/>
    <row r="63559" hidden="1" x14ac:dyDescent="0.35"/>
    <row r="63560" hidden="1" x14ac:dyDescent="0.35"/>
    <row r="63561" hidden="1" x14ac:dyDescent="0.35"/>
    <row r="63562" hidden="1" x14ac:dyDescent="0.35"/>
    <row r="63563" hidden="1" x14ac:dyDescent="0.35"/>
    <row r="63564" hidden="1" x14ac:dyDescent="0.35"/>
    <row r="63565" hidden="1" x14ac:dyDescent="0.35"/>
    <row r="63566" hidden="1" x14ac:dyDescent="0.35"/>
    <row r="63567" hidden="1" x14ac:dyDescent="0.35"/>
    <row r="63568" hidden="1" x14ac:dyDescent="0.35"/>
    <row r="63569" hidden="1" x14ac:dyDescent="0.35"/>
    <row r="63570" hidden="1" x14ac:dyDescent="0.35"/>
    <row r="63571" hidden="1" x14ac:dyDescent="0.35"/>
    <row r="63572" hidden="1" x14ac:dyDescent="0.35"/>
    <row r="63573" hidden="1" x14ac:dyDescent="0.35"/>
    <row r="63574" hidden="1" x14ac:dyDescent="0.35"/>
    <row r="63575" hidden="1" x14ac:dyDescent="0.35"/>
    <row r="63576" hidden="1" x14ac:dyDescent="0.35"/>
    <row r="63577" hidden="1" x14ac:dyDescent="0.35"/>
    <row r="63578" hidden="1" x14ac:dyDescent="0.35"/>
    <row r="63579" hidden="1" x14ac:dyDescent="0.35"/>
    <row r="63580" hidden="1" x14ac:dyDescent="0.35"/>
    <row r="63581" hidden="1" x14ac:dyDescent="0.35"/>
    <row r="63582" hidden="1" x14ac:dyDescent="0.35"/>
    <row r="63583" hidden="1" x14ac:dyDescent="0.35"/>
    <row r="63584" hidden="1" x14ac:dyDescent="0.35"/>
    <row r="63585" hidden="1" x14ac:dyDescent="0.35"/>
    <row r="63586" hidden="1" x14ac:dyDescent="0.35"/>
    <row r="63587" hidden="1" x14ac:dyDescent="0.35"/>
    <row r="63588" hidden="1" x14ac:dyDescent="0.35"/>
    <row r="63589" hidden="1" x14ac:dyDescent="0.35"/>
    <row r="63590" hidden="1" x14ac:dyDescent="0.35"/>
    <row r="63591" hidden="1" x14ac:dyDescent="0.35"/>
    <row r="63592" hidden="1" x14ac:dyDescent="0.35"/>
    <row r="63593" hidden="1" x14ac:dyDescent="0.35"/>
    <row r="63594" hidden="1" x14ac:dyDescent="0.35"/>
    <row r="63595" hidden="1" x14ac:dyDescent="0.35"/>
    <row r="63596" hidden="1" x14ac:dyDescent="0.35"/>
    <row r="63597" hidden="1" x14ac:dyDescent="0.35"/>
    <row r="63598" hidden="1" x14ac:dyDescent="0.35"/>
    <row r="63599" hidden="1" x14ac:dyDescent="0.35"/>
    <row r="63600" hidden="1" x14ac:dyDescent="0.35"/>
    <row r="63601" hidden="1" x14ac:dyDescent="0.35"/>
    <row r="63602" hidden="1" x14ac:dyDescent="0.35"/>
    <row r="63603" hidden="1" x14ac:dyDescent="0.35"/>
    <row r="63604" hidden="1" x14ac:dyDescent="0.35"/>
    <row r="63605" hidden="1" x14ac:dyDescent="0.35"/>
    <row r="63606" hidden="1" x14ac:dyDescent="0.35"/>
    <row r="63607" hidden="1" x14ac:dyDescent="0.35"/>
    <row r="63608" hidden="1" x14ac:dyDescent="0.35"/>
    <row r="63609" hidden="1" x14ac:dyDescent="0.35"/>
    <row r="63610" hidden="1" x14ac:dyDescent="0.35"/>
    <row r="63611" hidden="1" x14ac:dyDescent="0.35"/>
    <row r="63612" hidden="1" x14ac:dyDescent="0.35"/>
    <row r="63613" hidden="1" x14ac:dyDescent="0.35"/>
    <row r="63614" hidden="1" x14ac:dyDescent="0.35"/>
    <row r="63615" hidden="1" x14ac:dyDescent="0.35"/>
    <row r="63616" hidden="1" x14ac:dyDescent="0.35"/>
    <row r="63617" hidden="1" x14ac:dyDescent="0.35"/>
    <row r="63618" hidden="1" x14ac:dyDescent="0.35"/>
    <row r="63619" hidden="1" x14ac:dyDescent="0.35"/>
    <row r="63620" hidden="1" x14ac:dyDescent="0.35"/>
    <row r="63621" hidden="1" x14ac:dyDescent="0.35"/>
    <row r="63622" hidden="1" x14ac:dyDescent="0.35"/>
    <row r="63623" hidden="1" x14ac:dyDescent="0.35"/>
    <row r="63624" hidden="1" x14ac:dyDescent="0.35"/>
    <row r="63625" hidden="1" x14ac:dyDescent="0.35"/>
    <row r="63626" hidden="1" x14ac:dyDescent="0.35"/>
    <row r="63627" hidden="1" x14ac:dyDescent="0.35"/>
    <row r="63628" hidden="1" x14ac:dyDescent="0.35"/>
    <row r="63629" hidden="1" x14ac:dyDescent="0.35"/>
    <row r="63630" hidden="1" x14ac:dyDescent="0.35"/>
    <row r="63631" hidden="1" x14ac:dyDescent="0.35"/>
    <row r="63632" hidden="1" x14ac:dyDescent="0.35"/>
    <row r="63633" hidden="1" x14ac:dyDescent="0.35"/>
    <row r="63634" hidden="1" x14ac:dyDescent="0.35"/>
    <row r="63635" hidden="1" x14ac:dyDescent="0.35"/>
    <row r="63636" hidden="1" x14ac:dyDescent="0.35"/>
    <row r="63637" hidden="1" x14ac:dyDescent="0.35"/>
    <row r="63638" hidden="1" x14ac:dyDescent="0.35"/>
    <row r="63639" hidden="1" x14ac:dyDescent="0.35"/>
    <row r="63640" hidden="1" x14ac:dyDescent="0.35"/>
    <row r="63641" hidden="1" x14ac:dyDescent="0.35"/>
    <row r="63642" hidden="1" x14ac:dyDescent="0.35"/>
    <row r="63643" hidden="1" x14ac:dyDescent="0.35"/>
    <row r="63644" hidden="1" x14ac:dyDescent="0.35"/>
    <row r="63645" hidden="1" x14ac:dyDescent="0.35"/>
    <row r="63646" hidden="1" x14ac:dyDescent="0.35"/>
    <row r="63647" hidden="1" x14ac:dyDescent="0.35"/>
    <row r="63648" hidden="1" x14ac:dyDescent="0.35"/>
    <row r="63649" hidden="1" x14ac:dyDescent="0.35"/>
    <row r="63650" hidden="1" x14ac:dyDescent="0.35"/>
    <row r="63651" hidden="1" x14ac:dyDescent="0.35"/>
    <row r="63652" hidden="1" x14ac:dyDescent="0.35"/>
    <row r="63653" hidden="1" x14ac:dyDescent="0.35"/>
    <row r="63654" hidden="1" x14ac:dyDescent="0.35"/>
    <row r="63655" hidden="1" x14ac:dyDescent="0.35"/>
    <row r="63656" hidden="1" x14ac:dyDescent="0.35"/>
    <row r="63657" hidden="1" x14ac:dyDescent="0.35"/>
    <row r="63658" hidden="1" x14ac:dyDescent="0.35"/>
    <row r="63659" hidden="1" x14ac:dyDescent="0.35"/>
    <row r="63660" hidden="1" x14ac:dyDescent="0.35"/>
    <row r="63661" hidden="1" x14ac:dyDescent="0.35"/>
    <row r="63662" hidden="1" x14ac:dyDescent="0.35"/>
    <row r="63663" hidden="1" x14ac:dyDescent="0.35"/>
    <row r="63664" hidden="1" x14ac:dyDescent="0.35"/>
    <row r="63665" hidden="1" x14ac:dyDescent="0.35"/>
    <row r="63666" hidden="1" x14ac:dyDescent="0.35"/>
    <row r="63667" hidden="1" x14ac:dyDescent="0.35"/>
    <row r="63668" hidden="1" x14ac:dyDescent="0.35"/>
    <row r="63669" hidden="1" x14ac:dyDescent="0.35"/>
    <row r="63670" hidden="1" x14ac:dyDescent="0.35"/>
    <row r="63671" hidden="1" x14ac:dyDescent="0.35"/>
    <row r="63672" hidden="1" x14ac:dyDescent="0.35"/>
    <row r="63673" hidden="1" x14ac:dyDescent="0.35"/>
    <row r="63674" hidden="1" x14ac:dyDescent="0.35"/>
    <row r="63675" hidden="1" x14ac:dyDescent="0.35"/>
    <row r="63676" hidden="1" x14ac:dyDescent="0.35"/>
    <row r="63677" hidden="1" x14ac:dyDescent="0.35"/>
    <row r="63678" hidden="1" x14ac:dyDescent="0.35"/>
    <row r="63679" hidden="1" x14ac:dyDescent="0.35"/>
    <row r="63680" hidden="1" x14ac:dyDescent="0.35"/>
    <row r="63681" hidden="1" x14ac:dyDescent="0.35"/>
    <row r="63682" hidden="1" x14ac:dyDescent="0.35"/>
    <row r="63683" hidden="1" x14ac:dyDescent="0.35"/>
    <row r="63684" hidden="1" x14ac:dyDescent="0.35"/>
    <row r="63685" hidden="1" x14ac:dyDescent="0.35"/>
    <row r="63686" hidden="1" x14ac:dyDescent="0.35"/>
    <row r="63687" hidden="1" x14ac:dyDescent="0.35"/>
    <row r="63688" hidden="1" x14ac:dyDescent="0.35"/>
    <row r="63689" hidden="1" x14ac:dyDescent="0.35"/>
    <row r="63690" hidden="1" x14ac:dyDescent="0.35"/>
    <row r="63691" hidden="1" x14ac:dyDescent="0.35"/>
    <row r="63692" hidden="1" x14ac:dyDescent="0.35"/>
    <row r="63693" hidden="1" x14ac:dyDescent="0.35"/>
    <row r="63694" hidden="1" x14ac:dyDescent="0.35"/>
    <row r="63695" hidden="1" x14ac:dyDescent="0.35"/>
    <row r="63696" hidden="1" x14ac:dyDescent="0.35"/>
    <row r="63697" hidden="1" x14ac:dyDescent="0.35"/>
    <row r="63698" hidden="1" x14ac:dyDescent="0.35"/>
    <row r="63699" hidden="1" x14ac:dyDescent="0.35"/>
    <row r="63700" hidden="1" x14ac:dyDescent="0.35"/>
    <row r="63701" hidden="1" x14ac:dyDescent="0.35"/>
    <row r="63702" hidden="1" x14ac:dyDescent="0.35"/>
    <row r="63703" hidden="1" x14ac:dyDescent="0.35"/>
    <row r="63704" hidden="1" x14ac:dyDescent="0.35"/>
    <row r="63705" hidden="1" x14ac:dyDescent="0.35"/>
    <row r="63706" hidden="1" x14ac:dyDescent="0.35"/>
    <row r="63707" hidden="1" x14ac:dyDescent="0.35"/>
    <row r="63708" hidden="1" x14ac:dyDescent="0.35"/>
    <row r="63709" hidden="1" x14ac:dyDescent="0.35"/>
    <row r="63710" hidden="1" x14ac:dyDescent="0.35"/>
    <row r="63711" hidden="1" x14ac:dyDescent="0.35"/>
    <row r="63712" hidden="1" x14ac:dyDescent="0.35"/>
    <row r="63713" hidden="1" x14ac:dyDescent="0.35"/>
    <row r="63714" hidden="1" x14ac:dyDescent="0.35"/>
    <row r="63715" hidden="1" x14ac:dyDescent="0.35"/>
    <row r="63716" hidden="1" x14ac:dyDescent="0.35"/>
    <row r="63717" hidden="1" x14ac:dyDescent="0.35"/>
    <row r="63718" hidden="1" x14ac:dyDescent="0.35"/>
    <row r="63719" hidden="1" x14ac:dyDescent="0.35"/>
    <row r="63720" hidden="1" x14ac:dyDescent="0.35"/>
    <row r="63721" hidden="1" x14ac:dyDescent="0.35"/>
    <row r="63722" hidden="1" x14ac:dyDescent="0.35"/>
    <row r="63723" hidden="1" x14ac:dyDescent="0.35"/>
    <row r="63724" hidden="1" x14ac:dyDescent="0.35"/>
    <row r="63725" hidden="1" x14ac:dyDescent="0.35"/>
    <row r="63726" hidden="1" x14ac:dyDescent="0.35"/>
    <row r="63727" hidden="1" x14ac:dyDescent="0.35"/>
    <row r="63728" hidden="1" x14ac:dyDescent="0.35"/>
    <row r="63729" hidden="1" x14ac:dyDescent="0.35"/>
    <row r="63730" hidden="1" x14ac:dyDescent="0.35"/>
    <row r="63731" hidden="1" x14ac:dyDescent="0.35"/>
    <row r="63732" hidden="1" x14ac:dyDescent="0.35"/>
    <row r="63733" hidden="1" x14ac:dyDescent="0.35"/>
    <row r="63734" hidden="1" x14ac:dyDescent="0.35"/>
    <row r="63735" hidden="1" x14ac:dyDescent="0.35"/>
    <row r="63736" hidden="1" x14ac:dyDescent="0.35"/>
    <row r="63737" hidden="1" x14ac:dyDescent="0.35"/>
    <row r="63738" hidden="1" x14ac:dyDescent="0.35"/>
    <row r="63739" hidden="1" x14ac:dyDescent="0.35"/>
    <row r="63740" hidden="1" x14ac:dyDescent="0.35"/>
    <row r="63741" hidden="1" x14ac:dyDescent="0.35"/>
    <row r="63742" hidden="1" x14ac:dyDescent="0.35"/>
    <row r="63743" hidden="1" x14ac:dyDescent="0.35"/>
    <row r="63744" hidden="1" x14ac:dyDescent="0.35"/>
    <row r="63745" hidden="1" x14ac:dyDescent="0.35"/>
    <row r="63746" hidden="1" x14ac:dyDescent="0.35"/>
    <row r="63747" hidden="1" x14ac:dyDescent="0.35"/>
    <row r="63748" hidden="1" x14ac:dyDescent="0.35"/>
    <row r="63749" hidden="1" x14ac:dyDescent="0.35"/>
    <row r="63750" hidden="1" x14ac:dyDescent="0.35"/>
    <row r="63751" hidden="1" x14ac:dyDescent="0.35"/>
    <row r="63752" hidden="1" x14ac:dyDescent="0.35"/>
    <row r="63753" hidden="1" x14ac:dyDescent="0.35"/>
    <row r="63754" hidden="1" x14ac:dyDescent="0.35"/>
    <row r="63755" hidden="1" x14ac:dyDescent="0.35"/>
    <row r="63756" hidden="1" x14ac:dyDescent="0.35"/>
    <row r="63757" hidden="1" x14ac:dyDescent="0.35"/>
    <row r="63758" hidden="1" x14ac:dyDescent="0.35"/>
    <row r="63759" hidden="1" x14ac:dyDescent="0.35"/>
    <row r="63760" hidden="1" x14ac:dyDescent="0.35"/>
    <row r="63761" hidden="1" x14ac:dyDescent="0.35"/>
    <row r="63762" hidden="1" x14ac:dyDescent="0.35"/>
    <row r="63763" hidden="1" x14ac:dyDescent="0.35"/>
    <row r="63764" hidden="1" x14ac:dyDescent="0.35"/>
    <row r="63765" hidden="1" x14ac:dyDescent="0.35"/>
    <row r="63766" hidden="1" x14ac:dyDescent="0.35"/>
    <row r="63767" hidden="1" x14ac:dyDescent="0.35"/>
    <row r="63768" hidden="1" x14ac:dyDescent="0.35"/>
    <row r="63769" hidden="1" x14ac:dyDescent="0.35"/>
    <row r="63770" hidden="1" x14ac:dyDescent="0.35"/>
    <row r="63771" hidden="1" x14ac:dyDescent="0.35"/>
    <row r="63772" hidden="1" x14ac:dyDescent="0.35"/>
    <row r="63773" hidden="1" x14ac:dyDescent="0.35"/>
    <row r="63774" hidden="1" x14ac:dyDescent="0.35"/>
    <row r="63775" hidden="1" x14ac:dyDescent="0.35"/>
    <row r="63776" hidden="1" x14ac:dyDescent="0.35"/>
    <row r="63777" hidden="1" x14ac:dyDescent="0.35"/>
    <row r="63778" hidden="1" x14ac:dyDescent="0.35"/>
    <row r="63779" hidden="1" x14ac:dyDescent="0.35"/>
    <row r="63780" hidden="1" x14ac:dyDescent="0.35"/>
    <row r="63781" hidden="1" x14ac:dyDescent="0.35"/>
    <row r="63782" hidden="1" x14ac:dyDescent="0.35"/>
    <row r="63783" hidden="1" x14ac:dyDescent="0.35"/>
    <row r="63784" hidden="1" x14ac:dyDescent="0.35"/>
    <row r="63785" hidden="1" x14ac:dyDescent="0.35"/>
    <row r="63786" hidden="1" x14ac:dyDescent="0.35"/>
    <row r="63787" hidden="1" x14ac:dyDescent="0.35"/>
    <row r="63788" hidden="1" x14ac:dyDescent="0.35"/>
    <row r="63789" hidden="1" x14ac:dyDescent="0.35"/>
    <row r="63790" hidden="1" x14ac:dyDescent="0.35"/>
    <row r="63791" hidden="1" x14ac:dyDescent="0.35"/>
    <row r="63792" hidden="1" x14ac:dyDescent="0.35"/>
    <row r="63793" hidden="1" x14ac:dyDescent="0.35"/>
    <row r="63794" hidden="1" x14ac:dyDescent="0.35"/>
    <row r="63795" hidden="1" x14ac:dyDescent="0.35"/>
    <row r="63796" hidden="1" x14ac:dyDescent="0.35"/>
    <row r="63797" hidden="1" x14ac:dyDescent="0.35"/>
    <row r="63798" hidden="1" x14ac:dyDescent="0.35"/>
    <row r="63799" hidden="1" x14ac:dyDescent="0.35"/>
    <row r="63800" hidden="1" x14ac:dyDescent="0.35"/>
    <row r="63801" hidden="1" x14ac:dyDescent="0.35"/>
    <row r="63802" hidden="1" x14ac:dyDescent="0.35"/>
    <row r="63803" hidden="1" x14ac:dyDescent="0.35"/>
    <row r="63804" hidden="1" x14ac:dyDescent="0.35"/>
    <row r="63805" hidden="1" x14ac:dyDescent="0.35"/>
    <row r="63806" hidden="1" x14ac:dyDescent="0.35"/>
    <row r="63807" hidden="1" x14ac:dyDescent="0.35"/>
    <row r="63808" hidden="1" x14ac:dyDescent="0.35"/>
    <row r="63809" hidden="1" x14ac:dyDescent="0.35"/>
    <row r="63810" hidden="1" x14ac:dyDescent="0.35"/>
    <row r="63811" hidden="1" x14ac:dyDescent="0.35"/>
    <row r="63812" hidden="1" x14ac:dyDescent="0.35"/>
    <row r="63813" hidden="1" x14ac:dyDescent="0.35"/>
    <row r="63814" hidden="1" x14ac:dyDescent="0.35"/>
    <row r="63815" hidden="1" x14ac:dyDescent="0.35"/>
    <row r="63816" hidden="1" x14ac:dyDescent="0.35"/>
    <row r="63817" hidden="1" x14ac:dyDescent="0.35"/>
    <row r="63818" hidden="1" x14ac:dyDescent="0.35"/>
    <row r="63819" hidden="1" x14ac:dyDescent="0.35"/>
    <row r="63820" hidden="1" x14ac:dyDescent="0.35"/>
    <row r="63821" hidden="1" x14ac:dyDescent="0.35"/>
    <row r="63822" hidden="1" x14ac:dyDescent="0.35"/>
    <row r="63823" hidden="1" x14ac:dyDescent="0.35"/>
    <row r="63824" hidden="1" x14ac:dyDescent="0.35"/>
    <row r="63825" hidden="1" x14ac:dyDescent="0.35"/>
    <row r="63826" hidden="1" x14ac:dyDescent="0.35"/>
    <row r="63827" hidden="1" x14ac:dyDescent="0.35"/>
    <row r="63828" hidden="1" x14ac:dyDescent="0.35"/>
    <row r="63829" hidden="1" x14ac:dyDescent="0.35"/>
    <row r="63830" hidden="1" x14ac:dyDescent="0.35"/>
    <row r="63831" hidden="1" x14ac:dyDescent="0.35"/>
    <row r="63832" hidden="1" x14ac:dyDescent="0.35"/>
    <row r="63833" hidden="1" x14ac:dyDescent="0.35"/>
    <row r="63834" hidden="1" x14ac:dyDescent="0.35"/>
    <row r="63835" hidden="1" x14ac:dyDescent="0.35"/>
    <row r="63836" hidden="1" x14ac:dyDescent="0.35"/>
    <row r="63837" hidden="1" x14ac:dyDescent="0.35"/>
    <row r="63838" hidden="1" x14ac:dyDescent="0.35"/>
    <row r="63839" hidden="1" x14ac:dyDescent="0.35"/>
    <row r="63840" hidden="1" x14ac:dyDescent="0.35"/>
    <row r="63841" hidden="1" x14ac:dyDescent="0.35"/>
    <row r="63842" hidden="1" x14ac:dyDescent="0.35"/>
    <row r="63843" hidden="1" x14ac:dyDescent="0.35"/>
    <row r="63844" hidden="1" x14ac:dyDescent="0.35"/>
    <row r="63845" hidden="1" x14ac:dyDescent="0.35"/>
    <row r="63846" hidden="1" x14ac:dyDescent="0.35"/>
    <row r="63847" hidden="1" x14ac:dyDescent="0.35"/>
    <row r="63848" hidden="1" x14ac:dyDescent="0.35"/>
    <row r="63849" hidden="1" x14ac:dyDescent="0.35"/>
    <row r="63850" hidden="1" x14ac:dyDescent="0.35"/>
    <row r="63851" hidden="1" x14ac:dyDescent="0.35"/>
    <row r="63852" hidden="1" x14ac:dyDescent="0.35"/>
    <row r="63853" hidden="1" x14ac:dyDescent="0.35"/>
    <row r="63854" hidden="1" x14ac:dyDescent="0.35"/>
    <row r="63855" hidden="1" x14ac:dyDescent="0.35"/>
    <row r="63856" hidden="1" x14ac:dyDescent="0.35"/>
    <row r="63857" hidden="1" x14ac:dyDescent="0.35"/>
    <row r="63858" hidden="1" x14ac:dyDescent="0.35"/>
    <row r="63859" hidden="1" x14ac:dyDescent="0.35"/>
    <row r="63860" hidden="1" x14ac:dyDescent="0.35"/>
    <row r="63861" hidden="1" x14ac:dyDescent="0.35"/>
    <row r="63862" hidden="1" x14ac:dyDescent="0.35"/>
    <row r="63863" hidden="1" x14ac:dyDescent="0.35"/>
    <row r="63864" hidden="1" x14ac:dyDescent="0.35"/>
    <row r="63865" hidden="1" x14ac:dyDescent="0.35"/>
    <row r="63866" hidden="1" x14ac:dyDescent="0.35"/>
    <row r="63867" hidden="1" x14ac:dyDescent="0.35"/>
    <row r="63868" hidden="1" x14ac:dyDescent="0.35"/>
    <row r="63869" hidden="1" x14ac:dyDescent="0.35"/>
    <row r="63870" hidden="1" x14ac:dyDescent="0.35"/>
    <row r="63871" hidden="1" x14ac:dyDescent="0.35"/>
    <row r="63872" hidden="1" x14ac:dyDescent="0.35"/>
    <row r="63873" hidden="1" x14ac:dyDescent="0.35"/>
    <row r="63874" hidden="1" x14ac:dyDescent="0.35"/>
    <row r="63875" hidden="1" x14ac:dyDescent="0.35"/>
    <row r="63876" hidden="1" x14ac:dyDescent="0.35"/>
    <row r="63877" hidden="1" x14ac:dyDescent="0.35"/>
    <row r="63878" hidden="1" x14ac:dyDescent="0.35"/>
    <row r="63879" hidden="1" x14ac:dyDescent="0.35"/>
    <row r="63880" hidden="1" x14ac:dyDescent="0.35"/>
    <row r="63881" hidden="1" x14ac:dyDescent="0.35"/>
    <row r="63882" hidden="1" x14ac:dyDescent="0.35"/>
    <row r="63883" hidden="1" x14ac:dyDescent="0.35"/>
    <row r="63884" hidden="1" x14ac:dyDescent="0.35"/>
    <row r="63885" hidden="1" x14ac:dyDescent="0.35"/>
    <row r="63886" hidden="1" x14ac:dyDescent="0.35"/>
    <row r="63887" hidden="1" x14ac:dyDescent="0.35"/>
    <row r="63888" hidden="1" x14ac:dyDescent="0.35"/>
    <row r="63889" hidden="1" x14ac:dyDescent="0.35"/>
    <row r="63890" hidden="1" x14ac:dyDescent="0.35"/>
    <row r="63891" hidden="1" x14ac:dyDescent="0.35"/>
    <row r="63892" hidden="1" x14ac:dyDescent="0.35"/>
    <row r="63893" hidden="1" x14ac:dyDescent="0.35"/>
    <row r="63894" hidden="1" x14ac:dyDescent="0.35"/>
    <row r="63895" hidden="1" x14ac:dyDescent="0.35"/>
    <row r="63896" hidden="1" x14ac:dyDescent="0.35"/>
    <row r="63897" hidden="1" x14ac:dyDescent="0.35"/>
    <row r="63898" hidden="1" x14ac:dyDescent="0.35"/>
    <row r="63899" hidden="1" x14ac:dyDescent="0.35"/>
    <row r="63900" hidden="1" x14ac:dyDescent="0.35"/>
    <row r="63901" hidden="1" x14ac:dyDescent="0.35"/>
    <row r="63902" hidden="1" x14ac:dyDescent="0.35"/>
    <row r="63903" hidden="1" x14ac:dyDescent="0.35"/>
    <row r="63904" hidden="1" x14ac:dyDescent="0.35"/>
    <row r="63905" hidden="1" x14ac:dyDescent="0.35"/>
    <row r="63906" hidden="1" x14ac:dyDescent="0.35"/>
    <row r="63907" hidden="1" x14ac:dyDescent="0.35"/>
    <row r="63908" hidden="1" x14ac:dyDescent="0.35"/>
    <row r="63909" hidden="1" x14ac:dyDescent="0.35"/>
    <row r="63910" hidden="1" x14ac:dyDescent="0.35"/>
    <row r="63911" hidden="1" x14ac:dyDescent="0.35"/>
    <row r="63912" hidden="1" x14ac:dyDescent="0.35"/>
    <row r="63913" hidden="1" x14ac:dyDescent="0.35"/>
    <row r="63914" hidden="1" x14ac:dyDescent="0.35"/>
    <row r="63915" hidden="1" x14ac:dyDescent="0.35"/>
    <row r="63916" hidden="1" x14ac:dyDescent="0.35"/>
    <row r="63917" hidden="1" x14ac:dyDescent="0.35"/>
    <row r="63918" hidden="1" x14ac:dyDescent="0.35"/>
    <row r="63919" hidden="1" x14ac:dyDescent="0.35"/>
    <row r="63920" hidden="1" x14ac:dyDescent="0.35"/>
    <row r="63921" hidden="1" x14ac:dyDescent="0.35"/>
    <row r="63922" hidden="1" x14ac:dyDescent="0.35"/>
    <row r="63923" hidden="1" x14ac:dyDescent="0.35"/>
    <row r="63924" hidden="1" x14ac:dyDescent="0.35"/>
    <row r="63925" hidden="1" x14ac:dyDescent="0.35"/>
    <row r="63926" hidden="1" x14ac:dyDescent="0.35"/>
    <row r="63927" hidden="1" x14ac:dyDescent="0.35"/>
    <row r="63928" hidden="1" x14ac:dyDescent="0.35"/>
    <row r="63929" hidden="1" x14ac:dyDescent="0.35"/>
    <row r="63930" hidden="1" x14ac:dyDescent="0.35"/>
    <row r="63931" hidden="1" x14ac:dyDescent="0.35"/>
    <row r="63932" hidden="1" x14ac:dyDescent="0.35"/>
    <row r="63933" hidden="1" x14ac:dyDescent="0.35"/>
    <row r="63934" hidden="1" x14ac:dyDescent="0.35"/>
    <row r="63935" hidden="1" x14ac:dyDescent="0.35"/>
    <row r="63936" hidden="1" x14ac:dyDescent="0.35"/>
    <row r="63937" hidden="1" x14ac:dyDescent="0.35"/>
    <row r="63938" hidden="1" x14ac:dyDescent="0.35"/>
    <row r="63939" hidden="1" x14ac:dyDescent="0.35"/>
    <row r="63940" hidden="1" x14ac:dyDescent="0.35"/>
    <row r="63941" hidden="1" x14ac:dyDescent="0.35"/>
    <row r="63942" hidden="1" x14ac:dyDescent="0.35"/>
    <row r="63943" hidden="1" x14ac:dyDescent="0.35"/>
    <row r="63944" hidden="1" x14ac:dyDescent="0.35"/>
    <row r="63945" hidden="1" x14ac:dyDescent="0.35"/>
    <row r="63946" hidden="1" x14ac:dyDescent="0.35"/>
    <row r="63947" hidden="1" x14ac:dyDescent="0.35"/>
    <row r="63948" hidden="1" x14ac:dyDescent="0.35"/>
    <row r="63949" hidden="1" x14ac:dyDescent="0.35"/>
    <row r="63950" hidden="1" x14ac:dyDescent="0.35"/>
    <row r="63951" hidden="1" x14ac:dyDescent="0.35"/>
    <row r="63952" hidden="1" x14ac:dyDescent="0.35"/>
    <row r="63953" hidden="1" x14ac:dyDescent="0.35"/>
    <row r="63954" hidden="1" x14ac:dyDescent="0.35"/>
    <row r="63955" hidden="1" x14ac:dyDescent="0.35"/>
    <row r="63956" hidden="1" x14ac:dyDescent="0.35"/>
    <row r="63957" hidden="1" x14ac:dyDescent="0.35"/>
    <row r="63958" hidden="1" x14ac:dyDescent="0.35"/>
    <row r="63959" hidden="1" x14ac:dyDescent="0.35"/>
    <row r="63960" hidden="1" x14ac:dyDescent="0.35"/>
    <row r="63961" hidden="1" x14ac:dyDescent="0.35"/>
    <row r="63962" hidden="1" x14ac:dyDescent="0.35"/>
    <row r="63963" hidden="1" x14ac:dyDescent="0.35"/>
    <row r="63964" hidden="1" x14ac:dyDescent="0.35"/>
    <row r="63965" hidden="1" x14ac:dyDescent="0.35"/>
    <row r="63966" hidden="1" x14ac:dyDescent="0.35"/>
    <row r="63967" hidden="1" x14ac:dyDescent="0.35"/>
    <row r="63968" hidden="1" x14ac:dyDescent="0.35"/>
    <row r="63969" hidden="1" x14ac:dyDescent="0.35"/>
    <row r="63970" hidden="1" x14ac:dyDescent="0.35"/>
    <row r="63971" hidden="1" x14ac:dyDescent="0.35"/>
    <row r="63972" hidden="1" x14ac:dyDescent="0.35"/>
    <row r="63973" hidden="1" x14ac:dyDescent="0.35"/>
    <row r="63974" hidden="1" x14ac:dyDescent="0.35"/>
    <row r="63975" hidden="1" x14ac:dyDescent="0.35"/>
    <row r="63976" hidden="1" x14ac:dyDescent="0.35"/>
    <row r="63977" hidden="1" x14ac:dyDescent="0.35"/>
    <row r="63978" hidden="1" x14ac:dyDescent="0.35"/>
    <row r="63979" hidden="1" x14ac:dyDescent="0.35"/>
    <row r="63980" hidden="1" x14ac:dyDescent="0.35"/>
    <row r="63981" hidden="1" x14ac:dyDescent="0.35"/>
    <row r="63982" hidden="1" x14ac:dyDescent="0.35"/>
    <row r="63983" hidden="1" x14ac:dyDescent="0.35"/>
    <row r="63984" hidden="1" x14ac:dyDescent="0.35"/>
    <row r="63985" hidden="1" x14ac:dyDescent="0.35"/>
    <row r="63986" hidden="1" x14ac:dyDescent="0.35"/>
    <row r="63987" hidden="1" x14ac:dyDescent="0.35"/>
    <row r="63988" hidden="1" x14ac:dyDescent="0.35"/>
    <row r="63989" hidden="1" x14ac:dyDescent="0.35"/>
    <row r="63990" hidden="1" x14ac:dyDescent="0.35"/>
    <row r="63991" hidden="1" x14ac:dyDescent="0.35"/>
    <row r="63992" hidden="1" x14ac:dyDescent="0.35"/>
    <row r="63993" hidden="1" x14ac:dyDescent="0.35"/>
    <row r="63994" hidden="1" x14ac:dyDescent="0.35"/>
    <row r="63995" hidden="1" x14ac:dyDescent="0.35"/>
    <row r="63996" hidden="1" x14ac:dyDescent="0.35"/>
    <row r="63997" hidden="1" x14ac:dyDescent="0.35"/>
    <row r="63998" hidden="1" x14ac:dyDescent="0.35"/>
    <row r="63999" hidden="1" x14ac:dyDescent="0.35"/>
    <row r="64000" hidden="1" x14ac:dyDescent="0.35"/>
    <row r="64001" hidden="1" x14ac:dyDescent="0.35"/>
    <row r="64002" hidden="1" x14ac:dyDescent="0.35"/>
    <row r="64003" hidden="1" x14ac:dyDescent="0.35"/>
    <row r="64004" hidden="1" x14ac:dyDescent="0.35"/>
    <row r="64005" hidden="1" x14ac:dyDescent="0.35"/>
    <row r="64006" hidden="1" x14ac:dyDescent="0.35"/>
    <row r="64007" hidden="1" x14ac:dyDescent="0.35"/>
    <row r="64008" hidden="1" x14ac:dyDescent="0.35"/>
    <row r="64009" hidden="1" x14ac:dyDescent="0.35"/>
    <row r="64010" hidden="1" x14ac:dyDescent="0.35"/>
    <row r="64011" hidden="1" x14ac:dyDescent="0.35"/>
    <row r="64012" hidden="1" x14ac:dyDescent="0.35"/>
    <row r="64013" hidden="1" x14ac:dyDescent="0.35"/>
    <row r="64014" hidden="1" x14ac:dyDescent="0.35"/>
    <row r="64015" hidden="1" x14ac:dyDescent="0.35"/>
    <row r="64016" hidden="1" x14ac:dyDescent="0.35"/>
    <row r="64017" hidden="1" x14ac:dyDescent="0.35"/>
    <row r="64018" hidden="1" x14ac:dyDescent="0.35"/>
    <row r="64019" hidden="1" x14ac:dyDescent="0.35"/>
    <row r="64020" hidden="1" x14ac:dyDescent="0.35"/>
    <row r="64021" hidden="1" x14ac:dyDescent="0.35"/>
    <row r="64022" hidden="1" x14ac:dyDescent="0.35"/>
    <row r="64023" hidden="1" x14ac:dyDescent="0.35"/>
    <row r="64024" hidden="1" x14ac:dyDescent="0.35"/>
    <row r="64025" hidden="1" x14ac:dyDescent="0.35"/>
    <row r="64026" hidden="1" x14ac:dyDescent="0.35"/>
    <row r="64027" hidden="1" x14ac:dyDescent="0.35"/>
    <row r="64028" hidden="1" x14ac:dyDescent="0.35"/>
    <row r="64029" hidden="1" x14ac:dyDescent="0.35"/>
    <row r="64030" hidden="1" x14ac:dyDescent="0.35"/>
    <row r="64031" hidden="1" x14ac:dyDescent="0.35"/>
    <row r="64032" hidden="1" x14ac:dyDescent="0.35"/>
    <row r="64033" hidden="1" x14ac:dyDescent="0.35"/>
    <row r="64034" hidden="1" x14ac:dyDescent="0.35"/>
    <row r="64035" hidden="1" x14ac:dyDescent="0.35"/>
    <row r="64036" hidden="1" x14ac:dyDescent="0.35"/>
    <row r="64037" hidden="1" x14ac:dyDescent="0.35"/>
    <row r="64038" hidden="1" x14ac:dyDescent="0.35"/>
    <row r="64039" hidden="1" x14ac:dyDescent="0.35"/>
    <row r="64040" hidden="1" x14ac:dyDescent="0.35"/>
    <row r="64041" hidden="1" x14ac:dyDescent="0.35"/>
    <row r="64042" hidden="1" x14ac:dyDescent="0.35"/>
    <row r="64043" hidden="1" x14ac:dyDescent="0.35"/>
    <row r="64044" hidden="1" x14ac:dyDescent="0.35"/>
    <row r="64045" hidden="1" x14ac:dyDescent="0.35"/>
    <row r="64046" hidden="1" x14ac:dyDescent="0.35"/>
    <row r="64047" hidden="1" x14ac:dyDescent="0.35"/>
    <row r="64048" hidden="1" x14ac:dyDescent="0.35"/>
    <row r="64049" hidden="1" x14ac:dyDescent="0.35"/>
    <row r="64050" hidden="1" x14ac:dyDescent="0.35"/>
    <row r="64051" hidden="1" x14ac:dyDescent="0.35"/>
    <row r="64052" hidden="1" x14ac:dyDescent="0.35"/>
    <row r="64053" hidden="1" x14ac:dyDescent="0.35"/>
    <row r="64054" hidden="1" x14ac:dyDescent="0.35"/>
    <row r="64055" hidden="1" x14ac:dyDescent="0.35"/>
    <row r="64056" hidden="1" x14ac:dyDescent="0.35"/>
    <row r="64057" hidden="1" x14ac:dyDescent="0.35"/>
    <row r="64058" hidden="1" x14ac:dyDescent="0.35"/>
    <row r="64059" hidden="1" x14ac:dyDescent="0.35"/>
    <row r="64060" hidden="1" x14ac:dyDescent="0.35"/>
    <row r="64061" hidden="1" x14ac:dyDescent="0.35"/>
    <row r="64062" hidden="1" x14ac:dyDescent="0.35"/>
    <row r="64063" hidden="1" x14ac:dyDescent="0.35"/>
    <row r="64064" hidden="1" x14ac:dyDescent="0.35"/>
    <row r="64065" hidden="1" x14ac:dyDescent="0.35"/>
    <row r="64066" hidden="1" x14ac:dyDescent="0.35"/>
    <row r="64067" hidden="1" x14ac:dyDescent="0.35"/>
    <row r="64068" hidden="1" x14ac:dyDescent="0.35"/>
    <row r="64069" hidden="1" x14ac:dyDescent="0.35"/>
    <row r="64070" hidden="1" x14ac:dyDescent="0.35"/>
    <row r="64071" hidden="1" x14ac:dyDescent="0.35"/>
    <row r="64072" hidden="1" x14ac:dyDescent="0.35"/>
    <row r="64073" hidden="1" x14ac:dyDescent="0.35"/>
    <row r="64074" hidden="1" x14ac:dyDescent="0.35"/>
    <row r="64075" hidden="1" x14ac:dyDescent="0.35"/>
    <row r="64076" hidden="1" x14ac:dyDescent="0.35"/>
    <row r="64077" hidden="1" x14ac:dyDescent="0.35"/>
    <row r="64078" hidden="1" x14ac:dyDescent="0.35"/>
    <row r="64079" hidden="1" x14ac:dyDescent="0.35"/>
    <row r="64080" hidden="1" x14ac:dyDescent="0.35"/>
    <row r="64081" hidden="1" x14ac:dyDescent="0.35"/>
    <row r="64082" hidden="1" x14ac:dyDescent="0.35"/>
    <row r="64083" hidden="1" x14ac:dyDescent="0.35"/>
    <row r="64084" hidden="1" x14ac:dyDescent="0.35"/>
    <row r="64085" hidden="1" x14ac:dyDescent="0.35"/>
    <row r="64086" hidden="1" x14ac:dyDescent="0.35"/>
    <row r="64087" hidden="1" x14ac:dyDescent="0.35"/>
    <row r="64088" hidden="1" x14ac:dyDescent="0.35"/>
    <row r="64089" hidden="1" x14ac:dyDescent="0.35"/>
    <row r="64090" hidden="1" x14ac:dyDescent="0.35"/>
    <row r="64091" hidden="1" x14ac:dyDescent="0.35"/>
    <row r="64092" hidden="1" x14ac:dyDescent="0.35"/>
    <row r="64093" hidden="1" x14ac:dyDescent="0.35"/>
    <row r="64094" hidden="1" x14ac:dyDescent="0.35"/>
    <row r="64095" hidden="1" x14ac:dyDescent="0.35"/>
    <row r="64096" hidden="1" x14ac:dyDescent="0.35"/>
    <row r="64097" hidden="1" x14ac:dyDescent="0.35"/>
    <row r="64098" hidden="1" x14ac:dyDescent="0.35"/>
    <row r="64099" hidden="1" x14ac:dyDescent="0.35"/>
    <row r="64100" hidden="1" x14ac:dyDescent="0.35"/>
    <row r="64101" hidden="1" x14ac:dyDescent="0.35"/>
    <row r="64102" hidden="1" x14ac:dyDescent="0.35"/>
    <row r="64103" hidden="1" x14ac:dyDescent="0.35"/>
    <row r="64104" hidden="1" x14ac:dyDescent="0.35"/>
    <row r="64105" hidden="1" x14ac:dyDescent="0.35"/>
    <row r="64106" hidden="1" x14ac:dyDescent="0.35"/>
    <row r="64107" hidden="1" x14ac:dyDescent="0.35"/>
    <row r="64108" hidden="1" x14ac:dyDescent="0.35"/>
    <row r="64109" hidden="1" x14ac:dyDescent="0.35"/>
    <row r="64110" hidden="1" x14ac:dyDescent="0.35"/>
    <row r="64111" hidden="1" x14ac:dyDescent="0.35"/>
    <row r="64112" hidden="1" x14ac:dyDescent="0.35"/>
    <row r="64113" hidden="1" x14ac:dyDescent="0.35"/>
    <row r="64114" hidden="1" x14ac:dyDescent="0.35"/>
    <row r="64115" hidden="1" x14ac:dyDescent="0.35"/>
    <row r="64116" hidden="1" x14ac:dyDescent="0.35"/>
    <row r="64117" hidden="1" x14ac:dyDescent="0.35"/>
    <row r="64118" hidden="1" x14ac:dyDescent="0.35"/>
    <row r="64119" hidden="1" x14ac:dyDescent="0.35"/>
    <row r="64120" hidden="1" x14ac:dyDescent="0.35"/>
    <row r="64121" hidden="1" x14ac:dyDescent="0.35"/>
    <row r="64122" hidden="1" x14ac:dyDescent="0.35"/>
    <row r="64123" hidden="1" x14ac:dyDescent="0.35"/>
    <row r="64124" hidden="1" x14ac:dyDescent="0.35"/>
    <row r="64125" hidden="1" x14ac:dyDescent="0.35"/>
    <row r="64126" hidden="1" x14ac:dyDescent="0.35"/>
    <row r="64127" hidden="1" x14ac:dyDescent="0.35"/>
    <row r="64128" hidden="1" x14ac:dyDescent="0.35"/>
    <row r="64129" hidden="1" x14ac:dyDescent="0.35"/>
    <row r="64130" hidden="1" x14ac:dyDescent="0.35"/>
    <row r="64131" hidden="1" x14ac:dyDescent="0.35"/>
    <row r="64132" hidden="1" x14ac:dyDescent="0.35"/>
    <row r="64133" hidden="1" x14ac:dyDescent="0.35"/>
    <row r="64134" hidden="1" x14ac:dyDescent="0.35"/>
    <row r="64135" hidden="1" x14ac:dyDescent="0.35"/>
    <row r="64136" hidden="1" x14ac:dyDescent="0.35"/>
    <row r="64137" hidden="1" x14ac:dyDescent="0.35"/>
    <row r="64138" hidden="1" x14ac:dyDescent="0.35"/>
    <row r="64139" hidden="1" x14ac:dyDescent="0.35"/>
    <row r="64140" hidden="1" x14ac:dyDescent="0.35"/>
    <row r="64141" hidden="1" x14ac:dyDescent="0.35"/>
    <row r="64142" hidden="1" x14ac:dyDescent="0.35"/>
    <row r="64143" hidden="1" x14ac:dyDescent="0.35"/>
    <row r="64144" hidden="1" x14ac:dyDescent="0.35"/>
    <row r="64145" hidden="1" x14ac:dyDescent="0.35"/>
    <row r="64146" hidden="1" x14ac:dyDescent="0.35"/>
    <row r="64147" hidden="1" x14ac:dyDescent="0.35"/>
    <row r="64148" hidden="1" x14ac:dyDescent="0.35"/>
    <row r="64149" hidden="1" x14ac:dyDescent="0.35"/>
    <row r="64150" hidden="1" x14ac:dyDescent="0.35"/>
    <row r="64151" hidden="1" x14ac:dyDescent="0.35"/>
    <row r="64152" hidden="1" x14ac:dyDescent="0.35"/>
    <row r="64153" hidden="1" x14ac:dyDescent="0.35"/>
    <row r="64154" hidden="1" x14ac:dyDescent="0.35"/>
    <row r="64155" hidden="1" x14ac:dyDescent="0.35"/>
    <row r="64156" hidden="1" x14ac:dyDescent="0.35"/>
    <row r="64157" hidden="1" x14ac:dyDescent="0.35"/>
    <row r="64158" hidden="1" x14ac:dyDescent="0.35"/>
    <row r="64159" hidden="1" x14ac:dyDescent="0.35"/>
    <row r="64160" hidden="1" x14ac:dyDescent="0.35"/>
    <row r="64161" hidden="1" x14ac:dyDescent="0.35"/>
    <row r="64162" hidden="1" x14ac:dyDescent="0.35"/>
    <row r="64163" hidden="1" x14ac:dyDescent="0.35"/>
    <row r="64164" hidden="1" x14ac:dyDescent="0.35"/>
    <row r="64165" hidden="1" x14ac:dyDescent="0.35"/>
    <row r="64166" hidden="1" x14ac:dyDescent="0.35"/>
    <row r="64167" hidden="1" x14ac:dyDescent="0.35"/>
    <row r="64168" hidden="1" x14ac:dyDescent="0.35"/>
    <row r="64169" hidden="1" x14ac:dyDescent="0.35"/>
    <row r="64170" hidden="1" x14ac:dyDescent="0.35"/>
    <row r="64171" hidden="1" x14ac:dyDescent="0.35"/>
    <row r="64172" hidden="1" x14ac:dyDescent="0.35"/>
    <row r="64173" hidden="1" x14ac:dyDescent="0.35"/>
    <row r="64174" hidden="1" x14ac:dyDescent="0.35"/>
    <row r="64175" hidden="1" x14ac:dyDescent="0.35"/>
    <row r="64176" hidden="1" x14ac:dyDescent="0.35"/>
    <row r="64177" hidden="1" x14ac:dyDescent="0.35"/>
    <row r="64178" hidden="1" x14ac:dyDescent="0.35"/>
    <row r="64179" hidden="1" x14ac:dyDescent="0.35"/>
    <row r="64180" hidden="1" x14ac:dyDescent="0.35"/>
    <row r="64181" hidden="1" x14ac:dyDescent="0.35"/>
    <row r="64182" hidden="1" x14ac:dyDescent="0.35"/>
    <row r="64183" hidden="1" x14ac:dyDescent="0.35"/>
    <row r="64184" hidden="1" x14ac:dyDescent="0.35"/>
    <row r="64185" hidden="1" x14ac:dyDescent="0.35"/>
    <row r="64186" hidden="1" x14ac:dyDescent="0.35"/>
    <row r="64187" hidden="1" x14ac:dyDescent="0.35"/>
    <row r="64188" hidden="1" x14ac:dyDescent="0.35"/>
    <row r="64189" hidden="1" x14ac:dyDescent="0.35"/>
    <row r="64190" hidden="1" x14ac:dyDescent="0.35"/>
    <row r="64191" hidden="1" x14ac:dyDescent="0.35"/>
    <row r="64192" hidden="1" x14ac:dyDescent="0.35"/>
    <row r="64193" hidden="1" x14ac:dyDescent="0.35"/>
    <row r="64194" hidden="1" x14ac:dyDescent="0.35"/>
    <row r="64195" hidden="1" x14ac:dyDescent="0.35"/>
    <row r="64196" hidden="1" x14ac:dyDescent="0.35"/>
    <row r="64197" hidden="1" x14ac:dyDescent="0.35"/>
    <row r="64198" hidden="1" x14ac:dyDescent="0.35"/>
    <row r="64199" hidden="1" x14ac:dyDescent="0.35"/>
    <row r="64200" hidden="1" x14ac:dyDescent="0.35"/>
    <row r="64201" hidden="1" x14ac:dyDescent="0.35"/>
    <row r="64202" hidden="1" x14ac:dyDescent="0.35"/>
    <row r="64203" hidden="1" x14ac:dyDescent="0.35"/>
    <row r="64204" hidden="1" x14ac:dyDescent="0.35"/>
    <row r="64205" hidden="1" x14ac:dyDescent="0.35"/>
    <row r="64206" hidden="1" x14ac:dyDescent="0.35"/>
    <row r="64207" hidden="1" x14ac:dyDescent="0.35"/>
    <row r="64208" hidden="1" x14ac:dyDescent="0.35"/>
    <row r="64209" hidden="1" x14ac:dyDescent="0.35"/>
    <row r="64210" hidden="1" x14ac:dyDescent="0.35"/>
    <row r="64211" hidden="1" x14ac:dyDescent="0.35"/>
    <row r="64212" hidden="1" x14ac:dyDescent="0.35"/>
    <row r="64213" hidden="1" x14ac:dyDescent="0.35"/>
    <row r="64214" hidden="1" x14ac:dyDescent="0.35"/>
    <row r="64215" hidden="1" x14ac:dyDescent="0.35"/>
    <row r="64216" hidden="1" x14ac:dyDescent="0.35"/>
    <row r="64217" hidden="1" x14ac:dyDescent="0.35"/>
    <row r="64218" hidden="1" x14ac:dyDescent="0.35"/>
    <row r="64219" hidden="1" x14ac:dyDescent="0.35"/>
    <row r="64220" hidden="1" x14ac:dyDescent="0.35"/>
    <row r="64221" hidden="1" x14ac:dyDescent="0.35"/>
    <row r="64222" hidden="1" x14ac:dyDescent="0.35"/>
    <row r="64223" hidden="1" x14ac:dyDescent="0.35"/>
    <row r="64224" hidden="1" x14ac:dyDescent="0.35"/>
    <row r="64225" hidden="1" x14ac:dyDescent="0.35"/>
    <row r="64226" hidden="1" x14ac:dyDescent="0.35"/>
    <row r="64227" hidden="1" x14ac:dyDescent="0.35"/>
    <row r="64228" hidden="1" x14ac:dyDescent="0.35"/>
    <row r="64229" hidden="1" x14ac:dyDescent="0.35"/>
    <row r="64230" hidden="1" x14ac:dyDescent="0.35"/>
    <row r="64231" hidden="1" x14ac:dyDescent="0.35"/>
    <row r="64232" hidden="1" x14ac:dyDescent="0.35"/>
    <row r="64233" hidden="1" x14ac:dyDescent="0.35"/>
    <row r="64234" hidden="1" x14ac:dyDescent="0.35"/>
    <row r="64235" hidden="1" x14ac:dyDescent="0.35"/>
    <row r="64236" hidden="1" x14ac:dyDescent="0.35"/>
    <row r="64237" hidden="1" x14ac:dyDescent="0.35"/>
    <row r="64238" hidden="1" x14ac:dyDescent="0.35"/>
    <row r="64239" hidden="1" x14ac:dyDescent="0.35"/>
    <row r="64240" hidden="1" x14ac:dyDescent="0.35"/>
    <row r="64241" hidden="1" x14ac:dyDescent="0.35"/>
    <row r="64242" hidden="1" x14ac:dyDescent="0.35"/>
    <row r="64243" hidden="1" x14ac:dyDescent="0.35"/>
    <row r="64244" hidden="1" x14ac:dyDescent="0.35"/>
    <row r="64245" hidden="1" x14ac:dyDescent="0.35"/>
    <row r="64246" hidden="1" x14ac:dyDescent="0.35"/>
    <row r="64247" hidden="1" x14ac:dyDescent="0.35"/>
    <row r="64248" hidden="1" x14ac:dyDescent="0.35"/>
    <row r="64249" hidden="1" x14ac:dyDescent="0.35"/>
    <row r="64250" hidden="1" x14ac:dyDescent="0.35"/>
    <row r="64251" hidden="1" x14ac:dyDescent="0.35"/>
    <row r="64252" hidden="1" x14ac:dyDescent="0.35"/>
    <row r="64253" hidden="1" x14ac:dyDescent="0.35"/>
    <row r="64254" hidden="1" x14ac:dyDescent="0.35"/>
    <row r="64255" hidden="1" x14ac:dyDescent="0.35"/>
    <row r="64256" hidden="1" x14ac:dyDescent="0.35"/>
    <row r="64257" hidden="1" x14ac:dyDescent="0.35"/>
    <row r="64258" hidden="1" x14ac:dyDescent="0.35"/>
    <row r="64259" hidden="1" x14ac:dyDescent="0.35"/>
    <row r="64260" hidden="1" x14ac:dyDescent="0.35"/>
    <row r="64261" hidden="1" x14ac:dyDescent="0.35"/>
    <row r="64262" hidden="1" x14ac:dyDescent="0.35"/>
    <row r="64263" hidden="1" x14ac:dyDescent="0.35"/>
    <row r="64264" hidden="1" x14ac:dyDescent="0.35"/>
    <row r="64265" hidden="1" x14ac:dyDescent="0.35"/>
    <row r="64266" hidden="1" x14ac:dyDescent="0.35"/>
    <row r="64267" hidden="1" x14ac:dyDescent="0.35"/>
    <row r="64268" hidden="1" x14ac:dyDescent="0.35"/>
    <row r="64269" hidden="1" x14ac:dyDescent="0.35"/>
    <row r="64270" hidden="1" x14ac:dyDescent="0.35"/>
    <row r="64271" hidden="1" x14ac:dyDescent="0.35"/>
    <row r="64272" hidden="1" x14ac:dyDescent="0.35"/>
    <row r="64273" hidden="1" x14ac:dyDescent="0.35"/>
    <row r="64274" hidden="1" x14ac:dyDescent="0.35"/>
    <row r="64275" hidden="1" x14ac:dyDescent="0.35"/>
    <row r="64276" hidden="1" x14ac:dyDescent="0.35"/>
    <row r="64277" hidden="1" x14ac:dyDescent="0.35"/>
    <row r="64278" hidden="1" x14ac:dyDescent="0.35"/>
    <row r="64279" hidden="1" x14ac:dyDescent="0.35"/>
    <row r="64280" hidden="1" x14ac:dyDescent="0.35"/>
    <row r="64281" hidden="1" x14ac:dyDescent="0.35"/>
    <row r="64282" hidden="1" x14ac:dyDescent="0.35"/>
    <row r="64283" hidden="1" x14ac:dyDescent="0.35"/>
    <row r="64284" hidden="1" x14ac:dyDescent="0.35"/>
    <row r="64285" hidden="1" x14ac:dyDescent="0.35"/>
    <row r="64286" hidden="1" x14ac:dyDescent="0.35"/>
    <row r="64287" hidden="1" x14ac:dyDescent="0.35"/>
    <row r="64288" hidden="1" x14ac:dyDescent="0.35"/>
    <row r="64289" hidden="1" x14ac:dyDescent="0.35"/>
    <row r="64290" hidden="1" x14ac:dyDescent="0.35"/>
    <row r="64291" hidden="1" x14ac:dyDescent="0.35"/>
    <row r="64292" hidden="1" x14ac:dyDescent="0.35"/>
    <row r="64293" hidden="1" x14ac:dyDescent="0.35"/>
    <row r="64294" hidden="1" x14ac:dyDescent="0.35"/>
    <row r="64295" hidden="1" x14ac:dyDescent="0.35"/>
    <row r="64296" hidden="1" x14ac:dyDescent="0.35"/>
    <row r="64297" hidden="1" x14ac:dyDescent="0.35"/>
    <row r="64298" hidden="1" x14ac:dyDescent="0.35"/>
    <row r="64299" hidden="1" x14ac:dyDescent="0.35"/>
    <row r="64300" hidden="1" x14ac:dyDescent="0.35"/>
    <row r="64301" hidden="1" x14ac:dyDescent="0.35"/>
    <row r="64302" hidden="1" x14ac:dyDescent="0.35"/>
    <row r="64303" hidden="1" x14ac:dyDescent="0.35"/>
    <row r="64304" hidden="1" x14ac:dyDescent="0.35"/>
    <row r="64305" hidden="1" x14ac:dyDescent="0.35"/>
    <row r="64306" hidden="1" x14ac:dyDescent="0.35"/>
    <row r="64307" hidden="1" x14ac:dyDescent="0.35"/>
    <row r="64308" hidden="1" x14ac:dyDescent="0.35"/>
    <row r="64309" hidden="1" x14ac:dyDescent="0.35"/>
    <row r="64310" hidden="1" x14ac:dyDescent="0.35"/>
    <row r="64311" hidden="1" x14ac:dyDescent="0.35"/>
    <row r="64312" hidden="1" x14ac:dyDescent="0.35"/>
    <row r="64313" hidden="1" x14ac:dyDescent="0.35"/>
    <row r="64314" hidden="1" x14ac:dyDescent="0.35"/>
    <row r="64315" hidden="1" x14ac:dyDescent="0.35"/>
    <row r="64316" hidden="1" x14ac:dyDescent="0.35"/>
    <row r="64317" hidden="1" x14ac:dyDescent="0.35"/>
    <row r="64318" hidden="1" x14ac:dyDescent="0.35"/>
    <row r="64319" hidden="1" x14ac:dyDescent="0.35"/>
    <row r="64320" hidden="1" x14ac:dyDescent="0.35"/>
    <row r="64321" hidden="1" x14ac:dyDescent="0.35"/>
    <row r="64322" hidden="1" x14ac:dyDescent="0.35"/>
    <row r="64323" hidden="1" x14ac:dyDescent="0.35"/>
    <row r="64324" hidden="1" x14ac:dyDescent="0.35"/>
    <row r="64325" hidden="1" x14ac:dyDescent="0.35"/>
    <row r="64326" hidden="1" x14ac:dyDescent="0.35"/>
    <row r="64327" hidden="1" x14ac:dyDescent="0.35"/>
    <row r="64328" hidden="1" x14ac:dyDescent="0.35"/>
    <row r="64329" hidden="1" x14ac:dyDescent="0.35"/>
    <row r="64330" hidden="1" x14ac:dyDescent="0.35"/>
    <row r="64331" hidden="1" x14ac:dyDescent="0.35"/>
    <row r="64332" hidden="1" x14ac:dyDescent="0.35"/>
    <row r="64333" hidden="1" x14ac:dyDescent="0.35"/>
    <row r="64334" hidden="1" x14ac:dyDescent="0.35"/>
    <row r="64335" hidden="1" x14ac:dyDescent="0.35"/>
    <row r="64336" hidden="1" x14ac:dyDescent="0.35"/>
    <row r="64337" hidden="1" x14ac:dyDescent="0.35"/>
    <row r="64338" hidden="1" x14ac:dyDescent="0.35"/>
    <row r="64339" hidden="1" x14ac:dyDescent="0.35"/>
    <row r="64340" hidden="1" x14ac:dyDescent="0.35"/>
    <row r="64341" hidden="1" x14ac:dyDescent="0.35"/>
    <row r="64342" hidden="1" x14ac:dyDescent="0.35"/>
    <row r="64343" hidden="1" x14ac:dyDescent="0.35"/>
    <row r="64344" hidden="1" x14ac:dyDescent="0.35"/>
    <row r="64345" hidden="1" x14ac:dyDescent="0.35"/>
    <row r="64346" hidden="1" x14ac:dyDescent="0.35"/>
    <row r="64347" hidden="1" x14ac:dyDescent="0.35"/>
    <row r="64348" hidden="1" x14ac:dyDescent="0.35"/>
    <row r="64349" hidden="1" x14ac:dyDescent="0.35"/>
    <row r="64350" hidden="1" x14ac:dyDescent="0.35"/>
    <row r="64351" hidden="1" x14ac:dyDescent="0.35"/>
    <row r="64352" hidden="1" x14ac:dyDescent="0.35"/>
    <row r="64353" hidden="1" x14ac:dyDescent="0.35"/>
    <row r="64354" hidden="1" x14ac:dyDescent="0.35"/>
    <row r="64355" hidden="1" x14ac:dyDescent="0.35"/>
    <row r="64356" hidden="1" x14ac:dyDescent="0.35"/>
    <row r="64357" hidden="1" x14ac:dyDescent="0.35"/>
    <row r="64358" hidden="1" x14ac:dyDescent="0.35"/>
    <row r="64359" hidden="1" x14ac:dyDescent="0.35"/>
    <row r="64360" hidden="1" x14ac:dyDescent="0.35"/>
    <row r="64361" hidden="1" x14ac:dyDescent="0.35"/>
    <row r="64362" hidden="1" x14ac:dyDescent="0.35"/>
    <row r="64363" hidden="1" x14ac:dyDescent="0.35"/>
    <row r="64364" hidden="1" x14ac:dyDescent="0.35"/>
    <row r="64365" hidden="1" x14ac:dyDescent="0.35"/>
    <row r="64366" hidden="1" x14ac:dyDescent="0.35"/>
    <row r="64367" hidden="1" x14ac:dyDescent="0.35"/>
    <row r="64368" hidden="1" x14ac:dyDescent="0.35"/>
    <row r="64369" hidden="1" x14ac:dyDescent="0.35"/>
    <row r="64370" hidden="1" x14ac:dyDescent="0.35"/>
    <row r="64371" hidden="1" x14ac:dyDescent="0.35"/>
    <row r="64372" hidden="1" x14ac:dyDescent="0.35"/>
    <row r="64373" hidden="1" x14ac:dyDescent="0.35"/>
    <row r="64374" hidden="1" x14ac:dyDescent="0.35"/>
    <row r="64375" hidden="1" x14ac:dyDescent="0.35"/>
    <row r="64376" hidden="1" x14ac:dyDescent="0.35"/>
    <row r="64377" hidden="1" x14ac:dyDescent="0.35"/>
    <row r="64378" hidden="1" x14ac:dyDescent="0.35"/>
    <row r="64379" hidden="1" x14ac:dyDescent="0.35"/>
    <row r="64380" hidden="1" x14ac:dyDescent="0.35"/>
    <row r="64381" hidden="1" x14ac:dyDescent="0.35"/>
    <row r="64382" hidden="1" x14ac:dyDescent="0.35"/>
    <row r="64383" hidden="1" x14ac:dyDescent="0.35"/>
    <row r="64384" hidden="1" x14ac:dyDescent="0.35"/>
    <row r="64385" hidden="1" x14ac:dyDescent="0.35"/>
    <row r="64386" hidden="1" x14ac:dyDescent="0.35"/>
    <row r="64387" hidden="1" x14ac:dyDescent="0.35"/>
    <row r="64388" hidden="1" x14ac:dyDescent="0.35"/>
    <row r="64389" hidden="1" x14ac:dyDescent="0.35"/>
    <row r="64390" hidden="1" x14ac:dyDescent="0.35"/>
    <row r="64391" hidden="1" x14ac:dyDescent="0.35"/>
    <row r="64392" hidden="1" x14ac:dyDescent="0.35"/>
    <row r="64393" hidden="1" x14ac:dyDescent="0.35"/>
    <row r="64394" hidden="1" x14ac:dyDescent="0.35"/>
    <row r="64395" hidden="1" x14ac:dyDescent="0.35"/>
    <row r="64396" hidden="1" x14ac:dyDescent="0.35"/>
    <row r="64397" hidden="1" x14ac:dyDescent="0.35"/>
    <row r="64398" hidden="1" x14ac:dyDescent="0.35"/>
    <row r="64399" hidden="1" x14ac:dyDescent="0.35"/>
    <row r="64400" hidden="1" x14ac:dyDescent="0.35"/>
    <row r="64401" hidden="1" x14ac:dyDescent="0.35"/>
    <row r="64402" hidden="1" x14ac:dyDescent="0.35"/>
    <row r="64403" hidden="1" x14ac:dyDescent="0.35"/>
    <row r="64404" hidden="1" x14ac:dyDescent="0.35"/>
    <row r="64405" hidden="1" x14ac:dyDescent="0.35"/>
    <row r="64406" hidden="1" x14ac:dyDescent="0.35"/>
    <row r="64407" hidden="1" x14ac:dyDescent="0.35"/>
    <row r="64408" hidden="1" x14ac:dyDescent="0.35"/>
    <row r="64409" hidden="1" x14ac:dyDescent="0.35"/>
    <row r="64410" hidden="1" x14ac:dyDescent="0.35"/>
    <row r="64411" hidden="1" x14ac:dyDescent="0.35"/>
    <row r="64412" hidden="1" x14ac:dyDescent="0.35"/>
    <row r="64413" hidden="1" x14ac:dyDescent="0.35"/>
    <row r="64414" hidden="1" x14ac:dyDescent="0.35"/>
    <row r="64415" hidden="1" x14ac:dyDescent="0.35"/>
    <row r="64416" hidden="1" x14ac:dyDescent="0.35"/>
    <row r="64417" hidden="1" x14ac:dyDescent="0.35"/>
    <row r="64418" hidden="1" x14ac:dyDescent="0.35"/>
    <row r="64419" hidden="1" x14ac:dyDescent="0.35"/>
    <row r="64420" hidden="1" x14ac:dyDescent="0.35"/>
    <row r="64421" hidden="1" x14ac:dyDescent="0.35"/>
    <row r="64422" hidden="1" x14ac:dyDescent="0.35"/>
    <row r="64423" hidden="1" x14ac:dyDescent="0.35"/>
    <row r="64424" hidden="1" x14ac:dyDescent="0.35"/>
    <row r="64425" hidden="1" x14ac:dyDescent="0.35"/>
    <row r="64426" hidden="1" x14ac:dyDescent="0.35"/>
    <row r="64427" hidden="1" x14ac:dyDescent="0.35"/>
    <row r="64428" hidden="1" x14ac:dyDescent="0.35"/>
    <row r="64429" hidden="1" x14ac:dyDescent="0.35"/>
    <row r="64430" hidden="1" x14ac:dyDescent="0.35"/>
    <row r="64431" hidden="1" x14ac:dyDescent="0.35"/>
    <row r="64432" hidden="1" x14ac:dyDescent="0.35"/>
    <row r="64433" hidden="1" x14ac:dyDescent="0.35"/>
    <row r="64434" hidden="1" x14ac:dyDescent="0.35"/>
    <row r="64435" hidden="1" x14ac:dyDescent="0.35"/>
    <row r="64436" hidden="1" x14ac:dyDescent="0.35"/>
    <row r="64437" hidden="1" x14ac:dyDescent="0.35"/>
    <row r="64438" hidden="1" x14ac:dyDescent="0.35"/>
    <row r="64439" hidden="1" x14ac:dyDescent="0.35"/>
    <row r="64440" hidden="1" x14ac:dyDescent="0.35"/>
    <row r="64441" hidden="1" x14ac:dyDescent="0.35"/>
    <row r="64442" hidden="1" x14ac:dyDescent="0.35"/>
    <row r="64443" hidden="1" x14ac:dyDescent="0.35"/>
    <row r="64444" hidden="1" x14ac:dyDescent="0.35"/>
    <row r="64445" hidden="1" x14ac:dyDescent="0.35"/>
    <row r="64446" hidden="1" x14ac:dyDescent="0.35"/>
    <row r="64447" hidden="1" x14ac:dyDescent="0.35"/>
    <row r="64448" hidden="1" x14ac:dyDescent="0.35"/>
    <row r="64449" hidden="1" x14ac:dyDescent="0.35"/>
    <row r="64450" hidden="1" x14ac:dyDescent="0.35"/>
    <row r="64451" hidden="1" x14ac:dyDescent="0.35"/>
    <row r="64452" hidden="1" x14ac:dyDescent="0.35"/>
    <row r="64453" hidden="1" x14ac:dyDescent="0.35"/>
    <row r="64454" hidden="1" x14ac:dyDescent="0.35"/>
    <row r="64455" hidden="1" x14ac:dyDescent="0.35"/>
    <row r="64456" hidden="1" x14ac:dyDescent="0.35"/>
    <row r="64457" hidden="1" x14ac:dyDescent="0.35"/>
    <row r="64458" hidden="1" x14ac:dyDescent="0.35"/>
    <row r="64459" hidden="1" x14ac:dyDescent="0.35"/>
    <row r="64460" hidden="1" x14ac:dyDescent="0.35"/>
    <row r="64461" hidden="1" x14ac:dyDescent="0.35"/>
    <row r="64462" hidden="1" x14ac:dyDescent="0.35"/>
    <row r="64463" hidden="1" x14ac:dyDescent="0.35"/>
    <row r="64464" hidden="1" x14ac:dyDescent="0.35"/>
    <row r="64465" hidden="1" x14ac:dyDescent="0.35"/>
    <row r="64466" hidden="1" x14ac:dyDescent="0.35"/>
    <row r="64467" hidden="1" x14ac:dyDescent="0.35"/>
    <row r="64468" hidden="1" x14ac:dyDescent="0.35"/>
    <row r="64469" hidden="1" x14ac:dyDescent="0.35"/>
    <row r="64470" hidden="1" x14ac:dyDescent="0.35"/>
    <row r="64471" hidden="1" x14ac:dyDescent="0.35"/>
    <row r="64472" hidden="1" x14ac:dyDescent="0.35"/>
    <row r="64473" hidden="1" x14ac:dyDescent="0.35"/>
    <row r="64474" hidden="1" x14ac:dyDescent="0.35"/>
    <row r="64475" hidden="1" x14ac:dyDescent="0.35"/>
    <row r="64476" hidden="1" x14ac:dyDescent="0.35"/>
    <row r="64477" hidden="1" x14ac:dyDescent="0.35"/>
    <row r="64478" hidden="1" x14ac:dyDescent="0.35"/>
    <row r="64479" hidden="1" x14ac:dyDescent="0.35"/>
    <row r="64480" hidden="1" x14ac:dyDescent="0.35"/>
    <row r="64481" hidden="1" x14ac:dyDescent="0.35"/>
    <row r="64482" hidden="1" x14ac:dyDescent="0.35"/>
    <row r="64483" hidden="1" x14ac:dyDescent="0.35"/>
    <row r="64484" hidden="1" x14ac:dyDescent="0.35"/>
    <row r="64485" hidden="1" x14ac:dyDescent="0.35"/>
    <row r="64486" hidden="1" x14ac:dyDescent="0.35"/>
    <row r="64487" hidden="1" x14ac:dyDescent="0.35"/>
    <row r="64488" hidden="1" x14ac:dyDescent="0.35"/>
    <row r="64489" hidden="1" x14ac:dyDescent="0.35"/>
    <row r="64490" hidden="1" x14ac:dyDescent="0.35"/>
    <row r="64491" hidden="1" x14ac:dyDescent="0.35"/>
    <row r="64492" hidden="1" x14ac:dyDescent="0.35"/>
    <row r="64493" hidden="1" x14ac:dyDescent="0.35"/>
    <row r="64494" hidden="1" x14ac:dyDescent="0.35"/>
    <row r="64495" hidden="1" x14ac:dyDescent="0.35"/>
    <row r="64496" hidden="1" x14ac:dyDescent="0.35"/>
    <row r="64497" hidden="1" x14ac:dyDescent="0.35"/>
    <row r="64498" hidden="1" x14ac:dyDescent="0.35"/>
    <row r="64499" hidden="1" x14ac:dyDescent="0.35"/>
    <row r="64500" hidden="1" x14ac:dyDescent="0.35"/>
    <row r="64501" hidden="1" x14ac:dyDescent="0.35"/>
    <row r="64502" hidden="1" x14ac:dyDescent="0.35"/>
    <row r="64503" hidden="1" x14ac:dyDescent="0.35"/>
    <row r="64504" hidden="1" x14ac:dyDescent="0.35"/>
    <row r="64505" hidden="1" x14ac:dyDescent="0.35"/>
    <row r="64506" hidden="1" x14ac:dyDescent="0.35"/>
    <row r="64507" hidden="1" x14ac:dyDescent="0.35"/>
    <row r="64508" hidden="1" x14ac:dyDescent="0.35"/>
    <row r="64509" hidden="1" x14ac:dyDescent="0.35"/>
    <row r="64510" hidden="1" x14ac:dyDescent="0.35"/>
    <row r="64511" hidden="1" x14ac:dyDescent="0.35"/>
    <row r="64512" hidden="1" x14ac:dyDescent="0.35"/>
    <row r="64513" hidden="1" x14ac:dyDescent="0.35"/>
    <row r="64514" hidden="1" x14ac:dyDescent="0.35"/>
    <row r="64515" hidden="1" x14ac:dyDescent="0.35"/>
    <row r="64516" hidden="1" x14ac:dyDescent="0.35"/>
    <row r="64517" hidden="1" x14ac:dyDescent="0.35"/>
    <row r="64518" hidden="1" x14ac:dyDescent="0.35"/>
    <row r="64519" hidden="1" x14ac:dyDescent="0.35"/>
    <row r="64520" hidden="1" x14ac:dyDescent="0.35"/>
    <row r="64521" hidden="1" x14ac:dyDescent="0.35"/>
    <row r="64522" hidden="1" x14ac:dyDescent="0.35"/>
    <row r="64523" hidden="1" x14ac:dyDescent="0.35"/>
    <row r="64524" hidden="1" x14ac:dyDescent="0.35"/>
    <row r="64525" hidden="1" x14ac:dyDescent="0.35"/>
    <row r="64526" hidden="1" x14ac:dyDescent="0.35"/>
    <row r="64527" hidden="1" x14ac:dyDescent="0.35"/>
    <row r="64528" hidden="1" x14ac:dyDescent="0.35"/>
    <row r="64529" hidden="1" x14ac:dyDescent="0.35"/>
    <row r="64530" hidden="1" x14ac:dyDescent="0.35"/>
    <row r="64531" hidden="1" x14ac:dyDescent="0.35"/>
    <row r="64532" hidden="1" x14ac:dyDescent="0.35"/>
    <row r="64533" hidden="1" x14ac:dyDescent="0.35"/>
    <row r="64534" hidden="1" x14ac:dyDescent="0.35"/>
    <row r="64535" hidden="1" x14ac:dyDescent="0.35"/>
    <row r="64536" hidden="1" x14ac:dyDescent="0.35"/>
    <row r="64537" hidden="1" x14ac:dyDescent="0.35"/>
    <row r="64538" hidden="1" x14ac:dyDescent="0.35"/>
    <row r="64539" hidden="1" x14ac:dyDescent="0.35"/>
    <row r="64540" hidden="1" x14ac:dyDescent="0.35"/>
    <row r="64541" hidden="1" x14ac:dyDescent="0.35"/>
    <row r="64542" hidden="1" x14ac:dyDescent="0.35"/>
    <row r="64543" hidden="1" x14ac:dyDescent="0.35"/>
    <row r="64544" hidden="1" x14ac:dyDescent="0.35"/>
    <row r="64545" hidden="1" x14ac:dyDescent="0.35"/>
    <row r="64546" hidden="1" x14ac:dyDescent="0.35"/>
    <row r="64547" hidden="1" x14ac:dyDescent="0.35"/>
    <row r="64548" hidden="1" x14ac:dyDescent="0.35"/>
    <row r="64549" hidden="1" x14ac:dyDescent="0.35"/>
    <row r="64550" hidden="1" x14ac:dyDescent="0.35"/>
    <row r="64551" hidden="1" x14ac:dyDescent="0.35"/>
    <row r="64552" hidden="1" x14ac:dyDescent="0.35"/>
    <row r="64553" hidden="1" x14ac:dyDescent="0.35"/>
    <row r="64554" hidden="1" x14ac:dyDescent="0.35"/>
    <row r="64555" hidden="1" x14ac:dyDescent="0.35"/>
    <row r="64556" hidden="1" x14ac:dyDescent="0.35"/>
    <row r="64557" hidden="1" x14ac:dyDescent="0.35"/>
    <row r="64558" hidden="1" x14ac:dyDescent="0.35"/>
    <row r="64559" hidden="1" x14ac:dyDescent="0.35"/>
    <row r="64560" hidden="1" x14ac:dyDescent="0.35"/>
    <row r="64561" hidden="1" x14ac:dyDescent="0.35"/>
    <row r="64562" hidden="1" x14ac:dyDescent="0.35"/>
    <row r="64563" hidden="1" x14ac:dyDescent="0.35"/>
    <row r="64564" hidden="1" x14ac:dyDescent="0.35"/>
    <row r="64565" hidden="1" x14ac:dyDescent="0.35"/>
    <row r="64566" hidden="1" x14ac:dyDescent="0.35"/>
    <row r="64567" hidden="1" x14ac:dyDescent="0.35"/>
    <row r="64568" hidden="1" x14ac:dyDescent="0.35"/>
    <row r="64569" hidden="1" x14ac:dyDescent="0.35"/>
    <row r="64570" hidden="1" x14ac:dyDescent="0.35"/>
    <row r="64571" hidden="1" x14ac:dyDescent="0.35"/>
    <row r="64572" hidden="1" x14ac:dyDescent="0.35"/>
    <row r="64573" hidden="1" x14ac:dyDescent="0.35"/>
    <row r="64574" hidden="1" x14ac:dyDescent="0.35"/>
    <row r="64575" hidden="1" x14ac:dyDescent="0.35"/>
    <row r="64576" hidden="1" x14ac:dyDescent="0.35"/>
    <row r="64577" hidden="1" x14ac:dyDescent="0.35"/>
    <row r="64578" hidden="1" x14ac:dyDescent="0.35"/>
    <row r="64579" hidden="1" x14ac:dyDescent="0.35"/>
    <row r="64580" hidden="1" x14ac:dyDescent="0.35"/>
    <row r="64581" hidden="1" x14ac:dyDescent="0.35"/>
    <row r="64582" hidden="1" x14ac:dyDescent="0.35"/>
    <row r="64583" hidden="1" x14ac:dyDescent="0.35"/>
    <row r="64584" hidden="1" x14ac:dyDescent="0.35"/>
    <row r="64585" hidden="1" x14ac:dyDescent="0.35"/>
    <row r="64586" hidden="1" x14ac:dyDescent="0.35"/>
    <row r="64587" hidden="1" x14ac:dyDescent="0.35"/>
    <row r="64588" hidden="1" x14ac:dyDescent="0.35"/>
    <row r="64589" hidden="1" x14ac:dyDescent="0.35"/>
    <row r="64590" hidden="1" x14ac:dyDescent="0.35"/>
    <row r="64591" hidden="1" x14ac:dyDescent="0.35"/>
    <row r="64592" hidden="1" x14ac:dyDescent="0.35"/>
    <row r="64593" hidden="1" x14ac:dyDescent="0.35"/>
    <row r="64594" hidden="1" x14ac:dyDescent="0.35"/>
    <row r="64595" hidden="1" x14ac:dyDescent="0.35"/>
    <row r="64596" hidden="1" x14ac:dyDescent="0.35"/>
    <row r="64597" hidden="1" x14ac:dyDescent="0.35"/>
    <row r="64598" hidden="1" x14ac:dyDescent="0.35"/>
    <row r="64599" hidden="1" x14ac:dyDescent="0.35"/>
    <row r="64600" hidden="1" x14ac:dyDescent="0.35"/>
    <row r="64601" hidden="1" x14ac:dyDescent="0.35"/>
    <row r="64602" hidden="1" x14ac:dyDescent="0.35"/>
    <row r="64603" hidden="1" x14ac:dyDescent="0.35"/>
    <row r="64604" hidden="1" x14ac:dyDescent="0.35"/>
    <row r="64605" hidden="1" x14ac:dyDescent="0.35"/>
    <row r="64606" hidden="1" x14ac:dyDescent="0.35"/>
    <row r="64607" hidden="1" x14ac:dyDescent="0.35"/>
    <row r="64608" hidden="1" x14ac:dyDescent="0.35"/>
    <row r="64609" hidden="1" x14ac:dyDescent="0.35"/>
    <row r="64610" hidden="1" x14ac:dyDescent="0.35"/>
    <row r="64611" hidden="1" x14ac:dyDescent="0.35"/>
    <row r="64612" hidden="1" x14ac:dyDescent="0.35"/>
    <row r="64613" hidden="1" x14ac:dyDescent="0.35"/>
    <row r="64614" hidden="1" x14ac:dyDescent="0.35"/>
    <row r="64615" hidden="1" x14ac:dyDescent="0.35"/>
    <row r="64616" hidden="1" x14ac:dyDescent="0.35"/>
    <row r="64617" hidden="1" x14ac:dyDescent="0.35"/>
    <row r="64618" hidden="1" x14ac:dyDescent="0.35"/>
    <row r="64619" hidden="1" x14ac:dyDescent="0.35"/>
    <row r="64620" hidden="1" x14ac:dyDescent="0.35"/>
    <row r="64621" hidden="1" x14ac:dyDescent="0.35"/>
    <row r="64622" hidden="1" x14ac:dyDescent="0.35"/>
    <row r="64623" hidden="1" x14ac:dyDescent="0.35"/>
    <row r="64624" hidden="1" x14ac:dyDescent="0.35"/>
    <row r="64625" hidden="1" x14ac:dyDescent="0.35"/>
    <row r="64626" hidden="1" x14ac:dyDescent="0.35"/>
    <row r="64627" hidden="1" x14ac:dyDescent="0.35"/>
    <row r="64628" hidden="1" x14ac:dyDescent="0.35"/>
    <row r="64629" hidden="1" x14ac:dyDescent="0.35"/>
    <row r="64630" hidden="1" x14ac:dyDescent="0.35"/>
    <row r="64631" hidden="1" x14ac:dyDescent="0.35"/>
    <row r="64632" hidden="1" x14ac:dyDescent="0.35"/>
    <row r="64633" hidden="1" x14ac:dyDescent="0.35"/>
    <row r="64634" hidden="1" x14ac:dyDescent="0.35"/>
    <row r="64635" hidden="1" x14ac:dyDescent="0.35"/>
    <row r="64636" hidden="1" x14ac:dyDescent="0.35"/>
    <row r="64637" hidden="1" x14ac:dyDescent="0.35"/>
    <row r="64638" hidden="1" x14ac:dyDescent="0.35"/>
    <row r="64639" hidden="1" x14ac:dyDescent="0.35"/>
    <row r="64640" hidden="1" x14ac:dyDescent="0.35"/>
    <row r="64641" hidden="1" x14ac:dyDescent="0.35"/>
    <row r="64642" hidden="1" x14ac:dyDescent="0.35"/>
    <row r="64643" hidden="1" x14ac:dyDescent="0.35"/>
    <row r="64644" hidden="1" x14ac:dyDescent="0.35"/>
    <row r="64645" hidden="1" x14ac:dyDescent="0.35"/>
    <row r="64646" hidden="1" x14ac:dyDescent="0.35"/>
    <row r="64647" hidden="1" x14ac:dyDescent="0.35"/>
    <row r="64648" hidden="1" x14ac:dyDescent="0.35"/>
    <row r="64649" hidden="1" x14ac:dyDescent="0.35"/>
    <row r="64650" hidden="1" x14ac:dyDescent="0.35"/>
    <row r="64651" hidden="1" x14ac:dyDescent="0.35"/>
    <row r="64652" hidden="1" x14ac:dyDescent="0.35"/>
    <row r="64653" hidden="1" x14ac:dyDescent="0.35"/>
    <row r="64654" hidden="1" x14ac:dyDescent="0.35"/>
    <row r="64655" hidden="1" x14ac:dyDescent="0.35"/>
    <row r="64656" hidden="1" x14ac:dyDescent="0.35"/>
    <row r="64657" hidden="1" x14ac:dyDescent="0.35"/>
    <row r="64658" hidden="1" x14ac:dyDescent="0.35"/>
    <row r="64659" hidden="1" x14ac:dyDescent="0.35"/>
    <row r="64660" hidden="1" x14ac:dyDescent="0.35"/>
    <row r="64661" hidden="1" x14ac:dyDescent="0.35"/>
    <row r="64662" hidden="1" x14ac:dyDescent="0.35"/>
    <row r="64663" hidden="1" x14ac:dyDescent="0.35"/>
    <row r="64664" hidden="1" x14ac:dyDescent="0.35"/>
    <row r="64665" hidden="1" x14ac:dyDescent="0.35"/>
    <row r="64666" hidden="1" x14ac:dyDescent="0.35"/>
    <row r="64667" hidden="1" x14ac:dyDescent="0.35"/>
    <row r="64668" hidden="1" x14ac:dyDescent="0.35"/>
    <row r="64669" hidden="1" x14ac:dyDescent="0.35"/>
    <row r="64670" hidden="1" x14ac:dyDescent="0.35"/>
    <row r="64671" hidden="1" x14ac:dyDescent="0.35"/>
    <row r="64672" hidden="1" x14ac:dyDescent="0.35"/>
    <row r="64673" hidden="1" x14ac:dyDescent="0.35"/>
    <row r="64674" hidden="1" x14ac:dyDescent="0.35"/>
    <row r="64675" hidden="1" x14ac:dyDescent="0.35"/>
    <row r="64676" hidden="1" x14ac:dyDescent="0.35"/>
    <row r="64677" hidden="1" x14ac:dyDescent="0.35"/>
    <row r="64678" hidden="1" x14ac:dyDescent="0.35"/>
    <row r="64679" hidden="1" x14ac:dyDescent="0.35"/>
    <row r="64680" hidden="1" x14ac:dyDescent="0.35"/>
    <row r="64681" hidden="1" x14ac:dyDescent="0.35"/>
    <row r="64682" hidden="1" x14ac:dyDescent="0.35"/>
    <row r="64683" hidden="1" x14ac:dyDescent="0.35"/>
    <row r="64684" hidden="1" x14ac:dyDescent="0.35"/>
    <row r="64685" hidden="1" x14ac:dyDescent="0.35"/>
    <row r="64686" hidden="1" x14ac:dyDescent="0.35"/>
    <row r="64687" hidden="1" x14ac:dyDescent="0.35"/>
    <row r="64688" hidden="1" x14ac:dyDescent="0.35"/>
    <row r="64689" hidden="1" x14ac:dyDescent="0.35"/>
    <row r="64690" hidden="1" x14ac:dyDescent="0.35"/>
    <row r="64691" hidden="1" x14ac:dyDescent="0.35"/>
    <row r="64692" hidden="1" x14ac:dyDescent="0.35"/>
    <row r="64693" hidden="1" x14ac:dyDescent="0.35"/>
    <row r="64694" hidden="1" x14ac:dyDescent="0.35"/>
    <row r="64695" hidden="1" x14ac:dyDescent="0.35"/>
    <row r="64696" hidden="1" x14ac:dyDescent="0.35"/>
    <row r="64697" hidden="1" x14ac:dyDescent="0.35"/>
    <row r="64698" hidden="1" x14ac:dyDescent="0.35"/>
    <row r="64699" hidden="1" x14ac:dyDescent="0.35"/>
    <row r="64700" hidden="1" x14ac:dyDescent="0.35"/>
    <row r="64701" hidden="1" x14ac:dyDescent="0.35"/>
    <row r="64702" hidden="1" x14ac:dyDescent="0.35"/>
    <row r="64703" hidden="1" x14ac:dyDescent="0.35"/>
    <row r="64704" hidden="1" x14ac:dyDescent="0.35"/>
    <row r="64705" hidden="1" x14ac:dyDescent="0.35"/>
    <row r="64706" hidden="1" x14ac:dyDescent="0.35"/>
    <row r="64707" hidden="1" x14ac:dyDescent="0.35"/>
    <row r="64708" hidden="1" x14ac:dyDescent="0.35"/>
    <row r="64709" hidden="1" x14ac:dyDescent="0.35"/>
    <row r="64710" hidden="1" x14ac:dyDescent="0.35"/>
    <row r="64711" hidden="1" x14ac:dyDescent="0.35"/>
    <row r="64712" hidden="1" x14ac:dyDescent="0.35"/>
    <row r="64713" hidden="1" x14ac:dyDescent="0.35"/>
    <row r="64714" hidden="1" x14ac:dyDescent="0.35"/>
    <row r="64715" hidden="1" x14ac:dyDescent="0.35"/>
    <row r="64716" hidden="1" x14ac:dyDescent="0.35"/>
    <row r="64717" hidden="1" x14ac:dyDescent="0.35"/>
    <row r="64718" hidden="1" x14ac:dyDescent="0.35"/>
    <row r="64719" hidden="1" x14ac:dyDescent="0.35"/>
    <row r="64720" hidden="1" x14ac:dyDescent="0.35"/>
    <row r="64721" hidden="1" x14ac:dyDescent="0.35"/>
    <row r="64722" hidden="1" x14ac:dyDescent="0.35"/>
    <row r="64723" hidden="1" x14ac:dyDescent="0.35"/>
    <row r="64724" hidden="1" x14ac:dyDescent="0.35"/>
    <row r="64725" hidden="1" x14ac:dyDescent="0.35"/>
    <row r="64726" hidden="1" x14ac:dyDescent="0.35"/>
    <row r="64727" hidden="1" x14ac:dyDescent="0.35"/>
    <row r="64728" hidden="1" x14ac:dyDescent="0.35"/>
    <row r="64729" hidden="1" x14ac:dyDescent="0.35"/>
    <row r="64730" hidden="1" x14ac:dyDescent="0.35"/>
    <row r="64731" hidden="1" x14ac:dyDescent="0.35"/>
    <row r="64732" hidden="1" x14ac:dyDescent="0.35"/>
    <row r="64733" hidden="1" x14ac:dyDescent="0.35"/>
    <row r="64734" hidden="1" x14ac:dyDescent="0.35"/>
    <row r="64735" hidden="1" x14ac:dyDescent="0.35"/>
    <row r="64736" hidden="1" x14ac:dyDescent="0.35"/>
    <row r="64737" hidden="1" x14ac:dyDescent="0.35"/>
    <row r="64738" hidden="1" x14ac:dyDescent="0.35"/>
    <row r="64739" hidden="1" x14ac:dyDescent="0.35"/>
    <row r="64740" hidden="1" x14ac:dyDescent="0.35"/>
    <row r="64741" hidden="1" x14ac:dyDescent="0.35"/>
    <row r="64742" hidden="1" x14ac:dyDescent="0.35"/>
    <row r="64743" hidden="1" x14ac:dyDescent="0.35"/>
    <row r="64744" hidden="1" x14ac:dyDescent="0.35"/>
    <row r="64745" hidden="1" x14ac:dyDescent="0.35"/>
    <row r="64746" hidden="1" x14ac:dyDescent="0.35"/>
    <row r="64747" hidden="1" x14ac:dyDescent="0.35"/>
    <row r="64748" hidden="1" x14ac:dyDescent="0.35"/>
    <row r="64749" hidden="1" x14ac:dyDescent="0.35"/>
    <row r="64750" hidden="1" x14ac:dyDescent="0.35"/>
    <row r="64751" hidden="1" x14ac:dyDescent="0.35"/>
    <row r="64752" hidden="1" x14ac:dyDescent="0.35"/>
    <row r="64753" hidden="1" x14ac:dyDescent="0.35"/>
    <row r="64754" hidden="1" x14ac:dyDescent="0.35"/>
    <row r="64755" hidden="1" x14ac:dyDescent="0.35"/>
    <row r="64756" hidden="1" x14ac:dyDescent="0.35"/>
    <row r="64757" hidden="1" x14ac:dyDescent="0.35"/>
    <row r="64758" hidden="1" x14ac:dyDescent="0.35"/>
    <row r="64759" hidden="1" x14ac:dyDescent="0.35"/>
    <row r="64760" hidden="1" x14ac:dyDescent="0.35"/>
    <row r="64761" hidden="1" x14ac:dyDescent="0.35"/>
    <row r="64762" hidden="1" x14ac:dyDescent="0.35"/>
    <row r="64763" hidden="1" x14ac:dyDescent="0.35"/>
    <row r="64764" hidden="1" x14ac:dyDescent="0.35"/>
    <row r="64765" hidden="1" x14ac:dyDescent="0.35"/>
    <row r="64766" hidden="1" x14ac:dyDescent="0.35"/>
    <row r="64767" hidden="1" x14ac:dyDescent="0.35"/>
    <row r="64768" hidden="1" x14ac:dyDescent="0.35"/>
    <row r="64769" hidden="1" x14ac:dyDescent="0.35"/>
    <row r="64770" hidden="1" x14ac:dyDescent="0.35"/>
    <row r="64771" hidden="1" x14ac:dyDescent="0.35"/>
    <row r="64772" hidden="1" x14ac:dyDescent="0.35"/>
    <row r="64773" hidden="1" x14ac:dyDescent="0.35"/>
    <row r="64774" hidden="1" x14ac:dyDescent="0.35"/>
    <row r="64775" hidden="1" x14ac:dyDescent="0.35"/>
    <row r="64776" hidden="1" x14ac:dyDescent="0.35"/>
    <row r="64777" hidden="1" x14ac:dyDescent="0.35"/>
    <row r="64778" hidden="1" x14ac:dyDescent="0.35"/>
    <row r="64779" hidden="1" x14ac:dyDescent="0.35"/>
    <row r="64780" hidden="1" x14ac:dyDescent="0.35"/>
    <row r="64781" hidden="1" x14ac:dyDescent="0.35"/>
    <row r="64782" hidden="1" x14ac:dyDescent="0.35"/>
    <row r="64783" hidden="1" x14ac:dyDescent="0.35"/>
    <row r="64784" hidden="1" x14ac:dyDescent="0.35"/>
    <row r="64785" hidden="1" x14ac:dyDescent="0.35"/>
    <row r="64786" hidden="1" x14ac:dyDescent="0.35"/>
    <row r="64787" hidden="1" x14ac:dyDescent="0.35"/>
    <row r="64788" hidden="1" x14ac:dyDescent="0.35"/>
    <row r="64789" hidden="1" x14ac:dyDescent="0.35"/>
    <row r="64790" hidden="1" x14ac:dyDescent="0.35"/>
    <row r="64791" hidden="1" x14ac:dyDescent="0.35"/>
    <row r="64792" hidden="1" x14ac:dyDescent="0.35"/>
    <row r="64793" hidden="1" x14ac:dyDescent="0.35"/>
    <row r="64794" hidden="1" x14ac:dyDescent="0.35"/>
    <row r="64795" hidden="1" x14ac:dyDescent="0.35"/>
    <row r="64796" hidden="1" x14ac:dyDescent="0.35"/>
    <row r="64797" hidden="1" x14ac:dyDescent="0.35"/>
    <row r="64798" hidden="1" x14ac:dyDescent="0.35"/>
    <row r="64799" hidden="1" x14ac:dyDescent="0.35"/>
    <row r="64800" hidden="1" x14ac:dyDescent="0.35"/>
    <row r="64801" hidden="1" x14ac:dyDescent="0.35"/>
    <row r="64802" hidden="1" x14ac:dyDescent="0.35"/>
    <row r="64803" hidden="1" x14ac:dyDescent="0.35"/>
    <row r="64804" hidden="1" x14ac:dyDescent="0.35"/>
    <row r="64805" hidden="1" x14ac:dyDescent="0.35"/>
    <row r="64806" hidden="1" x14ac:dyDescent="0.35"/>
    <row r="64807" hidden="1" x14ac:dyDescent="0.35"/>
    <row r="64808" hidden="1" x14ac:dyDescent="0.35"/>
    <row r="64809" hidden="1" x14ac:dyDescent="0.35"/>
    <row r="64810" hidden="1" x14ac:dyDescent="0.35"/>
    <row r="64811" hidden="1" x14ac:dyDescent="0.35"/>
    <row r="64812" hidden="1" x14ac:dyDescent="0.35"/>
    <row r="64813" hidden="1" x14ac:dyDescent="0.35"/>
    <row r="64814" hidden="1" x14ac:dyDescent="0.35"/>
    <row r="64815" hidden="1" x14ac:dyDescent="0.35"/>
    <row r="64816" hidden="1" x14ac:dyDescent="0.35"/>
    <row r="64817" hidden="1" x14ac:dyDescent="0.35"/>
    <row r="64818" hidden="1" x14ac:dyDescent="0.35"/>
    <row r="64819" hidden="1" x14ac:dyDescent="0.35"/>
    <row r="64820" hidden="1" x14ac:dyDescent="0.35"/>
    <row r="64821" hidden="1" x14ac:dyDescent="0.35"/>
    <row r="64822" hidden="1" x14ac:dyDescent="0.35"/>
    <row r="64823" hidden="1" x14ac:dyDescent="0.35"/>
    <row r="64824" hidden="1" x14ac:dyDescent="0.35"/>
    <row r="64825" hidden="1" x14ac:dyDescent="0.35"/>
    <row r="64826" hidden="1" x14ac:dyDescent="0.35"/>
    <row r="64827" hidden="1" x14ac:dyDescent="0.35"/>
    <row r="64828" hidden="1" x14ac:dyDescent="0.35"/>
    <row r="64829" hidden="1" x14ac:dyDescent="0.35"/>
    <row r="64830" hidden="1" x14ac:dyDescent="0.35"/>
    <row r="64831" hidden="1" x14ac:dyDescent="0.35"/>
    <row r="64832" hidden="1" x14ac:dyDescent="0.35"/>
    <row r="64833" hidden="1" x14ac:dyDescent="0.35"/>
    <row r="64834" hidden="1" x14ac:dyDescent="0.35"/>
    <row r="64835" hidden="1" x14ac:dyDescent="0.35"/>
    <row r="64836" hidden="1" x14ac:dyDescent="0.35"/>
    <row r="64837" hidden="1" x14ac:dyDescent="0.35"/>
    <row r="64838" hidden="1" x14ac:dyDescent="0.35"/>
    <row r="64839" hidden="1" x14ac:dyDescent="0.35"/>
    <row r="64840" hidden="1" x14ac:dyDescent="0.35"/>
    <row r="64841" hidden="1" x14ac:dyDescent="0.35"/>
    <row r="64842" hidden="1" x14ac:dyDescent="0.35"/>
    <row r="64843" hidden="1" x14ac:dyDescent="0.35"/>
    <row r="64844" hidden="1" x14ac:dyDescent="0.35"/>
    <row r="64845" hidden="1" x14ac:dyDescent="0.35"/>
    <row r="64846" hidden="1" x14ac:dyDescent="0.35"/>
    <row r="64847" hidden="1" x14ac:dyDescent="0.35"/>
    <row r="64848" hidden="1" x14ac:dyDescent="0.35"/>
    <row r="64849" hidden="1" x14ac:dyDescent="0.35"/>
    <row r="64850" hidden="1" x14ac:dyDescent="0.35"/>
    <row r="64851" hidden="1" x14ac:dyDescent="0.35"/>
    <row r="64852" hidden="1" x14ac:dyDescent="0.35"/>
    <row r="64853" hidden="1" x14ac:dyDescent="0.35"/>
    <row r="64854" hidden="1" x14ac:dyDescent="0.35"/>
    <row r="64855" hidden="1" x14ac:dyDescent="0.35"/>
    <row r="64856" hidden="1" x14ac:dyDescent="0.35"/>
    <row r="64857" hidden="1" x14ac:dyDescent="0.35"/>
    <row r="64858" hidden="1" x14ac:dyDescent="0.35"/>
    <row r="64859" hidden="1" x14ac:dyDescent="0.35"/>
    <row r="64860" hidden="1" x14ac:dyDescent="0.35"/>
    <row r="64861" hidden="1" x14ac:dyDescent="0.35"/>
    <row r="64862" hidden="1" x14ac:dyDescent="0.35"/>
    <row r="64863" hidden="1" x14ac:dyDescent="0.35"/>
    <row r="64864" hidden="1" x14ac:dyDescent="0.35"/>
    <row r="64865" hidden="1" x14ac:dyDescent="0.35"/>
    <row r="64866" hidden="1" x14ac:dyDescent="0.35"/>
    <row r="64867" hidden="1" x14ac:dyDescent="0.35"/>
    <row r="64868" hidden="1" x14ac:dyDescent="0.35"/>
    <row r="64869" hidden="1" x14ac:dyDescent="0.35"/>
    <row r="64870" hidden="1" x14ac:dyDescent="0.35"/>
    <row r="64871" hidden="1" x14ac:dyDescent="0.35"/>
    <row r="64872" hidden="1" x14ac:dyDescent="0.35"/>
    <row r="64873" hidden="1" x14ac:dyDescent="0.35"/>
    <row r="64874" hidden="1" x14ac:dyDescent="0.35"/>
    <row r="64875" hidden="1" x14ac:dyDescent="0.35"/>
    <row r="64876" hidden="1" x14ac:dyDescent="0.35"/>
    <row r="64877" hidden="1" x14ac:dyDescent="0.35"/>
    <row r="64878" hidden="1" x14ac:dyDescent="0.35"/>
    <row r="64879" hidden="1" x14ac:dyDescent="0.35"/>
    <row r="64880" hidden="1" x14ac:dyDescent="0.35"/>
    <row r="64881" hidden="1" x14ac:dyDescent="0.35"/>
    <row r="64882" hidden="1" x14ac:dyDescent="0.35"/>
    <row r="64883" hidden="1" x14ac:dyDescent="0.35"/>
    <row r="64884" hidden="1" x14ac:dyDescent="0.35"/>
    <row r="64885" hidden="1" x14ac:dyDescent="0.35"/>
    <row r="64886" hidden="1" x14ac:dyDescent="0.35"/>
    <row r="64887" hidden="1" x14ac:dyDescent="0.35"/>
    <row r="64888" hidden="1" x14ac:dyDescent="0.35"/>
    <row r="64889" hidden="1" x14ac:dyDescent="0.35"/>
    <row r="64890" hidden="1" x14ac:dyDescent="0.35"/>
    <row r="64891" hidden="1" x14ac:dyDescent="0.35"/>
    <row r="64892" hidden="1" x14ac:dyDescent="0.35"/>
    <row r="64893" hidden="1" x14ac:dyDescent="0.35"/>
    <row r="64894" hidden="1" x14ac:dyDescent="0.35"/>
    <row r="64895" hidden="1" x14ac:dyDescent="0.35"/>
    <row r="64896" hidden="1" x14ac:dyDescent="0.35"/>
    <row r="64897" hidden="1" x14ac:dyDescent="0.35"/>
    <row r="64898" hidden="1" x14ac:dyDescent="0.35"/>
    <row r="64899" hidden="1" x14ac:dyDescent="0.35"/>
    <row r="64900" hidden="1" x14ac:dyDescent="0.35"/>
    <row r="64901" hidden="1" x14ac:dyDescent="0.35"/>
    <row r="64902" hidden="1" x14ac:dyDescent="0.35"/>
    <row r="64903" hidden="1" x14ac:dyDescent="0.35"/>
    <row r="64904" hidden="1" x14ac:dyDescent="0.35"/>
    <row r="64905" hidden="1" x14ac:dyDescent="0.35"/>
    <row r="64906" hidden="1" x14ac:dyDescent="0.35"/>
    <row r="64907" hidden="1" x14ac:dyDescent="0.35"/>
    <row r="64908" hidden="1" x14ac:dyDescent="0.35"/>
    <row r="64909" hidden="1" x14ac:dyDescent="0.35"/>
    <row r="64910" hidden="1" x14ac:dyDescent="0.35"/>
    <row r="64911" hidden="1" x14ac:dyDescent="0.35"/>
    <row r="64912" hidden="1" x14ac:dyDescent="0.35"/>
    <row r="64913" hidden="1" x14ac:dyDescent="0.35"/>
    <row r="64914" hidden="1" x14ac:dyDescent="0.35"/>
    <row r="64915" hidden="1" x14ac:dyDescent="0.35"/>
    <row r="64916" hidden="1" x14ac:dyDescent="0.35"/>
    <row r="64917" hidden="1" x14ac:dyDescent="0.35"/>
    <row r="64918" hidden="1" x14ac:dyDescent="0.35"/>
    <row r="64919" hidden="1" x14ac:dyDescent="0.35"/>
    <row r="64920" hidden="1" x14ac:dyDescent="0.35"/>
    <row r="64921" hidden="1" x14ac:dyDescent="0.35"/>
    <row r="64922" hidden="1" x14ac:dyDescent="0.35"/>
    <row r="64923" hidden="1" x14ac:dyDescent="0.35"/>
    <row r="64924" hidden="1" x14ac:dyDescent="0.35"/>
    <row r="64925" hidden="1" x14ac:dyDescent="0.35"/>
    <row r="64926" hidden="1" x14ac:dyDescent="0.35"/>
    <row r="64927" hidden="1" x14ac:dyDescent="0.35"/>
    <row r="64928" hidden="1" x14ac:dyDescent="0.35"/>
    <row r="64929" hidden="1" x14ac:dyDescent="0.35"/>
    <row r="64930" hidden="1" x14ac:dyDescent="0.35"/>
    <row r="64931" hidden="1" x14ac:dyDescent="0.35"/>
    <row r="64932" hidden="1" x14ac:dyDescent="0.35"/>
    <row r="64933" hidden="1" x14ac:dyDescent="0.35"/>
    <row r="64934" hidden="1" x14ac:dyDescent="0.35"/>
    <row r="64935" hidden="1" x14ac:dyDescent="0.35"/>
    <row r="64936" hidden="1" x14ac:dyDescent="0.35"/>
    <row r="64937" hidden="1" x14ac:dyDescent="0.35"/>
    <row r="64938" hidden="1" x14ac:dyDescent="0.35"/>
    <row r="64939" hidden="1" x14ac:dyDescent="0.35"/>
    <row r="64940" hidden="1" x14ac:dyDescent="0.35"/>
    <row r="64941" hidden="1" x14ac:dyDescent="0.35"/>
    <row r="64942" hidden="1" x14ac:dyDescent="0.35"/>
    <row r="64943" hidden="1" x14ac:dyDescent="0.35"/>
    <row r="64944" hidden="1" x14ac:dyDescent="0.35"/>
    <row r="64945" hidden="1" x14ac:dyDescent="0.35"/>
    <row r="64946" hidden="1" x14ac:dyDescent="0.35"/>
    <row r="64947" hidden="1" x14ac:dyDescent="0.35"/>
    <row r="64948" hidden="1" x14ac:dyDescent="0.35"/>
    <row r="64949" hidden="1" x14ac:dyDescent="0.35"/>
    <row r="64950" hidden="1" x14ac:dyDescent="0.35"/>
    <row r="64951" hidden="1" x14ac:dyDescent="0.35"/>
    <row r="64952" hidden="1" x14ac:dyDescent="0.35"/>
    <row r="64953" hidden="1" x14ac:dyDescent="0.35"/>
    <row r="64954" hidden="1" x14ac:dyDescent="0.35"/>
    <row r="64955" hidden="1" x14ac:dyDescent="0.35"/>
    <row r="64956" hidden="1" x14ac:dyDescent="0.35"/>
    <row r="64957" hidden="1" x14ac:dyDescent="0.35"/>
    <row r="64958" hidden="1" x14ac:dyDescent="0.35"/>
    <row r="64959" hidden="1" x14ac:dyDescent="0.35"/>
    <row r="64960" hidden="1" x14ac:dyDescent="0.35"/>
    <row r="64961" hidden="1" x14ac:dyDescent="0.35"/>
    <row r="64962" hidden="1" x14ac:dyDescent="0.35"/>
    <row r="64963" hidden="1" x14ac:dyDescent="0.35"/>
    <row r="64964" hidden="1" x14ac:dyDescent="0.35"/>
    <row r="64965" hidden="1" x14ac:dyDescent="0.35"/>
    <row r="64966" hidden="1" x14ac:dyDescent="0.35"/>
    <row r="64967" hidden="1" x14ac:dyDescent="0.35"/>
    <row r="64968" hidden="1" x14ac:dyDescent="0.35"/>
    <row r="64969" hidden="1" x14ac:dyDescent="0.35"/>
    <row r="64970" hidden="1" x14ac:dyDescent="0.35"/>
    <row r="64971" hidden="1" x14ac:dyDescent="0.35"/>
    <row r="64972" hidden="1" x14ac:dyDescent="0.35"/>
    <row r="64973" hidden="1" x14ac:dyDescent="0.35"/>
    <row r="64974" hidden="1" x14ac:dyDescent="0.35"/>
    <row r="64975" hidden="1" x14ac:dyDescent="0.35"/>
    <row r="64976" hidden="1" x14ac:dyDescent="0.35"/>
    <row r="64977" hidden="1" x14ac:dyDescent="0.35"/>
    <row r="64978" hidden="1" x14ac:dyDescent="0.35"/>
    <row r="64979" hidden="1" x14ac:dyDescent="0.35"/>
    <row r="64980" hidden="1" x14ac:dyDescent="0.35"/>
    <row r="64981" hidden="1" x14ac:dyDescent="0.35"/>
    <row r="64982" hidden="1" x14ac:dyDescent="0.35"/>
    <row r="64983" hidden="1" x14ac:dyDescent="0.35"/>
    <row r="64984" hidden="1" x14ac:dyDescent="0.35"/>
    <row r="64985" hidden="1" x14ac:dyDescent="0.35"/>
    <row r="64986" hidden="1" x14ac:dyDescent="0.35"/>
    <row r="64987" hidden="1" x14ac:dyDescent="0.35"/>
    <row r="64988" hidden="1" x14ac:dyDescent="0.35"/>
    <row r="64989" hidden="1" x14ac:dyDescent="0.35"/>
    <row r="64990" hidden="1" x14ac:dyDescent="0.35"/>
    <row r="64991" hidden="1" x14ac:dyDescent="0.35"/>
    <row r="64992" hidden="1" x14ac:dyDescent="0.35"/>
    <row r="64993" hidden="1" x14ac:dyDescent="0.35"/>
    <row r="64994" hidden="1" x14ac:dyDescent="0.35"/>
    <row r="64995" hidden="1" x14ac:dyDescent="0.35"/>
    <row r="64996" hidden="1" x14ac:dyDescent="0.35"/>
    <row r="64997" hidden="1" x14ac:dyDescent="0.35"/>
    <row r="64998" hidden="1" x14ac:dyDescent="0.35"/>
    <row r="64999" hidden="1" x14ac:dyDescent="0.35"/>
    <row r="65000" hidden="1" x14ac:dyDescent="0.35"/>
    <row r="65001" hidden="1" x14ac:dyDescent="0.35"/>
    <row r="65002" hidden="1" x14ac:dyDescent="0.35"/>
    <row r="65003" hidden="1" x14ac:dyDescent="0.35"/>
    <row r="65004" hidden="1" x14ac:dyDescent="0.35"/>
    <row r="65005" hidden="1" x14ac:dyDescent="0.35"/>
    <row r="65006" hidden="1" x14ac:dyDescent="0.35"/>
    <row r="65007" hidden="1" x14ac:dyDescent="0.35"/>
    <row r="65008" hidden="1" x14ac:dyDescent="0.35"/>
    <row r="65009" hidden="1" x14ac:dyDescent="0.35"/>
    <row r="65010" hidden="1" x14ac:dyDescent="0.35"/>
    <row r="65011" hidden="1" x14ac:dyDescent="0.35"/>
    <row r="65012" hidden="1" x14ac:dyDescent="0.35"/>
    <row r="65013" hidden="1" x14ac:dyDescent="0.35"/>
    <row r="65014" hidden="1" x14ac:dyDescent="0.35"/>
    <row r="65015" hidden="1" x14ac:dyDescent="0.35"/>
    <row r="65016" hidden="1" x14ac:dyDescent="0.35"/>
    <row r="65017" hidden="1" x14ac:dyDescent="0.35"/>
    <row r="65018" hidden="1" x14ac:dyDescent="0.35"/>
    <row r="65019" hidden="1" x14ac:dyDescent="0.35"/>
    <row r="65020" hidden="1" x14ac:dyDescent="0.35"/>
    <row r="65021" hidden="1" x14ac:dyDescent="0.35"/>
    <row r="65022" hidden="1" x14ac:dyDescent="0.35"/>
    <row r="65023" hidden="1" x14ac:dyDescent="0.35"/>
    <row r="65024" hidden="1" x14ac:dyDescent="0.35"/>
    <row r="65025" hidden="1" x14ac:dyDescent="0.35"/>
    <row r="65026" hidden="1" x14ac:dyDescent="0.35"/>
    <row r="65027" hidden="1" x14ac:dyDescent="0.35"/>
    <row r="65028" hidden="1" x14ac:dyDescent="0.35"/>
    <row r="65029" hidden="1" x14ac:dyDescent="0.35"/>
    <row r="65030" hidden="1" x14ac:dyDescent="0.35"/>
    <row r="65031" hidden="1" x14ac:dyDescent="0.35"/>
    <row r="65032" hidden="1" x14ac:dyDescent="0.35"/>
    <row r="65033" hidden="1" x14ac:dyDescent="0.35"/>
    <row r="65034" hidden="1" x14ac:dyDescent="0.35"/>
    <row r="65035" hidden="1" x14ac:dyDescent="0.35"/>
    <row r="65036" hidden="1" x14ac:dyDescent="0.35"/>
    <row r="65037" hidden="1" x14ac:dyDescent="0.35"/>
    <row r="65038" hidden="1" x14ac:dyDescent="0.35"/>
    <row r="65039" hidden="1" x14ac:dyDescent="0.35"/>
    <row r="65040" hidden="1" x14ac:dyDescent="0.35"/>
    <row r="65041" hidden="1" x14ac:dyDescent="0.35"/>
    <row r="65042" hidden="1" x14ac:dyDescent="0.35"/>
    <row r="65043" hidden="1" x14ac:dyDescent="0.35"/>
    <row r="65044" hidden="1" x14ac:dyDescent="0.35"/>
    <row r="65045" hidden="1" x14ac:dyDescent="0.35"/>
    <row r="65046" hidden="1" x14ac:dyDescent="0.35"/>
    <row r="65047" hidden="1" x14ac:dyDescent="0.35"/>
    <row r="65048" hidden="1" x14ac:dyDescent="0.35"/>
    <row r="65049" hidden="1" x14ac:dyDescent="0.35"/>
    <row r="65050" hidden="1" x14ac:dyDescent="0.35"/>
    <row r="65051" hidden="1" x14ac:dyDescent="0.35"/>
    <row r="65052" hidden="1" x14ac:dyDescent="0.35"/>
    <row r="65053" hidden="1" x14ac:dyDescent="0.35"/>
    <row r="65054" hidden="1" x14ac:dyDescent="0.35"/>
    <row r="65055" hidden="1" x14ac:dyDescent="0.35"/>
    <row r="65056" hidden="1" x14ac:dyDescent="0.35"/>
    <row r="65057" hidden="1" x14ac:dyDescent="0.35"/>
    <row r="65058" hidden="1" x14ac:dyDescent="0.35"/>
    <row r="65059" hidden="1" x14ac:dyDescent="0.35"/>
    <row r="65060" hidden="1" x14ac:dyDescent="0.35"/>
    <row r="65061" hidden="1" x14ac:dyDescent="0.35"/>
    <row r="65062" hidden="1" x14ac:dyDescent="0.35"/>
    <row r="65063" hidden="1" x14ac:dyDescent="0.35"/>
    <row r="65064" hidden="1" x14ac:dyDescent="0.35"/>
    <row r="65065" hidden="1" x14ac:dyDescent="0.35"/>
    <row r="65066" hidden="1" x14ac:dyDescent="0.35"/>
    <row r="65067" hidden="1" x14ac:dyDescent="0.35"/>
    <row r="65068" hidden="1" x14ac:dyDescent="0.35"/>
    <row r="65069" hidden="1" x14ac:dyDescent="0.35"/>
    <row r="65070" hidden="1" x14ac:dyDescent="0.35"/>
    <row r="65071" hidden="1" x14ac:dyDescent="0.35"/>
    <row r="65072" hidden="1" x14ac:dyDescent="0.35"/>
    <row r="65073" hidden="1" x14ac:dyDescent="0.35"/>
    <row r="65074" hidden="1" x14ac:dyDescent="0.35"/>
    <row r="65075" hidden="1" x14ac:dyDescent="0.35"/>
    <row r="65076" hidden="1" x14ac:dyDescent="0.35"/>
    <row r="65077" hidden="1" x14ac:dyDescent="0.35"/>
    <row r="65078" hidden="1" x14ac:dyDescent="0.35"/>
    <row r="65079" hidden="1" x14ac:dyDescent="0.35"/>
    <row r="65080" hidden="1" x14ac:dyDescent="0.35"/>
    <row r="65081" hidden="1" x14ac:dyDescent="0.35"/>
    <row r="65082" hidden="1" x14ac:dyDescent="0.35"/>
    <row r="65083" hidden="1" x14ac:dyDescent="0.35"/>
    <row r="65084" hidden="1" x14ac:dyDescent="0.35"/>
    <row r="65085" hidden="1" x14ac:dyDescent="0.35"/>
    <row r="65086" hidden="1" x14ac:dyDescent="0.35"/>
    <row r="65087" hidden="1" x14ac:dyDescent="0.35"/>
    <row r="65088" hidden="1" x14ac:dyDescent="0.35"/>
    <row r="65089" hidden="1" x14ac:dyDescent="0.35"/>
    <row r="65090" hidden="1" x14ac:dyDescent="0.35"/>
    <row r="65091" hidden="1" x14ac:dyDescent="0.35"/>
    <row r="65092" hidden="1" x14ac:dyDescent="0.35"/>
    <row r="65093" hidden="1" x14ac:dyDescent="0.35"/>
    <row r="65094" hidden="1" x14ac:dyDescent="0.35"/>
    <row r="65095" hidden="1" x14ac:dyDescent="0.35"/>
    <row r="65096" hidden="1" x14ac:dyDescent="0.35"/>
    <row r="65097" hidden="1" x14ac:dyDescent="0.35"/>
    <row r="65098" hidden="1" x14ac:dyDescent="0.35"/>
    <row r="65099" hidden="1" x14ac:dyDescent="0.35"/>
    <row r="65100" hidden="1" x14ac:dyDescent="0.35"/>
    <row r="65101" hidden="1" x14ac:dyDescent="0.35"/>
    <row r="65102" hidden="1" x14ac:dyDescent="0.35"/>
    <row r="65103" hidden="1" x14ac:dyDescent="0.35"/>
    <row r="65104" hidden="1" x14ac:dyDescent="0.35"/>
    <row r="65105" hidden="1" x14ac:dyDescent="0.35"/>
    <row r="65106" hidden="1" x14ac:dyDescent="0.35"/>
    <row r="65107" hidden="1" x14ac:dyDescent="0.35"/>
    <row r="65108" hidden="1" x14ac:dyDescent="0.35"/>
    <row r="65109" hidden="1" x14ac:dyDescent="0.35"/>
    <row r="65110" hidden="1" x14ac:dyDescent="0.35"/>
    <row r="65111" hidden="1" x14ac:dyDescent="0.35"/>
    <row r="65112" hidden="1" x14ac:dyDescent="0.35"/>
    <row r="65113" hidden="1" x14ac:dyDescent="0.35"/>
    <row r="65114" hidden="1" x14ac:dyDescent="0.35"/>
    <row r="65115" hidden="1" x14ac:dyDescent="0.35"/>
    <row r="65116" hidden="1" x14ac:dyDescent="0.35"/>
    <row r="65117" hidden="1" x14ac:dyDescent="0.35"/>
    <row r="65118" hidden="1" x14ac:dyDescent="0.35"/>
    <row r="65119" hidden="1" x14ac:dyDescent="0.35"/>
    <row r="65120" hidden="1" x14ac:dyDescent="0.35"/>
    <row r="65121" hidden="1" x14ac:dyDescent="0.35"/>
    <row r="65122" hidden="1" x14ac:dyDescent="0.35"/>
    <row r="65123" hidden="1" x14ac:dyDescent="0.35"/>
    <row r="65124" hidden="1" x14ac:dyDescent="0.35"/>
    <row r="65125" hidden="1" x14ac:dyDescent="0.35"/>
    <row r="65126" hidden="1" x14ac:dyDescent="0.35"/>
    <row r="65127" hidden="1" x14ac:dyDescent="0.35"/>
    <row r="65128" hidden="1" x14ac:dyDescent="0.35"/>
    <row r="65129" hidden="1" x14ac:dyDescent="0.35"/>
    <row r="65130" hidden="1" x14ac:dyDescent="0.35"/>
    <row r="65131" hidden="1" x14ac:dyDescent="0.35"/>
    <row r="65132" hidden="1" x14ac:dyDescent="0.35"/>
    <row r="65133" hidden="1" x14ac:dyDescent="0.35"/>
    <row r="65134" hidden="1" x14ac:dyDescent="0.35"/>
    <row r="65135" hidden="1" x14ac:dyDescent="0.35"/>
    <row r="65136" hidden="1" x14ac:dyDescent="0.35"/>
    <row r="65137" hidden="1" x14ac:dyDescent="0.35"/>
    <row r="65138" hidden="1" x14ac:dyDescent="0.35"/>
    <row r="65139" hidden="1" x14ac:dyDescent="0.35"/>
    <row r="65140" hidden="1" x14ac:dyDescent="0.35"/>
    <row r="65141" hidden="1" x14ac:dyDescent="0.35"/>
    <row r="65142" hidden="1" x14ac:dyDescent="0.35"/>
    <row r="65143" hidden="1" x14ac:dyDescent="0.35"/>
    <row r="65144" hidden="1" x14ac:dyDescent="0.35"/>
    <row r="65145" hidden="1" x14ac:dyDescent="0.35"/>
    <row r="65146" hidden="1" x14ac:dyDescent="0.35"/>
    <row r="65147" hidden="1" x14ac:dyDescent="0.35"/>
    <row r="65148" hidden="1" x14ac:dyDescent="0.35"/>
    <row r="65149" hidden="1" x14ac:dyDescent="0.35"/>
    <row r="65150" hidden="1" x14ac:dyDescent="0.35"/>
    <row r="65151" hidden="1" x14ac:dyDescent="0.35"/>
    <row r="65152" hidden="1" x14ac:dyDescent="0.35"/>
    <row r="65153" hidden="1" x14ac:dyDescent="0.35"/>
    <row r="65154" hidden="1" x14ac:dyDescent="0.35"/>
    <row r="65155" hidden="1" x14ac:dyDescent="0.35"/>
    <row r="65156" hidden="1" x14ac:dyDescent="0.35"/>
    <row r="65157" hidden="1" x14ac:dyDescent="0.35"/>
    <row r="65158" hidden="1" x14ac:dyDescent="0.35"/>
    <row r="65159" hidden="1" x14ac:dyDescent="0.35"/>
    <row r="65160" hidden="1" x14ac:dyDescent="0.35"/>
    <row r="65161" hidden="1" x14ac:dyDescent="0.35"/>
    <row r="65162" hidden="1" x14ac:dyDescent="0.35"/>
    <row r="65163" hidden="1" x14ac:dyDescent="0.35"/>
    <row r="65164" hidden="1" x14ac:dyDescent="0.35"/>
    <row r="65165" hidden="1" x14ac:dyDescent="0.35"/>
    <row r="65166" hidden="1" x14ac:dyDescent="0.35"/>
    <row r="65167" hidden="1" x14ac:dyDescent="0.35"/>
    <row r="65168" hidden="1" x14ac:dyDescent="0.35"/>
    <row r="65169" hidden="1" x14ac:dyDescent="0.35"/>
    <row r="65170" hidden="1" x14ac:dyDescent="0.35"/>
    <row r="65171" hidden="1" x14ac:dyDescent="0.35"/>
    <row r="65172" hidden="1" x14ac:dyDescent="0.35"/>
    <row r="65173" hidden="1" x14ac:dyDescent="0.35"/>
    <row r="65174" hidden="1" x14ac:dyDescent="0.35"/>
    <row r="65175" hidden="1" x14ac:dyDescent="0.35"/>
    <row r="65176" hidden="1" x14ac:dyDescent="0.35"/>
    <row r="65177" hidden="1" x14ac:dyDescent="0.35"/>
    <row r="65178" hidden="1" x14ac:dyDescent="0.35"/>
    <row r="65179" hidden="1" x14ac:dyDescent="0.35"/>
    <row r="65180" hidden="1" x14ac:dyDescent="0.35"/>
    <row r="65181" hidden="1" x14ac:dyDescent="0.35"/>
    <row r="65182" hidden="1" x14ac:dyDescent="0.35"/>
    <row r="65183" hidden="1" x14ac:dyDescent="0.35"/>
    <row r="65184" hidden="1" x14ac:dyDescent="0.35"/>
    <row r="65185" hidden="1" x14ac:dyDescent="0.35"/>
    <row r="65186" hidden="1" x14ac:dyDescent="0.35"/>
    <row r="65187" hidden="1" x14ac:dyDescent="0.35"/>
    <row r="65188" hidden="1" x14ac:dyDescent="0.35"/>
    <row r="65189" hidden="1" x14ac:dyDescent="0.35"/>
    <row r="65190" hidden="1" x14ac:dyDescent="0.35"/>
    <row r="65191" hidden="1" x14ac:dyDescent="0.35"/>
    <row r="65192" hidden="1" x14ac:dyDescent="0.35"/>
    <row r="65193" hidden="1" x14ac:dyDescent="0.35"/>
    <row r="65194" hidden="1" x14ac:dyDescent="0.35"/>
    <row r="65195" hidden="1" x14ac:dyDescent="0.35"/>
    <row r="65196" hidden="1" x14ac:dyDescent="0.35"/>
    <row r="65197" hidden="1" x14ac:dyDescent="0.35"/>
    <row r="65198" hidden="1" x14ac:dyDescent="0.35"/>
    <row r="65199" hidden="1" x14ac:dyDescent="0.35"/>
    <row r="65200" hidden="1" x14ac:dyDescent="0.35"/>
    <row r="65201" hidden="1" x14ac:dyDescent="0.35"/>
    <row r="65202" hidden="1" x14ac:dyDescent="0.35"/>
    <row r="65203" hidden="1" x14ac:dyDescent="0.35"/>
    <row r="65204" hidden="1" x14ac:dyDescent="0.35"/>
    <row r="65205" hidden="1" x14ac:dyDescent="0.35"/>
    <row r="65206" hidden="1" x14ac:dyDescent="0.35"/>
    <row r="65207" hidden="1" x14ac:dyDescent="0.35"/>
    <row r="65208" hidden="1" x14ac:dyDescent="0.35"/>
    <row r="65209" hidden="1" x14ac:dyDescent="0.35"/>
    <row r="65210" hidden="1" x14ac:dyDescent="0.35"/>
    <row r="65211" hidden="1" x14ac:dyDescent="0.35"/>
    <row r="65212" hidden="1" x14ac:dyDescent="0.35"/>
    <row r="65213" hidden="1" x14ac:dyDescent="0.35"/>
    <row r="65214" hidden="1" x14ac:dyDescent="0.35"/>
    <row r="65215" hidden="1" x14ac:dyDescent="0.35"/>
    <row r="65216" hidden="1" x14ac:dyDescent="0.35"/>
    <row r="65217" hidden="1" x14ac:dyDescent="0.35"/>
    <row r="65218" hidden="1" x14ac:dyDescent="0.35"/>
    <row r="65219" hidden="1" x14ac:dyDescent="0.35"/>
    <row r="65220" hidden="1" x14ac:dyDescent="0.35"/>
    <row r="65221" hidden="1" x14ac:dyDescent="0.35"/>
    <row r="65222" hidden="1" x14ac:dyDescent="0.35"/>
    <row r="65223" hidden="1" x14ac:dyDescent="0.35"/>
    <row r="65224" hidden="1" x14ac:dyDescent="0.35"/>
    <row r="65225" hidden="1" x14ac:dyDescent="0.35"/>
    <row r="65226" hidden="1" x14ac:dyDescent="0.35"/>
    <row r="65227" hidden="1" x14ac:dyDescent="0.35"/>
    <row r="65228" hidden="1" x14ac:dyDescent="0.35"/>
    <row r="65229" hidden="1" x14ac:dyDescent="0.35"/>
    <row r="65230" hidden="1" x14ac:dyDescent="0.35"/>
    <row r="65231" hidden="1" x14ac:dyDescent="0.35"/>
    <row r="65232" hidden="1" x14ac:dyDescent="0.35"/>
    <row r="65233" hidden="1" x14ac:dyDescent="0.35"/>
    <row r="65234" hidden="1" x14ac:dyDescent="0.35"/>
    <row r="65235" hidden="1" x14ac:dyDescent="0.35"/>
    <row r="65236" hidden="1" x14ac:dyDescent="0.35"/>
    <row r="65237" hidden="1" x14ac:dyDescent="0.35"/>
    <row r="65238" hidden="1" x14ac:dyDescent="0.35"/>
    <row r="65239" hidden="1" x14ac:dyDescent="0.35"/>
    <row r="65240" hidden="1" x14ac:dyDescent="0.35"/>
    <row r="65241" hidden="1" x14ac:dyDescent="0.35"/>
    <row r="65242" hidden="1" x14ac:dyDescent="0.35"/>
    <row r="65243" hidden="1" x14ac:dyDescent="0.35"/>
    <row r="65244" hidden="1" x14ac:dyDescent="0.35"/>
    <row r="65245" hidden="1" x14ac:dyDescent="0.35"/>
    <row r="65246" hidden="1" x14ac:dyDescent="0.35"/>
    <row r="65247" hidden="1" x14ac:dyDescent="0.35"/>
    <row r="65248" hidden="1" x14ac:dyDescent="0.35"/>
    <row r="65249" hidden="1" x14ac:dyDescent="0.35"/>
    <row r="65250" hidden="1" x14ac:dyDescent="0.35"/>
    <row r="65251" hidden="1" x14ac:dyDescent="0.35"/>
    <row r="65252" hidden="1" x14ac:dyDescent="0.35"/>
    <row r="65253" hidden="1" x14ac:dyDescent="0.35"/>
    <row r="65254" hidden="1" x14ac:dyDescent="0.35"/>
    <row r="65255" hidden="1" x14ac:dyDescent="0.35"/>
    <row r="65256" hidden="1" x14ac:dyDescent="0.35"/>
    <row r="65257" hidden="1" x14ac:dyDescent="0.35"/>
    <row r="65258" hidden="1" x14ac:dyDescent="0.35"/>
    <row r="65259" hidden="1" x14ac:dyDescent="0.35"/>
    <row r="65260" hidden="1" x14ac:dyDescent="0.35"/>
    <row r="65261" hidden="1" x14ac:dyDescent="0.35"/>
    <row r="65262" hidden="1" x14ac:dyDescent="0.35"/>
    <row r="65263" hidden="1" x14ac:dyDescent="0.35"/>
    <row r="65264" hidden="1" x14ac:dyDescent="0.35"/>
    <row r="65265" hidden="1" x14ac:dyDescent="0.35"/>
    <row r="65266" hidden="1" x14ac:dyDescent="0.35"/>
    <row r="65267" hidden="1" x14ac:dyDescent="0.35"/>
    <row r="65268" hidden="1" x14ac:dyDescent="0.35"/>
    <row r="65269" hidden="1" x14ac:dyDescent="0.35"/>
    <row r="65270" hidden="1" x14ac:dyDescent="0.35"/>
    <row r="65271" hidden="1" x14ac:dyDescent="0.35"/>
    <row r="65272" hidden="1" x14ac:dyDescent="0.35"/>
    <row r="65273" hidden="1" x14ac:dyDescent="0.35"/>
    <row r="65274" hidden="1" x14ac:dyDescent="0.35"/>
    <row r="65275" hidden="1" x14ac:dyDescent="0.35"/>
    <row r="65276" hidden="1" x14ac:dyDescent="0.35"/>
    <row r="65277" hidden="1" x14ac:dyDescent="0.35"/>
    <row r="65278" hidden="1" x14ac:dyDescent="0.35"/>
    <row r="65279" hidden="1" x14ac:dyDescent="0.35"/>
    <row r="65280" hidden="1" x14ac:dyDescent="0.35"/>
    <row r="65281" hidden="1" x14ac:dyDescent="0.35"/>
    <row r="65282" hidden="1" x14ac:dyDescent="0.35"/>
    <row r="65283" hidden="1" x14ac:dyDescent="0.35"/>
    <row r="65284" hidden="1" x14ac:dyDescent="0.35"/>
    <row r="65285" hidden="1" x14ac:dyDescent="0.35"/>
    <row r="65286" hidden="1" x14ac:dyDescent="0.35"/>
    <row r="65287" hidden="1" x14ac:dyDescent="0.35"/>
    <row r="65288" hidden="1" x14ac:dyDescent="0.35"/>
    <row r="65289" hidden="1" x14ac:dyDescent="0.35"/>
    <row r="65290" hidden="1" x14ac:dyDescent="0.35"/>
    <row r="65291" hidden="1" x14ac:dyDescent="0.35"/>
    <row r="65292" hidden="1" x14ac:dyDescent="0.35"/>
    <row r="65293" hidden="1" x14ac:dyDescent="0.35"/>
    <row r="65294" hidden="1" x14ac:dyDescent="0.35"/>
    <row r="65295" hidden="1" x14ac:dyDescent="0.35"/>
    <row r="65296" hidden="1" x14ac:dyDescent="0.35"/>
    <row r="65297" hidden="1" x14ac:dyDescent="0.35"/>
    <row r="65298" hidden="1" x14ac:dyDescent="0.35"/>
    <row r="65299" hidden="1" x14ac:dyDescent="0.35"/>
    <row r="65300" hidden="1" x14ac:dyDescent="0.35"/>
    <row r="65301" hidden="1" x14ac:dyDescent="0.35"/>
    <row r="65302" hidden="1" x14ac:dyDescent="0.35"/>
    <row r="65303" hidden="1" x14ac:dyDescent="0.35"/>
    <row r="65304" hidden="1" x14ac:dyDescent="0.35"/>
    <row r="65305" hidden="1" x14ac:dyDescent="0.35"/>
    <row r="65306" hidden="1" x14ac:dyDescent="0.35"/>
    <row r="65307" hidden="1" x14ac:dyDescent="0.35"/>
    <row r="65308" hidden="1" x14ac:dyDescent="0.35"/>
    <row r="65309" hidden="1" x14ac:dyDescent="0.35"/>
    <row r="65310" hidden="1" x14ac:dyDescent="0.35"/>
    <row r="65311" hidden="1" x14ac:dyDescent="0.35"/>
    <row r="65312" hidden="1" x14ac:dyDescent="0.35"/>
    <row r="65313" hidden="1" x14ac:dyDescent="0.35"/>
    <row r="65314" hidden="1" x14ac:dyDescent="0.35"/>
    <row r="65315" hidden="1" x14ac:dyDescent="0.35"/>
    <row r="65316" hidden="1" x14ac:dyDescent="0.35"/>
    <row r="65317" hidden="1" x14ac:dyDescent="0.35"/>
    <row r="65318" hidden="1" x14ac:dyDescent="0.35"/>
    <row r="65319" hidden="1" x14ac:dyDescent="0.35"/>
    <row r="65320" hidden="1" x14ac:dyDescent="0.35"/>
    <row r="65321" hidden="1" x14ac:dyDescent="0.35"/>
    <row r="65322" hidden="1" x14ac:dyDescent="0.35"/>
    <row r="65323" hidden="1" x14ac:dyDescent="0.35"/>
    <row r="65324" hidden="1" x14ac:dyDescent="0.35"/>
    <row r="65325" hidden="1" x14ac:dyDescent="0.35"/>
    <row r="65326" hidden="1" x14ac:dyDescent="0.35"/>
    <row r="65327" hidden="1" x14ac:dyDescent="0.35"/>
    <row r="65328" hidden="1" x14ac:dyDescent="0.35"/>
    <row r="65329" hidden="1" x14ac:dyDescent="0.35"/>
    <row r="65330" hidden="1" x14ac:dyDescent="0.35"/>
    <row r="65331" hidden="1" x14ac:dyDescent="0.35"/>
    <row r="65332" hidden="1" x14ac:dyDescent="0.35"/>
    <row r="65333" hidden="1" x14ac:dyDescent="0.35"/>
    <row r="65334" hidden="1" x14ac:dyDescent="0.35"/>
    <row r="65335" hidden="1" x14ac:dyDescent="0.35"/>
    <row r="65336" hidden="1" x14ac:dyDescent="0.35"/>
    <row r="65337" hidden="1" x14ac:dyDescent="0.35"/>
    <row r="65338" hidden="1" x14ac:dyDescent="0.35"/>
    <row r="65339" hidden="1" x14ac:dyDescent="0.35"/>
    <row r="65340" hidden="1" x14ac:dyDescent="0.35"/>
    <row r="65341" hidden="1" x14ac:dyDescent="0.35"/>
    <row r="65342" hidden="1" x14ac:dyDescent="0.35"/>
    <row r="65343" hidden="1" x14ac:dyDescent="0.35"/>
    <row r="65344" hidden="1" x14ac:dyDescent="0.35"/>
    <row r="65345" hidden="1" x14ac:dyDescent="0.35"/>
    <row r="65346" hidden="1" x14ac:dyDescent="0.35"/>
    <row r="65347" hidden="1" x14ac:dyDescent="0.35"/>
    <row r="65348" hidden="1" x14ac:dyDescent="0.35"/>
    <row r="65349" hidden="1" x14ac:dyDescent="0.35"/>
    <row r="65350" hidden="1" x14ac:dyDescent="0.35"/>
    <row r="65351" hidden="1" x14ac:dyDescent="0.35"/>
    <row r="65352" hidden="1" x14ac:dyDescent="0.35"/>
    <row r="65353" hidden="1" x14ac:dyDescent="0.35"/>
    <row r="65354" hidden="1" x14ac:dyDescent="0.35"/>
    <row r="65355" hidden="1" x14ac:dyDescent="0.35"/>
    <row r="65356" hidden="1" x14ac:dyDescent="0.35"/>
    <row r="65357" hidden="1" x14ac:dyDescent="0.35"/>
    <row r="65358" hidden="1" x14ac:dyDescent="0.35"/>
    <row r="65359" hidden="1" x14ac:dyDescent="0.35"/>
    <row r="65360" hidden="1" x14ac:dyDescent="0.35"/>
    <row r="65361" hidden="1" x14ac:dyDescent="0.35"/>
    <row r="65362" hidden="1" x14ac:dyDescent="0.35"/>
    <row r="65363" hidden="1" x14ac:dyDescent="0.35"/>
    <row r="65364" hidden="1" x14ac:dyDescent="0.35"/>
    <row r="65365" hidden="1" x14ac:dyDescent="0.35"/>
    <row r="65366" hidden="1" x14ac:dyDescent="0.35"/>
    <row r="65367" hidden="1" x14ac:dyDescent="0.35"/>
    <row r="65368" hidden="1" x14ac:dyDescent="0.35"/>
    <row r="65369" hidden="1" x14ac:dyDescent="0.35"/>
    <row r="65370" hidden="1" x14ac:dyDescent="0.35"/>
    <row r="65371" hidden="1" x14ac:dyDescent="0.35"/>
    <row r="65372" hidden="1" x14ac:dyDescent="0.35"/>
    <row r="65373" hidden="1" x14ac:dyDescent="0.35"/>
    <row r="65374" hidden="1" x14ac:dyDescent="0.35"/>
    <row r="65375" hidden="1" x14ac:dyDescent="0.35"/>
    <row r="65376" hidden="1" x14ac:dyDescent="0.35"/>
    <row r="65377" hidden="1" x14ac:dyDescent="0.35"/>
    <row r="65378" hidden="1" x14ac:dyDescent="0.35"/>
    <row r="65379" hidden="1" x14ac:dyDescent="0.35"/>
    <row r="65380" hidden="1" x14ac:dyDescent="0.35"/>
    <row r="65381" hidden="1" x14ac:dyDescent="0.35"/>
    <row r="65382" hidden="1" x14ac:dyDescent="0.35"/>
    <row r="65383" hidden="1" x14ac:dyDescent="0.35"/>
    <row r="65384" hidden="1" x14ac:dyDescent="0.35"/>
    <row r="65385" hidden="1" x14ac:dyDescent="0.35"/>
    <row r="65386" hidden="1" x14ac:dyDescent="0.35"/>
    <row r="65387" hidden="1" x14ac:dyDescent="0.35"/>
    <row r="65388" hidden="1" x14ac:dyDescent="0.35"/>
    <row r="65389" hidden="1" x14ac:dyDescent="0.35"/>
    <row r="65390" hidden="1" x14ac:dyDescent="0.35"/>
    <row r="65391" hidden="1" x14ac:dyDescent="0.35"/>
    <row r="65392" hidden="1" x14ac:dyDescent="0.35"/>
    <row r="65393" hidden="1" x14ac:dyDescent="0.35"/>
    <row r="65394" hidden="1" x14ac:dyDescent="0.35"/>
    <row r="65395" hidden="1" x14ac:dyDescent="0.35"/>
    <row r="65396" hidden="1" x14ac:dyDescent="0.35"/>
    <row r="65397" hidden="1" x14ac:dyDescent="0.35"/>
    <row r="65398" hidden="1" x14ac:dyDescent="0.35"/>
    <row r="65399" hidden="1" x14ac:dyDescent="0.35"/>
    <row r="65400" hidden="1" x14ac:dyDescent="0.35"/>
    <row r="65401" hidden="1" x14ac:dyDescent="0.35"/>
    <row r="65402" hidden="1" x14ac:dyDescent="0.35"/>
    <row r="65403" hidden="1" x14ac:dyDescent="0.35"/>
    <row r="65404" hidden="1" x14ac:dyDescent="0.35"/>
    <row r="65405" hidden="1" x14ac:dyDescent="0.35"/>
    <row r="65406" hidden="1" x14ac:dyDescent="0.35"/>
    <row r="65407" hidden="1" x14ac:dyDescent="0.35"/>
    <row r="65408" hidden="1" x14ac:dyDescent="0.35"/>
    <row r="65409" hidden="1" x14ac:dyDescent="0.35"/>
    <row r="65410" hidden="1" x14ac:dyDescent="0.35"/>
    <row r="65411" hidden="1" x14ac:dyDescent="0.35"/>
    <row r="65412" hidden="1" x14ac:dyDescent="0.35"/>
    <row r="65413" hidden="1" x14ac:dyDescent="0.35"/>
    <row r="65414" hidden="1" x14ac:dyDescent="0.35"/>
    <row r="65415" hidden="1" x14ac:dyDescent="0.35"/>
    <row r="65416" hidden="1" x14ac:dyDescent="0.35"/>
    <row r="65417" hidden="1" x14ac:dyDescent="0.35"/>
    <row r="65418" hidden="1" x14ac:dyDescent="0.35"/>
    <row r="65419" hidden="1" x14ac:dyDescent="0.35"/>
    <row r="65420" hidden="1" x14ac:dyDescent="0.35"/>
    <row r="65421" hidden="1" x14ac:dyDescent="0.35"/>
    <row r="65422" hidden="1" x14ac:dyDescent="0.35"/>
    <row r="65423" hidden="1" x14ac:dyDescent="0.35"/>
    <row r="65424" hidden="1" x14ac:dyDescent="0.35"/>
    <row r="65425" hidden="1" x14ac:dyDescent="0.35"/>
    <row r="65426" hidden="1" x14ac:dyDescent="0.35"/>
    <row r="65427" hidden="1" x14ac:dyDescent="0.35"/>
    <row r="65428" hidden="1" x14ac:dyDescent="0.35"/>
    <row r="65429" hidden="1" x14ac:dyDescent="0.35"/>
    <row r="65430" hidden="1" x14ac:dyDescent="0.35"/>
    <row r="65431" hidden="1" x14ac:dyDescent="0.35"/>
    <row r="65432" hidden="1" x14ac:dyDescent="0.35"/>
    <row r="65433" hidden="1" x14ac:dyDescent="0.35"/>
    <row r="65434" hidden="1" x14ac:dyDescent="0.35"/>
    <row r="65435" hidden="1" x14ac:dyDescent="0.35"/>
    <row r="65436" hidden="1" x14ac:dyDescent="0.35"/>
    <row r="65437" hidden="1" x14ac:dyDescent="0.35"/>
    <row r="65438" hidden="1" x14ac:dyDescent="0.35"/>
    <row r="65439" hidden="1" x14ac:dyDescent="0.35"/>
    <row r="65440" hidden="1" x14ac:dyDescent="0.35"/>
    <row r="65441" hidden="1" x14ac:dyDescent="0.35"/>
    <row r="65442" hidden="1" x14ac:dyDescent="0.35"/>
    <row r="65443" hidden="1" x14ac:dyDescent="0.35"/>
    <row r="65444" hidden="1" x14ac:dyDescent="0.35"/>
    <row r="65445" hidden="1" x14ac:dyDescent="0.35"/>
    <row r="65446" hidden="1" x14ac:dyDescent="0.35"/>
    <row r="65447" hidden="1" x14ac:dyDescent="0.35"/>
    <row r="65448" hidden="1" x14ac:dyDescent="0.35"/>
    <row r="65449" hidden="1" x14ac:dyDescent="0.35"/>
    <row r="65450" hidden="1" x14ac:dyDescent="0.35"/>
    <row r="65451" hidden="1" x14ac:dyDescent="0.35"/>
    <row r="65452" hidden="1" x14ac:dyDescent="0.35"/>
    <row r="65453" hidden="1" x14ac:dyDescent="0.35"/>
    <row r="65454" hidden="1" x14ac:dyDescent="0.35"/>
    <row r="65455" hidden="1" x14ac:dyDescent="0.35"/>
    <row r="65456" hidden="1" x14ac:dyDescent="0.35"/>
    <row r="65457" hidden="1" x14ac:dyDescent="0.35"/>
    <row r="65458" hidden="1" x14ac:dyDescent="0.35"/>
    <row r="65459" hidden="1" x14ac:dyDescent="0.35"/>
    <row r="65460" hidden="1" x14ac:dyDescent="0.35"/>
    <row r="65461" hidden="1" x14ac:dyDescent="0.35"/>
    <row r="65462" hidden="1" x14ac:dyDescent="0.35"/>
    <row r="65463" hidden="1" x14ac:dyDescent="0.35"/>
    <row r="65464" hidden="1" x14ac:dyDescent="0.35"/>
    <row r="65465" hidden="1" x14ac:dyDescent="0.35"/>
    <row r="65466" hidden="1" x14ac:dyDescent="0.35"/>
    <row r="65467" hidden="1" x14ac:dyDescent="0.35"/>
    <row r="65468" hidden="1" x14ac:dyDescent="0.35"/>
    <row r="65469" hidden="1" x14ac:dyDescent="0.35"/>
    <row r="65470" hidden="1" x14ac:dyDescent="0.35"/>
    <row r="65471" hidden="1" x14ac:dyDescent="0.35"/>
    <row r="65472" hidden="1" x14ac:dyDescent="0.35"/>
    <row r="65473" hidden="1" x14ac:dyDescent="0.35"/>
    <row r="65474" hidden="1" x14ac:dyDescent="0.35"/>
    <row r="65475" hidden="1" x14ac:dyDescent="0.35"/>
    <row r="65476" hidden="1" x14ac:dyDescent="0.35"/>
    <row r="65477" hidden="1" x14ac:dyDescent="0.35"/>
    <row r="65478" hidden="1" x14ac:dyDescent="0.35"/>
    <row r="65479" hidden="1" x14ac:dyDescent="0.35"/>
    <row r="65480" hidden="1" x14ac:dyDescent="0.35"/>
    <row r="65481" hidden="1" x14ac:dyDescent="0.35"/>
    <row r="65482" hidden="1" x14ac:dyDescent="0.35"/>
    <row r="65483" hidden="1" x14ac:dyDescent="0.35"/>
    <row r="65484" hidden="1" x14ac:dyDescent="0.35"/>
    <row r="65485" hidden="1" x14ac:dyDescent="0.35"/>
    <row r="65486" hidden="1" x14ac:dyDescent="0.35"/>
    <row r="65487" hidden="1" x14ac:dyDescent="0.35"/>
    <row r="65488" hidden="1" x14ac:dyDescent="0.35"/>
    <row r="65489" hidden="1" x14ac:dyDescent="0.35"/>
    <row r="65490" hidden="1" x14ac:dyDescent="0.35"/>
    <row r="65491" hidden="1" x14ac:dyDescent="0.35"/>
    <row r="65492" hidden="1" x14ac:dyDescent="0.35"/>
    <row r="65493" hidden="1" x14ac:dyDescent="0.35"/>
    <row r="65494" hidden="1" x14ac:dyDescent="0.35"/>
    <row r="65495" hidden="1" x14ac:dyDescent="0.35"/>
    <row r="65496" hidden="1" x14ac:dyDescent="0.35"/>
    <row r="65497" hidden="1" x14ac:dyDescent="0.35"/>
    <row r="65498" hidden="1" x14ac:dyDescent="0.35"/>
    <row r="65499" hidden="1" x14ac:dyDescent="0.35"/>
    <row r="65500" hidden="1" x14ac:dyDescent="0.35"/>
    <row r="65501" hidden="1" x14ac:dyDescent="0.35"/>
    <row r="65502" hidden="1" x14ac:dyDescent="0.35"/>
    <row r="65503" hidden="1" x14ac:dyDescent="0.35"/>
    <row r="65504" hidden="1" x14ac:dyDescent="0.35"/>
    <row r="65505" hidden="1" x14ac:dyDescent="0.35"/>
    <row r="65506" hidden="1" x14ac:dyDescent="0.35"/>
    <row r="65507" hidden="1" x14ac:dyDescent="0.35"/>
    <row r="65508" hidden="1" x14ac:dyDescent="0.35"/>
    <row r="65509" hidden="1" x14ac:dyDescent="0.35"/>
    <row r="65510" hidden="1" x14ac:dyDescent="0.35"/>
    <row r="65511" hidden="1" x14ac:dyDescent="0.35"/>
    <row r="65512" hidden="1" x14ac:dyDescent="0.35"/>
    <row r="65513" hidden="1" x14ac:dyDescent="0.35"/>
    <row r="65514" hidden="1" x14ac:dyDescent="0.35"/>
    <row r="65515" hidden="1" x14ac:dyDescent="0.35"/>
    <row r="65516" hidden="1" x14ac:dyDescent="0.35"/>
    <row r="65517" hidden="1" x14ac:dyDescent="0.35"/>
    <row r="65518" hidden="1" x14ac:dyDescent="0.35"/>
    <row r="65519" hidden="1" x14ac:dyDescent="0.35"/>
    <row r="65520" hidden="1" x14ac:dyDescent="0.35"/>
    <row r="65521" hidden="1" x14ac:dyDescent="0.35"/>
    <row r="65522" hidden="1" x14ac:dyDescent="0.35"/>
    <row r="65523" hidden="1" x14ac:dyDescent="0.35"/>
    <row r="65524" hidden="1" x14ac:dyDescent="0.35"/>
    <row r="65525" hidden="1" x14ac:dyDescent="0.35"/>
    <row r="65526" hidden="1" x14ac:dyDescent="0.35"/>
    <row r="65527" hidden="1" x14ac:dyDescent="0.35"/>
    <row r="65528" hidden="1" x14ac:dyDescent="0.35"/>
    <row r="65529" hidden="1" x14ac:dyDescent="0.35"/>
    <row r="65530" hidden="1" x14ac:dyDescent="0.35"/>
    <row r="65531" hidden="1" x14ac:dyDescent="0.35"/>
    <row r="65532" hidden="1" x14ac:dyDescent="0.35"/>
    <row r="65533" hidden="1" x14ac:dyDescent="0.35"/>
    <row r="65534" hidden="1" x14ac:dyDescent="0.35"/>
    <row r="65535" hidden="1" x14ac:dyDescent="0.35"/>
    <row r="65536" hidden="1" x14ac:dyDescent="0.35"/>
    <row r="65537" hidden="1" x14ac:dyDescent="0.35"/>
    <row r="65538" hidden="1" x14ac:dyDescent="0.35"/>
    <row r="65539" hidden="1" x14ac:dyDescent="0.35"/>
    <row r="65540" hidden="1" x14ac:dyDescent="0.35"/>
    <row r="65541" hidden="1" x14ac:dyDescent="0.35"/>
    <row r="65542" hidden="1" x14ac:dyDescent="0.35"/>
    <row r="65543" hidden="1" x14ac:dyDescent="0.35"/>
    <row r="65544" hidden="1" x14ac:dyDescent="0.35"/>
    <row r="65545" hidden="1" x14ac:dyDescent="0.35"/>
    <row r="65546" hidden="1" x14ac:dyDescent="0.35"/>
    <row r="65547" hidden="1" x14ac:dyDescent="0.35"/>
    <row r="65548" hidden="1" x14ac:dyDescent="0.35"/>
    <row r="65549" hidden="1" x14ac:dyDescent="0.35"/>
    <row r="65550" hidden="1" x14ac:dyDescent="0.35"/>
    <row r="65551" hidden="1" x14ac:dyDescent="0.35"/>
    <row r="65552" hidden="1" x14ac:dyDescent="0.35"/>
    <row r="65553" hidden="1" x14ac:dyDescent="0.35"/>
    <row r="65554" hidden="1" x14ac:dyDescent="0.35"/>
    <row r="65555" hidden="1" x14ac:dyDescent="0.35"/>
    <row r="65556" hidden="1" x14ac:dyDescent="0.35"/>
    <row r="65557" hidden="1" x14ac:dyDescent="0.35"/>
    <row r="65558" hidden="1" x14ac:dyDescent="0.35"/>
    <row r="65559" hidden="1" x14ac:dyDescent="0.35"/>
    <row r="65560" hidden="1" x14ac:dyDescent="0.35"/>
    <row r="65561" hidden="1" x14ac:dyDescent="0.35"/>
    <row r="65562" hidden="1" x14ac:dyDescent="0.35"/>
    <row r="65563" hidden="1" x14ac:dyDescent="0.35"/>
    <row r="65564" hidden="1" x14ac:dyDescent="0.35"/>
    <row r="65565" hidden="1" x14ac:dyDescent="0.35"/>
    <row r="65566" hidden="1" x14ac:dyDescent="0.35"/>
    <row r="65567" hidden="1" x14ac:dyDescent="0.35"/>
    <row r="65568" hidden="1" x14ac:dyDescent="0.35"/>
    <row r="65569" hidden="1" x14ac:dyDescent="0.35"/>
    <row r="65570" hidden="1" x14ac:dyDescent="0.35"/>
    <row r="65571" hidden="1" x14ac:dyDescent="0.35"/>
    <row r="65572" hidden="1" x14ac:dyDescent="0.35"/>
    <row r="65573" hidden="1" x14ac:dyDescent="0.35"/>
    <row r="65574" hidden="1" x14ac:dyDescent="0.35"/>
    <row r="65575" hidden="1" x14ac:dyDescent="0.35"/>
    <row r="65576" hidden="1" x14ac:dyDescent="0.35"/>
    <row r="65577" hidden="1" x14ac:dyDescent="0.35"/>
    <row r="65578" hidden="1" x14ac:dyDescent="0.35"/>
    <row r="65579" hidden="1" x14ac:dyDescent="0.35"/>
    <row r="65580" hidden="1" x14ac:dyDescent="0.35"/>
    <row r="65581" hidden="1" x14ac:dyDescent="0.35"/>
    <row r="65582" hidden="1" x14ac:dyDescent="0.35"/>
    <row r="65583" hidden="1" x14ac:dyDescent="0.35"/>
    <row r="65584" hidden="1" x14ac:dyDescent="0.35"/>
    <row r="65585" hidden="1" x14ac:dyDescent="0.35"/>
    <row r="65586" hidden="1" x14ac:dyDescent="0.35"/>
    <row r="65587" hidden="1" x14ac:dyDescent="0.35"/>
    <row r="65588" hidden="1" x14ac:dyDescent="0.35"/>
    <row r="65589" hidden="1" x14ac:dyDescent="0.35"/>
    <row r="65590" hidden="1" x14ac:dyDescent="0.35"/>
    <row r="65591" hidden="1" x14ac:dyDescent="0.35"/>
    <row r="65592" hidden="1" x14ac:dyDescent="0.35"/>
    <row r="65593" hidden="1" x14ac:dyDescent="0.35"/>
    <row r="65594" hidden="1" x14ac:dyDescent="0.35"/>
    <row r="65595" hidden="1" x14ac:dyDescent="0.35"/>
    <row r="65596" hidden="1" x14ac:dyDescent="0.35"/>
    <row r="65597" hidden="1" x14ac:dyDescent="0.35"/>
    <row r="65598" hidden="1" x14ac:dyDescent="0.35"/>
    <row r="65599" hidden="1" x14ac:dyDescent="0.35"/>
    <row r="65600" hidden="1" x14ac:dyDescent="0.35"/>
    <row r="65601" hidden="1" x14ac:dyDescent="0.35"/>
    <row r="65602" hidden="1" x14ac:dyDescent="0.35"/>
    <row r="65603" hidden="1" x14ac:dyDescent="0.35"/>
    <row r="65604" hidden="1" x14ac:dyDescent="0.35"/>
    <row r="65605" hidden="1" x14ac:dyDescent="0.35"/>
    <row r="65606" hidden="1" x14ac:dyDescent="0.35"/>
    <row r="65607" hidden="1" x14ac:dyDescent="0.35"/>
    <row r="65608" hidden="1" x14ac:dyDescent="0.35"/>
    <row r="65609" hidden="1" x14ac:dyDescent="0.35"/>
    <row r="65610" hidden="1" x14ac:dyDescent="0.35"/>
    <row r="65611" hidden="1" x14ac:dyDescent="0.35"/>
    <row r="65612" hidden="1" x14ac:dyDescent="0.35"/>
    <row r="65613" hidden="1" x14ac:dyDescent="0.35"/>
    <row r="65614" hidden="1" x14ac:dyDescent="0.35"/>
    <row r="65615" hidden="1" x14ac:dyDescent="0.35"/>
    <row r="65616" hidden="1" x14ac:dyDescent="0.35"/>
    <row r="65617" hidden="1" x14ac:dyDescent="0.35"/>
    <row r="65618" hidden="1" x14ac:dyDescent="0.35"/>
    <row r="65619" hidden="1" x14ac:dyDescent="0.35"/>
    <row r="65620" hidden="1" x14ac:dyDescent="0.35"/>
    <row r="65621" hidden="1" x14ac:dyDescent="0.35"/>
    <row r="65622" hidden="1" x14ac:dyDescent="0.35"/>
    <row r="65623" hidden="1" x14ac:dyDescent="0.35"/>
    <row r="65624" hidden="1" x14ac:dyDescent="0.35"/>
    <row r="65625" hidden="1" x14ac:dyDescent="0.35"/>
    <row r="65626" hidden="1" x14ac:dyDescent="0.35"/>
    <row r="65627" hidden="1" x14ac:dyDescent="0.35"/>
    <row r="65628" hidden="1" x14ac:dyDescent="0.35"/>
    <row r="65629" hidden="1" x14ac:dyDescent="0.35"/>
    <row r="65630" hidden="1" x14ac:dyDescent="0.35"/>
    <row r="65631" hidden="1" x14ac:dyDescent="0.35"/>
    <row r="65632" hidden="1" x14ac:dyDescent="0.35"/>
    <row r="65633" hidden="1" x14ac:dyDescent="0.35"/>
    <row r="65634" hidden="1" x14ac:dyDescent="0.35"/>
    <row r="65635" hidden="1" x14ac:dyDescent="0.35"/>
    <row r="65636" hidden="1" x14ac:dyDescent="0.35"/>
    <row r="65637" hidden="1" x14ac:dyDescent="0.35"/>
    <row r="65638" hidden="1" x14ac:dyDescent="0.35"/>
    <row r="65639" hidden="1" x14ac:dyDescent="0.35"/>
    <row r="65640" hidden="1" x14ac:dyDescent="0.35"/>
    <row r="65641" hidden="1" x14ac:dyDescent="0.35"/>
    <row r="65642" hidden="1" x14ac:dyDescent="0.35"/>
    <row r="65643" hidden="1" x14ac:dyDescent="0.35"/>
    <row r="65644" hidden="1" x14ac:dyDescent="0.35"/>
    <row r="65645" hidden="1" x14ac:dyDescent="0.35"/>
    <row r="65646" hidden="1" x14ac:dyDescent="0.35"/>
    <row r="65647" hidden="1" x14ac:dyDescent="0.35"/>
    <row r="65648" hidden="1" x14ac:dyDescent="0.35"/>
    <row r="65649" hidden="1" x14ac:dyDescent="0.35"/>
    <row r="65650" hidden="1" x14ac:dyDescent="0.35"/>
    <row r="65651" hidden="1" x14ac:dyDescent="0.35"/>
    <row r="65652" hidden="1" x14ac:dyDescent="0.35"/>
    <row r="65653" hidden="1" x14ac:dyDescent="0.35"/>
    <row r="65654" hidden="1" x14ac:dyDescent="0.35"/>
    <row r="65655" hidden="1" x14ac:dyDescent="0.35"/>
    <row r="65656" hidden="1" x14ac:dyDescent="0.35"/>
    <row r="65657" hidden="1" x14ac:dyDescent="0.35"/>
    <row r="65658" hidden="1" x14ac:dyDescent="0.35"/>
    <row r="65659" hidden="1" x14ac:dyDescent="0.35"/>
    <row r="65660" hidden="1" x14ac:dyDescent="0.35"/>
    <row r="65661" hidden="1" x14ac:dyDescent="0.35"/>
    <row r="65662" hidden="1" x14ac:dyDescent="0.35"/>
    <row r="65663" hidden="1" x14ac:dyDescent="0.35"/>
    <row r="65664" hidden="1" x14ac:dyDescent="0.35"/>
    <row r="65665" hidden="1" x14ac:dyDescent="0.35"/>
    <row r="65666" hidden="1" x14ac:dyDescent="0.35"/>
    <row r="65667" hidden="1" x14ac:dyDescent="0.35"/>
    <row r="65668" hidden="1" x14ac:dyDescent="0.35"/>
    <row r="65669" hidden="1" x14ac:dyDescent="0.35"/>
    <row r="65670" hidden="1" x14ac:dyDescent="0.35"/>
    <row r="65671" hidden="1" x14ac:dyDescent="0.35"/>
    <row r="65672" hidden="1" x14ac:dyDescent="0.35"/>
    <row r="65673" hidden="1" x14ac:dyDescent="0.35"/>
    <row r="65674" hidden="1" x14ac:dyDescent="0.35"/>
    <row r="65675" hidden="1" x14ac:dyDescent="0.35"/>
    <row r="65676" hidden="1" x14ac:dyDescent="0.35"/>
    <row r="65677" hidden="1" x14ac:dyDescent="0.35"/>
    <row r="65678" hidden="1" x14ac:dyDescent="0.35"/>
    <row r="65679" hidden="1" x14ac:dyDescent="0.35"/>
    <row r="65680" hidden="1" x14ac:dyDescent="0.35"/>
    <row r="65681" hidden="1" x14ac:dyDescent="0.35"/>
    <row r="65682" hidden="1" x14ac:dyDescent="0.35"/>
    <row r="65683" hidden="1" x14ac:dyDescent="0.35"/>
    <row r="65684" hidden="1" x14ac:dyDescent="0.35"/>
    <row r="65685" hidden="1" x14ac:dyDescent="0.35"/>
    <row r="65686" hidden="1" x14ac:dyDescent="0.35"/>
    <row r="65687" hidden="1" x14ac:dyDescent="0.35"/>
    <row r="65688" hidden="1" x14ac:dyDescent="0.35"/>
    <row r="65689" hidden="1" x14ac:dyDescent="0.35"/>
    <row r="65690" hidden="1" x14ac:dyDescent="0.35"/>
    <row r="65691" hidden="1" x14ac:dyDescent="0.35"/>
    <row r="65692" hidden="1" x14ac:dyDescent="0.35"/>
    <row r="65693" hidden="1" x14ac:dyDescent="0.35"/>
    <row r="65694" hidden="1" x14ac:dyDescent="0.35"/>
    <row r="65695" hidden="1" x14ac:dyDescent="0.35"/>
    <row r="65696" hidden="1" x14ac:dyDescent="0.35"/>
    <row r="65697" hidden="1" x14ac:dyDescent="0.35"/>
    <row r="65698" hidden="1" x14ac:dyDescent="0.35"/>
    <row r="65699" hidden="1" x14ac:dyDescent="0.35"/>
    <row r="65700" hidden="1" x14ac:dyDescent="0.35"/>
    <row r="65701" hidden="1" x14ac:dyDescent="0.35"/>
    <row r="65702" hidden="1" x14ac:dyDescent="0.35"/>
    <row r="65703" hidden="1" x14ac:dyDescent="0.35"/>
    <row r="65704" hidden="1" x14ac:dyDescent="0.35"/>
    <row r="65705" hidden="1" x14ac:dyDescent="0.35"/>
    <row r="65706" hidden="1" x14ac:dyDescent="0.35"/>
    <row r="65707" hidden="1" x14ac:dyDescent="0.35"/>
    <row r="65708" hidden="1" x14ac:dyDescent="0.35"/>
    <row r="65709" hidden="1" x14ac:dyDescent="0.35"/>
    <row r="65710" hidden="1" x14ac:dyDescent="0.35"/>
    <row r="65711" hidden="1" x14ac:dyDescent="0.35"/>
    <row r="65712" hidden="1" x14ac:dyDescent="0.35"/>
    <row r="65713" hidden="1" x14ac:dyDescent="0.35"/>
    <row r="65714" hidden="1" x14ac:dyDescent="0.35"/>
    <row r="65715" hidden="1" x14ac:dyDescent="0.35"/>
    <row r="65716" hidden="1" x14ac:dyDescent="0.35"/>
    <row r="65717" hidden="1" x14ac:dyDescent="0.35"/>
    <row r="65718" hidden="1" x14ac:dyDescent="0.35"/>
    <row r="65719" hidden="1" x14ac:dyDescent="0.35"/>
    <row r="65720" hidden="1" x14ac:dyDescent="0.35"/>
    <row r="65721" hidden="1" x14ac:dyDescent="0.35"/>
    <row r="65722" hidden="1" x14ac:dyDescent="0.35"/>
    <row r="65723" hidden="1" x14ac:dyDescent="0.35"/>
    <row r="65724" hidden="1" x14ac:dyDescent="0.35"/>
    <row r="65725" hidden="1" x14ac:dyDescent="0.35"/>
    <row r="65726" hidden="1" x14ac:dyDescent="0.35"/>
    <row r="65727" hidden="1" x14ac:dyDescent="0.35"/>
    <row r="65728" hidden="1" x14ac:dyDescent="0.35"/>
    <row r="65729" hidden="1" x14ac:dyDescent="0.35"/>
    <row r="65730" hidden="1" x14ac:dyDescent="0.35"/>
    <row r="65731" hidden="1" x14ac:dyDescent="0.35"/>
    <row r="65732" hidden="1" x14ac:dyDescent="0.35"/>
    <row r="65733" hidden="1" x14ac:dyDescent="0.35"/>
    <row r="65734" hidden="1" x14ac:dyDescent="0.35"/>
    <row r="65735" hidden="1" x14ac:dyDescent="0.35"/>
    <row r="65736" hidden="1" x14ac:dyDescent="0.35"/>
    <row r="65737" hidden="1" x14ac:dyDescent="0.35"/>
    <row r="65738" hidden="1" x14ac:dyDescent="0.35"/>
    <row r="65739" hidden="1" x14ac:dyDescent="0.35"/>
    <row r="65740" hidden="1" x14ac:dyDescent="0.35"/>
    <row r="65741" hidden="1" x14ac:dyDescent="0.35"/>
    <row r="65742" hidden="1" x14ac:dyDescent="0.35"/>
    <row r="65743" hidden="1" x14ac:dyDescent="0.35"/>
    <row r="65744" hidden="1" x14ac:dyDescent="0.35"/>
    <row r="65745" hidden="1" x14ac:dyDescent="0.35"/>
    <row r="65746" hidden="1" x14ac:dyDescent="0.35"/>
    <row r="65747" hidden="1" x14ac:dyDescent="0.35"/>
    <row r="65748" hidden="1" x14ac:dyDescent="0.35"/>
    <row r="65749" hidden="1" x14ac:dyDescent="0.35"/>
    <row r="65750" hidden="1" x14ac:dyDescent="0.35"/>
    <row r="65751" hidden="1" x14ac:dyDescent="0.35"/>
    <row r="65752" hidden="1" x14ac:dyDescent="0.35"/>
    <row r="65753" hidden="1" x14ac:dyDescent="0.35"/>
    <row r="65754" hidden="1" x14ac:dyDescent="0.35"/>
    <row r="65755" hidden="1" x14ac:dyDescent="0.35"/>
    <row r="65756" hidden="1" x14ac:dyDescent="0.35"/>
    <row r="65757" hidden="1" x14ac:dyDescent="0.35"/>
    <row r="65758" hidden="1" x14ac:dyDescent="0.35"/>
    <row r="65759" hidden="1" x14ac:dyDescent="0.35"/>
    <row r="65760" hidden="1" x14ac:dyDescent="0.35"/>
    <row r="65761" hidden="1" x14ac:dyDescent="0.35"/>
    <row r="65762" hidden="1" x14ac:dyDescent="0.35"/>
    <row r="65763" hidden="1" x14ac:dyDescent="0.35"/>
    <row r="65764" hidden="1" x14ac:dyDescent="0.35"/>
    <row r="65765" hidden="1" x14ac:dyDescent="0.35"/>
    <row r="65766" hidden="1" x14ac:dyDescent="0.35"/>
    <row r="65767" hidden="1" x14ac:dyDescent="0.35"/>
    <row r="65768" hidden="1" x14ac:dyDescent="0.35"/>
    <row r="65769" hidden="1" x14ac:dyDescent="0.35"/>
    <row r="65770" hidden="1" x14ac:dyDescent="0.35"/>
    <row r="65771" hidden="1" x14ac:dyDescent="0.35"/>
    <row r="65772" hidden="1" x14ac:dyDescent="0.35"/>
    <row r="65773" hidden="1" x14ac:dyDescent="0.35"/>
    <row r="65774" hidden="1" x14ac:dyDescent="0.35"/>
    <row r="65775" hidden="1" x14ac:dyDescent="0.35"/>
    <row r="65776" hidden="1" x14ac:dyDescent="0.35"/>
    <row r="65777" hidden="1" x14ac:dyDescent="0.35"/>
    <row r="65778" hidden="1" x14ac:dyDescent="0.35"/>
    <row r="65779" hidden="1" x14ac:dyDescent="0.35"/>
    <row r="65780" hidden="1" x14ac:dyDescent="0.35"/>
    <row r="65781" hidden="1" x14ac:dyDescent="0.35"/>
    <row r="65782" hidden="1" x14ac:dyDescent="0.35"/>
    <row r="65783" hidden="1" x14ac:dyDescent="0.35"/>
    <row r="65784" hidden="1" x14ac:dyDescent="0.35"/>
    <row r="65785" hidden="1" x14ac:dyDescent="0.35"/>
    <row r="65786" hidden="1" x14ac:dyDescent="0.35"/>
    <row r="65787" hidden="1" x14ac:dyDescent="0.35"/>
    <row r="65788" hidden="1" x14ac:dyDescent="0.35"/>
    <row r="65789" hidden="1" x14ac:dyDescent="0.35"/>
    <row r="65790" hidden="1" x14ac:dyDescent="0.35"/>
    <row r="65791" hidden="1" x14ac:dyDescent="0.35"/>
    <row r="65792" hidden="1" x14ac:dyDescent="0.35"/>
    <row r="65793" hidden="1" x14ac:dyDescent="0.35"/>
    <row r="65794" hidden="1" x14ac:dyDescent="0.35"/>
    <row r="65795" hidden="1" x14ac:dyDescent="0.35"/>
    <row r="65796" hidden="1" x14ac:dyDescent="0.35"/>
    <row r="65797" hidden="1" x14ac:dyDescent="0.35"/>
    <row r="65798" hidden="1" x14ac:dyDescent="0.35"/>
    <row r="65799" hidden="1" x14ac:dyDescent="0.35"/>
    <row r="65800" hidden="1" x14ac:dyDescent="0.35"/>
    <row r="65801" hidden="1" x14ac:dyDescent="0.35"/>
    <row r="65802" hidden="1" x14ac:dyDescent="0.35"/>
    <row r="65803" hidden="1" x14ac:dyDescent="0.35"/>
    <row r="65804" hidden="1" x14ac:dyDescent="0.35"/>
    <row r="65805" hidden="1" x14ac:dyDescent="0.35"/>
    <row r="65806" hidden="1" x14ac:dyDescent="0.35"/>
    <row r="65807" hidden="1" x14ac:dyDescent="0.35"/>
    <row r="65808" hidden="1" x14ac:dyDescent="0.35"/>
    <row r="65809" hidden="1" x14ac:dyDescent="0.35"/>
    <row r="65810" hidden="1" x14ac:dyDescent="0.35"/>
    <row r="65811" hidden="1" x14ac:dyDescent="0.35"/>
    <row r="65812" hidden="1" x14ac:dyDescent="0.35"/>
    <row r="65813" hidden="1" x14ac:dyDescent="0.35"/>
    <row r="65814" hidden="1" x14ac:dyDescent="0.35"/>
    <row r="65815" hidden="1" x14ac:dyDescent="0.35"/>
    <row r="65816" hidden="1" x14ac:dyDescent="0.35"/>
    <row r="65817" hidden="1" x14ac:dyDescent="0.35"/>
    <row r="65818" hidden="1" x14ac:dyDescent="0.35"/>
    <row r="65819" hidden="1" x14ac:dyDescent="0.35"/>
    <row r="65820" hidden="1" x14ac:dyDescent="0.35"/>
    <row r="65821" hidden="1" x14ac:dyDescent="0.35"/>
    <row r="65822" hidden="1" x14ac:dyDescent="0.35"/>
    <row r="65823" hidden="1" x14ac:dyDescent="0.35"/>
    <row r="65824" hidden="1" x14ac:dyDescent="0.35"/>
    <row r="65825" hidden="1" x14ac:dyDescent="0.35"/>
    <row r="65826" hidden="1" x14ac:dyDescent="0.35"/>
    <row r="65827" hidden="1" x14ac:dyDescent="0.35"/>
    <row r="65828" hidden="1" x14ac:dyDescent="0.35"/>
    <row r="65829" hidden="1" x14ac:dyDescent="0.35"/>
    <row r="65830" hidden="1" x14ac:dyDescent="0.35"/>
    <row r="65831" hidden="1" x14ac:dyDescent="0.35"/>
    <row r="65832" hidden="1" x14ac:dyDescent="0.35"/>
    <row r="65833" hidden="1" x14ac:dyDescent="0.35"/>
    <row r="65834" hidden="1" x14ac:dyDescent="0.35"/>
    <row r="65835" hidden="1" x14ac:dyDescent="0.35"/>
    <row r="65836" hidden="1" x14ac:dyDescent="0.35"/>
    <row r="65837" hidden="1" x14ac:dyDescent="0.35"/>
    <row r="65838" hidden="1" x14ac:dyDescent="0.35"/>
    <row r="65839" hidden="1" x14ac:dyDescent="0.35"/>
    <row r="65840" hidden="1" x14ac:dyDescent="0.35"/>
    <row r="65841" hidden="1" x14ac:dyDescent="0.35"/>
    <row r="65842" hidden="1" x14ac:dyDescent="0.35"/>
    <row r="65843" hidden="1" x14ac:dyDescent="0.35"/>
    <row r="65844" hidden="1" x14ac:dyDescent="0.35"/>
    <row r="65845" hidden="1" x14ac:dyDescent="0.35"/>
    <row r="65846" hidden="1" x14ac:dyDescent="0.35"/>
    <row r="65847" hidden="1" x14ac:dyDescent="0.35"/>
    <row r="65848" hidden="1" x14ac:dyDescent="0.35"/>
    <row r="65849" hidden="1" x14ac:dyDescent="0.35"/>
    <row r="65850" hidden="1" x14ac:dyDescent="0.35"/>
    <row r="65851" hidden="1" x14ac:dyDescent="0.35"/>
    <row r="65852" hidden="1" x14ac:dyDescent="0.35"/>
    <row r="65853" hidden="1" x14ac:dyDescent="0.35"/>
    <row r="65854" hidden="1" x14ac:dyDescent="0.35"/>
    <row r="65855" hidden="1" x14ac:dyDescent="0.35"/>
    <row r="65856" hidden="1" x14ac:dyDescent="0.35"/>
    <row r="65857" hidden="1" x14ac:dyDescent="0.35"/>
    <row r="65858" hidden="1" x14ac:dyDescent="0.35"/>
    <row r="65859" hidden="1" x14ac:dyDescent="0.35"/>
    <row r="65860" hidden="1" x14ac:dyDescent="0.35"/>
    <row r="65861" hidden="1" x14ac:dyDescent="0.35"/>
    <row r="65862" hidden="1" x14ac:dyDescent="0.35"/>
    <row r="65863" hidden="1" x14ac:dyDescent="0.35"/>
    <row r="65864" hidden="1" x14ac:dyDescent="0.35"/>
    <row r="65865" hidden="1" x14ac:dyDescent="0.35"/>
    <row r="65866" hidden="1" x14ac:dyDescent="0.35"/>
    <row r="65867" hidden="1" x14ac:dyDescent="0.35"/>
    <row r="65868" hidden="1" x14ac:dyDescent="0.35"/>
    <row r="65869" hidden="1" x14ac:dyDescent="0.35"/>
    <row r="65870" hidden="1" x14ac:dyDescent="0.35"/>
    <row r="65871" hidden="1" x14ac:dyDescent="0.35"/>
    <row r="65872" hidden="1" x14ac:dyDescent="0.35"/>
    <row r="65873" hidden="1" x14ac:dyDescent="0.35"/>
    <row r="65874" hidden="1" x14ac:dyDescent="0.35"/>
    <row r="65875" hidden="1" x14ac:dyDescent="0.35"/>
    <row r="65876" hidden="1" x14ac:dyDescent="0.35"/>
    <row r="65877" hidden="1" x14ac:dyDescent="0.35"/>
    <row r="65878" hidden="1" x14ac:dyDescent="0.35"/>
    <row r="65879" hidden="1" x14ac:dyDescent="0.35"/>
    <row r="65880" hidden="1" x14ac:dyDescent="0.35"/>
    <row r="65881" hidden="1" x14ac:dyDescent="0.35"/>
    <row r="65882" hidden="1" x14ac:dyDescent="0.35"/>
    <row r="65883" hidden="1" x14ac:dyDescent="0.35"/>
    <row r="65884" hidden="1" x14ac:dyDescent="0.35"/>
    <row r="65885" hidden="1" x14ac:dyDescent="0.35"/>
    <row r="65886" hidden="1" x14ac:dyDescent="0.35"/>
    <row r="65887" hidden="1" x14ac:dyDescent="0.35"/>
    <row r="65888" hidden="1" x14ac:dyDescent="0.35"/>
    <row r="65889" hidden="1" x14ac:dyDescent="0.35"/>
    <row r="65890" hidden="1" x14ac:dyDescent="0.35"/>
    <row r="65891" hidden="1" x14ac:dyDescent="0.35"/>
    <row r="65892" hidden="1" x14ac:dyDescent="0.35"/>
    <row r="65893" hidden="1" x14ac:dyDescent="0.35"/>
    <row r="65894" hidden="1" x14ac:dyDescent="0.35"/>
    <row r="65895" hidden="1" x14ac:dyDescent="0.35"/>
    <row r="65896" hidden="1" x14ac:dyDescent="0.35"/>
    <row r="65897" hidden="1" x14ac:dyDescent="0.35"/>
    <row r="65898" hidden="1" x14ac:dyDescent="0.35"/>
    <row r="65899" hidden="1" x14ac:dyDescent="0.35"/>
    <row r="65900" hidden="1" x14ac:dyDescent="0.35"/>
    <row r="65901" hidden="1" x14ac:dyDescent="0.35"/>
    <row r="65902" hidden="1" x14ac:dyDescent="0.35"/>
    <row r="65903" hidden="1" x14ac:dyDescent="0.35"/>
    <row r="65904" hidden="1" x14ac:dyDescent="0.35"/>
    <row r="65905" hidden="1" x14ac:dyDescent="0.35"/>
    <row r="65906" hidden="1" x14ac:dyDescent="0.35"/>
    <row r="65907" hidden="1" x14ac:dyDescent="0.35"/>
    <row r="65908" hidden="1" x14ac:dyDescent="0.35"/>
    <row r="65909" hidden="1" x14ac:dyDescent="0.35"/>
    <row r="65910" hidden="1" x14ac:dyDescent="0.35"/>
    <row r="65911" hidden="1" x14ac:dyDescent="0.35"/>
    <row r="65912" hidden="1" x14ac:dyDescent="0.35"/>
    <row r="65913" hidden="1" x14ac:dyDescent="0.35"/>
    <row r="65914" hidden="1" x14ac:dyDescent="0.35"/>
    <row r="65915" hidden="1" x14ac:dyDescent="0.35"/>
    <row r="65916" hidden="1" x14ac:dyDescent="0.35"/>
    <row r="65917" hidden="1" x14ac:dyDescent="0.35"/>
    <row r="65918" hidden="1" x14ac:dyDescent="0.35"/>
    <row r="65919" hidden="1" x14ac:dyDescent="0.35"/>
    <row r="65920" hidden="1" x14ac:dyDescent="0.35"/>
    <row r="65921" hidden="1" x14ac:dyDescent="0.35"/>
    <row r="65922" hidden="1" x14ac:dyDescent="0.35"/>
    <row r="65923" hidden="1" x14ac:dyDescent="0.35"/>
    <row r="65924" hidden="1" x14ac:dyDescent="0.35"/>
    <row r="65925" hidden="1" x14ac:dyDescent="0.35"/>
    <row r="65926" hidden="1" x14ac:dyDescent="0.35"/>
    <row r="65927" hidden="1" x14ac:dyDescent="0.35"/>
    <row r="65928" hidden="1" x14ac:dyDescent="0.35"/>
    <row r="65929" hidden="1" x14ac:dyDescent="0.35"/>
    <row r="65930" hidden="1" x14ac:dyDescent="0.35"/>
    <row r="65931" hidden="1" x14ac:dyDescent="0.35"/>
    <row r="65932" hidden="1" x14ac:dyDescent="0.35"/>
    <row r="65933" hidden="1" x14ac:dyDescent="0.35"/>
    <row r="65934" hidden="1" x14ac:dyDescent="0.35"/>
    <row r="65935" hidden="1" x14ac:dyDescent="0.35"/>
    <row r="65936" hidden="1" x14ac:dyDescent="0.35"/>
    <row r="65937" hidden="1" x14ac:dyDescent="0.35"/>
    <row r="65938" hidden="1" x14ac:dyDescent="0.35"/>
    <row r="65939" hidden="1" x14ac:dyDescent="0.35"/>
    <row r="65940" hidden="1" x14ac:dyDescent="0.35"/>
    <row r="65941" hidden="1" x14ac:dyDescent="0.35"/>
    <row r="65942" hidden="1" x14ac:dyDescent="0.35"/>
    <row r="65943" hidden="1" x14ac:dyDescent="0.35"/>
    <row r="65944" hidden="1" x14ac:dyDescent="0.35"/>
    <row r="65945" hidden="1" x14ac:dyDescent="0.35"/>
    <row r="65946" hidden="1" x14ac:dyDescent="0.35"/>
    <row r="65947" hidden="1" x14ac:dyDescent="0.35"/>
    <row r="65948" hidden="1" x14ac:dyDescent="0.35"/>
    <row r="65949" hidden="1" x14ac:dyDescent="0.35"/>
    <row r="65950" hidden="1" x14ac:dyDescent="0.35"/>
    <row r="65951" hidden="1" x14ac:dyDescent="0.35"/>
    <row r="65952" hidden="1" x14ac:dyDescent="0.35"/>
    <row r="65953" hidden="1" x14ac:dyDescent="0.35"/>
    <row r="65954" hidden="1" x14ac:dyDescent="0.35"/>
    <row r="65955" hidden="1" x14ac:dyDescent="0.35"/>
    <row r="65956" hidden="1" x14ac:dyDescent="0.35"/>
    <row r="65957" hidden="1" x14ac:dyDescent="0.35"/>
    <row r="65958" hidden="1" x14ac:dyDescent="0.35"/>
    <row r="65959" hidden="1" x14ac:dyDescent="0.35"/>
    <row r="65960" hidden="1" x14ac:dyDescent="0.35"/>
    <row r="65961" hidden="1" x14ac:dyDescent="0.35"/>
    <row r="65962" hidden="1" x14ac:dyDescent="0.35"/>
    <row r="65963" hidden="1" x14ac:dyDescent="0.35"/>
    <row r="65964" hidden="1" x14ac:dyDescent="0.35"/>
    <row r="65965" hidden="1" x14ac:dyDescent="0.35"/>
    <row r="65966" hidden="1" x14ac:dyDescent="0.35"/>
    <row r="65967" hidden="1" x14ac:dyDescent="0.35"/>
    <row r="65968" hidden="1" x14ac:dyDescent="0.35"/>
    <row r="65969" hidden="1" x14ac:dyDescent="0.35"/>
    <row r="65970" hidden="1" x14ac:dyDescent="0.35"/>
    <row r="65971" hidden="1" x14ac:dyDescent="0.35"/>
    <row r="65972" hidden="1" x14ac:dyDescent="0.35"/>
    <row r="65973" hidden="1" x14ac:dyDescent="0.35"/>
    <row r="65974" hidden="1" x14ac:dyDescent="0.35"/>
    <row r="65975" hidden="1" x14ac:dyDescent="0.35"/>
    <row r="65976" hidden="1" x14ac:dyDescent="0.35"/>
    <row r="65977" hidden="1" x14ac:dyDescent="0.35"/>
    <row r="65978" hidden="1" x14ac:dyDescent="0.35"/>
    <row r="65979" hidden="1" x14ac:dyDescent="0.35"/>
    <row r="65980" hidden="1" x14ac:dyDescent="0.35"/>
    <row r="65981" hidden="1" x14ac:dyDescent="0.35"/>
    <row r="65982" hidden="1" x14ac:dyDescent="0.35"/>
    <row r="65983" hidden="1" x14ac:dyDescent="0.35"/>
    <row r="65984" hidden="1" x14ac:dyDescent="0.35"/>
    <row r="65985" hidden="1" x14ac:dyDescent="0.35"/>
    <row r="65986" hidden="1" x14ac:dyDescent="0.35"/>
    <row r="65987" hidden="1" x14ac:dyDescent="0.35"/>
    <row r="65988" hidden="1" x14ac:dyDescent="0.35"/>
    <row r="65989" hidden="1" x14ac:dyDescent="0.35"/>
    <row r="65990" hidden="1" x14ac:dyDescent="0.35"/>
    <row r="65991" hidden="1" x14ac:dyDescent="0.35"/>
    <row r="65992" hidden="1" x14ac:dyDescent="0.35"/>
    <row r="65993" hidden="1" x14ac:dyDescent="0.35"/>
    <row r="65994" hidden="1" x14ac:dyDescent="0.35"/>
    <row r="65995" hidden="1" x14ac:dyDescent="0.35"/>
    <row r="65996" hidden="1" x14ac:dyDescent="0.35"/>
    <row r="65997" hidden="1" x14ac:dyDescent="0.35"/>
    <row r="65998" hidden="1" x14ac:dyDescent="0.35"/>
    <row r="65999" hidden="1" x14ac:dyDescent="0.35"/>
    <row r="66000" hidden="1" x14ac:dyDescent="0.35"/>
    <row r="66001" hidden="1" x14ac:dyDescent="0.35"/>
    <row r="66002" hidden="1" x14ac:dyDescent="0.35"/>
    <row r="66003" hidden="1" x14ac:dyDescent="0.35"/>
    <row r="66004" hidden="1" x14ac:dyDescent="0.35"/>
    <row r="66005" hidden="1" x14ac:dyDescent="0.35"/>
    <row r="66006" hidden="1" x14ac:dyDescent="0.35"/>
    <row r="66007" hidden="1" x14ac:dyDescent="0.35"/>
    <row r="66008" hidden="1" x14ac:dyDescent="0.35"/>
    <row r="66009" hidden="1" x14ac:dyDescent="0.35"/>
    <row r="66010" hidden="1" x14ac:dyDescent="0.35"/>
    <row r="66011" hidden="1" x14ac:dyDescent="0.35"/>
    <row r="66012" hidden="1" x14ac:dyDescent="0.35"/>
    <row r="66013" hidden="1" x14ac:dyDescent="0.35"/>
    <row r="66014" hidden="1" x14ac:dyDescent="0.35"/>
    <row r="66015" hidden="1" x14ac:dyDescent="0.35"/>
    <row r="66016" hidden="1" x14ac:dyDescent="0.35"/>
    <row r="66017" hidden="1" x14ac:dyDescent="0.35"/>
    <row r="66018" hidden="1" x14ac:dyDescent="0.35"/>
    <row r="66019" hidden="1" x14ac:dyDescent="0.35"/>
    <row r="66020" hidden="1" x14ac:dyDescent="0.35"/>
    <row r="66021" hidden="1" x14ac:dyDescent="0.35"/>
    <row r="66022" hidden="1" x14ac:dyDescent="0.35"/>
    <row r="66023" hidden="1" x14ac:dyDescent="0.35"/>
    <row r="66024" hidden="1" x14ac:dyDescent="0.35"/>
    <row r="66025" hidden="1" x14ac:dyDescent="0.35"/>
    <row r="66026" hidden="1" x14ac:dyDescent="0.35"/>
    <row r="66027" hidden="1" x14ac:dyDescent="0.35"/>
    <row r="66028" hidden="1" x14ac:dyDescent="0.35"/>
    <row r="66029" hidden="1" x14ac:dyDescent="0.35"/>
    <row r="66030" hidden="1" x14ac:dyDescent="0.35"/>
    <row r="66031" hidden="1" x14ac:dyDescent="0.35"/>
    <row r="66032" hidden="1" x14ac:dyDescent="0.35"/>
    <row r="66033" hidden="1" x14ac:dyDescent="0.35"/>
    <row r="66034" hidden="1" x14ac:dyDescent="0.35"/>
    <row r="66035" hidden="1" x14ac:dyDescent="0.35"/>
    <row r="66036" hidden="1" x14ac:dyDescent="0.35"/>
    <row r="66037" hidden="1" x14ac:dyDescent="0.35"/>
    <row r="66038" hidden="1" x14ac:dyDescent="0.35"/>
    <row r="66039" hidden="1" x14ac:dyDescent="0.35"/>
    <row r="66040" hidden="1" x14ac:dyDescent="0.35"/>
    <row r="66041" hidden="1" x14ac:dyDescent="0.35"/>
    <row r="66042" hidden="1" x14ac:dyDescent="0.35"/>
    <row r="66043" hidden="1" x14ac:dyDescent="0.35"/>
    <row r="66044" hidden="1" x14ac:dyDescent="0.35"/>
    <row r="66045" hidden="1" x14ac:dyDescent="0.35"/>
    <row r="66046" hidden="1" x14ac:dyDescent="0.35"/>
    <row r="66047" hidden="1" x14ac:dyDescent="0.35"/>
    <row r="66048" hidden="1" x14ac:dyDescent="0.35"/>
    <row r="66049" hidden="1" x14ac:dyDescent="0.35"/>
    <row r="66050" hidden="1" x14ac:dyDescent="0.35"/>
    <row r="66051" hidden="1" x14ac:dyDescent="0.35"/>
    <row r="66052" hidden="1" x14ac:dyDescent="0.35"/>
    <row r="66053" hidden="1" x14ac:dyDescent="0.35"/>
    <row r="66054" hidden="1" x14ac:dyDescent="0.35"/>
    <row r="66055" hidden="1" x14ac:dyDescent="0.35"/>
    <row r="66056" hidden="1" x14ac:dyDescent="0.35"/>
    <row r="66057" hidden="1" x14ac:dyDescent="0.35"/>
    <row r="66058" hidden="1" x14ac:dyDescent="0.35"/>
    <row r="66059" hidden="1" x14ac:dyDescent="0.35"/>
    <row r="66060" hidden="1" x14ac:dyDescent="0.35"/>
    <row r="66061" hidden="1" x14ac:dyDescent="0.35"/>
    <row r="66062" hidden="1" x14ac:dyDescent="0.35"/>
    <row r="66063" hidden="1" x14ac:dyDescent="0.35"/>
    <row r="66064" hidden="1" x14ac:dyDescent="0.35"/>
    <row r="66065" hidden="1" x14ac:dyDescent="0.35"/>
    <row r="66066" hidden="1" x14ac:dyDescent="0.35"/>
    <row r="66067" hidden="1" x14ac:dyDescent="0.35"/>
    <row r="66068" hidden="1" x14ac:dyDescent="0.35"/>
    <row r="66069" hidden="1" x14ac:dyDescent="0.35"/>
    <row r="66070" hidden="1" x14ac:dyDescent="0.35"/>
    <row r="66071" hidden="1" x14ac:dyDescent="0.35"/>
    <row r="66072" hidden="1" x14ac:dyDescent="0.35"/>
    <row r="66073" hidden="1" x14ac:dyDescent="0.35"/>
    <row r="66074" hidden="1" x14ac:dyDescent="0.35"/>
    <row r="66075" hidden="1" x14ac:dyDescent="0.35"/>
    <row r="66076" hidden="1" x14ac:dyDescent="0.35"/>
    <row r="66077" hidden="1" x14ac:dyDescent="0.35"/>
    <row r="66078" hidden="1" x14ac:dyDescent="0.35"/>
    <row r="66079" hidden="1" x14ac:dyDescent="0.35"/>
    <row r="66080" hidden="1" x14ac:dyDescent="0.35"/>
    <row r="66081" hidden="1" x14ac:dyDescent="0.35"/>
    <row r="66082" hidden="1" x14ac:dyDescent="0.35"/>
    <row r="66083" hidden="1" x14ac:dyDescent="0.35"/>
    <row r="66084" hidden="1" x14ac:dyDescent="0.35"/>
    <row r="66085" hidden="1" x14ac:dyDescent="0.35"/>
    <row r="66086" hidden="1" x14ac:dyDescent="0.35"/>
    <row r="66087" hidden="1" x14ac:dyDescent="0.35"/>
    <row r="66088" hidden="1" x14ac:dyDescent="0.35"/>
    <row r="66089" hidden="1" x14ac:dyDescent="0.35"/>
    <row r="66090" hidden="1" x14ac:dyDescent="0.35"/>
    <row r="66091" hidden="1" x14ac:dyDescent="0.35"/>
    <row r="66092" hidden="1" x14ac:dyDescent="0.35"/>
    <row r="66093" hidden="1" x14ac:dyDescent="0.35"/>
    <row r="66094" hidden="1" x14ac:dyDescent="0.35"/>
    <row r="66095" hidden="1" x14ac:dyDescent="0.35"/>
    <row r="66096" hidden="1" x14ac:dyDescent="0.35"/>
    <row r="66097" hidden="1" x14ac:dyDescent="0.35"/>
    <row r="66098" hidden="1" x14ac:dyDescent="0.35"/>
    <row r="66099" hidden="1" x14ac:dyDescent="0.35"/>
    <row r="66100" hidden="1" x14ac:dyDescent="0.35"/>
    <row r="66101" hidden="1" x14ac:dyDescent="0.35"/>
    <row r="66102" hidden="1" x14ac:dyDescent="0.35"/>
    <row r="66103" hidden="1" x14ac:dyDescent="0.35"/>
    <row r="66104" hidden="1" x14ac:dyDescent="0.35"/>
    <row r="66105" hidden="1" x14ac:dyDescent="0.35"/>
    <row r="66106" hidden="1" x14ac:dyDescent="0.35"/>
    <row r="66107" hidden="1" x14ac:dyDescent="0.35"/>
    <row r="66108" hidden="1" x14ac:dyDescent="0.35"/>
    <row r="66109" hidden="1" x14ac:dyDescent="0.35"/>
    <row r="66110" hidden="1" x14ac:dyDescent="0.35"/>
    <row r="66111" hidden="1" x14ac:dyDescent="0.35"/>
    <row r="66112" hidden="1" x14ac:dyDescent="0.35"/>
    <row r="66113" hidden="1" x14ac:dyDescent="0.35"/>
    <row r="66114" hidden="1" x14ac:dyDescent="0.35"/>
    <row r="66115" hidden="1" x14ac:dyDescent="0.35"/>
    <row r="66116" hidden="1" x14ac:dyDescent="0.35"/>
    <row r="66117" hidden="1" x14ac:dyDescent="0.35"/>
    <row r="66118" hidden="1" x14ac:dyDescent="0.35"/>
    <row r="66119" hidden="1" x14ac:dyDescent="0.35"/>
    <row r="66120" hidden="1" x14ac:dyDescent="0.35"/>
    <row r="66121" hidden="1" x14ac:dyDescent="0.35"/>
    <row r="66122" hidden="1" x14ac:dyDescent="0.35"/>
    <row r="66123" hidden="1" x14ac:dyDescent="0.35"/>
    <row r="66124" hidden="1" x14ac:dyDescent="0.35"/>
    <row r="66125" hidden="1" x14ac:dyDescent="0.35"/>
    <row r="66126" hidden="1" x14ac:dyDescent="0.35"/>
    <row r="66127" hidden="1" x14ac:dyDescent="0.35"/>
    <row r="66128" hidden="1" x14ac:dyDescent="0.35"/>
    <row r="66129" hidden="1" x14ac:dyDescent="0.35"/>
    <row r="66130" hidden="1" x14ac:dyDescent="0.35"/>
    <row r="66131" hidden="1" x14ac:dyDescent="0.35"/>
    <row r="66132" hidden="1" x14ac:dyDescent="0.35"/>
    <row r="66133" hidden="1" x14ac:dyDescent="0.35"/>
    <row r="66134" hidden="1" x14ac:dyDescent="0.35"/>
    <row r="66135" hidden="1" x14ac:dyDescent="0.35"/>
    <row r="66136" hidden="1" x14ac:dyDescent="0.35"/>
    <row r="66137" hidden="1" x14ac:dyDescent="0.35"/>
    <row r="66138" hidden="1" x14ac:dyDescent="0.35"/>
    <row r="66139" hidden="1" x14ac:dyDescent="0.35"/>
    <row r="66140" hidden="1" x14ac:dyDescent="0.35"/>
    <row r="66141" hidden="1" x14ac:dyDescent="0.35"/>
    <row r="66142" hidden="1" x14ac:dyDescent="0.35"/>
    <row r="66143" hidden="1" x14ac:dyDescent="0.35"/>
    <row r="66144" hidden="1" x14ac:dyDescent="0.35"/>
    <row r="66145" hidden="1" x14ac:dyDescent="0.35"/>
    <row r="66146" hidden="1" x14ac:dyDescent="0.35"/>
    <row r="66147" hidden="1" x14ac:dyDescent="0.35"/>
    <row r="66148" hidden="1" x14ac:dyDescent="0.35"/>
    <row r="66149" hidden="1" x14ac:dyDescent="0.35"/>
    <row r="66150" hidden="1" x14ac:dyDescent="0.35"/>
    <row r="66151" hidden="1" x14ac:dyDescent="0.35"/>
    <row r="66152" hidden="1" x14ac:dyDescent="0.35"/>
    <row r="66153" hidden="1" x14ac:dyDescent="0.35"/>
    <row r="66154" hidden="1" x14ac:dyDescent="0.35"/>
    <row r="66155" hidden="1" x14ac:dyDescent="0.35"/>
    <row r="66156" hidden="1" x14ac:dyDescent="0.35"/>
    <row r="66157" hidden="1" x14ac:dyDescent="0.35"/>
    <row r="66158" hidden="1" x14ac:dyDescent="0.35"/>
    <row r="66159" hidden="1" x14ac:dyDescent="0.35"/>
    <row r="66160" hidden="1" x14ac:dyDescent="0.35"/>
    <row r="66161" hidden="1" x14ac:dyDescent="0.35"/>
    <row r="66162" hidden="1" x14ac:dyDescent="0.35"/>
    <row r="66163" hidden="1" x14ac:dyDescent="0.35"/>
    <row r="66164" hidden="1" x14ac:dyDescent="0.35"/>
    <row r="66165" hidden="1" x14ac:dyDescent="0.35"/>
    <row r="66166" hidden="1" x14ac:dyDescent="0.35"/>
    <row r="66167" hidden="1" x14ac:dyDescent="0.35"/>
    <row r="66168" hidden="1" x14ac:dyDescent="0.35"/>
    <row r="66169" hidden="1" x14ac:dyDescent="0.35"/>
    <row r="66170" hidden="1" x14ac:dyDescent="0.35"/>
    <row r="66171" hidden="1" x14ac:dyDescent="0.35"/>
    <row r="66172" hidden="1" x14ac:dyDescent="0.35"/>
    <row r="66173" hidden="1" x14ac:dyDescent="0.35"/>
    <row r="66174" hidden="1" x14ac:dyDescent="0.35"/>
    <row r="66175" hidden="1" x14ac:dyDescent="0.35"/>
    <row r="66176" hidden="1" x14ac:dyDescent="0.35"/>
    <row r="66177" hidden="1" x14ac:dyDescent="0.35"/>
    <row r="66178" hidden="1" x14ac:dyDescent="0.35"/>
    <row r="66179" hidden="1" x14ac:dyDescent="0.35"/>
    <row r="66180" hidden="1" x14ac:dyDescent="0.35"/>
    <row r="66181" hidden="1" x14ac:dyDescent="0.35"/>
    <row r="66182" hidden="1" x14ac:dyDescent="0.35"/>
    <row r="66183" hidden="1" x14ac:dyDescent="0.35"/>
    <row r="66184" hidden="1" x14ac:dyDescent="0.35"/>
    <row r="66185" hidden="1" x14ac:dyDescent="0.35"/>
    <row r="66186" hidden="1" x14ac:dyDescent="0.35"/>
    <row r="66187" hidden="1" x14ac:dyDescent="0.35"/>
    <row r="66188" hidden="1" x14ac:dyDescent="0.35"/>
    <row r="66189" hidden="1" x14ac:dyDescent="0.35"/>
    <row r="66190" hidden="1" x14ac:dyDescent="0.35"/>
    <row r="66191" hidden="1" x14ac:dyDescent="0.35"/>
    <row r="66192" hidden="1" x14ac:dyDescent="0.35"/>
    <row r="66193" hidden="1" x14ac:dyDescent="0.35"/>
    <row r="66194" hidden="1" x14ac:dyDescent="0.35"/>
    <row r="66195" hidden="1" x14ac:dyDescent="0.35"/>
    <row r="66196" hidden="1" x14ac:dyDescent="0.35"/>
    <row r="66197" hidden="1" x14ac:dyDescent="0.35"/>
    <row r="66198" hidden="1" x14ac:dyDescent="0.35"/>
    <row r="66199" hidden="1" x14ac:dyDescent="0.35"/>
    <row r="66200" hidden="1" x14ac:dyDescent="0.35"/>
    <row r="66201" hidden="1" x14ac:dyDescent="0.35"/>
    <row r="66202" hidden="1" x14ac:dyDescent="0.35"/>
    <row r="66203" hidden="1" x14ac:dyDescent="0.35"/>
    <row r="66204" hidden="1" x14ac:dyDescent="0.35"/>
    <row r="66205" hidden="1" x14ac:dyDescent="0.35"/>
    <row r="66206" hidden="1" x14ac:dyDescent="0.35"/>
    <row r="66207" hidden="1" x14ac:dyDescent="0.35"/>
    <row r="66208" hidden="1" x14ac:dyDescent="0.35"/>
    <row r="66209" hidden="1" x14ac:dyDescent="0.35"/>
    <row r="66210" hidden="1" x14ac:dyDescent="0.35"/>
    <row r="66211" hidden="1" x14ac:dyDescent="0.35"/>
    <row r="66212" hidden="1" x14ac:dyDescent="0.35"/>
    <row r="66213" hidden="1" x14ac:dyDescent="0.35"/>
    <row r="66214" hidden="1" x14ac:dyDescent="0.35"/>
    <row r="66215" hidden="1" x14ac:dyDescent="0.35"/>
    <row r="66216" hidden="1" x14ac:dyDescent="0.35"/>
    <row r="66217" hidden="1" x14ac:dyDescent="0.35"/>
    <row r="66218" hidden="1" x14ac:dyDescent="0.35"/>
    <row r="66219" hidden="1" x14ac:dyDescent="0.35"/>
    <row r="66220" hidden="1" x14ac:dyDescent="0.35"/>
    <row r="66221" hidden="1" x14ac:dyDescent="0.35"/>
    <row r="66222" hidden="1" x14ac:dyDescent="0.35"/>
    <row r="66223" hidden="1" x14ac:dyDescent="0.35"/>
    <row r="66224" hidden="1" x14ac:dyDescent="0.35"/>
    <row r="66225" hidden="1" x14ac:dyDescent="0.35"/>
    <row r="66226" hidden="1" x14ac:dyDescent="0.35"/>
    <row r="66227" hidden="1" x14ac:dyDescent="0.35"/>
    <row r="66228" hidden="1" x14ac:dyDescent="0.35"/>
    <row r="66229" hidden="1" x14ac:dyDescent="0.35"/>
    <row r="66230" hidden="1" x14ac:dyDescent="0.35"/>
    <row r="66231" hidden="1" x14ac:dyDescent="0.35"/>
    <row r="66232" hidden="1" x14ac:dyDescent="0.35"/>
    <row r="66233" hidden="1" x14ac:dyDescent="0.35"/>
    <row r="66234" hidden="1" x14ac:dyDescent="0.35"/>
    <row r="66235" hidden="1" x14ac:dyDescent="0.35"/>
    <row r="66236" hidden="1" x14ac:dyDescent="0.35"/>
    <row r="66237" hidden="1" x14ac:dyDescent="0.35"/>
    <row r="66238" hidden="1" x14ac:dyDescent="0.35"/>
    <row r="66239" hidden="1" x14ac:dyDescent="0.35"/>
    <row r="66240" hidden="1" x14ac:dyDescent="0.35"/>
    <row r="66241" hidden="1" x14ac:dyDescent="0.35"/>
    <row r="66242" hidden="1" x14ac:dyDescent="0.35"/>
    <row r="66243" hidden="1" x14ac:dyDescent="0.35"/>
    <row r="66244" hidden="1" x14ac:dyDescent="0.35"/>
    <row r="66245" hidden="1" x14ac:dyDescent="0.35"/>
    <row r="66246" hidden="1" x14ac:dyDescent="0.35"/>
    <row r="66247" hidden="1" x14ac:dyDescent="0.35"/>
    <row r="66248" hidden="1" x14ac:dyDescent="0.35"/>
    <row r="66249" hidden="1" x14ac:dyDescent="0.35"/>
    <row r="66250" hidden="1" x14ac:dyDescent="0.35"/>
    <row r="66251" hidden="1" x14ac:dyDescent="0.35"/>
    <row r="66252" hidden="1" x14ac:dyDescent="0.35"/>
    <row r="66253" hidden="1" x14ac:dyDescent="0.35"/>
    <row r="66254" hidden="1" x14ac:dyDescent="0.35"/>
    <row r="66255" hidden="1" x14ac:dyDescent="0.35"/>
    <row r="66256" hidden="1" x14ac:dyDescent="0.35"/>
    <row r="66257" hidden="1" x14ac:dyDescent="0.35"/>
    <row r="66258" hidden="1" x14ac:dyDescent="0.35"/>
    <row r="66259" hidden="1" x14ac:dyDescent="0.35"/>
    <row r="66260" hidden="1" x14ac:dyDescent="0.35"/>
    <row r="66261" hidden="1" x14ac:dyDescent="0.35"/>
    <row r="66262" hidden="1" x14ac:dyDescent="0.35"/>
    <row r="66263" hidden="1" x14ac:dyDescent="0.35"/>
    <row r="66264" hidden="1" x14ac:dyDescent="0.35"/>
    <row r="66265" hidden="1" x14ac:dyDescent="0.35"/>
    <row r="66266" hidden="1" x14ac:dyDescent="0.35"/>
    <row r="66267" hidden="1" x14ac:dyDescent="0.35"/>
    <row r="66268" hidden="1" x14ac:dyDescent="0.35"/>
    <row r="66269" hidden="1" x14ac:dyDescent="0.35"/>
    <row r="66270" hidden="1" x14ac:dyDescent="0.35"/>
    <row r="66271" hidden="1" x14ac:dyDescent="0.35"/>
    <row r="66272" hidden="1" x14ac:dyDescent="0.35"/>
    <row r="66273" hidden="1" x14ac:dyDescent="0.35"/>
    <row r="66274" hidden="1" x14ac:dyDescent="0.35"/>
    <row r="66275" hidden="1" x14ac:dyDescent="0.35"/>
    <row r="66276" hidden="1" x14ac:dyDescent="0.35"/>
    <row r="66277" hidden="1" x14ac:dyDescent="0.35"/>
    <row r="66278" hidden="1" x14ac:dyDescent="0.35"/>
    <row r="66279" hidden="1" x14ac:dyDescent="0.35"/>
    <row r="66280" hidden="1" x14ac:dyDescent="0.35"/>
    <row r="66281" hidden="1" x14ac:dyDescent="0.35"/>
    <row r="66282" hidden="1" x14ac:dyDescent="0.35"/>
    <row r="66283" hidden="1" x14ac:dyDescent="0.35"/>
    <row r="66284" hidden="1" x14ac:dyDescent="0.35"/>
    <row r="66285" hidden="1" x14ac:dyDescent="0.35"/>
    <row r="66286" hidden="1" x14ac:dyDescent="0.35"/>
    <row r="66287" hidden="1" x14ac:dyDescent="0.35"/>
    <row r="66288" hidden="1" x14ac:dyDescent="0.35"/>
    <row r="66289" hidden="1" x14ac:dyDescent="0.35"/>
    <row r="66290" hidden="1" x14ac:dyDescent="0.35"/>
    <row r="66291" hidden="1" x14ac:dyDescent="0.35"/>
    <row r="66292" hidden="1" x14ac:dyDescent="0.35"/>
    <row r="66293" hidden="1" x14ac:dyDescent="0.35"/>
    <row r="66294" hidden="1" x14ac:dyDescent="0.35"/>
    <row r="66295" hidden="1" x14ac:dyDescent="0.35"/>
    <row r="66296" hidden="1" x14ac:dyDescent="0.35"/>
    <row r="66297" hidden="1" x14ac:dyDescent="0.35"/>
    <row r="66298" hidden="1" x14ac:dyDescent="0.35"/>
    <row r="66299" hidden="1" x14ac:dyDescent="0.35"/>
    <row r="66300" hidden="1" x14ac:dyDescent="0.35"/>
    <row r="66301" hidden="1" x14ac:dyDescent="0.35"/>
    <row r="66302" hidden="1" x14ac:dyDescent="0.35"/>
    <row r="66303" hidden="1" x14ac:dyDescent="0.35"/>
    <row r="66304" hidden="1" x14ac:dyDescent="0.35"/>
    <row r="66305" hidden="1" x14ac:dyDescent="0.35"/>
    <row r="66306" hidden="1" x14ac:dyDescent="0.35"/>
    <row r="66307" hidden="1" x14ac:dyDescent="0.35"/>
    <row r="66308" hidden="1" x14ac:dyDescent="0.35"/>
    <row r="66309" hidden="1" x14ac:dyDescent="0.35"/>
    <row r="66310" hidden="1" x14ac:dyDescent="0.35"/>
    <row r="66311" hidden="1" x14ac:dyDescent="0.35"/>
    <row r="66312" hidden="1" x14ac:dyDescent="0.35"/>
    <row r="66313" hidden="1" x14ac:dyDescent="0.35"/>
    <row r="66314" hidden="1" x14ac:dyDescent="0.35"/>
    <row r="66315" hidden="1" x14ac:dyDescent="0.35"/>
    <row r="66316" hidden="1" x14ac:dyDescent="0.35"/>
    <row r="66317" hidden="1" x14ac:dyDescent="0.35"/>
    <row r="66318" hidden="1" x14ac:dyDescent="0.35"/>
    <row r="66319" hidden="1" x14ac:dyDescent="0.35"/>
    <row r="66320" hidden="1" x14ac:dyDescent="0.35"/>
    <row r="66321" hidden="1" x14ac:dyDescent="0.35"/>
    <row r="66322" hidden="1" x14ac:dyDescent="0.35"/>
    <row r="66323" hidden="1" x14ac:dyDescent="0.35"/>
    <row r="66324" hidden="1" x14ac:dyDescent="0.35"/>
    <row r="66325" hidden="1" x14ac:dyDescent="0.35"/>
    <row r="66326" hidden="1" x14ac:dyDescent="0.35"/>
    <row r="66327" hidden="1" x14ac:dyDescent="0.35"/>
    <row r="66328" hidden="1" x14ac:dyDescent="0.35"/>
    <row r="66329" hidden="1" x14ac:dyDescent="0.35"/>
    <row r="66330" hidden="1" x14ac:dyDescent="0.35"/>
    <row r="66331" hidden="1" x14ac:dyDescent="0.35"/>
    <row r="66332" hidden="1" x14ac:dyDescent="0.35"/>
    <row r="66333" hidden="1" x14ac:dyDescent="0.35"/>
    <row r="66334" hidden="1" x14ac:dyDescent="0.35"/>
    <row r="66335" hidden="1" x14ac:dyDescent="0.35"/>
    <row r="66336" hidden="1" x14ac:dyDescent="0.35"/>
    <row r="66337" hidden="1" x14ac:dyDescent="0.35"/>
    <row r="66338" hidden="1" x14ac:dyDescent="0.35"/>
    <row r="66339" hidden="1" x14ac:dyDescent="0.35"/>
    <row r="66340" hidden="1" x14ac:dyDescent="0.35"/>
    <row r="66341" hidden="1" x14ac:dyDescent="0.35"/>
    <row r="66342" hidden="1" x14ac:dyDescent="0.35"/>
    <row r="66343" hidden="1" x14ac:dyDescent="0.35"/>
    <row r="66344" hidden="1" x14ac:dyDescent="0.35"/>
    <row r="66345" hidden="1" x14ac:dyDescent="0.35"/>
    <row r="66346" hidden="1" x14ac:dyDescent="0.35"/>
    <row r="66347" hidden="1" x14ac:dyDescent="0.35"/>
    <row r="66348" hidden="1" x14ac:dyDescent="0.35"/>
    <row r="66349" hidden="1" x14ac:dyDescent="0.35"/>
    <row r="66350" hidden="1" x14ac:dyDescent="0.35"/>
    <row r="66351" hidden="1" x14ac:dyDescent="0.35"/>
    <row r="66352" hidden="1" x14ac:dyDescent="0.35"/>
    <row r="66353" hidden="1" x14ac:dyDescent="0.35"/>
    <row r="66354" hidden="1" x14ac:dyDescent="0.35"/>
    <row r="66355" hidden="1" x14ac:dyDescent="0.35"/>
    <row r="66356" hidden="1" x14ac:dyDescent="0.35"/>
    <row r="66357" hidden="1" x14ac:dyDescent="0.35"/>
    <row r="66358" hidden="1" x14ac:dyDescent="0.35"/>
    <row r="66359" hidden="1" x14ac:dyDescent="0.35"/>
    <row r="66360" hidden="1" x14ac:dyDescent="0.35"/>
    <row r="66361" hidden="1" x14ac:dyDescent="0.35"/>
    <row r="66362" hidden="1" x14ac:dyDescent="0.35"/>
    <row r="66363" hidden="1" x14ac:dyDescent="0.35"/>
    <row r="66364" hidden="1" x14ac:dyDescent="0.35"/>
    <row r="66365" hidden="1" x14ac:dyDescent="0.35"/>
    <row r="66366" hidden="1" x14ac:dyDescent="0.35"/>
    <row r="66367" hidden="1" x14ac:dyDescent="0.35"/>
    <row r="66368" hidden="1" x14ac:dyDescent="0.35"/>
    <row r="66369" hidden="1" x14ac:dyDescent="0.35"/>
    <row r="66370" hidden="1" x14ac:dyDescent="0.35"/>
    <row r="66371" hidden="1" x14ac:dyDescent="0.35"/>
    <row r="66372" hidden="1" x14ac:dyDescent="0.35"/>
    <row r="66373" hidden="1" x14ac:dyDescent="0.35"/>
    <row r="66374" hidden="1" x14ac:dyDescent="0.35"/>
    <row r="66375" hidden="1" x14ac:dyDescent="0.35"/>
    <row r="66376" hidden="1" x14ac:dyDescent="0.35"/>
    <row r="66377" hidden="1" x14ac:dyDescent="0.35"/>
    <row r="66378" hidden="1" x14ac:dyDescent="0.35"/>
    <row r="66379" hidden="1" x14ac:dyDescent="0.35"/>
    <row r="66380" hidden="1" x14ac:dyDescent="0.35"/>
    <row r="66381" hidden="1" x14ac:dyDescent="0.35"/>
    <row r="66382" hidden="1" x14ac:dyDescent="0.35"/>
    <row r="66383" hidden="1" x14ac:dyDescent="0.35"/>
    <row r="66384" hidden="1" x14ac:dyDescent="0.35"/>
    <row r="66385" hidden="1" x14ac:dyDescent="0.35"/>
    <row r="66386" hidden="1" x14ac:dyDescent="0.35"/>
    <row r="66387" hidden="1" x14ac:dyDescent="0.35"/>
    <row r="66388" hidden="1" x14ac:dyDescent="0.35"/>
    <row r="66389" hidden="1" x14ac:dyDescent="0.35"/>
    <row r="66390" hidden="1" x14ac:dyDescent="0.35"/>
    <row r="66391" hidden="1" x14ac:dyDescent="0.35"/>
    <row r="66392" hidden="1" x14ac:dyDescent="0.35"/>
    <row r="66393" hidden="1" x14ac:dyDescent="0.35"/>
    <row r="66394" hidden="1" x14ac:dyDescent="0.35"/>
    <row r="66395" hidden="1" x14ac:dyDescent="0.35"/>
    <row r="66396" hidden="1" x14ac:dyDescent="0.35"/>
    <row r="66397" hidden="1" x14ac:dyDescent="0.35"/>
    <row r="66398" hidden="1" x14ac:dyDescent="0.35"/>
    <row r="66399" hidden="1" x14ac:dyDescent="0.35"/>
    <row r="66400" hidden="1" x14ac:dyDescent="0.35"/>
    <row r="66401" hidden="1" x14ac:dyDescent="0.35"/>
    <row r="66402" hidden="1" x14ac:dyDescent="0.35"/>
    <row r="66403" hidden="1" x14ac:dyDescent="0.35"/>
    <row r="66404" hidden="1" x14ac:dyDescent="0.35"/>
    <row r="66405" hidden="1" x14ac:dyDescent="0.35"/>
    <row r="66406" hidden="1" x14ac:dyDescent="0.35"/>
    <row r="66407" hidden="1" x14ac:dyDescent="0.35"/>
    <row r="66408" hidden="1" x14ac:dyDescent="0.35"/>
    <row r="66409" hidden="1" x14ac:dyDescent="0.35"/>
    <row r="66410" hidden="1" x14ac:dyDescent="0.35"/>
    <row r="66411" hidden="1" x14ac:dyDescent="0.35"/>
    <row r="66412" hidden="1" x14ac:dyDescent="0.35"/>
    <row r="66413" hidden="1" x14ac:dyDescent="0.35"/>
    <row r="66414" hidden="1" x14ac:dyDescent="0.35"/>
    <row r="66415" hidden="1" x14ac:dyDescent="0.35"/>
    <row r="66416" hidden="1" x14ac:dyDescent="0.35"/>
    <row r="66417" hidden="1" x14ac:dyDescent="0.35"/>
    <row r="66418" hidden="1" x14ac:dyDescent="0.35"/>
    <row r="66419" hidden="1" x14ac:dyDescent="0.35"/>
    <row r="66420" hidden="1" x14ac:dyDescent="0.35"/>
    <row r="66421" hidden="1" x14ac:dyDescent="0.35"/>
    <row r="66422" hidden="1" x14ac:dyDescent="0.35"/>
    <row r="66423" hidden="1" x14ac:dyDescent="0.35"/>
    <row r="66424" hidden="1" x14ac:dyDescent="0.35"/>
    <row r="66425" hidden="1" x14ac:dyDescent="0.35"/>
    <row r="66426" hidden="1" x14ac:dyDescent="0.35"/>
    <row r="66427" hidden="1" x14ac:dyDescent="0.35"/>
    <row r="66428" hidden="1" x14ac:dyDescent="0.35"/>
    <row r="66429" hidden="1" x14ac:dyDescent="0.35"/>
    <row r="66430" hidden="1" x14ac:dyDescent="0.35"/>
    <row r="66431" hidden="1" x14ac:dyDescent="0.35"/>
    <row r="66432" hidden="1" x14ac:dyDescent="0.35"/>
    <row r="66433" hidden="1" x14ac:dyDescent="0.35"/>
    <row r="66434" hidden="1" x14ac:dyDescent="0.35"/>
    <row r="66435" hidden="1" x14ac:dyDescent="0.35"/>
    <row r="66436" hidden="1" x14ac:dyDescent="0.35"/>
    <row r="66437" hidden="1" x14ac:dyDescent="0.35"/>
    <row r="66438" hidden="1" x14ac:dyDescent="0.35"/>
    <row r="66439" hidden="1" x14ac:dyDescent="0.35"/>
    <row r="66440" hidden="1" x14ac:dyDescent="0.35"/>
    <row r="66441" hidden="1" x14ac:dyDescent="0.35"/>
    <row r="66442" hidden="1" x14ac:dyDescent="0.35"/>
    <row r="66443" hidden="1" x14ac:dyDescent="0.35"/>
    <row r="66444" hidden="1" x14ac:dyDescent="0.35"/>
    <row r="66445" hidden="1" x14ac:dyDescent="0.35"/>
    <row r="66446" hidden="1" x14ac:dyDescent="0.35"/>
    <row r="66447" hidden="1" x14ac:dyDescent="0.35"/>
    <row r="66448" hidden="1" x14ac:dyDescent="0.35"/>
    <row r="66449" hidden="1" x14ac:dyDescent="0.35"/>
    <row r="66450" hidden="1" x14ac:dyDescent="0.35"/>
    <row r="66451" hidden="1" x14ac:dyDescent="0.35"/>
    <row r="66452" hidden="1" x14ac:dyDescent="0.35"/>
    <row r="66453" hidden="1" x14ac:dyDescent="0.35"/>
    <row r="66454" hidden="1" x14ac:dyDescent="0.35"/>
    <row r="66455" hidden="1" x14ac:dyDescent="0.35"/>
    <row r="66456" hidden="1" x14ac:dyDescent="0.35"/>
    <row r="66457" hidden="1" x14ac:dyDescent="0.35"/>
    <row r="66458" hidden="1" x14ac:dyDescent="0.35"/>
    <row r="66459" hidden="1" x14ac:dyDescent="0.35"/>
    <row r="66460" hidden="1" x14ac:dyDescent="0.35"/>
    <row r="66461" hidden="1" x14ac:dyDescent="0.35"/>
    <row r="66462" hidden="1" x14ac:dyDescent="0.35"/>
    <row r="66463" hidden="1" x14ac:dyDescent="0.35"/>
    <row r="66464" hidden="1" x14ac:dyDescent="0.35"/>
    <row r="66465" hidden="1" x14ac:dyDescent="0.35"/>
    <row r="66466" hidden="1" x14ac:dyDescent="0.35"/>
    <row r="66467" hidden="1" x14ac:dyDescent="0.35"/>
    <row r="66468" hidden="1" x14ac:dyDescent="0.35"/>
    <row r="66469" hidden="1" x14ac:dyDescent="0.35"/>
    <row r="66470" hidden="1" x14ac:dyDescent="0.35"/>
    <row r="66471" hidden="1" x14ac:dyDescent="0.35"/>
    <row r="66472" hidden="1" x14ac:dyDescent="0.35"/>
    <row r="66473" hidden="1" x14ac:dyDescent="0.35"/>
    <row r="66474" hidden="1" x14ac:dyDescent="0.35"/>
    <row r="66475" hidden="1" x14ac:dyDescent="0.35"/>
    <row r="66476" hidden="1" x14ac:dyDescent="0.35"/>
    <row r="66477" hidden="1" x14ac:dyDescent="0.35"/>
    <row r="66478" hidden="1" x14ac:dyDescent="0.35"/>
    <row r="66479" hidden="1" x14ac:dyDescent="0.35"/>
    <row r="66480" hidden="1" x14ac:dyDescent="0.35"/>
    <row r="66481" hidden="1" x14ac:dyDescent="0.35"/>
    <row r="66482" hidden="1" x14ac:dyDescent="0.35"/>
    <row r="66483" hidden="1" x14ac:dyDescent="0.35"/>
    <row r="66484" hidden="1" x14ac:dyDescent="0.35"/>
    <row r="66485" hidden="1" x14ac:dyDescent="0.35"/>
    <row r="66486" hidden="1" x14ac:dyDescent="0.35"/>
    <row r="66487" hidden="1" x14ac:dyDescent="0.35"/>
    <row r="66488" hidden="1" x14ac:dyDescent="0.35"/>
    <row r="66489" hidden="1" x14ac:dyDescent="0.35"/>
    <row r="66490" hidden="1" x14ac:dyDescent="0.35"/>
    <row r="66491" hidden="1" x14ac:dyDescent="0.35"/>
    <row r="66492" hidden="1" x14ac:dyDescent="0.35"/>
    <row r="66493" hidden="1" x14ac:dyDescent="0.35"/>
    <row r="66494" hidden="1" x14ac:dyDescent="0.35"/>
    <row r="66495" hidden="1" x14ac:dyDescent="0.35"/>
    <row r="66496" hidden="1" x14ac:dyDescent="0.35"/>
    <row r="66497" hidden="1" x14ac:dyDescent="0.35"/>
    <row r="66498" hidden="1" x14ac:dyDescent="0.35"/>
    <row r="66499" hidden="1" x14ac:dyDescent="0.35"/>
    <row r="66500" hidden="1" x14ac:dyDescent="0.35"/>
    <row r="66501" hidden="1" x14ac:dyDescent="0.35"/>
    <row r="66502" hidden="1" x14ac:dyDescent="0.35"/>
    <row r="66503" hidden="1" x14ac:dyDescent="0.35"/>
    <row r="66504" hidden="1" x14ac:dyDescent="0.35"/>
    <row r="66505" hidden="1" x14ac:dyDescent="0.35"/>
    <row r="66506" hidden="1" x14ac:dyDescent="0.35"/>
    <row r="66507" hidden="1" x14ac:dyDescent="0.35"/>
    <row r="66508" hidden="1" x14ac:dyDescent="0.35"/>
    <row r="66509" hidden="1" x14ac:dyDescent="0.35"/>
    <row r="66510" hidden="1" x14ac:dyDescent="0.35"/>
    <row r="66511" hidden="1" x14ac:dyDescent="0.35"/>
    <row r="66512" hidden="1" x14ac:dyDescent="0.35"/>
    <row r="66513" hidden="1" x14ac:dyDescent="0.35"/>
    <row r="66514" hidden="1" x14ac:dyDescent="0.35"/>
    <row r="66515" hidden="1" x14ac:dyDescent="0.35"/>
    <row r="66516" hidden="1" x14ac:dyDescent="0.35"/>
    <row r="66517" hidden="1" x14ac:dyDescent="0.35"/>
    <row r="66518" hidden="1" x14ac:dyDescent="0.35"/>
    <row r="66519" hidden="1" x14ac:dyDescent="0.35"/>
    <row r="66520" hidden="1" x14ac:dyDescent="0.35"/>
    <row r="66521" hidden="1" x14ac:dyDescent="0.35"/>
    <row r="66522" hidden="1" x14ac:dyDescent="0.35"/>
    <row r="66523" hidden="1" x14ac:dyDescent="0.35"/>
    <row r="66524" hidden="1" x14ac:dyDescent="0.35"/>
    <row r="66525" hidden="1" x14ac:dyDescent="0.35"/>
    <row r="66526" hidden="1" x14ac:dyDescent="0.35"/>
    <row r="66527" hidden="1" x14ac:dyDescent="0.35"/>
    <row r="66528" hidden="1" x14ac:dyDescent="0.35"/>
    <row r="66529" hidden="1" x14ac:dyDescent="0.35"/>
    <row r="66530" hidden="1" x14ac:dyDescent="0.35"/>
    <row r="66531" hidden="1" x14ac:dyDescent="0.35"/>
    <row r="66532" hidden="1" x14ac:dyDescent="0.35"/>
    <row r="66533" hidden="1" x14ac:dyDescent="0.35"/>
    <row r="66534" hidden="1" x14ac:dyDescent="0.35"/>
    <row r="66535" hidden="1" x14ac:dyDescent="0.35"/>
    <row r="66536" hidden="1" x14ac:dyDescent="0.35"/>
    <row r="66537" hidden="1" x14ac:dyDescent="0.35"/>
    <row r="66538" hidden="1" x14ac:dyDescent="0.35"/>
    <row r="66539" hidden="1" x14ac:dyDescent="0.35"/>
    <row r="66540" hidden="1" x14ac:dyDescent="0.35"/>
    <row r="66541" hidden="1" x14ac:dyDescent="0.35"/>
    <row r="66542" hidden="1" x14ac:dyDescent="0.35"/>
    <row r="66543" hidden="1" x14ac:dyDescent="0.35"/>
    <row r="66544" hidden="1" x14ac:dyDescent="0.35"/>
    <row r="66545" hidden="1" x14ac:dyDescent="0.35"/>
    <row r="66546" hidden="1" x14ac:dyDescent="0.35"/>
    <row r="66547" hidden="1" x14ac:dyDescent="0.35"/>
    <row r="66548" hidden="1" x14ac:dyDescent="0.35"/>
    <row r="66549" hidden="1" x14ac:dyDescent="0.35"/>
    <row r="66550" hidden="1" x14ac:dyDescent="0.35"/>
    <row r="66551" hidden="1" x14ac:dyDescent="0.35"/>
    <row r="66552" hidden="1" x14ac:dyDescent="0.35"/>
    <row r="66553" hidden="1" x14ac:dyDescent="0.35"/>
    <row r="66554" hidden="1" x14ac:dyDescent="0.35"/>
    <row r="66555" hidden="1" x14ac:dyDescent="0.35"/>
    <row r="66556" hidden="1" x14ac:dyDescent="0.35"/>
    <row r="66557" hidden="1" x14ac:dyDescent="0.35"/>
    <row r="66558" hidden="1" x14ac:dyDescent="0.35"/>
    <row r="66559" hidden="1" x14ac:dyDescent="0.35"/>
    <row r="66560" hidden="1" x14ac:dyDescent="0.35"/>
    <row r="66561" hidden="1" x14ac:dyDescent="0.35"/>
    <row r="66562" hidden="1" x14ac:dyDescent="0.35"/>
    <row r="66563" hidden="1" x14ac:dyDescent="0.35"/>
    <row r="66564" hidden="1" x14ac:dyDescent="0.35"/>
    <row r="66565" hidden="1" x14ac:dyDescent="0.35"/>
    <row r="66566" hidden="1" x14ac:dyDescent="0.35"/>
    <row r="66567" hidden="1" x14ac:dyDescent="0.35"/>
    <row r="66568" hidden="1" x14ac:dyDescent="0.35"/>
    <row r="66569" hidden="1" x14ac:dyDescent="0.35"/>
    <row r="66570" hidden="1" x14ac:dyDescent="0.35"/>
    <row r="66571" hidden="1" x14ac:dyDescent="0.35"/>
    <row r="66572" hidden="1" x14ac:dyDescent="0.35"/>
    <row r="66573" hidden="1" x14ac:dyDescent="0.35"/>
    <row r="66574" hidden="1" x14ac:dyDescent="0.35"/>
    <row r="66575" hidden="1" x14ac:dyDescent="0.35"/>
    <row r="66576" hidden="1" x14ac:dyDescent="0.35"/>
    <row r="66577" hidden="1" x14ac:dyDescent="0.35"/>
    <row r="66578" hidden="1" x14ac:dyDescent="0.35"/>
    <row r="66579" hidden="1" x14ac:dyDescent="0.35"/>
    <row r="66580" hidden="1" x14ac:dyDescent="0.35"/>
    <row r="66581" hidden="1" x14ac:dyDescent="0.35"/>
    <row r="66582" hidden="1" x14ac:dyDescent="0.35"/>
    <row r="66583" hidden="1" x14ac:dyDescent="0.35"/>
    <row r="66584" hidden="1" x14ac:dyDescent="0.35"/>
    <row r="66585" hidden="1" x14ac:dyDescent="0.35"/>
    <row r="66586" hidden="1" x14ac:dyDescent="0.35"/>
    <row r="66587" hidden="1" x14ac:dyDescent="0.35"/>
    <row r="66588" hidden="1" x14ac:dyDescent="0.35"/>
    <row r="66589" hidden="1" x14ac:dyDescent="0.35"/>
    <row r="66590" hidden="1" x14ac:dyDescent="0.35"/>
    <row r="66591" hidden="1" x14ac:dyDescent="0.35"/>
    <row r="66592" hidden="1" x14ac:dyDescent="0.35"/>
    <row r="66593" hidden="1" x14ac:dyDescent="0.35"/>
    <row r="66594" hidden="1" x14ac:dyDescent="0.35"/>
    <row r="66595" hidden="1" x14ac:dyDescent="0.35"/>
    <row r="66596" hidden="1" x14ac:dyDescent="0.35"/>
    <row r="66597" hidden="1" x14ac:dyDescent="0.35"/>
    <row r="66598" hidden="1" x14ac:dyDescent="0.35"/>
    <row r="66599" hidden="1" x14ac:dyDescent="0.35"/>
    <row r="66600" hidden="1" x14ac:dyDescent="0.35"/>
    <row r="66601" hidden="1" x14ac:dyDescent="0.35"/>
    <row r="66602" hidden="1" x14ac:dyDescent="0.35"/>
    <row r="66603" hidden="1" x14ac:dyDescent="0.35"/>
    <row r="66604" hidden="1" x14ac:dyDescent="0.35"/>
    <row r="66605" hidden="1" x14ac:dyDescent="0.35"/>
    <row r="66606" hidden="1" x14ac:dyDescent="0.35"/>
    <row r="66607" hidden="1" x14ac:dyDescent="0.35"/>
    <row r="66608" hidden="1" x14ac:dyDescent="0.35"/>
    <row r="66609" hidden="1" x14ac:dyDescent="0.35"/>
    <row r="66610" hidden="1" x14ac:dyDescent="0.35"/>
    <row r="66611" hidden="1" x14ac:dyDescent="0.35"/>
    <row r="66612" hidden="1" x14ac:dyDescent="0.35"/>
    <row r="66613" hidden="1" x14ac:dyDescent="0.35"/>
    <row r="66614" hidden="1" x14ac:dyDescent="0.35"/>
    <row r="66615" hidden="1" x14ac:dyDescent="0.35"/>
    <row r="66616" hidden="1" x14ac:dyDescent="0.35"/>
    <row r="66617" hidden="1" x14ac:dyDescent="0.35"/>
    <row r="66618" hidden="1" x14ac:dyDescent="0.35"/>
    <row r="66619" hidden="1" x14ac:dyDescent="0.35"/>
    <row r="66620" hidden="1" x14ac:dyDescent="0.35"/>
    <row r="66621" hidden="1" x14ac:dyDescent="0.35"/>
    <row r="66622" hidden="1" x14ac:dyDescent="0.35"/>
    <row r="66623" hidden="1" x14ac:dyDescent="0.35"/>
    <row r="66624" hidden="1" x14ac:dyDescent="0.35"/>
    <row r="66625" hidden="1" x14ac:dyDescent="0.35"/>
    <row r="66626" hidden="1" x14ac:dyDescent="0.35"/>
    <row r="66627" hidden="1" x14ac:dyDescent="0.35"/>
    <row r="66628" hidden="1" x14ac:dyDescent="0.35"/>
    <row r="66629" hidden="1" x14ac:dyDescent="0.35"/>
    <row r="66630" hidden="1" x14ac:dyDescent="0.35"/>
    <row r="66631" hidden="1" x14ac:dyDescent="0.35"/>
    <row r="66632" hidden="1" x14ac:dyDescent="0.35"/>
    <row r="66633" hidden="1" x14ac:dyDescent="0.35"/>
    <row r="66634" hidden="1" x14ac:dyDescent="0.35"/>
    <row r="66635" hidden="1" x14ac:dyDescent="0.35"/>
    <row r="66636" hidden="1" x14ac:dyDescent="0.35"/>
    <row r="66637" hidden="1" x14ac:dyDescent="0.35"/>
    <row r="66638" hidden="1" x14ac:dyDescent="0.35"/>
    <row r="66639" hidden="1" x14ac:dyDescent="0.35"/>
    <row r="66640" hidden="1" x14ac:dyDescent="0.35"/>
    <row r="66641" hidden="1" x14ac:dyDescent="0.35"/>
    <row r="66642" hidden="1" x14ac:dyDescent="0.35"/>
    <row r="66643" hidden="1" x14ac:dyDescent="0.35"/>
    <row r="66644" hidden="1" x14ac:dyDescent="0.35"/>
    <row r="66645" hidden="1" x14ac:dyDescent="0.35"/>
    <row r="66646" hidden="1" x14ac:dyDescent="0.35"/>
    <row r="66647" hidden="1" x14ac:dyDescent="0.35"/>
    <row r="66648" hidden="1" x14ac:dyDescent="0.35"/>
    <row r="66649" hidden="1" x14ac:dyDescent="0.35"/>
    <row r="66650" hidden="1" x14ac:dyDescent="0.35"/>
    <row r="66651" hidden="1" x14ac:dyDescent="0.35"/>
    <row r="66652" hidden="1" x14ac:dyDescent="0.35"/>
    <row r="66653" hidden="1" x14ac:dyDescent="0.35"/>
    <row r="66654" hidden="1" x14ac:dyDescent="0.35"/>
    <row r="66655" hidden="1" x14ac:dyDescent="0.35"/>
    <row r="66656" hidden="1" x14ac:dyDescent="0.35"/>
    <row r="66657" hidden="1" x14ac:dyDescent="0.35"/>
    <row r="66658" hidden="1" x14ac:dyDescent="0.35"/>
    <row r="66659" hidden="1" x14ac:dyDescent="0.35"/>
    <row r="66660" hidden="1" x14ac:dyDescent="0.35"/>
    <row r="66661" hidden="1" x14ac:dyDescent="0.35"/>
    <row r="66662" hidden="1" x14ac:dyDescent="0.35"/>
    <row r="66663" hidden="1" x14ac:dyDescent="0.35"/>
    <row r="66664" hidden="1" x14ac:dyDescent="0.35"/>
    <row r="66665" hidden="1" x14ac:dyDescent="0.35"/>
    <row r="66666" hidden="1" x14ac:dyDescent="0.35"/>
    <row r="66667" hidden="1" x14ac:dyDescent="0.35"/>
    <row r="66668" hidden="1" x14ac:dyDescent="0.35"/>
    <row r="66669" hidden="1" x14ac:dyDescent="0.35"/>
    <row r="66670" hidden="1" x14ac:dyDescent="0.35"/>
    <row r="66671" hidden="1" x14ac:dyDescent="0.35"/>
    <row r="66672" hidden="1" x14ac:dyDescent="0.35"/>
    <row r="66673" hidden="1" x14ac:dyDescent="0.35"/>
    <row r="66674" hidden="1" x14ac:dyDescent="0.35"/>
    <row r="66675" hidden="1" x14ac:dyDescent="0.35"/>
    <row r="66676" hidden="1" x14ac:dyDescent="0.35"/>
    <row r="66677" hidden="1" x14ac:dyDescent="0.35"/>
    <row r="66678" hidden="1" x14ac:dyDescent="0.35"/>
    <row r="66679" hidden="1" x14ac:dyDescent="0.35"/>
    <row r="66680" hidden="1" x14ac:dyDescent="0.35"/>
    <row r="66681" hidden="1" x14ac:dyDescent="0.35"/>
    <row r="66682" hidden="1" x14ac:dyDescent="0.35"/>
    <row r="66683" hidden="1" x14ac:dyDescent="0.35"/>
    <row r="66684" hidden="1" x14ac:dyDescent="0.35"/>
    <row r="66685" hidden="1" x14ac:dyDescent="0.35"/>
    <row r="66686" hidden="1" x14ac:dyDescent="0.35"/>
    <row r="66687" hidden="1" x14ac:dyDescent="0.35"/>
    <row r="66688" hidden="1" x14ac:dyDescent="0.35"/>
    <row r="66689" hidden="1" x14ac:dyDescent="0.35"/>
    <row r="66690" hidden="1" x14ac:dyDescent="0.35"/>
    <row r="66691" hidden="1" x14ac:dyDescent="0.35"/>
    <row r="66692" hidden="1" x14ac:dyDescent="0.35"/>
    <row r="66693" hidden="1" x14ac:dyDescent="0.35"/>
    <row r="66694" hidden="1" x14ac:dyDescent="0.35"/>
    <row r="66695" hidden="1" x14ac:dyDescent="0.35"/>
    <row r="66696" hidden="1" x14ac:dyDescent="0.35"/>
    <row r="66697" hidden="1" x14ac:dyDescent="0.35"/>
    <row r="66698" hidden="1" x14ac:dyDescent="0.35"/>
    <row r="66699" hidden="1" x14ac:dyDescent="0.35"/>
    <row r="66700" hidden="1" x14ac:dyDescent="0.35"/>
    <row r="66701" hidden="1" x14ac:dyDescent="0.35"/>
    <row r="66702" hidden="1" x14ac:dyDescent="0.35"/>
    <row r="66703" hidden="1" x14ac:dyDescent="0.35"/>
    <row r="66704" hidden="1" x14ac:dyDescent="0.35"/>
    <row r="66705" hidden="1" x14ac:dyDescent="0.35"/>
    <row r="66706" hidden="1" x14ac:dyDescent="0.35"/>
    <row r="66707" hidden="1" x14ac:dyDescent="0.35"/>
    <row r="66708" hidden="1" x14ac:dyDescent="0.35"/>
    <row r="66709" hidden="1" x14ac:dyDescent="0.35"/>
    <row r="66710" hidden="1" x14ac:dyDescent="0.35"/>
    <row r="66711" hidden="1" x14ac:dyDescent="0.35"/>
    <row r="66712" hidden="1" x14ac:dyDescent="0.35"/>
    <row r="66713" hidden="1" x14ac:dyDescent="0.35"/>
    <row r="66714" hidden="1" x14ac:dyDescent="0.35"/>
    <row r="66715" hidden="1" x14ac:dyDescent="0.35"/>
    <row r="66716" hidden="1" x14ac:dyDescent="0.35"/>
    <row r="66717" hidden="1" x14ac:dyDescent="0.35"/>
    <row r="66718" hidden="1" x14ac:dyDescent="0.35"/>
    <row r="66719" hidden="1" x14ac:dyDescent="0.35"/>
    <row r="66720" hidden="1" x14ac:dyDescent="0.35"/>
    <row r="66721" hidden="1" x14ac:dyDescent="0.35"/>
    <row r="66722" hidden="1" x14ac:dyDescent="0.35"/>
    <row r="66723" hidden="1" x14ac:dyDescent="0.35"/>
    <row r="66724" hidden="1" x14ac:dyDescent="0.35"/>
    <row r="66725" hidden="1" x14ac:dyDescent="0.35"/>
    <row r="66726" hidden="1" x14ac:dyDescent="0.35"/>
    <row r="66727" hidden="1" x14ac:dyDescent="0.35"/>
    <row r="66728" hidden="1" x14ac:dyDescent="0.35"/>
    <row r="66729" hidden="1" x14ac:dyDescent="0.35"/>
    <row r="66730" hidden="1" x14ac:dyDescent="0.35"/>
    <row r="66731" hidden="1" x14ac:dyDescent="0.35"/>
    <row r="66732" hidden="1" x14ac:dyDescent="0.35"/>
    <row r="66733" hidden="1" x14ac:dyDescent="0.35"/>
    <row r="66734" hidden="1" x14ac:dyDescent="0.35"/>
    <row r="66735" hidden="1" x14ac:dyDescent="0.35"/>
    <row r="66736" hidden="1" x14ac:dyDescent="0.35"/>
    <row r="66737" hidden="1" x14ac:dyDescent="0.35"/>
    <row r="66738" hidden="1" x14ac:dyDescent="0.35"/>
    <row r="66739" hidden="1" x14ac:dyDescent="0.35"/>
    <row r="66740" hidden="1" x14ac:dyDescent="0.35"/>
    <row r="66741" hidden="1" x14ac:dyDescent="0.35"/>
    <row r="66742" hidden="1" x14ac:dyDescent="0.35"/>
    <row r="66743" hidden="1" x14ac:dyDescent="0.35"/>
    <row r="66744" hidden="1" x14ac:dyDescent="0.35"/>
    <row r="66745" hidden="1" x14ac:dyDescent="0.35"/>
    <row r="66746" hidden="1" x14ac:dyDescent="0.35"/>
    <row r="66747" hidden="1" x14ac:dyDescent="0.35"/>
    <row r="66748" hidden="1" x14ac:dyDescent="0.35"/>
    <row r="66749" hidden="1" x14ac:dyDescent="0.35"/>
    <row r="66750" hidden="1" x14ac:dyDescent="0.35"/>
    <row r="66751" hidden="1" x14ac:dyDescent="0.35"/>
    <row r="66752" hidden="1" x14ac:dyDescent="0.35"/>
    <row r="66753" hidden="1" x14ac:dyDescent="0.35"/>
    <row r="66754" hidden="1" x14ac:dyDescent="0.35"/>
    <row r="66755" hidden="1" x14ac:dyDescent="0.35"/>
    <row r="66756" hidden="1" x14ac:dyDescent="0.35"/>
    <row r="66757" hidden="1" x14ac:dyDescent="0.35"/>
    <row r="66758" hidden="1" x14ac:dyDescent="0.35"/>
    <row r="66759" hidden="1" x14ac:dyDescent="0.35"/>
    <row r="66760" hidden="1" x14ac:dyDescent="0.35"/>
    <row r="66761" hidden="1" x14ac:dyDescent="0.35"/>
    <row r="66762" hidden="1" x14ac:dyDescent="0.35"/>
    <row r="66763" hidden="1" x14ac:dyDescent="0.35"/>
    <row r="66764" hidden="1" x14ac:dyDescent="0.35"/>
    <row r="66765" hidden="1" x14ac:dyDescent="0.35"/>
    <row r="66766" hidden="1" x14ac:dyDescent="0.35"/>
    <row r="66767" hidden="1" x14ac:dyDescent="0.35"/>
    <row r="66768" hidden="1" x14ac:dyDescent="0.35"/>
    <row r="66769" hidden="1" x14ac:dyDescent="0.35"/>
    <row r="66770" hidden="1" x14ac:dyDescent="0.35"/>
    <row r="66771" hidden="1" x14ac:dyDescent="0.35"/>
    <row r="66772" hidden="1" x14ac:dyDescent="0.35"/>
    <row r="66773" hidden="1" x14ac:dyDescent="0.35"/>
    <row r="66774" hidden="1" x14ac:dyDescent="0.35"/>
    <row r="66775" hidden="1" x14ac:dyDescent="0.35"/>
    <row r="66776" hidden="1" x14ac:dyDescent="0.35"/>
    <row r="66777" hidden="1" x14ac:dyDescent="0.35"/>
    <row r="66778" hidden="1" x14ac:dyDescent="0.35"/>
    <row r="66779" hidden="1" x14ac:dyDescent="0.35"/>
    <row r="66780" hidden="1" x14ac:dyDescent="0.35"/>
    <row r="66781" hidden="1" x14ac:dyDescent="0.35"/>
    <row r="66782" hidden="1" x14ac:dyDescent="0.35"/>
    <row r="66783" hidden="1" x14ac:dyDescent="0.35"/>
    <row r="66784" hidden="1" x14ac:dyDescent="0.35"/>
    <row r="66785" hidden="1" x14ac:dyDescent="0.35"/>
    <row r="66786" hidden="1" x14ac:dyDescent="0.35"/>
    <row r="66787" hidden="1" x14ac:dyDescent="0.35"/>
    <row r="66788" hidden="1" x14ac:dyDescent="0.35"/>
    <row r="66789" hidden="1" x14ac:dyDescent="0.35"/>
    <row r="66790" hidden="1" x14ac:dyDescent="0.35"/>
    <row r="66791" hidden="1" x14ac:dyDescent="0.35"/>
    <row r="66792" hidden="1" x14ac:dyDescent="0.35"/>
    <row r="66793" hidden="1" x14ac:dyDescent="0.35"/>
    <row r="66794" hidden="1" x14ac:dyDescent="0.35"/>
    <row r="66795" hidden="1" x14ac:dyDescent="0.35"/>
    <row r="66796" hidden="1" x14ac:dyDescent="0.35"/>
    <row r="66797" hidden="1" x14ac:dyDescent="0.35"/>
    <row r="66798" hidden="1" x14ac:dyDescent="0.35"/>
    <row r="66799" hidden="1" x14ac:dyDescent="0.35"/>
    <row r="66800" hidden="1" x14ac:dyDescent="0.35"/>
    <row r="66801" hidden="1" x14ac:dyDescent="0.35"/>
    <row r="66802" hidden="1" x14ac:dyDescent="0.35"/>
    <row r="66803" hidden="1" x14ac:dyDescent="0.35"/>
    <row r="66804" hidden="1" x14ac:dyDescent="0.35"/>
    <row r="66805" hidden="1" x14ac:dyDescent="0.35"/>
    <row r="66806" hidden="1" x14ac:dyDescent="0.35"/>
    <row r="66807" hidden="1" x14ac:dyDescent="0.35"/>
    <row r="66808" hidden="1" x14ac:dyDescent="0.35"/>
    <row r="66809" hidden="1" x14ac:dyDescent="0.35"/>
    <row r="66810" hidden="1" x14ac:dyDescent="0.35"/>
    <row r="66811" hidden="1" x14ac:dyDescent="0.35"/>
    <row r="66812" hidden="1" x14ac:dyDescent="0.35"/>
    <row r="66813" hidden="1" x14ac:dyDescent="0.35"/>
    <row r="66814" hidden="1" x14ac:dyDescent="0.35"/>
    <row r="66815" hidden="1" x14ac:dyDescent="0.35"/>
    <row r="66816" hidden="1" x14ac:dyDescent="0.35"/>
    <row r="66817" hidden="1" x14ac:dyDescent="0.35"/>
    <row r="66818" hidden="1" x14ac:dyDescent="0.35"/>
    <row r="66819" hidden="1" x14ac:dyDescent="0.35"/>
    <row r="66820" hidden="1" x14ac:dyDescent="0.35"/>
    <row r="66821" hidden="1" x14ac:dyDescent="0.35"/>
    <row r="66822" hidden="1" x14ac:dyDescent="0.35"/>
    <row r="66823" hidden="1" x14ac:dyDescent="0.35"/>
    <row r="66824" hidden="1" x14ac:dyDescent="0.35"/>
    <row r="66825" hidden="1" x14ac:dyDescent="0.35"/>
    <row r="66826" hidden="1" x14ac:dyDescent="0.35"/>
    <row r="66827" hidden="1" x14ac:dyDescent="0.35"/>
    <row r="66828" hidden="1" x14ac:dyDescent="0.35"/>
    <row r="66829" hidden="1" x14ac:dyDescent="0.35"/>
    <row r="66830" hidden="1" x14ac:dyDescent="0.35"/>
    <row r="66831" hidden="1" x14ac:dyDescent="0.35"/>
    <row r="66832" hidden="1" x14ac:dyDescent="0.35"/>
    <row r="66833" hidden="1" x14ac:dyDescent="0.35"/>
    <row r="66834" hidden="1" x14ac:dyDescent="0.35"/>
    <row r="66835" hidden="1" x14ac:dyDescent="0.35"/>
    <row r="66836" hidden="1" x14ac:dyDescent="0.35"/>
    <row r="66837" hidden="1" x14ac:dyDescent="0.35"/>
    <row r="66838" hidden="1" x14ac:dyDescent="0.35"/>
    <row r="66839" hidden="1" x14ac:dyDescent="0.35"/>
    <row r="66840" hidden="1" x14ac:dyDescent="0.35"/>
    <row r="66841" hidden="1" x14ac:dyDescent="0.35"/>
    <row r="66842" hidden="1" x14ac:dyDescent="0.35"/>
    <row r="66843" hidden="1" x14ac:dyDescent="0.35"/>
    <row r="66844" hidden="1" x14ac:dyDescent="0.35"/>
    <row r="66845" hidden="1" x14ac:dyDescent="0.35"/>
    <row r="66846" hidden="1" x14ac:dyDescent="0.35"/>
    <row r="66847" hidden="1" x14ac:dyDescent="0.35"/>
    <row r="66848" hidden="1" x14ac:dyDescent="0.35"/>
    <row r="66849" hidden="1" x14ac:dyDescent="0.35"/>
    <row r="66850" hidden="1" x14ac:dyDescent="0.35"/>
    <row r="66851" hidden="1" x14ac:dyDescent="0.35"/>
    <row r="66852" hidden="1" x14ac:dyDescent="0.35"/>
    <row r="66853" hidden="1" x14ac:dyDescent="0.35"/>
    <row r="66854" hidden="1" x14ac:dyDescent="0.35"/>
    <row r="66855" hidden="1" x14ac:dyDescent="0.35"/>
    <row r="66856" hidden="1" x14ac:dyDescent="0.35"/>
    <row r="66857" hidden="1" x14ac:dyDescent="0.35"/>
    <row r="66858" hidden="1" x14ac:dyDescent="0.35"/>
    <row r="66859" hidden="1" x14ac:dyDescent="0.35"/>
    <row r="66860" hidden="1" x14ac:dyDescent="0.35"/>
    <row r="66861" hidden="1" x14ac:dyDescent="0.35"/>
    <row r="66862" hidden="1" x14ac:dyDescent="0.35"/>
    <row r="66863" hidden="1" x14ac:dyDescent="0.35"/>
    <row r="66864" hidden="1" x14ac:dyDescent="0.35"/>
    <row r="66865" hidden="1" x14ac:dyDescent="0.35"/>
    <row r="66866" hidden="1" x14ac:dyDescent="0.35"/>
    <row r="66867" hidden="1" x14ac:dyDescent="0.35"/>
    <row r="66868" hidden="1" x14ac:dyDescent="0.35"/>
    <row r="66869" hidden="1" x14ac:dyDescent="0.35"/>
    <row r="66870" hidden="1" x14ac:dyDescent="0.35"/>
    <row r="66871" hidden="1" x14ac:dyDescent="0.35"/>
    <row r="66872" hidden="1" x14ac:dyDescent="0.35"/>
    <row r="66873" hidden="1" x14ac:dyDescent="0.35"/>
    <row r="66874" hidden="1" x14ac:dyDescent="0.35"/>
    <row r="66875" hidden="1" x14ac:dyDescent="0.35"/>
    <row r="66876" hidden="1" x14ac:dyDescent="0.35"/>
    <row r="66877" hidden="1" x14ac:dyDescent="0.35"/>
    <row r="66878" hidden="1" x14ac:dyDescent="0.35"/>
    <row r="66879" hidden="1" x14ac:dyDescent="0.35"/>
    <row r="66880" hidden="1" x14ac:dyDescent="0.35"/>
    <row r="66881" hidden="1" x14ac:dyDescent="0.35"/>
    <row r="66882" hidden="1" x14ac:dyDescent="0.35"/>
    <row r="66883" hidden="1" x14ac:dyDescent="0.35"/>
    <row r="66884" hidden="1" x14ac:dyDescent="0.35"/>
    <row r="66885" hidden="1" x14ac:dyDescent="0.35"/>
    <row r="66886" hidden="1" x14ac:dyDescent="0.35"/>
    <row r="66887" hidden="1" x14ac:dyDescent="0.35"/>
    <row r="66888" hidden="1" x14ac:dyDescent="0.35"/>
    <row r="66889" hidden="1" x14ac:dyDescent="0.35"/>
    <row r="66890" hidden="1" x14ac:dyDescent="0.35"/>
    <row r="66891" hidden="1" x14ac:dyDescent="0.35"/>
    <row r="66892" hidden="1" x14ac:dyDescent="0.35"/>
    <row r="66893" hidden="1" x14ac:dyDescent="0.35"/>
    <row r="66894" hidden="1" x14ac:dyDescent="0.35"/>
    <row r="66895" hidden="1" x14ac:dyDescent="0.35"/>
    <row r="66896" hidden="1" x14ac:dyDescent="0.35"/>
    <row r="66897" hidden="1" x14ac:dyDescent="0.35"/>
    <row r="66898" hidden="1" x14ac:dyDescent="0.35"/>
    <row r="66899" hidden="1" x14ac:dyDescent="0.35"/>
    <row r="66900" hidden="1" x14ac:dyDescent="0.35"/>
    <row r="66901" hidden="1" x14ac:dyDescent="0.35"/>
    <row r="66902" hidden="1" x14ac:dyDescent="0.35"/>
    <row r="66903" hidden="1" x14ac:dyDescent="0.35"/>
    <row r="66904" hidden="1" x14ac:dyDescent="0.35"/>
    <row r="66905" hidden="1" x14ac:dyDescent="0.35"/>
    <row r="66906" hidden="1" x14ac:dyDescent="0.35"/>
    <row r="66907" hidden="1" x14ac:dyDescent="0.35"/>
    <row r="66908" hidden="1" x14ac:dyDescent="0.35"/>
    <row r="66909" hidden="1" x14ac:dyDescent="0.35"/>
    <row r="66910" hidden="1" x14ac:dyDescent="0.35"/>
    <row r="66911" hidden="1" x14ac:dyDescent="0.35"/>
    <row r="66912" hidden="1" x14ac:dyDescent="0.35"/>
    <row r="66913" hidden="1" x14ac:dyDescent="0.35"/>
    <row r="66914" hidden="1" x14ac:dyDescent="0.35"/>
    <row r="66915" hidden="1" x14ac:dyDescent="0.35"/>
    <row r="66916" hidden="1" x14ac:dyDescent="0.35"/>
    <row r="66917" hidden="1" x14ac:dyDescent="0.35"/>
    <row r="66918" hidden="1" x14ac:dyDescent="0.35"/>
    <row r="66919" hidden="1" x14ac:dyDescent="0.35"/>
    <row r="66920" hidden="1" x14ac:dyDescent="0.35"/>
    <row r="66921" hidden="1" x14ac:dyDescent="0.35"/>
    <row r="66922" hidden="1" x14ac:dyDescent="0.35"/>
    <row r="66923" hidden="1" x14ac:dyDescent="0.35"/>
    <row r="66924" hidden="1" x14ac:dyDescent="0.35"/>
    <row r="66925" hidden="1" x14ac:dyDescent="0.35"/>
    <row r="66926" hidden="1" x14ac:dyDescent="0.35"/>
    <row r="66927" hidden="1" x14ac:dyDescent="0.35"/>
    <row r="66928" hidden="1" x14ac:dyDescent="0.35"/>
    <row r="66929" hidden="1" x14ac:dyDescent="0.35"/>
    <row r="66930" hidden="1" x14ac:dyDescent="0.35"/>
    <row r="66931" hidden="1" x14ac:dyDescent="0.35"/>
    <row r="66932" hidden="1" x14ac:dyDescent="0.35"/>
    <row r="66933" hidden="1" x14ac:dyDescent="0.35"/>
    <row r="66934" hidden="1" x14ac:dyDescent="0.35"/>
    <row r="66935" hidden="1" x14ac:dyDescent="0.35"/>
    <row r="66936" hidden="1" x14ac:dyDescent="0.35"/>
    <row r="66937" hidden="1" x14ac:dyDescent="0.35"/>
    <row r="66938" hidden="1" x14ac:dyDescent="0.35"/>
    <row r="66939" hidden="1" x14ac:dyDescent="0.35"/>
    <row r="66940" hidden="1" x14ac:dyDescent="0.35"/>
    <row r="66941" hidden="1" x14ac:dyDescent="0.35"/>
    <row r="66942" hidden="1" x14ac:dyDescent="0.35"/>
    <row r="66943" hidden="1" x14ac:dyDescent="0.35"/>
    <row r="66944" hidden="1" x14ac:dyDescent="0.35"/>
    <row r="66945" hidden="1" x14ac:dyDescent="0.35"/>
    <row r="66946" hidden="1" x14ac:dyDescent="0.35"/>
    <row r="66947" hidden="1" x14ac:dyDescent="0.35"/>
    <row r="66948" hidden="1" x14ac:dyDescent="0.35"/>
    <row r="66949" hidden="1" x14ac:dyDescent="0.35"/>
    <row r="66950" hidden="1" x14ac:dyDescent="0.35"/>
    <row r="66951" hidden="1" x14ac:dyDescent="0.35"/>
    <row r="66952" hidden="1" x14ac:dyDescent="0.35"/>
    <row r="66953" hidden="1" x14ac:dyDescent="0.35"/>
    <row r="66954" hidden="1" x14ac:dyDescent="0.35"/>
    <row r="66955" hidden="1" x14ac:dyDescent="0.35"/>
    <row r="66956" hidden="1" x14ac:dyDescent="0.35"/>
    <row r="66957" hidden="1" x14ac:dyDescent="0.35"/>
    <row r="66958" hidden="1" x14ac:dyDescent="0.35"/>
    <row r="66959" hidden="1" x14ac:dyDescent="0.35"/>
    <row r="66960" hidden="1" x14ac:dyDescent="0.35"/>
    <row r="66961" hidden="1" x14ac:dyDescent="0.35"/>
    <row r="66962" hidden="1" x14ac:dyDescent="0.35"/>
    <row r="66963" hidden="1" x14ac:dyDescent="0.35"/>
    <row r="66964" hidden="1" x14ac:dyDescent="0.35"/>
    <row r="66965" hidden="1" x14ac:dyDescent="0.35"/>
    <row r="66966" hidden="1" x14ac:dyDescent="0.35"/>
    <row r="66967" hidden="1" x14ac:dyDescent="0.35"/>
    <row r="66968" hidden="1" x14ac:dyDescent="0.35"/>
    <row r="66969" hidden="1" x14ac:dyDescent="0.35"/>
    <row r="66970" hidden="1" x14ac:dyDescent="0.35"/>
    <row r="66971" hidden="1" x14ac:dyDescent="0.35"/>
    <row r="66972" hidden="1" x14ac:dyDescent="0.35"/>
    <row r="66973" hidden="1" x14ac:dyDescent="0.35"/>
    <row r="66974" hidden="1" x14ac:dyDescent="0.35"/>
    <row r="66975" hidden="1" x14ac:dyDescent="0.35"/>
    <row r="66976" hidden="1" x14ac:dyDescent="0.35"/>
    <row r="66977" hidden="1" x14ac:dyDescent="0.35"/>
    <row r="66978" hidden="1" x14ac:dyDescent="0.35"/>
    <row r="66979" hidden="1" x14ac:dyDescent="0.35"/>
    <row r="66980" hidden="1" x14ac:dyDescent="0.35"/>
    <row r="66981" hidden="1" x14ac:dyDescent="0.35"/>
    <row r="66982" hidden="1" x14ac:dyDescent="0.35"/>
    <row r="66983" hidden="1" x14ac:dyDescent="0.35"/>
    <row r="66984" hidden="1" x14ac:dyDescent="0.35"/>
    <row r="66985" hidden="1" x14ac:dyDescent="0.35"/>
    <row r="66986" hidden="1" x14ac:dyDescent="0.35"/>
    <row r="66987" hidden="1" x14ac:dyDescent="0.35"/>
    <row r="66988" hidden="1" x14ac:dyDescent="0.35"/>
    <row r="66989" hidden="1" x14ac:dyDescent="0.35"/>
    <row r="66990" hidden="1" x14ac:dyDescent="0.35"/>
    <row r="66991" hidden="1" x14ac:dyDescent="0.35"/>
    <row r="66992" hidden="1" x14ac:dyDescent="0.35"/>
    <row r="66993" hidden="1" x14ac:dyDescent="0.35"/>
    <row r="66994" hidden="1" x14ac:dyDescent="0.35"/>
    <row r="66995" hidden="1" x14ac:dyDescent="0.35"/>
    <row r="66996" hidden="1" x14ac:dyDescent="0.35"/>
    <row r="66997" hidden="1" x14ac:dyDescent="0.35"/>
    <row r="66998" hidden="1" x14ac:dyDescent="0.35"/>
    <row r="66999" hidden="1" x14ac:dyDescent="0.35"/>
    <row r="67000" hidden="1" x14ac:dyDescent="0.35"/>
    <row r="67001" hidden="1" x14ac:dyDescent="0.35"/>
    <row r="67002" hidden="1" x14ac:dyDescent="0.35"/>
    <row r="67003" hidden="1" x14ac:dyDescent="0.35"/>
    <row r="67004" hidden="1" x14ac:dyDescent="0.35"/>
    <row r="67005" hidden="1" x14ac:dyDescent="0.35"/>
    <row r="67006" hidden="1" x14ac:dyDescent="0.35"/>
    <row r="67007" hidden="1" x14ac:dyDescent="0.35"/>
    <row r="67008" hidden="1" x14ac:dyDescent="0.35"/>
    <row r="67009" hidden="1" x14ac:dyDescent="0.35"/>
    <row r="67010" hidden="1" x14ac:dyDescent="0.35"/>
    <row r="67011" hidden="1" x14ac:dyDescent="0.35"/>
    <row r="67012" hidden="1" x14ac:dyDescent="0.35"/>
    <row r="67013" hidden="1" x14ac:dyDescent="0.35"/>
    <row r="67014" hidden="1" x14ac:dyDescent="0.35"/>
    <row r="67015" hidden="1" x14ac:dyDescent="0.35"/>
    <row r="67016" hidden="1" x14ac:dyDescent="0.35"/>
    <row r="67017" hidden="1" x14ac:dyDescent="0.35"/>
    <row r="67018" hidden="1" x14ac:dyDescent="0.35"/>
    <row r="67019" hidden="1" x14ac:dyDescent="0.35"/>
    <row r="67020" hidden="1" x14ac:dyDescent="0.35"/>
    <row r="67021" hidden="1" x14ac:dyDescent="0.35"/>
    <row r="67022" hidden="1" x14ac:dyDescent="0.35"/>
    <row r="67023" hidden="1" x14ac:dyDescent="0.35"/>
    <row r="67024" hidden="1" x14ac:dyDescent="0.35"/>
    <row r="67025" hidden="1" x14ac:dyDescent="0.35"/>
    <row r="67026" hidden="1" x14ac:dyDescent="0.35"/>
    <row r="67027" hidden="1" x14ac:dyDescent="0.35"/>
    <row r="67028" hidden="1" x14ac:dyDescent="0.35"/>
    <row r="67029" hidden="1" x14ac:dyDescent="0.35"/>
    <row r="67030" hidden="1" x14ac:dyDescent="0.35"/>
    <row r="67031" hidden="1" x14ac:dyDescent="0.35"/>
    <row r="67032" hidden="1" x14ac:dyDescent="0.35"/>
    <row r="67033" hidden="1" x14ac:dyDescent="0.35"/>
    <row r="67034" hidden="1" x14ac:dyDescent="0.35"/>
    <row r="67035" hidden="1" x14ac:dyDescent="0.35"/>
    <row r="67036" hidden="1" x14ac:dyDescent="0.35"/>
    <row r="67037" hidden="1" x14ac:dyDescent="0.35"/>
    <row r="67038" hidden="1" x14ac:dyDescent="0.35"/>
    <row r="67039" hidden="1" x14ac:dyDescent="0.35"/>
    <row r="67040" hidden="1" x14ac:dyDescent="0.35"/>
    <row r="67041" hidden="1" x14ac:dyDescent="0.35"/>
    <row r="67042" hidden="1" x14ac:dyDescent="0.35"/>
    <row r="67043" hidden="1" x14ac:dyDescent="0.35"/>
    <row r="67044" hidden="1" x14ac:dyDescent="0.35"/>
    <row r="67045" hidden="1" x14ac:dyDescent="0.35"/>
    <row r="67046" hidden="1" x14ac:dyDescent="0.35"/>
    <row r="67047" hidden="1" x14ac:dyDescent="0.35"/>
    <row r="67048" hidden="1" x14ac:dyDescent="0.35"/>
    <row r="67049" hidden="1" x14ac:dyDescent="0.35"/>
    <row r="67050" hidden="1" x14ac:dyDescent="0.35"/>
    <row r="67051" hidden="1" x14ac:dyDescent="0.35"/>
    <row r="67052" hidden="1" x14ac:dyDescent="0.35"/>
    <row r="67053" hidden="1" x14ac:dyDescent="0.35"/>
    <row r="67054" hidden="1" x14ac:dyDescent="0.35"/>
    <row r="67055" hidden="1" x14ac:dyDescent="0.35"/>
    <row r="67056" hidden="1" x14ac:dyDescent="0.35"/>
    <row r="67057" hidden="1" x14ac:dyDescent="0.35"/>
    <row r="67058" hidden="1" x14ac:dyDescent="0.35"/>
    <row r="67059" hidden="1" x14ac:dyDescent="0.35"/>
    <row r="67060" hidden="1" x14ac:dyDescent="0.35"/>
    <row r="67061" hidden="1" x14ac:dyDescent="0.35"/>
    <row r="67062" hidden="1" x14ac:dyDescent="0.35"/>
    <row r="67063" hidden="1" x14ac:dyDescent="0.35"/>
    <row r="67064" hidden="1" x14ac:dyDescent="0.35"/>
    <row r="67065" hidden="1" x14ac:dyDescent="0.35"/>
    <row r="67066" hidden="1" x14ac:dyDescent="0.35"/>
    <row r="67067" hidden="1" x14ac:dyDescent="0.35"/>
    <row r="67068" hidden="1" x14ac:dyDescent="0.35"/>
    <row r="67069" hidden="1" x14ac:dyDescent="0.35"/>
    <row r="67070" hidden="1" x14ac:dyDescent="0.35"/>
    <row r="67071" hidden="1" x14ac:dyDescent="0.35"/>
    <row r="67072" hidden="1" x14ac:dyDescent="0.35"/>
    <row r="67073" hidden="1" x14ac:dyDescent="0.35"/>
    <row r="67074" hidden="1" x14ac:dyDescent="0.35"/>
    <row r="67075" hidden="1" x14ac:dyDescent="0.35"/>
    <row r="67076" hidden="1" x14ac:dyDescent="0.35"/>
    <row r="67077" hidden="1" x14ac:dyDescent="0.35"/>
    <row r="67078" hidden="1" x14ac:dyDescent="0.35"/>
    <row r="67079" hidden="1" x14ac:dyDescent="0.35"/>
    <row r="67080" hidden="1" x14ac:dyDescent="0.35"/>
    <row r="67081" hidden="1" x14ac:dyDescent="0.35"/>
    <row r="67082" hidden="1" x14ac:dyDescent="0.35"/>
    <row r="67083" hidden="1" x14ac:dyDescent="0.35"/>
    <row r="67084" hidden="1" x14ac:dyDescent="0.35"/>
    <row r="67085" hidden="1" x14ac:dyDescent="0.35"/>
    <row r="67086" hidden="1" x14ac:dyDescent="0.35"/>
    <row r="67087" hidden="1" x14ac:dyDescent="0.35"/>
    <row r="67088" hidden="1" x14ac:dyDescent="0.35"/>
    <row r="67089" hidden="1" x14ac:dyDescent="0.35"/>
    <row r="67090" hidden="1" x14ac:dyDescent="0.35"/>
    <row r="67091" hidden="1" x14ac:dyDescent="0.35"/>
    <row r="67092" hidden="1" x14ac:dyDescent="0.35"/>
    <row r="67093" hidden="1" x14ac:dyDescent="0.35"/>
    <row r="67094" hidden="1" x14ac:dyDescent="0.35"/>
    <row r="67095" hidden="1" x14ac:dyDescent="0.35"/>
    <row r="67096" hidden="1" x14ac:dyDescent="0.35"/>
    <row r="67097" hidden="1" x14ac:dyDescent="0.35"/>
    <row r="67098" hidden="1" x14ac:dyDescent="0.35"/>
    <row r="67099" hidden="1" x14ac:dyDescent="0.35"/>
    <row r="67100" hidden="1" x14ac:dyDescent="0.35"/>
    <row r="67101" hidden="1" x14ac:dyDescent="0.35"/>
    <row r="67102" hidden="1" x14ac:dyDescent="0.35"/>
    <row r="67103" hidden="1" x14ac:dyDescent="0.35"/>
    <row r="67104" hidden="1" x14ac:dyDescent="0.35"/>
    <row r="67105" hidden="1" x14ac:dyDescent="0.35"/>
    <row r="67106" hidden="1" x14ac:dyDescent="0.35"/>
    <row r="67107" hidden="1" x14ac:dyDescent="0.35"/>
    <row r="67108" hidden="1" x14ac:dyDescent="0.35"/>
    <row r="67109" hidden="1" x14ac:dyDescent="0.35"/>
    <row r="67110" hidden="1" x14ac:dyDescent="0.35"/>
    <row r="67111" hidden="1" x14ac:dyDescent="0.35"/>
    <row r="67112" hidden="1" x14ac:dyDescent="0.35"/>
    <row r="67113" hidden="1" x14ac:dyDescent="0.35"/>
    <row r="67114" hidden="1" x14ac:dyDescent="0.35"/>
    <row r="67115" hidden="1" x14ac:dyDescent="0.35"/>
    <row r="67116" hidden="1" x14ac:dyDescent="0.35"/>
    <row r="67117" hidden="1" x14ac:dyDescent="0.35"/>
    <row r="67118" hidden="1" x14ac:dyDescent="0.35"/>
    <row r="67119" hidden="1" x14ac:dyDescent="0.35"/>
    <row r="67120" hidden="1" x14ac:dyDescent="0.35"/>
    <row r="67121" hidden="1" x14ac:dyDescent="0.35"/>
    <row r="67122" hidden="1" x14ac:dyDescent="0.35"/>
    <row r="67123" hidden="1" x14ac:dyDescent="0.35"/>
    <row r="67124" hidden="1" x14ac:dyDescent="0.35"/>
    <row r="67125" hidden="1" x14ac:dyDescent="0.35"/>
    <row r="67126" hidden="1" x14ac:dyDescent="0.35"/>
    <row r="67127" hidden="1" x14ac:dyDescent="0.35"/>
    <row r="67128" hidden="1" x14ac:dyDescent="0.35"/>
    <row r="67129" hidden="1" x14ac:dyDescent="0.35"/>
    <row r="67130" hidden="1" x14ac:dyDescent="0.35"/>
    <row r="67131" hidden="1" x14ac:dyDescent="0.35"/>
    <row r="67132" hidden="1" x14ac:dyDescent="0.35"/>
    <row r="67133" hidden="1" x14ac:dyDescent="0.35"/>
    <row r="67134" hidden="1" x14ac:dyDescent="0.35"/>
    <row r="67135" hidden="1" x14ac:dyDescent="0.35"/>
    <row r="67136" hidden="1" x14ac:dyDescent="0.35"/>
    <row r="67137" hidden="1" x14ac:dyDescent="0.35"/>
    <row r="67138" hidden="1" x14ac:dyDescent="0.35"/>
    <row r="67139" hidden="1" x14ac:dyDescent="0.35"/>
    <row r="67140" hidden="1" x14ac:dyDescent="0.35"/>
    <row r="67141" hidden="1" x14ac:dyDescent="0.35"/>
    <row r="67142" hidden="1" x14ac:dyDescent="0.35"/>
    <row r="67143" hidden="1" x14ac:dyDescent="0.35"/>
    <row r="67144" hidden="1" x14ac:dyDescent="0.35"/>
    <row r="67145" hidden="1" x14ac:dyDescent="0.35"/>
    <row r="67146" hidden="1" x14ac:dyDescent="0.35"/>
    <row r="67147" hidden="1" x14ac:dyDescent="0.35"/>
    <row r="67148" hidden="1" x14ac:dyDescent="0.35"/>
    <row r="67149" hidden="1" x14ac:dyDescent="0.35"/>
    <row r="67150" hidden="1" x14ac:dyDescent="0.35"/>
    <row r="67151" hidden="1" x14ac:dyDescent="0.35"/>
    <row r="67152" hidden="1" x14ac:dyDescent="0.35"/>
    <row r="67153" hidden="1" x14ac:dyDescent="0.35"/>
    <row r="67154" hidden="1" x14ac:dyDescent="0.35"/>
    <row r="67155" hidden="1" x14ac:dyDescent="0.35"/>
    <row r="67156" hidden="1" x14ac:dyDescent="0.35"/>
    <row r="67157" hidden="1" x14ac:dyDescent="0.35"/>
    <row r="67158" hidden="1" x14ac:dyDescent="0.35"/>
    <row r="67159" hidden="1" x14ac:dyDescent="0.35"/>
    <row r="67160" hidden="1" x14ac:dyDescent="0.35"/>
    <row r="67161" hidden="1" x14ac:dyDescent="0.35"/>
    <row r="67162" hidden="1" x14ac:dyDescent="0.35"/>
    <row r="67163" hidden="1" x14ac:dyDescent="0.35"/>
    <row r="67164" hidden="1" x14ac:dyDescent="0.35"/>
    <row r="67165" hidden="1" x14ac:dyDescent="0.35"/>
    <row r="67166" hidden="1" x14ac:dyDescent="0.35"/>
    <row r="67167" hidden="1" x14ac:dyDescent="0.35"/>
    <row r="67168" hidden="1" x14ac:dyDescent="0.35"/>
    <row r="67169" hidden="1" x14ac:dyDescent="0.35"/>
    <row r="67170" hidden="1" x14ac:dyDescent="0.35"/>
    <row r="67171" hidden="1" x14ac:dyDescent="0.35"/>
    <row r="67172" hidden="1" x14ac:dyDescent="0.35"/>
    <row r="67173" hidden="1" x14ac:dyDescent="0.35"/>
    <row r="67174" hidden="1" x14ac:dyDescent="0.35"/>
    <row r="67175" hidden="1" x14ac:dyDescent="0.35"/>
    <row r="67176" hidden="1" x14ac:dyDescent="0.35"/>
    <row r="67177" hidden="1" x14ac:dyDescent="0.35"/>
    <row r="67178" hidden="1" x14ac:dyDescent="0.35"/>
    <row r="67179" hidden="1" x14ac:dyDescent="0.35"/>
    <row r="67180" hidden="1" x14ac:dyDescent="0.35"/>
    <row r="67181" hidden="1" x14ac:dyDescent="0.35"/>
    <row r="67182" hidden="1" x14ac:dyDescent="0.35"/>
    <row r="67183" hidden="1" x14ac:dyDescent="0.35"/>
    <row r="67184" hidden="1" x14ac:dyDescent="0.35"/>
    <row r="67185" hidden="1" x14ac:dyDescent="0.35"/>
    <row r="67186" hidden="1" x14ac:dyDescent="0.35"/>
    <row r="67187" hidden="1" x14ac:dyDescent="0.35"/>
    <row r="67188" hidden="1" x14ac:dyDescent="0.35"/>
    <row r="67189" hidden="1" x14ac:dyDescent="0.35"/>
    <row r="67190" hidden="1" x14ac:dyDescent="0.35"/>
    <row r="67191" hidden="1" x14ac:dyDescent="0.35"/>
    <row r="67192" hidden="1" x14ac:dyDescent="0.35"/>
    <row r="67193" hidden="1" x14ac:dyDescent="0.35"/>
    <row r="67194" hidden="1" x14ac:dyDescent="0.35"/>
    <row r="67195" hidden="1" x14ac:dyDescent="0.35"/>
    <row r="67196" hidden="1" x14ac:dyDescent="0.35"/>
    <row r="67197" hidden="1" x14ac:dyDescent="0.35"/>
    <row r="67198" hidden="1" x14ac:dyDescent="0.35"/>
    <row r="67199" hidden="1" x14ac:dyDescent="0.35"/>
    <row r="67200" hidden="1" x14ac:dyDescent="0.35"/>
    <row r="67201" hidden="1" x14ac:dyDescent="0.35"/>
    <row r="67202" hidden="1" x14ac:dyDescent="0.35"/>
    <row r="67203" hidden="1" x14ac:dyDescent="0.35"/>
    <row r="67204" hidden="1" x14ac:dyDescent="0.35"/>
    <row r="67205" hidden="1" x14ac:dyDescent="0.35"/>
    <row r="67206" hidden="1" x14ac:dyDescent="0.35"/>
    <row r="67207" hidden="1" x14ac:dyDescent="0.35"/>
    <row r="67208" hidden="1" x14ac:dyDescent="0.35"/>
    <row r="67209" hidden="1" x14ac:dyDescent="0.35"/>
    <row r="67210" hidden="1" x14ac:dyDescent="0.35"/>
    <row r="67211" hidden="1" x14ac:dyDescent="0.35"/>
    <row r="67212" hidden="1" x14ac:dyDescent="0.35"/>
    <row r="67213" hidden="1" x14ac:dyDescent="0.35"/>
    <row r="67214" hidden="1" x14ac:dyDescent="0.35"/>
    <row r="67215" hidden="1" x14ac:dyDescent="0.35"/>
    <row r="67216" hidden="1" x14ac:dyDescent="0.35"/>
    <row r="67217" hidden="1" x14ac:dyDescent="0.35"/>
    <row r="67218" hidden="1" x14ac:dyDescent="0.35"/>
    <row r="67219" hidden="1" x14ac:dyDescent="0.35"/>
    <row r="67220" hidden="1" x14ac:dyDescent="0.35"/>
    <row r="67221" hidden="1" x14ac:dyDescent="0.35"/>
    <row r="67222" hidden="1" x14ac:dyDescent="0.35"/>
    <row r="67223" hidden="1" x14ac:dyDescent="0.35"/>
    <row r="67224" hidden="1" x14ac:dyDescent="0.35"/>
    <row r="67225" hidden="1" x14ac:dyDescent="0.35"/>
    <row r="67226" hidden="1" x14ac:dyDescent="0.35"/>
    <row r="67227" hidden="1" x14ac:dyDescent="0.35"/>
    <row r="67228" hidden="1" x14ac:dyDescent="0.35"/>
    <row r="67229" hidden="1" x14ac:dyDescent="0.35"/>
    <row r="67230" hidden="1" x14ac:dyDescent="0.35"/>
    <row r="67231" hidden="1" x14ac:dyDescent="0.35"/>
    <row r="67232" hidden="1" x14ac:dyDescent="0.35"/>
    <row r="67233" hidden="1" x14ac:dyDescent="0.35"/>
    <row r="67234" hidden="1" x14ac:dyDescent="0.35"/>
    <row r="67235" hidden="1" x14ac:dyDescent="0.35"/>
    <row r="67236" hidden="1" x14ac:dyDescent="0.35"/>
    <row r="67237" hidden="1" x14ac:dyDescent="0.35"/>
    <row r="67238" hidden="1" x14ac:dyDescent="0.35"/>
    <row r="67239" hidden="1" x14ac:dyDescent="0.35"/>
    <row r="67240" hidden="1" x14ac:dyDescent="0.35"/>
    <row r="67241" hidden="1" x14ac:dyDescent="0.35"/>
    <row r="67242" hidden="1" x14ac:dyDescent="0.35"/>
    <row r="67243" hidden="1" x14ac:dyDescent="0.35"/>
    <row r="67244" hidden="1" x14ac:dyDescent="0.35"/>
    <row r="67245" hidden="1" x14ac:dyDescent="0.35"/>
    <row r="67246" hidden="1" x14ac:dyDescent="0.35"/>
    <row r="67247" hidden="1" x14ac:dyDescent="0.35"/>
    <row r="67248" hidden="1" x14ac:dyDescent="0.35"/>
    <row r="67249" hidden="1" x14ac:dyDescent="0.35"/>
    <row r="67250" hidden="1" x14ac:dyDescent="0.35"/>
    <row r="67251" hidden="1" x14ac:dyDescent="0.35"/>
    <row r="67252" hidden="1" x14ac:dyDescent="0.35"/>
    <row r="67253" hidden="1" x14ac:dyDescent="0.35"/>
    <row r="67254" hidden="1" x14ac:dyDescent="0.35"/>
    <row r="67255" hidden="1" x14ac:dyDescent="0.35"/>
    <row r="67256" hidden="1" x14ac:dyDescent="0.35"/>
    <row r="67257" hidden="1" x14ac:dyDescent="0.35"/>
    <row r="67258" hidden="1" x14ac:dyDescent="0.35"/>
    <row r="67259" hidden="1" x14ac:dyDescent="0.35"/>
    <row r="67260" hidden="1" x14ac:dyDescent="0.35"/>
    <row r="67261" hidden="1" x14ac:dyDescent="0.35"/>
    <row r="67262" hidden="1" x14ac:dyDescent="0.35"/>
    <row r="67263" hidden="1" x14ac:dyDescent="0.35"/>
    <row r="67264" hidden="1" x14ac:dyDescent="0.35"/>
    <row r="67265" hidden="1" x14ac:dyDescent="0.35"/>
    <row r="67266" hidden="1" x14ac:dyDescent="0.35"/>
    <row r="67267" hidden="1" x14ac:dyDescent="0.35"/>
    <row r="67268" hidden="1" x14ac:dyDescent="0.35"/>
    <row r="67269" hidden="1" x14ac:dyDescent="0.35"/>
    <row r="67270" hidden="1" x14ac:dyDescent="0.35"/>
    <row r="67271" hidden="1" x14ac:dyDescent="0.35"/>
    <row r="67272" hidden="1" x14ac:dyDescent="0.35"/>
    <row r="67273" hidden="1" x14ac:dyDescent="0.35"/>
    <row r="67274" hidden="1" x14ac:dyDescent="0.35"/>
    <row r="67275" hidden="1" x14ac:dyDescent="0.35"/>
    <row r="67276" hidden="1" x14ac:dyDescent="0.35"/>
    <row r="67277" hidden="1" x14ac:dyDescent="0.35"/>
    <row r="67278" hidden="1" x14ac:dyDescent="0.35"/>
    <row r="67279" hidden="1" x14ac:dyDescent="0.35"/>
    <row r="67280" hidden="1" x14ac:dyDescent="0.35"/>
    <row r="67281" hidden="1" x14ac:dyDescent="0.35"/>
    <row r="67282" hidden="1" x14ac:dyDescent="0.35"/>
    <row r="67283" hidden="1" x14ac:dyDescent="0.35"/>
    <row r="67284" hidden="1" x14ac:dyDescent="0.35"/>
    <row r="67285" hidden="1" x14ac:dyDescent="0.35"/>
    <row r="67286" hidden="1" x14ac:dyDescent="0.35"/>
    <row r="67287" hidden="1" x14ac:dyDescent="0.35"/>
    <row r="67288" hidden="1" x14ac:dyDescent="0.35"/>
    <row r="67289" hidden="1" x14ac:dyDescent="0.35"/>
    <row r="67290" hidden="1" x14ac:dyDescent="0.35"/>
    <row r="67291" hidden="1" x14ac:dyDescent="0.35"/>
    <row r="67292" hidden="1" x14ac:dyDescent="0.35"/>
    <row r="67293" hidden="1" x14ac:dyDescent="0.35"/>
    <row r="67294" hidden="1" x14ac:dyDescent="0.35"/>
    <row r="67295" hidden="1" x14ac:dyDescent="0.35"/>
    <row r="67296" hidden="1" x14ac:dyDescent="0.35"/>
    <row r="67297" hidden="1" x14ac:dyDescent="0.35"/>
    <row r="67298" hidden="1" x14ac:dyDescent="0.35"/>
    <row r="67299" hidden="1" x14ac:dyDescent="0.35"/>
    <row r="67300" hidden="1" x14ac:dyDescent="0.35"/>
    <row r="67301" hidden="1" x14ac:dyDescent="0.35"/>
    <row r="67302" hidden="1" x14ac:dyDescent="0.35"/>
    <row r="67303" hidden="1" x14ac:dyDescent="0.35"/>
    <row r="67304" hidden="1" x14ac:dyDescent="0.35"/>
    <row r="67305" hidden="1" x14ac:dyDescent="0.35"/>
    <row r="67306" hidden="1" x14ac:dyDescent="0.35"/>
    <row r="67307" hidden="1" x14ac:dyDescent="0.35"/>
    <row r="67308" hidden="1" x14ac:dyDescent="0.35"/>
    <row r="67309" hidden="1" x14ac:dyDescent="0.35"/>
    <row r="67310" hidden="1" x14ac:dyDescent="0.35"/>
    <row r="67311" hidden="1" x14ac:dyDescent="0.35"/>
    <row r="67312" hidden="1" x14ac:dyDescent="0.35"/>
    <row r="67313" hidden="1" x14ac:dyDescent="0.35"/>
    <row r="67314" hidden="1" x14ac:dyDescent="0.35"/>
    <row r="67315" hidden="1" x14ac:dyDescent="0.35"/>
    <row r="67316" hidden="1" x14ac:dyDescent="0.35"/>
    <row r="67317" hidden="1" x14ac:dyDescent="0.35"/>
    <row r="67318" hidden="1" x14ac:dyDescent="0.35"/>
    <row r="67319" hidden="1" x14ac:dyDescent="0.35"/>
    <row r="67320" hidden="1" x14ac:dyDescent="0.35"/>
    <row r="67321" hidden="1" x14ac:dyDescent="0.35"/>
    <row r="67322" hidden="1" x14ac:dyDescent="0.35"/>
    <row r="67323" hidden="1" x14ac:dyDescent="0.35"/>
    <row r="67324" hidden="1" x14ac:dyDescent="0.35"/>
    <row r="67325" hidden="1" x14ac:dyDescent="0.35"/>
    <row r="67326" hidden="1" x14ac:dyDescent="0.35"/>
    <row r="67327" hidden="1" x14ac:dyDescent="0.35"/>
    <row r="67328" hidden="1" x14ac:dyDescent="0.35"/>
    <row r="67329" hidden="1" x14ac:dyDescent="0.35"/>
    <row r="67330" hidden="1" x14ac:dyDescent="0.35"/>
    <row r="67331" hidden="1" x14ac:dyDescent="0.35"/>
    <row r="67332" hidden="1" x14ac:dyDescent="0.35"/>
    <row r="67333" hidden="1" x14ac:dyDescent="0.35"/>
    <row r="67334" hidden="1" x14ac:dyDescent="0.35"/>
    <row r="67335" hidden="1" x14ac:dyDescent="0.35"/>
    <row r="67336" hidden="1" x14ac:dyDescent="0.35"/>
    <row r="67337" hidden="1" x14ac:dyDescent="0.35"/>
    <row r="67338" hidden="1" x14ac:dyDescent="0.35"/>
    <row r="67339" hidden="1" x14ac:dyDescent="0.35"/>
    <row r="67340" hidden="1" x14ac:dyDescent="0.35"/>
    <row r="67341" hidden="1" x14ac:dyDescent="0.35"/>
    <row r="67342" hidden="1" x14ac:dyDescent="0.35"/>
    <row r="67343" hidden="1" x14ac:dyDescent="0.35"/>
    <row r="67344" hidden="1" x14ac:dyDescent="0.35"/>
    <row r="67345" hidden="1" x14ac:dyDescent="0.35"/>
    <row r="67346" hidden="1" x14ac:dyDescent="0.35"/>
    <row r="67347" hidden="1" x14ac:dyDescent="0.35"/>
    <row r="67348" hidden="1" x14ac:dyDescent="0.35"/>
    <row r="67349" hidden="1" x14ac:dyDescent="0.35"/>
    <row r="67350" hidden="1" x14ac:dyDescent="0.35"/>
    <row r="67351" hidden="1" x14ac:dyDescent="0.35"/>
    <row r="67352" hidden="1" x14ac:dyDescent="0.35"/>
    <row r="67353" hidden="1" x14ac:dyDescent="0.35"/>
    <row r="67354" hidden="1" x14ac:dyDescent="0.35"/>
    <row r="67355" hidden="1" x14ac:dyDescent="0.35"/>
    <row r="67356" hidden="1" x14ac:dyDescent="0.35"/>
    <row r="67357" hidden="1" x14ac:dyDescent="0.35"/>
    <row r="67358" hidden="1" x14ac:dyDescent="0.35"/>
    <row r="67359" hidden="1" x14ac:dyDescent="0.35"/>
    <row r="67360" hidden="1" x14ac:dyDescent="0.35"/>
    <row r="67361" hidden="1" x14ac:dyDescent="0.35"/>
    <row r="67362" hidden="1" x14ac:dyDescent="0.35"/>
    <row r="67363" hidden="1" x14ac:dyDescent="0.35"/>
    <row r="67364" hidden="1" x14ac:dyDescent="0.35"/>
    <row r="67365" hidden="1" x14ac:dyDescent="0.35"/>
    <row r="67366" hidden="1" x14ac:dyDescent="0.35"/>
    <row r="67367" hidden="1" x14ac:dyDescent="0.35"/>
    <row r="67368" hidden="1" x14ac:dyDescent="0.35"/>
    <row r="67369" hidden="1" x14ac:dyDescent="0.35"/>
    <row r="67370" hidden="1" x14ac:dyDescent="0.35"/>
    <row r="67371" hidden="1" x14ac:dyDescent="0.35"/>
    <row r="67372" hidden="1" x14ac:dyDescent="0.35"/>
    <row r="67373" hidden="1" x14ac:dyDescent="0.35"/>
    <row r="67374" hidden="1" x14ac:dyDescent="0.35"/>
    <row r="67375" hidden="1" x14ac:dyDescent="0.35"/>
    <row r="67376" hidden="1" x14ac:dyDescent="0.35"/>
    <row r="67377" hidden="1" x14ac:dyDescent="0.35"/>
    <row r="67378" hidden="1" x14ac:dyDescent="0.35"/>
    <row r="67379" hidden="1" x14ac:dyDescent="0.35"/>
    <row r="67380" hidden="1" x14ac:dyDescent="0.35"/>
    <row r="67381" hidden="1" x14ac:dyDescent="0.35"/>
    <row r="67382" hidden="1" x14ac:dyDescent="0.35"/>
    <row r="67383" hidden="1" x14ac:dyDescent="0.35"/>
    <row r="67384" hidden="1" x14ac:dyDescent="0.35"/>
    <row r="67385" hidden="1" x14ac:dyDescent="0.35"/>
    <row r="67386" hidden="1" x14ac:dyDescent="0.35"/>
    <row r="67387" hidden="1" x14ac:dyDescent="0.35"/>
    <row r="67388" hidden="1" x14ac:dyDescent="0.35"/>
    <row r="67389" hidden="1" x14ac:dyDescent="0.35"/>
    <row r="67390" hidden="1" x14ac:dyDescent="0.35"/>
    <row r="67391" hidden="1" x14ac:dyDescent="0.35"/>
    <row r="67392" hidden="1" x14ac:dyDescent="0.35"/>
    <row r="67393" hidden="1" x14ac:dyDescent="0.35"/>
    <row r="67394" hidden="1" x14ac:dyDescent="0.35"/>
    <row r="67395" hidden="1" x14ac:dyDescent="0.35"/>
    <row r="67396" hidden="1" x14ac:dyDescent="0.35"/>
    <row r="67397" hidden="1" x14ac:dyDescent="0.35"/>
    <row r="67398" hidden="1" x14ac:dyDescent="0.35"/>
    <row r="67399" hidden="1" x14ac:dyDescent="0.35"/>
    <row r="67400" hidden="1" x14ac:dyDescent="0.35"/>
    <row r="67401" hidden="1" x14ac:dyDescent="0.35"/>
    <row r="67402" hidden="1" x14ac:dyDescent="0.35"/>
    <row r="67403" hidden="1" x14ac:dyDescent="0.35"/>
    <row r="67404" hidden="1" x14ac:dyDescent="0.35"/>
    <row r="67405" hidden="1" x14ac:dyDescent="0.35"/>
    <row r="67406" hidden="1" x14ac:dyDescent="0.35"/>
    <row r="67407" hidden="1" x14ac:dyDescent="0.35"/>
    <row r="67408" hidden="1" x14ac:dyDescent="0.35"/>
    <row r="67409" hidden="1" x14ac:dyDescent="0.35"/>
    <row r="67410" hidden="1" x14ac:dyDescent="0.35"/>
    <row r="67411" hidden="1" x14ac:dyDescent="0.35"/>
    <row r="67412" hidden="1" x14ac:dyDescent="0.35"/>
    <row r="67413" hidden="1" x14ac:dyDescent="0.35"/>
    <row r="67414" hidden="1" x14ac:dyDescent="0.35"/>
    <row r="67415" hidden="1" x14ac:dyDescent="0.35"/>
    <row r="67416" hidden="1" x14ac:dyDescent="0.35"/>
    <row r="67417" hidden="1" x14ac:dyDescent="0.35"/>
    <row r="67418" hidden="1" x14ac:dyDescent="0.35"/>
    <row r="67419" hidden="1" x14ac:dyDescent="0.35"/>
    <row r="67420" hidden="1" x14ac:dyDescent="0.35"/>
    <row r="67421" hidden="1" x14ac:dyDescent="0.35"/>
    <row r="67422" hidden="1" x14ac:dyDescent="0.35"/>
    <row r="67423" hidden="1" x14ac:dyDescent="0.35"/>
    <row r="67424" hidden="1" x14ac:dyDescent="0.35"/>
    <row r="67425" hidden="1" x14ac:dyDescent="0.35"/>
    <row r="67426" hidden="1" x14ac:dyDescent="0.35"/>
    <row r="67427" hidden="1" x14ac:dyDescent="0.35"/>
    <row r="67428" hidden="1" x14ac:dyDescent="0.35"/>
    <row r="67429" hidden="1" x14ac:dyDescent="0.35"/>
    <row r="67430" hidden="1" x14ac:dyDescent="0.35"/>
    <row r="67431" hidden="1" x14ac:dyDescent="0.35"/>
    <row r="67432" hidden="1" x14ac:dyDescent="0.35"/>
    <row r="67433" hidden="1" x14ac:dyDescent="0.35"/>
    <row r="67434" hidden="1" x14ac:dyDescent="0.35"/>
    <row r="67435" hidden="1" x14ac:dyDescent="0.35"/>
    <row r="67436" hidden="1" x14ac:dyDescent="0.35"/>
    <row r="67437" hidden="1" x14ac:dyDescent="0.35"/>
    <row r="67438" hidden="1" x14ac:dyDescent="0.35"/>
    <row r="67439" hidden="1" x14ac:dyDescent="0.35"/>
    <row r="67440" hidden="1" x14ac:dyDescent="0.35"/>
    <row r="67441" hidden="1" x14ac:dyDescent="0.35"/>
    <row r="67442" hidden="1" x14ac:dyDescent="0.35"/>
    <row r="67443" hidden="1" x14ac:dyDescent="0.35"/>
    <row r="67444" hidden="1" x14ac:dyDescent="0.35"/>
    <row r="67445" hidden="1" x14ac:dyDescent="0.35"/>
    <row r="67446" hidden="1" x14ac:dyDescent="0.35"/>
    <row r="67447" hidden="1" x14ac:dyDescent="0.35"/>
    <row r="67448" hidden="1" x14ac:dyDescent="0.35"/>
    <row r="67449" hidden="1" x14ac:dyDescent="0.35"/>
    <row r="67450" hidden="1" x14ac:dyDescent="0.35"/>
    <row r="67451" hidden="1" x14ac:dyDescent="0.35"/>
    <row r="67452" hidden="1" x14ac:dyDescent="0.35"/>
    <row r="67453" hidden="1" x14ac:dyDescent="0.35"/>
    <row r="67454" hidden="1" x14ac:dyDescent="0.35"/>
    <row r="67455" hidden="1" x14ac:dyDescent="0.35"/>
    <row r="67456" hidden="1" x14ac:dyDescent="0.35"/>
    <row r="67457" hidden="1" x14ac:dyDescent="0.35"/>
    <row r="67458" hidden="1" x14ac:dyDescent="0.35"/>
    <row r="67459" hidden="1" x14ac:dyDescent="0.35"/>
    <row r="67460" hidden="1" x14ac:dyDescent="0.35"/>
    <row r="67461" hidden="1" x14ac:dyDescent="0.35"/>
    <row r="67462" hidden="1" x14ac:dyDescent="0.35"/>
    <row r="67463" hidden="1" x14ac:dyDescent="0.35"/>
    <row r="67464" hidden="1" x14ac:dyDescent="0.35"/>
    <row r="67465" hidden="1" x14ac:dyDescent="0.35"/>
    <row r="67466" hidden="1" x14ac:dyDescent="0.35"/>
    <row r="67467" hidden="1" x14ac:dyDescent="0.35"/>
    <row r="67468" hidden="1" x14ac:dyDescent="0.35"/>
    <row r="67469" hidden="1" x14ac:dyDescent="0.35"/>
    <row r="67470" hidden="1" x14ac:dyDescent="0.35"/>
    <row r="67471" hidden="1" x14ac:dyDescent="0.35"/>
    <row r="67472" hidden="1" x14ac:dyDescent="0.35"/>
    <row r="67473" hidden="1" x14ac:dyDescent="0.35"/>
    <row r="67474" hidden="1" x14ac:dyDescent="0.35"/>
    <row r="67475" hidden="1" x14ac:dyDescent="0.35"/>
    <row r="67476" hidden="1" x14ac:dyDescent="0.35"/>
    <row r="67477" hidden="1" x14ac:dyDescent="0.35"/>
    <row r="67478" hidden="1" x14ac:dyDescent="0.35"/>
    <row r="67479" hidden="1" x14ac:dyDescent="0.35"/>
    <row r="67480" hidden="1" x14ac:dyDescent="0.35"/>
    <row r="67481" hidden="1" x14ac:dyDescent="0.35"/>
    <row r="67482" hidden="1" x14ac:dyDescent="0.35"/>
    <row r="67483" hidden="1" x14ac:dyDescent="0.35"/>
    <row r="67484" hidden="1" x14ac:dyDescent="0.35"/>
    <row r="67485" hidden="1" x14ac:dyDescent="0.35"/>
    <row r="67486" hidden="1" x14ac:dyDescent="0.35"/>
    <row r="67487" hidden="1" x14ac:dyDescent="0.35"/>
    <row r="67488" hidden="1" x14ac:dyDescent="0.35"/>
    <row r="67489" hidden="1" x14ac:dyDescent="0.35"/>
    <row r="67490" hidden="1" x14ac:dyDescent="0.35"/>
    <row r="67491" hidden="1" x14ac:dyDescent="0.35"/>
    <row r="67492" hidden="1" x14ac:dyDescent="0.35"/>
    <row r="67493" hidden="1" x14ac:dyDescent="0.35"/>
    <row r="67494" hidden="1" x14ac:dyDescent="0.35"/>
    <row r="67495" hidden="1" x14ac:dyDescent="0.35"/>
    <row r="67496" hidden="1" x14ac:dyDescent="0.35"/>
    <row r="67497" hidden="1" x14ac:dyDescent="0.35"/>
    <row r="67498" hidden="1" x14ac:dyDescent="0.35"/>
    <row r="67499" hidden="1" x14ac:dyDescent="0.35"/>
    <row r="67500" hidden="1" x14ac:dyDescent="0.35"/>
    <row r="67501" hidden="1" x14ac:dyDescent="0.35"/>
    <row r="67502" hidden="1" x14ac:dyDescent="0.35"/>
    <row r="67503" hidden="1" x14ac:dyDescent="0.35"/>
    <row r="67504" hidden="1" x14ac:dyDescent="0.35"/>
    <row r="67505" hidden="1" x14ac:dyDescent="0.35"/>
    <row r="67506" hidden="1" x14ac:dyDescent="0.35"/>
    <row r="67507" hidden="1" x14ac:dyDescent="0.35"/>
    <row r="67508" hidden="1" x14ac:dyDescent="0.35"/>
    <row r="67509" hidden="1" x14ac:dyDescent="0.35"/>
    <row r="67510" hidden="1" x14ac:dyDescent="0.35"/>
    <row r="67511" hidden="1" x14ac:dyDescent="0.35"/>
    <row r="67512" hidden="1" x14ac:dyDescent="0.35"/>
    <row r="67513" hidden="1" x14ac:dyDescent="0.35"/>
    <row r="67514" hidden="1" x14ac:dyDescent="0.35"/>
    <row r="67515" hidden="1" x14ac:dyDescent="0.35"/>
    <row r="67516" hidden="1" x14ac:dyDescent="0.35"/>
    <row r="67517" hidden="1" x14ac:dyDescent="0.35"/>
    <row r="67518" hidden="1" x14ac:dyDescent="0.35"/>
    <row r="67519" hidden="1" x14ac:dyDescent="0.35"/>
    <row r="67520" hidden="1" x14ac:dyDescent="0.35"/>
    <row r="67521" hidden="1" x14ac:dyDescent="0.35"/>
    <row r="67522" hidden="1" x14ac:dyDescent="0.35"/>
    <row r="67523" hidden="1" x14ac:dyDescent="0.35"/>
    <row r="67524" hidden="1" x14ac:dyDescent="0.35"/>
    <row r="67525" hidden="1" x14ac:dyDescent="0.35"/>
    <row r="67526" hidden="1" x14ac:dyDescent="0.35"/>
    <row r="67527" hidden="1" x14ac:dyDescent="0.35"/>
    <row r="67528" hidden="1" x14ac:dyDescent="0.35"/>
    <row r="67529" hidden="1" x14ac:dyDescent="0.35"/>
    <row r="67530" hidden="1" x14ac:dyDescent="0.35"/>
    <row r="67531" hidden="1" x14ac:dyDescent="0.35"/>
    <row r="67532" hidden="1" x14ac:dyDescent="0.35"/>
    <row r="67533" hidden="1" x14ac:dyDescent="0.35"/>
    <row r="67534" hidden="1" x14ac:dyDescent="0.35"/>
    <row r="67535" hidden="1" x14ac:dyDescent="0.35"/>
    <row r="67536" hidden="1" x14ac:dyDescent="0.35"/>
    <row r="67537" hidden="1" x14ac:dyDescent="0.35"/>
    <row r="67538" hidden="1" x14ac:dyDescent="0.35"/>
    <row r="67539" hidden="1" x14ac:dyDescent="0.35"/>
    <row r="67540" hidden="1" x14ac:dyDescent="0.35"/>
    <row r="67541" hidden="1" x14ac:dyDescent="0.35"/>
    <row r="67542" hidden="1" x14ac:dyDescent="0.35"/>
    <row r="67543" hidden="1" x14ac:dyDescent="0.35"/>
    <row r="67544" hidden="1" x14ac:dyDescent="0.35"/>
    <row r="67545" hidden="1" x14ac:dyDescent="0.35"/>
    <row r="67546" hidden="1" x14ac:dyDescent="0.35"/>
    <row r="67547" hidden="1" x14ac:dyDescent="0.35"/>
    <row r="67548" hidden="1" x14ac:dyDescent="0.35"/>
    <row r="67549" hidden="1" x14ac:dyDescent="0.35"/>
    <row r="67550" hidden="1" x14ac:dyDescent="0.35"/>
    <row r="67551" hidden="1" x14ac:dyDescent="0.35"/>
    <row r="67552" hidden="1" x14ac:dyDescent="0.35"/>
    <row r="67553" hidden="1" x14ac:dyDescent="0.35"/>
    <row r="67554" hidden="1" x14ac:dyDescent="0.35"/>
    <row r="67555" hidden="1" x14ac:dyDescent="0.35"/>
    <row r="67556" hidden="1" x14ac:dyDescent="0.35"/>
    <row r="67557" hidden="1" x14ac:dyDescent="0.35"/>
    <row r="67558" hidden="1" x14ac:dyDescent="0.35"/>
    <row r="67559" hidden="1" x14ac:dyDescent="0.35"/>
    <row r="67560" hidden="1" x14ac:dyDescent="0.35"/>
    <row r="67561" hidden="1" x14ac:dyDescent="0.35"/>
    <row r="67562" hidden="1" x14ac:dyDescent="0.35"/>
    <row r="67563" hidden="1" x14ac:dyDescent="0.35"/>
    <row r="67564" hidden="1" x14ac:dyDescent="0.35"/>
    <row r="67565" hidden="1" x14ac:dyDescent="0.35"/>
    <row r="67566" hidden="1" x14ac:dyDescent="0.35"/>
    <row r="67567" hidden="1" x14ac:dyDescent="0.35"/>
    <row r="67568" hidden="1" x14ac:dyDescent="0.35"/>
    <row r="67569" hidden="1" x14ac:dyDescent="0.35"/>
    <row r="67570" hidden="1" x14ac:dyDescent="0.35"/>
    <row r="67571" hidden="1" x14ac:dyDescent="0.35"/>
    <row r="67572" hidden="1" x14ac:dyDescent="0.35"/>
    <row r="67573" hidden="1" x14ac:dyDescent="0.35"/>
    <row r="67574" hidden="1" x14ac:dyDescent="0.35"/>
    <row r="67575" hidden="1" x14ac:dyDescent="0.35"/>
    <row r="67576" hidden="1" x14ac:dyDescent="0.35"/>
    <row r="67577" hidden="1" x14ac:dyDescent="0.35"/>
    <row r="67578" hidden="1" x14ac:dyDescent="0.35"/>
    <row r="67579" hidden="1" x14ac:dyDescent="0.35"/>
    <row r="67580" hidden="1" x14ac:dyDescent="0.35"/>
    <row r="67581" hidden="1" x14ac:dyDescent="0.35"/>
    <row r="67582" hidden="1" x14ac:dyDescent="0.35"/>
    <row r="67583" hidden="1" x14ac:dyDescent="0.35"/>
    <row r="67584" hidden="1" x14ac:dyDescent="0.35"/>
    <row r="67585" hidden="1" x14ac:dyDescent="0.35"/>
    <row r="67586" hidden="1" x14ac:dyDescent="0.35"/>
    <row r="67587" hidden="1" x14ac:dyDescent="0.35"/>
    <row r="67588" hidden="1" x14ac:dyDescent="0.35"/>
    <row r="67589" hidden="1" x14ac:dyDescent="0.35"/>
    <row r="67590" hidden="1" x14ac:dyDescent="0.35"/>
    <row r="67591" hidden="1" x14ac:dyDescent="0.35"/>
    <row r="67592" hidden="1" x14ac:dyDescent="0.35"/>
    <row r="67593" hidden="1" x14ac:dyDescent="0.35"/>
    <row r="67594" hidden="1" x14ac:dyDescent="0.35"/>
    <row r="67595" hidden="1" x14ac:dyDescent="0.35"/>
    <row r="67596" hidden="1" x14ac:dyDescent="0.35"/>
    <row r="67597" hidden="1" x14ac:dyDescent="0.35"/>
    <row r="67598" hidden="1" x14ac:dyDescent="0.35"/>
    <row r="67599" hidden="1" x14ac:dyDescent="0.35"/>
    <row r="67600" hidden="1" x14ac:dyDescent="0.35"/>
    <row r="67601" hidden="1" x14ac:dyDescent="0.35"/>
    <row r="67602" hidden="1" x14ac:dyDescent="0.35"/>
    <row r="67603" hidden="1" x14ac:dyDescent="0.35"/>
    <row r="67604" hidden="1" x14ac:dyDescent="0.35"/>
    <row r="67605" hidden="1" x14ac:dyDescent="0.35"/>
    <row r="67606" hidden="1" x14ac:dyDescent="0.35"/>
    <row r="67607" hidden="1" x14ac:dyDescent="0.35"/>
    <row r="67608" hidden="1" x14ac:dyDescent="0.35"/>
    <row r="67609" hidden="1" x14ac:dyDescent="0.35"/>
    <row r="67610" hidden="1" x14ac:dyDescent="0.35"/>
    <row r="67611" hidden="1" x14ac:dyDescent="0.35"/>
    <row r="67612" hidden="1" x14ac:dyDescent="0.35"/>
    <row r="67613" hidden="1" x14ac:dyDescent="0.35"/>
    <row r="67614" hidden="1" x14ac:dyDescent="0.35"/>
    <row r="67615" hidden="1" x14ac:dyDescent="0.35"/>
    <row r="67616" hidden="1" x14ac:dyDescent="0.35"/>
    <row r="67617" hidden="1" x14ac:dyDescent="0.35"/>
    <row r="67618" hidden="1" x14ac:dyDescent="0.35"/>
    <row r="67619" hidden="1" x14ac:dyDescent="0.35"/>
    <row r="67620" hidden="1" x14ac:dyDescent="0.35"/>
    <row r="67621" hidden="1" x14ac:dyDescent="0.35"/>
    <row r="67622" hidden="1" x14ac:dyDescent="0.35"/>
    <row r="67623" hidden="1" x14ac:dyDescent="0.35"/>
    <row r="67624" hidden="1" x14ac:dyDescent="0.35"/>
    <row r="67625" hidden="1" x14ac:dyDescent="0.35"/>
    <row r="67626" hidden="1" x14ac:dyDescent="0.35"/>
    <row r="67627" hidden="1" x14ac:dyDescent="0.35"/>
    <row r="67628" hidden="1" x14ac:dyDescent="0.35"/>
    <row r="67629" hidden="1" x14ac:dyDescent="0.35"/>
    <row r="67630" hidden="1" x14ac:dyDescent="0.35"/>
    <row r="67631" hidden="1" x14ac:dyDescent="0.35"/>
    <row r="67632" hidden="1" x14ac:dyDescent="0.35"/>
    <row r="67633" hidden="1" x14ac:dyDescent="0.35"/>
    <row r="67634" hidden="1" x14ac:dyDescent="0.35"/>
    <row r="67635" hidden="1" x14ac:dyDescent="0.35"/>
    <row r="67636" hidden="1" x14ac:dyDescent="0.35"/>
    <row r="67637" hidden="1" x14ac:dyDescent="0.35"/>
    <row r="67638" hidden="1" x14ac:dyDescent="0.35"/>
    <row r="67639" hidden="1" x14ac:dyDescent="0.35"/>
    <row r="67640" hidden="1" x14ac:dyDescent="0.35"/>
    <row r="67641" hidden="1" x14ac:dyDescent="0.35"/>
    <row r="67642" hidden="1" x14ac:dyDescent="0.35"/>
    <row r="67643" hidden="1" x14ac:dyDescent="0.35"/>
    <row r="67644" hidden="1" x14ac:dyDescent="0.35"/>
    <row r="67645" hidden="1" x14ac:dyDescent="0.35"/>
    <row r="67646" hidden="1" x14ac:dyDescent="0.35"/>
    <row r="67647" hidden="1" x14ac:dyDescent="0.35"/>
    <row r="67648" hidden="1" x14ac:dyDescent="0.35"/>
    <row r="67649" hidden="1" x14ac:dyDescent="0.35"/>
    <row r="67650" hidden="1" x14ac:dyDescent="0.35"/>
    <row r="67651" hidden="1" x14ac:dyDescent="0.35"/>
    <row r="67652" hidden="1" x14ac:dyDescent="0.35"/>
    <row r="67653" hidden="1" x14ac:dyDescent="0.35"/>
    <row r="67654" hidden="1" x14ac:dyDescent="0.35"/>
    <row r="67655" hidden="1" x14ac:dyDescent="0.35"/>
    <row r="67656" hidden="1" x14ac:dyDescent="0.35"/>
    <row r="67657" hidden="1" x14ac:dyDescent="0.35"/>
    <row r="67658" hidden="1" x14ac:dyDescent="0.35"/>
    <row r="67659" hidden="1" x14ac:dyDescent="0.35"/>
    <row r="67660" hidden="1" x14ac:dyDescent="0.35"/>
    <row r="67661" hidden="1" x14ac:dyDescent="0.35"/>
    <row r="67662" hidden="1" x14ac:dyDescent="0.35"/>
    <row r="67663" hidden="1" x14ac:dyDescent="0.35"/>
    <row r="67664" hidden="1" x14ac:dyDescent="0.35"/>
    <row r="67665" hidden="1" x14ac:dyDescent="0.35"/>
    <row r="67666" hidden="1" x14ac:dyDescent="0.35"/>
    <row r="67667" hidden="1" x14ac:dyDescent="0.35"/>
    <row r="67668" hidden="1" x14ac:dyDescent="0.35"/>
    <row r="67669" hidden="1" x14ac:dyDescent="0.35"/>
    <row r="67670" hidden="1" x14ac:dyDescent="0.35"/>
    <row r="67671" hidden="1" x14ac:dyDescent="0.35"/>
    <row r="67672" hidden="1" x14ac:dyDescent="0.35"/>
    <row r="67673" hidden="1" x14ac:dyDescent="0.35"/>
    <row r="67674" hidden="1" x14ac:dyDescent="0.35"/>
    <row r="67675" hidden="1" x14ac:dyDescent="0.35"/>
    <row r="67676" hidden="1" x14ac:dyDescent="0.35"/>
    <row r="67677" hidden="1" x14ac:dyDescent="0.35"/>
    <row r="67678" hidden="1" x14ac:dyDescent="0.35"/>
    <row r="67679" hidden="1" x14ac:dyDescent="0.35"/>
    <row r="67680" hidden="1" x14ac:dyDescent="0.35"/>
    <row r="67681" hidden="1" x14ac:dyDescent="0.35"/>
    <row r="67682" hidden="1" x14ac:dyDescent="0.35"/>
    <row r="67683" hidden="1" x14ac:dyDescent="0.35"/>
    <row r="67684" hidden="1" x14ac:dyDescent="0.35"/>
    <row r="67685" hidden="1" x14ac:dyDescent="0.35"/>
    <row r="67686" hidden="1" x14ac:dyDescent="0.35"/>
    <row r="67687" hidden="1" x14ac:dyDescent="0.35"/>
    <row r="67688" hidden="1" x14ac:dyDescent="0.35"/>
    <row r="67689" hidden="1" x14ac:dyDescent="0.35"/>
    <row r="67690" hidden="1" x14ac:dyDescent="0.35"/>
    <row r="67691" hidden="1" x14ac:dyDescent="0.35"/>
    <row r="67692" hidden="1" x14ac:dyDescent="0.35"/>
    <row r="67693" hidden="1" x14ac:dyDescent="0.35"/>
    <row r="67694" hidden="1" x14ac:dyDescent="0.35"/>
    <row r="67695" hidden="1" x14ac:dyDescent="0.35"/>
    <row r="67696" hidden="1" x14ac:dyDescent="0.35"/>
    <row r="67697" hidden="1" x14ac:dyDescent="0.35"/>
    <row r="67698" hidden="1" x14ac:dyDescent="0.35"/>
    <row r="67699" hidden="1" x14ac:dyDescent="0.35"/>
    <row r="67700" hidden="1" x14ac:dyDescent="0.35"/>
    <row r="67701" hidden="1" x14ac:dyDescent="0.35"/>
    <row r="67702" hidden="1" x14ac:dyDescent="0.35"/>
    <row r="67703" hidden="1" x14ac:dyDescent="0.35"/>
    <row r="67704" hidden="1" x14ac:dyDescent="0.35"/>
    <row r="67705" hidden="1" x14ac:dyDescent="0.35"/>
    <row r="67706" hidden="1" x14ac:dyDescent="0.35"/>
    <row r="67707" hidden="1" x14ac:dyDescent="0.35"/>
    <row r="67708" hidden="1" x14ac:dyDescent="0.35"/>
    <row r="67709" hidden="1" x14ac:dyDescent="0.35"/>
    <row r="67710" hidden="1" x14ac:dyDescent="0.35"/>
    <row r="67711" hidden="1" x14ac:dyDescent="0.35"/>
    <row r="67712" hidden="1" x14ac:dyDescent="0.35"/>
    <row r="67713" hidden="1" x14ac:dyDescent="0.35"/>
    <row r="67714" hidden="1" x14ac:dyDescent="0.35"/>
    <row r="67715" hidden="1" x14ac:dyDescent="0.35"/>
    <row r="67716" hidden="1" x14ac:dyDescent="0.35"/>
    <row r="67717" hidden="1" x14ac:dyDescent="0.35"/>
    <row r="67718" hidden="1" x14ac:dyDescent="0.35"/>
    <row r="67719" hidden="1" x14ac:dyDescent="0.35"/>
    <row r="67720" hidden="1" x14ac:dyDescent="0.35"/>
    <row r="67721" hidden="1" x14ac:dyDescent="0.35"/>
    <row r="67722" hidden="1" x14ac:dyDescent="0.35"/>
    <row r="67723" hidden="1" x14ac:dyDescent="0.35"/>
    <row r="67724" hidden="1" x14ac:dyDescent="0.35"/>
    <row r="67725" hidden="1" x14ac:dyDescent="0.35"/>
    <row r="67726" hidden="1" x14ac:dyDescent="0.35"/>
    <row r="67727" hidden="1" x14ac:dyDescent="0.35"/>
    <row r="67728" hidden="1" x14ac:dyDescent="0.35"/>
    <row r="67729" hidden="1" x14ac:dyDescent="0.35"/>
    <row r="67730" hidden="1" x14ac:dyDescent="0.35"/>
    <row r="67731" hidden="1" x14ac:dyDescent="0.35"/>
    <row r="67732" hidden="1" x14ac:dyDescent="0.35"/>
    <row r="67733" hidden="1" x14ac:dyDescent="0.35"/>
    <row r="67734" hidden="1" x14ac:dyDescent="0.35"/>
    <row r="67735" hidden="1" x14ac:dyDescent="0.35"/>
    <row r="67736" hidden="1" x14ac:dyDescent="0.35"/>
    <row r="67737" hidden="1" x14ac:dyDescent="0.35"/>
    <row r="67738" hidden="1" x14ac:dyDescent="0.35"/>
    <row r="67739" hidden="1" x14ac:dyDescent="0.35"/>
    <row r="67740" hidden="1" x14ac:dyDescent="0.35"/>
    <row r="67741" hidden="1" x14ac:dyDescent="0.35"/>
    <row r="67742" hidden="1" x14ac:dyDescent="0.35"/>
    <row r="67743" hidden="1" x14ac:dyDescent="0.35"/>
    <row r="67744" hidden="1" x14ac:dyDescent="0.35"/>
    <row r="67745" hidden="1" x14ac:dyDescent="0.35"/>
    <row r="67746" hidden="1" x14ac:dyDescent="0.35"/>
    <row r="67747" hidden="1" x14ac:dyDescent="0.35"/>
    <row r="67748" hidden="1" x14ac:dyDescent="0.35"/>
    <row r="67749" hidden="1" x14ac:dyDescent="0.35"/>
    <row r="67750" hidden="1" x14ac:dyDescent="0.35"/>
    <row r="67751" hidden="1" x14ac:dyDescent="0.35"/>
    <row r="67752" hidden="1" x14ac:dyDescent="0.35"/>
    <row r="67753" hidden="1" x14ac:dyDescent="0.35"/>
    <row r="67754" hidden="1" x14ac:dyDescent="0.35"/>
    <row r="67755" hidden="1" x14ac:dyDescent="0.35"/>
    <row r="67756" hidden="1" x14ac:dyDescent="0.35"/>
    <row r="67757" hidden="1" x14ac:dyDescent="0.35"/>
    <row r="67758" hidden="1" x14ac:dyDescent="0.35"/>
    <row r="67759" hidden="1" x14ac:dyDescent="0.35"/>
    <row r="67760" hidden="1" x14ac:dyDescent="0.35"/>
    <row r="67761" hidden="1" x14ac:dyDescent="0.35"/>
    <row r="67762" hidden="1" x14ac:dyDescent="0.35"/>
    <row r="67763" hidden="1" x14ac:dyDescent="0.35"/>
    <row r="67764" hidden="1" x14ac:dyDescent="0.35"/>
    <row r="67765" hidden="1" x14ac:dyDescent="0.35"/>
    <row r="67766" hidden="1" x14ac:dyDescent="0.35"/>
    <row r="67767" hidden="1" x14ac:dyDescent="0.35"/>
    <row r="67768" hidden="1" x14ac:dyDescent="0.35"/>
    <row r="67769" hidden="1" x14ac:dyDescent="0.35"/>
    <row r="67770" hidden="1" x14ac:dyDescent="0.35"/>
    <row r="67771" hidden="1" x14ac:dyDescent="0.35"/>
    <row r="67772" hidden="1" x14ac:dyDescent="0.35"/>
    <row r="67773" hidden="1" x14ac:dyDescent="0.35"/>
    <row r="67774" hidden="1" x14ac:dyDescent="0.35"/>
    <row r="67775" hidden="1" x14ac:dyDescent="0.35"/>
    <row r="67776" hidden="1" x14ac:dyDescent="0.35"/>
    <row r="67777" hidden="1" x14ac:dyDescent="0.35"/>
    <row r="67778" hidden="1" x14ac:dyDescent="0.35"/>
    <row r="67779" hidden="1" x14ac:dyDescent="0.35"/>
    <row r="67780" hidden="1" x14ac:dyDescent="0.35"/>
    <row r="67781" hidden="1" x14ac:dyDescent="0.35"/>
    <row r="67782" hidden="1" x14ac:dyDescent="0.35"/>
    <row r="67783" hidden="1" x14ac:dyDescent="0.35"/>
    <row r="67784" hidden="1" x14ac:dyDescent="0.35"/>
    <row r="67785" hidden="1" x14ac:dyDescent="0.35"/>
    <row r="67786" hidden="1" x14ac:dyDescent="0.35"/>
    <row r="67787" hidden="1" x14ac:dyDescent="0.35"/>
    <row r="67788" hidden="1" x14ac:dyDescent="0.35"/>
    <row r="67789" hidden="1" x14ac:dyDescent="0.35"/>
    <row r="67790" hidden="1" x14ac:dyDescent="0.35"/>
    <row r="67791" hidden="1" x14ac:dyDescent="0.35"/>
    <row r="67792" hidden="1" x14ac:dyDescent="0.35"/>
    <row r="67793" hidden="1" x14ac:dyDescent="0.35"/>
    <row r="67794" hidden="1" x14ac:dyDescent="0.35"/>
    <row r="67795" hidden="1" x14ac:dyDescent="0.35"/>
    <row r="67796" hidden="1" x14ac:dyDescent="0.35"/>
    <row r="67797" hidden="1" x14ac:dyDescent="0.35"/>
    <row r="67798" hidden="1" x14ac:dyDescent="0.35"/>
    <row r="67799" hidden="1" x14ac:dyDescent="0.35"/>
    <row r="67800" hidden="1" x14ac:dyDescent="0.35"/>
    <row r="67801" hidden="1" x14ac:dyDescent="0.35"/>
    <row r="67802" hidden="1" x14ac:dyDescent="0.35"/>
    <row r="67803" hidden="1" x14ac:dyDescent="0.35"/>
    <row r="67804" hidden="1" x14ac:dyDescent="0.35"/>
    <row r="67805" hidden="1" x14ac:dyDescent="0.35"/>
    <row r="67806" hidden="1" x14ac:dyDescent="0.35"/>
    <row r="67807" hidden="1" x14ac:dyDescent="0.35"/>
    <row r="67808" hidden="1" x14ac:dyDescent="0.35"/>
    <row r="67809" hidden="1" x14ac:dyDescent="0.35"/>
    <row r="67810" hidden="1" x14ac:dyDescent="0.35"/>
    <row r="67811" hidden="1" x14ac:dyDescent="0.35"/>
    <row r="67812" hidden="1" x14ac:dyDescent="0.35"/>
    <row r="67813" hidden="1" x14ac:dyDescent="0.35"/>
    <row r="67814" hidden="1" x14ac:dyDescent="0.35"/>
    <row r="67815" hidden="1" x14ac:dyDescent="0.35"/>
    <row r="67816" hidden="1" x14ac:dyDescent="0.35"/>
    <row r="67817" hidden="1" x14ac:dyDescent="0.35"/>
    <row r="67818" hidden="1" x14ac:dyDescent="0.35"/>
    <row r="67819" hidden="1" x14ac:dyDescent="0.35"/>
    <row r="67820" hidden="1" x14ac:dyDescent="0.35"/>
    <row r="67821" hidden="1" x14ac:dyDescent="0.35"/>
    <row r="67822" hidden="1" x14ac:dyDescent="0.35"/>
    <row r="67823" hidden="1" x14ac:dyDescent="0.35"/>
    <row r="67824" hidden="1" x14ac:dyDescent="0.35"/>
    <row r="67825" hidden="1" x14ac:dyDescent="0.35"/>
    <row r="67826" hidden="1" x14ac:dyDescent="0.35"/>
    <row r="67827" hidden="1" x14ac:dyDescent="0.35"/>
    <row r="67828" hidden="1" x14ac:dyDescent="0.35"/>
    <row r="67829" hidden="1" x14ac:dyDescent="0.35"/>
    <row r="67830" hidden="1" x14ac:dyDescent="0.35"/>
    <row r="67831" hidden="1" x14ac:dyDescent="0.35"/>
    <row r="67832" hidden="1" x14ac:dyDescent="0.35"/>
    <row r="67833" hidden="1" x14ac:dyDescent="0.35"/>
    <row r="67834" hidden="1" x14ac:dyDescent="0.35"/>
    <row r="67835" hidden="1" x14ac:dyDescent="0.35"/>
    <row r="67836" hidden="1" x14ac:dyDescent="0.35"/>
    <row r="67837" hidden="1" x14ac:dyDescent="0.35"/>
    <row r="67838" hidden="1" x14ac:dyDescent="0.35"/>
    <row r="67839" hidden="1" x14ac:dyDescent="0.35"/>
    <row r="67840" hidden="1" x14ac:dyDescent="0.35"/>
    <row r="67841" hidden="1" x14ac:dyDescent="0.35"/>
    <row r="67842" hidden="1" x14ac:dyDescent="0.35"/>
    <row r="67843" hidden="1" x14ac:dyDescent="0.35"/>
    <row r="67844" hidden="1" x14ac:dyDescent="0.35"/>
    <row r="67845" hidden="1" x14ac:dyDescent="0.35"/>
    <row r="67846" hidden="1" x14ac:dyDescent="0.35"/>
    <row r="67847" hidden="1" x14ac:dyDescent="0.35"/>
    <row r="67848" hidden="1" x14ac:dyDescent="0.35"/>
    <row r="67849" hidden="1" x14ac:dyDescent="0.35"/>
    <row r="67850" hidden="1" x14ac:dyDescent="0.35"/>
    <row r="67851" hidden="1" x14ac:dyDescent="0.35"/>
    <row r="67852" hidden="1" x14ac:dyDescent="0.35"/>
    <row r="67853" hidden="1" x14ac:dyDescent="0.35"/>
    <row r="67854" hidden="1" x14ac:dyDescent="0.35"/>
    <row r="67855" hidden="1" x14ac:dyDescent="0.35"/>
    <row r="67856" hidden="1" x14ac:dyDescent="0.35"/>
    <row r="67857" hidden="1" x14ac:dyDescent="0.35"/>
    <row r="67858" hidden="1" x14ac:dyDescent="0.35"/>
    <row r="67859" hidden="1" x14ac:dyDescent="0.35"/>
    <row r="67860" hidden="1" x14ac:dyDescent="0.35"/>
    <row r="67861" hidden="1" x14ac:dyDescent="0.35"/>
    <row r="67862" hidden="1" x14ac:dyDescent="0.35"/>
    <row r="67863" hidden="1" x14ac:dyDescent="0.35"/>
    <row r="67864" hidden="1" x14ac:dyDescent="0.35"/>
    <row r="67865" hidden="1" x14ac:dyDescent="0.35"/>
    <row r="67866" hidden="1" x14ac:dyDescent="0.35"/>
    <row r="67867" hidden="1" x14ac:dyDescent="0.35"/>
    <row r="67868" hidden="1" x14ac:dyDescent="0.35"/>
    <row r="67869" hidden="1" x14ac:dyDescent="0.35"/>
    <row r="67870" hidden="1" x14ac:dyDescent="0.35"/>
    <row r="67871" hidden="1" x14ac:dyDescent="0.35"/>
    <row r="67872" hidden="1" x14ac:dyDescent="0.35"/>
    <row r="67873" hidden="1" x14ac:dyDescent="0.35"/>
    <row r="67874" hidden="1" x14ac:dyDescent="0.35"/>
    <row r="67875" hidden="1" x14ac:dyDescent="0.35"/>
    <row r="67876" hidden="1" x14ac:dyDescent="0.35"/>
    <row r="67877" hidden="1" x14ac:dyDescent="0.35"/>
    <row r="67878" hidden="1" x14ac:dyDescent="0.35"/>
    <row r="67879" hidden="1" x14ac:dyDescent="0.35"/>
    <row r="67880" hidden="1" x14ac:dyDescent="0.35"/>
    <row r="67881" hidden="1" x14ac:dyDescent="0.35"/>
    <row r="67882" hidden="1" x14ac:dyDescent="0.35"/>
    <row r="67883" hidden="1" x14ac:dyDescent="0.35"/>
    <row r="67884" hidden="1" x14ac:dyDescent="0.35"/>
    <row r="67885" hidden="1" x14ac:dyDescent="0.35"/>
    <row r="67886" hidden="1" x14ac:dyDescent="0.35"/>
    <row r="67887" hidden="1" x14ac:dyDescent="0.35"/>
    <row r="67888" hidden="1" x14ac:dyDescent="0.35"/>
    <row r="67889" hidden="1" x14ac:dyDescent="0.35"/>
    <row r="67890" hidden="1" x14ac:dyDescent="0.35"/>
    <row r="67891" hidden="1" x14ac:dyDescent="0.35"/>
    <row r="67892" hidden="1" x14ac:dyDescent="0.35"/>
    <row r="67893" hidden="1" x14ac:dyDescent="0.35"/>
    <row r="67894" hidden="1" x14ac:dyDescent="0.35"/>
    <row r="67895" hidden="1" x14ac:dyDescent="0.35"/>
    <row r="67896" hidden="1" x14ac:dyDescent="0.35"/>
    <row r="67897" hidden="1" x14ac:dyDescent="0.35"/>
    <row r="67898" hidden="1" x14ac:dyDescent="0.35"/>
    <row r="67899" hidden="1" x14ac:dyDescent="0.35"/>
    <row r="67900" hidden="1" x14ac:dyDescent="0.35"/>
    <row r="67901" hidden="1" x14ac:dyDescent="0.35"/>
    <row r="67902" hidden="1" x14ac:dyDescent="0.35"/>
    <row r="67903" hidden="1" x14ac:dyDescent="0.35"/>
    <row r="67904" hidden="1" x14ac:dyDescent="0.35"/>
    <row r="67905" hidden="1" x14ac:dyDescent="0.35"/>
    <row r="67906" hidden="1" x14ac:dyDescent="0.35"/>
    <row r="67907" hidden="1" x14ac:dyDescent="0.35"/>
    <row r="67908" hidden="1" x14ac:dyDescent="0.35"/>
    <row r="67909" hidden="1" x14ac:dyDescent="0.35"/>
    <row r="67910" hidden="1" x14ac:dyDescent="0.35"/>
    <row r="67911" hidden="1" x14ac:dyDescent="0.35"/>
    <row r="67912" hidden="1" x14ac:dyDescent="0.35"/>
    <row r="67913" hidden="1" x14ac:dyDescent="0.35"/>
    <row r="67914" hidden="1" x14ac:dyDescent="0.35"/>
    <row r="67915" hidden="1" x14ac:dyDescent="0.35"/>
    <row r="67916" hidden="1" x14ac:dyDescent="0.35"/>
    <row r="67917" hidden="1" x14ac:dyDescent="0.35"/>
    <row r="67918" hidden="1" x14ac:dyDescent="0.35"/>
    <row r="67919" hidden="1" x14ac:dyDescent="0.35"/>
    <row r="67920" hidden="1" x14ac:dyDescent="0.35"/>
    <row r="67921" hidden="1" x14ac:dyDescent="0.35"/>
    <row r="67922" hidden="1" x14ac:dyDescent="0.35"/>
    <row r="67923" hidden="1" x14ac:dyDescent="0.35"/>
    <row r="67924" hidden="1" x14ac:dyDescent="0.35"/>
    <row r="67925" hidden="1" x14ac:dyDescent="0.35"/>
    <row r="67926" hidden="1" x14ac:dyDescent="0.35"/>
    <row r="67927" hidden="1" x14ac:dyDescent="0.35"/>
    <row r="67928" hidden="1" x14ac:dyDescent="0.35"/>
    <row r="67929" hidden="1" x14ac:dyDescent="0.35"/>
    <row r="67930" hidden="1" x14ac:dyDescent="0.35"/>
    <row r="67931" hidden="1" x14ac:dyDescent="0.35"/>
    <row r="67932" hidden="1" x14ac:dyDescent="0.35"/>
    <row r="67933" hidden="1" x14ac:dyDescent="0.35"/>
    <row r="67934" hidden="1" x14ac:dyDescent="0.35"/>
    <row r="67935" hidden="1" x14ac:dyDescent="0.35"/>
    <row r="67936" hidden="1" x14ac:dyDescent="0.35"/>
    <row r="67937" hidden="1" x14ac:dyDescent="0.35"/>
    <row r="67938" hidden="1" x14ac:dyDescent="0.35"/>
    <row r="67939" hidden="1" x14ac:dyDescent="0.35"/>
    <row r="67940" hidden="1" x14ac:dyDescent="0.35"/>
    <row r="67941" hidden="1" x14ac:dyDescent="0.35"/>
    <row r="67942" hidden="1" x14ac:dyDescent="0.35"/>
    <row r="67943" hidden="1" x14ac:dyDescent="0.35"/>
    <row r="67944" hidden="1" x14ac:dyDescent="0.35"/>
    <row r="67945" hidden="1" x14ac:dyDescent="0.35"/>
    <row r="67946" hidden="1" x14ac:dyDescent="0.35"/>
    <row r="67947" hidden="1" x14ac:dyDescent="0.35"/>
    <row r="67948" hidden="1" x14ac:dyDescent="0.35"/>
    <row r="67949" hidden="1" x14ac:dyDescent="0.35"/>
    <row r="67950" hidden="1" x14ac:dyDescent="0.35"/>
    <row r="67951" hidden="1" x14ac:dyDescent="0.35"/>
    <row r="67952" hidden="1" x14ac:dyDescent="0.35"/>
    <row r="67953" hidden="1" x14ac:dyDescent="0.35"/>
    <row r="67954" hidden="1" x14ac:dyDescent="0.35"/>
    <row r="67955" hidden="1" x14ac:dyDescent="0.35"/>
    <row r="67956" hidden="1" x14ac:dyDescent="0.35"/>
    <row r="67957" hidden="1" x14ac:dyDescent="0.35"/>
    <row r="67958" hidden="1" x14ac:dyDescent="0.35"/>
    <row r="67959" hidden="1" x14ac:dyDescent="0.35"/>
    <row r="67960" hidden="1" x14ac:dyDescent="0.35"/>
    <row r="67961" hidden="1" x14ac:dyDescent="0.35"/>
    <row r="67962" hidden="1" x14ac:dyDescent="0.35"/>
    <row r="67963" hidden="1" x14ac:dyDescent="0.35"/>
    <row r="67964" hidden="1" x14ac:dyDescent="0.35"/>
    <row r="67965" hidden="1" x14ac:dyDescent="0.35"/>
    <row r="67966" hidden="1" x14ac:dyDescent="0.35"/>
    <row r="67967" hidden="1" x14ac:dyDescent="0.35"/>
    <row r="67968" hidden="1" x14ac:dyDescent="0.35"/>
    <row r="67969" hidden="1" x14ac:dyDescent="0.35"/>
    <row r="67970" hidden="1" x14ac:dyDescent="0.35"/>
    <row r="67971" hidden="1" x14ac:dyDescent="0.35"/>
    <row r="67972" hidden="1" x14ac:dyDescent="0.35"/>
    <row r="67973" hidden="1" x14ac:dyDescent="0.35"/>
    <row r="67974" hidden="1" x14ac:dyDescent="0.35"/>
    <row r="67975" hidden="1" x14ac:dyDescent="0.35"/>
    <row r="67976" hidden="1" x14ac:dyDescent="0.35"/>
    <row r="67977" hidden="1" x14ac:dyDescent="0.35"/>
    <row r="67978" hidden="1" x14ac:dyDescent="0.35"/>
    <row r="67979" hidden="1" x14ac:dyDescent="0.35"/>
    <row r="67980" hidden="1" x14ac:dyDescent="0.35"/>
    <row r="67981" hidden="1" x14ac:dyDescent="0.35"/>
    <row r="67982" hidden="1" x14ac:dyDescent="0.35"/>
    <row r="67983" hidden="1" x14ac:dyDescent="0.35"/>
    <row r="67984" hidden="1" x14ac:dyDescent="0.35"/>
    <row r="67985" hidden="1" x14ac:dyDescent="0.35"/>
    <row r="67986" hidden="1" x14ac:dyDescent="0.35"/>
    <row r="67987" hidden="1" x14ac:dyDescent="0.35"/>
    <row r="67988" hidden="1" x14ac:dyDescent="0.35"/>
    <row r="67989" hidden="1" x14ac:dyDescent="0.35"/>
    <row r="67990" hidden="1" x14ac:dyDescent="0.35"/>
    <row r="67991" hidden="1" x14ac:dyDescent="0.35"/>
    <row r="67992" hidden="1" x14ac:dyDescent="0.35"/>
    <row r="67993" hidden="1" x14ac:dyDescent="0.35"/>
    <row r="67994" hidden="1" x14ac:dyDescent="0.35"/>
    <row r="67995" hidden="1" x14ac:dyDescent="0.35"/>
    <row r="67996" hidden="1" x14ac:dyDescent="0.35"/>
    <row r="67997" hidden="1" x14ac:dyDescent="0.35"/>
    <row r="67998" hidden="1" x14ac:dyDescent="0.35"/>
    <row r="67999" hidden="1" x14ac:dyDescent="0.35"/>
    <row r="68000" hidden="1" x14ac:dyDescent="0.35"/>
    <row r="68001" hidden="1" x14ac:dyDescent="0.35"/>
    <row r="68002" hidden="1" x14ac:dyDescent="0.35"/>
    <row r="68003" hidden="1" x14ac:dyDescent="0.35"/>
    <row r="68004" hidden="1" x14ac:dyDescent="0.35"/>
    <row r="68005" hidden="1" x14ac:dyDescent="0.35"/>
    <row r="68006" hidden="1" x14ac:dyDescent="0.35"/>
    <row r="68007" hidden="1" x14ac:dyDescent="0.35"/>
    <row r="68008" hidden="1" x14ac:dyDescent="0.35"/>
    <row r="68009" hidden="1" x14ac:dyDescent="0.35"/>
    <row r="68010" hidden="1" x14ac:dyDescent="0.35"/>
    <row r="68011" hidden="1" x14ac:dyDescent="0.35"/>
    <row r="68012" hidden="1" x14ac:dyDescent="0.35"/>
    <row r="68013" hidden="1" x14ac:dyDescent="0.35"/>
    <row r="68014" hidden="1" x14ac:dyDescent="0.35"/>
    <row r="68015" hidden="1" x14ac:dyDescent="0.35"/>
    <row r="68016" hidden="1" x14ac:dyDescent="0.35"/>
    <row r="68017" hidden="1" x14ac:dyDescent="0.35"/>
    <row r="68018" hidden="1" x14ac:dyDescent="0.35"/>
    <row r="68019" hidden="1" x14ac:dyDescent="0.35"/>
    <row r="68020" hidden="1" x14ac:dyDescent="0.35"/>
    <row r="68021" hidden="1" x14ac:dyDescent="0.35"/>
    <row r="68022" hidden="1" x14ac:dyDescent="0.35"/>
    <row r="68023" hidden="1" x14ac:dyDescent="0.35"/>
    <row r="68024" hidden="1" x14ac:dyDescent="0.35"/>
    <row r="68025" hidden="1" x14ac:dyDescent="0.35"/>
    <row r="68026" hidden="1" x14ac:dyDescent="0.35"/>
    <row r="68027" hidden="1" x14ac:dyDescent="0.35"/>
    <row r="68028" hidden="1" x14ac:dyDescent="0.35"/>
    <row r="68029" hidden="1" x14ac:dyDescent="0.35"/>
    <row r="68030" hidden="1" x14ac:dyDescent="0.35"/>
    <row r="68031" hidden="1" x14ac:dyDescent="0.35"/>
    <row r="68032" hidden="1" x14ac:dyDescent="0.35"/>
    <row r="68033" hidden="1" x14ac:dyDescent="0.35"/>
    <row r="68034" hidden="1" x14ac:dyDescent="0.35"/>
    <row r="68035" hidden="1" x14ac:dyDescent="0.35"/>
    <row r="68036" hidden="1" x14ac:dyDescent="0.35"/>
    <row r="68037" hidden="1" x14ac:dyDescent="0.35"/>
    <row r="68038" hidden="1" x14ac:dyDescent="0.35"/>
    <row r="68039" hidden="1" x14ac:dyDescent="0.35"/>
    <row r="68040" hidden="1" x14ac:dyDescent="0.35"/>
    <row r="68041" hidden="1" x14ac:dyDescent="0.35"/>
    <row r="68042" hidden="1" x14ac:dyDescent="0.35"/>
    <row r="68043" hidden="1" x14ac:dyDescent="0.35"/>
    <row r="68044" hidden="1" x14ac:dyDescent="0.35"/>
    <row r="68045" hidden="1" x14ac:dyDescent="0.35"/>
    <row r="68046" hidden="1" x14ac:dyDescent="0.35"/>
    <row r="68047" hidden="1" x14ac:dyDescent="0.35"/>
    <row r="68048" hidden="1" x14ac:dyDescent="0.35"/>
    <row r="68049" hidden="1" x14ac:dyDescent="0.35"/>
    <row r="68050" hidden="1" x14ac:dyDescent="0.35"/>
    <row r="68051" hidden="1" x14ac:dyDescent="0.35"/>
    <row r="68052" hidden="1" x14ac:dyDescent="0.35"/>
    <row r="68053" hidden="1" x14ac:dyDescent="0.35"/>
    <row r="68054" hidden="1" x14ac:dyDescent="0.35"/>
    <row r="68055" hidden="1" x14ac:dyDescent="0.35"/>
    <row r="68056" hidden="1" x14ac:dyDescent="0.35"/>
    <row r="68057" hidden="1" x14ac:dyDescent="0.35"/>
    <row r="68058" hidden="1" x14ac:dyDescent="0.35"/>
    <row r="68059" hidden="1" x14ac:dyDescent="0.35"/>
    <row r="68060" hidden="1" x14ac:dyDescent="0.35"/>
    <row r="68061" hidden="1" x14ac:dyDescent="0.35"/>
    <row r="68062" hidden="1" x14ac:dyDescent="0.35"/>
    <row r="68063" hidden="1" x14ac:dyDescent="0.35"/>
    <row r="68064" hidden="1" x14ac:dyDescent="0.35"/>
    <row r="68065" hidden="1" x14ac:dyDescent="0.35"/>
    <row r="68066" hidden="1" x14ac:dyDescent="0.35"/>
    <row r="68067" hidden="1" x14ac:dyDescent="0.35"/>
    <row r="68068" hidden="1" x14ac:dyDescent="0.35"/>
    <row r="68069" hidden="1" x14ac:dyDescent="0.35"/>
    <row r="68070" hidden="1" x14ac:dyDescent="0.35"/>
    <row r="68071" hidden="1" x14ac:dyDescent="0.35"/>
    <row r="68072" hidden="1" x14ac:dyDescent="0.35"/>
    <row r="68073" hidden="1" x14ac:dyDescent="0.35"/>
    <row r="68074" hidden="1" x14ac:dyDescent="0.35"/>
    <row r="68075" hidden="1" x14ac:dyDescent="0.35"/>
    <row r="68076" hidden="1" x14ac:dyDescent="0.35"/>
    <row r="68077" hidden="1" x14ac:dyDescent="0.35"/>
    <row r="68078" hidden="1" x14ac:dyDescent="0.35"/>
    <row r="68079" hidden="1" x14ac:dyDescent="0.35"/>
    <row r="68080" hidden="1" x14ac:dyDescent="0.35"/>
    <row r="68081" hidden="1" x14ac:dyDescent="0.35"/>
    <row r="68082" hidden="1" x14ac:dyDescent="0.35"/>
    <row r="68083" hidden="1" x14ac:dyDescent="0.35"/>
    <row r="68084" hidden="1" x14ac:dyDescent="0.35"/>
    <row r="68085" hidden="1" x14ac:dyDescent="0.35"/>
    <row r="68086" hidden="1" x14ac:dyDescent="0.35"/>
    <row r="68087" hidden="1" x14ac:dyDescent="0.35"/>
    <row r="68088" hidden="1" x14ac:dyDescent="0.35"/>
    <row r="68089" hidden="1" x14ac:dyDescent="0.35"/>
    <row r="68090" hidden="1" x14ac:dyDescent="0.35"/>
    <row r="68091" hidden="1" x14ac:dyDescent="0.35"/>
    <row r="68092" hidden="1" x14ac:dyDescent="0.35"/>
    <row r="68093" hidden="1" x14ac:dyDescent="0.35"/>
    <row r="68094" hidden="1" x14ac:dyDescent="0.35"/>
    <row r="68095" hidden="1" x14ac:dyDescent="0.35"/>
    <row r="68096" hidden="1" x14ac:dyDescent="0.35"/>
    <row r="68097" hidden="1" x14ac:dyDescent="0.35"/>
    <row r="68098" hidden="1" x14ac:dyDescent="0.35"/>
    <row r="68099" hidden="1" x14ac:dyDescent="0.35"/>
    <row r="68100" hidden="1" x14ac:dyDescent="0.35"/>
    <row r="68101" hidden="1" x14ac:dyDescent="0.35"/>
    <row r="68102" hidden="1" x14ac:dyDescent="0.35"/>
    <row r="68103" hidden="1" x14ac:dyDescent="0.35"/>
    <row r="68104" hidden="1" x14ac:dyDescent="0.35"/>
    <row r="68105" hidden="1" x14ac:dyDescent="0.35"/>
    <row r="68106" hidden="1" x14ac:dyDescent="0.35"/>
    <row r="68107" hidden="1" x14ac:dyDescent="0.35"/>
    <row r="68108" hidden="1" x14ac:dyDescent="0.35"/>
    <row r="68109" hidden="1" x14ac:dyDescent="0.35"/>
    <row r="68110" hidden="1" x14ac:dyDescent="0.35"/>
    <row r="68111" hidden="1" x14ac:dyDescent="0.35"/>
    <row r="68112" hidden="1" x14ac:dyDescent="0.35"/>
    <row r="68113" hidden="1" x14ac:dyDescent="0.35"/>
    <row r="68114" hidden="1" x14ac:dyDescent="0.35"/>
    <row r="68115" hidden="1" x14ac:dyDescent="0.35"/>
    <row r="68116" hidden="1" x14ac:dyDescent="0.35"/>
    <row r="68117" hidden="1" x14ac:dyDescent="0.35"/>
    <row r="68118" hidden="1" x14ac:dyDescent="0.35"/>
    <row r="68119" hidden="1" x14ac:dyDescent="0.35"/>
    <row r="68120" hidden="1" x14ac:dyDescent="0.35"/>
    <row r="68121" hidden="1" x14ac:dyDescent="0.35"/>
    <row r="68122" hidden="1" x14ac:dyDescent="0.35"/>
    <row r="68123" hidden="1" x14ac:dyDescent="0.35"/>
    <row r="68124" hidden="1" x14ac:dyDescent="0.35"/>
    <row r="68125" hidden="1" x14ac:dyDescent="0.35"/>
    <row r="68126" hidden="1" x14ac:dyDescent="0.35"/>
    <row r="68127" hidden="1" x14ac:dyDescent="0.35"/>
    <row r="68128" hidden="1" x14ac:dyDescent="0.35"/>
    <row r="68129" hidden="1" x14ac:dyDescent="0.35"/>
    <row r="68130" hidden="1" x14ac:dyDescent="0.35"/>
    <row r="68131" hidden="1" x14ac:dyDescent="0.35"/>
    <row r="68132" hidden="1" x14ac:dyDescent="0.35"/>
    <row r="68133" hidden="1" x14ac:dyDescent="0.35"/>
    <row r="68134" hidden="1" x14ac:dyDescent="0.35"/>
    <row r="68135" hidden="1" x14ac:dyDescent="0.35"/>
    <row r="68136" hidden="1" x14ac:dyDescent="0.35"/>
    <row r="68137" hidden="1" x14ac:dyDescent="0.35"/>
    <row r="68138" hidden="1" x14ac:dyDescent="0.35"/>
    <row r="68139" hidden="1" x14ac:dyDescent="0.35"/>
    <row r="68140" hidden="1" x14ac:dyDescent="0.35"/>
    <row r="68141" hidden="1" x14ac:dyDescent="0.35"/>
    <row r="68142" hidden="1" x14ac:dyDescent="0.35"/>
    <row r="68143" hidden="1" x14ac:dyDescent="0.35"/>
    <row r="68144" hidden="1" x14ac:dyDescent="0.35"/>
    <row r="68145" hidden="1" x14ac:dyDescent="0.35"/>
    <row r="68146" hidden="1" x14ac:dyDescent="0.35"/>
    <row r="68147" hidden="1" x14ac:dyDescent="0.35"/>
    <row r="68148" hidden="1" x14ac:dyDescent="0.35"/>
    <row r="68149" hidden="1" x14ac:dyDescent="0.35"/>
    <row r="68150" hidden="1" x14ac:dyDescent="0.35"/>
    <row r="68151" hidden="1" x14ac:dyDescent="0.35"/>
    <row r="68152" hidden="1" x14ac:dyDescent="0.35"/>
    <row r="68153" hidden="1" x14ac:dyDescent="0.35"/>
    <row r="68154" hidden="1" x14ac:dyDescent="0.35"/>
    <row r="68155" hidden="1" x14ac:dyDescent="0.35"/>
    <row r="68156" hidden="1" x14ac:dyDescent="0.35"/>
    <row r="68157" hidden="1" x14ac:dyDescent="0.35"/>
    <row r="68158" hidden="1" x14ac:dyDescent="0.35"/>
    <row r="68159" hidden="1" x14ac:dyDescent="0.35"/>
    <row r="68160" hidden="1" x14ac:dyDescent="0.35"/>
    <row r="68161" hidden="1" x14ac:dyDescent="0.35"/>
    <row r="68162" hidden="1" x14ac:dyDescent="0.35"/>
    <row r="68163" hidden="1" x14ac:dyDescent="0.35"/>
    <row r="68164" hidden="1" x14ac:dyDescent="0.35"/>
    <row r="68165" hidden="1" x14ac:dyDescent="0.35"/>
    <row r="68166" hidden="1" x14ac:dyDescent="0.35"/>
    <row r="68167" hidden="1" x14ac:dyDescent="0.35"/>
    <row r="68168" hidden="1" x14ac:dyDescent="0.35"/>
    <row r="68169" hidden="1" x14ac:dyDescent="0.35"/>
    <row r="68170" hidden="1" x14ac:dyDescent="0.35"/>
    <row r="68171" hidden="1" x14ac:dyDescent="0.35"/>
    <row r="68172" hidden="1" x14ac:dyDescent="0.35"/>
    <row r="68173" hidden="1" x14ac:dyDescent="0.35"/>
    <row r="68174" hidden="1" x14ac:dyDescent="0.35"/>
    <row r="68175" hidden="1" x14ac:dyDescent="0.35"/>
    <row r="68176" hidden="1" x14ac:dyDescent="0.35"/>
    <row r="68177" hidden="1" x14ac:dyDescent="0.35"/>
    <row r="68178" hidden="1" x14ac:dyDescent="0.35"/>
    <row r="68179" hidden="1" x14ac:dyDescent="0.35"/>
    <row r="68180" hidden="1" x14ac:dyDescent="0.35"/>
    <row r="68181" hidden="1" x14ac:dyDescent="0.35"/>
    <row r="68182" hidden="1" x14ac:dyDescent="0.35"/>
    <row r="68183" hidden="1" x14ac:dyDescent="0.35"/>
    <row r="68184" hidden="1" x14ac:dyDescent="0.35"/>
    <row r="68185" hidden="1" x14ac:dyDescent="0.35"/>
    <row r="68186" hidden="1" x14ac:dyDescent="0.35"/>
    <row r="68187" hidden="1" x14ac:dyDescent="0.35"/>
    <row r="68188" hidden="1" x14ac:dyDescent="0.35"/>
    <row r="68189" hidden="1" x14ac:dyDescent="0.35"/>
    <row r="68190" hidden="1" x14ac:dyDescent="0.35"/>
    <row r="68191" hidden="1" x14ac:dyDescent="0.35"/>
    <row r="68192" hidden="1" x14ac:dyDescent="0.35"/>
    <row r="68193" hidden="1" x14ac:dyDescent="0.35"/>
    <row r="68194" hidden="1" x14ac:dyDescent="0.35"/>
    <row r="68195" hidden="1" x14ac:dyDescent="0.35"/>
    <row r="68196" hidden="1" x14ac:dyDescent="0.35"/>
    <row r="68197" hidden="1" x14ac:dyDescent="0.35"/>
    <row r="68198" hidden="1" x14ac:dyDescent="0.35"/>
    <row r="68199" hidden="1" x14ac:dyDescent="0.35"/>
    <row r="68200" hidden="1" x14ac:dyDescent="0.35"/>
    <row r="68201" hidden="1" x14ac:dyDescent="0.35"/>
    <row r="68202" hidden="1" x14ac:dyDescent="0.35"/>
    <row r="68203" hidden="1" x14ac:dyDescent="0.35"/>
    <row r="68204" hidden="1" x14ac:dyDescent="0.35"/>
    <row r="68205" hidden="1" x14ac:dyDescent="0.35"/>
    <row r="68206" hidden="1" x14ac:dyDescent="0.35"/>
    <row r="68207" hidden="1" x14ac:dyDescent="0.35"/>
    <row r="68208" hidden="1" x14ac:dyDescent="0.35"/>
    <row r="68209" hidden="1" x14ac:dyDescent="0.35"/>
    <row r="68210" hidden="1" x14ac:dyDescent="0.35"/>
    <row r="68211" hidden="1" x14ac:dyDescent="0.35"/>
    <row r="68212" hidden="1" x14ac:dyDescent="0.35"/>
    <row r="68213" hidden="1" x14ac:dyDescent="0.35"/>
    <row r="68214" hidden="1" x14ac:dyDescent="0.35"/>
    <row r="68215" hidden="1" x14ac:dyDescent="0.35"/>
    <row r="68216" hidden="1" x14ac:dyDescent="0.35"/>
    <row r="68217" hidden="1" x14ac:dyDescent="0.35"/>
    <row r="68218" hidden="1" x14ac:dyDescent="0.35"/>
    <row r="68219" hidden="1" x14ac:dyDescent="0.35"/>
    <row r="68220" hidden="1" x14ac:dyDescent="0.35"/>
    <row r="68221" hidden="1" x14ac:dyDescent="0.35"/>
    <row r="68222" hidden="1" x14ac:dyDescent="0.35"/>
    <row r="68223" hidden="1" x14ac:dyDescent="0.35"/>
    <row r="68224" hidden="1" x14ac:dyDescent="0.35"/>
    <row r="68225" hidden="1" x14ac:dyDescent="0.35"/>
    <row r="68226" hidden="1" x14ac:dyDescent="0.35"/>
    <row r="68227" hidden="1" x14ac:dyDescent="0.35"/>
    <row r="68228" hidden="1" x14ac:dyDescent="0.35"/>
    <row r="68229" hidden="1" x14ac:dyDescent="0.35"/>
    <row r="68230" hidden="1" x14ac:dyDescent="0.35"/>
    <row r="68231" hidden="1" x14ac:dyDescent="0.35"/>
    <row r="68232" hidden="1" x14ac:dyDescent="0.35"/>
    <row r="68233" hidden="1" x14ac:dyDescent="0.35"/>
    <row r="68234" hidden="1" x14ac:dyDescent="0.35"/>
    <row r="68235" hidden="1" x14ac:dyDescent="0.35"/>
    <row r="68236" hidden="1" x14ac:dyDescent="0.35"/>
    <row r="68237" hidden="1" x14ac:dyDescent="0.35"/>
    <row r="68238" hidden="1" x14ac:dyDescent="0.35"/>
    <row r="68239" hidden="1" x14ac:dyDescent="0.35"/>
    <row r="68240" hidden="1" x14ac:dyDescent="0.35"/>
    <row r="68241" hidden="1" x14ac:dyDescent="0.35"/>
    <row r="68242" hidden="1" x14ac:dyDescent="0.35"/>
    <row r="68243" hidden="1" x14ac:dyDescent="0.35"/>
    <row r="68244" hidden="1" x14ac:dyDescent="0.35"/>
    <row r="68245" hidden="1" x14ac:dyDescent="0.35"/>
    <row r="68246" hidden="1" x14ac:dyDescent="0.35"/>
    <row r="68247" hidden="1" x14ac:dyDescent="0.35"/>
    <row r="68248" hidden="1" x14ac:dyDescent="0.35"/>
    <row r="68249" hidden="1" x14ac:dyDescent="0.35"/>
    <row r="68250" hidden="1" x14ac:dyDescent="0.35"/>
    <row r="68251" hidden="1" x14ac:dyDescent="0.35"/>
    <row r="68252" hidden="1" x14ac:dyDescent="0.35"/>
    <row r="68253" hidden="1" x14ac:dyDescent="0.35"/>
    <row r="68254" hidden="1" x14ac:dyDescent="0.35"/>
    <row r="68255" hidden="1" x14ac:dyDescent="0.35"/>
    <row r="68256" hidden="1" x14ac:dyDescent="0.35"/>
    <row r="68257" hidden="1" x14ac:dyDescent="0.35"/>
    <row r="68258" hidden="1" x14ac:dyDescent="0.35"/>
    <row r="68259" hidden="1" x14ac:dyDescent="0.35"/>
    <row r="68260" hidden="1" x14ac:dyDescent="0.35"/>
    <row r="68261" hidden="1" x14ac:dyDescent="0.35"/>
    <row r="68262" hidden="1" x14ac:dyDescent="0.35"/>
    <row r="68263" hidden="1" x14ac:dyDescent="0.35"/>
    <row r="68264" hidden="1" x14ac:dyDescent="0.35"/>
    <row r="68265" hidden="1" x14ac:dyDescent="0.35"/>
    <row r="68266" hidden="1" x14ac:dyDescent="0.35"/>
    <row r="68267" hidden="1" x14ac:dyDescent="0.35"/>
    <row r="68268" hidden="1" x14ac:dyDescent="0.35"/>
    <row r="68269" hidden="1" x14ac:dyDescent="0.35"/>
    <row r="68270" hidden="1" x14ac:dyDescent="0.35"/>
    <row r="68271" hidden="1" x14ac:dyDescent="0.35"/>
    <row r="68272" hidden="1" x14ac:dyDescent="0.35"/>
    <row r="68273" hidden="1" x14ac:dyDescent="0.35"/>
    <row r="68274" hidden="1" x14ac:dyDescent="0.35"/>
    <row r="68275" hidden="1" x14ac:dyDescent="0.35"/>
    <row r="68276" hidden="1" x14ac:dyDescent="0.35"/>
    <row r="68277" hidden="1" x14ac:dyDescent="0.35"/>
    <row r="68278" hidden="1" x14ac:dyDescent="0.35"/>
    <row r="68279" hidden="1" x14ac:dyDescent="0.35"/>
    <row r="68280" hidden="1" x14ac:dyDescent="0.35"/>
    <row r="68281" hidden="1" x14ac:dyDescent="0.35"/>
    <row r="68282" hidden="1" x14ac:dyDescent="0.35"/>
    <row r="68283" hidden="1" x14ac:dyDescent="0.35"/>
    <row r="68284" hidden="1" x14ac:dyDescent="0.35"/>
    <row r="68285" hidden="1" x14ac:dyDescent="0.35"/>
    <row r="68286" hidden="1" x14ac:dyDescent="0.35"/>
    <row r="68287" hidden="1" x14ac:dyDescent="0.35"/>
    <row r="68288" hidden="1" x14ac:dyDescent="0.35"/>
    <row r="68289" hidden="1" x14ac:dyDescent="0.35"/>
    <row r="68290" hidden="1" x14ac:dyDescent="0.35"/>
    <row r="68291" hidden="1" x14ac:dyDescent="0.35"/>
    <row r="68292" hidden="1" x14ac:dyDescent="0.35"/>
    <row r="68293" hidden="1" x14ac:dyDescent="0.35"/>
    <row r="68294" hidden="1" x14ac:dyDescent="0.35"/>
    <row r="68295" hidden="1" x14ac:dyDescent="0.35"/>
    <row r="68296" hidden="1" x14ac:dyDescent="0.35"/>
    <row r="68297" hidden="1" x14ac:dyDescent="0.35"/>
    <row r="68298" hidden="1" x14ac:dyDescent="0.35"/>
    <row r="68299" hidden="1" x14ac:dyDescent="0.35"/>
    <row r="68300" hidden="1" x14ac:dyDescent="0.35"/>
    <row r="68301" hidden="1" x14ac:dyDescent="0.35"/>
    <row r="68302" hidden="1" x14ac:dyDescent="0.35"/>
    <row r="68303" hidden="1" x14ac:dyDescent="0.35"/>
    <row r="68304" hidden="1" x14ac:dyDescent="0.35"/>
    <row r="68305" hidden="1" x14ac:dyDescent="0.35"/>
    <row r="68306" hidden="1" x14ac:dyDescent="0.35"/>
    <row r="68307" hidden="1" x14ac:dyDescent="0.35"/>
    <row r="68308" hidden="1" x14ac:dyDescent="0.35"/>
    <row r="68309" hidden="1" x14ac:dyDescent="0.35"/>
    <row r="68310" hidden="1" x14ac:dyDescent="0.35"/>
    <row r="68311" hidden="1" x14ac:dyDescent="0.35"/>
    <row r="68312" hidden="1" x14ac:dyDescent="0.35"/>
    <row r="68313" hidden="1" x14ac:dyDescent="0.35"/>
    <row r="68314" hidden="1" x14ac:dyDescent="0.35"/>
    <row r="68315" hidden="1" x14ac:dyDescent="0.35"/>
    <row r="68316" hidden="1" x14ac:dyDescent="0.35"/>
    <row r="68317" hidden="1" x14ac:dyDescent="0.35"/>
    <row r="68318" hidden="1" x14ac:dyDescent="0.35"/>
    <row r="68319" hidden="1" x14ac:dyDescent="0.35"/>
    <row r="68320" hidden="1" x14ac:dyDescent="0.35"/>
    <row r="68321" hidden="1" x14ac:dyDescent="0.35"/>
    <row r="68322" hidden="1" x14ac:dyDescent="0.35"/>
    <row r="68323" hidden="1" x14ac:dyDescent="0.35"/>
    <row r="68324" hidden="1" x14ac:dyDescent="0.35"/>
    <row r="68325" hidden="1" x14ac:dyDescent="0.35"/>
    <row r="68326" hidden="1" x14ac:dyDescent="0.35"/>
    <row r="68327" hidden="1" x14ac:dyDescent="0.35"/>
    <row r="68328" hidden="1" x14ac:dyDescent="0.35"/>
    <row r="68329" hidden="1" x14ac:dyDescent="0.35"/>
    <row r="68330" hidden="1" x14ac:dyDescent="0.35"/>
    <row r="68331" hidden="1" x14ac:dyDescent="0.35"/>
    <row r="68332" hidden="1" x14ac:dyDescent="0.35"/>
    <row r="68333" hidden="1" x14ac:dyDescent="0.35"/>
    <row r="68334" hidden="1" x14ac:dyDescent="0.35"/>
    <row r="68335" hidden="1" x14ac:dyDescent="0.35"/>
    <row r="68336" hidden="1" x14ac:dyDescent="0.35"/>
    <row r="68337" hidden="1" x14ac:dyDescent="0.35"/>
    <row r="68338" hidden="1" x14ac:dyDescent="0.35"/>
    <row r="68339" hidden="1" x14ac:dyDescent="0.35"/>
    <row r="68340" hidden="1" x14ac:dyDescent="0.35"/>
    <row r="68341" hidden="1" x14ac:dyDescent="0.35"/>
    <row r="68342" hidden="1" x14ac:dyDescent="0.35"/>
    <row r="68343" hidden="1" x14ac:dyDescent="0.35"/>
    <row r="68344" hidden="1" x14ac:dyDescent="0.35"/>
    <row r="68345" hidden="1" x14ac:dyDescent="0.35"/>
    <row r="68346" hidden="1" x14ac:dyDescent="0.35"/>
    <row r="68347" hidden="1" x14ac:dyDescent="0.35"/>
    <row r="68348" hidden="1" x14ac:dyDescent="0.35"/>
    <row r="68349" hidden="1" x14ac:dyDescent="0.35"/>
    <row r="68350" hidden="1" x14ac:dyDescent="0.35"/>
    <row r="68351" hidden="1" x14ac:dyDescent="0.35"/>
    <row r="68352" hidden="1" x14ac:dyDescent="0.35"/>
    <row r="68353" hidden="1" x14ac:dyDescent="0.35"/>
    <row r="68354" hidden="1" x14ac:dyDescent="0.35"/>
    <row r="68355" hidden="1" x14ac:dyDescent="0.35"/>
    <row r="68356" hidden="1" x14ac:dyDescent="0.35"/>
    <row r="68357" hidden="1" x14ac:dyDescent="0.35"/>
    <row r="68358" hidden="1" x14ac:dyDescent="0.35"/>
    <row r="68359" hidden="1" x14ac:dyDescent="0.35"/>
    <row r="68360" hidden="1" x14ac:dyDescent="0.35"/>
    <row r="68361" hidden="1" x14ac:dyDescent="0.35"/>
    <row r="68362" hidden="1" x14ac:dyDescent="0.35"/>
    <row r="68363" hidden="1" x14ac:dyDescent="0.35"/>
    <row r="68364" hidden="1" x14ac:dyDescent="0.35"/>
    <row r="68365" hidden="1" x14ac:dyDescent="0.35"/>
    <row r="68366" hidden="1" x14ac:dyDescent="0.35"/>
    <row r="68367" hidden="1" x14ac:dyDescent="0.35"/>
    <row r="68368" hidden="1" x14ac:dyDescent="0.35"/>
    <row r="68369" hidden="1" x14ac:dyDescent="0.35"/>
    <row r="68370" hidden="1" x14ac:dyDescent="0.35"/>
    <row r="68371" hidden="1" x14ac:dyDescent="0.35"/>
    <row r="68372" hidden="1" x14ac:dyDescent="0.35"/>
    <row r="68373" hidden="1" x14ac:dyDescent="0.35"/>
    <row r="68374" hidden="1" x14ac:dyDescent="0.35"/>
    <row r="68375" hidden="1" x14ac:dyDescent="0.35"/>
    <row r="68376" hidden="1" x14ac:dyDescent="0.35"/>
    <row r="68377" hidden="1" x14ac:dyDescent="0.35"/>
    <row r="68378" hidden="1" x14ac:dyDescent="0.35"/>
    <row r="68379" hidden="1" x14ac:dyDescent="0.35"/>
    <row r="68380" hidden="1" x14ac:dyDescent="0.35"/>
    <row r="68381" hidden="1" x14ac:dyDescent="0.35"/>
    <row r="68382" hidden="1" x14ac:dyDescent="0.35"/>
    <row r="68383" hidden="1" x14ac:dyDescent="0.35"/>
    <row r="68384" hidden="1" x14ac:dyDescent="0.35"/>
    <row r="68385" hidden="1" x14ac:dyDescent="0.35"/>
    <row r="68386" hidden="1" x14ac:dyDescent="0.35"/>
    <row r="68387" hidden="1" x14ac:dyDescent="0.35"/>
    <row r="68388" hidden="1" x14ac:dyDescent="0.35"/>
    <row r="68389" hidden="1" x14ac:dyDescent="0.35"/>
    <row r="68390" hidden="1" x14ac:dyDescent="0.35"/>
    <row r="68391" hidden="1" x14ac:dyDescent="0.35"/>
    <row r="68392" hidden="1" x14ac:dyDescent="0.35"/>
    <row r="68393" hidden="1" x14ac:dyDescent="0.35"/>
    <row r="68394" hidden="1" x14ac:dyDescent="0.35"/>
    <row r="68395" hidden="1" x14ac:dyDescent="0.35"/>
    <row r="68396" hidden="1" x14ac:dyDescent="0.35"/>
    <row r="68397" hidden="1" x14ac:dyDescent="0.35"/>
    <row r="68398" hidden="1" x14ac:dyDescent="0.35"/>
    <row r="68399" hidden="1" x14ac:dyDescent="0.35"/>
    <row r="68400" hidden="1" x14ac:dyDescent="0.35"/>
    <row r="68401" hidden="1" x14ac:dyDescent="0.35"/>
    <row r="68402" hidden="1" x14ac:dyDescent="0.35"/>
    <row r="68403" hidden="1" x14ac:dyDescent="0.35"/>
    <row r="68404" hidden="1" x14ac:dyDescent="0.35"/>
    <row r="68405" hidden="1" x14ac:dyDescent="0.35"/>
    <row r="68406" hidden="1" x14ac:dyDescent="0.35"/>
    <row r="68407" hidden="1" x14ac:dyDescent="0.35"/>
    <row r="68408" hidden="1" x14ac:dyDescent="0.35"/>
    <row r="68409" hidden="1" x14ac:dyDescent="0.35"/>
    <row r="68410" hidden="1" x14ac:dyDescent="0.35"/>
    <row r="68411" hidden="1" x14ac:dyDescent="0.35"/>
    <row r="68412" hidden="1" x14ac:dyDescent="0.35"/>
    <row r="68413" hidden="1" x14ac:dyDescent="0.35"/>
    <row r="68414" hidden="1" x14ac:dyDescent="0.35"/>
    <row r="68415" hidden="1" x14ac:dyDescent="0.35"/>
    <row r="68416" hidden="1" x14ac:dyDescent="0.35"/>
    <row r="68417" hidden="1" x14ac:dyDescent="0.35"/>
    <row r="68418" hidden="1" x14ac:dyDescent="0.35"/>
    <row r="68419" hidden="1" x14ac:dyDescent="0.35"/>
    <row r="68420" hidden="1" x14ac:dyDescent="0.35"/>
    <row r="68421" hidden="1" x14ac:dyDescent="0.35"/>
    <row r="68422" hidden="1" x14ac:dyDescent="0.35"/>
    <row r="68423" hidden="1" x14ac:dyDescent="0.35"/>
    <row r="68424" hidden="1" x14ac:dyDescent="0.35"/>
    <row r="68425" hidden="1" x14ac:dyDescent="0.35"/>
    <row r="68426" hidden="1" x14ac:dyDescent="0.35"/>
    <row r="68427" hidden="1" x14ac:dyDescent="0.35"/>
    <row r="68428" hidden="1" x14ac:dyDescent="0.35"/>
    <row r="68429" hidden="1" x14ac:dyDescent="0.35"/>
    <row r="68430" hidden="1" x14ac:dyDescent="0.35"/>
    <row r="68431" hidden="1" x14ac:dyDescent="0.35"/>
    <row r="68432" hidden="1" x14ac:dyDescent="0.35"/>
    <row r="68433" hidden="1" x14ac:dyDescent="0.35"/>
    <row r="68434" hidden="1" x14ac:dyDescent="0.35"/>
    <row r="68435" hidden="1" x14ac:dyDescent="0.35"/>
    <row r="68436" hidden="1" x14ac:dyDescent="0.35"/>
    <row r="68437" hidden="1" x14ac:dyDescent="0.35"/>
    <row r="68438" hidden="1" x14ac:dyDescent="0.35"/>
    <row r="68439" hidden="1" x14ac:dyDescent="0.35"/>
    <row r="68440" hidden="1" x14ac:dyDescent="0.35"/>
    <row r="68441" hidden="1" x14ac:dyDescent="0.35"/>
    <row r="68442" hidden="1" x14ac:dyDescent="0.35"/>
    <row r="68443" hidden="1" x14ac:dyDescent="0.35"/>
    <row r="68444" hidden="1" x14ac:dyDescent="0.35"/>
    <row r="68445" hidden="1" x14ac:dyDescent="0.35"/>
    <row r="68446" hidden="1" x14ac:dyDescent="0.35"/>
    <row r="68447" hidden="1" x14ac:dyDescent="0.35"/>
    <row r="68448" hidden="1" x14ac:dyDescent="0.35"/>
    <row r="68449" hidden="1" x14ac:dyDescent="0.35"/>
    <row r="68450" hidden="1" x14ac:dyDescent="0.35"/>
    <row r="68451" hidden="1" x14ac:dyDescent="0.35"/>
    <row r="68452" hidden="1" x14ac:dyDescent="0.35"/>
    <row r="68453" hidden="1" x14ac:dyDescent="0.35"/>
    <row r="68454" hidden="1" x14ac:dyDescent="0.35"/>
    <row r="68455" hidden="1" x14ac:dyDescent="0.35"/>
    <row r="68456" hidden="1" x14ac:dyDescent="0.35"/>
    <row r="68457" hidden="1" x14ac:dyDescent="0.35"/>
    <row r="68458" hidden="1" x14ac:dyDescent="0.35"/>
    <row r="68459" hidden="1" x14ac:dyDescent="0.35"/>
    <row r="68460" hidden="1" x14ac:dyDescent="0.35"/>
    <row r="68461" hidden="1" x14ac:dyDescent="0.35"/>
    <row r="68462" hidden="1" x14ac:dyDescent="0.35"/>
    <row r="68463" hidden="1" x14ac:dyDescent="0.35"/>
    <row r="68464" hidden="1" x14ac:dyDescent="0.35"/>
    <row r="68465" hidden="1" x14ac:dyDescent="0.35"/>
    <row r="68466" hidden="1" x14ac:dyDescent="0.35"/>
    <row r="68467" hidden="1" x14ac:dyDescent="0.35"/>
    <row r="68468" hidden="1" x14ac:dyDescent="0.35"/>
    <row r="68469" hidden="1" x14ac:dyDescent="0.35"/>
    <row r="68470" hidden="1" x14ac:dyDescent="0.35"/>
    <row r="68471" hidden="1" x14ac:dyDescent="0.35"/>
    <row r="68472" hidden="1" x14ac:dyDescent="0.35"/>
    <row r="68473" hidden="1" x14ac:dyDescent="0.35"/>
    <row r="68474" hidden="1" x14ac:dyDescent="0.35"/>
    <row r="68475" hidden="1" x14ac:dyDescent="0.35"/>
    <row r="68476" hidden="1" x14ac:dyDescent="0.35"/>
    <row r="68477" hidden="1" x14ac:dyDescent="0.35"/>
    <row r="68478" hidden="1" x14ac:dyDescent="0.35"/>
    <row r="68479" hidden="1" x14ac:dyDescent="0.35"/>
    <row r="68480" hidden="1" x14ac:dyDescent="0.35"/>
    <row r="68481" hidden="1" x14ac:dyDescent="0.35"/>
    <row r="68482" hidden="1" x14ac:dyDescent="0.35"/>
    <row r="68483" hidden="1" x14ac:dyDescent="0.35"/>
    <row r="68484" hidden="1" x14ac:dyDescent="0.35"/>
    <row r="68485" hidden="1" x14ac:dyDescent="0.35"/>
    <row r="68486" hidden="1" x14ac:dyDescent="0.35"/>
    <row r="68487" hidden="1" x14ac:dyDescent="0.35"/>
    <row r="68488" hidden="1" x14ac:dyDescent="0.35"/>
    <row r="68489" hidden="1" x14ac:dyDescent="0.35"/>
    <row r="68490" hidden="1" x14ac:dyDescent="0.35"/>
    <row r="68491" hidden="1" x14ac:dyDescent="0.35"/>
    <row r="68492" hidden="1" x14ac:dyDescent="0.35"/>
    <row r="68493" hidden="1" x14ac:dyDescent="0.35"/>
    <row r="68494" hidden="1" x14ac:dyDescent="0.35"/>
    <row r="68495" hidden="1" x14ac:dyDescent="0.35"/>
    <row r="68496" hidden="1" x14ac:dyDescent="0.35"/>
    <row r="68497" hidden="1" x14ac:dyDescent="0.35"/>
    <row r="68498" hidden="1" x14ac:dyDescent="0.35"/>
    <row r="68499" hidden="1" x14ac:dyDescent="0.35"/>
    <row r="68500" hidden="1" x14ac:dyDescent="0.35"/>
    <row r="68501" hidden="1" x14ac:dyDescent="0.35"/>
    <row r="68502" hidden="1" x14ac:dyDescent="0.35"/>
    <row r="68503" hidden="1" x14ac:dyDescent="0.35"/>
    <row r="68504" hidden="1" x14ac:dyDescent="0.35"/>
    <row r="68505" hidden="1" x14ac:dyDescent="0.35"/>
    <row r="68506" hidden="1" x14ac:dyDescent="0.35"/>
    <row r="68507" hidden="1" x14ac:dyDescent="0.35"/>
    <row r="68508" hidden="1" x14ac:dyDescent="0.35"/>
    <row r="68509" hidden="1" x14ac:dyDescent="0.35"/>
    <row r="68510" hidden="1" x14ac:dyDescent="0.35"/>
    <row r="68511" hidden="1" x14ac:dyDescent="0.35"/>
    <row r="68512" hidden="1" x14ac:dyDescent="0.35"/>
    <row r="68513" hidden="1" x14ac:dyDescent="0.35"/>
    <row r="68514" hidden="1" x14ac:dyDescent="0.35"/>
    <row r="68515" hidden="1" x14ac:dyDescent="0.35"/>
    <row r="68516" hidden="1" x14ac:dyDescent="0.35"/>
    <row r="68517" hidden="1" x14ac:dyDescent="0.35"/>
    <row r="68518" hidden="1" x14ac:dyDescent="0.35"/>
    <row r="68519" hidden="1" x14ac:dyDescent="0.35"/>
    <row r="68520" hidden="1" x14ac:dyDescent="0.35"/>
    <row r="68521" hidden="1" x14ac:dyDescent="0.35"/>
    <row r="68522" hidden="1" x14ac:dyDescent="0.35"/>
    <row r="68523" hidden="1" x14ac:dyDescent="0.35"/>
    <row r="68524" hidden="1" x14ac:dyDescent="0.35"/>
    <row r="68525" hidden="1" x14ac:dyDescent="0.35"/>
    <row r="68526" hidden="1" x14ac:dyDescent="0.35"/>
    <row r="68527" hidden="1" x14ac:dyDescent="0.35"/>
    <row r="68528" hidden="1" x14ac:dyDescent="0.35"/>
    <row r="68529" hidden="1" x14ac:dyDescent="0.35"/>
    <row r="68530" hidden="1" x14ac:dyDescent="0.35"/>
    <row r="68531" hidden="1" x14ac:dyDescent="0.35"/>
    <row r="68532" hidden="1" x14ac:dyDescent="0.35"/>
    <row r="68533" hidden="1" x14ac:dyDescent="0.35"/>
    <row r="68534" hidden="1" x14ac:dyDescent="0.35"/>
    <row r="68535" hidden="1" x14ac:dyDescent="0.35"/>
    <row r="68536" hidden="1" x14ac:dyDescent="0.35"/>
    <row r="68537" hidden="1" x14ac:dyDescent="0.35"/>
    <row r="68538" hidden="1" x14ac:dyDescent="0.35"/>
    <row r="68539" hidden="1" x14ac:dyDescent="0.35"/>
    <row r="68540" hidden="1" x14ac:dyDescent="0.35"/>
    <row r="68541" hidden="1" x14ac:dyDescent="0.35"/>
    <row r="68542" hidden="1" x14ac:dyDescent="0.35"/>
    <row r="68543" hidden="1" x14ac:dyDescent="0.35"/>
    <row r="68544" hidden="1" x14ac:dyDescent="0.35"/>
    <row r="68545" hidden="1" x14ac:dyDescent="0.35"/>
    <row r="68546" hidden="1" x14ac:dyDescent="0.35"/>
    <row r="68547" hidden="1" x14ac:dyDescent="0.35"/>
    <row r="68548" hidden="1" x14ac:dyDescent="0.35"/>
    <row r="68549" hidden="1" x14ac:dyDescent="0.35"/>
    <row r="68550" hidden="1" x14ac:dyDescent="0.35"/>
    <row r="68551" hidden="1" x14ac:dyDescent="0.35"/>
    <row r="68552" hidden="1" x14ac:dyDescent="0.35"/>
    <row r="68553" hidden="1" x14ac:dyDescent="0.35"/>
    <row r="68554" hidden="1" x14ac:dyDescent="0.35"/>
    <row r="68555" hidden="1" x14ac:dyDescent="0.35"/>
    <row r="68556" hidden="1" x14ac:dyDescent="0.35"/>
    <row r="68557" hidden="1" x14ac:dyDescent="0.35"/>
    <row r="68558" hidden="1" x14ac:dyDescent="0.35"/>
    <row r="68559" hidden="1" x14ac:dyDescent="0.35"/>
    <row r="68560" hidden="1" x14ac:dyDescent="0.35"/>
    <row r="68561" hidden="1" x14ac:dyDescent="0.35"/>
    <row r="68562" hidden="1" x14ac:dyDescent="0.35"/>
    <row r="68563" hidden="1" x14ac:dyDescent="0.35"/>
    <row r="68564" hidden="1" x14ac:dyDescent="0.35"/>
    <row r="68565" hidden="1" x14ac:dyDescent="0.35"/>
    <row r="68566" hidden="1" x14ac:dyDescent="0.35"/>
    <row r="68567" hidden="1" x14ac:dyDescent="0.35"/>
    <row r="68568" hidden="1" x14ac:dyDescent="0.35"/>
    <row r="68569" hidden="1" x14ac:dyDescent="0.35"/>
    <row r="68570" hidden="1" x14ac:dyDescent="0.35"/>
    <row r="68571" hidden="1" x14ac:dyDescent="0.35"/>
    <row r="68572" hidden="1" x14ac:dyDescent="0.35"/>
    <row r="68573" hidden="1" x14ac:dyDescent="0.35"/>
    <row r="68574" hidden="1" x14ac:dyDescent="0.35"/>
    <row r="68575" hidden="1" x14ac:dyDescent="0.35"/>
    <row r="68576" hidden="1" x14ac:dyDescent="0.35"/>
    <row r="68577" hidden="1" x14ac:dyDescent="0.35"/>
    <row r="68578" hidden="1" x14ac:dyDescent="0.35"/>
    <row r="68579" hidden="1" x14ac:dyDescent="0.35"/>
    <row r="68580" hidden="1" x14ac:dyDescent="0.35"/>
    <row r="68581" hidden="1" x14ac:dyDescent="0.35"/>
    <row r="68582" hidden="1" x14ac:dyDescent="0.35"/>
    <row r="68583" hidden="1" x14ac:dyDescent="0.35"/>
    <row r="68584" hidden="1" x14ac:dyDescent="0.35"/>
    <row r="68585" hidden="1" x14ac:dyDescent="0.35"/>
    <row r="68586" hidden="1" x14ac:dyDescent="0.35"/>
    <row r="68587" hidden="1" x14ac:dyDescent="0.35"/>
    <row r="68588" hidden="1" x14ac:dyDescent="0.35"/>
    <row r="68589" hidden="1" x14ac:dyDescent="0.35"/>
    <row r="68590" hidden="1" x14ac:dyDescent="0.35"/>
    <row r="68591" hidden="1" x14ac:dyDescent="0.35"/>
    <row r="68592" hidden="1" x14ac:dyDescent="0.35"/>
    <row r="68593" hidden="1" x14ac:dyDescent="0.35"/>
    <row r="68594" hidden="1" x14ac:dyDescent="0.35"/>
    <row r="68595" hidden="1" x14ac:dyDescent="0.35"/>
    <row r="68596" hidden="1" x14ac:dyDescent="0.35"/>
    <row r="68597" hidden="1" x14ac:dyDescent="0.35"/>
    <row r="68598" hidden="1" x14ac:dyDescent="0.35"/>
    <row r="68599" hidden="1" x14ac:dyDescent="0.35"/>
    <row r="68600" hidden="1" x14ac:dyDescent="0.35"/>
    <row r="68601" hidden="1" x14ac:dyDescent="0.35"/>
    <row r="68602" hidden="1" x14ac:dyDescent="0.35"/>
    <row r="68603" hidden="1" x14ac:dyDescent="0.35"/>
    <row r="68604" hidden="1" x14ac:dyDescent="0.35"/>
    <row r="68605" hidden="1" x14ac:dyDescent="0.35"/>
    <row r="68606" hidden="1" x14ac:dyDescent="0.35"/>
    <row r="68607" hidden="1" x14ac:dyDescent="0.35"/>
    <row r="68608" hidden="1" x14ac:dyDescent="0.35"/>
    <row r="68609" hidden="1" x14ac:dyDescent="0.35"/>
    <row r="68610" hidden="1" x14ac:dyDescent="0.35"/>
    <row r="68611" hidden="1" x14ac:dyDescent="0.35"/>
    <row r="68612" hidden="1" x14ac:dyDescent="0.35"/>
    <row r="68613" hidden="1" x14ac:dyDescent="0.35"/>
    <row r="68614" hidden="1" x14ac:dyDescent="0.35"/>
    <row r="68615" hidden="1" x14ac:dyDescent="0.35"/>
    <row r="68616" hidden="1" x14ac:dyDescent="0.35"/>
    <row r="68617" hidden="1" x14ac:dyDescent="0.35"/>
    <row r="68618" hidden="1" x14ac:dyDescent="0.35"/>
    <row r="68619" hidden="1" x14ac:dyDescent="0.35"/>
    <row r="68620" hidden="1" x14ac:dyDescent="0.35"/>
    <row r="68621" hidden="1" x14ac:dyDescent="0.35"/>
    <row r="68622" hidden="1" x14ac:dyDescent="0.35"/>
    <row r="68623" hidden="1" x14ac:dyDescent="0.35"/>
    <row r="68624" hidden="1" x14ac:dyDescent="0.35"/>
    <row r="68625" hidden="1" x14ac:dyDescent="0.35"/>
    <row r="68626" hidden="1" x14ac:dyDescent="0.35"/>
    <row r="68627" hidden="1" x14ac:dyDescent="0.35"/>
    <row r="68628" hidden="1" x14ac:dyDescent="0.35"/>
    <row r="68629" hidden="1" x14ac:dyDescent="0.35"/>
    <row r="68630" hidden="1" x14ac:dyDescent="0.35"/>
    <row r="68631" hidden="1" x14ac:dyDescent="0.35"/>
    <row r="68632" hidden="1" x14ac:dyDescent="0.35"/>
    <row r="68633" hidden="1" x14ac:dyDescent="0.35"/>
    <row r="68634" hidden="1" x14ac:dyDescent="0.35"/>
    <row r="68635" hidden="1" x14ac:dyDescent="0.35"/>
    <row r="68636" hidden="1" x14ac:dyDescent="0.35"/>
    <row r="68637" hidden="1" x14ac:dyDescent="0.35"/>
    <row r="68638" hidden="1" x14ac:dyDescent="0.35"/>
    <row r="68639" hidden="1" x14ac:dyDescent="0.35"/>
    <row r="68640" hidden="1" x14ac:dyDescent="0.35"/>
    <row r="68641" hidden="1" x14ac:dyDescent="0.35"/>
    <row r="68642" hidden="1" x14ac:dyDescent="0.35"/>
    <row r="68643" hidden="1" x14ac:dyDescent="0.35"/>
    <row r="68644" hidden="1" x14ac:dyDescent="0.35"/>
    <row r="68645" hidden="1" x14ac:dyDescent="0.35"/>
    <row r="68646" hidden="1" x14ac:dyDescent="0.35"/>
    <row r="68647" hidden="1" x14ac:dyDescent="0.35"/>
    <row r="68648" hidden="1" x14ac:dyDescent="0.35"/>
    <row r="68649" hidden="1" x14ac:dyDescent="0.35"/>
    <row r="68650" hidden="1" x14ac:dyDescent="0.35"/>
    <row r="68651" hidden="1" x14ac:dyDescent="0.35"/>
    <row r="68652" hidden="1" x14ac:dyDescent="0.35"/>
    <row r="68653" hidden="1" x14ac:dyDescent="0.35"/>
    <row r="68654" hidden="1" x14ac:dyDescent="0.35"/>
    <row r="68655" hidden="1" x14ac:dyDescent="0.35"/>
    <row r="68656" hidden="1" x14ac:dyDescent="0.35"/>
    <row r="68657" hidden="1" x14ac:dyDescent="0.35"/>
    <row r="68658" hidden="1" x14ac:dyDescent="0.35"/>
    <row r="68659" hidden="1" x14ac:dyDescent="0.35"/>
    <row r="68660" hidden="1" x14ac:dyDescent="0.35"/>
    <row r="68661" hidden="1" x14ac:dyDescent="0.35"/>
    <row r="68662" hidden="1" x14ac:dyDescent="0.35"/>
    <row r="68663" hidden="1" x14ac:dyDescent="0.35"/>
    <row r="68664" hidden="1" x14ac:dyDescent="0.35"/>
    <row r="68665" hidden="1" x14ac:dyDescent="0.35"/>
    <row r="68666" hidden="1" x14ac:dyDescent="0.35"/>
    <row r="68667" hidden="1" x14ac:dyDescent="0.35"/>
    <row r="68668" hidden="1" x14ac:dyDescent="0.35"/>
    <row r="68669" hidden="1" x14ac:dyDescent="0.35"/>
    <row r="68670" hidden="1" x14ac:dyDescent="0.35"/>
    <row r="68671" hidden="1" x14ac:dyDescent="0.35"/>
    <row r="68672" hidden="1" x14ac:dyDescent="0.35"/>
    <row r="68673" hidden="1" x14ac:dyDescent="0.35"/>
    <row r="68674" hidden="1" x14ac:dyDescent="0.35"/>
    <row r="68675" hidden="1" x14ac:dyDescent="0.35"/>
    <row r="68676" hidden="1" x14ac:dyDescent="0.35"/>
    <row r="68677" hidden="1" x14ac:dyDescent="0.35"/>
    <row r="68678" hidden="1" x14ac:dyDescent="0.35"/>
    <row r="68679" hidden="1" x14ac:dyDescent="0.35"/>
    <row r="68680" hidden="1" x14ac:dyDescent="0.35"/>
    <row r="68681" hidden="1" x14ac:dyDescent="0.35"/>
    <row r="68682" hidden="1" x14ac:dyDescent="0.35"/>
    <row r="68683" hidden="1" x14ac:dyDescent="0.35"/>
    <row r="68684" hidden="1" x14ac:dyDescent="0.35"/>
    <row r="68685" hidden="1" x14ac:dyDescent="0.35"/>
    <row r="68686" hidden="1" x14ac:dyDescent="0.35"/>
    <row r="68687" hidden="1" x14ac:dyDescent="0.35"/>
    <row r="68688" hidden="1" x14ac:dyDescent="0.35"/>
    <row r="68689" hidden="1" x14ac:dyDescent="0.35"/>
    <row r="68690" hidden="1" x14ac:dyDescent="0.35"/>
    <row r="68691" hidden="1" x14ac:dyDescent="0.35"/>
    <row r="68692" hidden="1" x14ac:dyDescent="0.35"/>
    <row r="68693" hidden="1" x14ac:dyDescent="0.35"/>
    <row r="68694" hidden="1" x14ac:dyDescent="0.35"/>
    <row r="68695" hidden="1" x14ac:dyDescent="0.35"/>
    <row r="68696" hidden="1" x14ac:dyDescent="0.35"/>
    <row r="68697" hidden="1" x14ac:dyDescent="0.35"/>
    <row r="68698" hidden="1" x14ac:dyDescent="0.35"/>
    <row r="68699" hidden="1" x14ac:dyDescent="0.35"/>
    <row r="68700" hidden="1" x14ac:dyDescent="0.35"/>
    <row r="68701" hidden="1" x14ac:dyDescent="0.35"/>
    <row r="68702" hidden="1" x14ac:dyDescent="0.35"/>
    <row r="68703" hidden="1" x14ac:dyDescent="0.35"/>
    <row r="68704" hidden="1" x14ac:dyDescent="0.35"/>
    <row r="68705" hidden="1" x14ac:dyDescent="0.35"/>
    <row r="68706" hidden="1" x14ac:dyDescent="0.35"/>
    <row r="68707" hidden="1" x14ac:dyDescent="0.35"/>
    <row r="68708" hidden="1" x14ac:dyDescent="0.35"/>
    <row r="68709" hidden="1" x14ac:dyDescent="0.35"/>
    <row r="68710" hidden="1" x14ac:dyDescent="0.35"/>
    <row r="68711" hidden="1" x14ac:dyDescent="0.35"/>
    <row r="68712" hidden="1" x14ac:dyDescent="0.35"/>
    <row r="68713" hidden="1" x14ac:dyDescent="0.35"/>
    <row r="68714" hidden="1" x14ac:dyDescent="0.35"/>
    <row r="68715" hidden="1" x14ac:dyDescent="0.35"/>
    <row r="68716" hidden="1" x14ac:dyDescent="0.35"/>
    <row r="68717" hidden="1" x14ac:dyDescent="0.35"/>
    <row r="68718" hidden="1" x14ac:dyDescent="0.35"/>
    <row r="68719" hidden="1" x14ac:dyDescent="0.35"/>
    <row r="68720" hidden="1" x14ac:dyDescent="0.35"/>
    <row r="68721" hidden="1" x14ac:dyDescent="0.35"/>
    <row r="68722" hidden="1" x14ac:dyDescent="0.35"/>
    <row r="68723" hidden="1" x14ac:dyDescent="0.35"/>
    <row r="68724" hidden="1" x14ac:dyDescent="0.35"/>
    <row r="68725" hidden="1" x14ac:dyDescent="0.35"/>
    <row r="68726" hidden="1" x14ac:dyDescent="0.35"/>
    <row r="68727" hidden="1" x14ac:dyDescent="0.35"/>
    <row r="68728" hidden="1" x14ac:dyDescent="0.35"/>
    <row r="68729" hidden="1" x14ac:dyDescent="0.35"/>
    <row r="68730" hidden="1" x14ac:dyDescent="0.35"/>
    <row r="68731" hidden="1" x14ac:dyDescent="0.35"/>
    <row r="68732" hidden="1" x14ac:dyDescent="0.35"/>
    <row r="68733" hidden="1" x14ac:dyDescent="0.35"/>
    <row r="68734" hidden="1" x14ac:dyDescent="0.35"/>
    <row r="68735" hidden="1" x14ac:dyDescent="0.35"/>
    <row r="68736" hidden="1" x14ac:dyDescent="0.35"/>
    <row r="68737" hidden="1" x14ac:dyDescent="0.35"/>
    <row r="68738" hidden="1" x14ac:dyDescent="0.35"/>
    <row r="68739" hidden="1" x14ac:dyDescent="0.35"/>
    <row r="68740" hidden="1" x14ac:dyDescent="0.35"/>
    <row r="68741" hidden="1" x14ac:dyDescent="0.35"/>
    <row r="68742" hidden="1" x14ac:dyDescent="0.35"/>
    <row r="68743" hidden="1" x14ac:dyDescent="0.35"/>
    <row r="68744" hidden="1" x14ac:dyDescent="0.35"/>
    <row r="68745" hidden="1" x14ac:dyDescent="0.35"/>
    <row r="68746" hidden="1" x14ac:dyDescent="0.35"/>
    <row r="68747" hidden="1" x14ac:dyDescent="0.35"/>
    <row r="68748" hidden="1" x14ac:dyDescent="0.35"/>
    <row r="68749" hidden="1" x14ac:dyDescent="0.35"/>
    <row r="68750" hidden="1" x14ac:dyDescent="0.35"/>
    <row r="68751" hidden="1" x14ac:dyDescent="0.35"/>
    <row r="68752" hidden="1" x14ac:dyDescent="0.35"/>
    <row r="68753" hidden="1" x14ac:dyDescent="0.35"/>
    <row r="68754" hidden="1" x14ac:dyDescent="0.35"/>
    <row r="68755" hidden="1" x14ac:dyDescent="0.35"/>
    <row r="68756" hidden="1" x14ac:dyDescent="0.35"/>
    <row r="68757" hidden="1" x14ac:dyDescent="0.35"/>
    <row r="68758" hidden="1" x14ac:dyDescent="0.35"/>
    <row r="68759" hidden="1" x14ac:dyDescent="0.35"/>
    <row r="68760" hidden="1" x14ac:dyDescent="0.35"/>
    <row r="68761" hidden="1" x14ac:dyDescent="0.35"/>
    <row r="68762" hidden="1" x14ac:dyDescent="0.35"/>
    <row r="68763" hidden="1" x14ac:dyDescent="0.35"/>
    <row r="68764" hidden="1" x14ac:dyDescent="0.35"/>
    <row r="68765" hidden="1" x14ac:dyDescent="0.35"/>
    <row r="68766" hidden="1" x14ac:dyDescent="0.35"/>
    <row r="68767" hidden="1" x14ac:dyDescent="0.35"/>
    <row r="68768" hidden="1" x14ac:dyDescent="0.35"/>
    <row r="68769" hidden="1" x14ac:dyDescent="0.35"/>
    <row r="68770" hidden="1" x14ac:dyDescent="0.35"/>
    <row r="68771" hidden="1" x14ac:dyDescent="0.35"/>
    <row r="68772" hidden="1" x14ac:dyDescent="0.35"/>
    <row r="68773" hidden="1" x14ac:dyDescent="0.35"/>
    <row r="68774" hidden="1" x14ac:dyDescent="0.35"/>
    <row r="68775" hidden="1" x14ac:dyDescent="0.35"/>
    <row r="68776" hidden="1" x14ac:dyDescent="0.35"/>
    <row r="68777" hidden="1" x14ac:dyDescent="0.35"/>
    <row r="68778" hidden="1" x14ac:dyDescent="0.35"/>
    <row r="68779" hidden="1" x14ac:dyDescent="0.35"/>
    <row r="68780" hidden="1" x14ac:dyDescent="0.35"/>
    <row r="68781" hidden="1" x14ac:dyDescent="0.35"/>
    <row r="68782" hidden="1" x14ac:dyDescent="0.35"/>
    <row r="68783" hidden="1" x14ac:dyDescent="0.35"/>
    <row r="68784" hidden="1" x14ac:dyDescent="0.35"/>
    <row r="68785" hidden="1" x14ac:dyDescent="0.35"/>
    <row r="68786" hidden="1" x14ac:dyDescent="0.35"/>
    <row r="68787" hidden="1" x14ac:dyDescent="0.35"/>
    <row r="68788" hidden="1" x14ac:dyDescent="0.35"/>
    <row r="68789" hidden="1" x14ac:dyDescent="0.35"/>
    <row r="68790" hidden="1" x14ac:dyDescent="0.35"/>
    <row r="68791" hidden="1" x14ac:dyDescent="0.35"/>
    <row r="68792" hidden="1" x14ac:dyDescent="0.35"/>
    <row r="68793" hidden="1" x14ac:dyDescent="0.35"/>
    <row r="68794" hidden="1" x14ac:dyDescent="0.35"/>
    <row r="68795" hidden="1" x14ac:dyDescent="0.35"/>
    <row r="68796" hidden="1" x14ac:dyDescent="0.35"/>
    <row r="68797" hidden="1" x14ac:dyDescent="0.35"/>
    <row r="68798" hidden="1" x14ac:dyDescent="0.35"/>
    <row r="68799" hidden="1" x14ac:dyDescent="0.35"/>
    <row r="68800" hidden="1" x14ac:dyDescent="0.35"/>
    <row r="68801" hidden="1" x14ac:dyDescent="0.35"/>
    <row r="68802" hidden="1" x14ac:dyDescent="0.35"/>
    <row r="68803" hidden="1" x14ac:dyDescent="0.35"/>
    <row r="68804" hidden="1" x14ac:dyDescent="0.35"/>
    <row r="68805" hidden="1" x14ac:dyDescent="0.35"/>
    <row r="68806" hidden="1" x14ac:dyDescent="0.35"/>
    <row r="68807" hidden="1" x14ac:dyDescent="0.35"/>
    <row r="68808" hidden="1" x14ac:dyDescent="0.35"/>
    <row r="68809" hidden="1" x14ac:dyDescent="0.35"/>
    <row r="68810" hidden="1" x14ac:dyDescent="0.35"/>
    <row r="68811" hidden="1" x14ac:dyDescent="0.35"/>
    <row r="68812" hidden="1" x14ac:dyDescent="0.35"/>
    <row r="68813" hidden="1" x14ac:dyDescent="0.35"/>
    <row r="68814" hidden="1" x14ac:dyDescent="0.35"/>
    <row r="68815" hidden="1" x14ac:dyDescent="0.35"/>
    <row r="68816" hidden="1" x14ac:dyDescent="0.35"/>
    <row r="68817" hidden="1" x14ac:dyDescent="0.35"/>
    <row r="68818" hidden="1" x14ac:dyDescent="0.35"/>
    <row r="68819" hidden="1" x14ac:dyDescent="0.35"/>
    <row r="68820" hidden="1" x14ac:dyDescent="0.35"/>
    <row r="68821" hidden="1" x14ac:dyDescent="0.35"/>
    <row r="68822" hidden="1" x14ac:dyDescent="0.35"/>
    <row r="68823" hidden="1" x14ac:dyDescent="0.35"/>
    <row r="68824" hidden="1" x14ac:dyDescent="0.35"/>
    <row r="68825" hidden="1" x14ac:dyDescent="0.35"/>
    <row r="68826" hidden="1" x14ac:dyDescent="0.35"/>
    <row r="68827" hidden="1" x14ac:dyDescent="0.35"/>
    <row r="68828" hidden="1" x14ac:dyDescent="0.35"/>
    <row r="68829" hidden="1" x14ac:dyDescent="0.35"/>
    <row r="68830" hidden="1" x14ac:dyDescent="0.35"/>
    <row r="68831" hidden="1" x14ac:dyDescent="0.35"/>
    <row r="68832" hidden="1" x14ac:dyDescent="0.35"/>
    <row r="68833" hidden="1" x14ac:dyDescent="0.35"/>
    <row r="68834" hidden="1" x14ac:dyDescent="0.35"/>
    <row r="68835" hidden="1" x14ac:dyDescent="0.35"/>
    <row r="68836" hidden="1" x14ac:dyDescent="0.35"/>
    <row r="68837" hidden="1" x14ac:dyDescent="0.35"/>
    <row r="68838" hidden="1" x14ac:dyDescent="0.35"/>
    <row r="68839" hidden="1" x14ac:dyDescent="0.35"/>
    <row r="68840" hidden="1" x14ac:dyDescent="0.35"/>
    <row r="68841" hidden="1" x14ac:dyDescent="0.35"/>
    <row r="68842" hidden="1" x14ac:dyDescent="0.35"/>
    <row r="68843" hidden="1" x14ac:dyDescent="0.35"/>
    <row r="68844" hidden="1" x14ac:dyDescent="0.35"/>
    <row r="68845" hidden="1" x14ac:dyDescent="0.35"/>
    <row r="68846" hidden="1" x14ac:dyDescent="0.35"/>
    <row r="68847" hidden="1" x14ac:dyDescent="0.35"/>
    <row r="68848" hidden="1" x14ac:dyDescent="0.35"/>
    <row r="68849" hidden="1" x14ac:dyDescent="0.35"/>
    <row r="68850" hidden="1" x14ac:dyDescent="0.35"/>
    <row r="68851" hidden="1" x14ac:dyDescent="0.35"/>
    <row r="68852" hidden="1" x14ac:dyDescent="0.35"/>
    <row r="68853" hidden="1" x14ac:dyDescent="0.35"/>
    <row r="68854" hidden="1" x14ac:dyDescent="0.35"/>
    <row r="68855" hidden="1" x14ac:dyDescent="0.35"/>
    <row r="68856" hidden="1" x14ac:dyDescent="0.35"/>
    <row r="68857" hidden="1" x14ac:dyDescent="0.35"/>
    <row r="68858" hidden="1" x14ac:dyDescent="0.35"/>
    <row r="68859" hidden="1" x14ac:dyDescent="0.35"/>
    <row r="68860" hidden="1" x14ac:dyDescent="0.35"/>
    <row r="68861" hidden="1" x14ac:dyDescent="0.35"/>
    <row r="68862" hidden="1" x14ac:dyDescent="0.35"/>
    <row r="68863" hidden="1" x14ac:dyDescent="0.35"/>
    <row r="68864" hidden="1" x14ac:dyDescent="0.35"/>
    <row r="68865" hidden="1" x14ac:dyDescent="0.35"/>
    <row r="68866" hidden="1" x14ac:dyDescent="0.35"/>
    <row r="68867" hidden="1" x14ac:dyDescent="0.35"/>
    <row r="68868" hidden="1" x14ac:dyDescent="0.35"/>
    <row r="68869" hidden="1" x14ac:dyDescent="0.35"/>
    <row r="68870" hidden="1" x14ac:dyDescent="0.35"/>
    <row r="68871" hidden="1" x14ac:dyDescent="0.35"/>
    <row r="68872" hidden="1" x14ac:dyDescent="0.35"/>
    <row r="68873" hidden="1" x14ac:dyDescent="0.35"/>
    <row r="68874" hidden="1" x14ac:dyDescent="0.35"/>
    <row r="68875" hidden="1" x14ac:dyDescent="0.35"/>
    <row r="68876" hidden="1" x14ac:dyDescent="0.35"/>
    <row r="68877" hidden="1" x14ac:dyDescent="0.35"/>
    <row r="68878" hidden="1" x14ac:dyDescent="0.35"/>
    <row r="68879" hidden="1" x14ac:dyDescent="0.35"/>
    <row r="68880" hidden="1" x14ac:dyDescent="0.35"/>
    <row r="68881" hidden="1" x14ac:dyDescent="0.35"/>
    <row r="68882" hidden="1" x14ac:dyDescent="0.35"/>
    <row r="68883" hidden="1" x14ac:dyDescent="0.35"/>
    <row r="68884" hidden="1" x14ac:dyDescent="0.35"/>
    <row r="68885" hidden="1" x14ac:dyDescent="0.35"/>
    <row r="68886" hidden="1" x14ac:dyDescent="0.35"/>
    <row r="68887" hidden="1" x14ac:dyDescent="0.35"/>
    <row r="68888" hidden="1" x14ac:dyDescent="0.35"/>
    <row r="68889" hidden="1" x14ac:dyDescent="0.35"/>
    <row r="68890" hidden="1" x14ac:dyDescent="0.35"/>
    <row r="68891" hidden="1" x14ac:dyDescent="0.35"/>
    <row r="68892" hidden="1" x14ac:dyDescent="0.35"/>
    <row r="68893" hidden="1" x14ac:dyDescent="0.35"/>
    <row r="68894" hidden="1" x14ac:dyDescent="0.35"/>
    <row r="68895" hidden="1" x14ac:dyDescent="0.35"/>
    <row r="68896" hidden="1" x14ac:dyDescent="0.35"/>
    <row r="68897" hidden="1" x14ac:dyDescent="0.35"/>
    <row r="68898" hidden="1" x14ac:dyDescent="0.35"/>
    <row r="68899" hidden="1" x14ac:dyDescent="0.35"/>
    <row r="68900" hidden="1" x14ac:dyDescent="0.35"/>
    <row r="68901" hidden="1" x14ac:dyDescent="0.35"/>
    <row r="68902" hidden="1" x14ac:dyDescent="0.35"/>
    <row r="68903" hidden="1" x14ac:dyDescent="0.35"/>
    <row r="68904" hidden="1" x14ac:dyDescent="0.35"/>
    <row r="68905" hidden="1" x14ac:dyDescent="0.35"/>
    <row r="68906" hidden="1" x14ac:dyDescent="0.35"/>
    <row r="68907" hidden="1" x14ac:dyDescent="0.35"/>
    <row r="68908" hidden="1" x14ac:dyDescent="0.35"/>
    <row r="68909" hidden="1" x14ac:dyDescent="0.35"/>
    <row r="68910" hidden="1" x14ac:dyDescent="0.35"/>
    <row r="68911" hidden="1" x14ac:dyDescent="0.35"/>
    <row r="68912" hidden="1" x14ac:dyDescent="0.35"/>
    <row r="68913" hidden="1" x14ac:dyDescent="0.35"/>
    <row r="68914" hidden="1" x14ac:dyDescent="0.35"/>
    <row r="68915" hidden="1" x14ac:dyDescent="0.35"/>
    <row r="68916" hidden="1" x14ac:dyDescent="0.35"/>
    <row r="68917" hidden="1" x14ac:dyDescent="0.35"/>
    <row r="68918" hidden="1" x14ac:dyDescent="0.35"/>
    <row r="68919" hidden="1" x14ac:dyDescent="0.35"/>
    <row r="68920" hidden="1" x14ac:dyDescent="0.35"/>
    <row r="68921" hidden="1" x14ac:dyDescent="0.35"/>
    <row r="68922" hidden="1" x14ac:dyDescent="0.35"/>
    <row r="68923" hidden="1" x14ac:dyDescent="0.35"/>
    <row r="68924" hidden="1" x14ac:dyDescent="0.35"/>
    <row r="68925" hidden="1" x14ac:dyDescent="0.35"/>
    <row r="68926" hidden="1" x14ac:dyDescent="0.35"/>
    <row r="68927" hidden="1" x14ac:dyDescent="0.35"/>
    <row r="68928" hidden="1" x14ac:dyDescent="0.35"/>
    <row r="68929" hidden="1" x14ac:dyDescent="0.35"/>
    <row r="68930" hidden="1" x14ac:dyDescent="0.35"/>
    <row r="68931" hidden="1" x14ac:dyDescent="0.35"/>
    <row r="68932" hidden="1" x14ac:dyDescent="0.35"/>
    <row r="68933" hidden="1" x14ac:dyDescent="0.35"/>
    <row r="68934" hidden="1" x14ac:dyDescent="0.35"/>
    <row r="68935" hidden="1" x14ac:dyDescent="0.35"/>
    <row r="68936" hidden="1" x14ac:dyDescent="0.35"/>
    <row r="68937" hidden="1" x14ac:dyDescent="0.35"/>
    <row r="68938" hidden="1" x14ac:dyDescent="0.35"/>
    <row r="68939" hidden="1" x14ac:dyDescent="0.35"/>
    <row r="68940" hidden="1" x14ac:dyDescent="0.35"/>
    <row r="68941" hidden="1" x14ac:dyDescent="0.35"/>
    <row r="68942" hidden="1" x14ac:dyDescent="0.35"/>
    <row r="68943" hidden="1" x14ac:dyDescent="0.35"/>
    <row r="68944" hidden="1" x14ac:dyDescent="0.35"/>
    <row r="68945" hidden="1" x14ac:dyDescent="0.35"/>
    <row r="68946" hidden="1" x14ac:dyDescent="0.35"/>
    <row r="68947" hidden="1" x14ac:dyDescent="0.35"/>
    <row r="68948" hidden="1" x14ac:dyDescent="0.35"/>
    <row r="68949" hidden="1" x14ac:dyDescent="0.35"/>
    <row r="68950" hidden="1" x14ac:dyDescent="0.35"/>
    <row r="68951" hidden="1" x14ac:dyDescent="0.35"/>
    <row r="68952" hidden="1" x14ac:dyDescent="0.35"/>
    <row r="68953" hidden="1" x14ac:dyDescent="0.35"/>
    <row r="68954" hidden="1" x14ac:dyDescent="0.35"/>
    <row r="68955" hidden="1" x14ac:dyDescent="0.35"/>
    <row r="68956" hidden="1" x14ac:dyDescent="0.35"/>
    <row r="68957" hidden="1" x14ac:dyDescent="0.35"/>
    <row r="68958" hidden="1" x14ac:dyDescent="0.35"/>
    <row r="68959" hidden="1" x14ac:dyDescent="0.35"/>
    <row r="68960" hidden="1" x14ac:dyDescent="0.35"/>
    <row r="68961" hidden="1" x14ac:dyDescent="0.35"/>
    <row r="68962" hidden="1" x14ac:dyDescent="0.35"/>
    <row r="68963" hidden="1" x14ac:dyDescent="0.35"/>
    <row r="68964" hidden="1" x14ac:dyDescent="0.35"/>
    <row r="68965" hidden="1" x14ac:dyDescent="0.35"/>
    <row r="68966" hidden="1" x14ac:dyDescent="0.35"/>
    <row r="68967" hidden="1" x14ac:dyDescent="0.35"/>
    <row r="68968" hidden="1" x14ac:dyDescent="0.35"/>
    <row r="68969" hidden="1" x14ac:dyDescent="0.35"/>
    <row r="68970" hidden="1" x14ac:dyDescent="0.35"/>
    <row r="68971" hidden="1" x14ac:dyDescent="0.35"/>
    <row r="68972" hidden="1" x14ac:dyDescent="0.35"/>
    <row r="68973" hidden="1" x14ac:dyDescent="0.35"/>
    <row r="68974" hidden="1" x14ac:dyDescent="0.35"/>
    <row r="68975" hidden="1" x14ac:dyDescent="0.35"/>
    <row r="68976" hidden="1" x14ac:dyDescent="0.35"/>
    <row r="68977" hidden="1" x14ac:dyDescent="0.35"/>
    <row r="68978" hidden="1" x14ac:dyDescent="0.35"/>
    <row r="68979" hidden="1" x14ac:dyDescent="0.35"/>
    <row r="68980" hidden="1" x14ac:dyDescent="0.35"/>
    <row r="68981" hidden="1" x14ac:dyDescent="0.35"/>
    <row r="68982" hidden="1" x14ac:dyDescent="0.35"/>
    <row r="68983" hidden="1" x14ac:dyDescent="0.35"/>
    <row r="68984" hidden="1" x14ac:dyDescent="0.35"/>
    <row r="68985" hidden="1" x14ac:dyDescent="0.35"/>
    <row r="68986" hidden="1" x14ac:dyDescent="0.35"/>
    <row r="68987" hidden="1" x14ac:dyDescent="0.35"/>
    <row r="68988" hidden="1" x14ac:dyDescent="0.35"/>
    <row r="68989" hidden="1" x14ac:dyDescent="0.35"/>
    <row r="68990" hidden="1" x14ac:dyDescent="0.35"/>
    <row r="68991" hidden="1" x14ac:dyDescent="0.35"/>
    <row r="68992" hidden="1" x14ac:dyDescent="0.35"/>
    <row r="68993" hidden="1" x14ac:dyDescent="0.35"/>
    <row r="68994" hidden="1" x14ac:dyDescent="0.35"/>
    <row r="68995" hidden="1" x14ac:dyDescent="0.35"/>
    <row r="68996" hidden="1" x14ac:dyDescent="0.35"/>
    <row r="68997" hidden="1" x14ac:dyDescent="0.35"/>
    <row r="68998" hidden="1" x14ac:dyDescent="0.35"/>
    <row r="68999" hidden="1" x14ac:dyDescent="0.35"/>
    <row r="69000" hidden="1" x14ac:dyDescent="0.35"/>
    <row r="69001" hidden="1" x14ac:dyDescent="0.35"/>
    <row r="69002" hidden="1" x14ac:dyDescent="0.35"/>
    <row r="69003" hidden="1" x14ac:dyDescent="0.35"/>
    <row r="69004" hidden="1" x14ac:dyDescent="0.35"/>
    <row r="69005" hidden="1" x14ac:dyDescent="0.35"/>
    <row r="69006" hidden="1" x14ac:dyDescent="0.35"/>
    <row r="69007" hidden="1" x14ac:dyDescent="0.35"/>
    <row r="69008" hidden="1" x14ac:dyDescent="0.35"/>
    <row r="69009" hidden="1" x14ac:dyDescent="0.35"/>
    <row r="69010" hidden="1" x14ac:dyDescent="0.35"/>
    <row r="69011" hidden="1" x14ac:dyDescent="0.35"/>
    <row r="69012" hidden="1" x14ac:dyDescent="0.35"/>
    <row r="69013" hidden="1" x14ac:dyDescent="0.35"/>
    <row r="69014" hidden="1" x14ac:dyDescent="0.35"/>
    <row r="69015" hidden="1" x14ac:dyDescent="0.35"/>
    <row r="69016" hidden="1" x14ac:dyDescent="0.35"/>
    <row r="69017" hidden="1" x14ac:dyDescent="0.35"/>
    <row r="69018" hidden="1" x14ac:dyDescent="0.35"/>
    <row r="69019" hidden="1" x14ac:dyDescent="0.35"/>
    <row r="69020" hidden="1" x14ac:dyDescent="0.35"/>
    <row r="69021" hidden="1" x14ac:dyDescent="0.35"/>
    <row r="69022" hidden="1" x14ac:dyDescent="0.35"/>
    <row r="69023" hidden="1" x14ac:dyDescent="0.35"/>
    <row r="69024" hidden="1" x14ac:dyDescent="0.35"/>
    <row r="69025" hidden="1" x14ac:dyDescent="0.35"/>
    <row r="69026" hidden="1" x14ac:dyDescent="0.35"/>
    <row r="69027" hidden="1" x14ac:dyDescent="0.35"/>
    <row r="69028" hidden="1" x14ac:dyDescent="0.35"/>
    <row r="69029" hidden="1" x14ac:dyDescent="0.35"/>
    <row r="69030" hidden="1" x14ac:dyDescent="0.35"/>
    <row r="69031" hidden="1" x14ac:dyDescent="0.35"/>
    <row r="69032" hidden="1" x14ac:dyDescent="0.35"/>
    <row r="69033" hidden="1" x14ac:dyDescent="0.35"/>
    <row r="69034" hidden="1" x14ac:dyDescent="0.35"/>
    <row r="69035" hidden="1" x14ac:dyDescent="0.35"/>
    <row r="69036" hidden="1" x14ac:dyDescent="0.35"/>
    <row r="69037" hidden="1" x14ac:dyDescent="0.35"/>
    <row r="69038" hidden="1" x14ac:dyDescent="0.35"/>
    <row r="69039" hidden="1" x14ac:dyDescent="0.35"/>
    <row r="69040" hidden="1" x14ac:dyDescent="0.35"/>
    <row r="69041" hidden="1" x14ac:dyDescent="0.35"/>
    <row r="69042" hidden="1" x14ac:dyDescent="0.35"/>
    <row r="69043" hidden="1" x14ac:dyDescent="0.35"/>
    <row r="69044" hidden="1" x14ac:dyDescent="0.35"/>
    <row r="69045" hidden="1" x14ac:dyDescent="0.35"/>
    <row r="69046" hidden="1" x14ac:dyDescent="0.35"/>
    <row r="69047" hidden="1" x14ac:dyDescent="0.35"/>
    <row r="69048" hidden="1" x14ac:dyDescent="0.35"/>
    <row r="69049" hidden="1" x14ac:dyDescent="0.35"/>
    <row r="69050" hidden="1" x14ac:dyDescent="0.35"/>
    <row r="69051" hidden="1" x14ac:dyDescent="0.35"/>
    <row r="69052" hidden="1" x14ac:dyDescent="0.35"/>
    <row r="69053" hidden="1" x14ac:dyDescent="0.35"/>
    <row r="69054" hidden="1" x14ac:dyDescent="0.35"/>
    <row r="69055" hidden="1" x14ac:dyDescent="0.35"/>
    <row r="69056" hidden="1" x14ac:dyDescent="0.35"/>
    <row r="69057" hidden="1" x14ac:dyDescent="0.35"/>
    <row r="69058" hidden="1" x14ac:dyDescent="0.35"/>
    <row r="69059" hidden="1" x14ac:dyDescent="0.35"/>
    <row r="69060" hidden="1" x14ac:dyDescent="0.35"/>
    <row r="69061" hidden="1" x14ac:dyDescent="0.35"/>
    <row r="69062" hidden="1" x14ac:dyDescent="0.35"/>
    <row r="69063" hidden="1" x14ac:dyDescent="0.35"/>
    <row r="69064" hidden="1" x14ac:dyDescent="0.35"/>
    <row r="69065" hidden="1" x14ac:dyDescent="0.35"/>
    <row r="69066" hidden="1" x14ac:dyDescent="0.35"/>
    <row r="69067" hidden="1" x14ac:dyDescent="0.35"/>
    <row r="69068" hidden="1" x14ac:dyDescent="0.35"/>
    <row r="69069" hidden="1" x14ac:dyDescent="0.35"/>
    <row r="69070" hidden="1" x14ac:dyDescent="0.35"/>
    <row r="69071" hidden="1" x14ac:dyDescent="0.35"/>
    <row r="69072" hidden="1" x14ac:dyDescent="0.35"/>
    <row r="69073" hidden="1" x14ac:dyDescent="0.35"/>
    <row r="69074" hidden="1" x14ac:dyDescent="0.35"/>
    <row r="69075" hidden="1" x14ac:dyDescent="0.35"/>
    <row r="69076" hidden="1" x14ac:dyDescent="0.35"/>
    <row r="69077" hidden="1" x14ac:dyDescent="0.35"/>
    <row r="69078" hidden="1" x14ac:dyDescent="0.35"/>
    <row r="69079" hidden="1" x14ac:dyDescent="0.35"/>
    <row r="69080" hidden="1" x14ac:dyDescent="0.35"/>
    <row r="69081" hidden="1" x14ac:dyDescent="0.35"/>
    <row r="69082" hidden="1" x14ac:dyDescent="0.35"/>
    <row r="69083" hidden="1" x14ac:dyDescent="0.35"/>
    <row r="69084" hidden="1" x14ac:dyDescent="0.35"/>
    <row r="69085" hidden="1" x14ac:dyDescent="0.35"/>
    <row r="69086" hidden="1" x14ac:dyDescent="0.35"/>
    <row r="69087" hidden="1" x14ac:dyDescent="0.35"/>
    <row r="69088" hidden="1" x14ac:dyDescent="0.35"/>
    <row r="69089" hidden="1" x14ac:dyDescent="0.35"/>
    <row r="69090" hidden="1" x14ac:dyDescent="0.35"/>
    <row r="69091" hidden="1" x14ac:dyDescent="0.35"/>
    <row r="69092" hidden="1" x14ac:dyDescent="0.35"/>
    <row r="69093" hidden="1" x14ac:dyDescent="0.35"/>
    <row r="69094" hidden="1" x14ac:dyDescent="0.35"/>
    <row r="69095" hidden="1" x14ac:dyDescent="0.35"/>
    <row r="69096" hidden="1" x14ac:dyDescent="0.35"/>
    <row r="69097" hidden="1" x14ac:dyDescent="0.35"/>
    <row r="69098" hidden="1" x14ac:dyDescent="0.35"/>
    <row r="69099" hidden="1" x14ac:dyDescent="0.35"/>
    <row r="69100" hidden="1" x14ac:dyDescent="0.35"/>
    <row r="69101" hidden="1" x14ac:dyDescent="0.35"/>
    <row r="69102" hidden="1" x14ac:dyDescent="0.35"/>
    <row r="69103" hidden="1" x14ac:dyDescent="0.35"/>
    <row r="69104" hidden="1" x14ac:dyDescent="0.35"/>
    <row r="69105" hidden="1" x14ac:dyDescent="0.35"/>
    <row r="69106" hidden="1" x14ac:dyDescent="0.35"/>
    <row r="69107" hidden="1" x14ac:dyDescent="0.35"/>
    <row r="69108" hidden="1" x14ac:dyDescent="0.35"/>
    <row r="69109" hidden="1" x14ac:dyDescent="0.35"/>
    <row r="69110" hidden="1" x14ac:dyDescent="0.35"/>
    <row r="69111" hidden="1" x14ac:dyDescent="0.35"/>
    <row r="69112" hidden="1" x14ac:dyDescent="0.35"/>
    <row r="69113" hidden="1" x14ac:dyDescent="0.35"/>
    <row r="69114" hidden="1" x14ac:dyDescent="0.35"/>
    <row r="69115" hidden="1" x14ac:dyDescent="0.35"/>
    <row r="69116" hidden="1" x14ac:dyDescent="0.35"/>
    <row r="69117" hidden="1" x14ac:dyDescent="0.35"/>
    <row r="69118" hidden="1" x14ac:dyDescent="0.35"/>
    <row r="69119" hidden="1" x14ac:dyDescent="0.35"/>
    <row r="69120" hidden="1" x14ac:dyDescent="0.35"/>
    <row r="69121" hidden="1" x14ac:dyDescent="0.35"/>
    <row r="69122" hidden="1" x14ac:dyDescent="0.35"/>
    <row r="69123" hidden="1" x14ac:dyDescent="0.35"/>
    <row r="69124" hidden="1" x14ac:dyDescent="0.35"/>
    <row r="69125" hidden="1" x14ac:dyDescent="0.35"/>
    <row r="69126" hidden="1" x14ac:dyDescent="0.35"/>
    <row r="69127" hidden="1" x14ac:dyDescent="0.35"/>
    <row r="69128" hidden="1" x14ac:dyDescent="0.35"/>
    <row r="69129" hidden="1" x14ac:dyDescent="0.35"/>
    <row r="69130" hidden="1" x14ac:dyDescent="0.35"/>
    <row r="69131" hidden="1" x14ac:dyDescent="0.35"/>
    <row r="69132" hidden="1" x14ac:dyDescent="0.35"/>
    <row r="69133" hidden="1" x14ac:dyDescent="0.35"/>
    <row r="69134" hidden="1" x14ac:dyDescent="0.35"/>
    <row r="69135" hidden="1" x14ac:dyDescent="0.35"/>
    <row r="69136" hidden="1" x14ac:dyDescent="0.35"/>
    <row r="69137" hidden="1" x14ac:dyDescent="0.35"/>
    <row r="69138" hidden="1" x14ac:dyDescent="0.35"/>
    <row r="69139" hidden="1" x14ac:dyDescent="0.35"/>
    <row r="69140" hidden="1" x14ac:dyDescent="0.35"/>
    <row r="69141" hidden="1" x14ac:dyDescent="0.35"/>
    <row r="69142" hidden="1" x14ac:dyDescent="0.35"/>
    <row r="69143" hidden="1" x14ac:dyDescent="0.35"/>
    <row r="69144" hidden="1" x14ac:dyDescent="0.35"/>
    <row r="69145" hidden="1" x14ac:dyDescent="0.35"/>
    <row r="69146" hidden="1" x14ac:dyDescent="0.35"/>
    <row r="69147" hidden="1" x14ac:dyDescent="0.35"/>
    <row r="69148" hidden="1" x14ac:dyDescent="0.35"/>
    <row r="69149" hidden="1" x14ac:dyDescent="0.35"/>
    <row r="69150" hidden="1" x14ac:dyDescent="0.35"/>
    <row r="69151" hidden="1" x14ac:dyDescent="0.35"/>
    <row r="69152" hidden="1" x14ac:dyDescent="0.35"/>
    <row r="69153" hidden="1" x14ac:dyDescent="0.35"/>
    <row r="69154" hidden="1" x14ac:dyDescent="0.35"/>
    <row r="69155" hidden="1" x14ac:dyDescent="0.35"/>
    <row r="69156" hidden="1" x14ac:dyDescent="0.35"/>
    <row r="69157" hidden="1" x14ac:dyDescent="0.35"/>
    <row r="69158" hidden="1" x14ac:dyDescent="0.35"/>
    <row r="69159" hidden="1" x14ac:dyDescent="0.35"/>
    <row r="69160" hidden="1" x14ac:dyDescent="0.35"/>
    <row r="69161" hidden="1" x14ac:dyDescent="0.35"/>
    <row r="69162" hidden="1" x14ac:dyDescent="0.35"/>
    <row r="69163" hidden="1" x14ac:dyDescent="0.35"/>
    <row r="69164" hidden="1" x14ac:dyDescent="0.35"/>
    <row r="69165" hidden="1" x14ac:dyDescent="0.35"/>
    <row r="69166" hidden="1" x14ac:dyDescent="0.35"/>
    <row r="69167" hidden="1" x14ac:dyDescent="0.35"/>
    <row r="69168" hidden="1" x14ac:dyDescent="0.35"/>
    <row r="69169" hidden="1" x14ac:dyDescent="0.35"/>
    <row r="69170" hidden="1" x14ac:dyDescent="0.35"/>
    <row r="69171" hidden="1" x14ac:dyDescent="0.35"/>
    <row r="69172" hidden="1" x14ac:dyDescent="0.35"/>
    <row r="69173" hidden="1" x14ac:dyDescent="0.35"/>
    <row r="69174" hidden="1" x14ac:dyDescent="0.35"/>
    <row r="69175" hidden="1" x14ac:dyDescent="0.35"/>
    <row r="69176" hidden="1" x14ac:dyDescent="0.35"/>
    <row r="69177" hidden="1" x14ac:dyDescent="0.35"/>
    <row r="69178" hidden="1" x14ac:dyDescent="0.35"/>
    <row r="69179" hidden="1" x14ac:dyDescent="0.35"/>
    <row r="69180" hidden="1" x14ac:dyDescent="0.35"/>
    <row r="69181" hidden="1" x14ac:dyDescent="0.35"/>
    <row r="69182" hidden="1" x14ac:dyDescent="0.35"/>
    <row r="69183" hidden="1" x14ac:dyDescent="0.35"/>
    <row r="69184" hidden="1" x14ac:dyDescent="0.35"/>
    <row r="69185" hidden="1" x14ac:dyDescent="0.35"/>
    <row r="69186" hidden="1" x14ac:dyDescent="0.35"/>
    <row r="69187" hidden="1" x14ac:dyDescent="0.35"/>
    <row r="69188" hidden="1" x14ac:dyDescent="0.35"/>
    <row r="69189" hidden="1" x14ac:dyDescent="0.35"/>
    <row r="69190" hidden="1" x14ac:dyDescent="0.35"/>
    <row r="69191" hidden="1" x14ac:dyDescent="0.35"/>
    <row r="69192" hidden="1" x14ac:dyDescent="0.35"/>
    <row r="69193" hidden="1" x14ac:dyDescent="0.35"/>
    <row r="69194" hidden="1" x14ac:dyDescent="0.35"/>
    <row r="69195" hidden="1" x14ac:dyDescent="0.35"/>
    <row r="69196" hidden="1" x14ac:dyDescent="0.35"/>
    <row r="69197" hidden="1" x14ac:dyDescent="0.35"/>
    <row r="69198" hidden="1" x14ac:dyDescent="0.35"/>
    <row r="69199" hidden="1" x14ac:dyDescent="0.35"/>
    <row r="69200" hidden="1" x14ac:dyDescent="0.35"/>
    <row r="69201" hidden="1" x14ac:dyDescent="0.35"/>
    <row r="69202" hidden="1" x14ac:dyDescent="0.35"/>
    <row r="69203" hidden="1" x14ac:dyDescent="0.35"/>
    <row r="69204" hidden="1" x14ac:dyDescent="0.35"/>
    <row r="69205" hidden="1" x14ac:dyDescent="0.35"/>
    <row r="69206" hidden="1" x14ac:dyDescent="0.35"/>
    <row r="69207" hidden="1" x14ac:dyDescent="0.35"/>
    <row r="69208" hidden="1" x14ac:dyDescent="0.35"/>
    <row r="69209" hidden="1" x14ac:dyDescent="0.35"/>
    <row r="69210" hidden="1" x14ac:dyDescent="0.35"/>
    <row r="69211" hidden="1" x14ac:dyDescent="0.35"/>
    <row r="69212" hidden="1" x14ac:dyDescent="0.35"/>
    <row r="69213" hidden="1" x14ac:dyDescent="0.35"/>
    <row r="69214" hidden="1" x14ac:dyDescent="0.35"/>
    <row r="69215" hidden="1" x14ac:dyDescent="0.35"/>
    <row r="69216" hidden="1" x14ac:dyDescent="0.35"/>
    <row r="69217" hidden="1" x14ac:dyDescent="0.35"/>
    <row r="69218" hidden="1" x14ac:dyDescent="0.35"/>
    <row r="69219" hidden="1" x14ac:dyDescent="0.35"/>
    <row r="69220" hidden="1" x14ac:dyDescent="0.35"/>
    <row r="69221" hidden="1" x14ac:dyDescent="0.35"/>
    <row r="69222" hidden="1" x14ac:dyDescent="0.35"/>
    <row r="69223" hidden="1" x14ac:dyDescent="0.35"/>
    <row r="69224" hidden="1" x14ac:dyDescent="0.35"/>
    <row r="69225" hidden="1" x14ac:dyDescent="0.35"/>
    <row r="69226" hidden="1" x14ac:dyDescent="0.35"/>
    <row r="69227" hidden="1" x14ac:dyDescent="0.35"/>
    <row r="69228" hidden="1" x14ac:dyDescent="0.35"/>
    <row r="69229" hidden="1" x14ac:dyDescent="0.35"/>
    <row r="69230" hidden="1" x14ac:dyDescent="0.35"/>
    <row r="69231" hidden="1" x14ac:dyDescent="0.35"/>
    <row r="69232" hidden="1" x14ac:dyDescent="0.35"/>
    <row r="69233" hidden="1" x14ac:dyDescent="0.35"/>
    <row r="69234" hidden="1" x14ac:dyDescent="0.35"/>
    <row r="69235" hidden="1" x14ac:dyDescent="0.35"/>
    <row r="69236" hidden="1" x14ac:dyDescent="0.35"/>
    <row r="69237" hidden="1" x14ac:dyDescent="0.35"/>
    <row r="69238" hidden="1" x14ac:dyDescent="0.35"/>
    <row r="69239" hidden="1" x14ac:dyDescent="0.35"/>
    <row r="69240" hidden="1" x14ac:dyDescent="0.35"/>
    <row r="69241" hidden="1" x14ac:dyDescent="0.35"/>
    <row r="69242" hidden="1" x14ac:dyDescent="0.35"/>
    <row r="69243" hidden="1" x14ac:dyDescent="0.35"/>
    <row r="69244" hidden="1" x14ac:dyDescent="0.35"/>
    <row r="69245" hidden="1" x14ac:dyDescent="0.35"/>
    <row r="69246" hidden="1" x14ac:dyDescent="0.35"/>
    <row r="69247" hidden="1" x14ac:dyDescent="0.35"/>
    <row r="69248" hidden="1" x14ac:dyDescent="0.35"/>
    <row r="69249" hidden="1" x14ac:dyDescent="0.35"/>
    <row r="69250" hidden="1" x14ac:dyDescent="0.35"/>
    <row r="69251" hidden="1" x14ac:dyDescent="0.35"/>
    <row r="69252" hidden="1" x14ac:dyDescent="0.35"/>
    <row r="69253" hidden="1" x14ac:dyDescent="0.35"/>
    <row r="69254" hidden="1" x14ac:dyDescent="0.35"/>
    <row r="69255" hidden="1" x14ac:dyDescent="0.35"/>
    <row r="69256" hidden="1" x14ac:dyDescent="0.35"/>
    <row r="69257" hidden="1" x14ac:dyDescent="0.35"/>
    <row r="69258" hidden="1" x14ac:dyDescent="0.35"/>
    <row r="69259" hidden="1" x14ac:dyDescent="0.35"/>
    <row r="69260" hidden="1" x14ac:dyDescent="0.35"/>
    <row r="69261" hidden="1" x14ac:dyDescent="0.35"/>
    <row r="69262" hidden="1" x14ac:dyDescent="0.35"/>
    <row r="69263" hidden="1" x14ac:dyDescent="0.35"/>
    <row r="69264" hidden="1" x14ac:dyDescent="0.35"/>
    <row r="69265" hidden="1" x14ac:dyDescent="0.35"/>
    <row r="69266" hidden="1" x14ac:dyDescent="0.35"/>
    <row r="69267" hidden="1" x14ac:dyDescent="0.35"/>
    <row r="69268" hidden="1" x14ac:dyDescent="0.35"/>
    <row r="69269" hidden="1" x14ac:dyDescent="0.35"/>
    <row r="69270" hidden="1" x14ac:dyDescent="0.35"/>
    <row r="69271" hidden="1" x14ac:dyDescent="0.35"/>
    <row r="69272" hidden="1" x14ac:dyDescent="0.35"/>
    <row r="69273" hidden="1" x14ac:dyDescent="0.35"/>
    <row r="69274" hidden="1" x14ac:dyDescent="0.35"/>
    <row r="69275" hidden="1" x14ac:dyDescent="0.35"/>
    <row r="69276" hidden="1" x14ac:dyDescent="0.35"/>
    <row r="69277" hidden="1" x14ac:dyDescent="0.35"/>
    <row r="69278" hidden="1" x14ac:dyDescent="0.35"/>
    <row r="69279" hidden="1" x14ac:dyDescent="0.35"/>
    <row r="69280" hidden="1" x14ac:dyDescent="0.35"/>
    <row r="69281" hidden="1" x14ac:dyDescent="0.35"/>
    <row r="69282" hidden="1" x14ac:dyDescent="0.35"/>
    <row r="69283" hidden="1" x14ac:dyDescent="0.35"/>
    <row r="69284" hidden="1" x14ac:dyDescent="0.35"/>
    <row r="69285" hidden="1" x14ac:dyDescent="0.35"/>
    <row r="69286" hidden="1" x14ac:dyDescent="0.35"/>
    <row r="69287" hidden="1" x14ac:dyDescent="0.35"/>
    <row r="69288" hidden="1" x14ac:dyDescent="0.35"/>
    <row r="69289" hidden="1" x14ac:dyDescent="0.35"/>
    <row r="69290" hidden="1" x14ac:dyDescent="0.35"/>
    <row r="69291" hidden="1" x14ac:dyDescent="0.35"/>
    <row r="69292" hidden="1" x14ac:dyDescent="0.35"/>
    <row r="69293" hidden="1" x14ac:dyDescent="0.35"/>
    <row r="69294" hidden="1" x14ac:dyDescent="0.35"/>
    <row r="69295" hidden="1" x14ac:dyDescent="0.35"/>
    <row r="69296" hidden="1" x14ac:dyDescent="0.35"/>
    <row r="69297" hidden="1" x14ac:dyDescent="0.35"/>
    <row r="69298" hidden="1" x14ac:dyDescent="0.35"/>
    <row r="69299" hidden="1" x14ac:dyDescent="0.35"/>
    <row r="69300" hidden="1" x14ac:dyDescent="0.35"/>
    <row r="69301" hidden="1" x14ac:dyDescent="0.35"/>
    <row r="69302" hidden="1" x14ac:dyDescent="0.35"/>
    <row r="69303" hidden="1" x14ac:dyDescent="0.35"/>
    <row r="69304" hidden="1" x14ac:dyDescent="0.35"/>
    <row r="69305" hidden="1" x14ac:dyDescent="0.35"/>
    <row r="69306" hidden="1" x14ac:dyDescent="0.35"/>
    <row r="69307" hidden="1" x14ac:dyDescent="0.35"/>
    <row r="69308" hidden="1" x14ac:dyDescent="0.35"/>
    <row r="69309" hidden="1" x14ac:dyDescent="0.35"/>
    <row r="69310" hidden="1" x14ac:dyDescent="0.35"/>
    <row r="69311" hidden="1" x14ac:dyDescent="0.35"/>
    <row r="69312" hidden="1" x14ac:dyDescent="0.35"/>
    <row r="69313" hidden="1" x14ac:dyDescent="0.35"/>
    <row r="69314" hidden="1" x14ac:dyDescent="0.35"/>
    <row r="69315" hidden="1" x14ac:dyDescent="0.35"/>
    <row r="69316" hidden="1" x14ac:dyDescent="0.35"/>
    <row r="69317" hidden="1" x14ac:dyDescent="0.35"/>
    <row r="69318" hidden="1" x14ac:dyDescent="0.35"/>
    <row r="69319" hidden="1" x14ac:dyDescent="0.35"/>
    <row r="69320" hidden="1" x14ac:dyDescent="0.35"/>
    <row r="69321" hidden="1" x14ac:dyDescent="0.35"/>
    <row r="69322" hidden="1" x14ac:dyDescent="0.35"/>
    <row r="69323" hidden="1" x14ac:dyDescent="0.35"/>
    <row r="69324" hidden="1" x14ac:dyDescent="0.35"/>
    <row r="69325" hidden="1" x14ac:dyDescent="0.35"/>
    <row r="69326" hidden="1" x14ac:dyDescent="0.35"/>
    <row r="69327" hidden="1" x14ac:dyDescent="0.35"/>
    <row r="69328" hidden="1" x14ac:dyDescent="0.35"/>
    <row r="69329" hidden="1" x14ac:dyDescent="0.35"/>
    <row r="69330" hidden="1" x14ac:dyDescent="0.35"/>
    <row r="69331" hidden="1" x14ac:dyDescent="0.35"/>
    <row r="69332" hidden="1" x14ac:dyDescent="0.35"/>
    <row r="69333" hidden="1" x14ac:dyDescent="0.35"/>
    <row r="69334" hidden="1" x14ac:dyDescent="0.35"/>
    <row r="69335" hidden="1" x14ac:dyDescent="0.35"/>
    <row r="69336" hidden="1" x14ac:dyDescent="0.35"/>
    <row r="69337" hidden="1" x14ac:dyDescent="0.35"/>
    <row r="69338" hidden="1" x14ac:dyDescent="0.35"/>
    <row r="69339" hidden="1" x14ac:dyDescent="0.35"/>
    <row r="69340" hidden="1" x14ac:dyDescent="0.35"/>
    <row r="69341" hidden="1" x14ac:dyDescent="0.35"/>
    <row r="69342" hidden="1" x14ac:dyDescent="0.35"/>
    <row r="69343" hidden="1" x14ac:dyDescent="0.35"/>
    <row r="69344" hidden="1" x14ac:dyDescent="0.35"/>
    <row r="69345" hidden="1" x14ac:dyDescent="0.35"/>
    <row r="69346" hidden="1" x14ac:dyDescent="0.35"/>
    <row r="69347" hidden="1" x14ac:dyDescent="0.35"/>
    <row r="69348" hidden="1" x14ac:dyDescent="0.35"/>
    <row r="69349" hidden="1" x14ac:dyDescent="0.35"/>
    <row r="69350" hidden="1" x14ac:dyDescent="0.35"/>
    <row r="69351" hidden="1" x14ac:dyDescent="0.35"/>
    <row r="69352" hidden="1" x14ac:dyDescent="0.35"/>
    <row r="69353" hidden="1" x14ac:dyDescent="0.35"/>
    <row r="69354" hidden="1" x14ac:dyDescent="0.35"/>
    <row r="69355" hidden="1" x14ac:dyDescent="0.35"/>
    <row r="69356" hidden="1" x14ac:dyDescent="0.35"/>
    <row r="69357" hidden="1" x14ac:dyDescent="0.35"/>
    <row r="69358" hidden="1" x14ac:dyDescent="0.35"/>
    <row r="69359" hidden="1" x14ac:dyDescent="0.35"/>
    <row r="69360" hidden="1" x14ac:dyDescent="0.35"/>
    <row r="69361" hidden="1" x14ac:dyDescent="0.35"/>
    <row r="69362" hidden="1" x14ac:dyDescent="0.35"/>
    <row r="69363" hidden="1" x14ac:dyDescent="0.35"/>
    <row r="69364" hidden="1" x14ac:dyDescent="0.35"/>
    <row r="69365" hidden="1" x14ac:dyDescent="0.35"/>
    <row r="69366" hidden="1" x14ac:dyDescent="0.35"/>
    <row r="69367" hidden="1" x14ac:dyDescent="0.35"/>
    <row r="69368" hidden="1" x14ac:dyDescent="0.35"/>
    <row r="69369" hidden="1" x14ac:dyDescent="0.35"/>
    <row r="69370" hidden="1" x14ac:dyDescent="0.35"/>
    <row r="69371" hidden="1" x14ac:dyDescent="0.35"/>
    <row r="69372" hidden="1" x14ac:dyDescent="0.35"/>
    <row r="69373" hidden="1" x14ac:dyDescent="0.35"/>
    <row r="69374" hidden="1" x14ac:dyDescent="0.35"/>
    <row r="69375" hidden="1" x14ac:dyDescent="0.35"/>
    <row r="69376" hidden="1" x14ac:dyDescent="0.35"/>
    <row r="69377" hidden="1" x14ac:dyDescent="0.35"/>
    <row r="69378" hidden="1" x14ac:dyDescent="0.35"/>
    <row r="69379" hidden="1" x14ac:dyDescent="0.35"/>
    <row r="69380" hidden="1" x14ac:dyDescent="0.35"/>
    <row r="69381" hidden="1" x14ac:dyDescent="0.35"/>
    <row r="69382" hidden="1" x14ac:dyDescent="0.35"/>
    <row r="69383" hidden="1" x14ac:dyDescent="0.35"/>
    <row r="69384" hidden="1" x14ac:dyDescent="0.35"/>
    <row r="69385" hidden="1" x14ac:dyDescent="0.35"/>
    <row r="69386" hidden="1" x14ac:dyDescent="0.35"/>
    <row r="69387" hidden="1" x14ac:dyDescent="0.35"/>
    <row r="69388" hidden="1" x14ac:dyDescent="0.35"/>
    <row r="69389" hidden="1" x14ac:dyDescent="0.35"/>
    <row r="69390" hidden="1" x14ac:dyDescent="0.35"/>
    <row r="69391" hidden="1" x14ac:dyDescent="0.35"/>
    <row r="69392" hidden="1" x14ac:dyDescent="0.35"/>
    <row r="69393" hidden="1" x14ac:dyDescent="0.35"/>
    <row r="69394" hidden="1" x14ac:dyDescent="0.35"/>
    <row r="69395" hidden="1" x14ac:dyDescent="0.35"/>
    <row r="69396" hidden="1" x14ac:dyDescent="0.35"/>
    <row r="69397" hidden="1" x14ac:dyDescent="0.35"/>
    <row r="69398" hidden="1" x14ac:dyDescent="0.35"/>
    <row r="69399" hidden="1" x14ac:dyDescent="0.35"/>
    <row r="69400" hidden="1" x14ac:dyDescent="0.35"/>
    <row r="69401" hidden="1" x14ac:dyDescent="0.35"/>
    <row r="69402" hidden="1" x14ac:dyDescent="0.35"/>
    <row r="69403" hidden="1" x14ac:dyDescent="0.35"/>
    <row r="69404" hidden="1" x14ac:dyDescent="0.35"/>
    <row r="69405" hidden="1" x14ac:dyDescent="0.35"/>
    <row r="69406" hidden="1" x14ac:dyDescent="0.35"/>
    <row r="69407" hidden="1" x14ac:dyDescent="0.35"/>
    <row r="69408" hidden="1" x14ac:dyDescent="0.35"/>
    <row r="69409" hidden="1" x14ac:dyDescent="0.35"/>
    <row r="69410" hidden="1" x14ac:dyDescent="0.35"/>
    <row r="69411" hidden="1" x14ac:dyDescent="0.35"/>
    <row r="69412" hidden="1" x14ac:dyDescent="0.35"/>
    <row r="69413" hidden="1" x14ac:dyDescent="0.35"/>
    <row r="69414" hidden="1" x14ac:dyDescent="0.35"/>
    <row r="69415" hidden="1" x14ac:dyDescent="0.35"/>
    <row r="69416" hidden="1" x14ac:dyDescent="0.35"/>
    <row r="69417" hidden="1" x14ac:dyDescent="0.35"/>
    <row r="69418" hidden="1" x14ac:dyDescent="0.35"/>
    <row r="69419" hidden="1" x14ac:dyDescent="0.35"/>
    <row r="69420" hidden="1" x14ac:dyDescent="0.35"/>
    <row r="69421" hidden="1" x14ac:dyDescent="0.35"/>
    <row r="69422" hidden="1" x14ac:dyDescent="0.35"/>
    <row r="69423" hidden="1" x14ac:dyDescent="0.35"/>
    <row r="69424" hidden="1" x14ac:dyDescent="0.35"/>
    <row r="69425" hidden="1" x14ac:dyDescent="0.35"/>
    <row r="69426" hidden="1" x14ac:dyDescent="0.35"/>
    <row r="69427" hidden="1" x14ac:dyDescent="0.35"/>
    <row r="69428" hidden="1" x14ac:dyDescent="0.35"/>
    <row r="69429" hidden="1" x14ac:dyDescent="0.35"/>
    <row r="69430" hidden="1" x14ac:dyDescent="0.35"/>
    <row r="69431" hidden="1" x14ac:dyDescent="0.35"/>
    <row r="69432" hidden="1" x14ac:dyDescent="0.35"/>
    <row r="69433" hidden="1" x14ac:dyDescent="0.35"/>
    <row r="69434" hidden="1" x14ac:dyDescent="0.35"/>
    <row r="69435" hidden="1" x14ac:dyDescent="0.35"/>
    <row r="69436" hidden="1" x14ac:dyDescent="0.35"/>
    <row r="69437" hidden="1" x14ac:dyDescent="0.35"/>
    <row r="69438" hidden="1" x14ac:dyDescent="0.35"/>
    <row r="69439" hidden="1" x14ac:dyDescent="0.35"/>
    <row r="69440" hidden="1" x14ac:dyDescent="0.35"/>
    <row r="69441" hidden="1" x14ac:dyDescent="0.35"/>
    <row r="69442" hidden="1" x14ac:dyDescent="0.35"/>
    <row r="69443" hidden="1" x14ac:dyDescent="0.35"/>
    <row r="69444" hidden="1" x14ac:dyDescent="0.35"/>
    <row r="69445" hidden="1" x14ac:dyDescent="0.35"/>
    <row r="69446" hidden="1" x14ac:dyDescent="0.35"/>
    <row r="69447" hidden="1" x14ac:dyDescent="0.35"/>
    <row r="69448" hidden="1" x14ac:dyDescent="0.35"/>
    <row r="69449" hidden="1" x14ac:dyDescent="0.35"/>
    <row r="69450" hidden="1" x14ac:dyDescent="0.35"/>
    <row r="69451" hidden="1" x14ac:dyDescent="0.35"/>
    <row r="69452" hidden="1" x14ac:dyDescent="0.35"/>
    <row r="69453" hidden="1" x14ac:dyDescent="0.35"/>
    <row r="69454" hidden="1" x14ac:dyDescent="0.35"/>
    <row r="69455" hidden="1" x14ac:dyDescent="0.35"/>
    <row r="69456" hidden="1" x14ac:dyDescent="0.35"/>
    <row r="69457" hidden="1" x14ac:dyDescent="0.35"/>
    <row r="69458" hidden="1" x14ac:dyDescent="0.35"/>
    <row r="69459" hidden="1" x14ac:dyDescent="0.35"/>
    <row r="69460" hidden="1" x14ac:dyDescent="0.35"/>
    <row r="69461" hidden="1" x14ac:dyDescent="0.35"/>
    <row r="69462" hidden="1" x14ac:dyDescent="0.35"/>
    <row r="69463" hidden="1" x14ac:dyDescent="0.35"/>
    <row r="69464" hidden="1" x14ac:dyDescent="0.35"/>
    <row r="69465" hidden="1" x14ac:dyDescent="0.35"/>
    <row r="69466" hidden="1" x14ac:dyDescent="0.35"/>
    <row r="69467" hidden="1" x14ac:dyDescent="0.35"/>
    <row r="69468" hidden="1" x14ac:dyDescent="0.35"/>
    <row r="69469" hidden="1" x14ac:dyDescent="0.35"/>
    <row r="69470" hidden="1" x14ac:dyDescent="0.35"/>
    <row r="69471" hidden="1" x14ac:dyDescent="0.35"/>
    <row r="69472" hidden="1" x14ac:dyDescent="0.35"/>
    <row r="69473" hidden="1" x14ac:dyDescent="0.35"/>
    <row r="69474" hidden="1" x14ac:dyDescent="0.35"/>
    <row r="69475" hidden="1" x14ac:dyDescent="0.35"/>
    <row r="69476" hidden="1" x14ac:dyDescent="0.35"/>
    <row r="69477" hidden="1" x14ac:dyDescent="0.35"/>
    <row r="69478" hidden="1" x14ac:dyDescent="0.35"/>
    <row r="69479" hidden="1" x14ac:dyDescent="0.35"/>
    <row r="69480" hidden="1" x14ac:dyDescent="0.35"/>
    <row r="69481" hidden="1" x14ac:dyDescent="0.35"/>
    <row r="69482" hidden="1" x14ac:dyDescent="0.35"/>
    <row r="69483" hidden="1" x14ac:dyDescent="0.35"/>
    <row r="69484" hidden="1" x14ac:dyDescent="0.35"/>
    <row r="69485" hidden="1" x14ac:dyDescent="0.35"/>
    <row r="69486" hidden="1" x14ac:dyDescent="0.35"/>
    <row r="69487" hidden="1" x14ac:dyDescent="0.35"/>
    <row r="69488" hidden="1" x14ac:dyDescent="0.35"/>
    <row r="69489" hidden="1" x14ac:dyDescent="0.35"/>
    <row r="69490" hidden="1" x14ac:dyDescent="0.35"/>
    <row r="69491" hidden="1" x14ac:dyDescent="0.35"/>
    <row r="69492" hidden="1" x14ac:dyDescent="0.35"/>
    <row r="69493" hidden="1" x14ac:dyDescent="0.35"/>
    <row r="69494" hidden="1" x14ac:dyDescent="0.35"/>
    <row r="69495" hidden="1" x14ac:dyDescent="0.35"/>
    <row r="69496" hidden="1" x14ac:dyDescent="0.35"/>
    <row r="69497" hidden="1" x14ac:dyDescent="0.35"/>
    <row r="69498" hidden="1" x14ac:dyDescent="0.35"/>
    <row r="69499" hidden="1" x14ac:dyDescent="0.35"/>
    <row r="69500" hidden="1" x14ac:dyDescent="0.35"/>
    <row r="69501" hidden="1" x14ac:dyDescent="0.35"/>
    <row r="69502" hidden="1" x14ac:dyDescent="0.35"/>
    <row r="69503" hidden="1" x14ac:dyDescent="0.35"/>
    <row r="69504" hidden="1" x14ac:dyDescent="0.35"/>
    <row r="69505" hidden="1" x14ac:dyDescent="0.35"/>
    <row r="69506" hidden="1" x14ac:dyDescent="0.35"/>
    <row r="69507" hidden="1" x14ac:dyDescent="0.35"/>
    <row r="69508" hidden="1" x14ac:dyDescent="0.35"/>
    <row r="69509" hidden="1" x14ac:dyDescent="0.35"/>
    <row r="69510" hidden="1" x14ac:dyDescent="0.35"/>
    <row r="69511" hidden="1" x14ac:dyDescent="0.35"/>
    <row r="69512" hidden="1" x14ac:dyDescent="0.35"/>
    <row r="69513" hidden="1" x14ac:dyDescent="0.35"/>
    <row r="69514" hidden="1" x14ac:dyDescent="0.35"/>
    <row r="69515" hidden="1" x14ac:dyDescent="0.35"/>
    <row r="69516" hidden="1" x14ac:dyDescent="0.35"/>
    <row r="69517" hidden="1" x14ac:dyDescent="0.35"/>
    <row r="69518" hidden="1" x14ac:dyDescent="0.35"/>
    <row r="69519" hidden="1" x14ac:dyDescent="0.35"/>
    <row r="69520" hidden="1" x14ac:dyDescent="0.35"/>
    <row r="69521" hidden="1" x14ac:dyDescent="0.35"/>
    <row r="69522" hidden="1" x14ac:dyDescent="0.35"/>
    <row r="69523" hidden="1" x14ac:dyDescent="0.35"/>
    <row r="69524" hidden="1" x14ac:dyDescent="0.35"/>
    <row r="69525" hidden="1" x14ac:dyDescent="0.35"/>
    <row r="69526" hidden="1" x14ac:dyDescent="0.35"/>
    <row r="69527" hidden="1" x14ac:dyDescent="0.35"/>
    <row r="69528" hidden="1" x14ac:dyDescent="0.35"/>
    <row r="69529" hidden="1" x14ac:dyDescent="0.35"/>
    <row r="69530" hidden="1" x14ac:dyDescent="0.35"/>
    <row r="69531" hidden="1" x14ac:dyDescent="0.35"/>
    <row r="69532" hidden="1" x14ac:dyDescent="0.35"/>
    <row r="69533" hidden="1" x14ac:dyDescent="0.35"/>
    <row r="69534" hidden="1" x14ac:dyDescent="0.35"/>
    <row r="69535" hidden="1" x14ac:dyDescent="0.35"/>
    <row r="69536" hidden="1" x14ac:dyDescent="0.35"/>
    <row r="69537" hidden="1" x14ac:dyDescent="0.35"/>
    <row r="69538" hidden="1" x14ac:dyDescent="0.35"/>
    <row r="69539" hidden="1" x14ac:dyDescent="0.35"/>
    <row r="69540" hidden="1" x14ac:dyDescent="0.35"/>
    <row r="69541" hidden="1" x14ac:dyDescent="0.35"/>
    <row r="69542" hidden="1" x14ac:dyDescent="0.35"/>
    <row r="69543" hidden="1" x14ac:dyDescent="0.35"/>
    <row r="69544" hidden="1" x14ac:dyDescent="0.35"/>
    <row r="69545" hidden="1" x14ac:dyDescent="0.35"/>
    <row r="69546" hidden="1" x14ac:dyDescent="0.35"/>
    <row r="69547" hidden="1" x14ac:dyDescent="0.35"/>
    <row r="69548" hidden="1" x14ac:dyDescent="0.35"/>
    <row r="69549" hidden="1" x14ac:dyDescent="0.35"/>
    <row r="69550" hidden="1" x14ac:dyDescent="0.35"/>
    <row r="69551" hidden="1" x14ac:dyDescent="0.35"/>
    <row r="69552" hidden="1" x14ac:dyDescent="0.35"/>
    <row r="69553" hidden="1" x14ac:dyDescent="0.35"/>
    <row r="69554" hidden="1" x14ac:dyDescent="0.35"/>
    <row r="69555" hidden="1" x14ac:dyDescent="0.35"/>
    <row r="69556" hidden="1" x14ac:dyDescent="0.35"/>
    <row r="69557" hidden="1" x14ac:dyDescent="0.35"/>
    <row r="69558" hidden="1" x14ac:dyDescent="0.35"/>
    <row r="69559" hidden="1" x14ac:dyDescent="0.35"/>
    <row r="69560" hidden="1" x14ac:dyDescent="0.35"/>
    <row r="69561" hidden="1" x14ac:dyDescent="0.35"/>
    <row r="69562" hidden="1" x14ac:dyDescent="0.35"/>
    <row r="69563" hidden="1" x14ac:dyDescent="0.35"/>
    <row r="69564" hidden="1" x14ac:dyDescent="0.35"/>
    <row r="69565" hidden="1" x14ac:dyDescent="0.35"/>
    <row r="69566" hidden="1" x14ac:dyDescent="0.35"/>
    <row r="69567" hidden="1" x14ac:dyDescent="0.35"/>
    <row r="69568" hidden="1" x14ac:dyDescent="0.35"/>
    <row r="69569" hidden="1" x14ac:dyDescent="0.35"/>
    <row r="69570" hidden="1" x14ac:dyDescent="0.35"/>
    <row r="69571" hidden="1" x14ac:dyDescent="0.35"/>
    <row r="69572" hidden="1" x14ac:dyDescent="0.35"/>
    <row r="69573" hidden="1" x14ac:dyDescent="0.35"/>
    <row r="69574" hidden="1" x14ac:dyDescent="0.35"/>
    <row r="69575" hidden="1" x14ac:dyDescent="0.35"/>
    <row r="69576" hidden="1" x14ac:dyDescent="0.35"/>
    <row r="69577" hidden="1" x14ac:dyDescent="0.35"/>
    <row r="69578" hidden="1" x14ac:dyDescent="0.35"/>
    <row r="69579" hidden="1" x14ac:dyDescent="0.35"/>
    <row r="69580" hidden="1" x14ac:dyDescent="0.35"/>
    <row r="69581" hidden="1" x14ac:dyDescent="0.35"/>
    <row r="69582" hidden="1" x14ac:dyDescent="0.35"/>
    <row r="69583" hidden="1" x14ac:dyDescent="0.35"/>
    <row r="69584" hidden="1" x14ac:dyDescent="0.35"/>
    <row r="69585" hidden="1" x14ac:dyDescent="0.35"/>
    <row r="69586" hidden="1" x14ac:dyDescent="0.35"/>
    <row r="69587" hidden="1" x14ac:dyDescent="0.35"/>
    <row r="69588" hidden="1" x14ac:dyDescent="0.35"/>
    <row r="69589" hidden="1" x14ac:dyDescent="0.35"/>
    <row r="69590" hidden="1" x14ac:dyDescent="0.35"/>
    <row r="69591" hidden="1" x14ac:dyDescent="0.35"/>
    <row r="69592" hidden="1" x14ac:dyDescent="0.35"/>
    <row r="69593" hidden="1" x14ac:dyDescent="0.35"/>
    <row r="69594" hidden="1" x14ac:dyDescent="0.35"/>
    <row r="69595" hidden="1" x14ac:dyDescent="0.35"/>
    <row r="69596" hidden="1" x14ac:dyDescent="0.35"/>
    <row r="69597" hidden="1" x14ac:dyDescent="0.35"/>
    <row r="69598" hidden="1" x14ac:dyDescent="0.35"/>
    <row r="69599" hidden="1" x14ac:dyDescent="0.35"/>
    <row r="69600" hidden="1" x14ac:dyDescent="0.35"/>
    <row r="69601" hidden="1" x14ac:dyDescent="0.35"/>
    <row r="69602" hidden="1" x14ac:dyDescent="0.35"/>
    <row r="69603" hidden="1" x14ac:dyDescent="0.35"/>
    <row r="69604" hidden="1" x14ac:dyDescent="0.35"/>
    <row r="69605" hidden="1" x14ac:dyDescent="0.35"/>
    <row r="69606" hidden="1" x14ac:dyDescent="0.35"/>
    <row r="69607" hidden="1" x14ac:dyDescent="0.35"/>
    <row r="69608" hidden="1" x14ac:dyDescent="0.35"/>
    <row r="69609" hidden="1" x14ac:dyDescent="0.35"/>
    <row r="69610" hidden="1" x14ac:dyDescent="0.35"/>
    <row r="69611" hidden="1" x14ac:dyDescent="0.35"/>
    <row r="69612" hidden="1" x14ac:dyDescent="0.35"/>
    <row r="69613" hidden="1" x14ac:dyDescent="0.35"/>
    <row r="69614" hidden="1" x14ac:dyDescent="0.35"/>
    <row r="69615" hidden="1" x14ac:dyDescent="0.35"/>
    <row r="69616" hidden="1" x14ac:dyDescent="0.35"/>
    <row r="69617" hidden="1" x14ac:dyDescent="0.35"/>
    <row r="69618" hidden="1" x14ac:dyDescent="0.35"/>
    <row r="69619" hidden="1" x14ac:dyDescent="0.35"/>
    <row r="69620" hidden="1" x14ac:dyDescent="0.35"/>
    <row r="69621" hidden="1" x14ac:dyDescent="0.35"/>
    <row r="69622" hidden="1" x14ac:dyDescent="0.35"/>
    <row r="69623" hidden="1" x14ac:dyDescent="0.35"/>
    <row r="69624" hidden="1" x14ac:dyDescent="0.35"/>
    <row r="69625" hidden="1" x14ac:dyDescent="0.35"/>
    <row r="69626" hidden="1" x14ac:dyDescent="0.35"/>
    <row r="69627" hidden="1" x14ac:dyDescent="0.35"/>
    <row r="69628" hidden="1" x14ac:dyDescent="0.35"/>
    <row r="69629" hidden="1" x14ac:dyDescent="0.35"/>
    <row r="69630" hidden="1" x14ac:dyDescent="0.35"/>
    <row r="69631" hidden="1" x14ac:dyDescent="0.35"/>
    <row r="69632" hidden="1" x14ac:dyDescent="0.35"/>
    <row r="69633" hidden="1" x14ac:dyDescent="0.35"/>
    <row r="69634" hidden="1" x14ac:dyDescent="0.35"/>
    <row r="69635" hidden="1" x14ac:dyDescent="0.35"/>
    <row r="69636" hidden="1" x14ac:dyDescent="0.35"/>
    <row r="69637" hidden="1" x14ac:dyDescent="0.35"/>
    <row r="69638" hidden="1" x14ac:dyDescent="0.35"/>
    <row r="69639" hidden="1" x14ac:dyDescent="0.35"/>
    <row r="69640" hidden="1" x14ac:dyDescent="0.35"/>
    <row r="69641" hidden="1" x14ac:dyDescent="0.35"/>
    <row r="69642" hidden="1" x14ac:dyDescent="0.35"/>
    <row r="69643" hidden="1" x14ac:dyDescent="0.35"/>
    <row r="69644" hidden="1" x14ac:dyDescent="0.35"/>
    <row r="69645" hidden="1" x14ac:dyDescent="0.35"/>
    <row r="69646" hidden="1" x14ac:dyDescent="0.35"/>
    <row r="69647" hidden="1" x14ac:dyDescent="0.35"/>
    <row r="69648" hidden="1" x14ac:dyDescent="0.35"/>
    <row r="69649" hidden="1" x14ac:dyDescent="0.35"/>
    <row r="69650" hidden="1" x14ac:dyDescent="0.35"/>
    <row r="69651" hidden="1" x14ac:dyDescent="0.35"/>
    <row r="69652" hidden="1" x14ac:dyDescent="0.35"/>
    <row r="69653" hidden="1" x14ac:dyDescent="0.35"/>
    <row r="69654" hidden="1" x14ac:dyDescent="0.35"/>
    <row r="69655" hidden="1" x14ac:dyDescent="0.35"/>
    <row r="69656" hidden="1" x14ac:dyDescent="0.35"/>
    <row r="69657" hidden="1" x14ac:dyDescent="0.35"/>
    <row r="69658" hidden="1" x14ac:dyDescent="0.35"/>
    <row r="69659" hidden="1" x14ac:dyDescent="0.35"/>
    <row r="69660" hidden="1" x14ac:dyDescent="0.35"/>
    <row r="69661" hidden="1" x14ac:dyDescent="0.35"/>
    <row r="69662" hidden="1" x14ac:dyDescent="0.35"/>
    <row r="69663" hidden="1" x14ac:dyDescent="0.35"/>
    <row r="69664" hidden="1" x14ac:dyDescent="0.35"/>
    <row r="69665" hidden="1" x14ac:dyDescent="0.35"/>
    <row r="69666" hidden="1" x14ac:dyDescent="0.35"/>
    <row r="69667" hidden="1" x14ac:dyDescent="0.35"/>
    <row r="69668" hidden="1" x14ac:dyDescent="0.35"/>
    <row r="69669" hidden="1" x14ac:dyDescent="0.35"/>
    <row r="69670" hidden="1" x14ac:dyDescent="0.35"/>
    <row r="69671" hidden="1" x14ac:dyDescent="0.35"/>
    <row r="69672" hidden="1" x14ac:dyDescent="0.35"/>
    <row r="69673" hidden="1" x14ac:dyDescent="0.35"/>
    <row r="69674" hidden="1" x14ac:dyDescent="0.35"/>
    <row r="69675" hidden="1" x14ac:dyDescent="0.35"/>
    <row r="69676" hidden="1" x14ac:dyDescent="0.35"/>
    <row r="69677" hidden="1" x14ac:dyDescent="0.35"/>
    <row r="69678" hidden="1" x14ac:dyDescent="0.35"/>
    <row r="69679" hidden="1" x14ac:dyDescent="0.35"/>
    <row r="69680" hidden="1" x14ac:dyDescent="0.35"/>
    <row r="69681" hidden="1" x14ac:dyDescent="0.35"/>
    <row r="69682" hidden="1" x14ac:dyDescent="0.35"/>
    <row r="69683" hidden="1" x14ac:dyDescent="0.35"/>
    <row r="69684" hidden="1" x14ac:dyDescent="0.35"/>
    <row r="69685" hidden="1" x14ac:dyDescent="0.35"/>
    <row r="69686" hidden="1" x14ac:dyDescent="0.35"/>
    <row r="69687" hidden="1" x14ac:dyDescent="0.35"/>
    <row r="69688" hidden="1" x14ac:dyDescent="0.35"/>
    <row r="69689" hidden="1" x14ac:dyDescent="0.35"/>
    <row r="69690" hidden="1" x14ac:dyDescent="0.35"/>
    <row r="69691" hidden="1" x14ac:dyDescent="0.35"/>
    <row r="69692" hidden="1" x14ac:dyDescent="0.35"/>
    <row r="69693" hidden="1" x14ac:dyDescent="0.35"/>
    <row r="69694" hidden="1" x14ac:dyDescent="0.35"/>
    <row r="69695" hidden="1" x14ac:dyDescent="0.35"/>
    <row r="69696" hidden="1" x14ac:dyDescent="0.35"/>
    <row r="69697" hidden="1" x14ac:dyDescent="0.35"/>
    <row r="69698" hidden="1" x14ac:dyDescent="0.35"/>
    <row r="69699" hidden="1" x14ac:dyDescent="0.35"/>
    <row r="69700" hidden="1" x14ac:dyDescent="0.35"/>
    <row r="69701" hidden="1" x14ac:dyDescent="0.35"/>
    <row r="69702" hidden="1" x14ac:dyDescent="0.35"/>
    <row r="69703" hidden="1" x14ac:dyDescent="0.35"/>
    <row r="69704" hidden="1" x14ac:dyDescent="0.35"/>
    <row r="69705" hidden="1" x14ac:dyDescent="0.35"/>
    <row r="69706" hidden="1" x14ac:dyDescent="0.35"/>
    <row r="69707" hidden="1" x14ac:dyDescent="0.35"/>
    <row r="69708" hidden="1" x14ac:dyDescent="0.35"/>
    <row r="69709" hidden="1" x14ac:dyDescent="0.35"/>
    <row r="69710" hidden="1" x14ac:dyDescent="0.35"/>
    <row r="69711" hidden="1" x14ac:dyDescent="0.35"/>
    <row r="69712" hidden="1" x14ac:dyDescent="0.35"/>
    <row r="69713" hidden="1" x14ac:dyDescent="0.35"/>
    <row r="69714" hidden="1" x14ac:dyDescent="0.35"/>
    <row r="69715" hidden="1" x14ac:dyDescent="0.35"/>
    <row r="69716" hidden="1" x14ac:dyDescent="0.35"/>
    <row r="69717" hidden="1" x14ac:dyDescent="0.35"/>
    <row r="69718" hidden="1" x14ac:dyDescent="0.35"/>
    <row r="69719" hidden="1" x14ac:dyDescent="0.35"/>
    <row r="69720" hidden="1" x14ac:dyDescent="0.35"/>
    <row r="69721" hidden="1" x14ac:dyDescent="0.35"/>
    <row r="69722" hidden="1" x14ac:dyDescent="0.35"/>
    <row r="69723" hidden="1" x14ac:dyDescent="0.35"/>
    <row r="69724" hidden="1" x14ac:dyDescent="0.35"/>
    <row r="69725" hidden="1" x14ac:dyDescent="0.35"/>
    <row r="69726" hidden="1" x14ac:dyDescent="0.35"/>
    <row r="69727" hidden="1" x14ac:dyDescent="0.35"/>
    <row r="69728" hidden="1" x14ac:dyDescent="0.35"/>
    <row r="69729" hidden="1" x14ac:dyDescent="0.35"/>
    <row r="69730" hidden="1" x14ac:dyDescent="0.35"/>
    <row r="69731" hidden="1" x14ac:dyDescent="0.35"/>
    <row r="69732" hidden="1" x14ac:dyDescent="0.35"/>
    <row r="69733" hidden="1" x14ac:dyDescent="0.35"/>
    <row r="69734" hidden="1" x14ac:dyDescent="0.35"/>
    <row r="69735" hidden="1" x14ac:dyDescent="0.35"/>
    <row r="69736" hidden="1" x14ac:dyDescent="0.35"/>
    <row r="69737" hidden="1" x14ac:dyDescent="0.35"/>
    <row r="69738" hidden="1" x14ac:dyDescent="0.35"/>
    <row r="69739" hidden="1" x14ac:dyDescent="0.35"/>
    <row r="69740" hidden="1" x14ac:dyDescent="0.35"/>
    <row r="69741" hidden="1" x14ac:dyDescent="0.35"/>
    <row r="69742" hidden="1" x14ac:dyDescent="0.35"/>
    <row r="69743" hidden="1" x14ac:dyDescent="0.35"/>
    <row r="69744" hidden="1" x14ac:dyDescent="0.35"/>
    <row r="69745" hidden="1" x14ac:dyDescent="0.35"/>
    <row r="69746" hidden="1" x14ac:dyDescent="0.35"/>
    <row r="69747" hidden="1" x14ac:dyDescent="0.35"/>
    <row r="69748" hidden="1" x14ac:dyDescent="0.35"/>
    <row r="69749" hidden="1" x14ac:dyDescent="0.35"/>
    <row r="69750" hidden="1" x14ac:dyDescent="0.35"/>
    <row r="69751" hidden="1" x14ac:dyDescent="0.35"/>
    <row r="69752" hidden="1" x14ac:dyDescent="0.35"/>
    <row r="69753" hidden="1" x14ac:dyDescent="0.35"/>
    <row r="69754" hidden="1" x14ac:dyDescent="0.35"/>
    <row r="69755" hidden="1" x14ac:dyDescent="0.35"/>
    <row r="69756" hidden="1" x14ac:dyDescent="0.35"/>
    <row r="69757" hidden="1" x14ac:dyDescent="0.35"/>
    <row r="69758" hidden="1" x14ac:dyDescent="0.35"/>
    <row r="69759" hidden="1" x14ac:dyDescent="0.35"/>
    <row r="69760" hidden="1" x14ac:dyDescent="0.35"/>
    <row r="69761" hidden="1" x14ac:dyDescent="0.35"/>
    <row r="69762" hidden="1" x14ac:dyDescent="0.35"/>
    <row r="69763" hidden="1" x14ac:dyDescent="0.35"/>
    <row r="69764" hidden="1" x14ac:dyDescent="0.35"/>
    <row r="69765" hidden="1" x14ac:dyDescent="0.35"/>
    <row r="69766" hidden="1" x14ac:dyDescent="0.35"/>
    <row r="69767" hidden="1" x14ac:dyDescent="0.35"/>
    <row r="69768" hidden="1" x14ac:dyDescent="0.35"/>
    <row r="69769" hidden="1" x14ac:dyDescent="0.35"/>
    <row r="69770" hidden="1" x14ac:dyDescent="0.35"/>
    <row r="69771" hidden="1" x14ac:dyDescent="0.35"/>
    <row r="69772" hidden="1" x14ac:dyDescent="0.35"/>
    <row r="69773" hidden="1" x14ac:dyDescent="0.35"/>
    <row r="69774" hidden="1" x14ac:dyDescent="0.35"/>
    <row r="69775" hidden="1" x14ac:dyDescent="0.35"/>
    <row r="69776" hidden="1" x14ac:dyDescent="0.35"/>
    <row r="69777" hidden="1" x14ac:dyDescent="0.35"/>
    <row r="69778" hidden="1" x14ac:dyDescent="0.35"/>
    <row r="69779" hidden="1" x14ac:dyDescent="0.35"/>
    <row r="69780" hidden="1" x14ac:dyDescent="0.35"/>
    <row r="69781" hidden="1" x14ac:dyDescent="0.35"/>
    <row r="69782" hidden="1" x14ac:dyDescent="0.35"/>
    <row r="69783" hidden="1" x14ac:dyDescent="0.35"/>
    <row r="69784" hidden="1" x14ac:dyDescent="0.35"/>
    <row r="69785" hidden="1" x14ac:dyDescent="0.35"/>
    <row r="69786" hidden="1" x14ac:dyDescent="0.35"/>
    <row r="69787" hidden="1" x14ac:dyDescent="0.35"/>
    <row r="69788" hidden="1" x14ac:dyDescent="0.35"/>
    <row r="69789" hidden="1" x14ac:dyDescent="0.35"/>
    <row r="69790" hidden="1" x14ac:dyDescent="0.35"/>
    <row r="69791" hidden="1" x14ac:dyDescent="0.35"/>
    <row r="69792" hidden="1" x14ac:dyDescent="0.35"/>
    <row r="69793" hidden="1" x14ac:dyDescent="0.35"/>
    <row r="69794" hidden="1" x14ac:dyDescent="0.35"/>
    <row r="69795" hidden="1" x14ac:dyDescent="0.35"/>
    <row r="69796" hidden="1" x14ac:dyDescent="0.35"/>
    <row r="69797" hidden="1" x14ac:dyDescent="0.35"/>
    <row r="69798" hidden="1" x14ac:dyDescent="0.35"/>
    <row r="69799" hidden="1" x14ac:dyDescent="0.35"/>
    <row r="69800" hidden="1" x14ac:dyDescent="0.35"/>
    <row r="69801" hidden="1" x14ac:dyDescent="0.35"/>
    <row r="69802" hidden="1" x14ac:dyDescent="0.35"/>
    <row r="69803" hidden="1" x14ac:dyDescent="0.35"/>
    <row r="69804" hidden="1" x14ac:dyDescent="0.35"/>
    <row r="69805" hidden="1" x14ac:dyDescent="0.35"/>
    <row r="69806" hidden="1" x14ac:dyDescent="0.35"/>
    <row r="69807" hidden="1" x14ac:dyDescent="0.35"/>
    <row r="69808" hidden="1" x14ac:dyDescent="0.35"/>
    <row r="69809" hidden="1" x14ac:dyDescent="0.35"/>
    <row r="69810" hidden="1" x14ac:dyDescent="0.35"/>
    <row r="69811" hidden="1" x14ac:dyDescent="0.35"/>
    <row r="69812" hidden="1" x14ac:dyDescent="0.35"/>
    <row r="69813" hidden="1" x14ac:dyDescent="0.35"/>
    <row r="69814" hidden="1" x14ac:dyDescent="0.35"/>
    <row r="69815" hidden="1" x14ac:dyDescent="0.35"/>
    <row r="69816" hidden="1" x14ac:dyDescent="0.35"/>
    <row r="69817" hidden="1" x14ac:dyDescent="0.35"/>
    <row r="69818" hidden="1" x14ac:dyDescent="0.35"/>
    <row r="69819" hidden="1" x14ac:dyDescent="0.35"/>
    <row r="69820" hidden="1" x14ac:dyDescent="0.35"/>
    <row r="69821" hidden="1" x14ac:dyDescent="0.35"/>
    <row r="69822" hidden="1" x14ac:dyDescent="0.35"/>
    <row r="69823" hidden="1" x14ac:dyDescent="0.35"/>
    <row r="69824" hidden="1" x14ac:dyDescent="0.35"/>
    <row r="69825" hidden="1" x14ac:dyDescent="0.35"/>
    <row r="69826" hidden="1" x14ac:dyDescent="0.35"/>
    <row r="69827" hidden="1" x14ac:dyDescent="0.35"/>
    <row r="69828" hidden="1" x14ac:dyDescent="0.35"/>
    <row r="69829" hidden="1" x14ac:dyDescent="0.35"/>
    <row r="69830" hidden="1" x14ac:dyDescent="0.35"/>
    <row r="69831" hidden="1" x14ac:dyDescent="0.35"/>
    <row r="69832" hidden="1" x14ac:dyDescent="0.35"/>
    <row r="69833" hidden="1" x14ac:dyDescent="0.35"/>
    <row r="69834" hidden="1" x14ac:dyDescent="0.35"/>
    <row r="69835" hidden="1" x14ac:dyDescent="0.35"/>
    <row r="69836" hidden="1" x14ac:dyDescent="0.35"/>
    <row r="69837" hidden="1" x14ac:dyDescent="0.35"/>
    <row r="69838" hidden="1" x14ac:dyDescent="0.35"/>
    <row r="69839" hidden="1" x14ac:dyDescent="0.35"/>
    <row r="69840" hidden="1" x14ac:dyDescent="0.35"/>
    <row r="69841" hidden="1" x14ac:dyDescent="0.35"/>
    <row r="69842" hidden="1" x14ac:dyDescent="0.35"/>
    <row r="69843" hidden="1" x14ac:dyDescent="0.35"/>
    <row r="69844" hidden="1" x14ac:dyDescent="0.35"/>
    <row r="69845" hidden="1" x14ac:dyDescent="0.35"/>
    <row r="69846" hidden="1" x14ac:dyDescent="0.35"/>
    <row r="69847" hidden="1" x14ac:dyDescent="0.35"/>
    <row r="69848" hidden="1" x14ac:dyDescent="0.35"/>
    <row r="69849" hidden="1" x14ac:dyDescent="0.35"/>
    <row r="69850" hidden="1" x14ac:dyDescent="0.35"/>
    <row r="69851" hidden="1" x14ac:dyDescent="0.35"/>
    <row r="69852" hidden="1" x14ac:dyDescent="0.35"/>
    <row r="69853" hidden="1" x14ac:dyDescent="0.35"/>
    <row r="69854" hidden="1" x14ac:dyDescent="0.35"/>
    <row r="69855" hidden="1" x14ac:dyDescent="0.35"/>
    <row r="69856" hidden="1" x14ac:dyDescent="0.35"/>
    <row r="69857" hidden="1" x14ac:dyDescent="0.35"/>
    <row r="69858" hidden="1" x14ac:dyDescent="0.35"/>
    <row r="69859" hidden="1" x14ac:dyDescent="0.35"/>
    <row r="69860" hidden="1" x14ac:dyDescent="0.35"/>
    <row r="69861" hidden="1" x14ac:dyDescent="0.35"/>
    <row r="69862" hidden="1" x14ac:dyDescent="0.35"/>
    <row r="69863" hidden="1" x14ac:dyDescent="0.35"/>
    <row r="69864" hidden="1" x14ac:dyDescent="0.35"/>
    <row r="69865" hidden="1" x14ac:dyDescent="0.35"/>
    <row r="69866" hidden="1" x14ac:dyDescent="0.35"/>
    <row r="69867" hidden="1" x14ac:dyDescent="0.35"/>
    <row r="69868" hidden="1" x14ac:dyDescent="0.35"/>
    <row r="69869" hidden="1" x14ac:dyDescent="0.35"/>
    <row r="69870" hidden="1" x14ac:dyDescent="0.35"/>
    <row r="69871" hidden="1" x14ac:dyDescent="0.35"/>
    <row r="69872" hidden="1" x14ac:dyDescent="0.35"/>
    <row r="69873" hidden="1" x14ac:dyDescent="0.35"/>
    <row r="69874" hidden="1" x14ac:dyDescent="0.35"/>
    <row r="69875" hidden="1" x14ac:dyDescent="0.35"/>
    <row r="69876" hidden="1" x14ac:dyDescent="0.35"/>
    <row r="69877" hidden="1" x14ac:dyDescent="0.35"/>
    <row r="69878" hidden="1" x14ac:dyDescent="0.35"/>
    <row r="69879" hidden="1" x14ac:dyDescent="0.35"/>
    <row r="69880" hidden="1" x14ac:dyDescent="0.35"/>
    <row r="69881" hidden="1" x14ac:dyDescent="0.35"/>
    <row r="69882" hidden="1" x14ac:dyDescent="0.35"/>
    <row r="69883" hidden="1" x14ac:dyDescent="0.35"/>
    <row r="69884" hidden="1" x14ac:dyDescent="0.35"/>
    <row r="69885" hidden="1" x14ac:dyDescent="0.35"/>
    <row r="69886" hidden="1" x14ac:dyDescent="0.35"/>
    <row r="69887" hidden="1" x14ac:dyDescent="0.35"/>
    <row r="69888" hidden="1" x14ac:dyDescent="0.35"/>
    <row r="69889" hidden="1" x14ac:dyDescent="0.35"/>
    <row r="69890" hidden="1" x14ac:dyDescent="0.35"/>
    <row r="69891" hidden="1" x14ac:dyDescent="0.35"/>
    <row r="69892" hidden="1" x14ac:dyDescent="0.35"/>
    <row r="69893" hidden="1" x14ac:dyDescent="0.35"/>
    <row r="69894" hidden="1" x14ac:dyDescent="0.35"/>
    <row r="69895" hidden="1" x14ac:dyDescent="0.35"/>
    <row r="69896" hidden="1" x14ac:dyDescent="0.35"/>
    <row r="69897" hidden="1" x14ac:dyDescent="0.35"/>
    <row r="69898" hidden="1" x14ac:dyDescent="0.35"/>
    <row r="69899" hidden="1" x14ac:dyDescent="0.35"/>
    <row r="69900" hidden="1" x14ac:dyDescent="0.35"/>
    <row r="69901" hidden="1" x14ac:dyDescent="0.35"/>
    <row r="69902" hidden="1" x14ac:dyDescent="0.35"/>
    <row r="69903" hidden="1" x14ac:dyDescent="0.35"/>
    <row r="69904" hidden="1" x14ac:dyDescent="0.35"/>
    <row r="69905" hidden="1" x14ac:dyDescent="0.35"/>
    <row r="69906" hidden="1" x14ac:dyDescent="0.35"/>
    <row r="69907" hidden="1" x14ac:dyDescent="0.35"/>
    <row r="69908" hidden="1" x14ac:dyDescent="0.35"/>
    <row r="69909" hidden="1" x14ac:dyDescent="0.35"/>
    <row r="69910" hidden="1" x14ac:dyDescent="0.35"/>
    <row r="69911" hidden="1" x14ac:dyDescent="0.35"/>
    <row r="69912" hidden="1" x14ac:dyDescent="0.35"/>
    <row r="69913" hidden="1" x14ac:dyDescent="0.35"/>
    <row r="69914" hidden="1" x14ac:dyDescent="0.35"/>
    <row r="69915" hidden="1" x14ac:dyDescent="0.35"/>
    <row r="69916" hidden="1" x14ac:dyDescent="0.35"/>
    <row r="69917" hidden="1" x14ac:dyDescent="0.35"/>
    <row r="69918" hidden="1" x14ac:dyDescent="0.35"/>
    <row r="69919" hidden="1" x14ac:dyDescent="0.35"/>
    <row r="69920" hidden="1" x14ac:dyDescent="0.35"/>
    <row r="69921" hidden="1" x14ac:dyDescent="0.35"/>
    <row r="69922" hidden="1" x14ac:dyDescent="0.35"/>
    <row r="69923" hidden="1" x14ac:dyDescent="0.35"/>
    <row r="69924" hidden="1" x14ac:dyDescent="0.35"/>
    <row r="69925" hidden="1" x14ac:dyDescent="0.35"/>
    <row r="69926" hidden="1" x14ac:dyDescent="0.35"/>
    <row r="69927" hidden="1" x14ac:dyDescent="0.35"/>
    <row r="69928" hidden="1" x14ac:dyDescent="0.35"/>
    <row r="69929" hidden="1" x14ac:dyDescent="0.35"/>
    <row r="69930" hidden="1" x14ac:dyDescent="0.35"/>
    <row r="69931" hidden="1" x14ac:dyDescent="0.35"/>
    <row r="69932" hidden="1" x14ac:dyDescent="0.35"/>
    <row r="69933" hidden="1" x14ac:dyDescent="0.35"/>
    <row r="69934" hidden="1" x14ac:dyDescent="0.35"/>
    <row r="69935" hidden="1" x14ac:dyDescent="0.35"/>
    <row r="69936" hidden="1" x14ac:dyDescent="0.35"/>
    <row r="69937" hidden="1" x14ac:dyDescent="0.35"/>
    <row r="69938" hidden="1" x14ac:dyDescent="0.35"/>
    <row r="69939" hidden="1" x14ac:dyDescent="0.35"/>
    <row r="69940" hidden="1" x14ac:dyDescent="0.35"/>
    <row r="69941" hidden="1" x14ac:dyDescent="0.35"/>
    <row r="69942" hidden="1" x14ac:dyDescent="0.35"/>
    <row r="69943" hidden="1" x14ac:dyDescent="0.35"/>
    <row r="69944" hidden="1" x14ac:dyDescent="0.35"/>
    <row r="69945" hidden="1" x14ac:dyDescent="0.35"/>
    <row r="69946" hidden="1" x14ac:dyDescent="0.35"/>
    <row r="69947" hidden="1" x14ac:dyDescent="0.35"/>
    <row r="69948" hidden="1" x14ac:dyDescent="0.35"/>
    <row r="69949" hidden="1" x14ac:dyDescent="0.35"/>
    <row r="69950" hidden="1" x14ac:dyDescent="0.35"/>
    <row r="69951" hidden="1" x14ac:dyDescent="0.35"/>
    <row r="69952" hidden="1" x14ac:dyDescent="0.35"/>
    <row r="69953" hidden="1" x14ac:dyDescent="0.35"/>
    <row r="69954" hidden="1" x14ac:dyDescent="0.35"/>
    <row r="69955" hidden="1" x14ac:dyDescent="0.35"/>
    <row r="69956" hidden="1" x14ac:dyDescent="0.35"/>
    <row r="69957" hidden="1" x14ac:dyDescent="0.35"/>
    <row r="69958" hidden="1" x14ac:dyDescent="0.35"/>
    <row r="69959" hidden="1" x14ac:dyDescent="0.35"/>
    <row r="69960" hidden="1" x14ac:dyDescent="0.35"/>
    <row r="69961" hidden="1" x14ac:dyDescent="0.35"/>
    <row r="69962" hidden="1" x14ac:dyDescent="0.35"/>
    <row r="69963" hidden="1" x14ac:dyDescent="0.35"/>
    <row r="69964" hidden="1" x14ac:dyDescent="0.35"/>
    <row r="69965" hidden="1" x14ac:dyDescent="0.35"/>
    <row r="69966" hidden="1" x14ac:dyDescent="0.35"/>
    <row r="69967" hidden="1" x14ac:dyDescent="0.35"/>
    <row r="69968" hidden="1" x14ac:dyDescent="0.35"/>
    <row r="69969" hidden="1" x14ac:dyDescent="0.35"/>
    <row r="69970" hidden="1" x14ac:dyDescent="0.35"/>
    <row r="69971" hidden="1" x14ac:dyDescent="0.35"/>
    <row r="69972" hidden="1" x14ac:dyDescent="0.35"/>
    <row r="69973" hidden="1" x14ac:dyDescent="0.35"/>
    <row r="69974" hidden="1" x14ac:dyDescent="0.35"/>
    <row r="69975" hidden="1" x14ac:dyDescent="0.35"/>
    <row r="69976" hidden="1" x14ac:dyDescent="0.35"/>
    <row r="69977" hidden="1" x14ac:dyDescent="0.35"/>
    <row r="69978" hidden="1" x14ac:dyDescent="0.35"/>
    <row r="69979" hidden="1" x14ac:dyDescent="0.35"/>
    <row r="69980" hidden="1" x14ac:dyDescent="0.35"/>
    <row r="69981" hidden="1" x14ac:dyDescent="0.35"/>
    <row r="69982" hidden="1" x14ac:dyDescent="0.35"/>
    <row r="69983" hidden="1" x14ac:dyDescent="0.35"/>
    <row r="69984" hidden="1" x14ac:dyDescent="0.35"/>
    <row r="69985" hidden="1" x14ac:dyDescent="0.35"/>
    <row r="69986" hidden="1" x14ac:dyDescent="0.35"/>
    <row r="69987" hidden="1" x14ac:dyDescent="0.35"/>
    <row r="69988" hidden="1" x14ac:dyDescent="0.35"/>
    <row r="69989" hidden="1" x14ac:dyDescent="0.35"/>
    <row r="69990" hidden="1" x14ac:dyDescent="0.35"/>
    <row r="69991" hidden="1" x14ac:dyDescent="0.35"/>
    <row r="69992" hidden="1" x14ac:dyDescent="0.35"/>
    <row r="69993" hidden="1" x14ac:dyDescent="0.35"/>
    <row r="69994" hidden="1" x14ac:dyDescent="0.35"/>
    <row r="69995" hidden="1" x14ac:dyDescent="0.35"/>
    <row r="69996" hidden="1" x14ac:dyDescent="0.35"/>
    <row r="69997" hidden="1" x14ac:dyDescent="0.35"/>
    <row r="69998" hidden="1" x14ac:dyDescent="0.35"/>
    <row r="69999" hidden="1" x14ac:dyDescent="0.35"/>
    <row r="70000" hidden="1" x14ac:dyDescent="0.35"/>
    <row r="70001" hidden="1" x14ac:dyDescent="0.35"/>
    <row r="70002" hidden="1" x14ac:dyDescent="0.35"/>
    <row r="70003" hidden="1" x14ac:dyDescent="0.35"/>
    <row r="70004" hidden="1" x14ac:dyDescent="0.35"/>
    <row r="70005" hidden="1" x14ac:dyDescent="0.35"/>
    <row r="70006" hidden="1" x14ac:dyDescent="0.35"/>
    <row r="70007" hidden="1" x14ac:dyDescent="0.35"/>
    <row r="70008" hidden="1" x14ac:dyDescent="0.35"/>
    <row r="70009" hidden="1" x14ac:dyDescent="0.35"/>
    <row r="70010" hidden="1" x14ac:dyDescent="0.35"/>
    <row r="70011" hidden="1" x14ac:dyDescent="0.35"/>
    <row r="70012" hidden="1" x14ac:dyDescent="0.35"/>
    <row r="70013" hidden="1" x14ac:dyDescent="0.35"/>
    <row r="70014" hidden="1" x14ac:dyDescent="0.35"/>
    <row r="70015" hidden="1" x14ac:dyDescent="0.35"/>
    <row r="70016" hidden="1" x14ac:dyDescent="0.35"/>
    <row r="70017" hidden="1" x14ac:dyDescent="0.35"/>
    <row r="70018" hidden="1" x14ac:dyDescent="0.35"/>
    <row r="70019" hidden="1" x14ac:dyDescent="0.35"/>
    <row r="70020" hidden="1" x14ac:dyDescent="0.35"/>
    <row r="70021" hidden="1" x14ac:dyDescent="0.35"/>
    <row r="70022" hidden="1" x14ac:dyDescent="0.35"/>
    <row r="70023" hidden="1" x14ac:dyDescent="0.35"/>
    <row r="70024" hidden="1" x14ac:dyDescent="0.35"/>
    <row r="70025" hidden="1" x14ac:dyDescent="0.35"/>
    <row r="70026" hidden="1" x14ac:dyDescent="0.35"/>
    <row r="70027" hidden="1" x14ac:dyDescent="0.35"/>
    <row r="70028" hidden="1" x14ac:dyDescent="0.35"/>
    <row r="70029" hidden="1" x14ac:dyDescent="0.35"/>
    <row r="70030" hidden="1" x14ac:dyDescent="0.35"/>
    <row r="70031" hidden="1" x14ac:dyDescent="0.35"/>
    <row r="70032" hidden="1" x14ac:dyDescent="0.35"/>
    <row r="70033" hidden="1" x14ac:dyDescent="0.35"/>
    <row r="70034" hidden="1" x14ac:dyDescent="0.35"/>
    <row r="70035" hidden="1" x14ac:dyDescent="0.35"/>
    <row r="70036" hidden="1" x14ac:dyDescent="0.35"/>
    <row r="70037" hidden="1" x14ac:dyDescent="0.35"/>
    <row r="70038" hidden="1" x14ac:dyDescent="0.35"/>
    <row r="70039" hidden="1" x14ac:dyDescent="0.35"/>
    <row r="70040" hidden="1" x14ac:dyDescent="0.35"/>
    <row r="70041" hidden="1" x14ac:dyDescent="0.35"/>
    <row r="70042" hidden="1" x14ac:dyDescent="0.35"/>
    <row r="70043" hidden="1" x14ac:dyDescent="0.35"/>
    <row r="70044" hidden="1" x14ac:dyDescent="0.35"/>
    <row r="70045" hidden="1" x14ac:dyDescent="0.35"/>
    <row r="70046" hidden="1" x14ac:dyDescent="0.35"/>
    <row r="70047" hidden="1" x14ac:dyDescent="0.35"/>
    <row r="70048" hidden="1" x14ac:dyDescent="0.35"/>
    <row r="70049" hidden="1" x14ac:dyDescent="0.35"/>
    <row r="70050" hidden="1" x14ac:dyDescent="0.35"/>
    <row r="70051" hidden="1" x14ac:dyDescent="0.35"/>
    <row r="70052" hidden="1" x14ac:dyDescent="0.35"/>
    <row r="70053" hidden="1" x14ac:dyDescent="0.35"/>
    <row r="70054" hidden="1" x14ac:dyDescent="0.35"/>
    <row r="70055" hidden="1" x14ac:dyDescent="0.35"/>
    <row r="70056" hidden="1" x14ac:dyDescent="0.35"/>
    <row r="70057" hidden="1" x14ac:dyDescent="0.35"/>
    <row r="70058" hidden="1" x14ac:dyDescent="0.35"/>
    <row r="70059" hidden="1" x14ac:dyDescent="0.35"/>
    <row r="70060" hidden="1" x14ac:dyDescent="0.35"/>
    <row r="70061" hidden="1" x14ac:dyDescent="0.35"/>
    <row r="70062" hidden="1" x14ac:dyDescent="0.35"/>
    <row r="70063" hidden="1" x14ac:dyDescent="0.35"/>
    <row r="70064" hidden="1" x14ac:dyDescent="0.35"/>
    <row r="70065" hidden="1" x14ac:dyDescent="0.35"/>
    <row r="70066" hidden="1" x14ac:dyDescent="0.35"/>
    <row r="70067" hidden="1" x14ac:dyDescent="0.35"/>
    <row r="70068" hidden="1" x14ac:dyDescent="0.35"/>
    <row r="70069" hidden="1" x14ac:dyDescent="0.35"/>
    <row r="70070" hidden="1" x14ac:dyDescent="0.35"/>
    <row r="70071" hidden="1" x14ac:dyDescent="0.35"/>
    <row r="70072" hidden="1" x14ac:dyDescent="0.35"/>
    <row r="70073" hidden="1" x14ac:dyDescent="0.35"/>
    <row r="70074" hidden="1" x14ac:dyDescent="0.35"/>
    <row r="70075" hidden="1" x14ac:dyDescent="0.35"/>
    <row r="70076" hidden="1" x14ac:dyDescent="0.35"/>
    <row r="70077" hidden="1" x14ac:dyDescent="0.35"/>
    <row r="70078" hidden="1" x14ac:dyDescent="0.35"/>
    <row r="70079" hidden="1" x14ac:dyDescent="0.35"/>
    <row r="70080" hidden="1" x14ac:dyDescent="0.35"/>
    <row r="70081" hidden="1" x14ac:dyDescent="0.35"/>
    <row r="70082" hidden="1" x14ac:dyDescent="0.35"/>
    <row r="70083" hidden="1" x14ac:dyDescent="0.35"/>
    <row r="70084" hidden="1" x14ac:dyDescent="0.35"/>
    <row r="70085" hidden="1" x14ac:dyDescent="0.35"/>
    <row r="70086" hidden="1" x14ac:dyDescent="0.35"/>
    <row r="70087" hidden="1" x14ac:dyDescent="0.35"/>
    <row r="70088" hidden="1" x14ac:dyDescent="0.35"/>
    <row r="70089" hidden="1" x14ac:dyDescent="0.35"/>
    <row r="70090" hidden="1" x14ac:dyDescent="0.35"/>
    <row r="70091" hidden="1" x14ac:dyDescent="0.35"/>
    <row r="70092" hidden="1" x14ac:dyDescent="0.35"/>
    <row r="70093" hidden="1" x14ac:dyDescent="0.35"/>
    <row r="70094" hidden="1" x14ac:dyDescent="0.35"/>
    <row r="70095" hidden="1" x14ac:dyDescent="0.35"/>
    <row r="70096" hidden="1" x14ac:dyDescent="0.35"/>
    <row r="70097" hidden="1" x14ac:dyDescent="0.35"/>
    <row r="70098" hidden="1" x14ac:dyDescent="0.35"/>
    <row r="70099" hidden="1" x14ac:dyDescent="0.35"/>
    <row r="70100" hidden="1" x14ac:dyDescent="0.35"/>
    <row r="70101" hidden="1" x14ac:dyDescent="0.35"/>
    <row r="70102" hidden="1" x14ac:dyDescent="0.35"/>
    <row r="70103" hidden="1" x14ac:dyDescent="0.35"/>
    <row r="70104" hidden="1" x14ac:dyDescent="0.35"/>
    <row r="70105" hidden="1" x14ac:dyDescent="0.35"/>
    <row r="70106" hidden="1" x14ac:dyDescent="0.35"/>
    <row r="70107" hidden="1" x14ac:dyDescent="0.35"/>
    <row r="70108" hidden="1" x14ac:dyDescent="0.35"/>
    <row r="70109" hidden="1" x14ac:dyDescent="0.35"/>
    <row r="70110" hidden="1" x14ac:dyDescent="0.35"/>
    <row r="70111" hidden="1" x14ac:dyDescent="0.35"/>
    <row r="70112" hidden="1" x14ac:dyDescent="0.35"/>
    <row r="70113" hidden="1" x14ac:dyDescent="0.35"/>
    <row r="70114" hidden="1" x14ac:dyDescent="0.35"/>
    <row r="70115" hidden="1" x14ac:dyDescent="0.35"/>
    <row r="70116" hidden="1" x14ac:dyDescent="0.35"/>
    <row r="70117" hidden="1" x14ac:dyDescent="0.35"/>
    <row r="70118" hidden="1" x14ac:dyDescent="0.35"/>
    <row r="70119" hidden="1" x14ac:dyDescent="0.35"/>
    <row r="70120" hidden="1" x14ac:dyDescent="0.35"/>
    <row r="70121" hidden="1" x14ac:dyDescent="0.35"/>
    <row r="70122" hidden="1" x14ac:dyDescent="0.35"/>
    <row r="70123" hidden="1" x14ac:dyDescent="0.35"/>
    <row r="70124" hidden="1" x14ac:dyDescent="0.35"/>
    <row r="70125" hidden="1" x14ac:dyDescent="0.35"/>
    <row r="70126" hidden="1" x14ac:dyDescent="0.35"/>
    <row r="70127" hidden="1" x14ac:dyDescent="0.35"/>
    <row r="70128" hidden="1" x14ac:dyDescent="0.35"/>
    <row r="70129" hidden="1" x14ac:dyDescent="0.35"/>
    <row r="70130" hidden="1" x14ac:dyDescent="0.35"/>
    <row r="70131" hidden="1" x14ac:dyDescent="0.35"/>
    <row r="70132" hidden="1" x14ac:dyDescent="0.35"/>
    <row r="70133" hidden="1" x14ac:dyDescent="0.35"/>
    <row r="70134" hidden="1" x14ac:dyDescent="0.35"/>
    <row r="70135" hidden="1" x14ac:dyDescent="0.35"/>
    <row r="70136" hidden="1" x14ac:dyDescent="0.35"/>
    <row r="70137" hidden="1" x14ac:dyDescent="0.35"/>
    <row r="70138" hidden="1" x14ac:dyDescent="0.35"/>
    <row r="70139" hidden="1" x14ac:dyDescent="0.35"/>
    <row r="70140" hidden="1" x14ac:dyDescent="0.35"/>
    <row r="70141" hidden="1" x14ac:dyDescent="0.35"/>
    <row r="70142" hidden="1" x14ac:dyDescent="0.35"/>
    <row r="70143" hidden="1" x14ac:dyDescent="0.35"/>
    <row r="70144" hidden="1" x14ac:dyDescent="0.35"/>
    <row r="70145" hidden="1" x14ac:dyDescent="0.35"/>
    <row r="70146" hidden="1" x14ac:dyDescent="0.35"/>
    <row r="70147" hidden="1" x14ac:dyDescent="0.35"/>
    <row r="70148" hidden="1" x14ac:dyDescent="0.35"/>
    <row r="70149" hidden="1" x14ac:dyDescent="0.35"/>
    <row r="70150" hidden="1" x14ac:dyDescent="0.35"/>
    <row r="70151" hidden="1" x14ac:dyDescent="0.35"/>
    <row r="70152" hidden="1" x14ac:dyDescent="0.35"/>
    <row r="70153" hidden="1" x14ac:dyDescent="0.35"/>
    <row r="70154" hidden="1" x14ac:dyDescent="0.35"/>
    <row r="70155" hidden="1" x14ac:dyDescent="0.35"/>
    <row r="70156" hidden="1" x14ac:dyDescent="0.35"/>
    <row r="70157" hidden="1" x14ac:dyDescent="0.35"/>
    <row r="70158" hidden="1" x14ac:dyDescent="0.35"/>
    <row r="70159" hidden="1" x14ac:dyDescent="0.35"/>
    <row r="70160" hidden="1" x14ac:dyDescent="0.35"/>
    <row r="70161" hidden="1" x14ac:dyDescent="0.35"/>
    <row r="70162" hidden="1" x14ac:dyDescent="0.35"/>
    <row r="70163" hidden="1" x14ac:dyDescent="0.35"/>
    <row r="70164" hidden="1" x14ac:dyDescent="0.35"/>
    <row r="70165" hidden="1" x14ac:dyDescent="0.35"/>
    <row r="70166" hidden="1" x14ac:dyDescent="0.35"/>
    <row r="70167" hidden="1" x14ac:dyDescent="0.35"/>
    <row r="70168" hidden="1" x14ac:dyDescent="0.35"/>
    <row r="70169" hidden="1" x14ac:dyDescent="0.35"/>
    <row r="70170" hidden="1" x14ac:dyDescent="0.35"/>
    <row r="70171" hidden="1" x14ac:dyDescent="0.35"/>
    <row r="70172" hidden="1" x14ac:dyDescent="0.35"/>
    <row r="70173" hidden="1" x14ac:dyDescent="0.35"/>
    <row r="70174" hidden="1" x14ac:dyDescent="0.35"/>
    <row r="70175" hidden="1" x14ac:dyDescent="0.35"/>
    <row r="70176" hidden="1" x14ac:dyDescent="0.35"/>
    <row r="70177" hidden="1" x14ac:dyDescent="0.35"/>
    <row r="70178" hidden="1" x14ac:dyDescent="0.35"/>
    <row r="70179" hidden="1" x14ac:dyDescent="0.35"/>
    <row r="70180" hidden="1" x14ac:dyDescent="0.35"/>
    <row r="70181" hidden="1" x14ac:dyDescent="0.35"/>
    <row r="70182" hidden="1" x14ac:dyDescent="0.35"/>
    <row r="70183" hidden="1" x14ac:dyDescent="0.35"/>
    <row r="70184" hidden="1" x14ac:dyDescent="0.35"/>
    <row r="70185" hidden="1" x14ac:dyDescent="0.35"/>
    <row r="70186" hidden="1" x14ac:dyDescent="0.35"/>
    <row r="70187" hidden="1" x14ac:dyDescent="0.35"/>
    <row r="70188" hidden="1" x14ac:dyDescent="0.35"/>
    <row r="70189" hidden="1" x14ac:dyDescent="0.35"/>
    <row r="70190" hidden="1" x14ac:dyDescent="0.35"/>
    <row r="70191" hidden="1" x14ac:dyDescent="0.35"/>
    <row r="70192" hidden="1" x14ac:dyDescent="0.35"/>
    <row r="70193" hidden="1" x14ac:dyDescent="0.35"/>
    <row r="70194" hidden="1" x14ac:dyDescent="0.35"/>
    <row r="70195" hidden="1" x14ac:dyDescent="0.35"/>
    <row r="70196" hidden="1" x14ac:dyDescent="0.35"/>
    <row r="70197" hidden="1" x14ac:dyDescent="0.35"/>
    <row r="70198" hidden="1" x14ac:dyDescent="0.35"/>
    <row r="70199" hidden="1" x14ac:dyDescent="0.35"/>
    <row r="70200" hidden="1" x14ac:dyDescent="0.35"/>
    <row r="70201" hidden="1" x14ac:dyDescent="0.35"/>
    <row r="70202" hidden="1" x14ac:dyDescent="0.35"/>
    <row r="70203" hidden="1" x14ac:dyDescent="0.35"/>
    <row r="70204" hidden="1" x14ac:dyDescent="0.35"/>
    <row r="70205" hidden="1" x14ac:dyDescent="0.35"/>
    <row r="70206" hidden="1" x14ac:dyDescent="0.35"/>
    <row r="70207" hidden="1" x14ac:dyDescent="0.35"/>
    <row r="70208" hidden="1" x14ac:dyDescent="0.35"/>
    <row r="70209" hidden="1" x14ac:dyDescent="0.35"/>
    <row r="70210" hidden="1" x14ac:dyDescent="0.35"/>
    <row r="70211" hidden="1" x14ac:dyDescent="0.35"/>
    <row r="70212" hidden="1" x14ac:dyDescent="0.35"/>
    <row r="70213" hidden="1" x14ac:dyDescent="0.35"/>
    <row r="70214" hidden="1" x14ac:dyDescent="0.35"/>
    <row r="70215" hidden="1" x14ac:dyDescent="0.35"/>
    <row r="70216" hidden="1" x14ac:dyDescent="0.35"/>
    <row r="70217" hidden="1" x14ac:dyDescent="0.35"/>
    <row r="70218" hidden="1" x14ac:dyDescent="0.35"/>
    <row r="70219" hidden="1" x14ac:dyDescent="0.35"/>
    <row r="70220" hidden="1" x14ac:dyDescent="0.35"/>
    <row r="70221" hidden="1" x14ac:dyDescent="0.35"/>
    <row r="70222" hidden="1" x14ac:dyDescent="0.35"/>
    <row r="70223" hidden="1" x14ac:dyDescent="0.35"/>
    <row r="70224" hidden="1" x14ac:dyDescent="0.35"/>
    <row r="70225" hidden="1" x14ac:dyDescent="0.35"/>
    <row r="70226" hidden="1" x14ac:dyDescent="0.35"/>
    <row r="70227" hidden="1" x14ac:dyDescent="0.35"/>
    <row r="70228" hidden="1" x14ac:dyDescent="0.35"/>
    <row r="70229" hidden="1" x14ac:dyDescent="0.35"/>
    <row r="70230" hidden="1" x14ac:dyDescent="0.35"/>
    <row r="70231" hidden="1" x14ac:dyDescent="0.35"/>
    <row r="70232" hidden="1" x14ac:dyDescent="0.35"/>
    <row r="70233" hidden="1" x14ac:dyDescent="0.35"/>
    <row r="70234" hidden="1" x14ac:dyDescent="0.35"/>
    <row r="70235" hidden="1" x14ac:dyDescent="0.35"/>
    <row r="70236" hidden="1" x14ac:dyDescent="0.35"/>
    <row r="70237" hidden="1" x14ac:dyDescent="0.35"/>
    <row r="70238" hidden="1" x14ac:dyDescent="0.35"/>
    <row r="70239" hidden="1" x14ac:dyDescent="0.35"/>
    <row r="70240" hidden="1" x14ac:dyDescent="0.35"/>
    <row r="70241" hidden="1" x14ac:dyDescent="0.35"/>
    <row r="70242" hidden="1" x14ac:dyDescent="0.35"/>
    <row r="70243" hidden="1" x14ac:dyDescent="0.35"/>
    <row r="70244" hidden="1" x14ac:dyDescent="0.35"/>
    <row r="70245" hidden="1" x14ac:dyDescent="0.35"/>
    <row r="70246" hidden="1" x14ac:dyDescent="0.35"/>
    <row r="70247" hidden="1" x14ac:dyDescent="0.35"/>
    <row r="70248" hidden="1" x14ac:dyDescent="0.35"/>
    <row r="70249" hidden="1" x14ac:dyDescent="0.35"/>
    <row r="70250" hidden="1" x14ac:dyDescent="0.35"/>
    <row r="70251" hidden="1" x14ac:dyDescent="0.35"/>
    <row r="70252" hidden="1" x14ac:dyDescent="0.35"/>
    <row r="70253" hidden="1" x14ac:dyDescent="0.35"/>
    <row r="70254" hidden="1" x14ac:dyDescent="0.35"/>
    <row r="70255" hidden="1" x14ac:dyDescent="0.35"/>
    <row r="70256" hidden="1" x14ac:dyDescent="0.35"/>
    <row r="70257" hidden="1" x14ac:dyDescent="0.35"/>
    <row r="70258" hidden="1" x14ac:dyDescent="0.35"/>
    <row r="70259" hidden="1" x14ac:dyDescent="0.35"/>
    <row r="70260" hidden="1" x14ac:dyDescent="0.35"/>
    <row r="70261" hidden="1" x14ac:dyDescent="0.35"/>
    <row r="70262" hidden="1" x14ac:dyDescent="0.35"/>
    <row r="70263" hidden="1" x14ac:dyDescent="0.35"/>
    <row r="70264" hidden="1" x14ac:dyDescent="0.35"/>
    <row r="70265" hidden="1" x14ac:dyDescent="0.35"/>
    <row r="70266" hidden="1" x14ac:dyDescent="0.35"/>
    <row r="70267" hidden="1" x14ac:dyDescent="0.35"/>
    <row r="70268" hidden="1" x14ac:dyDescent="0.35"/>
    <row r="70269" hidden="1" x14ac:dyDescent="0.35"/>
    <row r="70270" hidden="1" x14ac:dyDescent="0.35"/>
    <row r="70271" hidden="1" x14ac:dyDescent="0.35"/>
    <row r="70272" hidden="1" x14ac:dyDescent="0.35"/>
    <row r="70273" hidden="1" x14ac:dyDescent="0.35"/>
    <row r="70274" hidden="1" x14ac:dyDescent="0.35"/>
    <row r="70275" hidden="1" x14ac:dyDescent="0.35"/>
    <row r="70276" hidden="1" x14ac:dyDescent="0.35"/>
    <row r="70277" hidden="1" x14ac:dyDescent="0.35"/>
    <row r="70278" hidden="1" x14ac:dyDescent="0.35"/>
    <row r="70279" hidden="1" x14ac:dyDescent="0.35"/>
    <row r="70280" hidden="1" x14ac:dyDescent="0.35"/>
    <row r="70281" hidden="1" x14ac:dyDescent="0.35"/>
    <row r="70282" hidden="1" x14ac:dyDescent="0.35"/>
    <row r="70283" hidden="1" x14ac:dyDescent="0.35"/>
    <row r="70284" hidden="1" x14ac:dyDescent="0.35"/>
    <row r="70285" hidden="1" x14ac:dyDescent="0.35"/>
    <row r="70286" hidden="1" x14ac:dyDescent="0.35"/>
    <row r="70287" hidden="1" x14ac:dyDescent="0.35"/>
    <row r="70288" hidden="1" x14ac:dyDescent="0.35"/>
    <row r="70289" hidden="1" x14ac:dyDescent="0.35"/>
    <row r="70290" hidden="1" x14ac:dyDescent="0.35"/>
    <row r="70291" hidden="1" x14ac:dyDescent="0.35"/>
    <row r="70292" hidden="1" x14ac:dyDescent="0.35"/>
    <row r="70293" hidden="1" x14ac:dyDescent="0.35"/>
    <row r="70294" hidden="1" x14ac:dyDescent="0.35"/>
    <row r="70295" hidden="1" x14ac:dyDescent="0.35"/>
    <row r="70296" hidden="1" x14ac:dyDescent="0.35"/>
    <row r="70297" hidden="1" x14ac:dyDescent="0.35"/>
    <row r="70298" hidden="1" x14ac:dyDescent="0.35"/>
    <row r="70299" hidden="1" x14ac:dyDescent="0.35"/>
    <row r="70300" hidden="1" x14ac:dyDescent="0.35"/>
    <row r="70301" hidden="1" x14ac:dyDescent="0.35"/>
    <row r="70302" hidden="1" x14ac:dyDescent="0.35"/>
    <row r="70303" hidden="1" x14ac:dyDescent="0.35"/>
    <row r="70304" hidden="1" x14ac:dyDescent="0.35"/>
    <row r="70305" hidden="1" x14ac:dyDescent="0.35"/>
    <row r="70306" hidden="1" x14ac:dyDescent="0.35"/>
    <row r="70307" hidden="1" x14ac:dyDescent="0.35"/>
    <row r="70308" hidden="1" x14ac:dyDescent="0.35"/>
    <row r="70309" hidden="1" x14ac:dyDescent="0.35"/>
    <row r="70310" hidden="1" x14ac:dyDescent="0.35"/>
    <row r="70311" hidden="1" x14ac:dyDescent="0.35"/>
    <row r="70312" hidden="1" x14ac:dyDescent="0.35"/>
    <row r="70313" hidden="1" x14ac:dyDescent="0.35"/>
    <row r="70314" hidden="1" x14ac:dyDescent="0.35"/>
    <row r="70315" hidden="1" x14ac:dyDescent="0.35"/>
    <row r="70316" hidden="1" x14ac:dyDescent="0.35"/>
    <row r="70317" hidden="1" x14ac:dyDescent="0.35"/>
    <row r="70318" hidden="1" x14ac:dyDescent="0.35"/>
    <row r="70319" hidden="1" x14ac:dyDescent="0.35"/>
    <row r="70320" hidden="1" x14ac:dyDescent="0.35"/>
    <row r="70321" hidden="1" x14ac:dyDescent="0.35"/>
    <row r="70322" hidden="1" x14ac:dyDescent="0.35"/>
    <row r="70323" hidden="1" x14ac:dyDescent="0.35"/>
    <row r="70324" hidden="1" x14ac:dyDescent="0.35"/>
    <row r="70325" hidden="1" x14ac:dyDescent="0.35"/>
    <row r="70326" hidden="1" x14ac:dyDescent="0.35"/>
    <row r="70327" hidden="1" x14ac:dyDescent="0.35"/>
    <row r="70328" hidden="1" x14ac:dyDescent="0.35"/>
    <row r="70329" hidden="1" x14ac:dyDescent="0.35"/>
    <row r="70330" hidden="1" x14ac:dyDescent="0.35"/>
    <row r="70331" hidden="1" x14ac:dyDescent="0.35"/>
    <row r="70332" hidden="1" x14ac:dyDescent="0.35"/>
    <row r="70333" hidden="1" x14ac:dyDescent="0.35"/>
    <row r="70334" hidden="1" x14ac:dyDescent="0.35"/>
    <row r="70335" hidden="1" x14ac:dyDescent="0.35"/>
    <row r="70336" hidden="1" x14ac:dyDescent="0.35"/>
    <row r="70337" hidden="1" x14ac:dyDescent="0.35"/>
    <row r="70338" hidden="1" x14ac:dyDescent="0.35"/>
    <row r="70339" hidden="1" x14ac:dyDescent="0.35"/>
    <row r="70340" hidden="1" x14ac:dyDescent="0.35"/>
    <row r="70341" hidden="1" x14ac:dyDescent="0.35"/>
    <row r="70342" hidden="1" x14ac:dyDescent="0.35"/>
    <row r="70343" hidden="1" x14ac:dyDescent="0.35"/>
    <row r="70344" hidden="1" x14ac:dyDescent="0.35"/>
    <row r="70345" hidden="1" x14ac:dyDescent="0.35"/>
    <row r="70346" hidden="1" x14ac:dyDescent="0.35"/>
    <row r="70347" hidden="1" x14ac:dyDescent="0.35"/>
    <row r="70348" hidden="1" x14ac:dyDescent="0.35"/>
    <row r="70349" hidden="1" x14ac:dyDescent="0.35"/>
    <row r="70350" hidden="1" x14ac:dyDescent="0.35"/>
    <row r="70351" hidden="1" x14ac:dyDescent="0.35"/>
    <row r="70352" hidden="1" x14ac:dyDescent="0.35"/>
    <row r="70353" hidden="1" x14ac:dyDescent="0.35"/>
    <row r="70354" hidden="1" x14ac:dyDescent="0.35"/>
    <row r="70355" hidden="1" x14ac:dyDescent="0.35"/>
    <row r="70356" hidden="1" x14ac:dyDescent="0.35"/>
    <row r="70357" hidden="1" x14ac:dyDescent="0.35"/>
    <row r="70358" hidden="1" x14ac:dyDescent="0.35"/>
    <row r="70359" hidden="1" x14ac:dyDescent="0.35"/>
    <row r="70360" hidden="1" x14ac:dyDescent="0.35"/>
    <row r="70361" hidden="1" x14ac:dyDescent="0.35"/>
    <row r="70362" hidden="1" x14ac:dyDescent="0.35"/>
    <row r="70363" hidden="1" x14ac:dyDescent="0.35"/>
    <row r="70364" hidden="1" x14ac:dyDescent="0.35"/>
    <row r="70365" hidden="1" x14ac:dyDescent="0.35"/>
    <row r="70366" hidden="1" x14ac:dyDescent="0.35"/>
    <row r="70367" hidden="1" x14ac:dyDescent="0.35"/>
    <row r="70368" hidden="1" x14ac:dyDescent="0.35"/>
    <row r="70369" hidden="1" x14ac:dyDescent="0.35"/>
    <row r="70370" hidden="1" x14ac:dyDescent="0.35"/>
    <row r="70371" hidden="1" x14ac:dyDescent="0.35"/>
    <row r="70372" hidden="1" x14ac:dyDescent="0.35"/>
    <row r="70373" hidden="1" x14ac:dyDescent="0.35"/>
    <row r="70374" hidden="1" x14ac:dyDescent="0.35"/>
    <row r="70375" hidden="1" x14ac:dyDescent="0.35"/>
    <row r="70376" hidden="1" x14ac:dyDescent="0.35"/>
    <row r="70377" hidden="1" x14ac:dyDescent="0.35"/>
    <row r="70378" hidden="1" x14ac:dyDescent="0.35"/>
    <row r="70379" hidden="1" x14ac:dyDescent="0.35"/>
    <row r="70380" hidden="1" x14ac:dyDescent="0.35"/>
    <row r="70381" hidden="1" x14ac:dyDescent="0.35"/>
    <row r="70382" hidden="1" x14ac:dyDescent="0.35"/>
    <row r="70383" hidden="1" x14ac:dyDescent="0.35"/>
    <row r="70384" hidden="1" x14ac:dyDescent="0.35"/>
    <row r="70385" hidden="1" x14ac:dyDescent="0.35"/>
    <row r="70386" hidden="1" x14ac:dyDescent="0.35"/>
    <row r="70387" hidden="1" x14ac:dyDescent="0.35"/>
    <row r="70388" hidden="1" x14ac:dyDescent="0.35"/>
    <row r="70389" hidden="1" x14ac:dyDescent="0.35"/>
    <row r="70390" hidden="1" x14ac:dyDescent="0.35"/>
    <row r="70391" hidden="1" x14ac:dyDescent="0.35"/>
    <row r="70392" hidden="1" x14ac:dyDescent="0.35"/>
    <row r="70393" hidden="1" x14ac:dyDescent="0.35"/>
    <row r="70394" hidden="1" x14ac:dyDescent="0.35"/>
    <row r="70395" hidden="1" x14ac:dyDescent="0.35"/>
    <row r="70396" hidden="1" x14ac:dyDescent="0.35"/>
    <row r="70397" hidden="1" x14ac:dyDescent="0.35"/>
    <row r="70398" hidden="1" x14ac:dyDescent="0.35"/>
    <row r="70399" hidden="1" x14ac:dyDescent="0.35"/>
    <row r="70400" hidden="1" x14ac:dyDescent="0.35"/>
    <row r="70401" hidden="1" x14ac:dyDescent="0.35"/>
    <row r="70402" hidden="1" x14ac:dyDescent="0.35"/>
    <row r="70403" hidden="1" x14ac:dyDescent="0.35"/>
    <row r="70404" hidden="1" x14ac:dyDescent="0.35"/>
    <row r="70405" hidden="1" x14ac:dyDescent="0.35"/>
    <row r="70406" hidden="1" x14ac:dyDescent="0.35"/>
    <row r="70407" hidden="1" x14ac:dyDescent="0.35"/>
    <row r="70408" hidden="1" x14ac:dyDescent="0.35"/>
    <row r="70409" hidden="1" x14ac:dyDescent="0.35"/>
    <row r="70410" hidden="1" x14ac:dyDescent="0.35"/>
    <row r="70411" hidden="1" x14ac:dyDescent="0.35"/>
    <row r="70412" hidden="1" x14ac:dyDescent="0.35"/>
    <row r="70413" hidden="1" x14ac:dyDescent="0.35"/>
    <row r="70414" hidden="1" x14ac:dyDescent="0.35"/>
    <row r="70415" hidden="1" x14ac:dyDescent="0.35"/>
    <row r="70416" hidden="1" x14ac:dyDescent="0.35"/>
    <row r="70417" hidden="1" x14ac:dyDescent="0.35"/>
    <row r="70418" hidden="1" x14ac:dyDescent="0.35"/>
    <row r="70419" hidden="1" x14ac:dyDescent="0.35"/>
    <row r="70420" hidden="1" x14ac:dyDescent="0.35"/>
    <row r="70421" hidden="1" x14ac:dyDescent="0.35"/>
    <row r="70422" hidden="1" x14ac:dyDescent="0.35"/>
    <row r="70423" hidden="1" x14ac:dyDescent="0.35"/>
    <row r="70424" hidden="1" x14ac:dyDescent="0.35"/>
    <row r="70425" hidden="1" x14ac:dyDescent="0.35"/>
    <row r="70426" hidden="1" x14ac:dyDescent="0.35"/>
    <row r="70427" hidden="1" x14ac:dyDescent="0.35"/>
    <row r="70428" hidden="1" x14ac:dyDescent="0.35"/>
    <row r="70429" hidden="1" x14ac:dyDescent="0.35"/>
    <row r="70430" hidden="1" x14ac:dyDescent="0.35"/>
    <row r="70431" hidden="1" x14ac:dyDescent="0.35"/>
    <row r="70432" hidden="1" x14ac:dyDescent="0.35"/>
    <row r="70433" hidden="1" x14ac:dyDescent="0.35"/>
    <row r="70434" hidden="1" x14ac:dyDescent="0.35"/>
    <row r="70435" hidden="1" x14ac:dyDescent="0.35"/>
    <row r="70436" hidden="1" x14ac:dyDescent="0.35"/>
    <row r="70437" hidden="1" x14ac:dyDescent="0.35"/>
    <row r="70438" hidden="1" x14ac:dyDescent="0.35"/>
    <row r="70439" hidden="1" x14ac:dyDescent="0.35"/>
    <row r="70440" hidden="1" x14ac:dyDescent="0.35"/>
    <row r="70441" hidden="1" x14ac:dyDescent="0.35"/>
    <row r="70442" hidden="1" x14ac:dyDescent="0.35"/>
    <row r="70443" hidden="1" x14ac:dyDescent="0.35"/>
    <row r="70444" hidden="1" x14ac:dyDescent="0.35"/>
    <row r="70445" hidden="1" x14ac:dyDescent="0.35"/>
    <row r="70446" hidden="1" x14ac:dyDescent="0.35"/>
    <row r="70447" hidden="1" x14ac:dyDescent="0.35"/>
    <row r="70448" hidden="1" x14ac:dyDescent="0.35"/>
    <row r="70449" hidden="1" x14ac:dyDescent="0.35"/>
    <row r="70450" hidden="1" x14ac:dyDescent="0.35"/>
    <row r="70451" hidden="1" x14ac:dyDescent="0.35"/>
    <row r="70452" hidden="1" x14ac:dyDescent="0.35"/>
    <row r="70453" hidden="1" x14ac:dyDescent="0.35"/>
    <row r="70454" hidden="1" x14ac:dyDescent="0.35"/>
    <row r="70455" hidden="1" x14ac:dyDescent="0.35"/>
    <row r="70456" hidden="1" x14ac:dyDescent="0.35"/>
    <row r="70457" hidden="1" x14ac:dyDescent="0.35"/>
    <row r="70458" hidden="1" x14ac:dyDescent="0.35"/>
    <row r="70459" hidden="1" x14ac:dyDescent="0.35"/>
    <row r="70460" hidden="1" x14ac:dyDescent="0.35"/>
    <row r="70461" hidden="1" x14ac:dyDescent="0.35"/>
    <row r="70462" hidden="1" x14ac:dyDescent="0.35"/>
    <row r="70463" hidden="1" x14ac:dyDescent="0.35"/>
    <row r="70464" hidden="1" x14ac:dyDescent="0.35"/>
    <row r="70465" hidden="1" x14ac:dyDescent="0.35"/>
    <row r="70466" hidden="1" x14ac:dyDescent="0.35"/>
    <row r="70467" hidden="1" x14ac:dyDescent="0.35"/>
    <row r="70468" hidden="1" x14ac:dyDescent="0.35"/>
    <row r="70469" hidden="1" x14ac:dyDescent="0.35"/>
    <row r="70470" hidden="1" x14ac:dyDescent="0.35"/>
    <row r="70471" hidden="1" x14ac:dyDescent="0.35"/>
    <row r="70472" hidden="1" x14ac:dyDescent="0.35"/>
    <row r="70473" hidden="1" x14ac:dyDescent="0.35"/>
    <row r="70474" hidden="1" x14ac:dyDescent="0.35"/>
    <row r="70475" hidden="1" x14ac:dyDescent="0.35"/>
    <row r="70476" hidden="1" x14ac:dyDescent="0.35"/>
    <row r="70477" hidden="1" x14ac:dyDescent="0.35"/>
    <row r="70478" hidden="1" x14ac:dyDescent="0.35"/>
    <row r="70479" hidden="1" x14ac:dyDescent="0.35"/>
    <row r="70480" hidden="1" x14ac:dyDescent="0.35"/>
    <row r="70481" hidden="1" x14ac:dyDescent="0.35"/>
    <row r="70482" hidden="1" x14ac:dyDescent="0.35"/>
    <row r="70483" hidden="1" x14ac:dyDescent="0.35"/>
    <row r="70484" hidden="1" x14ac:dyDescent="0.35"/>
    <row r="70485" hidden="1" x14ac:dyDescent="0.35"/>
    <row r="70486" hidden="1" x14ac:dyDescent="0.35"/>
    <row r="70487" hidden="1" x14ac:dyDescent="0.35"/>
    <row r="70488" hidden="1" x14ac:dyDescent="0.35"/>
    <row r="70489" hidden="1" x14ac:dyDescent="0.35"/>
    <row r="70490" hidden="1" x14ac:dyDescent="0.35"/>
    <row r="70491" hidden="1" x14ac:dyDescent="0.35"/>
    <row r="70492" hidden="1" x14ac:dyDescent="0.35"/>
    <row r="70493" hidden="1" x14ac:dyDescent="0.35"/>
    <row r="70494" hidden="1" x14ac:dyDescent="0.35"/>
    <row r="70495" hidden="1" x14ac:dyDescent="0.35"/>
    <row r="70496" hidden="1" x14ac:dyDescent="0.35"/>
    <row r="70497" hidden="1" x14ac:dyDescent="0.35"/>
    <row r="70498" hidden="1" x14ac:dyDescent="0.35"/>
    <row r="70499" hidden="1" x14ac:dyDescent="0.35"/>
    <row r="70500" hidden="1" x14ac:dyDescent="0.35"/>
    <row r="70501" hidden="1" x14ac:dyDescent="0.35"/>
    <row r="70502" hidden="1" x14ac:dyDescent="0.35"/>
    <row r="70503" hidden="1" x14ac:dyDescent="0.35"/>
    <row r="70504" hidden="1" x14ac:dyDescent="0.35"/>
    <row r="70505" hidden="1" x14ac:dyDescent="0.35"/>
    <row r="70506" hidden="1" x14ac:dyDescent="0.35"/>
    <row r="70507" hidden="1" x14ac:dyDescent="0.35"/>
    <row r="70508" hidden="1" x14ac:dyDescent="0.35"/>
    <row r="70509" hidden="1" x14ac:dyDescent="0.35"/>
    <row r="70510" hidden="1" x14ac:dyDescent="0.35"/>
    <row r="70511" hidden="1" x14ac:dyDescent="0.35"/>
    <row r="70512" hidden="1" x14ac:dyDescent="0.35"/>
    <row r="70513" hidden="1" x14ac:dyDescent="0.35"/>
    <row r="70514" hidden="1" x14ac:dyDescent="0.35"/>
    <row r="70515" hidden="1" x14ac:dyDescent="0.35"/>
    <row r="70516" hidden="1" x14ac:dyDescent="0.35"/>
    <row r="70517" hidden="1" x14ac:dyDescent="0.35"/>
    <row r="70518" hidden="1" x14ac:dyDescent="0.35"/>
    <row r="70519" hidden="1" x14ac:dyDescent="0.35"/>
    <row r="70520" hidden="1" x14ac:dyDescent="0.35"/>
    <row r="70521" hidden="1" x14ac:dyDescent="0.35"/>
    <row r="70522" hidden="1" x14ac:dyDescent="0.35"/>
    <row r="70523" hidden="1" x14ac:dyDescent="0.35"/>
    <row r="70524" hidden="1" x14ac:dyDescent="0.35"/>
    <row r="70525" hidden="1" x14ac:dyDescent="0.35"/>
    <row r="70526" hidden="1" x14ac:dyDescent="0.35"/>
    <row r="70527" hidden="1" x14ac:dyDescent="0.35"/>
    <row r="70528" hidden="1" x14ac:dyDescent="0.35"/>
    <row r="70529" hidden="1" x14ac:dyDescent="0.35"/>
    <row r="70530" hidden="1" x14ac:dyDescent="0.35"/>
    <row r="70531" hidden="1" x14ac:dyDescent="0.35"/>
    <row r="70532" hidden="1" x14ac:dyDescent="0.35"/>
    <row r="70533" hidden="1" x14ac:dyDescent="0.35"/>
    <row r="70534" hidden="1" x14ac:dyDescent="0.35"/>
    <row r="70535" hidden="1" x14ac:dyDescent="0.35"/>
    <row r="70536" hidden="1" x14ac:dyDescent="0.35"/>
    <row r="70537" hidden="1" x14ac:dyDescent="0.35"/>
    <row r="70538" hidden="1" x14ac:dyDescent="0.35"/>
    <row r="70539" hidden="1" x14ac:dyDescent="0.35"/>
    <row r="70540" hidden="1" x14ac:dyDescent="0.35"/>
    <row r="70541" hidden="1" x14ac:dyDescent="0.35"/>
    <row r="70542" hidden="1" x14ac:dyDescent="0.35"/>
    <row r="70543" hidden="1" x14ac:dyDescent="0.35"/>
    <row r="70544" hidden="1" x14ac:dyDescent="0.35"/>
    <row r="70545" hidden="1" x14ac:dyDescent="0.35"/>
    <row r="70546" hidden="1" x14ac:dyDescent="0.35"/>
    <row r="70547" hidden="1" x14ac:dyDescent="0.35"/>
    <row r="70548" hidden="1" x14ac:dyDescent="0.35"/>
    <row r="70549" hidden="1" x14ac:dyDescent="0.35"/>
    <row r="70550" hidden="1" x14ac:dyDescent="0.35"/>
    <row r="70551" hidden="1" x14ac:dyDescent="0.35"/>
    <row r="70552" hidden="1" x14ac:dyDescent="0.35"/>
    <row r="70553" hidden="1" x14ac:dyDescent="0.35"/>
    <row r="70554" hidden="1" x14ac:dyDescent="0.35"/>
    <row r="70555" hidden="1" x14ac:dyDescent="0.35"/>
    <row r="70556" hidden="1" x14ac:dyDescent="0.35"/>
    <row r="70557" hidden="1" x14ac:dyDescent="0.35"/>
    <row r="70558" hidden="1" x14ac:dyDescent="0.35"/>
    <row r="70559" hidden="1" x14ac:dyDescent="0.35"/>
    <row r="70560" hidden="1" x14ac:dyDescent="0.35"/>
    <row r="70561" hidden="1" x14ac:dyDescent="0.35"/>
    <row r="70562" hidden="1" x14ac:dyDescent="0.35"/>
    <row r="70563" hidden="1" x14ac:dyDescent="0.35"/>
    <row r="70564" hidden="1" x14ac:dyDescent="0.35"/>
    <row r="70565" hidden="1" x14ac:dyDescent="0.35"/>
    <row r="70566" hidden="1" x14ac:dyDescent="0.35"/>
    <row r="70567" hidden="1" x14ac:dyDescent="0.35"/>
    <row r="70568" hidden="1" x14ac:dyDescent="0.35"/>
    <row r="70569" hidden="1" x14ac:dyDescent="0.35"/>
    <row r="70570" hidden="1" x14ac:dyDescent="0.35"/>
    <row r="70571" hidden="1" x14ac:dyDescent="0.35"/>
    <row r="70572" hidden="1" x14ac:dyDescent="0.35"/>
    <row r="70573" hidden="1" x14ac:dyDescent="0.35"/>
    <row r="70574" hidden="1" x14ac:dyDescent="0.35"/>
    <row r="70575" hidden="1" x14ac:dyDescent="0.35"/>
    <row r="70576" hidden="1" x14ac:dyDescent="0.35"/>
    <row r="70577" hidden="1" x14ac:dyDescent="0.35"/>
    <row r="70578" hidden="1" x14ac:dyDescent="0.35"/>
    <row r="70579" hidden="1" x14ac:dyDescent="0.35"/>
    <row r="70580" hidden="1" x14ac:dyDescent="0.35"/>
    <row r="70581" hidden="1" x14ac:dyDescent="0.35"/>
    <row r="70582" hidden="1" x14ac:dyDescent="0.35"/>
    <row r="70583" hidden="1" x14ac:dyDescent="0.35"/>
    <row r="70584" hidden="1" x14ac:dyDescent="0.35"/>
    <row r="70585" hidden="1" x14ac:dyDescent="0.35"/>
    <row r="70586" hidden="1" x14ac:dyDescent="0.35"/>
    <row r="70587" hidden="1" x14ac:dyDescent="0.35"/>
    <row r="70588" hidden="1" x14ac:dyDescent="0.35"/>
    <row r="70589" hidden="1" x14ac:dyDescent="0.35"/>
    <row r="70590" hidden="1" x14ac:dyDescent="0.35"/>
    <row r="70591" hidden="1" x14ac:dyDescent="0.35"/>
    <row r="70592" hidden="1" x14ac:dyDescent="0.35"/>
    <row r="70593" hidden="1" x14ac:dyDescent="0.35"/>
    <row r="70594" hidden="1" x14ac:dyDescent="0.35"/>
    <row r="70595" hidden="1" x14ac:dyDescent="0.35"/>
    <row r="70596" hidden="1" x14ac:dyDescent="0.35"/>
    <row r="70597" hidden="1" x14ac:dyDescent="0.35"/>
    <row r="70598" hidden="1" x14ac:dyDescent="0.35"/>
    <row r="70599" hidden="1" x14ac:dyDescent="0.35"/>
    <row r="70600" hidden="1" x14ac:dyDescent="0.35"/>
    <row r="70601" hidden="1" x14ac:dyDescent="0.35"/>
    <row r="70602" hidden="1" x14ac:dyDescent="0.35"/>
    <row r="70603" hidden="1" x14ac:dyDescent="0.35"/>
    <row r="70604" hidden="1" x14ac:dyDescent="0.35"/>
    <row r="70605" hidden="1" x14ac:dyDescent="0.35"/>
    <row r="70606" hidden="1" x14ac:dyDescent="0.35"/>
    <row r="70607" hidden="1" x14ac:dyDescent="0.35"/>
    <row r="70608" hidden="1" x14ac:dyDescent="0.35"/>
    <row r="70609" hidden="1" x14ac:dyDescent="0.35"/>
    <row r="70610" hidden="1" x14ac:dyDescent="0.35"/>
    <row r="70611" hidden="1" x14ac:dyDescent="0.35"/>
    <row r="70612" hidden="1" x14ac:dyDescent="0.35"/>
    <row r="70613" hidden="1" x14ac:dyDescent="0.35"/>
    <row r="70614" hidden="1" x14ac:dyDescent="0.35"/>
    <row r="70615" hidden="1" x14ac:dyDescent="0.35"/>
    <row r="70616" hidden="1" x14ac:dyDescent="0.35"/>
    <row r="70617" hidden="1" x14ac:dyDescent="0.35"/>
    <row r="70618" hidden="1" x14ac:dyDescent="0.35"/>
    <row r="70619" hidden="1" x14ac:dyDescent="0.35"/>
    <row r="70620" hidden="1" x14ac:dyDescent="0.35"/>
    <row r="70621" hidden="1" x14ac:dyDescent="0.35"/>
    <row r="70622" hidden="1" x14ac:dyDescent="0.35"/>
    <row r="70623" hidden="1" x14ac:dyDescent="0.35"/>
    <row r="70624" hidden="1" x14ac:dyDescent="0.35"/>
    <row r="70625" hidden="1" x14ac:dyDescent="0.35"/>
    <row r="70626" hidden="1" x14ac:dyDescent="0.35"/>
    <row r="70627" hidden="1" x14ac:dyDescent="0.35"/>
    <row r="70628" hidden="1" x14ac:dyDescent="0.35"/>
    <row r="70629" hidden="1" x14ac:dyDescent="0.35"/>
    <row r="70630" hidden="1" x14ac:dyDescent="0.35"/>
    <row r="70631" hidden="1" x14ac:dyDescent="0.35"/>
    <row r="70632" hidden="1" x14ac:dyDescent="0.35"/>
    <row r="70633" hidden="1" x14ac:dyDescent="0.35"/>
    <row r="70634" hidden="1" x14ac:dyDescent="0.35"/>
    <row r="70635" hidden="1" x14ac:dyDescent="0.35"/>
    <row r="70636" hidden="1" x14ac:dyDescent="0.35"/>
    <row r="70637" hidden="1" x14ac:dyDescent="0.35"/>
    <row r="70638" hidden="1" x14ac:dyDescent="0.35"/>
    <row r="70639" hidden="1" x14ac:dyDescent="0.35"/>
    <row r="70640" hidden="1" x14ac:dyDescent="0.35"/>
    <row r="70641" hidden="1" x14ac:dyDescent="0.35"/>
    <row r="70642" hidden="1" x14ac:dyDescent="0.35"/>
    <row r="70643" hidden="1" x14ac:dyDescent="0.35"/>
    <row r="70644" hidden="1" x14ac:dyDescent="0.35"/>
    <row r="70645" hidden="1" x14ac:dyDescent="0.35"/>
    <row r="70646" hidden="1" x14ac:dyDescent="0.35"/>
    <row r="70647" hidden="1" x14ac:dyDescent="0.35"/>
    <row r="70648" hidden="1" x14ac:dyDescent="0.35"/>
    <row r="70649" hidden="1" x14ac:dyDescent="0.35"/>
    <row r="70650" hidden="1" x14ac:dyDescent="0.35"/>
    <row r="70651" hidden="1" x14ac:dyDescent="0.35"/>
    <row r="70652" hidden="1" x14ac:dyDescent="0.35"/>
    <row r="70653" hidden="1" x14ac:dyDescent="0.35"/>
    <row r="70654" hidden="1" x14ac:dyDescent="0.35"/>
    <row r="70655" hidden="1" x14ac:dyDescent="0.35"/>
    <row r="70656" hidden="1" x14ac:dyDescent="0.35"/>
    <row r="70657" hidden="1" x14ac:dyDescent="0.35"/>
    <row r="70658" hidden="1" x14ac:dyDescent="0.35"/>
    <row r="70659" hidden="1" x14ac:dyDescent="0.35"/>
    <row r="70660" hidden="1" x14ac:dyDescent="0.35"/>
    <row r="70661" hidden="1" x14ac:dyDescent="0.35"/>
    <row r="70662" hidden="1" x14ac:dyDescent="0.35"/>
    <row r="70663" hidden="1" x14ac:dyDescent="0.35"/>
    <row r="70664" hidden="1" x14ac:dyDescent="0.35"/>
    <row r="70665" hidden="1" x14ac:dyDescent="0.35"/>
    <row r="70666" hidden="1" x14ac:dyDescent="0.35"/>
    <row r="70667" hidden="1" x14ac:dyDescent="0.35"/>
    <row r="70668" hidden="1" x14ac:dyDescent="0.35"/>
    <row r="70669" hidden="1" x14ac:dyDescent="0.35"/>
    <row r="70670" hidden="1" x14ac:dyDescent="0.35"/>
    <row r="70671" hidden="1" x14ac:dyDescent="0.35"/>
    <row r="70672" hidden="1" x14ac:dyDescent="0.35"/>
    <row r="70673" hidden="1" x14ac:dyDescent="0.35"/>
    <row r="70674" hidden="1" x14ac:dyDescent="0.35"/>
    <row r="70675" hidden="1" x14ac:dyDescent="0.35"/>
    <row r="70676" hidden="1" x14ac:dyDescent="0.35"/>
    <row r="70677" hidden="1" x14ac:dyDescent="0.35"/>
    <row r="70678" hidden="1" x14ac:dyDescent="0.35"/>
    <row r="70679" hidden="1" x14ac:dyDescent="0.35"/>
    <row r="70680" hidden="1" x14ac:dyDescent="0.35"/>
    <row r="70681" hidden="1" x14ac:dyDescent="0.35"/>
    <row r="70682" hidden="1" x14ac:dyDescent="0.35"/>
    <row r="70683" hidden="1" x14ac:dyDescent="0.35"/>
    <row r="70684" hidden="1" x14ac:dyDescent="0.35"/>
    <row r="70685" hidden="1" x14ac:dyDescent="0.35"/>
    <row r="70686" hidden="1" x14ac:dyDescent="0.35"/>
    <row r="70687" hidden="1" x14ac:dyDescent="0.35"/>
    <row r="70688" hidden="1" x14ac:dyDescent="0.35"/>
    <row r="70689" hidden="1" x14ac:dyDescent="0.35"/>
    <row r="70690" hidden="1" x14ac:dyDescent="0.35"/>
    <row r="70691" hidden="1" x14ac:dyDescent="0.35"/>
    <row r="70692" hidden="1" x14ac:dyDescent="0.35"/>
    <row r="70693" hidden="1" x14ac:dyDescent="0.35"/>
    <row r="70694" hidden="1" x14ac:dyDescent="0.35"/>
    <row r="70695" hidden="1" x14ac:dyDescent="0.35"/>
    <row r="70696" hidden="1" x14ac:dyDescent="0.35"/>
    <row r="70697" hidden="1" x14ac:dyDescent="0.35"/>
    <row r="70698" hidden="1" x14ac:dyDescent="0.35"/>
    <row r="70699" hidden="1" x14ac:dyDescent="0.35"/>
    <row r="70700" hidden="1" x14ac:dyDescent="0.35"/>
    <row r="70701" hidden="1" x14ac:dyDescent="0.35"/>
    <row r="70702" hidden="1" x14ac:dyDescent="0.35"/>
    <row r="70703" hidden="1" x14ac:dyDescent="0.35"/>
    <row r="70704" hidden="1" x14ac:dyDescent="0.35"/>
    <row r="70705" hidden="1" x14ac:dyDescent="0.35"/>
    <row r="70706" hidden="1" x14ac:dyDescent="0.35"/>
    <row r="70707" hidden="1" x14ac:dyDescent="0.35"/>
    <row r="70708" hidden="1" x14ac:dyDescent="0.35"/>
    <row r="70709" hidden="1" x14ac:dyDescent="0.35"/>
    <row r="70710" hidden="1" x14ac:dyDescent="0.35"/>
    <row r="70711" hidden="1" x14ac:dyDescent="0.35"/>
    <row r="70712" hidden="1" x14ac:dyDescent="0.35"/>
    <row r="70713" hidden="1" x14ac:dyDescent="0.35"/>
    <row r="70714" hidden="1" x14ac:dyDescent="0.35"/>
    <row r="70715" hidden="1" x14ac:dyDescent="0.35"/>
    <row r="70716" hidden="1" x14ac:dyDescent="0.35"/>
    <row r="70717" hidden="1" x14ac:dyDescent="0.35"/>
    <row r="70718" hidden="1" x14ac:dyDescent="0.35"/>
    <row r="70719" hidden="1" x14ac:dyDescent="0.35"/>
    <row r="70720" hidden="1" x14ac:dyDescent="0.35"/>
    <row r="70721" hidden="1" x14ac:dyDescent="0.35"/>
    <row r="70722" hidden="1" x14ac:dyDescent="0.35"/>
    <row r="70723" hidden="1" x14ac:dyDescent="0.35"/>
    <row r="70724" hidden="1" x14ac:dyDescent="0.35"/>
    <row r="70725" hidden="1" x14ac:dyDescent="0.35"/>
    <row r="70726" hidden="1" x14ac:dyDescent="0.35"/>
    <row r="70727" hidden="1" x14ac:dyDescent="0.35"/>
    <row r="70728" hidden="1" x14ac:dyDescent="0.35"/>
    <row r="70729" hidden="1" x14ac:dyDescent="0.35"/>
    <row r="70730" hidden="1" x14ac:dyDescent="0.35"/>
    <row r="70731" hidden="1" x14ac:dyDescent="0.35"/>
    <row r="70732" hidden="1" x14ac:dyDescent="0.35"/>
    <row r="70733" hidden="1" x14ac:dyDescent="0.35"/>
    <row r="70734" hidden="1" x14ac:dyDescent="0.35"/>
    <row r="70735" hidden="1" x14ac:dyDescent="0.35"/>
    <row r="70736" hidden="1" x14ac:dyDescent="0.35"/>
    <row r="70737" hidden="1" x14ac:dyDescent="0.35"/>
    <row r="70738" hidden="1" x14ac:dyDescent="0.35"/>
    <row r="70739" hidden="1" x14ac:dyDescent="0.35"/>
    <row r="70740" hidden="1" x14ac:dyDescent="0.35"/>
    <row r="70741" hidden="1" x14ac:dyDescent="0.35"/>
    <row r="70742" hidden="1" x14ac:dyDescent="0.35"/>
    <row r="70743" hidden="1" x14ac:dyDescent="0.35"/>
    <row r="70744" hidden="1" x14ac:dyDescent="0.35"/>
    <row r="70745" hidden="1" x14ac:dyDescent="0.35"/>
    <row r="70746" hidden="1" x14ac:dyDescent="0.35"/>
    <row r="70747" hidden="1" x14ac:dyDescent="0.35"/>
    <row r="70748" hidden="1" x14ac:dyDescent="0.35"/>
    <row r="70749" hidden="1" x14ac:dyDescent="0.35"/>
    <row r="70750" hidden="1" x14ac:dyDescent="0.35"/>
    <row r="70751" hidden="1" x14ac:dyDescent="0.35"/>
    <row r="70752" hidden="1" x14ac:dyDescent="0.35"/>
    <row r="70753" hidden="1" x14ac:dyDescent="0.35"/>
    <row r="70754" hidden="1" x14ac:dyDescent="0.35"/>
    <row r="70755" hidden="1" x14ac:dyDescent="0.35"/>
    <row r="70756" hidden="1" x14ac:dyDescent="0.35"/>
    <row r="70757" hidden="1" x14ac:dyDescent="0.35"/>
    <row r="70758" hidden="1" x14ac:dyDescent="0.35"/>
    <row r="70759" hidden="1" x14ac:dyDescent="0.35"/>
    <row r="70760" hidden="1" x14ac:dyDescent="0.35"/>
    <row r="70761" hidden="1" x14ac:dyDescent="0.35"/>
    <row r="70762" hidden="1" x14ac:dyDescent="0.35"/>
    <row r="70763" hidden="1" x14ac:dyDescent="0.35"/>
    <row r="70764" hidden="1" x14ac:dyDescent="0.35"/>
    <row r="70765" hidden="1" x14ac:dyDescent="0.35"/>
    <row r="70766" hidden="1" x14ac:dyDescent="0.35"/>
    <row r="70767" hidden="1" x14ac:dyDescent="0.35"/>
    <row r="70768" hidden="1" x14ac:dyDescent="0.35"/>
    <row r="70769" hidden="1" x14ac:dyDescent="0.35"/>
    <row r="70770" hidden="1" x14ac:dyDescent="0.35"/>
    <row r="70771" hidden="1" x14ac:dyDescent="0.35"/>
    <row r="70772" hidden="1" x14ac:dyDescent="0.35"/>
    <row r="70773" hidden="1" x14ac:dyDescent="0.35"/>
    <row r="70774" hidden="1" x14ac:dyDescent="0.35"/>
    <row r="70775" hidden="1" x14ac:dyDescent="0.35"/>
    <row r="70776" hidden="1" x14ac:dyDescent="0.35"/>
    <row r="70777" hidden="1" x14ac:dyDescent="0.35"/>
    <row r="70778" hidden="1" x14ac:dyDescent="0.35"/>
    <row r="70779" hidden="1" x14ac:dyDescent="0.35"/>
    <row r="70780" hidden="1" x14ac:dyDescent="0.35"/>
    <row r="70781" hidden="1" x14ac:dyDescent="0.35"/>
    <row r="70782" hidden="1" x14ac:dyDescent="0.35"/>
    <row r="70783" hidden="1" x14ac:dyDescent="0.35"/>
    <row r="70784" hidden="1" x14ac:dyDescent="0.35"/>
    <row r="70785" hidden="1" x14ac:dyDescent="0.35"/>
    <row r="70786" hidden="1" x14ac:dyDescent="0.35"/>
    <row r="70787" hidden="1" x14ac:dyDescent="0.35"/>
    <row r="70788" hidden="1" x14ac:dyDescent="0.35"/>
    <row r="70789" hidden="1" x14ac:dyDescent="0.35"/>
    <row r="70790" hidden="1" x14ac:dyDescent="0.35"/>
    <row r="70791" hidden="1" x14ac:dyDescent="0.35"/>
    <row r="70792" hidden="1" x14ac:dyDescent="0.35"/>
    <row r="70793" hidden="1" x14ac:dyDescent="0.35"/>
    <row r="70794" hidden="1" x14ac:dyDescent="0.35"/>
    <row r="70795" hidden="1" x14ac:dyDescent="0.35"/>
    <row r="70796" hidden="1" x14ac:dyDescent="0.35"/>
    <row r="70797" hidden="1" x14ac:dyDescent="0.35"/>
    <row r="70798" hidden="1" x14ac:dyDescent="0.35"/>
    <row r="70799" hidden="1" x14ac:dyDescent="0.35"/>
    <row r="70800" hidden="1" x14ac:dyDescent="0.35"/>
    <row r="70801" hidden="1" x14ac:dyDescent="0.35"/>
    <row r="70802" hidden="1" x14ac:dyDescent="0.35"/>
    <row r="70803" hidden="1" x14ac:dyDescent="0.35"/>
    <row r="70804" hidden="1" x14ac:dyDescent="0.35"/>
    <row r="70805" hidden="1" x14ac:dyDescent="0.35"/>
    <row r="70806" hidden="1" x14ac:dyDescent="0.35"/>
    <row r="70807" hidden="1" x14ac:dyDescent="0.35"/>
    <row r="70808" hidden="1" x14ac:dyDescent="0.35"/>
    <row r="70809" hidden="1" x14ac:dyDescent="0.35"/>
    <row r="70810" hidden="1" x14ac:dyDescent="0.35"/>
    <row r="70811" hidden="1" x14ac:dyDescent="0.35"/>
    <row r="70812" hidden="1" x14ac:dyDescent="0.35"/>
    <row r="70813" hidden="1" x14ac:dyDescent="0.35"/>
    <row r="70814" hidden="1" x14ac:dyDescent="0.35"/>
    <row r="70815" hidden="1" x14ac:dyDescent="0.35"/>
    <row r="70816" hidden="1" x14ac:dyDescent="0.35"/>
    <row r="70817" hidden="1" x14ac:dyDescent="0.35"/>
    <row r="70818" hidden="1" x14ac:dyDescent="0.35"/>
    <row r="70819" hidden="1" x14ac:dyDescent="0.35"/>
    <row r="70820" hidden="1" x14ac:dyDescent="0.35"/>
    <row r="70821" hidden="1" x14ac:dyDescent="0.35"/>
    <row r="70822" hidden="1" x14ac:dyDescent="0.35"/>
    <row r="70823" hidden="1" x14ac:dyDescent="0.35"/>
    <row r="70824" hidden="1" x14ac:dyDescent="0.35"/>
    <row r="70825" hidden="1" x14ac:dyDescent="0.35"/>
    <row r="70826" hidden="1" x14ac:dyDescent="0.35"/>
    <row r="70827" hidden="1" x14ac:dyDescent="0.35"/>
    <row r="70828" hidden="1" x14ac:dyDescent="0.35"/>
    <row r="70829" hidden="1" x14ac:dyDescent="0.35"/>
    <row r="70830" hidden="1" x14ac:dyDescent="0.35"/>
    <row r="70831" hidden="1" x14ac:dyDescent="0.35"/>
    <row r="70832" hidden="1" x14ac:dyDescent="0.35"/>
    <row r="70833" hidden="1" x14ac:dyDescent="0.35"/>
    <row r="70834" hidden="1" x14ac:dyDescent="0.35"/>
    <row r="70835" hidden="1" x14ac:dyDescent="0.35"/>
    <row r="70836" hidden="1" x14ac:dyDescent="0.35"/>
    <row r="70837" hidden="1" x14ac:dyDescent="0.35"/>
    <row r="70838" hidden="1" x14ac:dyDescent="0.35"/>
    <row r="70839" hidden="1" x14ac:dyDescent="0.35"/>
    <row r="70840" hidden="1" x14ac:dyDescent="0.35"/>
    <row r="70841" hidden="1" x14ac:dyDescent="0.35"/>
    <row r="70842" hidden="1" x14ac:dyDescent="0.35"/>
    <row r="70843" hidden="1" x14ac:dyDescent="0.35"/>
    <row r="70844" hidden="1" x14ac:dyDescent="0.35"/>
    <row r="70845" hidden="1" x14ac:dyDescent="0.35"/>
    <row r="70846" hidden="1" x14ac:dyDescent="0.35"/>
    <row r="70847" hidden="1" x14ac:dyDescent="0.35"/>
    <row r="70848" hidden="1" x14ac:dyDescent="0.35"/>
    <row r="70849" hidden="1" x14ac:dyDescent="0.35"/>
    <row r="70850" hidden="1" x14ac:dyDescent="0.35"/>
    <row r="70851" hidden="1" x14ac:dyDescent="0.35"/>
    <row r="70852" hidden="1" x14ac:dyDescent="0.35"/>
    <row r="70853" hidden="1" x14ac:dyDescent="0.35"/>
    <row r="70854" hidden="1" x14ac:dyDescent="0.35"/>
    <row r="70855" hidden="1" x14ac:dyDescent="0.35"/>
    <row r="70856" hidden="1" x14ac:dyDescent="0.35"/>
    <row r="70857" hidden="1" x14ac:dyDescent="0.35"/>
    <row r="70858" hidden="1" x14ac:dyDescent="0.35"/>
    <row r="70859" hidden="1" x14ac:dyDescent="0.35"/>
    <row r="70860" hidden="1" x14ac:dyDescent="0.35"/>
    <row r="70861" hidden="1" x14ac:dyDescent="0.35"/>
    <row r="70862" hidden="1" x14ac:dyDescent="0.35"/>
    <row r="70863" hidden="1" x14ac:dyDescent="0.35"/>
    <row r="70864" hidden="1" x14ac:dyDescent="0.35"/>
    <row r="70865" hidden="1" x14ac:dyDescent="0.35"/>
    <row r="70866" hidden="1" x14ac:dyDescent="0.35"/>
    <row r="70867" hidden="1" x14ac:dyDescent="0.35"/>
    <row r="70868" hidden="1" x14ac:dyDescent="0.35"/>
    <row r="70869" hidden="1" x14ac:dyDescent="0.35"/>
    <row r="70870" hidden="1" x14ac:dyDescent="0.35"/>
    <row r="70871" hidden="1" x14ac:dyDescent="0.35"/>
    <row r="70872" hidden="1" x14ac:dyDescent="0.35"/>
    <row r="70873" hidden="1" x14ac:dyDescent="0.35"/>
    <row r="70874" hidden="1" x14ac:dyDescent="0.35"/>
    <row r="70875" hidden="1" x14ac:dyDescent="0.35"/>
    <row r="70876" hidden="1" x14ac:dyDescent="0.35"/>
    <row r="70877" hidden="1" x14ac:dyDescent="0.35"/>
    <row r="70878" hidden="1" x14ac:dyDescent="0.35"/>
    <row r="70879" hidden="1" x14ac:dyDescent="0.35"/>
    <row r="70880" hidden="1" x14ac:dyDescent="0.35"/>
    <row r="70881" hidden="1" x14ac:dyDescent="0.35"/>
    <row r="70882" hidden="1" x14ac:dyDescent="0.35"/>
    <row r="70883" hidden="1" x14ac:dyDescent="0.35"/>
    <row r="70884" hidden="1" x14ac:dyDescent="0.35"/>
    <row r="70885" hidden="1" x14ac:dyDescent="0.35"/>
    <row r="70886" hidden="1" x14ac:dyDescent="0.35"/>
    <row r="70887" hidden="1" x14ac:dyDescent="0.35"/>
    <row r="70888" hidden="1" x14ac:dyDescent="0.35"/>
    <row r="70889" hidden="1" x14ac:dyDescent="0.35"/>
    <row r="70890" hidden="1" x14ac:dyDescent="0.35"/>
    <row r="70891" hidden="1" x14ac:dyDescent="0.35"/>
    <row r="70892" hidden="1" x14ac:dyDescent="0.35"/>
    <row r="70893" hidden="1" x14ac:dyDescent="0.35"/>
    <row r="70894" hidden="1" x14ac:dyDescent="0.35"/>
    <row r="70895" hidden="1" x14ac:dyDescent="0.35"/>
    <row r="70896" hidden="1" x14ac:dyDescent="0.35"/>
    <row r="70897" hidden="1" x14ac:dyDescent="0.35"/>
    <row r="70898" hidden="1" x14ac:dyDescent="0.35"/>
    <row r="70899" hidden="1" x14ac:dyDescent="0.35"/>
    <row r="70900" hidden="1" x14ac:dyDescent="0.35"/>
    <row r="70901" hidden="1" x14ac:dyDescent="0.35"/>
    <row r="70902" hidden="1" x14ac:dyDescent="0.35"/>
    <row r="70903" hidden="1" x14ac:dyDescent="0.35"/>
    <row r="70904" hidden="1" x14ac:dyDescent="0.35"/>
    <row r="70905" hidden="1" x14ac:dyDescent="0.35"/>
    <row r="70906" hidden="1" x14ac:dyDescent="0.35"/>
    <row r="70907" hidden="1" x14ac:dyDescent="0.35"/>
    <row r="70908" hidden="1" x14ac:dyDescent="0.35"/>
    <row r="70909" hidden="1" x14ac:dyDescent="0.35"/>
    <row r="70910" hidden="1" x14ac:dyDescent="0.35"/>
    <row r="70911" hidden="1" x14ac:dyDescent="0.35"/>
    <row r="70912" hidden="1" x14ac:dyDescent="0.35"/>
    <row r="70913" hidden="1" x14ac:dyDescent="0.35"/>
    <row r="70914" hidden="1" x14ac:dyDescent="0.35"/>
    <row r="70915" hidden="1" x14ac:dyDescent="0.35"/>
    <row r="70916" hidden="1" x14ac:dyDescent="0.35"/>
    <row r="70917" hidden="1" x14ac:dyDescent="0.35"/>
    <row r="70918" hidden="1" x14ac:dyDescent="0.35"/>
    <row r="70919" hidden="1" x14ac:dyDescent="0.35"/>
    <row r="70920" hidden="1" x14ac:dyDescent="0.35"/>
    <row r="70921" hidden="1" x14ac:dyDescent="0.35"/>
    <row r="70922" hidden="1" x14ac:dyDescent="0.35"/>
    <row r="70923" hidden="1" x14ac:dyDescent="0.35"/>
    <row r="70924" hidden="1" x14ac:dyDescent="0.35"/>
    <row r="70925" hidden="1" x14ac:dyDescent="0.35"/>
    <row r="70926" hidden="1" x14ac:dyDescent="0.35"/>
    <row r="70927" hidden="1" x14ac:dyDescent="0.35"/>
    <row r="70928" hidden="1" x14ac:dyDescent="0.35"/>
    <row r="70929" hidden="1" x14ac:dyDescent="0.35"/>
    <row r="70930" hidden="1" x14ac:dyDescent="0.35"/>
    <row r="70931" hidden="1" x14ac:dyDescent="0.35"/>
    <row r="70932" hidden="1" x14ac:dyDescent="0.35"/>
    <row r="70933" hidden="1" x14ac:dyDescent="0.35"/>
    <row r="70934" hidden="1" x14ac:dyDescent="0.35"/>
    <row r="70935" hidden="1" x14ac:dyDescent="0.35"/>
    <row r="70936" hidden="1" x14ac:dyDescent="0.35"/>
    <row r="70937" hidden="1" x14ac:dyDescent="0.35"/>
    <row r="70938" hidden="1" x14ac:dyDescent="0.35"/>
    <row r="70939" hidden="1" x14ac:dyDescent="0.35"/>
    <row r="70940" hidden="1" x14ac:dyDescent="0.35"/>
    <row r="70941" hidden="1" x14ac:dyDescent="0.35"/>
    <row r="70942" hidden="1" x14ac:dyDescent="0.35"/>
    <row r="70943" hidden="1" x14ac:dyDescent="0.35"/>
    <row r="70944" hidden="1" x14ac:dyDescent="0.35"/>
    <row r="70945" hidden="1" x14ac:dyDescent="0.35"/>
    <row r="70946" hidden="1" x14ac:dyDescent="0.35"/>
    <row r="70947" hidden="1" x14ac:dyDescent="0.35"/>
    <row r="70948" hidden="1" x14ac:dyDescent="0.35"/>
    <row r="70949" hidden="1" x14ac:dyDescent="0.35"/>
    <row r="70950" hidden="1" x14ac:dyDescent="0.35"/>
    <row r="70951" hidden="1" x14ac:dyDescent="0.35"/>
    <row r="70952" hidden="1" x14ac:dyDescent="0.35"/>
    <row r="70953" hidden="1" x14ac:dyDescent="0.35"/>
    <row r="70954" hidden="1" x14ac:dyDescent="0.35"/>
    <row r="70955" hidden="1" x14ac:dyDescent="0.35"/>
    <row r="70956" hidden="1" x14ac:dyDescent="0.35"/>
    <row r="70957" hidden="1" x14ac:dyDescent="0.35"/>
    <row r="70958" hidden="1" x14ac:dyDescent="0.35"/>
    <row r="70959" hidden="1" x14ac:dyDescent="0.35"/>
    <row r="70960" hidden="1" x14ac:dyDescent="0.35"/>
    <row r="70961" hidden="1" x14ac:dyDescent="0.35"/>
    <row r="70962" hidden="1" x14ac:dyDescent="0.35"/>
    <row r="70963" hidden="1" x14ac:dyDescent="0.35"/>
    <row r="70964" hidden="1" x14ac:dyDescent="0.35"/>
    <row r="70965" hidden="1" x14ac:dyDescent="0.35"/>
    <row r="70966" hidden="1" x14ac:dyDescent="0.35"/>
    <row r="70967" hidden="1" x14ac:dyDescent="0.35"/>
    <row r="70968" hidden="1" x14ac:dyDescent="0.35"/>
    <row r="70969" hidden="1" x14ac:dyDescent="0.35"/>
    <row r="70970" hidden="1" x14ac:dyDescent="0.35"/>
    <row r="70971" hidden="1" x14ac:dyDescent="0.35"/>
    <row r="70972" hidden="1" x14ac:dyDescent="0.35"/>
    <row r="70973" hidden="1" x14ac:dyDescent="0.35"/>
    <row r="70974" hidden="1" x14ac:dyDescent="0.35"/>
    <row r="70975" hidden="1" x14ac:dyDescent="0.35"/>
    <row r="70976" hidden="1" x14ac:dyDescent="0.35"/>
    <row r="70977" hidden="1" x14ac:dyDescent="0.35"/>
    <row r="70978" hidden="1" x14ac:dyDescent="0.35"/>
    <row r="70979" hidden="1" x14ac:dyDescent="0.35"/>
    <row r="70980" hidden="1" x14ac:dyDescent="0.35"/>
    <row r="70981" hidden="1" x14ac:dyDescent="0.35"/>
    <row r="70982" hidden="1" x14ac:dyDescent="0.35"/>
    <row r="70983" hidden="1" x14ac:dyDescent="0.35"/>
    <row r="70984" hidden="1" x14ac:dyDescent="0.35"/>
    <row r="70985" hidden="1" x14ac:dyDescent="0.35"/>
    <row r="70986" hidden="1" x14ac:dyDescent="0.35"/>
    <row r="70987" hidden="1" x14ac:dyDescent="0.35"/>
    <row r="70988" hidden="1" x14ac:dyDescent="0.35"/>
    <row r="70989" hidden="1" x14ac:dyDescent="0.35"/>
    <row r="70990" hidden="1" x14ac:dyDescent="0.35"/>
    <row r="70991" hidden="1" x14ac:dyDescent="0.35"/>
    <row r="70992" hidden="1" x14ac:dyDescent="0.35"/>
    <row r="70993" hidden="1" x14ac:dyDescent="0.35"/>
    <row r="70994" hidden="1" x14ac:dyDescent="0.35"/>
    <row r="70995" hidden="1" x14ac:dyDescent="0.35"/>
    <row r="70996" hidden="1" x14ac:dyDescent="0.35"/>
    <row r="70997" hidden="1" x14ac:dyDescent="0.35"/>
    <row r="70998" hidden="1" x14ac:dyDescent="0.35"/>
    <row r="70999" hidden="1" x14ac:dyDescent="0.35"/>
    <row r="71000" hidden="1" x14ac:dyDescent="0.35"/>
    <row r="71001" hidden="1" x14ac:dyDescent="0.35"/>
    <row r="71002" hidden="1" x14ac:dyDescent="0.35"/>
    <row r="71003" hidden="1" x14ac:dyDescent="0.35"/>
    <row r="71004" hidden="1" x14ac:dyDescent="0.35"/>
    <row r="71005" hidden="1" x14ac:dyDescent="0.35"/>
    <row r="71006" hidden="1" x14ac:dyDescent="0.35"/>
    <row r="71007" hidden="1" x14ac:dyDescent="0.35"/>
    <row r="71008" hidden="1" x14ac:dyDescent="0.35"/>
    <row r="71009" hidden="1" x14ac:dyDescent="0.35"/>
    <row r="71010" hidden="1" x14ac:dyDescent="0.35"/>
    <row r="71011" hidden="1" x14ac:dyDescent="0.35"/>
    <row r="71012" hidden="1" x14ac:dyDescent="0.35"/>
    <row r="71013" hidden="1" x14ac:dyDescent="0.35"/>
    <row r="71014" hidden="1" x14ac:dyDescent="0.35"/>
    <row r="71015" hidden="1" x14ac:dyDescent="0.35"/>
    <row r="71016" hidden="1" x14ac:dyDescent="0.35"/>
    <row r="71017" hidden="1" x14ac:dyDescent="0.35"/>
    <row r="71018" hidden="1" x14ac:dyDescent="0.35"/>
    <row r="71019" hidden="1" x14ac:dyDescent="0.35"/>
    <row r="71020" hidden="1" x14ac:dyDescent="0.35"/>
    <row r="71021" hidden="1" x14ac:dyDescent="0.35"/>
    <row r="71022" hidden="1" x14ac:dyDescent="0.35"/>
    <row r="71023" hidden="1" x14ac:dyDescent="0.35"/>
    <row r="71024" hidden="1" x14ac:dyDescent="0.35"/>
    <row r="71025" hidden="1" x14ac:dyDescent="0.35"/>
    <row r="71026" hidden="1" x14ac:dyDescent="0.35"/>
    <row r="71027" hidden="1" x14ac:dyDescent="0.35"/>
    <row r="71028" hidden="1" x14ac:dyDescent="0.35"/>
    <row r="71029" hidden="1" x14ac:dyDescent="0.35"/>
    <row r="71030" hidden="1" x14ac:dyDescent="0.35"/>
    <row r="71031" hidden="1" x14ac:dyDescent="0.35"/>
    <row r="71032" hidden="1" x14ac:dyDescent="0.35"/>
    <row r="71033" hidden="1" x14ac:dyDescent="0.35"/>
    <row r="71034" hidden="1" x14ac:dyDescent="0.35"/>
    <row r="71035" hidden="1" x14ac:dyDescent="0.35"/>
    <row r="71036" hidden="1" x14ac:dyDescent="0.35"/>
    <row r="71037" hidden="1" x14ac:dyDescent="0.35"/>
    <row r="71038" hidden="1" x14ac:dyDescent="0.35"/>
    <row r="71039" hidden="1" x14ac:dyDescent="0.35"/>
    <row r="71040" hidden="1" x14ac:dyDescent="0.35"/>
    <row r="71041" hidden="1" x14ac:dyDescent="0.35"/>
    <row r="71042" hidden="1" x14ac:dyDescent="0.35"/>
    <row r="71043" hidden="1" x14ac:dyDescent="0.35"/>
    <row r="71044" hidden="1" x14ac:dyDescent="0.35"/>
    <row r="71045" hidden="1" x14ac:dyDescent="0.35"/>
    <row r="71046" hidden="1" x14ac:dyDescent="0.35"/>
    <row r="71047" hidden="1" x14ac:dyDescent="0.35"/>
    <row r="71048" hidden="1" x14ac:dyDescent="0.35"/>
    <row r="71049" hidden="1" x14ac:dyDescent="0.35"/>
    <row r="71050" hidden="1" x14ac:dyDescent="0.35"/>
    <row r="71051" hidden="1" x14ac:dyDescent="0.35"/>
    <row r="71052" hidden="1" x14ac:dyDescent="0.35"/>
    <row r="71053" hidden="1" x14ac:dyDescent="0.35"/>
    <row r="71054" hidden="1" x14ac:dyDescent="0.35"/>
    <row r="71055" hidden="1" x14ac:dyDescent="0.35"/>
    <row r="71056" hidden="1" x14ac:dyDescent="0.35"/>
    <row r="71057" hidden="1" x14ac:dyDescent="0.35"/>
    <row r="71058" hidden="1" x14ac:dyDescent="0.35"/>
    <row r="71059" hidden="1" x14ac:dyDescent="0.35"/>
    <row r="71060" hidden="1" x14ac:dyDescent="0.35"/>
    <row r="71061" hidden="1" x14ac:dyDescent="0.35"/>
    <row r="71062" hidden="1" x14ac:dyDescent="0.35"/>
    <row r="71063" hidden="1" x14ac:dyDescent="0.35"/>
    <row r="71064" hidden="1" x14ac:dyDescent="0.35"/>
    <row r="71065" hidden="1" x14ac:dyDescent="0.35"/>
    <row r="71066" hidden="1" x14ac:dyDescent="0.35"/>
    <row r="71067" hidden="1" x14ac:dyDescent="0.35"/>
    <row r="71068" hidden="1" x14ac:dyDescent="0.35"/>
    <row r="71069" hidden="1" x14ac:dyDescent="0.35"/>
    <row r="71070" hidden="1" x14ac:dyDescent="0.35"/>
    <row r="71071" hidden="1" x14ac:dyDescent="0.35"/>
    <row r="71072" hidden="1" x14ac:dyDescent="0.35"/>
    <row r="71073" hidden="1" x14ac:dyDescent="0.35"/>
    <row r="71074" hidden="1" x14ac:dyDescent="0.35"/>
    <row r="71075" hidden="1" x14ac:dyDescent="0.35"/>
    <row r="71076" hidden="1" x14ac:dyDescent="0.35"/>
    <row r="71077" hidden="1" x14ac:dyDescent="0.35"/>
    <row r="71078" hidden="1" x14ac:dyDescent="0.35"/>
    <row r="71079" hidden="1" x14ac:dyDescent="0.35"/>
    <row r="71080" hidden="1" x14ac:dyDescent="0.35"/>
    <row r="71081" hidden="1" x14ac:dyDescent="0.35"/>
    <row r="71082" hidden="1" x14ac:dyDescent="0.35"/>
    <row r="71083" hidden="1" x14ac:dyDescent="0.35"/>
    <row r="71084" hidden="1" x14ac:dyDescent="0.35"/>
    <row r="71085" hidden="1" x14ac:dyDescent="0.35"/>
    <row r="71086" hidden="1" x14ac:dyDescent="0.35"/>
    <row r="71087" hidden="1" x14ac:dyDescent="0.35"/>
    <row r="71088" hidden="1" x14ac:dyDescent="0.35"/>
    <row r="71089" hidden="1" x14ac:dyDescent="0.35"/>
    <row r="71090" hidden="1" x14ac:dyDescent="0.35"/>
    <row r="71091" hidden="1" x14ac:dyDescent="0.35"/>
    <row r="71092" hidden="1" x14ac:dyDescent="0.35"/>
    <row r="71093" hidden="1" x14ac:dyDescent="0.35"/>
    <row r="71094" hidden="1" x14ac:dyDescent="0.35"/>
    <row r="71095" hidden="1" x14ac:dyDescent="0.35"/>
    <row r="71096" hidden="1" x14ac:dyDescent="0.35"/>
    <row r="71097" hidden="1" x14ac:dyDescent="0.35"/>
    <row r="71098" hidden="1" x14ac:dyDescent="0.35"/>
    <row r="71099" hidden="1" x14ac:dyDescent="0.35"/>
    <row r="71100" hidden="1" x14ac:dyDescent="0.35"/>
    <row r="71101" hidden="1" x14ac:dyDescent="0.35"/>
    <row r="71102" hidden="1" x14ac:dyDescent="0.35"/>
    <row r="71103" hidden="1" x14ac:dyDescent="0.35"/>
    <row r="71104" hidden="1" x14ac:dyDescent="0.35"/>
    <row r="71105" hidden="1" x14ac:dyDescent="0.35"/>
    <row r="71106" hidden="1" x14ac:dyDescent="0.35"/>
    <row r="71107" hidden="1" x14ac:dyDescent="0.35"/>
    <row r="71108" hidden="1" x14ac:dyDescent="0.35"/>
    <row r="71109" hidden="1" x14ac:dyDescent="0.35"/>
    <row r="71110" hidden="1" x14ac:dyDescent="0.35"/>
    <row r="71111" hidden="1" x14ac:dyDescent="0.35"/>
    <row r="71112" hidden="1" x14ac:dyDescent="0.35"/>
    <row r="71113" hidden="1" x14ac:dyDescent="0.35"/>
    <row r="71114" hidden="1" x14ac:dyDescent="0.35"/>
    <row r="71115" hidden="1" x14ac:dyDescent="0.35"/>
    <row r="71116" hidden="1" x14ac:dyDescent="0.35"/>
    <row r="71117" hidden="1" x14ac:dyDescent="0.35"/>
    <row r="71118" hidden="1" x14ac:dyDescent="0.35"/>
    <row r="71119" hidden="1" x14ac:dyDescent="0.35"/>
    <row r="71120" hidden="1" x14ac:dyDescent="0.35"/>
    <row r="71121" hidden="1" x14ac:dyDescent="0.35"/>
    <row r="71122" hidden="1" x14ac:dyDescent="0.35"/>
    <row r="71123" hidden="1" x14ac:dyDescent="0.35"/>
    <row r="71124" hidden="1" x14ac:dyDescent="0.35"/>
    <row r="71125" hidden="1" x14ac:dyDescent="0.35"/>
    <row r="71126" hidden="1" x14ac:dyDescent="0.35"/>
    <row r="71127" hidden="1" x14ac:dyDescent="0.35"/>
    <row r="71128" hidden="1" x14ac:dyDescent="0.35"/>
    <row r="71129" hidden="1" x14ac:dyDescent="0.35"/>
    <row r="71130" hidden="1" x14ac:dyDescent="0.35"/>
    <row r="71131" hidden="1" x14ac:dyDescent="0.35"/>
    <row r="71132" hidden="1" x14ac:dyDescent="0.35"/>
    <row r="71133" hidden="1" x14ac:dyDescent="0.35"/>
    <row r="71134" hidden="1" x14ac:dyDescent="0.35"/>
    <row r="71135" hidden="1" x14ac:dyDescent="0.35"/>
    <row r="71136" hidden="1" x14ac:dyDescent="0.35"/>
    <row r="71137" hidden="1" x14ac:dyDescent="0.35"/>
    <row r="71138" hidden="1" x14ac:dyDescent="0.35"/>
    <row r="71139" hidden="1" x14ac:dyDescent="0.35"/>
    <row r="71140" hidden="1" x14ac:dyDescent="0.35"/>
    <row r="71141" hidden="1" x14ac:dyDescent="0.35"/>
    <row r="71142" hidden="1" x14ac:dyDescent="0.35"/>
    <row r="71143" hidden="1" x14ac:dyDescent="0.35"/>
    <row r="71144" hidden="1" x14ac:dyDescent="0.35"/>
    <row r="71145" hidden="1" x14ac:dyDescent="0.35"/>
    <row r="71146" hidden="1" x14ac:dyDescent="0.35"/>
    <row r="71147" hidden="1" x14ac:dyDescent="0.35"/>
    <row r="71148" hidden="1" x14ac:dyDescent="0.35"/>
    <row r="71149" hidden="1" x14ac:dyDescent="0.35"/>
    <row r="71150" hidden="1" x14ac:dyDescent="0.35"/>
    <row r="71151" hidden="1" x14ac:dyDescent="0.35"/>
    <row r="71152" hidden="1" x14ac:dyDescent="0.35"/>
    <row r="71153" hidden="1" x14ac:dyDescent="0.35"/>
    <row r="71154" hidden="1" x14ac:dyDescent="0.35"/>
    <row r="71155" hidden="1" x14ac:dyDescent="0.35"/>
    <row r="71156" hidden="1" x14ac:dyDescent="0.35"/>
    <row r="71157" hidden="1" x14ac:dyDescent="0.35"/>
    <row r="71158" hidden="1" x14ac:dyDescent="0.35"/>
    <row r="71159" hidden="1" x14ac:dyDescent="0.35"/>
    <row r="71160" hidden="1" x14ac:dyDescent="0.35"/>
    <row r="71161" hidden="1" x14ac:dyDescent="0.35"/>
    <row r="71162" hidden="1" x14ac:dyDescent="0.35"/>
    <row r="71163" hidden="1" x14ac:dyDescent="0.35"/>
    <row r="71164" hidden="1" x14ac:dyDescent="0.35"/>
    <row r="71165" hidden="1" x14ac:dyDescent="0.35"/>
    <row r="71166" hidden="1" x14ac:dyDescent="0.35"/>
    <row r="71167" hidden="1" x14ac:dyDescent="0.35"/>
    <row r="71168" hidden="1" x14ac:dyDescent="0.35"/>
    <row r="71169" hidden="1" x14ac:dyDescent="0.35"/>
    <row r="71170" hidden="1" x14ac:dyDescent="0.35"/>
    <row r="71171" hidden="1" x14ac:dyDescent="0.35"/>
    <row r="71172" hidden="1" x14ac:dyDescent="0.35"/>
    <row r="71173" hidden="1" x14ac:dyDescent="0.35"/>
    <row r="71174" hidden="1" x14ac:dyDescent="0.35"/>
    <row r="71175" hidden="1" x14ac:dyDescent="0.35"/>
    <row r="71176" hidden="1" x14ac:dyDescent="0.35"/>
    <row r="71177" hidden="1" x14ac:dyDescent="0.35"/>
    <row r="71178" hidden="1" x14ac:dyDescent="0.35"/>
    <row r="71179" hidden="1" x14ac:dyDescent="0.35"/>
    <row r="71180" hidden="1" x14ac:dyDescent="0.35"/>
    <row r="71181" hidden="1" x14ac:dyDescent="0.35"/>
    <row r="71182" hidden="1" x14ac:dyDescent="0.35"/>
    <row r="71183" hidden="1" x14ac:dyDescent="0.35"/>
    <row r="71184" hidden="1" x14ac:dyDescent="0.35"/>
    <row r="71185" hidden="1" x14ac:dyDescent="0.35"/>
    <row r="71186" hidden="1" x14ac:dyDescent="0.35"/>
    <row r="71187" hidden="1" x14ac:dyDescent="0.35"/>
    <row r="71188" hidden="1" x14ac:dyDescent="0.35"/>
    <row r="71189" hidden="1" x14ac:dyDescent="0.35"/>
    <row r="71190" hidden="1" x14ac:dyDescent="0.35"/>
    <row r="71191" hidden="1" x14ac:dyDescent="0.35"/>
    <row r="71192" hidden="1" x14ac:dyDescent="0.35"/>
    <row r="71193" hidden="1" x14ac:dyDescent="0.35"/>
    <row r="71194" hidden="1" x14ac:dyDescent="0.35"/>
    <row r="71195" hidden="1" x14ac:dyDescent="0.35"/>
    <row r="71196" hidden="1" x14ac:dyDescent="0.35"/>
    <row r="71197" hidden="1" x14ac:dyDescent="0.35"/>
    <row r="71198" hidden="1" x14ac:dyDescent="0.35"/>
    <row r="71199" hidden="1" x14ac:dyDescent="0.35"/>
    <row r="71200" hidden="1" x14ac:dyDescent="0.35"/>
    <row r="71201" hidden="1" x14ac:dyDescent="0.35"/>
    <row r="71202" hidden="1" x14ac:dyDescent="0.35"/>
    <row r="71203" hidden="1" x14ac:dyDescent="0.35"/>
    <row r="71204" hidden="1" x14ac:dyDescent="0.35"/>
    <row r="71205" hidden="1" x14ac:dyDescent="0.35"/>
    <row r="71206" hidden="1" x14ac:dyDescent="0.35"/>
    <row r="71207" hidden="1" x14ac:dyDescent="0.35"/>
    <row r="71208" hidden="1" x14ac:dyDescent="0.35"/>
    <row r="71209" hidden="1" x14ac:dyDescent="0.35"/>
    <row r="71210" hidden="1" x14ac:dyDescent="0.35"/>
    <row r="71211" hidden="1" x14ac:dyDescent="0.35"/>
    <row r="71212" hidden="1" x14ac:dyDescent="0.35"/>
    <row r="71213" hidden="1" x14ac:dyDescent="0.35"/>
    <row r="71214" hidden="1" x14ac:dyDescent="0.35"/>
    <row r="71215" hidden="1" x14ac:dyDescent="0.35"/>
    <row r="71216" hidden="1" x14ac:dyDescent="0.35"/>
    <row r="71217" hidden="1" x14ac:dyDescent="0.35"/>
    <row r="71218" hidden="1" x14ac:dyDescent="0.35"/>
    <row r="71219" hidden="1" x14ac:dyDescent="0.35"/>
    <row r="71220" hidden="1" x14ac:dyDescent="0.35"/>
    <row r="71221" hidden="1" x14ac:dyDescent="0.35"/>
    <row r="71222" hidden="1" x14ac:dyDescent="0.35"/>
    <row r="71223" hidden="1" x14ac:dyDescent="0.35"/>
    <row r="71224" hidden="1" x14ac:dyDescent="0.35"/>
    <row r="71225" hidden="1" x14ac:dyDescent="0.35"/>
    <row r="71226" hidden="1" x14ac:dyDescent="0.35"/>
    <row r="71227" hidden="1" x14ac:dyDescent="0.35"/>
    <row r="71228" hidden="1" x14ac:dyDescent="0.35"/>
    <row r="71229" hidden="1" x14ac:dyDescent="0.35"/>
    <row r="71230" hidden="1" x14ac:dyDescent="0.35"/>
    <row r="71231" hidden="1" x14ac:dyDescent="0.35"/>
    <row r="71232" hidden="1" x14ac:dyDescent="0.35"/>
    <row r="71233" hidden="1" x14ac:dyDescent="0.35"/>
    <row r="71234" hidden="1" x14ac:dyDescent="0.35"/>
    <row r="71235" hidden="1" x14ac:dyDescent="0.35"/>
    <row r="71236" hidden="1" x14ac:dyDescent="0.35"/>
    <row r="71237" hidden="1" x14ac:dyDescent="0.35"/>
    <row r="71238" hidden="1" x14ac:dyDescent="0.35"/>
    <row r="71239" hidden="1" x14ac:dyDescent="0.35"/>
    <row r="71240" hidden="1" x14ac:dyDescent="0.35"/>
    <row r="71241" hidden="1" x14ac:dyDescent="0.35"/>
    <row r="71242" hidden="1" x14ac:dyDescent="0.35"/>
    <row r="71243" hidden="1" x14ac:dyDescent="0.35"/>
    <row r="71244" hidden="1" x14ac:dyDescent="0.35"/>
    <row r="71245" hidden="1" x14ac:dyDescent="0.35"/>
    <row r="71246" hidden="1" x14ac:dyDescent="0.35"/>
    <row r="71247" hidden="1" x14ac:dyDescent="0.35"/>
    <row r="71248" hidden="1" x14ac:dyDescent="0.35"/>
    <row r="71249" hidden="1" x14ac:dyDescent="0.35"/>
    <row r="71250" hidden="1" x14ac:dyDescent="0.35"/>
    <row r="71251" hidden="1" x14ac:dyDescent="0.35"/>
    <row r="71252" hidden="1" x14ac:dyDescent="0.35"/>
    <row r="71253" hidden="1" x14ac:dyDescent="0.35"/>
    <row r="71254" hidden="1" x14ac:dyDescent="0.35"/>
    <row r="71255" hidden="1" x14ac:dyDescent="0.35"/>
    <row r="71256" hidden="1" x14ac:dyDescent="0.35"/>
    <row r="71257" hidden="1" x14ac:dyDescent="0.35"/>
    <row r="71258" hidden="1" x14ac:dyDescent="0.35"/>
    <row r="71259" hidden="1" x14ac:dyDescent="0.35"/>
    <row r="71260" hidden="1" x14ac:dyDescent="0.35"/>
    <row r="71261" hidden="1" x14ac:dyDescent="0.35"/>
    <row r="71262" hidden="1" x14ac:dyDescent="0.35"/>
    <row r="71263" hidden="1" x14ac:dyDescent="0.35"/>
    <row r="71264" hidden="1" x14ac:dyDescent="0.35"/>
    <row r="71265" hidden="1" x14ac:dyDescent="0.35"/>
    <row r="71266" hidden="1" x14ac:dyDescent="0.35"/>
    <row r="71267" hidden="1" x14ac:dyDescent="0.35"/>
    <row r="71268" hidden="1" x14ac:dyDescent="0.35"/>
    <row r="71269" hidden="1" x14ac:dyDescent="0.35"/>
    <row r="71270" hidden="1" x14ac:dyDescent="0.35"/>
    <row r="71271" hidden="1" x14ac:dyDescent="0.35"/>
    <row r="71272" hidden="1" x14ac:dyDescent="0.35"/>
    <row r="71273" hidden="1" x14ac:dyDescent="0.35"/>
    <row r="71274" hidden="1" x14ac:dyDescent="0.35"/>
    <row r="71275" hidden="1" x14ac:dyDescent="0.35"/>
    <row r="71276" hidden="1" x14ac:dyDescent="0.35"/>
    <row r="71277" hidden="1" x14ac:dyDescent="0.35"/>
    <row r="71278" hidden="1" x14ac:dyDescent="0.35"/>
    <row r="71279" hidden="1" x14ac:dyDescent="0.35"/>
    <row r="71280" hidden="1" x14ac:dyDescent="0.35"/>
    <row r="71281" hidden="1" x14ac:dyDescent="0.35"/>
    <row r="71282" hidden="1" x14ac:dyDescent="0.35"/>
    <row r="71283" hidden="1" x14ac:dyDescent="0.35"/>
    <row r="71284" hidden="1" x14ac:dyDescent="0.35"/>
    <row r="71285" hidden="1" x14ac:dyDescent="0.35"/>
    <row r="71286" hidden="1" x14ac:dyDescent="0.35"/>
    <row r="71287" hidden="1" x14ac:dyDescent="0.35"/>
    <row r="71288" hidden="1" x14ac:dyDescent="0.35"/>
    <row r="71289" hidden="1" x14ac:dyDescent="0.35"/>
    <row r="71290" hidden="1" x14ac:dyDescent="0.35"/>
    <row r="71291" hidden="1" x14ac:dyDescent="0.35"/>
    <row r="71292" hidden="1" x14ac:dyDescent="0.35"/>
    <row r="71293" hidden="1" x14ac:dyDescent="0.35"/>
    <row r="71294" hidden="1" x14ac:dyDescent="0.35"/>
    <row r="71295" hidden="1" x14ac:dyDescent="0.35"/>
    <row r="71296" hidden="1" x14ac:dyDescent="0.35"/>
    <row r="71297" hidden="1" x14ac:dyDescent="0.35"/>
    <row r="71298" hidden="1" x14ac:dyDescent="0.35"/>
    <row r="71299" hidden="1" x14ac:dyDescent="0.35"/>
    <row r="71300" hidden="1" x14ac:dyDescent="0.35"/>
    <row r="71301" hidden="1" x14ac:dyDescent="0.35"/>
    <row r="71302" hidden="1" x14ac:dyDescent="0.35"/>
    <row r="71303" hidden="1" x14ac:dyDescent="0.35"/>
    <row r="71304" hidden="1" x14ac:dyDescent="0.35"/>
    <row r="71305" hidden="1" x14ac:dyDescent="0.35"/>
    <row r="71306" hidden="1" x14ac:dyDescent="0.35"/>
    <row r="71307" hidden="1" x14ac:dyDescent="0.35"/>
    <row r="71308" hidden="1" x14ac:dyDescent="0.35"/>
    <row r="71309" hidden="1" x14ac:dyDescent="0.35"/>
    <row r="71310" hidden="1" x14ac:dyDescent="0.35"/>
    <row r="71311" hidden="1" x14ac:dyDescent="0.35"/>
    <row r="71312" hidden="1" x14ac:dyDescent="0.35"/>
    <row r="71313" hidden="1" x14ac:dyDescent="0.35"/>
    <row r="71314" hidden="1" x14ac:dyDescent="0.35"/>
    <row r="71315" hidden="1" x14ac:dyDescent="0.35"/>
    <row r="71316" hidden="1" x14ac:dyDescent="0.35"/>
    <row r="71317" hidden="1" x14ac:dyDescent="0.35"/>
    <row r="71318" hidden="1" x14ac:dyDescent="0.35"/>
    <row r="71319" hidden="1" x14ac:dyDescent="0.35"/>
    <row r="71320" hidden="1" x14ac:dyDescent="0.35"/>
    <row r="71321" hidden="1" x14ac:dyDescent="0.35"/>
    <row r="71322" hidden="1" x14ac:dyDescent="0.35"/>
    <row r="71323" hidden="1" x14ac:dyDescent="0.35"/>
    <row r="71324" hidden="1" x14ac:dyDescent="0.35"/>
    <row r="71325" hidden="1" x14ac:dyDescent="0.35"/>
    <row r="71326" hidden="1" x14ac:dyDescent="0.35"/>
    <row r="71327" hidden="1" x14ac:dyDescent="0.35"/>
    <row r="71328" hidden="1" x14ac:dyDescent="0.35"/>
    <row r="71329" hidden="1" x14ac:dyDescent="0.35"/>
    <row r="71330" hidden="1" x14ac:dyDescent="0.35"/>
    <row r="71331" hidden="1" x14ac:dyDescent="0.35"/>
    <row r="71332" hidden="1" x14ac:dyDescent="0.35"/>
    <row r="71333" hidden="1" x14ac:dyDescent="0.35"/>
    <row r="71334" hidden="1" x14ac:dyDescent="0.35"/>
    <row r="71335" hidden="1" x14ac:dyDescent="0.35"/>
    <row r="71336" hidden="1" x14ac:dyDescent="0.35"/>
    <row r="71337" hidden="1" x14ac:dyDescent="0.35"/>
    <row r="71338" hidden="1" x14ac:dyDescent="0.35"/>
    <row r="71339" hidden="1" x14ac:dyDescent="0.35"/>
    <row r="71340" hidden="1" x14ac:dyDescent="0.35"/>
    <row r="71341" hidden="1" x14ac:dyDescent="0.35"/>
    <row r="71342" hidden="1" x14ac:dyDescent="0.35"/>
    <row r="71343" hidden="1" x14ac:dyDescent="0.35"/>
    <row r="71344" hidden="1" x14ac:dyDescent="0.35"/>
    <row r="71345" hidden="1" x14ac:dyDescent="0.35"/>
    <row r="71346" hidden="1" x14ac:dyDescent="0.35"/>
    <row r="71347" hidden="1" x14ac:dyDescent="0.35"/>
    <row r="71348" hidden="1" x14ac:dyDescent="0.35"/>
    <row r="71349" hidden="1" x14ac:dyDescent="0.35"/>
    <row r="71350" hidden="1" x14ac:dyDescent="0.35"/>
    <row r="71351" hidden="1" x14ac:dyDescent="0.35"/>
    <row r="71352" hidden="1" x14ac:dyDescent="0.35"/>
    <row r="71353" hidden="1" x14ac:dyDescent="0.35"/>
    <row r="71354" hidden="1" x14ac:dyDescent="0.35"/>
    <row r="71355" hidden="1" x14ac:dyDescent="0.35"/>
    <row r="71356" hidden="1" x14ac:dyDescent="0.35"/>
    <row r="71357" hidden="1" x14ac:dyDescent="0.35"/>
    <row r="71358" hidden="1" x14ac:dyDescent="0.35"/>
    <row r="71359" hidden="1" x14ac:dyDescent="0.35"/>
    <row r="71360" hidden="1" x14ac:dyDescent="0.35"/>
    <row r="71361" hidden="1" x14ac:dyDescent="0.35"/>
    <row r="71362" hidden="1" x14ac:dyDescent="0.35"/>
    <row r="71363" hidden="1" x14ac:dyDescent="0.35"/>
    <row r="71364" hidden="1" x14ac:dyDescent="0.35"/>
    <row r="71365" hidden="1" x14ac:dyDescent="0.35"/>
    <row r="71366" hidden="1" x14ac:dyDescent="0.35"/>
    <row r="71367" hidden="1" x14ac:dyDescent="0.35"/>
    <row r="71368" hidden="1" x14ac:dyDescent="0.35"/>
    <row r="71369" hidden="1" x14ac:dyDescent="0.35"/>
    <row r="71370" hidden="1" x14ac:dyDescent="0.35"/>
    <row r="71371" hidden="1" x14ac:dyDescent="0.35"/>
    <row r="71372" hidden="1" x14ac:dyDescent="0.35"/>
    <row r="71373" hidden="1" x14ac:dyDescent="0.35"/>
    <row r="71374" hidden="1" x14ac:dyDescent="0.35"/>
    <row r="71375" hidden="1" x14ac:dyDescent="0.35"/>
    <row r="71376" hidden="1" x14ac:dyDescent="0.35"/>
    <row r="71377" hidden="1" x14ac:dyDescent="0.35"/>
    <row r="71378" hidden="1" x14ac:dyDescent="0.35"/>
    <row r="71379" hidden="1" x14ac:dyDescent="0.35"/>
    <row r="71380" hidden="1" x14ac:dyDescent="0.35"/>
    <row r="71381" hidden="1" x14ac:dyDescent="0.35"/>
    <row r="71382" hidden="1" x14ac:dyDescent="0.35"/>
    <row r="71383" hidden="1" x14ac:dyDescent="0.35"/>
    <row r="71384" hidden="1" x14ac:dyDescent="0.35"/>
    <row r="71385" hidden="1" x14ac:dyDescent="0.35"/>
    <row r="71386" hidden="1" x14ac:dyDescent="0.35"/>
    <row r="71387" hidden="1" x14ac:dyDescent="0.35"/>
    <row r="71388" hidden="1" x14ac:dyDescent="0.35"/>
    <row r="71389" hidden="1" x14ac:dyDescent="0.35"/>
    <row r="71390" hidden="1" x14ac:dyDescent="0.35"/>
    <row r="71391" hidden="1" x14ac:dyDescent="0.35"/>
    <row r="71392" hidden="1" x14ac:dyDescent="0.35"/>
    <row r="71393" hidden="1" x14ac:dyDescent="0.35"/>
    <row r="71394" hidden="1" x14ac:dyDescent="0.35"/>
    <row r="71395" hidden="1" x14ac:dyDescent="0.35"/>
    <row r="71396" hidden="1" x14ac:dyDescent="0.35"/>
    <row r="71397" hidden="1" x14ac:dyDescent="0.35"/>
    <row r="71398" hidden="1" x14ac:dyDescent="0.35"/>
    <row r="71399" hidden="1" x14ac:dyDescent="0.35"/>
    <row r="71400" hidden="1" x14ac:dyDescent="0.35"/>
    <row r="71401" hidden="1" x14ac:dyDescent="0.35"/>
    <row r="71402" hidden="1" x14ac:dyDescent="0.35"/>
    <row r="71403" hidden="1" x14ac:dyDescent="0.35"/>
    <row r="71404" hidden="1" x14ac:dyDescent="0.35"/>
    <row r="71405" hidden="1" x14ac:dyDescent="0.35"/>
    <row r="71406" hidden="1" x14ac:dyDescent="0.35"/>
    <row r="71407" hidden="1" x14ac:dyDescent="0.35"/>
    <row r="71408" hidden="1" x14ac:dyDescent="0.35"/>
    <row r="71409" hidden="1" x14ac:dyDescent="0.35"/>
    <row r="71410" hidden="1" x14ac:dyDescent="0.35"/>
    <row r="71411" hidden="1" x14ac:dyDescent="0.35"/>
    <row r="71412" hidden="1" x14ac:dyDescent="0.35"/>
    <row r="71413" hidden="1" x14ac:dyDescent="0.35"/>
    <row r="71414" hidden="1" x14ac:dyDescent="0.35"/>
    <row r="71415" hidden="1" x14ac:dyDescent="0.35"/>
    <row r="71416" hidden="1" x14ac:dyDescent="0.35"/>
    <row r="71417" hidden="1" x14ac:dyDescent="0.35"/>
    <row r="71418" hidden="1" x14ac:dyDescent="0.35"/>
    <row r="71419" hidden="1" x14ac:dyDescent="0.35"/>
    <row r="71420" hidden="1" x14ac:dyDescent="0.35"/>
    <row r="71421" hidden="1" x14ac:dyDescent="0.35"/>
    <row r="71422" hidden="1" x14ac:dyDescent="0.35"/>
    <row r="71423" hidden="1" x14ac:dyDescent="0.35"/>
    <row r="71424" hidden="1" x14ac:dyDescent="0.35"/>
    <row r="71425" hidden="1" x14ac:dyDescent="0.35"/>
    <row r="71426" hidden="1" x14ac:dyDescent="0.35"/>
    <row r="71427" hidden="1" x14ac:dyDescent="0.35"/>
    <row r="71428" hidden="1" x14ac:dyDescent="0.35"/>
    <row r="71429" hidden="1" x14ac:dyDescent="0.35"/>
    <row r="71430" hidden="1" x14ac:dyDescent="0.35"/>
    <row r="71431" hidden="1" x14ac:dyDescent="0.35"/>
    <row r="71432" hidden="1" x14ac:dyDescent="0.35"/>
    <row r="71433" hidden="1" x14ac:dyDescent="0.35"/>
    <row r="71434" hidden="1" x14ac:dyDescent="0.35"/>
    <row r="71435" hidden="1" x14ac:dyDescent="0.35"/>
    <row r="71436" hidden="1" x14ac:dyDescent="0.35"/>
    <row r="71437" hidden="1" x14ac:dyDescent="0.35"/>
    <row r="71438" hidden="1" x14ac:dyDescent="0.35"/>
    <row r="71439" hidden="1" x14ac:dyDescent="0.35"/>
    <row r="71440" hidden="1" x14ac:dyDescent="0.35"/>
    <row r="71441" hidden="1" x14ac:dyDescent="0.35"/>
    <row r="71442" hidden="1" x14ac:dyDescent="0.35"/>
    <row r="71443" hidden="1" x14ac:dyDescent="0.35"/>
    <row r="71444" hidden="1" x14ac:dyDescent="0.35"/>
    <row r="71445" hidden="1" x14ac:dyDescent="0.35"/>
    <row r="71446" hidden="1" x14ac:dyDescent="0.35"/>
    <row r="71447" hidden="1" x14ac:dyDescent="0.35"/>
    <row r="71448" hidden="1" x14ac:dyDescent="0.35"/>
    <row r="71449" hidden="1" x14ac:dyDescent="0.35"/>
    <row r="71450" hidden="1" x14ac:dyDescent="0.35"/>
    <row r="71451" hidden="1" x14ac:dyDescent="0.35"/>
    <row r="71452" hidden="1" x14ac:dyDescent="0.35"/>
    <row r="71453" hidden="1" x14ac:dyDescent="0.35"/>
    <row r="71454" hidden="1" x14ac:dyDescent="0.35"/>
    <row r="71455" hidden="1" x14ac:dyDescent="0.35"/>
    <row r="71456" hidden="1" x14ac:dyDescent="0.35"/>
    <row r="71457" hidden="1" x14ac:dyDescent="0.35"/>
    <row r="71458" hidden="1" x14ac:dyDescent="0.35"/>
    <row r="71459" hidden="1" x14ac:dyDescent="0.35"/>
    <row r="71460" hidden="1" x14ac:dyDescent="0.35"/>
    <row r="71461" hidden="1" x14ac:dyDescent="0.35"/>
    <row r="71462" hidden="1" x14ac:dyDescent="0.35"/>
    <row r="71463" hidden="1" x14ac:dyDescent="0.35"/>
    <row r="71464" hidden="1" x14ac:dyDescent="0.35"/>
    <row r="71465" hidden="1" x14ac:dyDescent="0.35"/>
    <row r="71466" hidden="1" x14ac:dyDescent="0.35"/>
    <row r="71467" hidden="1" x14ac:dyDescent="0.35"/>
    <row r="71468" hidden="1" x14ac:dyDescent="0.35"/>
    <row r="71469" hidden="1" x14ac:dyDescent="0.35"/>
    <row r="71470" hidden="1" x14ac:dyDescent="0.35"/>
    <row r="71471" hidden="1" x14ac:dyDescent="0.35"/>
    <row r="71472" hidden="1" x14ac:dyDescent="0.35"/>
    <row r="71473" hidden="1" x14ac:dyDescent="0.35"/>
    <row r="71474" hidden="1" x14ac:dyDescent="0.35"/>
    <row r="71475" hidden="1" x14ac:dyDescent="0.35"/>
    <row r="71476" hidden="1" x14ac:dyDescent="0.35"/>
    <row r="71477" hidden="1" x14ac:dyDescent="0.35"/>
    <row r="71478" hidden="1" x14ac:dyDescent="0.35"/>
    <row r="71479" hidden="1" x14ac:dyDescent="0.35"/>
    <row r="71480" hidden="1" x14ac:dyDescent="0.35"/>
    <row r="71481" hidden="1" x14ac:dyDescent="0.35"/>
    <row r="71482" hidden="1" x14ac:dyDescent="0.35"/>
    <row r="71483" hidden="1" x14ac:dyDescent="0.35"/>
    <row r="71484" hidden="1" x14ac:dyDescent="0.35"/>
    <row r="71485" hidden="1" x14ac:dyDescent="0.35"/>
    <row r="71486" hidden="1" x14ac:dyDescent="0.35"/>
    <row r="71487" hidden="1" x14ac:dyDescent="0.35"/>
    <row r="71488" hidden="1" x14ac:dyDescent="0.35"/>
    <row r="71489" hidden="1" x14ac:dyDescent="0.35"/>
    <row r="71490" hidden="1" x14ac:dyDescent="0.35"/>
    <row r="71491" hidden="1" x14ac:dyDescent="0.35"/>
    <row r="71492" hidden="1" x14ac:dyDescent="0.35"/>
    <row r="71493" hidden="1" x14ac:dyDescent="0.35"/>
    <row r="71494" hidden="1" x14ac:dyDescent="0.35"/>
    <row r="71495" hidden="1" x14ac:dyDescent="0.35"/>
    <row r="71496" hidden="1" x14ac:dyDescent="0.35"/>
    <row r="71497" hidden="1" x14ac:dyDescent="0.35"/>
    <row r="71498" hidden="1" x14ac:dyDescent="0.35"/>
    <row r="71499" hidden="1" x14ac:dyDescent="0.35"/>
    <row r="71500" hidden="1" x14ac:dyDescent="0.35"/>
    <row r="71501" hidden="1" x14ac:dyDescent="0.35"/>
    <row r="71502" hidden="1" x14ac:dyDescent="0.35"/>
    <row r="71503" hidden="1" x14ac:dyDescent="0.35"/>
    <row r="71504" hidden="1" x14ac:dyDescent="0.35"/>
    <row r="71505" hidden="1" x14ac:dyDescent="0.35"/>
    <row r="71506" hidden="1" x14ac:dyDescent="0.35"/>
    <row r="71507" hidden="1" x14ac:dyDescent="0.35"/>
    <row r="71508" hidden="1" x14ac:dyDescent="0.35"/>
    <row r="71509" hidden="1" x14ac:dyDescent="0.35"/>
    <row r="71510" hidden="1" x14ac:dyDescent="0.35"/>
    <row r="71511" hidden="1" x14ac:dyDescent="0.35"/>
    <row r="71512" hidden="1" x14ac:dyDescent="0.35"/>
    <row r="71513" hidden="1" x14ac:dyDescent="0.35"/>
    <row r="71514" hidden="1" x14ac:dyDescent="0.35"/>
    <row r="71515" hidden="1" x14ac:dyDescent="0.35"/>
    <row r="71516" hidden="1" x14ac:dyDescent="0.35"/>
    <row r="71517" hidden="1" x14ac:dyDescent="0.35"/>
    <row r="71518" hidden="1" x14ac:dyDescent="0.35"/>
    <row r="71519" hidden="1" x14ac:dyDescent="0.35"/>
    <row r="71520" hidden="1" x14ac:dyDescent="0.35"/>
    <row r="71521" hidden="1" x14ac:dyDescent="0.35"/>
    <row r="71522" hidden="1" x14ac:dyDescent="0.35"/>
    <row r="71523" hidden="1" x14ac:dyDescent="0.35"/>
    <row r="71524" hidden="1" x14ac:dyDescent="0.35"/>
    <row r="71525" hidden="1" x14ac:dyDescent="0.35"/>
    <row r="71526" hidden="1" x14ac:dyDescent="0.35"/>
    <row r="71527" hidden="1" x14ac:dyDescent="0.35"/>
    <row r="71528" hidden="1" x14ac:dyDescent="0.35"/>
    <row r="71529" hidden="1" x14ac:dyDescent="0.35"/>
    <row r="71530" hidden="1" x14ac:dyDescent="0.35"/>
    <row r="71531" hidden="1" x14ac:dyDescent="0.35"/>
    <row r="71532" hidden="1" x14ac:dyDescent="0.35"/>
    <row r="71533" hidden="1" x14ac:dyDescent="0.35"/>
    <row r="71534" hidden="1" x14ac:dyDescent="0.35"/>
    <row r="71535" hidden="1" x14ac:dyDescent="0.35"/>
    <row r="71536" hidden="1" x14ac:dyDescent="0.35"/>
    <row r="71537" hidden="1" x14ac:dyDescent="0.35"/>
    <row r="71538" hidden="1" x14ac:dyDescent="0.35"/>
    <row r="71539" hidden="1" x14ac:dyDescent="0.35"/>
    <row r="71540" hidden="1" x14ac:dyDescent="0.35"/>
    <row r="71541" hidden="1" x14ac:dyDescent="0.35"/>
    <row r="71542" hidden="1" x14ac:dyDescent="0.35"/>
    <row r="71543" hidden="1" x14ac:dyDescent="0.35"/>
    <row r="71544" hidden="1" x14ac:dyDescent="0.35"/>
    <row r="71545" hidden="1" x14ac:dyDescent="0.35"/>
    <row r="71546" hidden="1" x14ac:dyDescent="0.35"/>
    <row r="71547" hidden="1" x14ac:dyDescent="0.35"/>
    <row r="71548" hidden="1" x14ac:dyDescent="0.35"/>
    <row r="71549" hidden="1" x14ac:dyDescent="0.35"/>
    <row r="71550" hidden="1" x14ac:dyDescent="0.35"/>
    <row r="71551" hidden="1" x14ac:dyDescent="0.35"/>
    <row r="71552" hidden="1" x14ac:dyDescent="0.35"/>
    <row r="71553" hidden="1" x14ac:dyDescent="0.35"/>
    <row r="71554" hidden="1" x14ac:dyDescent="0.35"/>
    <row r="71555" hidden="1" x14ac:dyDescent="0.35"/>
    <row r="71556" hidden="1" x14ac:dyDescent="0.35"/>
    <row r="71557" hidden="1" x14ac:dyDescent="0.35"/>
    <row r="71558" hidden="1" x14ac:dyDescent="0.35"/>
    <row r="71559" hidden="1" x14ac:dyDescent="0.35"/>
    <row r="71560" hidden="1" x14ac:dyDescent="0.35"/>
    <row r="71561" hidden="1" x14ac:dyDescent="0.35"/>
    <row r="71562" hidden="1" x14ac:dyDescent="0.35"/>
    <row r="71563" hidden="1" x14ac:dyDescent="0.35"/>
    <row r="71564" hidden="1" x14ac:dyDescent="0.35"/>
    <row r="71565" hidden="1" x14ac:dyDescent="0.35"/>
    <row r="71566" hidden="1" x14ac:dyDescent="0.35"/>
    <row r="71567" hidden="1" x14ac:dyDescent="0.35"/>
    <row r="71568" hidden="1" x14ac:dyDescent="0.35"/>
    <row r="71569" hidden="1" x14ac:dyDescent="0.35"/>
    <row r="71570" hidden="1" x14ac:dyDescent="0.35"/>
    <row r="71571" hidden="1" x14ac:dyDescent="0.35"/>
    <row r="71572" hidden="1" x14ac:dyDescent="0.35"/>
    <row r="71573" hidden="1" x14ac:dyDescent="0.35"/>
    <row r="71574" hidden="1" x14ac:dyDescent="0.35"/>
    <row r="71575" hidden="1" x14ac:dyDescent="0.35"/>
    <row r="71576" hidden="1" x14ac:dyDescent="0.35"/>
    <row r="71577" hidden="1" x14ac:dyDescent="0.35"/>
    <row r="71578" hidden="1" x14ac:dyDescent="0.35"/>
    <row r="71579" hidden="1" x14ac:dyDescent="0.35"/>
    <row r="71580" hidden="1" x14ac:dyDescent="0.35"/>
    <row r="71581" hidden="1" x14ac:dyDescent="0.35"/>
    <row r="71582" hidden="1" x14ac:dyDescent="0.35"/>
    <row r="71583" hidden="1" x14ac:dyDescent="0.35"/>
    <row r="71584" hidden="1" x14ac:dyDescent="0.35"/>
    <row r="71585" hidden="1" x14ac:dyDescent="0.35"/>
    <row r="71586" hidden="1" x14ac:dyDescent="0.35"/>
    <row r="71587" hidden="1" x14ac:dyDescent="0.35"/>
    <row r="71588" hidden="1" x14ac:dyDescent="0.35"/>
    <row r="71589" hidden="1" x14ac:dyDescent="0.35"/>
    <row r="71590" hidden="1" x14ac:dyDescent="0.35"/>
    <row r="71591" hidden="1" x14ac:dyDescent="0.35"/>
    <row r="71592" hidden="1" x14ac:dyDescent="0.35"/>
    <row r="71593" hidden="1" x14ac:dyDescent="0.35"/>
    <row r="71594" hidden="1" x14ac:dyDescent="0.35"/>
    <row r="71595" hidden="1" x14ac:dyDescent="0.35"/>
    <row r="71596" hidden="1" x14ac:dyDescent="0.35"/>
    <row r="71597" hidden="1" x14ac:dyDescent="0.35"/>
    <row r="71598" hidden="1" x14ac:dyDescent="0.35"/>
    <row r="71599" hidden="1" x14ac:dyDescent="0.35"/>
    <row r="71600" hidden="1" x14ac:dyDescent="0.35"/>
    <row r="71601" hidden="1" x14ac:dyDescent="0.35"/>
    <row r="71602" hidden="1" x14ac:dyDescent="0.35"/>
    <row r="71603" hidden="1" x14ac:dyDescent="0.35"/>
    <row r="71604" hidden="1" x14ac:dyDescent="0.35"/>
    <row r="71605" hidden="1" x14ac:dyDescent="0.35"/>
    <row r="71606" hidden="1" x14ac:dyDescent="0.35"/>
    <row r="71607" hidden="1" x14ac:dyDescent="0.35"/>
    <row r="71608" hidden="1" x14ac:dyDescent="0.35"/>
    <row r="71609" hidden="1" x14ac:dyDescent="0.35"/>
    <row r="71610" hidden="1" x14ac:dyDescent="0.35"/>
    <row r="71611" hidden="1" x14ac:dyDescent="0.35"/>
    <row r="71612" hidden="1" x14ac:dyDescent="0.35"/>
    <row r="71613" hidden="1" x14ac:dyDescent="0.35"/>
    <row r="71614" hidden="1" x14ac:dyDescent="0.35"/>
    <row r="71615" hidden="1" x14ac:dyDescent="0.35"/>
    <row r="71616" hidden="1" x14ac:dyDescent="0.35"/>
    <row r="71617" hidden="1" x14ac:dyDescent="0.35"/>
    <row r="71618" hidden="1" x14ac:dyDescent="0.35"/>
    <row r="71619" hidden="1" x14ac:dyDescent="0.35"/>
    <row r="71620" hidden="1" x14ac:dyDescent="0.35"/>
    <row r="71621" hidden="1" x14ac:dyDescent="0.35"/>
    <row r="71622" hidden="1" x14ac:dyDescent="0.35"/>
    <row r="71623" hidden="1" x14ac:dyDescent="0.35"/>
    <row r="71624" hidden="1" x14ac:dyDescent="0.35"/>
    <row r="71625" hidden="1" x14ac:dyDescent="0.35"/>
    <row r="71626" hidden="1" x14ac:dyDescent="0.35"/>
    <row r="71627" hidden="1" x14ac:dyDescent="0.35"/>
    <row r="71628" hidden="1" x14ac:dyDescent="0.35"/>
    <row r="71629" hidden="1" x14ac:dyDescent="0.35"/>
    <row r="71630" hidden="1" x14ac:dyDescent="0.35"/>
    <row r="71631" hidden="1" x14ac:dyDescent="0.35"/>
    <row r="71632" hidden="1" x14ac:dyDescent="0.35"/>
    <row r="71633" hidden="1" x14ac:dyDescent="0.35"/>
    <row r="71634" hidden="1" x14ac:dyDescent="0.35"/>
    <row r="71635" hidden="1" x14ac:dyDescent="0.35"/>
    <row r="71636" hidden="1" x14ac:dyDescent="0.35"/>
    <row r="71637" hidden="1" x14ac:dyDescent="0.35"/>
    <row r="71638" hidden="1" x14ac:dyDescent="0.35"/>
    <row r="71639" hidden="1" x14ac:dyDescent="0.35"/>
    <row r="71640" hidden="1" x14ac:dyDescent="0.35"/>
    <row r="71641" hidden="1" x14ac:dyDescent="0.35"/>
    <row r="71642" hidden="1" x14ac:dyDescent="0.35"/>
    <row r="71643" hidden="1" x14ac:dyDescent="0.35"/>
    <row r="71644" hidden="1" x14ac:dyDescent="0.35"/>
    <row r="71645" hidden="1" x14ac:dyDescent="0.35"/>
    <row r="71646" hidden="1" x14ac:dyDescent="0.35"/>
    <row r="71647" hidden="1" x14ac:dyDescent="0.35"/>
    <row r="71648" hidden="1" x14ac:dyDescent="0.35"/>
    <row r="71649" hidden="1" x14ac:dyDescent="0.35"/>
    <row r="71650" hidden="1" x14ac:dyDescent="0.35"/>
    <row r="71651" hidden="1" x14ac:dyDescent="0.35"/>
    <row r="71652" hidden="1" x14ac:dyDescent="0.35"/>
    <row r="71653" hidden="1" x14ac:dyDescent="0.35"/>
    <row r="71654" hidden="1" x14ac:dyDescent="0.35"/>
    <row r="71655" hidden="1" x14ac:dyDescent="0.35"/>
    <row r="71656" hidden="1" x14ac:dyDescent="0.35"/>
    <row r="71657" hidden="1" x14ac:dyDescent="0.35"/>
    <row r="71658" hidden="1" x14ac:dyDescent="0.35"/>
    <row r="71659" hidden="1" x14ac:dyDescent="0.35"/>
    <row r="71660" hidden="1" x14ac:dyDescent="0.35"/>
    <row r="71661" hidden="1" x14ac:dyDescent="0.35"/>
    <row r="71662" hidden="1" x14ac:dyDescent="0.35"/>
    <row r="71663" hidden="1" x14ac:dyDescent="0.35"/>
    <row r="71664" hidden="1" x14ac:dyDescent="0.35"/>
    <row r="71665" hidden="1" x14ac:dyDescent="0.35"/>
    <row r="71666" hidden="1" x14ac:dyDescent="0.35"/>
    <row r="71667" hidden="1" x14ac:dyDescent="0.35"/>
    <row r="71668" hidden="1" x14ac:dyDescent="0.35"/>
    <row r="71669" hidden="1" x14ac:dyDescent="0.35"/>
    <row r="71670" hidden="1" x14ac:dyDescent="0.35"/>
    <row r="71671" hidden="1" x14ac:dyDescent="0.35"/>
    <row r="71672" hidden="1" x14ac:dyDescent="0.35"/>
    <row r="71673" hidden="1" x14ac:dyDescent="0.35"/>
    <row r="71674" hidden="1" x14ac:dyDescent="0.35"/>
    <row r="71675" hidden="1" x14ac:dyDescent="0.35"/>
    <row r="71676" hidden="1" x14ac:dyDescent="0.35"/>
    <row r="71677" hidden="1" x14ac:dyDescent="0.35"/>
    <row r="71678" hidden="1" x14ac:dyDescent="0.35"/>
    <row r="71679" hidden="1" x14ac:dyDescent="0.35"/>
    <row r="71680" hidden="1" x14ac:dyDescent="0.35"/>
    <row r="71681" hidden="1" x14ac:dyDescent="0.35"/>
    <row r="71682" hidden="1" x14ac:dyDescent="0.35"/>
    <row r="71683" hidden="1" x14ac:dyDescent="0.35"/>
    <row r="71684" hidden="1" x14ac:dyDescent="0.35"/>
    <row r="71685" hidden="1" x14ac:dyDescent="0.35"/>
    <row r="71686" hidden="1" x14ac:dyDescent="0.35"/>
    <row r="71687" hidden="1" x14ac:dyDescent="0.35"/>
    <row r="71688" hidden="1" x14ac:dyDescent="0.35"/>
    <row r="71689" hidden="1" x14ac:dyDescent="0.35"/>
    <row r="71690" hidden="1" x14ac:dyDescent="0.35"/>
    <row r="71691" hidden="1" x14ac:dyDescent="0.35"/>
    <row r="71692" hidden="1" x14ac:dyDescent="0.35"/>
    <row r="71693" hidden="1" x14ac:dyDescent="0.35"/>
    <row r="71694" hidden="1" x14ac:dyDescent="0.35"/>
    <row r="71695" hidden="1" x14ac:dyDescent="0.35"/>
    <row r="71696" hidden="1" x14ac:dyDescent="0.35"/>
    <row r="71697" hidden="1" x14ac:dyDescent="0.35"/>
    <row r="71698" hidden="1" x14ac:dyDescent="0.35"/>
    <row r="71699" hidden="1" x14ac:dyDescent="0.35"/>
    <row r="71700" hidden="1" x14ac:dyDescent="0.35"/>
    <row r="71701" hidden="1" x14ac:dyDescent="0.35"/>
    <row r="71702" hidden="1" x14ac:dyDescent="0.35"/>
    <row r="71703" hidden="1" x14ac:dyDescent="0.35"/>
    <row r="71704" hidden="1" x14ac:dyDescent="0.35"/>
    <row r="71705" hidden="1" x14ac:dyDescent="0.35"/>
    <row r="71706" hidden="1" x14ac:dyDescent="0.35"/>
    <row r="71707" hidden="1" x14ac:dyDescent="0.35"/>
    <row r="71708" hidden="1" x14ac:dyDescent="0.35"/>
    <row r="71709" hidden="1" x14ac:dyDescent="0.35"/>
    <row r="71710" hidden="1" x14ac:dyDescent="0.35"/>
    <row r="71711" hidden="1" x14ac:dyDescent="0.35"/>
    <row r="71712" hidden="1" x14ac:dyDescent="0.35"/>
    <row r="71713" hidden="1" x14ac:dyDescent="0.35"/>
    <row r="71714" hidden="1" x14ac:dyDescent="0.35"/>
    <row r="71715" hidden="1" x14ac:dyDescent="0.35"/>
    <row r="71716" hidden="1" x14ac:dyDescent="0.35"/>
    <row r="71717" hidden="1" x14ac:dyDescent="0.35"/>
    <row r="71718" hidden="1" x14ac:dyDescent="0.35"/>
    <row r="71719" hidden="1" x14ac:dyDescent="0.35"/>
    <row r="71720" hidden="1" x14ac:dyDescent="0.35"/>
    <row r="71721" hidden="1" x14ac:dyDescent="0.35"/>
    <row r="71722" hidden="1" x14ac:dyDescent="0.35"/>
    <row r="71723" hidden="1" x14ac:dyDescent="0.35"/>
    <row r="71724" hidden="1" x14ac:dyDescent="0.35"/>
    <row r="71725" hidden="1" x14ac:dyDescent="0.35"/>
    <row r="71726" hidden="1" x14ac:dyDescent="0.35"/>
    <row r="71727" hidden="1" x14ac:dyDescent="0.35"/>
    <row r="71728" hidden="1" x14ac:dyDescent="0.35"/>
    <row r="71729" hidden="1" x14ac:dyDescent="0.35"/>
    <row r="71730" hidden="1" x14ac:dyDescent="0.35"/>
    <row r="71731" hidden="1" x14ac:dyDescent="0.35"/>
    <row r="71732" hidden="1" x14ac:dyDescent="0.35"/>
    <row r="71733" hidden="1" x14ac:dyDescent="0.35"/>
    <row r="71734" hidden="1" x14ac:dyDescent="0.35"/>
    <row r="71735" hidden="1" x14ac:dyDescent="0.35"/>
    <row r="71736" hidden="1" x14ac:dyDescent="0.35"/>
    <row r="71737" hidden="1" x14ac:dyDescent="0.35"/>
    <row r="71738" hidden="1" x14ac:dyDescent="0.35"/>
    <row r="71739" hidden="1" x14ac:dyDescent="0.35"/>
    <row r="71740" hidden="1" x14ac:dyDescent="0.35"/>
    <row r="71741" hidden="1" x14ac:dyDescent="0.35"/>
    <row r="71742" hidden="1" x14ac:dyDescent="0.35"/>
    <row r="71743" hidden="1" x14ac:dyDescent="0.35"/>
    <row r="71744" hidden="1" x14ac:dyDescent="0.35"/>
    <row r="71745" hidden="1" x14ac:dyDescent="0.35"/>
    <row r="71746" hidden="1" x14ac:dyDescent="0.35"/>
    <row r="71747" hidden="1" x14ac:dyDescent="0.35"/>
    <row r="71748" hidden="1" x14ac:dyDescent="0.35"/>
    <row r="71749" hidden="1" x14ac:dyDescent="0.35"/>
    <row r="71750" hidden="1" x14ac:dyDescent="0.35"/>
    <row r="71751" hidden="1" x14ac:dyDescent="0.35"/>
    <row r="71752" hidden="1" x14ac:dyDescent="0.35"/>
    <row r="71753" hidden="1" x14ac:dyDescent="0.35"/>
    <row r="71754" hidden="1" x14ac:dyDescent="0.35"/>
    <row r="71755" hidden="1" x14ac:dyDescent="0.35"/>
    <row r="71756" hidden="1" x14ac:dyDescent="0.35"/>
    <row r="71757" hidden="1" x14ac:dyDescent="0.35"/>
    <row r="71758" hidden="1" x14ac:dyDescent="0.35"/>
    <row r="71759" hidden="1" x14ac:dyDescent="0.35"/>
    <row r="71760" hidden="1" x14ac:dyDescent="0.35"/>
    <row r="71761" hidden="1" x14ac:dyDescent="0.35"/>
    <row r="71762" hidden="1" x14ac:dyDescent="0.35"/>
    <row r="71763" hidden="1" x14ac:dyDescent="0.35"/>
    <row r="71764" hidden="1" x14ac:dyDescent="0.35"/>
    <row r="71765" hidden="1" x14ac:dyDescent="0.35"/>
    <row r="71766" hidden="1" x14ac:dyDescent="0.35"/>
    <row r="71767" hidden="1" x14ac:dyDescent="0.35"/>
    <row r="71768" hidden="1" x14ac:dyDescent="0.35"/>
    <row r="71769" hidden="1" x14ac:dyDescent="0.35"/>
    <row r="71770" hidden="1" x14ac:dyDescent="0.35"/>
    <row r="71771" hidden="1" x14ac:dyDescent="0.35"/>
    <row r="71772" hidden="1" x14ac:dyDescent="0.35"/>
    <row r="71773" hidden="1" x14ac:dyDescent="0.35"/>
    <row r="71774" hidden="1" x14ac:dyDescent="0.35"/>
    <row r="71775" hidden="1" x14ac:dyDescent="0.35"/>
    <row r="71776" hidden="1" x14ac:dyDescent="0.35"/>
    <row r="71777" hidden="1" x14ac:dyDescent="0.35"/>
    <row r="71778" hidden="1" x14ac:dyDescent="0.35"/>
    <row r="71779" hidden="1" x14ac:dyDescent="0.35"/>
    <row r="71780" hidden="1" x14ac:dyDescent="0.35"/>
    <row r="71781" hidden="1" x14ac:dyDescent="0.35"/>
    <row r="71782" hidden="1" x14ac:dyDescent="0.35"/>
    <row r="71783" hidden="1" x14ac:dyDescent="0.35"/>
    <row r="71784" hidden="1" x14ac:dyDescent="0.35"/>
    <row r="71785" hidden="1" x14ac:dyDescent="0.35"/>
    <row r="71786" hidden="1" x14ac:dyDescent="0.35"/>
    <row r="71787" hidden="1" x14ac:dyDescent="0.35"/>
    <row r="71788" hidden="1" x14ac:dyDescent="0.35"/>
    <row r="71789" hidden="1" x14ac:dyDescent="0.35"/>
    <row r="71790" hidden="1" x14ac:dyDescent="0.35"/>
    <row r="71791" hidden="1" x14ac:dyDescent="0.35"/>
    <row r="71792" hidden="1" x14ac:dyDescent="0.35"/>
    <row r="71793" hidden="1" x14ac:dyDescent="0.35"/>
    <row r="71794" hidden="1" x14ac:dyDescent="0.35"/>
    <row r="71795" hidden="1" x14ac:dyDescent="0.35"/>
    <row r="71796" hidden="1" x14ac:dyDescent="0.35"/>
    <row r="71797" hidden="1" x14ac:dyDescent="0.35"/>
    <row r="71798" hidden="1" x14ac:dyDescent="0.35"/>
    <row r="71799" hidden="1" x14ac:dyDescent="0.35"/>
    <row r="71800" hidden="1" x14ac:dyDescent="0.35"/>
    <row r="71801" hidden="1" x14ac:dyDescent="0.35"/>
    <row r="71802" hidden="1" x14ac:dyDescent="0.35"/>
    <row r="71803" hidden="1" x14ac:dyDescent="0.35"/>
    <row r="71804" hidden="1" x14ac:dyDescent="0.35"/>
    <row r="71805" hidden="1" x14ac:dyDescent="0.35"/>
    <row r="71806" hidden="1" x14ac:dyDescent="0.35"/>
    <row r="71807" hidden="1" x14ac:dyDescent="0.35"/>
    <row r="71808" hidden="1" x14ac:dyDescent="0.35"/>
    <row r="71809" hidden="1" x14ac:dyDescent="0.35"/>
    <row r="71810" hidden="1" x14ac:dyDescent="0.35"/>
    <row r="71811" hidden="1" x14ac:dyDescent="0.35"/>
    <row r="71812" hidden="1" x14ac:dyDescent="0.35"/>
    <row r="71813" hidden="1" x14ac:dyDescent="0.35"/>
    <row r="71814" hidden="1" x14ac:dyDescent="0.35"/>
    <row r="71815" hidden="1" x14ac:dyDescent="0.35"/>
    <row r="71816" hidden="1" x14ac:dyDescent="0.35"/>
    <row r="71817" hidden="1" x14ac:dyDescent="0.35"/>
    <row r="71818" hidden="1" x14ac:dyDescent="0.35"/>
    <row r="71819" hidden="1" x14ac:dyDescent="0.35"/>
    <row r="71820" hidden="1" x14ac:dyDescent="0.35"/>
    <row r="71821" hidden="1" x14ac:dyDescent="0.35"/>
    <row r="71822" hidden="1" x14ac:dyDescent="0.35"/>
    <row r="71823" hidden="1" x14ac:dyDescent="0.35"/>
    <row r="71824" hidden="1" x14ac:dyDescent="0.35"/>
    <row r="71825" hidden="1" x14ac:dyDescent="0.35"/>
    <row r="71826" hidden="1" x14ac:dyDescent="0.35"/>
    <row r="71827" hidden="1" x14ac:dyDescent="0.35"/>
    <row r="71828" hidden="1" x14ac:dyDescent="0.35"/>
    <row r="71829" hidden="1" x14ac:dyDescent="0.35"/>
    <row r="71830" hidden="1" x14ac:dyDescent="0.35"/>
    <row r="71831" hidden="1" x14ac:dyDescent="0.35"/>
    <row r="71832" hidden="1" x14ac:dyDescent="0.35"/>
    <row r="71833" hidden="1" x14ac:dyDescent="0.35"/>
    <row r="71834" hidden="1" x14ac:dyDescent="0.35"/>
    <row r="71835" hidden="1" x14ac:dyDescent="0.35"/>
    <row r="71836" hidden="1" x14ac:dyDescent="0.35"/>
    <row r="71837" hidden="1" x14ac:dyDescent="0.35"/>
    <row r="71838" hidden="1" x14ac:dyDescent="0.35"/>
    <row r="71839" hidden="1" x14ac:dyDescent="0.35"/>
    <row r="71840" hidden="1" x14ac:dyDescent="0.35"/>
    <row r="71841" hidden="1" x14ac:dyDescent="0.35"/>
    <row r="71842" hidden="1" x14ac:dyDescent="0.35"/>
    <row r="71843" hidden="1" x14ac:dyDescent="0.35"/>
    <row r="71844" hidden="1" x14ac:dyDescent="0.35"/>
    <row r="71845" hidden="1" x14ac:dyDescent="0.35"/>
    <row r="71846" hidden="1" x14ac:dyDescent="0.35"/>
    <row r="71847" hidden="1" x14ac:dyDescent="0.35"/>
    <row r="71848" hidden="1" x14ac:dyDescent="0.35"/>
    <row r="71849" hidden="1" x14ac:dyDescent="0.35"/>
    <row r="71850" hidden="1" x14ac:dyDescent="0.35"/>
    <row r="71851" hidden="1" x14ac:dyDescent="0.35"/>
    <row r="71852" hidden="1" x14ac:dyDescent="0.35"/>
    <row r="71853" hidden="1" x14ac:dyDescent="0.35"/>
    <row r="71854" hidden="1" x14ac:dyDescent="0.35"/>
    <row r="71855" hidden="1" x14ac:dyDescent="0.35"/>
    <row r="71856" hidden="1" x14ac:dyDescent="0.35"/>
    <row r="71857" hidden="1" x14ac:dyDescent="0.35"/>
    <row r="71858" hidden="1" x14ac:dyDescent="0.35"/>
    <row r="71859" hidden="1" x14ac:dyDescent="0.35"/>
    <row r="71860" hidden="1" x14ac:dyDescent="0.35"/>
    <row r="71861" hidden="1" x14ac:dyDescent="0.35"/>
    <row r="71862" hidden="1" x14ac:dyDescent="0.35"/>
    <row r="71863" hidden="1" x14ac:dyDescent="0.35"/>
    <row r="71864" hidden="1" x14ac:dyDescent="0.35"/>
    <row r="71865" hidden="1" x14ac:dyDescent="0.35"/>
    <row r="71866" hidden="1" x14ac:dyDescent="0.35"/>
    <row r="71867" hidden="1" x14ac:dyDescent="0.35"/>
    <row r="71868" hidden="1" x14ac:dyDescent="0.35"/>
    <row r="71869" hidden="1" x14ac:dyDescent="0.35"/>
    <row r="71870" hidden="1" x14ac:dyDescent="0.35"/>
    <row r="71871" hidden="1" x14ac:dyDescent="0.35"/>
    <row r="71872" hidden="1" x14ac:dyDescent="0.35"/>
    <row r="71873" hidden="1" x14ac:dyDescent="0.35"/>
    <row r="71874" hidden="1" x14ac:dyDescent="0.35"/>
    <row r="71875" hidden="1" x14ac:dyDescent="0.35"/>
    <row r="71876" hidden="1" x14ac:dyDescent="0.35"/>
    <row r="71877" hidden="1" x14ac:dyDescent="0.35"/>
    <row r="71878" hidden="1" x14ac:dyDescent="0.35"/>
    <row r="71879" hidden="1" x14ac:dyDescent="0.35"/>
    <row r="71880" hidden="1" x14ac:dyDescent="0.35"/>
    <row r="71881" hidden="1" x14ac:dyDescent="0.35"/>
    <row r="71882" hidden="1" x14ac:dyDescent="0.35"/>
    <row r="71883" hidden="1" x14ac:dyDescent="0.35"/>
    <row r="71884" hidden="1" x14ac:dyDescent="0.35"/>
    <row r="71885" hidden="1" x14ac:dyDescent="0.35"/>
    <row r="71886" hidden="1" x14ac:dyDescent="0.35"/>
    <row r="71887" hidden="1" x14ac:dyDescent="0.35"/>
    <row r="71888" hidden="1" x14ac:dyDescent="0.35"/>
    <row r="71889" hidden="1" x14ac:dyDescent="0.35"/>
    <row r="71890" hidden="1" x14ac:dyDescent="0.35"/>
    <row r="71891" hidden="1" x14ac:dyDescent="0.35"/>
    <row r="71892" hidden="1" x14ac:dyDescent="0.35"/>
    <row r="71893" hidden="1" x14ac:dyDescent="0.35"/>
    <row r="71894" hidden="1" x14ac:dyDescent="0.35"/>
    <row r="71895" hidden="1" x14ac:dyDescent="0.35"/>
    <row r="71896" hidden="1" x14ac:dyDescent="0.35"/>
    <row r="71897" hidden="1" x14ac:dyDescent="0.35"/>
    <row r="71898" hidden="1" x14ac:dyDescent="0.35"/>
    <row r="71899" hidden="1" x14ac:dyDescent="0.35"/>
    <row r="71900" hidden="1" x14ac:dyDescent="0.35"/>
    <row r="71901" hidden="1" x14ac:dyDescent="0.35"/>
    <row r="71902" hidden="1" x14ac:dyDescent="0.35"/>
    <row r="71903" hidden="1" x14ac:dyDescent="0.35"/>
    <row r="71904" hidden="1" x14ac:dyDescent="0.35"/>
    <row r="71905" hidden="1" x14ac:dyDescent="0.35"/>
    <row r="71906" hidden="1" x14ac:dyDescent="0.35"/>
    <row r="71907" hidden="1" x14ac:dyDescent="0.35"/>
    <row r="71908" hidden="1" x14ac:dyDescent="0.35"/>
    <row r="71909" hidden="1" x14ac:dyDescent="0.35"/>
    <row r="71910" hidden="1" x14ac:dyDescent="0.35"/>
    <row r="71911" hidden="1" x14ac:dyDescent="0.35"/>
    <row r="71912" hidden="1" x14ac:dyDescent="0.35"/>
    <row r="71913" hidden="1" x14ac:dyDescent="0.35"/>
    <row r="71914" hidden="1" x14ac:dyDescent="0.35"/>
    <row r="71915" hidden="1" x14ac:dyDescent="0.35"/>
    <row r="71916" hidden="1" x14ac:dyDescent="0.35"/>
    <row r="71917" hidden="1" x14ac:dyDescent="0.35"/>
    <row r="71918" hidden="1" x14ac:dyDescent="0.35"/>
    <row r="71919" hidden="1" x14ac:dyDescent="0.35"/>
    <row r="71920" hidden="1" x14ac:dyDescent="0.35"/>
    <row r="71921" hidden="1" x14ac:dyDescent="0.35"/>
    <row r="71922" hidden="1" x14ac:dyDescent="0.35"/>
    <row r="71923" hidden="1" x14ac:dyDescent="0.35"/>
    <row r="71924" hidden="1" x14ac:dyDescent="0.35"/>
    <row r="71925" hidden="1" x14ac:dyDescent="0.35"/>
    <row r="71926" hidden="1" x14ac:dyDescent="0.35"/>
    <row r="71927" hidden="1" x14ac:dyDescent="0.35"/>
    <row r="71928" hidden="1" x14ac:dyDescent="0.35"/>
    <row r="71929" hidden="1" x14ac:dyDescent="0.35"/>
    <row r="71930" hidden="1" x14ac:dyDescent="0.35"/>
    <row r="71931" hidden="1" x14ac:dyDescent="0.35"/>
    <row r="71932" hidden="1" x14ac:dyDescent="0.35"/>
    <row r="71933" hidden="1" x14ac:dyDescent="0.35"/>
    <row r="71934" hidden="1" x14ac:dyDescent="0.35"/>
    <row r="71935" hidden="1" x14ac:dyDescent="0.35"/>
    <row r="71936" hidden="1" x14ac:dyDescent="0.35"/>
    <row r="71937" hidden="1" x14ac:dyDescent="0.35"/>
    <row r="71938" hidden="1" x14ac:dyDescent="0.35"/>
    <row r="71939" hidden="1" x14ac:dyDescent="0.35"/>
    <row r="71940" hidden="1" x14ac:dyDescent="0.35"/>
    <row r="71941" hidden="1" x14ac:dyDescent="0.35"/>
    <row r="71942" hidden="1" x14ac:dyDescent="0.35"/>
    <row r="71943" hidden="1" x14ac:dyDescent="0.35"/>
    <row r="71944" hidden="1" x14ac:dyDescent="0.35"/>
    <row r="71945" hidden="1" x14ac:dyDescent="0.35"/>
    <row r="71946" hidden="1" x14ac:dyDescent="0.35"/>
    <row r="71947" hidden="1" x14ac:dyDescent="0.35"/>
    <row r="71948" hidden="1" x14ac:dyDescent="0.35"/>
    <row r="71949" hidden="1" x14ac:dyDescent="0.35"/>
    <row r="71950" hidden="1" x14ac:dyDescent="0.35"/>
    <row r="71951" hidden="1" x14ac:dyDescent="0.35"/>
    <row r="71952" hidden="1" x14ac:dyDescent="0.35"/>
    <row r="71953" hidden="1" x14ac:dyDescent="0.35"/>
    <row r="71954" hidden="1" x14ac:dyDescent="0.35"/>
    <row r="71955" hidden="1" x14ac:dyDescent="0.35"/>
    <row r="71956" hidden="1" x14ac:dyDescent="0.35"/>
    <row r="71957" hidden="1" x14ac:dyDescent="0.35"/>
    <row r="71958" hidden="1" x14ac:dyDescent="0.35"/>
    <row r="71959" hidden="1" x14ac:dyDescent="0.35"/>
    <row r="71960" hidden="1" x14ac:dyDescent="0.35"/>
    <row r="71961" hidden="1" x14ac:dyDescent="0.35"/>
    <row r="71962" hidden="1" x14ac:dyDescent="0.35"/>
    <row r="71963" hidden="1" x14ac:dyDescent="0.35"/>
    <row r="71964" hidden="1" x14ac:dyDescent="0.35"/>
    <row r="71965" hidden="1" x14ac:dyDescent="0.35"/>
    <row r="71966" hidden="1" x14ac:dyDescent="0.35"/>
    <row r="71967" hidden="1" x14ac:dyDescent="0.35"/>
    <row r="71968" hidden="1" x14ac:dyDescent="0.35"/>
    <row r="71969" hidden="1" x14ac:dyDescent="0.35"/>
    <row r="71970" hidden="1" x14ac:dyDescent="0.35"/>
    <row r="71971" hidden="1" x14ac:dyDescent="0.35"/>
    <row r="71972" hidden="1" x14ac:dyDescent="0.35"/>
    <row r="71973" hidden="1" x14ac:dyDescent="0.35"/>
    <row r="71974" hidden="1" x14ac:dyDescent="0.35"/>
    <row r="71975" hidden="1" x14ac:dyDescent="0.35"/>
    <row r="71976" hidden="1" x14ac:dyDescent="0.35"/>
    <row r="71977" hidden="1" x14ac:dyDescent="0.35"/>
    <row r="71978" hidden="1" x14ac:dyDescent="0.35"/>
    <row r="71979" hidden="1" x14ac:dyDescent="0.35"/>
    <row r="71980" hidden="1" x14ac:dyDescent="0.35"/>
    <row r="71981" hidden="1" x14ac:dyDescent="0.35"/>
    <row r="71982" hidden="1" x14ac:dyDescent="0.35"/>
    <row r="71983" hidden="1" x14ac:dyDescent="0.35"/>
    <row r="71984" hidden="1" x14ac:dyDescent="0.35"/>
    <row r="71985" hidden="1" x14ac:dyDescent="0.35"/>
    <row r="71986" hidden="1" x14ac:dyDescent="0.35"/>
    <row r="71987" hidden="1" x14ac:dyDescent="0.35"/>
    <row r="71988" hidden="1" x14ac:dyDescent="0.35"/>
    <row r="71989" hidden="1" x14ac:dyDescent="0.35"/>
    <row r="71990" hidden="1" x14ac:dyDescent="0.35"/>
    <row r="71991" hidden="1" x14ac:dyDescent="0.35"/>
    <row r="71992" hidden="1" x14ac:dyDescent="0.35"/>
    <row r="71993" hidden="1" x14ac:dyDescent="0.35"/>
    <row r="71994" hidden="1" x14ac:dyDescent="0.35"/>
    <row r="71995" hidden="1" x14ac:dyDescent="0.35"/>
    <row r="71996" hidden="1" x14ac:dyDescent="0.35"/>
    <row r="71997" hidden="1" x14ac:dyDescent="0.35"/>
    <row r="71998" hidden="1" x14ac:dyDescent="0.35"/>
    <row r="71999" hidden="1" x14ac:dyDescent="0.35"/>
    <row r="72000" hidden="1" x14ac:dyDescent="0.35"/>
    <row r="72001" hidden="1" x14ac:dyDescent="0.35"/>
    <row r="72002" hidden="1" x14ac:dyDescent="0.35"/>
    <row r="72003" hidden="1" x14ac:dyDescent="0.35"/>
    <row r="72004" hidden="1" x14ac:dyDescent="0.35"/>
    <row r="72005" hidden="1" x14ac:dyDescent="0.35"/>
    <row r="72006" hidden="1" x14ac:dyDescent="0.35"/>
    <row r="72007" hidden="1" x14ac:dyDescent="0.35"/>
    <row r="72008" hidden="1" x14ac:dyDescent="0.35"/>
    <row r="72009" hidden="1" x14ac:dyDescent="0.35"/>
    <row r="72010" hidden="1" x14ac:dyDescent="0.35"/>
    <row r="72011" hidden="1" x14ac:dyDescent="0.35"/>
    <row r="72012" hidden="1" x14ac:dyDescent="0.35"/>
    <row r="72013" hidden="1" x14ac:dyDescent="0.35"/>
    <row r="72014" hidden="1" x14ac:dyDescent="0.35"/>
    <row r="72015" hidden="1" x14ac:dyDescent="0.35"/>
    <row r="72016" hidden="1" x14ac:dyDescent="0.35"/>
    <row r="72017" hidden="1" x14ac:dyDescent="0.35"/>
    <row r="72018" hidden="1" x14ac:dyDescent="0.35"/>
    <row r="72019" hidden="1" x14ac:dyDescent="0.35"/>
    <row r="72020" hidden="1" x14ac:dyDescent="0.35"/>
    <row r="72021" hidden="1" x14ac:dyDescent="0.35"/>
    <row r="72022" hidden="1" x14ac:dyDescent="0.35"/>
    <row r="72023" hidden="1" x14ac:dyDescent="0.35"/>
    <row r="72024" hidden="1" x14ac:dyDescent="0.35"/>
    <row r="72025" hidden="1" x14ac:dyDescent="0.35"/>
    <row r="72026" hidden="1" x14ac:dyDescent="0.35"/>
    <row r="72027" hidden="1" x14ac:dyDescent="0.35"/>
    <row r="72028" hidden="1" x14ac:dyDescent="0.35"/>
    <row r="72029" hidden="1" x14ac:dyDescent="0.35"/>
    <row r="72030" hidden="1" x14ac:dyDescent="0.35"/>
    <row r="72031" hidden="1" x14ac:dyDescent="0.35"/>
    <row r="72032" hidden="1" x14ac:dyDescent="0.35"/>
    <row r="72033" hidden="1" x14ac:dyDescent="0.35"/>
    <row r="72034" hidden="1" x14ac:dyDescent="0.35"/>
    <row r="72035" hidden="1" x14ac:dyDescent="0.35"/>
    <row r="72036" hidden="1" x14ac:dyDescent="0.35"/>
    <row r="72037" hidden="1" x14ac:dyDescent="0.35"/>
    <row r="72038" hidden="1" x14ac:dyDescent="0.35"/>
    <row r="72039" hidden="1" x14ac:dyDescent="0.35"/>
    <row r="72040" hidden="1" x14ac:dyDescent="0.35"/>
    <row r="72041" hidden="1" x14ac:dyDescent="0.35"/>
    <row r="72042" hidden="1" x14ac:dyDescent="0.35"/>
    <row r="72043" hidden="1" x14ac:dyDescent="0.35"/>
    <row r="72044" hidden="1" x14ac:dyDescent="0.35"/>
    <row r="72045" hidden="1" x14ac:dyDescent="0.35"/>
    <row r="72046" hidden="1" x14ac:dyDescent="0.35"/>
    <row r="72047" hidden="1" x14ac:dyDescent="0.35"/>
    <row r="72048" hidden="1" x14ac:dyDescent="0.35"/>
    <row r="72049" hidden="1" x14ac:dyDescent="0.35"/>
    <row r="72050" hidden="1" x14ac:dyDescent="0.35"/>
    <row r="72051" hidden="1" x14ac:dyDescent="0.35"/>
    <row r="72052" hidden="1" x14ac:dyDescent="0.35"/>
    <row r="72053" hidden="1" x14ac:dyDescent="0.35"/>
    <row r="72054" hidden="1" x14ac:dyDescent="0.35"/>
    <row r="72055" hidden="1" x14ac:dyDescent="0.35"/>
    <row r="72056" hidden="1" x14ac:dyDescent="0.35"/>
    <row r="72057" hidden="1" x14ac:dyDescent="0.35"/>
    <row r="72058" hidden="1" x14ac:dyDescent="0.35"/>
    <row r="72059" hidden="1" x14ac:dyDescent="0.35"/>
    <row r="72060" hidden="1" x14ac:dyDescent="0.35"/>
    <row r="72061" hidden="1" x14ac:dyDescent="0.35"/>
    <row r="72062" hidden="1" x14ac:dyDescent="0.35"/>
    <row r="72063" hidden="1" x14ac:dyDescent="0.35"/>
    <row r="72064" hidden="1" x14ac:dyDescent="0.35"/>
    <row r="72065" hidden="1" x14ac:dyDescent="0.35"/>
    <row r="72066" hidden="1" x14ac:dyDescent="0.35"/>
    <row r="72067" hidden="1" x14ac:dyDescent="0.35"/>
    <row r="72068" hidden="1" x14ac:dyDescent="0.35"/>
    <row r="72069" hidden="1" x14ac:dyDescent="0.35"/>
    <row r="72070" hidden="1" x14ac:dyDescent="0.35"/>
    <row r="72071" hidden="1" x14ac:dyDescent="0.35"/>
    <row r="72072" hidden="1" x14ac:dyDescent="0.35"/>
    <row r="72073" hidden="1" x14ac:dyDescent="0.35"/>
    <row r="72074" hidden="1" x14ac:dyDescent="0.35"/>
    <row r="72075" hidden="1" x14ac:dyDescent="0.35"/>
    <row r="72076" hidden="1" x14ac:dyDescent="0.35"/>
    <row r="72077" hidden="1" x14ac:dyDescent="0.35"/>
    <row r="72078" hidden="1" x14ac:dyDescent="0.35"/>
    <row r="72079" hidden="1" x14ac:dyDescent="0.35"/>
    <row r="72080" hidden="1" x14ac:dyDescent="0.35"/>
    <row r="72081" hidden="1" x14ac:dyDescent="0.35"/>
    <row r="72082" hidden="1" x14ac:dyDescent="0.35"/>
    <row r="72083" hidden="1" x14ac:dyDescent="0.35"/>
    <row r="72084" hidden="1" x14ac:dyDescent="0.35"/>
    <row r="72085" hidden="1" x14ac:dyDescent="0.35"/>
    <row r="72086" hidden="1" x14ac:dyDescent="0.35"/>
    <row r="72087" hidden="1" x14ac:dyDescent="0.35"/>
    <row r="72088" hidden="1" x14ac:dyDescent="0.35"/>
    <row r="72089" hidden="1" x14ac:dyDescent="0.35"/>
    <row r="72090" hidden="1" x14ac:dyDescent="0.35"/>
    <row r="72091" hidden="1" x14ac:dyDescent="0.35"/>
    <row r="72092" hidden="1" x14ac:dyDescent="0.35"/>
    <row r="72093" hidden="1" x14ac:dyDescent="0.35"/>
    <row r="72094" hidden="1" x14ac:dyDescent="0.35"/>
    <row r="72095" hidden="1" x14ac:dyDescent="0.35"/>
    <row r="72096" hidden="1" x14ac:dyDescent="0.35"/>
    <row r="72097" hidden="1" x14ac:dyDescent="0.35"/>
    <row r="72098" hidden="1" x14ac:dyDescent="0.35"/>
    <row r="72099" hidden="1" x14ac:dyDescent="0.35"/>
    <row r="72100" hidden="1" x14ac:dyDescent="0.35"/>
    <row r="72101" hidden="1" x14ac:dyDescent="0.35"/>
    <row r="72102" hidden="1" x14ac:dyDescent="0.35"/>
    <row r="72103" hidden="1" x14ac:dyDescent="0.35"/>
    <row r="72104" hidden="1" x14ac:dyDescent="0.35"/>
    <row r="72105" hidden="1" x14ac:dyDescent="0.35"/>
    <row r="72106" hidden="1" x14ac:dyDescent="0.35"/>
    <row r="72107" hidden="1" x14ac:dyDescent="0.35"/>
    <row r="72108" hidden="1" x14ac:dyDescent="0.35"/>
    <row r="72109" hidden="1" x14ac:dyDescent="0.35"/>
    <row r="72110" hidden="1" x14ac:dyDescent="0.35"/>
    <row r="72111" hidden="1" x14ac:dyDescent="0.35"/>
    <row r="72112" hidden="1" x14ac:dyDescent="0.35"/>
    <row r="72113" hidden="1" x14ac:dyDescent="0.35"/>
    <row r="72114" hidden="1" x14ac:dyDescent="0.35"/>
    <row r="72115" hidden="1" x14ac:dyDescent="0.35"/>
    <row r="72116" hidden="1" x14ac:dyDescent="0.35"/>
    <row r="72117" hidden="1" x14ac:dyDescent="0.35"/>
    <row r="72118" hidden="1" x14ac:dyDescent="0.35"/>
    <row r="72119" hidden="1" x14ac:dyDescent="0.35"/>
    <row r="72120" hidden="1" x14ac:dyDescent="0.35"/>
    <row r="72121" hidden="1" x14ac:dyDescent="0.35"/>
    <row r="72122" hidden="1" x14ac:dyDescent="0.35"/>
    <row r="72123" hidden="1" x14ac:dyDescent="0.35"/>
    <row r="72124" hidden="1" x14ac:dyDescent="0.35"/>
    <row r="72125" hidden="1" x14ac:dyDescent="0.35"/>
    <row r="72126" hidden="1" x14ac:dyDescent="0.35"/>
    <row r="72127" hidden="1" x14ac:dyDescent="0.35"/>
    <row r="72128" hidden="1" x14ac:dyDescent="0.35"/>
    <row r="72129" hidden="1" x14ac:dyDescent="0.35"/>
    <row r="72130" hidden="1" x14ac:dyDescent="0.35"/>
    <row r="72131" hidden="1" x14ac:dyDescent="0.35"/>
    <row r="72132" hidden="1" x14ac:dyDescent="0.35"/>
    <row r="72133" hidden="1" x14ac:dyDescent="0.35"/>
    <row r="72134" hidden="1" x14ac:dyDescent="0.35"/>
    <row r="72135" hidden="1" x14ac:dyDescent="0.35"/>
    <row r="72136" hidden="1" x14ac:dyDescent="0.35"/>
    <row r="72137" hidden="1" x14ac:dyDescent="0.35"/>
    <row r="72138" hidden="1" x14ac:dyDescent="0.35"/>
    <row r="72139" hidden="1" x14ac:dyDescent="0.35"/>
    <row r="72140" hidden="1" x14ac:dyDescent="0.35"/>
    <row r="72141" hidden="1" x14ac:dyDescent="0.35"/>
    <row r="72142" hidden="1" x14ac:dyDescent="0.35"/>
    <row r="72143" hidden="1" x14ac:dyDescent="0.35"/>
    <row r="72144" hidden="1" x14ac:dyDescent="0.35"/>
    <row r="72145" hidden="1" x14ac:dyDescent="0.35"/>
    <row r="72146" hidden="1" x14ac:dyDescent="0.35"/>
    <row r="72147" hidden="1" x14ac:dyDescent="0.35"/>
    <row r="72148" hidden="1" x14ac:dyDescent="0.35"/>
    <row r="72149" hidden="1" x14ac:dyDescent="0.35"/>
    <row r="72150" hidden="1" x14ac:dyDescent="0.35"/>
    <row r="72151" hidden="1" x14ac:dyDescent="0.35"/>
    <row r="72152" hidden="1" x14ac:dyDescent="0.35"/>
    <row r="72153" hidden="1" x14ac:dyDescent="0.35"/>
    <row r="72154" hidden="1" x14ac:dyDescent="0.35"/>
    <row r="72155" hidden="1" x14ac:dyDescent="0.35"/>
    <row r="72156" hidden="1" x14ac:dyDescent="0.35"/>
    <row r="72157" hidden="1" x14ac:dyDescent="0.35"/>
    <row r="72158" hidden="1" x14ac:dyDescent="0.35"/>
    <row r="72159" hidden="1" x14ac:dyDescent="0.35"/>
    <row r="72160" hidden="1" x14ac:dyDescent="0.35"/>
    <row r="72161" hidden="1" x14ac:dyDescent="0.35"/>
    <row r="72162" hidden="1" x14ac:dyDescent="0.35"/>
    <row r="72163" hidden="1" x14ac:dyDescent="0.35"/>
    <row r="72164" hidden="1" x14ac:dyDescent="0.35"/>
    <row r="72165" hidden="1" x14ac:dyDescent="0.35"/>
    <row r="72166" hidden="1" x14ac:dyDescent="0.35"/>
    <row r="72167" hidden="1" x14ac:dyDescent="0.35"/>
    <row r="72168" hidden="1" x14ac:dyDescent="0.35"/>
    <row r="72169" hidden="1" x14ac:dyDescent="0.35"/>
    <row r="72170" hidden="1" x14ac:dyDescent="0.35"/>
    <row r="72171" hidden="1" x14ac:dyDescent="0.35"/>
    <row r="72172" hidden="1" x14ac:dyDescent="0.35"/>
    <row r="72173" hidden="1" x14ac:dyDescent="0.35"/>
    <row r="72174" hidden="1" x14ac:dyDescent="0.35"/>
    <row r="72175" hidden="1" x14ac:dyDescent="0.35"/>
    <row r="72176" hidden="1" x14ac:dyDescent="0.35"/>
    <row r="72177" hidden="1" x14ac:dyDescent="0.35"/>
    <row r="72178" hidden="1" x14ac:dyDescent="0.35"/>
    <row r="72179" hidden="1" x14ac:dyDescent="0.35"/>
    <row r="72180" hidden="1" x14ac:dyDescent="0.35"/>
    <row r="72181" hidden="1" x14ac:dyDescent="0.35"/>
    <row r="72182" hidden="1" x14ac:dyDescent="0.35"/>
    <row r="72183" hidden="1" x14ac:dyDescent="0.35"/>
    <row r="72184" hidden="1" x14ac:dyDescent="0.35"/>
    <row r="72185" hidden="1" x14ac:dyDescent="0.35"/>
    <row r="72186" hidden="1" x14ac:dyDescent="0.35"/>
    <row r="72187" hidden="1" x14ac:dyDescent="0.35"/>
    <row r="72188" hidden="1" x14ac:dyDescent="0.35"/>
    <row r="72189" hidden="1" x14ac:dyDescent="0.35"/>
    <row r="72190" hidden="1" x14ac:dyDescent="0.35"/>
    <row r="72191" hidden="1" x14ac:dyDescent="0.35"/>
    <row r="72192" hidden="1" x14ac:dyDescent="0.35"/>
    <row r="72193" hidden="1" x14ac:dyDescent="0.35"/>
    <row r="72194" hidden="1" x14ac:dyDescent="0.35"/>
    <row r="72195" hidden="1" x14ac:dyDescent="0.35"/>
    <row r="72196" hidden="1" x14ac:dyDescent="0.35"/>
    <row r="72197" hidden="1" x14ac:dyDescent="0.35"/>
    <row r="72198" hidden="1" x14ac:dyDescent="0.35"/>
    <row r="72199" hidden="1" x14ac:dyDescent="0.35"/>
    <row r="72200" hidden="1" x14ac:dyDescent="0.35"/>
    <row r="72201" hidden="1" x14ac:dyDescent="0.35"/>
    <row r="72202" hidden="1" x14ac:dyDescent="0.35"/>
    <row r="72203" hidden="1" x14ac:dyDescent="0.35"/>
    <row r="72204" hidden="1" x14ac:dyDescent="0.35"/>
    <row r="72205" hidden="1" x14ac:dyDescent="0.35"/>
    <row r="72206" hidden="1" x14ac:dyDescent="0.35"/>
    <row r="72207" hidden="1" x14ac:dyDescent="0.35"/>
    <row r="72208" hidden="1" x14ac:dyDescent="0.35"/>
    <row r="72209" hidden="1" x14ac:dyDescent="0.35"/>
    <row r="72210" hidden="1" x14ac:dyDescent="0.35"/>
    <row r="72211" hidden="1" x14ac:dyDescent="0.35"/>
    <row r="72212" hidden="1" x14ac:dyDescent="0.35"/>
    <row r="72213" hidden="1" x14ac:dyDescent="0.35"/>
    <row r="72214" hidden="1" x14ac:dyDescent="0.35"/>
    <row r="72215" hidden="1" x14ac:dyDescent="0.35"/>
    <row r="72216" hidden="1" x14ac:dyDescent="0.35"/>
    <row r="72217" hidden="1" x14ac:dyDescent="0.35"/>
    <row r="72218" hidden="1" x14ac:dyDescent="0.35"/>
    <row r="72219" hidden="1" x14ac:dyDescent="0.35"/>
    <row r="72220" hidden="1" x14ac:dyDescent="0.35"/>
    <row r="72221" hidden="1" x14ac:dyDescent="0.35"/>
    <row r="72222" hidden="1" x14ac:dyDescent="0.35"/>
    <row r="72223" hidden="1" x14ac:dyDescent="0.35"/>
    <row r="72224" hidden="1" x14ac:dyDescent="0.35"/>
    <row r="72225" hidden="1" x14ac:dyDescent="0.35"/>
    <row r="72226" hidden="1" x14ac:dyDescent="0.35"/>
    <row r="72227" hidden="1" x14ac:dyDescent="0.35"/>
    <row r="72228" hidden="1" x14ac:dyDescent="0.35"/>
    <row r="72229" hidden="1" x14ac:dyDescent="0.35"/>
    <row r="72230" hidden="1" x14ac:dyDescent="0.35"/>
    <row r="72231" hidden="1" x14ac:dyDescent="0.35"/>
    <row r="72232" hidden="1" x14ac:dyDescent="0.35"/>
    <row r="72233" hidden="1" x14ac:dyDescent="0.35"/>
    <row r="72234" hidden="1" x14ac:dyDescent="0.35"/>
    <row r="72235" hidden="1" x14ac:dyDescent="0.35"/>
    <row r="72236" hidden="1" x14ac:dyDescent="0.35"/>
    <row r="72237" hidden="1" x14ac:dyDescent="0.35"/>
    <row r="72238" hidden="1" x14ac:dyDescent="0.35"/>
    <row r="72239" hidden="1" x14ac:dyDescent="0.35"/>
    <row r="72240" hidden="1" x14ac:dyDescent="0.35"/>
    <row r="72241" hidden="1" x14ac:dyDescent="0.35"/>
    <row r="72242" hidden="1" x14ac:dyDescent="0.35"/>
    <row r="72243" hidden="1" x14ac:dyDescent="0.35"/>
    <row r="72244" hidden="1" x14ac:dyDescent="0.35"/>
    <row r="72245" hidden="1" x14ac:dyDescent="0.35"/>
    <row r="72246" hidden="1" x14ac:dyDescent="0.35"/>
    <row r="72247" hidden="1" x14ac:dyDescent="0.35"/>
    <row r="72248" hidden="1" x14ac:dyDescent="0.35"/>
    <row r="72249" hidden="1" x14ac:dyDescent="0.35"/>
    <row r="72250" hidden="1" x14ac:dyDescent="0.35"/>
    <row r="72251" hidden="1" x14ac:dyDescent="0.35"/>
    <row r="72252" hidden="1" x14ac:dyDescent="0.35"/>
    <row r="72253" hidden="1" x14ac:dyDescent="0.35"/>
    <row r="72254" hidden="1" x14ac:dyDescent="0.35"/>
    <row r="72255" hidden="1" x14ac:dyDescent="0.35"/>
    <row r="72256" hidden="1" x14ac:dyDescent="0.35"/>
    <row r="72257" hidden="1" x14ac:dyDescent="0.35"/>
    <row r="72258" hidden="1" x14ac:dyDescent="0.35"/>
    <row r="72259" hidden="1" x14ac:dyDescent="0.35"/>
    <row r="72260" hidden="1" x14ac:dyDescent="0.35"/>
    <row r="72261" hidden="1" x14ac:dyDescent="0.35"/>
    <row r="72262" hidden="1" x14ac:dyDescent="0.35"/>
    <row r="72263" hidden="1" x14ac:dyDescent="0.35"/>
    <row r="72264" hidden="1" x14ac:dyDescent="0.35"/>
    <row r="72265" hidden="1" x14ac:dyDescent="0.35"/>
    <row r="72266" hidden="1" x14ac:dyDescent="0.35"/>
    <row r="72267" hidden="1" x14ac:dyDescent="0.35"/>
    <row r="72268" hidden="1" x14ac:dyDescent="0.35"/>
    <row r="72269" hidden="1" x14ac:dyDescent="0.35"/>
    <row r="72270" hidden="1" x14ac:dyDescent="0.35"/>
    <row r="72271" hidden="1" x14ac:dyDescent="0.35"/>
    <row r="72272" hidden="1" x14ac:dyDescent="0.35"/>
    <row r="72273" hidden="1" x14ac:dyDescent="0.35"/>
    <row r="72274" hidden="1" x14ac:dyDescent="0.35"/>
    <row r="72275" hidden="1" x14ac:dyDescent="0.35"/>
    <row r="72276" hidden="1" x14ac:dyDescent="0.35"/>
    <row r="72277" hidden="1" x14ac:dyDescent="0.35"/>
    <row r="72278" hidden="1" x14ac:dyDescent="0.35"/>
    <row r="72279" hidden="1" x14ac:dyDescent="0.35"/>
    <row r="72280" hidden="1" x14ac:dyDescent="0.35"/>
    <row r="72281" hidden="1" x14ac:dyDescent="0.35"/>
    <row r="72282" hidden="1" x14ac:dyDescent="0.35"/>
    <row r="72283" hidden="1" x14ac:dyDescent="0.35"/>
    <row r="72284" hidden="1" x14ac:dyDescent="0.35"/>
    <row r="72285" hidden="1" x14ac:dyDescent="0.35"/>
    <row r="72286" hidden="1" x14ac:dyDescent="0.35"/>
    <row r="72287" hidden="1" x14ac:dyDescent="0.35"/>
    <row r="72288" hidden="1" x14ac:dyDescent="0.35"/>
    <row r="72289" hidden="1" x14ac:dyDescent="0.35"/>
    <row r="72290" hidden="1" x14ac:dyDescent="0.35"/>
    <row r="72291" hidden="1" x14ac:dyDescent="0.35"/>
    <row r="72292" hidden="1" x14ac:dyDescent="0.35"/>
    <row r="72293" hidden="1" x14ac:dyDescent="0.35"/>
    <row r="72294" hidden="1" x14ac:dyDescent="0.35"/>
    <row r="72295" hidden="1" x14ac:dyDescent="0.35"/>
    <row r="72296" hidden="1" x14ac:dyDescent="0.35"/>
    <row r="72297" hidden="1" x14ac:dyDescent="0.35"/>
    <row r="72298" hidden="1" x14ac:dyDescent="0.35"/>
    <row r="72299" hidden="1" x14ac:dyDescent="0.35"/>
    <row r="72300" hidden="1" x14ac:dyDescent="0.35"/>
    <row r="72301" hidden="1" x14ac:dyDescent="0.35"/>
    <row r="72302" hidden="1" x14ac:dyDescent="0.35"/>
    <row r="72303" hidden="1" x14ac:dyDescent="0.35"/>
    <row r="72304" hidden="1" x14ac:dyDescent="0.35"/>
    <row r="72305" hidden="1" x14ac:dyDescent="0.35"/>
    <row r="72306" hidden="1" x14ac:dyDescent="0.35"/>
    <row r="72307" hidden="1" x14ac:dyDescent="0.35"/>
    <row r="72308" hidden="1" x14ac:dyDescent="0.35"/>
    <row r="72309" hidden="1" x14ac:dyDescent="0.35"/>
    <row r="72310" hidden="1" x14ac:dyDescent="0.35"/>
    <row r="72311" hidden="1" x14ac:dyDescent="0.35"/>
    <row r="72312" hidden="1" x14ac:dyDescent="0.35"/>
    <row r="72313" hidden="1" x14ac:dyDescent="0.35"/>
    <row r="72314" hidden="1" x14ac:dyDescent="0.35"/>
    <row r="72315" hidden="1" x14ac:dyDescent="0.35"/>
    <row r="72316" hidden="1" x14ac:dyDescent="0.35"/>
    <row r="72317" hidden="1" x14ac:dyDescent="0.35"/>
    <row r="72318" hidden="1" x14ac:dyDescent="0.35"/>
    <row r="72319" hidden="1" x14ac:dyDescent="0.35"/>
    <row r="72320" hidden="1" x14ac:dyDescent="0.35"/>
    <row r="72321" hidden="1" x14ac:dyDescent="0.35"/>
    <row r="72322" hidden="1" x14ac:dyDescent="0.35"/>
    <row r="72323" hidden="1" x14ac:dyDescent="0.35"/>
    <row r="72324" hidden="1" x14ac:dyDescent="0.35"/>
    <row r="72325" hidden="1" x14ac:dyDescent="0.35"/>
    <row r="72326" hidden="1" x14ac:dyDescent="0.35"/>
    <row r="72327" hidden="1" x14ac:dyDescent="0.35"/>
    <row r="72328" hidden="1" x14ac:dyDescent="0.35"/>
    <row r="72329" hidden="1" x14ac:dyDescent="0.35"/>
    <row r="72330" hidden="1" x14ac:dyDescent="0.35"/>
    <row r="72331" hidden="1" x14ac:dyDescent="0.35"/>
    <row r="72332" hidden="1" x14ac:dyDescent="0.35"/>
    <row r="72333" hidden="1" x14ac:dyDescent="0.35"/>
    <row r="72334" hidden="1" x14ac:dyDescent="0.35"/>
    <row r="72335" hidden="1" x14ac:dyDescent="0.35"/>
    <row r="72336" hidden="1" x14ac:dyDescent="0.35"/>
    <row r="72337" hidden="1" x14ac:dyDescent="0.35"/>
    <row r="72338" hidden="1" x14ac:dyDescent="0.35"/>
    <row r="72339" hidden="1" x14ac:dyDescent="0.35"/>
    <row r="72340" hidden="1" x14ac:dyDescent="0.35"/>
    <row r="72341" hidden="1" x14ac:dyDescent="0.35"/>
    <row r="72342" hidden="1" x14ac:dyDescent="0.35"/>
    <row r="72343" hidden="1" x14ac:dyDescent="0.35"/>
    <row r="72344" hidden="1" x14ac:dyDescent="0.35"/>
    <row r="72345" hidden="1" x14ac:dyDescent="0.35"/>
    <row r="72346" hidden="1" x14ac:dyDescent="0.35"/>
    <row r="72347" hidden="1" x14ac:dyDescent="0.35"/>
    <row r="72348" hidden="1" x14ac:dyDescent="0.35"/>
    <row r="72349" hidden="1" x14ac:dyDescent="0.35"/>
    <row r="72350" hidden="1" x14ac:dyDescent="0.35"/>
    <row r="72351" hidden="1" x14ac:dyDescent="0.35"/>
    <row r="72352" hidden="1" x14ac:dyDescent="0.35"/>
    <row r="72353" hidden="1" x14ac:dyDescent="0.35"/>
    <row r="72354" hidden="1" x14ac:dyDescent="0.35"/>
    <row r="72355" hidden="1" x14ac:dyDescent="0.35"/>
    <row r="72356" hidden="1" x14ac:dyDescent="0.35"/>
    <row r="72357" hidden="1" x14ac:dyDescent="0.35"/>
    <row r="72358" hidden="1" x14ac:dyDescent="0.35"/>
    <row r="72359" hidden="1" x14ac:dyDescent="0.35"/>
    <row r="72360" hidden="1" x14ac:dyDescent="0.35"/>
    <row r="72361" hidden="1" x14ac:dyDescent="0.35"/>
    <row r="72362" hidden="1" x14ac:dyDescent="0.35"/>
    <row r="72363" hidden="1" x14ac:dyDescent="0.35"/>
    <row r="72364" hidden="1" x14ac:dyDescent="0.35"/>
    <row r="72365" hidden="1" x14ac:dyDescent="0.35"/>
    <row r="72366" hidden="1" x14ac:dyDescent="0.35"/>
    <row r="72367" hidden="1" x14ac:dyDescent="0.35"/>
    <row r="72368" hidden="1" x14ac:dyDescent="0.35"/>
    <row r="72369" hidden="1" x14ac:dyDescent="0.35"/>
    <row r="72370" hidden="1" x14ac:dyDescent="0.35"/>
    <row r="72371" hidden="1" x14ac:dyDescent="0.35"/>
    <row r="72372" hidden="1" x14ac:dyDescent="0.35"/>
    <row r="72373" hidden="1" x14ac:dyDescent="0.35"/>
    <row r="72374" hidden="1" x14ac:dyDescent="0.35"/>
    <row r="72375" hidden="1" x14ac:dyDescent="0.35"/>
    <row r="72376" hidden="1" x14ac:dyDescent="0.35"/>
    <row r="72377" hidden="1" x14ac:dyDescent="0.35"/>
    <row r="72378" hidden="1" x14ac:dyDescent="0.35"/>
    <row r="72379" hidden="1" x14ac:dyDescent="0.35"/>
    <row r="72380" hidden="1" x14ac:dyDescent="0.35"/>
    <row r="72381" hidden="1" x14ac:dyDescent="0.35"/>
    <row r="72382" hidden="1" x14ac:dyDescent="0.35"/>
    <row r="72383" hidden="1" x14ac:dyDescent="0.35"/>
    <row r="72384" hidden="1" x14ac:dyDescent="0.35"/>
    <row r="72385" hidden="1" x14ac:dyDescent="0.35"/>
    <row r="72386" hidden="1" x14ac:dyDescent="0.35"/>
    <row r="72387" hidden="1" x14ac:dyDescent="0.35"/>
    <row r="72388" hidden="1" x14ac:dyDescent="0.35"/>
    <row r="72389" hidden="1" x14ac:dyDescent="0.35"/>
    <row r="72390" hidden="1" x14ac:dyDescent="0.35"/>
    <row r="72391" hidden="1" x14ac:dyDescent="0.35"/>
    <row r="72392" hidden="1" x14ac:dyDescent="0.35"/>
    <row r="72393" hidden="1" x14ac:dyDescent="0.35"/>
    <row r="72394" hidden="1" x14ac:dyDescent="0.35"/>
    <row r="72395" hidden="1" x14ac:dyDescent="0.35"/>
    <row r="72396" hidden="1" x14ac:dyDescent="0.35"/>
    <row r="72397" hidden="1" x14ac:dyDescent="0.35"/>
    <row r="72398" hidden="1" x14ac:dyDescent="0.35"/>
    <row r="72399" hidden="1" x14ac:dyDescent="0.35"/>
    <row r="72400" hidden="1" x14ac:dyDescent="0.35"/>
    <row r="72401" hidden="1" x14ac:dyDescent="0.35"/>
    <row r="72402" hidden="1" x14ac:dyDescent="0.35"/>
    <row r="72403" hidden="1" x14ac:dyDescent="0.35"/>
    <row r="72404" hidden="1" x14ac:dyDescent="0.35"/>
    <row r="72405" hidden="1" x14ac:dyDescent="0.35"/>
    <row r="72406" hidden="1" x14ac:dyDescent="0.35"/>
    <row r="72407" hidden="1" x14ac:dyDescent="0.35"/>
    <row r="72408" hidden="1" x14ac:dyDescent="0.35"/>
    <row r="72409" hidden="1" x14ac:dyDescent="0.35"/>
    <row r="72410" hidden="1" x14ac:dyDescent="0.35"/>
    <row r="72411" hidden="1" x14ac:dyDescent="0.35"/>
    <row r="72412" hidden="1" x14ac:dyDescent="0.35"/>
    <row r="72413" hidden="1" x14ac:dyDescent="0.35"/>
    <row r="72414" hidden="1" x14ac:dyDescent="0.35"/>
    <row r="72415" hidden="1" x14ac:dyDescent="0.35"/>
    <row r="72416" hidden="1" x14ac:dyDescent="0.35"/>
    <row r="72417" hidden="1" x14ac:dyDescent="0.35"/>
    <row r="72418" hidden="1" x14ac:dyDescent="0.35"/>
    <row r="72419" hidden="1" x14ac:dyDescent="0.35"/>
    <row r="72420" hidden="1" x14ac:dyDescent="0.35"/>
    <row r="72421" hidden="1" x14ac:dyDescent="0.35"/>
    <row r="72422" hidden="1" x14ac:dyDescent="0.35"/>
    <row r="72423" hidden="1" x14ac:dyDescent="0.35"/>
    <row r="72424" hidden="1" x14ac:dyDescent="0.35"/>
    <row r="72425" hidden="1" x14ac:dyDescent="0.35"/>
    <row r="72426" hidden="1" x14ac:dyDescent="0.35"/>
    <row r="72427" hidden="1" x14ac:dyDescent="0.35"/>
    <row r="72428" hidden="1" x14ac:dyDescent="0.35"/>
    <row r="72429" hidden="1" x14ac:dyDescent="0.35"/>
    <row r="72430" hidden="1" x14ac:dyDescent="0.35"/>
    <row r="72431" hidden="1" x14ac:dyDescent="0.35"/>
    <row r="72432" hidden="1" x14ac:dyDescent="0.35"/>
    <row r="72433" hidden="1" x14ac:dyDescent="0.35"/>
    <row r="72434" hidden="1" x14ac:dyDescent="0.35"/>
    <row r="72435" hidden="1" x14ac:dyDescent="0.35"/>
    <row r="72436" hidden="1" x14ac:dyDescent="0.35"/>
    <row r="72437" hidden="1" x14ac:dyDescent="0.35"/>
    <row r="72438" hidden="1" x14ac:dyDescent="0.35"/>
    <row r="72439" hidden="1" x14ac:dyDescent="0.35"/>
    <row r="72440" hidden="1" x14ac:dyDescent="0.35"/>
    <row r="72441" hidden="1" x14ac:dyDescent="0.35"/>
    <row r="72442" hidden="1" x14ac:dyDescent="0.35"/>
    <row r="72443" hidden="1" x14ac:dyDescent="0.35"/>
    <row r="72444" hidden="1" x14ac:dyDescent="0.35"/>
    <row r="72445" hidden="1" x14ac:dyDescent="0.35"/>
    <row r="72446" hidden="1" x14ac:dyDescent="0.35"/>
    <row r="72447" hidden="1" x14ac:dyDescent="0.35"/>
    <row r="72448" hidden="1" x14ac:dyDescent="0.35"/>
    <row r="72449" hidden="1" x14ac:dyDescent="0.35"/>
    <row r="72450" hidden="1" x14ac:dyDescent="0.35"/>
    <row r="72451" hidden="1" x14ac:dyDescent="0.35"/>
    <row r="72452" hidden="1" x14ac:dyDescent="0.35"/>
    <row r="72453" hidden="1" x14ac:dyDescent="0.35"/>
    <row r="72454" hidden="1" x14ac:dyDescent="0.35"/>
    <row r="72455" hidden="1" x14ac:dyDescent="0.35"/>
    <row r="72456" hidden="1" x14ac:dyDescent="0.35"/>
    <row r="72457" hidden="1" x14ac:dyDescent="0.35"/>
    <row r="72458" hidden="1" x14ac:dyDescent="0.35"/>
    <row r="72459" hidden="1" x14ac:dyDescent="0.35"/>
    <row r="72460" hidden="1" x14ac:dyDescent="0.35"/>
    <row r="72461" hidden="1" x14ac:dyDescent="0.35"/>
    <row r="72462" hidden="1" x14ac:dyDescent="0.35"/>
    <row r="72463" hidden="1" x14ac:dyDescent="0.35"/>
    <row r="72464" hidden="1" x14ac:dyDescent="0.35"/>
    <row r="72465" hidden="1" x14ac:dyDescent="0.35"/>
    <row r="72466" hidden="1" x14ac:dyDescent="0.35"/>
    <row r="72467" hidden="1" x14ac:dyDescent="0.35"/>
    <row r="72468" hidden="1" x14ac:dyDescent="0.35"/>
    <row r="72469" hidden="1" x14ac:dyDescent="0.35"/>
    <row r="72470" hidden="1" x14ac:dyDescent="0.35"/>
    <row r="72471" hidden="1" x14ac:dyDescent="0.35"/>
    <row r="72472" hidden="1" x14ac:dyDescent="0.35"/>
    <row r="72473" hidden="1" x14ac:dyDescent="0.35"/>
    <row r="72474" hidden="1" x14ac:dyDescent="0.35"/>
    <row r="72475" hidden="1" x14ac:dyDescent="0.35"/>
    <row r="72476" hidden="1" x14ac:dyDescent="0.35"/>
    <row r="72477" hidden="1" x14ac:dyDescent="0.35"/>
    <row r="72478" hidden="1" x14ac:dyDescent="0.35"/>
    <row r="72479" hidden="1" x14ac:dyDescent="0.35"/>
    <row r="72480" hidden="1" x14ac:dyDescent="0.35"/>
    <row r="72481" hidden="1" x14ac:dyDescent="0.35"/>
    <row r="72482" hidden="1" x14ac:dyDescent="0.35"/>
    <row r="72483" hidden="1" x14ac:dyDescent="0.35"/>
    <row r="72484" hidden="1" x14ac:dyDescent="0.35"/>
    <row r="72485" hidden="1" x14ac:dyDescent="0.35"/>
    <row r="72486" hidden="1" x14ac:dyDescent="0.35"/>
    <row r="72487" hidden="1" x14ac:dyDescent="0.35"/>
    <row r="72488" hidden="1" x14ac:dyDescent="0.35"/>
    <row r="72489" hidden="1" x14ac:dyDescent="0.35"/>
    <row r="72490" hidden="1" x14ac:dyDescent="0.35"/>
    <row r="72491" hidden="1" x14ac:dyDescent="0.35"/>
    <row r="72492" hidden="1" x14ac:dyDescent="0.35"/>
    <row r="72493" hidden="1" x14ac:dyDescent="0.35"/>
    <row r="72494" hidden="1" x14ac:dyDescent="0.35"/>
    <row r="72495" hidden="1" x14ac:dyDescent="0.35"/>
    <row r="72496" hidden="1" x14ac:dyDescent="0.35"/>
    <row r="72497" hidden="1" x14ac:dyDescent="0.35"/>
    <row r="72498" hidden="1" x14ac:dyDescent="0.35"/>
    <row r="72499" hidden="1" x14ac:dyDescent="0.35"/>
    <row r="72500" hidden="1" x14ac:dyDescent="0.35"/>
    <row r="72501" hidden="1" x14ac:dyDescent="0.35"/>
    <row r="72502" hidden="1" x14ac:dyDescent="0.35"/>
    <row r="72503" hidden="1" x14ac:dyDescent="0.35"/>
    <row r="72504" hidden="1" x14ac:dyDescent="0.35"/>
    <row r="72505" hidden="1" x14ac:dyDescent="0.35"/>
    <row r="72506" hidden="1" x14ac:dyDescent="0.35"/>
    <row r="72507" hidden="1" x14ac:dyDescent="0.35"/>
    <row r="72508" hidden="1" x14ac:dyDescent="0.35"/>
    <row r="72509" hidden="1" x14ac:dyDescent="0.35"/>
    <row r="72510" hidden="1" x14ac:dyDescent="0.35"/>
    <row r="72511" hidden="1" x14ac:dyDescent="0.35"/>
    <row r="72512" hidden="1" x14ac:dyDescent="0.35"/>
    <row r="72513" hidden="1" x14ac:dyDescent="0.35"/>
    <row r="72514" hidden="1" x14ac:dyDescent="0.35"/>
    <row r="72515" hidden="1" x14ac:dyDescent="0.35"/>
    <row r="72516" hidden="1" x14ac:dyDescent="0.35"/>
    <row r="72517" hidden="1" x14ac:dyDescent="0.35"/>
    <row r="72518" hidden="1" x14ac:dyDescent="0.35"/>
    <row r="72519" hidden="1" x14ac:dyDescent="0.35"/>
    <row r="72520" hidden="1" x14ac:dyDescent="0.35"/>
    <row r="72521" hidden="1" x14ac:dyDescent="0.35"/>
    <row r="72522" hidden="1" x14ac:dyDescent="0.35"/>
    <row r="72523" hidden="1" x14ac:dyDescent="0.35"/>
    <row r="72524" hidden="1" x14ac:dyDescent="0.35"/>
    <row r="72525" hidden="1" x14ac:dyDescent="0.35"/>
    <row r="72526" hidden="1" x14ac:dyDescent="0.35"/>
    <row r="72527" hidden="1" x14ac:dyDescent="0.35"/>
    <row r="72528" hidden="1" x14ac:dyDescent="0.35"/>
    <row r="72529" hidden="1" x14ac:dyDescent="0.35"/>
    <row r="72530" hidden="1" x14ac:dyDescent="0.35"/>
    <row r="72531" hidden="1" x14ac:dyDescent="0.35"/>
    <row r="72532" hidden="1" x14ac:dyDescent="0.35"/>
    <row r="72533" hidden="1" x14ac:dyDescent="0.35"/>
    <row r="72534" hidden="1" x14ac:dyDescent="0.35"/>
    <row r="72535" hidden="1" x14ac:dyDescent="0.35"/>
    <row r="72536" hidden="1" x14ac:dyDescent="0.35"/>
    <row r="72537" hidden="1" x14ac:dyDescent="0.35"/>
    <row r="72538" hidden="1" x14ac:dyDescent="0.35"/>
    <row r="72539" hidden="1" x14ac:dyDescent="0.35"/>
    <row r="72540" hidden="1" x14ac:dyDescent="0.35"/>
    <row r="72541" hidden="1" x14ac:dyDescent="0.35"/>
    <row r="72542" hidden="1" x14ac:dyDescent="0.35"/>
    <row r="72543" hidden="1" x14ac:dyDescent="0.35"/>
    <row r="72544" hidden="1" x14ac:dyDescent="0.35"/>
    <row r="72545" hidden="1" x14ac:dyDescent="0.35"/>
    <row r="72546" hidden="1" x14ac:dyDescent="0.35"/>
    <row r="72547" hidden="1" x14ac:dyDescent="0.35"/>
    <row r="72548" hidden="1" x14ac:dyDescent="0.35"/>
    <row r="72549" hidden="1" x14ac:dyDescent="0.35"/>
    <row r="72550" hidden="1" x14ac:dyDescent="0.35"/>
    <row r="72551" hidden="1" x14ac:dyDescent="0.35"/>
    <row r="72552" hidden="1" x14ac:dyDescent="0.35"/>
    <row r="72553" hidden="1" x14ac:dyDescent="0.35"/>
    <row r="72554" hidden="1" x14ac:dyDescent="0.35"/>
    <row r="72555" hidden="1" x14ac:dyDescent="0.35"/>
    <row r="72556" hidden="1" x14ac:dyDescent="0.35"/>
    <row r="72557" hidden="1" x14ac:dyDescent="0.35"/>
    <row r="72558" hidden="1" x14ac:dyDescent="0.35"/>
    <row r="72559" hidden="1" x14ac:dyDescent="0.35"/>
    <row r="72560" hidden="1" x14ac:dyDescent="0.35"/>
    <row r="72561" hidden="1" x14ac:dyDescent="0.35"/>
    <row r="72562" hidden="1" x14ac:dyDescent="0.35"/>
    <row r="72563" hidden="1" x14ac:dyDescent="0.35"/>
    <row r="72564" hidden="1" x14ac:dyDescent="0.35"/>
    <row r="72565" hidden="1" x14ac:dyDescent="0.35"/>
    <row r="72566" hidden="1" x14ac:dyDescent="0.35"/>
    <row r="72567" hidden="1" x14ac:dyDescent="0.35"/>
    <row r="72568" hidden="1" x14ac:dyDescent="0.35"/>
    <row r="72569" hidden="1" x14ac:dyDescent="0.35"/>
    <row r="72570" hidden="1" x14ac:dyDescent="0.35"/>
    <row r="72571" hidden="1" x14ac:dyDescent="0.35"/>
    <row r="72572" hidden="1" x14ac:dyDescent="0.35"/>
    <row r="72573" hidden="1" x14ac:dyDescent="0.35"/>
    <row r="72574" hidden="1" x14ac:dyDescent="0.35"/>
    <row r="72575" hidden="1" x14ac:dyDescent="0.35"/>
    <row r="72576" hidden="1" x14ac:dyDescent="0.35"/>
    <row r="72577" hidden="1" x14ac:dyDescent="0.35"/>
    <row r="72578" hidden="1" x14ac:dyDescent="0.35"/>
    <row r="72579" hidden="1" x14ac:dyDescent="0.35"/>
    <row r="72580" hidden="1" x14ac:dyDescent="0.35"/>
    <row r="72581" hidden="1" x14ac:dyDescent="0.35"/>
    <row r="72582" hidden="1" x14ac:dyDescent="0.35"/>
    <row r="72583" hidden="1" x14ac:dyDescent="0.35"/>
    <row r="72584" hidden="1" x14ac:dyDescent="0.35"/>
    <row r="72585" hidden="1" x14ac:dyDescent="0.35"/>
    <row r="72586" hidden="1" x14ac:dyDescent="0.35"/>
    <row r="72587" hidden="1" x14ac:dyDescent="0.35"/>
    <row r="72588" hidden="1" x14ac:dyDescent="0.35"/>
    <row r="72589" hidden="1" x14ac:dyDescent="0.35"/>
    <row r="72590" hidden="1" x14ac:dyDescent="0.35"/>
    <row r="72591" hidden="1" x14ac:dyDescent="0.35"/>
    <row r="72592" hidden="1" x14ac:dyDescent="0.35"/>
    <row r="72593" hidden="1" x14ac:dyDescent="0.35"/>
    <row r="72594" hidden="1" x14ac:dyDescent="0.35"/>
    <row r="72595" hidden="1" x14ac:dyDescent="0.35"/>
    <row r="72596" hidden="1" x14ac:dyDescent="0.35"/>
    <row r="72597" hidden="1" x14ac:dyDescent="0.35"/>
    <row r="72598" hidden="1" x14ac:dyDescent="0.35"/>
    <row r="72599" hidden="1" x14ac:dyDescent="0.35"/>
    <row r="72600" hidden="1" x14ac:dyDescent="0.35"/>
    <row r="72601" hidden="1" x14ac:dyDescent="0.35"/>
    <row r="72602" hidden="1" x14ac:dyDescent="0.35"/>
    <row r="72603" hidden="1" x14ac:dyDescent="0.35"/>
    <row r="72604" hidden="1" x14ac:dyDescent="0.35"/>
    <row r="72605" hidden="1" x14ac:dyDescent="0.35"/>
    <row r="72606" hidden="1" x14ac:dyDescent="0.35"/>
    <row r="72607" hidden="1" x14ac:dyDescent="0.35"/>
    <row r="72608" hidden="1" x14ac:dyDescent="0.35"/>
    <row r="72609" hidden="1" x14ac:dyDescent="0.35"/>
    <row r="72610" hidden="1" x14ac:dyDescent="0.35"/>
    <row r="72611" hidden="1" x14ac:dyDescent="0.35"/>
    <row r="72612" hidden="1" x14ac:dyDescent="0.35"/>
    <row r="72613" hidden="1" x14ac:dyDescent="0.35"/>
    <row r="72614" hidden="1" x14ac:dyDescent="0.35"/>
    <row r="72615" hidden="1" x14ac:dyDescent="0.35"/>
    <row r="72616" hidden="1" x14ac:dyDescent="0.35"/>
    <row r="72617" hidden="1" x14ac:dyDescent="0.35"/>
    <row r="72618" hidden="1" x14ac:dyDescent="0.35"/>
    <row r="72619" hidden="1" x14ac:dyDescent="0.35"/>
    <row r="72620" hidden="1" x14ac:dyDescent="0.35"/>
    <row r="72621" hidden="1" x14ac:dyDescent="0.35"/>
    <row r="72622" hidden="1" x14ac:dyDescent="0.35"/>
    <row r="72623" hidden="1" x14ac:dyDescent="0.35"/>
    <row r="72624" hidden="1" x14ac:dyDescent="0.35"/>
    <row r="72625" hidden="1" x14ac:dyDescent="0.35"/>
    <row r="72626" hidden="1" x14ac:dyDescent="0.35"/>
    <row r="72627" hidden="1" x14ac:dyDescent="0.35"/>
    <row r="72628" hidden="1" x14ac:dyDescent="0.35"/>
    <row r="72629" hidden="1" x14ac:dyDescent="0.35"/>
    <row r="72630" hidden="1" x14ac:dyDescent="0.35"/>
    <row r="72631" hidden="1" x14ac:dyDescent="0.35"/>
    <row r="72632" hidden="1" x14ac:dyDescent="0.35"/>
    <row r="72633" hidden="1" x14ac:dyDescent="0.35"/>
    <row r="72634" hidden="1" x14ac:dyDescent="0.35"/>
    <row r="72635" hidden="1" x14ac:dyDescent="0.35"/>
    <row r="72636" hidden="1" x14ac:dyDescent="0.35"/>
    <row r="72637" hidden="1" x14ac:dyDescent="0.35"/>
    <row r="72638" hidden="1" x14ac:dyDescent="0.35"/>
    <row r="72639" hidden="1" x14ac:dyDescent="0.35"/>
    <row r="72640" hidden="1" x14ac:dyDescent="0.35"/>
    <row r="72641" hidden="1" x14ac:dyDescent="0.35"/>
    <row r="72642" hidden="1" x14ac:dyDescent="0.35"/>
    <row r="72643" hidden="1" x14ac:dyDescent="0.35"/>
    <row r="72644" hidden="1" x14ac:dyDescent="0.35"/>
    <row r="72645" hidden="1" x14ac:dyDescent="0.35"/>
    <row r="72646" hidden="1" x14ac:dyDescent="0.35"/>
    <row r="72647" hidden="1" x14ac:dyDescent="0.35"/>
    <row r="72648" hidden="1" x14ac:dyDescent="0.35"/>
    <row r="72649" hidden="1" x14ac:dyDescent="0.35"/>
    <row r="72650" hidden="1" x14ac:dyDescent="0.35"/>
    <row r="72651" hidden="1" x14ac:dyDescent="0.35"/>
    <row r="72652" hidden="1" x14ac:dyDescent="0.35"/>
    <row r="72653" hidden="1" x14ac:dyDescent="0.35"/>
    <row r="72654" hidden="1" x14ac:dyDescent="0.35"/>
    <row r="72655" hidden="1" x14ac:dyDescent="0.35"/>
    <row r="72656" hidden="1" x14ac:dyDescent="0.35"/>
    <row r="72657" hidden="1" x14ac:dyDescent="0.35"/>
    <row r="72658" hidden="1" x14ac:dyDescent="0.35"/>
    <row r="72659" hidden="1" x14ac:dyDescent="0.35"/>
    <row r="72660" hidden="1" x14ac:dyDescent="0.35"/>
    <row r="72661" hidden="1" x14ac:dyDescent="0.35"/>
    <row r="72662" hidden="1" x14ac:dyDescent="0.35"/>
    <row r="72663" hidden="1" x14ac:dyDescent="0.35"/>
    <row r="72664" hidden="1" x14ac:dyDescent="0.35"/>
    <row r="72665" hidden="1" x14ac:dyDescent="0.35"/>
    <row r="72666" hidden="1" x14ac:dyDescent="0.35"/>
    <row r="72667" hidden="1" x14ac:dyDescent="0.35"/>
    <row r="72668" hidden="1" x14ac:dyDescent="0.35"/>
    <row r="72669" hidden="1" x14ac:dyDescent="0.35"/>
    <row r="72670" hidden="1" x14ac:dyDescent="0.35"/>
    <row r="72671" hidden="1" x14ac:dyDescent="0.35"/>
    <row r="72672" hidden="1" x14ac:dyDescent="0.35"/>
    <row r="72673" hidden="1" x14ac:dyDescent="0.35"/>
    <row r="72674" hidden="1" x14ac:dyDescent="0.35"/>
    <row r="72675" hidden="1" x14ac:dyDescent="0.35"/>
    <row r="72676" hidden="1" x14ac:dyDescent="0.35"/>
    <row r="72677" hidden="1" x14ac:dyDescent="0.35"/>
    <row r="72678" hidden="1" x14ac:dyDescent="0.35"/>
    <row r="72679" hidden="1" x14ac:dyDescent="0.35"/>
    <row r="72680" hidden="1" x14ac:dyDescent="0.35"/>
    <row r="72681" hidden="1" x14ac:dyDescent="0.35"/>
    <row r="72682" hidden="1" x14ac:dyDescent="0.35"/>
    <row r="72683" hidden="1" x14ac:dyDescent="0.35"/>
    <row r="72684" hidden="1" x14ac:dyDescent="0.35"/>
    <row r="72685" hidden="1" x14ac:dyDescent="0.35"/>
    <row r="72686" hidden="1" x14ac:dyDescent="0.35"/>
    <row r="72687" hidden="1" x14ac:dyDescent="0.35"/>
    <row r="72688" hidden="1" x14ac:dyDescent="0.35"/>
    <row r="72689" hidden="1" x14ac:dyDescent="0.35"/>
    <row r="72690" hidden="1" x14ac:dyDescent="0.35"/>
    <row r="72691" hidden="1" x14ac:dyDescent="0.35"/>
    <row r="72692" hidden="1" x14ac:dyDescent="0.35"/>
    <row r="72693" hidden="1" x14ac:dyDescent="0.35"/>
    <row r="72694" hidden="1" x14ac:dyDescent="0.35"/>
    <row r="72695" hidden="1" x14ac:dyDescent="0.35"/>
    <row r="72696" hidden="1" x14ac:dyDescent="0.35"/>
    <row r="72697" hidden="1" x14ac:dyDescent="0.35"/>
    <row r="72698" hidden="1" x14ac:dyDescent="0.35"/>
    <row r="72699" hidden="1" x14ac:dyDescent="0.35"/>
    <row r="72700" hidden="1" x14ac:dyDescent="0.35"/>
    <row r="72701" hidden="1" x14ac:dyDescent="0.35"/>
    <row r="72702" hidden="1" x14ac:dyDescent="0.35"/>
    <row r="72703" hidden="1" x14ac:dyDescent="0.35"/>
    <row r="72704" hidden="1" x14ac:dyDescent="0.35"/>
    <row r="72705" hidden="1" x14ac:dyDescent="0.35"/>
    <row r="72706" hidden="1" x14ac:dyDescent="0.35"/>
    <row r="72707" hidden="1" x14ac:dyDescent="0.35"/>
    <row r="72708" hidden="1" x14ac:dyDescent="0.35"/>
    <row r="72709" hidden="1" x14ac:dyDescent="0.35"/>
    <row r="72710" hidden="1" x14ac:dyDescent="0.35"/>
    <row r="72711" hidden="1" x14ac:dyDescent="0.35"/>
    <row r="72712" hidden="1" x14ac:dyDescent="0.35"/>
    <row r="72713" hidden="1" x14ac:dyDescent="0.35"/>
    <row r="72714" hidden="1" x14ac:dyDescent="0.35"/>
    <row r="72715" hidden="1" x14ac:dyDescent="0.35"/>
    <row r="72716" hidden="1" x14ac:dyDescent="0.35"/>
    <row r="72717" hidden="1" x14ac:dyDescent="0.35"/>
    <row r="72718" hidden="1" x14ac:dyDescent="0.35"/>
    <row r="72719" hidden="1" x14ac:dyDescent="0.35"/>
    <row r="72720" hidden="1" x14ac:dyDescent="0.35"/>
    <row r="72721" hidden="1" x14ac:dyDescent="0.35"/>
    <row r="72722" hidden="1" x14ac:dyDescent="0.35"/>
    <row r="72723" hidden="1" x14ac:dyDescent="0.35"/>
    <row r="72724" hidden="1" x14ac:dyDescent="0.35"/>
    <row r="72725" hidden="1" x14ac:dyDescent="0.35"/>
    <row r="72726" hidden="1" x14ac:dyDescent="0.35"/>
    <row r="72727" hidden="1" x14ac:dyDescent="0.35"/>
    <row r="72728" hidden="1" x14ac:dyDescent="0.35"/>
    <row r="72729" hidden="1" x14ac:dyDescent="0.35"/>
    <row r="72730" hidden="1" x14ac:dyDescent="0.35"/>
    <row r="72731" hidden="1" x14ac:dyDescent="0.35"/>
    <row r="72732" hidden="1" x14ac:dyDescent="0.35"/>
    <row r="72733" hidden="1" x14ac:dyDescent="0.35"/>
    <row r="72734" hidden="1" x14ac:dyDescent="0.35"/>
    <row r="72735" hidden="1" x14ac:dyDescent="0.35"/>
    <row r="72736" hidden="1" x14ac:dyDescent="0.35"/>
    <row r="72737" hidden="1" x14ac:dyDescent="0.35"/>
    <row r="72738" hidden="1" x14ac:dyDescent="0.35"/>
    <row r="72739" hidden="1" x14ac:dyDescent="0.35"/>
    <row r="72740" hidden="1" x14ac:dyDescent="0.35"/>
    <row r="72741" hidden="1" x14ac:dyDescent="0.35"/>
    <row r="72742" hidden="1" x14ac:dyDescent="0.35"/>
    <row r="72743" hidden="1" x14ac:dyDescent="0.35"/>
    <row r="72744" hidden="1" x14ac:dyDescent="0.35"/>
    <row r="72745" hidden="1" x14ac:dyDescent="0.35"/>
    <row r="72746" hidden="1" x14ac:dyDescent="0.35"/>
    <row r="72747" hidden="1" x14ac:dyDescent="0.35"/>
    <row r="72748" hidden="1" x14ac:dyDescent="0.35"/>
    <row r="72749" hidden="1" x14ac:dyDescent="0.35"/>
    <row r="72750" hidden="1" x14ac:dyDescent="0.35"/>
    <row r="72751" hidden="1" x14ac:dyDescent="0.35"/>
    <row r="72752" hidden="1" x14ac:dyDescent="0.35"/>
    <row r="72753" hidden="1" x14ac:dyDescent="0.35"/>
    <row r="72754" hidden="1" x14ac:dyDescent="0.35"/>
    <row r="72755" hidden="1" x14ac:dyDescent="0.35"/>
    <row r="72756" hidden="1" x14ac:dyDescent="0.35"/>
    <row r="72757" hidden="1" x14ac:dyDescent="0.35"/>
    <row r="72758" hidden="1" x14ac:dyDescent="0.35"/>
    <row r="72759" hidden="1" x14ac:dyDescent="0.35"/>
    <row r="72760" hidden="1" x14ac:dyDescent="0.35"/>
    <row r="72761" hidden="1" x14ac:dyDescent="0.35"/>
    <row r="72762" hidden="1" x14ac:dyDescent="0.35"/>
    <row r="72763" hidden="1" x14ac:dyDescent="0.35"/>
    <row r="72764" hidden="1" x14ac:dyDescent="0.35"/>
    <row r="72765" hidden="1" x14ac:dyDescent="0.35"/>
    <row r="72766" hidden="1" x14ac:dyDescent="0.35"/>
    <row r="72767" hidden="1" x14ac:dyDescent="0.35"/>
    <row r="72768" hidden="1" x14ac:dyDescent="0.35"/>
    <row r="72769" hidden="1" x14ac:dyDescent="0.35"/>
    <row r="72770" hidden="1" x14ac:dyDescent="0.35"/>
    <row r="72771" hidden="1" x14ac:dyDescent="0.35"/>
    <row r="72772" hidden="1" x14ac:dyDescent="0.35"/>
    <row r="72773" hidden="1" x14ac:dyDescent="0.35"/>
    <row r="72774" hidden="1" x14ac:dyDescent="0.35"/>
    <row r="72775" hidden="1" x14ac:dyDescent="0.35"/>
    <row r="72776" hidden="1" x14ac:dyDescent="0.35"/>
    <row r="72777" hidden="1" x14ac:dyDescent="0.35"/>
    <row r="72778" hidden="1" x14ac:dyDescent="0.35"/>
    <row r="72779" hidden="1" x14ac:dyDescent="0.35"/>
    <row r="72780" hidden="1" x14ac:dyDescent="0.35"/>
    <row r="72781" hidden="1" x14ac:dyDescent="0.35"/>
    <row r="72782" hidden="1" x14ac:dyDescent="0.35"/>
    <row r="72783" hidden="1" x14ac:dyDescent="0.35"/>
    <row r="72784" hidden="1" x14ac:dyDescent="0.35"/>
    <row r="72785" hidden="1" x14ac:dyDescent="0.35"/>
    <row r="72786" hidden="1" x14ac:dyDescent="0.35"/>
    <row r="72787" hidden="1" x14ac:dyDescent="0.35"/>
    <row r="72788" hidden="1" x14ac:dyDescent="0.35"/>
    <row r="72789" hidden="1" x14ac:dyDescent="0.35"/>
    <row r="72790" hidden="1" x14ac:dyDescent="0.35"/>
    <row r="72791" hidden="1" x14ac:dyDescent="0.35"/>
    <row r="72792" hidden="1" x14ac:dyDescent="0.35"/>
    <row r="72793" hidden="1" x14ac:dyDescent="0.35"/>
    <row r="72794" hidden="1" x14ac:dyDescent="0.35"/>
    <row r="72795" hidden="1" x14ac:dyDescent="0.35"/>
    <row r="72796" hidden="1" x14ac:dyDescent="0.35"/>
    <row r="72797" hidden="1" x14ac:dyDescent="0.35"/>
    <row r="72798" hidden="1" x14ac:dyDescent="0.35"/>
    <row r="72799" hidden="1" x14ac:dyDescent="0.35"/>
    <row r="72800" hidden="1" x14ac:dyDescent="0.35"/>
    <row r="72801" hidden="1" x14ac:dyDescent="0.35"/>
    <row r="72802" hidden="1" x14ac:dyDescent="0.35"/>
    <row r="72803" hidden="1" x14ac:dyDescent="0.35"/>
    <row r="72804" hidden="1" x14ac:dyDescent="0.35"/>
    <row r="72805" hidden="1" x14ac:dyDescent="0.35"/>
    <row r="72806" hidden="1" x14ac:dyDescent="0.35"/>
    <row r="72807" hidden="1" x14ac:dyDescent="0.35"/>
    <row r="72808" hidden="1" x14ac:dyDescent="0.35"/>
    <row r="72809" hidden="1" x14ac:dyDescent="0.35"/>
    <row r="72810" hidden="1" x14ac:dyDescent="0.35"/>
    <row r="72811" hidden="1" x14ac:dyDescent="0.35"/>
    <row r="72812" hidden="1" x14ac:dyDescent="0.35"/>
    <row r="72813" hidden="1" x14ac:dyDescent="0.35"/>
    <row r="72814" hidden="1" x14ac:dyDescent="0.35"/>
    <row r="72815" hidden="1" x14ac:dyDescent="0.35"/>
    <row r="72816" hidden="1" x14ac:dyDescent="0.35"/>
    <row r="72817" hidden="1" x14ac:dyDescent="0.35"/>
    <row r="72818" hidden="1" x14ac:dyDescent="0.35"/>
    <row r="72819" hidden="1" x14ac:dyDescent="0.35"/>
    <row r="72820" hidden="1" x14ac:dyDescent="0.35"/>
    <row r="72821" hidden="1" x14ac:dyDescent="0.35"/>
    <row r="72822" hidden="1" x14ac:dyDescent="0.35"/>
    <row r="72823" hidden="1" x14ac:dyDescent="0.35"/>
    <row r="72824" hidden="1" x14ac:dyDescent="0.35"/>
    <row r="72825" hidden="1" x14ac:dyDescent="0.35"/>
    <row r="72826" hidden="1" x14ac:dyDescent="0.35"/>
    <row r="72827" hidden="1" x14ac:dyDescent="0.35"/>
    <row r="72828" hidden="1" x14ac:dyDescent="0.35"/>
    <row r="72829" hidden="1" x14ac:dyDescent="0.35"/>
    <row r="72830" hidden="1" x14ac:dyDescent="0.35"/>
    <row r="72831" hidden="1" x14ac:dyDescent="0.35"/>
    <row r="72832" hidden="1" x14ac:dyDescent="0.35"/>
    <row r="72833" hidden="1" x14ac:dyDescent="0.35"/>
    <row r="72834" hidden="1" x14ac:dyDescent="0.35"/>
    <row r="72835" hidden="1" x14ac:dyDescent="0.35"/>
    <row r="72836" hidden="1" x14ac:dyDescent="0.35"/>
    <row r="72837" hidden="1" x14ac:dyDescent="0.35"/>
    <row r="72838" hidden="1" x14ac:dyDescent="0.35"/>
    <row r="72839" hidden="1" x14ac:dyDescent="0.35"/>
    <row r="72840" hidden="1" x14ac:dyDescent="0.35"/>
    <row r="72841" hidden="1" x14ac:dyDescent="0.35"/>
    <row r="72842" hidden="1" x14ac:dyDescent="0.35"/>
    <row r="72843" hidden="1" x14ac:dyDescent="0.35"/>
    <row r="72844" hidden="1" x14ac:dyDescent="0.35"/>
    <row r="72845" hidden="1" x14ac:dyDescent="0.35"/>
    <row r="72846" hidden="1" x14ac:dyDescent="0.35"/>
    <row r="72847" hidden="1" x14ac:dyDescent="0.35"/>
    <row r="72848" hidden="1" x14ac:dyDescent="0.35"/>
    <row r="72849" hidden="1" x14ac:dyDescent="0.35"/>
    <row r="72850" hidden="1" x14ac:dyDescent="0.35"/>
    <row r="72851" hidden="1" x14ac:dyDescent="0.35"/>
    <row r="72852" hidden="1" x14ac:dyDescent="0.35"/>
    <row r="72853" hidden="1" x14ac:dyDescent="0.35"/>
    <row r="72854" hidden="1" x14ac:dyDescent="0.35"/>
    <row r="72855" hidden="1" x14ac:dyDescent="0.35"/>
    <row r="72856" hidden="1" x14ac:dyDescent="0.35"/>
    <row r="72857" hidden="1" x14ac:dyDescent="0.35"/>
    <row r="72858" hidden="1" x14ac:dyDescent="0.35"/>
    <row r="72859" hidden="1" x14ac:dyDescent="0.35"/>
    <row r="72860" hidden="1" x14ac:dyDescent="0.35"/>
    <row r="72861" hidden="1" x14ac:dyDescent="0.35"/>
    <row r="72862" hidden="1" x14ac:dyDescent="0.35"/>
    <row r="72863" hidden="1" x14ac:dyDescent="0.35"/>
    <row r="72864" hidden="1" x14ac:dyDescent="0.35"/>
    <row r="72865" hidden="1" x14ac:dyDescent="0.35"/>
    <row r="72866" hidden="1" x14ac:dyDescent="0.35"/>
    <row r="72867" hidden="1" x14ac:dyDescent="0.35"/>
    <row r="72868" hidden="1" x14ac:dyDescent="0.35"/>
    <row r="72869" hidden="1" x14ac:dyDescent="0.35"/>
    <row r="72870" hidden="1" x14ac:dyDescent="0.35"/>
    <row r="72871" hidden="1" x14ac:dyDescent="0.35"/>
    <row r="72872" hidden="1" x14ac:dyDescent="0.35"/>
    <row r="72873" hidden="1" x14ac:dyDescent="0.35"/>
    <row r="72874" hidden="1" x14ac:dyDescent="0.35"/>
    <row r="72875" hidden="1" x14ac:dyDescent="0.35"/>
    <row r="72876" hidden="1" x14ac:dyDescent="0.35"/>
    <row r="72877" hidden="1" x14ac:dyDescent="0.35"/>
    <row r="72878" hidden="1" x14ac:dyDescent="0.35"/>
    <row r="72879" hidden="1" x14ac:dyDescent="0.35"/>
    <row r="72880" hidden="1" x14ac:dyDescent="0.35"/>
    <row r="72881" hidden="1" x14ac:dyDescent="0.35"/>
    <row r="72882" hidden="1" x14ac:dyDescent="0.35"/>
    <row r="72883" hidden="1" x14ac:dyDescent="0.35"/>
    <row r="72884" hidden="1" x14ac:dyDescent="0.35"/>
    <row r="72885" hidden="1" x14ac:dyDescent="0.35"/>
    <row r="72886" hidden="1" x14ac:dyDescent="0.35"/>
    <row r="72887" hidden="1" x14ac:dyDescent="0.35"/>
    <row r="72888" hidden="1" x14ac:dyDescent="0.35"/>
    <row r="72889" hidden="1" x14ac:dyDescent="0.35"/>
    <row r="72890" hidden="1" x14ac:dyDescent="0.35"/>
    <row r="72891" hidden="1" x14ac:dyDescent="0.35"/>
    <row r="72892" hidden="1" x14ac:dyDescent="0.35"/>
    <row r="72893" hidden="1" x14ac:dyDescent="0.35"/>
    <row r="72894" hidden="1" x14ac:dyDescent="0.35"/>
    <row r="72895" hidden="1" x14ac:dyDescent="0.35"/>
    <row r="72896" hidden="1" x14ac:dyDescent="0.35"/>
    <row r="72897" hidden="1" x14ac:dyDescent="0.35"/>
    <row r="72898" hidden="1" x14ac:dyDescent="0.35"/>
    <row r="72899" hidden="1" x14ac:dyDescent="0.35"/>
    <row r="72900" hidden="1" x14ac:dyDescent="0.35"/>
    <row r="72901" hidden="1" x14ac:dyDescent="0.35"/>
    <row r="72902" hidden="1" x14ac:dyDescent="0.35"/>
    <row r="72903" hidden="1" x14ac:dyDescent="0.35"/>
    <row r="72904" hidden="1" x14ac:dyDescent="0.35"/>
    <row r="72905" hidden="1" x14ac:dyDescent="0.35"/>
    <row r="72906" hidden="1" x14ac:dyDescent="0.35"/>
    <row r="72907" hidden="1" x14ac:dyDescent="0.35"/>
    <row r="72908" hidden="1" x14ac:dyDescent="0.35"/>
    <row r="72909" hidden="1" x14ac:dyDescent="0.35"/>
    <row r="72910" hidden="1" x14ac:dyDescent="0.35"/>
    <row r="72911" hidden="1" x14ac:dyDescent="0.35"/>
    <row r="72912" hidden="1" x14ac:dyDescent="0.35"/>
    <row r="72913" hidden="1" x14ac:dyDescent="0.35"/>
    <row r="72914" hidden="1" x14ac:dyDescent="0.35"/>
    <row r="72915" hidden="1" x14ac:dyDescent="0.35"/>
    <row r="72916" hidden="1" x14ac:dyDescent="0.35"/>
    <row r="72917" hidden="1" x14ac:dyDescent="0.35"/>
    <row r="72918" hidden="1" x14ac:dyDescent="0.35"/>
    <row r="72919" hidden="1" x14ac:dyDescent="0.35"/>
    <row r="72920" hidden="1" x14ac:dyDescent="0.35"/>
    <row r="72921" hidden="1" x14ac:dyDescent="0.35"/>
    <row r="72922" hidden="1" x14ac:dyDescent="0.35"/>
    <row r="72923" hidden="1" x14ac:dyDescent="0.35"/>
    <row r="72924" hidden="1" x14ac:dyDescent="0.35"/>
    <row r="72925" hidden="1" x14ac:dyDescent="0.35"/>
    <row r="72926" hidden="1" x14ac:dyDescent="0.35"/>
    <row r="72927" hidden="1" x14ac:dyDescent="0.35"/>
    <row r="72928" hidden="1" x14ac:dyDescent="0.35"/>
    <row r="72929" hidden="1" x14ac:dyDescent="0.35"/>
    <row r="72930" hidden="1" x14ac:dyDescent="0.35"/>
    <row r="72931" hidden="1" x14ac:dyDescent="0.35"/>
    <row r="72932" hidden="1" x14ac:dyDescent="0.35"/>
    <row r="72933" hidden="1" x14ac:dyDescent="0.35"/>
    <row r="72934" hidden="1" x14ac:dyDescent="0.35"/>
    <row r="72935" hidden="1" x14ac:dyDescent="0.35"/>
    <row r="72936" hidden="1" x14ac:dyDescent="0.35"/>
    <row r="72937" hidden="1" x14ac:dyDescent="0.35"/>
    <row r="72938" hidden="1" x14ac:dyDescent="0.35"/>
    <row r="72939" hidden="1" x14ac:dyDescent="0.35"/>
    <row r="72940" hidden="1" x14ac:dyDescent="0.35"/>
    <row r="72941" hidden="1" x14ac:dyDescent="0.35"/>
    <row r="72942" hidden="1" x14ac:dyDescent="0.35"/>
    <row r="72943" hidden="1" x14ac:dyDescent="0.35"/>
    <row r="72944" hidden="1" x14ac:dyDescent="0.35"/>
    <row r="72945" hidden="1" x14ac:dyDescent="0.35"/>
    <row r="72946" hidden="1" x14ac:dyDescent="0.35"/>
    <row r="72947" hidden="1" x14ac:dyDescent="0.35"/>
    <row r="72948" hidden="1" x14ac:dyDescent="0.35"/>
    <row r="72949" hidden="1" x14ac:dyDescent="0.35"/>
    <row r="72950" hidden="1" x14ac:dyDescent="0.35"/>
    <row r="72951" hidden="1" x14ac:dyDescent="0.35"/>
    <row r="72952" hidden="1" x14ac:dyDescent="0.35"/>
    <row r="72953" hidden="1" x14ac:dyDescent="0.35"/>
    <row r="72954" hidden="1" x14ac:dyDescent="0.35"/>
    <row r="72955" hidden="1" x14ac:dyDescent="0.35"/>
    <row r="72956" hidden="1" x14ac:dyDescent="0.35"/>
    <row r="72957" hidden="1" x14ac:dyDescent="0.35"/>
    <row r="72958" hidden="1" x14ac:dyDescent="0.35"/>
    <row r="72959" hidden="1" x14ac:dyDescent="0.35"/>
    <row r="72960" hidden="1" x14ac:dyDescent="0.35"/>
    <row r="72961" hidden="1" x14ac:dyDescent="0.35"/>
    <row r="72962" hidden="1" x14ac:dyDescent="0.35"/>
    <row r="72963" hidden="1" x14ac:dyDescent="0.35"/>
    <row r="72964" hidden="1" x14ac:dyDescent="0.35"/>
    <row r="72965" hidden="1" x14ac:dyDescent="0.35"/>
    <row r="72966" hidden="1" x14ac:dyDescent="0.35"/>
    <row r="72967" hidden="1" x14ac:dyDescent="0.35"/>
    <row r="72968" hidden="1" x14ac:dyDescent="0.35"/>
    <row r="72969" hidden="1" x14ac:dyDescent="0.35"/>
    <row r="72970" hidden="1" x14ac:dyDescent="0.35"/>
    <row r="72971" hidden="1" x14ac:dyDescent="0.35"/>
    <row r="72972" hidden="1" x14ac:dyDescent="0.35"/>
    <row r="72973" hidden="1" x14ac:dyDescent="0.35"/>
    <row r="72974" hidden="1" x14ac:dyDescent="0.35"/>
    <row r="72975" hidden="1" x14ac:dyDescent="0.35"/>
    <row r="72976" hidden="1" x14ac:dyDescent="0.35"/>
    <row r="72977" hidden="1" x14ac:dyDescent="0.35"/>
    <row r="72978" hidden="1" x14ac:dyDescent="0.35"/>
    <row r="72979" hidden="1" x14ac:dyDescent="0.35"/>
    <row r="72980" hidden="1" x14ac:dyDescent="0.35"/>
    <row r="72981" hidden="1" x14ac:dyDescent="0.35"/>
    <row r="72982" hidden="1" x14ac:dyDescent="0.35"/>
    <row r="72983" hidden="1" x14ac:dyDescent="0.35"/>
    <row r="72984" hidden="1" x14ac:dyDescent="0.35"/>
    <row r="72985" hidden="1" x14ac:dyDescent="0.35"/>
    <row r="72986" hidden="1" x14ac:dyDescent="0.35"/>
    <row r="72987" hidden="1" x14ac:dyDescent="0.35"/>
    <row r="72988" hidden="1" x14ac:dyDescent="0.35"/>
    <row r="72989" hidden="1" x14ac:dyDescent="0.35"/>
    <row r="72990" hidden="1" x14ac:dyDescent="0.35"/>
    <row r="72991" hidden="1" x14ac:dyDescent="0.35"/>
    <row r="72992" hidden="1" x14ac:dyDescent="0.35"/>
    <row r="72993" hidden="1" x14ac:dyDescent="0.35"/>
    <row r="72994" hidden="1" x14ac:dyDescent="0.35"/>
    <row r="72995" hidden="1" x14ac:dyDescent="0.35"/>
    <row r="72996" hidden="1" x14ac:dyDescent="0.35"/>
    <row r="72997" hidden="1" x14ac:dyDescent="0.35"/>
    <row r="72998" hidden="1" x14ac:dyDescent="0.35"/>
    <row r="72999" hidden="1" x14ac:dyDescent="0.35"/>
    <row r="73000" hidden="1" x14ac:dyDescent="0.35"/>
    <row r="73001" hidden="1" x14ac:dyDescent="0.35"/>
    <row r="73002" hidden="1" x14ac:dyDescent="0.35"/>
    <row r="73003" hidden="1" x14ac:dyDescent="0.35"/>
    <row r="73004" hidden="1" x14ac:dyDescent="0.35"/>
    <row r="73005" hidden="1" x14ac:dyDescent="0.35"/>
    <row r="73006" hidden="1" x14ac:dyDescent="0.35"/>
    <row r="73007" hidden="1" x14ac:dyDescent="0.35"/>
    <row r="73008" hidden="1" x14ac:dyDescent="0.35"/>
    <row r="73009" hidden="1" x14ac:dyDescent="0.35"/>
    <row r="73010" hidden="1" x14ac:dyDescent="0.35"/>
    <row r="73011" hidden="1" x14ac:dyDescent="0.35"/>
    <row r="73012" hidden="1" x14ac:dyDescent="0.35"/>
    <row r="73013" hidden="1" x14ac:dyDescent="0.35"/>
    <row r="73014" hidden="1" x14ac:dyDescent="0.35"/>
    <row r="73015" hidden="1" x14ac:dyDescent="0.35"/>
    <row r="73016" hidden="1" x14ac:dyDescent="0.35"/>
    <row r="73017" hidden="1" x14ac:dyDescent="0.35"/>
    <row r="73018" hidden="1" x14ac:dyDescent="0.35"/>
    <row r="73019" hidden="1" x14ac:dyDescent="0.35"/>
    <row r="73020" hidden="1" x14ac:dyDescent="0.35"/>
    <row r="73021" hidden="1" x14ac:dyDescent="0.35"/>
    <row r="73022" hidden="1" x14ac:dyDescent="0.35"/>
    <row r="73023" hidden="1" x14ac:dyDescent="0.35"/>
    <row r="73024" hidden="1" x14ac:dyDescent="0.35"/>
    <row r="73025" hidden="1" x14ac:dyDescent="0.35"/>
    <row r="73026" hidden="1" x14ac:dyDescent="0.35"/>
    <row r="73027" hidden="1" x14ac:dyDescent="0.35"/>
    <row r="73028" hidden="1" x14ac:dyDescent="0.35"/>
    <row r="73029" hidden="1" x14ac:dyDescent="0.35"/>
    <row r="73030" hidden="1" x14ac:dyDescent="0.35"/>
    <row r="73031" hidden="1" x14ac:dyDescent="0.35"/>
    <row r="73032" hidden="1" x14ac:dyDescent="0.35"/>
    <row r="73033" hidden="1" x14ac:dyDescent="0.35"/>
    <row r="73034" hidden="1" x14ac:dyDescent="0.35"/>
    <row r="73035" hidden="1" x14ac:dyDescent="0.35"/>
    <row r="73036" hidden="1" x14ac:dyDescent="0.35"/>
    <row r="73037" hidden="1" x14ac:dyDescent="0.35"/>
    <row r="73038" hidden="1" x14ac:dyDescent="0.35"/>
    <row r="73039" hidden="1" x14ac:dyDescent="0.35"/>
    <row r="73040" hidden="1" x14ac:dyDescent="0.35"/>
    <row r="73041" hidden="1" x14ac:dyDescent="0.35"/>
    <row r="73042" hidden="1" x14ac:dyDescent="0.35"/>
    <row r="73043" hidden="1" x14ac:dyDescent="0.35"/>
    <row r="73044" hidden="1" x14ac:dyDescent="0.35"/>
    <row r="73045" hidden="1" x14ac:dyDescent="0.35"/>
    <row r="73046" hidden="1" x14ac:dyDescent="0.35"/>
    <row r="73047" hidden="1" x14ac:dyDescent="0.35"/>
    <row r="73048" hidden="1" x14ac:dyDescent="0.35"/>
    <row r="73049" hidden="1" x14ac:dyDescent="0.35"/>
    <row r="73050" hidden="1" x14ac:dyDescent="0.35"/>
    <row r="73051" hidden="1" x14ac:dyDescent="0.35"/>
    <row r="73052" hidden="1" x14ac:dyDescent="0.35"/>
    <row r="73053" hidden="1" x14ac:dyDescent="0.35"/>
    <row r="73054" hidden="1" x14ac:dyDescent="0.35"/>
    <row r="73055" hidden="1" x14ac:dyDescent="0.35"/>
    <row r="73056" hidden="1" x14ac:dyDescent="0.35"/>
    <row r="73057" hidden="1" x14ac:dyDescent="0.35"/>
    <row r="73058" hidden="1" x14ac:dyDescent="0.35"/>
    <row r="73059" hidden="1" x14ac:dyDescent="0.35"/>
    <row r="73060" hidden="1" x14ac:dyDescent="0.35"/>
    <row r="73061" hidden="1" x14ac:dyDescent="0.35"/>
    <row r="73062" hidden="1" x14ac:dyDescent="0.35"/>
    <row r="73063" hidden="1" x14ac:dyDescent="0.35"/>
    <row r="73064" hidden="1" x14ac:dyDescent="0.35"/>
    <row r="73065" hidden="1" x14ac:dyDescent="0.35"/>
    <row r="73066" hidden="1" x14ac:dyDescent="0.35"/>
    <row r="73067" hidden="1" x14ac:dyDescent="0.35"/>
    <row r="73068" hidden="1" x14ac:dyDescent="0.35"/>
    <row r="73069" hidden="1" x14ac:dyDescent="0.35"/>
    <row r="73070" hidden="1" x14ac:dyDescent="0.35"/>
    <row r="73071" hidden="1" x14ac:dyDescent="0.35"/>
    <row r="73072" hidden="1" x14ac:dyDescent="0.35"/>
    <row r="73073" hidden="1" x14ac:dyDescent="0.35"/>
    <row r="73074" hidden="1" x14ac:dyDescent="0.35"/>
    <row r="73075" hidden="1" x14ac:dyDescent="0.35"/>
    <row r="73076" hidden="1" x14ac:dyDescent="0.35"/>
    <row r="73077" hidden="1" x14ac:dyDescent="0.35"/>
    <row r="73078" hidden="1" x14ac:dyDescent="0.35"/>
    <row r="73079" hidden="1" x14ac:dyDescent="0.35"/>
    <row r="73080" hidden="1" x14ac:dyDescent="0.35"/>
    <row r="73081" hidden="1" x14ac:dyDescent="0.35"/>
    <row r="73082" hidden="1" x14ac:dyDescent="0.35"/>
    <row r="73083" hidden="1" x14ac:dyDescent="0.35"/>
    <row r="73084" hidden="1" x14ac:dyDescent="0.35"/>
    <row r="73085" hidden="1" x14ac:dyDescent="0.35"/>
    <row r="73086" hidden="1" x14ac:dyDescent="0.35"/>
    <row r="73087" hidden="1" x14ac:dyDescent="0.35"/>
    <row r="73088" hidden="1" x14ac:dyDescent="0.35"/>
    <row r="73089" hidden="1" x14ac:dyDescent="0.35"/>
    <row r="73090" hidden="1" x14ac:dyDescent="0.35"/>
    <row r="73091" hidden="1" x14ac:dyDescent="0.35"/>
    <row r="73092" hidden="1" x14ac:dyDescent="0.35"/>
    <row r="73093" hidden="1" x14ac:dyDescent="0.35"/>
    <row r="73094" hidden="1" x14ac:dyDescent="0.35"/>
    <row r="73095" hidden="1" x14ac:dyDescent="0.35"/>
    <row r="73096" hidden="1" x14ac:dyDescent="0.35"/>
    <row r="73097" hidden="1" x14ac:dyDescent="0.35"/>
    <row r="73098" hidden="1" x14ac:dyDescent="0.35"/>
    <row r="73099" hidden="1" x14ac:dyDescent="0.35"/>
    <row r="73100" hidden="1" x14ac:dyDescent="0.35"/>
    <row r="73101" hidden="1" x14ac:dyDescent="0.35"/>
    <row r="73102" hidden="1" x14ac:dyDescent="0.35"/>
    <row r="73103" hidden="1" x14ac:dyDescent="0.35"/>
    <row r="73104" hidden="1" x14ac:dyDescent="0.35"/>
    <row r="73105" hidden="1" x14ac:dyDescent="0.35"/>
    <row r="73106" hidden="1" x14ac:dyDescent="0.35"/>
    <row r="73107" hidden="1" x14ac:dyDescent="0.35"/>
    <row r="73108" hidden="1" x14ac:dyDescent="0.35"/>
    <row r="73109" hidden="1" x14ac:dyDescent="0.35"/>
    <row r="73110" hidden="1" x14ac:dyDescent="0.35"/>
    <row r="73111" hidden="1" x14ac:dyDescent="0.35"/>
    <row r="73112" hidden="1" x14ac:dyDescent="0.35"/>
    <row r="73113" hidden="1" x14ac:dyDescent="0.35"/>
    <row r="73114" hidden="1" x14ac:dyDescent="0.35"/>
    <row r="73115" hidden="1" x14ac:dyDescent="0.35"/>
    <row r="73116" hidden="1" x14ac:dyDescent="0.35"/>
    <row r="73117" hidden="1" x14ac:dyDescent="0.35"/>
    <row r="73118" hidden="1" x14ac:dyDescent="0.35"/>
    <row r="73119" hidden="1" x14ac:dyDescent="0.35"/>
    <row r="73120" hidden="1" x14ac:dyDescent="0.35"/>
    <row r="73121" hidden="1" x14ac:dyDescent="0.35"/>
    <row r="73122" hidden="1" x14ac:dyDescent="0.35"/>
    <row r="73123" hidden="1" x14ac:dyDescent="0.35"/>
    <row r="73124" hidden="1" x14ac:dyDescent="0.35"/>
    <row r="73125" hidden="1" x14ac:dyDescent="0.35"/>
    <row r="73126" hidden="1" x14ac:dyDescent="0.35"/>
    <row r="73127" hidden="1" x14ac:dyDescent="0.35"/>
    <row r="73128" hidden="1" x14ac:dyDescent="0.35"/>
    <row r="73129" hidden="1" x14ac:dyDescent="0.35"/>
    <row r="73130" hidden="1" x14ac:dyDescent="0.35"/>
    <row r="73131" hidden="1" x14ac:dyDescent="0.35"/>
    <row r="73132" hidden="1" x14ac:dyDescent="0.35"/>
    <row r="73133" hidden="1" x14ac:dyDescent="0.35"/>
    <row r="73134" hidden="1" x14ac:dyDescent="0.35"/>
    <row r="73135" hidden="1" x14ac:dyDescent="0.35"/>
    <row r="73136" hidden="1" x14ac:dyDescent="0.35"/>
    <row r="73137" hidden="1" x14ac:dyDescent="0.35"/>
    <row r="73138" hidden="1" x14ac:dyDescent="0.35"/>
    <row r="73139" hidden="1" x14ac:dyDescent="0.35"/>
    <row r="73140" hidden="1" x14ac:dyDescent="0.35"/>
    <row r="73141" hidden="1" x14ac:dyDescent="0.35"/>
    <row r="73142" hidden="1" x14ac:dyDescent="0.35"/>
    <row r="73143" hidden="1" x14ac:dyDescent="0.35"/>
    <row r="73144" hidden="1" x14ac:dyDescent="0.35"/>
    <row r="73145" hidden="1" x14ac:dyDescent="0.35"/>
    <row r="73146" hidden="1" x14ac:dyDescent="0.35"/>
    <row r="73147" hidden="1" x14ac:dyDescent="0.35"/>
    <row r="73148" hidden="1" x14ac:dyDescent="0.35"/>
    <row r="73149" hidden="1" x14ac:dyDescent="0.35"/>
    <row r="73150" hidden="1" x14ac:dyDescent="0.35"/>
    <row r="73151" hidden="1" x14ac:dyDescent="0.35"/>
    <row r="73152" hidden="1" x14ac:dyDescent="0.35"/>
    <row r="73153" hidden="1" x14ac:dyDescent="0.35"/>
    <row r="73154" hidden="1" x14ac:dyDescent="0.35"/>
    <row r="73155" hidden="1" x14ac:dyDescent="0.35"/>
    <row r="73156" hidden="1" x14ac:dyDescent="0.35"/>
    <row r="73157" hidden="1" x14ac:dyDescent="0.35"/>
    <row r="73158" hidden="1" x14ac:dyDescent="0.35"/>
    <row r="73159" hidden="1" x14ac:dyDescent="0.35"/>
    <row r="73160" hidden="1" x14ac:dyDescent="0.35"/>
    <row r="73161" hidden="1" x14ac:dyDescent="0.35"/>
    <row r="73162" hidden="1" x14ac:dyDescent="0.35"/>
    <row r="73163" hidden="1" x14ac:dyDescent="0.35"/>
    <row r="73164" hidden="1" x14ac:dyDescent="0.35"/>
    <row r="73165" hidden="1" x14ac:dyDescent="0.35"/>
    <row r="73166" hidden="1" x14ac:dyDescent="0.35"/>
    <row r="73167" hidden="1" x14ac:dyDescent="0.35"/>
    <row r="73168" hidden="1" x14ac:dyDescent="0.35"/>
    <row r="73169" hidden="1" x14ac:dyDescent="0.35"/>
    <row r="73170" hidden="1" x14ac:dyDescent="0.35"/>
    <row r="73171" hidden="1" x14ac:dyDescent="0.35"/>
    <row r="73172" hidden="1" x14ac:dyDescent="0.35"/>
    <row r="73173" hidden="1" x14ac:dyDescent="0.35"/>
    <row r="73174" hidden="1" x14ac:dyDescent="0.35"/>
    <row r="73175" hidden="1" x14ac:dyDescent="0.35"/>
    <row r="73176" hidden="1" x14ac:dyDescent="0.35"/>
    <row r="73177" hidden="1" x14ac:dyDescent="0.35"/>
    <row r="73178" hidden="1" x14ac:dyDescent="0.35"/>
    <row r="73179" hidden="1" x14ac:dyDescent="0.35"/>
    <row r="73180" hidden="1" x14ac:dyDescent="0.35"/>
    <row r="73181" hidden="1" x14ac:dyDescent="0.35"/>
    <row r="73182" hidden="1" x14ac:dyDescent="0.35"/>
    <row r="73183" hidden="1" x14ac:dyDescent="0.35"/>
    <row r="73184" hidden="1" x14ac:dyDescent="0.35"/>
    <row r="73185" hidden="1" x14ac:dyDescent="0.35"/>
    <row r="73186" hidden="1" x14ac:dyDescent="0.35"/>
    <row r="73187" hidden="1" x14ac:dyDescent="0.35"/>
    <row r="73188" hidden="1" x14ac:dyDescent="0.35"/>
    <row r="73189" hidden="1" x14ac:dyDescent="0.35"/>
    <row r="73190" hidden="1" x14ac:dyDescent="0.35"/>
    <row r="73191" hidden="1" x14ac:dyDescent="0.35"/>
    <row r="73192" hidden="1" x14ac:dyDescent="0.35"/>
    <row r="73193" hidden="1" x14ac:dyDescent="0.35"/>
    <row r="73194" hidden="1" x14ac:dyDescent="0.35"/>
    <row r="73195" hidden="1" x14ac:dyDescent="0.35"/>
    <row r="73196" hidden="1" x14ac:dyDescent="0.35"/>
    <row r="73197" hidden="1" x14ac:dyDescent="0.35"/>
    <row r="73198" hidden="1" x14ac:dyDescent="0.35"/>
    <row r="73199" hidden="1" x14ac:dyDescent="0.35"/>
    <row r="73200" hidden="1" x14ac:dyDescent="0.35"/>
    <row r="73201" hidden="1" x14ac:dyDescent="0.35"/>
    <row r="73202" hidden="1" x14ac:dyDescent="0.35"/>
    <row r="73203" hidden="1" x14ac:dyDescent="0.35"/>
    <row r="73204" hidden="1" x14ac:dyDescent="0.35"/>
    <row r="73205" hidden="1" x14ac:dyDescent="0.35"/>
    <row r="73206" hidden="1" x14ac:dyDescent="0.35"/>
    <row r="73207" hidden="1" x14ac:dyDescent="0.35"/>
    <row r="73208" hidden="1" x14ac:dyDescent="0.35"/>
    <row r="73209" hidden="1" x14ac:dyDescent="0.35"/>
    <row r="73210" hidden="1" x14ac:dyDescent="0.35"/>
    <row r="73211" hidden="1" x14ac:dyDescent="0.35"/>
    <row r="73212" hidden="1" x14ac:dyDescent="0.35"/>
    <row r="73213" hidden="1" x14ac:dyDescent="0.35"/>
    <row r="73214" hidden="1" x14ac:dyDescent="0.35"/>
    <row r="73215" hidden="1" x14ac:dyDescent="0.35"/>
    <row r="73216" hidden="1" x14ac:dyDescent="0.35"/>
    <row r="73217" hidden="1" x14ac:dyDescent="0.35"/>
    <row r="73218" hidden="1" x14ac:dyDescent="0.35"/>
    <row r="73219" hidden="1" x14ac:dyDescent="0.35"/>
    <row r="73220" hidden="1" x14ac:dyDescent="0.35"/>
    <row r="73221" hidden="1" x14ac:dyDescent="0.35"/>
    <row r="73222" hidden="1" x14ac:dyDescent="0.35"/>
    <row r="73223" hidden="1" x14ac:dyDescent="0.35"/>
    <row r="73224" hidden="1" x14ac:dyDescent="0.35"/>
    <row r="73225" hidden="1" x14ac:dyDescent="0.35"/>
    <row r="73226" hidden="1" x14ac:dyDescent="0.35"/>
    <row r="73227" hidden="1" x14ac:dyDescent="0.35"/>
    <row r="73228" hidden="1" x14ac:dyDescent="0.35"/>
    <row r="73229" hidden="1" x14ac:dyDescent="0.35"/>
    <row r="73230" hidden="1" x14ac:dyDescent="0.35"/>
    <row r="73231" hidden="1" x14ac:dyDescent="0.35"/>
    <row r="73232" hidden="1" x14ac:dyDescent="0.35"/>
    <row r="73233" hidden="1" x14ac:dyDescent="0.35"/>
    <row r="73234" hidden="1" x14ac:dyDescent="0.35"/>
    <row r="73235" hidden="1" x14ac:dyDescent="0.35"/>
    <row r="73236" hidden="1" x14ac:dyDescent="0.35"/>
    <row r="73237" hidden="1" x14ac:dyDescent="0.35"/>
    <row r="73238" hidden="1" x14ac:dyDescent="0.35"/>
    <row r="73239" hidden="1" x14ac:dyDescent="0.35"/>
    <row r="73240" hidden="1" x14ac:dyDescent="0.35"/>
    <row r="73241" hidden="1" x14ac:dyDescent="0.35"/>
    <row r="73242" hidden="1" x14ac:dyDescent="0.35"/>
    <row r="73243" hidden="1" x14ac:dyDescent="0.35"/>
    <row r="73244" hidden="1" x14ac:dyDescent="0.35"/>
    <row r="73245" hidden="1" x14ac:dyDescent="0.35"/>
    <row r="73246" hidden="1" x14ac:dyDescent="0.35"/>
    <row r="73247" hidden="1" x14ac:dyDescent="0.35"/>
    <row r="73248" hidden="1" x14ac:dyDescent="0.35"/>
    <row r="73249" hidden="1" x14ac:dyDescent="0.35"/>
    <row r="73250" hidden="1" x14ac:dyDescent="0.35"/>
    <row r="73251" hidden="1" x14ac:dyDescent="0.35"/>
    <row r="73252" hidden="1" x14ac:dyDescent="0.35"/>
    <row r="73253" hidden="1" x14ac:dyDescent="0.35"/>
    <row r="73254" hidden="1" x14ac:dyDescent="0.35"/>
    <row r="73255" hidden="1" x14ac:dyDescent="0.35"/>
    <row r="73256" hidden="1" x14ac:dyDescent="0.35"/>
    <row r="73257" hidden="1" x14ac:dyDescent="0.35"/>
    <row r="73258" hidden="1" x14ac:dyDescent="0.35"/>
    <row r="73259" hidden="1" x14ac:dyDescent="0.35"/>
    <row r="73260" hidden="1" x14ac:dyDescent="0.35"/>
    <row r="73261" hidden="1" x14ac:dyDescent="0.35"/>
    <row r="73262" hidden="1" x14ac:dyDescent="0.35"/>
    <row r="73263" hidden="1" x14ac:dyDescent="0.35"/>
    <row r="73264" hidden="1" x14ac:dyDescent="0.35"/>
    <row r="73265" hidden="1" x14ac:dyDescent="0.35"/>
    <row r="73266" hidden="1" x14ac:dyDescent="0.35"/>
    <row r="73267" hidden="1" x14ac:dyDescent="0.35"/>
    <row r="73268" hidden="1" x14ac:dyDescent="0.35"/>
    <row r="73269" hidden="1" x14ac:dyDescent="0.35"/>
    <row r="73270" hidden="1" x14ac:dyDescent="0.35"/>
    <row r="73271" hidden="1" x14ac:dyDescent="0.35"/>
    <row r="73272" hidden="1" x14ac:dyDescent="0.35"/>
    <row r="73273" hidden="1" x14ac:dyDescent="0.35"/>
    <row r="73274" hidden="1" x14ac:dyDescent="0.35"/>
    <row r="73275" hidden="1" x14ac:dyDescent="0.35"/>
    <row r="73276" hidden="1" x14ac:dyDescent="0.35"/>
    <row r="73277" hidden="1" x14ac:dyDescent="0.35"/>
    <row r="73278" hidden="1" x14ac:dyDescent="0.35"/>
    <row r="73279" hidden="1" x14ac:dyDescent="0.35"/>
    <row r="73280" hidden="1" x14ac:dyDescent="0.35"/>
    <row r="73281" hidden="1" x14ac:dyDescent="0.35"/>
    <row r="73282" hidden="1" x14ac:dyDescent="0.35"/>
    <row r="73283" hidden="1" x14ac:dyDescent="0.35"/>
    <row r="73284" hidden="1" x14ac:dyDescent="0.35"/>
    <row r="73285" hidden="1" x14ac:dyDescent="0.35"/>
    <row r="73286" hidden="1" x14ac:dyDescent="0.35"/>
    <row r="73287" hidden="1" x14ac:dyDescent="0.35"/>
    <row r="73288" hidden="1" x14ac:dyDescent="0.35"/>
    <row r="73289" hidden="1" x14ac:dyDescent="0.35"/>
    <row r="73290" hidden="1" x14ac:dyDescent="0.35"/>
    <row r="73291" hidden="1" x14ac:dyDescent="0.35"/>
    <row r="73292" hidden="1" x14ac:dyDescent="0.35"/>
    <row r="73293" hidden="1" x14ac:dyDescent="0.35"/>
    <row r="73294" hidden="1" x14ac:dyDescent="0.35"/>
    <row r="73295" hidden="1" x14ac:dyDescent="0.35"/>
    <row r="73296" hidden="1" x14ac:dyDescent="0.35"/>
    <row r="73297" hidden="1" x14ac:dyDescent="0.35"/>
    <row r="73298" hidden="1" x14ac:dyDescent="0.35"/>
    <row r="73299" hidden="1" x14ac:dyDescent="0.35"/>
    <row r="73300" hidden="1" x14ac:dyDescent="0.35"/>
    <row r="73301" hidden="1" x14ac:dyDescent="0.35"/>
    <row r="73302" hidden="1" x14ac:dyDescent="0.35"/>
    <row r="73303" hidden="1" x14ac:dyDescent="0.35"/>
    <row r="73304" hidden="1" x14ac:dyDescent="0.35"/>
    <row r="73305" hidden="1" x14ac:dyDescent="0.35"/>
    <row r="73306" hidden="1" x14ac:dyDescent="0.35"/>
    <row r="73307" hidden="1" x14ac:dyDescent="0.35"/>
    <row r="73308" hidden="1" x14ac:dyDescent="0.35"/>
    <row r="73309" hidden="1" x14ac:dyDescent="0.35"/>
    <row r="73310" hidden="1" x14ac:dyDescent="0.35"/>
    <row r="73311" hidden="1" x14ac:dyDescent="0.35"/>
    <row r="73312" hidden="1" x14ac:dyDescent="0.35"/>
    <row r="73313" hidden="1" x14ac:dyDescent="0.35"/>
    <row r="73314" hidden="1" x14ac:dyDescent="0.35"/>
    <row r="73315" hidden="1" x14ac:dyDescent="0.35"/>
    <row r="73316" hidden="1" x14ac:dyDescent="0.35"/>
    <row r="73317" hidden="1" x14ac:dyDescent="0.35"/>
    <row r="73318" hidden="1" x14ac:dyDescent="0.35"/>
    <row r="73319" hidden="1" x14ac:dyDescent="0.35"/>
    <row r="73320" hidden="1" x14ac:dyDescent="0.35"/>
    <row r="73321" hidden="1" x14ac:dyDescent="0.35"/>
    <row r="73322" hidden="1" x14ac:dyDescent="0.35"/>
    <row r="73323" hidden="1" x14ac:dyDescent="0.35"/>
    <row r="73324" hidden="1" x14ac:dyDescent="0.35"/>
    <row r="73325" hidden="1" x14ac:dyDescent="0.35"/>
    <row r="73326" hidden="1" x14ac:dyDescent="0.35"/>
    <row r="73327" hidden="1" x14ac:dyDescent="0.35"/>
    <row r="73328" hidden="1" x14ac:dyDescent="0.35"/>
    <row r="73329" hidden="1" x14ac:dyDescent="0.35"/>
    <row r="73330" hidden="1" x14ac:dyDescent="0.35"/>
    <row r="73331" hidden="1" x14ac:dyDescent="0.35"/>
    <row r="73332" hidden="1" x14ac:dyDescent="0.35"/>
    <row r="73333" hidden="1" x14ac:dyDescent="0.35"/>
    <row r="73334" hidden="1" x14ac:dyDescent="0.35"/>
    <row r="73335" hidden="1" x14ac:dyDescent="0.35"/>
    <row r="73336" hidden="1" x14ac:dyDescent="0.35"/>
    <row r="73337" hidden="1" x14ac:dyDescent="0.35"/>
    <row r="73338" hidden="1" x14ac:dyDescent="0.35"/>
    <row r="73339" hidden="1" x14ac:dyDescent="0.35"/>
    <row r="73340" hidden="1" x14ac:dyDescent="0.35"/>
    <row r="73341" hidden="1" x14ac:dyDescent="0.35"/>
    <row r="73342" hidden="1" x14ac:dyDescent="0.35"/>
    <row r="73343" hidden="1" x14ac:dyDescent="0.35"/>
    <row r="73344" hidden="1" x14ac:dyDescent="0.35"/>
    <row r="73345" hidden="1" x14ac:dyDescent="0.35"/>
    <row r="73346" hidden="1" x14ac:dyDescent="0.35"/>
    <row r="73347" hidden="1" x14ac:dyDescent="0.35"/>
    <row r="73348" hidden="1" x14ac:dyDescent="0.35"/>
    <row r="73349" hidden="1" x14ac:dyDescent="0.35"/>
    <row r="73350" hidden="1" x14ac:dyDescent="0.35"/>
    <row r="73351" hidden="1" x14ac:dyDescent="0.35"/>
    <row r="73352" hidden="1" x14ac:dyDescent="0.35"/>
    <row r="73353" hidden="1" x14ac:dyDescent="0.35"/>
    <row r="73354" hidden="1" x14ac:dyDescent="0.35"/>
    <row r="73355" hidden="1" x14ac:dyDescent="0.35"/>
    <row r="73356" hidden="1" x14ac:dyDescent="0.35"/>
    <row r="73357" hidden="1" x14ac:dyDescent="0.35"/>
    <row r="73358" hidden="1" x14ac:dyDescent="0.35"/>
    <row r="73359" hidden="1" x14ac:dyDescent="0.35"/>
    <row r="73360" hidden="1" x14ac:dyDescent="0.35"/>
    <row r="73361" hidden="1" x14ac:dyDescent="0.35"/>
    <row r="73362" hidden="1" x14ac:dyDescent="0.35"/>
    <row r="73363" hidden="1" x14ac:dyDescent="0.35"/>
    <row r="73364" hidden="1" x14ac:dyDescent="0.35"/>
    <row r="73365" hidden="1" x14ac:dyDescent="0.35"/>
    <row r="73366" hidden="1" x14ac:dyDescent="0.35"/>
    <row r="73367" hidden="1" x14ac:dyDescent="0.35"/>
    <row r="73368" hidden="1" x14ac:dyDescent="0.35"/>
    <row r="73369" hidden="1" x14ac:dyDescent="0.35"/>
    <row r="73370" hidden="1" x14ac:dyDescent="0.35"/>
    <row r="73371" hidden="1" x14ac:dyDescent="0.35"/>
    <row r="73372" hidden="1" x14ac:dyDescent="0.35"/>
    <row r="73373" hidden="1" x14ac:dyDescent="0.35"/>
    <row r="73374" hidden="1" x14ac:dyDescent="0.35"/>
    <row r="73375" hidden="1" x14ac:dyDescent="0.35"/>
    <row r="73376" hidden="1" x14ac:dyDescent="0.35"/>
    <row r="73377" hidden="1" x14ac:dyDescent="0.35"/>
    <row r="73378" hidden="1" x14ac:dyDescent="0.35"/>
    <row r="73379" hidden="1" x14ac:dyDescent="0.35"/>
    <row r="73380" hidden="1" x14ac:dyDescent="0.35"/>
    <row r="73381" hidden="1" x14ac:dyDescent="0.35"/>
    <row r="73382" hidden="1" x14ac:dyDescent="0.35"/>
    <row r="73383" hidden="1" x14ac:dyDescent="0.35"/>
    <row r="73384" hidden="1" x14ac:dyDescent="0.35"/>
    <row r="73385" hidden="1" x14ac:dyDescent="0.35"/>
    <row r="73386" hidden="1" x14ac:dyDescent="0.35"/>
    <row r="73387" hidden="1" x14ac:dyDescent="0.35"/>
    <row r="73388" hidden="1" x14ac:dyDescent="0.35"/>
    <row r="73389" hidden="1" x14ac:dyDescent="0.35"/>
    <row r="73390" hidden="1" x14ac:dyDescent="0.35"/>
    <row r="73391" hidden="1" x14ac:dyDescent="0.35"/>
    <row r="73392" hidden="1" x14ac:dyDescent="0.35"/>
    <row r="73393" hidden="1" x14ac:dyDescent="0.35"/>
    <row r="73394" hidden="1" x14ac:dyDescent="0.35"/>
    <row r="73395" hidden="1" x14ac:dyDescent="0.35"/>
    <row r="73396" hidden="1" x14ac:dyDescent="0.35"/>
    <row r="73397" hidden="1" x14ac:dyDescent="0.35"/>
    <row r="73398" hidden="1" x14ac:dyDescent="0.35"/>
    <row r="73399" hidden="1" x14ac:dyDescent="0.35"/>
    <row r="73400" hidden="1" x14ac:dyDescent="0.35"/>
    <row r="73401" hidden="1" x14ac:dyDescent="0.35"/>
    <row r="73402" hidden="1" x14ac:dyDescent="0.35"/>
    <row r="73403" hidden="1" x14ac:dyDescent="0.35"/>
    <row r="73404" hidden="1" x14ac:dyDescent="0.35"/>
    <row r="73405" hidden="1" x14ac:dyDescent="0.35"/>
    <row r="73406" hidden="1" x14ac:dyDescent="0.35"/>
    <row r="73407" hidden="1" x14ac:dyDescent="0.35"/>
    <row r="73408" hidden="1" x14ac:dyDescent="0.35"/>
    <row r="73409" hidden="1" x14ac:dyDescent="0.35"/>
    <row r="73410" hidden="1" x14ac:dyDescent="0.35"/>
    <row r="73411" hidden="1" x14ac:dyDescent="0.35"/>
    <row r="73412" hidden="1" x14ac:dyDescent="0.35"/>
    <row r="73413" hidden="1" x14ac:dyDescent="0.35"/>
    <row r="73414" hidden="1" x14ac:dyDescent="0.35"/>
    <row r="73415" hidden="1" x14ac:dyDescent="0.35"/>
    <row r="73416" hidden="1" x14ac:dyDescent="0.35"/>
    <row r="73417" hidden="1" x14ac:dyDescent="0.35"/>
    <row r="73418" hidden="1" x14ac:dyDescent="0.35"/>
    <row r="73419" hidden="1" x14ac:dyDescent="0.35"/>
    <row r="73420" hidden="1" x14ac:dyDescent="0.35"/>
    <row r="73421" hidden="1" x14ac:dyDescent="0.35"/>
    <row r="73422" hidden="1" x14ac:dyDescent="0.35"/>
    <row r="73423" hidden="1" x14ac:dyDescent="0.35"/>
    <row r="73424" hidden="1" x14ac:dyDescent="0.35"/>
    <row r="73425" hidden="1" x14ac:dyDescent="0.35"/>
    <row r="73426" hidden="1" x14ac:dyDescent="0.35"/>
    <row r="73427" hidden="1" x14ac:dyDescent="0.35"/>
    <row r="73428" hidden="1" x14ac:dyDescent="0.35"/>
    <row r="73429" hidden="1" x14ac:dyDescent="0.35"/>
    <row r="73430" hidden="1" x14ac:dyDescent="0.35"/>
    <row r="73431" hidden="1" x14ac:dyDescent="0.35"/>
    <row r="73432" hidden="1" x14ac:dyDescent="0.35"/>
    <row r="73433" hidden="1" x14ac:dyDescent="0.35"/>
    <row r="73434" hidden="1" x14ac:dyDescent="0.35"/>
    <row r="73435" hidden="1" x14ac:dyDescent="0.35"/>
    <row r="73436" hidden="1" x14ac:dyDescent="0.35"/>
    <row r="73437" hidden="1" x14ac:dyDescent="0.35"/>
    <row r="73438" hidden="1" x14ac:dyDescent="0.35"/>
    <row r="73439" hidden="1" x14ac:dyDescent="0.35"/>
    <row r="73440" hidden="1" x14ac:dyDescent="0.35"/>
    <row r="73441" hidden="1" x14ac:dyDescent="0.35"/>
    <row r="73442" hidden="1" x14ac:dyDescent="0.35"/>
    <row r="73443" hidden="1" x14ac:dyDescent="0.35"/>
    <row r="73444" hidden="1" x14ac:dyDescent="0.35"/>
    <row r="73445" hidden="1" x14ac:dyDescent="0.35"/>
    <row r="73446" hidden="1" x14ac:dyDescent="0.35"/>
    <row r="73447" hidden="1" x14ac:dyDescent="0.35"/>
    <row r="73448" hidden="1" x14ac:dyDescent="0.35"/>
    <row r="73449" hidden="1" x14ac:dyDescent="0.35"/>
    <row r="73450" hidden="1" x14ac:dyDescent="0.35"/>
    <row r="73451" hidden="1" x14ac:dyDescent="0.35"/>
    <row r="73452" hidden="1" x14ac:dyDescent="0.35"/>
    <row r="73453" hidden="1" x14ac:dyDescent="0.35"/>
    <row r="73454" hidden="1" x14ac:dyDescent="0.35"/>
    <row r="73455" hidden="1" x14ac:dyDescent="0.35"/>
    <row r="73456" hidden="1" x14ac:dyDescent="0.35"/>
    <row r="73457" hidden="1" x14ac:dyDescent="0.35"/>
    <row r="73458" hidden="1" x14ac:dyDescent="0.35"/>
    <row r="73459" hidden="1" x14ac:dyDescent="0.35"/>
    <row r="73460" hidden="1" x14ac:dyDescent="0.35"/>
    <row r="73461" hidden="1" x14ac:dyDescent="0.35"/>
    <row r="73462" hidden="1" x14ac:dyDescent="0.35"/>
    <row r="73463" hidden="1" x14ac:dyDescent="0.35"/>
    <row r="73464" hidden="1" x14ac:dyDescent="0.35"/>
    <row r="73465" hidden="1" x14ac:dyDescent="0.35"/>
    <row r="73466" hidden="1" x14ac:dyDescent="0.35"/>
    <row r="73467" hidden="1" x14ac:dyDescent="0.35"/>
    <row r="73468" hidden="1" x14ac:dyDescent="0.35"/>
    <row r="73469" hidden="1" x14ac:dyDescent="0.35"/>
    <row r="73470" hidden="1" x14ac:dyDescent="0.35"/>
    <row r="73471" hidden="1" x14ac:dyDescent="0.35"/>
    <row r="73472" hidden="1" x14ac:dyDescent="0.35"/>
    <row r="73473" hidden="1" x14ac:dyDescent="0.35"/>
    <row r="73474" hidden="1" x14ac:dyDescent="0.35"/>
    <row r="73475" hidden="1" x14ac:dyDescent="0.35"/>
    <row r="73476" hidden="1" x14ac:dyDescent="0.35"/>
    <row r="73477" hidden="1" x14ac:dyDescent="0.35"/>
    <row r="73478" hidden="1" x14ac:dyDescent="0.35"/>
    <row r="73479" hidden="1" x14ac:dyDescent="0.35"/>
    <row r="73480" hidden="1" x14ac:dyDescent="0.35"/>
    <row r="73481" hidden="1" x14ac:dyDescent="0.35"/>
    <row r="73482" hidden="1" x14ac:dyDescent="0.35"/>
    <row r="73483" hidden="1" x14ac:dyDescent="0.35"/>
    <row r="73484" hidden="1" x14ac:dyDescent="0.35"/>
    <row r="73485" hidden="1" x14ac:dyDescent="0.35"/>
    <row r="73486" hidden="1" x14ac:dyDescent="0.35"/>
    <row r="73487" hidden="1" x14ac:dyDescent="0.35"/>
    <row r="73488" hidden="1" x14ac:dyDescent="0.35"/>
    <row r="73489" hidden="1" x14ac:dyDescent="0.35"/>
    <row r="73490" hidden="1" x14ac:dyDescent="0.35"/>
    <row r="73491" hidden="1" x14ac:dyDescent="0.35"/>
    <row r="73492" hidden="1" x14ac:dyDescent="0.35"/>
    <row r="73493" hidden="1" x14ac:dyDescent="0.35"/>
    <row r="73494" hidden="1" x14ac:dyDescent="0.35"/>
    <row r="73495" hidden="1" x14ac:dyDescent="0.35"/>
    <row r="73496" hidden="1" x14ac:dyDescent="0.35"/>
    <row r="73497" hidden="1" x14ac:dyDescent="0.35"/>
    <row r="73498" hidden="1" x14ac:dyDescent="0.35"/>
    <row r="73499" hidden="1" x14ac:dyDescent="0.35"/>
    <row r="73500" hidden="1" x14ac:dyDescent="0.35"/>
    <row r="73501" hidden="1" x14ac:dyDescent="0.35"/>
    <row r="73502" hidden="1" x14ac:dyDescent="0.35"/>
    <row r="73503" hidden="1" x14ac:dyDescent="0.35"/>
    <row r="73504" hidden="1" x14ac:dyDescent="0.35"/>
    <row r="73505" hidden="1" x14ac:dyDescent="0.35"/>
    <row r="73506" hidden="1" x14ac:dyDescent="0.35"/>
    <row r="73507" hidden="1" x14ac:dyDescent="0.35"/>
    <row r="73508" hidden="1" x14ac:dyDescent="0.35"/>
    <row r="73509" hidden="1" x14ac:dyDescent="0.35"/>
    <row r="73510" hidden="1" x14ac:dyDescent="0.35"/>
    <row r="73511" hidden="1" x14ac:dyDescent="0.35"/>
    <row r="73512" hidden="1" x14ac:dyDescent="0.35"/>
    <row r="73513" hidden="1" x14ac:dyDescent="0.35"/>
    <row r="73514" hidden="1" x14ac:dyDescent="0.35"/>
    <row r="73515" hidden="1" x14ac:dyDescent="0.35"/>
    <row r="73516" hidden="1" x14ac:dyDescent="0.35"/>
    <row r="73517" hidden="1" x14ac:dyDescent="0.35"/>
    <row r="73518" hidden="1" x14ac:dyDescent="0.35"/>
    <row r="73519" hidden="1" x14ac:dyDescent="0.35"/>
    <row r="73520" hidden="1" x14ac:dyDescent="0.35"/>
    <row r="73521" hidden="1" x14ac:dyDescent="0.35"/>
    <row r="73522" hidden="1" x14ac:dyDescent="0.35"/>
    <row r="73523" hidden="1" x14ac:dyDescent="0.35"/>
    <row r="73524" hidden="1" x14ac:dyDescent="0.35"/>
    <row r="73525" hidden="1" x14ac:dyDescent="0.35"/>
    <row r="73526" hidden="1" x14ac:dyDescent="0.35"/>
    <row r="73527" hidden="1" x14ac:dyDescent="0.35"/>
    <row r="73528" hidden="1" x14ac:dyDescent="0.35"/>
    <row r="73529" hidden="1" x14ac:dyDescent="0.35"/>
    <row r="73530" hidden="1" x14ac:dyDescent="0.35"/>
    <row r="73531" hidden="1" x14ac:dyDescent="0.35"/>
    <row r="73532" hidden="1" x14ac:dyDescent="0.35"/>
    <row r="73533" hidden="1" x14ac:dyDescent="0.35"/>
    <row r="73534" hidden="1" x14ac:dyDescent="0.35"/>
    <row r="73535" hidden="1" x14ac:dyDescent="0.35"/>
    <row r="73536" hidden="1" x14ac:dyDescent="0.35"/>
    <row r="73537" hidden="1" x14ac:dyDescent="0.35"/>
    <row r="73538" hidden="1" x14ac:dyDescent="0.35"/>
    <row r="73539" hidden="1" x14ac:dyDescent="0.35"/>
    <row r="73540" hidden="1" x14ac:dyDescent="0.35"/>
    <row r="73541" hidden="1" x14ac:dyDescent="0.35"/>
    <row r="73542" hidden="1" x14ac:dyDescent="0.35"/>
    <row r="73543" hidden="1" x14ac:dyDescent="0.35"/>
    <row r="73544" hidden="1" x14ac:dyDescent="0.35"/>
    <row r="73545" hidden="1" x14ac:dyDescent="0.35"/>
    <row r="73546" hidden="1" x14ac:dyDescent="0.35"/>
    <row r="73547" hidden="1" x14ac:dyDescent="0.35"/>
    <row r="73548" hidden="1" x14ac:dyDescent="0.35"/>
    <row r="73549" hidden="1" x14ac:dyDescent="0.35"/>
    <row r="73550" hidden="1" x14ac:dyDescent="0.35"/>
    <row r="73551" hidden="1" x14ac:dyDescent="0.35"/>
    <row r="73552" hidden="1" x14ac:dyDescent="0.35"/>
    <row r="73553" hidden="1" x14ac:dyDescent="0.35"/>
    <row r="73554" hidden="1" x14ac:dyDescent="0.35"/>
    <row r="73555" hidden="1" x14ac:dyDescent="0.35"/>
    <row r="73556" hidden="1" x14ac:dyDescent="0.35"/>
    <row r="73557" hidden="1" x14ac:dyDescent="0.35"/>
    <row r="73558" hidden="1" x14ac:dyDescent="0.35"/>
    <row r="73559" hidden="1" x14ac:dyDescent="0.35"/>
    <row r="73560" hidden="1" x14ac:dyDescent="0.35"/>
    <row r="73561" hidden="1" x14ac:dyDescent="0.35"/>
    <row r="73562" hidden="1" x14ac:dyDescent="0.35"/>
    <row r="73563" hidden="1" x14ac:dyDescent="0.35"/>
    <row r="73564" hidden="1" x14ac:dyDescent="0.35"/>
    <row r="73565" hidden="1" x14ac:dyDescent="0.35"/>
    <row r="73566" hidden="1" x14ac:dyDescent="0.35"/>
    <row r="73567" hidden="1" x14ac:dyDescent="0.35"/>
    <row r="73568" hidden="1" x14ac:dyDescent="0.35"/>
    <row r="73569" hidden="1" x14ac:dyDescent="0.35"/>
    <row r="73570" hidden="1" x14ac:dyDescent="0.35"/>
    <row r="73571" hidden="1" x14ac:dyDescent="0.35"/>
    <row r="73572" hidden="1" x14ac:dyDescent="0.35"/>
    <row r="73573" hidden="1" x14ac:dyDescent="0.35"/>
    <row r="73574" hidden="1" x14ac:dyDescent="0.35"/>
    <row r="73575" hidden="1" x14ac:dyDescent="0.35"/>
    <row r="73576" hidden="1" x14ac:dyDescent="0.35"/>
    <row r="73577" hidden="1" x14ac:dyDescent="0.35"/>
    <row r="73578" hidden="1" x14ac:dyDescent="0.35"/>
    <row r="73579" hidden="1" x14ac:dyDescent="0.35"/>
    <row r="73580" hidden="1" x14ac:dyDescent="0.35"/>
    <row r="73581" hidden="1" x14ac:dyDescent="0.35"/>
    <row r="73582" hidden="1" x14ac:dyDescent="0.35"/>
    <row r="73583" hidden="1" x14ac:dyDescent="0.35"/>
    <row r="73584" hidden="1" x14ac:dyDescent="0.35"/>
    <row r="73585" hidden="1" x14ac:dyDescent="0.35"/>
    <row r="73586" hidden="1" x14ac:dyDescent="0.35"/>
    <row r="73587" hidden="1" x14ac:dyDescent="0.35"/>
    <row r="73588" hidden="1" x14ac:dyDescent="0.35"/>
    <row r="73589" hidden="1" x14ac:dyDescent="0.35"/>
    <row r="73590" hidden="1" x14ac:dyDescent="0.35"/>
    <row r="73591" hidden="1" x14ac:dyDescent="0.35"/>
    <row r="73592" hidden="1" x14ac:dyDescent="0.35"/>
    <row r="73593" hidden="1" x14ac:dyDescent="0.35"/>
    <row r="73594" hidden="1" x14ac:dyDescent="0.35"/>
    <row r="73595" hidden="1" x14ac:dyDescent="0.35"/>
    <row r="73596" hidden="1" x14ac:dyDescent="0.35"/>
    <row r="73597" hidden="1" x14ac:dyDescent="0.35"/>
    <row r="73598" hidden="1" x14ac:dyDescent="0.35"/>
    <row r="73599" hidden="1" x14ac:dyDescent="0.35"/>
    <row r="73600" hidden="1" x14ac:dyDescent="0.35"/>
    <row r="73601" hidden="1" x14ac:dyDescent="0.35"/>
    <row r="73602" hidden="1" x14ac:dyDescent="0.35"/>
    <row r="73603" hidden="1" x14ac:dyDescent="0.35"/>
    <row r="73604" hidden="1" x14ac:dyDescent="0.35"/>
    <row r="73605" hidden="1" x14ac:dyDescent="0.35"/>
    <row r="73606" hidden="1" x14ac:dyDescent="0.35"/>
    <row r="73607" hidden="1" x14ac:dyDescent="0.35"/>
    <row r="73608" hidden="1" x14ac:dyDescent="0.35"/>
    <row r="73609" hidden="1" x14ac:dyDescent="0.35"/>
    <row r="73610" hidden="1" x14ac:dyDescent="0.35"/>
    <row r="73611" hidden="1" x14ac:dyDescent="0.35"/>
    <row r="73612" hidden="1" x14ac:dyDescent="0.35"/>
    <row r="73613" hidden="1" x14ac:dyDescent="0.35"/>
    <row r="73614" hidden="1" x14ac:dyDescent="0.35"/>
    <row r="73615" hidden="1" x14ac:dyDescent="0.35"/>
    <row r="73616" hidden="1" x14ac:dyDescent="0.35"/>
    <row r="73617" hidden="1" x14ac:dyDescent="0.35"/>
    <row r="73618" hidden="1" x14ac:dyDescent="0.35"/>
    <row r="73619" hidden="1" x14ac:dyDescent="0.35"/>
    <row r="73620" hidden="1" x14ac:dyDescent="0.35"/>
    <row r="73621" hidden="1" x14ac:dyDescent="0.35"/>
    <row r="73622" hidden="1" x14ac:dyDescent="0.35"/>
    <row r="73623" hidden="1" x14ac:dyDescent="0.35"/>
    <row r="73624" hidden="1" x14ac:dyDescent="0.35"/>
    <row r="73625" hidden="1" x14ac:dyDescent="0.35"/>
    <row r="73626" hidden="1" x14ac:dyDescent="0.35"/>
    <row r="73627" hidden="1" x14ac:dyDescent="0.35"/>
    <row r="73628" hidden="1" x14ac:dyDescent="0.35"/>
    <row r="73629" hidden="1" x14ac:dyDescent="0.35"/>
    <row r="73630" hidden="1" x14ac:dyDescent="0.35"/>
    <row r="73631" hidden="1" x14ac:dyDescent="0.35"/>
    <row r="73632" hidden="1" x14ac:dyDescent="0.35"/>
    <row r="73633" hidden="1" x14ac:dyDescent="0.35"/>
    <row r="73634" hidden="1" x14ac:dyDescent="0.35"/>
    <row r="73635" hidden="1" x14ac:dyDescent="0.35"/>
    <row r="73636" hidden="1" x14ac:dyDescent="0.35"/>
    <row r="73637" hidden="1" x14ac:dyDescent="0.35"/>
    <row r="73638" hidden="1" x14ac:dyDescent="0.35"/>
    <row r="73639" hidden="1" x14ac:dyDescent="0.35"/>
    <row r="73640" hidden="1" x14ac:dyDescent="0.35"/>
    <row r="73641" hidden="1" x14ac:dyDescent="0.35"/>
    <row r="73642" hidden="1" x14ac:dyDescent="0.35"/>
    <row r="73643" hidden="1" x14ac:dyDescent="0.35"/>
    <row r="73644" hidden="1" x14ac:dyDescent="0.35"/>
    <row r="73645" hidden="1" x14ac:dyDescent="0.35"/>
    <row r="73646" hidden="1" x14ac:dyDescent="0.35"/>
    <row r="73647" hidden="1" x14ac:dyDescent="0.35"/>
    <row r="73648" hidden="1" x14ac:dyDescent="0.35"/>
    <row r="73649" hidden="1" x14ac:dyDescent="0.35"/>
    <row r="73650" hidden="1" x14ac:dyDescent="0.35"/>
    <row r="73651" hidden="1" x14ac:dyDescent="0.35"/>
    <row r="73652" hidden="1" x14ac:dyDescent="0.35"/>
    <row r="73653" hidden="1" x14ac:dyDescent="0.35"/>
    <row r="73654" hidden="1" x14ac:dyDescent="0.35"/>
    <row r="73655" hidden="1" x14ac:dyDescent="0.35"/>
    <row r="73656" hidden="1" x14ac:dyDescent="0.35"/>
    <row r="73657" hidden="1" x14ac:dyDescent="0.35"/>
    <row r="73658" hidden="1" x14ac:dyDescent="0.35"/>
    <row r="73659" hidden="1" x14ac:dyDescent="0.35"/>
    <row r="73660" hidden="1" x14ac:dyDescent="0.35"/>
    <row r="73661" hidden="1" x14ac:dyDescent="0.35"/>
    <row r="73662" hidden="1" x14ac:dyDescent="0.35"/>
    <row r="73663" hidden="1" x14ac:dyDescent="0.35"/>
    <row r="73664" hidden="1" x14ac:dyDescent="0.35"/>
    <row r="73665" hidden="1" x14ac:dyDescent="0.35"/>
    <row r="73666" hidden="1" x14ac:dyDescent="0.35"/>
    <row r="73667" hidden="1" x14ac:dyDescent="0.35"/>
    <row r="73668" hidden="1" x14ac:dyDescent="0.35"/>
    <row r="73669" hidden="1" x14ac:dyDescent="0.35"/>
    <row r="73670" hidden="1" x14ac:dyDescent="0.35"/>
    <row r="73671" hidden="1" x14ac:dyDescent="0.35"/>
    <row r="73672" hidden="1" x14ac:dyDescent="0.35"/>
    <row r="73673" hidden="1" x14ac:dyDescent="0.35"/>
    <row r="73674" hidden="1" x14ac:dyDescent="0.35"/>
    <row r="73675" hidden="1" x14ac:dyDescent="0.35"/>
    <row r="73676" hidden="1" x14ac:dyDescent="0.35"/>
    <row r="73677" hidden="1" x14ac:dyDescent="0.35"/>
    <row r="73678" hidden="1" x14ac:dyDescent="0.35"/>
    <row r="73679" hidden="1" x14ac:dyDescent="0.35"/>
    <row r="73680" hidden="1" x14ac:dyDescent="0.35"/>
    <row r="73681" hidden="1" x14ac:dyDescent="0.35"/>
    <row r="73682" hidden="1" x14ac:dyDescent="0.35"/>
    <row r="73683" hidden="1" x14ac:dyDescent="0.35"/>
    <row r="73684" hidden="1" x14ac:dyDescent="0.35"/>
    <row r="73685" hidden="1" x14ac:dyDescent="0.35"/>
    <row r="73686" hidden="1" x14ac:dyDescent="0.35"/>
    <row r="73687" hidden="1" x14ac:dyDescent="0.35"/>
    <row r="73688" hidden="1" x14ac:dyDescent="0.35"/>
    <row r="73689" hidden="1" x14ac:dyDescent="0.35"/>
    <row r="73690" hidden="1" x14ac:dyDescent="0.35"/>
    <row r="73691" hidden="1" x14ac:dyDescent="0.35"/>
    <row r="73692" hidden="1" x14ac:dyDescent="0.35"/>
    <row r="73693" hidden="1" x14ac:dyDescent="0.35"/>
    <row r="73694" hidden="1" x14ac:dyDescent="0.35"/>
    <row r="73695" hidden="1" x14ac:dyDescent="0.35"/>
    <row r="73696" hidden="1" x14ac:dyDescent="0.35"/>
    <row r="73697" hidden="1" x14ac:dyDescent="0.35"/>
    <row r="73698" hidden="1" x14ac:dyDescent="0.35"/>
    <row r="73699" hidden="1" x14ac:dyDescent="0.35"/>
    <row r="73700" hidden="1" x14ac:dyDescent="0.35"/>
    <row r="73701" hidden="1" x14ac:dyDescent="0.35"/>
    <row r="73702" hidden="1" x14ac:dyDescent="0.35"/>
    <row r="73703" hidden="1" x14ac:dyDescent="0.35"/>
    <row r="73704" hidden="1" x14ac:dyDescent="0.35"/>
    <row r="73705" hidden="1" x14ac:dyDescent="0.35"/>
    <row r="73706" hidden="1" x14ac:dyDescent="0.35"/>
    <row r="73707" hidden="1" x14ac:dyDescent="0.35"/>
    <row r="73708" hidden="1" x14ac:dyDescent="0.35"/>
    <row r="73709" hidden="1" x14ac:dyDescent="0.35"/>
    <row r="73710" hidden="1" x14ac:dyDescent="0.35"/>
    <row r="73711" hidden="1" x14ac:dyDescent="0.35"/>
    <row r="73712" hidden="1" x14ac:dyDescent="0.35"/>
    <row r="73713" hidden="1" x14ac:dyDescent="0.35"/>
    <row r="73714" hidden="1" x14ac:dyDescent="0.35"/>
    <row r="73715" hidden="1" x14ac:dyDescent="0.35"/>
    <row r="73716" hidden="1" x14ac:dyDescent="0.35"/>
    <row r="73717" hidden="1" x14ac:dyDescent="0.35"/>
    <row r="73718" hidden="1" x14ac:dyDescent="0.35"/>
    <row r="73719" hidden="1" x14ac:dyDescent="0.35"/>
    <row r="73720" hidden="1" x14ac:dyDescent="0.35"/>
    <row r="73721" hidden="1" x14ac:dyDescent="0.35"/>
    <row r="73722" hidden="1" x14ac:dyDescent="0.35"/>
    <row r="73723" hidden="1" x14ac:dyDescent="0.35"/>
    <row r="73724" hidden="1" x14ac:dyDescent="0.35"/>
    <row r="73725" hidden="1" x14ac:dyDescent="0.35"/>
    <row r="73726" hidden="1" x14ac:dyDescent="0.35"/>
    <row r="73727" hidden="1" x14ac:dyDescent="0.35"/>
    <row r="73728" hidden="1" x14ac:dyDescent="0.35"/>
    <row r="73729" hidden="1" x14ac:dyDescent="0.35"/>
    <row r="73730" hidden="1" x14ac:dyDescent="0.35"/>
    <row r="73731" hidden="1" x14ac:dyDescent="0.35"/>
    <row r="73732" hidden="1" x14ac:dyDescent="0.35"/>
    <row r="73733" hidden="1" x14ac:dyDescent="0.35"/>
    <row r="73734" hidden="1" x14ac:dyDescent="0.35"/>
    <row r="73735" hidden="1" x14ac:dyDescent="0.35"/>
    <row r="73736" hidden="1" x14ac:dyDescent="0.35"/>
    <row r="73737" hidden="1" x14ac:dyDescent="0.35"/>
    <row r="73738" hidden="1" x14ac:dyDescent="0.35"/>
    <row r="73739" hidden="1" x14ac:dyDescent="0.35"/>
    <row r="73740" hidden="1" x14ac:dyDescent="0.35"/>
    <row r="73741" hidden="1" x14ac:dyDescent="0.35"/>
    <row r="73742" hidden="1" x14ac:dyDescent="0.35"/>
    <row r="73743" hidden="1" x14ac:dyDescent="0.35"/>
    <row r="73744" hidden="1" x14ac:dyDescent="0.35"/>
    <row r="73745" hidden="1" x14ac:dyDescent="0.35"/>
    <row r="73746" hidden="1" x14ac:dyDescent="0.35"/>
    <row r="73747" hidden="1" x14ac:dyDescent="0.35"/>
    <row r="73748" hidden="1" x14ac:dyDescent="0.35"/>
    <row r="73749" hidden="1" x14ac:dyDescent="0.35"/>
    <row r="73750" hidden="1" x14ac:dyDescent="0.35"/>
    <row r="73751" hidden="1" x14ac:dyDescent="0.35"/>
    <row r="73752" hidden="1" x14ac:dyDescent="0.35"/>
    <row r="73753" hidden="1" x14ac:dyDescent="0.35"/>
    <row r="73754" hidden="1" x14ac:dyDescent="0.35"/>
    <row r="73755" hidden="1" x14ac:dyDescent="0.35"/>
    <row r="73756" hidden="1" x14ac:dyDescent="0.35"/>
    <row r="73757" hidden="1" x14ac:dyDescent="0.35"/>
    <row r="73758" hidden="1" x14ac:dyDescent="0.35"/>
    <row r="73759" hidden="1" x14ac:dyDescent="0.35"/>
    <row r="73760" hidden="1" x14ac:dyDescent="0.35"/>
    <row r="73761" hidden="1" x14ac:dyDescent="0.35"/>
    <row r="73762" hidden="1" x14ac:dyDescent="0.35"/>
    <row r="73763" hidden="1" x14ac:dyDescent="0.35"/>
    <row r="73764" hidden="1" x14ac:dyDescent="0.35"/>
    <row r="73765" hidden="1" x14ac:dyDescent="0.35"/>
    <row r="73766" hidden="1" x14ac:dyDescent="0.35"/>
    <row r="73767" hidden="1" x14ac:dyDescent="0.35"/>
    <row r="73768" hidden="1" x14ac:dyDescent="0.35"/>
    <row r="73769" hidden="1" x14ac:dyDescent="0.35"/>
    <row r="73770" hidden="1" x14ac:dyDescent="0.35"/>
    <row r="73771" hidden="1" x14ac:dyDescent="0.35"/>
    <row r="73772" hidden="1" x14ac:dyDescent="0.35"/>
    <row r="73773" hidden="1" x14ac:dyDescent="0.35"/>
    <row r="73774" hidden="1" x14ac:dyDescent="0.35"/>
    <row r="73775" hidden="1" x14ac:dyDescent="0.35"/>
    <row r="73776" hidden="1" x14ac:dyDescent="0.35"/>
    <row r="73777" hidden="1" x14ac:dyDescent="0.35"/>
    <row r="73778" hidden="1" x14ac:dyDescent="0.35"/>
    <row r="73779" hidden="1" x14ac:dyDescent="0.35"/>
    <row r="73780" hidden="1" x14ac:dyDescent="0.35"/>
    <row r="73781" hidden="1" x14ac:dyDescent="0.35"/>
    <row r="73782" hidden="1" x14ac:dyDescent="0.35"/>
    <row r="73783" hidden="1" x14ac:dyDescent="0.35"/>
    <row r="73784" hidden="1" x14ac:dyDescent="0.35"/>
    <row r="73785" hidden="1" x14ac:dyDescent="0.35"/>
    <row r="73786" hidden="1" x14ac:dyDescent="0.35"/>
    <row r="73787" hidden="1" x14ac:dyDescent="0.35"/>
    <row r="73788" hidden="1" x14ac:dyDescent="0.35"/>
    <row r="73789" hidden="1" x14ac:dyDescent="0.35"/>
    <row r="73790" hidden="1" x14ac:dyDescent="0.35"/>
    <row r="73791" hidden="1" x14ac:dyDescent="0.35"/>
    <row r="73792" hidden="1" x14ac:dyDescent="0.35"/>
    <row r="73793" hidden="1" x14ac:dyDescent="0.35"/>
    <row r="73794" hidden="1" x14ac:dyDescent="0.35"/>
    <row r="73795" hidden="1" x14ac:dyDescent="0.35"/>
    <row r="73796" hidden="1" x14ac:dyDescent="0.35"/>
    <row r="73797" hidden="1" x14ac:dyDescent="0.35"/>
    <row r="73798" hidden="1" x14ac:dyDescent="0.35"/>
    <row r="73799" hidden="1" x14ac:dyDescent="0.35"/>
    <row r="73800" hidden="1" x14ac:dyDescent="0.35"/>
    <row r="73801" hidden="1" x14ac:dyDescent="0.35"/>
    <row r="73802" hidden="1" x14ac:dyDescent="0.35"/>
    <row r="73803" hidden="1" x14ac:dyDescent="0.35"/>
    <row r="73804" hidden="1" x14ac:dyDescent="0.35"/>
    <row r="73805" hidden="1" x14ac:dyDescent="0.35"/>
    <row r="73806" hidden="1" x14ac:dyDescent="0.35"/>
    <row r="73807" hidden="1" x14ac:dyDescent="0.35"/>
    <row r="73808" hidden="1" x14ac:dyDescent="0.35"/>
    <row r="73809" hidden="1" x14ac:dyDescent="0.35"/>
    <row r="73810" hidden="1" x14ac:dyDescent="0.35"/>
    <row r="73811" hidden="1" x14ac:dyDescent="0.35"/>
    <row r="73812" hidden="1" x14ac:dyDescent="0.35"/>
    <row r="73813" hidden="1" x14ac:dyDescent="0.35"/>
    <row r="73814" hidden="1" x14ac:dyDescent="0.35"/>
    <row r="73815" hidden="1" x14ac:dyDescent="0.35"/>
    <row r="73816" hidden="1" x14ac:dyDescent="0.35"/>
    <row r="73817" hidden="1" x14ac:dyDescent="0.35"/>
    <row r="73818" hidden="1" x14ac:dyDescent="0.35"/>
    <row r="73819" hidden="1" x14ac:dyDescent="0.35"/>
    <row r="73820" hidden="1" x14ac:dyDescent="0.35"/>
    <row r="73821" hidden="1" x14ac:dyDescent="0.35"/>
    <row r="73822" hidden="1" x14ac:dyDescent="0.35"/>
    <row r="73823" hidden="1" x14ac:dyDescent="0.35"/>
    <row r="73824" hidden="1" x14ac:dyDescent="0.35"/>
    <row r="73825" hidden="1" x14ac:dyDescent="0.35"/>
    <row r="73826" hidden="1" x14ac:dyDescent="0.35"/>
    <row r="73827" hidden="1" x14ac:dyDescent="0.35"/>
    <row r="73828" hidden="1" x14ac:dyDescent="0.35"/>
    <row r="73829" hidden="1" x14ac:dyDescent="0.35"/>
    <row r="73830" hidden="1" x14ac:dyDescent="0.35"/>
    <row r="73831" hidden="1" x14ac:dyDescent="0.35"/>
    <row r="73832" hidden="1" x14ac:dyDescent="0.35"/>
    <row r="73833" hidden="1" x14ac:dyDescent="0.35"/>
    <row r="73834" hidden="1" x14ac:dyDescent="0.35"/>
    <row r="73835" hidden="1" x14ac:dyDescent="0.35"/>
    <row r="73836" hidden="1" x14ac:dyDescent="0.35"/>
    <row r="73837" hidden="1" x14ac:dyDescent="0.35"/>
    <row r="73838" hidden="1" x14ac:dyDescent="0.35"/>
    <row r="73839" hidden="1" x14ac:dyDescent="0.35"/>
    <row r="73840" hidden="1" x14ac:dyDescent="0.35"/>
    <row r="73841" hidden="1" x14ac:dyDescent="0.35"/>
    <row r="73842" hidden="1" x14ac:dyDescent="0.35"/>
    <row r="73843" hidden="1" x14ac:dyDescent="0.35"/>
    <row r="73844" hidden="1" x14ac:dyDescent="0.35"/>
    <row r="73845" hidden="1" x14ac:dyDescent="0.35"/>
    <row r="73846" hidden="1" x14ac:dyDescent="0.35"/>
    <row r="73847" hidden="1" x14ac:dyDescent="0.35"/>
    <row r="73848" hidden="1" x14ac:dyDescent="0.35"/>
    <row r="73849" hidden="1" x14ac:dyDescent="0.35"/>
    <row r="73850" hidden="1" x14ac:dyDescent="0.35"/>
    <row r="73851" hidden="1" x14ac:dyDescent="0.35"/>
    <row r="73852" hidden="1" x14ac:dyDescent="0.35"/>
    <row r="73853" hidden="1" x14ac:dyDescent="0.35"/>
    <row r="73854" hidden="1" x14ac:dyDescent="0.35"/>
    <row r="73855" hidden="1" x14ac:dyDescent="0.35"/>
    <row r="73856" hidden="1" x14ac:dyDescent="0.35"/>
    <row r="73857" hidden="1" x14ac:dyDescent="0.35"/>
    <row r="73858" hidden="1" x14ac:dyDescent="0.35"/>
    <row r="73859" hidden="1" x14ac:dyDescent="0.35"/>
    <row r="73860" hidden="1" x14ac:dyDescent="0.35"/>
    <row r="73861" hidden="1" x14ac:dyDescent="0.35"/>
    <row r="73862" hidden="1" x14ac:dyDescent="0.35"/>
    <row r="73863" hidden="1" x14ac:dyDescent="0.35"/>
    <row r="73864" hidden="1" x14ac:dyDescent="0.35"/>
    <row r="73865" hidden="1" x14ac:dyDescent="0.35"/>
    <row r="73866" hidden="1" x14ac:dyDescent="0.35"/>
    <row r="73867" hidden="1" x14ac:dyDescent="0.35"/>
    <row r="73868" hidden="1" x14ac:dyDescent="0.35"/>
    <row r="73869" hidden="1" x14ac:dyDescent="0.35"/>
    <row r="73870" hidden="1" x14ac:dyDescent="0.35"/>
    <row r="73871" hidden="1" x14ac:dyDescent="0.35"/>
    <row r="73872" hidden="1" x14ac:dyDescent="0.35"/>
    <row r="73873" hidden="1" x14ac:dyDescent="0.35"/>
    <row r="73874" hidden="1" x14ac:dyDescent="0.35"/>
    <row r="73875" hidden="1" x14ac:dyDescent="0.35"/>
    <row r="73876" hidden="1" x14ac:dyDescent="0.35"/>
    <row r="73877" hidden="1" x14ac:dyDescent="0.35"/>
    <row r="73878" hidden="1" x14ac:dyDescent="0.35"/>
    <row r="73879" hidden="1" x14ac:dyDescent="0.35"/>
    <row r="73880" hidden="1" x14ac:dyDescent="0.35"/>
    <row r="73881" hidden="1" x14ac:dyDescent="0.35"/>
    <row r="73882" hidden="1" x14ac:dyDescent="0.35"/>
    <row r="73883" hidden="1" x14ac:dyDescent="0.35"/>
    <row r="73884" hidden="1" x14ac:dyDescent="0.35"/>
    <row r="73885" hidden="1" x14ac:dyDescent="0.35"/>
    <row r="73886" hidden="1" x14ac:dyDescent="0.35"/>
    <row r="73887" hidden="1" x14ac:dyDescent="0.35"/>
    <row r="73888" hidden="1" x14ac:dyDescent="0.35"/>
    <row r="73889" hidden="1" x14ac:dyDescent="0.35"/>
    <row r="73890" hidden="1" x14ac:dyDescent="0.35"/>
    <row r="73891" hidden="1" x14ac:dyDescent="0.35"/>
    <row r="73892" hidden="1" x14ac:dyDescent="0.35"/>
    <row r="73893" hidden="1" x14ac:dyDescent="0.35"/>
    <row r="73894" hidden="1" x14ac:dyDescent="0.35"/>
    <row r="73895" hidden="1" x14ac:dyDescent="0.35"/>
    <row r="73896" hidden="1" x14ac:dyDescent="0.35"/>
    <row r="73897" hidden="1" x14ac:dyDescent="0.35"/>
    <row r="73898" hidden="1" x14ac:dyDescent="0.35"/>
    <row r="73899" hidden="1" x14ac:dyDescent="0.35"/>
    <row r="73900" hidden="1" x14ac:dyDescent="0.35"/>
    <row r="73901" hidden="1" x14ac:dyDescent="0.35"/>
    <row r="73902" hidden="1" x14ac:dyDescent="0.35"/>
    <row r="73903" hidden="1" x14ac:dyDescent="0.35"/>
    <row r="73904" hidden="1" x14ac:dyDescent="0.35"/>
    <row r="73905" hidden="1" x14ac:dyDescent="0.35"/>
    <row r="73906" hidden="1" x14ac:dyDescent="0.35"/>
    <row r="73907" hidden="1" x14ac:dyDescent="0.35"/>
    <row r="73908" hidden="1" x14ac:dyDescent="0.35"/>
    <row r="73909" hidden="1" x14ac:dyDescent="0.35"/>
    <row r="73910" hidden="1" x14ac:dyDescent="0.35"/>
    <row r="73911" hidden="1" x14ac:dyDescent="0.35"/>
    <row r="73912" hidden="1" x14ac:dyDescent="0.35"/>
    <row r="73913" hidden="1" x14ac:dyDescent="0.35"/>
    <row r="73914" hidden="1" x14ac:dyDescent="0.35"/>
    <row r="73915" hidden="1" x14ac:dyDescent="0.35"/>
    <row r="73916" hidden="1" x14ac:dyDescent="0.35"/>
    <row r="73917" hidden="1" x14ac:dyDescent="0.35"/>
    <row r="73918" hidden="1" x14ac:dyDescent="0.35"/>
    <row r="73919" hidden="1" x14ac:dyDescent="0.35"/>
    <row r="73920" hidden="1" x14ac:dyDescent="0.35"/>
    <row r="73921" hidden="1" x14ac:dyDescent="0.35"/>
    <row r="73922" hidden="1" x14ac:dyDescent="0.35"/>
    <row r="73923" hidden="1" x14ac:dyDescent="0.35"/>
    <row r="73924" hidden="1" x14ac:dyDescent="0.35"/>
    <row r="73925" hidden="1" x14ac:dyDescent="0.35"/>
    <row r="73926" hidden="1" x14ac:dyDescent="0.35"/>
    <row r="73927" hidden="1" x14ac:dyDescent="0.35"/>
    <row r="73928" hidden="1" x14ac:dyDescent="0.35"/>
    <row r="73929" hidden="1" x14ac:dyDescent="0.35"/>
    <row r="73930" hidden="1" x14ac:dyDescent="0.35"/>
    <row r="73931" hidden="1" x14ac:dyDescent="0.35"/>
    <row r="73932" hidden="1" x14ac:dyDescent="0.35"/>
    <row r="73933" hidden="1" x14ac:dyDescent="0.35"/>
    <row r="73934" hidden="1" x14ac:dyDescent="0.35"/>
    <row r="73935" hidden="1" x14ac:dyDescent="0.35"/>
    <row r="73936" hidden="1" x14ac:dyDescent="0.35"/>
    <row r="73937" hidden="1" x14ac:dyDescent="0.35"/>
    <row r="73938" hidden="1" x14ac:dyDescent="0.35"/>
    <row r="73939" hidden="1" x14ac:dyDescent="0.35"/>
    <row r="73940" hidden="1" x14ac:dyDescent="0.35"/>
    <row r="73941" hidden="1" x14ac:dyDescent="0.35"/>
    <row r="73942" hidden="1" x14ac:dyDescent="0.35"/>
    <row r="73943" hidden="1" x14ac:dyDescent="0.35"/>
    <row r="73944" hidden="1" x14ac:dyDescent="0.35"/>
    <row r="73945" hidden="1" x14ac:dyDescent="0.35"/>
    <row r="73946" hidden="1" x14ac:dyDescent="0.35"/>
    <row r="73947" hidden="1" x14ac:dyDescent="0.35"/>
    <row r="73948" hidden="1" x14ac:dyDescent="0.35"/>
    <row r="73949" hidden="1" x14ac:dyDescent="0.35"/>
    <row r="73950" hidden="1" x14ac:dyDescent="0.35"/>
    <row r="73951" hidden="1" x14ac:dyDescent="0.35"/>
    <row r="73952" hidden="1" x14ac:dyDescent="0.35"/>
    <row r="73953" hidden="1" x14ac:dyDescent="0.35"/>
    <row r="73954" hidden="1" x14ac:dyDescent="0.35"/>
    <row r="73955" hidden="1" x14ac:dyDescent="0.35"/>
    <row r="73956" hidden="1" x14ac:dyDescent="0.35"/>
    <row r="73957" hidden="1" x14ac:dyDescent="0.35"/>
    <row r="73958" hidden="1" x14ac:dyDescent="0.35"/>
    <row r="73959" hidden="1" x14ac:dyDescent="0.35"/>
    <row r="73960" hidden="1" x14ac:dyDescent="0.35"/>
    <row r="73961" hidden="1" x14ac:dyDescent="0.35"/>
    <row r="73962" hidden="1" x14ac:dyDescent="0.35"/>
    <row r="73963" hidden="1" x14ac:dyDescent="0.35"/>
    <row r="73964" hidden="1" x14ac:dyDescent="0.35"/>
    <row r="73965" hidden="1" x14ac:dyDescent="0.35"/>
    <row r="73966" hidden="1" x14ac:dyDescent="0.35"/>
    <row r="73967" hidden="1" x14ac:dyDescent="0.35"/>
    <row r="73968" hidden="1" x14ac:dyDescent="0.35"/>
    <row r="73969" hidden="1" x14ac:dyDescent="0.35"/>
    <row r="73970" hidden="1" x14ac:dyDescent="0.35"/>
    <row r="73971" hidden="1" x14ac:dyDescent="0.35"/>
    <row r="73972" hidden="1" x14ac:dyDescent="0.35"/>
    <row r="73973" hidden="1" x14ac:dyDescent="0.35"/>
    <row r="73974" hidden="1" x14ac:dyDescent="0.35"/>
    <row r="73975" hidden="1" x14ac:dyDescent="0.35"/>
    <row r="73976" hidden="1" x14ac:dyDescent="0.35"/>
    <row r="73977" hidden="1" x14ac:dyDescent="0.35"/>
    <row r="73978" hidden="1" x14ac:dyDescent="0.35"/>
    <row r="73979" hidden="1" x14ac:dyDescent="0.35"/>
    <row r="73980" hidden="1" x14ac:dyDescent="0.35"/>
    <row r="73981" hidden="1" x14ac:dyDescent="0.35"/>
    <row r="73982" hidden="1" x14ac:dyDescent="0.35"/>
    <row r="73983" hidden="1" x14ac:dyDescent="0.35"/>
    <row r="73984" hidden="1" x14ac:dyDescent="0.35"/>
    <row r="73985" hidden="1" x14ac:dyDescent="0.35"/>
    <row r="73986" hidden="1" x14ac:dyDescent="0.35"/>
    <row r="73987" hidden="1" x14ac:dyDescent="0.35"/>
    <row r="73988" hidden="1" x14ac:dyDescent="0.35"/>
    <row r="73989" hidden="1" x14ac:dyDescent="0.35"/>
    <row r="73990" hidden="1" x14ac:dyDescent="0.35"/>
    <row r="73991" hidden="1" x14ac:dyDescent="0.35"/>
    <row r="73992" hidden="1" x14ac:dyDescent="0.35"/>
    <row r="73993" hidden="1" x14ac:dyDescent="0.35"/>
    <row r="73994" hidden="1" x14ac:dyDescent="0.35"/>
    <row r="73995" hidden="1" x14ac:dyDescent="0.35"/>
    <row r="73996" hidden="1" x14ac:dyDescent="0.35"/>
    <row r="73997" hidden="1" x14ac:dyDescent="0.35"/>
    <row r="73998" hidden="1" x14ac:dyDescent="0.35"/>
    <row r="73999" hidden="1" x14ac:dyDescent="0.35"/>
    <row r="74000" hidden="1" x14ac:dyDescent="0.35"/>
    <row r="74001" hidden="1" x14ac:dyDescent="0.35"/>
    <row r="74002" hidden="1" x14ac:dyDescent="0.35"/>
    <row r="74003" hidden="1" x14ac:dyDescent="0.35"/>
    <row r="74004" hidden="1" x14ac:dyDescent="0.35"/>
    <row r="74005" hidden="1" x14ac:dyDescent="0.35"/>
    <row r="74006" hidden="1" x14ac:dyDescent="0.35"/>
    <row r="74007" hidden="1" x14ac:dyDescent="0.35"/>
    <row r="74008" hidden="1" x14ac:dyDescent="0.35"/>
    <row r="74009" hidden="1" x14ac:dyDescent="0.35"/>
    <row r="74010" hidden="1" x14ac:dyDescent="0.35"/>
    <row r="74011" hidden="1" x14ac:dyDescent="0.35"/>
    <row r="74012" hidden="1" x14ac:dyDescent="0.35"/>
    <row r="74013" hidden="1" x14ac:dyDescent="0.35"/>
    <row r="74014" hidden="1" x14ac:dyDescent="0.35"/>
    <row r="74015" hidden="1" x14ac:dyDescent="0.35"/>
    <row r="74016" hidden="1" x14ac:dyDescent="0.35"/>
    <row r="74017" hidden="1" x14ac:dyDescent="0.35"/>
    <row r="74018" hidden="1" x14ac:dyDescent="0.35"/>
    <row r="74019" hidden="1" x14ac:dyDescent="0.35"/>
    <row r="74020" hidden="1" x14ac:dyDescent="0.35"/>
    <row r="74021" hidden="1" x14ac:dyDescent="0.35"/>
    <row r="74022" hidden="1" x14ac:dyDescent="0.35"/>
    <row r="74023" hidden="1" x14ac:dyDescent="0.35"/>
    <row r="74024" hidden="1" x14ac:dyDescent="0.35"/>
    <row r="74025" hidden="1" x14ac:dyDescent="0.35"/>
    <row r="74026" hidden="1" x14ac:dyDescent="0.35"/>
    <row r="74027" hidden="1" x14ac:dyDescent="0.35"/>
    <row r="74028" hidden="1" x14ac:dyDescent="0.35"/>
    <row r="74029" hidden="1" x14ac:dyDescent="0.35"/>
    <row r="74030" hidden="1" x14ac:dyDescent="0.35"/>
    <row r="74031" hidden="1" x14ac:dyDescent="0.35"/>
    <row r="74032" hidden="1" x14ac:dyDescent="0.35"/>
    <row r="74033" hidden="1" x14ac:dyDescent="0.35"/>
    <row r="74034" hidden="1" x14ac:dyDescent="0.35"/>
    <row r="74035" hidden="1" x14ac:dyDescent="0.35"/>
    <row r="74036" hidden="1" x14ac:dyDescent="0.35"/>
    <row r="74037" hidden="1" x14ac:dyDescent="0.35"/>
    <row r="74038" hidden="1" x14ac:dyDescent="0.35"/>
    <row r="74039" hidden="1" x14ac:dyDescent="0.35"/>
    <row r="74040" hidden="1" x14ac:dyDescent="0.35"/>
    <row r="74041" hidden="1" x14ac:dyDescent="0.35"/>
    <row r="74042" hidden="1" x14ac:dyDescent="0.35"/>
    <row r="74043" hidden="1" x14ac:dyDescent="0.35"/>
    <row r="74044" hidden="1" x14ac:dyDescent="0.35"/>
    <row r="74045" hidden="1" x14ac:dyDescent="0.35"/>
    <row r="74046" hidden="1" x14ac:dyDescent="0.35"/>
    <row r="74047" hidden="1" x14ac:dyDescent="0.35"/>
    <row r="74048" hidden="1" x14ac:dyDescent="0.35"/>
    <row r="74049" hidden="1" x14ac:dyDescent="0.35"/>
    <row r="74050" hidden="1" x14ac:dyDescent="0.35"/>
    <row r="74051" hidden="1" x14ac:dyDescent="0.35"/>
    <row r="74052" hidden="1" x14ac:dyDescent="0.35"/>
    <row r="74053" hidden="1" x14ac:dyDescent="0.35"/>
    <row r="74054" hidden="1" x14ac:dyDescent="0.35"/>
    <row r="74055" hidden="1" x14ac:dyDescent="0.35"/>
    <row r="74056" hidden="1" x14ac:dyDescent="0.35"/>
    <row r="74057" hidden="1" x14ac:dyDescent="0.35"/>
    <row r="74058" hidden="1" x14ac:dyDescent="0.35"/>
    <row r="74059" hidden="1" x14ac:dyDescent="0.35"/>
    <row r="74060" hidden="1" x14ac:dyDescent="0.35"/>
    <row r="74061" hidden="1" x14ac:dyDescent="0.35"/>
    <row r="74062" hidden="1" x14ac:dyDescent="0.35"/>
    <row r="74063" hidden="1" x14ac:dyDescent="0.35"/>
    <row r="74064" hidden="1" x14ac:dyDescent="0.35"/>
    <row r="74065" hidden="1" x14ac:dyDescent="0.35"/>
    <row r="74066" hidden="1" x14ac:dyDescent="0.35"/>
    <row r="74067" hidden="1" x14ac:dyDescent="0.35"/>
    <row r="74068" hidden="1" x14ac:dyDescent="0.35"/>
    <row r="74069" hidden="1" x14ac:dyDescent="0.35"/>
    <row r="74070" hidden="1" x14ac:dyDescent="0.35"/>
    <row r="74071" hidden="1" x14ac:dyDescent="0.35"/>
    <row r="74072" hidden="1" x14ac:dyDescent="0.35"/>
    <row r="74073" hidden="1" x14ac:dyDescent="0.35"/>
    <row r="74074" hidden="1" x14ac:dyDescent="0.35"/>
    <row r="74075" hidden="1" x14ac:dyDescent="0.35"/>
    <row r="74076" hidden="1" x14ac:dyDescent="0.35"/>
    <row r="74077" hidden="1" x14ac:dyDescent="0.35"/>
    <row r="74078" hidden="1" x14ac:dyDescent="0.35"/>
    <row r="74079" hidden="1" x14ac:dyDescent="0.35"/>
    <row r="74080" hidden="1" x14ac:dyDescent="0.35"/>
    <row r="74081" hidden="1" x14ac:dyDescent="0.35"/>
    <row r="74082" hidden="1" x14ac:dyDescent="0.35"/>
    <row r="74083" hidden="1" x14ac:dyDescent="0.35"/>
    <row r="74084" hidden="1" x14ac:dyDescent="0.35"/>
    <row r="74085" hidden="1" x14ac:dyDescent="0.35"/>
    <row r="74086" hidden="1" x14ac:dyDescent="0.35"/>
    <row r="74087" hidden="1" x14ac:dyDescent="0.35"/>
    <row r="74088" hidden="1" x14ac:dyDescent="0.35"/>
    <row r="74089" hidden="1" x14ac:dyDescent="0.35"/>
    <row r="74090" hidden="1" x14ac:dyDescent="0.35"/>
    <row r="74091" hidden="1" x14ac:dyDescent="0.35"/>
    <row r="74092" hidden="1" x14ac:dyDescent="0.35"/>
    <row r="74093" hidden="1" x14ac:dyDescent="0.35"/>
    <row r="74094" hidden="1" x14ac:dyDescent="0.35"/>
    <row r="74095" hidden="1" x14ac:dyDescent="0.35"/>
    <row r="74096" hidden="1" x14ac:dyDescent="0.35"/>
    <row r="74097" hidden="1" x14ac:dyDescent="0.35"/>
    <row r="74098" hidden="1" x14ac:dyDescent="0.35"/>
    <row r="74099" hidden="1" x14ac:dyDescent="0.35"/>
    <row r="74100" hidden="1" x14ac:dyDescent="0.35"/>
    <row r="74101" hidden="1" x14ac:dyDescent="0.35"/>
    <row r="74102" hidden="1" x14ac:dyDescent="0.35"/>
    <row r="74103" hidden="1" x14ac:dyDescent="0.35"/>
    <row r="74104" hidden="1" x14ac:dyDescent="0.35"/>
    <row r="74105" hidden="1" x14ac:dyDescent="0.35"/>
    <row r="74106" hidden="1" x14ac:dyDescent="0.35"/>
    <row r="74107" hidden="1" x14ac:dyDescent="0.35"/>
    <row r="74108" hidden="1" x14ac:dyDescent="0.35"/>
    <row r="74109" hidden="1" x14ac:dyDescent="0.35"/>
    <row r="74110" hidden="1" x14ac:dyDescent="0.35"/>
    <row r="74111" hidden="1" x14ac:dyDescent="0.35"/>
    <row r="74112" hidden="1" x14ac:dyDescent="0.35"/>
    <row r="74113" hidden="1" x14ac:dyDescent="0.35"/>
    <row r="74114" hidden="1" x14ac:dyDescent="0.35"/>
    <row r="74115" hidden="1" x14ac:dyDescent="0.35"/>
    <row r="74116" hidden="1" x14ac:dyDescent="0.35"/>
    <row r="74117" hidden="1" x14ac:dyDescent="0.35"/>
    <row r="74118" hidden="1" x14ac:dyDescent="0.35"/>
    <row r="74119" hidden="1" x14ac:dyDescent="0.35"/>
    <row r="74120" hidden="1" x14ac:dyDescent="0.35"/>
    <row r="74121" hidden="1" x14ac:dyDescent="0.35"/>
    <row r="74122" hidden="1" x14ac:dyDescent="0.35"/>
    <row r="74123" hidden="1" x14ac:dyDescent="0.35"/>
    <row r="74124" hidden="1" x14ac:dyDescent="0.35"/>
    <row r="74125" hidden="1" x14ac:dyDescent="0.35"/>
    <row r="74126" hidden="1" x14ac:dyDescent="0.35"/>
    <row r="74127" hidden="1" x14ac:dyDescent="0.35"/>
    <row r="74128" hidden="1" x14ac:dyDescent="0.35"/>
    <row r="74129" hidden="1" x14ac:dyDescent="0.35"/>
    <row r="74130" hidden="1" x14ac:dyDescent="0.35"/>
    <row r="74131" hidden="1" x14ac:dyDescent="0.35"/>
    <row r="74132" hidden="1" x14ac:dyDescent="0.35"/>
    <row r="74133" hidden="1" x14ac:dyDescent="0.35"/>
    <row r="74134" hidden="1" x14ac:dyDescent="0.35"/>
    <row r="74135" hidden="1" x14ac:dyDescent="0.35"/>
    <row r="74136" hidden="1" x14ac:dyDescent="0.35"/>
    <row r="74137" hidden="1" x14ac:dyDescent="0.35"/>
    <row r="74138" hidden="1" x14ac:dyDescent="0.35"/>
    <row r="74139" hidden="1" x14ac:dyDescent="0.35"/>
    <row r="74140" hidden="1" x14ac:dyDescent="0.35"/>
    <row r="74141" hidden="1" x14ac:dyDescent="0.35"/>
    <row r="74142" hidden="1" x14ac:dyDescent="0.35"/>
    <row r="74143" hidden="1" x14ac:dyDescent="0.35"/>
    <row r="74144" hidden="1" x14ac:dyDescent="0.35"/>
    <row r="74145" hidden="1" x14ac:dyDescent="0.35"/>
    <row r="74146" hidden="1" x14ac:dyDescent="0.35"/>
    <row r="74147" hidden="1" x14ac:dyDescent="0.35"/>
    <row r="74148" hidden="1" x14ac:dyDescent="0.35"/>
    <row r="74149" hidden="1" x14ac:dyDescent="0.35"/>
    <row r="74150" hidden="1" x14ac:dyDescent="0.35"/>
    <row r="74151" hidden="1" x14ac:dyDescent="0.35"/>
    <row r="74152" hidden="1" x14ac:dyDescent="0.35"/>
    <row r="74153" hidden="1" x14ac:dyDescent="0.35"/>
    <row r="74154" hidden="1" x14ac:dyDescent="0.35"/>
    <row r="74155" hidden="1" x14ac:dyDescent="0.35"/>
    <row r="74156" hidden="1" x14ac:dyDescent="0.35"/>
    <row r="74157" hidden="1" x14ac:dyDescent="0.35"/>
    <row r="74158" hidden="1" x14ac:dyDescent="0.35"/>
    <row r="74159" hidden="1" x14ac:dyDescent="0.35"/>
    <row r="74160" hidden="1" x14ac:dyDescent="0.35"/>
    <row r="74161" hidden="1" x14ac:dyDescent="0.35"/>
    <row r="74162" hidden="1" x14ac:dyDescent="0.35"/>
    <row r="74163" hidden="1" x14ac:dyDescent="0.35"/>
    <row r="74164" hidden="1" x14ac:dyDescent="0.35"/>
    <row r="74165" hidden="1" x14ac:dyDescent="0.35"/>
    <row r="74166" hidden="1" x14ac:dyDescent="0.35"/>
    <row r="74167" hidden="1" x14ac:dyDescent="0.35"/>
    <row r="74168" hidden="1" x14ac:dyDescent="0.35"/>
    <row r="74169" hidden="1" x14ac:dyDescent="0.35"/>
    <row r="74170" hidden="1" x14ac:dyDescent="0.35"/>
    <row r="74171" hidden="1" x14ac:dyDescent="0.35"/>
    <row r="74172" hidden="1" x14ac:dyDescent="0.35"/>
    <row r="74173" hidden="1" x14ac:dyDescent="0.35"/>
    <row r="74174" hidden="1" x14ac:dyDescent="0.35"/>
    <row r="74175" hidden="1" x14ac:dyDescent="0.35"/>
    <row r="74176" hidden="1" x14ac:dyDescent="0.35"/>
    <row r="74177" hidden="1" x14ac:dyDescent="0.35"/>
    <row r="74178" hidden="1" x14ac:dyDescent="0.35"/>
    <row r="74179" hidden="1" x14ac:dyDescent="0.35"/>
    <row r="74180" hidden="1" x14ac:dyDescent="0.35"/>
    <row r="74181" hidden="1" x14ac:dyDescent="0.35"/>
    <row r="74182" hidden="1" x14ac:dyDescent="0.35"/>
    <row r="74183" hidden="1" x14ac:dyDescent="0.35"/>
    <row r="74184" hidden="1" x14ac:dyDescent="0.35"/>
    <row r="74185" hidden="1" x14ac:dyDescent="0.35"/>
    <row r="74186" hidden="1" x14ac:dyDescent="0.35"/>
    <row r="74187" hidden="1" x14ac:dyDescent="0.35"/>
    <row r="74188" hidden="1" x14ac:dyDescent="0.35"/>
    <row r="74189" hidden="1" x14ac:dyDescent="0.35"/>
    <row r="74190" hidden="1" x14ac:dyDescent="0.35"/>
    <row r="74191" hidden="1" x14ac:dyDescent="0.35"/>
    <row r="74192" hidden="1" x14ac:dyDescent="0.35"/>
    <row r="74193" hidden="1" x14ac:dyDescent="0.35"/>
    <row r="74194" hidden="1" x14ac:dyDescent="0.35"/>
    <row r="74195" hidden="1" x14ac:dyDescent="0.35"/>
    <row r="74196" hidden="1" x14ac:dyDescent="0.35"/>
    <row r="74197" hidden="1" x14ac:dyDescent="0.35"/>
    <row r="74198" hidden="1" x14ac:dyDescent="0.35"/>
    <row r="74199" hidden="1" x14ac:dyDescent="0.35"/>
    <row r="74200" hidden="1" x14ac:dyDescent="0.35"/>
    <row r="74201" hidden="1" x14ac:dyDescent="0.35"/>
    <row r="74202" hidden="1" x14ac:dyDescent="0.35"/>
    <row r="74203" hidden="1" x14ac:dyDescent="0.35"/>
    <row r="74204" hidden="1" x14ac:dyDescent="0.35"/>
    <row r="74205" hidden="1" x14ac:dyDescent="0.35"/>
    <row r="74206" hidden="1" x14ac:dyDescent="0.35"/>
    <row r="74207" hidden="1" x14ac:dyDescent="0.35"/>
    <row r="74208" hidden="1" x14ac:dyDescent="0.35"/>
    <row r="74209" hidden="1" x14ac:dyDescent="0.35"/>
    <row r="74210" hidden="1" x14ac:dyDescent="0.35"/>
    <row r="74211" hidden="1" x14ac:dyDescent="0.35"/>
    <row r="74212" hidden="1" x14ac:dyDescent="0.35"/>
    <row r="74213" hidden="1" x14ac:dyDescent="0.35"/>
    <row r="74214" hidden="1" x14ac:dyDescent="0.35"/>
    <row r="74215" hidden="1" x14ac:dyDescent="0.35"/>
    <row r="74216" hidden="1" x14ac:dyDescent="0.35"/>
    <row r="74217" hidden="1" x14ac:dyDescent="0.35"/>
    <row r="74218" hidden="1" x14ac:dyDescent="0.35"/>
    <row r="74219" hidden="1" x14ac:dyDescent="0.35"/>
    <row r="74220" hidden="1" x14ac:dyDescent="0.35"/>
    <row r="74221" hidden="1" x14ac:dyDescent="0.35"/>
    <row r="74222" hidden="1" x14ac:dyDescent="0.35"/>
    <row r="74223" hidden="1" x14ac:dyDescent="0.35"/>
    <row r="74224" hidden="1" x14ac:dyDescent="0.35"/>
    <row r="74225" hidden="1" x14ac:dyDescent="0.35"/>
    <row r="74226" hidden="1" x14ac:dyDescent="0.35"/>
    <row r="74227" hidden="1" x14ac:dyDescent="0.35"/>
    <row r="74228" hidden="1" x14ac:dyDescent="0.35"/>
    <row r="74229" hidden="1" x14ac:dyDescent="0.35"/>
    <row r="74230" hidden="1" x14ac:dyDescent="0.35"/>
    <row r="74231" hidden="1" x14ac:dyDescent="0.35"/>
    <row r="74232" hidden="1" x14ac:dyDescent="0.35"/>
    <row r="74233" hidden="1" x14ac:dyDescent="0.35"/>
    <row r="74234" hidden="1" x14ac:dyDescent="0.35"/>
    <row r="74235" hidden="1" x14ac:dyDescent="0.35"/>
    <row r="74236" hidden="1" x14ac:dyDescent="0.35"/>
    <row r="74237" hidden="1" x14ac:dyDescent="0.35"/>
    <row r="74238" hidden="1" x14ac:dyDescent="0.35"/>
    <row r="74239" hidden="1" x14ac:dyDescent="0.35"/>
    <row r="74240" hidden="1" x14ac:dyDescent="0.35"/>
    <row r="74241" hidden="1" x14ac:dyDescent="0.35"/>
    <row r="74242" hidden="1" x14ac:dyDescent="0.35"/>
    <row r="74243" hidden="1" x14ac:dyDescent="0.35"/>
    <row r="74244" hidden="1" x14ac:dyDescent="0.35"/>
    <row r="74245" hidden="1" x14ac:dyDescent="0.35"/>
    <row r="74246" hidden="1" x14ac:dyDescent="0.35"/>
    <row r="74247" hidden="1" x14ac:dyDescent="0.35"/>
    <row r="74248" hidden="1" x14ac:dyDescent="0.35"/>
    <row r="74249" hidden="1" x14ac:dyDescent="0.35"/>
    <row r="74250" hidden="1" x14ac:dyDescent="0.35"/>
    <row r="74251" hidden="1" x14ac:dyDescent="0.35"/>
    <row r="74252" hidden="1" x14ac:dyDescent="0.35"/>
    <row r="74253" hidden="1" x14ac:dyDescent="0.35"/>
    <row r="74254" hidden="1" x14ac:dyDescent="0.35"/>
    <row r="74255" hidden="1" x14ac:dyDescent="0.35"/>
    <row r="74256" hidden="1" x14ac:dyDescent="0.35"/>
    <row r="74257" hidden="1" x14ac:dyDescent="0.35"/>
    <row r="74258" hidden="1" x14ac:dyDescent="0.35"/>
    <row r="74259" hidden="1" x14ac:dyDescent="0.35"/>
    <row r="74260" hidden="1" x14ac:dyDescent="0.35"/>
    <row r="74261" hidden="1" x14ac:dyDescent="0.35"/>
    <row r="74262" hidden="1" x14ac:dyDescent="0.35"/>
    <row r="74263" hidden="1" x14ac:dyDescent="0.35"/>
    <row r="74264" hidden="1" x14ac:dyDescent="0.35"/>
    <row r="74265" hidden="1" x14ac:dyDescent="0.35"/>
    <row r="74266" hidden="1" x14ac:dyDescent="0.35"/>
    <row r="74267" hidden="1" x14ac:dyDescent="0.35"/>
    <row r="74268" hidden="1" x14ac:dyDescent="0.35"/>
    <row r="74269" hidden="1" x14ac:dyDescent="0.35"/>
    <row r="74270" hidden="1" x14ac:dyDescent="0.35"/>
    <row r="74271" hidden="1" x14ac:dyDescent="0.35"/>
    <row r="74272" hidden="1" x14ac:dyDescent="0.35"/>
    <row r="74273" hidden="1" x14ac:dyDescent="0.35"/>
    <row r="74274" hidden="1" x14ac:dyDescent="0.35"/>
    <row r="74275" hidden="1" x14ac:dyDescent="0.35"/>
    <row r="74276" hidden="1" x14ac:dyDescent="0.35"/>
    <row r="74277" hidden="1" x14ac:dyDescent="0.35"/>
    <row r="74278" hidden="1" x14ac:dyDescent="0.35"/>
    <row r="74279" hidden="1" x14ac:dyDescent="0.35"/>
    <row r="74280" hidden="1" x14ac:dyDescent="0.35"/>
    <row r="74281" hidden="1" x14ac:dyDescent="0.35"/>
    <row r="74282" hidden="1" x14ac:dyDescent="0.35"/>
    <row r="74283" hidden="1" x14ac:dyDescent="0.35"/>
    <row r="74284" hidden="1" x14ac:dyDescent="0.35"/>
    <row r="74285" hidden="1" x14ac:dyDescent="0.35"/>
    <row r="74286" hidden="1" x14ac:dyDescent="0.35"/>
    <row r="74287" hidden="1" x14ac:dyDescent="0.35"/>
    <row r="74288" hidden="1" x14ac:dyDescent="0.35"/>
    <row r="74289" hidden="1" x14ac:dyDescent="0.35"/>
    <row r="74290" hidden="1" x14ac:dyDescent="0.35"/>
    <row r="74291" hidden="1" x14ac:dyDescent="0.35"/>
    <row r="74292" hidden="1" x14ac:dyDescent="0.35"/>
    <row r="74293" hidden="1" x14ac:dyDescent="0.35"/>
    <row r="74294" hidden="1" x14ac:dyDescent="0.35"/>
    <row r="74295" hidden="1" x14ac:dyDescent="0.35"/>
    <row r="74296" hidden="1" x14ac:dyDescent="0.35"/>
    <row r="74297" hidden="1" x14ac:dyDescent="0.35"/>
    <row r="74298" hidden="1" x14ac:dyDescent="0.35"/>
    <row r="74299" hidden="1" x14ac:dyDescent="0.35"/>
    <row r="74300" hidden="1" x14ac:dyDescent="0.35"/>
    <row r="74301" hidden="1" x14ac:dyDescent="0.35"/>
    <row r="74302" hidden="1" x14ac:dyDescent="0.35"/>
    <row r="74303" hidden="1" x14ac:dyDescent="0.35"/>
    <row r="74304" hidden="1" x14ac:dyDescent="0.35"/>
    <row r="74305" hidden="1" x14ac:dyDescent="0.35"/>
    <row r="74306" hidden="1" x14ac:dyDescent="0.35"/>
    <row r="74307" hidden="1" x14ac:dyDescent="0.35"/>
    <row r="74308" hidden="1" x14ac:dyDescent="0.35"/>
    <row r="74309" hidden="1" x14ac:dyDescent="0.35"/>
    <row r="74310" hidden="1" x14ac:dyDescent="0.35"/>
    <row r="74311" hidden="1" x14ac:dyDescent="0.35"/>
    <row r="74312" hidden="1" x14ac:dyDescent="0.35"/>
    <row r="74313" hidden="1" x14ac:dyDescent="0.35"/>
    <row r="74314" hidden="1" x14ac:dyDescent="0.35"/>
    <row r="74315" hidden="1" x14ac:dyDescent="0.35"/>
    <row r="74316" hidden="1" x14ac:dyDescent="0.35"/>
    <row r="74317" hidden="1" x14ac:dyDescent="0.35"/>
    <row r="74318" hidden="1" x14ac:dyDescent="0.35"/>
    <row r="74319" hidden="1" x14ac:dyDescent="0.35"/>
    <row r="74320" hidden="1" x14ac:dyDescent="0.35"/>
    <row r="74321" hidden="1" x14ac:dyDescent="0.35"/>
    <row r="74322" hidden="1" x14ac:dyDescent="0.35"/>
    <row r="74323" hidden="1" x14ac:dyDescent="0.35"/>
    <row r="74324" hidden="1" x14ac:dyDescent="0.35"/>
    <row r="74325" hidden="1" x14ac:dyDescent="0.35"/>
    <row r="74326" hidden="1" x14ac:dyDescent="0.35"/>
    <row r="74327" hidden="1" x14ac:dyDescent="0.35"/>
    <row r="74328" hidden="1" x14ac:dyDescent="0.35"/>
    <row r="74329" hidden="1" x14ac:dyDescent="0.35"/>
    <row r="74330" hidden="1" x14ac:dyDescent="0.35"/>
    <row r="74331" hidden="1" x14ac:dyDescent="0.35"/>
    <row r="74332" hidden="1" x14ac:dyDescent="0.35"/>
    <row r="74333" hidden="1" x14ac:dyDescent="0.35"/>
    <row r="74334" hidden="1" x14ac:dyDescent="0.35"/>
    <row r="74335" hidden="1" x14ac:dyDescent="0.35"/>
    <row r="74336" hidden="1" x14ac:dyDescent="0.35"/>
    <row r="74337" hidden="1" x14ac:dyDescent="0.35"/>
    <row r="74338" hidden="1" x14ac:dyDescent="0.35"/>
    <row r="74339" hidden="1" x14ac:dyDescent="0.35"/>
    <row r="74340" hidden="1" x14ac:dyDescent="0.35"/>
    <row r="74341" hidden="1" x14ac:dyDescent="0.35"/>
    <row r="74342" hidden="1" x14ac:dyDescent="0.35"/>
    <row r="74343" hidden="1" x14ac:dyDescent="0.35"/>
    <row r="74344" hidden="1" x14ac:dyDescent="0.35"/>
    <row r="74345" hidden="1" x14ac:dyDescent="0.35"/>
    <row r="74346" hidden="1" x14ac:dyDescent="0.35"/>
    <row r="74347" hidden="1" x14ac:dyDescent="0.35"/>
    <row r="74348" hidden="1" x14ac:dyDescent="0.35"/>
    <row r="74349" hidden="1" x14ac:dyDescent="0.35"/>
    <row r="74350" hidden="1" x14ac:dyDescent="0.35"/>
    <row r="74351" hidden="1" x14ac:dyDescent="0.35"/>
    <row r="74352" hidden="1" x14ac:dyDescent="0.35"/>
    <row r="74353" hidden="1" x14ac:dyDescent="0.35"/>
    <row r="74354" hidden="1" x14ac:dyDescent="0.35"/>
    <row r="74355" hidden="1" x14ac:dyDescent="0.35"/>
    <row r="74356" hidden="1" x14ac:dyDescent="0.35"/>
    <row r="74357" hidden="1" x14ac:dyDescent="0.35"/>
    <row r="74358" hidden="1" x14ac:dyDescent="0.35"/>
    <row r="74359" hidden="1" x14ac:dyDescent="0.35"/>
    <row r="74360" hidden="1" x14ac:dyDescent="0.35"/>
    <row r="74361" hidden="1" x14ac:dyDescent="0.35"/>
    <row r="74362" hidden="1" x14ac:dyDescent="0.35"/>
    <row r="74363" hidden="1" x14ac:dyDescent="0.35"/>
    <row r="74364" hidden="1" x14ac:dyDescent="0.35"/>
    <row r="74365" hidden="1" x14ac:dyDescent="0.35"/>
    <row r="74366" hidden="1" x14ac:dyDescent="0.35"/>
    <row r="74367" hidden="1" x14ac:dyDescent="0.35"/>
    <row r="74368" hidden="1" x14ac:dyDescent="0.35"/>
    <row r="74369" hidden="1" x14ac:dyDescent="0.35"/>
    <row r="74370" hidden="1" x14ac:dyDescent="0.35"/>
    <row r="74371" hidden="1" x14ac:dyDescent="0.35"/>
    <row r="74372" hidden="1" x14ac:dyDescent="0.35"/>
    <row r="74373" hidden="1" x14ac:dyDescent="0.35"/>
    <row r="74374" hidden="1" x14ac:dyDescent="0.35"/>
    <row r="74375" hidden="1" x14ac:dyDescent="0.35"/>
    <row r="74376" hidden="1" x14ac:dyDescent="0.35"/>
    <row r="74377" hidden="1" x14ac:dyDescent="0.35"/>
    <row r="74378" hidden="1" x14ac:dyDescent="0.35"/>
    <row r="74379" hidden="1" x14ac:dyDescent="0.35"/>
    <row r="74380" hidden="1" x14ac:dyDescent="0.35"/>
    <row r="74381" hidden="1" x14ac:dyDescent="0.35"/>
    <row r="74382" hidden="1" x14ac:dyDescent="0.35"/>
    <row r="74383" hidden="1" x14ac:dyDescent="0.35"/>
    <row r="74384" hidden="1" x14ac:dyDescent="0.35"/>
    <row r="74385" hidden="1" x14ac:dyDescent="0.35"/>
    <row r="74386" hidden="1" x14ac:dyDescent="0.35"/>
    <row r="74387" hidden="1" x14ac:dyDescent="0.35"/>
    <row r="74388" hidden="1" x14ac:dyDescent="0.35"/>
    <row r="74389" hidden="1" x14ac:dyDescent="0.35"/>
    <row r="74390" hidden="1" x14ac:dyDescent="0.35"/>
    <row r="74391" hidden="1" x14ac:dyDescent="0.35"/>
    <row r="74392" hidden="1" x14ac:dyDescent="0.35"/>
    <row r="74393" hidden="1" x14ac:dyDescent="0.35"/>
    <row r="74394" hidden="1" x14ac:dyDescent="0.35"/>
    <row r="74395" hidden="1" x14ac:dyDescent="0.35"/>
    <row r="74396" hidden="1" x14ac:dyDescent="0.35"/>
    <row r="74397" hidden="1" x14ac:dyDescent="0.35"/>
    <row r="74398" hidden="1" x14ac:dyDescent="0.35"/>
    <row r="74399" hidden="1" x14ac:dyDescent="0.35"/>
    <row r="74400" hidden="1" x14ac:dyDescent="0.35"/>
    <row r="74401" hidden="1" x14ac:dyDescent="0.35"/>
    <row r="74402" hidden="1" x14ac:dyDescent="0.35"/>
    <row r="74403" hidden="1" x14ac:dyDescent="0.35"/>
    <row r="74404" hidden="1" x14ac:dyDescent="0.35"/>
    <row r="74405" hidden="1" x14ac:dyDescent="0.35"/>
    <row r="74406" hidden="1" x14ac:dyDescent="0.35"/>
    <row r="74407" hidden="1" x14ac:dyDescent="0.35"/>
    <row r="74408" hidden="1" x14ac:dyDescent="0.35"/>
    <row r="74409" hidden="1" x14ac:dyDescent="0.35"/>
    <row r="74410" hidden="1" x14ac:dyDescent="0.35"/>
    <row r="74411" hidden="1" x14ac:dyDescent="0.35"/>
    <row r="74412" hidden="1" x14ac:dyDescent="0.35"/>
    <row r="74413" hidden="1" x14ac:dyDescent="0.35"/>
    <row r="74414" hidden="1" x14ac:dyDescent="0.35"/>
    <row r="74415" hidden="1" x14ac:dyDescent="0.35"/>
    <row r="74416" hidden="1" x14ac:dyDescent="0.35"/>
    <row r="74417" hidden="1" x14ac:dyDescent="0.35"/>
    <row r="74418" hidden="1" x14ac:dyDescent="0.35"/>
    <row r="74419" hidden="1" x14ac:dyDescent="0.35"/>
    <row r="74420" hidden="1" x14ac:dyDescent="0.35"/>
    <row r="74421" hidden="1" x14ac:dyDescent="0.35"/>
    <row r="74422" hidden="1" x14ac:dyDescent="0.35"/>
    <row r="74423" hidden="1" x14ac:dyDescent="0.35"/>
    <row r="74424" hidden="1" x14ac:dyDescent="0.35"/>
    <row r="74425" hidden="1" x14ac:dyDescent="0.35"/>
    <row r="74426" hidden="1" x14ac:dyDescent="0.35"/>
    <row r="74427" hidden="1" x14ac:dyDescent="0.35"/>
    <row r="74428" hidden="1" x14ac:dyDescent="0.35"/>
    <row r="74429" hidden="1" x14ac:dyDescent="0.35"/>
    <row r="74430" hidden="1" x14ac:dyDescent="0.35"/>
    <row r="74431" hidden="1" x14ac:dyDescent="0.35"/>
    <row r="74432" hidden="1" x14ac:dyDescent="0.35"/>
    <row r="74433" hidden="1" x14ac:dyDescent="0.35"/>
    <row r="74434" hidden="1" x14ac:dyDescent="0.35"/>
    <row r="74435" hidden="1" x14ac:dyDescent="0.35"/>
    <row r="74436" hidden="1" x14ac:dyDescent="0.35"/>
    <row r="74437" hidden="1" x14ac:dyDescent="0.35"/>
    <row r="74438" hidden="1" x14ac:dyDescent="0.35"/>
    <row r="74439" hidden="1" x14ac:dyDescent="0.35"/>
    <row r="74440" hidden="1" x14ac:dyDescent="0.35"/>
    <row r="74441" hidden="1" x14ac:dyDescent="0.35"/>
    <row r="74442" hidden="1" x14ac:dyDescent="0.35"/>
    <row r="74443" hidden="1" x14ac:dyDescent="0.35"/>
    <row r="74444" hidden="1" x14ac:dyDescent="0.35"/>
    <row r="74445" hidden="1" x14ac:dyDescent="0.35"/>
    <row r="74446" hidden="1" x14ac:dyDescent="0.35"/>
    <row r="74447" hidden="1" x14ac:dyDescent="0.35"/>
    <row r="74448" hidden="1" x14ac:dyDescent="0.35"/>
    <row r="74449" hidden="1" x14ac:dyDescent="0.35"/>
    <row r="74450" hidden="1" x14ac:dyDescent="0.35"/>
    <row r="74451" hidden="1" x14ac:dyDescent="0.35"/>
    <row r="74452" hidden="1" x14ac:dyDescent="0.35"/>
    <row r="74453" hidden="1" x14ac:dyDescent="0.35"/>
    <row r="74454" hidden="1" x14ac:dyDescent="0.35"/>
    <row r="74455" hidden="1" x14ac:dyDescent="0.35"/>
    <row r="74456" hidden="1" x14ac:dyDescent="0.35"/>
    <row r="74457" hidden="1" x14ac:dyDescent="0.35"/>
    <row r="74458" hidden="1" x14ac:dyDescent="0.35"/>
    <row r="74459" hidden="1" x14ac:dyDescent="0.35"/>
    <row r="74460" hidden="1" x14ac:dyDescent="0.35"/>
    <row r="74461" hidden="1" x14ac:dyDescent="0.35"/>
    <row r="74462" hidden="1" x14ac:dyDescent="0.35"/>
    <row r="74463" hidden="1" x14ac:dyDescent="0.35"/>
    <row r="74464" hidden="1" x14ac:dyDescent="0.35"/>
    <row r="74465" hidden="1" x14ac:dyDescent="0.35"/>
    <row r="74466" hidden="1" x14ac:dyDescent="0.35"/>
    <row r="74467" hidden="1" x14ac:dyDescent="0.35"/>
    <row r="74468" hidden="1" x14ac:dyDescent="0.35"/>
    <row r="74469" hidden="1" x14ac:dyDescent="0.35"/>
    <row r="74470" hidden="1" x14ac:dyDescent="0.35"/>
    <row r="74471" hidden="1" x14ac:dyDescent="0.35"/>
    <row r="74472" hidden="1" x14ac:dyDescent="0.35"/>
    <row r="74473" hidden="1" x14ac:dyDescent="0.35"/>
    <row r="74474" hidden="1" x14ac:dyDescent="0.35"/>
    <row r="74475" hidden="1" x14ac:dyDescent="0.35"/>
    <row r="74476" hidden="1" x14ac:dyDescent="0.35"/>
    <row r="74477" hidden="1" x14ac:dyDescent="0.35"/>
    <row r="74478" hidden="1" x14ac:dyDescent="0.35"/>
    <row r="74479" hidden="1" x14ac:dyDescent="0.35"/>
    <row r="74480" hidden="1" x14ac:dyDescent="0.35"/>
    <row r="74481" hidden="1" x14ac:dyDescent="0.35"/>
    <row r="74482" hidden="1" x14ac:dyDescent="0.35"/>
    <row r="74483" hidden="1" x14ac:dyDescent="0.35"/>
    <row r="74484" hidden="1" x14ac:dyDescent="0.35"/>
    <row r="74485" hidden="1" x14ac:dyDescent="0.35"/>
    <row r="74486" hidden="1" x14ac:dyDescent="0.35"/>
    <row r="74487" hidden="1" x14ac:dyDescent="0.35"/>
    <row r="74488" hidden="1" x14ac:dyDescent="0.35"/>
    <row r="74489" hidden="1" x14ac:dyDescent="0.35"/>
    <row r="74490" hidden="1" x14ac:dyDescent="0.35"/>
    <row r="74491" hidden="1" x14ac:dyDescent="0.35"/>
    <row r="74492" hidden="1" x14ac:dyDescent="0.35"/>
    <row r="74493" hidden="1" x14ac:dyDescent="0.35"/>
    <row r="74494" hidden="1" x14ac:dyDescent="0.35"/>
    <row r="74495" hidden="1" x14ac:dyDescent="0.35"/>
    <row r="74496" hidden="1" x14ac:dyDescent="0.35"/>
    <row r="74497" hidden="1" x14ac:dyDescent="0.35"/>
    <row r="74498" hidden="1" x14ac:dyDescent="0.35"/>
    <row r="74499" hidden="1" x14ac:dyDescent="0.35"/>
    <row r="74500" hidden="1" x14ac:dyDescent="0.35"/>
    <row r="74501" hidden="1" x14ac:dyDescent="0.35"/>
    <row r="74502" hidden="1" x14ac:dyDescent="0.35"/>
    <row r="74503" hidden="1" x14ac:dyDescent="0.35"/>
    <row r="74504" hidden="1" x14ac:dyDescent="0.35"/>
    <row r="74505" hidden="1" x14ac:dyDescent="0.35"/>
    <row r="74506" hidden="1" x14ac:dyDescent="0.35"/>
    <row r="74507" hidden="1" x14ac:dyDescent="0.35"/>
    <row r="74508" hidden="1" x14ac:dyDescent="0.35"/>
    <row r="74509" hidden="1" x14ac:dyDescent="0.35"/>
    <row r="74510" hidden="1" x14ac:dyDescent="0.35"/>
    <row r="74511" hidden="1" x14ac:dyDescent="0.35"/>
    <row r="74512" hidden="1" x14ac:dyDescent="0.35"/>
    <row r="74513" hidden="1" x14ac:dyDescent="0.35"/>
    <row r="74514" hidden="1" x14ac:dyDescent="0.35"/>
    <row r="74515" hidden="1" x14ac:dyDescent="0.35"/>
    <row r="74516" hidden="1" x14ac:dyDescent="0.35"/>
    <row r="74517" hidden="1" x14ac:dyDescent="0.35"/>
    <row r="74518" hidden="1" x14ac:dyDescent="0.35"/>
    <row r="74519" hidden="1" x14ac:dyDescent="0.35"/>
    <row r="74520" hidden="1" x14ac:dyDescent="0.35"/>
    <row r="74521" hidden="1" x14ac:dyDescent="0.35"/>
    <row r="74522" hidden="1" x14ac:dyDescent="0.35"/>
    <row r="74523" hidden="1" x14ac:dyDescent="0.35"/>
    <row r="74524" hidden="1" x14ac:dyDescent="0.35"/>
    <row r="74525" hidden="1" x14ac:dyDescent="0.35"/>
    <row r="74526" hidden="1" x14ac:dyDescent="0.35"/>
    <row r="74527" hidden="1" x14ac:dyDescent="0.35"/>
    <row r="74528" hidden="1" x14ac:dyDescent="0.35"/>
    <row r="74529" hidden="1" x14ac:dyDescent="0.35"/>
    <row r="74530" hidden="1" x14ac:dyDescent="0.35"/>
    <row r="74531" hidden="1" x14ac:dyDescent="0.35"/>
    <row r="74532" hidden="1" x14ac:dyDescent="0.35"/>
    <row r="74533" hidden="1" x14ac:dyDescent="0.35"/>
    <row r="74534" hidden="1" x14ac:dyDescent="0.35"/>
    <row r="74535" hidden="1" x14ac:dyDescent="0.35"/>
    <row r="74536" hidden="1" x14ac:dyDescent="0.35"/>
    <row r="74537" hidden="1" x14ac:dyDescent="0.35"/>
    <row r="74538" hidden="1" x14ac:dyDescent="0.35"/>
    <row r="74539" hidden="1" x14ac:dyDescent="0.35"/>
    <row r="74540" hidden="1" x14ac:dyDescent="0.35"/>
    <row r="74541" hidden="1" x14ac:dyDescent="0.35"/>
    <row r="74542" hidden="1" x14ac:dyDescent="0.35"/>
    <row r="74543" hidden="1" x14ac:dyDescent="0.35"/>
    <row r="74544" hidden="1" x14ac:dyDescent="0.35"/>
    <row r="74545" hidden="1" x14ac:dyDescent="0.35"/>
    <row r="74546" hidden="1" x14ac:dyDescent="0.35"/>
    <row r="74547" hidden="1" x14ac:dyDescent="0.35"/>
    <row r="74548" hidden="1" x14ac:dyDescent="0.35"/>
    <row r="74549" hidden="1" x14ac:dyDescent="0.35"/>
    <row r="74550" hidden="1" x14ac:dyDescent="0.35"/>
    <row r="74551" hidden="1" x14ac:dyDescent="0.35"/>
    <row r="74552" hidden="1" x14ac:dyDescent="0.35"/>
    <row r="74553" hidden="1" x14ac:dyDescent="0.35"/>
    <row r="74554" hidden="1" x14ac:dyDescent="0.35"/>
    <row r="74555" hidden="1" x14ac:dyDescent="0.35"/>
    <row r="74556" hidden="1" x14ac:dyDescent="0.35"/>
    <row r="74557" hidden="1" x14ac:dyDescent="0.35"/>
    <row r="74558" hidden="1" x14ac:dyDescent="0.35"/>
    <row r="74559" hidden="1" x14ac:dyDescent="0.35"/>
    <row r="74560" hidden="1" x14ac:dyDescent="0.35"/>
    <row r="74561" hidden="1" x14ac:dyDescent="0.35"/>
    <row r="74562" hidden="1" x14ac:dyDescent="0.35"/>
    <row r="74563" hidden="1" x14ac:dyDescent="0.35"/>
    <row r="74564" hidden="1" x14ac:dyDescent="0.35"/>
    <row r="74565" hidden="1" x14ac:dyDescent="0.35"/>
    <row r="74566" hidden="1" x14ac:dyDescent="0.35"/>
    <row r="74567" hidden="1" x14ac:dyDescent="0.35"/>
    <row r="74568" hidden="1" x14ac:dyDescent="0.35"/>
    <row r="74569" hidden="1" x14ac:dyDescent="0.35"/>
    <row r="74570" hidden="1" x14ac:dyDescent="0.35"/>
    <row r="74571" hidden="1" x14ac:dyDescent="0.35"/>
    <row r="74572" hidden="1" x14ac:dyDescent="0.35"/>
    <row r="74573" hidden="1" x14ac:dyDescent="0.35"/>
    <row r="74574" hidden="1" x14ac:dyDescent="0.35"/>
    <row r="74575" hidden="1" x14ac:dyDescent="0.35"/>
    <row r="74576" hidden="1" x14ac:dyDescent="0.35"/>
    <row r="74577" hidden="1" x14ac:dyDescent="0.35"/>
    <row r="74578" hidden="1" x14ac:dyDescent="0.35"/>
    <row r="74579" hidden="1" x14ac:dyDescent="0.35"/>
    <row r="74580" hidden="1" x14ac:dyDescent="0.35"/>
    <row r="74581" hidden="1" x14ac:dyDescent="0.35"/>
    <row r="74582" hidden="1" x14ac:dyDescent="0.35"/>
    <row r="74583" hidden="1" x14ac:dyDescent="0.35"/>
    <row r="74584" hidden="1" x14ac:dyDescent="0.35"/>
    <row r="74585" hidden="1" x14ac:dyDescent="0.35"/>
    <row r="74586" hidden="1" x14ac:dyDescent="0.35"/>
    <row r="74587" hidden="1" x14ac:dyDescent="0.35"/>
    <row r="74588" hidden="1" x14ac:dyDescent="0.35"/>
    <row r="74589" hidden="1" x14ac:dyDescent="0.35"/>
    <row r="74590" hidden="1" x14ac:dyDescent="0.35"/>
    <row r="74591" hidden="1" x14ac:dyDescent="0.35"/>
    <row r="74592" hidden="1" x14ac:dyDescent="0.35"/>
    <row r="74593" hidden="1" x14ac:dyDescent="0.35"/>
    <row r="74594" hidden="1" x14ac:dyDescent="0.35"/>
    <row r="74595" hidden="1" x14ac:dyDescent="0.35"/>
    <row r="74596" hidden="1" x14ac:dyDescent="0.35"/>
    <row r="74597" hidden="1" x14ac:dyDescent="0.35"/>
    <row r="74598" hidden="1" x14ac:dyDescent="0.35"/>
    <row r="74599" hidden="1" x14ac:dyDescent="0.35"/>
    <row r="74600" hidden="1" x14ac:dyDescent="0.35"/>
    <row r="74601" hidden="1" x14ac:dyDescent="0.35"/>
    <row r="74602" hidden="1" x14ac:dyDescent="0.35"/>
    <row r="74603" hidden="1" x14ac:dyDescent="0.35"/>
    <row r="74604" hidden="1" x14ac:dyDescent="0.35"/>
    <row r="74605" hidden="1" x14ac:dyDescent="0.35"/>
    <row r="74606" hidden="1" x14ac:dyDescent="0.35"/>
    <row r="74607" hidden="1" x14ac:dyDescent="0.35"/>
    <row r="74608" hidden="1" x14ac:dyDescent="0.35"/>
    <row r="74609" hidden="1" x14ac:dyDescent="0.35"/>
    <row r="74610" hidden="1" x14ac:dyDescent="0.35"/>
    <row r="74611" hidden="1" x14ac:dyDescent="0.35"/>
    <row r="74612" hidden="1" x14ac:dyDescent="0.35"/>
    <row r="74613" hidden="1" x14ac:dyDescent="0.35"/>
    <row r="74614" hidden="1" x14ac:dyDescent="0.35"/>
    <row r="74615" hidden="1" x14ac:dyDescent="0.35"/>
    <row r="74616" hidden="1" x14ac:dyDescent="0.35"/>
    <row r="74617" hidden="1" x14ac:dyDescent="0.35"/>
    <row r="74618" hidden="1" x14ac:dyDescent="0.35"/>
    <row r="74619" hidden="1" x14ac:dyDescent="0.35"/>
    <row r="74620" hidden="1" x14ac:dyDescent="0.35"/>
    <row r="74621" hidden="1" x14ac:dyDescent="0.35"/>
    <row r="74622" hidden="1" x14ac:dyDescent="0.35"/>
    <row r="74623" hidden="1" x14ac:dyDescent="0.35"/>
    <row r="74624" hidden="1" x14ac:dyDescent="0.35"/>
    <row r="74625" hidden="1" x14ac:dyDescent="0.35"/>
    <row r="74626" hidden="1" x14ac:dyDescent="0.35"/>
    <row r="74627" hidden="1" x14ac:dyDescent="0.35"/>
    <row r="74628" hidden="1" x14ac:dyDescent="0.35"/>
    <row r="74629" hidden="1" x14ac:dyDescent="0.35"/>
    <row r="74630" hidden="1" x14ac:dyDescent="0.35"/>
    <row r="74631" hidden="1" x14ac:dyDescent="0.35"/>
    <row r="74632" hidden="1" x14ac:dyDescent="0.35"/>
    <row r="74633" hidden="1" x14ac:dyDescent="0.35"/>
    <row r="74634" hidden="1" x14ac:dyDescent="0.35"/>
    <row r="74635" hidden="1" x14ac:dyDescent="0.35"/>
    <row r="74636" hidden="1" x14ac:dyDescent="0.35"/>
    <row r="74637" hidden="1" x14ac:dyDescent="0.35"/>
    <row r="74638" hidden="1" x14ac:dyDescent="0.35"/>
    <row r="74639" hidden="1" x14ac:dyDescent="0.35"/>
    <row r="74640" hidden="1" x14ac:dyDescent="0.35"/>
    <row r="74641" hidden="1" x14ac:dyDescent="0.35"/>
    <row r="74642" hidden="1" x14ac:dyDescent="0.35"/>
    <row r="74643" hidden="1" x14ac:dyDescent="0.35"/>
    <row r="74644" hidden="1" x14ac:dyDescent="0.35"/>
    <row r="74645" hidden="1" x14ac:dyDescent="0.35"/>
    <row r="74646" hidden="1" x14ac:dyDescent="0.35"/>
    <row r="74647" hidden="1" x14ac:dyDescent="0.35"/>
    <row r="74648" hidden="1" x14ac:dyDescent="0.35"/>
    <row r="74649" hidden="1" x14ac:dyDescent="0.35"/>
    <row r="74650" hidden="1" x14ac:dyDescent="0.35"/>
    <row r="74651" hidden="1" x14ac:dyDescent="0.35"/>
    <row r="74652" hidden="1" x14ac:dyDescent="0.35"/>
    <row r="74653" hidden="1" x14ac:dyDescent="0.35"/>
    <row r="74654" hidden="1" x14ac:dyDescent="0.35"/>
    <row r="74655" hidden="1" x14ac:dyDescent="0.35"/>
    <row r="74656" hidden="1" x14ac:dyDescent="0.35"/>
    <row r="74657" hidden="1" x14ac:dyDescent="0.35"/>
    <row r="74658" hidden="1" x14ac:dyDescent="0.35"/>
    <row r="74659" hidden="1" x14ac:dyDescent="0.35"/>
    <row r="74660" hidden="1" x14ac:dyDescent="0.35"/>
    <row r="74661" hidden="1" x14ac:dyDescent="0.35"/>
    <row r="74662" hidden="1" x14ac:dyDescent="0.35"/>
    <row r="74663" hidden="1" x14ac:dyDescent="0.35"/>
    <row r="74664" hidden="1" x14ac:dyDescent="0.35"/>
    <row r="74665" hidden="1" x14ac:dyDescent="0.35"/>
    <row r="74666" hidden="1" x14ac:dyDescent="0.35"/>
    <row r="74667" hidden="1" x14ac:dyDescent="0.35"/>
    <row r="74668" hidden="1" x14ac:dyDescent="0.35"/>
    <row r="74669" hidden="1" x14ac:dyDescent="0.35"/>
    <row r="74670" hidden="1" x14ac:dyDescent="0.35"/>
    <row r="74671" hidden="1" x14ac:dyDescent="0.35"/>
    <row r="74672" hidden="1" x14ac:dyDescent="0.35"/>
    <row r="74673" hidden="1" x14ac:dyDescent="0.35"/>
    <row r="74674" hidden="1" x14ac:dyDescent="0.35"/>
    <row r="74675" hidden="1" x14ac:dyDescent="0.35"/>
    <row r="74676" hidden="1" x14ac:dyDescent="0.35"/>
    <row r="74677" hidden="1" x14ac:dyDescent="0.35"/>
    <row r="74678" hidden="1" x14ac:dyDescent="0.35"/>
    <row r="74679" hidden="1" x14ac:dyDescent="0.35"/>
    <row r="74680" hidden="1" x14ac:dyDescent="0.35"/>
    <row r="74681" hidden="1" x14ac:dyDescent="0.35"/>
    <row r="74682" hidden="1" x14ac:dyDescent="0.35"/>
    <row r="74683" hidden="1" x14ac:dyDescent="0.35"/>
    <row r="74684" hidden="1" x14ac:dyDescent="0.35"/>
    <row r="74685" hidden="1" x14ac:dyDescent="0.35"/>
    <row r="74686" hidden="1" x14ac:dyDescent="0.35"/>
    <row r="74687" hidden="1" x14ac:dyDescent="0.35"/>
    <row r="74688" hidden="1" x14ac:dyDescent="0.35"/>
    <row r="74689" hidden="1" x14ac:dyDescent="0.35"/>
    <row r="74690" hidden="1" x14ac:dyDescent="0.35"/>
    <row r="74691" hidden="1" x14ac:dyDescent="0.35"/>
    <row r="74692" hidden="1" x14ac:dyDescent="0.35"/>
    <row r="74693" hidden="1" x14ac:dyDescent="0.35"/>
    <row r="74694" hidden="1" x14ac:dyDescent="0.35"/>
    <row r="74695" hidden="1" x14ac:dyDescent="0.35"/>
    <row r="74696" hidden="1" x14ac:dyDescent="0.35"/>
    <row r="74697" hidden="1" x14ac:dyDescent="0.35"/>
    <row r="74698" hidden="1" x14ac:dyDescent="0.35"/>
    <row r="74699" hidden="1" x14ac:dyDescent="0.35"/>
    <row r="74700" hidden="1" x14ac:dyDescent="0.35"/>
    <row r="74701" hidden="1" x14ac:dyDescent="0.35"/>
    <row r="74702" hidden="1" x14ac:dyDescent="0.35"/>
    <row r="74703" hidden="1" x14ac:dyDescent="0.35"/>
    <row r="74704" hidden="1" x14ac:dyDescent="0.35"/>
    <row r="74705" hidden="1" x14ac:dyDescent="0.35"/>
    <row r="74706" hidden="1" x14ac:dyDescent="0.35"/>
    <row r="74707" hidden="1" x14ac:dyDescent="0.35"/>
    <row r="74708" hidden="1" x14ac:dyDescent="0.35"/>
    <row r="74709" hidden="1" x14ac:dyDescent="0.35"/>
    <row r="74710" hidden="1" x14ac:dyDescent="0.35"/>
    <row r="74711" hidden="1" x14ac:dyDescent="0.35"/>
    <row r="74712" hidden="1" x14ac:dyDescent="0.35"/>
    <row r="74713" hidden="1" x14ac:dyDescent="0.35"/>
    <row r="74714" hidden="1" x14ac:dyDescent="0.35"/>
    <row r="74715" hidden="1" x14ac:dyDescent="0.35"/>
    <row r="74716" hidden="1" x14ac:dyDescent="0.35"/>
    <row r="74717" hidden="1" x14ac:dyDescent="0.35"/>
    <row r="74718" hidden="1" x14ac:dyDescent="0.35"/>
    <row r="74719" hidden="1" x14ac:dyDescent="0.35"/>
    <row r="74720" hidden="1" x14ac:dyDescent="0.35"/>
    <row r="74721" hidden="1" x14ac:dyDescent="0.35"/>
    <row r="74722" hidden="1" x14ac:dyDescent="0.35"/>
    <row r="74723" hidden="1" x14ac:dyDescent="0.35"/>
    <row r="74724" hidden="1" x14ac:dyDescent="0.35"/>
    <row r="74725" hidden="1" x14ac:dyDescent="0.35"/>
    <row r="74726" hidden="1" x14ac:dyDescent="0.35"/>
    <row r="74727" hidden="1" x14ac:dyDescent="0.35"/>
    <row r="74728" hidden="1" x14ac:dyDescent="0.35"/>
    <row r="74729" hidden="1" x14ac:dyDescent="0.35"/>
    <row r="74730" hidden="1" x14ac:dyDescent="0.35"/>
    <row r="74731" hidden="1" x14ac:dyDescent="0.35"/>
    <row r="74732" hidden="1" x14ac:dyDescent="0.35"/>
    <row r="74733" hidden="1" x14ac:dyDescent="0.35"/>
    <row r="74734" hidden="1" x14ac:dyDescent="0.35"/>
    <row r="74735" hidden="1" x14ac:dyDescent="0.35"/>
    <row r="74736" hidden="1" x14ac:dyDescent="0.35"/>
    <row r="74737" hidden="1" x14ac:dyDescent="0.35"/>
    <row r="74738" hidden="1" x14ac:dyDescent="0.35"/>
    <row r="74739" hidden="1" x14ac:dyDescent="0.35"/>
    <row r="74740" hidden="1" x14ac:dyDescent="0.35"/>
    <row r="74741" hidden="1" x14ac:dyDescent="0.35"/>
    <row r="74742" hidden="1" x14ac:dyDescent="0.35"/>
    <row r="74743" hidden="1" x14ac:dyDescent="0.35"/>
    <row r="74744" hidden="1" x14ac:dyDescent="0.35"/>
    <row r="74745" hidden="1" x14ac:dyDescent="0.35"/>
    <row r="74746" hidden="1" x14ac:dyDescent="0.35"/>
    <row r="74747" hidden="1" x14ac:dyDescent="0.35"/>
    <row r="74748" hidden="1" x14ac:dyDescent="0.35"/>
    <row r="74749" hidden="1" x14ac:dyDescent="0.35"/>
    <row r="74750" hidden="1" x14ac:dyDescent="0.35"/>
    <row r="74751" hidden="1" x14ac:dyDescent="0.35"/>
    <row r="74752" hidden="1" x14ac:dyDescent="0.35"/>
    <row r="74753" hidden="1" x14ac:dyDescent="0.35"/>
    <row r="74754" hidden="1" x14ac:dyDescent="0.35"/>
    <row r="74755" hidden="1" x14ac:dyDescent="0.35"/>
    <row r="74756" hidden="1" x14ac:dyDescent="0.35"/>
    <row r="74757" hidden="1" x14ac:dyDescent="0.35"/>
    <row r="74758" hidden="1" x14ac:dyDescent="0.35"/>
    <row r="74759" hidden="1" x14ac:dyDescent="0.35"/>
    <row r="74760" hidden="1" x14ac:dyDescent="0.35"/>
    <row r="74761" hidden="1" x14ac:dyDescent="0.35"/>
    <row r="74762" hidden="1" x14ac:dyDescent="0.35"/>
    <row r="74763" hidden="1" x14ac:dyDescent="0.35"/>
    <row r="74764" hidden="1" x14ac:dyDescent="0.35"/>
    <row r="74765" hidden="1" x14ac:dyDescent="0.35"/>
    <row r="74766" hidden="1" x14ac:dyDescent="0.35"/>
    <row r="74767" hidden="1" x14ac:dyDescent="0.35"/>
    <row r="74768" hidden="1" x14ac:dyDescent="0.35"/>
    <row r="74769" hidden="1" x14ac:dyDescent="0.35"/>
    <row r="74770" hidden="1" x14ac:dyDescent="0.35"/>
    <row r="74771" hidden="1" x14ac:dyDescent="0.35"/>
    <row r="74772" hidden="1" x14ac:dyDescent="0.35"/>
    <row r="74773" hidden="1" x14ac:dyDescent="0.35"/>
    <row r="74774" hidden="1" x14ac:dyDescent="0.35"/>
    <row r="74775" hidden="1" x14ac:dyDescent="0.35"/>
    <row r="74776" hidden="1" x14ac:dyDescent="0.35"/>
    <row r="74777" hidden="1" x14ac:dyDescent="0.35"/>
    <row r="74778" hidden="1" x14ac:dyDescent="0.35"/>
    <row r="74779" hidden="1" x14ac:dyDescent="0.35"/>
    <row r="74780" hidden="1" x14ac:dyDescent="0.35"/>
    <row r="74781" hidden="1" x14ac:dyDescent="0.35"/>
    <row r="74782" hidden="1" x14ac:dyDescent="0.35"/>
    <row r="74783" hidden="1" x14ac:dyDescent="0.35"/>
    <row r="74784" hidden="1" x14ac:dyDescent="0.35"/>
    <row r="74785" hidden="1" x14ac:dyDescent="0.35"/>
    <row r="74786" hidden="1" x14ac:dyDescent="0.35"/>
    <row r="74787" hidden="1" x14ac:dyDescent="0.35"/>
    <row r="74788" hidden="1" x14ac:dyDescent="0.35"/>
    <row r="74789" hidden="1" x14ac:dyDescent="0.35"/>
    <row r="74790" hidden="1" x14ac:dyDescent="0.35"/>
    <row r="74791" hidden="1" x14ac:dyDescent="0.35"/>
    <row r="74792" hidden="1" x14ac:dyDescent="0.35"/>
    <row r="74793" hidden="1" x14ac:dyDescent="0.35"/>
    <row r="74794" hidden="1" x14ac:dyDescent="0.35"/>
    <row r="74795" hidden="1" x14ac:dyDescent="0.35"/>
    <row r="74796" hidden="1" x14ac:dyDescent="0.35"/>
    <row r="74797" hidden="1" x14ac:dyDescent="0.35"/>
    <row r="74798" hidden="1" x14ac:dyDescent="0.35"/>
    <row r="74799" hidden="1" x14ac:dyDescent="0.35"/>
    <row r="74800" hidden="1" x14ac:dyDescent="0.35"/>
    <row r="74801" hidden="1" x14ac:dyDescent="0.35"/>
    <row r="74802" hidden="1" x14ac:dyDescent="0.35"/>
    <row r="74803" hidden="1" x14ac:dyDescent="0.35"/>
    <row r="74804" hidden="1" x14ac:dyDescent="0.35"/>
    <row r="74805" hidden="1" x14ac:dyDescent="0.35"/>
    <row r="74806" hidden="1" x14ac:dyDescent="0.35"/>
    <row r="74807" hidden="1" x14ac:dyDescent="0.35"/>
    <row r="74808" hidden="1" x14ac:dyDescent="0.35"/>
    <row r="74809" hidden="1" x14ac:dyDescent="0.35"/>
    <row r="74810" hidden="1" x14ac:dyDescent="0.35"/>
    <row r="74811" hidden="1" x14ac:dyDescent="0.35"/>
    <row r="74812" hidden="1" x14ac:dyDescent="0.35"/>
    <row r="74813" hidden="1" x14ac:dyDescent="0.35"/>
    <row r="74814" hidden="1" x14ac:dyDescent="0.35"/>
    <row r="74815" hidden="1" x14ac:dyDescent="0.35"/>
    <row r="74816" hidden="1" x14ac:dyDescent="0.35"/>
    <row r="74817" hidden="1" x14ac:dyDescent="0.35"/>
    <row r="74818" hidden="1" x14ac:dyDescent="0.35"/>
    <row r="74819" hidden="1" x14ac:dyDescent="0.35"/>
    <row r="74820" hidden="1" x14ac:dyDescent="0.35"/>
    <row r="74821" hidden="1" x14ac:dyDescent="0.35"/>
    <row r="74822" hidden="1" x14ac:dyDescent="0.35"/>
    <row r="74823" hidden="1" x14ac:dyDescent="0.35"/>
    <row r="74824" hidden="1" x14ac:dyDescent="0.35"/>
    <row r="74825" hidden="1" x14ac:dyDescent="0.35"/>
    <row r="74826" hidden="1" x14ac:dyDescent="0.35"/>
    <row r="74827" hidden="1" x14ac:dyDescent="0.35"/>
    <row r="74828" hidden="1" x14ac:dyDescent="0.35"/>
    <row r="74829" hidden="1" x14ac:dyDescent="0.35"/>
    <row r="74830" hidden="1" x14ac:dyDescent="0.35"/>
    <row r="74831" hidden="1" x14ac:dyDescent="0.35"/>
    <row r="74832" hidden="1" x14ac:dyDescent="0.35"/>
    <row r="74833" hidden="1" x14ac:dyDescent="0.35"/>
    <row r="74834" hidden="1" x14ac:dyDescent="0.35"/>
    <row r="74835" hidden="1" x14ac:dyDescent="0.35"/>
    <row r="74836" hidden="1" x14ac:dyDescent="0.35"/>
    <row r="74837" hidden="1" x14ac:dyDescent="0.35"/>
    <row r="74838" hidden="1" x14ac:dyDescent="0.35"/>
    <row r="74839" hidden="1" x14ac:dyDescent="0.35"/>
    <row r="74840" hidden="1" x14ac:dyDescent="0.35"/>
    <row r="74841" hidden="1" x14ac:dyDescent="0.35"/>
    <row r="74842" hidden="1" x14ac:dyDescent="0.35"/>
    <row r="74843" hidden="1" x14ac:dyDescent="0.35"/>
    <row r="74844" hidden="1" x14ac:dyDescent="0.35"/>
    <row r="74845" hidden="1" x14ac:dyDescent="0.35"/>
    <row r="74846" hidden="1" x14ac:dyDescent="0.35"/>
    <row r="74847" hidden="1" x14ac:dyDescent="0.35"/>
    <row r="74848" hidden="1" x14ac:dyDescent="0.35"/>
    <row r="74849" hidden="1" x14ac:dyDescent="0.35"/>
    <row r="74850" hidden="1" x14ac:dyDescent="0.35"/>
    <row r="74851" hidden="1" x14ac:dyDescent="0.35"/>
    <row r="74852" hidden="1" x14ac:dyDescent="0.35"/>
    <row r="74853" hidden="1" x14ac:dyDescent="0.35"/>
    <row r="74854" hidden="1" x14ac:dyDescent="0.35"/>
    <row r="74855" hidden="1" x14ac:dyDescent="0.35"/>
    <row r="74856" hidden="1" x14ac:dyDescent="0.35"/>
    <row r="74857" hidden="1" x14ac:dyDescent="0.35"/>
    <row r="74858" hidden="1" x14ac:dyDescent="0.35"/>
    <row r="74859" hidden="1" x14ac:dyDescent="0.35"/>
    <row r="74860" hidden="1" x14ac:dyDescent="0.35"/>
    <row r="74861" hidden="1" x14ac:dyDescent="0.35"/>
    <row r="74862" hidden="1" x14ac:dyDescent="0.35"/>
    <row r="74863" hidden="1" x14ac:dyDescent="0.35"/>
    <row r="74864" hidden="1" x14ac:dyDescent="0.35"/>
    <row r="74865" hidden="1" x14ac:dyDescent="0.35"/>
    <row r="74866" hidden="1" x14ac:dyDescent="0.35"/>
    <row r="74867" hidden="1" x14ac:dyDescent="0.35"/>
    <row r="74868" hidden="1" x14ac:dyDescent="0.35"/>
    <row r="74869" hidden="1" x14ac:dyDescent="0.35"/>
    <row r="74870" hidden="1" x14ac:dyDescent="0.35"/>
    <row r="74871" hidden="1" x14ac:dyDescent="0.35"/>
    <row r="74872" hidden="1" x14ac:dyDescent="0.35"/>
    <row r="74873" hidden="1" x14ac:dyDescent="0.35"/>
    <row r="74874" hidden="1" x14ac:dyDescent="0.35"/>
    <row r="74875" hidden="1" x14ac:dyDescent="0.35"/>
    <row r="74876" hidden="1" x14ac:dyDescent="0.35"/>
    <row r="74877" hidden="1" x14ac:dyDescent="0.35"/>
    <row r="74878" hidden="1" x14ac:dyDescent="0.35"/>
    <row r="74879" hidden="1" x14ac:dyDescent="0.35"/>
    <row r="74880" hidden="1" x14ac:dyDescent="0.35"/>
    <row r="74881" hidden="1" x14ac:dyDescent="0.35"/>
    <row r="74882" hidden="1" x14ac:dyDescent="0.35"/>
    <row r="74883" hidden="1" x14ac:dyDescent="0.35"/>
    <row r="74884" hidden="1" x14ac:dyDescent="0.35"/>
    <row r="74885" hidden="1" x14ac:dyDescent="0.35"/>
    <row r="74886" hidden="1" x14ac:dyDescent="0.35"/>
    <row r="74887" hidden="1" x14ac:dyDescent="0.35"/>
    <row r="74888" hidden="1" x14ac:dyDescent="0.35"/>
    <row r="74889" hidden="1" x14ac:dyDescent="0.35"/>
    <row r="74890" hidden="1" x14ac:dyDescent="0.35"/>
    <row r="74891" hidden="1" x14ac:dyDescent="0.35"/>
    <row r="74892" hidden="1" x14ac:dyDescent="0.35"/>
    <row r="74893" hidden="1" x14ac:dyDescent="0.35"/>
    <row r="74894" hidden="1" x14ac:dyDescent="0.35"/>
    <row r="74895" hidden="1" x14ac:dyDescent="0.35"/>
    <row r="74896" hidden="1" x14ac:dyDescent="0.35"/>
    <row r="74897" hidden="1" x14ac:dyDescent="0.35"/>
    <row r="74898" hidden="1" x14ac:dyDescent="0.35"/>
    <row r="74899" hidden="1" x14ac:dyDescent="0.35"/>
    <row r="74900" hidden="1" x14ac:dyDescent="0.35"/>
    <row r="74901" hidden="1" x14ac:dyDescent="0.35"/>
    <row r="74902" hidden="1" x14ac:dyDescent="0.35"/>
    <row r="74903" hidden="1" x14ac:dyDescent="0.35"/>
    <row r="74904" hidden="1" x14ac:dyDescent="0.35"/>
    <row r="74905" hidden="1" x14ac:dyDescent="0.35"/>
    <row r="74906" hidden="1" x14ac:dyDescent="0.35"/>
    <row r="74907" hidden="1" x14ac:dyDescent="0.35"/>
    <row r="74908" hidden="1" x14ac:dyDescent="0.35"/>
    <row r="74909" hidden="1" x14ac:dyDescent="0.35"/>
    <row r="74910" hidden="1" x14ac:dyDescent="0.35"/>
    <row r="74911" hidden="1" x14ac:dyDescent="0.35"/>
    <row r="74912" hidden="1" x14ac:dyDescent="0.35"/>
    <row r="74913" hidden="1" x14ac:dyDescent="0.35"/>
    <row r="74914" hidden="1" x14ac:dyDescent="0.35"/>
    <row r="74915" hidden="1" x14ac:dyDescent="0.35"/>
    <row r="74916" hidden="1" x14ac:dyDescent="0.35"/>
    <row r="74917" hidden="1" x14ac:dyDescent="0.35"/>
    <row r="74918" hidden="1" x14ac:dyDescent="0.35"/>
    <row r="74919" hidden="1" x14ac:dyDescent="0.35"/>
    <row r="74920" hidden="1" x14ac:dyDescent="0.35"/>
    <row r="74921" hidden="1" x14ac:dyDescent="0.35"/>
    <row r="74922" hidden="1" x14ac:dyDescent="0.35"/>
    <row r="74923" hidden="1" x14ac:dyDescent="0.35"/>
    <row r="74924" hidden="1" x14ac:dyDescent="0.35"/>
    <row r="74925" hidden="1" x14ac:dyDescent="0.35"/>
    <row r="74926" hidden="1" x14ac:dyDescent="0.35"/>
    <row r="74927" hidden="1" x14ac:dyDescent="0.35"/>
    <row r="74928" hidden="1" x14ac:dyDescent="0.35"/>
    <row r="74929" hidden="1" x14ac:dyDescent="0.35"/>
    <row r="74930" hidden="1" x14ac:dyDescent="0.35"/>
    <row r="74931" hidden="1" x14ac:dyDescent="0.35"/>
    <row r="74932" hidden="1" x14ac:dyDescent="0.35"/>
    <row r="74933" hidden="1" x14ac:dyDescent="0.35"/>
    <row r="74934" hidden="1" x14ac:dyDescent="0.35"/>
    <row r="74935" hidden="1" x14ac:dyDescent="0.35"/>
    <row r="74936" hidden="1" x14ac:dyDescent="0.35"/>
    <row r="74937" hidden="1" x14ac:dyDescent="0.35"/>
    <row r="74938" hidden="1" x14ac:dyDescent="0.35"/>
    <row r="74939" hidden="1" x14ac:dyDescent="0.35"/>
    <row r="74940" hidden="1" x14ac:dyDescent="0.35"/>
    <row r="74941" hidden="1" x14ac:dyDescent="0.35"/>
    <row r="74942" hidden="1" x14ac:dyDescent="0.35"/>
    <row r="74943" hidden="1" x14ac:dyDescent="0.35"/>
    <row r="74944" hidden="1" x14ac:dyDescent="0.35"/>
    <row r="74945" hidden="1" x14ac:dyDescent="0.35"/>
    <row r="74946" hidden="1" x14ac:dyDescent="0.35"/>
    <row r="74947" hidden="1" x14ac:dyDescent="0.35"/>
    <row r="74948" hidden="1" x14ac:dyDescent="0.35"/>
    <row r="74949" hidden="1" x14ac:dyDescent="0.35"/>
    <row r="74950" hidden="1" x14ac:dyDescent="0.35"/>
    <row r="74951" hidden="1" x14ac:dyDescent="0.35"/>
    <row r="74952" hidden="1" x14ac:dyDescent="0.35"/>
    <row r="74953" hidden="1" x14ac:dyDescent="0.35"/>
    <row r="74954" hidden="1" x14ac:dyDescent="0.35"/>
    <row r="74955" hidden="1" x14ac:dyDescent="0.35"/>
    <row r="74956" hidden="1" x14ac:dyDescent="0.35"/>
    <row r="74957" hidden="1" x14ac:dyDescent="0.35"/>
    <row r="74958" hidden="1" x14ac:dyDescent="0.35"/>
    <row r="74959" hidden="1" x14ac:dyDescent="0.35"/>
    <row r="74960" hidden="1" x14ac:dyDescent="0.35"/>
    <row r="74961" hidden="1" x14ac:dyDescent="0.35"/>
    <row r="74962" hidden="1" x14ac:dyDescent="0.35"/>
    <row r="74963" hidden="1" x14ac:dyDescent="0.35"/>
    <row r="74964" hidden="1" x14ac:dyDescent="0.35"/>
    <row r="74965" hidden="1" x14ac:dyDescent="0.35"/>
    <row r="74966" hidden="1" x14ac:dyDescent="0.35"/>
    <row r="74967" hidden="1" x14ac:dyDescent="0.35"/>
    <row r="74968" hidden="1" x14ac:dyDescent="0.35"/>
    <row r="74969" hidden="1" x14ac:dyDescent="0.35"/>
    <row r="74970" hidden="1" x14ac:dyDescent="0.35"/>
    <row r="74971" hidden="1" x14ac:dyDescent="0.35"/>
    <row r="74972" hidden="1" x14ac:dyDescent="0.35"/>
    <row r="74973" hidden="1" x14ac:dyDescent="0.35"/>
    <row r="74974" hidden="1" x14ac:dyDescent="0.35"/>
    <row r="74975" hidden="1" x14ac:dyDescent="0.35"/>
    <row r="74976" hidden="1" x14ac:dyDescent="0.35"/>
    <row r="74977" hidden="1" x14ac:dyDescent="0.35"/>
    <row r="74978" hidden="1" x14ac:dyDescent="0.35"/>
    <row r="74979" hidden="1" x14ac:dyDescent="0.35"/>
    <row r="74980" hidden="1" x14ac:dyDescent="0.35"/>
    <row r="74981" hidden="1" x14ac:dyDescent="0.35"/>
    <row r="74982" hidden="1" x14ac:dyDescent="0.35"/>
    <row r="74983" hidden="1" x14ac:dyDescent="0.35"/>
    <row r="74984" hidden="1" x14ac:dyDescent="0.35"/>
    <row r="74985" hidden="1" x14ac:dyDescent="0.35"/>
    <row r="74986" hidden="1" x14ac:dyDescent="0.35"/>
    <row r="74987" hidden="1" x14ac:dyDescent="0.35"/>
    <row r="74988" hidden="1" x14ac:dyDescent="0.35"/>
    <row r="74989" hidden="1" x14ac:dyDescent="0.35"/>
    <row r="74990" hidden="1" x14ac:dyDescent="0.35"/>
    <row r="74991" hidden="1" x14ac:dyDescent="0.35"/>
    <row r="74992" hidden="1" x14ac:dyDescent="0.35"/>
    <row r="74993" hidden="1" x14ac:dyDescent="0.35"/>
    <row r="74994" hidden="1" x14ac:dyDescent="0.35"/>
    <row r="74995" hidden="1" x14ac:dyDescent="0.35"/>
    <row r="74996" hidden="1" x14ac:dyDescent="0.35"/>
    <row r="74997" hidden="1" x14ac:dyDescent="0.35"/>
    <row r="74998" hidden="1" x14ac:dyDescent="0.35"/>
    <row r="74999" hidden="1" x14ac:dyDescent="0.35"/>
    <row r="75000" hidden="1" x14ac:dyDescent="0.35"/>
    <row r="75001" hidden="1" x14ac:dyDescent="0.35"/>
    <row r="75002" hidden="1" x14ac:dyDescent="0.35"/>
    <row r="75003" hidden="1" x14ac:dyDescent="0.35"/>
    <row r="75004" hidden="1" x14ac:dyDescent="0.35"/>
    <row r="75005" hidden="1" x14ac:dyDescent="0.35"/>
    <row r="75006" hidden="1" x14ac:dyDescent="0.35"/>
    <row r="75007" hidden="1" x14ac:dyDescent="0.35"/>
    <row r="75008" hidden="1" x14ac:dyDescent="0.35"/>
    <row r="75009" hidden="1" x14ac:dyDescent="0.35"/>
    <row r="75010" hidden="1" x14ac:dyDescent="0.35"/>
    <row r="75011" hidden="1" x14ac:dyDescent="0.35"/>
    <row r="75012" hidden="1" x14ac:dyDescent="0.35"/>
    <row r="75013" hidden="1" x14ac:dyDescent="0.35"/>
    <row r="75014" hidden="1" x14ac:dyDescent="0.35"/>
    <row r="75015" hidden="1" x14ac:dyDescent="0.35"/>
    <row r="75016" hidden="1" x14ac:dyDescent="0.35"/>
    <row r="75017" hidden="1" x14ac:dyDescent="0.35"/>
    <row r="75018" hidden="1" x14ac:dyDescent="0.35"/>
    <row r="75019" hidden="1" x14ac:dyDescent="0.35"/>
    <row r="75020" hidden="1" x14ac:dyDescent="0.35"/>
    <row r="75021" hidden="1" x14ac:dyDescent="0.35"/>
    <row r="75022" hidden="1" x14ac:dyDescent="0.35"/>
    <row r="75023" hidden="1" x14ac:dyDescent="0.35"/>
    <row r="75024" hidden="1" x14ac:dyDescent="0.35"/>
    <row r="75025" hidden="1" x14ac:dyDescent="0.35"/>
    <row r="75026" hidden="1" x14ac:dyDescent="0.35"/>
    <row r="75027" hidden="1" x14ac:dyDescent="0.35"/>
    <row r="75028" hidden="1" x14ac:dyDescent="0.35"/>
    <row r="75029" hidden="1" x14ac:dyDescent="0.35"/>
    <row r="75030" hidden="1" x14ac:dyDescent="0.35"/>
    <row r="75031" hidden="1" x14ac:dyDescent="0.35"/>
    <row r="75032" hidden="1" x14ac:dyDescent="0.35"/>
    <row r="75033" hidden="1" x14ac:dyDescent="0.35"/>
    <row r="75034" hidden="1" x14ac:dyDescent="0.35"/>
    <row r="75035" hidden="1" x14ac:dyDescent="0.35"/>
    <row r="75036" hidden="1" x14ac:dyDescent="0.35"/>
    <row r="75037" hidden="1" x14ac:dyDescent="0.35"/>
    <row r="75038" hidden="1" x14ac:dyDescent="0.35"/>
    <row r="75039" hidden="1" x14ac:dyDescent="0.35"/>
    <row r="75040" hidden="1" x14ac:dyDescent="0.35"/>
    <row r="75041" hidden="1" x14ac:dyDescent="0.35"/>
    <row r="75042" hidden="1" x14ac:dyDescent="0.35"/>
    <row r="75043" hidden="1" x14ac:dyDescent="0.35"/>
    <row r="75044" hidden="1" x14ac:dyDescent="0.35"/>
    <row r="75045" hidden="1" x14ac:dyDescent="0.35"/>
    <row r="75046" hidden="1" x14ac:dyDescent="0.35"/>
    <row r="75047" hidden="1" x14ac:dyDescent="0.35"/>
    <row r="75048" hidden="1" x14ac:dyDescent="0.35"/>
    <row r="75049" hidden="1" x14ac:dyDescent="0.35"/>
    <row r="75050" hidden="1" x14ac:dyDescent="0.35"/>
    <row r="75051" hidden="1" x14ac:dyDescent="0.35"/>
    <row r="75052" hidden="1" x14ac:dyDescent="0.35"/>
    <row r="75053" hidden="1" x14ac:dyDescent="0.35"/>
    <row r="75054" hidden="1" x14ac:dyDescent="0.35"/>
    <row r="75055" hidden="1" x14ac:dyDescent="0.35"/>
    <row r="75056" hidden="1" x14ac:dyDescent="0.35"/>
    <row r="75057" hidden="1" x14ac:dyDescent="0.35"/>
    <row r="75058" hidden="1" x14ac:dyDescent="0.35"/>
    <row r="75059" hidden="1" x14ac:dyDescent="0.35"/>
    <row r="75060" hidden="1" x14ac:dyDescent="0.35"/>
    <row r="75061" hidden="1" x14ac:dyDescent="0.35"/>
    <row r="75062" hidden="1" x14ac:dyDescent="0.35"/>
    <row r="75063" hidden="1" x14ac:dyDescent="0.35"/>
    <row r="75064" hidden="1" x14ac:dyDescent="0.35"/>
    <row r="75065" hidden="1" x14ac:dyDescent="0.35"/>
    <row r="75066" hidden="1" x14ac:dyDescent="0.35"/>
    <row r="75067" hidden="1" x14ac:dyDescent="0.35"/>
    <row r="75068" hidden="1" x14ac:dyDescent="0.35"/>
    <row r="75069" hidden="1" x14ac:dyDescent="0.35"/>
    <row r="75070" hidden="1" x14ac:dyDescent="0.35"/>
    <row r="75071" hidden="1" x14ac:dyDescent="0.35"/>
    <row r="75072" hidden="1" x14ac:dyDescent="0.35"/>
    <row r="75073" hidden="1" x14ac:dyDescent="0.35"/>
    <row r="75074" hidden="1" x14ac:dyDescent="0.35"/>
    <row r="75075" hidden="1" x14ac:dyDescent="0.35"/>
    <row r="75076" hidden="1" x14ac:dyDescent="0.35"/>
    <row r="75077" hidden="1" x14ac:dyDescent="0.35"/>
    <row r="75078" hidden="1" x14ac:dyDescent="0.35"/>
    <row r="75079" hidden="1" x14ac:dyDescent="0.35"/>
    <row r="75080" hidden="1" x14ac:dyDescent="0.35"/>
    <row r="75081" hidden="1" x14ac:dyDescent="0.35"/>
    <row r="75082" hidden="1" x14ac:dyDescent="0.35"/>
    <row r="75083" hidden="1" x14ac:dyDescent="0.35"/>
    <row r="75084" hidden="1" x14ac:dyDescent="0.35"/>
    <row r="75085" hidden="1" x14ac:dyDescent="0.35"/>
    <row r="75086" hidden="1" x14ac:dyDescent="0.35"/>
    <row r="75087" hidden="1" x14ac:dyDescent="0.35"/>
    <row r="75088" hidden="1" x14ac:dyDescent="0.35"/>
    <row r="75089" hidden="1" x14ac:dyDescent="0.35"/>
    <row r="75090" hidden="1" x14ac:dyDescent="0.35"/>
    <row r="75091" hidden="1" x14ac:dyDescent="0.35"/>
    <row r="75092" hidden="1" x14ac:dyDescent="0.35"/>
    <row r="75093" hidden="1" x14ac:dyDescent="0.35"/>
    <row r="75094" hidden="1" x14ac:dyDescent="0.35"/>
    <row r="75095" hidden="1" x14ac:dyDescent="0.35"/>
    <row r="75096" hidden="1" x14ac:dyDescent="0.35"/>
    <row r="75097" hidden="1" x14ac:dyDescent="0.35"/>
    <row r="75098" hidden="1" x14ac:dyDescent="0.35"/>
    <row r="75099" hidden="1" x14ac:dyDescent="0.35"/>
    <row r="75100" hidden="1" x14ac:dyDescent="0.35"/>
    <row r="75101" hidden="1" x14ac:dyDescent="0.35"/>
    <row r="75102" hidden="1" x14ac:dyDescent="0.35"/>
    <row r="75103" hidden="1" x14ac:dyDescent="0.35"/>
    <row r="75104" hidden="1" x14ac:dyDescent="0.35"/>
    <row r="75105" hidden="1" x14ac:dyDescent="0.35"/>
    <row r="75106" hidden="1" x14ac:dyDescent="0.35"/>
    <row r="75107" hidden="1" x14ac:dyDescent="0.35"/>
    <row r="75108" hidden="1" x14ac:dyDescent="0.35"/>
    <row r="75109" hidden="1" x14ac:dyDescent="0.35"/>
    <row r="75110" hidden="1" x14ac:dyDescent="0.35"/>
    <row r="75111" hidden="1" x14ac:dyDescent="0.35"/>
    <row r="75112" hidden="1" x14ac:dyDescent="0.35"/>
    <row r="75113" hidden="1" x14ac:dyDescent="0.35"/>
    <row r="75114" hidden="1" x14ac:dyDescent="0.35"/>
    <row r="75115" hidden="1" x14ac:dyDescent="0.35"/>
    <row r="75116" hidden="1" x14ac:dyDescent="0.35"/>
    <row r="75117" hidden="1" x14ac:dyDescent="0.35"/>
    <row r="75118" hidden="1" x14ac:dyDescent="0.35"/>
    <row r="75119" hidden="1" x14ac:dyDescent="0.35"/>
    <row r="75120" hidden="1" x14ac:dyDescent="0.35"/>
    <row r="75121" hidden="1" x14ac:dyDescent="0.35"/>
    <row r="75122" hidden="1" x14ac:dyDescent="0.35"/>
    <row r="75123" hidden="1" x14ac:dyDescent="0.35"/>
    <row r="75124" hidden="1" x14ac:dyDescent="0.35"/>
    <row r="75125" hidden="1" x14ac:dyDescent="0.35"/>
    <row r="75126" hidden="1" x14ac:dyDescent="0.35"/>
    <row r="75127" hidden="1" x14ac:dyDescent="0.35"/>
    <row r="75128" hidden="1" x14ac:dyDescent="0.35"/>
    <row r="75129" hidden="1" x14ac:dyDescent="0.35"/>
    <row r="75130" hidden="1" x14ac:dyDescent="0.35"/>
    <row r="75131" hidden="1" x14ac:dyDescent="0.35"/>
    <row r="75132" hidden="1" x14ac:dyDescent="0.35"/>
    <row r="75133" hidden="1" x14ac:dyDescent="0.35"/>
    <row r="75134" hidden="1" x14ac:dyDescent="0.35"/>
    <row r="75135" hidden="1" x14ac:dyDescent="0.35"/>
    <row r="75136" hidden="1" x14ac:dyDescent="0.35"/>
    <row r="75137" hidden="1" x14ac:dyDescent="0.35"/>
    <row r="75138" hidden="1" x14ac:dyDescent="0.35"/>
    <row r="75139" hidden="1" x14ac:dyDescent="0.35"/>
    <row r="75140" hidden="1" x14ac:dyDescent="0.35"/>
    <row r="75141" hidden="1" x14ac:dyDescent="0.35"/>
    <row r="75142" hidden="1" x14ac:dyDescent="0.35"/>
    <row r="75143" hidden="1" x14ac:dyDescent="0.35"/>
    <row r="75144" hidden="1" x14ac:dyDescent="0.35"/>
    <row r="75145" hidden="1" x14ac:dyDescent="0.35"/>
    <row r="75146" hidden="1" x14ac:dyDescent="0.35"/>
    <row r="75147" hidden="1" x14ac:dyDescent="0.35"/>
    <row r="75148" hidden="1" x14ac:dyDescent="0.35"/>
    <row r="75149" hidden="1" x14ac:dyDescent="0.35"/>
    <row r="75150" hidden="1" x14ac:dyDescent="0.35"/>
    <row r="75151" hidden="1" x14ac:dyDescent="0.35"/>
    <row r="75152" hidden="1" x14ac:dyDescent="0.35"/>
    <row r="75153" hidden="1" x14ac:dyDescent="0.35"/>
    <row r="75154" hidden="1" x14ac:dyDescent="0.35"/>
    <row r="75155" hidden="1" x14ac:dyDescent="0.35"/>
    <row r="75156" hidden="1" x14ac:dyDescent="0.35"/>
    <row r="75157" hidden="1" x14ac:dyDescent="0.35"/>
    <row r="75158" hidden="1" x14ac:dyDescent="0.35"/>
    <row r="75159" hidden="1" x14ac:dyDescent="0.35"/>
    <row r="75160" hidden="1" x14ac:dyDescent="0.35"/>
    <row r="75161" hidden="1" x14ac:dyDescent="0.35"/>
    <row r="75162" hidden="1" x14ac:dyDescent="0.35"/>
    <row r="75163" hidden="1" x14ac:dyDescent="0.35"/>
    <row r="75164" hidden="1" x14ac:dyDescent="0.35"/>
    <row r="75165" hidden="1" x14ac:dyDescent="0.35"/>
    <row r="75166" hidden="1" x14ac:dyDescent="0.35"/>
    <row r="75167" hidden="1" x14ac:dyDescent="0.35"/>
    <row r="75168" hidden="1" x14ac:dyDescent="0.35"/>
    <row r="75169" hidden="1" x14ac:dyDescent="0.35"/>
    <row r="75170" hidden="1" x14ac:dyDescent="0.35"/>
    <row r="75171" hidden="1" x14ac:dyDescent="0.35"/>
    <row r="75172" hidden="1" x14ac:dyDescent="0.35"/>
    <row r="75173" hidden="1" x14ac:dyDescent="0.35"/>
    <row r="75174" hidden="1" x14ac:dyDescent="0.35"/>
    <row r="75175" hidden="1" x14ac:dyDescent="0.35"/>
    <row r="75176" hidden="1" x14ac:dyDescent="0.35"/>
    <row r="75177" hidden="1" x14ac:dyDescent="0.35"/>
    <row r="75178" hidden="1" x14ac:dyDescent="0.35"/>
    <row r="75179" hidden="1" x14ac:dyDescent="0.35"/>
    <row r="75180" hidden="1" x14ac:dyDescent="0.35"/>
    <row r="75181" hidden="1" x14ac:dyDescent="0.35"/>
    <row r="75182" hidden="1" x14ac:dyDescent="0.35"/>
    <row r="75183" hidden="1" x14ac:dyDescent="0.35"/>
    <row r="75184" hidden="1" x14ac:dyDescent="0.35"/>
    <row r="75185" hidden="1" x14ac:dyDescent="0.35"/>
    <row r="75186" hidden="1" x14ac:dyDescent="0.35"/>
    <row r="75187" hidden="1" x14ac:dyDescent="0.35"/>
    <row r="75188" hidden="1" x14ac:dyDescent="0.35"/>
    <row r="75189" hidden="1" x14ac:dyDescent="0.35"/>
    <row r="75190" hidden="1" x14ac:dyDescent="0.35"/>
    <row r="75191" hidden="1" x14ac:dyDescent="0.35"/>
    <row r="75192" hidden="1" x14ac:dyDescent="0.35"/>
    <row r="75193" hidden="1" x14ac:dyDescent="0.35"/>
    <row r="75194" hidden="1" x14ac:dyDescent="0.35"/>
    <row r="75195" hidden="1" x14ac:dyDescent="0.35"/>
    <row r="75196" hidden="1" x14ac:dyDescent="0.35"/>
    <row r="75197" hidden="1" x14ac:dyDescent="0.35"/>
    <row r="75198" hidden="1" x14ac:dyDescent="0.35"/>
    <row r="75199" hidden="1" x14ac:dyDescent="0.35"/>
    <row r="75200" hidden="1" x14ac:dyDescent="0.35"/>
    <row r="75201" hidden="1" x14ac:dyDescent="0.35"/>
    <row r="75202" hidden="1" x14ac:dyDescent="0.35"/>
    <row r="75203" hidden="1" x14ac:dyDescent="0.35"/>
    <row r="75204" hidden="1" x14ac:dyDescent="0.35"/>
    <row r="75205" hidden="1" x14ac:dyDescent="0.35"/>
    <row r="75206" hidden="1" x14ac:dyDescent="0.35"/>
    <row r="75207" hidden="1" x14ac:dyDescent="0.35"/>
    <row r="75208" hidden="1" x14ac:dyDescent="0.35"/>
    <row r="75209" hidden="1" x14ac:dyDescent="0.35"/>
    <row r="75210" hidden="1" x14ac:dyDescent="0.35"/>
    <row r="75211" hidden="1" x14ac:dyDescent="0.35"/>
    <row r="75212" hidden="1" x14ac:dyDescent="0.35"/>
    <row r="75213" hidden="1" x14ac:dyDescent="0.35"/>
    <row r="75214" hidden="1" x14ac:dyDescent="0.35"/>
    <row r="75215" hidden="1" x14ac:dyDescent="0.35"/>
    <row r="75216" hidden="1" x14ac:dyDescent="0.35"/>
    <row r="75217" hidden="1" x14ac:dyDescent="0.35"/>
    <row r="75218" hidden="1" x14ac:dyDescent="0.35"/>
    <row r="75219" hidden="1" x14ac:dyDescent="0.35"/>
    <row r="75220" hidden="1" x14ac:dyDescent="0.35"/>
    <row r="75221" hidden="1" x14ac:dyDescent="0.35"/>
    <row r="75222" hidden="1" x14ac:dyDescent="0.35"/>
    <row r="75223" hidden="1" x14ac:dyDescent="0.35"/>
    <row r="75224" hidden="1" x14ac:dyDescent="0.35"/>
    <row r="75225" hidden="1" x14ac:dyDescent="0.35"/>
    <row r="75226" hidden="1" x14ac:dyDescent="0.35"/>
    <row r="75227" hidden="1" x14ac:dyDescent="0.35"/>
    <row r="75228" hidden="1" x14ac:dyDescent="0.35"/>
    <row r="75229" hidden="1" x14ac:dyDescent="0.35"/>
    <row r="75230" hidden="1" x14ac:dyDescent="0.35"/>
    <row r="75231" hidden="1" x14ac:dyDescent="0.35"/>
    <row r="75232" hidden="1" x14ac:dyDescent="0.35"/>
    <row r="75233" hidden="1" x14ac:dyDescent="0.35"/>
    <row r="75234" hidden="1" x14ac:dyDescent="0.35"/>
    <row r="75235" hidden="1" x14ac:dyDescent="0.35"/>
    <row r="75236" hidden="1" x14ac:dyDescent="0.35"/>
    <row r="75237" hidden="1" x14ac:dyDescent="0.35"/>
    <row r="75238" hidden="1" x14ac:dyDescent="0.35"/>
    <row r="75239" hidden="1" x14ac:dyDescent="0.35"/>
    <row r="75240" hidden="1" x14ac:dyDescent="0.35"/>
    <row r="75241" hidden="1" x14ac:dyDescent="0.35"/>
    <row r="75242" hidden="1" x14ac:dyDescent="0.35"/>
    <row r="75243" hidden="1" x14ac:dyDescent="0.35"/>
    <row r="75244" hidden="1" x14ac:dyDescent="0.35"/>
    <row r="75245" hidden="1" x14ac:dyDescent="0.35"/>
    <row r="75246" hidden="1" x14ac:dyDescent="0.35"/>
    <row r="75247" hidden="1" x14ac:dyDescent="0.35"/>
    <row r="75248" hidden="1" x14ac:dyDescent="0.35"/>
    <row r="75249" hidden="1" x14ac:dyDescent="0.35"/>
    <row r="75250" hidden="1" x14ac:dyDescent="0.35"/>
    <row r="75251" hidden="1" x14ac:dyDescent="0.35"/>
    <row r="75252" hidden="1" x14ac:dyDescent="0.35"/>
    <row r="75253" hidden="1" x14ac:dyDescent="0.35"/>
    <row r="75254" hidden="1" x14ac:dyDescent="0.35"/>
    <row r="75255" hidden="1" x14ac:dyDescent="0.35"/>
    <row r="75256" hidden="1" x14ac:dyDescent="0.35"/>
    <row r="75257" hidden="1" x14ac:dyDescent="0.35"/>
    <row r="75258" hidden="1" x14ac:dyDescent="0.35"/>
    <row r="75259" hidden="1" x14ac:dyDescent="0.35"/>
    <row r="75260" hidden="1" x14ac:dyDescent="0.35"/>
    <row r="75261" hidden="1" x14ac:dyDescent="0.35"/>
    <row r="75262" hidden="1" x14ac:dyDescent="0.35"/>
    <row r="75263" hidden="1" x14ac:dyDescent="0.35"/>
    <row r="75264" hidden="1" x14ac:dyDescent="0.35"/>
    <row r="75265" hidden="1" x14ac:dyDescent="0.35"/>
    <row r="75266" hidden="1" x14ac:dyDescent="0.35"/>
    <row r="75267" hidden="1" x14ac:dyDescent="0.35"/>
    <row r="75268" hidden="1" x14ac:dyDescent="0.35"/>
    <row r="75269" hidden="1" x14ac:dyDescent="0.35"/>
    <row r="75270" hidden="1" x14ac:dyDescent="0.35"/>
    <row r="75271" hidden="1" x14ac:dyDescent="0.35"/>
    <row r="75272" hidden="1" x14ac:dyDescent="0.35"/>
    <row r="75273" hidden="1" x14ac:dyDescent="0.35"/>
    <row r="75274" hidden="1" x14ac:dyDescent="0.35"/>
    <row r="75275" hidden="1" x14ac:dyDescent="0.35"/>
    <row r="75276" hidden="1" x14ac:dyDescent="0.35"/>
    <row r="75277" hidden="1" x14ac:dyDescent="0.35"/>
    <row r="75278" hidden="1" x14ac:dyDescent="0.35"/>
    <row r="75279" hidden="1" x14ac:dyDescent="0.35"/>
    <row r="75280" hidden="1" x14ac:dyDescent="0.35"/>
    <row r="75281" hidden="1" x14ac:dyDescent="0.35"/>
    <row r="75282" hidden="1" x14ac:dyDescent="0.35"/>
    <row r="75283" hidden="1" x14ac:dyDescent="0.35"/>
    <row r="75284" hidden="1" x14ac:dyDescent="0.35"/>
    <row r="75285" hidden="1" x14ac:dyDescent="0.35"/>
    <row r="75286" hidden="1" x14ac:dyDescent="0.35"/>
    <row r="75287" hidden="1" x14ac:dyDescent="0.35"/>
    <row r="75288" hidden="1" x14ac:dyDescent="0.35"/>
    <row r="75289" hidden="1" x14ac:dyDescent="0.35"/>
    <row r="75290" hidden="1" x14ac:dyDescent="0.35"/>
    <row r="75291" hidden="1" x14ac:dyDescent="0.35"/>
    <row r="75292" hidden="1" x14ac:dyDescent="0.35"/>
    <row r="75293" hidden="1" x14ac:dyDescent="0.35"/>
    <row r="75294" hidden="1" x14ac:dyDescent="0.35"/>
    <row r="75295" hidden="1" x14ac:dyDescent="0.35"/>
    <row r="75296" hidden="1" x14ac:dyDescent="0.35"/>
    <row r="75297" hidden="1" x14ac:dyDescent="0.35"/>
    <row r="75298" hidden="1" x14ac:dyDescent="0.35"/>
    <row r="75299" hidden="1" x14ac:dyDescent="0.35"/>
    <row r="75300" hidden="1" x14ac:dyDescent="0.35"/>
    <row r="75301" hidden="1" x14ac:dyDescent="0.35"/>
    <row r="75302" hidden="1" x14ac:dyDescent="0.35"/>
    <row r="75303" hidden="1" x14ac:dyDescent="0.35"/>
    <row r="75304" hidden="1" x14ac:dyDescent="0.35"/>
    <row r="75305" hidden="1" x14ac:dyDescent="0.35"/>
    <row r="75306" hidden="1" x14ac:dyDescent="0.35"/>
    <row r="75307" hidden="1" x14ac:dyDescent="0.35"/>
    <row r="75308" hidden="1" x14ac:dyDescent="0.35"/>
    <row r="75309" hidden="1" x14ac:dyDescent="0.35"/>
    <row r="75310" hidden="1" x14ac:dyDescent="0.35"/>
    <row r="75311" hidden="1" x14ac:dyDescent="0.35"/>
    <row r="75312" hidden="1" x14ac:dyDescent="0.35"/>
    <row r="75313" hidden="1" x14ac:dyDescent="0.35"/>
    <row r="75314" hidden="1" x14ac:dyDescent="0.35"/>
    <row r="75315" hidden="1" x14ac:dyDescent="0.35"/>
    <row r="75316" hidden="1" x14ac:dyDescent="0.35"/>
    <row r="75317" hidden="1" x14ac:dyDescent="0.35"/>
    <row r="75318" hidden="1" x14ac:dyDescent="0.35"/>
    <row r="75319" hidden="1" x14ac:dyDescent="0.35"/>
    <row r="75320" hidden="1" x14ac:dyDescent="0.35"/>
    <row r="75321" hidden="1" x14ac:dyDescent="0.35"/>
    <row r="75322" hidden="1" x14ac:dyDescent="0.35"/>
    <row r="75323" hidden="1" x14ac:dyDescent="0.35"/>
    <row r="75324" hidden="1" x14ac:dyDescent="0.35"/>
    <row r="75325" hidden="1" x14ac:dyDescent="0.35"/>
    <row r="75326" hidden="1" x14ac:dyDescent="0.35"/>
    <row r="75327" hidden="1" x14ac:dyDescent="0.35"/>
    <row r="75328" hidden="1" x14ac:dyDescent="0.35"/>
    <row r="75329" hidden="1" x14ac:dyDescent="0.35"/>
    <row r="75330" hidden="1" x14ac:dyDescent="0.35"/>
    <row r="75331" hidden="1" x14ac:dyDescent="0.35"/>
    <row r="75332" hidden="1" x14ac:dyDescent="0.35"/>
    <row r="75333" hidden="1" x14ac:dyDescent="0.35"/>
    <row r="75334" hidden="1" x14ac:dyDescent="0.35"/>
    <row r="75335" hidden="1" x14ac:dyDescent="0.35"/>
    <row r="75336" hidden="1" x14ac:dyDescent="0.35"/>
    <row r="75337" hidden="1" x14ac:dyDescent="0.35"/>
    <row r="75338" hidden="1" x14ac:dyDescent="0.35"/>
    <row r="75339" hidden="1" x14ac:dyDescent="0.35"/>
    <row r="75340" hidden="1" x14ac:dyDescent="0.35"/>
    <row r="75341" hidden="1" x14ac:dyDescent="0.35"/>
    <row r="75342" hidden="1" x14ac:dyDescent="0.35"/>
    <row r="75343" hidden="1" x14ac:dyDescent="0.35"/>
    <row r="75344" hidden="1" x14ac:dyDescent="0.35"/>
    <row r="75345" hidden="1" x14ac:dyDescent="0.35"/>
    <row r="75346" hidden="1" x14ac:dyDescent="0.35"/>
    <row r="75347" hidden="1" x14ac:dyDescent="0.35"/>
    <row r="75348" hidden="1" x14ac:dyDescent="0.35"/>
    <row r="75349" hidden="1" x14ac:dyDescent="0.35"/>
    <row r="75350" hidden="1" x14ac:dyDescent="0.35"/>
    <row r="75351" hidden="1" x14ac:dyDescent="0.35"/>
    <row r="75352" hidden="1" x14ac:dyDescent="0.35"/>
    <row r="75353" hidden="1" x14ac:dyDescent="0.35"/>
    <row r="75354" hidden="1" x14ac:dyDescent="0.35"/>
    <row r="75355" hidden="1" x14ac:dyDescent="0.35"/>
    <row r="75356" hidden="1" x14ac:dyDescent="0.35"/>
    <row r="75357" hidden="1" x14ac:dyDescent="0.35"/>
    <row r="75358" hidden="1" x14ac:dyDescent="0.35"/>
    <row r="75359" hidden="1" x14ac:dyDescent="0.35"/>
    <row r="75360" hidden="1" x14ac:dyDescent="0.35"/>
    <row r="75361" hidden="1" x14ac:dyDescent="0.35"/>
    <row r="75362" hidden="1" x14ac:dyDescent="0.35"/>
    <row r="75363" hidden="1" x14ac:dyDescent="0.35"/>
    <row r="75364" hidden="1" x14ac:dyDescent="0.35"/>
    <row r="75365" hidden="1" x14ac:dyDescent="0.35"/>
    <row r="75366" hidden="1" x14ac:dyDescent="0.35"/>
    <row r="75367" hidden="1" x14ac:dyDescent="0.35"/>
    <row r="75368" hidden="1" x14ac:dyDescent="0.35"/>
    <row r="75369" hidden="1" x14ac:dyDescent="0.35"/>
    <row r="75370" hidden="1" x14ac:dyDescent="0.35"/>
    <row r="75371" hidden="1" x14ac:dyDescent="0.35"/>
    <row r="75372" hidden="1" x14ac:dyDescent="0.35"/>
    <row r="75373" hidden="1" x14ac:dyDescent="0.35"/>
    <row r="75374" hidden="1" x14ac:dyDescent="0.35"/>
    <row r="75375" hidden="1" x14ac:dyDescent="0.35"/>
    <row r="75376" hidden="1" x14ac:dyDescent="0.35"/>
    <row r="75377" hidden="1" x14ac:dyDescent="0.35"/>
    <row r="75378" hidden="1" x14ac:dyDescent="0.35"/>
    <row r="75379" hidden="1" x14ac:dyDescent="0.35"/>
    <row r="75380" hidden="1" x14ac:dyDescent="0.35"/>
    <row r="75381" hidden="1" x14ac:dyDescent="0.35"/>
    <row r="75382" hidden="1" x14ac:dyDescent="0.35"/>
    <row r="75383" hidden="1" x14ac:dyDescent="0.35"/>
    <row r="75384" hidden="1" x14ac:dyDescent="0.35"/>
    <row r="75385" hidden="1" x14ac:dyDescent="0.35"/>
    <row r="75386" hidden="1" x14ac:dyDescent="0.35"/>
    <row r="75387" hidden="1" x14ac:dyDescent="0.35"/>
    <row r="75388" hidden="1" x14ac:dyDescent="0.35"/>
    <row r="75389" hidden="1" x14ac:dyDescent="0.35"/>
    <row r="75390" hidden="1" x14ac:dyDescent="0.35"/>
    <row r="75391" hidden="1" x14ac:dyDescent="0.35"/>
    <row r="75392" hidden="1" x14ac:dyDescent="0.35"/>
    <row r="75393" hidden="1" x14ac:dyDescent="0.35"/>
    <row r="75394" hidden="1" x14ac:dyDescent="0.35"/>
    <row r="75395" hidden="1" x14ac:dyDescent="0.35"/>
    <row r="75396" hidden="1" x14ac:dyDescent="0.35"/>
    <row r="75397" hidden="1" x14ac:dyDescent="0.35"/>
    <row r="75398" hidden="1" x14ac:dyDescent="0.35"/>
    <row r="75399" hidden="1" x14ac:dyDescent="0.35"/>
    <row r="75400" hidden="1" x14ac:dyDescent="0.35"/>
    <row r="75401" hidden="1" x14ac:dyDescent="0.35"/>
    <row r="75402" hidden="1" x14ac:dyDescent="0.35"/>
    <row r="75403" hidden="1" x14ac:dyDescent="0.35"/>
    <row r="75404" hidden="1" x14ac:dyDescent="0.35"/>
    <row r="75405" hidden="1" x14ac:dyDescent="0.35"/>
    <row r="75406" hidden="1" x14ac:dyDescent="0.35"/>
    <row r="75407" hidden="1" x14ac:dyDescent="0.35"/>
    <row r="75408" hidden="1" x14ac:dyDescent="0.35"/>
    <row r="75409" hidden="1" x14ac:dyDescent="0.35"/>
    <row r="75410" hidden="1" x14ac:dyDescent="0.35"/>
    <row r="75411" hidden="1" x14ac:dyDescent="0.35"/>
    <row r="75412" hidden="1" x14ac:dyDescent="0.35"/>
    <row r="75413" hidden="1" x14ac:dyDescent="0.35"/>
    <row r="75414" hidden="1" x14ac:dyDescent="0.35"/>
    <row r="75415" hidden="1" x14ac:dyDescent="0.35"/>
    <row r="75416" hidden="1" x14ac:dyDescent="0.35"/>
    <row r="75417" hidden="1" x14ac:dyDescent="0.35"/>
    <row r="75418" hidden="1" x14ac:dyDescent="0.35"/>
    <row r="75419" hidden="1" x14ac:dyDescent="0.35"/>
    <row r="75420" hidden="1" x14ac:dyDescent="0.35"/>
    <row r="75421" hidden="1" x14ac:dyDescent="0.35"/>
    <row r="75422" hidden="1" x14ac:dyDescent="0.35"/>
    <row r="75423" hidden="1" x14ac:dyDescent="0.35"/>
    <row r="75424" hidden="1" x14ac:dyDescent="0.35"/>
    <row r="75425" hidden="1" x14ac:dyDescent="0.35"/>
    <row r="75426" hidden="1" x14ac:dyDescent="0.35"/>
    <row r="75427" hidden="1" x14ac:dyDescent="0.35"/>
    <row r="75428" hidden="1" x14ac:dyDescent="0.35"/>
    <row r="75429" hidden="1" x14ac:dyDescent="0.35"/>
    <row r="75430" hidden="1" x14ac:dyDescent="0.35"/>
    <row r="75431" hidden="1" x14ac:dyDescent="0.35"/>
    <row r="75432" hidden="1" x14ac:dyDescent="0.35"/>
    <row r="75433" hidden="1" x14ac:dyDescent="0.35"/>
    <row r="75434" hidden="1" x14ac:dyDescent="0.35"/>
    <row r="75435" hidden="1" x14ac:dyDescent="0.35"/>
    <row r="75436" hidden="1" x14ac:dyDescent="0.35"/>
    <row r="75437" hidden="1" x14ac:dyDescent="0.35"/>
    <row r="75438" hidden="1" x14ac:dyDescent="0.35"/>
    <row r="75439" hidden="1" x14ac:dyDescent="0.35"/>
    <row r="75440" hidden="1" x14ac:dyDescent="0.35"/>
    <row r="75441" hidden="1" x14ac:dyDescent="0.35"/>
    <row r="75442" hidden="1" x14ac:dyDescent="0.35"/>
    <row r="75443" hidden="1" x14ac:dyDescent="0.35"/>
    <row r="75444" hidden="1" x14ac:dyDescent="0.35"/>
    <row r="75445" hidden="1" x14ac:dyDescent="0.35"/>
    <row r="75446" hidden="1" x14ac:dyDescent="0.35"/>
    <row r="75447" hidden="1" x14ac:dyDescent="0.35"/>
    <row r="75448" hidden="1" x14ac:dyDescent="0.35"/>
    <row r="75449" hidden="1" x14ac:dyDescent="0.35"/>
    <row r="75450" hidden="1" x14ac:dyDescent="0.35"/>
    <row r="75451" hidden="1" x14ac:dyDescent="0.35"/>
    <row r="75452" hidden="1" x14ac:dyDescent="0.35"/>
    <row r="75453" hidden="1" x14ac:dyDescent="0.35"/>
    <row r="75454" hidden="1" x14ac:dyDescent="0.35"/>
    <row r="75455" hidden="1" x14ac:dyDescent="0.35"/>
    <row r="75456" hidden="1" x14ac:dyDescent="0.35"/>
    <row r="75457" hidden="1" x14ac:dyDescent="0.35"/>
    <row r="75458" hidden="1" x14ac:dyDescent="0.35"/>
    <row r="75459" hidden="1" x14ac:dyDescent="0.35"/>
    <row r="75460" hidden="1" x14ac:dyDescent="0.35"/>
    <row r="75461" hidden="1" x14ac:dyDescent="0.35"/>
    <row r="75462" hidden="1" x14ac:dyDescent="0.35"/>
    <row r="75463" hidden="1" x14ac:dyDescent="0.35"/>
    <row r="75464" hidden="1" x14ac:dyDescent="0.35"/>
    <row r="75465" hidden="1" x14ac:dyDescent="0.35"/>
    <row r="75466" hidden="1" x14ac:dyDescent="0.35"/>
    <row r="75467" hidden="1" x14ac:dyDescent="0.35"/>
    <row r="75468" hidden="1" x14ac:dyDescent="0.35"/>
    <row r="75469" hidden="1" x14ac:dyDescent="0.35"/>
    <row r="75470" hidden="1" x14ac:dyDescent="0.35"/>
    <row r="75471" hidden="1" x14ac:dyDescent="0.35"/>
    <row r="75472" hidden="1" x14ac:dyDescent="0.35"/>
    <row r="75473" hidden="1" x14ac:dyDescent="0.35"/>
    <row r="75474" hidden="1" x14ac:dyDescent="0.35"/>
    <row r="75475" hidden="1" x14ac:dyDescent="0.35"/>
    <row r="75476" hidden="1" x14ac:dyDescent="0.35"/>
    <row r="75477" hidden="1" x14ac:dyDescent="0.35"/>
    <row r="75478" hidden="1" x14ac:dyDescent="0.35"/>
    <row r="75479" hidden="1" x14ac:dyDescent="0.35"/>
    <row r="75480" hidden="1" x14ac:dyDescent="0.35"/>
    <row r="75481" hidden="1" x14ac:dyDescent="0.35"/>
    <row r="75482" hidden="1" x14ac:dyDescent="0.35"/>
    <row r="75483" hidden="1" x14ac:dyDescent="0.35"/>
    <row r="75484" hidden="1" x14ac:dyDescent="0.35"/>
    <row r="75485" hidden="1" x14ac:dyDescent="0.35"/>
    <row r="75486" hidden="1" x14ac:dyDescent="0.35"/>
    <row r="75487" hidden="1" x14ac:dyDescent="0.35"/>
    <row r="75488" hidden="1" x14ac:dyDescent="0.35"/>
    <row r="75489" hidden="1" x14ac:dyDescent="0.35"/>
    <row r="75490" hidden="1" x14ac:dyDescent="0.35"/>
    <row r="75491" hidden="1" x14ac:dyDescent="0.35"/>
    <row r="75492" hidden="1" x14ac:dyDescent="0.35"/>
    <row r="75493" hidden="1" x14ac:dyDescent="0.35"/>
    <row r="75494" hidden="1" x14ac:dyDescent="0.35"/>
    <row r="75495" hidden="1" x14ac:dyDescent="0.35"/>
    <row r="75496" hidden="1" x14ac:dyDescent="0.35"/>
    <row r="75497" hidden="1" x14ac:dyDescent="0.35"/>
    <row r="75498" hidden="1" x14ac:dyDescent="0.35"/>
    <row r="75499" hidden="1" x14ac:dyDescent="0.35"/>
    <row r="75500" hidden="1" x14ac:dyDescent="0.35"/>
    <row r="75501" hidden="1" x14ac:dyDescent="0.35"/>
    <row r="75502" hidden="1" x14ac:dyDescent="0.35"/>
    <row r="75503" hidden="1" x14ac:dyDescent="0.35"/>
    <row r="75504" hidden="1" x14ac:dyDescent="0.35"/>
    <row r="75505" hidden="1" x14ac:dyDescent="0.35"/>
    <row r="75506" hidden="1" x14ac:dyDescent="0.35"/>
    <row r="75507" hidden="1" x14ac:dyDescent="0.35"/>
    <row r="75508" hidden="1" x14ac:dyDescent="0.35"/>
    <row r="75509" hidden="1" x14ac:dyDescent="0.35"/>
    <row r="75510" hidden="1" x14ac:dyDescent="0.35"/>
    <row r="75511" hidden="1" x14ac:dyDescent="0.35"/>
    <row r="75512" hidden="1" x14ac:dyDescent="0.35"/>
    <row r="75513" hidden="1" x14ac:dyDescent="0.35"/>
    <row r="75514" hidden="1" x14ac:dyDescent="0.35"/>
    <row r="75515" hidden="1" x14ac:dyDescent="0.35"/>
    <row r="75516" hidden="1" x14ac:dyDescent="0.35"/>
    <row r="75517" hidden="1" x14ac:dyDescent="0.35"/>
    <row r="75518" hidden="1" x14ac:dyDescent="0.35"/>
    <row r="75519" hidden="1" x14ac:dyDescent="0.35"/>
    <row r="75520" hidden="1" x14ac:dyDescent="0.35"/>
    <row r="75521" hidden="1" x14ac:dyDescent="0.35"/>
    <row r="75522" hidden="1" x14ac:dyDescent="0.35"/>
    <row r="75523" hidden="1" x14ac:dyDescent="0.35"/>
    <row r="75524" hidden="1" x14ac:dyDescent="0.35"/>
    <row r="75525" hidden="1" x14ac:dyDescent="0.35"/>
    <row r="75526" hidden="1" x14ac:dyDescent="0.35"/>
    <row r="75527" hidden="1" x14ac:dyDescent="0.35"/>
    <row r="75528" hidden="1" x14ac:dyDescent="0.35"/>
    <row r="75529" hidden="1" x14ac:dyDescent="0.35"/>
    <row r="75530" hidden="1" x14ac:dyDescent="0.35"/>
    <row r="75531" hidden="1" x14ac:dyDescent="0.35"/>
    <row r="75532" hidden="1" x14ac:dyDescent="0.35"/>
    <row r="75533" hidden="1" x14ac:dyDescent="0.35"/>
    <row r="75534" hidden="1" x14ac:dyDescent="0.35"/>
    <row r="75535" hidden="1" x14ac:dyDescent="0.35"/>
    <row r="75536" hidden="1" x14ac:dyDescent="0.35"/>
    <row r="75537" hidden="1" x14ac:dyDescent="0.35"/>
    <row r="75538" hidden="1" x14ac:dyDescent="0.35"/>
    <row r="75539" hidden="1" x14ac:dyDescent="0.35"/>
    <row r="75540" hidden="1" x14ac:dyDescent="0.35"/>
    <row r="75541" hidden="1" x14ac:dyDescent="0.35"/>
    <row r="75542" hidden="1" x14ac:dyDescent="0.35"/>
    <row r="75543" hidden="1" x14ac:dyDescent="0.35"/>
    <row r="75544" hidden="1" x14ac:dyDescent="0.35"/>
    <row r="75545" hidden="1" x14ac:dyDescent="0.35"/>
    <row r="75546" hidden="1" x14ac:dyDescent="0.35"/>
    <row r="75547" hidden="1" x14ac:dyDescent="0.35"/>
    <row r="75548" hidden="1" x14ac:dyDescent="0.35"/>
    <row r="75549" hidden="1" x14ac:dyDescent="0.35"/>
    <row r="75550" hidden="1" x14ac:dyDescent="0.35"/>
    <row r="75551" hidden="1" x14ac:dyDescent="0.35"/>
    <row r="75552" hidden="1" x14ac:dyDescent="0.35"/>
    <row r="75553" hidden="1" x14ac:dyDescent="0.35"/>
    <row r="75554" hidden="1" x14ac:dyDescent="0.35"/>
    <row r="75555" hidden="1" x14ac:dyDescent="0.35"/>
    <row r="75556" hidden="1" x14ac:dyDescent="0.35"/>
    <row r="75557" hidden="1" x14ac:dyDescent="0.35"/>
    <row r="75558" hidden="1" x14ac:dyDescent="0.35"/>
    <row r="75559" hidden="1" x14ac:dyDescent="0.35"/>
    <row r="75560" hidden="1" x14ac:dyDescent="0.35"/>
    <row r="75561" hidden="1" x14ac:dyDescent="0.35"/>
    <row r="75562" hidden="1" x14ac:dyDescent="0.35"/>
    <row r="75563" hidden="1" x14ac:dyDescent="0.35"/>
    <row r="75564" hidden="1" x14ac:dyDescent="0.35"/>
    <row r="75565" hidden="1" x14ac:dyDescent="0.35"/>
    <row r="75566" hidden="1" x14ac:dyDescent="0.35"/>
    <row r="75567" hidden="1" x14ac:dyDescent="0.35"/>
    <row r="75568" hidden="1" x14ac:dyDescent="0.35"/>
    <row r="75569" hidden="1" x14ac:dyDescent="0.35"/>
    <row r="75570" hidden="1" x14ac:dyDescent="0.35"/>
    <row r="75571" hidden="1" x14ac:dyDescent="0.35"/>
    <row r="75572" hidden="1" x14ac:dyDescent="0.35"/>
    <row r="75573" hidden="1" x14ac:dyDescent="0.35"/>
    <row r="75574" hidden="1" x14ac:dyDescent="0.35"/>
    <row r="75575" hidden="1" x14ac:dyDescent="0.35"/>
    <row r="75576" hidden="1" x14ac:dyDescent="0.35"/>
    <row r="75577" hidden="1" x14ac:dyDescent="0.35"/>
    <row r="75578" hidden="1" x14ac:dyDescent="0.35"/>
    <row r="75579" hidden="1" x14ac:dyDescent="0.35"/>
    <row r="75580" hidden="1" x14ac:dyDescent="0.35"/>
    <row r="75581" hidden="1" x14ac:dyDescent="0.35"/>
    <row r="75582" hidden="1" x14ac:dyDescent="0.35"/>
    <row r="75583" hidden="1" x14ac:dyDescent="0.35"/>
    <row r="75584" hidden="1" x14ac:dyDescent="0.35"/>
    <row r="75585" hidden="1" x14ac:dyDescent="0.35"/>
    <row r="75586" hidden="1" x14ac:dyDescent="0.35"/>
    <row r="75587" hidden="1" x14ac:dyDescent="0.35"/>
    <row r="75588" hidden="1" x14ac:dyDescent="0.35"/>
    <row r="75589" hidden="1" x14ac:dyDescent="0.35"/>
    <row r="75590" hidden="1" x14ac:dyDescent="0.35"/>
    <row r="75591" hidden="1" x14ac:dyDescent="0.35"/>
    <row r="75592" hidden="1" x14ac:dyDescent="0.35"/>
    <row r="75593" hidden="1" x14ac:dyDescent="0.35"/>
    <row r="75594" hidden="1" x14ac:dyDescent="0.35"/>
    <row r="75595" hidden="1" x14ac:dyDescent="0.35"/>
    <row r="75596" hidden="1" x14ac:dyDescent="0.35"/>
    <row r="75597" hidden="1" x14ac:dyDescent="0.35"/>
    <row r="75598" hidden="1" x14ac:dyDescent="0.35"/>
    <row r="75599" hidden="1" x14ac:dyDescent="0.35"/>
    <row r="75600" hidden="1" x14ac:dyDescent="0.35"/>
    <row r="75601" hidden="1" x14ac:dyDescent="0.35"/>
    <row r="75602" hidden="1" x14ac:dyDescent="0.35"/>
    <row r="75603" hidden="1" x14ac:dyDescent="0.35"/>
    <row r="75604" hidden="1" x14ac:dyDescent="0.35"/>
    <row r="75605" hidden="1" x14ac:dyDescent="0.35"/>
    <row r="75606" hidden="1" x14ac:dyDescent="0.35"/>
    <row r="75607" hidden="1" x14ac:dyDescent="0.35"/>
    <row r="75608" hidden="1" x14ac:dyDescent="0.35"/>
    <row r="75609" hidden="1" x14ac:dyDescent="0.35"/>
    <row r="75610" hidden="1" x14ac:dyDescent="0.35"/>
    <row r="75611" hidden="1" x14ac:dyDescent="0.35"/>
    <row r="75612" hidden="1" x14ac:dyDescent="0.35"/>
    <row r="75613" hidden="1" x14ac:dyDescent="0.35"/>
    <row r="75614" hidden="1" x14ac:dyDescent="0.35"/>
    <row r="75615" hidden="1" x14ac:dyDescent="0.35"/>
    <row r="75616" hidden="1" x14ac:dyDescent="0.35"/>
    <row r="75617" hidden="1" x14ac:dyDescent="0.35"/>
    <row r="75618" hidden="1" x14ac:dyDescent="0.35"/>
    <row r="75619" hidden="1" x14ac:dyDescent="0.35"/>
    <row r="75620" hidden="1" x14ac:dyDescent="0.35"/>
    <row r="75621" hidden="1" x14ac:dyDescent="0.35"/>
    <row r="75622" hidden="1" x14ac:dyDescent="0.35"/>
    <row r="75623" hidden="1" x14ac:dyDescent="0.35"/>
    <row r="75624" hidden="1" x14ac:dyDescent="0.35"/>
    <row r="75625" hidden="1" x14ac:dyDescent="0.35"/>
    <row r="75626" hidden="1" x14ac:dyDescent="0.35"/>
    <row r="75627" hidden="1" x14ac:dyDescent="0.35"/>
    <row r="75628" hidden="1" x14ac:dyDescent="0.35"/>
    <row r="75629" hidden="1" x14ac:dyDescent="0.35"/>
    <row r="75630" hidden="1" x14ac:dyDescent="0.35"/>
    <row r="75631" hidden="1" x14ac:dyDescent="0.35"/>
    <row r="75632" hidden="1" x14ac:dyDescent="0.35"/>
    <row r="75633" hidden="1" x14ac:dyDescent="0.35"/>
    <row r="75634" hidden="1" x14ac:dyDescent="0.35"/>
    <row r="75635" hidden="1" x14ac:dyDescent="0.35"/>
    <row r="75636" hidden="1" x14ac:dyDescent="0.35"/>
    <row r="75637" hidden="1" x14ac:dyDescent="0.35"/>
    <row r="75638" hidden="1" x14ac:dyDescent="0.35"/>
    <row r="75639" hidden="1" x14ac:dyDescent="0.35"/>
    <row r="75640" hidden="1" x14ac:dyDescent="0.35"/>
    <row r="75641" hidden="1" x14ac:dyDescent="0.35"/>
    <row r="75642" hidden="1" x14ac:dyDescent="0.35"/>
    <row r="75643" hidden="1" x14ac:dyDescent="0.35"/>
    <row r="75644" hidden="1" x14ac:dyDescent="0.35"/>
    <row r="75645" hidden="1" x14ac:dyDescent="0.35"/>
    <row r="75646" hidden="1" x14ac:dyDescent="0.35"/>
    <row r="75647" hidden="1" x14ac:dyDescent="0.35"/>
    <row r="75648" hidden="1" x14ac:dyDescent="0.35"/>
    <row r="75649" hidden="1" x14ac:dyDescent="0.35"/>
    <row r="75650" hidden="1" x14ac:dyDescent="0.35"/>
    <row r="75651" hidden="1" x14ac:dyDescent="0.35"/>
    <row r="75652" hidden="1" x14ac:dyDescent="0.35"/>
    <row r="75653" hidden="1" x14ac:dyDescent="0.35"/>
    <row r="75654" hidden="1" x14ac:dyDescent="0.35"/>
    <row r="75655" hidden="1" x14ac:dyDescent="0.35"/>
    <row r="75656" hidden="1" x14ac:dyDescent="0.35"/>
    <row r="75657" hidden="1" x14ac:dyDescent="0.35"/>
    <row r="75658" hidden="1" x14ac:dyDescent="0.35"/>
    <row r="75659" hidden="1" x14ac:dyDescent="0.35"/>
    <row r="75660" hidden="1" x14ac:dyDescent="0.35"/>
    <row r="75661" hidden="1" x14ac:dyDescent="0.35"/>
    <row r="75662" hidden="1" x14ac:dyDescent="0.35"/>
    <row r="75663" hidden="1" x14ac:dyDescent="0.35"/>
    <row r="75664" hidden="1" x14ac:dyDescent="0.35"/>
    <row r="75665" hidden="1" x14ac:dyDescent="0.35"/>
    <row r="75666" hidden="1" x14ac:dyDescent="0.35"/>
    <row r="75667" hidden="1" x14ac:dyDescent="0.35"/>
    <row r="75668" hidden="1" x14ac:dyDescent="0.35"/>
    <row r="75669" hidden="1" x14ac:dyDescent="0.35"/>
    <row r="75670" hidden="1" x14ac:dyDescent="0.35"/>
    <row r="75671" hidden="1" x14ac:dyDescent="0.35"/>
    <row r="75672" hidden="1" x14ac:dyDescent="0.35"/>
    <row r="75673" hidden="1" x14ac:dyDescent="0.35"/>
    <row r="75674" hidden="1" x14ac:dyDescent="0.35"/>
    <row r="75675" hidden="1" x14ac:dyDescent="0.35"/>
    <row r="75676" hidden="1" x14ac:dyDescent="0.35"/>
    <row r="75677" hidden="1" x14ac:dyDescent="0.35"/>
    <row r="75678" hidden="1" x14ac:dyDescent="0.35"/>
    <row r="75679" hidden="1" x14ac:dyDescent="0.35"/>
    <row r="75680" hidden="1" x14ac:dyDescent="0.35"/>
    <row r="75681" hidden="1" x14ac:dyDescent="0.35"/>
    <row r="75682" hidden="1" x14ac:dyDescent="0.35"/>
    <row r="75683" hidden="1" x14ac:dyDescent="0.35"/>
    <row r="75684" hidden="1" x14ac:dyDescent="0.35"/>
    <row r="75685" hidden="1" x14ac:dyDescent="0.35"/>
    <row r="75686" hidden="1" x14ac:dyDescent="0.35"/>
    <row r="75687" hidden="1" x14ac:dyDescent="0.35"/>
    <row r="75688" hidden="1" x14ac:dyDescent="0.35"/>
    <row r="75689" hidden="1" x14ac:dyDescent="0.35"/>
    <row r="75690" hidden="1" x14ac:dyDescent="0.35"/>
    <row r="75691" hidden="1" x14ac:dyDescent="0.35"/>
    <row r="75692" hidden="1" x14ac:dyDescent="0.35"/>
    <row r="75693" hidden="1" x14ac:dyDescent="0.35"/>
    <row r="75694" hidden="1" x14ac:dyDescent="0.35"/>
    <row r="75695" hidden="1" x14ac:dyDescent="0.35"/>
    <row r="75696" hidden="1" x14ac:dyDescent="0.35"/>
    <row r="75697" hidden="1" x14ac:dyDescent="0.35"/>
    <row r="75698" hidden="1" x14ac:dyDescent="0.35"/>
    <row r="75699" hidden="1" x14ac:dyDescent="0.35"/>
    <row r="75700" hidden="1" x14ac:dyDescent="0.35"/>
    <row r="75701" hidden="1" x14ac:dyDescent="0.35"/>
    <row r="75702" hidden="1" x14ac:dyDescent="0.35"/>
    <row r="75703" hidden="1" x14ac:dyDescent="0.35"/>
    <row r="75704" hidden="1" x14ac:dyDescent="0.35"/>
    <row r="75705" hidden="1" x14ac:dyDescent="0.35"/>
    <row r="75706" hidden="1" x14ac:dyDescent="0.35"/>
    <row r="75707" hidden="1" x14ac:dyDescent="0.35"/>
    <row r="75708" hidden="1" x14ac:dyDescent="0.35"/>
    <row r="75709" hidden="1" x14ac:dyDescent="0.35"/>
    <row r="75710" hidden="1" x14ac:dyDescent="0.35"/>
    <row r="75711" hidden="1" x14ac:dyDescent="0.35"/>
    <row r="75712" hidden="1" x14ac:dyDescent="0.35"/>
    <row r="75713" hidden="1" x14ac:dyDescent="0.35"/>
    <row r="75714" hidden="1" x14ac:dyDescent="0.35"/>
    <row r="75715" hidden="1" x14ac:dyDescent="0.35"/>
    <row r="75716" hidden="1" x14ac:dyDescent="0.35"/>
    <row r="75717" hidden="1" x14ac:dyDescent="0.35"/>
    <row r="75718" hidden="1" x14ac:dyDescent="0.35"/>
    <row r="75719" hidden="1" x14ac:dyDescent="0.35"/>
    <row r="75720" hidden="1" x14ac:dyDescent="0.35"/>
    <row r="75721" hidden="1" x14ac:dyDescent="0.35"/>
    <row r="75722" hidden="1" x14ac:dyDescent="0.35"/>
    <row r="75723" hidden="1" x14ac:dyDescent="0.35"/>
    <row r="75724" hidden="1" x14ac:dyDescent="0.35"/>
    <row r="75725" hidden="1" x14ac:dyDescent="0.35"/>
    <row r="75726" hidden="1" x14ac:dyDescent="0.35"/>
    <row r="75727" hidden="1" x14ac:dyDescent="0.35"/>
    <row r="75728" hidden="1" x14ac:dyDescent="0.35"/>
    <row r="75729" hidden="1" x14ac:dyDescent="0.35"/>
    <row r="75730" hidden="1" x14ac:dyDescent="0.35"/>
    <row r="75731" hidden="1" x14ac:dyDescent="0.35"/>
    <row r="75732" hidden="1" x14ac:dyDescent="0.35"/>
    <row r="75733" hidden="1" x14ac:dyDescent="0.35"/>
    <row r="75734" hidden="1" x14ac:dyDescent="0.35"/>
    <row r="75735" hidden="1" x14ac:dyDescent="0.35"/>
    <row r="75736" hidden="1" x14ac:dyDescent="0.35"/>
    <row r="75737" hidden="1" x14ac:dyDescent="0.35"/>
    <row r="75738" hidden="1" x14ac:dyDescent="0.35"/>
    <row r="75739" hidden="1" x14ac:dyDescent="0.35"/>
    <row r="75740" hidden="1" x14ac:dyDescent="0.35"/>
    <row r="75741" hidden="1" x14ac:dyDescent="0.35"/>
    <row r="75742" hidden="1" x14ac:dyDescent="0.35"/>
    <row r="75743" hidden="1" x14ac:dyDescent="0.35"/>
    <row r="75744" hidden="1" x14ac:dyDescent="0.35"/>
    <row r="75745" hidden="1" x14ac:dyDescent="0.35"/>
    <row r="75746" hidden="1" x14ac:dyDescent="0.35"/>
    <row r="75747" hidden="1" x14ac:dyDescent="0.35"/>
    <row r="75748" hidden="1" x14ac:dyDescent="0.35"/>
    <row r="75749" hidden="1" x14ac:dyDescent="0.35"/>
    <row r="75750" hidden="1" x14ac:dyDescent="0.35"/>
    <row r="75751" hidden="1" x14ac:dyDescent="0.35"/>
    <row r="75752" hidden="1" x14ac:dyDescent="0.35"/>
    <row r="75753" hidden="1" x14ac:dyDescent="0.35"/>
    <row r="75754" hidden="1" x14ac:dyDescent="0.35"/>
    <row r="75755" hidden="1" x14ac:dyDescent="0.35"/>
    <row r="75756" hidden="1" x14ac:dyDescent="0.35"/>
    <row r="75757" hidden="1" x14ac:dyDescent="0.35"/>
    <row r="75758" hidden="1" x14ac:dyDescent="0.35"/>
    <row r="75759" hidden="1" x14ac:dyDescent="0.35"/>
    <row r="75760" hidden="1" x14ac:dyDescent="0.35"/>
    <row r="75761" hidden="1" x14ac:dyDescent="0.35"/>
    <row r="75762" hidden="1" x14ac:dyDescent="0.35"/>
    <row r="75763" hidden="1" x14ac:dyDescent="0.35"/>
    <row r="75764" hidden="1" x14ac:dyDescent="0.35"/>
    <row r="75765" hidden="1" x14ac:dyDescent="0.35"/>
    <row r="75766" hidden="1" x14ac:dyDescent="0.35"/>
    <row r="75767" hidden="1" x14ac:dyDescent="0.35"/>
    <row r="75768" hidden="1" x14ac:dyDescent="0.35"/>
    <row r="75769" hidden="1" x14ac:dyDescent="0.35"/>
    <row r="75770" hidden="1" x14ac:dyDescent="0.35"/>
    <row r="75771" hidden="1" x14ac:dyDescent="0.35"/>
    <row r="75772" hidden="1" x14ac:dyDescent="0.35"/>
    <row r="75773" hidden="1" x14ac:dyDescent="0.35"/>
    <row r="75774" hidden="1" x14ac:dyDescent="0.35"/>
    <row r="75775" hidden="1" x14ac:dyDescent="0.35"/>
    <row r="75776" hidden="1" x14ac:dyDescent="0.35"/>
    <row r="75777" hidden="1" x14ac:dyDescent="0.35"/>
    <row r="75778" hidden="1" x14ac:dyDescent="0.35"/>
    <row r="75779" hidden="1" x14ac:dyDescent="0.35"/>
    <row r="75780" hidden="1" x14ac:dyDescent="0.35"/>
    <row r="75781" hidden="1" x14ac:dyDescent="0.35"/>
    <row r="75782" hidden="1" x14ac:dyDescent="0.35"/>
    <row r="75783" hidden="1" x14ac:dyDescent="0.35"/>
    <row r="75784" hidden="1" x14ac:dyDescent="0.35"/>
    <row r="75785" hidden="1" x14ac:dyDescent="0.35"/>
    <row r="75786" hidden="1" x14ac:dyDescent="0.35"/>
    <row r="75787" hidden="1" x14ac:dyDescent="0.35"/>
    <row r="75788" hidden="1" x14ac:dyDescent="0.35"/>
    <row r="75789" hidden="1" x14ac:dyDescent="0.35"/>
    <row r="75790" hidden="1" x14ac:dyDescent="0.35"/>
    <row r="75791" hidden="1" x14ac:dyDescent="0.35"/>
    <row r="75792" hidden="1" x14ac:dyDescent="0.35"/>
    <row r="75793" hidden="1" x14ac:dyDescent="0.35"/>
    <row r="75794" hidden="1" x14ac:dyDescent="0.35"/>
    <row r="75795" hidden="1" x14ac:dyDescent="0.35"/>
    <row r="75796" hidden="1" x14ac:dyDescent="0.35"/>
    <row r="75797" hidden="1" x14ac:dyDescent="0.35"/>
    <row r="75798" hidden="1" x14ac:dyDescent="0.35"/>
    <row r="75799" hidden="1" x14ac:dyDescent="0.35"/>
    <row r="75800" hidden="1" x14ac:dyDescent="0.35"/>
    <row r="75801" hidden="1" x14ac:dyDescent="0.35"/>
    <row r="75802" hidden="1" x14ac:dyDescent="0.35"/>
    <row r="75803" hidden="1" x14ac:dyDescent="0.35"/>
    <row r="75804" hidden="1" x14ac:dyDescent="0.35"/>
    <row r="75805" hidden="1" x14ac:dyDescent="0.35"/>
    <row r="75806" hidden="1" x14ac:dyDescent="0.35"/>
    <row r="75807" hidden="1" x14ac:dyDescent="0.35"/>
    <row r="75808" hidden="1" x14ac:dyDescent="0.35"/>
    <row r="75809" hidden="1" x14ac:dyDescent="0.35"/>
    <row r="75810" hidden="1" x14ac:dyDescent="0.35"/>
    <row r="75811" hidden="1" x14ac:dyDescent="0.35"/>
    <row r="75812" hidden="1" x14ac:dyDescent="0.35"/>
    <row r="75813" hidden="1" x14ac:dyDescent="0.35"/>
    <row r="75814" hidden="1" x14ac:dyDescent="0.35"/>
    <row r="75815" hidden="1" x14ac:dyDescent="0.35"/>
    <row r="75816" hidden="1" x14ac:dyDescent="0.35"/>
    <row r="75817" hidden="1" x14ac:dyDescent="0.35"/>
    <row r="75818" hidden="1" x14ac:dyDescent="0.35"/>
    <row r="75819" hidden="1" x14ac:dyDescent="0.35"/>
    <row r="75820" hidden="1" x14ac:dyDescent="0.35"/>
    <row r="75821" hidden="1" x14ac:dyDescent="0.35"/>
    <row r="75822" hidden="1" x14ac:dyDescent="0.35"/>
    <row r="75823" hidden="1" x14ac:dyDescent="0.35"/>
    <row r="75824" hidden="1" x14ac:dyDescent="0.35"/>
    <row r="75825" hidden="1" x14ac:dyDescent="0.35"/>
    <row r="75826" hidden="1" x14ac:dyDescent="0.35"/>
    <row r="75827" hidden="1" x14ac:dyDescent="0.35"/>
    <row r="75828" hidden="1" x14ac:dyDescent="0.35"/>
    <row r="75829" hidden="1" x14ac:dyDescent="0.35"/>
    <row r="75830" hidden="1" x14ac:dyDescent="0.35"/>
    <row r="75831" hidden="1" x14ac:dyDescent="0.35"/>
    <row r="75832" hidden="1" x14ac:dyDescent="0.35"/>
    <row r="75833" hidden="1" x14ac:dyDescent="0.35"/>
    <row r="75834" hidden="1" x14ac:dyDescent="0.35"/>
    <row r="75835" hidden="1" x14ac:dyDescent="0.35"/>
    <row r="75836" hidden="1" x14ac:dyDescent="0.35"/>
    <row r="75837" hidden="1" x14ac:dyDescent="0.35"/>
    <row r="75838" hidden="1" x14ac:dyDescent="0.35"/>
    <row r="75839" hidden="1" x14ac:dyDescent="0.35"/>
    <row r="75840" hidden="1" x14ac:dyDescent="0.35"/>
    <row r="75841" hidden="1" x14ac:dyDescent="0.35"/>
    <row r="75842" hidden="1" x14ac:dyDescent="0.35"/>
    <row r="75843" hidden="1" x14ac:dyDescent="0.35"/>
    <row r="75844" hidden="1" x14ac:dyDescent="0.35"/>
    <row r="75845" hidden="1" x14ac:dyDescent="0.35"/>
    <row r="75846" hidden="1" x14ac:dyDescent="0.35"/>
    <row r="75847" hidden="1" x14ac:dyDescent="0.35"/>
    <row r="75848" hidden="1" x14ac:dyDescent="0.35"/>
    <row r="75849" hidden="1" x14ac:dyDescent="0.35"/>
    <row r="75850" hidden="1" x14ac:dyDescent="0.35"/>
    <row r="75851" hidden="1" x14ac:dyDescent="0.35"/>
    <row r="75852" hidden="1" x14ac:dyDescent="0.35"/>
    <row r="75853" hidden="1" x14ac:dyDescent="0.35"/>
    <row r="75854" hidden="1" x14ac:dyDescent="0.35"/>
    <row r="75855" hidden="1" x14ac:dyDescent="0.35"/>
    <row r="75856" hidden="1" x14ac:dyDescent="0.35"/>
    <row r="75857" hidden="1" x14ac:dyDescent="0.35"/>
    <row r="75858" hidden="1" x14ac:dyDescent="0.35"/>
    <row r="75859" hidden="1" x14ac:dyDescent="0.35"/>
    <row r="75860" hidden="1" x14ac:dyDescent="0.35"/>
    <row r="75861" hidden="1" x14ac:dyDescent="0.35"/>
    <row r="75862" hidden="1" x14ac:dyDescent="0.35"/>
    <row r="75863" hidden="1" x14ac:dyDescent="0.35"/>
    <row r="75864" hidden="1" x14ac:dyDescent="0.35"/>
    <row r="75865" hidden="1" x14ac:dyDescent="0.35"/>
    <row r="75866" hidden="1" x14ac:dyDescent="0.35"/>
    <row r="75867" hidden="1" x14ac:dyDescent="0.35"/>
    <row r="75868" hidden="1" x14ac:dyDescent="0.35"/>
    <row r="75869" hidden="1" x14ac:dyDescent="0.35"/>
    <row r="75870" hidden="1" x14ac:dyDescent="0.35"/>
    <row r="75871" hidden="1" x14ac:dyDescent="0.35"/>
    <row r="75872" hidden="1" x14ac:dyDescent="0.35"/>
    <row r="75873" hidden="1" x14ac:dyDescent="0.35"/>
    <row r="75874" hidden="1" x14ac:dyDescent="0.35"/>
    <row r="75875" hidden="1" x14ac:dyDescent="0.35"/>
    <row r="75876" hidden="1" x14ac:dyDescent="0.35"/>
    <row r="75877" hidden="1" x14ac:dyDescent="0.35"/>
    <row r="75878" hidden="1" x14ac:dyDescent="0.35"/>
    <row r="75879" hidden="1" x14ac:dyDescent="0.35"/>
    <row r="75880" hidden="1" x14ac:dyDescent="0.35"/>
    <row r="75881" hidden="1" x14ac:dyDescent="0.35"/>
    <row r="75882" hidden="1" x14ac:dyDescent="0.35"/>
    <row r="75883" hidden="1" x14ac:dyDescent="0.35"/>
    <row r="75884" hidden="1" x14ac:dyDescent="0.35"/>
    <row r="75885" hidden="1" x14ac:dyDescent="0.35"/>
    <row r="75886" hidden="1" x14ac:dyDescent="0.35"/>
    <row r="75887" hidden="1" x14ac:dyDescent="0.35"/>
    <row r="75888" hidden="1" x14ac:dyDescent="0.35"/>
    <row r="75889" hidden="1" x14ac:dyDescent="0.35"/>
    <row r="75890" hidden="1" x14ac:dyDescent="0.35"/>
    <row r="75891" hidden="1" x14ac:dyDescent="0.35"/>
    <row r="75892" hidden="1" x14ac:dyDescent="0.35"/>
    <row r="75893" hidden="1" x14ac:dyDescent="0.35"/>
    <row r="75894" hidden="1" x14ac:dyDescent="0.35"/>
    <row r="75895" hidden="1" x14ac:dyDescent="0.35"/>
    <row r="75896" hidden="1" x14ac:dyDescent="0.35"/>
    <row r="75897" hidden="1" x14ac:dyDescent="0.35"/>
    <row r="75898" hidden="1" x14ac:dyDescent="0.35"/>
    <row r="75899" hidden="1" x14ac:dyDescent="0.35"/>
    <row r="75900" hidden="1" x14ac:dyDescent="0.35"/>
    <row r="75901" hidden="1" x14ac:dyDescent="0.35"/>
    <row r="75902" hidden="1" x14ac:dyDescent="0.35"/>
    <row r="75903" hidden="1" x14ac:dyDescent="0.35"/>
    <row r="75904" hidden="1" x14ac:dyDescent="0.35"/>
    <row r="75905" hidden="1" x14ac:dyDescent="0.35"/>
    <row r="75906" hidden="1" x14ac:dyDescent="0.35"/>
    <row r="75907" hidden="1" x14ac:dyDescent="0.35"/>
    <row r="75908" hidden="1" x14ac:dyDescent="0.35"/>
    <row r="75909" hidden="1" x14ac:dyDescent="0.35"/>
    <row r="75910" hidden="1" x14ac:dyDescent="0.35"/>
    <row r="75911" hidden="1" x14ac:dyDescent="0.35"/>
    <row r="75912" hidden="1" x14ac:dyDescent="0.35"/>
    <row r="75913" hidden="1" x14ac:dyDescent="0.35"/>
    <row r="75914" hidden="1" x14ac:dyDescent="0.35"/>
    <row r="75915" hidden="1" x14ac:dyDescent="0.35"/>
    <row r="75916" hidden="1" x14ac:dyDescent="0.35"/>
    <row r="75917" hidden="1" x14ac:dyDescent="0.35"/>
    <row r="75918" hidden="1" x14ac:dyDescent="0.35"/>
    <row r="75919" hidden="1" x14ac:dyDescent="0.35"/>
    <row r="75920" hidden="1" x14ac:dyDescent="0.35"/>
    <row r="75921" hidden="1" x14ac:dyDescent="0.35"/>
    <row r="75922" hidden="1" x14ac:dyDescent="0.35"/>
    <row r="75923" hidden="1" x14ac:dyDescent="0.35"/>
    <row r="75924" hidden="1" x14ac:dyDescent="0.35"/>
    <row r="75925" hidden="1" x14ac:dyDescent="0.35"/>
    <row r="75926" hidden="1" x14ac:dyDescent="0.35"/>
    <row r="75927" hidden="1" x14ac:dyDescent="0.35"/>
    <row r="75928" hidden="1" x14ac:dyDescent="0.35"/>
    <row r="75929" hidden="1" x14ac:dyDescent="0.35"/>
    <row r="75930" hidden="1" x14ac:dyDescent="0.35"/>
    <row r="75931" hidden="1" x14ac:dyDescent="0.35"/>
    <row r="75932" hidden="1" x14ac:dyDescent="0.35"/>
    <row r="75933" hidden="1" x14ac:dyDescent="0.35"/>
    <row r="75934" hidden="1" x14ac:dyDescent="0.35"/>
    <row r="75935" hidden="1" x14ac:dyDescent="0.35"/>
    <row r="75936" hidden="1" x14ac:dyDescent="0.35"/>
    <row r="75937" hidden="1" x14ac:dyDescent="0.35"/>
    <row r="75938" hidden="1" x14ac:dyDescent="0.35"/>
    <row r="75939" hidden="1" x14ac:dyDescent="0.35"/>
    <row r="75940" hidden="1" x14ac:dyDescent="0.35"/>
    <row r="75941" hidden="1" x14ac:dyDescent="0.35"/>
    <row r="75942" hidden="1" x14ac:dyDescent="0.35"/>
    <row r="75943" hidden="1" x14ac:dyDescent="0.35"/>
    <row r="75944" hidden="1" x14ac:dyDescent="0.35"/>
    <row r="75945" hidden="1" x14ac:dyDescent="0.35"/>
    <row r="75946" hidden="1" x14ac:dyDescent="0.35"/>
    <row r="75947" hidden="1" x14ac:dyDescent="0.35"/>
    <row r="75948" hidden="1" x14ac:dyDescent="0.35"/>
    <row r="75949" hidden="1" x14ac:dyDescent="0.35"/>
    <row r="75950" hidden="1" x14ac:dyDescent="0.35"/>
    <row r="75951" hidden="1" x14ac:dyDescent="0.35"/>
    <row r="75952" hidden="1" x14ac:dyDescent="0.35"/>
    <row r="75953" hidden="1" x14ac:dyDescent="0.35"/>
    <row r="75954" hidden="1" x14ac:dyDescent="0.35"/>
    <row r="75955" hidden="1" x14ac:dyDescent="0.35"/>
    <row r="75956" hidden="1" x14ac:dyDescent="0.35"/>
    <row r="75957" hidden="1" x14ac:dyDescent="0.35"/>
    <row r="75958" hidden="1" x14ac:dyDescent="0.35"/>
    <row r="75959" hidden="1" x14ac:dyDescent="0.35"/>
    <row r="75960" hidden="1" x14ac:dyDescent="0.35"/>
    <row r="75961" hidden="1" x14ac:dyDescent="0.35"/>
    <row r="75962" hidden="1" x14ac:dyDescent="0.35"/>
    <row r="75963" hidden="1" x14ac:dyDescent="0.35"/>
    <row r="75964" hidden="1" x14ac:dyDescent="0.35"/>
    <row r="75965" hidden="1" x14ac:dyDescent="0.35"/>
    <row r="75966" hidden="1" x14ac:dyDescent="0.35"/>
    <row r="75967" hidden="1" x14ac:dyDescent="0.35"/>
    <row r="75968" hidden="1" x14ac:dyDescent="0.35"/>
    <row r="75969" hidden="1" x14ac:dyDescent="0.35"/>
    <row r="75970" hidden="1" x14ac:dyDescent="0.35"/>
    <row r="75971" hidden="1" x14ac:dyDescent="0.35"/>
    <row r="75972" hidden="1" x14ac:dyDescent="0.35"/>
    <row r="75973" hidden="1" x14ac:dyDescent="0.35"/>
    <row r="75974" hidden="1" x14ac:dyDescent="0.35"/>
    <row r="75975" hidden="1" x14ac:dyDescent="0.35"/>
    <row r="75976" hidden="1" x14ac:dyDescent="0.35"/>
    <row r="75977" hidden="1" x14ac:dyDescent="0.35"/>
    <row r="75978" hidden="1" x14ac:dyDescent="0.35"/>
    <row r="75979" hidden="1" x14ac:dyDescent="0.35"/>
    <row r="75980" hidden="1" x14ac:dyDescent="0.35"/>
    <row r="75981" hidden="1" x14ac:dyDescent="0.35"/>
    <row r="75982" hidden="1" x14ac:dyDescent="0.35"/>
    <row r="75983" hidden="1" x14ac:dyDescent="0.35"/>
    <row r="75984" hidden="1" x14ac:dyDescent="0.35"/>
    <row r="75985" hidden="1" x14ac:dyDescent="0.35"/>
    <row r="75986" hidden="1" x14ac:dyDescent="0.35"/>
    <row r="75987" hidden="1" x14ac:dyDescent="0.35"/>
    <row r="75988" hidden="1" x14ac:dyDescent="0.35"/>
    <row r="75989" hidden="1" x14ac:dyDescent="0.35"/>
    <row r="75990" hidden="1" x14ac:dyDescent="0.35"/>
    <row r="75991" hidden="1" x14ac:dyDescent="0.35"/>
    <row r="75992" hidden="1" x14ac:dyDescent="0.35"/>
    <row r="75993" hidden="1" x14ac:dyDescent="0.35"/>
    <row r="75994" hidden="1" x14ac:dyDescent="0.35"/>
    <row r="75995" hidden="1" x14ac:dyDescent="0.35"/>
    <row r="75996" hidden="1" x14ac:dyDescent="0.35"/>
    <row r="75997" hidden="1" x14ac:dyDescent="0.35"/>
    <row r="75998" hidden="1" x14ac:dyDescent="0.35"/>
    <row r="75999" hidden="1" x14ac:dyDescent="0.35"/>
    <row r="76000" hidden="1" x14ac:dyDescent="0.35"/>
    <row r="76001" hidden="1" x14ac:dyDescent="0.35"/>
    <row r="76002" hidden="1" x14ac:dyDescent="0.35"/>
    <row r="76003" hidden="1" x14ac:dyDescent="0.35"/>
    <row r="76004" hidden="1" x14ac:dyDescent="0.35"/>
    <row r="76005" hidden="1" x14ac:dyDescent="0.35"/>
    <row r="76006" hidden="1" x14ac:dyDescent="0.35"/>
    <row r="76007" hidden="1" x14ac:dyDescent="0.35"/>
    <row r="76008" hidden="1" x14ac:dyDescent="0.35"/>
    <row r="76009" hidden="1" x14ac:dyDescent="0.35"/>
    <row r="76010" hidden="1" x14ac:dyDescent="0.35"/>
    <row r="76011" hidden="1" x14ac:dyDescent="0.35"/>
    <row r="76012" hidden="1" x14ac:dyDescent="0.35"/>
    <row r="76013" hidden="1" x14ac:dyDescent="0.35"/>
    <row r="76014" hidden="1" x14ac:dyDescent="0.35"/>
    <row r="76015" hidden="1" x14ac:dyDescent="0.35"/>
    <row r="76016" hidden="1" x14ac:dyDescent="0.35"/>
    <row r="76017" hidden="1" x14ac:dyDescent="0.35"/>
    <row r="76018" hidden="1" x14ac:dyDescent="0.35"/>
    <row r="76019" hidden="1" x14ac:dyDescent="0.35"/>
    <row r="76020" hidden="1" x14ac:dyDescent="0.35"/>
    <row r="76021" hidden="1" x14ac:dyDescent="0.35"/>
    <row r="76022" hidden="1" x14ac:dyDescent="0.35"/>
    <row r="76023" hidden="1" x14ac:dyDescent="0.35"/>
    <row r="76024" hidden="1" x14ac:dyDescent="0.35"/>
    <row r="76025" hidden="1" x14ac:dyDescent="0.35"/>
    <row r="76026" hidden="1" x14ac:dyDescent="0.35"/>
    <row r="76027" hidden="1" x14ac:dyDescent="0.35"/>
    <row r="76028" hidden="1" x14ac:dyDescent="0.35"/>
    <row r="76029" hidden="1" x14ac:dyDescent="0.35"/>
    <row r="76030" hidden="1" x14ac:dyDescent="0.35"/>
    <row r="76031" hidden="1" x14ac:dyDescent="0.35"/>
    <row r="76032" hidden="1" x14ac:dyDescent="0.35"/>
    <row r="76033" hidden="1" x14ac:dyDescent="0.35"/>
    <row r="76034" hidden="1" x14ac:dyDescent="0.35"/>
    <row r="76035" hidden="1" x14ac:dyDescent="0.35"/>
    <row r="76036" hidden="1" x14ac:dyDescent="0.35"/>
    <row r="76037" hidden="1" x14ac:dyDescent="0.35"/>
    <row r="76038" hidden="1" x14ac:dyDescent="0.35"/>
    <row r="76039" hidden="1" x14ac:dyDescent="0.35"/>
    <row r="76040" hidden="1" x14ac:dyDescent="0.35"/>
    <row r="76041" hidden="1" x14ac:dyDescent="0.35"/>
    <row r="76042" hidden="1" x14ac:dyDescent="0.35"/>
    <row r="76043" hidden="1" x14ac:dyDescent="0.35"/>
    <row r="76044" hidden="1" x14ac:dyDescent="0.35"/>
    <row r="76045" hidden="1" x14ac:dyDescent="0.35"/>
    <row r="76046" hidden="1" x14ac:dyDescent="0.35"/>
    <row r="76047" hidden="1" x14ac:dyDescent="0.35"/>
    <row r="76048" hidden="1" x14ac:dyDescent="0.35"/>
    <row r="76049" hidden="1" x14ac:dyDescent="0.35"/>
    <row r="76050" hidden="1" x14ac:dyDescent="0.35"/>
    <row r="76051" hidden="1" x14ac:dyDescent="0.35"/>
    <row r="76052" hidden="1" x14ac:dyDescent="0.35"/>
    <row r="76053" hidden="1" x14ac:dyDescent="0.35"/>
    <row r="76054" hidden="1" x14ac:dyDescent="0.35"/>
    <row r="76055" hidden="1" x14ac:dyDescent="0.35"/>
    <row r="76056" hidden="1" x14ac:dyDescent="0.35"/>
    <row r="76057" hidden="1" x14ac:dyDescent="0.35"/>
    <row r="76058" hidden="1" x14ac:dyDescent="0.35"/>
    <row r="76059" hidden="1" x14ac:dyDescent="0.35"/>
    <row r="76060" hidden="1" x14ac:dyDescent="0.35"/>
    <row r="76061" hidden="1" x14ac:dyDescent="0.35"/>
    <row r="76062" hidden="1" x14ac:dyDescent="0.35"/>
    <row r="76063" hidden="1" x14ac:dyDescent="0.35"/>
    <row r="76064" hidden="1" x14ac:dyDescent="0.35"/>
    <row r="76065" hidden="1" x14ac:dyDescent="0.35"/>
    <row r="76066" hidden="1" x14ac:dyDescent="0.35"/>
    <row r="76067" hidden="1" x14ac:dyDescent="0.35"/>
    <row r="76068" hidden="1" x14ac:dyDescent="0.35"/>
    <row r="76069" hidden="1" x14ac:dyDescent="0.35"/>
    <row r="76070" hidden="1" x14ac:dyDescent="0.35"/>
    <row r="76071" hidden="1" x14ac:dyDescent="0.35"/>
    <row r="76072" hidden="1" x14ac:dyDescent="0.35"/>
    <row r="76073" hidden="1" x14ac:dyDescent="0.35"/>
    <row r="76074" hidden="1" x14ac:dyDescent="0.35"/>
    <row r="76075" hidden="1" x14ac:dyDescent="0.35"/>
    <row r="76076" hidden="1" x14ac:dyDescent="0.35"/>
    <row r="76077" hidden="1" x14ac:dyDescent="0.35"/>
    <row r="76078" hidden="1" x14ac:dyDescent="0.35"/>
    <row r="76079" hidden="1" x14ac:dyDescent="0.35"/>
    <row r="76080" hidden="1" x14ac:dyDescent="0.35"/>
    <row r="76081" hidden="1" x14ac:dyDescent="0.35"/>
    <row r="76082" hidden="1" x14ac:dyDescent="0.35"/>
    <row r="76083" hidden="1" x14ac:dyDescent="0.35"/>
    <row r="76084" hidden="1" x14ac:dyDescent="0.35"/>
    <row r="76085" hidden="1" x14ac:dyDescent="0.35"/>
    <row r="76086" hidden="1" x14ac:dyDescent="0.35"/>
    <row r="76087" hidden="1" x14ac:dyDescent="0.35"/>
    <row r="76088" hidden="1" x14ac:dyDescent="0.35"/>
    <row r="76089" hidden="1" x14ac:dyDescent="0.35"/>
    <row r="76090" hidden="1" x14ac:dyDescent="0.35"/>
    <row r="76091" hidden="1" x14ac:dyDescent="0.35"/>
    <row r="76092" hidden="1" x14ac:dyDescent="0.35"/>
    <row r="76093" hidden="1" x14ac:dyDescent="0.35"/>
    <row r="76094" hidden="1" x14ac:dyDescent="0.35"/>
    <row r="76095" hidden="1" x14ac:dyDescent="0.35"/>
    <row r="76096" hidden="1" x14ac:dyDescent="0.35"/>
    <row r="76097" hidden="1" x14ac:dyDescent="0.35"/>
    <row r="76098" hidden="1" x14ac:dyDescent="0.35"/>
    <row r="76099" hidden="1" x14ac:dyDescent="0.35"/>
    <row r="76100" hidden="1" x14ac:dyDescent="0.35"/>
    <row r="76101" hidden="1" x14ac:dyDescent="0.35"/>
    <row r="76102" hidden="1" x14ac:dyDescent="0.35"/>
    <row r="76103" hidden="1" x14ac:dyDescent="0.35"/>
    <row r="76104" hidden="1" x14ac:dyDescent="0.35"/>
    <row r="76105" hidden="1" x14ac:dyDescent="0.35"/>
    <row r="76106" hidden="1" x14ac:dyDescent="0.35"/>
    <row r="76107" hidden="1" x14ac:dyDescent="0.35"/>
    <row r="76108" hidden="1" x14ac:dyDescent="0.35"/>
    <row r="76109" hidden="1" x14ac:dyDescent="0.35"/>
    <row r="76110" hidden="1" x14ac:dyDescent="0.35"/>
    <row r="76111" hidden="1" x14ac:dyDescent="0.35"/>
    <row r="76112" hidden="1" x14ac:dyDescent="0.35"/>
    <row r="76113" hidden="1" x14ac:dyDescent="0.35"/>
    <row r="76114" hidden="1" x14ac:dyDescent="0.35"/>
    <row r="76115" hidden="1" x14ac:dyDescent="0.35"/>
    <row r="76116" hidden="1" x14ac:dyDescent="0.35"/>
    <row r="76117" hidden="1" x14ac:dyDescent="0.35"/>
    <row r="76118" hidden="1" x14ac:dyDescent="0.35"/>
    <row r="76119" hidden="1" x14ac:dyDescent="0.35"/>
    <row r="76120" hidden="1" x14ac:dyDescent="0.35"/>
    <row r="76121" hidden="1" x14ac:dyDescent="0.35"/>
    <row r="76122" hidden="1" x14ac:dyDescent="0.35"/>
    <row r="76123" hidden="1" x14ac:dyDescent="0.35"/>
    <row r="76124" hidden="1" x14ac:dyDescent="0.35"/>
    <row r="76125" hidden="1" x14ac:dyDescent="0.35"/>
    <row r="76126" hidden="1" x14ac:dyDescent="0.35"/>
    <row r="76127" hidden="1" x14ac:dyDescent="0.35"/>
    <row r="76128" hidden="1" x14ac:dyDescent="0.35"/>
    <row r="76129" hidden="1" x14ac:dyDescent="0.35"/>
    <row r="76130" hidden="1" x14ac:dyDescent="0.35"/>
    <row r="76131" hidden="1" x14ac:dyDescent="0.35"/>
    <row r="76132" hidden="1" x14ac:dyDescent="0.35"/>
    <row r="76133" hidden="1" x14ac:dyDescent="0.35"/>
    <row r="76134" hidden="1" x14ac:dyDescent="0.35"/>
    <row r="76135" hidden="1" x14ac:dyDescent="0.35"/>
    <row r="76136" hidden="1" x14ac:dyDescent="0.35"/>
    <row r="76137" hidden="1" x14ac:dyDescent="0.35"/>
    <row r="76138" hidden="1" x14ac:dyDescent="0.35"/>
    <row r="76139" hidden="1" x14ac:dyDescent="0.35"/>
    <row r="76140" hidden="1" x14ac:dyDescent="0.35"/>
    <row r="76141" hidden="1" x14ac:dyDescent="0.35"/>
    <row r="76142" hidden="1" x14ac:dyDescent="0.35"/>
    <row r="76143" hidden="1" x14ac:dyDescent="0.35"/>
    <row r="76144" hidden="1" x14ac:dyDescent="0.35"/>
    <row r="76145" hidden="1" x14ac:dyDescent="0.35"/>
    <row r="76146" hidden="1" x14ac:dyDescent="0.35"/>
    <row r="76147" hidden="1" x14ac:dyDescent="0.35"/>
    <row r="76148" hidden="1" x14ac:dyDescent="0.35"/>
    <row r="76149" hidden="1" x14ac:dyDescent="0.35"/>
    <row r="76150" hidden="1" x14ac:dyDescent="0.35"/>
    <row r="76151" hidden="1" x14ac:dyDescent="0.35"/>
    <row r="76152" hidden="1" x14ac:dyDescent="0.35"/>
    <row r="76153" hidden="1" x14ac:dyDescent="0.35"/>
    <row r="76154" hidden="1" x14ac:dyDescent="0.35"/>
    <row r="76155" hidden="1" x14ac:dyDescent="0.35"/>
    <row r="76156" hidden="1" x14ac:dyDescent="0.35"/>
    <row r="76157" hidden="1" x14ac:dyDescent="0.35"/>
    <row r="76158" hidden="1" x14ac:dyDescent="0.35"/>
    <row r="76159" hidden="1" x14ac:dyDescent="0.35"/>
    <row r="76160" hidden="1" x14ac:dyDescent="0.35"/>
    <row r="76161" hidden="1" x14ac:dyDescent="0.35"/>
    <row r="76162" hidden="1" x14ac:dyDescent="0.35"/>
    <row r="76163" hidden="1" x14ac:dyDescent="0.35"/>
    <row r="76164" hidden="1" x14ac:dyDescent="0.35"/>
    <row r="76165" hidden="1" x14ac:dyDescent="0.35"/>
    <row r="76166" hidden="1" x14ac:dyDescent="0.35"/>
    <row r="76167" hidden="1" x14ac:dyDescent="0.35"/>
    <row r="76168" hidden="1" x14ac:dyDescent="0.35"/>
    <row r="76169" hidden="1" x14ac:dyDescent="0.35"/>
    <row r="76170" hidden="1" x14ac:dyDescent="0.35"/>
    <row r="76171" hidden="1" x14ac:dyDescent="0.35"/>
    <row r="76172" hidden="1" x14ac:dyDescent="0.35"/>
    <row r="76173" hidden="1" x14ac:dyDescent="0.35"/>
    <row r="76174" hidden="1" x14ac:dyDescent="0.35"/>
    <row r="76175" hidden="1" x14ac:dyDescent="0.35"/>
    <row r="76176" hidden="1" x14ac:dyDescent="0.35"/>
    <row r="76177" hidden="1" x14ac:dyDescent="0.35"/>
    <row r="76178" hidden="1" x14ac:dyDescent="0.35"/>
    <row r="76179" hidden="1" x14ac:dyDescent="0.35"/>
    <row r="76180" hidden="1" x14ac:dyDescent="0.35"/>
    <row r="76181" hidden="1" x14ac:dyDescent="0.35"/>
    <row r="76182" hidden="1" x14ac:dyDescent="0.35"/>
    <row r="76183" hidden="1" x14ac:dyDescent="0.35"/>
    <row r="76184" hidden="1" x14ac:dyDescent="0.35"/>
    <row r="76185" hidden="1" x14ac:dyDescent="0.35"/>
    <row r="76186" hidden="1" x14ac:dyDescent="0.35"/>
    <row r="76187" hidden="1" x14ac:dyDescent="0.35"/>
    <row r="76188" hidden="1" x14ac:dyDescent="0.35"/>
    <row r="76189" hidden="1" x14ac:dyDescent="0.35"/>
    <row r="76190" hidden="1" x14ac:dyDescent="0.35"/>
    <row r="76191" hidden="1" x14ac:dyDescent="0.35"/>
    <row r="76192" hidden="1" x14ac:dyDescent="0.35"/>
    <row r="76193" hidden="1" x14ac:dyDescent="0.35"/>
    <row r="76194" hidden="1" x14ac:dyDescent="0.35"/>
    <row r="76195" hidden="1" x14ac:dyDescent="0.35"/>
    <row r="76196" hidden="1" x14ac:dyDescent="0.35"/>
    <row r="76197" hidden="1" x14ac:dyDescent="0.35"/>
    <row r="76198" hidden="1" x14ac:dyDescent="0.35"/>
    <row r="76199" hidden="1" x14ac:dyDescent="0.35"/>
    <row r="76200" hidden="1" x14ac:dyDescent="0.35"/>
    <row r="76201" hidden="1" x14ac:dyDescent="0.35"/>
    <row r="76202" hidden="1" x14ac:dyDescent="0.35"/>
    <row r="76203" hidden="1" x14ac:dyDescent="0.35"/>
    <row r="76204" hidden="1" x14ac:dyDescent="0.35"/>
    <row r="76205" hidden="1" x14ac:dyDescent="0.35"/>
    <row r="76206" hidden="1" x14ac:dyDescent="0.35"/>
    <row r="76207" hidden="1" x14ac:dyDescent="0.35"/>
    <row r="76208" hidden="1" x14ac:dyDescent="0.35"/>
    <row r="76209" hidden="1" x14ac:dyDescent="0.35"/>
    <row r="76210" hidden="1" x14ac:dyDescent="0.35"/>
    <row r="76211" hidden="1" x14ac:dyDescent="0.35"/>
    <row r="76212" hidden="1" x14ac:dyDescent="0.35"/>
    <row r="76213" hidden="1" x14ac:dyDescent="0.35"/>
    <row r="76214" hidden="1" x14ac:dyDescent="0.35"/>
    <row r="76215" hidden="1" x14ac:dyDescent="0.35"/>
    <row r="76216" hidden="1" x14ac:dyDescent="0.35"/>
    <row r="76217" hidden="1" x14ac:dyDescent="0.35"/>
    <row r="76218" hidden="1" x14ac:dyDescent="0.35"/>
    <row r="76219" hidden="1" x14ac:dyDescent="0.35"/>
    <row r="76220" hidden="1" x14ac:dyDescent="0.35"/>
    <row r="76221" hidden="1" x14ac:dyDescent="0.35"/>
    <row r="76222" hidden="1" x14ac:dyDescent="0.35"/>
    <row r="76223" hidden="1" x14ac:dyDescent="0.35"/>
    <row r="76224" hidden="1" x14ac:dyDescent="0.35"/>
    <row r="76225" hidden="1" x14ac:dyDescent="0.35"/>
    <row r="76226" hidden="1" x14ac:dyDescent="0.35"/>
    <row r="76227" hidden="1" x14ac:dyDescent="0.35"/>
    <row r="76228" hidden="1" x14ac:dyDescent="0.35"/>
    <row r="76229" hidden="1" x14ac:dyDescent="0.35"/>
    <row r="76230" hidden="1" x14ac:dyDescent="0.35"/>
    <row r="76231" hidden="1" x14ac:dyDescent="0.35"/>
    <row r="76232" hidden="1" x14ac:dyDescent="0.35"/>
    <row r="76233" hidden="1" x14ac:dyDescent="0.35"/>
    <row r="76234" hidden="1" x14ac:dyDescent="0.35"/>
    <row r="76235" hidden="1" x14ac:dyDescent="0.35"/>
    <row r="76236" hidden="1" x14ac:dyDescent="0.35"/>
    <row r="76237" hidden="1" x14ac:dyDescent="0.35"/>
    <row r="76238" hidden="1" x14ac:dyDescent="0.35"/>
    <row r="76239" hidden="1" x14ac:dyDescent="0.35"/>
    <row r="76240" hidden="1" x14ac:dyDescent="0.35"/>
    <row r="76241" hidden="1" x14ac:dyDescent="0.35"/>
    <row r="76242" hidden="1" x14ac:dyDescent="0.35"/>
    <row r="76243" hidden="1" x14ac:dyDescent="0.35"/>
    <row r="76244" hidden="1" x14ac:dyDescent="0.35"/>
    <row r="76245" hidden="1" x14ac:dyDescent="0.35"/>
    <row r="76246" hidden="1" x14ac:dyDescent="0.35"/>
    <row r="76247" hidden="1" x14ac:dyDescent="0.35"/>
    <row r="76248" hidden="1" x14ac:dyDescent="0.35"/>
    <row r="76249" hidden="1" x14ac:dyDescent="0.35"/>
    <row r="76250" hidden="1" x14ac:dyDescent="0.35"/>
    <row r="76251" hidden="1" x14ac:dyDescent="0.35"/>
    <row r="76252" hidden="1" x14ac:dyDescent="0.35"/>
    <row r="76253" hidden="1" x14ac:dyDescent="0.35"/>
    <row r="76254" hidden="1" x14ac:dyDescent="0.35"/>
    <row r="76255" hidden="1" x14ac:dyDescent="0.35"/>
    <row r="76256" hidden="1" x14ac:dyDescent="0.35"/>
    <row r="76257" hidden="1" x14ac:dyDescent="0.35"/>
    <row r="76258" hidden="1" x14ac:dyDescent="0.35"/>
    <row r="76259" hidden="1" x14ac:dyDescent="0.35"/>
    <row r="76260" hidden="1" x14ac:dyDescent="0.35"/>
    <row r="76261" hidden="1" x14ac:dyDescent="0.35"/>
    <row r="76262" hidden="1" x14ac:dyDescent="0.35"/>
    <row r="76263" hidden="1" x14ac:dyDescent="0.35"/>
    <row r="76264" hidden="1" x14ac:dyDescent="0.35"/>
    <row r="76265" hidden="1" x14ac:dyDescent="0.35"/>
    <row r="76266" hidden="1" x14ac:dyDescent="0.35"/>
    <row r="76267" hidden="1" x14ac:dyDescent="0.35"/>
    <row r="76268" hidden="1" x14ac:dyDescent="0.35"/>
    <row r="76269" hidden="1" x14ac:dyDescent="0.35"/>
    <row r="76270" hidden="1" x14ac:dyDescent="0.35"/>
    <row r="76271" hidden="1" x14ac:dyDescent="0.35"/>
    <row r="76272" hidden="1" x14ac:dyDescent="0.35"/>
    <row r="76273" hidden="1" x14ac:dyDescent="0.35"/>
    <row r="76274" hidden="1" x14ac:dyDescent="0.35"/>
    <row r="76275" hidden="1" x14ac:dyDescent="0.35"/>
    <row r="76276" hidden="1" x14ac:dyDescent="0.35"/>
    <row r="76277" hidden="1" x14ac:dyDescent="0.35"/>
    <row r="76278" hidden="1" x14ac:dyDescent="0.35"/>
    <row r="76279" hidden="1" x14ac:dyDescent="0.35"/>
    <row r="76280" hidden="1" x14ac:dyDescent="0.35"/>
    <row r="76281" hidden="1" x14ac:dyDescent="0.35"/>
    <row r="76282" hidden="1" x14ac:dyDescent="0.35"/>
    <row r="76283" hidden="1" x14ac:dyDescent="0.35"/>
    <row r="76284" hidden="1" x14ac:dyDescent="0.35"/>
    <row r="76285" hidden="1" x14ac:dyDescent="0.35"/>
    <row r="76286" hidden="1" x14ac:dyDescent="0.35"/>
    <row r="76287" hidden="1" x14ac:dyDescent="0.35"/>
    <row r="76288" hidden="1" x14ac:dyDescent="0.35"/>
    <row r="76289" hidden="1" x14ac:dyDescent="0.35"/>
    <row r="76290" hidden="1" x14ac:dyDescent="0.35"/>
    <row r="76291" hidden="1" x14ac:dyDescent="0.35"/>
    <row r="76292" hidden="1" x14ac:dyDescent="0.35"/>
    <row r="76293" hidden="1" x14ac:dyDescent="0.35"/>
    <row r="76294" hidden="1" x14ac:dyDescent="0.35"/>
    <row r="76295" hidden="1" x14ac:dyDescent="0.35"/>
    <row r="76296" hidden="1" x14ac:dyDescent="0.35"/>
    <row r="76297" hidden="1" x14ac:dyDescent="0.35"/>
    <row r="76298" hidden="1" x14ac:dyDescent="0.35"/>
    <row r="76299" hidden="1" x14ac:dyDescent="0.35"/>
    <row r="76300" hidden="1" x14ac:dyDescent="0.35"/>
    <row r="76301" hidden="1" x14ac:dyDescent="0.35"/>
    <row r="76302" hidden="1" x14ac:dyDescent="0.35"/>
    <row r="76303" hidden="1" x14ac:dyDescent="0.35"/>
    <row r="76304" hidden="1" x14ac:dyDescent="0.35"/>
    <row r="76305" hidden="1" x14ac:dyDescent="0.35"/>
    <row r="76306" hidden="1" x14ac:dyDescent="0.35"/>
    <row r="76307" hidden="1" x14ac:dyDescent="0.35"/>
    <row r="76308" hidden="1" x14ac:dyDescent="0.35"/>
    <row r="76309" hidden="1" x14ac:dyDescent="0.35"/>
    <row r="76310" hidden="1" x14ac:dyDescent="0.35"/>
    <row r="76311" hidden="1" x14ac:dyDescent="0.35"/>
    <row r="76312" hidden="1" x14ac:dyDescent="0.35"/>
    <row r="76313" hidden="1" x14ac:dyDescent="0.35"/>
    <row r="76314" hidden="1" x14ac:dyDescent="0.35"/>
    <row r="76315" hidden="1" x14ac:dyDescent="0.35"/>
    <row r="76316" hidden="1" x14ac:dyDescent="0.35"/>
    <row r="76317" hidden="1" x14ac:dyDescent="0.35"/>
    <row r="76318" hidden="1" x14ac:dyDescent="0.35"/>
    <row r="76319" hidden="1" x14ac:dyDescent="0.35"/>
    <row r="76320" hidden="1" x14ac:dyDescent="0.35"/>
    <row r="76321" hidden="1" x14ac:dyDescent="0.35"/>
    <row r="76322" hidden="1" x14ac:dyDescent="0.35"/>
    <row r="76323" hidden="1" x14ac:dyDescent="0.35"/>
    <row r="76324" hidden="1" x14ac:dyDescent="0.35"/>
    <row r="76325" hidden="1" x14ac:dyDescent="0.35"/>
    <row r="76326" hidden="1" x14ac:dyDescent="0.35"/>
    <row r="76327" hidden="1" x14ac:dyDescent="0.35"/>
    <row r="76328" hidden="1" x14ac:dyDescent="0.35"/>
    <row r="76329" hidden="1" x14ac:dyDescent="0.35"/>
    <row r="76330" hidden="1" x14ac:dyDescent="0.35"/>
    <row r="76331" hidden="1" x14ac:dyDescent="0.35"/>
    <row r="76332" hidden="1" x14ac:dyDescent="0.35"/>
    <row r="76333" hidden="1" x14ac:dyDescent="0.35"/>
    <row r="76334" hidden="1" x14ac:dyDescent="0.35"/>
    <row r="76335" hidden="1" x14ac:dyDescent="0.35"/>
    <row r="76336" hidden="1" x14ac:dyDescent="0.35"/>
    <row r="76337" hidden="1" x14ac:dyDescent="0.35"/>
    <row r="76338" hidden="1" x14ac:dyDescent="0.35"/>
    <row r="76339" hidden="1" x14ac:dyDescent="0.35"/>
    <row r="76340" hidden="1" x14ac:dyDescent="0.35"/>
    <row r="76341" hidden="1" x14ac:dyDescent="0.35"/>
    <row r="76342" hidden="1" x14ac:dyDescent="0.35"/>
    <row r="76343" hidden="1" x14ac:dyDescent="0.35"/>
    <row r="76344" hidden="1" x14ac:dyDescent="0.35"/>
    <row r="76345" hidden="1" x14ac:dyDescent="0.35"/>
    <row r="76346" hidden="1" x14ac:dyDescent="0.35"/>
    <row r="76347" hidden="1" x14ac:dyDescent="0.35"/>
    <row r="76348" hidden="1" x14ac:dyDescent="0.35"/>
    <row r="76349" hidden="1" x14ac:dyDescent="0.35"/>
    <row r="76350" hidden="1" x14ac:dyDescent="0.35"/>
    <row r="76351" hidden="1" x14ac:dyDescent="0.35"/>
    <row r="76352" hidden="1" x14ac:dyDescent="0.35"/>
    <row r="76353" hidden="1" x14ac:dyDescent="0.35"/>
    <row r="76354" hidden="1" x14ac:dyDescent="0.35"/>
    <row r="76355" hidden="1" x14ac:dyDescent="0.35"/>
    <row r="76356" hidden="1" x14ac:dyDescent="0.35"/>
    <row r="76357" hidden="1" x14ac:dyDescent="0.35"/>
    <row r="76358" hidden="1" x14ac:dyDescent="0.35"/>
    <row r="76359" hidden="1" x14ac:dyDescent="0.35"/>
    <row r="76360" hidden="1" x14ac:dyDescent="0.35"/>
    <row r="76361" hidden="1" x14ac:dyDescent="0.35"/>
    <row r="76362" hidden="1" x14ac:dyDescent="0.35"/>
    <row r="76363" hidden="1" x14ac:dyDescent="0.35"/>
    <row r="76364" hidden="1" x14ac:dyDescent="0.35"/>
    <row r="76365" hidden="1" x14ac:dyDescent="0.35"/>
    <row r="76366" hidden="1" x14ac:dyDescent="0.35"/>
    <row r="76367" hidden="1" x14ac:dyDescent="0.35"/>
    <row r="76368" hidden="1" x14ac:dyDescent="0.35"/>
    <row r="76369" hidden="1" x14ac:dyDescent="0.35"/>
    <row r="76370" hidden="1" x14ac:dyDescent="0.35"/>
    <row r="76371" hidden="1" x14ac:dyDescent="0.35"/>
    <row r="76372" hidden="1" x14ac:dyDescent="0.35"/>
    <row r="76373" hidden="1" x14ac:dyDescent="0.35"/>
    <row r="76374" hidden="1" x14ac:dyDescent="0.35"/>
    <row r="76375" hidden="1" x14ac:dyDescent="0.35"/>
    <row r="76376" hidden="1" x14ac:dyDescent="0.35"/>
    <row r="76377" hidden="1" x14ac:dyDescent="0.35"/>
    <row r="76378" hidden="1" x14ac:dyDescent="0.35"/>
    <row r="76379" hidden="1" x14ac:dyDescent="0.35"/>
    <row r="76380" hidden="1" x14ac:dyDescent="0.35"/>
    <row r="76381" hidden="1" x14ac:dyDescent="0.35"/>
    <row r="76382" hidden="1" x14ac:dyDescent="0.35"/>
    <row r="76383" hidden="1" x14ac:dyDescent="0.35"/>
    <row r="76384" hidden="1" x14ac:dyDescent="0.35"/>
    <row r="76385" hidden="1" x14ac:dyDescent="0.35"/>
    <row r="76386" hidden="1" x14ac:dyDescent="0.35"/>
    <row r="76387" hidden="1" x14ac:dyDescent="0.35"/>
    <row r="76388" hidden="1" x14ac:dyDescent="0.35"/>
    <row r="76389" hidden="1" x14ac:dyDescent="0.35"/>
    <row r="76390" hidden="1" x14ac:dyDescent="0.35"/>
    <row r="76391" hidden="1" x14ac:dyDescent="0.35"/>
    <row r="76392" hidden="1" x14ac:dyDescent="0.35"/>
    <row r="76393" hidden="1" x14ac:dyDescent="0.35"/>
    <row r="76394" hidden="1" x14ac:dyDescent="0.35"/>
    <row r="76395" hidden="1" x14ac:dyDescent="0.35"/>
    <row r="76396" hidden="1" x14ac:dyDescent="0.35"/>
    <row r="76397" hidden="1" x14ac:dyDescent="0.35"/>
    <row r="76398" hidden="1" x14ac:dyDescent="0.35"/>
    <row r="76399" hidden="1" x14ac:dyDescent="0.35"/>
    <row r="76400" hidden="1" x14ac:dyDescent="0.35"/>
    <row r="76401" hidden="1" x14ac:dyDescent="0.35"/>
    <row r="76402" hidden="1" x14ac:dyDescent="0.35"/>
    <row r="76403" hidden="1" x14ac:dyDescent="0.35"/>
    <row r="76404" hidden="1" x14ac:dyDescent="0.35"/>
    <row r="76405" hidden="1" x14ac:dyDescent="0.35"/>
    <row r="76406" hidden="1" x14ac:dyDescent="0.35"/>
    <row r="76407" hidden="1" x14ac:dyDescent="0.35"/>
    <row r="76408" hidden="1" x14ac:dyDescent="0.35"/>
    <row r="76409" hidden="1" x14ac:dyDescent="0.35"/>
    <row r="76410" hidden="1" x14ac:dyDescent="0.35"/>
    <row r="76411" hidden="1" x14ac:dyDescent="0.35"/>
    <row r="76412" hidden="1" x14ac:dyDescent="0.35"/>
    <row r="76413" hidden="1" x14ac:dyDescent="0.35"/>
    <row r="76414" hidden="1" x14ac:dyDescent="0.35"/>
    <row r="76415" hidden="1" x14ac:dyDescent="0.35"/>
    <row r="76416" hidden="1" x14ac:dyDescent="0.35"/>
    <row r="76417" hidden="1" x14ac:dyDescent="0.35"/>
    <row r="76418" hidden="1" x14ac:dyDescent="0.35"/>
    <row r="76419" hidden="1" x14ac:dyDescent="0.35"/>
    <row r="76420" hidden="1" x14ac:dyDescent="0.35"/>
    <row r="76421" hidden="1" x14ac:dyDescent="0.35"/>
    <row r="76422" hidden="1" x14ac:dyDescent="0.35"/>
    <row r="76423" hidden="1" x14ac:dyDescent="0.35"/>
    <row r="76424" hidden="1" x14ac:dyDescent="0.35"/>
    <row r="76425" hidden="1" x14ac:dyDescent="0.35"/>
    <row r="76426" hidden="1" x14ac:dyDescent="0.35"/>
    <row r="76427" hidden="1" x14ac:dyDescent="0.35"/>
    <row r="76428" hidden="1" x14ac:dyDescent="0.35"/>
    <row r="76429" hidden="1" x14ac:dyDescent="0.35"/>
    <row r="76430" hidden="1" x14ac:dyDescent="0.35"/>
    <row r="76431" hidden="1" x14ac:dyDescent="0.35"/>
    <row r="76432" hidden="1" x14ac:dyDescent="0.35"/>
    <row r="76433" hidden="1" x14ac:dyDescent="0.35"/>
    <row r="76434" hidden="1" x14ac:dyDescent="0.35"/>
    <row r="76435" hidden="1" x14ac:dyDescent="0.35"/>
    <row r="76436" hidden="1" x14ac:dyDescent="0.35"/>
    <row r="76437" hidden="1" x14ac:dyDescent="0.35"/>
    <row r="76438" hidden="1" x14ac:dyDescent="0.35"/>
    <row r="76439" hidden="1" x14ac:dyDescent="0.35"/>
    <row r="76440" hidden="1" x14ac:dyDescent="0.35"/>
    <row r="76441" hidden="1" x14ac:dyDescent="0.35"/>
    <row r="76442" hidden="1" x14ac:dyDescent="0.35"/>
    <row r="76443" hidden="1" x14ac:dyDescent="0.35"/>
    <row r="76444" hidden="1" x14ac:dyDescent="0.35"/>
    <row r="76445" hidden="1" x14ac:dyDescent="0.35"/>
    <row r="76446" hidden="1" x14ac:dyDescent="0.35"/>
    <row r="76447" hidden="1" x14ac:dyDescent="0.35"/>
    <row r="76448" hidden="1" x14ac:dyDescent="0.35"/>
    <row r="76449" hidden="1" x14ac:dyDescent="0.35"/>
    <row r="76450" hidden="1" x14ac:dyDescent="0.35"/>
    <row r="76451" hidden="1" x14ac:dyDescent="0.35"/>
    <row r="76452" hidden="1" x14ac:dyDescent="0.35"/>
    <row r="76453" hidden="1" x14ac:dyDescent="0.35"/>
    <row r="76454" hidden="1" x14ac:dyDescent="0.35"/>
    <row r="76455" hidden="1" x14ac:dyDescent="0.35"/>
    <row r="76456" hidden="1" x14ac:dyDescent="0.35"/>
    <row r="76457" hidden="1" x14ac:dyDescent="0.35"/>
    <row r="76458" hidden="1" x14ac:dyDescent="0.35"/>
    <row r="76459" hidden="1" x14ac:dyDescent="0.35"/>
    <row r="76460" hidden="1" x14ac:dyDescent="0.35"/>
    <row r="76461" hidden="1" x14ac:dyDescent="0.35"/>
    <row r="76462" hidden="1" x14ac:dyDescent="0.35"/>
    <row r="76463" hidden="1" x14ac:dyDescent="0.35"/>
    <row r="76464" hidden="1" x14ac:dyDescent="0.35"/>
    <row r="76465" hidden="1" x14ac:dyDescent="0.35"/>
    <row r="76466" hidden="1" x14ac:dyDescent="0.35"/>
    <row r="76467" hidden="1" x14ac:dyDescent="0.35"/>
    <row r="76468" hidden="1" x14ac:dyDescent="0.35"/>
    <row r="76469" hidden="1" x14ac:dyDescent="0.35"/>
    <row r="76470" hidden="1" x14ac:dyDescent="0.35"/>
    <row r="76471" hidden="1" x14ac:dyDescent="0.35"/>
    <row r="76472" hidden="1" x14ac:dyDescent="0.35"/>
    <row r="76473" hidden="1" x14ac:dyDescent="0.35"/>
    <row r="76474" hidden="1" x14ac:dyDescent="0.35"/>
    <row r="76475" hidden="1" x14ac:dyDescent="0.35"/>
    <row r="76476" hidden="1" x14ac:dyDescent="0.35"/>
    <row r="76477" hidden="1" x14ac:dyDescent="0.35"/>
    <row r="76478" hidden="1" x14ac:dyDescent="0.35"/>
    <row r="76479" hidden="1" x14ac:dyDescent="0.35"/>
    <row r="76480" hidden="1" x14ac:dyDescent="0.35"/>
    <row r="76481" hidden="1" x14ac:dyDescent="0.35"/>
    <row r="76482" hidden="1" x14ac:dyDescent="0.35"/>
    <row r="76483" hidden="1" x14ac:dyDescent="0.35"/>
    <row r="76484" hidden="1" x14ac:dyDescent="0.35"/>
    <row r="76485" hidden="1" x14ac:dyDescent="0.35"/>
    <row r="76486" hidden="1" x14ac:dyDescent="0.35"/>
    <row r="76487" hidden="1" x14ac:dyDescent="0.35"/>
    <row r="76488" hidden="1" x14ac:dyDescent="0.35"/>
    <row r="76489" hidden="1" x14ac:dyDescent="0.35"/>
    <row r="76490" hidden="1" x14ac:dyDescent="0.35"/>
    <row r="76491" hidden="1" x14ac:dyDescent="0.35"/>
    <row r="76492" hidden="1" x14ac:dyDescent="0.35"/>
    <row r="76493" hidden="1" x14ac:dyDescent="0.35"/>
    <row r="76494" hidden="1" x14ac:dyDescent="0.35"/>
    <row r="76495" hidden="1" x14ac:dyDescent="0.35"/>
    <row r="76496" hidden="1" x14ac:dyDescent="0.35"/>
    <row r="76497" hidden="1" x14ac:dyDescent="0.35"/>
    <row r="76498" hidden="1" x14ac:dyDescent="0.35"/>
    <row r="76499" hidden="1" x14ac:dyDescent="0.35"/>
    <row r="76500" hidden="1" x14ac:dyDescent="0.35"/>
    <row r="76501" hidden="1" x14ac:dyDescent="0.35"/>
    <row r="76502" hidden="1" x14ac:dyDescent="0.35"/>
    <row r="76503" hidden="1" x14ac:dyDescent="0.35"/>
    <row r="76504" hidden="1" x14ac:dyDescent="0.35"/>
    <row r="76505" hidden="1" x14ac:dyDescent="0.35"/>
    <row r="76506" hidden="1" x14ac:dyDescent="0.35"/>
    <row r="76507" hidden="1" x14ac:dyDescent="0.35"/>
    <row r="76508" hidden="1" x14ac:dyDescent="0.35"/>
    <row r="76509" hidden="1" x14ac:dyDescent="0.35"/>
    <row r="76510" hidden="1" x14ac:dyDescent="0.35"/>
    <row r="76511" hidden="1" x14ac:dyDescent="0.35"/>
    <row r="76512" hidden="1" x14ac:dyDescent="0.35"/>
    <row r="76513" hidden="1" x14ac:dyDescent="0.35"/>
    <row r="76514" hidden="1" x14ac:dyDescent="0.35"/>
    <row r="76515" hidden="1" x14ac:dyDescent="0.35"/>
    <row r="76516" hidden="1" x14ac:dyDescent="0.35"/>
    <row r="76517" hidden="1" x14ac:dyDescent="0.35"/>
    <row r="76518" hidden="1" x14ac:dyDescent="0.35"/>
    <row r="76519" hidden="1" x14ac:dyDescent="0.35"/>
    <row r="76520" hidden="1" x14ac:dyDescent="0.35"/>
    <row r="76521" hidden="1" x14ac:dyDescent="0.35"/>
    <row r="76522" hidden="1" x14ac:dyDescent="0.35"/>
    <row r="76523" hidden="1" x14ac:dyDescent="0.35"/>
    <row r="76524" hidden="1" x14ac:dyDescent="0.35"/>
    <row r="76525" hidden="1" x14ac:dyDescent="0.35"/>
    <row r="76526" hidden="1" x14ac:dyDescent="0.35"/>
    <row r="76527" hidden="1" x14ac:dyDescent="0.35"/>
    <row r="76528" hidden="1" x14ac:dyDescent="0.35"/>
    <row r="76529" hidden="1" x14ac:dyDescent="0.35"/>
    <row r="76530" hidden="1" x14ac:dyDescent="0.35"/>
    <row r="76531" hidden="1" x14ac:dyDescent="0.35"/>
    <row r="76532" hidden="1" x14ac:dyDescent="0.35"/>
    <row r="76533" hidden="1" x14ac:dyDescent="0.35"/>
    <row r="76534" hidden="1" x14ac:dyDescent="0.35"/>
    <row r="76535" hidden="1" x14ac:dyDescent="0.35"/>
    <row r="76536" hidden="1" x14ac:dyDescent="0.35"/>
    <row r="76537" hidden="1" x14ac:dyDescent="0.35"/>
    <row r="76538" hidden="1" x14ac:dyDescent="0.35"/>
    <row r="76539" hidden="1" x14ac:dyDescent="0.35"/>
    <row r="76540" hidden="1" x14ac:dyDescent="0.35"/>
    <row r="76541" hidden="1" x14ac:dyDescent="0.35"/>
    <row r="76542" hidden="1" x14ac:dyDescent="0.35"/>
    <row r="76543" hidden="1" x14ac:dyDescent="0.35"/>
    <row r="76544" hidden="1" x14ac:dyDescent="0.35"/>
    <row r="76545" hidden="1" x14ac:dyDescent="0.35"/>
    <row r="76546" hidden="1" x14ac:dyDescent="0.35"/>
    <row r="76547" hidden="1" x14ac:dyDescent="0.35"/>
    <row r="76548" hidden="1" x14ac:dyDescent="0.35"/>
    <row r="76549" hidden="1" x14ac:dyDescent="0.35"/>
    <row r="76550" hidden="1" x14ac:dyDescent="0.35"/>
    <row r="76551" hidden="1" x14ac:dyDescent="0.35"/>
    <row r="76552" hidden="1" x14ac:dyDescent="0.35"/>
    <row r="76553" hidden="1" x14ac:dyDescent="0.35"/>
    <row r="76554" hidden="1" x14ac:dyDescent="0.35"/>
    <row r="76555" hidden="1" x14ac:dyDescent="0.35"/>
    <row r="76556" hidden="1" x14ac:dyDescent="0.35"/>
    <row r="76557" hidden="1" x14ac:dyDescent="0.35"/>
    <row r="76558" hidden="1" x14ac:dyDescent="0.35"/>
    <row r="76559" hidden="1" x14ac:dyDescent="0.35"/>
    <row r="76560" hidden="1" x14ac:dyDescent="0.35"/>
    <row r="76561" hidden="1" x14ac:dyDescent="0.35"/>
    <row r="76562" hidden="1" x14ac:dyDescent="0.35"/>
    <row r="76563" hidden="1" x14ac:dyDescent="0.35"/>
    <row r="76564" hidden="1" x14ac:dyDescent="0.35"/>
    <row r="76565" hidden="1" x14ac:dyDescent="0.35"/>
    <row r="76566" hidden="1" x14ac:dyDescent="0.35"/>
    <row r="76567" hidden="1" x14ac:dyDescent="0.35"/>
    <row r="76568" hidden="1" x14ac:dyDescent="0.35"/>
    <row r="76569" hidden="1" x14ac:dyDescent="0.35"/>
    <row r="76570" hidden="1" x14ac:dyDescent="0.35"/>
    <row r="76571" hidden="1" x14ac:dyDescent="0.35"/>
    <row r="76572" hidden="1" x14ac:dyDescent="0.35"/>
    <row r="76573" hidden="1" x14ac:dyDescent="0.35"/>
    <row r="76574" hidden="1" x14ac:dyDescent="0.35"/>
    <row r="76575" hidden="1" x14ac:dyDescent="0.35"/>
    <row r="76576" hidden="1" x14ac:dyDescent="0.35"/>
    <row r="76577" hidden="1" x14ac:dyDescent="0.35"/>
    <row r="76578" hidden="1" x14ac:dyDescent="0.35"/>
    <row r="76579" hidden="1" x14ac:dyDescent="0.35"/>
    <row r="76580" hidden="1" x14ac:dyDescent="0.35"/>
    <row r="76581" hidden="1" x14ac:dyDescent="0.35"/>
    <row r="76582" hidden="1" x14ac:dyDescent="0.35"/>
    <row r="76583" hidden="1" x14ac:dyDescent="0.35"/>
    <row r="76584" hidden="1" x14ac:dyDescent="0.35"/>
    <row r="76585" hidden="1" x14ac:dyDescent="0.35"/>
    <row r="76586" hidden="1" x14ac:dyDescent="0.35"/>
    <row r="76587" hidden="1" x14ac:dyDescent="0.35"/>
    <row r="76588" hidden="1" x14ac:dyDescent="0.35"/>
    <row r="76589" hidden="1" x14ac:dyDescent="0.35"/>
    <row r="76590" hidden="1" x14ac:dyDescent="0.35"/>
    <row r="76591" hidden="1" x14ac:dyDescent="0.35"/>
    <row r="76592" hidden="1" x14ac:dyDescent="0.35"/>
    <row r="76593" hidden="1" x14ac:dyDescent="0.35"/>
    <row r="76594" hidden="1" x14ac:dyDescent="0.35"/>
    <row r="76595" hidden="1" x14ac:dyDescent="0.35"/>
    <row r="76596" hidden="1" x14ac:dyDescent="0.35"/>
    <row r="76597" hidden="1" x14ac:dyDescent="0.35"/>
    <row r="76598" hidden="1" x14ac:dyDescent="0.35"/>
    <row r="76599" hidden="1" x14ac:dyDescent="0.35"/>
    <row r="76600" hidden="1" x14ac:dyDescent="0.35"/>
    <row r="76601" hidden="1" x14ac:dyDescent="0.35"/>
    <row r="76602" hidden="1" x14ac:dyDescent="0.35"/>
    <row r="76603" hidden="1" x14ac:dyDescent="0.35"/>
    <row r="76604" hidden="1" x14ac:dyDescent="0.35"/>
    <row r="76605" hidden="1" x14ac:dyDescent="0.35"/>
    <row r="76606" hidden="1" x14ac:dyDescent="0.35"/>
    <row r="76607" hidden="1" x14ac:dyDescent="0.35"/>
    <row r="76608" hidden="1" x14ac:dyDescent="0.35"/>
    <row r="76609" hidden="1" x14ac:dyDescent="0.35"/>
    <row r="76610" hidden="1" x14ac:dyDescent="0.35"/>
    <row r="76611" hidden="1" x14ac:dyDescent="0.35"/>
    <row r="76612" hidden="1" x14ac:dyDescent="0.35"/>
    <row r="76613" hidden="1" x14ac:dyDescent="0.35"/>
    <row r="76614" hidden="1" x14ac:dyDescent="0.35"/>
    <row r="76615" hidden="1" x14ac:dyDescent="0.35"/>
    <row r="76616" hidden="1" x14ac:dyDescent="0.35"/>
    <row r="76617" hidden="1" x14ac:dyDescent="0.35"/>
    <row r="76618" hidden="1" x14ac:dyDescent="0.35"/>
    <row r="76619" hidden="1" x14ac:dyDescent="0.35"/>
    <row r="76620" hidden="1" x14ac:dyDescent="0.35"/>
    <row r="76621" hidden="1" x14ac:dyDescent="0.35"/>
    <row r="76622" hidden="1" x14ac:dyDescent="0.35"/>
    <row r="76623" hidden="1" x14ac:dyDescent="0.35"/>
    <row r="76624" hidden="1" x14ac:dyDescent="0.35"/>
    <row r="76625" hidden="1" x14ac:dyDescent="0.35"/>
    <row r="76626" hidden="1" x14ac:dyDescent="0.35"/>
    <row r="76627" hidden="1" x14ac:dyDescent="0.35"/>
    <row r="76628" hidden="1" x14ac:dyDescent="0.35"/>
    <row r="76629" hidden="1" x14ac:dyDescent="0.35"/>
    <row r="76630" hidden="1" x14ac:dyDescent="0.35"/>
    <row r="76631" hidden="1" x14ac:dyDescent="0.35"/>
    <row r="76632" hidden="1" x14ac:dyDescent="0.35"/>
    <row r="76633" hidden="1" x14ac:dyDescent="0.35"/>
    <row r="76634" hidden="1" x14ac:dyDescent="0.35"/>
    <row r="76635" hidden="1" x14ac:dyDescent="0.35"/>
    <row r="76636" hidden="1" x14ac:dyDescent="0.35"/>
    <row r="76637" hidden="1" x14ac:dyDescent="0.35"/>
    <row r="76638" hidden="1" x14ac:dyDescent="0.35"/>
    <row r="76639" hidden="1" x14ac:dyDescent="0.35"/>
    <row r="76640" hidden="1" x14ac:dyDescent="0.35"/>
    <row r="76641" hidden="1" x14ac:dyDescent="0.35"/>
    <row r="76642" hidden="1" x14ac:dyDescent="0.35"/>
    <row r="76643" hidden="1" x14ac:dyDescent="0.35"/>
    <row r="76644" hidden="1" x14ac:dyDescent="0.35"/>
    <row r="76645" hidden="1" x14ac:dyDescent="0.35"/>
    <row r="76646" hidden="1" x14ac:dyDescent="0.35"/>
    <row r="76647" hidden="1" x14ac:dyDescent="0.35"/>
    <row r="76648" hidden="1" x14ac:dyDescent="0.35"/>
    <row r="76649" hidden="1" x14ac:dyDescent="0.35"/>
    <row r="76650" hidden="1" x14ac:dyDescent="0.35"/>
    <row r="76651" hidden="1" x14ac:dyDescent="0.35"/>
    <row r="76652" hidden="1" x14ac:dyDescent="0.35"/>
    <row r="76653" hidden="1" x14ac:dyDescent="0.35"/>
    <row r="76654" hidden="1" x14ac:dyDescent="0.35"/>
    <row r="76655" hidden="1" x14ac:dyDescent="0.35"/>
    <row r="76656" hidden="1" x14ac:dyDescent="0.35"/>
    <row r="76657" hidden="1" x14ac:dyDescent="0.35"/>
    <row r="76658" hidden="1" x14ac:dyDescent="0.35"/>
    <row r="76659" hidden="1" x14ac:dyDescent="0.35"/>
    <row r="76660" hidden="1" x14ac:dyDescent="0.35"/>
    <row r="76661" hidden="1" x14ac:dyDescent="0.35"/>
    <row r="76662" hidden="1" x14ac:dyDescent="0.35"/>
    <row r="76663" hidden="1" x14ac:dyDescent="0.35"/>
    <row r="76664" hidden="1" x14ac:dyDescent="0.35"/>
    <row r="76665" hidden="1" x14ac:dyDescent="0.35"/>
    <row r="76666" hidden="1" x14ac:dyDescent="0.35"/>
    <row r="76667" hidden="1" x14ac:dyDescent="0.35"/>
    <row r="76668" hidden="1" x14ac:dyDescent="0.35"/>
    <row r="76669" hidden="1" x14ac:dyDescent="0.35"/>
    <row r="76670" hidden="1" x14ac:dyDescent="0.35"/>
    <row r="76671" hidden="1" x14ac:dyDescent="0.35"/>
    <row r="76672" hidden="1" x14ac:dyDescent="0.35"/>
    <row r="76673" hidden="1" x14ac:dyDescent="0.35"/>
    <row r="76674" hidden="1" x14ac:dyDescent="0.35"/>
    <row r="76675" hidden="1" x14ac:dyDescent="0.35"/>
    <row r="76676" hidden="1" x14ac:dyDescent="0.35"/>
    <row r="76677" hidden="1" x14ac:dyDescent="0.35"/>
    <row r="76678" hidden="1" x14ac:dyDescent="0.35"/>
    <row r="76679" hidden="1" x14ac:dyDescent="0.35"/>
    <row r="76680" hidden="1" x14ac:dyDescent="0.35"/>
    <row r="76681" hidden="1" x14ac:dyDescent="0.35"/>
    <row r="76682" hidden="1" x14ac:dyDescent="0.35"/>
    <row r="76683" hidden="1" x14ac:dyDescent="0.35"/>
    <row r="76684" hidden="1" x14ac:dyDescent="0.35"/>
    <row r="76685" hidden="1" x14ac:dyDescent="0.35"/>
    <row r="76686" hidden="1" x14ac:dyDescent="0.35"/>
    <row r="76687" hidden="1" x14ac:dyDescent="0.35"/>
    <row r="76688" hidden="1" x14ac:dyDescent="0.35"/>
    <row r="76689" hidden="1" x14ac:dyDescent="0.35"/>
    <row r="76690" hidden="1" x14ac:dyDescent="0.35"/>
    <row r="76691" hidden="1" x14ac:dyDescent="0.35"/>
    <row r="76692" hidden="1" x14ac:dyDescent="0.35"/>
    <row r="76693" hidden="1" x14ac:dyDescent="0.35"/>
    <row r="76694" hidden="1" x14ac:dyDescent="0.35"/>
    <row r="76695" hidden="1" x14ac:dyDescent="0.35"/>
    <row r="76696" hidden="1" x14ac:dyDescent="0.35"/>
    <row r="76697" hidden="1" x14ac:dyDescent="0.35"/>
    <row r="76698" hidden="1" x14ac:dyDescent="0.35"/>
    <row r="76699" hidden="1" x14ac:dyDescent="0.35"/>
    <row r="76700" hidden="1" x14ac:dyDescent="0.35"/>
    <row r="76701" hidden="1" x14ac:dyDescent="0.35"/>
    <row r="76702" hidden="1" x14ac:dyDescent="0.35"/>
    <row r="76703" hidden="1" x14ac:dyDescent="0.35"/>
    <row r="76704" hidden="1" x14ac:dyDescent="0.35"/>
    <row r="76705" hidden="1" x14ac:dyDescent="0.35"/>
    <row r="76706" hidden="1" x14ac:dyDescent="0.35"/>
    <row r="76707" hidden="1" x14ac:dyDescent="0.35"/>
    <row r="76708" hidden="1" x14ac:dyDescent="0.35"/>
    <row r="76709" hidden="1" x14ac:dyDescent="0.35"/>
    <row r="76710" hidden="1" x14ac:dyDescent="0.35"/>
    <row r="76711" hidden="1" x14ac:dyDescent="0.35"/>
    <row r="76712" hidden="1" x14ac:dyDescent="0.35"/>
    <row r="76713" hidden="1" x14ac:dyDescent="0.35"/>
    <row r="76714" hidden="1" x14ac:dyDescent="0.35"/>
    <row r="76715" hidden="1" x14ac:dyDescent="0.35"/>
    <row r="76716" hidden="1" x14ac:dyDescent="0.35"/>
    <row r="76717" hidden="1" x14ac:dyDescent="0.35"/>
    <row r="76718" hidden="1" x14ac:dyDescent="0.35"/>
    <row r="76719" hidden="1" x14ac:dyDescent="0.35"/>
    <row r="76720" hidden="1" x14ac:dyDescent="0.35"/>
    <row r="76721" hidden="1" x14ac:dyDescent="0.35"/>
    <row r="76722" hidden="1" x14ac:dyDescent="0.35"/>
    <row r="76723" hidden="1" x14ac:dyDescent="0.35"/>
    <row r="76724" hidden="1" x14ac:dyDescent="0.35"/>
    <row r="76725" hidden="1" x14ac:dyDescent="0.35"/>
    <row r="76726" hidden="1" x14ac:dyDescent="0.35"/>
    <row r="76727" hidden="1" x14ac:dyDescent="0.35"/>
    <row r="76728" hidden="1" x14ac:dyDescent="0.35"/>
    <row r="76729" hidden="1" x14ac:dyDescent="0.35"/>
    <row r="76730" hidden="1" x14ac:dyDescent="0.35"/>
    <row r="76731" hidden="1" x14ac:dyDescent="0.35"/>
    <row r="76732" hidden="1" x14ac:dyDescent="0.35"/>
    <row r="76733" hidden="1" x14ac:dyDescent="0.35"/>
    <row r="76734" hidden="1" x14ac:dyDescent="0.35"/>
    <row r="76735" hidden="1" x14ac:dyDescent="0.35"/>
    <row r="76736" hidden="1" x14ac:dyDescent="0.35"/>
    <row r="76737" hidden="1" x14ac:dyDescent="0.35"/>
    <row r="76738" hidden="1" x14ac:dyDescent="0.35"/>
    <row r="76739" hidden="1" x14ac:dyDescent="0.35"/>
    <row r="76740" hidden="1" x14ac:dyDescent="0.35"/>
    <row r="76741" hidden="1" x14ac:dyDescent="0.35"/>
    <row r="76742" hidden="1" x14ac:dyDescent="0.35"/>
    <row r="76743" hidden="1" x14ac:dyDescent="0.35"/>
    <row r="76744" hidden="1" x14ac:dyDescent="0.35"/>
    <row r="76745" hidden="1" x14ac:dyDescent="0.35"/>
    <row r="76746" hidden="1" x14ac:dyDescent="0.35"/>
    <row r="76747" hidden="1" x14ac:dyDescent="0.35"/>
    <row r="76748" hidden="1" x14ac:dyDescent="0.35"/>
    <row r="76749" hidden="1" x14ac:dyDescent="0.35"/>
    <row r="76750" hidden="1" x14ac:dyDescent="0.35"/>
    <row r="76751" hidden="1" x14ac:dyDescent="0.35"/>
    <row r="76752" hidden="1" x14ac:dyDescent="0.35"/>
    <row r="76753" hidden="1" x14ac:dyDescent="0.35"/>
    <row r="76754" hidden="1" x14ac:dyDescent="0.35"/>
    <row r="76755" hidden="1" x14ac:dyDescent="0.35"/>
    <row r="76756" hidden="1" x14ac:dyDescent="0.35"/>
    <row r="76757" hidden="1" x14ac:dyDescent="0.35"/>
    <row r="76758" hidden="1" x14ac:dyDescent="0.35"/>
    <row r="76759" hidden="1" x14ac:dyDescent="0.35"/>
    <row r="76760" hidden="1" x14ac:dyDescent="0.35"/>
    <row r="76761" hidden="1" x14ac:dyDescent="0.35"/>
    <row r="76762" hidden="1" x14ac:dyDescent="0.35"/>
    <row r="76763" hidden="1" x14ac:dyDescent="0.35"/>
    <row r="76764" hidden="1" x14ac:dyDescent="0.35"/>
    <row r="76765" hidden="1" x14ac:dyDescent="0.35"/>
    <row r="76766" hidden="1" x14ac:dyDescent="0.35"/>
    <row r="76767" hidden="1" x14ac:dyDescent="0.35"/>
    <row r="76768" hidden="1" x14ac:dyDescent="0.35"/>
    <row r="76769" hidden="1" x14ac:dyDescent="0.35"/>
    <row r="76770" hidden="1" x14ac:dyDescent="0.35"/>
    <row r="76771" hidden="1" x14ac:dyDescent="0.35"/>
    <row r="76772" hidden="1" x14ac:dyDescent="0.35"/>
    <row r="76773" hidden="1" x14ac:dyDescent="0.35"/>
    <row r="76774" hidden="1" x14ac:dyDescent="0.35"/>
    <row r="76775" hidden="1" x14ac:dyDescent="0.35"/>
    <row r="76776" hidden="1" x14ac:dyDescent="0.35"/>
    <row r="76777" hidden="1" x14ac:dyDescent="0.35"/>
    <row r="76778" hidden="1" x14ac:dyDescent="0.35"/>
    <row r="76779" hidden="1" x14ac:dyDescent="0.35"/>
    <row r="76780" hidden="1" x14ac:dyDescent="0.35"/>
    <row r="76781" hidden="1" x14ac:dyDescent="0.35"/>
    <row r="76782" hidden="1" x14ac:dyDescent="0.35"/>
    <row r="76783" hidden="1" x14ac:dyDescent="0.35"/>
    <row r="76784" hidden="1" x14ac:dyDescent="0.35"/>
    <row r="76785" hidden="1" x14ac:dyDescent="0.35"/>
    <row r="76786" hidden="1" x14ac:dyDescent="0.35"/>
    <row r="76787" hidden="1" x14ac:dyDescent="0.35"/>
    <row r="76788" hidden="1" x14ac:dyDescent="0.35"/>
    <row r="76789" hidden="1" x14ac:dyDescent="0.35"/>
    <row r="76790" hidden="1" x14ac:dyDescent="0.35"/>
    <row r="76791" hidden="1" x14ac:dyDescent="0.35"/>
    <row r="76792" hidden="1" x14ac:dyDescent="0.35"/>
    <row r="76793" hidden="1" x14ac:dyDescent="0.35"/>
    <row r="76794" hidden="1" x14ac:dyDescent="0.35"/>
    <row r="76795" hidden="1" x14ac:dyDescent="0.35"/>
    <row r="76796" hidden="1" x14ac:dyDescent="0.35"/>
    <row r="76797" hidden="1" x14ac:dyDescent="0.35"/>
    <row r="76798" hidden="1" x14ac:dyDescent="0.35"/>
    <row r="76799" hidden="1" x14ac:dyDescent="0.35"/>
    <row r="76800" hidden="1" x14ac:dyDescent="0.35"/>
    <row r="76801" hidden="1" x14ac:dyDescent="0.35"/>
    <row r="76802" hidden="1" x14ac:dyDescent="0.35"/>
    <row r="76803" hidden="1" x14ac:dyDescent="0.35"/>
    <row r="76804" hidden="1" x14ac:dyDescent="0.35"/>
    <row r="76805" hidden="1" x14ac:dyDescent="0.35"/>
    <row r="76806" hidden="1" x14ac:dyDescent="0.35"/>
    <row r="76807" hidden="1" x14ac:dyDescent="0.35"/>
    <row r="76808" hidden="1" x14ac:dyDescent="0.35"/>
    <row r="76809" hidden="1" x14ac:dyDescent="0.35"/>
    <row r="76810" hidden="1" x14ac:dyDescent="0.35"/>
    <row r="76811" hidden="1" x14ac:dyDescent="0.35"/>
    <row r="76812" hidden="1" x14ac:dyDescent="0.35"/>
    <row r="76813" hidden="1" x14ac:dyDescent="0.35"/>
    <row r="76814" hidden="1" x14ac:dyDescent="0.35"/>
    <row r="76815" hidden="1" x14ac:dyDescent="0.35"/>
    <row r="76816" hidden="1" x14ac:dyDescent="0.35"/>
    <row r="76817" hidden="1" x14ac:dyDescent="0.35"/>
    <row r="76818" hidden="1" x14ac:dyDescent="0.35"/>
    <row r="76819" hidden="1" x14ac:dyDescent="0.35"/>
    <row r="76820" hidden="1" x14ac:dyDescent="0.35"/>
    <row r="76821" hidden="1" x14ac:dyDescent="0.35"/>
    <row r="76822" hidden="1" x14ac:dyDescent="0.35"/>
    <row r="76823" hidden="1" x14ac:dyDescent="0.35"/>
    <row r="76824" hidden="1" x14ac:dyDescent="0.35"/>
    <row r="76825" hidden="1" x14ac:dyDescent="0.35"/>
    <row r="76826" hidden="1" x14ac:dyDescent="0.35"/>
    <row r="76827" hidden="1" x14ac:dyDescent="0.35"/>
    <row r="76828" hidden="1" x14ac:dyDescent="0.35"/>
    <row r="76829" hidden="1" x14ac:dyDescent="0.35"/>
    <row r="76830" hidden="1" x14ac:dyDescent="0.35"/>
    <row r="76831" hidden="1" x14ac:dyDescent="0.35"/>
    <row r="76832" hidden="1" x14ac:dyDescent="0.35"/>
    <row r="76833" hidden="1" x14ac:dyDescent="0.35"/>
    <row r="76834" hidden="1" x14ac:dyDescent="0.35"/>
    <row r="76835" hidden="1" x14ac:dyDescent="0.35"/>
    <row r="76836" hidden="1" x14ac:dyDescent="0.35"/>
    <row r="76837" hidden="1" x14ac:dyDescent="0.35"/>
    <row r="76838" hidden="1" x14ac:dyDescent="0.35"/>
    <row r="76839" hidden="1" x14ac:dyDescent="0.35"/>
    <row r="76840" hidden="1" x14ac:dyDescent="0.35"/>
    <row r="76841" hidden="1" x14ac:dyDescent="0.35"/>
    <row r="76842" hidden="1" x14ac:dyDescent="0.35"/>
    <row r="76843" hidden="1" x14ac:dyDescent="0.35"/>
    <row r="76844" hidden="1" x14ac:dyDescent="0.35"/>
    <row r="76845" hidden="1" x14ac:dyDescent="0.35"/>
    <row r="76846" hidden="1" x14ac:dyDescent="0.35"/>
    <row r="76847" hidden="1" x14ac:dyDescent="0.35"/>
    <row r="76848" hidden="1" x14ac:dyDescent="0.35"/>
    <row r="76849" hidden="1" x14ac:dyDescent="0.35"/>
    <row r="76850" hidden="1" x14ac:dyDescent="0.35"/>
    <row r="76851" hidden="1" x14ac:dyDescent="0.35"/>
    <row r="76852" hidden="1" x14ac:dyDescent="0.35"/>
    <row r="76853" hidden="1" x14ac:dyDescent="0.35"/>
    <row r="76854" hidden="1" x14ac:dyDescent="0.35"/>
    <row r="76855" hidden="1" x14ac:dyDescent="0.35"/>
    <row r="76856" hidden="1" x14ac:dyDescent="0.35"/>
    <row r="76857" hidden="1" x14ac:dyDescent="0.35"/>
    <row r="76858" hidden="1" x14ac:dyDescent="0.35"/>
    <row r="76859" hidden="1" x14ac:dyDescent="0.35"/>
    <row r="76860" hidden="1" x14ac:dyDescent="0.35"/>
    <row r="76861" hidden="1" x14ac:dyDescent="0.35"/>
    <row r="76862" hidden="1" x14ac:dyDescent="0.35"/>
    <row r="76863" hidden="1" x14ac:dyDescent="0.35"/>
    <row r="76864" hidden="1" x14ac:dyDescent="0.35"/>
    <row r="76865" hidden="1" x14ac:dyDescent="0.35"/>
    <row r="76866" hidden="1" x14ac:dyDescent="0.35"/>
    <row r="76867" hidden="1" x14ac:dyDescent="0.35"/>
    <row r="76868" hidden="1" x14ac:dyDescent="0.35"/>
    <row r="76869" hidden="1" x14ac:dyDescent="0.35"/>
    <row r="76870" hidden="1" x14ac:dyDescent="0.35"/>
    <row r="76871" hidden="1" x14ac:dyDescent="0.35"/>
    <row r="76872" hidden="1" x14ac:dyDescent="0.35"/>
    <row r="76873" hidden="1" x14ac:dyDescent="0.35"/>
    <row r="76874" hidden="1" x14ac:dyDescent="0.35"/>
    <row r="76875" hidden="1" x14ac:dyDescent="0.35"/>
    <row r="76876" hidden="1" x14ac:dyDescent="0.35"/>
    <row r="76877" hidden="1" x14ac:dyDescent="0.35"/>
    <row r="76878" hidden="1" x14ac:dyDescent="0.35"/>
    <row r="76879" hidden="1" x14ac:dyDescent="0.35"/>
    <row r="76880" hidden="1" x14ac:dyDescent="0.35"/>
    <row r="76881" hidden="1" x14ac:dyDescent="0.35"/>
    <row r="76882" hidden="1" x14ac:dyDescent="0.35"/>
    <row r="76883" hidden="1" x14ac:dyDescent="0.35"/>
    <row r="76884" hidden="1" x14ac:dyDescent="0.35"/>
    <row r="76885" hidden="1" x14ac:dyDescent="0.35"/>
    <row r="76886" hidden="1" x14ac:dyDescent="0.35"/>
    <row r="76887" hidden="1" x14ac:dyDescent="0.35"/>
    <row r="76888" hidden="1" x14ac:dyDescent="0.35"/>
    <row r="76889" hidden="1" x14ac:dyDescent="0.35"/>
    <row r="76890" hidden="1" x14ac:dyDescent="0.35"/>
    <row r="76891" hidden="1" x14ac:dyDescent="0.35"/>
    <row r="76892" hidden="1" x14ac:dyDescent="0.35"/>
    <row r="76893" hidden="1" x14ac:dyDescent="0.35"/>
    <row r="76894" hidden="1" x14ac:dyDescent="0.35"/>
    <row r="76895" hidden="1" x14ac:dyDescent="0.35"/>
    <row r="76896" hidden="1" x14ac:dyDescent="0.35"/>
    <row r="76897" hidden="1" x14ac:dyDescent="0.35"/>
    <row r="76898" hidden="1" x14ac:dyDescent="0.35"/>
    <row r="76899" hidden="1" x14ac:dyDescent="0.35"/>
    <row r="76900" hidden="1" x14ac:dyDescent="0.35"/>
    <row r="76901" hidden="1" x14ac:dyDescent="0.35"/>
    <row r="76902" hidden="1" x14ac:dyDescent="0.35"/>
    <row r="76903" hidden="1" x14ac:dyDescent="0.35"/>
    <row r="76904" hidden="1" x14ac:dyDescent="0.35"/>
    <row r="76905" hidden="1" x14ac:dyDescent="0.35"/>
    <row r="76906" hidden="1" x14ac:dyDescent="0.35"/>
    <row r="76907" hidden="1" x14ac:dyDescent="0.35"/>
    <row r="76908" hidden="1" x14ac:dyDescent="0.35"/>
    <row r="76909" hidden="1" x14ac:dyDescent="0.35"/>
    <row r="76910" hidden="1" x14ac:dyDescent="0.35"/>
    <row r="76911" hidden="1" x14ac:dyDescent="0.35"/>
    <row r="76912" hidden="1" x14ac:dyDescent="0.35"/>
    <row r="76913" hidden="1" x14ac:dyDescent="0.35"/>
    <row r="76914" hidden="1" x14ac:dyDescent="0.35"/>
    <row r="76915" hidden="1" x14ac:dyDescent="0.35"/>
    <row r="76916" hidden="1" x14ac:dyDescent="0.35"/>
    <row r="76917" hidden="1" x14ac:dyDescent="0.35"/>
    <row r="76918" hidden="1" x14ac:dyDescent="0.35"/>
    <row r="76919" hidden="1" x14ac:dyDescent="0.35"/>
    <row r="76920" hidden="1" x14ac:dyDescent="0.35"/>
    <row r="76921" hidden="1" x14ac:dyDescent="0.35"/>
    <row r="76922" hidden="1" x14ac:dyDescent="0.35"/>
    <row r="76923" hidden="1" x14ac:dyDescent="0.35"/>
    <row r="76924" hidden="1" x14ac:dyDescent="0.35"/>
    <row r="76925" hidden="1" x14ac:dyDescent="0.35"/>
    <row r="76926" hidden="1" x14ac:dyDescent="0.35"/>
    <row r="76927" hidden="1" x14ac:dyDescent="0.35"/>
    <row r="76928" hidden="1" x14ac:dyDescent="0.35"/>
    <row r="76929" hidden="1" x14ac:dyDescent="0.35"/>
    <row r="76930" hidden="1" x14ac:dyDescent="0.35"/>
    <row r="76931" hidden="1" x14ac:dyDescent="0.35"/>
    <row r="76932" hidden="1" x14ac:dyDescent="0.35"/>
    <row r="76933" hidden="1" x14ac:dyDescent="0.35"/>
    <row r="76934" hidden="1" x14ac:dyDescent="0.35"/>
    <row r="76935" hidden="1" x14ac:dyDescent="0.35"/>
    <row r="76936" hidden="1" x14ac:dyDescent="0.35"/>
    <row r="76937" hidden="1" x14ac:dyDescent="0.35"/>
    <row r="76938" hidden="1" x14ac:dyDescent="0.35"/>
    <row r="76939" hidden="1" x14ac:dyDescent="0.35"/>
    <row r="76940" hidden="1" x14ac:dyDescent="0.35"/>
    <row r="76941" hidden="1" x14ac:dyDescent="0.35"/>
    <row r="76942" hidden="1" x14ac:dyDescent="0.35"/>
    <row r="76943" hidden="1" x14ac:dyDescent="0.35"/>
    <row r="76944" hidden="1" x14ac:dyDescent="0.35"/>
    <row r="76945" hidden="1" x14ac:dyDescent="0.35"/>
    <row r="76946" hidden="1" x14ac:dyDescent="0.35"/>
    <row r="76947" hidden="1" x14ac:dyDescent="0.35"/>
    <row r="76948" hidden="1" x14ac:dyDescent="0.35"/>
    <row r="76949" hidden="1" x14ac:dyDescent="0.35"/>
    <row r="76950" hidden="1" x14ac:dyDescent="0.35"/>
    <row r="76951" hidden="1" x14ac:dyDescent="0.35"/>
    <row r="76952" hidden="1" x14ac:dyDescent="0.35"/>
    <row r="76953" hidden="1" x14ac:dyDescent="0.35"/>
    <row r="76954" hidden="1" x14ac:dyDescent="0.35"/>
    <row r="76955" hidden="1" x14ac:dyDescent="0.35"/>
    <row r="76956" hidden="1" x14ac:dyDescent="0.35"/>
    <row r="76957" hidden="1" x14ac:dyDescent="0.35"/>
    <row r="76958" hidden="1" x14ac:dyDescent="0.35"/>
    <row r="76959" hidden="1" x14ac:dyDescent="0.35"/>
    <row r="76960" hidden="1" x14ac:dyDescent="0.35"/>
    <row r="76961" hidden="1" x14ac:dyDescent="0.35"/>
    <row r="76962" hidden="1" x14ac:dyDescent="0.35"/>
    <row r="76963" hidden="1" x14ac:dyDescent="0.35"/>
    <row r="76964" hidden="1" x14ac:dyDescent="0.35"/>
    <row r="76965" hidden="1" x14ac:dyDescent="0.35"/>
    <row r="76966" hidden="1" x14ac:dyDescent="0.35"/>
    <row r="76967" hidden="1" x14ac:dyDescent="0.35"/>
    <row r="76968" hidden="1" x14ac:dyDescent="0.35"/>
    <row r="76969" hidden="1" x14ac:dyDescent="0.35"/>
    <row r="76970" hidden="1" x14ac:dyDescent="0.35"/>
    <row r="76971" hidden="1" x14ac:dyDescent="0.35"/>
    <row r="76972" hidden="1" x14ac:dyDescent="0.35"/>
    <row r="76973" hidden="1" x14ac:dyDescent="0.35"/>
    <row r="76974" hidden="1" x14ac:dyDescent="0.35"/>
    <row r="76975" hidden="1" x14ac:dyDescent="0.35"/>
    <row r="76976" hidden="1" x14ac:dyDescent="0.35"/>
    <row r="76977" hidden="1" x14ac:dyDescent="0.35"/>
    <row r="76978" hidden="1" x14ac:dyDescent="0.35"/>
    <row r="76979" hidden="1" x14ac:dyDescent="0.35"/>
    <row r="76980" hidden="1" x14ac:dyDescent="0.35"/>
    <row r="76981" hidden="1" x14ac:dyDescent="0.35"/>
    <row r="76982" hidden="1" x14ac:dyDescent="0.35"/>
    <row r="76983" hidden="1" x14ac:dyDescent="0.35"/>
    <row r="76984" hidden="1" x14ac:dyDescent="0.35"/>
    <row r="76985" hidden="1" x14ac:dyDescent="0.35"/>
    <row r="76986" hidden="1" x14ac:dyDescent="0.35"/>
    <row r="76987" hidden="1" x14ac:dyDescent="0.35"/>
    <row r="76988" hidden="1" x14ac:dyDescent="0.35"/>
    <row r="76989" hidden="1" x14ac:dyDescent="0.35"/>
    <row r="76990" hidden="1" x14ac:dyDescent="0.35"/>
    <row r="76991" hidden="1" x14ac:dyDescent="0.35"/>
    <row r="76992" hidden="1" x14ac:dyDescent="0.35"/>
    <row r="76993" hidden="1" x14ac:dyDescent="0.35"/>
    <row r="76994" hidden="1" x14ac:dyDescent="0.35"/>
    <row r="76995" hidden="1" x14ac:dyDescent="0.35"/>
    <row r="76996" hidden="1" x14ac:dyDescent="0.35"/>
    <row r="76997" hidden="1" x14ac:dyDescent="0.35"/>
    <row r="76998" hidden="1" x14ac:dyDescent="0.35"/>
    <row r="76999" hidden="1" x14ac:dyDescent="0.35"/>
    <row r="77000" hidden="1" x14ac:dyDescent="0.35"/>
    <row r="77001" hidden="1" x14ac:dyDescent="0.35"/>
    <row r="77002" hidden="1" x14ac:dyDescent="0.35"/>
    <row r="77003" hidden="1" x14ac:dyDescent="0.35"/>
    <row r="77004" hidden="1" x14ac:dyDescent="0.35"/>
    <row r="77005" hidden="1" x14ac:dyDescent="0.35"/>
    <row r="77006" hidden="1" x14ac:dyDescent="0.35"/>
    <row r="77007" hidden="1" x14ac:dyDescent="0.35"/>
    <row r="77008" hidden="1" x14ac:dyDescent="0.35"/>
    <row r="77009" hidden="1" x14ac:dyDescent="0.35"/>
    <row r="77010" hidden="1" x14ac:dyDescent="0.35"/>
    <row r="77011" hidden="1" x14ac:dyDescent="0.35"/>
    <row r="77012" hidden="1" x14ac:dyDescent="0.35"/>
    <row r="77013" hidden="1" x14ac:dyDescent="0.35"/>
    <row r="77014" hidden="1" x14ac:dyDescent="0.35"/>
    <row r="77015" hidden="1" x14ac:dyDescent="0.35"/>
    <row r="77016" hidden="1" x14ac:dyDescent="0.35"/>
    <row r="77017" hidden="1" x14ac:dyDescent="0.35"/>
    <row r="77018" hidden="1" x14ac:dyDescent="0.35"/>
    <row r="77019" hidden="1" x14ac:dyDescent="0.35"/>
    <row r="77020" hidden="1" x14ac:dyDescent="0.35"/>
    <row r="77021" hidden="1" x14ac:dyDescent="0.35"/>
    <row r="77022" hidden="1" x14ac:dyDescent="0.35"/>
    <row r="77023" hidden="1" x14ac:dyDescent="0.35"/>
    <row r="77024" hidden="1" x14ac:dyDescent="0.35"/>
    <row r="77025" hidden="1" x14ac:dyDescent="0.35"/>
    <row r="77026" hidden="1" x14ac:dyDescent="0.35"/>
    <row r="77027" hidden="1" x14ac:dyDescent="0.35"/>
    <row r="77028" hidden="1" x14ac:dyDescent="0.35"/>
    <row r="77029" hidden="1" x14ac:dyDescent="0.35"/>
    <row r="77030" hidden="1" x14ac:dyDescent="0.35"/>
    <row r="77031" hidden="1" x14ac:dyDescent="0.35"/>
    <row r="77032" hidden="1" x14ac:dyDescent="0.35"/>
    <row r="77033" hidden="1" x14ac:dyDescent="0.35"/>
    <row r="77034" hidden="1" x14ac:dyDescent="0.35"/>
    <row r="77035" hidden="1" x14ac:dyDescent="0.35"/>
    <row r="77036" hidden="1" x14ac:dyDescent="0.35"/>
    <row r="77037" hidden="1" x14ac:dyDescent="0.35"/>
    <row r="77038" hidden="1" x14ac:dyDescent="0.35"/>
    <row r="77039" hidden="1" x14ac:dyDescent="0.35"/>
    <row r="77040" hidden="1" x14ac:dyDescent="0.35"/>
    <row r="77041" hidden="1" x14ac:dyDescent="0.35"/>
    <row r="77042" hidden="1" x14ac:dyDescent="0.35"/>
    <row r="77043" hidden="1" x14ac:dyDescent="0.35"/>
    <row r="77044" hidden="1" x14ac:dyDescent="0.35"/>
    <row r="77045" hidden="1" x14ac:dyDescent="0.35"/>
    <row r="77046" hidden="1" x14ac:dyDescent="0.35"/>
    <row r="77047" hidden="1" x14ac:dyDescent="0.35"/>
    <row r="77048" hidden="1" x14ac:dyDescent="0.35"/>
    <row r="77049" hidden="1" x14ac:dyDescent="0.35"/>
    <row r="77050" hidden="1" x14ac:dyDescent="0.35"/>
    <row r="77051" hidden="1" x14ac:dyDescent="0.35"/>
    <row r="77052" hidden="1" x14ac:dyDescent="0.35"/>
    <row r="77053" hidden="1" x14ac:dyDescent="0.35"/>
    <row r="77054" hidden="1" x14ac:dyDescent="0.35"/>
    <row r="77055" hidden="1" x14ac:dyDescent="0.35"/>
    <row r="77056" hidden="1" x14ac:dyDescent="0.35"/>
    <row r="77057" hidden="1" x14ac:dyDescent="0.35"/>
    <row r="77058" hidden="1" x14ac:dyDescent="0.35"/>
    <row r="77059" hidden="1" x14ac:dyDescent="0.35"/>
    <row r="77060" hidden="1" x14ac:dyDescent="0.35"/>
    <row r="77061" hidden="1" x14ac:dyDescent="0.35"/>
    <row r="77062" hidden="1" x14ac:dyDescent="0.35"/>
    <row r="77063" hidden="1" x14ac:dyDescent="0.35"/>
    <row r="77064" hidden="1" x14ac:dyDescent="0.35"/>
    <row r="77065" hidden="1" x14ac:dyDescent="0.35"/>
    <row r="77066" hidden="1" x14ac:dyDescent="0.35"/>
    <row r="77067" hidden="1" x14ac:dyDescent="0.35"/>
    <row r="77068" hidden="1" x14ac:dyDescent="0.35"/>
    <row r="77069" hidden="1" x14ac:dyDescent="0.35"/>
    <row r="77070" hidden="1" x14ac:dyDescent="0.35"/>
    <row r="77071" hidden="1" x14ac:dyDescent="0.35"/>
    <row r="77072" hidden="1" x14ac:dyDescent="0.35"/>
    <row r="77073" hidden="1" x14ac:dyDescent="0.35"/>
    <row r="77074" hidden="1" x14ac:dyDescent="0.35"/>
    <row r="77075" hidden="1" x14ac:dyDescent="0.35"/>
    <row r="77076" hidden="1" x14ac:dyDescent="0.35"/>
    <row r="77077" hidden="1" x14ac:dyDescent="0.35"/>
    <row r="77078" hidden="1" x14ac:dyDescent="0.35"/>
    <row r="77079" hidden="1" x14ac:dyDescent="0.35"/>
    <row r="77080" hidden="1" x14ac:dyDescent="0.35"/>
    <row r="77081" hidden="1" x14ac:dyDescent="0.35"/>
    <row r="77082" hidden="1" x14ac:dyDescent="0.35"/>
    <row r="77083" hidden="1" x14ac:dyDescent="0.35"/>
    <row r="77084" hidden="1" x14ac:dyDescent="0.35"/>
    <row r="77085" hidden="1" x14ac:dyDescent="0.35"/>
    <row r="77086" hidden="1" x14ac:dyDescent="0.35"/>
    <row r="77087" hidden="1" x14ac:dyDescent="0.35"/>
    <row r="77088" hidden="1" x14ac:dyDescent="0.35"/>
    <row r="77089" hidden="1" x14ac:dyDescent="0.35"/>
    <row r="77090" hidden="1" x14ac:dyDescent="0.35"/>
    <row r="77091" hidden="1" x14ac:dyDescent="0.35"/>
    <row r="77092" hidden="1" x14ac:dyDescent="0.35"/>
    <row r="77093" hidden="1" x14ac:dyDescent="0.35"/>
    <row r="77094" hidden="1" x14ac:dyDescent="0.35"/>
    <row r="77095" hidden="1" x14ac:dyDescent="0.35"/>
    <row r="77096" hidden="1" x14ac:dyDescent="0.35"/>
    <row r="77097" hidden="1" x14ac:dyDescent="0.35"/>
    <row r="77098" hidden="1" x14ac:dyDescent="0.35"/>
    <row r="77099" hidden="1" x14ac:dyDescent="0.35"/>
    <row r="77100" hidden="1" x14ac:dyDescent="0.35"/>
    <row r="77101" hidden="1" x14ac:dyDescent="0.35"/>
    <row r="77102" hidden="1" x14ac:dyDescent="0.35"/>
    <row r="77103" hidden="1" x14ac:dyDescent="0.35"/>
    <row r="77104" hidden="1" x14ac:dyDescent="0.35"/>
    <row r="77105" hidden="1" x14ac:dyDescent="0.35"/>
    <row r="77106" hidden="1" x14ac:dyDescent="0.35"/>
    <row r="77107" hidden="1" x14ac:dyDescent="0.35"/>
    <row r="77108" hidden="1" x14ac:dyDescent="0.35"/>
    <row r="77109" hidden="1" x14ac:dyDescent="0.35"/>
    <row r="77110" hidden="1" x14ac:dyDescent="0.35"/>
    <row r="77111" hidden="1" x14ac:dyDescent="0.35"/>
    <row r="77112" hidden="1" x14ac:dyDescent="0.35"/>
    <row r="77113" hidden="1" x14ac:dyDescent="0.35"/>
    <row r="77114" hidden="1" x14ac:dyDescent="0.35"/>
    <row r="77115" hidden="1" x14ac:dyDescent="0.35"/>
    <row r="77116" hidden="1" x14ac:dyDescent="0.35"/>
    <row r="77117" hidden="1" x14ac:dyDescent="0.35"/>
    <row r="77118" hidden="1" x14ac:dyDescent="0.35"/>
    <row r="77119" hidden="1" x14ac:dyDescent="0.35"/>
    <row r="77120" hidden="1" x14ac:dyDescent="0.35"/>
    <row r="77121" hidden="1" x14ac:dyDescent="0.35"/>
    <row r="77122" hidden="1" x14ac:dyDescent="0.35"/>
    <row r="77123" hidden="1" x14ac:dyDescent="0.35"/>
    <row r="77124" hidden="1" x14ac:dyDescent="0.35"/>
    <row r="77125" hidden="1" x14ac:dyDescent="0.35"/>
    <row r="77126" hidden="1" x14ac:dyDescent="0.35"/>
    <row r="77127" hidden="1" x14ac:dyDescent="0.35"/>
    <row r="77128" hidden="1" x14ac:dyDescent="0.35"/>
    <row r="77129" hidden="1" x14ac:dyDescent="0.35"/>
    <row r="77130" hidden="1" x14ac:dyDescent="0.35"/>
    <row r="77131" hidden="1" x14ac:dyDescent="0.35"/>
    <row r="77132" hidden="1" x14ac:dyDescent="0.35"/>
    <row r="77133" hidden="1" x14ac:dyDescent="0.35"/>
    <row r="77134" hidden="1" x14ac:dyDescent="0.35"/>
    <row r="77135" hidden="1" x14ac:dyDescent="0.35"/>
    <row r="77136" hidden="1" x14ac:dyDescent="0.35"/>
    <row r="77137" hidden="1" x14ac:dyDescent="0.35"/>
    <row r="77138" hidden="1" x14ac:dyDescent="0.35"/>
    <row r="77139" hidden="1" x14ac:dyDescent="0.35"/>
    <row r="77140" hidden="1" x14ac:dyDescent="0.35"/>
    <row r="77141" hidden="1" x14ac:dyDescent="0.35"/>
    <row r="77142" hidden="1" x14ac:dyDescent="0.35"/>
    <row r="77143" hidden="1" x14ac:dyDescent="0.35"/>
    <row r="77144" hidden="1" x14ac:dyDescent="0.35"/>
    <row r="77145" hidden="1" x14ac:dyDescent="0.35"/>
    <row r="77146" hidden="1" x14ac:dyDescent="0.35"/>
    <row r="77147" hidden="1" x14ac:dyDescent="0.35"/>
    <row r="77148" hidden="1" x14ac:dyDescent="0.35"/>
    <row r="77149" hidden="1" x14ac:dyDescent="0.35"/>
    <row r="77150" hidden="1" x14ac:dyDescent="0.35"/>
    <row r="77151" hidden="1" x14ac:dyDescent="0.35"/>
    <row r="77152" hidden="1" x14ac:dyDescent="0.35"/>
    <row r="77153" hidden="1" x14ac:dyDescent="0.35"/>
    <row r="77154" hidden="1" x14ac:dyDescent="0.35"/>
    <row r="77155" hidden="1" x14ac:dyDescent="0.35"/>
    <row r="77156" hidden="1" x14ac:dyDescent="0.35"/>
    <row r="77157" hidden="1" x14ac:dyDescent="0.35"/>
    <row r="77158" hidden="1" x14ac:dyDescent="0.35"/>
    <row r="77159" hidden="1" x14ac:dyDescent="0.35"/>
    <row r="77160" hidden="1" x14ac:dyDescent="0.35"/>
    <row r="77161" hidden="1" x14ac:dyDescent="0.35"/>
    <row r="77162" hidden="1" x14ac:dyDescent="0.35"/>
    <row r="77163" hidden="1" x14ac:dyDescent="0.35"/>
    <row r="77164" hidden="1" x14ac:dyDescent="0.35"/>
    <row r="77165" hidden="1" x14ac:dyDescent="0.35"/>
    <row r="77166" hidden="1" x14ac:dyDescent="0.35"/>
    <row r="77167" hidden="1" x14ac:dyDescent="0.35"/>
    <row r="77168" hidden="1" x14ac:dyDescent="0.35"/>
    <row r="77169" hidden="1" x14ac:dyDescent="0.35"/>
    <row r="77170" hidden="1" x14ac:dyDescent="0.35"/>
    <row r="77171" hidden="1" x14ac:dyDescent="0.35"/>
    <row r="77172" hidden="1" x14ac:dyDescent="0.35"/>
    <row r="77173" hidden="1" x14ac:dyDescent="0.35"/>
    <row r="77174" hidden="1" x14ac:dyDescent="0.35"/>
    <row r="77175" hidden="1" x14ac:dyDescent="0.35"/>
    <row r="77176" hidden="1" x14ac:dyDescent="0.35"/>
    <row r="77177" hidden="1" x14ac:dyDescent="0.35"/>
    <row r="77178" hidden="1" x14ac:dyDescent="0.35"/>
    <row r="77179" hidden="1" x14ac:dyDescent="0.35"/>
    <row r="77180" hidden="1" x14ac:dyDescent="0.35"/>
    <row r="77181" hidden="1" x14ac:dyDescent="0.35"/>
    <row r="77182" hidden="1" x14ac:dyDescent="0.35"/>
    <row r="77183" hidden="1" x14ac:dyDescent="0.35"/>
    <row r="77184" hidden="1" x14ac:dyDescent="0.35"/>
    <row r="77185" hidden="1" x14ac:dyDescent="0.35"/>
    <row r="77186" hidden="1" x14ac:dyDescent="0.35"/>
    <row r="77187" hidden="1" x14ac:dyDescent="0.35"/>
    <row r="77188" hidden="1" x14ac:dyDescent="0.35"/>
    <row r="77189" hidden="1" x14ac:dyDescent="0.35"/>
    <row r="77190" hidden="1" x14ac:dyDescent="0.35"/>
    <row r="77191" hidden="1" x14ac:dyDescent="0.35"/>
    <row r="77192" hidden="1" x14ac:dyDescent="0.35"/>
    <row r="77193" hidden="1" x14ac:dyDescent="0.35"/>
    <row r="77194" hidden="1" x14ac:dyDescent="0.35"/>
    <row r="77195" hidden="1" x14ac:dyDescent="0.35"/>
    <row r="77196" hidden="1" x14ac:dyDescent="0.35"/>
    <row r="77197" hidden="1" x14ac:dyDescent="0.35"/>
    <row r="77198" hidden="1" x14ac:dyDescent="0.35"/>
    <row r="77199" hidden="1" x14ac:dyDescent="0.35"/>
    <row r="77200" hidden="1" x14ac:dyDescent="0.35"/>
    <row r="77201" hidden="1" x14ac:dyDescent="0.35"/>
    <row r="77202" hidden="1" x14ac:dyDescent="0.35"/>
    <row r="77203" hidden="1" x14ac:dyDescent="0.35"/>
    <row r="77204" hidden="1" x14ac:dyDescent="0.35"/>
    <row r="77205" hidden="1" x14ac:dyDescent="0.35"/>
    <row r="77206" hidden="1" x14ac:dyDescent="0.35"/>
    <row r="77207" hidden="1" x14ac:dyDescent="0.35"/>
    <row r="77208" hidden="1" x14ac:dyDescent="0.35"/>
    <row r="77209" hidden="1" x14ac:dyDescent="0.35"/>
    <row r="77210" hidden="1" x14ac:dyDescent="0.35"/>
    <row r="77211" hidden="1" x14ac:dyDescent="0.35"/>
    <row r="77212" hidden="1" x14ac:dyDescent="0.35"/>
    <row r="77213" hidden="1" x14ac:dyDescent="0.35"/>
    <row r="77214" hidden="1" x14ac:dyDescent="0.35"/>
    <row r="77215" hidden="1" x14ac:dyDescent="0.35"/>
    <row r="77216" hidden="1" x14ac:dyDescent="0.35"/>
    <row r="77217" hidden="1" x14ac:dyDescent="0.35"/>
    <row r="77218" hidden="1" x14ac:dyDescent="0.35"/>
    <row r="77219" hidden="1" x14ac:dyDescent="0.35"/>
    <row r="77220" hidden="1" x14ac:dyDescent="0.35"/>
    <row r="77221" hidden="1" x14ac:dyDescent="0.35"/>
    <row r="77222" hidden="1" x14ac:dyDescent="0.35"/>
    <row r="77223" hidden="1" x14ac:dyDescent="0.35"/>
    <row r="77224" hidden="1" x14ac:dyDescent="0.35"/>
    <row r="77225" hidden="1" x14ac:dyDescent="0.35"/>
    <row r="77226" hidden="1" x14ac:dyDescent="0.35"/>
    <row r="77227" hidden="1" x14ac:dyDescent="0.35"/>
    <row r="77228" hidden="1" x14ac:dyDescent="0.35"/>
    <row r="77229" hidden="1" x14ac:dyDescent="0.35"/>
    <row r="77230" hidden="1" x14ac:dyDescent="0.35"/>
    <row r="77231" hidden="1" x14ac:dyDescent="0.35"/>
    <row r="77232" hidden="1" x14ac:dyDescent="0.35"/>
    <row r="77233" hidden="1" x14ac:dyDescent="0.35"/>
    <row r="77234" hidden="1" x14ac:dyDescent="0.35"/>
    <row r="77235" hidden="1" x14ac:dyDescent="0.35"/>
    <row r="77236" hidden="1" x14ac:dyDescent="0.35"/>
    <row r="77237" hidden="1" x14ac:dyDescent="0.35"/>
    <row r="77238" hidden="1" x14ac:dyDescent="0.35"/>
    <row r="77239" hidden="1" x14ac:dyDescent="0.35"/>
    <row r="77240" hidden="1" x14ac:dyDescent="0.35"/>
    <row r="77241" hidden="1" x14ac:dyDescent="0.35"/>
    <row r="77242" hidden="1" x14ac:dyDescent="0.35"/>
    <row r="77243" hidden="1" x14ac:dyDescent="0.35"/>
    <row r="77244" hidden="1" x14ac:dyDescent="0.35"/>
    <row r="77245" hidden="1" x14ac:dyDescent="0.35"/>
    <row r="77246" hidden="1" x14ac:dyDescent="0.35"/>
    <row r="77247" hidden="1" x14ac:dyDescent="0.35"/>
    <row r="77248" hidden="1" x14ac:dyDescent="0.35"/>
    <row r="77249" hidden="1" x14ac:dyDescent="0.35"/>
    <row r="77250" hidden="1" x14ac:dyDescent="0.35"/>
    <row r="77251" hidden="1" x14ac:dyDescent="0.35"/>
    <row r="77252" hidden="1" x14ac:dyDescent="0.35"/>
    <row r="77253" hidden="1" x14ac:dyDescent="0.35"/>
    <row r="77254" hidden="1" x14ac:dyDescent="0.35"/>
    <row r="77255" hidden="1" x14ac:dyDescent="0.35"/>
    <row r="77256" hidden="1" x14ac:dyDescent="0.35"/>
    <row r="77257" hidden="1" x14ac:dyDescent="0.35"/>
    <row r="77258" hidden="1" x14ac:dyDescent="0.35"/>
    <row r="77259" hidden="1" x14ac:dyDescent="0.35"/>
    <row r="77260" hidden="1" x14ac:dyDescent="0.35"/>
    <row r="77261" hidden="1" x14ac:dyDescent="0.35"/>
    <row r="77262" hidden="1" x14ac:dyDescent="0.35"/>
    <row r="77263" hidden="1" x14ac:dyDescent="0.35"/>
    <row r="77264" hidden="1" x14ac:dyDescent="0.35"/>
    <row r="77265" hidden="1" x14ac:dyDescent="0.35"/>
    <row r="77266" hidden="1" x14ac:dyDescent="0.35"/>
    <row r="77267" hidden="1" x14ac:dyDescent="0.35"/>
    <row r="77268" hidden="1" x14ac:dyDescent="0.35"/>
    <row r="77269" hidden="1" x14ac:dyDescent="0.35"/>
    <row r="77270" hidden="1" x14ac:dyDescent="0.35"/>
    <row r="77271" hidden="1" x14ac:dyDescent="0.35"/>
    <row r="77272" hidden="1" x14ac:dyDescent="0.35"/>
    <row r="77273" hidden="1" x14ac:dyDescent="0.35"/>
    <row r="77274" hidden="1" x14ac:dyDescent="0.35"/>
    <row r="77275" hidden="1" x14ac:dyDescent="0.35"/>
    <row r="77276" hidden="1" x14ac:dyDescent="0.35"/>
    <row r="77277" hidden="1" x14ac:dyDescent="0.35"/>
    <row r="77278" hidden="1" x14ac:dyDescent="0.35"/>
    <row r="77279" hidden="1" x14ac:dyDescent="0.35"/>
    <row r="77280" hidden="1" x14ac:dyDescent="0.35"/>
    <row r="77281" hidden="1" x14ac:dyDescent="0.35"/>
    <row r="77282" hidden="1" x14ac:dyDescent="0.35"/>
    <row r="77283" hidden="1" x14ac:dyDescent="0.35"/>
    <row r="77284" hidden="1" x14ac:dyDescent="0.35"/>
    <row r="77285" hidden="1" x14ac:dyDescent="0.35"/>
    <row r="77286" hidden="1" x14ac:dyDescent="0.35"/>
    <row r="77287" hidden="1" x14ac:dyDescent="0.35"/>
    <row r="77288" hidden="1" x14ac:dyDescent="0.35"/>
    <row r="77289" hidden="1" x14ac:dyDescent="0.35"/>
    <row r="77290" hidden="1" x14ac:dyDescent="0.35"/>
    <row r="77291" hidden="1" x14ac:dyDescent="0.35"/>
    <row r="77292" hidden="1" x14ac:dyDescent="0.35"/>
    <row r="77293" hidden="1" x14ac:dyDescent="0.35"/>
    <row r="77294" hidden="1" x14ac:dyDescent="0.35"/>
    <row r="77295" hidden="1" x14ac:dyDescent="0.35"/>
    <row r="77296" hidden="1" x14ac:dyDescent="0.35"/>
    <row r="77297" hidden="1" x14ac:dyDescent="0.35"/>
    <row r="77298" hidden="1" x14ac:dyDescent="0.35"/>
    <row r="77299" hidden="1" x14ac:dyDescent="0.35"/>
    <row r="77300" hidden="1" x14ac:dyDescent="0.35"/>
    <row r="77301" hidden="1" x14ac:dyDescent="0.35"/>
    <row r="77302" hidden="1" x14ac:dyDescent="0.35"/>
    <row r="77303" hidden="1" x14ac:dyDescent="0.35"/>
    <row r="77304" hidden="1" x14ac:dyDescent="0.35"/>
    <row r="77305" hidden="1" x14ac:dyDescent="0.35"/>
    <row r="77306" hidden="1" x14ac:dyDescent="0.35"/>
    <row r="77307" hidden="1" x14ac:dyDescent="0.35"/>
    <row r="77308" hidden="1" x14ac:dyDescent="0.35"/>
    <row r="77309" hidden="1" x14ac:dyDescent="0.35"/>
    <row r="77310" hidden="1" x14ac:dyDescent="0.35"/>
    <row r="77311" hidden="1" x14ac:dyDescent="0.35"/>
    <row r="77312" hidden="1" x14ac:dyDescent="0.35"/>
    <row r="77313" hidden="1" x14ac:dyDescent="0.35"/>
    <row r="77314" hidden="1" x14ac:dyDescent="0.35"/>
    <row r="77315" hidden="1" x14ac:dyDescent="0.35"/>
    <row r="77316" hidden="1" x14ac:dyDescent="0.35"/>
    <row r="77317" hidden="1" x14ac:dyDescent="0.35"/>
    <row r="77318" hidden="1" x14ac:dyDescent="0.35"/>
    <row r="77319" hidden="1" x14ac:dyDescent="0.35"/>
    <row r="77320" hidden="1" x14ac:dyDescent="0.35"/>
    <row r="77321" hidden="1" x14ac:dyDescent="0.35"/>
    <row r="77322" hidden="1" x14ac:dyDescent="0.35"/>
    <row r="77323" hidden="1" x14ac:dyDescent="0.35"/>
    <row r="77324" hidden="1" x14ac:dyDescent="0.35"/>
    <row r="77325" hidden="1" x14ac:dyDescent="0.35"/>
    <row r="77326" hidden="1" x14ac:dyDescent="0.35"/>
    <row r="77327" hidden="1" x14ac:dyDescent="0.35"/>
    <row r="77328" hidden="1" x14ac:dyDescent="0.35"/>
    <row r="77329" hidden="1" x14ac:dyDescent="0.35"/>
    <row r="77330" hidden="1" x14ac:dyDescent="0.35"/>
    <row r="77331" hidden="1" x14ac:dyDescent="0.35"/>
    <row r="77332" hidden="1" x14ac:dyDescent="0.35"/>
    <row r="77333" hidden="1" x14ac:dyDescent="0.35"/>
    <row r="77334" hidden="1" x14ac:dyDescent="0.35"/>
    <row r="77335" hidden="1" x14ac:dyDescent="0.35"/>
    <row r="77336" hidden="1" x14ac:dyDescent="0.35"/>
    <row r="77337" hidden="1" x14ac:dyDescent="0.35"/>
    <row r="77338" hidden="1" x14ac:dyDescent="0.35"/>
    <row r="77339" hidden="1" x14ac:dyDescent="0.35"/>
    <row r="77340" hidden="1" x14ac:dyDescent="0.35"/>
    <row r="77341" hidden="1" x14ac:dyDescent="0.35"/>
    <row r="77342" hidden="1" x14ac:dyDescent="0.35"/>
    <row r="77343" hidden="1" x14ac:dyDescent="0.35"/>
    <row r="77344" hidden="1" x14ac:dyDescent="0.35"/>
    <row r="77345" hidden="1" x14ac:dyDescent="0.35"/>
    <row r="77346" hidden="1" x14ac:dyDescent="0.35"/>
    <row r="77347" hidden="1" x14ac:dyDescent="0.35"/>
    <row r="77348" hidden="1" x14ac:dyDescent="0.35"/>
    <row r="77349" hidden="1" x14ac:dyDescent="0.35"/>
    <row r="77350" hidden="1" x14ac:dyDescent="0.35"/>
    <row r="77351" hidden="1" x14ac:dyDescent="0.35"/>
    <row r="77352" hidden="1" x14ac:dyDescent="0.35"/>
    <row r="77353" hidden="1" x14ac:dyDescent="0.35"/>
    <row r="77354" hidden="1" x14ac:dyDescent="0.35"/>
    <row r="77355" hidden="1" x14ac:dyDescent="0.35"/>
    <row r="77356" hidden="1" x14ac:dyDescent="0.35"/>
    <row r="77357" hidden="1" x14ac:dyDescent="0.35"/>
    <row r="77358" hidden="1" x14ac:dyDescent="0.35"/>
    <row r="77359" hidden="1" x14ac:dyDescent="0.35"/>
    <row r="77360" hidden="1" x14ac:dyDescent="0.35"/>
    <row r="77361" hidden="1" x14ac:dyDescent="0.35"/>
    <row r="77362" hidden="1" x14ac:dyDescent="0.35"/>
    <row r="77363" hidden="1" x14ac:dyDescent="0.35"/>
    <row r="77364" hidden="1" x14ac:dyDescent="0.35"/>
    <row r="77365" hidden="1" x14ac:dyDescent="0.35"/>
    <row r="77366" hidden="1" x14ac:dyDescent="0.35"/>
    <row r="77367" hidden="1" x14ac:dyDescent="0.35"/>
    <row r="77368" hidden="1" x14ac:dyDescent="0.35"/>
    <row r="77369" hidden="1" x14ac:dyDescent="0.35"/>
    <row r="77370" hidden="1" x14ac:dyDescent="0.35"/>
    <row r="77371" hidden="1" x14ac:dyDescent="0.35"/>
    <row r="77372" hidden="1" x14ac:dyDescent="0.35"/>
    <row r="77373" hidden="1" x14ac:dyDescent="0.35"/>
    <row r="77374" hidden="1" x14ac:dyDescent="0.35"/>
    <row r="77375" hidden="1" x14ac:dyDescent="0.35"/>
    <row r="77376" hidden="1" x14ac:dyDescent="0.35"/>
    <row r="77377" hidden="1" x14ac:dyDescent="0.35"/>
    <row r="77378" hidden="1" x14ac:dyDescent="0.35"/>
    <row r="77379" hidden="1" x14ac:dyDescent="0.35"/>
    <row r="77380" hidden="1" x14ac:dyDescent="0.35"/>
    <row r="77381" hidden="1" x14ac:dyDescent="0.35"/>
    <row r="77382" hidden="1" x14ac:dyDescent="0.35"/>
    <row r="77383" hidden="1" x14ac:dyDescent="0.35"/>
    <row r="77384" hidden="1" x14ac:dyDescent="0.35"/>
    <row r="77385" hidden="1" x14ac:dyDescent="0.35"/>
    <row r="77386" hidden="1" x14ac:dyDescent="0.35"/>
    <row r="77387" hidden="1" x14ac:dyDescent="0.35"/>
    <row r="77388" hidden="1" x14ac:dyDescent="0.35"/>
    <row r="77389" hidden="1" x14ac:dyDescent="0.35"/>
    <row r="77390" hidden="1" x14ac:dyDescent="0.35"/>
    <row r="77391" hidden="1" x14ac:dyDescent="0.35"/>
    <row r="77392" hidden="1" x14ac:dyDescent="0.35"/>
    <row r="77393" hidden="1" x14ac:dyDescent="0.35"/>
    <row r="77394" hidden="1" x14ac:dyDescent="0.35"/>
    <row r="77395" hidden="1" x14ac:dyDescent="0.35"/>
    <row r="77396" hidden="1" x14ac:dyDescent="0.35"/>
    <row r="77397" hidden="1" x14ac:dyDescent="0.35"/>
    <row r="77398" hidden="1" x14ac:dyDescent="0.35"/>
    <row r="77399" hidden="1" x14ac:dyDescent="0.35"/>
    <row r="77400" hidden="1" x14ac:dyDescent="0.35"/>
    <row r="77401" hidden="1" x14ac:dyDescent="0.35"/>
    <row r="77402" hidden="1" x14ac:dyDescent="0.35"/>
    <row r="77403" hidden="1" x14ac:dyDescent="0.35"/>
    <row r="77404" hidden="1" x14ac:dyDescent="0.35"/>
    <row r="77405" hidden="1" x14ac:dyDescent="0.35"/>
    <row r="77406" hidden="1" x14ac:dyDescent="0.35"/>
    <row r="77407" hidden="1" x14ac:dyDescent="0.35"/>
    <row r="77408" hidden="1" x14ac:dyDescent="0.35"/>
    <row r="77409" hidden="1" x14ac:dyDescent="0.35"/>
    <row r="77410" hidden="1" x14ac:dyDescent="0.35"/>
    <row r="77411" hidden="1" x14ac:dyDescent="0.35"/>
    <row r="77412" hidden="1" x14ac:dyDescent="0.35"/>
    <row r="77413" hidden="1" x14ac:dyDescent="0.35"/>
    <row r="77414" hidden="1" x14ac:dyDescent="0.35"/>
    <row r="77415" hidden="1" x14ac:dyDescent="0.35"/>
    <row r="77416" hidden="1" x14ac:dyDescent="0.35"/>
    <row r="77417" hidden="1" x14ac:dyDescent="0.35"/>
    <row r="77418" hidden="1" x14ac:dyDescent="0.35"/>
    <row r="77419" hidden="1" x14ac:dyDescent="0.35"/>
    <row r="77420" hidden="1" x14ac:dyDescent="0.35"/>
    <row r="77421" hidden="1" x14ac:dyDescent="0.35"/>
    <row r="77422" hidden="1" x14ac:dyDescent="0.35"/>
    <row r="77423" hidden="1" x14ac:dyDescent="0.35"/>
    <row r="77424" hidden="1" x14ac:dyDescent="0.35"/>
    <row r="77425" hidden="1" x14ac:dyDescent="0.35"/>
    <row r="77426" hidden="1" x14ac:dyDescent="0.35"/>
    <row r="77427" hidden="1" x14ac:dyDescent="0.35"/>
    <row r="77428" hidden="1" x14ac:dyDescent="0.35"/>
    <row r="77429" hidden="1" x14ac:dyDescent="0.35"/>
    <row r="77430" hidden="1" x14ac:dyDescent="0.35"/>
    <row r="77431" hidden="1" x14ac:dyDescent="0.35"/>
    <row r="77432" hidden="1" x14ac:dyDescent="0.35"/>
    <row r="77433" hidden="1" x14ac:dyDescent="0.35"/>
    <row r="77434" hidden="1" x14ac:dyDescent="0.35"/>
    <row r="77435" hidden="1" x14ac:dyDescent="0.35"/>
    <row r="77436" hidden="1" x14ac:dyDescent="0.35"/>
    <row r="77437" hidden="1" x14ac:dyDescent="0.35"/>
    <row r="77438" hidden="1" x14ac:dyDescent="0.35"/>
    <row r="77439" hidden="1" x14ac:dyDescent="0.35"/>
    <row r="77440" hidden="1" x14ac:dyDescent="0.35"/>
    <row r="77441" hidden="1" x14ac:dyDescent="0.35"/>
    <row r="77442" hidden="1" x14ac:dyDescent="0.35"/>
    <row r="77443" hidden="1" x14ac:dyDescent="0.35"/>
    <row r="77444" hidden="1" x14ac:dyDescent="0.35"/>
    <row r="77445" hidden="1" x14ac:dyDescent="0.35"/>
    <row r="77446" hidden="1" x14ac:dyDescent="0.35"/>
    <row r="77447" hidden="1" x14ac:dyDescent="0.35"/>
    <row r="77448" hidden="1" x14ac:dyDescent="0.35"/>
    <row r="77449" hidden="1" x14ac:dyDescent="0.35"/>
    <row r="77450" hidden="1" x14ac:dyDescent="0.35"/>
    <row r="77451" hidden="1" x14ac:dyDescent="0.35"/>
    <row r="77452" hidden="1" x14ac:dyDescent="0.35"/>
    <row r="77453" hidden="1" x14ac:dyDescent="0.35"/>
    <row r="77454" hidden="1" x14ac:dyDescent="0.35"/>
    <row r="77455" hidden="1" x14ac:dyDescent="0.35"/>
    <row r="77456" hidden="1" x14ac:dyDescent="0.35"/>
    <row r="77457" hidden="1" x14ac:dyDescent="0.35"/>
    <row r="77458" hidden="1" x14ac:dyDescent="0.35"/>
    <row r="77459" hidden="1" x14ac:dyDescent="0.35"/>
    <row r="77460" hidden="1" x14ac:dyDescent="0.35"/>
    <row r="77461" hidden="1" x14ac:dyDescent="0.35"/>
    <row r="77462" hidden="1" x14ac:dyDescent="0.35"/>
    <row r="77463" hidden="1" x14ac:dyDescent="0.35"/>
    <row r="77464" hidden="1" x14ac:dyDescent="0.35"/>
    <row r="77465" hidden="1" x14ac:dyDescent="0.35"/>
    <row r="77466" hidden="1" x14ac:dyDescent="0.35"/>
    <row r="77467" hidden="1" x14ac:dyDescent="0.35"/>
    <row r="77468" hidden="1" x14ac:dyDescent="0.35"/>
    <row r="77469" hidden="1" x14ac:dyDescent="0.35"/>
    <row r="77470" hidden="1" x14ac:dyDescent="0.35"/>
    <row r="77471" hidden="1" x14ac:dyDescent="0.35"/>
    <row r="77472" hidden="1" x14ac:dyDescent="0.35"/>
    <row r="77473" hidden="1" x14ac:dyDescent="0.35"/>
    <row r="77474" hidden="1" x14ac:dyDescent="0.35"/>
    <row r="77475" hidden="1" x14ac:dyDescent="0.35"/>
    <row r="77476" hidden="1" x14ac:dyDescent="0.35"/>
    <row r="77477" hidden="1" x14ac:dyDescent="0.35"/>
    <row r="77478" hidden="1" x14ac:dyDescent="0.35"/>
    <row r="77479" hidden="1" x14ac:dyDescent="0.35"/>
    <row r="77480" hidden="1" x14ac:dyDescent="0.35"/>
    <row r="77481" hidden="1" x14ac:dyDescent="0.35"/>
    <row r="77482" hidden="1" x14ac:dyDescent="0.35"/>
    <row r="77483" hidden="1" x14ac:dyDescent="0.35"/>
    <row r="77484" hidden="1" x14ac:dyDescent="0.35"/>
    <row r="77485" hidden="1" x14ac:dyDescent="0.35"/>
    <row r="77486" hidden="1" x14ac:dyDescent="0.35"/>
    <row r="77487" hidden="1" x14ac:dyDescent="0.35"/>
    <row r="77488" hidden="1" x14ac:dyDescent="0.35"/>
    <row r="77489" hidden="1" x14ac:dyDescent="0.35"/>
    <row r="77490" hidden="1" x14ac:dyDescent="0.35"/>
    <row r="77491" hidden="1" x14ac:dyDescent="0.35"/>
    <row r="77492" hidden="1" x14ac:dyDescent="0.35"/>
    <row r="77493" hidden="1" x14ac:dyDescent="0.35"/>
    <row r="77494" hidden="1" x14ac:dyDescent="0.35"/>
    <row r="77495" hidden="1" x14ac:dyDescent="0.35"/>
    <row r="77496" hidden="1" x14ac:dyDescent="0.35"/>
    <row r="77497" hidden="1" x14ac:dyDescent="0.35"/>
    <row r="77498" hidden="1" x14ac:dyDescent="0.35"/>
    <row r="77499" hidden="1" x14ac:dyDescent="0.35"/>
    <row r="77500" hidden="1" x14ac:dyDescent="0.35"/>
    <row r="77501" hidden="1" x14ac:dyDescent="0.35"/>
    <row r="77502" hidden="1" x14ac:dyDescent="0.35"/>
    <row r="77503" hidden="1" x14ac:dyDescent="0.35"/>
    <row r="77504" hidden="1" x14ac:dyDescent="0.35"/>
    <row r="77505" hidden="1" x14ac:dyDescent="0.35"/>
    <row r="77506" hidden="1" x14ac:dyDescent="0.35"/>
    <row r="77507" hidden="1" x14ac:dyDescent="0.35"/>
    <row r="77508" hidden="1" x14ac:dyDescent="0.35"/>
    <row r="77509" hidden="1" x14ac:dyDescent="0.35"/>
    <row r="77510" hidden="1" x14ac:dyDescent="0.35"/>
    <row r="77511" hidden="1" x14ac:dyDescent="0.35"/>
    <row r="77512" hidden="1" x14ac:dyDescent="0.35"/>
    <row r="77513" hidden="1" x14ac:dyDescent="0.35"/>
    <row r="77514" hidden="1" x14ac:dyDescent="0.35"/>
    <row r="77515" hidden="1" x14ac:dyDescent="0.35"/>
    <row r="77516" hidden="1" x14ac:dyDescent="0.35"/>
    <row r="77517" hidden="1" x14ac:dyDescent="0.35"/>
    <row r="77518" hidden="1" x14ac:dyDescent="0.35"/>
    <row r="77519" hidden="1" x14ac:dyDescent="0.35"/>
    <row r="77520" hidden="1" x14ac:dyDescent="0.35"/>
    <row r="77521" hidden="1" x14ac:dyDescent="0.35"/>
    <row r="77522" hidden="1" x14ac:dyDescent="0.35"/>
    <row r="77523" hidden="1" x14ac:dyDescent="0.35"/>
    <row r="77524" hidden="1" x14ac:dyDescent="0.35"/>
    <row r="77525" hidden="1" x14ac:dyDescent="0.35"/>
    <row r="77526" hidden="1" x14ac:dyDescent="0.35"/>
    <row r="77527" hidden="1" x14ac:dyDescent="0.35"/>
    <row r="77528" hidden="1" x14ac:dyDescent="0.35"/>
    <row r="77529" hidden="1" x14ac:dyDescent="0.35"/>
    <row r="77530" hidden="1" x14ac:dyDescent="0.35"/>
    <row r="77531" hidden="1" x14ac:dyDescent="0.35"/>
    <row r="77532" hidden="1" x14ac:dyDescent="0.35"/>
    <row r="77533" hidden="1" x14ac:dyDescent="0.35"/>
    <row r="77534" hidden="1" x14ac:dyDescent="0.35"/>
    <row r="77535" hidden="1" x14ac:dyDescent="0.35"/>
    <row r="77536" hidden="1" x14ac:dyDescent="0.35"/>
    <row r="77537" hidden="1" x14ac:dyDescent="0.35"/>
    <row r="77538" hidden="1" x14ac:dyDescent="0.35"/>
    <row r="77539" hidden="1" x14ac:dyDescent="0.35"/>
    <row r="77540" hidden="1" x14ac:dyDescent="0.35"/>
    <row r="77541" hidden="1" x14ac:dyDescent="0.35"/>
    <row r="77542" hidden="1" x14ac:dyDescent="0.35"/>
    <row r="77543" hidden="1" x14ac:dyDescent="0.35"/>
    <row r="77544" hidden="1" x14ac:dyDescent="0.35"/>
    <row r="77545" hidden="1" x14ac:dyDescent="0.35"/>
    <row r="77546" hidden="1" x14ac:dyDescent="0.35"/>
    <row r="77547" hidden="1" x14ac:dyDescent="0.35"/>
    <row r="77548" hidden="1" x14ac:dyDescent="0.35"/>
    <row r="77549" hidden="1" x14ac:dyDescent="0.35"/>
    <row r="77550" hidden="1" x14ac:dyDescent="0.35"/>
    <row r="77551" hidden="1" x14ac:dyDescent="0.35"/>
    <row r="77552" hidden="1" x14ac:dyDescent="0.35"/>
    <row r="77553" hidden="1" x14ac:dyDescent="0.35"/>
    <row r="77554" hidden="1" x14ac:dyDescent="0.35"/>
    <row r="77555" hidden="1" x14ac:dyDescent="0.35"/>
    <row r="77556" hidden="1" x14ac:dyDescent="0.35"/>
    <row r="77557" hidden="1" x14ac:dyDescent="0.35"/>
    <row r="77558" hidden="1" x14ac:dyDescent="0.35"/>
    <row r="77559" hidden="1" x14ac:dyDescent="0.35"/>
    <row r="77560" hidden="1" x14ac:dyDescent="0.35"/>
    <row r="77561" hidden="1" x14ac:dyDescent="0.35"/>
    <row r="77562" hidden="1" x14ac:dyDescent="0.35"/>
    <row r="77563" hidden="1" x14ac:dyDescent="0.35"/>
    <row r="77564" hidden="1" x14ac:dyDescent="0.35"/>
    <row r="77565" hidden="1" x14ac:dyDescent="0.35"/>
    <row r="77566" hidden="1" x14ac:dyDescent="0.35"/>
    <row r="77567" hidden="1" x14ac:dyDescent="0.35"/>
    <row r="77568" hidden="1" x14ac:dyDescent="0.35"/>
    <row r="77569" hidden="1" x14ac:dyDescent="0.35"/>
    <row r="77570" hidden="1" x14ac:dyDescent="0.35"/>
    <row r="77571" hidden="1" x14ac:dyDescent="0.35"/>
    <row r="77572" hidden="1" x14ac:dyDescent="0.35"/>
    <row r="77573" hidden="1" x14ac:dyDescent="0.35"/>
    <row r="77574" hidden="1" x14ac:dyDescent="0.35"/>
    <row r="77575" hidden="1" x14ac:dyDescent="0.35"/>
    <row r="77576" hidden="1" x14ac:dyDescent="0.35"/>
    <row r="77577" hidden="1" x14ac:dyDescent="0.35"/>
    <row r="77578" hidden="1" x14ac:dyDescent="0.35"/>
    <row r="77579" hidden="1" x14ac:dyDescent="0.35"/>
    <row r="77580" hidden="1" x14ac:dyDescent="0.35"/>
    <row r="77581" hidden="1" x14ac:dyDescent="0.35"/>
    <row r="77582" hidden="1" x14ac:dyDescent="0.35"/>
    <row r="77583" hidden="1" x14ac:dyDescent="0.35"/>
    <row r="77584" hidden="1" x14ac:dyDescent="0.35"/>
    <row r="77585" hidden="1" x14ac:dyDescent="0.35"/>
    <row r="77586" hidden="1" x14ac:dyDescent="0.35"/>
    <row r="77587" hidden="1" x14ac:dyDescent="0.35"/>
    <row r="77588" hidden="1" x14ac:dyDescent="0.35"/>
    <row r="77589" hidden="1" x14ac:dyDescent="0.35"/>
    <row r="77590" hidden="1" x14ac:dyDescent="0.35"/>
    <row r="77591" hidden="1" x14ac:dyDescent="0.35"/>
    <row r="77592" hidden="1" x14ac:dyDescent="0.35"/>
    <row r="77593" hidden="1" x14ac:dyDescent="0.35"/>
    <row r="77594" hidden="1" x14ac:dyDescent="0.35"/>
    <row r="77595" hidden="1" x14ac:dyDescent="0.35"/>
    <row r="77596" hidden="1" x14ac:dyDescent="0.35"/>
    <row r="77597" hidden="1" x14ac:dyDescent="0.35"/>
    <row r="77598" hidden="1" x14ac:dyDescent="0.35"/>
    <row r="77599" hidden="1" x14ac:dyDescent="0.35"/>
    <row r="77600" hidden="1" x14ac:dyDescent="0.35"/>
    <row r="77601" hidden="1" x14ac:dyDescent="0.35"/>
    <row r="77602" hidden="1" x14ac:dyDescent="0.35"/>
    <row r="77603" hidden="1" x14ac:dyDescent="0.35"/>
    <row r="77604" hidden="1" x14ac:dyDescent="0.35"/>
    <row r="77605" hidden="1" x14ac:dyDescent="0.35"/>
    <row r="77606" hidden="1" x14ac:dyDescent="0.35"/>
    <row r="77607" hidden="1" x14ac:dyDescent="0.35"/>
    <row r="77608" hidden="1" x14ac:dyDescent="0.35"/>
    <row r="77609" hidden="1" x14ac:dyDescent="0.35"/>
    <row r="77610" hidden="1" x14ac:dyDescent="0.35"/>
    <row r="77611" hidden="1" x14ac:dyDescent="0.35"/>
    <row r="77612" hidden="1" x14ac:dyDescent="0.35"/>
    <row r="77613" hidden="1" x14ac:dyDescent="0.35"/>
    <row r="77614" hidden="1" x14ac:dyDescent="0.35"/>
    <row r="77615" hidden="1" x14ac:dyDescent="0.35"/>
    <row r="77616" hidden="1" x14ac:dyDescent="0.35"/>
    <row r="77617" hidden="1" x14ac:dyDescent="0.35"/>
    <row r="77618" hidden="1" x14ac:dyDescent="0.35"/>
    <row r="77619" hidden="1" x14ac:dyDescent="0.35"/>
    <row r="77620" hidden="1" x14ac:dyDescent="0.35"/>
    <row r="77621" hidden="1" x14ac:dyDescent="0.35"/>
    <row r="77622" hidden="1" x14ac:dyDescent="0.35"/>
    <row r="77623" hidden="1" x14ac:dyDescent="0.35"/>
    <row r="77624" hidden="1" x14ac:dyDescent="0.35"/>
    <row r="77625" hidden="1" x14ac:dyDescent="0.35"/>
    <row r="77626" hidden="1" x14ac:dyDescent="0.35"/>
    <row r="77627" hidden="1" x14ac:dyDescent="0.35"/>
    <row r="77628" hidden="1" x14ac:dyDescent="0.35"/>
    <row r="77629" hidden="1" x14ac:dyDescent="0.35"/>
    <row r="77630" hidden="1" x14ac:dyDescent="0.35"/>
    <row r="77631" hidden="1" x14ac:dyDescent="0.35"/>
    <row r="77632" hidden="1" x14ac:dyDescent="0.35"/>
    <row r="77633" hidden="1" x14ac:dyDescent="0.35"/>
    <row r="77634" hidden="1" x14ac:dyDescent="0.35"/>
    <row r="77635" hidden="1" x14ac:dyDescent="0.35"/>
    <row r="77636" hidden="1" x14ac:dyDescent="0.35"/>
    <row r="77637" hidden="1" x14ac:dyDescent="0.35"/>
    <row r="77638" hidden="1" x14ac:dyDescent="0.35"/>
    <row r="77639" hidden="1" x14ac:dyDescent="0.35"/>
    <row r="77640" hidden="1" x14ac:dyDescent="0.35"/>
    <row r="77641" hidden="1" x14ac:dyDescent="0.35"/>
    <row r="77642" hidden="1" x14ac:dyDescent="0.35"/>
    <row r="77643" hidden="1" x14ac:dyDescent="0.35"/>
    <row r="77644" hidden="1" x14ac:dyDescent="0.35"/>
    <row r="77645" hidden="1" x14ac:dyDescent="0.35"/>
    <row r="77646" hidden="1" x14ac:dyDescent="0.35"/>
    <row r="77647" hidden="1" x14ac:dyDescent="0.35"/>
    <row r="77648" hidden="1" x14ac:dyDescent="0.35"/>
    <row r="77649" hidden="1" x14ac:dyDescent="0.35"/>
    <row r="77650" hidden="1" x14ac:dyDescent="0.35"/>
    <row r="77651" hidden="1" x14ac:dyDescent="0.35"/>
    <row r="77652" hidden="1" x14ac:dyDescent="0.35"/>
    <row r="77653" hidden="1" x14ac:dyDescent="0.35"/>
    <row r="77654" hidden="1" x14ac:dyDescent="0.35"/>
    <row r="77655" hidden="1" x14ac:dyDescent="0.35"/>
    <row r="77656" hidden="1" x14ac:dyDescent="0.35"/>
    <row r="77657" hidden="1" x14ac:dyDescent="0.35"/>
    <row r="77658" hidden="1" x14ac:dyDescent="0.35"/>
    <row r="77659" hidden="1" x14ac:dyDescent="0.35"/>
    <row r="77660" hidden="1" x14ac:dyDescent="0.35"/>
    <row r="77661" hidden="1" x14ac:dyDescent="0.35"/>
    <row r="77662" hidden="1" x14ac:dyDescent="0.35"/>
    <row r="77663" hidden="1" x14ac:dyDescent="0.35"/>
    <row r="77664" hidden="1" x14ac:dyDescent="0.35"/>
    <row r="77665" hidden="1" x14ac:dyDescent="0.35"/>
    <row r="77666" hidden="1" x14ac:dyDescent="0.35"/>
    <row r="77667" hidden="1" x14ac:dyDescent="0.35"/>
    <row r="77668" hidden="1" x14ac:dyDescent="0.35"/>
    <row r="77669" hidden="1" x14ac:dyDescent="0.35"/>
    <row r="77670" hidden="1" x14ac:dyDescent="0.35"/>
    <row r="77671" hidden="1" x14ac:dyDescent="0.35"/>
    <row r="77672" hidden="1" x14ac:dyDescent="0.35"/>
    <row r="77673" hidden="1" x14ac:dyDescent="0.35"/>
    <row r="77674" hidden="1" x14ac:dyDescent="0.35"/>
    <row r="77675" hidden="1" x14ac:dyDescent="0.35"/>
    <row r="77676" hidden="1" x14ac:dyDescent="0.35"/>
    <row r="77677" hidden="1" x14ac:dyDescent="0.35"/>
    <row r="77678" hidden="1" x14ac:dyDescent="0.35"/>
    <row r="77679" hidden="1" x14ac:dyDescent="0.35"/>
    <row r="77680" hidden="1" x14ac:dyDescent="0.35"/>
    <row r="77681" hidden="1" x14ac:dyDescent="0.35"/>
    <row r="77682" hidden="1" x14ac:dyDescent="0.35"/>
    <row r="77683" hidden="1" x14ac:dyDescent="0.35"/>
    <row r="77684" hidden="1" x14ac:dyDescent="0.35"/>
    <row r="77685" hidden="1" x14ac:dyDescent="0.35"/>
    <row r="77686" hidden="1" x14ac:dyDescent="0.35"/>
    <row r="77687" hidden="1" x14ac:dyDescent="0.35"/>
    <row r="77688" hidden="1" x14ac:dyDescent="0.35"/>
    <row r="77689" hidden="1" x14ac:dyDescent="0.35"/>
    <row r="77690" hidden="1" x14ac:dyDescent="0.35"/>
    <row r="77691" hidden="1" x14ac:dyDescent="0.35"/>
    <row r="77692" hidden="1" x14ac:dyDescent="0.35"/>
    <row r="77693" hidden="1" x14ac:dyDescent="0.35"/>
    <row r="77694" hidden="1" x14ac:dyDescent="0.35"/>
    <row r="77695" hidden="1" x14ac:dyDescent="0.35"/>
    <row r="77696" hidden="1" x14ac:dyDescent="0.35"/>
    <row r="77697" hidden="1" x14ac:dyDescent="0.35"/>
    <row r="77698" hidden="1" x14ac:dyDescent="0.35"/>
    <row r="77699" hidden="1" x14ac:dyDescent="0.35"/>
    <row r="77700" hidden="1" x14ac:dyDescent="0.35"/>
    <row r="77701" hidden="1" x14ac:dyDescent="0.35"/>
    <row r="77702" hidden="1" x14ac:dyDescent="0.35"/>
    <row r="77703" hidden="1" x14ac:dyDescent="0.35"/>
    <row r="77704" hidden="1" x14ac:dyDescent="0.35"/>
    <row r="77705" hidden="1" x14ac:dyDescent="0.35"/>
    <row r="77706" hidden="1" x14ac:dyDescent="0.35"/>
    <row r="77707" hidden="1" x14ac:dyDescent="0.35"/>
    <row r="77708" hidden="1" x14ac:dyDescent="0.35"/>
    <row r="77709" hidden="1" x14ac:dyDescent="0.35"/>
    <row r="77710" hidden="1" x14ac:dyDescent="0.35"/>
    <row r="77711" hidden="1" x14ac:dyDescent="0.35"/>
    <row r="77712" hidden="1" x14ac:dyDescent="0.35"/>
    <row r="77713" hidden="1" x14ac:dyDescent="0.35"/>
    <row r="77714" hidden="1" x14ac:dyDescent="0.35"/>
    <row r="77715" hidden="1" x14ac:dyDescent="0.35"/>
    <row r="77716" hidden="1" x14ac:dyDescent="0.35"/>
    <row r="77717" hidden="1" x14ac:dyDescent="0.35"/>
    <row r="77718" hidden="1" x14ac:dyDescent="0.35"/>
    <row r="77719" hidden="1" x14ac:dyDescent="0.35"/>
    <row r="77720" hidden="1" x14ac:dyDescent="0.35"/>
    <row r="77721" hidden="1" x14ac:dyDescent="0.35"/>
    <row r="77722" hidden="1" x14ac:dyDescent="0.35"/>
    <row r="77723" hidden="1" x14ac:dyDescent="0.35"/>
    <row r="77724" hidden="1" x14ac:dyDescent="0.35"/>
    <row r="77725" hidden="1" x14ac:dyDescent="0.35"/>
    <row r="77726" hidden="1" x14ac:dyDescent="0.35"/>
    <row r="77727" hidden="1" x14ac:dyDescent="0.35"/>
    <row r="77728" hidden="1" x14ac:dyDescent="0.35"/>
    <row r="77729" hidden="1" x14ac:dyDescent="0.35"/>
    <row r="77730" hidden="1" x14ac:dyDescent="0.35"/>
    <row r="77731" hidden="1" x14ac:dyDescent="0.35"/>
    <row r="77732" hidden="1" x14ac:dyDescent="0.35"/>
    <row r="77733" hidden="1" x14ac:dyDescent="0.35"/>
    <row r="77734" hidden="1" x14ac:dyDescent="0.35"/>
    <row r="77735" hidden="1" x14ac:dyDescent="0.35"/>
    <row r="77736" hidden="1" x14ac:dyDescent="0.35"/>
    <row r="77737" hidden="1" x14ac:dyDescent="0.35"/>
    <row r="77738" hidden="1" x14ac:dyDescent="0.35"/>
    <row r="77739" hidden="1" x14ac:dyDescent="0.35"/>
    <row r="77740" hidden="1" x14ac:dyDescent="0.35"/>
    <row r="77741" hidden="1" x14ac:dyDescent="0.35"/>
    <row r="77742" hidden="1" x14ac:dyDescent="0.35"/>
    <row r="77743" hidden="1" x14ac:dyDescent="0.35"/>
    <row r="77744" hidden="1" x14ac:dyDescent="0.35"/>
    <row r="77745" hidden="1" x14ac:dyDescent="0.35"/>
    <row r="77746" hidden="1" x14ac:dyDescent="0.35"/>
    <row r="77747" hidden="1" x14ac:dyDescent="0.35"/>
    <row r="77748" hidden="1" x14ac:dyDescent="0.35"/>
    <row r="77749" hidden="1" x14ac:dyDescent="0.35"/>
    <row r="77750" hidden="1" x14ac:dyDescent="0.35"/>
    <row r="77751" hidden="1" x14ac:dyDescent="0.35"/>
    <row r="77752" hidden="1" x14ac:dyDescent="0.35"/>
    <row r="77753" hidden="1" x14ac:dyDescent="0.35"/>
    <row r="77754" hidden="1" x14ac:dyDescent="0.35"/>
    <row r="77755" hidden="1" x14ac:dyDescent="0.35"/>
    <row r="77756" hidden="1" x14ac:dyDescent="0.35"/>
    <row r="77757" hidden="1" x14ac:dyDescent="0.35"/>
    <row r="77758" hidden="1" x14ac:dyDescent="0.35"/>
    <row r="77759" hidden="1" x14ac:dyDescent="0.35"/>
    <row r="77760" hidden="1" x14ac:dyDescent="0.35"/>
    <row r="77761" hidden="1" x14ac:dyDescent="0.35"/>
    <row r="77762" hidden="1" x14ac:dyDescent="0.35"/>
    <row r="77763" hidden="1" x14ac:dyDescent="0.35"/>
    <row r="77764" hidden="1" x14ac:dyDescent="0.35"/>
    <row r="77765" hidden="1" x14ac:dyDescent="0.35"/>
    <row r="77766" hidden="1" x14ac:dyDescent="0.35"/>
    <row r="77767" hidden="1" x14ac:dyDescent="0.35"/>
    <row r="77768" hidden="1" x14ac:dyDescent="0.35"/>
    <row r="77769" hidden="1" x14ac:dyDescent="0.35"/>
    <row r="77770" hidden="1" x14ac:dyDescent="0.35"/>
    <row r="77771" hidden="1" x14ac:dyDescent="0.35"/>
    <row r="77772" hidden="1" x14ac:dyDescent="0.35"/>
    <row r="77773" hidden="1" x14ac:dyDescent="0.35"/>
    <row r="77774" hidden="1" x14ac:dyDescent="0.35"/>
    <row r="77775" hidden="1" x14ac:dyDescent="0.35"/>
    <row r="77776" hidden="1" x14ac:dyDescent="0.35"/>
    <row r="77777" hidden="1" x14ac:dyDescent="0.35"/>
    <row r="77778" hidden="1" x14ac:dyDescent="0.35"/>
    <row r="77779" hidden="1" x14ac:dyDescent="0.35"/>
    <row r="77780" hidden="1" x14ac:dyDescent="0.35"/>
    <row r="77781" hidden="1" x14ac:dyDescent="0.35"/>
    <row r="77782" hidden="1" x14ac:dyDescent="0.35"/>
    <row r="77783" hidden="1" x14ac:dyDescent="0.35"/>
    <row r="77784" hidden="1" x14ac:dyDescent="0.35"/>
    <row r="77785" hidden="1" x14ac:dyDescent="0.35"/>
    <row r="77786" hidden="1" x14ac:dyDescent="0.35"/>
    <row r="77787" hidden="1" x14ac:dyDescent="0.35"/>
    <row r="77788" hidden="1" x14ac:dyDescent="0.35"/>
    <row r="77789" hidden="1" x14ac:dyDescent="0.35"/>
    <row r="77790" hidden="1" x14ac:dyDescent="0.35"/>
    <row r="77791" hidden="1" x14ac:dyDescent="0.35"/>
    <row r="77792" hidden="1" x14ac:dyDescent="0.35"/>
    <row r="77793" hidden="1" x14ac:dyDescent="0.35"/>
    <row r="77794" hidden="1" x14ac:dyDescent="0.35"/>
    <row r="77795" hidden="1" x14ac:dyDescent="0.35"/>
    <row r="77796" hidden="1" x14ac:dyDescent="0.35"/>
    <row r="77797" hidden="1" x14ac:dyDescent="0.35"/>
    <row r="77798" hidden="1" x14ac:dyDescent="0.35"/>
    <row r="77799" hidden="1" x14ac:dyDescent="0.35"/>
    <row r="77800" hidden="1" x14ac:dyDescent="0.35"/>
    <row r="77801" hidden="1" x14ac:dyDescent="0.35"/>
    <row r="77802" hidden="1" x14ac:dyDescent="0.35"/>
    <row r="77803" hidden="1" x14ac:dyDescent="0.35"/>
    <row r="77804" hidden="1" x14ac:dyDescent="0.35"/>
    <row r="77805" hidden="1" x14ac:dyDescent="0.35"/>
    <row r="77806" hidden="1" x14ac:dyDescent="0.35"/>
    <row r="77807" hidden="1" x14ac:dyDescent="0.35"/>
    <row r="77808" hidden="1" x14ac:dyDescent="0.35"/>
    <row r="77809" hidden="1" x14ac:dyDescent="0.35"/>
    <row r="77810" hidden="1" x14ac:dyDescent="0.35"/>
    <row r="77811" hidden="1" x14ac:dyDescent="0.35"/>
    <row r="77812" hidden="1" x14ac:dyDescent="0.35"/>
    <row r="77813" hidden="1" x14ac:dyDescent="0.35"/>
    <row r="77814" hidden="1" x14ac:dyDescent="0.35"/>
    <row r="77815" hidden="1" x14ac:dyDescent="0.35"/>
    <row r="77816" hidden="1" x14ac:dyDescent="0.35"/>
    <row r="77817" hidden="1" x14ac:dyDescent="0.35"/>
    <row r="77818" hidden="1" x14ac:dyDescent="0.35"/>
    <row r="77819" hidden="1" x14ac:dyDescent="0.35"/>
    <row r="77820" hidden="1" x14ac:dyDescent="0.35"/>
    <row r="77821" hidden="1" x14ac:dyDescent="0.35"/>
    <row r="77822" hidden="1" x14ac:dyDescent="0.35"/>
    <row r="77823" hidden="1" x14ac:dyDescent="0.35"/>
    <row r="77824" hidden="1" x14ac:dyDescent="0.35"/>
    <row r="77825" hidden="1" x14ac:dyDescent="0.35"/>
    <row r="77826" hidden="1" x14ac:dyDescent="0.35"/>
    <row r="77827" hidden="1" x14ac:dyDescent="0.35"/>
    <row r="77828" hidden="1" x14ac:dyDescent="0.35"/>
    <row r="77829" hidden="1" x14ac:dyDescent="0.35"/>
    <row r="77830" hidden="1" x14ac:dyDescent="0.35"/>
    <row r="77831" hidden="1" x14ac:dyDescent="0.35"/>
    <row r="77832" hidden="1" x14ac:dyDescent="0.35"/>
    <row r="77833" hidden="1" x14ac:dyDescent="0.35"/>
    <row r="77834" hidden="1" x14ac:dyDescent="0.35"/>
    <row r="77835" hidden="1" x14ac:dyDescent="0.35"/>
    <row r="77836" hidden="1" x14ac:dyDescent="0.35"/>
    <row r="77837" hidden="1" x14ac:dyDescent="0.35"/>
    <row r="77838" hidden="1" x14ac:dyDescent="0.35"/>
    <row r="77839" hidden="1" x14ac:dyDescent="0.35"/>
    <row r="77840" hidden="1" x14ac:dyDescent="0.35"/>
    <row r="77841" hidden="1" x14ac:dyDescent="0.35"/>
    <row r="77842" hidden="1" x14ac:dyDescent="0.35"/>
    <row r="77843" hidden="1" x14ac:dyDescent="0.35"/>
    <row r="77844" hidden="1" x14ac:dyDescent="0.35"/>
    <row r="77845" hidden="1" x14ac:dyDescent="0.35"/>
    <row r="77846" hidden="1" x14ac:dyDescent="0.35"/>
    <row r="77847" hidden="1" x14ac:dyDescent="0.35"/>
    <row r="77848" hidden="1" x14ac:dyDescent="0.35"/>
    <row r="77849" hidden="1" x14ac:dyDescent="0.35"/>
    <row r="77850" hidden="1" x14ac:dyDescent="0.35"/>
    <row r="77851" hidden="1" x14ac:dyDescent="0.35"/>
    <row r="77852" hidden="1" x14ac:dyDescent="0.35"/>
    <row r="77853" hidden="1" x14ac:dyDescent="0.35"/>
    <row r="77854" hidden="1" x14ac:dyDescent="0.35"/>
    <row r="77855" hidden="1" x14ac:dyDescent="0.35"/>
    <row r="77856" hidden="1" x14ac:dyDescent="0.35"/>
    <row r="77857" hidden="1" x14ac:dyDescent="0.35"/>
    <row r="77858" hidden="1" x14ac:dyDescent="0.35"/>
    <row r="77859" hidden="1" x14ac:dyDescent="0.35"/>
    <row r="77860" hidden="1" x14ac:dyDescent="0.35"/>
    <row r="77861" hidden="1" x14ac:dyDescent="0.35"/>
    <row r="77862" hidden="1" x14ac:dyDescent="0.35"/>
    <row r="77863" hidden="1" x14ac:dyDescent="0.35"/>
    <row r="77864" hidden="1" x14ac:dyDescent="0.35"/>
    <row r="77865" hidden="1" x14ac:dyDescent="0.35"/>
    <row r="77866" hidden="1" x14ac:dyDescent="0.35"/>
    <row r="77867" hidden="1" x14ac:dyDescent="0.35"/>
    <row r="77868" hidden="1" x14ac:dyDescent="0.35"/>
    <row r="77869" hidden="1" x14ac:dyDescent="0.35"/>
    <row r="77870" hidden="1" x14ac:dyDescent="0.35"/>
    <row r="77871" hidden="1" x14ac:dyDescent="0.35"/>
    <row r="77872" hidden="1" x14ac:dyDescent="0.35"/>
    <row r="77873" hidden="1" x14ac:dyDescent="0.35"/>
    <row r="77874" hidden="1" x14ac:dyDescent="0.35"/>
    <row r="77875" hidden="1" x14ac:dyDescent="0.35"/>
    <row r="77876" hidden="1" x14ac:dyDescent="0.35"/>
    <row r="77877" hidden="1" x14ac:dyDescent="0.35"/>
    <row r="77878" hidden="1" x14ac:dyDescent="0.35"/>
    <row r="77879" hidden="1" x14ac:dyDescent="0.35"/>
    <row r="77880" hidden="1" x14ac:dyDescent="0.35"/>
    <row r="77881" hidden="1" x14ac:dyDescent="0.35"/>
    <row r="77882" hidden="1" x14ac:dyDescent="0.35"/>
    <row r="77883" hidden="1" x14ac:dyDescent="0.35"/>
    <row r="77884" hidden="1" x14ac:dyDescent="0.35"/>
    <row r="77885" hidden="1" x14ac:dyDescent="0.35"/>
    <row r="77886" hidden="1" x14ac:dyDescent="0.35"/>
    <row r="77887" hidden="1" x14ac:dyDescent="0.35"/>
    <row r="77888" hidden="1" x14ac:dyDescent="0.35"/>
    <row r="77889" hidden="1" x14ac:dyDescent="0.35"/>
    <row r="77890" hidden="1" x14ac:dyDescent="0.35"/>
    <row r="77891" hidden="1" x14ac:dyDescent="0.35"/>
    <row r="77892" hidden="1" x14ac:dyDescent="0.35"/>
    <row r="77893" hidden="1" x14ac:dyDescent="0.35"/>
    <row r="77894" hidden="1" x14ac:dyDescent="0.35"/>
    <row r="77895" hidden="1" x14ac:dyDescent="0.35"/>
    <row r="77896" hidden="1" x14ac:dyDescent="0.35"/>
    <row r="77897" hidden="1" x14ac:dyDescent="0.35"/>
    <row r="77898" hidden="1" x14ac:dyDescent="0.35"/>
    <row r="77899" hidden="1" x14ac:dyDescent="0.35"/>
    <row r="77900" hidden="1" x14ac:dyDescent="0.35"/>
    <row r="77901" hidden="1" x14ac:dyDescent="0.35"/>
    <row r="77902" hidden="1" x14ac:dyDescent="0.35"/>
    <row r="77903" hidden="1" x14ac:dyDescent="0.35"/>
    <row r="77904" hidden="1" x14ac:dyDescent="0.35"/>
    <row r="77905" hidden="1" x14ac:dyDescent="0.35"/>
    <row r="77906" hidden="1" x14ac:dyDescent="0.35"/>
    <row r="77907" hidden="1" x14ac:dyDescent="0.35"/>
    <row r="77908" hidden="1" x14ac:dyDescent="0.35"/>
    <row r="77909" hidden="1" x14ac:dyDescent="0.35"/>
    <row r="77910" hidden="1" x14ac:dyDescent="0.35"/>
    <row r="77911" hidden="1" x14ac:dyDescent="0.35"/>
    <row r="77912" hidden="1" x14ac:dyDescent="0.35"/>
    <row r="77913" hidden="1" x14ac:dyDescent="0.35"/>
    <row r="77914" hidden="1" x14ac:dyDescent="0.35"/>
    <row r="77915" hidden="1" x14ac:dyDescent="0.35"/>
    <row r="77916" hidden="1" x14ac:dyDescent="0.35"/>
    <row r="77917" hidden="1" x14ac:dyDescent="0.35"/>
    <row r="77918" hidden="1" x14ac:dyDescent="0.35"/>
    <row r="77919" hidden="1" x14ac:dyDescent="0.35"/>
    <row r="77920" hidden="1" x14ac:dyDescent="0.35"/>
    <row r="77921" hidden="1" x14ac:dyDescent="0.35"/>
    <row r="77922" hidden="1" x14ac:dyDescent="0.35"/>
    <row r="77923" hidden="1" x14ac:dyDescent="0.35"/>
    <row r="77924" hidden="1" x14ac:dyDescent="0.35"/>
    <row r="77925" hidden="1" x14ac:dyDescent="0.35"/>
    <row r="77926" hidden="1" x14ac:dyDescent="0.35"/>
    <row r="77927" hidden="1" x14ac:dyDescent="0.35"/>
    <row r="77928" hidden="1" x14ac:dyDescent="0.35"/>
    <row r="77929" hidden="1" x14ac:dyDescent="0.35"/>
    <row r="77930" hidden="1" x14ac:dyDescent="0.35"/>
    <row r="77931" hidden="1" x14ac:dyDescent="0.35"/>
    <row r="77932" hidden="1" x14ac:dyDescent="0.35"/>
    <row r="77933" hidden="1" x14ac:dyDescent="0.35"/>
    <row r="77934" hidden="1" x14ac:dyDescent="0.35"/>
    <row r="77935" hidden="1" x14ac:dyDescent="0.35"/>
    <row r="77936" hidden="1" x14ac:dyDescent="0.35"/>
    <row r="77937" hidden="1" x14ac:dyDescent="0.35"/>
    <row r="77938" hidden="1" x14ac:dyDescent="0.35"/>
    <row r="77939" hidden="1" x14ac:dyDescent="0.35"/>
    <row r="77940" hidden="1" x14ac:dyDescent="0.35"/>
    <row r="77941" hidden="1" x14ac:dyDescent="0.35"/>
    <row r="77942" hidden="1" x14ac:dyDescent="0.35"/>
    <row r="77943" hidden="1" x14ac:dyDescent="0.35"/>
    <row r="77944" hidden="1" x14ac:dyDescent="0.35"/>
    <row r="77945" hidden="1" x14ac:dyDescent="0.35"/>
    <row r="77946" hidden="1" x14ac:dyDescent="0.35"/>
    <row r="77947" hidden="1" x14ac:dyDescent="0.35"/>
    <row r="77948" hidden="1" x14ac:dyDescent="0.35"/>
    <row r="77949" hidden="1" x14ac:dyDescent="0.35"/>
    <row r="77950" hidden="1" x14ac:dyDescent="0.35"/>
    <row r="77951" hidden="1" x14ac:dyDescent="0.35"/>
    <row r="77952" hidden="1" x14ac:dyDescent="0.35"/>
    <row r="77953" hidden="1" x14ac:dyDescent="0.35"/>
    <row r="77954" hidden="1" x14ac:dyDescent="0.35"/>
    <row r="77955" hidden="1" x14ac:dyDescent="0.35"/>
    <row r="77956" hidden="1" x14ac:dyDescent="0.35"/>
    <row r="77957" hidden="1" x14ac:dyDescent="0.35"/>
    <row r="77958" hidden="1" x14ac:dyDescent="0.35"/>
    <row r="77959" hidden="1" x14ac:dyDescent="0.35"/>
    <row r="77960" hidden="1" x14ac:dyDescent="0.35"/>
    <row r="77961" hidden="1" x14ac:dyDescent="0.35"/>
    <row r="77962" hidden="1" x14ac:dyDescent="0.35"/>
    <row r="77963" hidden="1" x14ac:dyDescent="0.35"/>
    <row r="77964" hidden="1" x14ac:dyDescent="0.35"/>
    <row r="77965" hidden="1" x14ac:dyDescent="0.35"/>
    <row r="77966" hidden="1" x14ac:dyDescent="0.35"/>
    <row r="77967" hidden="1" x14ac:dyDescent="0.35"/>
    <row r="77968" hidden="1" x14ac:dyDescent="0.35"/>
    <row r="77969" hidden="1" x14ac:dyDescent="0.35"/>
    <row r="77970" hidden="1" x14ac:dyDescent="0.35"/>
    <row r="77971" hidden="1" x14ac:dyDescent="0.35"/>
    <row r="77972" hidden="1" x14ac:dyDescent="0.35"/>
    <row r="77973" hidden="1" x14ac:dyDescent="0.35"/>
    <row r="77974" hidden="1" x14ac:dyDescent="0.35"/>
    <row r="77975" hidden="1" x14ac:dyDescent="0.35"/>
    <row r="77976" hidden="1" x14ac:dyDescent="0.35"/>
    <row r="77977" hidden="1" x14ac:dyDescent="0.35"/>
    <row r="77978" hidden="1" x14ac:dyDescent="0.35"/>
    <row r="77979" hidden="1" x14ac:dyDescent="0.35"/>
    <row r="77980" hidden="1" x14ac:dyDescent="0.35"/>
    <row r="77981" hidden="1" x14ac:dyDescent="0.35"/>
    <row r="77982" hidden="1" x14ac:dyDescent="0.35"/>
    <row r="77983" hidden="1" x14ac:dyDescent="0.35"/>
    <row r="77984" hidden="1" x14ac:dyDescent="0.35"/>
    <row r="77985" hidden="1" x14ac:dyDescent="0.35"/>
    <row r="77986" hidden="1" x14ac:dyDescent="0.35"/>
    <row r="77987" hidden="1" x14ac:dyDescent="0.35"/>
    <row r="77988" hidden="1" x14ac:dyDescent="0.35"/>
    <row r="77989" hidden="1" x14ac:dyDescent="0.35"/>
    <row r="77990" hidden="1" x14ac:dyDescent="0.35"/>
    <row r="77991" hidden="1" x14ac:dyDescent="0.35"/>
    <row r="77992" hidden="1" x14ac:dyDescent="0.35"/>
    <row r="77993" hidden="1" x14ac:dyDescent="0.35"/>
    <row r="77994" hidden="1" x14ac:dyDescent="0.35"/>
    <row r="77995" hidden="1" x14ac:dyDescent="0.35"/>
    <row r="77996" hidden="1" x14ac:dyDescent="0.35"/>
    <row r="77997" hidden="1" x14ac:dyDescent="0.35"/>
    <row r="77998" hidden="1" x14ac:dyDescent="0.35"/>
    <row r="77999" hidden="1" x14ac:dyDescent="0.35"/>
    <row r="78000" hidden="1" x14ac:dyDescent="0.35"/>
    <row r="78001" hidden="1" x14ac:dyDescent="0.35"/>
    <row r="78002" hidden="1" x14ac:dyDescent="0.35"/>
    <row r="78003" hidden="1" x14ac:dyDescent="0.35"/>
    <row r="78004" hidden="1" x14ac:dyDescent="0.35"/>
    <row r="78005" hidden="1" x14ac:dyDescent="0.35"/>
    <row r="78006" hidden="1" x14ac:dyDescent="0.35"/>
    <row r="78007" hidden="1" x14ac:dyDescent="0.35"/>
    <row r="78008" hidden="1" x14ac:dyDescent="0.35"/>
    <row r="78009" hidden="1" x14ac:dyDescent="0.35"/>
    <row r="78010" hidden="1" x14ac:dyDescent="0.35"/>
    <row r="78011" hidden="1" x14ac:dyDescent="0.35"/>
    <row r="78012" hidden="1" x14ac:dyDescent="0.35"/>
    <row r="78013" hidden="1" x14ac:dyDescent="0.35"/>
    <row r="78014" hidden="1" x14ac:dyDescent="0.35"/>
    <row r="78015" hidden="1" x14ac:dyDescent="0.35"/>
    <row r="78016" hidden="1" x14ac:dyDescent="0.35"/>
    <row r="78017" hidden="1" x14ac:dyDescent="0.35"/>
    <row r="78018" hidden="1" x14ac:dyDescent="0.35"/>
    <row r="78019" hidden="1" x14ac:dyDescent="0.35"/>
    <row r="78020" hidden="1" x14ac:dyDescent="0.35"/>
    <row r="78021" hidden="1" x14ac:dyDescent="0.35"/>
    <row r="78022" hidden="1" x14ac:dyDescent="0.35"/>
    <row r="78023" hidden="1" x14ac:dyDescent="0.35"/>
    <row r="78024" hidden="1" x14ac:dyDescent="0.35"/>
    <row r="78025" hidden="1" x14ac:dyDescent="0.35"/>
    <row r="78026" hidden="1" x14ac:dyDescent="0.35"/>
    <row r="78027" hidden="1" x14ac:dyDescent="0.35"/>
    <row r="78028" hidden="1" x14ac:dyDescent="0.35"/>
    <row r="78029" hidden="1" x14ac:dyDescent="0.35"/>
    <row r="78030" hidden="1" x14ac:dyDescent="0.35"/>
    <row r="78031" hidden="1" x14ac:dyDescent="0.35"/>
    <row r="78032" hidden="1" x14ac:dyDescent="0.35"/>
    <row r="78033" hidden="1" x14ac:dyDescent="0.35"/>
    <row r="78034" hidden="1" x14ac:dyDescent="0.35"/>
    <row r="78035" hidden="1" x14ac:dyDescent="0.35"/>
    <row r="78036" hidden="1" x14ac:dyDescent="0.35"/>
    <row r="78037" hidden="1" x14ac:dyDescent="0.35"/>
    <row r="78038" hidden="1" x14ac:dyDescent="0.35"/>
    <row r="78039" hidden="1" x14ac:dyDescent="0.35"/>
    <row r="78040" hidden="1" x14ac:dyDescent="0.35"/>
    <row r="78041" hidden="1" x14ac:dyDescent="0.35"/>
    <row r="78042" hidden="1" x14ac:dyDescent="0.35"/>
    <row r="78043" hidden="1" x14ac:dyDescent="0.35"/>
    <row r="78044" hidden="1" x14ac:dyDescent="0.35"/>
    <row r="78045" hidden="1" x14ac:dyDescent="0.35"/>
    <row r="78046" hidden="1" x14ac:dyDescent="0.35"/>
    <row r="78047" hidden="1" x14ac:dyDescent="0.35"/>
    <row r="78048" hidden="1" x14ac:dyDescent="0.35"/>
    <row r="78049" hidden="1" x14ac:dyDescent="0.35"/>
    <row r="78050" hidden="1" x14ac:dyDescent="0.35"/>
    <row r="78051" hidden="1" x14ac:dyDescent="0.35"/>
    <row r="78052" hidden="1" x14ac:dyDescent="0.35"/>
    <row r="78053" hidden="1" x14ac:dyDescent="0.35"/>
    <row r="78054" hidden="1" x14ac:dyDescent="0.35"/>
    <row r="78055" hidden="1" x14ac:dyDescent="0.35"/>
    <row r="78056" hidden="1" x14ac:dyDescent="0.35"/>
    <row r="78057" hidden="1" x14ac:dyDescent="0.35"/>
    <row r="78058" hidden="1" x14ac:dyDescent="0.35"/>
    <row r="78059" hidden="1" x14ac:dyDescent="0.35"/>
    <row r="78060" hidden="1" x14ac:dyDescent="0.35"/>
    <row r="78061" hidden="1" x14ac:dyDescent="0.35"/>
    <row r="78062" hidden="1" x14ac:dyDescent="0.35"/>
    <row r="78063" hidden="1" x14ac:dyDescent="0.35"/>
    <row r="78064" hidden="1" x14ac:dyDescent="0.35"/>
    <row r="78065" hidden="1" x14ac:dyDescent="0.35"/>
    <row r="78066" hidden="1" x14ac:dyDescent="0.35"/>
    <row r="78067" hidden="1" x14ac:dyDescent="0.35"/>
    <row r="78068" hidden="1" x14ac:dyDescent="0.35"/>
    <row r="78069" hidden="1" x14ac:dyDescent="0.35"/>
    <row r="78070" hidden="1" x14ac:dyDescent="0.35"/>
    <row r="78071" hidden="1" x14ac:dyDescent="0.35"/>
    <row r="78072" hidden="1" x14ac:dyDescent="0.35"/>
    <row r="78073" hidden="1" x14ac:dyDescent="0.35"/>
    <row r="78074" hidden="1" x14ac:dyDescent="0.35"/>
    <row r="78075" hidden="1" x14ac:dyDescent="0.35"/>
    <row r="78076" hidden="1" x14ac:dyDescent="0.35"/>
    <row r="78077" hidden="1" x14ac:dyDescent="0.35"/>
    <row r="78078" hidden="1" x14ac:dyDescent="0.35"/>
    <row r="78079" hidden="1" x14ac:dyDescent="0.35"/>
    <row r="78080" hidden="1" x14ac:dyDescent="0.35"/>
    <row r="78081" hidden="1" x14ac:dyDescent="0.35"/>
    <row r="78082" hidden="1" x14ac:dyDescent="0.35"/>
    <row r="78083" hidden="1" x14ac:dyDescent="0.35"/>
    <row r="78084" hidden="1" x14ac:dyDescent="0.35"/>
    <row r="78085" hidden="1" x14ac:dyDescent="0.35"/>
    <row r="78086" hidden="1" x14ac:dyDescent="0.35"/>
    <row r="78087" hidden="1" x14ac:dyDescent="0.35"/>
    <row r="78088" hidden="1" x14ac:dyDescent="0.35"/>
    <row r="78089" hidden="1" x14ac:dyDescent="0.35"/>
    <row r="78090" hidden="1" x14ac:dyDescent="0.35"/>
    <row r="78091" hidden="1" x14ac:dyDescent="0.35"/>
    <row r="78092" hidden="1" x14ac:dyDescent="0.35"/>
    <row r="78093" hidden="1" x14ac:dyDescent="0.35"/>
    <row r="78094" hidden="1" x14ac:dyDescent="0.35"/>
    <row r="78095" hidden="1" x14ac:dyDescent="0.35"/>
    <row r="78096" hidden="1" x14ac:dyDescent="0.35"/>
    <row r="78097" hidden="1" x14ac:dyDescent="0.35"/>
    <row r="78098" hidden="1" x14ac:dyDescent="0.35"/>
    <row r="78099" hidden="1" x14ac:dyDescent="0.35"/>
    <row r="78100" hidden="1" x14ac:dyDescent="0.35"/>
    <row r="78101" hidden="1" x14ac:dyDescent="0.35"/>
    <row r="78102" hidden="1" x14ac:dyDescent="0.35"/>
    <row r="78103" hidden="1" x14ac:dyDescent="0.35"/>
    <row r="78104" hidden="1" x14ac:dyDescent="0.35"/>
    <row r="78105" hidden="1" x14ac:dyDescent="0.35"/>
    <row r="78106" hidden="1" x14ac:dyDescent="0.35"/>
    <row r="78107" hidden="1" x14ac:dyDescent="0.35"/>
    <row r="78108" hidden="1" x14ac:dyDescent="0.35"/>
    <row r="78109" hidden="1" x14ac:dyDescent="0.35"/>
    <row r="78110" hidden="1" x14ac:dyDescent="0.35"/>
    <row r="78111" hidden="1" x14ac:dyDescent="0.35"/>
    <row r="78112" hidden="1" x14ac:dyDescent="0.35"/>
    <row r="78113" hidden="1" x14ac:dyDescent="0.35"/>
    <row r="78114" hidden="1" x14ac:dyDescent="0.35"/>
    <row r="78115" hidden="1" x14ac:dyDescent="0.35"/>
    <row r="78116" hidden="1" x14ac:dyDescent="0.35"/>
    <row r="78117" hidden="1" x14ac:dyDescent="0.35"/>
    <row r="78118" hidden="1" x14ac:dyDescent="0.35"/>
    <row r="78119" hidden="1" x14ac:dyDescent="0.35"/>
    <row r="78120" hidden="1" x14ac:dyDescent="0.35"/>
    <row r="78121" hidden="1" x14ac:dyDescent="0.35"/>
    <row r="78122" hidden="1" x14ac:dyDescent="0.35"/>
    <row r="78123" hidden="1" x14ac:dyDescent="0.35"/>
    <row r="78124" hidden="1" x14ac:dyDescent="0.35"/>
    <row r="78125" hidden="1" x14ac:dyDescent="0.35"/>
    <row r="78126" hidden="1" x14ac:dyDescent="0.35"/>
    <row r="78127" hidden="1" x14ac:dyDescent="0.35"/>
    <row r="78128" hidden="1" x14ac:dyDescent="0.35"/>
    <row r="78129" hidden="1" x14ac:dyDescent="0.35"/>
    <row r="78130" hidden="1" x14ac:dyDescent="0.35"/>
    <row r="78131" hidden="1" x14ac:dyDescent="0.35"/>
    <row r="78132" hidden="1" x14ac:dyDescent="0.35"/>
    <row r="78133" hidden="1" x14ac:dyDescent="0.35"/>
    <row r="78134" hidden="1" x14ac:dyDescent="0.35"/>
    <row r="78135" hidden="1" x14ac:dyDescent="0.35"/>
    <row r="78136" hidden="1" x14ac:dyDescent="0.35"/>
    <row r="78137" hidden="1" x14ac:dyDescent="0.35"/>
    <row r="78138" hidden="1" x14ac:dyDescent="0.35"/>
    <row r="78139" hidden="1" x14ac:dyDescent="0.35"/>
    <row r="78140" hidden="1" x14ac:dyDescent="0.35"/>
    <row r="78141" hidden="1" x14ac:dyDescent="0.35"/>
    <row r="78142" hidden="1" x14ac:dyDescent="0.35"/>
    <row r="78143" hidden="1" x14ac:dyDescent="0.35"/>
    <row r="78144" hidden="1" x14ac:dyDescent="0.35"/>
    <row r="78145" hidden="1" x14ac:dyDescent="0.35"/>
    <row r="78146" hidden="1" x14ac:dyDescent="0.35"/>
    <row r="78147" hidden="1" x14ac:dyDescent="0.35"/>
    <row r="78148" hidden="1" x14ac:dyDescent="0.35"/>
    <row r="78149" hidden="1" x14ac:dyDescent="0.35"/>
    <row r="78150" hidden="1" x14ac:dyDescent="0.35"/>
    <row r="78151" hidden="1" x14ac:dyDescent="0.35"/>
    <row r="78152" hidden="1" x14ac:dyDescent="0.35"/>
    <row r="78153" hidden="1" x14ac:dyDescent="0.35"/>
    <row r="78154" hidden="1" x14ac:dyDescent="0.35"/>
    <row r="78155" hidden="1" x14ac:dyDescent="0.35"/>
    <row r="78156" hidden="1" x14ac:dyDescent="0.35"/>
    <row r="78157" hidden="1" x14ac:dyDescent="0.35"/>
    <row r="78158" hidden="1" x14ac:dyDescent="0.35"/>
    <row r="78159" hidden="1" x14ac:dyDescent="0.35"/>
    <row r="78160" hidden="1" x14ac:dyDescent="0.35"/>
    <row r="78161" hidden="1" x14ac:dyDescent="0.35"/>
    <row r="78162" hidden="1" x14ac:dyDescent="0.35"/>
    <row r="78163" hidden="1" x14ac:dyDescent="0.35"/>
    <row r="78164" hidden="1" x14ac:dyDescent="0.35"/>
    <row r="78165" hidden="1" x14ac:dyDescent="0.35"/>
    <row r="78166" hidden="1" x14ac:dyDescent="0.35"/>
    <row r="78167" hidden="1" x14ac:dyDescent="0.35"/>
    <row r="78168" hidden="1" x14ac:dyDescent="0.35"/>
    <row r="78169" hidden="1" x14ac:dyDescent="0.35"/>
    <row r="78170" hidden="1" x14ac:dyDescent="0.35"/>
    <row r="78171" hidden="1" x14ac:dyDescent="0.35"/>
    <row r="78172" hidden="1" x14ac:dyDescent="0.35"/>
    <row r="78173" hidden="1" x14ac:dyDescent="0.35"/>
    <row r="78174" hidden="1" x14ac:dyDescent="0.35"/>
    <row r="78175" hidden="1" x14ac:dyDescent="0.35"/>
    <row r="78176" hidden="1" x14ac:dyDescent="0.35"/>
    <row r="78177" hidden="1" x14ac:dyDescent="0.35"/>
    <row r="78178" hidden="1" x14ac:dyDescent="0.35"/>
    <row r="78179" hidden="1" x14ac:dyDescent="0.35"/>
    <row r="78180" hidden="1" x14ac:dyDescent="0.35"/>
    <row r="78181" hidden="1" x14ac:dyDescent="0.35"/>
    <row r="78182" hidden="1" x14ac:dyDescent="0.35"/>
    <row r="78183" hidden="1" x14ac:dyDescent="0.35"/>
    <row r="78184" hidden="1" x14ac:dyDescent="0.35"/>
    <row r="78185" hidden="1" x14ac:dyDescent="0.35"/>
    <row r="78186" hidden="1" x14ac:dyDescent="0.35"/>
    <row r="78187" hidden="1" x14ac:dyDescent="0.35"/>
    <row r="78188" hidden="1" x14ac:dyDescent="0.35"/>
    <row r="78189" hidden="1" x14ac:dyDescent="0.35"/>
    <row r="78190" hidden="1" x14ac:dyDescent="0.35"/>
    <row r="78191" hidden="1" x14ac:dyDescent="0.35"/>
    <row r="78192" hidden="1" x14ac:dyDescent="0.35"/>
    <row r="78193" hidden="1" x14ac:dyDescent="0.35"/>
    <row r="78194" hidden="1" x14ac:dyDescent="0.35"/>
    <row r="78195" hidden="1" x14ac:dyDescent="0.35"/>
    <row r="78196" hidden="1" x14ac:dyDescent="0.35"/>
    <row r="78197" hidden="1" x14ac:dyDescent="0.35"/>
    <row r="78198" hidden="1" x14ac:dyDescent="0.35"/>
    <row r="78199" hidden="1" x14ac:dyDescent="0.35"/>
    <row r="78200" hidden="1" x14ac:dyDescent="0.35"/>
    <row r="78201" hidden="1" x14ac:dyDescent="0.35"/>
    <row r="78202" hidden="1" x14ac:dyDescent="0.35"/>
    <row r="78203" hidden="1" x14ac:dyDescent="0.35"/>
    <row r="78204" hidden="1" x14ac:dyDescent="0.35"/>
    <row r="78205" hidden="1" x14ac:dyDescent="0.35"/>
    <row r="78206" hidden="1" x14ac:dyDescent="0.35"/>
    <row r="78207" hidden="1" x14ac:dyDescent="0.35"/>
    <row r="78208" hidden="1" x14ac:dyDescent="0.35"/>
    <row r="78209" hidden="1" x14ac:dyDescent="0.35"/>
    <row r="78210" hidden="1" x14ac:dyDescent="0.35"/>
    <row r="78211" hidden="1" x14ac:dyDescent="0.35"/>
    <row r="78212" hidden="1" x14ac:dyDescent="0.35"/>
    <row r="78213" hidden="1" x14ac:dyDescent="0.35"/>
    <row r="78214" hidden="1" x14ac:dyDescent="0.35"/>
    <row r="78215" hidden="1" x14ac:dyDescent="0.35"/>
    <row r="78216" hidden="1" x14ac:dyDescent="0.35"/>
    <row r="78217" hidden="1" x14ac:dyDescent="0.35"/>
    <row r="78218" hidden="1" x14ac:dyDescent="0.35"/>
    <row r="78219" hidden="1" x14ac:dyDescent="0.35"/>
    <row r="78220" hidden="1" x14ac:dyDescent="0.35"/>
    <row r="78221" hidden="1" x14ac:dyDescent="0.35"/>
    <row r="78222" hidden="1" x14ac:dyDescent="0.35"/>
    <row r="78223" hidden="1" x14ac:dyDescent="0.35"/>
    <row r="78224" hidden="1" x14ac:dyDescent="0.35"/>
    <row r="78225" hidden="1" x14ac:dyDescent="0.35"/>
    <row r="78226" hidden="1" x14ac:dyDescent="0.35"/>
    <row r="78227" hidden="1" x14ac:dyDescent="0.35"/>
    <row r="78228" hidden="1" x14ac:dyDescent="0.35"/>
    <row r="78229" hidden="1" x14ac:dyDescent="0.35"/>
    <row r="78230" hidden="1" x14ac:dyDescent="0.35"/>
    <row r="78231" hidden="1" x14ac:dyDescent="0.35"/>
    <row r="78232" hidden="1" x14ac:dyDescent="0.35"/>
    <row r="78233" hidden="1" x14ac:dyDescent="0.35"/>
    <row r="78234" hidden="1" x14ac:dyDescent="0.35"/>
    <row r="78235" hidden="1" x14ac:dyDescent="0.35"/>
    <row r="78236" hidden="1" x14ac:dyDescent="0.35"/>
    <row r="78237" hidden="1" x14ac:dyDescent="0.35"/>
    <row r="78238" hidden="1" x14ac:dyDescent="0.35"/>
    <row r="78239" hidden="1" x14ac:dyDescent="0.35"/>
    <row r="78240" hidden="1" x14ac:dyDescent="0.35"/>
    <row r="78241" hidden="1" x14ac:dyDescent="0.35"/>
    <row r="78242" hidden="1" x14ac:dyDescent="0.35"/>
    <row r="78243" hidden="1" x14ac:dyDescent="0.35"/>
    <row r="78244" hidden="1" x14ac:dyDescent="0.35"/>
    <row r="78245" hidden="1" x14ac:dyDescent="0.35"/>
    <row r="78246" hidden="1" x14ac:dyDescent="0.35"/>
    <row r="78247" hidden="1" x14ac:dyDescent="0.35"/>
    <row r="78248" hidden="1" x14ac:dyDescent="0.35"/>
    <row r="78249" hidden="1" x14ac:dyDescent="0.35"/>
    <row r="78250" hidden="1" x14ac:dyDescent="0.35"/>
    <row r="78251" hidden="1" x14ac:dyDescent="0.35"/>
    <row r="78252" hidden="1" x14ac:dyDescent="0.35"/>
    <row r="78253" hidden="1" x14ac:dyDescent="0.35"/>
    <row r="78254" hidden="1" x14ac:dyDescent="0.35"/>
    <row r="78255" hidden="1" x14ac:dyDescent="0.35"/>
    <row r="78256" hidden="1" x14ac:dyDescent="0.35"/>
    <row r="78257" hidden="1" x14ac:dyDescent="0.35"/>
    <row r="78258" hidden="1" x14ac:dyDescent="0.35"/>
    <row r="78259" hidden="1" x14ac:dyDescent="0.35"/>
    <row r="78260" hidden="1" x14ac:dyDescent="0.35"/>
    <row r="78261" hidden="1" x14ac:dyDescent="0.35"/>
    <row r="78262" hidden="1" x14ac:dyDescent="0.35"/>
    <row r="78263" hidden="1" x14ac:dyDescent="0.35"/>
    <row r="78264" hidden="1" x14ac:dyDescent="0.35"/>
    <row r="78265" hidden="1" x14ac:dyDescent="0.35"/>
    <row r="78266" hidden="1" x14ac:dyDescent="0.35"/>
    <row r="78267" hidden="1" x14ac:dyDescent="0.35"/>
    <row r="78268" hidden="1" x14ac:dyDescent="0.35"/>
    <row r="78269" hidden="1" x14ac:dyDescent="0.35"/>
    <row r="78270" hidden="1" x14ac:dyDescent="0.35"/>
    <row r="78271" hidden="1" x14ac:dyDescent="0.35"/>
    <row r="78272" hidden="1" x14ac:dyDescent="0.35"/>
    <row r="78273" hidden="1" x14ac:dyDescent="0.35"/>
    <row r="78274" hidden="1" x14ac:dyDescent="0.35"/>
    <row r="78275" hidden="1" x14ac:dyDescent="0.35"/>
    <row r="78276" hidden="1" x14ac:dyDescent="0.35"/>
    <row r="78277" hidden="1" x14ac:dyDescent="0.35"/>
    <row r="78278" hidden="1" x14ac:dyDescent="0.35"/>
    <row r="78279" hidden="1" x14ac:dyDescent="0.35"/>
    <row r="78280" hidden="1" x14ac:dyDescent="0.35"/>
    <row r="78281" hidden="1" x14ac:dyDescent="0.35"/>
    <row r="78282" hidden="1" x14ac:dyDescent="0.35"/>
    <row r="78283" hidden="1" x14ac:dyDescent="0.35"/>
    <row r="78284" hidden="1" x14ac:dyDescent="0.35"/>
    <row r="78285" hidden="1" x14ac:dyDescent="0.35"/>
    <row r="78286" hidden="1" x14ac:dyDescent="0.35"/>
    <row r="78287" hidden="1" x14ac:dyDescent="0.35"/>
    <row r="78288" hidden="1" x14ac:dyDescent="0.35"/>
    <row r="78289" hidden="1" x14ac:dyDescent="0.35"/>
    <row r="78290" hidden="1" x14ac:dyDescent="0.35"/>
    <row r="78291" hidden="1" x14ac:dyDescent="0.35"/>
    <row r="78292" hidden="1" x14ac:dyDescent="0.35"/>
    <row r="78293" hidden="1" x14ac:dyDescent="0.35"/>
    <row r="78294" hidden="1" x14ac:dyDescent="0.35"/>
    <row r="78295" hidden="1" x14ac:dyDescent="0.35"/>
    <row r="78296" hidden="1" x14ac:dyDescent="0.35"/>
    <row r="78297" hidden="1" x14ac:dyDescent="0.35"/>
    <row r="78298" hidden="1" x14ac:dyDescent="0.35"/>
    <row r="78299" hidden="1" x14ac:dyDescent="0.35"/>
    <row r="78300" hidden="1" x14ac:dyDescent="0.35"/>
    <row r="78301" hidden="1" x14ac:dyDescent="0.35"/>
    <row r="78302" hidden="1" x14ac:dyDescent="0.35"/>
    <row r="78303" hidden="1" x14ac:dyDescent="0.35"/>
    <row r="78304" hidden="1" x14ac:dyDescent="0.35"/>
    <row r="78305" hidden="1" x14ac:dyDescent="0.35"/>
    <row r="78306" hidden="1" x14ac:dyDescent="0.35"/>
    <row r="78307" hidden="1" x14ac:dyDescent="0.35"/>
    <row r="78308" hidden="1" x14ac:dyDescent="0.35"/>
    <row r="78309" hidden="1" x14ac:dyDescent="0.35"/>
    <row r="78310" hidden="1" x14ac:dyDescent="0.35"/>
    <row r="78311" hidden="1" x14ac:dyDescent="0.35"/>
    <row r="78312" hidden="1" x14ac:dyDescent="0.35"/>
    <row r="78313" hidden="1" x14ac:dyDescent="0.35"/>
    <row r="78314" hidden="1" x14ac:dyDescent="0.35"/>
    <row r="78315" hidden="1" x14ac:dyDescent="0.35"/>
    <row r="78316" hidden="1" x14ac:dyDescent="0.35"/>
    <row r="78317" hidden="1" x14ac:dyDescent="0.35"/>
    <row r="78318" hidden="1" x14ac:dyDescent="0.35"/>
    <row r="78319" hidden="1" x14ac:dyDescent="0.35"/>
    <row r="78320" hidden="1" x14ac:dyDescent="0.35"/>
    <row r="78321" hidden="1" x14ac:dyDescent="0.35"/>
    <row r="78322" hidden="1" x14ac:dyDescent="0.35"/>
    <row r="78323" hidden="1" x14ac:dyDescent="0.35"/>
    <row r="78324" hidden="1" x14ac:dyDescent="0.35"/>
    <row r="78325" hidden="1" x14ac:dyDescent="0.35"/>
    <row r="78326" hidden="1" x14ac:dyDescent="0.35"/>
    <row r="78327" hidden="1" x14ac:dyDescent="0.35"/>
    <row r="78328" hidden="1" x14ac:dyDescent="0.35"/>
    <row r="78329" hidden="1" x14ac:dyDescent="0.35"/>
    <row r="78330" hidden="1" x14ac:dyDescent="0.35"/>
    <row r="78331" hidden="1" x14ac:dyDescent="0.35"/>
    <row r="78332" hidden="1" x14ac:dyDescent="0.35"/>
    <row r="78333" hidden="1" x14ac:dyDescent="0.35"/>
    <row r="78334" hidden="1" x14ac:dyDescent="0.35"/>
    <row r="78335" hidden="1" x14ac:dyDescent="0.35"/>
    <row r="78336" hidden="1" x14ac:dyDescent="0.35"/>
    <row r="78337" hidden="1" x14ac:dyDescent="0.35"/>
    <row r="78338" hidden="1" x14ac:dyDescent="0.35"/>
    <row r="78339" hidden="1" x14ac:dyDescent="0.35"/>
    <row r="78340" hidden="1" x14ac:dyDescent="0.35"/>
    <row r="78341" hidden="1" x14ac:dyDescent="0.35"/>
    <row r="78342" hidden="1" x14ac:dyDescent="0.35"/>
    <row r="78343" hidden="1" x14ac:dyDescent="0.35"/>
    <row r="78344" hidden="1" x14ac:dyDescent="0.35"/>
    <row r="78345" hidden="1" x14ac:dyDescent="0.35"/>
    <row r="78346" hidden="1" x14ac:dyDescent="0.35"/>
    <row r="78347" hidden="1" x14ac:dyDescent="0.35"/>
    <row r="78348" hidden="1" x14ac:dyDescent="0.35"/>
    <row r="78349" hidden="1" x14ac:dyDescent="0.35"/>
    <row r="78350" hidden="1" x14ac:dyDescent="0.35"/>
    <row r="78351" hidden="1" x14ac:dyDescent="0.35"/>
    <row r="78352" hidden="1" x14ac:dyDescent="0.35"/>
    <row r="78353" hidden="1" x14ac:dyDescent="0.35"/>
    <row r="78354" hidden="1" x14ac:dyDescent="0.35"/>
    <row r="78355" hidden="1" x14ac:dyDescent="0.35"/>
    <row r="78356" hidden="1" x14ac:dyDescent="0.35"/>
    <row r="78357" hidden="1" x14ac:dyDescent="0.35"/>
    <row r="78358" hidden="1" x14ac:dyDescent="0.35"/>
    <row r="78359" hidden="1" x14ac:dyDescent="0.35"/>
    <row r="78360" hidden="1" x14ac:dyDescent="0.35"/>
    <row r="78361" hidden="1" x14ac:dyDescent="0.35"/>
    <row r="78362" hidden="1" x14ac:dyDescent="0.35"/>
    <row r="78363" hidden="1" x14ac:dyDescent="0.35"/>
    <row r="78364" hidden="1" x14ac:dyDescent="0.35"/>
    <row r="78365" hidden="1" x14ac:dyDescent="0.35"/>
    <row r="78366" hidden="1" x14ac:dyDescent="0.35"/>
    <row r="78367" hidden="1" x14ac:dyDescent="0.35"/>
    <row r="78368" hidden="1" x14ac:dyDescent="0.35"/>
    <row r="78369" hidden="1" x14ac:dyDescent="0.35"/>
    <row r="78370" hidden="1" x14ac:dyDescent="0.35"/>
    <row r="78371" hidden="1" x14ac:dyDescent="0.35"/>
    <row r="78372" hidden="1" x14ac:dyDescent="0.35"/>
    <row r="78373" hidden="1" x14ac:dyDescent="0.35"/>
    <row r="78374" hidden="1" x14ac:dyDescent="0.35"/>
    <row r="78375" hidden="1" x14ac:dyDescent="0.35"/>
    <row r="78376" hidden="1" x14ac:dyDescent="0.35"/>
    <row r="78377" hidden="1" x14ac:dyDescent="0.35"/>
    <row r="78378" hidden="1" x14ac:dyDescent="0.35"/>
    <row r="78379" hidden="1" x14ac:dyDescent="0.35"/>
    <row r="78380" hidden="1" x14ac:dyDescent="0.35"/>
    <row r="78381" hidden="1" x14ac:dyDescent="0.35"/>
    <row r="78382" hidden="1" x14ac:dyDescent="0.35"/>
    <row r="78383" hidden="1" x14ac:dyDescent="0.35"/>
    <row r="78384" hidden="1" x14ac:dyDescent="0.35"/>
    <row r="78385" hidden="1" x14ac:dyDescent="0.35"/>
    <row r="78386" hidden="1" x14ac:dyDescent="0.35"/>
    <row r="78387" hidden="1" x14ac:dyDescent="0.35"/>
    <row r="78388" hidden="1" x14ac:dyDescent="0.35"/>
    <row r="78389" hidden="1" x14ac:dyDescent="0.35"/>
    <row r="78390" hidden="1" x14ac:dyDescent="0.35"/>
    <row r="78391" hidden="1" x14ac:dyDescent="0.35"/>
    <row r="78392" hidden="1" x14ac:dyDescent="0.35"/>
    <row r="78393" hidden="1" x14ac:dyDescent="0.35"/>
    <row r="78394" hidden="1" x14ac:dyDescent="0.35"/>
    <row r="78395" hidden="1" x14ac:dyDescent="0.35"/>
    <row r="78396" hidden="1" x14ac:dyDescent="0.35"/>
    <row r="78397" hidden="1" x14ac:dyDescent="0.35"/>
    <row r="78398" hidden="1" x14ac:dyDescent="0.35"/>
    <row r="78399" hidden="1" x14ac:dyDescent="0.35"/>
    <row r="78400" hidden="1" x14ac:dyDescent="0.35"/>
    <row r="78401" hidden="1" x14ac:dyDescent="0.35"/>
    <row r="78402" hidden="1" x14ac:dyDescent="0.35"/>
    <row r="78403" hidden="1" x14ac:dyDescent="0.35"/>
    <row r="78404" hidden="1" x14ac:dyDescent="0.35"/>
    <row r="78405" hidden="1" x14ac:dyDescent="0.35"/>
    <row r="78406" hidden="1" x14ac:dyDescent="0.35"/>
    <row r="78407" hidden="1" x14ac:dyDescent="0.35"/>
    <row r="78408" hidden="1" x14ac:dyDescent="0.35"/>
    <row r="78409" hidden="1" x14ac:dyDescent="0.35"/>
    <row r="78410" hidden="1" x14ac:dyDescent="0.35"/>
    <row r="78411" hidden="1" x14ac:dyDescent="0.35"/>
    <row r="78412" hidden="1" x14ac:dyDescent="0.35"/>
    <row r="78413" hidden="1" x14ac:dyDescent="0.35"/>
    <row r="78414" hidden="1" x14ac:dyDescent="0.35"/>
    <row r="78415" hidden="1" x14ac:dyDescent="0.35"/>
    <row r="78416" hidden="1" x14ac:dyDescent="0.35"/>
    <row r="78417" hidden="1" x14ac:dyDescent="0.35"/>
    <row r="78418" hidden="1" x14ac:dyDescent="0.35"/>
    <row r="78419" hidden="1" x14ac:dyDescent="0.35"/>
    <row r="78420" hidden="1" x14ac:dyDescent="0.35"/>
    <row r="78421" hidden="1" x14ac:dyDescent="0.35"/>
    <row r="78422" hidden="1" x14ac:dyDescent="0.35"/>
    <row r="78423" hidden="1" x14ac:dyDescent="0.35"/>
    <row r="78424" hidden="1" x14ac:dyDescent="0.35"/>
    <row r="78425" hidden="1" x14ac:dyDescent="0.35"/>
    <row r="78426" hidden="1" x14ac:dyDescent="0.35"/>
    <row r="78427" hidden="1" x14ac:dyDescent="0.35"/>
    <row r="78428" hidden="1" x14ac:dyDescent="0.35"/>
    <row r="78429" hidden="1" x14ac:dyDescent="0.35"/>
    <row r="78430" hidden="1" x14ac:dyDescent="0.35"/>
    <row r="78431" hidden="1" x14ac:dyDescent="0.35"/>
    <row r="78432" hidden="1" x14ac:dyDescent="0.35"/>
    <row r="78433" hidden="1" x14ac:dyDescent="0.35"/>
    <row r="78434" hidden="1" x14ac:dyDescent="0.35"/>
    <row r="78435" hidden="1" x14ac:dyDescent="0.35"/>
    <row r="78436" hidden="1" x14ac:dyDescent="0.35"/>
    <row r="78437" hidden="1" x14ac:dyDescent="0.35"/>
    <row r="78438" hidden="1" x14ac:dyDescent="0.35"/>
    <row r="78439" hidden="1" x14ac:dyDescent="0.35"/>
    <row r="78440" hidden="1" x14ac:dyDescent="0.35"/>
    <row r="78441" hidden="1" x14ac:dyDescent="0.35"/>
    <row r="78442" hidden="1" x14ac:dyDescent="0.35"/>
    <row r="78443" hidden="1" x14ac:dyDescent="0.35"/>
    <row r="78444" hidden="1" x14ac:dyDescent="0.35"/>
    <row r="78445" hidden="1" x14ac:dyDescent="0.35"/>
    <row r="78446" hidden="1" x14ac:dyDescent="0.35"/>
    <row r="78447" hidden="1" x14ac:dyDescent="0.35"/>
    <row r="78448" hidden="1" x14ac:dyDescent="0.35"/>
    <row r="78449" hidden="1" x14ac:dyDescent="0.35"/>
    <row r="78450" hidden="1" x14ac:dyDescent="0.35"/>
    <row r="78451" hidden="1" x14ac:dyDescent="0.35"/>
    <row r="78452" hidden="1" x14ac:dyDescent="0.35"/>
    <row r="78453" hidden="1" x14ac:dyDescent="0.35"/>
    <row r="78454" hidden="1" x14ac:dyDescent="0.35"/>
    <row r="78455" hidden="1" x14ac:dyDescent="0.35"/>
    <row r="78456" hidden="1" x14ac:dyDescent="0.35"/>
    <row r="78457" hidden="1" x14ac:dyDescent="0.35"/>
    <row r="78458" hidden="1" x14ac:dyDescent="0.35"/>
    <row r="78459" hidden="1" x14ac:dyDescent="0.35"/>
    <row r="78460" hidden="1" x14ac:dyDescent="0.35"/>
    <row r="78461" hidden="1" x14ac:dyDescent="0.35"/>
    <row r="78462" hidden="1" x14ac:dyDescent="0.35"/>
    <row r="78463" hidden="1" x14ac:dyDescent="0.35"/>
    <row r="78464" hidden="1" x14ac:dyDescent="0.35"/>
    <row r="78465" hidden="1" x14ac:dyDescent="0.35"/>
    <row r="78466" hidden="1" x14ac:dyDescent="0.35"/>
    <row r="78467" hidden="1" x14ac:dyDescent="0.35"/>
    <row r="78468" hidden="1" x14ac:dyDescent="0.35"/>
    <row r="78469" hidden="1" x14ac:dyDescent="0.35"/>
    <row r="78470" hidden="1" x14ac:dyDescent="0.35"/>
    <row r="78471" hidden="1" x14ac:dyDescent="0.35"/>
    <row r="78472" hidden="1" x14ac:dyDescent="0.35"/>
    <row r="78473" hidden="1" x14ac:dyDescent="0.35"/>
    <row r="78474" hidden="1" x14ac:dyDescent="0.35"/>
    <row r="78475" hidden="1" x14ac:dyDescent="0.35"/>
    <row r="78476" hidden="1" x14ac:dyDescent="0.35"/>
    <row r="78477" hidden="1" x14ac:dyDescent="0.35"/>
    <row r="78478" hidden="1" x14ac:dyDescent="0.35"/>
    <row r="78479" hidden="1" x14ac:dyDescent="0.35"/>
    <row r="78480" hidden="1" x14ac:dyDescent="0.35"/>
    <row r="78481" hidden="1" x14ac:dyDescent="0.35"/>
    <row r="78482" hidden="1" x14ac:dyDescent="0.35"/>
    <row r="78483" hidden="1" x14ac:dyDescent="0.35"/>
    <row r="78484" hidden="1" x14ac:dyDescent="0.35"/>
    <row r="78485" hidden="1" x14ac:dyDescent="0.35"/>
    <row r="78486" hidden="1" x14ac:dyDescent="0.35"/>
    <row r="78487" hidden="1" x14ac:dyDescent="0.35"/>
    <row r="78488" hidden="1" x14ac:dyDescent="0.35"/>
    <row r="78489" hidden="1" x14ac:dyDescent="0.35"/>
    <row r="78490" hidden="1" x14ac:dyDescent="0.35"/>
    <row r="78491" hidden="1" x14ac:dyDescent="0.35"/>
    <row r="78492" hidden="1" x14ac:dyDescent="0.35"/>
    <row r="78493" hidden="1" x14ac:dyDescent="0.35"/>
    <row r="78494" hidden="1" x14ac:dyDescent="0.35"/>
    <row r="78495" hidden="1" x14ac:dyDescent="0.35"/>
    <row r="78496" hidden="1" x14ac:dyDescent="0.35"/>
    <row r="78497" hidden="1" x14ac:dyDescent="0.35"/>
    <row r="78498" hidden="1" x14ac:dyDescent="0.35"/>
    <row r="78499" hidden="1" x14ac:dyDescent="0.35"/>
    <row r="78500" hidden="1" x14ac:dyDescent="0.35"/>
    <row r="78501" hidden="1" x14ac:dyDescent="0.35"/>
    <row r="78502" hidden="1" x14ac:dyDescent="0.35"/>
    <row r="78503" hidden="1" x14ac:dyDescent="0.35"/>
    <row r="78504" hidden="1" x14ac:dyDescent="0.35"/>
    <row r="78505" hidden="1" x14ac:dyDescent="0.35"/>
    <row r="78506" hidden="1" x14ac:dyDescent="0.35"/>
    <row r="78507" hidden="1" x14ac:dyDescent="0.35"/>
    <row r="78508" hidden="1" x14ac:dyDescent="0.35"/>
    <row r="78509" hidden="1" x14ac:dyDescent="0.35"/>
    <row r="78510" hidden="1" x14ac:dyDescent="0.35"/>
    <row r="78511" hidden="1" x14ac:dyDescent="0.35"/>
    <row r="78512" hidden="1" x14ac:dyDescent="0.35"/>
    <row r="78513" hidden="1" x14ac:dyDescent="0.35"/>
    <row r="78514" hidden="1" x14ac:dyDescent="0.35"/>
    <row r="78515" hidden="1" x14ac:dyDescent="0.35"/>
    <row r="78516" hidden="1" x14ac:dyDescent="0.35"/>
    <row r="78517" hidden="1" x14ac:dyDescent="0.35"/>
    <row r="78518" hidden="1" x14ac:dyDescent="0.35"/>
    <row r="78519" hidden="1" x14ac:dyDescent="0.35"/>
    <row r="78520" hidden="1" x14ac:dyDescent="0.35"/>
    <row r="78521" hidden="1" x14ac:dyDescent="0.35"/>
    <row r="78522" hidden="1" x14ac:dyDescent="0.35"/>
    <row r="78523" hidden="1" x14ac:dyDescent="0.35"/>
    <row r="78524" hidden="1" x14ac:dyDescent="0.35"/>
    <row r="78525" hidden="1" x14ac:dyDescent="0.35"/>
    <row r="78526" hidden="1" x14ac:dyDescent="0.35"/>
    <row r="78527" hidden="1" x14ac:dyDescent="0.35"/>
    <row r="78528" hidden="1" x14ac:dyDescent="0.35"/>
    <row r="78529" hidden="1" x14ac:dyDescent="0.35"/>
    <row r="78530" hidden="1" x14ac:dyDescent="0.35"/>
    <row r="78531" hidden="1" x14ac:dyDescent="0.35"/>
    <row r="78532" hidden="1" x14ac:dyDescent="0.35"/>
    <row r="78533" hidden="1" x14ac:dyDescent="0.35"/>
    <row r="78534" hidden="1" x14ac:dyDescent="0.35"/>
    <row r="78535" hidden="1" x14ac:dyDescent="0.35"/>
    <row r="78536" hidden="1" x14ac:dyDescent="0.35"/>
    <row r="78537" hidden="1" x14ac:dyDescent="0.35"/>
    <row r="78538" hidden="1" x14ac:dyDescent="0.35"/>
    <row r="78539" hidden="1" x14ac:dyDescent="0.35"/>
    <row r="78540" hidden="1" x14ac:dyDescent="0.35"/>
    <row r="78541" hidden="1" x14ac:dyDescent="0.35"/>
    <row r="78542" hidden="1" x14ac:dyDescent="0.35"/>
    <row r="78543" hidden="1" x14ac:dyDescent="0.35"/>
    <row r="78544" hidden="1" x14ac:dyDescent="0.35"/>
    <row r="78545" hidden="1" x14ac:dyDescent="0.35"/>
    <row r="78546" hidden="1" x14ac:dyDescent="0.35"/>
    <row r="78547" hidden="1" x14ac:dyDescent="0.35"/>
    <row r="78548" hidden="1" x14ac:dyDescent="0.35"/>
    <row r="78549" hidden="1" x14ac:dyDescent="0.35"/>
    <row r="78550" hidden="1" x14ac:dyDescent="0.35"/>
    <row r="78551" hidden="1" x14ac:dyDescent="0.35"/>
    <row r="78552" hidden="1" x14ac:dyDescent="0.35"/>
    <row r="78553" hidden="1" x14ac:dyDescent="0.35"/>
    <row r="78554" hidden="1" x14ac:dyDescent="0.35"/>
    <row r="78555" hidden="1" x14ac:dyDescent="0.35"/>
    <row r="78556" hidden="1" x14ac:dyDescent="0.35"/>
    <row r="78557" hidden="1" x14ac:dyDescent="0.35"/>
    <row r="78558" hidden="1" x14ac:dyDescent="0.35"/>
    <row r="78559" hidden="1" x14ac:dyDescent="0.35"/>
    <row r="78560" hidden="1" x14ac:dyDescent="0.35"/>
    <row r="78561" hidden="1" x14ac:dyDescent="0.35"/>
    <row r="78562" hidden="1" x14ac:dyDescent="0.35"/>
    <row r="78563" hidden="1" x14ac:dyDescent="0.35"/>
    <row r="78564" hidden="1" x14ac:dyDescent="0.35"/>
    <row r="78565" hidden="1" x14ac:dyDescent="0.35"/>
    <row r="78566" hidden="1" x14ac:dyDescent="0.35"/>
    <row r="78567" hidden="1" x14ac:dyDescent="0.35"/>
    <row r="78568" hidden="1" x14ac:dyDescent="0.35"/>
    <row r="78569" hidden="1" x14ac:dyDescent="0.35"/>
    <row r="78570" hidden="1" x14ac:dyDescent="0.35"/>
    <row r="78571" hidden="1" x14ac:dyDescent="0.35"/>
    <row r="78572" hidden="1" x14ac:dyDescent="0.35"/>
    <row r="78573" hidden="1" x14ac:dyDescent="0.35"/>
    <row r="78574" hidden="1" x14ac:dyDescent="0.35"/>
    <row r="78575" hidden="1" x14ac:dyDescent="0.35"/>
    <row r="78576" hidden="1" x14ac:dyDescent="0.35"/>
    <row r="78577" hidden="1" x14ac:dyDescent="0.35"/>
    <row r="78578" hidden="1" x14ac:dyDescent="0.35"/>
    <row r="78579" hidden="1" x14ac:dyDescent="0.35"/>
    <row r="78580" hidden="1" x14ac:dyDescent="0.35"/>
    <row r="78581" hidden="1" x14ac:dyDescent="0.35"/>
    <row r="78582" hidden="1" x14ac:dyDescent="0.35"/>
    <row r="78583" hidden="1" x14ac:dyDescent="0.35"/>
    <row r="78584" hidden="1" x14ac:dyDescent="0.35"/>
    <row r="78585" hidden="1" x14ac:dyDescent="0.35"/>
    <row r="78586" hidden="1" x14ac:dyDescent="0.35"/>
    <row r="78587" hidden="1" x14ac:dyDescent="0.35"/>
    <row r="78588" hidden="1" x14ac:dyDescent="0.35"/>
    <row r="78589" hidden="1" x14ac:dyDescent="0.35"/>
    <row r="78590" hidden="1" x14ac:dyDescent="0.35"/>
    <row r="78591" hidden="1" x14ac:dyDescent="0.35"/>
    <row r="78592" hidden="1" x14ac:dyDescent="0.35"/>
    <row r="78593" hidden="1" x14ac:dyDescent="0.35"/>
    <row r="78594" hidden="1" x14ac:dyDescent="0.35"/>
    <row r="78595" hidden="1" x14ac:dyDescent="0.35"/>
    <row r="78596" hidden="1" x14ac:dyDescent="0.35"/>
    <row r="78597" hidden="1" x14ac:dyDescent="0.35"/>
    <row r="78598" hidden="1" x14ac:dyDescent="0.35"/>
    <row r="78599" hidden="1" x14ac:dyDescent="0.35"/>
    <row r="78600" hidden="1" x14ac:dyDescent="0.35"/>
    <row r="78601" hidden="1" x14ac:dyDescent="0.35"/>
    <row r="78602" hidden="1" x14ac:dyDescent="0.35"/>
    <row r="78603" hidden="1" x14ac:dyDescent="0.35"/>
    <row r="78604" hidden="1" x14ac:dyDescent="0.35"/>
    <row r="78605" hidden="1" x14ac:dyDescent="0.35"/>
    <row r="78606" hidden="1" x14ac:dyDescent="0.35"/>
    <row r="78607" hidden="1" x14ac:dyDescent="0.35"/>
    <row r="78608" hidden="1" x14ac:dyDescent="0.35"/>
    <row r="78609" hidden="1" x14ac:dyDescent="0.35"/>
    <row r="78610" hidden="1" x14ac:dyDescent="0.35"/>
    <row r="78611" hidden="1" x14ac:dyDescent="0.35"/>
    <row r="78612" hidden="1" x14ac:dyDescent="0.35"/>
    <row r="78613" hidden="1" x14ac:dyDescent="0.35"/>
    <row r="78614" hidden="1" x14ac:dyDescent="0.35"/>
    <row r="78615" hidden="1" x14ac:dyDescent="0.35"/>
    <row r="78616" hidden="1" x14ac:dyDescent="0.35"/>
    <row r="78617" hidden="1" x14ac:dyDescent="0.35"/>
    <row r="78618" hidden="1" x14ac:dyDescent="0.35"/>
    <row r="78619" hidden="1" x14ac:dyDescent="0.35"/>
    <row r="78620" hidden="1" x14ac:dyDescent="0.35"/>
    <row r="78621" hidden="1" x14ac:dyDescent="0.35"/>
    <row r="78622" hidden="1" x14ac:dyDescent="0.35"/>
    <row r="78623" hidden="1" x14ac:dyDescent="0.35"/>
    <row r="78624" hidden="1" x14ac:dyDescent="0.35"/>
    <row r="78625" hidden="1" x14ac:dyDescent="0.35"/>
    <row r="78626" hidden="1" x14ac:dyDescent="0.35"/>
    <row r="78627" hidden="1" x14ac:dyDescent="0.35"/>
    <row r="78628" hidden="1" x14ac:dyDescent="0.35"/>
    <row r="78629" hidden="1" x14ac:dyDescent="0.35"/>
    <row r="78630" hidden="1" x14ac:dyDescent="0.35"/>
    <row r="78631" hidden="1" x14ac:dyDescent="0.35"/>
    <row r="78632" hidden="1" x14ac:dyDescent="0.35"/>
    <row r="78633" hidden="1" x14ac:dyDescent="0.35"/>
    <row r="78634" hidden="1" x14ac:dyDescent="0.35"/>
    <row r="78635" hidden="1" x14ac:dyDescent="0.35"/>
    <row r="78636" hidden="1" x14ac:dyDescent="0.35"/>
    <row r="78637" hidden="1" x14ac:dyDescent="0.35"/>
    <row r="78638" hidden="1" x14ac:dyDescent="0.35"/>
    <row r="78639" hidden="1" x14ac:dyDescent="0.35"/>
    <row r="78640" hidden="1" x14ac:dyDescent="0.35"/>
    <row r="78641" hidden="1" x14ac:dyDescent="0.35"/>
    <row r="78642" hidden="1" x14ac:dyDescent="0.35"/>
    <row r="78643" hidden="1" x14ac:dyDescent="0.35"/>
    <row r="78644" hidden="1" x14ac:dyDescent="0.35"/>
    <row r="78645" hidden="1" x14ac:dyDescent="0.35"/>
    <row r="78646" hidden="1" x14ac:dyDescent="0.35"/>
    <row r="78647" hidden="1" x14ac:dyDescent="0.35"/>
    <row r="78648" hidden="1" x14ac:dyDescent="0.35"/>
    <row r="78649" hidden="1" x14ac:dyDescent="0.35"/>
    <row r="78650" hidden="1" x14ac:dyDescent="0.35"/>
    <row r="78651" hidden="1" x14ac:dyDescent="0.35"/>
    <row r="78652" hidden="1" x14ac:dyDescent="0.35"/>
    <row r="78653" hidden="1" x14ac:dyDescent="0.35"/>
    <row r="78654" hidden="1" x14ac:dyDescent="0.35"/>
    <row r="78655" hidden="1" x14ac:dyDescent="0.35"/>
    <row r="78656" hidden="1" x14ac:dyDescent="0.35"/>
    <row r="78657" hidden="1" x14ac:dyDescent="0.35"/>
    <row r="78658" hidden="1" x14ac:dyDescent="0.35"/>
    <row r="78659" hidden="1" x14ac:dyDescent="0.35"/>
    <row r="78660" hidden="1" x14ac:dyDescent="0.35"/>
    <row r="78661" hidden="1" x14ac:dyDescent="0.35"/>
    <row r="78662" hidden="1" x14ac:dyDescent="0.35"/>
    <row r="78663" hidden="1" x14ac:dyDescent="0.35"/>
    <row r="78664" hidden="1" x14ac:dyDescent="0.35"/>
    <row r="78665" hidden="1" x14ac:dyDescent="0.35"/>
    <row r="78666" hidden="1" x14ac:dyDescent="0.35"/>
    <row r="78667" hidden="1" x14ac:dyDescent="0.35"/>
    <row r="78668" hidden="1" x14ac:dyDescent="0.35"/>
    <row r="78669" hidden="1" x14ac:dyDescent="0.35"/>
    <row r="78670" hidden="1" x14ac:dyDescent="0.35"/>
    <row r="78671" hidden="1" x14ac:dyDescent="0.35"/>
    <row r="78672" hidden="1" x14ac:dyDescent="0.35"/>
    <row r="78673" hidden="1" x14ac:dyDescent="0.35"/>
    <row r="78674" hidden="1" x14ac:dyDescent="0.35"/>
    <row r="78675" hidden="1" x14ac:dyDescent="0.35"/>
    <row r="78676" hidden="1" x14ac:dyDescent="0.35"/>
    <row r="78677" hidden="1" x14ac:dyDescent="0.35"/>
    <row r="78678" hidden="1" x14ac:dyDescent="0.35"/>
    <row r="78679" hidden="1" x14ac:dyDescent="0.35"/>
    <row r="78680" hidden="1" x14ac:dyDescent="0.35"/>
    <row r="78681" hidden="1" x14ac:dyDescent="0.35"/>
    <row r="78682" hidden="1" x14ac:dyDescent="0.35"/>
    <row r="78683" hidden="1" x14ac:dyDescent="0.35"/>
    <row r="78684" hidden="1" x14ac:dyDescent="0.35"/>
    <row r="78685" hidden="1" x14ac:dyDescent="0.35"/>
    <row r="78686" hidden="1" x14ac:dyDescent="0.35"/>
    <row r="78687" hidden="1" x14ac:dyDescent="0.35"/>
    <row r="78688" hidden="1" x14ac:dyDescent="0.35"/>
    <row r="78689" hidden="1" x14ac:dyDescent="0.35"/>
    <row r="78690" hidden="1" x14ac:dyDescent="0.35"/>
    <row r="78691" hidden="1" x14ac:dyDescent="0.35"/>
    <row r="78692" hidden="1" x14ac:dyDescent="0.35"/>
    <row r="78693" hidden="1" x14ac:dyDescent="0.35"/>
    <row r="78694" hidden="1" x14ac:dyDescent="0.35"/>
    <row r="78695" hidden="1" x14ac:dyDescent="0.35"/>
    <row r="78696" hidden="1" x14ac:dyDescent="0.35"/>
    <row r="78697" hidden="1" x14ac:dyDescent="0.35"/>
    <row r="78698" hidden="1" x14ac:dyDescent="0.35"/>
    <row r="78699" hidden="1" x14ac:dyDescent="0.35"/>
    <row r="78700" hidden="1" x14ac:dyDescent="0.35"/>
    <row r="78701" hidden="1" x14ac:dyDescent="0.35"/>
    <row r="78702" hidden="1" x14ac:dyDescent="0.35"/>
    <row r="78703" hidden="1" x14ac:dyDescent="0.35"/>
    <row r="78704" hidden="1" x14ac:dyDescent="0.35"/>
    <row r="78705" hidden="1" x14ac:dyDescent="0.35"/>
    <row r="78706" hidden="1" x14ac:dyDescent="0.35"/>
    <row r="78707" hidden="1" x14ac:dyDescent="0.35"/>
    <row r="78708" hidden="1" x14ac:dyDescent="0.35"/>
    <row r="78709" hidden="1" x14ac:dyDescent="0.35"/>
    <row r="78710" hidden="1" x14ac:dyDescent="0.35"/>
    <row r="78711" hidden="1" x14ac:dyDescent="0.35"/>
    <row r="78712" hidden="1" x14ac:dyDescent="0.35"/>
    <row r="78713" hidden="1" x14ac:dyDescent="0.35"/>
    <row r="78714" hidden="1" x14ac:dyDescent="0.35"/>
    <row r="78715" hidden="1" x14ac:dyDescent="0.35"/>
    <row r="78716" hidden="1" x14ac:dyDescent="0.35"/>
    <row r="78717" hidden="1" x14ac:dyDescent="0.35"/>
    <row r="78718" hidden="1" x14ac:dyDescent="0.35"/>
    <row r="78719" hidden="1" x14ac:dyDescent="0.35"/>
    <row r="78720" hidden="1" x14ac:dyDescent="0.35"/>
    <row r="78721" hidden="1" x14ac:dyDescent="0.35"/>
    <row r="78722" hidden="1" x14ac:dyDescent="0.35"/>
    <row r="78723" hidden="1" x14ac:dyDescent="0.35"/>
    <row r="78724" hidden="1" x14ac:dyDescent="0.35"/>
    <row r="78725" hidden="1" x14ac:dyDescent="0.35"/>
    <row r="78726" hidden="1" x14ac:dyDescent="0.35"/>
    <row r="78727" hidden="1" x14ac:dyDescent="0.35"/>
    <row r="78728" hidden="1" x14ac:dyDescent="0.35"/>
    <row r="78729" hidden="1" x14ac:dyDescent="0.35"/>
    <row r="78730" hidden="1" x14ac:dyDescent="0.35"/>
    <row r="78731" hidden="1" x14ac:dyDescent="0.35"/>
    <row r="78732" hidden="1" x14ac:dyDescent="0.35"/>
    <row r="78733" hidden="1" x14ac:dyDescent="0.35"/>
    <row r="78734" hidden="1" x14ac:dyDescent="0.35"/>
    <row r="78735" hidden="1" x14ac:dyDescent="0.35"/>
    <row r="78736" hidden="1" x14ac:dyDescent="0.35"/>
    <row r="78737" hidden="1" x14ac:dyDescent="0.35"/>
    <row r="78738" hidden="1" x14ac:dyDescent="0.35"/>
    <row r="78739" hidden="1" x14ac:dyDescent="0.35"/>
    <row r="78740" hidden="1" x14ac:dyDescent="0.35"/>
    <row r="78741" hidden="1" x14ac:dyDescent="0.35"/>
    <row r="78742" hidden="1" x14ac:dyDescent="0.35"/>
    <row r="78743" hidden="1" x14ac:dyDescent="0.35"/>
    <row r="78744" hidden="1" x14ac:dyDescent="0.35"/>
    <row r="78745" hidden="1" x14ac:dyDescent="0.35"/>
    <row r="78746" hidden="1" x14ac:dyDescent="0.35"/>
    <row r="78747" hidden="1" x14ac:dyDescent="0.35"/>
    <row r="78748" hidden="1" x14ac:dyDescent="0.35"/>
    <row r="78749" hidden="1" x14ac:dyDescent="0.35"/>
    <row r="78750" hidden="1" x14ac:dyDescent="0.35"/>
    <row r="78751" hidden="1" x14ac:dyDescent="0.35"/>
    <row r="78752" hidden="1" x14ac:dyDescent="0.35"/>
    <row r="78753" hidden="1" x14ac:dyDescent="0.35"/>
    <row r="78754" hidden="1" x14ac:dyDescent="0.35"/>
    <row r="78755" hidden="1" x14ac:dyDescent="0.35"/>
    <row r="78756" hidden="1" x14ac:dyDescent="0.35"/>
    <row r="78757" hidden="1" x14ac:dyDescent="0.35"/>
    <row r="78758" hidden="1" x14ac:dyDescent="0.35"/>
    <row r="78759" hidden="1" x14ac:dyDescent="0.35"/>
    <row r="78760" hidden="1" x14ac:dyDescent="0.35"/>
    <row r="78761" hidden="1" x14ac:dyDescent="0.35"/>
    <row r="78762" hidden="1" x14ac:dyDescent="0.35"/>
    <row r="78763" hidden="1" x14ac:dyDescent="0.35"/>
    <row r="78764" hidden="1" x14ac:dyDescent="0.35"/>
    <row r="78765" hidden="1" x14ac:dyDescent="0.35"/>
    <row r="78766" hidden="1" x14ac:dyDescent="0.35"/>
    <row r="78767" hidden="1" x14ac:dyDescent="0.35"/>
    <row r="78768" hidden="1" x14ac:dyDescent="0.35"/>
    <row r="78769" hidden="1" x14ac:dyDescent="0.35"/>
    <row r="78770" hidden="1" x14ac:dyDescent="0.35"/>
    <row r="78771" hidden="1" x14ac:dyDescent="0.35"/>
    <row r="78772" hidden="1" x14ac:dyDescent="0.35"/>
    <row r="78773" hidden="1" x14ac:dyDescent="0.35"/>
    <row r="78774" hidden="1" x14ac:dyDescent="0.35"/>
    <row r="78775" hidden="1" x14ac:dyDescent="0.35"/>
    <row r="78776" hidden="1" x14ac:dyDescent="0.35"/>
    <row r="78777" hidden="1" x14ac:dyDescent="0.35"/>
    <row r="78778" hidden="1" x14ac:dyDescent="0.35"/>
    <row r="78779" hidden="1" x14ac:dyDescent="0.35"/>
    <row r="78780" hidden="1" x14ac:dyDescent="0.35"/>
    <row r="78781" hidden="1" x14ac:dyDescent="0.35"/>
    <row r="78782" hidden="1" x14ac:dyDescent="0.35"/>
    <row r="78783" hidden="1" x14ac:dyDescent="0.35"/>
    <row r="78784" hidden="1" x14ac:dyDescent="0.35"/>
    <row r="78785" hidden="1" x14ac:dyDescent="0.35"/>
    <row r="78786" hidden="1" x14ac:dyDescent="0.35"/>
    <row r="78787" hidden="1" x14ac:dyDescent="0.35"/>
    <row r="78788" hidden="1" x14ac:dyDescent="0.35"/>
    <row r="78789" hidden="1" x14ac:dyDescent="0.35"/>
    <row r="78790" hidden="1" x14ac:dyDescent="0.35"/>
    <row r="78791" hidden="1" x14ac:dyDescent="0.35"/>
    <row r="78792" hidden="1" x14ac:dyDescent="0.35"/>
    <row r="78793" hidden="1" x14ac:dyDescent="0.35"/>
    <row r="78794" hidden="1" x14ac:dyDescent="0.35"/>
    <row r="78795" hidden="1" x14ac:dyDescent="0.35"/>
    <row r="78796" hidden="1" x14ac:dyDescent="0.35"/>
    <row r="78797" hidden="1" x14ac:dyDescent="0.35"/>
    <row r="78798" hidden="1" x14ac:dyDescent="0.35"/>
    <row r="78799" hidden="1" x14ac:dyDescent="0.35"/>
    <row r="78800" hidden="1" x14ac:dyDescent="0.35"/>
    <row r="78801" hidden="1" x14ac:dyDescent="0.35"/>
    <row r="78802" hidden="1" x14ac:dyDescent="0.35"/>
    <row r="78803" hidden="1" x14ac:dyDescent="0.35"/>
    <row r="78804" hidden="1" x14ac:dyDescent="0.35"/>
    <row r="78805" hidden="1" x14ac:dyDescent="0.35"/>
    <row r="78806" hidden="1" x14ac:dyDescent="0.35"/>
    <row r="78807" hidden="1" x14ac:dyDescent="0.35"/>
    <row r="78808" hidden="1" x14ac:dyDescent="0.35"/>
    <row r="78809" hidden="1" x14ac:dyDescent="0.35"/>
    <row r="78810" hidden="1" x14ac:dyDescent="0.35"/>
    <row r="78811" hidden="1" x14ac:dyDescent="0.35"/>
    <row r="78812" hidden="1" x14ac:dyDescent="0.35"/>
    <row r="78813" hidden="1" x14ac:dyDescent="0.35"/>
    <row r="78814" hidden="1" x14ac:dyDescent="0.35"/>
    <row r="78815" hidden="1" x14ac:dyDescent="0.35"/>
    <row r="78816" hidden="1" x14ac:dyDescent="0.35"/>
    <row r="78817" hidden="1" x14ac:dyDescent="0.35"/>
    <row r="78818" hidden="1" x14ac:dyDescent="0.35"/>
    <row r="78819" hidden="1" x14ac:dyDescent="0.35"/>
    <row r="78820" hidden="1" x14ac:dyDescent="0.35"/>
    <row r="78821" hidden="1" x14ac:dyDescent="0.35"/>
    <row r="78822" hidden="1" x14ac:dyDescent="0.35"/>
    <row r="78823" hidden="1" x14ac:dyDescent="0.35"/>
    <row r="78824" hidden="1" x14ac:dyDescent="0.35"/>
    <row r="78825" hidden="1" x14ac:dyDescent="0.35"/>
    <row r="78826" hidden="1" x14ac:dyDescent="0.35"/>
    <row r="78827" hidden="1" x14ac:dyDescent="0.35"/>
    <row r="78828" hidden="1" x14ac:dyDescent="0.35"/>
    <row r="78829" hidden="1" x14ac:dyDescent="0.35"/>
    <row r="78830" hidden="1" x14ac:dyDescent="0.35"/>
    <row r="78831" hidden="1" x14ac:dyDescent="0.35"/>
    <row r="78832" hidden="1" x14ac:dyDescent="0.35"/>
    <row r="78833" hidden="1" x14ac:dyDescent="0.35"/>
    <row r="78834" hidden="1" x14ac:dyDescent="0.35"/>
    <row r="78835" hidden="1" x14ac:dyDescent="0.35"/>
    <row r="78836" hidden="1" x14ac:dyDescent="0.35"/>
    <row r="78837" hidden="1" x14ac:dyDescent="0.35"/>
    <row r="78838" hidden="1" x14ac:dyDescent="0.35"/>
    <row r="78839" hidden="1" x14ac:dyDescent="0.35"/>
    <row r="78840" hidden="1" x14ac:dyDescent="0.35"/>
    <row r="78841" hidden="1" x14ac:dyDescent="0.35"/>
    <row r="78842" hidden="1" x14ac:dyDescent="0.35"/>
    <row r="78843" hidden="1" x14ac:dyDescent="0.35"/>
    <row r="78844" hidden="1" x14ac:dyDescent="0.35"/>
    <row r="78845" hidden="1" x14ac:dyDescent="0.35"/>
    <row r="78846" hidden="1" x14ac:dyDescent="0.35"/>
    <row r="78847" hidden="1" x14ac:dyDescent="0.35"/>
    <row r="78848" hidden="1" x14ac:dyDescent="0.35"/>
    <row r="78849" hidden="1" x14ac:dyDescent="0.35"/>
    <row r="78850" hidden="1" x14ac:dyDescent="0.35"/>
    <row r="78851" hidden="1" x14ac:dyDescent="0.35"/>
    <row r="78852" hidden="1" x14ac:dyDescent="0.35"/>
    <row r="78853" hidden="1" x14ac:dyDescent="0.35"/>
    <row r="78854" hidden="1" x14ac:dyDescent="0.35"/>
    <row r="78855" hidden="1" x14ac:dyDescent="0.35"/>
    <row r="78856" hidden="1" x14ac:dyDescent="0.35"/>
    <row r="78857" hidden="1" x14ac:dyDescent="0.35"/>
    <row r="78858" hidden="1" x14ac:dyDescent="0.35"/>
    <row r="78859" hidden="1" x14ac:dyDescent="0.35"/>
    <row r="78860" hidden="1" x14ac:dyDescent="0.35"/>
    <row r="78861" hidden="1" x14ac:dyDescent="0.35"/>
    <row r="78862" hidden="1" x14ac:dyDescent="0.35"/>
    <row r="78863" hidden="1" x14ac:dyDescent="0.35"/>
    <row r="78864" hidden="1" x14ac:dyDescent="0.35"/>
    <row r="78865" hidden="1" x14ac:dyDescent="0.35"/>
    <row r="78866" hidden="1" x14ac:dyDescent="0.35"/>
    <row r="78867" hidden="1" x14ac:dyDescent="0.35"/>
    <row r="78868" hidden="1" x14ac:dyDescent="0.35"/>
    <row r="78869" hidden="1" x14ac:dyDescent="0.35"/>
    <row r="78870" hidden="1" x14ac:dyDescent="0.35"/>
    <row r="78871" hidden="1" x14ac:dyDescent="0.35"/>
    <row r="78872" hidden="1" x14ac:dyDescent="0.35"/>
    <row r="78873" hidden="1" x14ac:dyDescent="0.35"/>
    <row r="78874" hidden="1" x14ac:dyDescent="0.35"/>
    <row r="78875" hidden="1" x14ac:dyDescent="0.35"/>
    <row r="78876" hidden="1" x14ac:dyDescent="0.35"/>
    <row r="78877" hidden="1" x14ac:dyDescent="0.35"/>
    <row r="78878" hidden="1" x14ac:dyDescent="0.35"/>
    <row r="78879" hidden="1" x14ac:dyDescent="0.35"/>
    <row r="78880" hidden="1" x14ac:dyDescent="0.35"/>
    <row r="78881" hidden="1" x14ac:dyDescent="0.35"/>
    <row r="78882" hidden="1" x14ac:dyDescent="0.35"/>
    <row r="78883" hidden="1" x14ac:dyDescent="0.35"/>
    <row r="78884" hidden="1" x14ac:dyDescent="0.35"/>
    <row r="78885" hidden="1" x14ac:dyDescent="0.35"/>
    <row r="78886" hidden="1" x14ac:dyDescent="0.35"/>
    <row r="78887" hidden="1" x14ac:dyDescent="0.35"/>
    <row r="78888" hidden="1" x14ac:dyDescent="0.35"/>
    <row r="78889" hidden="1" x14ac:dyDescent="0.35"/>
    <row r="78890" hidden="1" x14ac:dyDescent="0.35"/>
    <row r="78891" hidden="1" x14ac:dyDescent="0.35"/>
    <row r="78892" hidden="1" x14ac:dyDescent="0.35"/>
    <row r="78893" hidden="1" x14ac:dyDescent="0.35"/>
    <row r="78894" hidden="1" x14ac:dyDescent="0.35"/>
    <row r="78895" hidden="1" x14ac:dyDescent="0.35"/>
    <row r="78896" hidden="1" x14ac:dyDescent="0.35"/>
    <row r="78897" hidden="1" x14ac:dyDescent="0.35"/>
    <row r="78898" hidden="1" x14ac:dyDescent="0.35"/>
    <row r="78899" hidden="1" x14ac:dyDescent="0.35"/>
    <row r="78900" hidden="1" x14ac:dyDescent="0.35"/>
    <row r="78901" hidden="1" x14ac:dyDescent="0.35"/>
    <row r="78902" hidden="1" x14ac:dyDescent="0.35"/>
    <row r="78903" hidden="1" x14ac:dyDescent="0.35"/>
    <row r="78904" hidden="1" x14ac:dyDescent="0.35"/>
    <row r="78905" hidden="1" x14ac:dyDescent="0.35"/>
    <row r="78906" hidden="1" x14ac:dyDescent="0.35"/>
    <row r="78907" hidden="1" x14ac:dyDescent="0.35"/>
    <row r="78908" hidden="1" x14ac:dyDescent="0.35"/>
    <row r="78909" hidden="1" x14ac:dyDescent="0.35"/>
    <row r="78910" hidden="1" x14ac:dyDescent="0.35"/>
    <row r="78911" hidden="1" x14ac:dyDescent="0.35"/>
    <row r="78912" hidden="1" x14ac:dyDescent="0.35"/>
    <row r="78913" hidden="1" x14ac:dyDescent="0.35"/>
    <row r="78914" hidden="1" x14ac:dyDescent="0.35"/>
    <row r="78915" hidden="1" x14ac:dyDescent="0.35"/>
    <row r="78916" hidden="1" x14ac:dyDescent="0.35"/>
    <row r="78917" hidden="1" x14ac:dyDescent="0.35"/>
    <row r="78918" hidden="1" x14ac:dyDescent="0.35"/>
    <row r="78919" hidden="1" x14ac:dyDescent="0.35"/>
    <row r="78920" hidden="1" x14ac:dyDescent="0.35"/>
    <row r="78921" hidden="1" x14ac:dyDescent="0.35"/>
    <row r="78922" hidden="1" x14ac:dyDescent="0.35"/>
    <row r="78923" hidden="1" x14ac:dyDescent="0.35"/>
    <row r="78924" hidden="1" x14ac:dyDescent="0.35"/>
    <row r="78925" hidden="1" x14ac:dyDescent="0.35"/>
    <row r="78926" hidden="1" x14ac:dyDescent="0.35"/>
    <row r="78927" hidden="1" x14ac:dyDescent="0.35"/>
    <row r="78928" hidden="1" x14ac:dyDescent="0.35"/>
    <row r="78929" hidden="1" x14ac:dyDescent="0.35"/>
    <row r="78930" hidden="1" x14ac:dyDescent="0.35"/>
    <row r="78931" hidden="1" x14ac:dyDescent="0.35"/>
    <row r="78932" hidden="1" x14ac:dyDescent="0.35"/>
    <row r="78933" hidden="1" x14ac:dyDescent="0.35"/>
    <row r="78934" hidden="1" x14ac:dyDescent="0.35"/>
    <row r="78935" hidden="1" x14ac:dyDescent="0.35"/>
    <row r="78936" hidden="1" x14ac:dyDescent="0.35"/>
    <row r="78937" hidden="1" x14ac:dyDescent="0.35"/>
    <row r="78938" hidden="1" x14ac:dyDescent="0.35"/>
    <row r="78939" hidden="1" x14ac:dyDescent="0.35"/>
    <row r="78940" hidden="1" x14ac:dyDescent="0.35"/>
    <row r="78941" hidden="1" x14ac:dyDescent="0.35"/>
    <row r="78942" hidden="1" x14ac:dyDescent="0.35"/>
    <row r="78943" hidden="1" x14ac:dyDescent="0.35"/>
    <row r="78944" hidden="1" x14ac:dyDescent="0.35"/>
    <row r="78945" hidden="1" x14ac:dyDescent="0.35"/>
    <row r="78946" hidden="1" x14ac:dyDescent="0.35"/>
    <row r="78947" hidden="1" x14ac:dyDescent="0.35"/>
    <row r="78948" hidden="1" x14ac:dyDescent="0.35"/>
    <row r="78949" hidden="1" x14ac:dyDescent="0.35"/>
    <row r="78950" hidden="1" x14ac:dyDescent="0.35"/>
    <row r="78951" hidden="1" x14ac:dyDescent="0.35"/>
    <row r="78952" hidden="1" x14ac:dyDescent="0.35"/>
    <row r="78953" hidden="1" x14ac:dyDescent="0.35"/>
    <row r="78954" hidden="1" x14ac:dyDescent="0.35"/>
    <row r="78955" hidden="1" x14ac:dyDescent="0.35"/>
    <row r="78956" hidden="1" x14ac:dyDescent="0.35"/>
    <row r="78957" hidden="1" x14ac:dyDescent="0.35"/>
    <row r="78958" hidden="1" x14ac:dyDescent="0.35"/>
    <row r="78959" hidden="1" x14ac:dyDescent="0.35"/>
    <row r="78960" hidden="1" x14ac:dyDescent="0.35"/>
    <row r="78961" hidden="1" x14ac:dyDescent="0.35"/>
    <row r="78962" hidden="1" x14ac:dyDescent="0.35"/>
    <row r="78963" hidden="1" x14ac:dyDescent="0.35"/>
    <row r="78964" hidden="1" x14ac:dyDescent="0.35"/>
    <row r="78965" hidden="1" x14ac:dyDescent="0.35"/>
    <row r="78966" hidden="1" x14ac:dyDescent="0.35"/>
    <row r="78967" hidden="1" x14ac:dyDescent="0.35"/>
    <row r="78968" hidden="1" x14ac:dyDescent="0.35"/>
    <row r="78969" hidden="1" x14ac:dyDescent="0.35"/>
    <row r="78970" hidden="1" x14ac:dyDescent="0.35"/>
    <row r="78971" hidden="1" x14ac:dyDescent="0.35"/>
    <row r="78972" hidden="1" x14ac:dyDescent="0.35"/>
    <row r="78973" hidden="1" x14ac:dyDescent="0.35"/>
    <row r="78974" hidden="1" x14ac:dyDescent="0.35"/>
    <row r="78975" hidden="1" x14ac:dyDescent="0.35"/>
    <row r="78976" hidden="1" x14ac:dyDescent="0.35"/>
    <row r="78977" hidden="1" x14ac:dyDescent="0.35"/>
    <row r="78978" hidden="1" x14ac:dyDescent="0.35"/>
    <row r="78979" hidden="1" x14ac:dyDescent="0.35"/>
    <row r="78980" hidden="1" x14ac:dyDescent="0.35"/>
    <row r="78981" hidden="1" x14ac:dyDescent="0.35"/>
    <row r="78982" hidden="1" x14ac:dyDescent="0.35"/>
    <row r="78983" hidden="1" x14ac:dyDescent="0.35"/>
    <row r="78984" hidden="1" x14ac:dyDescent="0.35"/>
    <row r="78985" hidden="1" x14ac:dyDescent="0.35"/>
    <row r="78986" hidden="1" x14ac:dyDescent="0.35"/>
    <row r="78987" hidden="1" x14ac:dyDescent="0.35"/>
    <row r="78988" hidden="1" x14ac:dyDescent="0.35"/>
    <row r="78989" hidden="1" x14ac:dyDescent="0.35"/>
    <row r="78990" hidden="1" x14ac:dyDescent="0.35"/>
    <row r="78991" hidden="1" x14ac:dyDescent="0.35"/>
    <row r="78992" hidden="1" x14ac:dyDescent="0.35"/>
    <row r="78993" hidden="1" x14ac:dyDescent="0.35"/>
    <row r="78994" hidden="1" x14ac:dyDescent="0.35"/>
    <row r="78995" hidden="1" x14ac:dyDescent="0.35"/>
    <row r="78996" hidden="1" x14ac:dyDescent="0.35"/>
    <row r="78997" hidden="1" x14ac:dyDescent="0.35"/>
    <row r="78998" hidden="1" x14ac:dyDescent="0.35"/>
    <row r="78999" hidden="1" x14ac:dyDescent="0.35"/>
    <row r="79000" hidden="1" x14ac:dyDescent="0.35"/>
    <row r="79001" hidden="1" x14ac:dyDescent="0.35"/>
    <row r="79002" hidden="1" x14ac:dyDescent="0.35"/>
    <row r="79003" hidden="1" x14ac:dyDescent="0.35"/>
    <row r="79004" hidden="1" x14ac:dyDescent="0.35"/>
    <row r="79005" hidden="1" x14ac:dyDescent="0.35"/>
    <row r="79006" hidden="1" x14ac:dyDescent="0.35"/>
    <row r="79007" hidden="1" x14ac:dyDescent="0.35"/>
    <row r="79008" hidden="1" x14ac:dyDescent="0.35"/>
    <row r="79009" hidden="1" x14ac:dyDescent="0.35"/>
    <row r="79010" hidden="1" x14ac:dyDescent="0.35"/>
    <row r="79011" hidden="1" x14ac:dyDescent="0.35"/>
    <row r="79012" hidden="1" x14ac:dyDescent="0.35"/>
    <row r="79013" hidden="1" x14ac:dyDescent="0.35"/>
    <row r="79014" hidden="1" x14ac:dyDescent="0.35"/>
    <row r="79015" hidden="1" x14ac:dyDescent="0.35"/>
    <row r="79016" hidden="1" x14ac:dyDescent="0.35"/>
    <row r="79017" hidden="1" x14ac:dyDescent="0.35"/>
    <row r="79018" hidden="1" x14ac:dyDescent="0.35"/>
    <row r="79019" hidden="1" x14ac:dyDescent="0.35"/>
    <row r="79020" hidden="1" x14ac:dyDescent="0.35"/>
    <row r="79021" hidden="1" x14ac:dyDescent="0.35"/>
    <row r="79022" hidden="1" x14ac:dyDescent="0.35"/>
    <row r="79023" hidden="1" x14ac:dyDescent="0.35"/>
    <row r="79024" hidden="1" x14ac:dyDescent="0.35"/>
    <row r="79025" hidden="1" x14ac:dyDescent="0.35"/>
    <row r="79026" hidden="1" x14ac:dyDescent="0.35"/>
    <row r="79027" hidden="1" x14ac:dyDescent="0.35"/>
    <row r="79028" hidden="1" x14ac:dyDescent="0.35"/>
    <row r="79029" hidden="1" x14ac:dyDescent="0.35"/>
    <row r="79030" hidden="1" x14ac:dyDescent="0.35"/>
    <row r="79031" hidden="1" x14ac:dyDescent="0.35"/>
    <row r="79032" hidden="1" x14ac:dyDescent="0.35"/>
    <row r="79033" hidden="1" x14ac:dyDescent="0.35"/>
    <row r="79034" hidden="1" x14ac:dyDescent="0.35"/>
    <row r="79035" hidden="1" x14ac:dyDescent="0.35"/>
    <row r="79036" hidden="1" x14ac:dyDescent="0.35"/>
    <row r="79037" hidden="1" x14ac:dyDescent="0.35"/>
    <row r="79038" hidden="1" x14ac:dyDescent="0.35"/>
    <row r="79039" hidden="1" x14ac:dyDescent="0.35"/>
    <row r="79040" hidden="1" x14ac:dyDescent="0.35"/>
    <row r="79041" hidden="1" x14ac:dyDescent="0.35"/>
    <row r="79042" hidden="1" x14ac:dyDescent="0.35"/>
    <row r="79043" hidden="1" x14ac:dyDescent="0.35"/>
    <row r="79044" hidden="1" x14ac:dyDescent="0.35"/>
    <row r="79045" hidden="1" x14ac:dyDescent="0.35"/>
    <row r="79046" hidden="1" x14ac:dyDescent="0.35"/>
    <row r="79047" hidden="1" x14ac:dyDescent="0.35"/>
    <row r="79048" hidden="1" x14ac:dyDescent="0.35"/>
    <row r="79049" hidden="1" x14ac:dyDescent="0.35"/>
    <row r="79050" hidden="1" x14ac:dyDescent="0.35"/>
    <row r="79051" hidden="1" x14ac:dyDescent="0.35"/>
    <row r="79052" hidden="1" x14ac:dyDescent="0.35"/>
    <row r="79053" hidden="1" x14ac:dyDescent="0.35"/>
    <row r="79054" hidden="1" x14ac:dyDescent="0.35"/>
    <row r="79055" hidden="1" x14ac:dyDescent="0.35"/>
    <row r="79056" hidden="1" x14ac:dyDescent="0.35"/>
    <row r="79057" hidden="1" x14ac:dyDescent="0.35"/>
    <row r="79058" hidden="1" x14ac:dyDescent="0.35"/>
    <row r="79059" hidden="1" x14ac:dyDescent="0.35"/>
    <row r="79060" hidden="1" x14ac:dyDescent="0.35"/>
    <row r="79061" hidden="1" x14ac:dyDescent="0.35"/>
    <row r="79062" hidden="1" x14ac:dyDescent="0.35"/>
    <row r="79063" hidden="1" x14ac:dyDescent="0.35"/>
    <row r="79064" hidden="1" x14ac:dyDescent="0.35"/>
    <row r="79065" hidden="1" x14ac:dyDescent="0.35"/>
    <row r="79066" hidden="1" x14ac:dyDescent="0.35"/>
    <row r="79067" hidden="1" x14ac:dyDescent="0.35"/>
    <row r="79068" hidden="1" x14ac:dyDescent="0.35"/>
    <row r="79069" hidden="1" x14ac:dyDescent="0.35"/>
    <row r="79070" hidden="1" x14ac:dyDescent="0.35"/>
    <row r="79071" hidden="1" x14ac:dyDescent="0.35"/>
    <row r="79072" hidden="1" x14ac:dyDescent="0.35"/>
    <row r="79073" hidden="1" x14ac:dyDescent="0.35"/>
    <row r="79074" hidden="1" x14ac:dyDescent="0.35"/>
    <row r="79075" hidden="1" x14ac:dyDescent="0.35"/>
    <row r="79076" hidden="1" x14ac:dyDescent="0.35"/>
    <row r="79077" hidden="1" x14ac:dyDescent="0.35"/>
    <row r="79078" hidden="1" x14ac:dyDescent="0.35"/>
    <row r="79079" hidden="1" x14ac:dyDescent="0.35"/>
    <row r="79080" hidden="1" x14ac:dyDescent="0.35"/>
    <row r="79081" hidden="1" x14ac:dyDescent="0.35"/>
    <row r="79082" hidden="1" x14ac:dyDescent="0.35"/>
    <row r="79083" hidden="1" x14ac:dyDescent="0.35"/>
    <row r="79084" hidden="1" x14ac:dyDescent="0.35"/>
    <row r="79085" hidden="1" x14ac:dyDescent="0.35"/>
    <row r="79086" hidden="1" x14ac:dyDescent="0.35"/>
    <row r="79087" hidden="1" x14ac:dyDescent="0.35"/>
    <row r="79088" hidden="1" x14ac:dyDescent="0.35"/>
    <row r="79089" hidden="1" x14ac:dyDescent="0.35"/>
    <row r="79090" hidden="1" x14ac:dyDescent="0.35"/>
    <row r="79091" hidden="1" x14ac:dyDescent="0.35"/>
    <row r="79092" hidden="1" x14ac:dyDescent="0.35"/>
    <row r="79093" hidden="1" x14ac:dyDescent="0.35"/>
    <row r="79094" hidden="1" x14ac:dyDescent="0.35"/>
    <row r="79095" hidden="1" x14ac:dyDescent="0.35"/>
    <row r="79096" hidden="1" x14ac:dyDescent="0.35"/>
    <row r="79097" hidden="1" x14ac:dyDescent="0.35"/>
    <row r="79098" hidden="1" x14ac:dyDescent="0.35"/>
    <row r="79099" hidden="1" x14ac:dyDescent="0.35"/>
    <row r="79100" hidden="1" x14ac:dyDescent="0.35"/>
    <row r="79101" hidden="1" x14ac:dyDescent="0.35"/>
    <row r="79102" hidden="1" x14ac:dyDescent="0.35"/>
    <row r="79103" hidden="1" x14ac:dyDescent="0.35"/>
    <row r="79104" hidden="1" x14ac:dyDescent="0.35"/>
    <row r="79105" hidden="1" x14ac:dyDescent="0.35"/>
    <row r="79106" hidden="1" x14ac:dyDescent="0.35"/>
    <row r="79107" hidden="1" x14ac:dyDescent="0.35"/>
    <row r="79108" hidden="1" x14ac:dyDescent="0.35"/>
    <row r="79109" hidden="1" x14ac:dyDescent="0.35"/>
    <row r="79110" hidden="1" x14ac:dyDescent="0.35"/>
    <row r="79111" hidden="1" x14ac:dyDescent="0.35"/>
    <row r="79112" hidden="1" x14ac:dyDescent="0.35"/>
    <row r="79113" hidden="1" x14ac:dyDescent="0.35"/>
    <row r="79114" hidden="1" x14ac:dyDescent="0.35"/>
    <row r="79115" hidden="1" x14ac:dyDescent="0.35"/>
    <row r="79116" hidden="1" x14ac:dyDescent="0.35"/>
    <row r="79117" hidden="1" x14ac:dyDescent="0.35"/>
    <row r="79118" hidden="1" x14ac:dyDescent="0.35"/>
    <row r="79119" hidden="1" x14ac:dyDescent="0.35"/>
    <row r="79120" hidden="1" x14ac:dyDescent="0.35"/>
    <row r="79121" hidden="1" x14ac:dyDescent="0.35"/>
    <row r="79122" hidden="1" x14ac:dyDescent="0.35"/>
    <row r="79123" hidden="1" x14ac:dyDescent="0.35"/>
    <row r="79124" hidden="1" x14ac:dyDescent="0.35"/>
    <row r="79125" hidden="1" x14ac:dyDescent="0.35"/>
    <row r="79126" hidden="1" x14ac:dyDescent="0.35"/>
    <row r="79127" hidden="1" x14ac:dyDescent="0.35"/>
    <row r="79128" hidden="1" x14ac:dyDescent="0.35"/>
    <row r="79129" hidden="1" x14ac:dyDescent="0.35"/>
    <row r="79130" hidden="1" x14ac:dyDescent="0.35"/>
    <row r="79131" hidden="1" x14ac:dyDescent="0.35"/>
    <row r="79132" hidden="1" x14ac:dyDescent="0.35"/>
    <row r="79133" hidden="1" x14ac:dyDescent="0.35"/>
    <row r="79134" hidden="1" x14ac:dyDescent="0.35"/>
    <row r="79135" hidden="1" x14ac:dyDescent="0.35"/>
    <row r="79136" hidden="1" x14ac:dyDescent="0.35"/>
    <row r="79137" hidden="1" x14ac:dyDescent="0.35"/>
    <row r="79138" hidden="1" x14ac:dyDescent="0.35"/>
    <row r="79139" hidden="1" x14ac:dyDescent="0.35"/>
    <row r="79140" hidden="1" x14ac:dyDescent="0.35"/>
    <row r="79141" hidden="1" x14ac:dyDescent="0.35"/>
    <row r="79142" hidden="1" x14ac:dyDescent="0.35"/>
    <row r="79143" hidden="1" x14ac:dyDescent="0.35"/>
    <row r="79144" hidden="1" x14ac:dyDescent="0.35"/>
    <row r="79145" hidden="1" x14ac:dyDescent="0.35"/>
    <row r="79146" hidden="1" x14ac:dyDescent="0.35"/>
    <row r="79147" hidden="1" x14ac:dyDescent="0.35"/>
    <row r="79148" hidden="1" x14ac:dyDescent="0.35"/>
    <row r="79149" hidden="1" x14ac:dyDescent="0.35"/>
    <row r="79150" hidden="1" x14ac:dyDescent="0.35"/>
    <row r="79151" hidden="1" x14ac:dyDescent="0.35"/>
    <row r="79152" hidden="1" x14ac:dyDescent="0.35"/>
    <row r="79153" hidden="1" x14ac:dyDescent="0.35"/>
    <row r="79154" hidden="1" x14ac:dyDescent="0.35"/>
    <row r="79155" hidden="1" x14ac:dyDescent="0.35"/>
    <row r="79156" hidden="1" x14ac:dyDescent="0.35"/>
    <row r="79157" hidden="1" x14ac:dyDescent="0.35"/>
    <row r="79158" hidden="1" x14ac:dyDescent="0.35"/>
    <row r="79159" hidden="1" x14ac:dyDescent="0.35"/>
    <row r="79160" hidden="1" x14ac:dyDescent="0.35"/>
    <row r="79161" hidden="1" x14ac:dyDescent="0.35"/>
    <row r="79162" hidden="1" x14ac:dyDescent="0.35"/>
    <row r="79163" hidden="1" x14ac:dyDescent="0.35"/>
    <row r="79164" hidden="1" x14ac:dyDescent="0.35"/>
    <row r="79165" hidden="1" x14ac:dyDescent="0.35"/>
    <row r="79166" hidden="1" x14ac:dyDescent="0.35"/>
    <row r="79167" hidden="1" x14ac:dyDescent="0.35"/>
    <row r="79168" hidden="1" x14ac:dyDescent="0.35"/>
    <row r="79169" hidden="1" x14ac:dyDescent="0.35"/>
    <row r="79170" hidden="1" x14ac:dyDescent="0.35"/>
    <row r="79171" hidden="1" x14ac:dyDescent="0.35"/>
    <row r="79172" hidden="1" x14ac:dyDescent="0.35"/>
    <row r="79173" hidden="1" x14ac:dyDescent="0.35"/>
    <row r="79174" hidden="1" x14ac:dyDescent="0.35"/>
    <row r="79175" hidden="1" x14ac:dyDescent="0.35"/>
    <row r="79176" hidden="1" x14ac:dyDescent="0.35"/>
    <row r="79177" hidden="1" x14ac:dyDescent="0.35"/>
    <row r="79178" hidden="1" x14ac:dyDescent="0.35"/>
    <row r="79179" hidden="1" x14ac:dyDescent="0.35"/>
    <row r="79180" hidden="1" x14ac:dyDescent="0.35"/>
    <row r="79181" hidden="1" x14ac:dyDescent="0.35"/>
    <row r="79182" hidden="1" x14ac:dyDescent="0.35"/>
    <row r="79183" hidden="1" x14ac:dyDescent="0.35"/>
    <row r="79184" hidden="1" x14ac:dyDescent="0.35"/>
    <row r="79185" hidden="1" x14ac:dyDescent="0.35"/>
    <row r="79186" hidden="1" x14ac:dyDescent="0.35"/>
    <row r="79187" hidden="1" x14ac:dyDescent="0.35"/>
    <row r="79188" hidden="1" x14ac:dyDescent="0.35"/>
    <row r="79189" hidden="1" x14ac:dyDescent="0.35"/>
    <row r="79190" hidden="1" x14ac:dyDescent="0.35"/>
    <row r="79191" hidden="1" x14ac:dyDescent="0.35"/>
    <row r="79192" hidden="1" x14ac:dyDescent="0.35"/>
    <row r="79193" hidden="1" x14ac:dyDescent="0.35"/>
    <row r="79194" hidden="1" x14ac:dyDescent="0.35"/>
    <row r="79195" hidden="1" x14ac:dyDescent="0.35"/>
    <row r="79196" hidden="1" x14ac:dyDescent="0.35"/>
    <row r="79197" hidden="1" x14ac:dyDescent="0.35"/>
    <row r="79198" hidden="1" x14ac:dyDescent="0.35"/>
    <row r="79199" hidden="1" x14ac:dyDescent="0.35"/>
    <row r="79200" hidden="1" x14ac:dyDescent="0.35"/>
    <row r="79201" hidden="1" x14ac:dyDescent="0.35"/>
    <row r="79202" hidden="1" x14ac:dyDescent="0.35"/>
    <row r="79203" hidden="1" x14ac:dyDescent="0.35"/>
    <row r="79204" hidden="1" x14ac:dyDescent="0.35"/>
    <row r="79205" hidden="1" x14ac:dyDescent="0.35"/>
    <row r="79206" hidden="1" x14ac:dyDescent="0.35"/>
    <row r="79207" hidden="1" x14ac:dyDescent="0.35"/>
    <row r="79208" hidden="1" x14ac:dyDescent="0.35"/>
    <row r="79209" hidden="1" x14ac:dyDescent="0.35"/>
    <row r="79210" hidden="1" x14ac:dyDescent="0.35"/>
    <row r="79211" hidden="1" x14ac:dyDescent="0.35"/>
    <row r="79212" hidden="1" x14ac:dyDescent="0.35"/>
    <row r="79213" hidden="1" x14ac:dyDescent="0.35"/>
    <row r="79214" hidden="1" x14ac:dyDescent="0.35"/>
    <row r="79215" hidden="1" x14ac:dyDescent="0.35"/>
    <row r="79216" hidden="1" x14ac:dyDescent="0.35"/>
    <row r="79217" hidden="1" x14ac:dyDescent="0.35"/>
    <row r="79218" hidden="1" x14ac:dyDescent="0.35"/>
    <row r="79219" hidden="1" x14ac:dyDescent="0.35"/>
    <row r="79220" hidden="1" x14ac:dyDescent="0.35"/>
    <row r="79221" hidden="1" x14ac:dyDescent="0.35"/>
    <row r="79222" hidden="1" x14ac:dyDescent="0.35"/>
    <row r="79223" hidden="1" x14ac:dyDescent="0.35"/>
    <row r="79224" hidden="1" x14ac:dyDescent="0.35"/>
    <row r="79225" hidden="1" x14ac:dyDescent="0.35"/>
    <row r="79226" hidden="1" x14ac:dyDescent="0.35"/>
    <row r="79227" hidden="1" x14ac:dyDescent="0.35"/>
    <row r="79228" hidden="1" x14ac:dyDescent="0.35"/>
    <row r="79229" hidden="1" x14ac:dyDescent="0.35"/>
    <row r="79230" hidden="1" x14ac:dyDescent="0.35"/>
    <row r="79231" hidden="1" x14ac:dyDescent="0.35"/>
    <row r="79232" hidden="1" x14ac:dyDescent="0.35"/>
    <row r="79233" hidden="1" x14ac:dyDescent="0.35"/>
    <row r="79234" hidden="1" x14ac:dyDescent="0.35"/>
    <row r="79235" hidden="1" x14ac:dyDescent="0.35"/>
    <row r="79236" hidden="1" x14ac:dyDescent="0.35"/>
    <row r="79237" hidden="1" x14ac:dyDescent="0.35"/>
    <row r="79238" hidden="1" x14ac:dyDescent="0.35"/>
    <row r="79239" hidden="1" x14ac:dyDescent="0.35"/>
    <row r="79240" hidden="1" x14ac:dyDescent="0.35"/>
    <row r="79241" hidden="1" x14ac:dyDescent="0.35"/>
    <row r="79242" hidden="1" x14ac:dyDescent="0.35"/>
    <row r="79243" hidden="1" x14ac:dyDescent="0.35"/>
    <row r="79244" hidden="1" x14ac:dyDescent="0.35"/>
    <row r="79245" hidden="1" x14ac:dyDescent="0.35"/>
    <row r="79246" hidden="1" x14ac:dyDescent="0.35"/>
    <row r="79247" hidden="1" x14ac:dyDescent="0.35"/>
    <row r="79248" hidden="1" x14ac:dyDescent="0.35"/>
    <row r="79249" hidden="1" x14ac:dyDescent="0.35"/>
    <row r="79250" hidden="1" x14ac:dyDescent="0.35"/>
    <row r="79251" hidden="1" x14ac:dyDescent="0.35"/>
    <row r="79252" hidden="1" x14ac:dyDescent="0.35"/>
    <row r="79253" hidden="1" x14ac:dyDescent="0.35"/>
    <row r="79254" hidden="1" x14ac:dyDescent="0.35"/>
    <row r="79255" hidden="1" x14ac:dyDescent="0.35"/>
    <row r="79256" hidden="1" x14ac:dyDescent="0.35"/>
    <row r="79257" hidden="1" x14ac:dyDescent="0.35"/>
    <row r="79258" hidden="1" x14ac:dyDescent="0.35"/>
    <row r="79259" hidden="1" x14ac:dyDescent="0.35"/>
    <row r="79260" hidden="1" x14ac:dyDescent="0.35"/>
    <row r="79261" hidden="1" x14ac:dyDescent="0.35"/>
    <row r="79262" hidden="1" x14ac:dyDescent="0.35"/>
    <row r="79263" hidden="1" x14ac:dyDescent="0.35"/>
    <row r="79264" hidden="1" x14ac:dyDescent="0.35"/>
    <row r="79265" hidden="1" x14ac:dyDescent="0.35"/>
    <row r="79266" hidden="1" x14ac:dyDescent="0.35"/>
    <row r="79267" hidden="1" x14ac:dyDescent="0.35"/>
    <row r="79268" hidden="1" x14ac:dyDescent="0.35"/>
    <row r="79269" hidden="1" x14ac:dyDescent="0.35"/>
    <row r="79270" hidden="1" x14ac:dyDescent="0.35"/>
    <row r="79271" hidden="1" x14ac:dyDescent="0.35"/>
    <row r="79272" hidden="1" x14ac:dyDescent="0.35"/>
    <row r="79273" hidden="1" x14ac:dyDescent="0.35"/>
    <row r="79274" hidden="1" x14ac:dyDescent="0.35"/>
    <row r="79275" hidden="1" x14ac:dyDescent="0.35"/>
    <row r="79276" hidden="1" x14ac:dyDescent="0.35"/>
    <row r="79277" hidden="1" x14ac:dyDescent="0.35"/>
    <row r="79278" hidden="1" x14ac:dyDescent="0.35"/>
    <row r="79279" hidden="1" x14ac:dyDescent="0.35"/>
    <row r="79280" hidden="1" x14ac:dyDescent="0.35"/>
    <row r="79281" hidden="1" x14ac:dyDescent="0.35"/>
    <row r="79282" hidden="1" x14ac:dyDescent="0.35"/>
    <row r="79283" hidden="1" x14ac:dyDescent="0.35"/>
    <row r="79284" hidden="1" x14ac:dyDescent="0.35"/>
    <row r="79285" hidden="1" x14ac:dyDescent="0.35"/>
    <row r="79286" hidden="1" x14ac:dyDescent="0.35"/>
    <row r="79287" hidden="1" x14ac:dyDescent="0.35"/>
    <row r="79288" hidden="1" x14ac:dyDescent="0.35"/>
    <row r="79289" hidden="1" x14ac:dyDescent="0.35"/>
    <row r="79290" hidden="1" x14ac:dyDescent="0.35"/>
    <row r="79291" hidden="1" x14ac:dyDescent="0.35"/>
    <row r="79292" hidden="1" x14ac:dyDescent="0.35"/>
    <row r="79293" hidden="1" x14ac:dyDescent="0.35"/>
    <row r="79294" hidden="1" x14ac:dyDescent="0.35"/>
    <row r="79295" hidden="1" x14ac:dyDescent="0.35"/>
    <row r="79296" hidden="1" x14ac:dyDescent="0.35"/>
    <row r="79297" hidden="1" x14ac:dyDescent="0.35"/>
    <row r="79298" hidden="1" x14ac:dyDescent="0.35"/>
    <row r="79299" hidden="1" x14ac:dyDescent="0.35"/>
    <row r="79300" hidden="1" x14ac:dyDescent="0.35"/>
    <row r="79301" hidden="1" x14ac:dyDescent="0.35"/>
    <row r="79302" hidden="1" x14ac:dyDescent="0.35"/>
    <row r="79303" hidden="1" x14ac:dyDescent="0.35"/>
    <row r="79304" hidden="1" x14ac:dyDescent="0.35"/>
    <row r="79305" hidden="1" x14ac:dyDescent="0.35"/>
    <row r="79306" hidden="1" x14ac:dyDescent="0.35"/>
    <row r="79307" hidden="1" x14ac:dyDescent="0.35"/>
    <row r="79308" hidden="1" x14ac:dyDescent="0.35"/>
    <row r="79309" hidden="1" x14ac:dyDescent="0.35"/>
    <row r="79310" hidden="1" x14ac:dyDescent="0.35"/>
    <row r="79311" hidden="1" x14ac:dyDescent="0.35"/>
    <row r="79312" hidden="1" x14ac:dyDescent="0.35"/>
    <row r="79313" hidden="1" x14ac:dyDescent="0.35"/>
    <row r="79314" hidden="1" x14ac:dyDescent="0.35"/>
    <row r="79315" hidden="1" x14ac:dyDescent="0.35"/>
    <row r="79316" hidden="1" x14ac:dyDescent="0.35"/>
    <row r="79317" hidden="1" x14ac:dyDescent="0.35"/>
    <row r="79318" hidden="1" x14ac:dyDescent="0.35"/>
    <row r="79319" hidden="1" x14ac:dyDescent="0.35"/>
    <row r="79320" hidden="1" x14ac:dyDescent="0.35"/>
    <row r="79321" hidden="1" x14ac:dyDescent="0.35"/>
    <row r="79322" hidden="1" x14ac:dyDescent="0.35"/>
    <row r="79323" hidden="1" x14ac:dyDescent="0.35"/>
    <row r="79324" hidden="1" x14ac:dyDescent="0.35"/>
    <row r="79325" hidden="1" x14ac:dyDescent="0.35"/>
    <row r="79326" hidden="1" x14ac:dyDescent="0.35"/>
    <row r="79327" hidden="1" x14ac:dyDescent="0.35"/>
    <row r="79328" hidden="1" x14ac:dyDescent="0.35"/>
    <row r="79329" hidden="1" x14ac:dyDescent="0.35"/>
    <row r="79330" hidden="1" x14ac:dyDescent="0.35"/>
    <row r="79331" hidden="1" x14ac:dyDescent="0.35"/>
    <row r="79332" hidden="1" x14ac:dyDescent="0.35"/>
    <row r="79333" hidden="1" x14ac:dyDescent="0.35"/>
    <row r="79334" hidden="1" x14ac:dyDescent="0.35"/>
    <row r="79335" hidden="1" x14ac:dyDescent="0.35"/>
    <row r="79336" hidden="1" x14ac:dyDescent="0.35"/>
    <row r="79337" hidden="1" x14ac:dyDescent="0.35"/>
    <row r="79338" hidden="1" x14ac:dyDescent="0.35"/>
    <row r="79339" hidden="1" x14ac:dyDescent="0.35"/>
    <row r="79340" hidden="1" x14ac:dyDescent="0.35"/>
    <row r="79341" hidden="1" x14ac:dyDescent="0.35"/>
    <row r="79342" hidden="1" x14ac:dyDescent="0.35"/>
    <row r="79343" hidden="1" x14ac:dyDescent="0.35"/>
    <row r="79344" hidden="1" x14ac:dyDescent="0.35"/>
    <row r="79345" hidden="1" x14ac:dyDescent="0.35"/>
    <row r="79346" hidden="1" x14ac:dyDescent="0.35"/>
    <row r="79347" hidden="1" x14ac:dyDescent="0.35"/>
    <row r="79348" hidden="1" x14ac:dyDescent="0.35"/>
    <row r="79349" hidden="1" x14ac:dyDescent="0.35"/>
    <row r="79350" hidden="1" x14ac:dyDescent="0.35"/>
    <row r="79351" hidden="1" x14ac:dyDescent="0.35"/>
    <row r="79352" hidden="1" x14ac:dyDescent="0.35"/>
    <row r="79353" hidden="1" x14ac:dyDescent="0.35"/>
    <row r="79354" hidden="1" x14ac:dyDescent="0.35"/>
    <row r="79355" hidden="1" x14ac:dyDescent="0.35"/>
    <row r="79356" hidden="1" x14ac:dyDescent="0.35"/>
    <row r="79357" hidden="1" x14ac:dyDescent="0.35"/>
    <row r="79358" hidden="1" x14ac:dyDescent="0.35"/>
    <row r="79359" hidden="1" x14ac:dyDescent="0.35"/>
    <row r="79360" hidden="1" x14ac:dyDescent="0.35"/>
    <row r="79361" hidden="1" x14ac:dyDescent="0.35"/>
    <row r="79362" hidden="1" x14ac:dyDescent="0.35"/>
    <row r="79363" hidden="1" x14ac:dyDescent="0.35"/>
    <row r="79364" hidden="1" x14ac:dyDescent="0.35"/>
    <row r="79365" hidden="1" x14ac:dyDescent="0.35"/>
    <row r="79366" hidden="1" x14ac:dyDescent="0.35"/>
    <row r="79367" hidden="1" x14ac:dyDescent="0.35"/>
    <row r="79368" hidden="1" x14ac:dyDescent="0.35"/>
    <row r="79369" hidden="1" x14ac:dyDescent="0.35"/>
    <row r="79370" hidden="1" x14ac:dyDescent="0.35"/>
    <row r="79371" hidden="1" x14ac:dyDescent="0.35"/>
    <row r="79372" hidden="1" x14ac:dyDescent="0.35"/>
    <row r="79373" hidden="1" x14ac:dyDescent="0.35"/>
    <row r="79374" hidden="1" x14ac:dyDescent="0.35"/>
    <row r="79375" hidden="1" x14ac:dyDescent="0.35"/>
    <row r="79376" hidden="1" x14ac:dyDescent="0.35"/>
    <row r="79377" hidden="1" x14ac:dyDescent="0.35"/>
    <row r="79378" hidden="1" x14ac:dyDescent="0.35"/>
    <row r="79379" hidden="1" x14ac:dyDescent="0.35"/>
    <row r="79380" hidden="1" x14ac:dyDescent="0.35"/>
    <row r="79381" hidden="1" x14ac:dyDescent="0.35"/>
    <row r="79382" hidden="1" x14ac:dyDescent="0.35"/>
    <row r="79383" hidden="1" x14ac:dyDescent="0.35"/>
    <row r="79384" hidden="1" x14ac:dyDescent="0.35"/>
    <row r="79385" hidden="1" x14ac:dyDescent="0.35"/>
    <row r="79386" hidden="1" x14ac:dyDescent="0.35"/>
    <row r="79387" hidden="1" x14ac:dyDescent="0.35"/>
    <row r="79388" hidden="1" x14ac:dyDescent="0.35"/>
    <row r="79389" hidden="1" x14ac:dyDescent="0.35"/>
    <row r="79390" hidden="1" x14ac:dyDescent="0.35"/>
    <row r="79391" hidden="1" x14ac:dyDescent="0.35"/>
    <row r="79392" hidden="1" x14ac:dyDescent="0.35"/>
    <row r="79393" hidden="1" x14ac:dyDescent="0.35"/>
    <row r="79394" hidden="1" x14ac:dyDescent="0.35"/>
    <row r="79395" hidden="1" x14ac:dyDescent="0.35"/>
    <row r="79396" hidden="1" x14ac:dyDescent="0.35"/>
    <row r="79397" hidden="1" x14ac:dyDescent="0.35"/>
    <row r="79398" hidden="1" x14ac:dyDescent="0.35"/>
    <row r="79399" hidden="1" x14ac:dyDescent="0.35"/>
    <row r="79400" hidden="1" x14ac:dyDescent="0.35"/>
    <row r="79401" hidden="1" x14ac:dyDescent="0.35"/>
    <row r="79402" hidden="1" x14ac:dyDescent="0.35"/>
    <row r="79403" hidden="1" x14ac:dyDescent="0.35"/>
    <row r="79404" hidden="1" x14ac:dyDescent="0.35"/>
    <row r="79405" hidden="1" x14ac:dyDescent="0.35"/>
    <row r="79406" hidden="1" x14ac:dyDescent="0.35"/>
    <row r="79407" hidden="1" x14ac:dyDescent="0.35"/>
    <row r="79408" hidden="1" x14ac:dyDescent="0.35"/>
    <row r="79409" hidden="1" x14ac:dyDescent="0.35"/>
    <row r="79410" hidden="1" x14ac:dyDescent="0.35"/>
    <row r="79411" hidden="1" x14ac:dyDescent="0.35"/>
    <row r="79412" hidden="1" x14ac:dyDescent="0.35"/>
    <row r="79413" hidden="1" x14ac:dyDescent="0.35"/>
    <row r="79414" hidden="1" x14ac:dyDescent="0.35"/>
    <row r="79415" hidden="1" x14ac:dyDescent="0.35"/>
    <row r="79416" hidden="1" x14ac:dyDescent="0.35"/>
    <row r="79417" hidden="1" x14ac:dyDescent="0.35"/>
    <row r="79418" hidden="1" x14ac:dyDescent="0.35"/>
    <row r="79419" hidden="1" x14ac:dyDescent="0.35"/>
    <row r="79420" hidden="1" x14ac:dyDescent="0.35"/>
    <row r="79421" hidden="1" x14ac:dyDescent="0.35"/>
    <row r="79422" hidden="1" x14ac:dyDescent="0.35"/>
    <row r="79423" hidden="1" x14ac:dyDescent="0.35"/>
    <row r="79424" hidden="1" x14ac:dyDescent="0.35"/>
    <row r="79425" hidden="1" x14ac:dyDescent="0.35"/>
    <row r="79426" hidden="1" x14ac:dyDescent="0.35"/>
    <row r="79427" hidden="1" x14ac:dyDescent="0.35"/>
    <row r="79428" hidden="1" x14ac:dyDescent="0.35"/>
    <row r="79429" hidden="1" x14ac:dyDescent="0.35"/>
    <row r="79430" hidden="1" x14ac:dyDescent="0.35"/>
    <row r="79431" hidden="1" x14ac:dyDescent="0.35"/>
    <row r="79432" hidden="1" x14ac:dyDescent="0.35"/>
    <row r="79433" hidden="1" x14ac:dyDescent="0.35"/>
    <row r="79434" hidden="1" x14ac:dyDescent="0.35"/>
    <row r="79435" hidden="1" x14ac:dyDescent="0.35"/>
    <row r="79436" hidden="1" x14ac:dyDescent="0.35"/>
    <row r="79437" hidden="1" x14ac:dyDescent="0.35"/>
    <row r="79438" hidden="1" x14ac:dyDescent="0.35"/>
    <row r="79439" hidden="1" x14ac:dyDescent="0.35"/>
    <row r="79440" hidden="1" x14ac:dyDescent="0.35"/>
    <row r="79441" hidden="1" x14ac:dyDescent="0.35"/>
    <row r="79442" hidden="1" x14ac:dyDescent="0.35"/>
    <row r="79443" hidden="1" x14ac:dyDescent="0.35"/>
    <row r="79444" hidden="1" x14ac:dyDescent="0.35"/>
    <row r="79445" hidden="1" x14ac:dyDescent="0.35"/>
    <row r="79446" hidden="1" x14ac:dyDescent="0.35"/>
    <row r="79447" hidden="1" x14ac:dyDescent="0.35"/>
    <row r="79448" hidden="1" x14ac:dyDescent="0.35"/>
    <row r="79449" hidden="1" x14ac:dyDescent="0.35"/>
    <row r="79450" hidden="1" x14ac:dyDescent="0.35"/>
    <row r="79451" hidden="1" x14ac:dyDescent="0.35"/>
    <row r="79452" hidden="1" x14ac:dyDescent="0.35"/>
    <row r="79453" hidden="1" x14ac:dyDescent="0.35"/>
    <row r="79454" hidden="1" x14ac:dyDescent="0.35"/>
    <row r="79455" hidden="1" x14ac:dyDescent="0.35"/>
    <row r="79456" hidden="1" x14ac:dyDescent="0.35"/>
    <row r="79457" hidden="1" x14ac:dyDescent="0.35"/>
    <row r="79458" hidden="1" x14ac:dyDescent="0.35"/>
    <row r="79459" hidden="1" x14ac:dyDescent="0.35"/>
    <row r="79460" hidden="1" x14ac:dyDescent="0.35"/>
    <row r="79461" hidden="1" x14ac:dyDescent="0.35"/>
    <row r="79462" hidden="1" x14ac:dyDescent="0.35"/>
    <row r="79463" hidden="1" x14ac:dyDescent="0.35"/>
    <row r="79464" hidden="1" x14ac:dyDescent="0.35"/>
    <row r="79465" hidden="1" x14ac:dyDescent="0.35"/>
    <row r="79466" hidden="1" x14ac:dyDescent="0.35"/>
    <row r="79467" hidden="1" x14ac:dyDescent="0.35"/>
    <row r="79468" hidden="1" x14ac:dyDescent="0.35"/>
    <row r="79469" hidden="1" x14ac:dyDescent="0.35"/>
    <row r="79470" hidden="1" x14ac:dyDescent="0.35"/>
    <row r="79471" hidden="1" x14ac:dyDescent="0.35"/>
    <row r="79472" hidden="1" x14ac:dyDescent="0.35"/>
    <row r="79473" hidden="1" x14ac:dyDescent="0.35"/>
    <row r="79474" hidden="1" x14ac:dyDescent="0.35"/>
    <row r="79475" hidden="1" x14ac:dyDescent="0.35"/>
    <row r="79476" hidden="1" x14ac:dyDescent="0.35"/>
    <row r="79477" hidden="1" x14ac:dyDescent="0.35"/>
    <row r="79478" hidden="1" x14ac:dyDescent="0.35"/>
    <row r="79479" hidden="1" x14ac:dyDescent="0.35"/>
    <row r="79480" hidden="1" x14ac:dyDescent="0.35"/>
    <row r="79481" hidden="1" x14ac:dyDescent="0.35"/>
    <row r="79482" hidden="1" x14ac:dyDescent="0.35"/>
    <row r="79483" hidden="1" x14ac:dyDescent="0.35"/>
    <row r="79484" hidden="1" x14ac:dyDescent="0.35"/>
    <row r="79485" hidden="1" x14ac:dyDescent="0.35"/>
    <row r="79486" hidden="1" x14ac:dyDescent="0.35"/>
    <row r="79487" hidden="1" x14ac:dyDescent="0.35"/>
    <row r="79488" hidden="1" x14ac:dyDescent="0.35"/>
    <row r="79489" hidden="1" x14ac:dyDescent="0.35"/>
    <row r="79490" hidden="1" x14ac:dyDescent="0.35"/>
    <row r="79491" hidden="1" x14ac:dyDescent="0.35"/>
    <row r="79492" hidden="1" x14ac:dyDescent="0.35"/>
    <row r="79493" hidden="1" x14ac:dyDescent="0.35"/>
    <row r="79494" hidden="1" x14ac:dyDescent="0.35"/>
    <row r="79495" hidden="1" x14ac:dyDescent="0.35"/>
    <row r="79496" hidden="1" x14ac:dyDescent="0.35"/>
    <row r="79497" hidden="1" x14ac:dyDescent="0.35"/>
    <row r="79498" hidden="1" x14ac:dyDescent="0.35"/>
    <row r="79499" hidden="1" x14ac:dyDescent="0.35"/>
    <row r="79500" hidden="1" x14ac:dyDescent="0.35"/>
    <row r="79501" hidden="1" x14ac:dyDescent="0.35"/>
    <row r="79502" hidden="1" x14ac:dyDescent="0.35"/>
    <row r="79503" hidden="1" x14ac:dyDescent="0.35"/>
    <row r="79504" hidden="1" x14ac:dyDescent="0.35"/>
    <row r="79505" hidden="1" x14ac:dyDescent="0.35"/>
    <row r="79506" hidden="1" x14ac:dyDescent="0.35"/>
    <row r="79507" hidden="1" x14ac:dyDescent="0.35"/>
    <row r="79508" hidden="1" x14ac:dyDescent="0.35"/>
    <row r="79509" hidden="1" x14ac:dyDescent="0.35"/>
    <row r="79510" hidden="1" x14ac:dyDescent="0.35"/>
    <row r="79511" hidden="1" x14ac:dyDescent="0.35"/>
    <row r="79512" hidden="1" x14ac:dyDescent="0.35"/>
    <row r="79513" hidden="1" x14ac:dyDescent="0.35"/>
    <row r="79514" hidden="1" x14ac:dyDescent="0.35"/>
    <row r="79515" hidden="1" x14ac:dyDescent="0.35"/>
    <row r="79516" hidden="1" x14ac:dyDescent="0.35"/>
    <row r="79517" hidden="1" x14ac:dyDescent="0.35"/>
    <row r="79518" hidden="1" x14ac:dyDescent="0.35"/>
    <row r="79519" hidden="1" x14ac:dyDescent="0.35"/>
    <row r="79520" hidden="1" x14ac:dyDescent="0.35"/>
    <row r="79521" hidden="1" x14ac:dyDescent="0.35"/>
    <row r="79522" hidden="1" x14ac:dyDescent="0.35"/>
    <row r="79523" hidden="1" x14ac:dyDescent="0.35"/>
    <row r="79524" hidden="1" x14ac:dyDescent="0.35"/>
    <row r="79525" hidden="1" x14ac:dyDescent="0.35"/>
    <row r="79526" hidden="1" x14ac:dyDescent="0.35"/>
    <row r="79527" hidden="1" x14ac:dyDescent="0.35"/>
    <row r="79528" hidden="1" x14ac:dyDescent="0.35"/>
    <row r="79529" hidden="1" x14ac:dyDescent="0.35"/>
    <row r="79530" hidden="1" x14ac:dyDescent="0.35"/>
    <row r="79531" hidden="1" x14ac:dyDescent="0.35"/>
    <row r="79532" hidden="1" x14ac:dyDescent="0.35"/>
    <row r="79533" hidden="1" x14ac:dyDescent="0.35"/>
    <row r="79534" hidden="1" x14ac:dyDescent="0.35"/>
    <row r="79535" hidden="1" x14ac:dyDescent="0.35"/>
    <row r="79536" hidden="1" x14ac:dyDescent="0.35"/>
    <row r="79537" hidden="1" x14ac:dyDescent="0.35"/>
    <row r="79538" hidden="1" x14ac:dyDescent="0.35"/>
    <row r="79539" hidden="1" x14ac:dyDescent="0.35"/>
    <row r="79540" hidden="1" x14ac:dyDescent="0.35"/>
    <row r="79541" hidden="1" x14ac:dyDescent="0.35"/>
    <row r="79542" hidden="1" x14ac:dyDescent="0.35"/>
    <row r="79543" hidden="1" x14ac:dyDescent="0.35"/>
    <row r="79544" hidden="1" x14ac:dyDescent="0.35"/>
    <row r="79545" hidden="1" x14ac:dyDescent="0.35"/>
    <row r="79546" hidden="1" x14ac:dyDescent="0.35"/>
    <row r="79547" hidden="1" x14ac:dyDescent="0.35"/>
    <row r="79548" hidden="1" x14ac:dyDescent="0.35"/>
    <row r="79549" hidden="1" x14ac:dyDescent="0.35"/>
    <row r="79550" hidden="1" x14ac:dyDescent="0.35"/>
    <row r="79551" hidden="1" x14ac:dyDescent="0.35"/>
    <row r="79552" hidden="1" x14ac:dyDescent="0.35"/>
    <row r="79553" hidden="1" x14ac:dyDescent="0.35"/>
    <row r="79554" hidden="1" x14ac:dyDescent="0.35"/>
    <row r="79555" hidden="1" x14ac:dyDescent="0.35"/>
    <row r="79556" hidden="1" x14ac:dyDescent="0.35"/>
    <row r="79557" hidden="1" x14ac:dyDescent="0.35"/>
    <row r="79558" hidden="1" x14ac:dyDescent="0.35"/>
    <row r="79559" hidden="1" x14ac:dyDescent="0.35"/>
    <row r="79560" hidden="1" x14ac:dyDescent="0.35"/>
    <row r="79561" hidden="1" x14ac:dyDescent="0.35"/>
    <row r="79562" hidden="1" x14ac:dyDescent="0.35"/>
    <row r="79563" hidden="1" x14ac:dyDescent="0.35"/>
    <row r="79564" hidden="1" x14ac:dyDescent="0.35"/>
    <row r="79565" hidden="1" x14ac:dyDescent="0.35"/>
    <row r="79566" hidden="1" x14ac:dyDescent="0.35"/>
    <row r="79567" hidden="1" x14ac:dyDescent="0.35"/>
    <row r="79568" hidden="1" x14ac:dyDescent="0.35"/>
    <row r="79569" hidden="1" x14ac:dyDescent="0.35"/>
    <row r="79570" hidden="1" x14ac:dyDescent="0.35"/>
    <row r="79571" hidden="1" x14ac:dyDescent="0.35"/>
    <row r="79572" hidden="1" x14ac:dyDescent="0.35"/>
    <row r="79573" hidden="1" x14ac:dyDescent="0.35"/>
    <row r="79574" hidden="1" x14ac:dyDescent="0.35"/>
    <row r="79575" hidden="1" x14ac:dyDescent="0.35"/>
    <row r="79576" hidden="1" x14ac:dyDescent="0.35"/>
    <row r="79577" hidden="1" x14ac:dyDescent="0.35"/>
    <row r="79578" hidden="1" x14ac:dyDescent="0.35"/>
    <row r="79579" hidden="1" x14ac:dyDescent="0.35"/>
    <row r="79580" hidden="1" x14ac:dyDescent="0.35"/>
    <row r="79581" hidden="1" x14ac:dyDescent="0.35"/>
    <row r="79582" hidden="1" x14ac:dyDescent="0.35"/>
    <row r="79583" hidden="1" x14ac:dyDescent="0.35"/>
    <row r="79584" hidden="1" x14ac:dyDescent="0.35"/>
    <row r="79585" hidden="1" x14ac:dyDescent="0.35"/>
    <row r="79586" hidden="1" x14ac:dyDescent="0.35"/>
    <row r="79587" hidden="1" x14ac:dyDescent="0.35"/>
    <row r="79588" hidden="1" x14ac:dyDescent="0.35"/>
    <row r="79589" hidden="1" x14ac:dyDescent="0.35"/>
    <row r="79590" hidden="1" x14ac:dyDescent="0.35"/>
    <row r="79591" hidden="1" x14ac:dyDescent="0.35"/>
    <row r="79592" hidden="1" x14ac:dyDescent="0.35"/>
    <row r="79593" hidden="1" x14ac:dyDescent="0.35"/>
    <row r="79594" hidden="1" x14ac:dyDescent="0.35"/>
    <row r="79595" hidden="1" x14ac:dyDescent="0.35"/>
    <row r="79596" hidden="1" x14ac:dyDescent="0.35"/>
    <row r="79597" hidden="1" x14ac:dyDescent="0.35"/>
    <row r="79598" hidden="1" x14ac:dyDescent="0.35"/>
    <row r="79599" hidden="1" x14ac:dyDescent="0.35"/>
    <row r="79600" hidden="1" x14ac:dyDescent="0.35"/>
    <row r="79601" hidden="1" x14ac:dyDescent="0.35"/>
    <row r="79602" hidden="1" x14ac:dyDescent="0.35"/>
    <row r="79603" hidden="1" x14ac:dyDescent="0.35"/>
    <row r="79604" hidden="1" x14ac:dyDescent="0.35"/>
    <row r="79605" hidden="1" x14ac:dyDescent="0.35"/>
    <row r="79606" hidden="1" x14ac:dyDescent="0.35"/>
    <row r="79607" hidden="1" x14ac:dyDescent="0.35"/>
    <row r="79608" hidden="1" x14ac:dyDescent="0.35"/>
    <row r="79609" hidden="1" x14ac:dyDescent="0.35"/>
    <row r="79610" hidden="1" x14ac:dyDescent="0.35"/>
    <row r="79611" hidden="1" x14ac:dyDescent="0.35"/>
    <row r="79612" hidden="1" x14ac:dyDescent="0.35"/>
    <row r="79613" hidden="1" x14ac:dyDescent="0.35"/>
    <row r="79614" hidden="1" x14ac:dyDescent="0.35"/>
    <row r="79615" hidden="1" x14ac:dyDescent="0.35"/>
    <row r="79616" hidden="1" x14ac:dyDescent="0.35"/>
    <row r="79617" hidden="1" x14ac:dyDescent="0.35"/>
    <row r="79618" hidden="1" x14ac:dyDescent="0.35"/>
    <row r="79619" hidden="1" x14ac:dyDescent="0.35"/>
    <row r="79620" hidden="1" x14ac:dyDescent="0.35"/>
    <row r="79621" hidden="1" x14ac:dyDescent="0.35"/>
    <row r="79622" hidden="1" x14ac:dyDescent="0.35"/>
    <row r="79623" hidden="1" x14ac:dyDescent="0.35"/>
    <row r="79624" hidden="1" x14ac:dyDescent="0.35"/>
    <row r="79625" hidden="1" x14ac:dyDescent="0.35"/>
    <row r="79626" hidden="1" x14ac:dyDescent="0.35"/>
    <row r="79627" hidden="1" x14ac:dyDescent="0.35"/>
    <row r="79628" hidden="1" x14ac:dyDescent="0.35"/>
    <row r="79629" hidden="1" x14ac:dyDescent="0.35"/>
    <row r="79630" hidden="1" x14ac:dyDescent="0.35"/>
    <row r="79631" hidden="1" x14ac:dyDescent="0.35"/>
    <row r="79632" hidden="1" x14ac:dyDescent="0.35"/>
    <row r="79633" hidden="1" x14ac:dyDescent="0.35"/>
    <row r="79634" hidden="1" x14ac:dyDescent="0.35"/>
    <row r="79635" hidden="1" x14ac:dyDescent="0.35"/>
    <row r="79636" hidden="1" x14ac:dyDescent="0.35"/>
    <row r="79637" hidden="1" x14ac:dyDescent="0.35"/>
    <row r="79638" hidden="1" x14ac:dyDescent="0.35"/>
    <row r="79639" hidden="1" x14ac:dyDescent="0.35"/>
    <row r="79640" hidden="1" x14ac:dyDescent="0.35"/>
    <row r="79641" hidden="1" x14ac:dyDescent="0.35"/>
    <row r="79642" hidden="1" x14ac:dyDescent="0.35"/>
    <row r="79643" hidden="1" x14ac:dyDescent="0.35"/>
    <row r="79644" hidden="1" x14ac:dyDescent="0.35"/>
    <row r="79645" hidden="1" x14ac:dyDescent="0.35"/>
    <row r="79646" hidden="1" x14ac:dyDescent="0.35"/>
    <row r="79647" hidden="1" x14ac:dyDescent="0.35"/>
    <row r="79648" hidden="1" x14ac:dyDescent="0.35"/>
    <row r="79649" hidden="1" x14ac:dyDescent="0.35"/>
    <row r="79650" hidden="1" x14ac:dyDescent="0.35"/>
    <row r="79651" hidden="1" x14ac:dyDescent="0.35"/>
    <row r="79652" hidden="1" x14ac:dyDescent="0.35"/>
    <row r="79653" hidden="1" x14ac:dyDescent="0.35"/>
    <row r="79654" hidden="1" x14ac:dyDescent="0.35"/>
    <row r="79655" hidden="1" x14ac:dyDescent="0.35"/>
    <row r="79656" hidden="1" x14ac:dyDescent="0.35"/>
    <row r="79657" hidden="1" x14ac:dyDescent="0.35"/>
    <row r="79658" hidden="1" x14ac:dyDescent="0.35"/>
    <row r="79659" hidden="1" x14ac:dyDescent="0.35"/>
    <row r="79660" hidden="1" x14ac:dyDescent="0.35"/>
    <row r="79661" hidden="1" x14ac:dyDescent="0.35"/>
    <row r="79662" hidden="1" x14ac:dyDescent="0.35"/>
    <row r="79663" hidden="1" x14ac:dyDescent="0.35"/>
    <row r="79664" hidden="1" x14ac:dyDescent="0.35"/>
    <row r="79665" hidden="1" x14ac:dyDescent="0.35"/>
    <row r="79666" hidden="1" x14ac:dyDescent="0.35"/>
    <row r="79667" hidden="1" x14ac:dyDescent="0.35"/>
    <row r="79668" hidden="1" x14ac:dyDescent="0.35"/>
    <row r="79669" hidden="1" x14ac:dyDescent="0.35"/>
    <row r="79670" hidden="1" x14ac:dyDescent="0.35"/>
    <row r="79671" hidden="1" x14ac:dyDescent="0.35"/>
    <row r="79672" hidden="1" x14ac:dyDescent="0.35"/>
    <row r="79673" hidden="1" x14ac:dyDescent="0.35"/>
    <row r="79674" hidden="1" x14ac:dyDescent="0.35"/>
    <row r="79675" hidden="1" x14ac:dyDescent="0.35"/>
    <row r="79676" hidden="1" x14ac:dyDescent="0.35"/>
    <row r="79677" hidden="1" x14ac:dyDescent="0.35"/>
    <row r="79678" hidden="1" x14ac:dyDescent="0.35"/>
    <row r="79679" hidden="1" x14ac:dyDescent="0.35"/>
    <row r="79680" hidden="1" x14ac:dyDescent="0.35"/>
    <row r="79681" hidden="1" x14ac:dyDescent="0.35"/>
    <row r="79682" hidden="1" x14ac:dyDescent="0.35"/>
    <row r="79683" hidden="1" x14ac:dyDescent="0.35"/>
    <row r="79684" hidden="1" x14ac:dyDescent="0.35"/>
    <row r="79685" hidden="1" x14ac:dyDescent="0.35"/>
    <row r="79686" hidden="1" x14ac:dyDescent="0.35"/>
    <row r="79687" hidden="1" x14ac:dyDescent="0.35"/>
    <row r="79688" hidden="1" x14ac:dyDescent="0.35"/>
    <row r="79689" hidden="1" x14ac:dyDescent="0.35"/>
    <row r="79690" hidden="1" x14ac:dyDescent="0.35"/>
    <row r="79691" hidden="1" x14ac:dyDescent="0.35"/>
    <row r="79692" hidden="1" x14ac:dyDescent="0.35"/>
    <row r="79693" hidden="1" x14ac:dyDescent="0.35"/>
    <row r="79694" hidden="1" x14ac:dyDescent="0.35"/>
    <row r="79695" hidden="1" x14ac:dyDescent="0.35"/>
    <row r="79696" hidden="1" x14ac:dyDescent="0.35"/>
    <row r="79697" hidden="1" x14ac:dyDescent="0.35"/>
    <row r="79698" hidden="1" x14ac:dyDescent="0.35"/>
    <row r="79699" hidden="1" x14ac:dyDescent="0.35"/>
    <row r="79700" hidden="1" x14ac:dyDescent="0.35"/>
    <row r="79701" hidden="1" x14ac:dyDescent="0.35"/>
    <row r="79702" hidden="1" x14ac:dyDescent="0.35"/>
    <row r="79703" hidden="1" x14ac:dyDescent="0.35"/>
    <row r="79704" hidden="1" x14ac:dyDescent="0.35"/>
    <row r="79705" hidden="1" x14ac:dyDescent="0.35"/>
    <row r="79706" hidden="1" x14ac:dyDescent="0.35"/>
    <row r="79707" hidden="1" x14ac:dyDescent="0.35"/>
    <row r="79708" hidden="1" x14ac:dyDescent="0.35"/>
    <row r="79709" hidden="1" x14ac:dyDescent="0.35"/>
    <row r="79710" hidden="1" x14ac:dyDescent="0.35"/>
    <row r="79711" hidden="1" x14ac:dyDescent="0.35"/>
    <row r="79712" hidden="1" x14ac:dyDescent="0.35"/>
    <row r="79713" hidden="1" x14ac:dyDescent="0.35"/>
    <row r="79714" hidden="1" x14ac:dyDescent="0.35"/>
    <row r="79715" hidden="1" x14ac:dyDescent="0.35"/>
    <row r="79716" hidden="1" x14ac:dyDescent="0.35"/>
    <row r="79717" hidden="1" x14ac:dyDescent="0.35"/>
    <row r="79718" hidden="1" x14ac:dyDescent="0.35"/>
    <row r="79719" hidden="1" x14ac:dyDescent="0.35"/>
    <row r="79720" hidden="1" x14ac:dyDescent="0.35"/>
    <row r="79721" hidden="1" x14ac:dyDescent="0.35"/>
    <row r="79722" hidden="1" x14ac:dyDescent="0.35"/>
    <row r="79723" hidden="1" x14ac:dyDescent="0.35"/>
    <row r="79724" hidden="1" x14ac:dyDescent="0.35"/>
    <row r="79725" hidden="1" x14ac:dyDescent="0.35"/>
    <row r="79726" hidden="1" x14ac:dyDescent="0.35"/>
    <row r="79727" hidden="1" x14ac:dyDescent="0.35"/>
    <row r="79728" hidden="1" x14ac:dyDescent="0.35"/>
    <row r="79729" hidden="1" x14ac:dyDescent="0.35"/>
    <row r="79730" hidden="1" x14ac:dyDescent="0.35"/>
    <row r="79731" hidden="1" x14ac:dyDescent="0.35"/>
    <row r="79732" hidden="1" x14ac:dyDescent="0.35"/>
    <row r="79733" hidden="1" x14ac:dyDescent="0.35"/>
    <row r="79734" hidden="1" x14ac:dyDescent="0.35"/>
    <row r="79735" hidden="1" x14ac:dyDescent="0.35"/>
    <row r="79736" hidden="1" x14ac:dyDescent="0.35"/>
    <row r="79737" hidden="1" x14ac:dyDescent="0.35"/>
    <row r="79738" hidden="1" x14ac:dyDescent="0.35"/>
    <row r="79739" hidden="1" x14ac:dyDescent="0.35"/>
    <row r="79740" hidden="1" x14ac:dyDescent="0.35"/>
    <row r="79741" hidden="1" x14ac:dyDescent="0.35"/>
    <row r="79742" hidden="1" x14ac:dyDescent="0.35"/>
    <row r="79743" hidden="1" x14ac:dyDescent="0.35"/>
    <row r="79744" hidden="1" x14ac:dyDescent="0.35"/>
    <row r="79745" hidden="1" x14ac:dyDescent="0.35"/>
    <row r="79746" hidden="1" x14ac:dyDescent="0.35"/>
    <row r="79747" hidden="1" x14ac:dyDescent="0.35"/>
    <row r="79748" hidden="1" x14ac:dyDescent="0.35"/>
    <row r="79749" hidden="1" x14ac:dyDescent="0.35"/>
    <row r="79750" hidden="1" x14ac:dyDescent="0.35"/>
    <row r="79751" hidden="1" x14ac:dyDescent="0.35"/>
    <row r="79752" hidden="1" x14ac:dyDescent="0.35"/>
    <row r="79753" hidden="1" x14ac:dyDescent="0.35"/>
    <row r="79754" hidden="1" x14ac:dyDescent="0.35"/>
    <row r="79755" hidden="1" x14ac:dyDescent="0.35"/>
    <row r="79756" hidden="1" x14ac:dyDescent="0.35"/>
    <row r="79757" hidden="1" x14ac:dyDescent="0.35"/>
    <row r="79758" hidden="1" x14ac:dyDescent="0.35"/>
    <row r="79759" hidden="1" x14ac:dyDescent="0.35"/>
    <row r="79760" hidden="1" x14ac:dyDescent="0.35"/>
    <row r="79761" hidden="1" x14ac:dyDescent="0.35"/>
    <row r="79762" hidden="1" x14ac:dyDescent="0.35"/>
    <row r="79763" hidden="1" x14ac:dyDescent="0.35"/>
    <row r="79764" hidden="1" x14ac:dyDescent="0.35"/>
    <row r="79765" hidden="1" x14ac:dyDescent="0.35"/>
    <row r="79766" hidden="1" x14ac:dyDescent="0.35"/>
    <row r="79767" hidden="1" x14ac:dyDescent="0.35"/>
    <row r="79768" hidden="1" x14ac:dyDescent="0.35"/>
    <row r="79769" hidden="1" x14ac:dyDescent="0.35"/>
    <row r="79770" hidden="1" x14ac:dyDescent="0.35"/>
    <row r="79771" hidden="1" x14ac:dyDescent="0.35"/>
    <row r="79772" hidden="1" x14ac:dyDescent="0.35"/>
    <row r="79773" hidden="1" x14ac:dyDescent="0.35"/>
    <row r="79774" hidden="1" x14ac:dyDescent="0.35"/>
    <row r="79775" hidden="1" x14ac:dyDescent="0.35"/>
    <row r="79776" hidden="1" x14ac:dyDescent="0.35"/>
    <row r="79777" hidden="1" x14ac:dyDescent="0.35"/>
    <row r="79778" hidden="1" x14ac:dyDescent="0.35"/>
    <row r="79779" hidden="1" x14ac:dyDescent="0.35"/>
    <row r="79780" hidden="1" x14ac:dyDescent="0.35"/>
    <row r="79781" hidden="1" x14ac:dyDescent="0.35"/>
    <row r="79782" hidden="1" x14ac:dyDescent="0.35"/>
    <row r="79783" hidden="1" x14ac:dyDescent="0.35"/>
    <row r="79784" hidden="1" x14ac:dyDescent="0.35"/>
    <row r="79785" hidden="1" x14ac:dyDescent="0.35"/>
    <row r="79786" hidden="1" x14ac:dyDescent="0.35"/>
    <row r="79787" hidden="1" x14ac:dyDescent="0.35"/>
    <row r="79788" hidden="1" x14ac:dyDescent="0.35"/>
    <row r="79789" hidden="1" x14ac:dyDescent="0.35"/>
    <row r="79790" hidden="1" x14ac:dyDescent="0.35"/>
    <row r="79791" hidden="1" x14ac:dyDescent="0.35"/>
    <row r="79792" hidden="1" x14ac:dyDescent="0.35"/>
    <row r="79793" hidden="1" x14ac:dyDescent="0.35"/>
    <row r="79794" hidden="1" x14ac:dyDescent="0.35"/>
    <row r="79795" hidden="1" x14ac:dyDescent="0.35"/>
    <row r="79796" hidden="1" x14ac:dyDescent="0.35"/>
    <row r="79797" hidden="1" x14ac:dyDescent="0.35"/>
    <row r="79798" hidden="1" x14ac:dyDescent="0.35"/>
    <row r="79799" hidden="1" x14ac:dyDescent="0.35"/>
    <row r="79800" hidden="1" x14ac:dyDescent="0.35"/>
    <row r="79801" hidden="1" x14ac:dyDescent="0.35"/>
    <row r="79802" hidden="1" x14ac:dyDescent="0.35"/>
    <row r="79803" hidden="1" x14ac:dyDescent="0.35"/>
    <row r="79804" hidden="1" x14ac:dyDescent="0.35"/>
    <row r="79805" hidden="1" x14ac:dyDescent="0.35"/>
    <row r="79806" hidden="1" x14ac:dyDescent="0.35"/>
    <row r="79807" hidden="1" x14ac:dyDescent="0.35"/>
    <row r="79808" hidden="1" x14ac:dyDescent="0.35"/>
    <row r="79809" hidden="1" x14ac:dyDescent="0.35"/>
    <row r="79810" hidden="1" x14ac:dyDescent="0.35"/>
    <row r="79811" hidden="1" x14ac:dyDescent="0.35"/>
    <row r="79812" hidden="1" x14ac:dyDescent="0.35"/>
    <row r="79813" hidden="1" x14ac:dyDescent="0.35"/>
    <row r="79814" hidden="1" x14ac:dyDescent="0.35"/>
    <row r="79815" hidden="1" x14ac:dyDescent="0.35"/>
    <row r="79816" hidden="1" x14ac:dyDescent="0.35"/>
    <row r="79817" hidden="1" x14ac:dyDescent="0.35"/>
    <row r="79818" hidden="1" x14ac:dyDescent="0.35"/>
    <row r="79819" hidden="1" x14ac:dyDescent="0.35"/>
    <row r="79820" hidden="1" x14ac:dyDescent="0.35"/>
    <row r="79821" hidden="1" x14ac:dyDescent="0.35"/>
    <row r="79822" hidden="1" x14ac:dyDescent="0.35"/>
    <row r="79823" hidden="1" x14ac:dyDescent="0.35"/>
    <row r="79824" hidden="1" x14ac:dyDescent="0.35"/>
    <row r="79825" hidden="1" x14ac:dyDescent="0.35"/>
    <row r="79826" hidden="1" x14ac:dyDescent="0.35"/>
    <row r="79827" hidden="1" x14ac:dyDescent="0.35"/>
    <row r="79828" hidden="1" x14ac:dyDescent="0.35"/>
    <row r="79829" hidden="1" x14ac:dyDescent="0.35"/>
    <row r="79830" hidden="1" x14ac:dyDescent="0.35"/>
    <row r="79831" hidden="1" x14ac:dyDescent="0.35"/>
    <row r="79832" hidden="1" x14ac:dyDescent="0.35"/>
    <row r="79833" hidden="1" x14ac:dyDescent="0.35"/>
    <row r="79834" hidden="1" x14ac:dyDescent="0.35"/>
    <row r="79835" hidden="1" x14ac:dyDescent="0.35"/>
    <row r="79836" hidden="1" x14ac:dyDescent="0.35"/>
    <row r="79837" hidden="1" x14ac:dyDescent="0.35"/>
    <row r="79838" hidden="1" x14ac:dyDescent="0.35"/>
    <row r="79839" hidden="1" x14ac:dyDescent="0.35"/>
    <row r="79840" hidden="1" x14ac:dyDescent="0.35"/>
    <row r="79841" hidden="1" x14ac:dyDescent="0.35"/>
    <row r="79842" hidden="1" x14ac:dyDescent="0.35"/>
    <row r="79843" hidden="1" x14ac:dyDescent="0.35"/>
    <row r="79844" hidden="1" x14ac:dyDescent="0.35"/>
    <row r="79845" hidden="1" x14ac:dyDescent="0.35"/>
    <row r="79846" hidden="1" x14ac:dyDescent="0.35"/>
    <row r="79847" hidden="1" x14ac:dyDescent="0.35"/>
    <row r="79848" hidden="1" x14ac:dyDescent="0.35"/>
    <row r="79849" hidden="1" x14ac:dyDescent="0.35"/>
    <row r="79850" hidden="1" x14ac:dyDescent="0.35"/>
    <row r="79851" hidden="1" x14ac:dyDescent="0.35"/>
    <row r="79852" hidden="1" x14ac:dyDescent="0.35"/>
    <row r="79853" hidden="1" x14ac:dyDescent="0.35"/>
    <row r="79854" hidden="1" x14ac:dyDescent="0.35"/>
    <row r="79855" hidden="1" x14ac:dyDescent="0.35"/>
    <row r="79856" hidden="1" x14ac:dyDescent="0.35"/>
    <row r="79857" hidden="1" x14ac:dyDescent="0.35"/>
    <row r="79858" hidden="1" x14ac:dyDescent="0.35"/>
    <row r="79859" hidden="1" x14ac:dyDescent="0.35"/>
    <row r="79860" hidden="1" x14ac:dyDescent="0.35"/>
    <row r="79861" hidden="1" x14ac:dyDescent="0.35"/>
    <row r="79862" hidden="1" x14ac:dyDescent="0.35"/>
    <row r="79863" hidden="1" x14ac:dyDescent="0.35"/>
    <row r="79864" hidden="1" x14ac:dyDescent="0.35"/>
    <row r="79865" hidden="1" x14ac:dyDescent="0.35"/>
    <row r="79866" hidden="1" x14ac:dyDescent="0.35"/>
    <row r="79867" hidden="1" x14ac:dyDescent="0.35"/>
    <row r="79868" hidden="1" x14ac:dyDescent="0.35"/>
    <row r="79869" hidden="1" x14ac:dyDescent="0.35"/>
    <row r="79870" hidden="1" x14ac:dyDescent="0.35"/>
    <row r="79871" hidden="1" x14ac:dyDescent="0.35"/>
    <row r="79872" hidden="1" x14ac:dyDescent="0.35"/>
    <row r="79873" hidden="1" x14ac:dyDescent="0.35"/>
    <row r="79874" hidden="1" x14ac:dyDescent="0.35"/>
    <row r="79875" hidden="1" x14ac:dyDescent="0.35"/>
    <row r="79876" hidden="1" x14ac:dyDescent="0.35"/>
    <row r="79877" hidden="1" x14ac:dyDescent="0.35"/>
    <row r="79878" hidden="1" x14ac:dyDescent="0.35"/>
    <row r="79879" hidden="1" x14ac:dyDescent="0.35"/>
    <row r="79880" hidden="1" x14ac:dyDescent="0.35"/>
    <row r="79881" hidden="1" x14ac:dyDescent="0.35"/>
    <row r="79882" hidden="1" x14ac:dyDescent="0.35"/>
    <row r="79883" hidden="1" x14ac:dyDescent="0.35"/>
    <row r="79884" hidden="1" x14ac:dyDescent="0.35"/>
    <row r="79885" hidden="1" x14ac:dyDescent="0.35"/>
    <row r="79886" hidden="1" x14ac:dyDescent="0.35"/>
    <row r="79887" hidden="1" x14ac:dyDescent="0.35"/>
    <row r="79888" hidden="1" x14ac:dyDescent="0.35"/>
    <row r="79889" hidden="1" x14ac:dyDescent="0.35"/>
    <row r="79890" hidden="1" x14ac:dyDescent="0.35"/>
    <row r="79891" hidden="1" x14ac:dyDescent="0.35"/>
    <row r="79892" hidden="1" x14ac:dyDescent="0.35"/>
    <row r="79893" hidden="1" x14ac:dyDescent="0.35"/>
    <row r="79894" hidden="1" x14ac:dyDescent="0.35"/>
    <row r="79895" hidden="1" x14ac:dyDescent="0.35"/>
    <row r="79896" hidden="1" x14ac:dyDescent="0.35"/>
    <row r="79897" hidden="1" x14ac:dyDescent="0.35"/>
    <row r="79898" hidden="1" x14ac:dyDescent="0.35"/>
    <row r="79899" hidden="1" x14ac:dyDescent="0.35"/>
    <row r="79900" hidden="1" x14ac:dyDescent="0.35"/>
    <row r="79901" hidden="1" x14ac:dyDescent="0.35"/>
    <row r="79902" hidden="1" x14ac:dyDescent="0.35"/>
    <row r="79903" hidden="1" x14ac:dyDescent="0.35"/>
    <row r="79904" hidden="1" x14ac:dyDescent="0.35"/>
    <row r="79905" hidden="1" x14ac:dyDescent="0.35"/>
    <row r="79906" hidden="1" x14ac:dyDescent="0.35"/>
    <row r="79907" hidden="1" x14ac:dyDescent="0.35"/>
    <row r="79908" hidden="1" x14ac:dyDescent="0.35"/>
    <row r="79909" hidden="1" x14ac:dyDescent="0.35"/>
    <row r="79910" hidden="1" x14ac:dyDescent="0.35"/>
    <row r="79911" hidden="1" x14ac:dyDescent="0.35"/>
    <row r="79912" hidden="1" x14ac:dyDescent="0.35"/>
    <row r="79913" hidden="1" x14ac:dyDescent="0.35"/>
    <row r="79914" hidden="1" x14ac:dyDescent="0.35"/>
    <row r="79915" hidden="1" x14ac:dyDescent="0.35"/>
    <row r="79916" hidden="1" x14ac:dyDescent="0.35"/>
    <row r="79917" hidden="1" x14ac:dyDescent="0.35"/>
    <row r="79918" hidden="1" x14ac:dyDescent="0.35"/>
    <row r="79919" hidden="1" x14ac:dyDescent="0.35"/>
    <row r="79920" hidden="1" x14ac:dyDescent="0.35"/>
    <row r="79921" hidden="1" x14ac:dyDescent="0.35"/>
    <row r="79922" hidden="1" x14ac:dyDescent="0.35"/>
    <row r="79923" hidden="1" x14ac:dyDescent="0.35"/>
    <row r="79924" hidden="1" x14ac:dyDescent="0.35"/>
    <row r="79925" hidden="1" x14ac:dyDescent="0.35"/>
    <row r="79926" hidden="1" x14ac:dyDescent="0.35"/>
    <row r="79927" hidden="1" x14ac:dyDescent="0.35"/>
    <row r="79928" hidden="1" x14ac:dyDescent="0.35"/>
    <row r="79929" hidden="1" x14ac:dyDescent="0.35"/>
    <row r="79930" hidden="1" x14ac:dyDescent="0.35"/>
    <row r="79931" hidden="1" x14ac:dyDescent="0.35"/>
    <row r="79932" hidden="1" x14ac:dyDescent="0.35"/>
    <row r="79933" hidden="1" x14ac:dyDescent="0.35"/>
    <row r="79934" hidden="1" x14ac:dyDescent="0.35"/>
    <row r="79935" hidden="1" x14ac:dyDescent="0.35"/>
    <row r="79936" hidden="1" x14ac:dyDescent="0.35"/>
    <row r="79937" hidden="1" x14ac:dyDescent="0.35"/>
    <row r="79938" hidden="1" x14ac:dyDescent="0.35"/>
    <row r="79939" hidden="1" x14ac:dyDescent="0.35"/>
    <row r="79940" hidden="1" x14ac:dyDescent="0.35"/>
    <row r="79941" hidden="1" x14ac:dyDescent="0.35"/>
    <row r="79942" hidden="1" x14ac:dyDescent="0.35"/>
    <row r="79943" hidden="1" x14ac:dyDescent="0.35"/>
    <row r="79944" hidden="1" x14ac:dyDescent="0.35"/>
    <row r="79945" hidden="1" x14ac:dyDescent="0.35"/>
    <row r="79946" hidden="1" x14ac:dyDescent="0.35"/>
    <row r="79947" hidden="1" x14ac:dyDescent="0.35"/>
    <row r="79948" hidden="1" x14ac:dyDescent="0.35"/>
    <row r="79949" hidden="1" x14ac:dyDescent="0.35"/>
    <row r="79950" hidden="1" x14ac:dyDescent="0.35"/>
    <row r="79951" hidden="1" x14ac:dyDescent="0.35"/>
    <row r="79952" hidden="1" x14ac:dyDescent="0.35"/>
    <row r="79953" hidden="1" x14ac:dyDescent="0.35"/>
    <row r="79954" hidden="1" x14ac:dyDescent="0.35"/>
    <row r="79955" hidden="1" x14ac:dyDescent="0.35"/>
    <row r="79956" hidden="1" x14ac:dyDescent="0.35"/>
    <row r="79957" hidden="1" x14ac:dyDescent="0.35"/>
    <row r="79958" hidden="1" x14ac:dyDescent="0.35"/>
    <row r="79959" hidden="1" x14ac:dyDescent="0.35"/>
    <row r="79960" hidden="1" x14ac:dyDescent="0.35"/>
    <row r="79961" hidden="1" x14ac:dyDescent="0.35"/>
    <row r="79962" hidden="1" x14ac:dyDescent="0.35"/>
    <row r="79963" hidden="1" x14ac:dyDescent="0.35"/>
    <row r="79964" hidden="1" x14ac:dyDescent="0.35"/>
    <row r="79965" hidden="1" x14ac:dyDescent="0.35"/>
    <row r="79966" hidden="1" x14ac:dyDescent="0.35"/>
    <row r="79967" hidden="1" x14ac:dyDescent="0.35"/>
    <row r="79968" hidden="1" x14ac:dyDescent="0.35"/>
    <row r="79969" hidden="1" x14ac:dyDescent="0.35"/>
    <row r="79970" hidden="1" x14ac:dyDescent="0.35"/>
    <row r="79971" hidden="1" x14ac:dyDescent="0.35"/>
    <row r="79972" hidden="1" x14ac:dyDescent="0.35"/>
    <row r="79973" hidden="1" x14ac:dyDescent="0.35"/>
    <row r="79974" hidden="1" x14ac:dyDescent="0.35"/>
    <row r="79975" hidden="1" x14ac:dyDescent="0.35"/>
    <row r="79976" hidden="1" x14ac:dyDescent="0.35"/>
    <row r="79977" hidden="1" x14ac:dyDescent="0.35"/>
    <row r="79978" hidden="1" x14ac:dyDescent="0.35"/>
    <row r="79979" hidden="1" x14ac:dyDescent="0.35"/>
    <row r="79980" hidden="1" x14ac:dyDescent="0.35"/>
    <row r="79981" hidden="1" x14ac:dyDescent="0.35"/>
    <row r="79982" hidden="1" x14ac:dyDescent="0.35"/>
    <row r="79983" hidden="1" x14ac:dyDescent="0.35"/>
    <row r="79984" hidden="1" x14ac:dyDescent="0.35"/>
    <row r="79985" hidden="1" x14ac:dyDescent="0.35"/>
    <row r="79986" hidden="1" x14ac:dyDescent="0.35"/>
    <row r="79987" hidden="1" x14ac:dyDescent="0.35"/>
    <row r="79988" hidden="1" x14ac:dyDescent="0.35"/>
    <row r="79989" hidden="1" x14ac:dyDescent="0.35"/>
    <row r="79990" hidden="1" x14ac:dyDescent="0.35"/>
    <row r="79991" hidden="1" x14ac:dyDescent="0.35"/>
    <row r="79992" hidden="1" x14ac:dyDescent="0.35"/>
    <row r="79993" hidden="1" x14ac:dyDescent="0.35"/>
    <row r="79994" hidden="1" x14ac:dyDescent="0.35"/>
    <row r="79995" hidden="1" x14ac:dyDescent="0.35"/>
    <row r="79996" hidden="1" x14ac:dyDescent="0.35"/>
    <row r="79997" hidden="1" x14ac:dyDescent="0.35"/>
    <row r="79998" hidden="1" x14ac:dyDescent="0.35"/>
    <row r="79999" hidden="1" x14ac:dyDescent="0.35"/>
    <row r="80000" hidden="1" x14ac:dyDescent="0.35"/>
    <row r="80001" hidden="1" x14ac:dyDescent="0.35"/>
    <row r="80002" hidden="1" x14ac:dyDescent="0.35"/>
    <row r="80003" hidden="1" x14ac:dyDescent="0.35"/>
    <row r="80004" hidden="1" x14ac:dyDescent="0.35"/>
    <row r="80005" hidden="1" x14ac:dyDescent="0.35"/>
    <row r="80006" hidden="1" x14ac:dyDescent="0.35"/>
    <row r="80007" hidden="1" x14ac:dyDescent="0.35"/>
    <row r="80008" hidden="1" x14ac:dyDescent="0.35"/>
    <row r="80009" hidden="1" x14ac:dyDescent="0.35"/>
    <row r="80010" hidden="1" x14ac:dyDescent="0.35"/>
    <row r="80011" hidden="1" x14ac:dyDescent="0.35"/>
    <row r="80012" hidden="1" x14ac:dyDescent="0.35"/>
    <row r="80013" hidden="1" x14ac:dyDescent="0.35"/>
    <row r="80014" hidden="1" x14ac:dyDescent="0.35"/>
    <row r="80015" hidden="1" x14ac:dyDescent="0.35"/>
    <row r="80016" hidden="1" x14ac:dyDescent="0.35"/>
    <row r="80017" hidden="1" x14ac:dyDescent="0.35"/>
    <row r="80018" hidden="1" x14ac:dyDescent="0.35"/>
    <row r="80019" hidden="1" x14ac:dyDescent="0.35"/>
    <row r="80020" hidden="1" x14ac:dyDescent="0.35"/>
    <row r="80021" hidden="1" x14ac:dyDescent="0.35"/>
    <row r="80022" hidden="1" x14ac:dyDescent="0.35"/>
    <row r="80023" hidden="1" x14ac:dyDescent="0.35"/>
    <row r="80024" hidden="1" x14ac:dyDescent="0.35"/>
    <row r="80025" hidden="1" x14ac:dyDescent="0.35"/>
    <row r="80026" hidden="1" x14ac:dyDescent="0.35"/>
    <row r="80027" hidden="1" x14ac:dyDescent="0.35"/>
    <row r="80028" hidden="1" x14ac:dyDescent="0.35"/>
    <row r="80029" hidden="1" x14ac:dyDescent="0.35"/>
    <row r="80030" hidden="1" x14ac:dyDescent="0.35"/>
    <row r="80031" hidden="1" x14ac:dyDescent="0.35"/>
    <row r="80032" hidden="1" x14ac:dyDescent="0.35"/>
    <row r="80033" hidden="1" x14ac:dyDescent="0.35"/>
    <row r="80034" hidden="1" x14ac:dyDescent="0.35"/>
    <row r="80035" hidden="1" x14ac:dyDescent="0.35"/>
    <row r="80036" hidden="1" x14ac:dyDescent="0.35"/>
    <row r="80037" hidden="1" x14ac:dyDescent="0.35"/>
    <row r="80038" hidden="1" x14ac:dyDescent="0.35"/>
    <row r="80039" hidden="1" x14ac:dyDescent="0.35"/>
    <row r="80040" hidden="1" x14ac:dyDescent="0.35"/>
    <row r="80041" hidden="1" x14ac:dyDescent="0.35"/>
    <row r="80042" hidden="1" x14ac:dyDescent="0.35"/>
    <row r="80043" hidden="1" x14ac:dyDescent="0.35"/>
    <row r="80044" hidden="1" x14ac:dyDescent="0.35"/>
    <row r="80045" hidden="1" x14ac:dyDescent="0.35"/>
    <row r="80046" hidden="1" x14ac:dyDescent="0.35"/>
    <row r="80047" hidden="1" x14ac:dyDescent="0.35"/>
    <row r="80048" hidden="1" x14ac:dyDescent="0.35"/>
    <row r="80049" hidden="1" x14ac:dyDescent="0.35"/>
    <row r="80050" hidden="1" x14ac:dyDescent="0.35"/>
    <row r="80051" hidden="1" x14ac:dyDescent="0.35"/>
    <row r="80052" hidden="1" x14ac:dyDescent="0.35"/>
    <row r="80053" hidden="1" x14ac:dyDescent="0.35"/>
    <row r="80054" hidden="1" x14ac:dyDescent="0.35"/>
    <row r="80055" hidden="1" x14ac:dyDescent="0.35"/>
    <row r="80056" hidden="1" x14ac:dyDescent="0.35"/>
    <row r="80057" hidden="1" x14ac:dyDescent="0.35"/>
    <row r="80058" hidden="1" x14ac:dyDescent="0.35"/>
    <row r="80059" hidden="1" x14ac:dyDescent="0.35"/>
    <row r="80060" hidden="1" x14ac:dyDescent="0.35"/>
    <row r="80061" hidden="1" x14ac:dyDescent="0.35"/>
    <row r="80062" hidden="1" x14ac:dyDescent="0.35"/>
    <row r="80063" hidden="1" x14ac:dyDescent="0.35"/>
    <row r="80064" hidden="1" x14ac:dyDescent="0.35"/>
    <row r="80065" hidden="1" x14ac:dyDescent="0.35"/>
    <row r="80066" hidden="1" x14ac:dyDescent="0.35"/>
    <row r="80067" hidden="1" x14ac:dyDescent="0.35"/>
    <row r="80068" hidden="1" x14ac:dyDescent="0.35"/>
    <row r="80069" hidden="1" x14ac:dyDescent="0.35"/>
    <row r="80070" hidden="1" x14ac:dyDescent="0.35"/>
    <row r="80071" hidden="1" x14ac:dyDescent="0.35"/>
    <row r="80072" hidden="1" x14ac:dyDescent="0.35"/>
    <row r="80073" hidden="1" x14ac:dyDescent="0.35"/>
    <row r="80074" hidden="1" x14ac:dyDescent="0.35"/>
    <row r="80075" hidden="1" x14ac:dyDescent="0.35"/>
    <row r="80076" hidden="1" x14ac:dyDescent="0.35"/>
    <row r="80077" hidden="1" x14ac:dyDescent="0.35"/>
    <row r="80078" hidden="1" x14ac:dyDescent="0.35"/>
    <row r="80079" hidden="1" x14ac:dyDescent="0.35"/>
    <row r="80080" hidden="1" x14ac:dyDescent="0.35"/>
    <row r="80081" hidden="1" x14ac:dyDescent="0.35"/>
    <row r="80082" hidden="1" x14ac:dyDescent="0.35"/>
    <row r="80083" hidden="1" x14ac:dyDescent="0.35"/>
    <row r="80084" hidden="1" x14ac:dyDescent="0.35"/>
    <row r="80085" hidden="1" x14ac:dyDescent="0.35"/>
    <row r="80086" hidden="1" x14ac:dyDescent="0.35"/>
    <row r="80087" hidden="1" x14ac:dyDescent="0.35"/>
    <row r="80088" hidden="1" x14ac:dyDescent="0.35"/>
    <row r="80089" hidden="1" x14ac:dyDescent="0.35"/>
    <row r="80090" hidden="1" x14ac:dyDescent="0.35"/>
    <row r="80091" hidden="1" x14ac:dyDescent="0.35"/>
    <row r="80092" hidden="1" x14ac:dyDescent="0.35"/>
    <row r="80093" hidden="1" x14ac:dyDescent="0.35"/>
    <row r="80094" hidden="1" x14ac:dyDescent="0.35"/>
    <row r="80095" hidden="1" x14ac:dyDescent="0.35"/>
    <row r="80096" hidden="1" x14ac:dyDescent="0.35"/>
    <row r="80097" hidden="1" x14ac:dyDescent="0.35"/>
    <row r="80098" hidden="1" x14ac:dyDescent="0.35"/>
    <row r="80099" hidden="1" x14ac:dyDescent="0.35"/>
    <row r="80100" hidden="1" x14ac:dyDescent="0.35"/>
    <row r="80101" hidden="1" x14ac:dyDescent="0.35"/>
    <row r="80102" hidden="1" x14ac:dyDescent="0.35"/>
    <row r="80103" hidden="1" x14ac:dyDescent="0.35"/>
    <row r="80104" hidden="1" x14ac:dyDescent="0.35"/>
    <row r="80105" hidden="1" x14ac:dyDescent="0.35"/>
    <row r="80106" hidden="1" x14ac:dyDescent="0.35"/>
    <row r="80107" hidden="1" x14ac:dyDescent="0.35"/>
    <row r="80108" hidden="1" x14ac:dyDescent="0.35"/>
    <row r="80109" hidden="1" x14ac:dyDescent="0.35"/>
    <row r="80110" hidden="1" x14ac:dyDescent="0.35"/>
    <row r="80111" hidden="1" x14ac:dyDescent="0.35"/>
    <row r="80112" hidden="1" x14ac:dyDescent="0.35"/>
    <row r="80113" hidden="1" x14ac:dyDescent="0.35"/>
    <row r="80114" hidden="1" x14ac:dyDescent="0.35"/>
    <row r="80115" hidden="1" x14ac:dyDescent="0.35"/>
    <row r="80116" hidden="1" x14ac:dyDescent="0.35"/>
    <row r="80117" hidden="1" x14ac:dyDescent="0.35"/>
    <row r="80118" hidden="1" x14ac:dyDescent="0.35"/>
    <row r="80119" hidden="1" x14ac:dyDescent="0.35"/>
    <row r="80120" hidden="1" x14ac:dyDescent="0.35"/>
    <row r="80121" hidden="1" x14ac:dyDescent="0.35"/>
    <row r="80122" hidden="1" x14ac:dyDescent="0.35"/>
    <row r="80123" hidden="1" x14ac:dyDescent="0.35"/>
    <row r="80124" hidden="1" x14ac:dyDescent="0.35"/>
    <row r="80125" hidden="1" x14ac:dyDescent="0.35"/>
    <row r="80126" hidden="1" x14ac:dyDescent="0.35"/>
    <row r="80127" hidden="1" x14ac:dyDescent="0.35"/>
    <row r="80128" hidden="1" x14ac:dyDescent="0.35"/>
    <row r="80129" hidden="1" x14ac:dyDescent="0.35"/>
    <row r="80130" hidden="1" x14ac:dyDescent="0.35"/>
    <row r="80131" hidden="1" x14ac:dyDescent="0.35"/>
    <row r="80132" hidden="1" x14ac:dyDescent="0.35"/>
    <row r="80133" hidden="1" x14ac:dyDescent="0.35"/>
    <row r="80134" hidden="1" x14ac:dyDescent="0.35"/>
    <row r="80135" hidden="1" x14ac:dyDescent="0.35"/>
    <row r="80136" hidden="1" x14ac:dyDescent="0.35"/>
    <row r="80137" hidden="1" x14ac:dyDescent="0.35"/>
    <row r="80138" hidden="1" x14ac:dyDescent="0.35"/>
    <row r="80139" hidden="1" x14ac:dyDescent="0.35"/>
    <row r="80140" hidden="1" x14ac:dyDescent="0.35"/>
    <row r="80141" hidden="1" x14ac:dyDescent="0.35"/>
    <row r="80142" hidden="1" x14ac:dyDescent="0.35"/>
    <row r="80143" hidden="1" x14ac:dyDescent="0.35"/>
    <row r="80144" hidden="1" x14ac:dyDescent="0.35"/>
    <row r="80145" hidden="1" x14ac:dyDescent="0.35"/>
    <row r="80146" hidden="1" x14ac:dyDescent="0.35"/>
    <row r="80147" hidden="1" x14ac:dyDescent="0.35"/>
    <row r="80148" hidden="1" x14ac:dyDescent="0.35"/>
    <row r="80149" hidden="1" x14ac:dyDescent="0.35"/>
    <row r="80150" hidden="1" x14ac:dyDescent="0.35"/>
    <row r="80151" hidden="1" x14ac:dyDescent="0.35"/>
    <row r="80152" hidden="1" x14ac:dyDescent="0.35"/>
    <row r="80153" hidden="1" x14ac:dyDescent="0.35"/>
    <row r="80154" hidden="1" x14ac:dyDescent="0.35"/>
    <row r="80155" hidden="1" x14ac:dyDescent="0.35"/>
    <row r="80156" hidden="1" x14ac:dyDescent="0.35"/>
    <row r="80157" hidden="1" x14ac:dyDescent="0.35"/>
    <row r="80158" hidden="1" x14ac:dyDescent="0.35"/>
    <row r="80159" hidden="1" x14ac:dyDescent="0.35"/>
    <row r="80160" hidden="1" x14ac:dyDescent="0.35"/>
    <row r="80161" hidden="1" x14ac:dyDescent="0.35"/>
    <row r="80162" hidden="1" x14ac:dyDescent="0.35"/>
    <row r="80163" hidden="1" x14ac:dyDescent="0.35"/>
    <row r="80164" hidden="1" x14ac:dyDescent="0.35"/>
    <row r="80165" hidden="1" x14ac:dyDescent="0.35"/>
    <row r="80166" hidden="1" x14ac:dyDescent="0.35"/>
    <row r="80167" hidden="1" x14ac:dyDescent="0.35"/>
    <row r="80168" hidden="1" x14ac:dyDescent="0.35"/>
    <row r="80169" hidden="1" x14ac:dyDescent="0.35"/>
    <row r="80170" hidden="1" x14ac:dyDescent="0.35"/>
    <row r="80171" hidden="1" x14ac:dyDescent="0.35"/>
    <row r="80172" hidden="1" x14ac:dyDescent="0.35"/>
    <row r="80173" hidden="1" x14ac:dyDescent="0.35"/>
    <row r="80174" hidden="1" x14ac:dyDescent="0.35"/>
    <row r="80175" hidden="1" x14ac:dyDescent="0.35"/>
    <row r="80176" hidden="1" x14ac:dyDescent="0.35"/>
    <row r="80177" hidden="1" x14ac:dyDescent="0.35"/>
    <row r="80178" hidden="1" x14ac:dyDescent="0.35"/>
    <row r="80179" hidden="1" x14ac:dyDescent="0.35"/>
    <row r="80180" hidden="1" x14ac:dyDescent="0.35"/>
    <row r="80181" hidden="1" x14ac:dyDescent="0.35"/>
    <row r="80182" hidden="1" x14ac:dyDescent="0.35"/>
    <row r="80183" hidden="1" x14ac:dyDescent="0.35"/>
    <row r="80184" hidden="1" x14ac:dyDescent="0.35"/>
    <row r="80185" hidden="1" x14ac:dyDescent="0.35"/>
    <row r="80186" hidden="1" x14ac:dyDescent="0.35"/>
    <row r="80187" hidden="1" x14ac:dyDescent="0.35"/>
    <row r="80188" hidden="1" x14ac:dyDescent="0.35"/>
    <row r="80189" hidden="1" x14ac:dyDescent="0.35"/>
    <row r="80190" hidden="1" x14ac:dyDescent="0.35"/>
    <row r="80191" hidden="1" x14ac:dyDescent="0.35"/>
    <row r="80192" hidden="1" x14ac:dyDescent="0.35"/>
    <row r="80193" hidden="1" x14ac:dyDescent="0.35"/>
    <row r="80194" hidden="1" x14ac:dyDescent="0.35"/>
    <row r="80195" hidden="1" x14ac:dyDescent="0.35"/>
    <row r="80196" hidden="1" x14ac:dyDescent="0.35"/>
    <row r="80197" hidden="1" x14ac:dyDescent="0.35"/>
    <row r="80198" hidden="1" x14ac:dyDescent="0.35"/>
    <row r="80199" hidden="1" x14ac:dyDescent="0.35"/>
    <row r="80200" hidden="1" x14ac:dyDescent="0.35"/>
    <row r="80201" hidden="1" x14ac:dyDescent="0.35"/>
    <row r="80202" hidden="1" x14ac:dyDescent="0.35"/>
    <row r="80203" hidden="1" x14ac:dyDescent="0.35"/>
    <row r="80204" hidden="1" x14ac:dyDescent="0.35"/>
    <row r="80205" hidden="1" x14ac:dyDescent="0.35"/>
    <row r="80206" hidden="1" x14ac:dyDescent="0.35"/>
    <row r="80207" hidden="1" x14ac:dyDescent="0.35"/>
    <row r="80208" hidden="1" x14ac:dyDescent="0.35"/>
    <row r="80209" hidden="1" x14ac:dyDescent="0.35"/>
    <row r="80210" hidden="1" x14ac:dyDescent="0.35"/>
    <row r="80211" hidden="1" x14ac:dyDescent="0.35"/>
    <row r="80212" hidden="1" x14ac:dyDescent="0.35"/>
    <row r="80213" hidden="1" x14ac:dyDescent="0.35"/>
    <row r="80214" hidden="1" x14ac:dyDescent="0.35"/>
    <row r="80215" hidden="1" x14ac:dyDescent="0.35"/>
    <row r="80216" hidden="1" x14ac:dyDescent="0.35"/>
    <row r="80217" hidden="1" x14ac:dyDescent="0.35"/>
    <row r="80218" hidden="1" x14ac:dyDescent="0.35"/>
    <row r="80219" hidden="1" x14ac:dyDescent="0.35"/>
    <row r="80220" hidden="1" x14ac:dyDescent="0.35"/>
    <row r="80221" hidden="1" x14ac:dyDescent="0.35"/>
    <row r="80222" hidden="1" x14ac:dyDescent="0.35"/>
    <row r="80223" hidden="1" x14ac:dyDescent="0.35"/>
    <row r="80224" hidden="1" x14ac:dyDescent="0.35"/>
    <row r="80225" hidden="1" x14ac:dyDescent="0.35"/>
    <row r="80226" hidden="1" x14ac:dyDescent="0.35"/>
    <row r="80227" hidden="1" x14ac:dyDescent="0.35"/>
    <row r="80228" hidden="1" x14ac:dyDescent="0.35"/>
    <row r="80229" hidden="1" x14ac:dyDescent="0.35"/>
    <row r="80230" hidden="1" x14ac:dyDescent="0.35"/>
    <row r="80231" hidden="1" x14ac:dyDescent="0.35"/>
    <row r="80232" hidden="1" x14ac:dyDescent="0.35"/>
    <row r="80233" hidden="1" x14ac:dyDescent="0.35"/>
    <row r="80234" hidden="1" x14ac:dyDescent="0.35"/>
    <row r="80235" hidden="1" x14ac:dyDescent="0.35"/>
    <row r="80236" hidden="1" x14ac:dyDescent="0.35"/>
    <row r="80237" hidden="1" x14ac:dyDescent="0.35"/>
    <row r="80238" hidden="1" x14ac:dyDescent="0.35"/>
    <row r="80239" hidden="1" x14ac:dyDescent="0.35"/>
    <row r="80240" hidden="1" x14ac:dyDescent="0.35"/>
    <row r="80241" hidden="1" x14ac:dyDescent="0.35"/>
    <row r="80242" hidden="1" x14ac:dyDescent="0.35"/>
    <row r="80243" hidden="1" x14ac:dyDescent="0.35"/>
    <row r="80244" hidden="1" x14ac:dyDescent="0.35"/>
    <row r="80245" hidden="1" x14ac:dyDescent="0.35"/>
    <row r="80246" hidden="1" x14ac:dyDescent="0.35"/>
    <row r="80247" hidden="1" x14ac:dyDescent="0.35"/>
    <row r="80248" hidden="1" x14ac:dyDescent="0.35"/>
    <row r="80249" hidden="1" x14ac:dyDescent="0.35"/>
    <row r="80250" hidden="1" x14ac:dyDescent="0.35"/>
    <row r="80251" hidden="1" x14ac:dyDescent="0.35"/>
    <row r="80252" hidden="1" x14ac:dyDescent="0.35"/>
    <row r="80253" hidden="1" x14ac:dyDescent="0.35"/>
    <row r="80254" hidden="1" x14ac:dyDescent="0.35"/>
    <row r="80255" hidden="1" x14ac:dyDescent="0.35"/>
    <row r="80256" hidden="1" x14ac:dyDescent="0.35"/>
    <row r="80257" hidden="1" x14ac:dyDescent="0.35"/>
    <row r="80258" hidden="1" x14ac:dyDescent="0.35"/>
    <row r="80259" hidden="1" x14ac:dyDescent="0.35"/>
    <row r="80260" hidden="1" x14ac:dyDescent="0.35"/>
    <row r="80261" hidden="1" x14ac:dyDescent="0.35"/>
    <row r="80262" hidden="1" x14ac:dyDescent="0.35"/>
    <row r="80263" hidden="1" x14ac:dyDescent="0.35"/>
    <row r="80264" hidden="1" x14ac:dyDescent="0.35"/>
    <row r="80265" hidden="1" x14ac:dyDescent="0.35"/>
    <row r="80266" hidden="1" x14ac:dyDescent="0.35"/>
    <row r="80267" hidden="1" x14ac:dyDescent="0.35"/>
    <row r="80268" hidden="1" x14ac:dyDescent="0.35"/>
    <row r="80269" hidden="1" x14ac:dyDescent="0.35"/>
    <row r="80270" hidden="1" x14ac:dyDescent="0.35"/>
    <row r="80271" hidden="1" x14ac:dyDescent="0.35"/>
    <row r="80272" hidden="1" x14ac:dyDescent="0.35"/>
    <row r="80273" hidden="1" x14ac:dyDescent="0.35"/>
    <row r="80274" hidden="1" x14ac:dyDescent="0.35"/>
    <row r="80275" hidden="1" x14ac:dyDescent="0.35"/>
    <row r="80276" hidden="1" x14ac:dyDescent="0.35"/>
    <row r="80277" hidden="1" x14ac:dyDescent="0.35"/>
    <row r="80278" hidden="1" x14ac:dyDescent="0.35"/>
    <row r="80279" hidden="1" x14ac:dyDescent="0.35"/>
    <row r="80280" hidden="1" x14ac:dyDescent="0.35"/>
    <row r="80281" hidden="1" x14ac:dyDescent="0.35"/>
    <row r="80282" hidden="1" x14ac:dyDescent="0.35"/>
    <row r="80283" hidden="1" x14ac:dyDescent="0.35"/>
    <row r="80284" hidden="1" x14ac:dyDescent="0.35"/>
    <row r="80285" hidden="1" x14ac:dyDescent="0.35"/>
    <row r="80286" hidden="1" x14ac:dyDescent="0.35"/>
    <row r="80287" hidden="1" x14ac:dyDescent="0.35"/>
    <row r="80288" hidden="1" x14ac:dyDescent="0.35"/>
    <row r="80289" hidden="1" x14ac:dyDescent="0.35"/>
    <row r="80290" hidden="1" x14ac:dyDescent="0.35"/>
    <row r="80291" hidden="1" x14ac:dyDescent="0.35"/>
    <row r="80292" hidden="1" x14ac:dyDescent="0.35"/>
    <row r="80293" hidden="1" x14ac:dyDescent="0.35"/>
    <row r="80294" hidden="1" x14ac:dyDescent="0.35"/>
    <row r="80295" hidden="1" x14ac:dyDescent="0.35"/>
    <row r="80296" hidden="1" x14ac:dyDescent="0.35"/>
    <row r="80297" hidden="1" x14ac:dyDescent="0.35"/>
    <row r="80298" hidden="1" x14ac:dyDescent="0.35"/>
    <row r="80299" hidden="1" x14ac:dyDescent="0.35"/>
    <row r="80300" hidden="1" x14ac:dyDescent="0.35"/>
    <row r="80301" hidden="1" x14ac:dyDescent="0.35"/>
    <row r="80302" hidden="1" x14ac:dyDescent="0.35"/>
    <row r="80303" hidden="1" x14ac:dyDescent="0.35"/>
    <row r="80304" hidden="1" x14ac:dyDescent="0.35"/>
    <row r="80305" hidden="1" x14ac:dyDescent="0.35"/>
    <row r="80306" hidden="1" x14ac:dyDescent="0.35"/>
    <row r="80307" hidden="1" x14ac:dyDescent="0.35"/>
    <row r="80308" hidden="1" x14ac:dyDescent="0.35"/>
    <row r="80309" hidden="1" x14ac:dyDescent="0.35"/>
    <row r="80310" hidden="1" x14ac:dyDescent="0.35"/>
    <row r="80311" hidden="1" x14ac:dyDescent="0.35"/>
    <row r="80312" hidden="1" x14ac:dyDescent="0.35"/>
    <row r="80313" hidden="1" x14ac:dyDescent="0.35"/>
    <row r="80314" hidden="1" x14ac:dyDescent="0.35"/>
    <row r="80315" hidden="1" x14ac:dyDescent="0.35"/>
    <row r="80316" hidden="1" x14ac:dyDescent="0.35"/>
    <row r="80317" hidden="1" x14ac:dyDescent="0.35"/>
    <row r="80318" hidden="1" x14ac:dyDescent="0.35"/>
    <row r="80319" hidden="1" x14ac:dyDescent="0.35"/>
    <row r="80320" hidden="1" x14ac:dyDescent="0.35"/>
    <row r="80321" hidden="1" x14ac:dyDescent="0.35"/>
    <row r="80322" hidden="1" x14ac:dyDescent="0.35"/>
    <row r="80323" hidden="1" x14ac:dyDescent="0.35"/>
    <row r="80324" hidden="1" x14ac:dyDescent="0.35"/>
    <row r="80325" hidden="1" x14ac:dyDescent="0.35"/>
    <row r="80326" hidden="1" x14ac:dyDescent="0.35"/>
    <row r="80327" hidden="1" x14ac:dyDescent="0.35"/>
    <row r="80328" hidden="1" x14ac:dyDescent="0.35"/>
    <row r="80329" hidden="1" x14ac:dyDescent="0.35"/>
    <row r="80330" hidden="1" x14ac:dyDescent="0.35"/>
    <row r="80331" hidden="1" x14ac:dyDescent="0.35"/>
    <row r="80332" hidden="1" x14ac:dyDescent="0.35"/>
    <row r="80333" hidden="1" x14ac:dyDescent="0.35"/>
    <row r="80334" hidden="1" x14ac:dyDescent="0.35"/>
    <row r="80335" hidden="1" x14ac:dyDescent="0.35"/>
    <row r="80336" hidden="1" x14ac:dyDescent="0.35"/>
    <row r="80337" hidden="1" x14ac:dyDescent="0.35"/>
    <row r="80338" hidden="1" x14ac:dyDescent="0.35"/>
    <row r="80339" hidden="1" x14ac:dyDescent="0.35"/>
    <row r="80340" hidden="1" x14ac:dyDescent="0.35"/>
    <row r="80341" hidden="1" x14ac:dyDescent="0.35"/>
    <row r="80342" hidden="1" x14ac:dyDescent="0.35"/>
    <row r="80343" hidden="1" x14ac:dyDescent="0.35"/>
    <row r="80344" hidden="1" x14ac:dyDescent="0.35"/>
    <row r="80345" hidden="1" x14ac:dyDescent="0.35"/>
    <row r="80346" hidden="1" x14ac:dyDescent="0.35"/>
    <row r="80347" hidden="1" x14ac:dyDescent="0.35"/>
    <row r="80348" hidden="1" x14ac:dyDescent="0.35"/>
    <row r="80349" hidden="1" x14ac:dyDescent="0.35"/>
    <row r="80350" hidden="1" x14ac:dyDescent="0.35"/>
    <row r="80351" hidden="1" x14ac:dyDescent="0.35"/>
    <row r="80352" hidden="1" x14ac:dyDescent="0.35"/>
    <row r="80353" hidden="1" x14ac:dyDescent="0.35"/>
    <row r="80354" hidden="1" x14ac:dyDescent="0.35"/>
    <row r="80355" hidden="1" x14ac:dyDescent="0.35"/>
    <row r="80356" hidden="1" x14ac:dyDescent="0.35"/>
    <row r="80357" hidden="1" x14ac:dyDescent="0.35"/>
    <row r="80358" hidden="1" x14ac:dyDescent="0.35"/>
    <row r="80359" hidden="1" x14ac:dyDescent="0.35"/>
    <row r="80360" hidden="1" x14ac:dyDescent="0.35"/>
    <row r="80361" hidden="1" x14ac:dyDescent="0.35"/>
    <row r="80362" hidden="1" x14ac:dyDescent="0.35"/>
    <row r="80363" hidden="1" x14ac:dyDescent="0.35"/>
    <row r="80364" hidden="1" x14ac:dyDescent="0.35"/>
    <row r="80365" hidden="1" x14ac:dyDescent="0.35"/>
    <row r="80366" hidden="1" x14ac:dyDescent="0.35"/>
    <row r="80367" hidden="1" x14ac:dyDescent="0.35"/>
    <row r="80368" hidden="1" x14ac:dyDescent="0.35"/>
    <row r="80369" hidden="1" x14ac:dyDescent="0.35"/>
    <row r="80370" hidden="1" x14ac:dyDescent="0.35"/>
    <row r="80371" hidden="1" x14ac:dyDescent="0.35"/>
    <row r="80372" hidden="1" x14ac:dyDescent="0.35"/>
    <row r="80373" hidden="1" x14ac:dyDescent="0.35"/>
    <row r="80374" hidden="1" x14ac:dyDescent="0.35"/>
    <row r="80375" hidden="1" x14ac:dyDescent="0.35"/>
    <row r="80376" hidden="1" x14ac:dyDescent="0.35"/>
    <row r="80377" hidden="1" x14ac:dyDescent="0.35"/>
    <row r="80378" hidden="1" x14ac:dyDescent="0.35"/>
    <row r="80379" hidden="1" x14ac:dyDescent="0.35"/>
    <row r="80380" hidden="1" x14ac:dyDescent="0.35"/>
    <row r="80381" hidden="1" x14ac:dyDescent="0.35"/>
    <row r="80382" hidden="1" x14ac:dyDescent="0.35"/>
    <row r="80383" hidden="1" x14ac:dyDescent="0.35"/>
    <row r="80384" hidden="1" x14ac:dyDescent="0.35"/>
    <row r="80385" hidden="1" x14ac:dyDescent="0.35"/>
    <row r="80386" hidden="1" x14ac:dyDescent="0.35"/>
    <row r="80387" hidden="1" x14ac:dyDescent="0.35"/>
    <row r="80388" hidden="1" x14ac:dyDescent="0.35"/>
    <row r="80389" hidden="1" x14ac:dyDescent="0.35"/>
    <row r="80390" hidden="1" x14ac:dyDescent="0.35"/>
    <row r="80391" hidden="1" x14ac:dyDescent="0.35"/>
    <row r="80392" hidden="1" x14ac:dyDescent="0.35"/>
    <row r="80393" hidden="1" x14ac:dyDescent="0.35"/>
    <row r="80394" hidden="1" x14ac:dyDescent="0.35"/>
    <row r="80395" hidden="1" x14ac:dyDescent="0.35"/>
    <row r="80396" hidden="1" x14ac:dyDescent="0.35"/>
    <row r="80397" hidden="1" x14ac:dyDescent="0.35"/>
    <row r="80398" hidden="1" x14ac:dyDescent="0.35"/>
    <row r="80399" hidden="1" x14ac:dyDescent="0.35"/>
    <row r="80400" hidden="1" x14ac:dyDescent="0.35"/>
    <row r="80401" hidden="1" x14ac:dyDescent="0.35"/>
    <row r="80402" hidden="1" x14ac:dyDescent="0.35"/>
    <row r="80403" hidden="1" x14ac:dyDescent="0.35"/>
    <row r="80404" hidden="1" x14ac:dyDescent="0.35"/>
    <row r="80405" hidden="1" x14ac:dyDescent="0.35"/>
    <row r="80406" hidden="1" x14ac:dyDescent="0.35"/>
    <row r="80407" hidden="1" x14ac:dyDescent="0.35"/>
    <row r="80408" hidden="1" x14ac:dyDescent="0.35"/>
    <row r="80409" hidden="1" x14ac:dyDescent="0.35"/>
    <row r="80410" hidden="1" x14ac:dyDescent="0.35"/>
    <row r="80411" hidden="1" x14ac:dyDescent="0.35"/>
    <row r="80412" hidden="1" x14ac:dyDescent="0.35"/>
    <row r="80413" hidden="1" x14ac:dyDescent="0.35"/>
    <row r="80414" hidden="1" x14ac:dyDescent="0.35"/>
    <row r="80415" hidden="1" x14ac:dyDescent="0.35"/>
    <row r="80416" hidden="1" x14ac:dyDescent="0.35"/>
    <row r="80417" hidden="1" x14ac:dyDescent="0.35"/>
    <row r="80418" hidden="1" x14ac:dyDescent="0.35"/>
    <row r="80419" hidden="1" x14ac:dyDescent="0.35"/>
    <row r="80420" hidden="1" x14ac:dyDescent="0.35"/>
    <row r="80421" hidden="1" x14ac:dyDescent="0.35"/>
    <row r="80422" hidden="1" x14ac:dyDescent="0.35"/>
    <row r="80423" hidden="1" x14ac:dyDescent="0.35"/>
    <row r="80424" hidden="1" x14ac:dyDescent="0.35"/>
    <row r="80425" hidden="1" x14ac:dyDescent="0.35"/>
    <row r="80426" hidden="1" x14ac:dyDescent="0.35"/>
    <row r="80427" hidden="1" x14ac:dyDescent="0.35"/>
    <row r="80428" hidden="1" x14ac:dyDescent="0.35"/>
    <row r="80429" hidden="1" x14ac:dyDescent="0.35"/>
    <row r="80430" hidden="1" x14ac:dyDescent="0.35"/>
    <row r="80431" hidden="1" x14ac:dyDescent="0.35"/>
    <row r="80432" hidden="1" x14ac:dyDescent="0.35"/>
    <row r="80433" hidden="1" x14ac:dyDescent="0.35"/>
    <row r="80434" hidden="1" x14ac:dyDescent="0.35"/>
    <row r="80435" hidden="1" x14ac:dyDescent="0.35"/>
    <row r="80436" hidden="1" x14ac:dyDescent="0.35"/>
    <row r="80437" hidden="1" x14ac:dyDescent="0.35"/>
    <row r="80438" hidden="1" x14ac:dyDescent="0.35"/>
    <row r="80439" hidden="1" x14ac:dyDescent="0.35"/>
    <row r="80440" hidden="1" x14ac:dyDescent="0.35"/>
    <row r="80441" hidden="1" x14ac:dyDescent="0.35"/>
    <row r="80442" hidden="1" x14ac:dyDescent="0.35"/>
    <row r="80443" hidden="1" x14ac:dyDescent="0.35"/>
    <row r="80444" hidden="1" x14ac:dyDescent="0.35"/>
    <row r="80445" hidden="1" x14ac:dyDescent="0.35"/>
    <row r="80446" hidden="1" x14ac:dyDescent="0.35"/>
    <row r="80447" hidden="1" x14ac:dyDescent="0.35"/>
    <row r="80448" hidden="1" x14ac:dyDescent="0.35"/>
    <row r="80449" hidden="1" x14ac:dyDescent="0.35"/>
    <row r="80450" hidden="1" x14ac:dyDescent="0.35"/>
    <row r="80451" hidden="1" x14ac:dyDescent="0.35"/>
    <row r="80452" hidden="1" x14ac:dyDescent="0.35"/>
    <row r="80453" hidden="1" x14ac:dyDescent="0.35"/>
    <row r="80454" hidden="1" x14ac:dyDescent="0.35"/>
    <row r="80455" hidden="1" x14ac:dyDescent="0.35"/>
    <row r="80456" hidden="1" x14ac:dyDescent="0.35"/>
    <row r="80457" hidden="1" x14ac:dyDescent="0.35"/>
    <row r="80458" hidden="1" x14ac:dyDescent="0.35"/>
    <row r="80459" hidden="1" x14ac:dyDescent="0.35"/>
    <row r="80460" hidden="1" x14ac:dyDescent="0.35"/>
    <row r="80461" hidden="1" x14ac:dyDescent="0.35"/>
    <row r="80462" hidden="1" x14ac:dyDescent="0.35"/>
    <row r="80463" hidden="1" x14ac:dyDescent="0.35"/>
    <row r="80464" hidden="1" x14ac:dyDescent="0.35"/>
    <row r="80465" hidden="1" x14ac:dyDescent="0.35"/>
    <row r="80466" hidden="1" x14ac:dyDescent="0.35"/>
    <row r="80467" hidden="1" x14ac:dyDescent="0.35"/>
    <row r="80468" hidden="1" x14ac:dyDescent="0.35"/>
    <row r="80469" hidden="1" x14ac:dyDescent="0.35"/>
    <row r="80470" hidden="1" x14ac:dyDescent="0.35"/>
    <row r="80471" hidden="1" x14ac:dyDescent="0.35"/>
    <row r="80472" hidden="1" x14ac:dyDescent="0.35"/>
    <row r="80473" hidden="1" x14ac:dyDescent="0.35"/>
    <row r="80474" hidden="1" x14ac:dyDescent="0.35"/>
    <row r="80475" hidden="1" x14ac:dyDescent="0.35"/>
    <row r="80476" hidden="1" x14ac:dyDescent="0.35"/>
    <row r="80477" hidden="1" x14ac:dyDescent="0.35"/>
    <row r="80478" hidden="1" x14ac:dyDescent="0.35"/>
    <row r="80479" hidden="1" x14ac:dyDescent="0.35"/>
    <row r="80480" hidden="1" x14ac:dyDescent="0.35"/>
    <row r="80481" hidden="1" x14ac:dyDescent="0.35"/>
    <row r="80482" hidden="1" x14ac:dyDescent="0.35"/>
    <row r="80483" hidden="1" x14ac:dyDescent="0.35"/>
    <row r="80484" hidden="1" x14ac:dyDescent="0.35"/>
    <row r="80485" hidden="1" x14ac:dyDescent="0.35"/>
    <row r="80486" hidden="1" x14ac:dyDescent="0.35"/>
    <row r="80487" hidden="1" x14ac:dyDescent="0.35"/>
    <row r="80488" hidden="1" x14ac:dyDescent="0.35"/>
    <row r="80489" hidden="1" x14ac:dyDescent="0.35"/>
    <row r="80490" hidden="1" x14ac:dyDescent="0.35"/>
    <row r="80491" hidden="1" x14ac:dyDescent="0.35"/>
    <row r="80492" hidden="1" x14ac:dyDescent="0.35"/>
    <row r="80493" hidden="1" x14ac:dyDescent="0.35"/>
    <row r="80494" hidden="1" x14ac:dyDescent="0.35"/>
    <row r="80495" hidden="1" x14ac:dyDescent="0.35"/>
    <row r="80496" hidden="1" x14ac:dyDescent="0.35"/>
    <row r="80497" hidden="1" x14ac:dyDescent="0.35"/>
    <row r="80498" hidden="1" x14ac:dyDescent="0.35"/>
    <row r="80499" hidden="1" x14ac:dyDescent="0.35"/>
    <row r="80500" hidden="1" x14ac:dyDescent="0.35"/>
    <row r="80501" hidden="1" x14ac:dyDescent="0.35"/>
    <row r="80502" hidden="1" x14ac:dyDescent="0.35"/>
    <row r="80503" hidden="1" x14ac:dyDescent="0.35"/>
    <row r="80504" hidden="1" x14ac:dyDescent="0.35"/>
    <row r="80505" hidden="1" x14ac:dyDescent="0.35"/>
    <row r="80506" hidden="1" x14ac:dyDescent="0.35"/>
    <row r="80507" hidden="1" x14ac:dyDescent="0.35"/>
    <row r="80508" hidden="1" x14ac:dyDescent="0.35"/>
    <row r="80509" hidden="1" x14ac:dyDescent="0.35"/>
    <row r="80510" hidden="1" x14ac:dyDescent="0.35"/>
    <row r="80511" hidden="1" x14ac:dyDescent="0.35"/>
    <row r="80512" hidden="1" x14ac:dyDescent="0.35"/>
    <row r="80513" hidden="1" x14ac:dyDescent="0.35"/>
    <row r="80514" hidden="1" x14ac:dyDescent="0.35"/>
    <row r="80515" hidden="1" x14ac:dyDescent="0.35"/>
    <row r="80516" hidden="1" x14ac:dyDescent="0.35"/>
    <row r="80517" hidden="1" x14ac:dyDescent="0.35"/>
    <row r="80518" hidden="1" x14ac:dyDescent="0.35"/>
    <row r="80519" hidden="1" x14ac:dyDescent="0.35"/>
    <row r="80520" hidden="1" x14ac:dyDescent="0.35"/>
    <row r="80521" hidden="1" x14ac:dyDescent="0.35"/>
    <row r="80522" hidden="1" x14ac:dyDescent="0.35"/>
    <row r="80523" hidden="1" x14ac:dyDescent="0.35"/>
    <row r="80524" hidden="1" x14ac:dyDescent="0.35"/>
    <row r="80525" hidden="1" x14ac:dyDescent="0.35"/>
    <row r="80526" hidden="1" x14ac:dyDescent="0.35"/>
    <row r="80527" hidden="1" x14ac:dyDescent="0.35"/>
    <row r="80528" hidden="1" x14ac:dyDescent="0.35"/>
    <row r="80529" hidden="1" x14ac:dyDescent="0.35"/>
    <row r="80530" hidden="1" x14ac:dyDescent="0.35"/>
    <row r="80531" hidden="1" x14ac:dyDescent="0.35"/>
    <row r="80532" hidden="1" x14ac:dyDescent="0.35"/>
    <row r="80533" hidden="1" x14ac:dyDescent="0.35"/>
    <row r="80534" hidden="1" x14ac:dyDescent="0.35"/>
    <row r="80535" hidden="1" x14ac:dyDescent="0.35"/>
    <row r="80536" hidden="1" x14ac:dyDescent="0.35"/>
    <row r="80537" hidden="1" x14ac:dyDescent="0.35"/>
    <row r="80538" hidden="1" x14ac:dyDescent="0.35"/>
    <row r="80539" hidden="1" x14ac:dyDescent="0.35"/>
    <row r="80540" hidden="1" x14ac:dyDescent="0.35"/>
    <row r="80541" hidden="1" x14ac:dyDescent="0.35"/>
    <row r="80542" hidden="1" x14ac:dyDescent="0.35"/>
    <row r="80543" hidden="1" x14ac:dyDescent="0.35"/>
    <row r="80544" hidden="1" x14ac:dyDescent="0.35"/>
    <row r="80545" hidden="1" x14ac:dyDescent="0.35"/>
    <row r="80546" hidden="1" x14ac:dyDescent="0.35"/>
    <row r="80547" hidden="1" x14ac:dyDescent="0.35"/>
    <row r="80548" hidden="1" x14ac:dyDescent="0.35"/>
    <row r="80549" hidden="1" x14ac:dyDescent="0.35"/>
    <row r="80550" hidden="1" x14ac:dyDescent="0.35"/>
    <row r="80551" hidden="1" x14ac:dyDescent="0.35"/>
    <row r="80552" hidden="1" x14ac:dyDescent="0.35"/>
    <row r="80553" hidden="1" x14ac:dyDescent="0.35"/>
    <row r="80554" hidden="1" x14ac:dyDescent="0.35"/>
    <row r="80555" hidden="1" x14ac:dyDescent="0.35"/>
    <row r="80556" hidden="1" x14ac:dyDescent="0.35"/>
    <row r="80557" hidden="1" x14ac:dyDescent="0.35"/>
    <row r="80558" hidden="1" x14ac:dyDescent="0.35"/>
    <row r="80559" hidden="1" x14ac:dyDescent="0.35"/>
    <row r="80560" hidden="1" x14ac:dyDescent="0.35"/>
    <row r="80561" hidden="1" x14ac:dyDescent="0.35"/>
    <row r="80562" hidden="1" x14ac:dyDescent="0.35"/>
    <row r="80563" hidden="1" x14ac:dyDescent="0.35"/>
    <row r="80564" hidden="1" x14ac:dyDescent="0.35"/>
    <row r="80565" hidden="1" x14ac:dyDescent="0.35"/>
    <row r="80566" hidden="1" x14ac:dyDescent="0.35"/>
    <row r="80567" hidden="1" x14ac:dyDescent="0.35"/>
    <row r="80568" hidden="1" x14ac:dyDescent="0.35"/>
    <row r="80569" hidden="1" x14ac:dyDescent="0.35"/>
    <row r="80570" hidden="1" x14ac:dyDescent="0.35"/>
    <row r="80571" hidden="1" x14ac:dyDescent="0.35"/>
    <row r="80572" hidden="1" x14ac:dyDescent="0.35"/>
    <row r="80573" hidden="1" x14ac:dyDescent="0.35"/>
    <row r="80574" hidden="1" x14ac:dyDescent="0.35"/>
    <row r="80575" hidden="1" x14ac:dyDescent="0.35"/>
    <row r="80576" hidden="1" x14ac:dyDescent="0.35"/>
    <row r="80577" hidden="1" x14ac:dyDescent="0.35"/>
    <row r="80578" hidden="1" x14ac:dyDescent="0.35"/>
    <row r="80579" hidden="1" x14ac:dyDescent="0.35"/>
    <row r="80580" hidden="1" x14ac:dyDescent="0.35"/>
    <row r="80581" hidden="1" x14ac:dyDescent="0.35"/>
    <row r="80582" hidden="1" x14ac:dyDescent="0.35"/>
    <row r="80583" hidden="1" x14ac:dyDescent="0.35"/>
    <row r="80584" hidden="1" x14ac:dyDescent="0.35"/>
    <row r="80585" hidden="1" x14ac:dyDescent="0.35"/>
    <row r="80586" hidden="1" x14ac:dyDescent="0.35"/>
    <row r="80587" hidden="1" x14ac:dyDescent="0.35"/>
    <row r="80588" hidden="1" x14ac:dyDescent="0.35"/>
    <row r="80589" hidden="1" x14ac:dyDescent="0.35"/>
    <row r="80590" hidden="1" x14ac:dyDescent="0.35"/>
    <row r="80591" hidden="1" x14ac:dyDescent="0.35"/>
    <row r="80592" hidden="1" x14ac:dyDescent="0.35"/>
    <row r="80593" hidden="1" x14ac:dyDescent="0.35"/>
    <row r="80594" hidden="1" x14ac:dyDescent="0.35"/>
    <row r="80595" hidden="1" x14ac:dyDescent="0.35"/>
    <row r="80596" hidden="1" x14ac:dyDescent="0.35"/>
    <row r="80597" hidden="1" x14ac:dyDescent="0.35"/>
    <row r="80598" hidden="1" x14ac:dyDescent="0.35"/>
    <row r="80599" hidden="1" x14ac:dyDescent="0.35"/>
    <row r="80600" hidden="1" x14ac:dyDescent="0.35"/>
    <row r="80601" hidden="1" x14ac:dyDescent="0.35"/>
    <row r="80602" hidden="1" x14ac:dyDescent="0.35"/>
    <row r="80603" hidden="1" x14ac:dyDescent="0.35"/>
    <row r="80604" hidden="1" x14ac:dyDescent="0.35"/>
    <row r="80605" hidden="1" x14ac:dyDescent="0.35"/>
    <row r="80606" hidden="1" x14ac:dyDescent="0.35"/>
    <row r="80607" hidden="1" x14ac:dyDescent="0.35"/>
    <row r="80608" hidden="1" x14ac:dyDescent="0.35"/>
    <row r="80609" hidden="1" x14ac:dyDescent="0.35"/>
    <row r="80610" hidden="1" x14ac:dyDescent="0.35"/>
    <row r="80611" hidden="1" x14ac:dyDescent="0.35"/>
    <row r="80612" hidden="1" x14ac:dyDescent="0.35"/>
    <row r="80613" hidden="1" x14ac:dyDescent="0.35"/>
    <row r="80614" hidden="1" x14ac:dyDescent="0.35"/>
    <row r="80615" hidden="1" x14ac:dyDescent="0.35"/>
    <row r="80616" hidden="1" x14ac:dyDescent="0.35"/>
    <row r="80617" hidden="1" x14ac:dyDescent="0.35"/>
    <row r="80618" hidden="1" x14ac:dyDescent="0.35"/>
    <row r="80619" hidden="1" x14ac:dyDescent="0.35"/>
    <row r="80620" hidden="1" x14ac:dyDescent="0.35"/>
    <row r="80621" hidden="1" x14ac:dyDescent="0.35"/>
    <row r="80622" hidden="1" x14ac:dyDescent="0.35"/>
    <row r="80623" hidden="1" x14ac:dyDescent="0.35"/>
    <row r="80624" hidden="1" x14ac:dyDescent="0.35"/>
    <row r="80625" hidden="1" x14ac:dyDescent="0.35"/>
    <row r="80626" hidden="1" x14ac:dyDescent="0.35"/>
    <row r="80627" hidden="1" x14ac:dyDescent="0.35"/>
    <row r="80628" hidden="1" x14ac:dyDescent="0.35"/>
    <row r="80629" hidden="1" x14ac:dyDescent="0.35"/>
    <row r="80630" hidden="1" x14ac:dyDescent="0.35"/>
    <row r="80631" hidden="1" x14ac:dyDescent="0.35"/>
    <row r="80632" hidden="1" x14ac:dyDescent="0.35"/>
    <row r="80633" hidden="1" x14ac:dyDescent="0.35"/>
    <row r="80634" hidden="1" x14ac:dyDescent="0.35"/>
    <row r="80635" hidden="1" x14ac:dyDescent="0.35"/>
    <row r="80636" hidden="1" x14ac:dyDescent="0.35"/>
    <row r="80637" hidden="1" x14ac:dyDescent="0.35"/>
    <row r="80638" hidden="1" x14ac:dyDescent="0.35"/>
    <row r="80639" hidden="1" x14ac:dyDescent="0.35"/>
    <row r="80640" hidden="1" x14ac:dyDescent="0.35"/>
    <row r="80641" hidden="1" x14ac:dyDescent="0.35"/>
    <row r="80642" hidden="1" x14ac:dyDescent="0.35"/>
    <row r="80643" hidden="1" x14ac:dyDescent="0.35"/>
    <row r="80644" hidden="1" x14ac:dyDescent="0.35"/>
    <row r="80645" hidden="1" x14ac:dyDescent="0.35"/>
    <row r="80646" hidden="1" x14ac:dyDescent="0.35"/>
    <row r="80647" hidden="1" x14ac:dyDescent="0.35"/>
    <row r="80648" hidden="1" x14ac:dyDescent="0.35"/>
    <row r="80649" hidden="1" x14ac:dyDescent="0.35"/>
    <row r="80650" hidden="1" x14ac:dyDescent="0.35"/>
    <row r="80651" hidden="1" x14ac:dyDescent="0.35"/>
    <row r="80652" hidden="1" x14ac:dyDescent="0.35"/>
    <row r="80653" hidden="1" x14ac:dyDescent="0.35"/>
    <row r="80654" hidden="1" x14ac:dyDescent="0.35"/>
    <row r="80655" hidden="1" x14ac:dyDescent="0.35"/>
    <row r="80656" hidden="1" x14ac:dyDescent="0.35"/>
    <row r="80657" hidden="1" x14ac:dyDescent="0.35"/>
    <row r="80658" hidden="1" x14ac:dyDescent="0.35"/>
    <row r="80659" hidden="1" x14ac:dyDescent="0.35"/>
    <row r="80660" hidden="1" x14ac:dyDescent="0.35"/>
    <row r="80661" hidden="1" x14ac:dyDescent="0.35"/>
    <row r="80662" hidden="1" x14ac:dyDescent="0.35"/>
    <row r="80663" hidden="1" x14ac:dyDescent="0.35"/>
    <row r="80664" hidden="1" x14ac:dyDescent="0.35"/>
    <row r="80665" hidden="1" x14ac:dyDescent="0.35"/>
    <row r="80666" hidden="1" x14ac:dyDescent="0.35"/>
    <row r="80667" hidden="1" x14ac:dyDescent="0.35"/>
    <row r="80668" hidden="1" x14ac:dyDescent="0.35"/>
    <row r="80669" hidden="1" x14ac:dyDescent="0.35"/>
    <row r="80670" hidden="1" x14ac:dyDescent="0.35"/>
    <row r="80671" hidden="1" x14ac:dyDescent="0.35"/>
    <row r="80672" hidden="1" x14ac:dyDescent="0.35"/>
    <row r="80673" hidden="1" x14ac:dyDescent="0.35"/>
    <row r="80674" hidden="1" x14ac:dyDescent="0.35"/>
    <row r="80675" hidden="1" x14ac:dyDescent="0.35"/>
    <row r="80676" hidden="1" x14ac:dyDescent="0.35"/>
    <row r="80677" hidden="1" x14ac:dyDescent="0.35"/>
    <row r="80678" hidden="1" x14ac:dyDescent="0.35"/>
    <row r="80679" hidden="1" x14ac:dyDescent="0.35"/>
    <row r="80680" hidden="1" x14ac:dyDescent="0.35"/>
    <row r="80681" hidden="1" x14ac:dyDescent="0.35"/>
    <row r="80682" hidden="1" x14ac:dyDescent="0.35"/>
    <row r="80683" hidden="1" x14ac:dyDescent="0.35"/>
    <row r="80684" hidden="1" x14ac:dyDescent="0.35"/>
    <row r="80685" hidden="1" x14ac:dyDescent="0.35"/>
    <row r="80686" hidden="1" x14ac:dyDescent="0.35"/>
    <row r="80687" hidden="1" x14ac:dyDescent="0.35"/>
    <row r="80688" hidden="1" x14ac:dyDescent="0.35"/>
    <row r="80689" hidden="1" x14ac:dyDescent="0.35"/>
    <row r="80690" hidden="1" x14ac:dyDescent="0.35"/>
    <row r="80691" hidden="1" x14ac:dyDescent="0.35"/>
    <row r="80692" hidden="1" x14ac:dyDescent="0.35"/>
    <row r="80693" hidden="1" x14ac:dyDescent="0.35"/>
    <row r="80694" hidden="1" x14ac:dyDescent="0.35"/>
    <row r="80695" hidden="1" x14ac:dyDescent="0.35"/>
    <row r="80696" hidden="1" x14ac:dyDescent="0.35"/>
    <row r="80697" hidden="1" x14ac:dyDescent="0.35"/>
    <row r="80698" hidden="1" x14ac:dyDescent="0.35"/>
    <row r="80699" hidden="1" x14ac:dyDescent="0.35"/>
    <row r="80700" hidden="1" x14ac:dyDescent="0.35"/>
    <row r="80701" hidden="1" x14ac:dyDescent="0.35"/>
    <row r="80702" hidden="1" x14ac:dyDescent="0.35"/>
    <row r="80703" hidden="1" x14ac:dyDescent="0.35"/>
    <row r="80704" hidden="1" x14ac:dyDescent="0.35"/>
    <row r="80705" hidden="1" x14ac:dyDescent="0.35"/>
    <row r="80706" hidden="1" x14ac:dyDescent="0.35"/>
    <row r="80707" hidden="1" x14ac:dyDescent="0.35"/>
    <row r="80708" hidden="1" x14ac:dyDescent="0.35"/>
    <row r="80709" hidden="1" x14ac:dyDescent="0.35"/>
    <row r="80710" hidden="1" x14ac:dyDescent="0.35"/>
    <row r="80711" hidden="1" x14ac:dyDescent="0.35"/>
    <row r="80712" hidden="1" x14ac:dyDescent="0.35"/>
    <row r="80713" hidden="1" x14ac:dyDescent="0.35"/>
    <row r="80714" hidden="1" x14ac:dyDescent="0.35"/>
    <row r="80715" hidden="1" x14ac:dyDescent="0.35"/>
    <row r="80716" hidden="1" x14ac:dyDescent="0.35"/>
    <row r="80717" hidden="1" x14ac:dyDescent="0.35"/>
    <row r="80718" hidden="1" x14ac:dyDescent="0.35"/>
    <row r="80719" hidden="1" x14ac:dyDescent="0.35"/>
    <row r="80720" hidden="1" x14ac:dyDescent="0.35"/>
    <row r="80721" hidden="1" x14ac:dyDescent="0.35"/>
    <row r="80722" hidden="1" x14ac:dyDescent="0.35"/>
    <row r="80723" hidden="1" x14ac:dyDescent="0.35"/>
    <row r="80724" hidden="1" x14ac:dyDescent="0.35"/>
    <row r="80725" hidden="1" x14ac:dyDescent="0.35"/>
    <row r="80726" hidden="1" x14ac:dyDescent="0.35"/>
    <row r="80727" hidden="1" x14ac:dyDescent="0.35"/>
    <row r="80728" hidden="1" x14ac:dyDescent="0.35"/>
    <row r="80729" hidden="1" x14ac:dyDescent="0.35"/>
    <row r="80730" hidden="1" x14ac:dyDescent="0.35"/>
    <row r="80731" hidden="1" x14ac:dyDescent="0.35"/>
    <row r="80732" hidden="1" x14ac:dyDescent="0.35"/>
    <row r="80733" hidden="1" x14ac:dyDescent="0.35"/>
    <row r="80734" hidden="1" x14ac:dyDescent="0.35"/>
    <row r="80735" hidden="1" x14ac:dyDescent="0.35"/>
    <row r="80736" hidden="1" x14ac:dyDescent="0.35"/>
    <row r="80737" hidden="1" x14ac:dyDescent="0.35"/>
    <row r="80738" hidden="1" x14ac:dyDescent="0.35"/>
    <row r="80739" hidden="1" x14ac:dyDescent="0.35"/>
    <row r="80740" hidden="1" x14ac:dyDescent="0.35"/>
    <row r="80741" hidden="1" x14ac:dyDescent="0.35"/>
    <row r="80742" hidden="1" x14ac:dyDescent="0.35"/>
    <row r="80743" hidden="1" x14ac:dyDescent="0.35"/>
    <row r="80744" hidden="1" x14ac:dyDescent="0.35"/>
    <row r="80745" hidden="1" x14ac:dyDescent="0.35"/>
    <row r="80746" hidden="1" x14ac:dyDescent="0.35"/>
    <row r="80747" hidden="1" x14ac:dyDescent="0.35"/>
    <row r="80748" hidden="1" x14ac:dyDescent="0.35"/>
    <row r="80749" hidden="1" x14ac:dyDescent="0.35"/>
    <row r="80750" hidden="1" x14ac:dyDescent="0.35"/>
    <row r="80751" hidden="1" x14ac:dyDescent="0.35"/>
    <row r="80752" hidden="1" x14ac:dyDescent="0.35"/>
    <row r="80753" hidden="1" x14ac:dyDescent="0.35"/>
    <row r="80754" hidden="1" x14ac:dyDescent="0.35"/>
    <row r="80755" hidden="1" x14ac:dyDescent="0.35"/>
    <row r="80756" hidden="1" x14ac:dyDescent="0.35"/>
    <row r="80757" hidden="1" x14ac:dyDescent="0.35"/>
    <row r="80758" hidden="1" x14ac:dyDescent="0.35"/>
    <row r="80759" hidden="1" x14ac:dyDescent="0.35"/>
    <row r="80760" hidden="1" x14ac:dyDescent="0.35"/>
    <row r="80761" hidden="1" x14ac:dyDescent="0.35"/>
    <row r="80762" hidden="1" x14ac:dyDescent="0.35"/>
    <row r="80763" hidden="1" x14ac:dyDescent="0.35"/>
    <row r="80764" hidden="1" x14ac:dyDescent="0.35"/>
    <row r="80765" hidden="1" x14ac:dyDescent="0.35"/>
    <row r="80766" hidden="1" x14ac:dyDescent="0.35"/>
    <row r="80767" hidden="1" x14ac:dyDescent="0.35"/>
    <row r="80768" hidden="1" x14ac:dyDescent="0.35"/>
    <row r="80769" hidden="1" x14ac:dyDescent="0.35"/>
    <row r="80770" hidden="1" x14ac:dyDescent="0.35"/>
    <row r="80771" hidden="1" x14ac:dyDescent="0.35"/>
    <row r="80772" hidden="1" x14ac:dyDescent="0.35"/>
    <row r="80773" hidden="1" x14ac:dyDescent="0.35"/>
    <row r="80774" hidden="1" x14ac:dyDescent="0.35"/>
    <row r="80775" hidden="1" x14ac:dyDescent="0.35"/>
    <row r="80776" hidden="1" x14ac:dyDescent="0.35"/>
    <row r="80777" hidden="1" x14ac:dyDescent="0.35"/>
    <row r="80778" hidden="1" x14ac:dyDescent="0.35"/>
    <row r="80779" hidden="1" x14ac:dyDescent="0.35"/>
    <row r="80780" hidden="1" x14ac:dyDescent="0.35"/>
    <row r="80781" hidden="1" x14ac:dyDescent="0.35"/>
    <row r="80782" hidden="1" x14ac:dyDescent="0.35"/>
    <row r="80783" hidden="1" x14ac:dyDescent="0.35"/>
    <row r="80784" hidden="1" x14ac:dyDescent="0.35"/>
    <row r="80785" hidden="1" x14ac:dyDescent="0.35"/>
    <row r="80786" hidden="1" x14ac:dyDescent="0.35"/>
    <row r="80787" hidden="1" x14ac:dyDescent="0.35"/>
    <row r="80788" hidden="1" x14ac:dyDescent="0.35"/>
    <row r="80789" hidden="1" x14ac:dyDescent="0.35"/>
    <row r="80790" hidden="1" x14ac:dyDescent="0.35"/>
    <row r="80791" hidden="1" x14ac:dyDescent="0.35"/>
    <row r="80792" hidden="1" x14ac:dyDescent="0.35"/>
    <row r="80793" hidden="1" x14ac:dyDescent="0.35"/>
    <row r="80794" hidden="1" x14ac:dyDescent="0.35"/>
    <row r="80795" hidden="1" x14ac:dyDescent="0.35"/>
    <row r="80796" hidden="1" x14ac:dyDescent="0.35"/>
    <row r="80797" hidden="1" x14ac:dyDescent="0.35"/>
    <row r="80798" hidden="1" x14ac:dyDescent="0.35"/>
    <row r="80799" hidden="1" x14ac:dyDescent="0.35"/>
    <row r="80800" hidden="1" x14ac:dyDescent="0.35"/>
    <row r="80801" hidden="1" x14ac:dyDescent="0.35"/>
    <row r="80802" hidden="1" x14ac:dyDescent="0.35"/>
    <row r="80803" hidden="1" x14ac:dyDescent="0.35"/>
    <row r="80804" hidden="1" x14ac:dyDescent="0.35"/>
    <row r="80805" hidden="1" x14ac:dyDescent="0.35"/>
    <row r="80806" hidden="1" x14ac:dyDescent="0.35"/>
    <row r="80807" hidden="1" x14ac:dyDescent="0.35"/>
    <row r="80808" hidden="1" x14ac:dyDescent="0.35"/>
    <row r="80809" hidden="1" x14ac:dyDescent="0.35"/>
    <row r="80810" hidden="1" x14ac:dyDescent="0.35"/>
    <row r="80811" hidden="1" x14ac:dyDescent="0.35"/>
    <row r="80812" hidden="1" x14ac:dyDescent="0.35"/>
    <row r="80813" hidden="1" x14ac:dyDescent="0.35"/>
    <row r="80814" hidden="1" x14ac:dyDescent="0.35"/>
    <row r="80815" hidden="1" x14ac:dyDescent="0.35"/>
    <row r="80816" hidden="1" x14ac:dyDescent="0.35"/>
    <row r="80817" hidden="1" x14ac:dyDescent="0.35"/>
    <row r="80818" hidden="1" x14ac:dyDescent="0.35"/>
    <row r="80819" hidden="1" x14ac:dyDescent="0.35"/>
    <row r="80820" hidden="1" x14ac:dyDescent="0.35"/>
    <row r="80821" hidden="1" x14ac:dyDescent="0.35"/>
    <row r="80822" hidden="1" x14ac:dyDescent="0.35"/>
    <row r="80823" hidden="1" x14ac:dyDescent="0.35"/>
    <row r="80824" hidden="1" x14ac:dyDescent="0.35"/>
    <row r="80825" hidden="1" x14ac:dyDescent="0.35"/>
    <row r="80826" hidden="1" x14ac:dyDescent="0.35"/>
    <row r="80827" hidden="1" x14ac:dyDescent="0.35"/>
    <row r="80828" hidden="1" x14ac:dyDescent="0.35"/>
    <row r="80829" hidden="1" x14ac:dyDescent="0.35"/>
    <row r="80830" hidden="1" x14ac:dyDescent="0.35"/>
    <row r="80831" hidden="1" x14ac:dyDescent="0.35"/>
    <row r="80832" hidden="1" x14ac:dyDescent="0.35"/>
    <row r="80833" hidden="1" x14ac:dyDescent="0.35"/>
    <row r="80834" hidden="1" x14ac:dyDescent="0.35"/>
    <row r="80835" hidden="1" x14ac:dyDescent="0.35"/>
    <row r="80836" hidden="1" x14ac:dyDescent="0.35"/>
    <row r="80837" hidden="1" x14ac:dyDescent="0.35"/>
    <row r="80838" hidden="1" x14ac:dyDescent="0.35"/>
    <row r="80839" hidden="1" x14ac:dyDescent="0.35"/>
    <row r="80840" hidden="1" x14ac:dyDescent="0.35"/>
    <row r="80841" hidden="1" x14ac:dyDescent="0.35"/>
    <row r="80842" hidden="1" x14ac:dyDescent="0.35"/>
    <row r="80843" hidden="1" x14ac:dyDescent="0.35"/>
    <row r="80844" hidden="1" x14ac:dyDescent="0.35"/>
    <row r="80845" hidden="1" x14ac:dyDescent="0.35"/>
    <row r="80846" hidden="1" x14ac:dyDescent="0.35"/>
    <row r="80847" hidden="1" x14ac:dyDescent="0.35"/>
    <row r="80848" hidden="1" x14ac:dyDescent="0.35"/>
    <row r="80849" hidden="1" x14ac:dyDescent="0.35"/>
    <row r="80850" hidden="1" x14ac:dyDescent="0.35"/>
    <row r="80851" hidden="1" x14ac:dyDescent="0.35"/>
    <row r="80852" hidden="1" x14ac:dyDescent="0.35"/>
    <row r="80853" hidden="1" x14ac:dyDescent="0.35"/>
    <row r="80854" hidden="1" x14ac:dyDescent="0.35"/>
    <row r="80855" hidden="1" x14ac:dyDescent="0.35"/>
    <row r="80856" hidden="1" x14ac:dyDescent="0.35"/>
    <row r="80857" hidden="1" x14ac:dyDescent="0.35"/>
    <row r="80858" hidden="1" x14ac:dyDescent="0.35"/>
    <row r="80859" hidden="1" x14ac:dyDescent="0.35"/>
    <row r="80860" hidden="1" x14ac:dyDescent="0.35"/>
    <row r="80861" hidden="1" x14ac:dyDescent="0.35"/>
    <row r="80862" hidden="1" x14ac:dyDescent="0.35"/>
    <row r="80863" hidden="1" x14ac:dyDescent="0.35"/>
    <row r="80864" hidden="1" x14ac:dyDescent="0.35"/>
    <row r="80865" hidden="1" x14ac:dyDescent="0.35"/>
    <row r="80866" hidden="1" x14ac:dyDescent="0.35"/>
    <row r="80867" hidden="1" x14ac:dyDescent="0.35"/>
    <row r="80868" hidden="1" x14ac:dyDescent="0.35"/>
    <row r="80869" hidden="1" x14ac:dyDescent="0.35"/>
    <row r="80870" hidden="1" x14ac:dyDescent="0.35"/>
    <row r="80871" hidden="1" x14ac:dyDescent="0.35"/>
    <row r="80872" hidden="1" x14ac:dyDescent="0.35"/>
    <row r="80873" hidden="1" x14ac:dyDescent="0.35"/>
    <row r="80874" hidden="1" x14ac:dyDescent="0.35"/>
    <row r="80875" hidden="1" x14ac:dyDescent="0.35"/>
    <row r="80876" hidden="1" x14ac:dyDescent="0.35"/>
    <row r="80877" hidden="1" x14ac:dyDescent="0.35"/>
    <row r="80878" hidden="1" x14ac:dyDescent="0.35"/>
    <row r="80879" hidden="1" x14ac:dyDescent="0.35"/>
    <row r="80880" hidden="1" x14ac:dyDescent="0.35"/>
    <row r="80881" hidden="1" x14ac:dyDescent="0.35"/>
    <row r="80882" hidden="1" x14ac:dyDescent="0.35"/>
    <row r="80883" hidden="1" x14ac:dyDescent="0.35"/>
    <row r="80884" hidden="1" x14ac:dyDescent="0.35"/>
    <row r="80885" hidden="1" x14ac:dyDescent="0.35"/>
    <row r="80886" hidden="1" x14ac:dyDescent="0.35"/>
    <row r="80887" hidden="1" x14ac:dyDescent="0.35"/>
    <row r="80888" hidden="1" x14ac:dyDescent="0.35"/>
    <row r="80889" hidden="1" x14ac:dyDescent="0.35"/>
    <row r="80890" hidden="1" x14ac:dyDescent="0.35"/>
    <row r="80891" hidden="1" x14ac:dyDescent="0.35"/>
    <row r="80892" hidden="1" x14ac:dyDescent="0.35"/>
    <row r="80893" hidden="1" x14ac:dyDescent="0.35"/>
    <row r="80894" hidden="1" x14ac:dyDescent="0.35"/>
    <row r="80895" hidden="1" x14ac:dyDescent="0.35"/>
    <row r="80896" hidden="1" x14ac:dyDescent="0.35"/>
    <row r="80897" hidden="1" x14ac:dyDescent="0.35"/>
    <row r="80898" hidden="1" x14ac:dyDescent="0.35"/>
    <row r="80899" hidden="1" x14ac:dyDescent="0.35"/>
    <row r="80900" hidden="1" x14ac:dyDescent="0.35"/>
    <row r="80901" hidden="1" x14ac:dyDescent="0.35"/>
    <row r="80902" hidden="1" x14ac:dyDescent="0.35"/>
    <row r="80903" hidden="1" x14ac:dyDescent="0.35"/>
    <row r="80904" hidden="1" x14ac:dyDescent="0.35"/>
    <row r="80905" hidden="1" x14ac:dyDescent="0.35"/>
    <row r="80906" hidden="1" x14ac:dyDescent="0.35"/>
    <row r="80907" hidden="1" x14ac:dyDescent="0.35"/>
    <row r="80908" hidden="1" x14ac:dyDescent="0.35"/>
    <row r="80909" hidden="1" x14ac:dyDescent="0.35"/>
    <row r="80910" hidden="1" x14ac:dyDescent="0.35"/>
    <row r="80911" hidden="1" x14ac:dyDescent="0.35"/>
    <row r="80912" hidden="1" x14ac:dyDescent="0.35"/>
    <row r="80913" hidden="1" x14ac:dyDescent="0.35"/>
    <row r="80914" hidden="1" x14ac:dyDescent="0.35"/>
    <row r="80915" hidden="1" x14ac:dyDescent="0.35"/>
    <row r="80916" hidden="1" x14ac:dyDescent="0.35"/>
    <row r="80917" hidden="1" x14ac:dyDescent="0.35"/>
    <row r="80918" hidden="1" x14ac:dyDescent="0.35"/>
    <row r="80919" hidden="1" x14ac:dyDescent="0.35"/>
    <row r="80920" hidden="1" x14ac:dyDescent="0.35"/>
    <row r="80921" hidden="1" x14ac:dyDescent="0.35"/>
    <row r="80922" hidden="1" x14ac:dyDescent="0.35"/>
    <row r="80923" hidden="1" x14ac:dyDescent="0.35"/>
    <row r="80924" hidden="1" x14ac:dyDescent="0.35"/>
    <row r="80925" hidden="1" x14ac:dyDescent="0.35"/>
    <row r="80926" hidden="1" x14ac:dyDescent="0.35"/>
    <row r="80927" hidden="1" x14ac:dyDescent="0.35"/>
    <row r="80928" hidden="1" x14ac:dyDescent="0.35"/>
    <row r="80929" hidden="1" x14ac:dyDescent="0.35"/>
    <row r="80930" hidden="1" x14ac:dyDescent="0.35"/>
    <row r="80931" hidden="1" x14ac:dyDescent="0.35"/>
    <row r="80932" hidden="1" x14ac:dyDescent="0.35"/>
    <row r="80933" hidden="1" x14ac:dyDescent="0.35"/>
    <row r="80934" hidden="1" x14ac:dyDescent="0.35"/>
    <row r="80935" hidden="1" x14ac:dyDescent="0.35"/>
    <row r="80936" hidden="1" x14ac:dyDescent="0.35"/>
    <row r="80937" hidden="1" x14ac:dyDescent="0.35"/>
    <row r="80938" hidden="1" x14ac:dyDescent="0.35"/>
    <row r="80939" hidden="1" x14ac:dyDescent="0.35"/>
    <row r="80940" hidden="1" x14ac:dyDescent="0.35"/>
    <row r="80941" hidden="1" x14ac:dyDescent="0.35"/>
    <row r="80942" hidden="1" x14ac:dyDescent="0.35"/>
    <row r="80943" hidden="1" x14ac:dyDescent="0.35"/>
    <row r="80944" hidden="1" x14ac:dyDescent="0.35"/>
    <row r="80945" hidden="1" x14ac:dyDescent="0.35"/>
    <row r="80946" hidden="1" x14ac:dyDescent="0.35"/>
    <row r="80947" hidden="1" x14ac:dyDescent="0.35"/>
    <row r="80948" hidden="1" x14ac:dyDescent="0.35"/>
    <row r="80949" hidden="1" x14ac:dyDescent="0.35"/>
    <row r="80950" hidden="1" x14ac:dyDescent="0.35"/>
    <row r="80951" hidden="1" x14ac:dyDescent="0.35"/>
    <row r="80952" hidden="1" x14ac:dyDescent="0.35"/>
    <row r="80953" hidden="1" x14ac:dyDescent="0.35"/>
    <row r="80954" hidden="1" x14ac:dyDescent="0.35"/>
    <row r="80955" hidden="1" x14ac:dyDescent="0.35"/>
    <row r="80956" hidden="1" x14ac:dyDescent="0.35"/>
    <row r="80957" hidden="1" x14ac:dyDescent="0.35"/>
    <row r="80958" hidden="1" x14ac:dyDescent="0.35"/>
    <row r="80959" hidden="1" x14ac:dyDescent="0.35"/>
    <row r="80960" hidden="1" x14ac:dyDescent="0.35"/>
    <row r="80961" hidden="1" x14ac:dyDescent="0.35"/>
    <row r="80962" hidden="1" x14ac:dyDescent="0.35"/>
    <row r="80963" hidden="1" x14ac:dyDescent="0.35"/>
    <row r="80964" hidden="1" x14ac:dyDescent="0.35"/>
    <row r="80965" hidden="1" x14ac:dyDescent="0.35"/>
    <row r="80966" hidden="1" x14ac:dyDescent="0.35"/>
    <row r="80967" hidden="1" x14ac:dyDescent="0.35"/>
    <row r="80968" hidden="1" x14ac:dyDescent="0.35"/>
    <row r="80969" hidden="1" x14ac:dyDescent="0.35"/>
    <row r="80970" hidden="1" x14ac:dyDescent="0.35"/>
    <row r="80971" hidden="1" x14ac:dyDescent="0.35"/>
    <row r="80972" hidden="1" x14ac:dyDescent="0.35"/>
    <row r="80973" hidden="1" x14ac:dyDescent="0.35"/>
    <row r="80974" hidden="1" x14ac:dyDescent="0.35"/>
    <row r="80975" hidden="1" x14ac:dyDescent="0.35"/>
    <row r="80976" hidden="1" x14ac:dyDescent="0.35"/>
    <row r="80977" hidden="1" x14ac:dyDescent="0.35"/>
    <row r="80978" hidden="1" x14ac:dyDescent="0.35"/>
    <row r="80979" hidden="1" x14ac:dyDescent="0.35"/>
    <row r="80980" hidden="1" x14ac:dyDescent="0.35"/>
    <row r="80981" hidden="1" x14ac:dyDescent="0.35"/>
    <row r="80982" hidden="1" x14ac:dyDescent="0.35"/>
    <row r="80983" hidden="1" x14ac:dyDescent="0.35"/>
    <row r="80984" hidden="1" x14ac:dyDescent="0.35"/>
    <row r="80985" hidden="1" x14ac:dyDescent="0.35"/>
    <row r="80986" hidden="1" x14ac:dyDescent="0.35"/>
    <row r="80987" hidden="1" x14ac:dyDescent="0.35"/>
    <row r="80988" hidden="1" x14ac:dyDescent="0.35"/>
    <row r="80989" hidden="1" x14ac:dyDescent="0.35"/>
    <row r="80990" hidden="1" x14ac:dyDescent="0.35"/>
    <row r="80991" hidden="1" x14ac:dyDescent="0.35"/>
    <row r="80992" hidden="1" x14ac:dyDescent="0.35"/>
    <row r="80993" hidden="1" x14ac:dyDescent="0.35"/>
    <row r="80994" hidden="1" x14ac:dyDescent="0.35"/>
    <row r="80995" hidden="1" x14ac:dyDescent="0.35"/>
    <row r="80996" hidden="1" x14ac:dyDescent="0.35"/>
    <row r="80997" hidden="1" x14ac:dyDescent="0.35"/>
    <row r="80998" hidden="1" x14ac:dyDescent="0.35"/>
    <row r="80999" hidden="1" x14ac:dyDescent="0.35"/>
    <row r="81000" hidden="1" x14ac:dyDescent="0.35"/>
    <row r="81001" hidden="1" x14ac:dyDescent="0.35"/>
    <row r="81002" hidden="1" x14ac:dyDescent="0.35"/>
    <row r="81003" hidden="1" x14ac:dyDescent="0.35"/>
    <row r="81004" hidden="1" x14ac:dyDescent="0.35"/>
    <row r="81005" hidden="1" x14ac:dyDescent="0.35"/>
    <row r="81006" hidden="1" x14ac:dyDescent="0.35"/>
    <row r="81007" hidden="1" x14ac:dyDescent="0.35"/>
    <row r="81008" hidden="1" x14ac:dyDescent="0.35"/>
    <row r="81009" hidden="1" x14ac:dyDescent="0.35"/>
    <row r="81010" hidden="1" x14ac:dyDescent="0.35"/>
    <row r="81011" hidden="1" x14ac:dyDescent="0.35"/>
    <row r="81012" hidden="1" x14ac:dyDescent="0.35"/>
    <row r="81013" hidden="1" x14ac:dyDescent="0.35"/>
    <row r="81014" hidden="1" x14ac:dyDescent="0.35"/>
    <row r="81015" hidden="1" x14ac:dyDescent="0.35"/>
    <row r="81016" hidden="1" x14ac:dyDescent="0.35"/>
    <row r="81017" hidden="1" x14ac:dyDescent="0.35"/>
    <row r="81018" hidden="1" x14ac:dyDescent="0.35"/>
    <row r="81019" hidden="1" x14ac:dyDescent="0.35"/>
    <row r="81020" hidden="1" x14ac:dyDescent="0.35"/>
    <row r="81021" hidden="1" x14ac:dyDescent="0.35"/>
    <row r="81022" hidden="1" x14ac:dyDescent="0.35"/>
    <row r="81023" hidden="1" x14ac:dyDescent="0.35"/>
    <row r="81024" hidden="1" x14ac:dyDescent="0.35"/>
    <row r="81025" hidden="1" x14ac:dyDescent="0.35"/>
    <row r="81026" hidden="1" x14ac:dyDescent="0.35"/>
    <row r="81027" hidden="1" x14ac:dyDescent="0.35"/>
    <row r="81028" hidden="1" x14ac:dyDescent="0.35"/>
    <row r="81029" hidden="1" x14ac:dyDescent="0.35"/>
    <row r="81030" hidden="1" x14ac:dyDescent="0.35"/>
    <row r="81031" hidden="1" x14ac:dyDescent="0.35"/>
    <row r="81032" hidden="1" x14ac:dyDescent="0.35"/>
    <row r="81033" hidden="1" x14ac:dyDescent="0.35"/>
    <row r="81034" hidden="1" x14ac:dyDescent="0.35"/>
    <row r="81035" hidden="1" x14ac:dyDescent="0.35"/>
    <row r="81036" hidden="1" x14ac:dyDescent="0.35"/>
    <row r="81037" hidden="1" x14ac:dyDescent="0.35"/>
    <row r="81038" hidden="1" x14ac:dyDescent="0.35"/>
    <row r="81039" hidden="1" x14ac:dyDescent="0.35"/>
    <row r="81040" hidden="1" x14ac:dyDescent="0.35"/>
    <row r="81041" hidden="1" x14ac:dyDescent="0.35"/>
    <row r="81042" hidden="1" x14ac:dyDescent="0.35"/>
    <row r="81043" hidden="1" x14ac:dyDescent="0.35"/>
    <row r="81044" hidden="1" x14ac:dyDescent="0.35"/>
    <row r="81045" hidden="1" x14ac:dyDescent="0.35"/>
    <row r="81046" hidden="1" x14ac:dyDescent="0.35"/>
    <row r="81047" hidden="1" x14ac:dyDescent="0.35"/>
    <row r="81048" hidden="1" x14ac:dyDescent="0.35"/>
    <row r="81049" hidden="1" x14ac:dyDescent="0.35"/>
    <row r="81050" hidden="1" x14ac:dyDescent="0.35"/>
    <row r="81051" hidden="1" x14ac:dyDescent="0.35"/>
    <row r="81052" hidden="1" x14ac:dyDescent="0.35"/>
    <row r="81053" hidden="1" x14ac:dyDescent="0.35"/>
    <row r="81054" hidden="1" x14ac:dyDescent="0.35"/>
    <row r="81055" hidden="1" x14ac:dyDescent="0.35"/>
    <row r="81056" hidden="1" x14ac:dyDescent="0.35"/>
    <row r="81057" hidden="1" x14ac:dyDescent="0.35"/>
    <row r="81058" hidden="1" x14ac:dyDescent="0.35"/>
    <row r="81059" hidden="1" x14ac:dyDescent="0.35"/>
    <row r="81060" hidden="1" x14ac:dyDescent="0.35"/>
    <row r="81061" hidden="1" x14ac:dyDescent="0.35"/>
    <row r="81062" hidden="1" x14ac:dyDescent="0.35"/>
    <row r="81063" hidden="1" x14ac:dyDescent="0.35"/>
    <row r="81064" hidden="1" x14ac:dyDescent="0.35"/>
    <row r="81065" hidden="1" x14ac:dyDescent="0.35"/>
    <row r="81066" hidden="1" x14ac:dyDescent="0.35"/>
    <row r="81067" hidden="1" x14ac:dyDescent="0.35"/>
    <row r="81068" hidden="1" x14ac:dyDescent="0.35"/>
    <row r="81069" hidden="1" x14ac:dyDescent="0.35"/>
    <row r="81070" hidden="1" x14ac:dyDescent="0.35"/>
    <row r="81071" hidden="1" x14ac:dyDescent="0.35"/>
    <row r="81072" hidden="1" x14ac:dyDescent="0.35"/>
    <row r="81073" hidden="1" x14ac:dyDescent="0.35"/>
    <row r="81074" hidden="1" x14ac:dyDescent="0.35"/>
    <row r="81075" hidden="1" x14ac:dyDescent="0.35"/>
    <row r="81076" hidden="1" x14ac:dyDescent="0.35"/>
    <row r="81077" hidden="1" x14ac:dyDescent="0.35"/>
    <row r="81078" hidden="1" x14ac:dyDescent="0.35"/>
    <row r="81079" hidden="1" x14ac:dyDescent="0.35"/>
    <row r="81080" hidden="1" x14ac:dyDescent="0.35"/>
    <row r="81081" hidden="1" x14ac:dyDescent="0.35"/>
    <row r="81082" hidden="1" x14ac:dyDescent="0.35"/>
    <row r="81083" hidden="1" x14ac:dyDescent="0.35"/>
    <row r="81084" hidden="1" x14ac:dyDescent="0.35"/>
    <row r="81085" hidden="1" x14ac:dyDescent="0.35"/>
    <row r="81086" hidden="1" x14ac:dyDescent="0.35"/>
    <row r="81087" hidden="1" x14ac:dyDescent="0.35"/>
    <row r="81088" hidden="1" x14ac:dyDescent="0.35"/>
    <row r="81089" hidden="1" x14ac:dyDescent="0.35"/>
    <row r="81090" hidden="1" x14ac:dyDescent="0.35"/>
    <row r="81091" hidden="1" x14ac:dyDescent="0.35"/>
    <row r="81092" hidden="1" x14ac:dyDescent="0.35"/>
    <row r="81093" hidden="1" x14ac:dyDescent="0.35"/>
    <row r="81094" hidden="1" x14ac:dyDescent="0.35"/>
    <row r="81095" hidden="1" x14ac:dyDescent="0.35"/>
    <row r="81096" hidden="1" x14ac:dyDescent="0.35"/>
    <row r="81097" hidden="1" x14ac:dyDescent="0.35"/>
    <row r="81098" hidden="1" x14ac:dyDescent="0.35"/>
    <row r="81099" hidden="1" x14ac:dyDescent="0.35"/>
    <row r="81100" hidden="1" x14ac:dyDescent="0.35"/>
    <row r="81101" hidden="1" x14ac:dyDescent="0.35"/>
    <row r="81102" hidden="1" x14ac:dyDescent="0.35"/>
    <row r="81103" hidden="1" x14ac:dyDescent="0.35"/>
    <row r="81104" hidden="1" x14ac:dyDescent="0.35"/>
    <row r="81105" hidden="1" x14ac:dyDescent="0.35"/>
    <row r="81106" hidden="1" x14ac:dyDescent="0.35"/>
    <row r="81107" hidden="1" x14ac:dyDescent="0.35"/>
    <row r="81108" hidden="1" x14ac:dyDescent="0.35"/>
    <row r="81109" hidden="1" x14ac:dyDescent="0.35"/>
    <row r="81110" hidden="1" x14ac:dyDescent="0.35"/>
    <row r="81111" hidden="1" x14ac:dyDescent="0.35"/>
    <row r="81112" hidden="1" x14ac:dyDescent="0.35"/>
    <row r="81113" hidden="1" x14ac:dyDescent="0.35"/>
    <row r="81114" hidden="1" x14ac:dyDescent="0.35"/>
    <row r="81115" hidden="1" x14ac:dyDescent="0.35"/>
    <row r="81116" hidden="1" x14ac:dyDescent="0.35"/>
    <row r="81117" hidden="1" x14ac:dyDescent="0.35"/>
    <row r="81118" hidden="1" x14ac:dyDescent="0.35"/>
    <row r="81119" hidden="1" x14ac:dyDescent="0.35"/>
    <row r="81120" hidden="1" x14ac:dyDescent="0.35"/>
    <row r="81121" hidden="1" x14ac:dyDescent="0.35"/>
    <row r="81122" hidden="1" x14ac:dyDescent="0.35"/>
    <row r="81123" hidden="1" x14ac:dyDescent="0.35"/>
    <row r="81124" hidden="1" x14ac:dyDescent="0.35"/>
    <row r="81125" hidden="1" x14ac:dyDescent="0.35"/>
    <row r="81126" hidden="1" x14ac:dyDescent="0.35"/>
    <row r="81127" hidden="1" x14ac:dyDescent="0.35"/>
    <row r="81128" hidden="1" x14ac:dyDescent="0.35"/>
    <row r="81129" hidden="1" x14ac:dyDescent="0.35"/>
    <row r="81130" hidden="1" x14ac:dyDescent="0.35"/>
    <row r="81131" hidden="1" x14ac:dyDescent="0.35"/>
    <row r="81132" hidden="1" x14ac:dyDescent="0.35"/>
    <row r="81133" hidden="1" x14ac:dyDescent="0.35"/>
    <row r="81134" hidden="1" x14ac:dyDescent="0.35"/>
    <row r="81135" hidden="1" x14ac:dyDescent="0.35"/>
    <row r="81136" hidden="1" x14ac:dyDescent="0.35"/>
    <row r="81137" hidden="1" x14ac:dyDescent="0.35"/>
    <row r="81138" hidden="1" x14ac:dyDescent="0.35"/>
    <row r="81139" hidden="1" x14ac:dyDescent="0.35"/>
    <row r="81140" hidden="1" x14ac:dyDescent="0.35"/>
    <row r="81141" hidden="1" x14ac:dyDescent="0.35"/>
    <row r="81142" hidden="1" x14ac:dyDescent="0.35"/>
    <row r="81143" hidden="1" x14ac:dyDescent="0.35"/>
    <row r="81144" hidden="1" x14ac:dyDescent="0.35"/>
    <row r="81145" hidden="1" x14ac:dyDescent="0.35"/>
    <row r="81146" hidden="1" x14ac:dyDescent="0.35"/>
    <row r="81147" hidden="1" x14ac:dyDescent="0.35"/>
    <row r="81148" hidden="1" x14ac:dyDescent="0.35"/>
    <row r="81149" hidden="1" x14ac:dyDescent="0.35"/>
    <row r="81150" hidden="1" x14ac:dyDescent="0.35"/>
    <row r="81151" hidden="1" x14ac:dyDescent="0.35"/>
    <row r="81152" hidden="1" x14ac:dyDescent="0.35"/>
    <row r="81153" hidden="1" x14ac:dyDescent="0.35"/>
    <row r="81154" hidden="1" x14ac:dyDescent="0.35"/>
    <row r="81155" hidden="1" x14ac:dyDescent="0.35"/>
    <row r="81156" hidden="1" x14ac:dyDescent="0.35"/>
    <row r="81157" hidden="1" x14ac:dyDescent="0.35"/>
    <row r="81158" hidden="1" x14ac:dyDescent="0.35"/>
    <row r="81159" hidden="1" x14ac:dyDescent="0.35"/>
    <row r="81160" hidden="1" x14ac:dyDescent="0.35"/>
    <row r="81161" hidden="1" x14ac:dyDescent="0.35"/>
    <row r="81162" hidden="1" x14ac:dyDescent="0.35"/>
    <row r="81163" hidden="1" x14ac:dyDescent="0.35"/>
    <row r="81164" hidden="1" x14ac:dyDescent="0.35"/>
    <row r="81165" hidden="1" x14ac:dyDescent="0.35"/>
    <row r="81166" hidden="1" x14ac:dyDescent="0.35"/>
    <row r="81167" hidden="1" x14ac:dyDescent="0.35"/>
    <row r="81168" hidden="1" x14ac:dyDescent="0.35"/>
    <row r="81169" hidden="1" x14ac:dyDescent="0.35"/>
    <row r="81170" hidden="1" x14ac:dyDescent="0.35"/>
    <row r="81171" hidden="1" x14ac:dyDescent="0.35"/>
    <row r="81172" hidden="1" x14ac:dyDescent="0.35"/>
    <row r="81173" hidden="1" x14ac:dyDescent="0.35"/>
    <row r="81174" hidden="1" x14ac:dyDescent="0.35"/>
    <row r="81175" hidden="1" x14ac:dyDescent="0.35"/>
    <row r="81176" hidden="1" x14ac:dyDescent="0.35"/>
    <row r="81177" hidden="1" x14ac:dyDescent="0.35"/>
    <row r="81178" hidden="1" x14ac:dyDescent="0.35"/>
    <row r="81179" hidden="1" x14ac:dyDescent="0.35"/>
    <row r="81180" hidden="1" x14ac:dyDescent="0.35"/>
    <row r="81181" hidden="1" x14ac:dyDescent="0.35"/>
    <row r="81182" hidden="1" x14ac:dyDescent="0.35"/>
    <row r="81183" hidden="1" x14ac:dyDescent="0.35"/>
    <row r="81184" hidden="1" x14ac:dyDescent="0.35"/>
    <row r="81185" hidden="1" x14ac:dyDescent="0.35"/>
    <row r="81186" hidden="1" x14ac:dyDescent="0.35"/>
    <row r="81187" hidden="1" x14ac:dyDescent="0.35"/>
    <row r="81188" hidden="1" x14ac:dyDescent="0.35"/>
    <row r="81189" hidden="1" x14ac:dyDescent="0.35"/>
    <row r="81190" hidden="1" x14ac:dyDescent="0.35"/>
    <row r="81191" hidden="1" x14ac:dyDescent="0.35"/>
    <row r="81192" hidden="1" x14ac:dyDescent="0.35"/>
    <row r="81193" hidden="1" x14ac:dyDescent="0.35"/>
    <row r="81194" hidden="1" x14ac:dyDescent="0.35"/>
    <row r="81195" hidden="1" x14ac:dyDescent="0.35"/>
    <row r="81196" hidden="1" x14ac:dyDescent="0.35"/>
    <row r="81197" hidden="1" x14ac:dyDescent="0.35"/>
    <row r="81198" hidden="1" x14ac:dyDescent="0.35"/>
    <row r="81199" hidden="1" x14ac:dyDescent="0.35"/>
    <row r="81200" hidden="1" x14ac:dyDescent="0.35"/>
    <row r="81201" hidden="1" x14ac:dyDescent="0.35"/>
    <row r="81202" hidden="1" x14ac:dyDescent="0.35"/>
    <row r="81203" hidden="1" x14ac:dyDescent="0.35"/>
    <row r="81204" hidden="1" x14ac:dyDescent="0.35"/>
    <row r="81205" hidden="1" x14ac:dyDescent="0.35"/>
    <row r="81206" hidden="1" x14ac:dyDescent="0.35"/>
    <row r="81207" hidden="1" x14ac:dyDescent="0.35"/>
    <row r="81208" hidden="1" x14ac:dyDescent="0.35"/>
    <row r="81209" hidden="1" x14ac:dyDescent="0.35"/>
    <row r="81210" hidden="1" x14ac:dyDescent="0.35"/>
    <row r="81211" hidden="1" x14ac:dyDescent="0.35"/>
    <row r="81212" hidden="1" x14ac:dyDescent="0.35"/>
    <row r="81213" hidden="1" x14ac:dyDescent="0.35"/>
    <row r="81214" hidden="1" x14ac:dyDescent="0.35"/>
    <row r="81215" hidden="1" x14ac:dyDescent="0.35"/>
    <row r="81216" hidden="1" x14ac:dyDescent="0.35"/>
    <row r="81217" hidden="1" x14ac:dyDescent="0.35"/>
    <row r="81218" hidden="1" x14ac:dyDescent="0.35"/>
    <row r="81219" hidden="1" x14ac:dyDescent="0.35"/>
    <row r="81220" hidden="1" x14ac:dyDescent="0.35"/>
    <row r="81221" hidden="1" x14ac:dyDescent="0.35"/>
    <row r="81222" hidden="1" x14ac:dyDescent="0.35"/>
    <row r="81223" hidden="1" x14ac:dyDescent="0.35"/>
    <row r="81224" hidden="1" x14ac:dyDescent="0.35"/>
    <row r="81225" hidden="1" x14ac:dyDescent="0.35"/>
    <row r="81226" hidden="1" x14ac:dyDescent="0.35"/>
    <row r="81227" hidden="1" x14ac:dyDescent="0.35"/>
    <row r="81228" hidden="1" x14ac:dyDescent="0.35"/>
    <row r="81229" hidden="1" x14ac:dyDescent="0.35"/>
    <row r="81230" hidden="1" x14ac:dyDescent="0.35"/>
    <row r="81231" hidden="1" x14ac:dyDescent="0.35"/>
    <row r="81232" hidden="1" x14ac:dyDescent="0.35"/>
    <row r="81233" hidden="1" x14ac:dyDescent="0.35"/>
    <row r="81234" hidden="1" x14ac:dyDescent="0.35"/>
    <row r="81235" hidden="1" x14ac:dyDescent="0.35"/>
    <row r="81236" hidden="1" x14ac:dyDescent="0.35"/>
    <row r="81237" hidden="1" x14ac:dyDescent="0.35"/>
    <row r="81238" hidden="1" x14ac:dyDescent="0.35"/>
    <row r="81239" hidden="1" x14ac:dyDescent="0.35"/>
    <row r="81240" hidden="1" x14ac:dyDescent="0.35"/>
    <row r="81241" hidden="1" x14ac:dyDescent="0.35"/>
    <row r="81242" hidden="1" x14ac:dyDescent="0.35"/>
    <row r="81243" hidden="1" x14ac:dyDescent="0.35"/>
    <row r="81244" hidden="1" x14ac:dyDescent="0.35"/>
    <row r="81245" hidden="1" x14ac:dyDescent="0.35"/>
    <row r="81246" hidden="1" x14ac:dyDescent="0.35"/>
    <row r="81247" hidden="1" x14ac:dyDescent="0.35"/>
    <row r="81248" hidden="1" x14ac:dyDescent="0.35"/>
    <row r="81249" hidden="1" x14ac:dyDescent="0.35"/>
    <row r="81250" hidden="1" x14ac:dyDescent="0.35"/>
    <row r="81251" hidden="1" x14ac:dyDescent="0.35"/>
    <row r="81252" hidden="1" x14ac:dyDescent="0.35"/>
    <row r="81253" hidden="1" x14ac:dyDescent="0.35"/>
    <row r="81254" hidden="1" x14ac:dyDescent="0.35"/>
    <row r="81255" hidden="1" x14ac:dyDescent="0.35"/>
    <row r="81256" hidden="1" x14ac:dyDescent="0.35"/>
    <row r="81257" hidden="1" x14ac:dyDescent="0.35"/>
    <row r="81258" hidden="1" x14ac:dyDescent="0.35"/>
    <row r="81259" hidden="1" x14ac:dyDescent="0.35"/>
    <row r="81260" hidden="1" x14ac:dyDescent="0.35"/>
    <row r="81261" hidden="1" x14ac:dyDescent="0.35"/>
    <row r="81262" hidden="1" x14ac:dyDescent="0.35"/>
    <row r="81263" hidden="1" x14ac:dyDescent="0.35"/>
    <row r="81264" hidden="1" x14ac:dyDescent="0.35"/>
    <row r="81265" hidden="1" x14ac:dyDescent="0.35"/>
    <row r="81266" hidden="1" x14ac:dyDescent="0.35"/>
    <row r="81267" hidden="1" x14ac:dyDescent="0.35"/>
    <row r="81268" hidden="1" x14ac:dyDescent="0.35"/>
    <row r="81269" hidden="1" x14ac:dyDescent="0.35"/>
    <row r="81270" hidden="1" x14ac:dyDescent="0.35"/>
    <row r="81271" hidden="1" x14ac:dyDescent="0.35"/>
    <row r="81272" hidden="1" x14ac:dyDescent="0.35"/>
    <row r="81273" hidden="1" x14ac:dyDescent="0.35"/>
    <row r="81274" hidden="1" x14ac:dyDescent="0.35"/>
    <row r="81275" hidden="1" x14ac:dyDescent="0.35"/>
    <row r="81276" hidden="1" x14ac:dyDescent="0.35"/>
    <row r="81277" hidden="1" x14ac:dyDescent="0.35"/>
    <row r="81278" hidden="1" x14ac:dyDescent="0.35"/>
    <row r="81279" hidden="1" x14ac:dyDescent="0.35"/>
    <row r="81280" hidden="1" x14ac:dyDescent="0.35"/>
    <row r="81281" hidden="1" x14ac:dyDescent="0.35"/>
    <row r="81282" hidden="1" x14ac:dyDescent="0.35"/>
    <row r="81283" hidden="1" x14ac:dyDescent="0.35"/>
    <row r="81284" hidden="1" x14ac:dyDescent="0.35"/>
    <row r="81285" hidden="1" x14ac:dyDescent="0.35"/>
    <row r="81286" hidden="1" x14ac:dyDescent="0.35"/>
    <row r="81287" hidden="1" x14ac:dyDescent="0.35"/>
    <row r="81288" hidden="1" x14ac:dyDescent="0.35"/>
    <row r="81289" hidden="1" x14ac:dyDescent="0.35"/>
    <row r="81290" hidden="1" x14ac:dyDescent="0.35"/>
    <row r="81291" hidden="1" x14ac:dyDescent="0.35"/>
    <row r="81292" hidden="1" x14ac:dyDescent="0.35"/>
    <row r="81293" hidden="1" x14ac:dyDescent="0.35"/>
    <row r="81294" hidden="1" x14ac:dyDescent="0.35"/>
    <row r="81295" hidden="1" x14ac:dyDescent="0.35"/>
    <row r="81296" hidden="1" x14ac:dyDescent="0.35"/>
    <row r="81297" hidden="1" x14ac:dyDescent="0.35"/>
    <row r="81298" hidden="1" x14ac:dyDescent="0.35"/>
    <row r="81299" hidden="1" x14ac:dyDescent="0.35"/>
    <row r="81300" hidden="1" x14ac:dyDescent="0.35"/>
    <row r="81301" hidden="1" x14ac:dyDescent="0.35"/>
    <row r="81302" hidden="1" x14ac:dyDescent="0.35"/>
    <row r="81303" hidden="1" x14ac:dyDescent="0.35"/>
    <row r="81304" hidden="1" x14ac:dyDescent="0.35"/>
    <row r="81305" hidden="1" x14ac:dyDescent="0.35"/>
    <row r="81306" hidden="1" x14ac:dyDescent="0.35"/>
    <row r="81307" hidden="1" x14ac:dyDescent="0.35"/>
    <row r="81308" hidden="1" x14ac:dyDescent="0.35"/>
    <row r="81309" hidden="1" x14ac:dyDescent="0.35"/>
    <row r="81310" hidden="1" x14ac:dyDescent="0.35"/>
    <row r="81311" hidden="1" x14ac:dyDescent="0.35"/>
    <row r="81312" hidden="1" x14ac:dyDescent="0.35"/>
    <row r="81313" hidden="1" x14ac:dyDescent="0.35"/>
    <row r="81314" hidden="1" x14ac:dyDescent="0.35"/>
    <row r="81315" hidden="1" x14ac:dyDescent="0.35"/>
    <row r="81316" hidden="1" x14ac:dyDescent="0.35"/>
    <row r="81317" hidden="1" x14ac:dyDescent="0.35"/>
    <row r="81318" hidden="1" x14ac:dyDescent="0.35"/>
    <row r="81319" hidden="1" x14ac:dyDescent="0.35"/>
    <row r="81320" hidden="1" x14ac:dyDescent="0.35"/>
    <row r="81321" hidden="1" x14ac:dyDescent="0.35"/>
    <row r="81322" hidden="1" x14ac:dyDescent="0.35"/>
    <row r="81323" hidden="1" x14ac:dyDescent="0.35"/>
    <row r="81324" hidden="1" x14ac:dyDescent="0.35"/>
    <row r="81325" hidden="1" x14ac:dyDescent="0.35"/>
    <row r="81326" hidden="1" x14ac:dyDescent="0.35"/>
    <row r="81327" hidden="1" x14ac:dyDescent="0.35"/>
    <row r="81328" hidden="1" x14ac:dyDescent="0.35"/>
    <row r="81329" hidden="1" x14ac:dyDescent="0.35"/>
    <row r="81330" hidden="1" x14ac:dyDescent="0.35"/>
    <row r="81331" hidden="1" x14ac:dyDescent="0.35"/>
    <row r="81332" hidden="1" x14ac:dyDescent="0.35"/>
    <row r="81333" hidden="1" x14ac:dyDescent="0.35"/>
    <row r="81334" hidden="1" x14ac:dyDescent="0.35"/>
    <row r="81335" hidden="1" x14ac:dyDescent="0.35"/>
    <row r="81336" hidden="1" x14ac:dyDescent="0.35"/>
    <row r="81337" hidden="1" x14ac:dyDescent="0.35"/>
    <row r="81338" hidden="1" x14ac:dyDescent="0.35"/>
    <row r="81339" hidden="1" x14ac:dyDescent="0.35"/>
    <row r="81340" hidden="1" x14ac:dyDescent="0.35"/>
    <row r="81341" hidden="1" x14ac:dyDescent="0.35"/>
    <row r="81342" hidden="1" x14ac:dyDescent="0.35"/>
    <row r="81343" hidden="1" x14ac:dyDescent="0.35"/>
    <row r="81344" hidden="1" x14ac:dyDescent="0.35"/>
    <row r="81345" hidden="1" x14ac:dyDescent="0.35"/>
    <row r="81346" hidden="1" x14ac:dyDescent="0.35"/>
    <row r="81347" hidden="1" x14ac:dyDescent="0.35"/>
    <row r="81348" hidden="1" x14ac:dyDescent="0.35"/>
    <row r="81349" hidden="1" x14ac:dyDescent="0.35"/>
    <row r="81350" hidden="1" x14ac:dyDescent="0.35"/>
    <row r="81351" hidden="1" x14ac:dyDescent="0.35"/>
    <row r="81352" hidden="1" x14ac:dyDescent="0.35"/>
    <row r="81353" hidden="1" x14ac:dyDescent="0.35"/>
    <row r="81354" hidden="1" x14ac:dyDescent="0.35"/>
    <row r="81355" hidden="1" x14ac:dyDescent="0.35"/>
    <row r="81356" hidden="1" x14ac:dyDescent="0.35"/>
    <row r="81357" hidden="1" x14ac:dyDescent="0.35"/>
    <row r="81358" hidden="1" x14ac:dyDescent="0.35"/>
    <row r="81359" hidden="1" x14ac:dyDescent="0.35"/>
    <row r="81360" hidden="1" x14ac:dyDescent="0.35"/>
    <row r="81361" hidden="1" x14ac:dyDescent="0.35"/>
    <row r="81362" hidden="1" x14ac:dyDescent="0.35"/>
    <row r="81363" hidden="1" x14ac:dyDescent="0.35"/>
    <row r="81364" hidden="1" x14ac:dyDescent="0.35"/>
    <row r="81365" hidden="1" x14ac:dyDescent="0.35"/>
    <row r="81366" hidden="1" x14ac:dyDescent="0.35"/>
    <row r="81367" hidden="1" x14ac:dyDescent="0.35"/>
    <row r="81368" hidden="1" x14ac:dyDescent="0.35"/>
    <row r="81369" hidden="1" x14ac:dyDescent="0.35"/>
    <row r="81370" hidden="1" x14ac:dyDescent="0.35"/>
    <row r="81371" hidden="1" x14ac:dyDescent="0.35"/>
    <row r="81372" hidden="1" x14ac:dyDescent="0.35"/>
    <row r="81373" hidden="1" x14ac:dyDescent="0.35"/>
    <row r="81374" hidden="1" x14ac:dyDescent="0.35"/>
    <row r="81375" hidden="1" x14ac:dyDescent="0.35"/>
    <row r="81376" hidden="1" x14ac:dyDescent="0.35"/>
    <row r="81377" hidden="1" x14ac:dyDescent="0.35"/>
    <row r="81378" hidden="1" x14ac:dyDescent="0.35"/>
    <row r="81379" hidden="1" x14ac:dyDescent="0.35"/>
    <row r="81380" hidden="1" x14ac:dyDescent="0.35"/>
    <row r="81381" hidden="1" x14ac:dyDescent="0.35"/>
    <row r="81382" hidden="1" x14ac:dyDescent="0.35"/>
    <row r="81383" hidden="1" x14ac:dyDescent="0.35"/>
    <row r="81384" hidden="1" x14ac:dyDescent="0.35"/>
    <row r="81385" hidden="1" x14ac:dyDescent="0.35"/>
    <row r="81386" hidden="1" x14ac:dyDescent="0.35"/>
    <row r="81387" hidden="1" x14ac:dyDescent="0.35"/>
    <row r="81388" hidden="1" x14ac:dyDescent="0.35"/>
    <row r="81389" hidden="1" x14ac:dyDescent="0.35"/>
    <row r="81390" hidden="1" x14ac:dyDescent="0.35"/>
    <row r="81391" hidden="1" x14ac:dyDescent="0.35"/>
    <row r="81392" hidden="1" x14ac:dyDescent="0.35"/>
    <row r="81393" hidden="1" x14ac:dyDescent="0.35"/>
    <row r="81394" hidden="1" x14ac:dyDescent="0.35"/>
    <row r="81395" hidden="1" x14ac:dyDescent="0.35"/>
    <row r="81396" hidden="1" x14ac:dyDescent="0.35"/>
    <row r="81397" hidden="1" x14ac:dyDescent="0.35"/>
    <row r="81398" hidden="1" x14ac:dyDescent="0.35"/>
    <row r="81399" hidden="1" x14ac:dyDescent="0.35"/>
    <row r="81400" hidden="1" x14ac:dyDescent="0.35"/>
    <row r="81401" hidden="1" x14ac:dyDescent="0.35"/>
    <row r="81402" hidden="1" x14ac:dyDescent="0.35"/>
    <row r="81403" hidden="1" x14ac:dyDescent="0.35"/>
    <row r="81404" hidden="1" x14ac:dyDescent="0.35"/>
    <row r="81405" hidden="1" x14ac:dyDescent="0.35"/>
    <row r="81406" hidden="1" x14ac:dyDescent="0.35"/>
    <row r="81407" hidden="1" x14ac:dyDescent="0.35"/>
    <row r="81408" hidden="1" x14ac:dyDescent="0.35"/>
    <row r="81409" hidden="1" x14ac:dyDescent="0.35"/>
    <row r="81410" hidden="1" x14ac:dyDescent="0.35"/>
    <row r="81411" hidden="1" x14ac:dyDescent="0.35"/>
    <row r="81412" hidden="1" x14ac:dyDescent="0.35"/>
    <row r="81413" hidden="1" x14ac:dyDescent="0.35"/>
    <row r="81414" hidden="1" x14ac:dyDescent="0.35"/>
    <row r="81415" hidden="1" x14ac:dyDescent="0.35"/>
    <row r="81416" hidden="1" x14ac:dyDescent="0.35"/>
    <row r="81417" hidden="1" x14ac:dyDescent="0.35"/>
    <row r="81418" hidden="1" x14ac:dyDescent="0.35"/>
    <row r="81419" hidden="1" x14ac:dyDescent="0.35"/>
    <row r="81420" hidden="1" x14ac:dyDescent="0.35"/>
    <row r="81421" hidden="1" x14ac:dyDescent="0.35"/>
    <row r="81422" hidden="1" x14ac:dyDescent="0.35"/>
    <row r="81423" hidden="1" x14ac:dyDescent="0.35"/>
    <row r="81424" hidden="1" x14ac:dyDescent="0.35"/>
    <row r="81425" hidden="1" x14ac:dyDescent="0.35"/>
    <row r="81426" hidden="1" x14ac:dyDescent="0.35"/>
    <row r="81427" hidden="1" x14ac:dyDescent="0.35"/>
    <row r="81428" hidden="1" x14ac:dyDescent="0.35"/>
    <row r="81429" hidden="1" x14ac:dyDescent="0.35"/>
    <row r="81430" hidden="1" x14ac:dyDescent="0.35"/>
    <row r="81431" hidden="1" x14ac:dyDescent="0.35"/>
    <row r="81432" hidden="1" x14ac:dyDescent="0.35"/>
    <row r="81433" hidden="1" x14ac:dyDescent="0.35"/>
    <row r="81434" hidden="1" x14ac:dyDescent="0.35"/>
    <row r="81435" hidden="1" x14ac:dyDescent="0.35"/>
    <row r="81436" hidden="1" x14ac:dyDescent="0.35"/>
    <row r="81437" hidden="1" x14ac:dyDescent="0.35"/>
    <row r="81438" hidden="1" x14ac:dyDescent="0.35"/>
    <row r="81439" hidden="1" x14ac:dyDescent="0.35"/>
    <row r="81440" hidden="1" x14ac:dyDescent="0.35"/>
    <row r="81441" hidden="1" x14ac:dyDescent="0.35"/>
    <row r="81442" hidden="1" x14ac:dyDescent="0.35"/>
    <row r="81443" hidden="1" x14ac:dyDescent="0.35"/>
    <row r="81444" hidden="1" x14ac:dyDescent="0.35"/>
    <row r="81445" hidden="1" x14ac:dyDescent="0.35"/>
    <row r="81446" hidden="1" x14ac:dyDescent="0.35"/>
    <row r="81447" hidden="1" x14ac:dyDescent="0.35"/>
    <row r="81448" hidden="1" x14ac:dyDescent="0.35"/>
    <row r="81449" hidden="1" x14ac:dyDescent="0.35"/>
    <row r="81450" hidden="1" x14ac:dyDescent="0.35"/>
    <row r="81451" hidden="1" x14ac:dyDescent="0.35"/>
    <row r="81452" hidden="1" x14ac:dyDescent="0.35"/>
    <row r="81453" hidden="1" x14ac:dyDescent="0.35"/>
    <row r="81454" hidden="1" x14ac:dyDescent="0.35"/>
    <row r="81455" hidden="1" x14ac:dyDescent="0.35"/>
    <row r="81456" hidden="1" x14ac:dyDescent="0.35"/>
    <row r="81457" hidden="1" x14ac:dyDescent="0.35"/>
    <row r="81458" hidden="1" x14ac:dyDescent="0.35"/>
    <row r="81459" hidden="1" x14ac:dyDescent="0.35"/>
    <row r="81460" hidden="1" x14ac:dyDescent="0.35"/>
    <row r="81461" hidden="1" x14ac:dyDescent="0.35"/>
    <row r="81462" hidden="1" x14ac:dyDescent="0.35"/>
    <row r="81463" hidden="1" x14ac:dyDescent="0.35"/>
    <row r="81464" hidden="1" x14ac:dyDescent="0.35"/>
    <row r="81465" hidden="1" x14ac:dyDescent="0.35"/>
    <row r="81466" hidden="1" x14ac:dyDescent="0.35"/>
    <row r="81467" hidden="1" x14ac:dyDescent="0.35"/>
    <row r="81468" hidden="1" x14ac:dyDescent="0.35"/>
    <row r="81469" hidden="1" x14ac:dyDescent="0.35"/>
    <row r="81470" hidden="1" x14ac:dyDescent="0.35"/>
    <row r="81471" hidden="1" x14ac:dyDescent="0.35"/>
    <row r="81472" hidden="1" x14ac:dyDescent="0.35"/>
    <row r="81473" hidden="1" x14ac:dyDescent="0.35"/>
    <row r="81474" hidden="1" x14ac:dyDescent="0.35"/>
    <row r="81475" hidden="1" x14ac:dyDescent="0.35"/>
    <row r="81476" hidden="1" x14ac:dyDescent="0.35"/>
    <row r="81477" hidden="1" x14ac:dyDescent="0.35"/>
    <row r="81478" hidden="1" x14ac:dyDescent="0.35"/>
    <row r="81479" hidden="1" x14ac:dyDescent="0.35"/>
    <row r="81480" hidden="1" x14ac:dyDescent="0.35"/>
    <row r="81481" hidden="1" x14ac:dyDescent="0.35"/>
    <row r="81482" hidden="1" x14ac:dyDescent="0.35"/>
    <row r="81483" hidden="1" x14ac:dyDescent="0.35"/>
    <row r="81484" hidden="1" x14ac:dyDescent="0.35"/>
    <row r="81485" hidden="1" x14ac:dyDescent="0.35"/>
    <row r="81486" hidden="1" x14ac:dyDescent="0.35"/>
    <row r="81487" hidden="1" x14ac:dyDescent="0.35"/>
    <row r="81488" hidden="1" x14ac:dyDescent="0.35"/>
    <row r="81489" hidden="1" x14ac:dyDescent="0.35"/>
    <row r="81490" hidden="1" x14ac:dyDescent="0.35"/>
    <row r="81491" hidden="1" x14ac:dyDescent="0.35"/>
    <row r="81492" hidden="1" x14ac:dyDescent="0.35"/>
    <row r="81493" hidden="1" x14ac:dyDescent="0.35"/>
    <row r="81494" hidden="1" x14ac:dyDescent="0.35"/>
    <row r="81495" hidden="1" x14ac:dyDescent="0.35"/>
    <row r="81496" hidden="1" x14ac:dyDescent="0.35"/>
    <row r="81497" hidden="1" x14ac:dyDescent="0.35"/>
    <row r="81498" hidden="1" x14ac:dyDescent="0.35"/>
    <row r="81499" hidden="1" x14ac:dyDescent="0.35"/>
    <row r="81500" hidden="1" x14ac:dyDescent="0.35"/>
    <row r="81501" hidden="1" x14ac:dyDescent="0.35"/>
    <row r="81502" hidden="1" x14ac:dyDescent="0.35"/>
    <row r="81503" hidden="1" x14ac:dyDescent="0.35"/>
    <row r="81504" hidden="1" x14ac:dyDescent="0.35"/>
    <row r="81505" hidden="1" x14ac:dyDescent="0.35"/>
    <row r="81506" hidden="1" x14ac:dyDescent="0.35"/>
    <row r="81507" hidden="1" x14ac:dyDescent="0.35"/>
    <row r="81508" hidden="1" x14ac:dyDescent="0.35"/>
    <row r="81509" hidden="1" x14ac:dyDescent="0.35"/>
    <row r="81510" hidden="1" x14ac:dyDescent="0.35"/>
    <row r="81511" hidden="1" x14ac:dyDescent="0.35"/>
    <row r="81512" hidden="1" x14ac:dyDescent="0.35"/>
    <row r="81513" hidden="1" x14ac:dyDescent="0.35"/>
    <row r="81514" hidden="1" x14ac:dyDescent="0.35"/>
    <row r="81515" hidden="1" x14ac:dyDescent="0.35"/>
    <row r="81516" hidden="1" x14ac:dyDescent="0.35"/>
    <row r="81517" hidden="1" x14ac:dyDescent="0.35"/>
    <row r="81518" hidden="1" x14ac:dyDescent="0.35"/>
    <row r="81519" hidden="1" x14ac:dyDescent="0.35"/>
    <row r="81520" hidden="1" x14ac:dyDescent="0.35"/>
    <row r="81521" hidden="1" x14ac:dyDescent="0.35"/>
    <row r="81522" hidden="1" x14ac:dyDescent="0.35"/>
    <row r="81523" hidden="1" x14ac:dyDescent="0.35"/>
    <row r="81524" hidden="1" x14ac:dyDescent="0.35"/>
    <row r="81525" hidden="1" x14ac:dyDescent="0.35"/>
    <row r="81526" hidden="1" x14ac:dyDescent="0.35"/>
    <row r="81527" hidden="1" x14ac:dyDescent="0.35"/>
    <row r="81528" hidden="1" x14ac:dyDescent="0.35"/>
    <row r="81529" hidden="1" x14ac:dyDescent="0.35"/>
    <row r="81530" hidden="1" x14ac:dyDescent="0.35"/>
    <row r="81531" hidden="1" x14ac:dyDescent="0.35"/>
    <row r="81532" hidden="1" x14ac:dyDescent="0.35"/>
    <row r="81533" hidden="1" x14ac:dyDescent="0.35"/>
    <row r="81534" hidden="1" x14ac:dyDescent="0.35"/>
    <row r="81535" hidden="1" x14ac:dyDescent="0.35"/>
    <row r="81536" hidden="1" x14ac:dyDescent="0.35"/>
    <row r="81537" hidden="1" x14ac:dyDescent="0.35"/>
    <row r="81538" hidden="1" x14ac:dyDescent="0.35"/>
    <row r="81539" hidden="1" x14ac:dyDescent="0.35"/>
    <row r="81540" hidden="1" x14ac:dyDescent="0.35"/>
    <row r="81541" hidden="1" x14ac:dyDescent="0.35"/>
    <row r="81542" hidden="1" x14ac:dyDescent="0.35"/>
    <row r="81543" hidden="1" x14ac:dyDescent="0.35"/>
    <row r="81544" hidden="1" x14ac:dyDescent="0.35"/>
    <row r="81545" hidden="1" x14ac:dyDescent="0.35"/>
    <row r="81546" hidden="1" x14ac:dyDescent="0.35"/>
    <row r="81547" hidden="1" x14ac:dyDescent="0.35"/>
    <row r="81548" hidden="1" x14ac:dyDescent="0.35"/>
    <row r="81549" hidden="1" x14ac:dyDescent="0.35"/>
    <row r="81550" hidden="1" x14ac:dyDescent="0.35"/>
    <row r="81551" hidden="1" x14ac:dyDescent="0.35"/>
    <row r="81552" hidden="1" x14ac:dyDescent="0.35"/>
    <row r="81553" hidden="1" x14ac:dyDescent="0.35"/>
    <row r="81554" hidden="1" x14ac:dyDescent="0.35"/>
    <row r="81555" hidden="1" x14ac:dyDescent="0.35"/>
    <row r="81556" hidden="1" x14ac:dyDescent="0.35"/>
    <row r="81557" hidden="1" x14ac:dyDescent="0.35"/>
    <row r="81558" hidden="1" x14ac:dyDescent="0.35"/>
    <row r="81559" hidden="1" x14ac:dyDescent="0.35"/>
    <row r="81560" hidden="1" x14ac:dyDescent="0.35"/>
    <row r="81561" hidden="1" x14ac:dyDescent="0.35"/>
    <row r="81562" hidden="1" x14ac:dyDescent="0.35"/>
    <row r="81563" hidden="1" x14ac:dyDescent="0.35"/>
    <row r="81564" hidden="1" x14ac:dyDescent="0.35"/>
    <row r="81565" hidden="1" x14ac:dyDescent="0.35"/>
    <row r="81566" hidden="1" x14ac:dyDescent="0.35"/>
    <row r="81567" hidden="1" x14ac:dyDescent="0.35"/>
    <row r="81568" hidden="1" x14ac:dyDescent="0.35"/>
    <row r="81569" hidden="1" x14ac:dyDescent="0.35"/>
    <row r="81570" hidden="1" x14ac:dyDescent="0.35"/>
    <row r="81571" hidden="1" x14ac:dyDescent="0.35"/>
    <row r="81572" hidden="1" x14ac:dyDescent="0.35"/>
    <row r="81573" hidden="1" x14ac:dyDescent="0.35"/>
    <row r="81574" hidden="1" x14ac:dyDescent="0.35"/>
    <row r="81575" hidden="1" x14ac:dyDescent="0.35"/>
    <row r="81576" hidden="1" x14ac:dyDescent="0.35"/>
    <row r="81577" hidden="1" x14ac:dyDescent="0.35"/>
    <row r="81578" hidden="1" x14ac:dyDescent="0.35"/>
    <row r="81579" hidden="1" x14ac:dyDescent="0.35"/>
    <row r="81580" hidden="1" x14ac:dyDescent="0.35"/>
    <row r="81581" hidden="1" x14ac:dyDescent="0.35"/>
    <row r="81582" hidden="1" x14ac:dyDescent="0.35"/>
    <row r="81583" hidden="1" x14ac:dyDescent="0.35"/>
    <row r="81584" hidden="1" x14ac:dyDescent="0.35"/>
    <row r="81585" hidden="1" x14ac:dyDescent="0.35"/>
    <row r="81586" hidden="1" x14ac:dyDescent="0.35"/>
    <row r="81587" hidden="1" x14ac:dyDescent="0.35"/>
    <row r="81588" hidden="1" x14ac:dyDescent="0.35"/>
    <row r="81589" hidden="1" x14ac:dyDescent="0.35"/>
    <row r="81590" hidden="1" x14ac:dyDescent="0.35"/>
    <row r="81591" hidden="1" x14ac:dyDescent="0.35"/>
    <row r="81592" hidden="1" x14ac:dyDescent="0.35"/>
    <row r="81593" hidden="1" x14ac:dyDescent="0.35"/>
    <row r="81594" hidden="1" x14ac:dyDescent="0.35"/>
    <row r="81595" hidden="1" x14ac:dyDescent="0.35"/>
    <row r="81596" hidden="1" x14ac:dyDescent="0.35"/>
    <row r="81597" hidden="1" x14ac:dyDescent="0.35"/>
    <row r="81598" hidden="1" x14ac:dyDescent="0.35"/>
    <row r="81599" hidden="1" x14ac:dyDescent="0.35"/>
    <row r="81600" hidden="1" x14ac:dyDescent="0.35"/>
    <row r="81601" hidden="1" x14ac:dyDescent="0.35"/>
    <row r="81602" hidden="1" x14ac:dyDescent="0.35"/>
    <row r="81603" hidden="1" x14ac:dyDescent="0.35"/>
    <row r="81604" hidden="1" x14ac:dyDescent="0.35"/>
    <row r="81605" hidden="1" x14ac:dyDescent="0.35"/>
    <row r="81606" hidden="1" x14ac:dyDescent="0.35"/>
    <row r="81607" hidden="1" x14ac:dyDescent="0.35"/>
    <row r="81608" hidden="1" x14ac:dyDescent="0.35"/>
    <row r="81609" hidden="1" x14ac:dyDescent="0.35"/>
    <row r="81610" hidden="1" x14ac:dyDescent="0.35"/>
    <row r="81611" hidden="1" x14ac:dyDescent="0.35"/>
    <row r="81612" hidden="1" x14ac:dyDescent="0.35"/>
    <row r="81613" hidden="1" x14ac:dyDescent="0.35"/>
    <row r="81614" hidden="1" x14ac:dyDescent="0.35"/>
    <row r="81615" hidden="1" x14ac:dyDescent="0.35"/>
    <row r="81616" hidden="1" x14ac:dyDescent="0.35"/>
    <row r="81617" hidden="1" x14ac:dyDescent="0.35"/>
    <row r="81618" hidden="1" x14ac:dyDescent="0.35"/>
    <row r="81619" hidden="1" x14ac:dyDescent="0.35"/>
    <row r="81620" hidden="1" x14ac:dyDescent="0.35"/>
    <row r="81621" hidden="1" x14ac:dyDescent="0.35"/>
    <row r="81622" hidden="1" x14ac:dyDescent="0.35"/>
    <row r="81623" hidden="1" x14ac:dyDescent="0.35"/>
    <row r="81624" hidden="1" x14ac:dyDescent="0.35"/>
    <row r="81625" hidden="1" x14ac:dyDescent="0.35"/>
    <row r="81626" hidden="1" x14ac:dyDescent="0.35"/>
    <row r="81627" hidden="1" x14ac:dyDescent="0.35"/>
    <row r="81628" hidden="1" x14ac:dyDescent="0.35"/>
    <row r="81629" hidden="1" x14ac:dyDescent="0.35"/>
    <row r="81630" hidden="1" x14ac:dyDescent="0.35"/>
    <row r="81631" hidden="1" x14ac:dyDescent="0.35"/>
    <row r="81632" hidden="1" x14ac:dyDescent="0.35"/>
    <row r="81633" hidden="1" x14ac:dyDescent="0.35"/>
    <row r="81634" hidden="1" x14ac:dyDescent="0.35"/>
    <row r="81635" hidden="1" x14ac:dyDescent="0.35"/>
    <row r="81636" hidden="1" x14ac:dyDescent="0.35"/>
    <row r="81637" hidden="1" x14ac:dyDescent="0.35"/>
    <row r="81638" hidden="1" x14ac:dyDescent="0.35"/>
    <row r="81639" hidden="1" x14ac:dyDescent="0.35"/>
    <row r="81640" hidden="1" x14ac:dyDescent="0.35"/>
    <row r="81641" hidden="1" x14ac:dyDescent="0.35"/>
    <row r="81642" hidden="1" x14ac:dyDescent="0.35"/>
    <row r="81643" hidden="1" x14ac:dyDescent="0.35"/>
    <row r="81644" hidden="1" x14ac:dyDescent="0.35"/>
    <row r="81645" hidden="1" x14ac:dyDescent="0.35"/>
    <row r="81646" hidden="1" x14ac:dyDescent="0.35"/>
    <row r="81647" hidden="1" x14ac:dyDescent="0.35"/>
    <row r="81648" hidden="1" x14ac:dyDescent="0.35"/>
    <row r="81649" hidden="1" x14ac:dyDescent="0.35"/>
    <row r="81650" hidden="1" x14ac:dyDescent="0.35"/>
    <row r="81651" hidden="1" x14ac:dyDescent="0.35"/>
    <row r="81652" hidden="1" x14ac:dyDescent="0.35"/>
    <row r="81653" hidden="1" x14ac:dyDescent="0.35"/>
    <row r="81654" hidden="1" x14ac:dyDescent="0.35"/>
    <row r="81655" hidden="1" x14ac:dyDescent="0.35"/>
    <row r="81656" hidden="1" x14ac:dyDescent="0.35"/>
    <row r="81657" hidden="1" x14ac:dyDescent="0.35"/>
    <row r="81658" hidden="1" x14ac:dyDescent="0.35"/>
    <row r="81659" hidden="1" x14ac:dyDescent="0.35"/>
    <row r="81660" hidden="1" x14ac:dyDescent="0.35"/>
    <row r="81661" hidden="1" x14ac:dyDescent="0.35"/>
    <row r="81662" hidden="1" x14ac:dyDescent="0.35"/>
    <row r="81663" hidden="1" x14ac:dyDescent="0.35"/>
    <row r="81664" hidden="1" x14ac:dyDescent="0.35"/>
    <row r="81665" hidden="1" x14ac:dyDescent="0.35"/>
    <row r="81666" hidden="1" x14ac:dyDescent="0.35"/>
    <row r="81667" hidden="1" x14ac:dyDescent="0.35"/>
    <row r="81668" hidden="1" x14ac:dyDescent="0.35"/>
    <row r="81669" hidden="1" x14ac:dyDescent="0.35"/>
    <row r="81670" hidden="1" x14ac:dyDescent="0.35"/>
    <row r="81671" hidden="1" x14ac:dyDescent="0.35"/>
    <row r="81672" hidden="1" x14ac:dyDescent="0.35"/>
    <row r="81673" hidden="1" x14ac:dyDescent="0.35"/>
    <row r="81674" hidden="1" x14ac:dyDescent="0.35"/>
    <row r="81675" hidden="1" x14ac:dyDescent="0.35"/>
    <row r="81676" hidden="1" x14ac:dyDescent="0.35"/>
    <row r="81677" hidden="1" x14ac:dyDescent="0.35"/>
    <row r="81678" hidden="1" x14ac:dyDescent="0.35"/>
    <row r="81679" hidden="1" x14ac:dyDescent="0.35"/>
    <row r="81680" hidden="1" x14ac:dyDescent="0.35"/>
    <row r="81681" hidden="1" x14ac:dyDescent="0.35"/>
    <row r="81682" hidden="1" x14ac:dyDescent="0.35"/>
    <row r="81683" hidden="1" x14ac:dyDescent="0.35"/>
    <row r="81684" hidden="1" x14ac:dyDescent="0.35"/>
    <row r="81685" hidden="1" x14ac:dyDescent="0.35"/>
    <row r="81686" hidden="1" x14ac:dyDescent="0.35"/>
    <row r="81687" hidden="1" x14ac:dyDescent="0.35"/>
    <row r="81688" hidden="1" x14ac:dyDescent="0.35"/>
    <row r="81689" hidden="1" x14ac:dyDescent="0.35"/>
    <row r="81690" hidden="1" x14ac:dyDescent="0.35"/>
    <row r="81691" hidden="1" x14ac:dyDescent="0.35"/>
    <row r="81692" hidden="1" x14ac:dyDescent="0.35"/>
    <row r="81693" hidden="1" x14ac:dyDescent="0.35"/>
    <row r="81694" hidden="1" x14ac:dyDescent="0.35"/>
    <row r="81695" hidden="1" x14ac:dyDescent="0.35"/>
    <row r="81696" hidden="1" x14ac:dyDescent="0.35"/>
    <row r="81697" hidden="1" x14ac:dyDescent="0.35"/>
    <row r="81698" hidden="1" x14ac:dyDescent="0.35"/>
    <row r="81699" hidden="1" x14ac:dyDescent="0.35"/>
    <row r="81700" hidden="1" x14ac:dyDescent="0.35"/>
    <row r="81701" hidden="1" x14ac:dyDescent="0.35"/>
    <row r="81702" hidden="1" x14ac:dyDescent="0.35"/>
    <row r="81703" hidden="1" x14ac:dyDescent="0.35"/>
    <row r="81704" hidden="1" x14ac:dyDescent="0.35"/>
    <row r="81705" hidden="1" x14ac:dyDescent="0.35"/>
    <row r="81706" hidden="1" x14ac:dyDescent="0.35"/>
    <row r="81707" hidden="1" x14ac:dyDescent="0.35"/>
    <row r="81708" hidden="1" x14ac:dyDescent="0.35"/>
    <row r="81709" hidden="1" x14ac:dyDescent="0.35"/>
    <row r="81710" hidden="1" x14ac:dyDescent="0.35"/>
    <row r="81711" hidden="1" x14ac:dyDescent="0.35"/>
    <row r="81712" hidden="1" x14ac:dyDescent="0.35"/>
    <row r="81713" hidden="1" x14ac:dyDescent="0.35"/>
    <row r="81714" hidden="1" x14ac:dyDescent="0.35"/>
    <row r="81715" hidden="1" x14ac:dyDescent="0.35"/>
    <row r="81716" hidden="1" x14ac:dyDescent="0.35"/>
    <row r="81717" hidden="1" x14ac:dyDescent="0.35"/>
    <row r="81718" hidden="1" x14ac:dyDescent="0.35"/>
    <row r="81719" hidden="1" x14ac:dyDescent="0.35"/>
    <row r="81720" hidden="1" x14ac:dyDescent="0.35"/>
    <row r="81721" hidden="1" x14ac:dyDescent="0.35"/>
    <row r="81722" hidden="1" x14ac:dyDescent="0.35"/>
    <row r="81723" hidden="1" x14ac:dyDescent="0.35"/>
    <row r="81724" hidden="1" x14ac:dyDescent="0.35"/>
    <row r="81725" hidden="1" x14ac:dyDescent="0.35"/>
    <row r="81726" hidden="1" x14ac:dyDescent="0.35"/>
    <row r="81727" hidden="1" x14ac:dyDescent="0.35"/>
    <row r="81728" hidden="1" x14ac:dyDescent="0.35"/>
    <row r="81729" hidden="1" x14ac:dyDescent="0.35"/>
    <row r="81730" hidden="1" x14ac:dyDescent="0.35"/>
    <row r="81731" hidden="1" x14ac:dyDescent="0.35"/>
    <row r="81732" hidden="1" x14ac:dyDescent="0.35"/>
    <row r="81733" hidden="1" x14ac:dyDescent="0.35"/>
    <row r="81734" hidden="1" x14ac:dyDescent="0.35"/>
    <row r="81735" hidden="1" x14ac:dyDescent="0.35"/>
    <row r="81736" hidden="1" x14ac:dyDescent="0.35"/>
    <row r="81737" hidden="1" x14ac:dyDescent="0.35"/>
    <row r="81738" hidden="1" x14ac:dyDescent="0.35"/>
    <row r="81739" hidden="1" x14ac:dyDescent="0.35"/>
    <row r="81740" hidden="1" x14ac:dyDescent="0.35"/>
    <row r="81741" hidden="1" x14ac:dyDescent="0.35"/>
    <row r="81742" hidden="1" x14ac:dyDescent="0.35"/>
    <row r="81743" hidden="1" x14ac:dyDescent="0.35"/>
    <row r="81744" hidden="1" x14ac:dyDescent="0.35"/>
    <row r="81745" hidden="1" x14ac:dyDescent="0.35"/>
    <row r="81746" hidden="1" x14ac:dyDescent="0.35"/>
    <row r="81747" hidden="1" x14ac:dyDescent="0.35"/>
    <row r="81748" hidden="1" x14ac:dyDescent="0.35"/>
    <row r="81749" hidden="1" x14ac:dyDescent="0.35"/>
    <row r="81750" hidden="1" x14ac:dyDescent="0.35"/>
    <row r="81751" hidden="1" x14ac:dyDescent="0.35"/>
    <row r="81752" hidden="1" x14ac:dyDescent="0.35"/>
    <row r="81753" hidden="1" x14ac:dyDescent="0.35"/>
    <row r="81754" hidden="1" x14ac:dyDescent="0.35"/>
    <row r="81755" hidden="1" x14ac:dyDescent="0.35"/>
    <row r="81756" hidden="1" x14ac:dyDescent="0.35"/>
    <row r="81757" hidden="1" x14ac:dyDescent="0.35"/>
    <row r="81758" hidden="1" x14ac:dyDescent="0.35"/>
    <row r="81759" hidden="1" x14ac:dyDescent="0.35"/>
    <row r="81760" hidden="1" x14ac:dyDescent="0.35"/>
    <row r="81761" hidden="1" x14ac:dyDescent="0.35"/>
    <row r="81762" hidden="1" x14ac:dyDescent="0.35"/>
    <row r="81763" hidden="1" x14ac:dyDescent="0.35"/>
    <row r="81764" hidden="1" x14ac:dyDescent="0.35"/>
    <row r="81765" hidden="1" x14ac:dyDescent="0.35"/>
    <row r="81766" hidden="1" x14ac:dyDescent="0.35"/>
    <row r="81767" hidden="1" x14ac:dyDescent="0.35"/>
    <row r="81768" hidden="1" x14ac:dyDescent="0.35"/>
    <row r="81769" hidden="1" x14ac:dyDescent="0.35"/>
    <row r="81770" hidden="1" x14ac:dyDescent="0.35"/>
    <row r="81771" hidden="1" x14ac:dyDescent="0.35"/>
    <row r="81772" hidden="1" x14ac:dyDescent="0.35"/>
    <row r="81773" hidden="1" x14ac:dyDescent="0.35"/>
    <row r="81774" hidden="1" x14ac:dyDescent="0.35"/>
    <row r="81775" hidden="1" x14ac:dyDescent="0.35"/>
    <row r="81776" hidden="1" x14ac:dyDescent="0.35"/>
    <row r="81777" hidden="1" x14ac:dyDescent="0.35"/>
    <row r="81778" hidden="1" x14ac:dyDescent="0.35"/>
    <row r="81779" hidden="1" x14ac:dyDescent="0.35"/>
    <row r="81780" hidden="1" x14ac:dyDescent="0.35"/>
    <row r="81781" hidden="1" x14ac:dyDescent="0.35"/>
    <row r="81782" hidden="1" x14ac:dyDescent="0.35"/>
    <row r="81783" hidden="1" x14ac:dyDescent="0.35"/>
    <row r="81784" hidden="1" x14ac:dyDescent="0.35"/>
    <row r="81785" hidden="1" x14ac:dyDescent="0.35"/>
    <row r="81786" hidden="1" x14ac:dyDescent="0.35"/>
    <row r="81787" hidden="1" x14ac:dyDescent="0.35"/>
    <row r="81788" hidden="1" x14ac:dyDescent="0.35"/>
    <row r="81789" hidden="1" x14ac:dyDescent="0.35"/>
    <row r="81790" hidden="1" x14ac:dyDescent="0.35"/>
    <row r="81791" hidden="1" x14ac:dyDescent="0.35"/>
    <row r="81792" hidden="1" x14ac:dyDescent="0.35"/>
    <row r="81793" hidden="1" x14ac:dyDescent="0.35"/>
    <row r="81794" hidden="1" x14ac:dyDescent="0.35"/>
    <row r="81795" hidden="1" x14ac:dyDescent="0.35"/>
    <row r="81796" hidden="1" x14ac:dyDescent="0.35"/>
    <row r="81797" hidden="1" x14ac:dyDescent="0.35"/>
    <row r="81798" hidden="1" x14ac:dyDescent="0.35"/>
    <row r="81799" hidden="1" x14ac:dyDescent="0.35"/>
    <row r="81800" hidden="1" x14ac:dyDescent="0.35"/>
    <row r="81801" hidden="1" x14ac:dyDescent="0.35"/>
    <row r="81802" hidden="1" x14ac:dyDescent="0.35"/>
    <row r="81803" hidden="1" x14ac:dyDescent="0.35"/>
    <row r="81804" hidden="1" x14ac:dyDescent="0.35"/>
    <row r="81805" hidden="1" x14ac:dyDescent="0.35"/>
    <row r="81806" hidden="1" x14ac:dyDescent="0.35"/>
    <row r="81807" hidden="1" x14ac:dyDescent="0.35"/>
    <row r="81808" hidden="1" x14ac:dyDescent="0.35"/>
    <row r="81809" hidden="1" x14ac:dyDescent="0.35"/>
    <row r="81810" hidden="1" x14ac:dyDescent="0.35"/>
    <row r="81811" hidden="1" x14ac:dyDescent="0.35"/>
    <row r="81812" hidden="1" x14ac:dyDescent="0.35"/>
    <row r="81813" hidden="1" x14ac:dyDescent="0.35"/>
    <row r="81814" hidden="1" x14ac:dyDescent="0.35"/>
    <row r="81815" hidden="1" x14ac:dyDescent="0.35"/>
    <row r="81816" hidden="1" x14ac:dyDescent="0.35"/>
    <row r="81817" hidden="1" x14ac:dyDescent="0.35"/>
    <row r="81818" hidden="1" x14ac:dyDescent="0.35"/>
    <row r="81819" hidden="1" x14ac:dyDescent="0.35"/>
    <row r="81820" hidden="1" x14ac:dyDescent="0.35"/>
    <row r="81821" hidden="1" x14ac:dyDescent="0.35"/>
    <row r="81822" hidden="1" x14ac:dyDescent="0.35"/>
    <row r="81823" hidden="1" x14ac:dyDescent="0.35"/>
    <row r="81824" hidden="1" x14ac:dyDescent="0.35"/>
    <row r="81825" hidden="1" x14ac:dyDescent="0.35"/>
    <row r="81826" hidden="1" x14ac:dyDescent="0.35"/>
    <row r="81827" hidden="1" x14ac:dyDescent="0.35"/>
    <row r="81828" hidden="1" x14ac:dyDescent="0.35"/>
    <row r="81829" hidden="1" x14ac:dyDescent="0.35"/>
    <row r="81830" hidden="1" x14ac:dyDescent="0.35"/>
    <row r="81831" hidden="1" x14ac:dyDescent="0.35"/>
    <row r="81832" hidden="1" x14ac:dyDescent="0.35"/>
    <row r="81833" hidden="1" x14ac:dyDescent="0.35"/>
    <row r="81834" hidden="1" x14ac:dyDescent="0.35"/>
    <row r="81835" hidden="1" x14ac:dyDescent="0.35"/>
    <row r="81836" hidden="1" x14ac:dyDescent="0.35"/>
    <row r="81837" hidden="1" x14ac:dyDescent="0.35"/>
    <row r="81838" hidden="1" x14ac:dyDescent="0.35"/>
    <row r="81839" hidden="1" x14ac:dyDescent="0.35"/>
    <row r="81840" hidden="1" x14ac:dyDescent="0.35"/>
    <row r="81841" hidden="1" x14ac:dyDescent="0.35"/>
    <row r="81842" hidden="1" x14ac:dyDescent="0.35"/>
    <row r="81843" hidden="1" x14ac:dyDescent="0.35"/>
    <row r="81844" hidden="1" x14ac:dyDescent="0.35"/>
    <row r="81845" hidden="1" x14ac:dyDescent="0.35"/>
    <row r="81846" hidden="1" x14ac:dyDescent="0.35"/>
    <row r="81847" hidden="1" x14ac:dyDescent="0.35"/>
    <row r="81848" hidden="1" x14ac:dyDescent="0.35"/>
    <row r="81849" hidden="1" x14ac:dyDescent="0.35"/>
    <row r="81850" hidden="1" x14ac:dyDescent="0.35"/>
    <row r="81851" hidden="1" x14ac:dyDescent="0.35"/>
    <row r="81852" hidden="1" x14ac:dyDescent="0.35"/>
    <row r="81853" hidden="1" x14ac:dyDescent="0.35"/>
    <row r="81854" hidden="1" x14ac:dyDescent="0.35"/>
    <row r="81855" hidden="1" x14ac:dyDescent="0.35"/>
    <row r="81856" hidden="1" x14ac:dyDescent="0.35"/>
    <row r="81857" hidden="1" x14ac:dyDescent="0.35"/>
    <row r="81858" hidden="1" x14ac:dyDescent="0.35"/>
    <row r="81859" hidden="1" x14ac:dyDescent="0.35"/>
    <row r="81860" hidden="1" x14ac:dyDescent="0.35"/>
    <row r="81861" hidden="1" x14ac:dyDescent="0.35"/>
    <row r="81862" hidden="1" x14ac:dyDescent="0.35"/>
    <row r="81863" hidden="1" x14ac:dyDescent="0.35"/>
    <row r="81864" hidden="1" x14ac:dyDescent="0.35"/>
    <row r="81865" hidden="1" x14ac:dyDescent="0.35"/>
    <row r="81866" hidden="1" x14ac:dyDescent="0.35"/>
    <row r="81867" hidden="1" x14ac:dyDescent="0.35"/>
    <row r="81868" hidden="1" x14ac:dyDescent="0.35"/>
    <row r="81869" hidden="1" x14ac:dyDescent="0.35"/>
    <row r="81870" hidden="1" x14ac:dyDescent="0.35"/>
    <row r="81871" hidden="1" x14ac:dyDescent="0.35"/>
    <row r="81872" hidden="1" x14ac:dyDescent="0.35"/>
    <row r="81873" hidden="1" x14ac:dyDescent="0.35"/>
    <row r="81874" hidden="1" x14ac:dyDescent="0.35"/>
    <row r="81875" hidden="1" x14ac:dyDescent="0.35"/>
    <row r="81876" hidden="1" x14ac:dyDescent="0.35"/>
    <row r="81877" hidden="1" x14ac:dyDescent="0.35"/>
    <row r="81878" hidden="1" x14ac:dyDescent="0.35"/>
    <row r="81879" hidden="1" x14ac:dyDescent="0.35"/>
    <row r="81880" hidden="1" x14ac:dyDescent="0.35"/>
    <row r="81881" hidden="1" x14ac:dyDescent="0.35"/>
    <row r="81882" hidden="1" x14ac:dyDescent="0.35"/>
    <row r="81883" hidden="1" x14ac:dyDescent="0.35"/>
    <row r="81884" hidden="1" x14ac:dyDescent="0.35"/>
    <row r="81885" hidden="1" x14ac:dyDescent="0.35"/>
    <row r="81886" hidden="1" x14ac:dyDescent="0.35"/>
    <row r="81887" hidden="1" x14ac:dyDescent="0.35"/>
    <row r="81888" hidden="1" x14ac:dyDescent="0.35"/>
    <row r="81889" hidden="1" x14ac:dyDescent="0.35"/>
    <row r="81890" hidden="1" x14ac:dyDescent="0.35"/>
    <row r="81891" hidden="1" x14ac:dyDescent="0.35"/>
    <row r="81892" hidden="1" x14ac:dyDescent="0.35"/>
    <row r="81893" hidden="1" x14ac:dyDescent="0.35"/>
    <row r="81894" hidden="1" x14ac:dyDescent="0.35"/>
    <row r="81895" hidden="1" x14ac:dyDescent="0.35"/>
    <row r="81896" hidden="1" x14ac:dyDescent="0.35"/>
    <row r="81897" hidden="1" x14ac:dyDescent="0.35"/>
    <row r="81898" hidden="1" x14ac:dyDescent="0.35"/>
    <row r="81899" hidden="1" x14ac:dyDescent="0.35"/>
    <row r="81900" hidden="1" x14ac:dyDescent="0.35"/>
    <row r="81901" hidden="1" x14ac:dyDescent="0.35"/>
    <row r="81902" hidden="1" x14ac:dyDescent="0.35"/>
    <row r="81903" hidden="1" x14ac:dyDescent="0.35"/>
    <row r="81904" hidden="1" x14ac:dyDescent="0.35"/>
    <row r="81905" hidden="1" x14ac:dyDescent="0.35"/>
    <row r="81906" hidden="1" x14ac:dyDescent="0.35"/>
    <row r="81907" hidden="1" x14ac:dyDescent="0.35"/>
    <row r="81908" hidden="1" x14ac:dyDescent="0.35"/>
    <row r="81909" hidden="1" x14ac:dyDescent="0.35"/>
    <row r="81910" hidden="1" x14ac:dyDescent="0.35"/>
    <row r="81911" hidden="1" x14ac:dyDescent="0.35"/>
    <row r="81912" hidden="1" x14ac:dyDescent="0.35"/>
    <row r="81913" hidden="1" x14ac:dyDescent="0.35"/>
    <row r="81914" hidden="1" x14ac:dyDescent="0.35"/>
    <row r="81915" hidden="1" x14ac:dyDescent="0.35"/>
    <row r="81916" hidden="1" x14ac:dyDescent="0.35"/>
    <row r="81917" hidden="1" x14ac:dyDescent="0.35"/>
    <row r="81918" hidden="1" x14ac:dyDescent="0.35"/>
    <row r="81919" hidden="1" x14ac:dyDescent="0.35"/>
    <row r="81920" hidden="1" x14ac:dyDescent="0.35"/>
    <row r="81921" hidden="1" x14ac:dyDescent="0.35"/>
    <row r="81922" hidden="1" x14ac:dyDescent="0.35"/>
    <row r="81923" hidden="1" x14ac:dyDescent="0.35"/>
    <row r="81924" hidden="1" x14ac:dyDescent="0.35"/>
    <row r="81925" hidden="1" x14ac:dyDescent="0.35"/>
    <row r="81926" hidden="1" x14ac:dyDescent="0.35"/>
    <row r="81927" hidden="1" x14ac:dyDescent="0.35"/>
    <row r="81928" hidden="1" x14ac:dyDescent="0.35"/>
    <row r="81929" hidden="1" x14ac:dyDescent="0.35"/>
    <row r="81930" hidden="1" x14ac:dyDescent="0.35"/>
    <row r="81931" hidden="1" x14ac:dyDescent="0.35"/>
    <row r="81932" hidden="1" x14ac:dyDescent="0.35"/>
    <row r="81933" hidden="1" x14ac:dyDescent="0.35"/>
    <row r="81934" hidden="1" x14ac:dyDescent="0.35"/>
    <row r="81935" hidden="1" x14ac:dyDescent="0.35"/>
    <row r="81936" hidden="1" x14ac:dyDescent="0.35"/>
    <row r="81937" hidden="1" x14ac:dyDescent="0.35"/>
    <row r="81938" hidden="1" x14ac:dyDescent="0.35"/>
    <row r="81939" hidden="1" x14ac:dyDescent="0.35"/>
    <row r="81940" hidden="1" x14ac:dyDescent="0.35"/>
    <row r="81941" hidden="1" x14ac:dyDescent="0.35"/>
    <row r="81942" hidden="1" x14ac:dyDescent="0.35"/>
    <row r="81943" hidden="1" x14ac:dyDescent="0.35"/>
    <row r="81944" hidden="1" x14ac:dyDescent="0.35"/>
    <row r="81945" hidden="1" x14ac:dyDescent="0.35"/>
    <row r="81946" hidden="1" x14ac:dyDescent="0.35"/>
    <row r="81947" hidden="1" x14ac:dyDescent="0.35"/>
    <row r="81948" hidden="1" x14ac:dyDescent="0.35"/>
    <row r="81949" hidden="1" x14ac:dyDescent="0.35"/>
    <row r="81950" hidden="1" x14ac:dyDescent="0.35"/>
    <row r="81951" hidden="1" x14ac:dyDescent="0.35"/>
    <row r="81952" hidden="1" x14ac:dyDescent="0.35"/>
    <row r="81953" hidden="1" x14ac:dyDescent="0.35"/>
    <row r="81954" hidden="1" x14ac:dyDescent="0.35"/>
    <row r="81955" hidden="1" x14ac:dyDescent="0.35"/>
    <row r="81956" hidden="1" x14ac:dyDescent="0.35"/>
    <row r="81957" hidden="1" x14ac:dyDescent="0.35"/>
    <row r="81958" hidden="1" x14ac:dyDescent="0.35"/>
    <row r="81959" hidden="1" x14ac:dyDescent="0.35"/>
    <row r="81960" hidden="1" x14ac:dyDescent="0.35"/>
    <row r="81961" hidden="1" x14ac:dyDescent="0.35"/>
    <row r="81962" hidden="1" x14ac:dyDescent="0.35"/>
    <row r="81963" hidden="1" x14ac:dyDescent="0.35"/>
    <row r="81964" hidden="1" x14ac:dyDescent="0.35"/>
    <row r="81965" hidden="1" x14ac:dyDescent="0.35"/>
    <row r="81966" hidden="1" x14ac:dyDescent="0.35"/>
    <row r="81967" hidden="1" x14ac:dyDescent="0.35"/>
    <row r="81968" hidden="1" x14ac:dyDescent="0.35"/>
    <row r="81969" hidden="1" x14ac:dyDescent="0.35"/>
    <row r="81970" hidden="1" x14ac:dyDescent="0.35"/>
    <row r="81971" hidden="1" x14ac:dyDescent="0.35"/>
    <row r="81972" hidden="1" x14ac:dyDescent="0.35"/>
    <row r="81973" hidden="1" x14ac:dyDescent="0.35"/>
    <row r="81974" hidden="1" x14ac:dyDescent="0.35"/>
    <row r="81975" hidden="1" x14ac:dyDescent="0.35"/>
    <row r="81976" hidden="1" x14ac:dyDescent="0.35"/>
    <row r="81977" hidden="1" x14ac:dyDescent="0.35"/>
    <row r="81978" hidden="1" x14ac:dyDescent="0.35"/>
    <row r="81979" hidden="1" x14ac:dyDescent="0.35"/>
    <row r="81980" hidden="1" x14ac:dyDescent="0.35"/>
    <row r="81981" hidden="1" x14ac:dyDescent="0.35"/>
    <row r="81982" hidden="1" x14ac:dyDescent="0.35"/>
    <row r="81983" hidden="1" x14ac:dyDescent="0.35"/>
    <row r="81984" hidden="1" x14ac:dyDescent="0.35"/>
    <row r="81985" hidden="1" x14ac:dyDescent="0.35"/>
    <row r="81986" hidden="1" x14ac:dyDescent="0.35"/>
    <row r="81987" hidden="1" x14ac:dyDescent="0.35"/>
    <row r="81988" hidden="1" x14ac:dyDescent="0.35"/>
    <row r="81989" hidden="1" x14ac:dyDescent="0.35"/>
    <row r="81990" hidden="1" x14ac:dyDescent="0.35"/>
    <row r="81991" hidden="1" x14ac:dyDescent="0.35"/>
    <row r="81992" hidden="1" x14ac:dyDescent="0.35"/>
    <row r="81993" hidden="1" x14ac:dyDescent="0.35"/>
    <row r="81994" hidden="1" x14ac:dyDescent="0.35"/>
    <row r="81995" hidden="1" x14ac:dyDescent="0.35"/>
    <row r="81996" hidden="1" x14ac:dyDescent="0.35"/>
    <row r="81997" hidden="1" x14ac:dyDescent="0.35"/>
    <row r="81998" hidden="1" x14ac:dyDescent="0.35"/>
    <row r="81999" hidden="1" x14ac:dyDescent="0.35"/>
    <row r="82000" hidden="1" x14ac:dyDescent="0.35"/>
    <row r="82001" hidden="1" x14ac:dyDescent="0.35"/>
    <row r="82002" hidden="1" x14ac:dyDescent="0.35"/>
    <row r="82003" hidden="1" x14ac:dyDescent="0.35"/>
    <row r="82004" hidden="1" x14ac:dyDescent="0.35"/>
    <row r="82005" hidden="1" x14ac:dyDescent="0.35"/>
    <row r="82006" hidden="1" x14ac:dyDescent="0.35"/>
    <row r="82007" hidden="1" x14ac:dyDescent="0.35"/>
    <row r="82008" hidden="1" x14ac:dyDescent="0.35"/>
    <row r="82009" hidden="1" x14ac:dyDescent="0.35"/>
    <row r="82010" hidden="1" x14ac:dyDescent="0.35"/>
    <row r="82011" hidden="1" x14ac:dyDescent="0.35"/>
    <row r="82012" hidden="1" x14ac:dyDescent="0.35"/>
    <row r="82013" hidden="1" x14ac:dyDescent="0.35"/>
    <row r="82014" hidden="1" x14ac:dyDescent="0.35"/>
    <row r="82015" hidden="1" x14ac:dyDescent="0.35"/>
    <row r="82016" hidden="1" x14ac:dyDescent="0.35"/>
    <row r="82017" hidden="1" x14ac:dyDescent="0.35"/>
    <row r="82018" hidden="1" x14ac:dyDescent="0.35"/>
    <row r="82019" hidden="1" x14ac:dyDescent="0.35"/>
    <row r="82020" hidden="1" x14ac:dyDescent="0.35"/>
    <row r="82021" hidden="1" x14ac:dyDescent="0.35"/>
    <row r="82022" hidden="1" x14ac:dyDescent="0.35"/>
    <row r="82023" hidden="1" x14ac:dyDescent="0.35"/>
    <row r="82024" hidden="1" x14ac:dyDescent="0.35"/>
    <row r="82025" hidden="1" x14ac:dyDescent="0.35"/>
    <row r="82026" hidden="1" x14ac:dyDescent="0.35"/>
    <row r="82027" hidden="1" x14ac:dyDescent="0.35"/>
    <row r="82028" hidden="1" x14ac:dyDescent="0.35"/>
    <row r="82029" hidden="1" x14ac:dyDescent="0.35"/>
    <row r="82030" hidden="1" x14ac:dyDescent="0.35"/>
    <row r="82031" hidden="1" x14ac:dyDescent="0.35"/>
    <row r="82032" hidden="1" x14ac:dyDescent="0.35"/>
    <row r="82033" hidden="1" x14ac:dyDescent="0.35"/>
    <row r="82034" hidden="1" x14ac:dyDescent="0.35"/>
    <row r="82035" hidden="1" x14ac:dyDescent="0.35"/>
    <row r="82036" hidden="1" x14ac:dyDescent="0.35"/>
    <row r="82037" hidden="1" x14ac:dyDescent="0.35"/>
    <row r="82038" hidden="1" x14ac:dyDescent="0.35"/>
    <row r="82039" hidden="1" x14ac:dyDescent="0.35"/>
    <row r="82040" hidden="1" x14ac:dyDescent="0.35"/>
    <row r="82041" hidden="1" x14ac:dyDescent="0.35"/>
    <row r="82042" hidden="1" x14ac:dyDescent="0.35"/>
    <row r="82043" hidden="1" x14ac:dyDescent="0.35"/>
    <row r="82044" hidden="1" x14ac:dyDescent="0.35"/>
    <row r="82045" hidden="1" x14ac:dyDescent="0.35"/>
    <row r="82046" hidden="1" x14ac:dyDescent="0.35"/>
    <row r="82047" hidden="1" x14ac:dyDescent="0.35"/>
    <row r="82048" hidden="1" x14ac:dyDescent="0.35"/>
    <row r="82049" hidden="1" x14ac:dyDescent="0.35"/>
    <row r="82050" hidden="1" x14ac:dyDescent="0.35"/>
    <row r="82051" hidden="1" x14ac:dyDescent="0.35"/>
    <row r="82052" hidden="1" x14ac:dyDescent="0.35"/>
    <row r="82053" hidden="1" x14ac:dyDescent="0.35"/>
    <row r="82054" hidden="1" x14ac:dyDescent="0.35"/>
    <row r="82055" hidden="1" x14ac:dyDescent="0.35"/>
    <row r="82056" hidden="1" x14ac:dyDescent="0.35"/>
    <row r="82057" hidden="1" x14ac:dyDescent="0.35"/>
    <row r="82058" hidden="1" x14ac:dyDescent="0.35"/>
    <row r="82059" hidden="1" x14ac:dyDescent="0.35"/>
    <row r="82060" hidden="1" x14ac:dyDescent="0.35"/>
    <row r="82061" hidden="1" x14ac:dyDescent="0.35"/>
    <row r="82062" hidden="1" x14ac:dyDescent="0.35"/>
    <row r="82063" hidden="1" x14ac:dyDescent="0.35"/>
    <row r="82064" hidden="1" x14ac:dyDescent="0.35"/>
    <row r="82065" hidden="1" x14ac:dyDescent="0.35"/>
    <row r="82066" hidden="1" x14ac:dyDescent="0.35"/>
    <row r="82067" hidden="1" x14ac:dyDescent="0.35"/>
    <row r="82068" hidden="1" x14ac:dyDescent="0.35"/>
    <row r="82069" hidden="1" x14ac:dyDescent="0.35"/>
    <row r="82070" hidden="1" x14ac:dyDescent="0.35"/>
    <row r="82071" hidden="1" x14ac:dyDescent="0.35"/>
    <row r="82072" hidden="1" x14ac:dyDescent="0.35"/>
    <row r="82073" hidden="1" x14ac:dyDescent="0.35"/>
    <row r="82074" hidden="1" x14ac:dyDescent="0.35"/>
    <row r="82075" hidden="1" x14ac:dyDescent="0.35"/>
    <row r="82076" hidden="1" x14ac:dyDescent="0.35"/>
    <row r="82077" hidden="1" x14ac:dyDescent="0.35"/>
    <row r="82078" hidden="1" x14ac:dyDescent="0.35"/>
    <row r="82079" hidden="1" x14ac:dyDescent="0.35"/>
    <row r="82080" hidden="1" x14ac:dyDescent="0.35"/>
    <row r="82081" hidden="1" x14ac:dyDescent="0.35"/>
    <row r="82082" hidden="1" x14ac:dyDescent="0.35"/>
    <row r="82083" hidden="1" x14ac:dyDescent="0.35"/>
    <row r="82084" hidden="1" x14ac:dyDescent="0.35"/>
    <row r="82085" hidden="1" x14ac:dyDescent="0.35"/>
    <row r="82086" hidden="1" x14ac:dyDescent="0.35"/>
    <row r="82087" hidden="1" x14ac:dyDescent="0.35"/>
    <row r="82088" hidden="1" x14ac:dyDescent="0.35"/>
    <row r="82089" hidden="1" x14ac:dyDescent="0.35"/>
    <row r="82090" hidden="1" x14ac:dyDescent="0.35"/>
    <row r="82091" hidden="1" x14ac:dyDescent="0.35"/>
    <row r="82092" hidden="1" x14ac:dyDescent="0.35"/>
    <row r="82093" hidden="1" x14ac:dyDescent="0.35"/>
    <row r="82094" hidden="1" x14ac:dyDescent="0.35"/>
    <row r="82095" hidden="1" x14ac:dyDescent="0.35"/>
    <row r="82096" hidden="1" x14ac:dyDescent="0.35"/>
    <row r="82097" hidden="1" x14ac:dyDescent="0.35"/>
    <row r="82098" hidden="1" x14ac:dyDescent="0.35"/>
    <row r="82099" hidden="1" x14ac:dyDescent="0.35"/>
    <row r="82100" hidden="1" x14ac:dyDescent="0.35"/>
    <row r="82101" hidden="1" x14ac:dyDescent="0.35"/>
    <row r="82102" hidden="1" x14ac:dyDescent="0.35"/>
    <row r="82103" hidden="1" x14ac:dyDescent="0.35"/>
    <row r="82104" hidden="1" x14ac:dyDescent="0.35"/>
    <row r="82105" hidden="1" x14ac:dyDescent="0.35"/>
    <row r="82106" hidden="1" x14ac:dyDescent="0.35"/>
    <row r="82107" hidden="1" x14ac:dyDescent="0.35"/>
    <row r="82108" hidden="1" x14ac:dyDescent="0.35"/>
    <row r="82109" hidden="1" x14ac:dyDescent="0.35"/>
    <row r="82110" hidden="1" x14ac:dyDescent="0.35"/>
    <row r="82111" hidden="1" x14ac:dyDescent="0.35"/>
    <row r="82112" hidden="1" x14ac:dyDescent="0.35"/>
    <row r="82113" hidden="1" x14ac:dyDescent="0.35"/>
    <row r="82114" hidden="1" x14ac:dyDescent="0.35"/>
    <row r="82115" hidden="1" x14ac:dyDescent="0.35"/>
    <row r="82116" hidden="1" x14ac:dyDescent="0.35"/>
    <row r="82117" hidden="1" x14ac:dyDescent="0.35"/>
    <row r="82118" hidden="1" x14ac:dyDescent="0.35"/>
    <row r="82119" hidden="1" x14ac:dyDescent="0.35"/>
    <row r="82120" hidden="1" x14ac:dyDescent="0.35"/>
    <row r="82121" hidden="1" x14ac:dyDescent="0.35"/>
    <row r="82122" hidden="1" x14ac:dyDescent="0.35"/>
    <row r="82123" hidden="1" x14ac:dyDescent="0.35"/>
    <row r="82124" hidden="1" x14ac:dyDescent="0.35"/>
    <row r="82125" hidden="1" x14ac:dyDescent="0.35"/>
    <row r="82126" hidden="1" x14ac:dyDescent="0.35"/>
    <row r="82127" hidden="1" x14ac:dyDescent="0.35"/>
    <row r="82128" hidden="1" x14ac:dyDescent="0.35"/>
    <row r="82129" hidden="1" x14ac:dyDescent="0.35"/>
    <row r="82130" hidden="1" x14ac:dyDescent="0.35"/>
    <row r="82131" hidden="1" x14ac:dyDescent="0.35"/>
    <row r="82132" hidden="1" x14ac:dyDescent="0.35"/>
    <row r="82133" hidden="1" x14ac:dyDescent="0.35"/>
    <row r="82134" hidden="1" x14ac:dyDescent="0.35"/>
    <row r="82135" hidden="1" x14ac:dyDescent="0.35"/>
    <row r="82136" hidden="1" x14ac:dyDescent="0.35"/>
    <row r="82137" hidden="1" x14ac:dyDescent="0.35"/>
    <row r="82138" hidden="1" x14ac:dyDescent="0.35"/>
    <row r="82139" hidden="1" x14ac:dyDescent="0.35"/>
    <row r="82140" hidden="1" x14ac:dyDescent="0.35"/>
    <row r="82141" hidden="1" x14ac:dyDescent="0.35"/>
    <row r="82142" hidden="1" x14ac:dyDescent="0.35"/>
    <row r="82143" hidden="1" x14ac:dyDescent="0.35"/>
    <row r="82144" hidden="1" x14ac:dyDescent="0.35"/>
    <row r="82145" hidden="1" x14ac:dyDescent="0.35"/>
    <row r="82146" hidden="1" x14ac:dyDescent="0.35"/>
    <row r="82147" hidden="1" x14ac:dyDescent="0.35"/>
    <row r="82148" hidden="1" x14ac:dyDescent="0.35"/>
    <row r="82149" hidden="1" x14ac:dyDescent="0.35"/>
    <row r="82150" hidden="1" x14ac:dyDescent="0.35"/>
    <row r="82151" hidden="1" x14ac:dyDescent="0.35"/>
    <row r="82152" hidden="1" x14ac:dyDescent="0.35"/>
    <row r="82153" hidden="1" x14ac:dyDescent="0.35"/>
    <row r="82154" hidden="1" x14ac:dyDescent="0.35"/>
    <row r="82155" hidden="1" x14ac:dyDescent="0.35"/>
    <row r="82156" hidden="1" x14ac:dyDescent="0.35"/>
    <row r="82157" hidden="1" x14ac:dyDescent="0.35"/>
    <row r="82158" hidden="1" x14ac:dyDescent="0.35"/>
    <row r="82159" hidden="1" x14ac:dyDescent="0.35"/>
    <row r="82160" hidden="1" x14ac:dyDescent="0.35"/>
    <row r="82161" hidden="1" x14ac:dyDescent="0.35"/>
    <row r="82162" hidden="1" x14ac:dyDescent="0.35"/>
    <row r="82163" hidden="1" x14ac:dyDescent="0.35"/>
    <row r="82164" hidden="1" x14ac:dyDescent="0.35"/>
    <row r="82165" hidden="1" x14ac:dyDescent="0.35"/>
    <row r="82166" hidden="1" x14ac:dyDescent="0.35"/>
    <row r="82167" hidden="1" x14ac:dyDescent="0.35"/>
    <row r="82168" hidden="1" x14ac:dyDescent="0.35"/>
    <row r="82169" hidden="1" x14ac:dyDescent="0.35"/>
    <row r="82170" hidden="1" x14ac:dyDescent="0.35"/>
    <row r="82171" hidden="1" x14ac:dyDescent="0.35"/>
    <row r="82172" hidden="1" x14ac:dyDescent="0.35"/>
    <row r="82173" hidden="1" x14ac:dyDescent="0.35"/>
    <row r="82174" hidden="1" x14ac:dyDescent="0.35"/>
    <row r="82175" hidden="1" x14ac:dyDescent="0.35"/>
    <row r="82176" hidden="1" x14ac:dyDescent="0.35"/>
    <row r="82177" hidden="1" x14ac:dyDescent="0.35"/>
    <row r="82178" hidden="1" x14ac:dyDescent="0.35"/>
    <row r="82179" hidden="1" x14ac:dyDescent="0.35"/>
    <row r="82180" hidden="1" x14ac:dyDescent="0.35"/>
    <row r="82181" hidden="1" x14ac:dyDescent="0.35"/>
    <row r="82182" hidden="1" x14ac:dyDescent="0.35"/>
    <row r="82183" hidden="1" x14ac:dyDescent="0.35"/>
    <row r="82184" hidden="1" x14ac:dyDescent="0.35"/>
    <row r="82185" hidden="1" x14ac:dyDescent="0.35"/>
    <row r="82186" hidden="1" x14ac:dyDescent="0.35"/>
    <row r="82187" hidden="1" x14ac:dyDescent="0.35"/>
    <row r="82188" hidden="1" x14ac:dyDescent="0.35"/>
    <row r="82189" hidden="1" x14ac:dyDescent="0.35"/>
    <row r="82190" hidden="1" x14ac:dyDescent="0.35"/>
    <row r="82191" hidden="1" x14ac:dyDescent="0.35"/>
    <row r="82192" hidden="1" x14ac:dyDescent="0.35"/>
    <row r="82193" hidden="1" x14ac:dyDescent="0.35"/>
    <row r="82194" hidden="1" x14ac:dyDescent="0.35"/>
    <row r="82195" hidden="1" x14ac:dyDescent="0.35"/>
    <row r="82196" hidden="1" x14ac:dyDescent="0.35"/>
    <row r="82197" hidden="1" x14ac:dyDescent="0.35"/>
    <row r="82198" hidden="1" x14ac:dyDescent="0.35"/>
    <row r="82199" hidden="1" x14ac:dyDescent="0.35"/>
    <row r="82200" hidden="1" x14ac:dyDescent="0.35"/>
    <row r="82201" hidden="1" x14ac:dyDescent="0.35"/>
    <row r="82202" hidden="1" x14ac:dyDescent="0.35"/>
    <row r="82203" hidden="1" x14ac:dyDescent="0.35"/>
    <row r="82204" hidden="1" x14ac:dyDescent="0.35"/>
    <row r="82205" hidden="1" x14ac:dyDescent="0.35"/>
    <row r="82206" hidden="1" x14ac:dyDescent="0.35"/>
    <row r="82207" hidden="1" x14ac:dyDescent="0.35"/>
    <row r="82208" hidden="1" x14ac:dyDescent="0.35"/>
    <row r="82209" hidden="1" x14ac:dyDescent="0.35"/>
    <row r="82210" hidden="1" x14ac:dyDescent="0.35"/>
    <row r="82211" hidden="1" x14ac:dyDescent="0.35"/>
    <row r="82212" hidden="1" x14ac:dyDescent="0.35"/>
    <row r="82213" hidden="1" x14ac:dyDescent="0.35"/>
    <row r="82214" hidden="1" x14ac:dyDescent="0.35"/>
    <row r="82215" hidden="1" x14ac:dyDescent="0.35"/>
    <row r="82216" hidden="1" x14ac:dyDescent="0.35"/>
    <row r="82217" hidden="1" x14ac:dyDescent="0.35"/>
    <row r="82218" hidden="1" x14ac:dyDescent="0.35"/>
    <row r="82219" hidden="1" x14ac:dyDescent="0.35"/>
    <row r="82220" hidden="1" x14ac:dyDescent="0.35"/>
    <row r="82221" hidden="1" x14ac:dyDescent="0.35"/>
    <row r="82222" hidden="1" x14ac:dyDescent="0.35"/>
    <row r="82223" hidden="1" x14ac:dyDescent="0.35"/>
    <row r="82224" hidden="1" x14ac:dyDescent="0.35"/>
    <row r="82225" hidden="1" x14ac:dyDescent="0.35"/>
    <row r="82226" hidden="1" x14ac:dyDescent="0.35"/>
    <row r="82227" hidden="1" x14ac:dyDescent="0.35"/>
    <row r="82228" hidden="1" x14ac:dyDescent="0.35"/>
    <row r="82229" hidden="1" x14ac:dyDescent="0.35"/>
    <row r="82230" hidden="1" x14ac:dyDescent="0.35"/>
    <row r="82231" hidden="1" x14ac:dyDescent="0.35"/>
    <row r="82232" hidden="1" x14ac:dyDescent="0.35"/>
    <row r="82233" hidden="1" x14ac:dyDescent="0.35"/>
    <row r="82234" hidden="1" x14ac:dyDescent="0.35"/>
    <row r="82235" hidden="1" x14ac:dyDescent="0.35"/>
    <row r="82236" hidden="1" x14ac:dyDescent="0.35"/>
    <row r="82237" hidden="1" x14ac:dyDescent="0.35"/>
    <row r="82238" hidden="1" x14ac:dyDescent="0.35"/>
    <row r="82239" hidden="1" x14ac:dyDescent="0.35"/>
    <row r="82240" hidden="1" x14ac:dyDescent="0.35"/>
    <row r="82241" hidden="1" x14ac:dyDescent="0.35"/>
    <row r="82242" hidden="1" x14ac:dyDescent="0.35"/>
    <row r="82243" hidden="1" x14ac:dyDescent="0.35"/>
    <row r="82244" hidden="1" x14ac:dyDescent="0.35"/>
    <row r="82245" hidden="1" x14ac:dyDescent="0.35"/>
    <row r="82246" hidden="1" x14ac:dyDescent="0.35"/>
    <row r="82247" hidden="1" x14ac:dyDescent="0.35"/>
    <row r="82248" hidden="1" x14ac:dyDescent="0.35"/>
    <row r="82249" hidden="1" x14ac:dyDescent="0.35"/>
    <row r="82250" hidden="1" x14ac:dyDescent="0.35"/>
    <row r="82251" hidden="1" x14ac:dyDescent="0.35"/>
    <row r="82252" hidden="1" x14ac:dyDescent="0.35"/>
    <row r="82253" hidden="1" x14ac:dyDescent="0.35"/>
    <row r="82254" hidden="1" x14ac:dyDescent="0.35"/>
    <row r="82255" hidden="1" x14ac:dyDescent="0.35"/>
    <row r="82256" hidden="1" x14ac:dyDescent="0.35"/>
    <row r="82257" hidden="1" x14ac:dyDescent="0.35"/>
    <row r="82258" hidden="1" x14ac:dyDescent="0.35"/>
    <row r="82259" hidden="1" x14ac:dyDescent="0.35"/>
    <row r="82260" hidden="1" x14ac:dyDescent="0.35"/>
    <row r="82261" hidden="1" x14ac:dyDescent="0.35"/>
    <row r="82262" hidden="1" x14ac:dyDescent="0.35"/>
    <row r="82263" hidden="1" x14ac:dyDescent="0.35"/>
    <row r="82264" hidden="1" x14ac:dyDescent="0.35"/>
    <row r="82265" hidden="1" x14ac:dyDescent="0.35"/>
    <row r="82266" hidden="1" x14ac:dyDescent="0.35"/>
    <row r="82267" hidden="1" x14ac:dyDescent="0.35"/>
    <row r="82268" hidden="1" x14ac:dyDescent="0.35"/>
    <row r="82269" hidden="1" x14ac:dyDescent="0.35"/>
    <row r="82270" hidden="1" x14ac:dyDescent="0.35"/>
    <row r="82271" hidden="1" x14ac:dyDescent="0.35"/>
    <row r="82272" hidden="1" x14ac:dyDescent="0.35"/>
    <row r="82273" hidden="1" x14ac:dyDescent="0.35"/>
    <row r="82274" hidden="1" x14ac:dyDescent="0.35"/>
    <row r="82275" hidden="1" x14ac:dyDescent="0.35"/>
    <row r="82276" hidden="1" x14ac:dyDescent="0.35"/>
    <row r="82277" hidden="1" x14ac:dyDescent="0.35"/>
    <row r="82278" hidden="1" x14ac:dyDescent="0.35"/>
    <row r="82279" hidden="1" x14ac:dyDescent="0.35"/>
    <row r="82280" hidden="1" x14ac:dyDescent="0.35"/>
    <row r="82281" hidden="1" x14ac:dyDescent="0.35"/>
    <row r="82282" hidden="1" x14ac:dyDescent="0.35"/>
    <row r="82283" hidden="1" x14ac:dyDescent="0.35"/>
    <row r="82284" hidden="1" x14ac:dyDescent="0.35"/>
    <row r="82285" hidden="1" x14ac:dyDescent="0.35"/>
    <row r="82286" hidden="1" x14ac:dyDescent="0.35"/>
    <row r="82287" hidden="1" x14ac:dyDescent="0.35"/>
    <row r="82288" hidden="1" x14ac:dyDescent="0.35"/>
    <row r="82289" hidden="1" x14ac:dyDescent="0.35"/>
    <row r="82290" hidden="1" x14ac:dyDescent="0.35"/>
    <row r="82291" hidden="1" x14ac:dyDescent="0.35"/>
    <row r="82292" hidden="1" x14ac:dyDescent="0.35"/>
    <row r="82293" hidden="1" x14ac:dyDescent="0.35"/>
    <row r="82294" hidden="1" x14ac:dyDescent="0.35"/>
    <row r="82295" hidden="1" x14ac:dyDescent="0.35"/>
    <row r="82296" hidden="1" x14ac:dyDescent="0.35"/>
    <row r="82297" hidden="1" x14ac:dyDescent="0.35"/>
    <row r="82298" hidden="1" x14ac:dyDescent="0.35"/>
    <row r="82299" hidden="1" x14ac:dyDescent="0.35"/>
    <row r="82300" hidden="1" x14ac:dyDescent="0.35"/>
    <row r="82301" hidden="1" x14ac:dyDescent="0.35"/>
    <row r="82302" hidden="1" x14ac:dyDescent="0.35"/>
    <row r="82303" hidden="1" x14ac:dyDescent="0.35"/>
    <row r="82304" hidden="1" x14ac:dyDescent="0.35"/>
    <row r="82305" hidden="1" x14ac:dyDescent="0.35"/>
    <row r="82306" hidden="1" x14ac:dyDescent="0.35"/>
    <row r="82307" hidden="1" x14ac:dyDescent="0.35"/>
    <row r="82308" hidden="1" x14ac:dyDescent="0.35"/>
    <row r="82309" hidden="1" x14ac:dyDescent="0.35"/>
    <row r="82310" hidden="1" x14ac:dyDescent="0.35"/>
    <row r="82311" hidden="1" x14ac:dyDescent="0.35"/>
    <row r="82312" hidden="1" x14ac:dyDescent="0.35"/>
    <row r="82313" hidden="1" x14ac:dyDescent="0.35"/>
    <row r="82314" hidden="1" x14ac:dyDescent="0.35"/>
    <row r="82315" hidden="1" x14ac:dyDescent="0.35"/>
    <row r="82316" hidden="1" x14ac:dyDescent="0.35"/>
    <row r="82317" hidden="1" x14ac:dyDescent="0.35"/>
    <row r="82318" hidden="1" x14ac:dyDescent="0.35"/>
    <row r="82319" hidden="1" x14ac:dyDescent="0.35"/>
    <row r="82320" hidden="1" x14ac:dyDescent="0.35"/>
    <row r="82321" hidden="1" x14ac:dyDescent="0.35"/>
    <row r="82322" hidden="1" x14ac:dyDescent="0.35"/>
    <row r="82323" hidden="1" x14ac:dyDescent="0.35"/>
    <row r="82324" hidden="1" x14ac:dyDescent="0.35"/>
    <row r="82325" hidden="1" x14ac:dyDescent="0.35"/>
    <row r="82326" hidden="1" x14ac:dyDescent="0.35"/>
    <row r="82327" hidden="1" x14ac:dyDescent="0.35"/>
    <row r="82328" hidden="1" x14ac:dyDescent="0.35"/>
    <row r="82329" hidden="1" x14ac:dyDescent="0.35"/>
    <row r="82330" hidden="1" x14ac:dyDescent="0.35"/>
    <row r="82331" hidden="1" x14ac:dyDescent="0.35"/>
    <row r="82332" hidden="1" x14ac:dyDescent="0.35"/>
    <row r="82333" hidden="1" x14ac:dyDescent="0.35"/>
    <row r="82334" hidden="1" x14ac:dyDescent="0.35"/>
    <row r="82335" hidden="1" x14ac:dyDescent="0.35"/>
    <row r="82336" hidden="1" x14ac:dyDescent="0.35"/>
    <row r="82337" hidden="1" x14ac:dyDescent="0.35"/>
    <row r="82338" hidden="1" x14ac:dyDescent="0.35"/>
    <row r="82339" hidden="1" x14ac:dyDescent="0.35"/>
    <row r="82340" hidden="1" x14ac:dyDescent="0.35"/>
    <row r="82341" hidden="1" x14ac:dyDescent="0.35"/>
    <row r="82342" hidden="1" x14ac:dyDescent="0.35"/>
    <row r="82343" hidden="1" x14ac:dyDescent="0.35"/>
    <row r="82344" hidden="1" x14ac:dyDescent="0.35"/>
    <row r="82345" hidden="1" x14ac:dyDescent="0.35"/>
    <row r="82346" hidden="1" x14ac:dyDescent="0.35"/>
    <row r="82347" hidden="1" x14ac:dyDescent="0.35"/>
    <row r="82348" hidden="1" x14ac:dyDescent="0.35"/>
    <row r="82349" hidden="1" x14ac:dyDescent="0.35"/>
    <row r="82350" hidden="1" x14ac:dyDescent="0.35"/>
    <row r="82351" hidden="1" x14ac:dyDescent="0.35"/>
    <row r="82352" hidden="1" x14ac:dyDescent="0.35"/>
    <row r="82353" hidden="1" x14ac:dyDescent="0.35"/>
    <row r="82354" hidden="1" x14ac:dyDescent="0.35"/>
    <row r="82355" hidden="1" x14ac:dyDescent="0.35"/>
    <row r="82356" hidden="1" x14ac:dyDescent="0.35"/>
    <row r="82357" hidden="1" x14ac:dyDescent="0.35"/>
    <row r="82358" hidden="1" x14ac:dyDescent="0.35"/>
    <row r="82359" hidden="1" x14ac:dyDescent="0.35"/>
    <row r="82360" hidden="1" x14ac:dyDescent="0.35"/>
    <row r="82361" hidden="1" x14ac:dyDescent="0.35"/>
    <row r="82362" hidden="1" x14ac:dyDescent="0.35"/>
    <row r="82363" hidden="1" x14ac:dyDescent="0.35"/>
    <row r="82364" hidden="1" x14ac:dyDescent="0.35"/>
    <row r="82365" hidden="1" x14ac:dyDescent="0.35"/>
    <row r="82366" hidden="1" x14ac:dyDescent="0.35"/>
    <row r="82367" hidden="1" x14ac:dyDescent="0.35"/>
    <row r="82368" hidden="1" x14ac:dyDescent="0.35"/>
    <row r="82369" hidden="1" x14ac:dyDescent="0.35"/>
    <row r="82370" hidden="1" x14ac:dyDescent="0.35"/>
    <row r="82371" hidden="1" x14ac:dyDescent="0.35"/>
    <row r="82372" hidden="1" x14ac:dyDescent="0.35"/>
    <row r="82373" hidden="1" x14ac:dyDescent="0.35"/>
    <row r="82374" hidden="1" x14ac:dyDescent="0.35"/>
    <row r="82375" hidden="1" x14ac:dyDescent="0.35"/>
    <row r="82376" hidden="1" x14ac:dyDescent="0.35"/>
    <row r="82377" hidden="1" x14ac:dyDescent="0.35"/>
    <row r="82378" hidden="1" x14ac:dyDescent="0.35"/>
    <row r="82379" hidden="1" x14ac:dyDescent="0.35"/>
    <row r="82380" hidden="1" x14ac:dyDescent="0.35"/>
    <row r="82381" hidden="1" x14ac:dyDescent="0.35"/>
    <row r="82382" hidden="1" x14ac:dyDescent="0.35"/>
    <row r="82383" hidden="1" x14ac:dyDescent="0.35"/>
    <row r="82384" hidden="1" x14ac:dyDescent="0.35"/>
    <row r="82385" hidden="1" x14ac:dyDescent="0.35"/>
    <row r="82386" hidden="1" x14ac:dyDescent="0.35"/>
    <row r="82387" hidden="1" x14ac:dyDescent="0.35"/>
    <row r="82388" hidden="1" x14ac:dyDescent="0.35"/>
    <row r="82389" hidden="1" x14ac:dyDescent="0.35"/>
    <row r="82390" hidden="1" x14ac:dyDescent="0.35"/>
    <row r="82391" hidden="1" x14ac:dyDescent="0.35"/>
    <row r="82392" hidden="1" x14ac:dyDescent="0.35"/>
    <row r="82393" hidden="1" x14ac:dyDescent="0.35"/>
    <row r="82394" hidden="1" x14ac:dyDescent="0.35"/>
    <row r="82395" hidden="1" x14ac:dyDescent="0.35"/>
    <row r="82396" hidden="1" x14ac:dyDescent="0.35"/>
    <row r="82397" hidden="1" x14ac:dyDescent="0.35"/>
    <row r="82398" hidden="1" x14ac:dyDescent="0.35"/>
    <row r="82399" hidden="1" x14ac:dyDescent="0.35"/>
    <row r="82400" hidden="1" x14ac:dyDescent="0.35"/>
    <row r="82401" hidden="1" x14ac:dyDescent="0.35"/>
    <row r="82402" hidden="1" x14ac:dyDescent="0.35"/>
    <row r="82403" hidden="1" x14ac:dyDescent="0.35"/>
    <row r="82404" hidden="1" x14ac:dyDescent="0.35"/>
    <row r="82405" hidden="1" x14ac:dyDescent="0.35"/>
    <row r="82406" hidden="1" x14ac:dyDescent="0.35"/>
    <row r="82407" hidden="1" x14ac:dyDescent="0.35"/>
    <row r="82408" hidden="1" x14ac:dyDescent="0.35"/>
    <row r="82409" hidden="1" x14ac:dyDescent="0.35"/>
    <row r="82410" hidden="1" x14ac:dyDescent="0.35"/>
    <row r="82411" hidden="1" x14ac:dyDescent="0.35"/>
    <row r="82412" hidden="1" x14ac:dyDescent="0.35"/>
    <row r="82413" hidden="1" x14ac:dyDescent="0.35"/>
    <row r="82414" hidden="1" x14ac:dyDescent="0.35"/>
    <row r="82415" hidden="1" x14ac:dyDescent="0.35"/>
    <row r="82416" hidden="1" x14ac:dyDescent="0.35"/>
    <row r="82417" hidden="1" x14ac:dyDescent="0.35"/>
    <row r="82418" hidden="1" x14ac:dyDescent="0.35"/>
    <row r="82419" hidden="1" x14ac:dyDescent="0.35"/>
    <row r="82420" hidden="1" x14ac:dyDescent="0.35"/>
    <row r="82421" hidden="1" x14ac:dyDescent="0.35"/>
    <row r="82422" hidden="1" x14ac:dyDescent="0.35"/>
    <row r="82423" hidden="1" x14ac:dyDescent="0.35"/>
    <row r="82424" hidden="1" x14ac:dyDescent="0.35"/>
    <row r="82425" hidden="1" x14ac:dyDescent="0.35"/>
    <row r="82426" hidden="1" x14ac:dyDescent="0.35"/>
    <row r="82427" hidden="1" x14ac:dyDescent="0.35"/>
    <row r="82428" hidden="1" x14ac:dyDescent="0.35"/>
    <row r="82429" hidden="1" x14ac:dyDescent="0.35"/>
    <row r="82430" hidden="1" x14ac:dyDescent="0.35"/>
    <row r="82431" hidden="1" x14ac:dyDescent="0.35"/>
    <row r="82432" hidden="1" x14ac:dyDescent="0.35"/>
    <row r="82433" hidden="1" x14ac:dyDescent="0.35"/>
    <row r="82434" hidden="1" x14ac:dyDescent="0.35"/>
    <row r="82435" hidden="1" x14ac:dyDescent="0.35"/>
    <row r="82436" hidden="1" x14ac:dyDescent="0.35"/>
    <row r="82437" hidden="1" x14ac:dyDescent="0.35"/>
    <row r="82438" hidden="1" x14ac:dyDescent="0.35"/>
    <row r="82439" hidden="1" x14ac:dyDescent="0.35"/>
    <row r="82440" hidden="1" x14ac:dyDescent="0.35"/>
    <row r="82441" hidden="1" x14ac:dyDescent="0.35"/>
    <row r="82442" hidden="1" x14ac:dyDescent="0.35"/>
    <row r="82443" hidden="1" x14ac:dyDescent="0.35"/>
    <row r="82444" hidden="1" x14ac:dyDescent="0.35"/>
    <row r="82445" hidden="1" x14ac:dyDescent="0.35"/>
    <row r="82446" hidden="1" x14ac:dyDescent="0.35"/>
    <row r="82447" hidden="1" x14ac:dyDescent="0.35"/>
    <row r="82448" hidden="1" x14ac:dyDescent="0.35"/>
    <row r="82449" hidden="1" x14ac:dyDescent="0.35"/>
    <row r="82450" hidden="1" x14ac:dyDescent="0.35"/>
    <row r="82451" hidden="1" x14ac:dyDescent="0.35"/>
    <row r="82452" hidden="1" x14ac:dyDescent="0.35"/>
    <row r="82453" hidden="1" x14ac:dyDescent="0.35"/>
    <row r="82454" hidden="1" x14ac:dyDescent="0.35"/>
    <row r="82455" hidden="1" x14ac:dyDescent="0.35"/>
    <row r="82456" hidden="1" x14ac:dyDescent="0.35"/>
    <row r="82457" hidden="1" x14ac:dyDescent="0.35"/>
    <row r="82458" hidden="1" x14ac:dyDescent="0.35"/>
    <row r="82459" hidden="1" x14ac:dyDescent="0.35"/>
    <row r="82460" hidden="1" x14ac:dyDescent="0.35"/>
    <row r="82461" hidden="1" x14ac:dyDescent="0.35"/>
    <row r="82462" hidden="1" x14ac:dyDescent="0.35"/>
    <row r="82463" hidden="1" x14ac:dyDescent="0.35"/>
    <row r="82464" hidden="1" x14ac:dyDescent="0.35"/>
    <row r="82465" hidden="1" x14ac:dyDescent="0.35"/>
    <row r="82466" hidden="1" x14ac:dyDescent="0.35"/>
    <row r="82467" hidden="1" x14ac:dyDescent="0.35"/>
    <row r="82468" hidden="1" x14ac:dyDescent="0.35"/>
    <row r="82469" hidden="1" x14ac:dyDescent="0.35"/>
    <row r="82470" hidden="1" x14ac:dyDescent="0.35"/>
    <row r="82471" hidden="1" x14ac:dyDescent="0.35"/>
    <row r="82472" hidden="1" x14ac:dyDescent="0.35"/>
    <row r="82473" hidden="1" x14ac:dyDescent="0.35"/>
    <row r="82474" hidden="1" x14ac:dyDescent="0.35"/>
    <row r="82475" hidden="1" x14ac:dyDescent="0.35"/>
    <row r="82476" hidden="1" x14ac:dyDescent="0.35"/>
    <row r="82477" hidden="1" x14ac:dyDescent="0.35"/>
    <row r="82478" hidden="1" x14ac:dyDescent="0.35"/>
    <row r="82479" hidden="1" x14ac:dyDescent="0.35"/>
    <row r="82480" hidden="1" x14ac:dyDescent="0.35"/>
    <row r="82481" hidden="1" x14ac:dyDescent="0.35"/>
    <row r="82482" hidden="1" x14ac:dyDescent="0.35"/>
    <row r="82483" hidden="1" x14ac:dyDescent="0.35"/>
    <row r="82484" hidden="1" x14ac:dyDescent="0.35"/>
    <row r="82485" hidden="1" x14ac:dyDescent="0.35"/>
    <row r="82486" hidden="1" x14ac:dyDescent="0.35"/>
    <row r="82487" hidden="1" x14ac:dyDescent="0.35"/>
    <row r="82488" hidden="1" x14ac:dyDescent="0.35"/>
    <row r="82489" hidden="1" x14ac:dyDescent="0.35"/>
    <row r="82490" hidden="1" x14ac:dyDescent="0.35"/>
    <row r="82491" hidden="1" x14ac:dyDescent="0.35"/>
    <row r="82492" hidden="1" x14ac:dyDescent="0.35"/>
    <row r="82493" hidden="1" x14ac:dyDescent="0.35"/>
    <row r="82494" hidden="1" x14ac:dyDescent="0.35"/>
    <row r="82495" hidden="1" x14ac:dyDescent="0.35"/>
    <row r="82496" hidden="1" x14ac:dyDescent="0.35"/>
    <row r="82497" hidden="1" x14ac:dyDescent="0.35"/>
    <row r="82498" hidden="1" x14ac:dyDescent="0.35"/>
    <row r="82499" hidden="1" x14ac:dyDescent="0.35"/>
    <row r="82500" hidden="1" x14ac:dyDescent="0.35"/>
    <row r="82501" hidden="1" x14ac:dyDescent="0.35"/>
    <row r="82502" hidden="1" x14ac:dyDescent="0.35"/>
    <row r="82503" hidden="1" x14ac:dyDescent="0.35"/>
    <row r="82504" hidden="1" x14ac:dyDescent="0.35"/>
    <row r="82505" hidden="1" x14ac:dyDescent="0.35"/>
    <row r="82506" hidden="1" x14ac:dyDescent="0.35"/>
    <row r="82507" hidden="1" x14ac:dyDescent="0.35"/>
    <row r="82508" hidden="1" x14ac:dyDescent="0.35"/>
    <row r="82509" hidden="1" x14ac:dyDescent="0.35"/>
    <row r="82510" hidden="1" x14ac:dyDescent="0.35"/>
    <row r="82511" hidden="1" x14ac:dyDescent="0.35"/>
    <row r="82512" hidden="1" x14ac:dyDescent="0.35"/>
    <row r="82513" hidden="1" x14ac:dyDescent="0.35"/>
    <row r="82514" hidden="1" x14ac:dyDescent="0.35"/>
    <row r="82515" hidden="1" x14ac:dyDescent="0.35"/>
    <row r="82516" hidden="1" x14ac:dyDescent="0.35"/>
    <row r="82517" hidden="1" x14ac:dyDescent="0.35"/>
    <row r="82518" hidden="1" x14ac:dyDescent="0.35"/>
    <row r="82519" hidden="1" x14ac:dyDescent="0.35"/>
    <row r="82520" hidden="1" x14ac:dyDescent="0.35"/>
    <row r="82521" hidden="1" x14ac:dyDescent="0.35"/>
    <row r="82522" hidden="1" x14ac:dyDescent="0.35"/>
    <row r="82523" hidden="1" x14ac:dyDescent="0.35"/>
    <row r="82524" hidden="1" x14ac:dyDescent="0.35"/>
    <row r="82525" hidden="1" x14ac:dyDescent="0.35"/>
    <row r="82526" hidden="1" x14ac:dyDescent="0.35"/>
    <row r="82527" hidden="1" x14ac:dyDescent="0.35"/>
    <row r="82528" hidden="1" x14ac:dyDescent="0.35"/>
    <row r="82529" hidden="1" x14ac:dyDescent="0.35"/>
    <row r="82530" hidden="1" x14ac:dyDescent="0.35"/>
    <row r="82531" hidden="1" x14ac:dyDescent="0.35"/>
    <row r="82532" hidden="1" x14ac:dyDescent="0.35"/>
    <row r="82533" hidden="1" x14ac:dyDescent="0.35"/>
    <row r="82534" hidden="1" x14ac:dyDescent="0.35"/>
    <row r="82535" hidden="1" x14ac:dyDescent="0.35"/>
    <row r="82536" hidden="1" x14ac:dyDescent="0.35"/>
    <row r="82537" hidden="1" x14ac:dyDescent="0.35"/>
    <row r="82538" hidden="1" x14ac:dyDescent="0.35"/>
    <row r="82539" hidden="1" x14ac:dyDescent="0.35"/>
    <row r="82540" hidden="1" x14ac:dyDescent="0.35"/>
    <row r="82541" hidden="1" x14ac:dyDescent="0.35"/>
    <row r="82542" hidden="1" x14ac:dyDescent="0.35"/>
    <row r="82543" hidden="1" x14ac:dyDescent="0.35"/>
    <row r="82544" hidden="1" x14ac:dyDescent="0.35"/>
    <row r="82545" hidden="1" x14ac:dyDescent="0.35"/>
    <row r="82546" hidden="1" x14ac:dyDescent="0.35"/>
    <row r="82547" hidden="1" x14ac:dyDescent="0.35"/>
    <row r="82548" hidden="1" x14ac:dyDescent="0.35"/>
    <row r="82549" hidden="1" x14ac:dyDescent="0.35"/>
    <row r="82550" hidden="1" x14ac:dyDescent="0.35"/>
    <row r="82551" hidden="1" x14ac:dyDescent="0.35"/>
    <row r="82552" hidden="1" x14ac:dyDescent="0.35"/>
    <row r="82553" hidden="1" x14ac:dyDescent="0.35"/>
    <row r="82554" hidden="1" x14ac:dyDescent="0.35"/>
    <row r="82555" hidden="1" x14ac:dyDescent="0.35"/>
    <row r="82556" hidden="1" x14ac:dyDescent="0.35"/>
    <row r="82557" hidden="1" x14ac:dyDescent="0.35"/>
    <row r="82558" hidden="1" x14ac:dyDescent="0.35"/>
    <row r="82559" hidden="1" x14ac:dyDescent="0.35"/>
    <row r="82560" hidden="1" x14ac:dyDescent="0.35"/>
    <row r="82561" hidden="1" x14ac:dyDescent="0.35"/>
    <row r="82562" hidden="1" x14ac:dyDescent="0.35"/>
    <row r="82563" hidden="1" x14ac:dyDescent="0.35"/>
    <row r="82564" hidden="1" x14ac:dyDescent="0.35"/>
    <row r="82565" hidden="1" x14ac:dyDescent="0.35"/>
    <row r="82566" hidden="1" x14ac:dyDescent="0.35"/>
    <row r="82567" hidden="1" x14ac:dyDescent="0.35"/>
    <row r="82568" hidden="1" x14ac:dyDescent="0.35"/>
    <row r="82569" hidden="1" x14ac:dyDescent="0.35"/>
    <row r="82570" hidden="1" x14ac:dyDescent="0.35"/>
    <row r="82571" hidden="1" x14ac:dyDescent="0.35"/>
    <row r="82572" hidden="1" x14ac:dyDescent="0.35"/>
    <row r="82573" hidden="1" x14ac:dyDescent="0.35"/>
    <row r="82574" hidden="1" x14ac:dyDescent="0.35"/>
    <row r="82575" hidden="1" x14ac:dyDescent="0.35"/>
    <row r="82576" hidden="1" x14ac:dyDescent="0.35"/>
    <row r="82577" hidden="1" x14ac:dyDescent="0.35"/>
    <row r="82578" hidden="1" x14ac:dyDescent="0.35"/>
    <row r="82579" hidden="1" x14ac:dyDescent="0.35"/>
    <row r="82580" hidden="1" x14ac:dyDescent="0.35"/>
    <row r="82581" hidden="1" x14ac:dyDescent="0.35"/>
    <row r="82582" hidden="1" x14ac:dyDescent="0.35"/>
    <row r="82583" hidden="1" x14ac:dyDescent="0.35"/>
    <row r="82584" hidden="1" x14ac:dyDescent="0.35"/>
    <row r="82585" hidden="1" x14ac:dyDescent="0.35"/>
    <row r="82586" hidden="1" x14ac:dyDescent="0.35"/>
    <row r="82587" hidden="1" x14ac:dyDescent="0.35"/>
    <row r="82588" hidden="1" x14ac:dyDescent="0.35"/>
    <row r="82589" hidden="1" x14ac:dyDescent="0.35"/>
    <row r="82590" hidden="1" x14ac:dyDescent="0.35"/>
    <row r="82591" hidden="1" x14ac:dyDescent="0.35"/>
    <row r="82592" hidden="1" x14ac:dyDescent="0.35"/>
    <row r="82593" hidden="1" x14ac:dyDescent="0.35"/>
    <row r="82594" hidden="1" x14ac:dyDescent="0.35"/>
    <row r="82595" hidden="1" x14ac:dyDescent="0.35"/>
    <row r="82596" hidden="1" x14ac:dyDescent="0.35"/>
    <row r="82597" hidden="1" x14ac:dyDescent="0.35"/>
    <row r="82598" hidden="1" x14ac:dyDescent="0.35"/>
    <row r="82599" hidden="1" x14ac:dyDescent="0.35"/>
    <row r="82600" hidden="1" x14ac:dyDescent="0.35"/>
    <row r="82601" hidden="1" x14ac:dyDescent="0.35"/>
    <row r="82602" hidden="1" x14ac:dyDescent="0.35"/>
    <row r="82603" hidden="1" x14ac:dyDescent="0.35"/>
    <row r="82604" hidden="1" x14ac:dyDescent="0.35"/>
    <row r="82605" hidden="1" x14ac:dyDescent="0.35"/>
    <row r="82606" hidden="1" x14ac:dyDescent="0.35"/>
    <row r="82607" hidden="1" x14ac:dyDescent="0.35"/>
    <row r="82608" hidden="1" x14ac:dyDescent="0.35"/>
    <row r="82609" hidden="1" x14ac:dyDescent="0.35"/>
    <row r="82610" hidden="1" x14ac:dyDescent="0.35"/>
    <row r="82611" hidden="1" x14ac:dyDescent="0.35"/>
    <row r="82612" hidden="1" x14ac:dyDescent="0.35"/>
    <row r="82613" hidden="1" x14ac:dyDescent="0.35"/>
    <row r="82614" hidden="1" x14ac:dyDescent="0.35"/>
    <row r="82615" hidden="1" x14ac:dyDescent="0.35"/>
    <row r="82616" hidden="1" x14ac:dyDescent="0.35"/>
    <row r="82617" hidden="1" x14ac:dyDescent="0.35"/>
    <row r="82618" hidden="1" x14ac:dyDescent="0.35"/>
    <row r="82619" hidden="1" x14ac:dyDescent="0.35"/>
    <row r="82620" hidden="1" x14ac:dyDescent="0.35"/>
    <row r="82621" hidden="1" x14ac:dyDescent="0.35"/>
    <row r="82622" hidden="1" x14ac:dyDescent="0.35"/>
    <row r="82623" hidden="1" x14ac:dyDescent="0.35"/>
    <row r="82624" hidden="1" x14ac:dyDescent="0.35"/>
    <row r="82625" hidden="1" x14ac:dyDescent="0.35"/>
    <row r="82626" hidden="1" x14ac:dyDescent="0.35"/>
    <row r="82627" hidden="1" x14ac:dyDescent="0.35"/>
    <row r="82628" hidden="1" x14ac:dyDescent="0.35"/>
    <row r="82629" hidden="1" x14ac:dyDescent="0.35"/>
    <row r="82630" hidden="1" x14ac:dyDescent="0.35"/>
    <row r="82631" hidden="1" x14ac:dyDescent="0.35"/>
    <row r="82632" hidden="1" x14ac:dyDescent="0.35"/>
    <row r="82633" hidden="1" x14ac:dyDescent="0.35"/>
    <row r="82634" hidden="1" x14ac:dyDescent="0.35"/>
    <row r="82635" hidden="1" x14ac:dyDescent="0.35"/>
    <row r="82636" hidden="1" x14ac:dyDescent="0.35"/>
    <row r="82637" hidden="1" x14ac:dyDescent="0.35"/>
    <row r="82638" hidden="1" x14ac:dyDescent="0.35"/>
    <row r="82639" hidden="1" x14ac:dyDescent="0.35"/>
    <row r="82640" hidden="1" x14ac:dyDescent="0.35"/>
    <row r="82641" hidden="1" x14ac:dyDescent="0.35"/>
    <row r="82642" hidden="1" x14ac:dyDescent="0.35"/>
    <row r="82643" hidden="1" x14ac:dyDescent="0.35"/>
    <row r="82644" hidden="1" x14ac:dyDescent="0.35"/>
    <row r="82645" hidden="1" x14ac:dyDescent="0.35"/>
    <row r="82646" hidden="1" x14ac:dyDescent="0.35"/>
    <row r="82647" hidden="1" x14ac:dyDescent="0.35"/>
    <row r="82648" hidden="1" x14ac:dyDescent="0.35"/>
    <row r="82649" hidden="1" x14ac:dyDescent="0.35"/>
    <row r="82650" hidden="1" x14ac:dyDescent="0.35"/>
    <row r="82651" hidden="1" x14ac:dyDescent="0.35"/>
    <row r="82652" hidden="1" x14ac:dyDescent="0.35"/>
    <row r="82653" hidden="1" x14ac:dyDescent="0.35"/>
    <row r="82654" hidden="1" x14ac:dyDescent="0.35"/>
    <row r="82655" hidden="1" x14ac:dyDescent="0.35"/>
    <row r="82656" hidden="1" x14ac:dyDescent="0.35"/>
    <row r="82657" hidden="1" x14ac:dyDescent="0.35"/>
    <row r="82658" hidden="1" x14ac:dyDescent="0.35"/>
    <row r="82659" hidden="1" x14ac:dyDescent="0.35"/>
    <row r="82660" hidden="1" x14ac:dyDescent="0.35"/>
    <row r="82661" hidden="1" x14ac:dyDescent="0.35"/>
    <row r="82662" hidden="1" x14ac:dyDescent="0.35"/>
    <row r="82663" hidden="1" x14ac:dyDescent="0.35"/>
    <row r="82664" hidden="1" x14ac:dyDescent="0.35"/>
    <row r="82665" hidden="1" x14ac:dyDescent="0.35"/>
    <row r="82666" hidden="1" x14ac:dyDescent="0.35"/>
    <row r="82667" hidden="1" x14ac:dyDescent="0.35"/>
    <row r="82668" hidden="1" x14ac:dyDescent="0.35"/>
    <row r="82669" hidden="1" x14ac:dyDescent="0.35"/>
    <row r="82670" hidden="1" x14ac:dyDescent="0.35"/>
    <row r="82671" hidden="1" x14ac:dyDescent="0.35"/>
    <row r="82672" hidden="1" x14ac:dyDescent="0.35"/>
    <row r="82673" hidden="1" x14ac:dyDescent="0.35"/>
    <row r="82674" hidden="1" x14ac:dyDescent="0.35"/>
    <row r="82675" hidden="1" x14ac:dyDescent="0.35"/>
    <row r="82676" hidden="1" x14ac:dyDescent="0.35"/>
    <row r="82677" hidden="1" x14ac:dyDescent="0.35"/>
    <row r="82678" hidden="1" x14ac:dyDescent="0.35"/>
    <row r="82679" hidden="1" x14ac:dyDescent="0.35"/>
    <row r="82680" hidden="1" x14ac:dyDescent="0.35"/>
    <row r="82681" hidden="1" x14ac:dyDescent="0.35"/>
    <row r="82682" hidden="1" x14ac:dyDescent="0.35"/>
    <row r="82683" hidden="1" x14ac:dyDescent="0.35"/>
    <row r="82684" hidden="1" x14ac:dyDescent="0.35"/>
    <row r="82685" hidden="1" x14ac:dyDescent="0.35"/>
    <row r="82686" hidden="1" x14ac:dyDescent="0.35"/>
    <row r="82687" hidden="1" x14ac:dyDescent="0.35"/>
    <row r="82688" hidden="1" x14ac:dyDescent="0.35"/>
    <row r="82689" hidden="1" x14ac:dyDescent="0.35"/>
    <row r="82690" hidden="1" x14ac:dyDescent="0.35"/>
    <row r="82691" hidden="1" x14ac:dyDescent="0.35"/>
    <row r="82692" hidden="1" x14ac:dyDescent="0.35"/>
    <row r="82693" hidden="1" x14ac:dyDescent="0.35"/>
    <row r="82694" hidden="1" x14ac:dyDescent="0.35"/>
    <row r="82695" hidden="1" x14ac:dyDescent="0.35"/>
    <row r="82696" hidden="1" x14ac:dyDescent="0.35"/>
    <row r="82697" hidden="1" x14ac:dyDescent="0.35"/>
    <row r="82698" hidden="1" x14ac:dyDescent="0.35"/>
    <row r="82699" hidden="1" x14ac:dyDescent="0.35"/>
    <row r="82700" hidden="1" x14ac:dyDescent="0.35"/>
    <row r="82701" hidden="1" x14ac:dyDescent="0.35"/>
    <row r="82702" hidden="1" x14ac:dyDescent="0.35"/>
    <row r="82703" hidden="1" x14ac:dyDescent="0.35"/>
    <row r="82704" hidden="1" x14ac:dyDescent="0.35"/>
    <row r="82705" hidden="1" x14ac:dyDescent="0.35"/>
    <row r="82706" hidden="1" x14ac:dyDescent="0.35"/>
    <row r="82707" hidden="1" x14ac:dyDescent="0.35"/>
    <row r="82708" hidden="1" x14ac:dyDescent="0.35"/>
    <row r="82709" hidden="1" x14ac:dyDescent="0.35"/>
    <row r="82710" hidden="1" x14ac:dyDescent="0.35"/>
    <row r="82711" hidden="1" x14ac:dyDescent="0.35"/>
    <row r="82712" hidden="1" x14ac:dyDescent="0.35"/>
    <row r="82713" hidden="1" x14ac:dyDescent="0.35"/>
    <row r="82714" hidden="1" x14ac:dyDescent="0.35"/>
    <row r="82715" hidden="1" x14ac:dyDescent="0.35"/>
    <row r="82716" hidden="1" x14ac:dyDescent="0.35"/>
    <row r="82717" hidden="1" x14ac:dyDescent="0.35"/>
    <row r="82718" hidden="1" x14ac:dyDescent="0.35"/>
    <row r="82719" hidden="1" x14ac:dyDescent="0.35"/>
    <row r="82720" hidden="1" x14ac:dyDescent="0.35"/>
    <row r="82721" hidden="1" x14ac:dyDescent="0.35"/>
    <row r="82722" hidden="1" x14ac:dyDescent="0.35"/>
    <row r="82723" hidden="1" x14ac:dyDescent="0.35"/>
    <row r="82724" hidden="1" x14ac:dyDescent="0.35"/>
    <row r="82725" hidden="1" x14ac:dyDescent="0.35"/>
    <row r="82726" hidden="1" x14ac:dyDescent="0.35"/>
    <row r="82727" hidden="1" x14ac:dyDescent="0.35"/>
    <row r="82728" hidden="1" x14ac:dyDescent="0.35"/>
    <row r="82729" hidden="1" x14ac:dyDescent="0.35"/>
    <row r="82730" hidden="1" x14ac:dyDescent="0.35"/>
    <row r="82731" hidden="1" x14ac:dyDescent="0.35"/>
    <row r="82732" hidden="1" x14ac:dyDescent="0.35"/>
    <row r="82733" hidden="1" x14ac:dyDescent="0.35"/>
    <row r="82734" hidden="1" x14ac:dyDescent="0.35"/>
    <row r="82735" hidden="1" x14ac:dyDescent="0.35"/>
    <row r="82736" hidden="1" x14ac:dyDescent="0.35"/>
    <row r="82737" hidden="1" x14ac:dyDescent="0.35"/>
    <row r="82738" hidden="1" x14ac:dyDescent="0.35"/>
    <row r="82739" hidden="1" x14ac:dyDescent="0.35"/>
    <row r="82740" hidden="1" x14ac:dyDescent="0.35"/>
    <row r="82741" hidden="1" x14ac:dyDescent="0.35"/>
    <row r="82742" hidden="1" x14ac:dyDescent="0.35"/>
    <row r="82743" hidden="1" x14ac:dyDescent="0.35"/>
    <row r="82744" hidden="1" x14ac:dyDescent="0.35"/>
    <row r="82745" hidden="1" x14ac:dyDescent="0.35"/>
    <row r="82746" hidden="1" x14ac:dyDescent="0.35"/>
    <row r="82747" hidden="1" x14ac:dyDescent="0.35"/>
    <row r="82748" hidden="1" x14ac:dyDescent="0.35"/>
    <row r="82749" hidden="1" x14ac:dyDescent="0.35"/>
    <row r="82750" hidden="1" x14ac:dyDescent="0.35"/>
    <row r="82751" hidden="1" x14ac:dyDescent="0.35"/>
    <row r="82752" hidden="1" x14ac:dyDescent="0.35"/>
    <row r="82753" hidden="1" x14ac:dyDescent="0.35"/>
    <row r="82754" hidden="1" x14ac:dyDescent="0.35"/>
    <row r="82755" hidden="1" x14ac:dyDescent="0.35"/>
    <row r="82756" hidden="1" x14ac:dyDescent="0.35"/>
    <row r="82757" hidden="1" x14ac:dyDescent="0.35"/>
    <row r="82758" hidden="1" x14ac:dyDescent="0.35"/>
    <row r="82759" hidden="1" x14ac:dyDescent="0.35"/>
    <row r="82760" hidden="1" x14ac:dyDescent="0.35"/>
    <row r="82761" hidden="1" x14ac:dyDescent="0.35"/>
    <row r="82762" hidden="1" x14ac:dyDescent="0.35"/>
    <row r="82763" hidden="1" x14ac:dyDescent="0.35"/>
    <row r="82764" hidden="1" x14ac:dyDescent="0.35"/>
    <row r="82765" hidden="1" x14ac:dyDescent="0.35"/>
    <row r="82766" hidden="1" x14ac:dyDescent="0.35"/>
    <row r="82767" hidden="1" x14ac:dyDescent="0.35"/>
    <row r="82768" hidden="1" x14ac:dyDescent="0.35"/>
    <row r="82769" hidden="1" x14ac:dyDescent="0.35"/>
    <row r="82770" hidden="1" x14ac:dyDescent="0.35"/>
    <row r="82771" hidden="1" x14ac:dyDescent="0.35"/>
    <row r="82772" hidden="1" x14ac:dyDescent="0.35"/>
    <row r="82773" hidden="1" x14ac:dyDescent="0.35"/>
    <row r="82774" hidden="1" x14ac:dyDescent="0.35"/>
    <row r="82775" hidden="1" x14ac:dyDescent="0.35"/>
    <row r="82776" hidden="1" x14ac:dyDescent="0.35"/>
    <row r="82777" hidden="1" x14ac:dyDescent="0.35"/>
    <row r="82778" hidden="1" x14ac:dyDescent="0.35"/>
    <row r="82779" hidden="1" x14ac:dyDescent="0.35"/>
    <row r="82780" hidden="1" x14ac:dyDescent="0.35"/>
    <row r="82781" hidden="1" x14ac:dyDescent="0.35"/>
    <row r="82782" hidden="1" x14ac:dyDescent="0.35"/>
    <row r="82783" hidden="1" x14ac:dyDescent="0.35"/>
    <row r="82784" hidden="1" x14ac:dyDescent="0.35"/>
    <row r="82785" hidden="1" x14ac:dyDescent="0.35"/>
    <row r="82786" hidden="1" x14ac:dyDescent="0.35"/>
    <row r="82787" hidden="1" x14ac:dyDescent="0.35"/>
    <row r="82788" hidden="1" x14ac:dyDescent="0.35"/>
    <row r="82789" hidden="1" x14ac:dyDescent="0.35"/>
    <row r="82790" hidden="1" x14ac:dyDescent="0.35"/>
    <row r="82791" hidden="1" x14ac:dyDescent="0.35"/>
    <row r="82792" hidden="1" x14ac:dyDescent="0.35"/>
    <row r="82793" hidden="1" x14ac:dyDescent="0.35"/>
    <row r="82794" hidden="1" x14ac:dyDescent="0.35"/>
    <row r="82795" hidden="1" x14ac:dyDescent="0.35"/>
    <row r="82796" hidden="1" x14ac:dyDescent="0.35"/>
    <row r="82797" hidden="1" x14ac:dyDescent="0.35"/>
    <row r="82798" hidden="1" x14ac:dyDescent="0.35"/>
    <row r="82799" hidden="1" x14ac:dyDescent="0.35"/>
    <row r="82800" hidden="1" x14ac:dyDescent="0.35"/>
    <row r="82801" hidden="1" x14ac:dyDescent="0.35"/>
    <row r="82802" hidden="1" x14ac:dyDescent="0.35"/>
    <row r="82803" hidden="1" x14ac:dyDescent="0.35"/>
    <row r="82804" hidden="1" x14ac:dyDescent="0.35"/>
    <row r="82805" hidden="1" x14ac:dyDescent="0.35"/>
    <row r="82806" hidden="1" x14ac:dyDescent="0.35"/>
    <row r="82807" hidden="1" x14ac:dyDescent="0.35"/>
    <row r="82808" hidden="1" x14ac:dyDescent="0.35"/>
    <row r="82809" hidden="1" x14ac:dyDescent="0.35"/>
    <row r="82810" hidden="1" x14ac:dyDescent="0.35"/>
    <row r="82811" hidden="1" x14ac:dyDescent="0.35"/>
    <row r="82812" hidden="1" x14ac:dyDescent="0.35"/>
    <row r="82813" hidden="1" x14ac:dyDescent="0.35"/>
    <row r="82814" hidden="1" x14ac:dyDescent="0.35"/>
    <row r="82815" hidden="1" x14ac:dyDescent="0.35"/>
    <row r="82816" hidden="1" x14ac:dyDescent="0.35"/>
    <row r="82817" hidden="1" x14ac:dyDescent="0.35"/>
    <row r="82818" hidden="1" x14ac:dyDescent="0.35"/>
    <row r="82819" hidden="1" x14ac:dyDescent="0.35"/>
    <row r="82820" hidden="1" x14ac:dyDescent="0.35"/>
    <row r="82821" hidden="1" x14ac:dyDescent="0.35"/>
    <row r="82822" hidden="1" x14ac:dyDescent="0.35"/>
    <row r="82823" hidden="1" x14ac:dyDescent="0.35"/>
    <row r="82824" hidden="1" x14ac:dyDescent="0.35"/>
    <row r="82825" hidden="1" x14ac:dyDescent="0.35"/>
    <row r="82826" hidden="1" x14ac:dyDescent="0.35"/>
    <row r="82827" hidden="1" x14ac:dyDescent="0.35"/>
    <row r="82828" hidden="1" x14ac:dyDescent="0.35"/>
    <row r="82829" hidden="1" x14ac:dyDescent="0.35"/>
    <row r="82830" hidden="1" x14ac:dyDescent="0.35"/>
    <row r="82831" hidden="1" x14ac:dyDescent="0.35"/>
    <row r="82832" hidden="1" x14ac:dyDescent="0.35"/>
    <row r="82833" hidden="1" x14ac:dyDescent="0.35"/>
    <row r="82834" hidden="1" x14ac:dyDescent="0.35"/>
    <row r="82835" hidden="1" x14ac:dyDescent="0.35"/>
    <row r="82836" hidden="1" x14ac:dyDescent="0.35"/>
    <row r="82837" hidden="1" x14ac:dyDescent="0.35"/>
    <row r="82838" hidden="1" x14ac:dyDescent="0.35"/>
    <row r="82839" hidden="1" x14ac:dyDescent="0.35"/>
    <row r="82840" hidden="1" x14ac:dyDescent="0.35"/>
    <row r="82841" hidden="1" x14ac:dyDescent="0.35"/>
    <row r="82842" hidden="1" x14ac:dyDescent="0.35"/>
    <row r="82843" hidden="1" x14ac:dyDescent="0.35"/>
    <row r="82844" hidden="1" x14ac:dyDescent="0.35"/>
    <row r="82845" hidden="1" x14ac:dyDescent="0.35"/>
    <row r="82846" hidden="1" x14ac:dyDescent="0.35"/>
    <row r="82847" hidden="1" x14ac:dyDescent="0.35"/>
    <row r="82848" hidden="1" x14ac:dyDescent="0.35"/>
    <row r="82849" hidden="1" x14ac:dyDescent="0.35"/>
    <row r="82850" hidden="1" x14ac:dyDescent="0.35"/>
    <row r="82851" hidden="1" x14ac:dyDescent="0.35"/>
    <row r="82852" hidden="1" x14ac:dyDescent="0.35"/>
    <row r="82853" hidden="1" x14ac:dyDescent="0.35"/>
    <row r="82854" hidden="1" x14ac:dyDescent="0.35"/>
    <row r="82855" hidden="1" x14ac:dyDescent="0.35"/>
    <row r="82856" hidden="1" x14ac:dyDescent="0.35"/>
    <row r="82857" hidden="1" x14ac:dyDescent="0.35"/>
    <row r="82858" hidden="1" x14ac:dyDescent="0.35"/>
    <row r="82859" hidden="1" x14ac:dyDescent="0.35"/>
    <row r="82860" hidden="1" x14ac:dyDescent="0.35"/>
    <row r="82861" hidden="1" x14ac:dyDescent="0.35"/>
    <row r="82862" hidden="1" x14ac:dyDescent="0.35"/>
    <row r="82863" hidden="1" x14ac:dyDescent="0.35"/>
    <row r="82864" hidden="1" x14ac:dyDescent="0.35"/>
    <row r="82865" hidden="1" x14ac:dyDescent="0.35"/>
    <row r="82866" hidden="1" x14ac:dyDescent="0.35"/>
    <row r="82867" hidden="1" x14ac:dyDescent="0.35"/>
    <row r="82868" hidden="1" x14ac:dyDescent="0.35"/>
    <row r="82869" hidden="1" x14ac:dyDescent="0.35"/>
    <row r="82870" hidden="1" x14ac:dyDescent="0.35"/>
    <row r="82871" hidden="1" x14ac:dyDescent="0.35"/>
    <row r="82872" hidden="1" x14ac:dyDescent="0.35"/>
    <row r="82873" hidden="1" x14ac:dyDescent="0.35"/>
    <row r="82874" hidden="1" x14ac:dyDescent="0.35"/>
    <row r="82875" hidden="1" x14ac:dyDescent="0.35"/>
    <row r="82876" hidden="1" x14ac:dyDescent="0.35"/>
    <row r="82877" hidden="1" x14ac:dyDescent="0.35"/>
    <row r="82878" hidden="1" x14ac:dyDescent="0.35"/>
    <row r="82879" hidden="1" x14ac:dyDescent="0.35"/>
    <row r="82880" hidden="1" x14ac:dyDescent="0.35"/>
    <row r="82881" hidden="1" x14ac:dyDescent="0.35"/>
    <row r="82882" hidden="1" x14ac:dyDescent="0.35"/>
    <row r="82883" hidden="1" x14ac:dyDescent="0.35"/>
    <row r="82884" hidden="1" x14ac:dyDescent="0.35"/>
    <row r="82885" hidden="1" x14ac:dyDescent="0.35"/>
    <row r="82886" hidden="1" x14ac:dyDescent="0.35"/>
    <row r="82887" hidden="1" x14ac:dyDescent="0.35"/>
    <row r="82888" hidden="1" x14ac:dyDescent="0.35"/>
    <row r="82889" hidden="1" x14ac:dyDescent="0.35"/>
    <row r="82890" hidden="1" x14ac:dyDescent="0.35"/>
    <row r="82891" hidden="1" x14ac:dyDescent="0.35"/>
    <row r="82892" hidden="1" x14ac:dyDescent="0.35"/>
    <row r="82893" hidden="1" x14ac:dyDescent="0.35"/>
    <row r="82894" hidden="1" x14ac:dyDescent="0.35"/>
    <row r="82895" hidden="1" x14ac:dyDescent="0.35"/>
    <row r="82896" hidden="1" x14ac:dyDescent="0.35"/>
    <row r="82897" hidden="1" x14ac:dyDescent="0.35"/>
    <row r="82898" hidden="1" x14ac:dyDescent="0.35"/>
    <row r="82899" hidden="1" x14ac:dyDescent="0.35"/>
    <row r="82900" hidden="1" x14ac:dyDescent="0.35"/>
    <row r="82901" hidden="1" x14ac:dyDescent="0.35"/>
    <row r="82902" hidden="1" x14ac:dyDescent="0.35"/>
    <row r="82903" hidden="1" x14ac:dyDescent="0.35"/>
    <row r="82904" hidden="1" x14ac:dyDescent="0.35"/>
    <row r="82905" hidden="1" x14ac:dyDescent="0.35"/>
    <row r="82906" hidden="1" x14ac:dyDescent="0.35"/>
    <row r="82907" hidden="1" x14ac:dyDescent="0.35"/>
    <row r="82908" hidden="1" x14ac:dyDescent="0.35"/>
    <row r="82909" hidden="1" x14ac:dyDescent="0.35"/>
    <row r="82910" hidden="1" x14ac:dyDescent="0.35"/>
    <row r="82911" hidden="1" x14ac:dyDescent="0.35"/>
    <row r="82912" hidden="1" x14ac:dyDescent="0.35"/>
    <row r="82913" hidden="1" x14ac:dyDescent="0.35"/>
    <row r="82914" hidden="1" x14ac:dyDescent="0.35"/>
    <row r="82915" hidden="1" x14ac:dyDescent="0.35"/>
    <row r="82916" hidden="1" x14ac:dyDescent="0.35"/>
    <row r="82917" hidden="1" x14ac:dyDescent="0.35"/>
    <row r="82918" hidden="1" x14ac:dyDescent="0.35"/>
    <row r="82919" hidden="1" x14ac:dyDescent="0.35"/>
    <row r="82920" hidden="1" x14ac:dyDescent="0.35"/>
    <row r="82921" hidden="1" x14ac:dyDescent="0.35"/>
    <row r="82922" hidden="1" x14ac:dyDescent="0.35"/>
    <row r="82923" hidden="1" x14ac:dyDescent="0.35"/>
    <row r="82924" hidden="1" x14ac:dyDescent="0.35"/>
    <row r="82925" hidden="1" x14ac:dyDescent="0.35"/>
    <row r="82926" hidden="1" x14ac:dyDescent="0.35"/>
    <row r="82927" hidden="1" x14ac:dyDescent="0.35"/>
    <row r="82928" hidden="1" x14ac:dyDescent="0.35"/>
    <row r="82929" hidden="1" x14ac:dyDescent="0.35"/>
    <row r="82930" hidden="1" x14ac:dyDescent="0.35"/>
    <row r="82931" hidden="1" x14ac:dyDescent="0.35"/>
    <row r="82932" hidden="1" x14ac:dyDescent="0.35"/>
    <row r="82933" hidden="1" x14ac:dyDescent="0.35"/>
    <row r="82934" hidden="1" x14ac:dyDescent="0.35"/>
    <row r="82935" hidden="1" x14ac:dyDescent="0.35"/>
    <row r="82936" hidden="1" x14ac:dyDescent="0.35"/>
    <row r="82937" hidden="1" x14ac:dyDescent="0.35"/>
    <row r="82938" hidden="1" x14ac:dyDescent="0.35"/>
    <row r="82939" hidden="1" x14ac:dyDescent="0.35"/>
    <row r="82940" hidden="1" x14ac:dyDescent="0.35"/>
    <row r="82941" hidden="1" x14ac:dyDescent="0.35"/>
    <row r="82942" hidden="1" x14ac:dyDescent="0.35"/>
    <row r="82943" hidden="1" x14ac:dyDescent="0.35"/>
    <row r="82944" hidden="1" x14ac:dyDescent="0.35"/>
    <row r="82945" hidden="1" x14ac:dyDescent="0.35"/>
    <row r="82946" hidden="1" x14ac:dyDescent="0.35"/>
    <row r="82947" hidden="1" x14ac:dyDescent="0.35"/>
    <row r="82948" hidden="1" x14ac:dyDescent="0.35"/>
    <row r="82949" hidden="1" x14ac:dyDescent="0.35"/>
    <row r="82950" hidden="1" x14ac:dyDescent="0.35"/>
    <row r="82951" hidden="1" x14ac:dyDescent="0.35"/>
    <row r="82952" hidden="1" x14ac:dyDescent="0.35"/>
    <row r="82953" hidden="1" x14ac:dyDescent="0.35"/>
    <row r="82954" hidden="1" x14ac:dyDescent="0.35"/>
    <row r="82955" hidden="1" x14ac:dyDescent="0.35"/>
    <row r="82956" hidden="1" x14ac:dyDescent="0.35"/>
    <row r="82957" hidden="1" x14ac:dyDescent="0.35"/>
    <row r="82958" hidden="1" x14ac:dyDescent="0.35"/>
    <row r="82959" hidden="1" x14ac:dyDescent="0.35"/>
    <row r="82960" hidden="1" x14ac:dyDescent="0.35"/>
    <row r="82961" hidden="1" x14ac:dyDescent="0.35"/>
    <row r="82962" hidden="1" x14ac:dyDescent="0.35"/>
    <row r="82963" hidden="1" x14ac:dyDescent="0.35"/>
    <row r="82964" hidden="1" x14ac:dyDescent="0.35"/>
    <row r="82965" hidden="1" x14ac:dyDescent="0.35"/>
    <row r="82966" hidden="1" x14ac:dyDescent="0.35"/>
    <row r="82967" hidden="1" x14ac:dyDescent="0.35"/>
    <row r="82968" hidden="1" x14ac:dyDescent="0.35"/>
    <row r="82969" hidden="1" x14ac:dyDescent="0.35"/>
    <row r="82970" hidden="1" x14ac:dyDescent="0.35"/>
    <row r="82971" hidden="1" x14ac:dyDescent="0.35"/>
    <row r="82972" hidden="1" x14ac:dyDescent="0.35"/>
    <row r="82973" hidden="1" x14ac:dyDescent="0.35"/>
    <row r="82974" hidden="1" x14ac:dyDescent="0.35"/>
    <row r="82975" hidden="1" x14ac:dyDescent="0.35"/>
    <row r="82976" hidden="1" x14ac:dyDescent="0.35"/>
    <row r="82977" hidden="1" x14ac:dyDescent="0.35"/>
    <row r="82978" hidden="1" x14ac:dyDescent="0.35"/>
    <row r="82979" hidden="1" x14ac:dyDescent="0.35"/>
    <row r="82980" hidden="1" x14ac:dyDescent="0.35"/>
    <row r="82981" hidden="1" x14ac:dyDescent="0.35"/>
    <row r="82982" hidden="1" x14ac:dyDescent="0.35"/>
    <row r="82983" hidden="1" x14ac:dyDescent="0.35"/>
    <row r="82984" hidden="1" x14ac:dyDescent="0.35"/>
    <row r="82985" hidden="1" x14ac:dyDescent="0.35"/>
    <row r="82986" hidden="1" x14ac:dyDescent="0.35"/>
    <row r="82987" hidden="1" x14ac:dyDescent="0.35"/>
    <row r="82988" hidden="1" x14ac:dyDescent="0.35"/>
    <row r="82989" hidden="1" x14ac:dyDescent="0.35"/>
    <row r="82990" hidden="1" x14ac:dyDescent="0.35"/>
    <row r="82991" hidden="1" x14ac:dyDescent="0.35"/>
    <row r="82992" hidden="1" x14ac:dyDescent="0.35"/>
    <row r="82993" hidden="1" x14ac:dyDescent="0.35"/>
    <row r="82994" hidden="1" x14ac:dyDescent="0.35"/>
    <row r="82995" hidden="1" x14ac:dyDescent="0.35"/>
    <row r="82996" hidden="1" x14ac:dyDescent="0.35"/>
    <row r="82997" hidden="1" x14ac:dyDescent="0.35"/>
    <row r="82998" hidden="1" x14ac:dyDescent="0.35"/>
    <row r="82999" hidden="1" x14ac:dyDescent="0.35"/>
    <row r="83000" hidden="1" x14ac:dyDescent="0.35"/>
    <row r="83001" hidden="1" x14ac:dyDescent="0.35"/>
    <row r="83002" hidden="1" x14ac:dyDescent="0.35"/>
    <row r="83003" hidden="1" x14ac:dyDescent="0.35"/>
    <row r="83004" hidden="1" x14ac:dyDescent="0.35"/>
    <row r="83005" hidden="1" x14ac:dyDescent="0.35"/>
    <row r="83006" hidden="1" x14ac:dyDescent="0.35"/>
    <row r="83007" hidden="1" x14ac:dyDescent="0.35"/>
    <row r="83008" hidden="1" x14ac:dyDescent="0.35"/>
    <row r="83009" hidden="1" x14ac:dyDescent="0.35"/>
    <row r="83010" hidden="1" x14ac:dyDescent="0.35"/>
    <row r="83011" hidden="1" x14ac:dyDescent="0.35"/>
    <row r="83012" hidden="1" x14ac:dyDescent="0.35"/>
    <row r="83013" hidden="1" x14ac:dyDescent="0.35"/>
    <row r="83014" hidden="1" x14ac:dyDescent="0.35"/>
    <row r="83015" hidden="1" x14ac:dyDescent="0.35"/>
    <row r="83016" hidden="1" x14ac:dyDescent="0.35"/>
    <row r="83017" hidden="1" x14ac:dyDescent="0.35"/>
    <row r="83018" hidden="1" x14ac:dyDescent="0.35"/>
    <row r="83019" hidden="1" x14ac:dyDescent="0.35"/>
    <row r="83020" hidden="1" x14ac:dyDescent="0.35"/>
    <row r="83021" hidden="1" x14ac:dyDescent="0.35"/>
    <row r="83022" hidden="1" x14ac:dyDescent="0.35"/>
    <row r="83023" hidden="1" x14ac:dyDescent="0.35"/>
    <row r="83024" hidden="1" x14ac:dyDescent="0.35"/>
    <row r="83025" hidden="1" x14ac:dyDescent="0.35"/>
    <row r="83026" hidden="1" x14ac:dyDescent="0.35"/>
    <row r="83027" hidden="1" x14ac:dyDescent="0.35"/>
    <row r="83028" hidden="1" x14ac:dyDescent="0.35"/>
    <row r="83029" hidden="1" x14ac:dyDescent="0.35"/>
    <row r="83030" hidden="1" x14ac:dyDescent="0.35"/>
    <row r="83031" hidden="1" x14ac:dyDescent="0.35"/>
    <row r="83032" hidden="1" x14ac:dyDescent="0.35"/>
    <row r="83033" hidden="1" x14ac:dyDescent="0.35"/>
    <row r="83034" hidden="1" x14ac:dyDescent="0.35"/>
    <row r="83035" hidden="1" x14ac:dyDescent="0.35"/>
    <row r="83036" hidden="1" x14ac:dyDescent="0.35"/>
    <row r="83037" hidden="1" x14ac:dyDescent="0.35"/>
    <row r="83038" hidden="1" x14ac:dyDescent="0.35"/>
    <row r="83039" hidden="1" x14ac:dyDescent="0.35"/>
    <row r="83040" hidden="1" x14ac:dyDescent="0.35"/>
    <row r="83041" hidden="1" x14ac:dyDescent="0.35"/>
    <row r="83042" hidden="1" x14ac:dyDescent="0.35"/>
    <row r="83043" hidden="1" x14ac:dyDescent="0.35"/>
    <row r="83044" hidden="1" x14ac:dyDescent="0.35"/>
    <row r="83045" hidden="1" x14ac:dyDescent="0.35"/>
    <row r="83046" hidden="1" x14ac:dyDescent="0.35"/>
    <row r="83047" hidden="1" x14ac:dyDescent="0.35"/>
    <row r="83048" hidden="1" x14ac:dyDescent="0.35"/>
    <row r="83049" hidden="1" x14ac:dyDescent="0.35"/>
    <row r="83050" hidden="1" x14ac:dyDescent="0.35"/>
    <row r="83051" hidden="1" x14ac:dyDescent="0.35"/>
    <row r="83052" hidden="1" x14ac:dyDescent="0.35"/>
    <row r="83053" hidden="1" x14ac:dyDescent="0.35"/>
    <row r="83054" hidden="1" x14ac:dyDescent="0.35"/>
    <row r="83055" hidden="1" x14ac:dyDescent="0.35"/>
    <row r="83056" hidden="1" x14ac:dyDescent="0.35"/>
    <row r="83057" hidden="1" x14ac:dyDescent="0.35"/>
    <row r="83058" hidden="1" x14ac:dyDescent="0.35"/>
    <row r="83059" hidden="1" x14ac:dyDescent="0.35"/>
    <row r="83060" hidden="1" x14ac:dyDescent="0.35"/>
    <row r="83061" hidden="1" x14ac:dyDescent="0.35"/>
    <row r="83062" hidden="1" x14ac:dyDescent="0.35"/>
    <row r="83063" hidden="1" x14ac:dyDescent="0.35"/>
    <row r="83064" hidden="1" x14ac:dyDescent="0.35"/>
    <row r="83065" hidden="1" x14ac:dyDescent="0.35"/>
    <row r="83066" hidden="1" x14ac:dyDescent="0.35"/>
    <row r="83067" hidden="1" x14ac:dyDescent="0.35"/>
    <row r="83068" hidden="1" x14ac:dyDescent="0.35"/>
    <row r="83069" hidden="1" x14ac:dyDescent="0.35"/>
    <row r="83070" hidden="1" x14ac:dyDescent="0.35"/>
    <row r="83071" hidden="1" x14ac:dyDescent="0.35"/>
    <row r="83072" hidden="1" x14ac:dyDescent="0.35"/>
    <row r="83073" hidden="1" x14ac:dyDescent="0.35"/>
    <row r="83074" hidden="1" x14ac:dyDescent="0.35"/>
    <row r="83075" hidden="1" x14ac:dyDescent="0.35"/>
    <row r="83076" hidden="1" x14ac:dyDescent="0.35"/>
    <row r="83077" hidden="1" x14ac:dyDescent="0.35"/>
    <row r="83078" hidden="1" x14ac:dyDescent="0.35"/>
    <row r="83079" hidden="1" x14ac:dyDescent="0.35"/>
    <row r="83080" hidden="1" x14ac:dyDescent="0.35"/>
    <row r="83081" hidden="1" x14ac:dyDescent="0.35"/>
    <row r="83082" hidden="1" x14ac:dyDescent="0.35"/>
    <row r="83083" hidden="1" x14ac:dyDescent="0.35"/>
    <row r="83084" hidden="1" x14ac:dyDescent="0.35"/>
    <row r="83085" hidden="1" x14ac:dyDescent="0.35"/>
    <row r="83086" hidden="1" x14ac:dyDescent="0.35"/>
    <row r="83087" hidden="1" x14ac:dyDescent="0.35"/>
    <row r="83088" hidden="1" x14ac:dyDescent="0.35"/>
    <row r="83089" hidden="1" x14ac:dyDescent="0.35"/>
    <row r="83090" hidden="1" x14ac:dyDescent="0.35"/>
    <row r="83091" hidden="1" x14ac:dyDescent="0.35"/>
    <row r="83092" hidden="1" x14ac:dyDescent="0.35"/>
    <row r="83093" hidden="1" x14ac:dyDescent="0.35"/>
    <row r="83094" hidden="1" x14ac:dyDescent="0.35"/>
    <row r="83095" hidden="1" x14ac:dyDescent="0.35"/>
    <row r="83096" hidden="1" x14ac:dyDescent="0.35"/>
    <row r="83097" hidden="1" x14ac:dyDescent="0.35"/>
    <row r="83098" hidden="1" x14ac:dyDescent="0.35"/>
    <row r="83099" hidden="1" x14ac:dyDescent="0.35"/>
    <row r="83100" hidden="1" x14ac:dyDescent="0.35"/>
    <row r="83101" hidden="1" x14ac:dyDescent="0.35"/>
    <row r="83102" hidden="1" x14ac:dyDescent="0.35"/>
    <row r="83103" hidden="1" x14ac:dyDescent="0.35"/>
    <row r="83104" hidden="1" x14ac:dyDescent="0.35"/>
    <row r="83105" hidden="1" x14ac:dyDescent="0.35"/>
    <row r="83106" hidden="1" x14ac:dyDescent="0.35"/>
    <row r="83107" hidden="1" x14ac:dyDescent="0.35"/>
    <row r="83108" hidden="1" x14ac:dyDescent="0.35"/>
    <row r="83109" hidden="1" x14ac:dyDescent="0.35"/>
    <row r="83110" hidden="1" x14ac:dyDescent="0.35"/>
    <row r="83111" hidden="1" x14ac:dyDescent="0.35"/>
    <row r="83112" hidden="1" x14ac:dyDescent="0.35"/>
    <row r="83113" hidden="1" x14ac:dyDescent="0.35"/>
    <row r="83114" hidden="1" x14ac:dyDescent="0.35"/>
    <row r="83115" hidden="1" x14ac:dyDescent="0.35"/>
    <row r="83116" hidden="1" x14ac:dyDescent="0.35"/>
    <row r="83117" hidden="1" x14ac:dyDescent="0.35"/>
    <row r="83118" hidden="1" x14ac:dyDescent="0.35"/>
    <row r="83119" hidden="1" x14ac:dyDescent="0.35"/>
    <row r="83120" hidden="1" x14ac:dyDescent="0.35"/>
    <row r="83121" hidden="1" x14ac:dyDescent="0.35"/>
    <row r="83122" hidden="1" x14ac:dyDescent="0.35"/>
    <row r="83123" hidden="1" x14ac:dyDescent="0.35"/>
    <row r="83124" hidden="1" x14ac:dyDescent="0.35"/>
    <row r="83125" hidden="1" x14ac:dyDescent="0.35"/>
    <row r="83126" hidden="1" x14ac:dyDescent="0.35"/>
    <row r="83127" hidden="1" x14ac:dyDescent="0.35"/>
    <row r="83128" hidden="1" x14ac:dyDescent="0.35"/>
    <row r="83129" hidden="1" x14ac:dyDescent="0.35"/>
    <row r="83130" hidden="1" x14ac:dyDescent="0.35"/>
    <row r="83131" hidden="1" x14ac:dyDescent="0.35"/>
    <row r="83132" hidden="1" x14ac:dyDescent="0.35"/>
    <row r="83133" hidden="1" x14ac:dyDescent="0.35"/>
    <row r="83134" hidden="1" x14ac:dyDescent="0.35"/>
    <row r="83135" hidden="1" x14ac:dyDescent="0.35"/>
    <row r="83136" hidden="1" x14ac:dyDescent="0.35"/>
    <row r="83137" hidden="1" x14ac:dyDescent="0.35"/>
    <row r="83138" hidden="1" x14ac:dyDescent="0.35"/>
    <row r="83139" hidden="1" x14ac:dyDescent="0.35"/>
    <row r="83140" hidden="1" x14ac:dyDescent="0.35"/>
    <row r="83141" hidden="1" x14ac:dyDescent="0.35"/>
    <row r="83142" hidden="1" x14ac:dyDescent="0.35"/>
    <row r="83143" hidden="1" x14ac:dyDescent="0.35"/>
    <row r="83144" hidden="1" x14ac:dyDescent="0.35"/>
    <row r="83145" hidden="1" x14ac:dyDescent="0.35"/>
    <row r="83146" hidden="1" x14ac:dyDescent="0.35"/>
    <row r="83147" hidden="1" x14ac:dyDescent="0.35"/>
    <row r="83148" hidden="1" x14ac:dyDescent="0.35"/>
    <row r="83149" hidden="1" x14ac:dyDescent="0.35"/>
    <row r="83150" hidden="1" x14ac:dyDescent="0.35"/>
    <row r="83151" hidden="1" x14ac:dyDescent="0.35"/>
    <row r="83152" hidden="1" x14ac:dyDescent="0.35"/>
    <row r="83153" hidden="1" x14ac:dyDescent="0.35"/>
    <row r="83154" hidden="1" x14ac:dyDescent="0.35"/>
    <row r="83155" hidden="1" x14ac:dyDescent="0.35"/>
    <row r="83156" hidden="1" x14ac:dyDescent="0.35"/>
    <row r="83157" hidden="1" x14ac:dyDescent="0.35"/>
    <row r="83158" hidden="1" x14ac:dyDescent="0.35"/>
    <row r="83159" hidden="1" x14ac:dyDescent="0.35"/>
    <row r="83160" hidden="1" x14ac:dyDescent="0.35"/>
    <row r="83161" hidden="1" x14ac:dyDescent="0.35"/>
    <row r="83162" hidden="1" x14ac:dyDescent="0.35"/>
    <row r="83163" hidden="1" x14ac:dyDescent="0.35"/>
    <row r="83164" hidden="1" x14ac:dyDescent="0.35"/>
    <row r="83165" hidden="1" x14ac:dyDescent="0.35"/>
    <row r="83166" hidden="1" x14ac:dyDescent="0.35"/>
    <row r="83167" hidden="1" x14ac:dyDescent="0.35"/>
    <row r="83168" hidden="1" x14ac:dyDescent="0.35"/>
    <row r="83169" hidden="1" x14ac:dyDescent="0.35"/>
    <row r="83170" hidden="1" x14ac:dyDescent="0.35"/>
    <row r="83171" hidden="1" x14ac:dyDescent="0.35"/>
    <row r="83172" hidden="1" x14ac:dyDescent="0.35"/>
    <row r="83173" hidden="1" x14ac:dyDescent="0.35"/>
    <row r="83174" hidden="1" x14ac:dyDescent="0.35"/>
    <row r="83175" hidden="1" x14ac:dyDescent="0.35"/>
    <row r="83176" hidden="1" x14ac:dyDescent="0.35"/>
    <row r="83177" hidden="1" x14ac:dyDescent="0.35"/>
    <row r="83178" hidden="1" x14ac:dyDescent="0.35"/>
    <row r="83179" hidden="1" x14ac:dyDescent="0.35"/>
    <row r="83180" hidden="1" x14ac:dyDescent="0.35"/>
    <row r="83181" hidden="1" x14ac:dyDescent="0.35"/>
    <row r="83182" hidden="1" x14ac:dyDescent="0.35"/>
    <row r="83183" hidden="1" x14ac:dyDescent="0.35"/>
    <row r="83184" hidden="1" x14ac:dyDescent="0.35"/>
    <row r="83185" hidden="1" x14ac:dyDescent="0.35"/>
    <row r="83186" hidden="1" x14ac:dyDescent="0.35"/>
    <row r="83187" hidden="1" x14ac:dyDescent="0.35"/>
    <row r="83188" hidden="1" x14ac:dyDescent="0.35"/>
    <row r="83189" hidden="1" x14ac:dyDescent="0.35"/>
    <row r="83190" hidden="1" x14ac:dyDescent="0.35"/>
    <row r="83191" hidden="1" x14ac:dyDescent="0.35"/>
    <row r="83192" hidden="1" x14ac:dyDescent="0.35"/>
    <row r="83193" hidden="1" x14ac:dyDescent="0.35"/>
    <row r="83194" hidden="1" x14ac:dyDescent="0.35"/>
    <row r="83195" hidden="1" x14ac:dyDescent="0.35"/>
    <row r="83196" hidden="1" x14ac:dyDescent="0.35"/>
    <row r="83197" hidden="1" x14ac:dyDescent="0.35"/>
    <row r="83198" hidden="1" x14ac:dyDescent="0.35"/>
    <row r="83199" hidden="1" x14ac:dyDescent="0.35"/>
    <row r="83200" hidden="1" x14ac:dyDescent="0.35"/>
    <row r="83201" hidden="1" x14ac:dyDescent="0.35"/>
    <row r="83202" hidden="1" x14ac:dyDescent="0.35"/>
    <row r="83203" hidden="1" x14ac:dyDescent="0.35"/>
    <row r="83204" hidden="1" x14ac:dyDescent="0.35"/>
    <row r="83205" hidden="1" x14ac:dyDescent="0.35"/>
    <row r="83206" hidden="1" x14ac:dyDescent="0.35"/>
    <row r="83207" hidden="1" x14ac:dyDescent="0.35"/>
    <row r="83208" hidden="1" x14ac:dyDescent="0.35"/>
    <row r="83209" hidden="1" x14ac:dyDescent="0.35"/>
    <row r="83210" hidden="1" x14ac:dyDescent="0.35"/>
    <row r="83211" hidden="1" x14ac:dyDescent="0.35"/>
    <row r="83212" hidden="1" x14ac:dyDescent="0.35"/>
    <row r="83213" hidden="1" x14ac:dyDescent="0.35"/>
    <row r="83214" hidden="1" x14ac:dyDescent="0.35"/>
    <row r="83215" hidden="1" x14ac:dyDescent="0.35"/>
    <row r="83216" hidden="1" x14ac:dyDescent="0.35"/>
    <row r="83217" hidden="1" x14ac:dyDescent="0.35"/>
    <row r="83218" hidden="1" x14ac:dyDescent="0.35"/>
    <row r="83219" hidden="1" x14ac:dyDescent="0.35"/>
    <row r="83220" hidden="1" x14ac:dyDescent="0.35"/>
    <row r="83221" hidden="1" x14ac:dyDescent="0.35"/>
    <row r="83222" hidden="1" x14ac:dyDescent="0.35"/>
    <row r="83223" hidden="1" x14ac:dyDescent="0.35"/>
    <row r="83224" hidden="1" x14ac:dyDescent="0.35"/>
    <row r="83225" hidden="1" x14ac:dyDescent="0.35"/>
    <row r="83226" hidden="1" x14ac:dyDescent="0.35"/>
    <row r="83227" hidden="1" x14ac:dyDescent="0.35"/>
    <row r="83228" hidden="1" x14ac:dyDescent="0.35"/>
    <row r="83229" hidden="1" x14ac:dyDescent="0.35"/>
    <row r="83230" hidden="1" x14ac:dyDescent="0.35"/>
    <row r="83231" hidden="1" x14ac:dyDescent="0.35"/>
    <row r="83232" hidden="1" x14ac:dyDescent="0.35"/>
    <row r="83233" hidden="1" x14ac:dyDescent="0.35"/>
    <row r="83234" hidden="1" x14ac:dyDescent="0.35"/>
    <row r="83235" hidden="1" x14ac:dyDescent="0.35"/>
    <row r="83236" hidden="1" x14ac:dyDescent="0.35"/>
    <row r="83237" hidden="1" x14ac:dyDescent="0.35"/>
    <row r="83238" hidden="1" x14ac:dyDescent="0.35"/>
    <row r="83239" hidden="1" x14ac:dyDescent="0.35"/>
    <row r="83240" hidden="1" x14ac:dyDescent="0.35"/>
    <row r="83241" hidden="1" x14ac:dyDescent="0.35"/>
    <row r="83242" hidden="1" x14ac:dyDescent="0.35"/>
    <row r="83243" hidden="1" x14ac:dyDescent="0.35"/>
    <row r="83244" hidden="1" x14ac:dyDescent="0.35"/>
    <row r="83245" hidden="1" x14ac:dyDescent="0.35"/>
    <row r="83246" hidden="1" x14ac:dyDescent="0.35"/>
    <row r="83247" hidden="1" x14ac:dyDescent="0.35"/>
    <row r="83248" hidden="1" x14ac:dyDescent="0.35"/>
    <row r="83249" hidden="1" x14ac:dyDescent="0.35"/>
    <row r="83250" hidden="1" x14ac:dyDescent="0.35"/>
    <row r="83251" hidden="1" x14ac:dyDescent="0.35"/>
    <row r="83252" hidden="1" x14ac:dyDescent="0.35"/>
    <row r="83253" hidden="1" x14ac:dyDescent="0.35"/>
    <row r="83254" hidden="1" x14ac:dyDescent="0.35"/>
    <row r="83255" hidden="1" x14ac:dyDescent="0.35"/>
    <row r="83256" hidden="1" x14ac:dyDescent="0.35"/>
    <row r="83257" hidden="1" x14ac:dyDescent="0.35"/>
    <row r="83258" hidden="1" x14ac:dyDescent="0.35"/>
    <row r="83259" hidden="1" x14ac:dyDescent="0.35"/>
    <row r="83260" hidden="1" x14ac:dyDescent="0.35"/>
    <row r="83261" hidden="1" x14ac:dyDescent="0.35"/>
    <row r="83262" hidden="1" x14ac:dyDescent="0.35"/>
    <row r="83263" hidden="1" x14ac:dyDescent="0.35"/>
    <row r="83264" hidden="1" x14ac:dyDescent="0.35"/>
    <row r="83265" hidden="1" x14ac:dyDescent="0.35"/>
    <row r="83266" hidden="1" x14ac:dyDescent="0.35"/>
    <row r="83267" hidden="1" x14ac:dyDescent="0.35"/>
    <row r="83268" hidden="1" x14ac:dyDescent="0.35"/>
    <row r="83269" hidden="1" x14ac:dyDescent="0.35"/>
    <row r="83270" hidden="1" x14ac:dyDescent="0.35"/>
    <row r="83271" hidden="1" x14ac:dyDescent="0.35"/>
    <row r="83272" hidden="1" x14ac:dyDescent="0.35"/>
    <row r="83273" hidden="1" x14ac:dyDescent="0.35"/>
    <row r="83274" hidden="1" x14ac:dyDescent="0.35"/>
    <row r="83275" hidden="1" x14ac:dyDescent="0.35"/>
    <row r="83276" hidden="1" x14ac:dyDescent="0.35"/>
    <row r="83277" hidden="1" x14ac:dyDescent="0.35"/>
    <row r="83278" hidden="1" x14ac:dyDescent="0.35"/>
    <row r="83279" hidden="1" x14ac:dyDescent="0.35"/>
    <row r="83280" hidden="1" x14ac:dyDescent="0.35"/>
    <row r="83281" hidden="1" x14ac:dyDescent="0.35"/>
    <row r="83282" hidden="1" x14ac:dyDescent="0.35"/>
    <row r="83283" hidden="1" x14ac:dyDescent="0.35"/>
    <row r="83284" hidden="1" x14ac:dyDescent="0.35"/>
    <row r="83285" hidden="1" x14ac:dyDescent="0.35"/>
    <row r="83286" hidden="1" x14ac:dyDescent="0.35"/>
    <row r="83287" hidden="1" x14ac:dyDescent="0.35"/>
    <row r="83288" hidden="1" x14ac:dyDescent="0.35"/>
    <row r="83289" hidden="1" x14ac:dyDescent="0.35"/>
    <row r="83290" hidden="1" x14ac:dyDescent="0.35"/>
    <row r="83291" hidden="1" x14ac:dyDescent="0.35"/>
    <row r="83292" hidden="1" x14ac:dyDescent="0.35"/>
    <row r="83293" hidden="1" x14ac:dyDescent="0.35"/>
    <row r="83294" hidden="1" x14ac:dyDescent="0.35"/>
    <row r="83295" hidden="1" x14ac:dyDescent="0.35"/>
    <row r="83296" hidden="1" x14ac:dyDescent="0.35"/>
    <row r="83297" hidden="1" x14ac:dyDescent="0.35"/>
    <row r="83298" hidden="1" x14ac:dyDescent="0.35"/>
    <row r="83299" hidden="1" x14ac:dyDescent="0.35"/>
    <row r="83300" hidden="1" x14ac:dyDescent="0.35"/>
    <row r="83301" hidden="1" x14ac:dyDescent="0.35"/>
    <row r="83302" hidden="1" x14ac:dyDescent="0.35"/>
    <row r="83303" hidden="1" x14ac:dyDescent="0.35"/>
    <row r="83304" hidden="1" x14ac:dyDescent="0.35"/>
    <row r="83305" hidden="1" x14ac:dyDescent="0.35"/>
    <row r="83306" hidden="1" x14ac:dyDescent="0.35"/>
    <row r="83307" hidden="1" x14ac:dyDescent="0.35"/>
    <row r="83308" hidden="1" x14ac:dyDescent="0.35"/>
    <row r="83309" hidden="1" x14ac:dyDescent="0.35"/>
    <row r="83310" hidden="1" x14ac:dyDescent="0.35"/>
    <row r="83311" hidden="1" x14ac:dyDescent="0.35"/>
    <row r="83312" hidden="1" x14ac:dyDescent="0.35"/>
    <row r="83313" hidden="1" x14ac:dyDescent="0.35"/>
    <row r="83314" hidden="1" x14ac:dyDescent="0.35"/>
    <row r="83315" hidden="1" x14ac:dyDescent="0.35"/>
    <row r="83316" hidden="1" x14ac:dyDescent="0.35"/>
    <row r="83317" hidden="1" x14ac:dyDescent="0.35"/>
    <row r="83318" hidden="1" x14ac:dyDescent="0.35"/>
    <row r="83319" hidden="1" x14ac:dyDescent="0.35"/>
    <row r="83320" hidden="1" x14ac:dyDescent="0.35"/>
    <row r="83321" hidden="1" x14ac:dyDescent="0.35"/>
    <row r="83322" hidden="1" x14ac:dyDescent="0.35"/>
    <row r="83323" hidden="1" x14ac:dyDescent="0.35"/>
    <row r="83324" hidden="1" x14ac:dyDescent="0.35"/>
    <row r="83325" hidden="1" x14ac:dyDescent="0.35"/>
    <row r="83326" hidden="1" x14ac:dyDescent="0.35"/>
    <row r="83327" hidden="1" x14ac:dyDescent="0.35"/>
    <row r="83328" hidden="1" x14ac:dyDescent="0.35"/>
    <row r="83329" hidden="1" x14ac:dyDescent="0.35"/>
    <row r="83330" hidden="1" x14ac:dyDescent="0.35"/>
    <row r="83331" hidden="1" x14ac:dyDescent="0.35"/>
    <row r="83332" hidden="1" x14ac:dyDescent="0.35"/>
    <row r="83333" hidden="1" x14ac:dyDescent="0.35"/>
    <row r="83334" hidden="1" x14ac:dyDescent="0.35"/>
    <row r="83335" hidden="1" x14ac:dyDescent="0.35"/>
    <row r="83336" hidden="1" x14ac:dyDescent="0.35"/>
    <row r="83337" hidden="1" x14ac:dyDescent="0.35"/>
    <row r="83338" hidden="1" x14ac:dyDescent="0.35"/>
    <row r="83339" hidden="1" x14ac:dyDescent="0.35"/>
    <row r="83340" hidden="1" x14ac:dyDescent="0.35"/>
    <row r="83341" hidden="1" x14ac:dyDescent="0.35"/>
    <row r="83342" hidden="1" x14ac:dyDescent="0.35"/>
    <row r="83343" hidden="1" x14ac:dyDescent="0.35"/>
    <row r="83344" hidden="1" x14ac:dyDescent="0.35"/>
    <row r="83345" hidden="1" x14ac:dyDescent="0.35"/>
    <row r="83346" hidden="1" x14ac:dyDescent="0.35"/>
    <row r="83347" hidden="1" x14ac:dyDescent="0.35"/>
    <row r="83348" hidden="1" x14ac:dyDescent="0.35"/>
    <row r="83349" hidden="1" x14ac:dyDescent="0.35"/>
    <row r="83350" hidden="1" x14ac:dyDescent="0.35"/>
    <row r="83351" hidden="1" x14ac:dyDescent="0.35"/>
    <row r="83352" hidden="1" x14ac:dyDescent="0.35"/>
    <row r="83353" hidden="1" x14ac:dyDescent="0.35"/>
    <row r="83354" hidden="1" x14ac:dyDescent="0.35"/>
    <row r="83355" hidden="1" x14ac:dyDescent="0.35"/>
    <row r="83356" hidden="1" x14ac:dyDescent="0.35"/>
    <row r="83357" hidden="1" x14ac:dyDescent="0.35"/>
    <row r="83358" hidden="1" x14ac:dyDescent="0.35"/>
    <row r="83359" hidden="1" x14ac:dyDescent="0.35"/>
    <row r="83360" hidden="1" x14ac:dyDescent="0.35"/>
    <row r="83361" hidden="1" x14ac:dyDescent="0.35"/>
    <row r="83362" hidden="1" x14ac:dyDescent="0.35"/>
    <row r="83363" hidden="1" x14ac:dyDescent="0.35"/>
    <row r="83364" hidden="1" x14ac:dyDescent="0.35"/>
    <row r="83365" hidden="1" x14ac:dyDescent="0.35"/>
    <row r="83366" hidden="1" x14ac:dyDescent="0.35"/>
    <row r="83367" hidden="1" x14ac:dyDescent="0.35"/>
    <row r="83368" hidden="1" x14ac:dyDescent="0.35"/>
    <row r="83369" hidden="1" x14ac:dyDescent="0.35"/>
    <row r="83370" hidden="1" x14ac:dyDescent="0.35"/>
    <row r="83371" hidden="1" x14ac:dyDescent="0.35"/>
    <row r="83372" hidden="1" x14ac:dyDescent="0.35"/>
    <row r="83373" hidden="1" x14ac:dyDescent="0.35"/>
    <row r="83374" hidden="1" x14ac:dyDescent="0.35"/>
    <row r="83375" hidden="1" x14ac:dyDescent="0.35"/>
    <row r="83376" hidden="1" x14ac:dyDescent="0.35"/>
    <row r="83377" hidden="1" x14ac:dyDescent="0.35"/>
    <row r="83378" hidden="1" x14ac:dyDescent="0.35"/>
    <row r="83379" hidden="1" x14ac:dyDescent="0.35"/>
    <row r="83380" hidden="1" x14ac:dyDescent="0.35"/>
    <row r="83381" hidden="1" x14ac:dyDescent="0.35"/>
    <row r="83382" hidden="1" x14ac:dyDescent="0.35"/>
    <row r="83383" hidden="1" x14ac:dyDescent="0.35"/>
    <row r="83384" hidden="1" x14ac:dyDescent="0.35"/>
    <row r="83385" hidden="1" x14ac:dyDescent="0.35"/>
    <row r="83386" hidden="1" x14ac:dyDescent="0.35"/>
    <row r="83387" hidden="1" x14ac:dyDescent="0.35"/>
    <row r="83388" hidden="1" x14ac:dyDescent="0.35"/>
    <row r="83389" hidden="1" x14ac:dyDescent="0.35"/>
    <row r="83390" hidden="1" x14ac:dyDescent="0.35"/>
    <row r="83391" hidden="1" x14ac:dyDescent="0.35"/>
    <row r="83392" hidden="1" x14ac:dyDescent="0.35"/>
    <row r="83393" hidden="1" x14ac:dyDescent="0.35"/>
    <row r="83394" hidden="1" x14ac:dyDescent="0.35"/>
    <row r="83395" hidden="1" x14ac:dyDescent="0.35"/>
    <row r="83396" hidden="1" x14ac:dyDescent="0.35"/>
    <row r="83397" hidden="1" x14ac:dyDescent="0.35"/>
    <row r="83398" hidden="1" x14ac:dyDescent="0.35"/>
    <row r="83399" hidden="1" x14ac:dyDescent="0.35"/>
    <row r="83400" hidden="1" x14ac:dyDescent="0.35"/>
    <row r="83401" hidden="1" x14ac:dyDescent="0.35"/>
    <row r="83402" hidden="1" x14ac:dyDescent="0.35"/>
    <row r="83403" hidden="1" x14ac:dyDescent="0.35"/>
    <row r="83404" hidden="1" x14ac:dyDescent="0.35"/>
    <row r="83405" hidden="1" x14ac:dyDescent="0.35"/>
    <row r="83406" hidden="1" x14ac:dyDescent="0.35"/>
    <row r="83407" hidden="1" x14ac:dyDescent="0.35"/>
    <row r="83408" hidden="1" x14ac:dyDescent="0.35"/>
    <row r="83409" hidden="1" x14ac:dyDescent="0.35"/>
    <row r="83410" hidden="1" x14ac:dyDescent="0.35"/>
    <row r="83411" hidden="1" x14ac:dyDescent="0.35"/>
    <row r="83412" hidden="1" x14ac:dyDescent="0.35"/>
    <row r="83413" hidden="1" x14ac:dyDescent="0.35"/>
    <row r="83414" hidden="1" x14ac:dyDescent="0.35"/>
    <row r="83415" hidden="1" x14ac:dyDescent="0.35"/>
    <row r="83416" hidden="1" x14ac:dyDescent="0.35"/>
    <row r="83417" hidden="1" x14ac:dyDescent="0.35"/>
    <row r="83418" hidden="1" x14ac:dyDescent="0.35"/>
    <row r="83419" hidden="1" x14ac:dyDescent="0.35"/>
    <row r="83420" hidden="1" x14ac:dyDescent="0.35"/>
    <row r="83421" hidden="1" x14ac:dyDescent="0.35"/>
    <row r="83422" hidden="1" x14ac:dyDescent="0.35"/>
    <row r="83423" hidden="1" x14ac:dyDescent="0.35"/>
    <row r="83424" hidden="1" x14ac:dyDescent="0.35"/>
    <row r="83425" hidden="1" x14ac:dyDescent="0.35"/>
    <row r="83426" hidden="1" x14ac:dyDescent="0.35"/>
    <row r="83427" hidden="1" x14ac:dyDescent="0.35"/>
    <row r="83428" hidden="1" x14ac:dyDescent="0.35"/>
    <row r="83429" hidden="1" x14ac:dyDescent="0.35"/>
    <row r="83430" hidden="1" x14ac:dyDescent="0.35"/>
    <row r="83431" hidden="1" x14ac:dyDescent="0.35"/>
    <row r="83432" hidden="1" x14ac:dyDescent="0.35"/>
    <row r="83433" hidden="1" x14ac:dyDescent="0.35"/>
    <row r="83434" hidden="1" x14ac:dyDescent="0.35"/>
    <row r="83435" hidden="1" x14ac:dyDescent="0.35"/>
    <row r="83436" hidden="1" x14ac:dyDescent="0.35"/>
    <row r="83437" hidden="1" x14ac:dyDescent="0.35"/>
    <row r="83438" hidden="1" x14ac:dyDescent="0.35"/>
    <row r="83439" hidden="1" x14ac:dyDescent="0.35"/>
    <row r="83440" hidden="1" x14ac:dyDescent="0.35"/>
    <row r="83441" hidden="1" x14ac:dyDescent="0.35"/>
    <row r="83442" hidden="1" x14ac:dyDescent="0.35"/>
    <row r="83443" hidden="1" x14ac:dyDescent="0.35"/>
    <row r="83444" hidden="1" x14ac:dyDescent="0.35"/>
    <row r="83445" hidden="1" x14ac:dyDescent="0.35"/>
    <row r="83446" hidden="1" x14ac:dyDescent="0.35"/>
    <row r="83447" hidden="1" x14ac:dyDescent="0.35"/>
    <row r="83448" hidden="1" x14ac:dyDescent="0.35"/>
    <row r="83449" hidden="1" x14ac:dyDescent="0.35"/>
    <row r="83450" hidden="1" x14ac:dyDescent="0.35"/>
    <row r="83451" hidden="1" x14ac:dyDescent="0.35"/>
    <row r="83452" hidden="1" x14ac:dyDescent="0.35"/>
    <row r="83453" hidden="1" x14ac:dyDescent="0.35"/>
    <row r="83454" hidden="1" x14ac:dyDescent="0.35"/>
    <row r="83455" hidden="1" x14ac:dyDescent="0.35"/>
    <row r="83456" hidden="1" x14ac:dyDescent="0.35"/>
    <row r="83457" hidden="1" x14ac:dyDescent="0.35"/>
    <row r="83458" hidden="1" x14ac:dyDescent="0.35"/>
    <row r="83459" hidden="1" x14ac:dyDescent="0.35"/>
    <row r="83460" hidden="1" x14ac:dyDescent="0.35"/>
    <row r="83461" hidden="1" x14ac:dyDescent="0.35"/>
    <row r="83462" hidden="1" x14ac:dyDescent="0.35"/>
    <row r="83463" hidden="1" x14ac:dyDescent="0.35"/>
    <row r="83464" hidden="1" x14ac:dyDescent="0.35"/>
    <row r="83465" hidden="1" x14ac:dyDescent="0.35"/>
    <row r="83466" hidden="1" x14ac:dyDescent="0.35"/>
    <row r="83467" hidden="1" x14ac:dyDescent="0.35"/>
    <row r="83468" hidden="1" x14ac:dyDescent="0.35"/>
    <row r="83469" hidden="1" x14ac:dyDescent="0.35"/>
    <row r="83470" hidden="1" x14ac:dyDescent="0.35"/>
    <row r="83471" hidden="1" x14ac:dyDescent="0.35"/>
    <row r="83472" hidden="1" x14ac:dyDescent="0.35"/>
    <row r="83473" hidden="1" x14ac:dyDescent="0.35"/>
    <row r="83474" hidden="1" x14ac:dyDescent="0.35"/>
    <row r="83475" hidden="1" x14ac:dyDescent="0.35"/>
    <row r="83476" hidden="1" x14ac:dyDescent="0.35"/>
    <row r="83477" hidden="1" x14ac:dyDescent="0.35"/>
    <row r="83478" hidden="1" x14ac:dyDescent="0.35"/>
    <row r="83479" hidden="1" x14ac:dyDescent="0.35"/>
    <row r="83480" hidden="1" x14ac:dyDescent="0.35"/>
    <row r="83481" hidden="1" x14ac:dyDescent="0.35"/>
    <row r="83482" hidden="1" x14ac:dyDescent="0.35"/>
    <row r="83483" hidden="1" x14ac:dyDescent="0.35"/>
    <row r="83484" hidden="1" x14ac:dyDescent="0.35"/>
    <row r="83485" hidden="1" x14ac:dyDescent="0.35"/>
    <row r="83486" hidden="1" x14ac:dyDescent="0.35"/>
    <row r="83487" hidden="1" x14ac:dyDescent="0.35"/>
    <row r="83488" hidden="1" x14ac:dyDescent="0.35"/>
    <row r="83489" hidden="1" x14ac:dyDescent="0.35"/>
    <row r="83490" hidden="1" x14ac:dyDescent="0.35"/>
    <row r="83491" hidden="1" x14ac:dyDescent="0.35"/>
    <row r="83492" hidden="1" x14ac:dyDescent="0.35"/>
    <row r="83493" hidden="1" x14ac:dyDescent="0.35"/>
    <row r="83494" hidden="1" x14ac:dyDescent="0.35"/>
    <row r="83495" hidden="1" x14ac:dyDescent="0.35"/>
    <row r="83496" hidden="1" x14ac:dyDescent="0.35"/>
    <row r="83497" hidden="1" x14ac:dyDescent="0.35"/>
    <row r="83498" hidden="1" x14ac:dyDescent="0.35"/>
    <row r="83499" hidden="1" x14ac:dyDescent="0.35"/>
    <row r="83500" hidden="1" x14ac:dyDescent="0.35"/>
    <row r="83501" hidden="1" x14ac:dyDescent="0.35"/>
    <row r="83502" hidden="1" x14ac:dyDescent="0.35"/>
    <row r="83503" hidden="1" x14ac:dyDescent="0.35"/>
    <row r="83504" hidden="1" x14ac:dyDescent="0.35"/>
    <row r="83505" hidden="1" x14ac:dyDescent="0.35"/>
    <row r="83506" hidden="1" x14ac:dyDescent="0.35"/>
    <row r="83507" hidden="1" x14ac:dyDescent="0.35"/>
    <row r="83508" hidden="1" x14ac:dyDescent="0.35"/>
    <row r="83509" hidden="1" x14ac:dyDescent="0.35"/>
    <row r="83510" hidden="1" x14ac:dyDescent="0.35"/>
    <row r="83511" hidden="1" x14ac:dyDescent="0.35"/>
    <row r="83512" hidden="1" x14ac:dyDescent="0.35"/>
    <row r="83513" hidden="1" x14ac:dyDescent="0.35"/>
    <row r="83514" hidden="1" x14ac:dyDescent="0.35"/>
    <row r="83515" hidden="1" x14ac:dyDescent="0.35"/>
    <row r="83516" hidden="1" x14ac:dyDescent="0.35"/>
    <row r="83517" hidden="1" x14ac:dyDescent="0.35"/>
    <row r="83518" hidden="1" x14ac:dyDescent="0.35"/>
    <row r="83519" hidden="1" x14ac:dyDescent="0.35"/>
    <row r="83520" hidden="1" x14ac:dyDescent="0.35"/>
    <row r="83521" hidden="1" x14ac:dyDescent="0.35"/>
    <row r="83522" hidden="1" x14ac:dyDescent="0.35"/>
    <row r="83523" hidden="1" x14ac:dyDescent="0.35"/>
    <row r="83524" hidden="1" x14ac:dyDescent="0.35"/>
    <row r="83525" hidden="1" x14ac:dyDescent="0.35"/>
    <row r="83526" hidden="1" x14ac:dyDescent="0.35"/>
    <row r="83527" hidden="1" x14ac:dyDescent="0.35"/>
    <row r="83528" hidden="1" x14ac:dyDescent="0.35"/>
    <row r="83529" hidden="1" x14ac:dyDescent="0.35"/>
    <row r="83530" hidden="1" x14ac:dyDescent="0.35"/>
    <row r="83531" hidden="1" x14ac:dyDescent="0.35"/>
    <row r="83532" hidden="1" x14ac:dyDescent="0.35"/>
    <row r="83533" hidden="1" x14ac:dyDescent="0.35"/>
    <row r="83534" hidden="1" x14ac:dyDescent="0.35"/>
    <row r="83535" hidden="1" x14ac:dyDescent="0.35"/>
    <row r="83536" hidden="1" x14ac:dyDescent="0.35"/>
    <row r="83537" hidden="1" x14ac:dyDescent="0.35"/>
    <row r="83538" hidden="1" x14ac:dyDescent="0.35"/>
    <row r="83539" hidden="1" x14ac:dyDescent="0.35"/>
    <row r="83540" hidden="1" x14ac:dyDescent="0.35"/>
    <row r="83541" hidden="1" x14ac:dyDescent="0.35"/>
    <row r="83542" hidden="1" x14ac:dyDescent="0.35"/>
    <row r="83543" hidden="1" x14ac:dyDescent="0.35"/>
    <row r="83544" hidden="1" x14ac:dyDescent="0.35"/>
    <row r="83545" hidden="1" x14ac:dyDescent="0.35"/>
    <row r="83546" hidden="1" x14ac:dyDescent="0.35"/>
    <row r="83547" hidden="1" x14ac:dyDescent="0.35"/>
    <row r="83548" hidden="1" x14ac:dyDescent="0.35"/>
    <row r="83549" hidden="1" x14ac:dyDescent="0.35"/>
    <row r="83550" hidden="1" x14ac:dyDescent="0.35"/>
    <row r="83551" hidden="1" x14ac:dyDescent="0.35"/>
    <row r="83552" hidden="1" x14ac:dyDescent="0.35"/>
    <row r="83553" hidden="1" x14ac:dyDescent="0.35"/>
    <row r="83554" hidden="1" x14ac:dyDescent="0.35"/>
    <row r="83555" hidden="1" x14ac:dyDescent="0.35"/>
    <row r="83556" hidden="1" x14ac:dyDescent="0.35"/>
    <row r="83557" hidden="1" x14ac:dyDescent="0.35"/>
    <row r="83558" hidden="1" x14ac:dyDescent="0.35"/>
    <row r="83559" hidden="1" x14ac:dyDescent="0.35"/>
    <row r="83560" hidden="1" x14ac:dyDescent="0.35"/>
    <row r="83561" hidden="1" x14ac:dyDescent="0.35"/>
    <row r="83562" hidden="1" x14ac:dyDescent="0.35"/>
    <row r="83563" hidden="1" x14ac:dyDescent="0.35"/>
    <row r="83564" hidden="1" x14ac:dyDescent="0.35"/>
    <row r="83565" hidden="1" x14ac:dyDescent="0.35"/>
    <row r="83566" hidden="1" x14ac:dyDescent="0.35"/>
    <row r="83567" hidden="1" x14ac:dyDescent="0.35"/>
    <row r="83568" hidden="1" x14ac:dyDescent="0.35"/>
    <row r="83569" hidden="1" x14ac:dyDescent="0.35"/>
    <row r="83570" hidden="1" x14ac:dyDescent="0.35"/>
    <row r="83571" hidden="1" x14ac:dyDescent="0.35"/>
    <row r="83572" hidden="1" x14ac:dyDescent="0.35"/>
    <row r="83573" hidden="1" x14ac:dyDescent="0.35"/>
    <row r="83574" hidden="1" x14ac:dyDescent="0.35"/>
    <row r="83575" hidden="1" x14ac:dyDescent="0.35"/>
    <row r="83576" hidden="1" x14ac:dyDescent="0.35"/>
    <row r="83577" hidden="1" x14ac:dyDescent="0.35"/>
    <row r="83578" hidden="1" x14ac:dyDescent="0.35"/>
    <row r="83579" hidden="1" x14ac:dyDescent="0.35"/>
    <row r="83580" hidden="1" x14ac:dyDescent="0.35"/>
    <row r="83581" hidden="1" x14ac:dyDescent="0.35"/>
    <row r="83582" hidden="1" x14ac:dyDescent="0.35"/>
    <row r="83583" hidden="1" x14ac:dyDescent="0.35"/>
    <row r="83584" hidden="1" x14ac:dyDescent="0.35"/>
    <row r="83585" hidden="1" x14ac:dyDescent="0.35"/>
    <row r="83586" hidden="1" x14ac:dyDescent="0.35"/>
    <row r="83587" hidden="1" x14ac:dyDescent="0.35"/>
    <row r="83588" hidden="1" x14ac:dyDescent="0.35"/>
    <row r="83589" hidden="1" x14ac:dyDescent="0.35"/>
    <row r="83590" hidden="1" x14ac:dyDescent="0.35"/>
    <row r="83591" hidden="1" x14ac:dyDescent="0.35"/>
    <row r="83592" hidden="1" x14ac:dyDescent="0.35"/>
    <row r="83593" hidden="1" x14ac:dyDescent="0.35"/>
    <row r="83594" hidden="1" x14ac:dyDescent="0.35"/>
    <row r="83595" hidden="1" x14ac:dyDescent="0.35"/>
    <row r="83596" hidden="1" x14ac:dyDescent="0.35"/>
    <row r="83597" hidden="1" x14ac:dyDescent="0.35"/>
    <row r="83598" hidden="1" x14ac:dyDescent="0.35"/>
    <row r="83599" hidden="1" x14ac:dyDescent="0.35"/>
    <row r="83600" hidden="1" x14ac:dyDescent="0.35"/>
    <row r="83601" hidden="1" x14ac:dyDescent="0.35"/>
    <row r="83602" hidden="1" x14ac:dyDescent="0.35"/>
    <row r="83603" hidden="1" x14ac:dyDescent="0.35"/>
    <row r="83604" hidden="1" x14ac:dyDescent="0.35"/>
    <row r="83605" hidden="1" x14ac:dyDescent="0.35"/>
    <row r="83606" hidden="1" x14ac:dyDescent="0.35"/>
    <row r="83607" hidden="1" x14ac:dyDescent="0.35"/>
    <row r="83608" hidden="1" x14ac:dyDescent="0.35"/>
    <row r="83609" hidden="1" x14ac:dyDescent="0.35"/>
    <row r="83610" hidden="1" x14ac:dyDescent="0.35"/>
    <row r="83611" hidden="1" x14ac:dyDescent="0.35"/>
    <row r="83612" hidden="1" x14ac:dyDescent="0.35"/>
    <row r="83613" hidden="1" x14ac:dyDescent="0.35"/>
    <row r="83614" hidden="1" x14ac:dyDescent="0.35"/>
    <row r="83615" hidden="1" x14ac:dyDescent="0.35"/>
    <row r="83616" hidden="1" x14ac:dyDescent="0.35"/>
    <row r="83617" hidden="1" x14ac:dyDescent="0.35"/>
    <row r="83618" hidden="1" x14ac:dyDescent="0.35"/>
    <row r="83619" hidden="1" x14ac:dyDescent="0.35"/>
    <row r="83620" hidden="1" x14ac:dyDescent="0.35"/>
    <row r="83621" hidden="1" x14ac:dyDescent="0.35"/>
    <row r="83622" hidden="1" x14ac:dyDescent="0.35"/>
    <row r="83623" hidden="1" x14ac:dyDescent="0.35"/>
    <row r="83624" hidden="1" x14ac:dyDescent="0.35"/>
    <row r="83625" hidden="1" x14ac:dyDescent="0.35"/>
    <row r="83626" hidden="1" x14ac:dyDescent="0.35"/>
    <row r="83627" hidden="1" x14ac:dyDescent="0.35"/>
    <row r="83628" hidden="1" x14ac:dyDescent="0.35"/>
    <row r="83629" hidden="1" x14ac:dyDescent="0.35"/>
    <row r="83630" hidden="1" x14ac:dyDescent="0.35"/>
    <row r="83631" hidden="1" x14ac:dyDescent="0.35"/>
    <row r="83632" hidden="1" x14ac:dyDescent="0.35"/>
    <row r="83633" hidden="1" x14ac:dyDescent="0.35"/>
    <row r="83634" hidden="1" x14ac:dyDescent="0.35"/>
    <row r="83635" hidden="1" x14ac:dyDescent="0.35"/>
    <row r="83636" hidden="1" x14ac:dyDescent="0.35"/>
    <row r="83637" hidden="1" x14ac:dyDescent="0.35"/>
    <row r="83638" hidden="1" x14ac:dyDescent="0.35"/>
    <row r="83639" hidden="1" x14ac:dyDescent="0.35"/>
    <row r="83640" hidden="1" x14ac:dyDescent="0.35"/>
    <row r="83641" hidden="1" x14ac:dyDescent="0.35"/>
    <row r="83642" hidden="1" x14ac:dyDescent="0.35"/>
    <row r="83643" hidden="1" x14ac:dyDescent="0.35"/>
    <row r="83644" hidden="1" x14ac:dyDescent="0.35"/>
    <row r="83645" hidden="1" x14ac:dyDescent="0.35"/>
    <row r="83646" hidden="1" x14ac:dyDescent="0.35"/>
    <row r="83647" hidden="1" x14ac:dyDescent="0.35"/>
    <row r="83648" hidden="1" x14ac:dyDescent="0.35"/>
    <row r="83649" hidden="1" x14ac:dyDescent="0.35"/>
    <row r="83650" hidden="1" x14ac:dyDescent="0.35"/>
    <row r="83651" hidden="1" x14ac:dyDescent="0.35"/>
    <row r="83652" hidden="1" x14ac:dyDescent="0.35"/>
    <row r="83653" hidden="1" x14ac:dyDescent="0.35"/>
    <row r="83654" hidden="1" x14ac:dyDescent="0.35"/>
    <row r="83655" hidden="1" x14ac:dyDescent="0.35"/>
    <row r="83656" hidden="1" x14ac:dyDescent="0.35"/>
    <row r="83657" hidden="1" x14ac:dyDescent="0.35"/>
    <row r="83658" hidden="1" x14ac:dyDescent="0.35"/>
    <row r="83659" hidden="1" x14ac:dyDescent="0.35"/>
    <row r="83660" hidden="1" x14ac:dyDescent="0.35"/>
    <row r="83661" hidden="1" x14ac:dyDescent="0.35"/>
    <row r="83662" hidden="1" x14ac:dyDescent="0.35"/>
    <row r="83663" hidden="1" x14ac:dyDescent="0.35"/>
    <row r="83664" hidden="1" x14ac:dyDescent="0.35"/>
    <row r="83665" hidden="1" x14ac:dyDescent="0.35"/>
    <row r="83666" hidden="1" x14ac:dyDescent="0.35"/>
    <row r="83667" hidden="1" x14ac:dyDescent="0.35"/>
    <row r="83668" hidden="1" x14ac:dyDescent="0.35"/>
    <row r="83669" hidden="1" x14ac:dyDescent="0.35"/>
    <row r="83670" hidden="1" x14ac:dyDescent="0.35"/>
    <row r="83671" hidden="1" x14ac:dyDescent="0.35"/>
    <row r="83672" hidden="1" x14ac:dyDescent="0.35"/>
    <row r="83673" hidden="1" x14ac:dyDescent="0.35"/>
    <row r="83674" hidden="1" x14ac:dyDescent="0.35"/>
    <row r="83675" hidden="1" x14ac:dyDescent="0.35"/>
    <row r="83676" hidden="1" x14ac:dyDescent="0.35"/>
    <row r="83677" hidden="1" x14ac:dyDescent="0.35"/>
    <row r="83678" hidden="1" x14ac:dyDescent="0.35"/>
    <row r="83679" hidden="1" x14ac:dyDescent="0.35"/>
    <row r="83680" hidden="1" x14ac:dyDescent="0.35"/>
    <row r="83681" hidden="1" x14ac:dyDescent="0.35"/>
    <row r="83682" hidden="1" x14ac:dyDescent="0.35"/>
    <row r="83683" hidden="1" x14ac:dyDescent="0.35"/>
    <row r="83684" hidden="1" x14ac:dyDescent="0.35"/>
    <row r="83685" hidden="1" x14ac:dyDescent="0.35"/>
    <row r="83686" hidden="1" x14ac:dyDescent="0.35"/>
    <row r="83687" hidden="1" x14ac:dyDescent="0.35"/>
    <row r="83688" hidden="1" x14ac:dyDescent="0.35"/>
    <row r="83689" hidden="1" x14ac:dyDescent="0.35"/>
    <row r="83690" hidden="1" x14ac:dyDescent="0.35"/>
    <row r="83691" hidden="1" x14ac:dyDescent="0.35"/>
    <row r="83692" hidden="1" x14ac:dyDescent="0.35"/>
    <row r="83693" hidden="1" x14ac:dyDescent="0.35"/>
    <row r="83694" hidden="1" x14ac:dyDescent="0.35"/>
    <row r="83695" hidden="1" x14ac:dyDescent="0.35"/>
    <row r="83696" hidden="1" x14ac:dyDescent="0.35"/>
    <row r="83697" hidden="1" x14ac:dyDescent="0.35"/>
    <row r="83698" hidden="1" x14ac:dyDescent="0.35"/>
    <row r="83699" hidden="1" x14ac:dyDescent="0.35"/>
    <row r="83700" hidden="1" x14ac:dyDescent="0.35"/>
    <row r="83701" hidden="1" x14ac:dyDescent="0.35"/>
    <row r="83702" hidden="1" x14ac:dyDescent="0.35"/>
    <row r="83703" hidden="1" x14ac:dyDescent="0.35"/>
    <row r="83704" hidden="1" x14ac:dyDescent="0.35"/>
    <row r="83705" hidden="1" x14ac:dyDescent="0.35"/>
    <row r="83706" hidden="1" x14ac:dyDescent="0.35"/>
    <row r="83707" hidden="1" x14ac:dyDescent="0.35"/>
    <row r="83708" hidden="1" x14ac:dyDescent="0.35"/>
    <row r="83709" hidden="1" x14ac:dyDescent="0.35"/>
    <row r="83710" hidden="1" x14ac:dyDescent="0.35"/>
    <row r="83711" hidden="1" x14ac:dyDescent="0.35"/>
    <row r="83712" hidden="1" x14ac:dyDescent="0.35"/>
    <row r="83713" hidden="1" x14ac:dyDescent="0.35"/>
    <row r="83714" hidden="1" x14ac:dyDescent="0.35"/>
    <row r="83715" hidden="1" x14ac:dyDescent="0.35"/>
    <row r="83716" hidden="1" x14ac:dyDescent="0.35"/>
    <row r="83717" hidden="1" x14ac:dyDescent="0.35"/>
    <row r="83718" hidden="1" x14ac:dyDescent="0.35"/>
    <row r="83719" hidden="1" x14ac:dyDescent="0.35"/>
    <row r="83720" hidden="1" x14ac:dyDescent="0.35"/>
    <row r="83721" hidden="1" x14ac:dyDescent="0.35"/>
    <row r="83722" hidden="1" x14ac:dyDescent="0.35"/>
    <row r="83723" hidden="1" x14ac:dyDescent="0.35"/>
    <row r="83724" hidden="1" x14ac:dyDescent="0.35"/>
    <row r="83725" hidden="1" x14ac:dyDescent="0.35"/>
    <row r="83726" hidden="1" x14ac:dyDescent="0.35"/>
    <row r="83727" hidden="1" x14ac:dyDescent="0.35"/>
    <row r="83728" hidden="1" x14ac:dyDescent="0.35"/>
    <row r="83729" hidden="1" x14ac:dyDescent="0.35"/>
    <row r="83730" hidden="1" x14ac:dyDescent="0.35"/>
    <row r="83731" hidden="1" x14ac:dyDescent="0.35"/>
    <row r="83732" hidden="1" x14ac:dyDescent="0.35"/>
    <row r="83733" hidden="1" x14ac:dyDescent="0.35"/>
    <row r="83734" hidden="1" x14ac:dyDescent="0.35"/>
    <row r="83735" hidden="1" x14ac:dyDescent="0.35"/>
    <row r="83736" hidden="1" x14ac:dyDescent="0.35"/>
    <row r="83737" hidden="1" x14ac:dyDescent="0.35"/>
    <row r="83738" hidden="1" x14ac:dyDescent="0.35"/>
    <row r="83739" hidden="1" x14ac:dyDescent="0.35"/>
    <row r="83740" hidden="1" x14ac:dyDescent="0.35"/>
    <row r="83741" hidden="1" x14ac:dyDescent="0.35"/>
    <row r="83742" hidden="1" x14ac:dyDescent="0.35"/>
    <row r="83743" hidden="1" x14ac:dyDescent="0.35"/>
    <row r="83744" hidden="1" x14ac:dyDescent="0.35"/>
    <row r="83745" hidden="1" x14ac:dyDescent="0.35"/>
    <row r="83746" hidden="1" x14ac:dyDescent="0.35"/>
    <row r="83747" hidden="1" x14ac:dyDescent="0.35"/>
    <row r="83748" hidden="1" x14ac:dyDescent="0.35"/>
    <row r="83749" hidden="1" x14ac:dyDescent="0.35"/>
    <row r="83750" hidden="1" x14ac:dyDescent="0.35"/>
    <row r="83751" hidden="1" x14ac:dyDescent="0.35"/>
    <row r="83752" hidden="1" x14ac:dyDescent="0.35"/>
    <row r="83753" hidden="1" x14ac:dyDescent="0.35"/>
    <row r="83754" hidden="1" x14ac:dyDescent="0.35"/>
    <row r="83755" hidden="1" x14ac:dyDescent="0.35"/>
    <row r="83756" hidden="1" x14ac:dyDescent="0.35"/>
    <row r="83757" hidden="1" x14ac:dyDescent="0.35"/>
    <row r="83758" hidden="1" x14ac:dyDescent="0.35"/>
    <row r="83759" hidden="1" x14ac:dyDescent="0.35"/>
    <row r="83760" hidden="1" x14ac:dyDescent="0.35"/>
    <row r="83761" hidden="1" x14ac:dyDescent="0.35"/>
    <row r="83762" hidden="1" x14ac:dyDescent="0.35"/>
    <row r="83763" hidden="1" x14ac:dyDescent="0.35"/>
    <row r="83764" hidden="1" x14ac:dyDescent="0.35"/>
    <row r="83765" hidden="1" x14ac:dyDescent="0.35"/>
    <row r="83766" hidden="1" x14ac:dyDescent="0.35"/>
    <row r="83767" hidden="1" x14ac:dyDescent="0.35"/>
    <row r="83768" hidden="1" x14ac:dyDescent="0.35"/>
    <row r="83769" hidden="1" x14ac:dyDescent="0.35"/>
    <row r="83770" hidden="1" x14ac:dyDescent="0.35"/>
    <row r="83771" hidden="1" x14ac:dyDescent="0.35"/>
    <row r="83772" hidden="1" x14ac:dyDescent="0.35"/>
    <row r="83773" hidden="1" x14ac:dyDescent="0.35"/>
    <row r="83774" hidden="1" x14ac:dyDescent="0.35"/>
    <row r="83775" hidden="1" x14ac:dyDescent="0.35"/>
    <row r="83776" hidden="1" x14ac:dyDescent="0.35"/>
    <row r="83777" hidden="1" x14ac:dyDescent="0.35"/>
    <row r="83778" hidden="1" x14ac:dyDescent="0.35"/>
    <row r="83779" hidden="1" x14ac:dyDescent="0.35"/>
    <row r="83780" hidden="1" x14ac:dyDescent="0.35"/>
    <row r="83781" hidden="1" x14ac:dyDescent="0.35"/>
    <row r="83782" hidden="1" x14ac:dyDescent="0.35"/>
    <row r="83783" hidden="1" x14ac:dyDescent="0.35"/>
    <row r="83784" hidden="1" x14ac:dyDescent="0.35"/>
    <row r="83785" hidden="1" x14ac:dyDescent="0.35"/>
    <row r="83786" hidden="1" x14ac:dyDescent="0.35"/>
    <row r="83787" hidden="1" x14ac:dyDescent="0.35"/>
    <row r="83788" hidden="1" x14ac:dyDescent="0.35"/>
    <row r="83789" hidden="1" x14ac:dyDescent="0.35"/>
    <row r="83790" hidden="1" x14ac:dyDescent="0.35"/>
    <row r="83791" hidden="1" x14ac:dyDescent="0.35"/>
    <row r="83792" hidden="1" x14ac:dyDescent="0.35"/>
    <row r="83793" hidden="1" x14ac:dyDescent="0.35"/>
    <row r="83794" hidden="1" x14ac:dyDescent="0.35"/>
    <row r="83795" hidden="1" x14ac:dyDescent="0.35"/>
    <row r="83796" hidden="1" x14ac:dyDescent="0.35"/>
    <row r="83797" hidden="1" x14ac:dyDescent="0.35"/>
    <row r="83798" hidden="1" x14ac:dyDescent="0.35"/>
    <row r="83799" hidden="1" x14ac:dyDescent="0.35"/>
    <row r="83800" hidden="1" x14ac:dyDescent="0.35"/>
    <row r="83801" hidden="1" x14ac:dyDescent="0.35"/>
    <row r="83802" hidden="1" x14ac:dyDescent="0.35"/>
    <row r="83803" hidden="1" x14ac:dyDescent="0.35"/>
    <row r="83804" hidden="1" x14ac:dyDescent="0.35"/>
    <row r="83805" hidden="1" x14ac:dyDescent="0.35"/>
    <row r="83806" hidden="1" x14ac:dyDescent="0.35"/>
    <row r="83807" hidden="1" x14ac:dyDescent="0.35"/>
    <row r="83808" hidden="1" x14ac:dyDescent="0.35"/>
    <row r="83809" hidden="1" x14ac:dyDescent="0.35"/>
    <row r="83810" hidden="1" x14ac:dyDescent="0.35"/>
    <row r="83811" hidden="1" x14ac:dyDescent="0.35"/>
    <row r="83812" hidden="1" x14ac:dyDescent="0.35"/>
    <row r="83813" hidden="1" x14ac:dyDescent="0.35"/>
    <row r="83814" hidden="1" x14ac:dyDescent="0.35"/>
    <row r="83815" hidden="1" x14ac:dyDescent="0.35"/>
    <row r="83816" hidden="1" x14ac:dyDescent="0.35"/>
    <row r="83817" hidden="1" x14ac:dyDescent="0.35"/>
    <row r="83818" hidden="1" x14ac:dyDescent="0.35"/>
    <row r="83819" hidden="1" x14ac:dyDescent="0.35"/>
    <row r="83820" hidden="1" x14ac:dyDescent="0.35"/>
    <row r="83821" hidden="1" x14ac:dyDescent="0.35"/>
    <row r="83822" hidden="1" x14ac:dyDescent="0.35"/>
    <row r="83823" hidden="1" x14ac:dyDescent="0.35"/>
    <row r="83824" hidden="1" x14ac:dyDescent="0.35"/>
    <row r="83825" hidden="1" x14ac:dyDescent="0.35"/>
    <row r="83826" hidden="1" x14ac:dyDescent="0.35"/>
    <row r="83827" hidden="1" x14ac:dyDescent="0.35"/>
    <row r="83828" hidden="1" x14ac:dyDescent="0.35"/>
    <row r="83829" hidden="1" x14ac:dyDescent="0.35"/>
    <row r="83830" hidden="1" x14ac:dyDescent="0.35"/>
    <row r="83831" hidden="1" x14ac:dyDescent="0.35"/>
    <row r="83832" hidden="1" x14ac:dyDescent="0.35"/>
    <row r="83833" hidden="1" x14ac:dyDescent="0.35"/>
    <row r="83834" hidden="1" x14ac:dyDescent="0.35"/>
    <row r="83835" hidden="1" x14ac:dyDescent="0.35"/>
    <row r="83836" hidden="1" x14ac:dyDescent="0.35"/>
    <row r="83837" hidden="1" x14ac:dyDescent="0.35"/>
    <row r="83838" hidden="1" x14ac:dyDescent="0.35"/>
    <row r="83839" hidden="1" x14ac:dyDescent="0.35"/>
    <row r="83840" hidden="1" x14ac:dyDescent="0.35"/>
    <row r="83841" hidden="1" x14ac:dyDescent="0.35"/>
    <row r="83842" hidden="1" x14ac:dyDescent="0.35"/>
    <row r="83843" hidden="1" x14ac:dyDescent="0.35"/>
    <row r="83844" hidden="1" x14ac:dyDescent="0.35"/>
    <row r="83845" hidden="1" x14ac:dyDescent="0.35"/>
    <row r="83846" hidden="1" x14ac:dyDescent="0.35"/>
    <row r="83847" hidden="1" x14ac:dyDescent="0.35"/>
    <row r="83848" hidden="1" x14ac:dyDescent="0.35"/>
    <row r="83849" hidden="1" x14ac:dyDescent="0.35"/>
    <row r="83850" hidden="1" x14ac:dyDescent="0.35"/>
    <row r="83851" hidden="1" x14ac:dyDescent="0.35"/>
    <row r="83852" hidden="1" x14ac:dyDescent="0.35"/>
    <row r="83853" hidden="1" x14ac:dyDescent="0.35"/>
    <row r="83854" hidden="1" x14ac:dyDescent="0.35"/>
    <row r="83855" hidden="1" x14ac:dyDescent="0.35"/>
    <row r="83856" hidden="1" x14ac:dyDescent="0.35"/>
    <row r="83857" hidden="1" x14ac:dyDescent="0.35"/>
    <row r="83858" hidden="1" x14ac:dyDescent="0.35"/>
    <row r="83859" hidden="1" x14ac:dyDescent="0.35"/>
    <row r="83860" hidden="1" x14ac:dyDescent="0.35"/>
    <row r="83861" hidden="1" x14ac:dyDescent="0.35"/>
    <row r="83862" hidden="1" x14ac:dyDescent="0.35"/>
    <row r="83863" hidden="1" x14ac:dyDescent="0.35"/>
    <row r="83864" hidden="1" x14ac:dyDescent="0.35"/>
    <row r="83865" hidden="1" x14ac:dyDescent="0.35"/>
    <row r="83866" hidden="1" x14ac:dyDescent="0.35"/>
    <row r="83867" hidden="1" x14ac:dyDescent="0.35"/>
    <row r="83868" hidden="1" x14ac:dyDescent="0.35"/>
    <row r="83869" hidden="1" x14ac:dyDescent="0.35"/>
    <row r="83870" hidden="1" x14ac:dyDescent="0.35"/>
    <row r="83871" hidden="1" x14ac:dyDescent="0.35"/>
    <row r="83872" hidden="1" x14ac:dyDescent="0.35"/>
    <row r="83873" hidden="1" x14ac:dyDescent="0.35"/>
    <row r="83874" hidden="1" x14ac:dyDescent="0.35"/>
    <row r="83875" hidden="1" x14ac:dyDescent="0.35"/>
    <row r="83876" hidden="1" x14ac:dyDescent="0.35"/>
    <row r="83877" hidden="1" x14ac:dyDescent="0.35"/>
    <row r="83878" hidden="1" x14ac:dyDescent="0.35"/>
    <row r="83879" hidden="1" x14ac:dyDescent="0.35"/>
    <row r="83880" hidden="1" x14ac:dyDescent="0.35"/>
    <row r="83881" hidden="1" x14ac:dyDescent="0.35"/>
    <row r="83882" hidden="1" x14ac:dyDescent="0.35"/>
    <row r="83883" hidden="1" x14ac:dyDescent="0.35"/>
    <row r="83884" hidden="1" x14ac:dyDescent="0.35"/>
    <row r="83885" hidden="1" x14ac:dyDescent="0.35"/>
    <row r="83886" hidden="1" x14ac:dyDescent="0.35"/>
    <row r="83887" hidden="1" x14ac:dyDescent="0.35"/>
    <row r="83888" hidden="1" x14ac:dyDescent="0.35"/>
    <row r="83889" hidden="1" x14ac:dyDescent="0.35"/>
    <row r="83890" hidden="1" x14ac:dyDescent="0.35"/>
    <row r="83891" hidden="1" x14ac:dyDescent="0.35"/>
    <row r="83892" hidden="1" x14ac:dyDescent="0.35"/>
    <row r="83893" hidden="1" x14ac:dyDescent="0.35"/>
    <row r="83894" hidden="1" x14ac:dyDescent="0.35"/>
    <row r="83895" hidden="1" x14ac:dyDescent="0.35"/>
    <row r="83896" hidden="1" x14ac:dyDescent="0.35"/>
    <row r="83897" hidden="1" x14ac:dyDescent="0.35"/>
    <row r="83898" hidden="1" x14ac:dyDescent="0.35"/>
    <row r="83899" hidden="1" x14ac:dyDescent="0.35"/>
    <row r="83900" hidden="1" x14ac:dyDescent="0.35"/>
    <row r="83901" hidden="1" x14ac:dyDescent="0.35"/>
    <row r="83902" hidden="1" x14ac:dyDescent="0.35"/>
    <row r="83903" hidden="1" x14ac:dyDescent="0.35"/>
    <row r="83904" hidden="1" x14ac:dyDescent="0.35"/>
    <row r="83905" hidden="1" x14ac:dyDescent="0.35"/>
    <row r="83906" hidden="1" x14ac:dyDescent="0.35"/>
    <row r="83907" hidden="1" x14ac:dyDescent="0.35"/>
    <row r="83908" hidden="1" x14ac:dyDescent="0.35"/>
    <row r="83909" hidden="1" x14ac:dyDescent="0.35"/>
    <row r="83910" hidden="1" x14ac:dyDescent="0.35"/>
    <row r="83911" hidden="1" x14ac:dyDescent="0.35"/>
    <row r="83912" hidden="1" x14ac:dyDescent="0.35"/>
    <row r="83913" hidden="1" x14ac:dyDescent="0.35"/>
    <row r="83914" hidden="1" x14ac:dyDescent="0.35"/>
    <row r="83915" hidden="1" x14ac:dyDescent="0.35"/>
    <row r="83916" hidden="1" x14ac:dyDescent="0.35"/>
    <row r="83917" hidden="1" x14ac:dyDescent="0.35"/>
    <row r="83918" hidden="1" x14ac:dyDescent="0.35"/>
    <row r="83919" hidden="1" x14ac:dyDescent="0.35"/>
    <row r="83920" hidden="1" x14ac:dyDescent="0.35"/>
    <row r="83921" hidden="1" x14ac:dyDescent="0.35"/>
    <row r="83922" hidden="1" x14ac:dyDescent="0.35"/>
    <row r="83923" hidden="1" x14ac:dyDescent="0.35"/>
    <row r="83924" hidden="1" x14ac:dyDescent="0.35"/>
    <row r="83925" hidden="1" x14ac:dyDescent="0.35"/>
    <row r="83926" hidden="1" x14ac:dyDescent="0.35"/>
    <row r="83927" hidden="1" x14ac:dyDescent="0.35"/>
    <row r="83928" hidden="1" x14ac:dyDescent="0.35"/>
    <row r="83929" hidden="1" x14ac:dyDescent="0.35"/>
    <row r="83930" hidden="1" x14ac:dyDescent="0.35"/>
    <row r="83931" hidden="1" x14ac:dyDescent="0.35"/>
    <row r="83932" hidden="1" x14ac:dyDescent="0.35"/>
    <row r="83933" hidden="1" x14ac:dyDescent="0.35"/>
    <row r="83934" hidden="1" x14ac:dyDescent="0.35"/>
    <row r="83935" hidden="1" x14ac:dyDescent="0.35"/>
    <row r="83936" hidden="1" x14ac:dyDescent="0.35"/>
    <row r="83937" hidden="1" x14ac:dyDescent="0.35"/>
    <row r="83938" hidden="1" x14ac:dyDescent="0.35"/>
    <row r="83939" hidden="1" x14ac:dyDescent="0.35"/>
    <row r="83940" hidden="1" x14ac:dyDescent="0.35"/>
    <row r="83941" hidden="1" x14ac:dyDescent="0.35"/>
    <row r="83942" hidden="1" x14ac:dyDescent="0.35"/>
    <row r="83943" hidden="1" x14ac:dyDescent="0.35"/>
    <row r="83944" hidden="1" x14ac:dyDescent="0.35"/>
    <row r="83945" hidden="1" x14ac:dyDescent="0.35"/>
    <row r="83946" hidden="1" x14ac:dyDescent="0.35"/>
    <row r="83947" hidden="1" x14ac:dyDescent="0.35"/>
    <row r="83948" hidden="1" x14ac:dyDescent="0.35"/>
    <row r="83949" hidden="1" x14ac:dyDescent="0.35"/>
    <row r="83950" hidden="1" x14ac:dyDescent="0.35"/>
    <row r="83951" hidden="1" x14ac:dyDescent="0.35"/>
    <row r="83952" hidden="1" x14ac:dyDescent="0.35"/>
    <row r="83953" hidden="1" x14ac:dyDescent="0.35"/>
    <row r="83954" hidden="1" x14ac:dyDescent="0.35"/>
    <row r="83955" hidden="1" x14ac:dyDescent="0.35"/>
    <row r="83956" hidden="1" x14ac:dyDescent="0.35"/>
    <row r="83957" hidden="1" x14ac:dyDescent="0.35"/>
    <row r="83958" hidden="1" x14ac:dyDescent="0.35"/>
    <row r="83959" hidden="1" x14ac:dyDescent="0.35"/>
    <row r="83960" hidden="1" x14ac:dyDescent="0.35"/>
    <row r="83961" hidden="1" x14ac:dyDescent="0.35"/>
    <row r="83962" hidden="1" x14ac:dyDescent="0.35"/>
    <row r="83963" hidden="1" x14ac:dyDescent="0.35"/>
    <row r="83964" hidden="1" x14ac:dyDescent="0.35"/>
    <row r="83965" hidden="1" x14ac:dyDescent="0.35"/>
    <row r="83966" hidden="1" x14ac:dyDescent="0.35"/>
    <row r="83967" hidden="1" x14ac:dyDescent="0.35"/>
    <row r="83968" hidden="1" x14ac:dyDescent="0.35"/>
    <row r="83969" hidden="1" x14ac:dyDescent="0.35"/>
    <row r="83970" hidden="1" x14ac:dyDescent="0.35"/>
    <row r="83971" hidden="1" x14ac:dyDescent="0.35"/>
    <row r="83972" hidden="1" x14ac:dyDescent="0.35"/>
    <row r="83973" hidden="1" x14ac:dyDescent="0.35"/>
    <row r="83974" hidden="1" x14ac:dyDescent="0.35"/>
    <row r="83975" hidden="1" x14ac:dyDescent="0.35"/>
    <row r="83976" hidden="1" x14ac:dyDescent="0.35"/>
    <row r="83977" hidden="1" x14ac:dyDescent="0.35"/>
    <row r="83978" hidden="1" x14ac:dyDescent="0.35"/>
    <row r="83979" hidden="1" x14ac:dyDescent="0.35"/>
    <row r="83980" hidden="1" x14ac:dyDescent="0.35"/>
    <row r="83981" hidden="1" x14ac:dyDescent="0.35"/>
    <row r="83982" hidden="1" x14ac:dyDescent="0.35"/>
    <row r="83983" hidden="1" x14ac:dyDescent="0.35"/>
    <row r="83984" hidden="1" x14ac:dyDescent="0.35"/>
    <row r="83985" hidden="1" x14ac:dyDescent="0.35"/>
    <row r="83986" hidden="1" x14ac:dyDescent="0.35"/>
    <row r="83987" hidden="1" x14ac:dyDescent="0.35"/>
    <row r="83988" hidden="1" x14ac:dyDescent="0.35"/>
    <row r="83989" hidden="1" x14ac:dyDescent="0.35"/>
    <row r="83990" hidden="1" x14ac:dyDescent="0.35"/>
    <row r="83991" hidden="1" x14ac:dyDescent="0.35"/>
    <row r="83992" hidden="1" x14ac:dyDescent="0.35"/>
    <row r="83993" hidden="1" x14ac:dyDescent="0.35"/>
    <row r="83994" hidden="1" x14ac:dyDescent="0.35"/>
    <row r="83995" hidden="1" x14ac:dyDescent="0.35"/>
    <row r="83996" hidden="1" x14ac:dyDescent="0.35"/>
    <row r="83997" hidden="1" x14ac:dyDescent="0.35"/>
    <row r="83998" hidden="1" x14ac:dyDescent="0.35"/>
    <row r="83999" hidden="1" x14ac:dyDescent="0.35"/>
    <row r="84000" hidden="1" x14ac:dyDescent="0.35"/>
    <row r="84001" hidden="1" x14ac:dyDescent="0.35"/>
    <row r="84002" hidden="1" x14ac:dyDescent="0.35"/>
    <row r="84003" hidden="1" x14ac:dyDescent="0.35"/>
    <row r="84004" hidden="1" x14ac:dyDescent="0.35"/>
    <row r="84005" hidden="1" x14ac:dyDescent="0.35"/>
    <row r="84006" hidden="1" x14ac:dyDescent="0.35"/>
    <row r="84007" hidden="1" x14ac:dyDescent="0.35"/>
    <row r="84008" hidden="1" x14ac:dyDescent="0.35"/>
    <row r="84009" hidden="1" x14ac:dyDescent="0.35"/>
    <row r="84010" hidden="1" x14ac:dyDescent="0.35"/>
    <row r="84011" hidden="1" x14ac:dyDescent="0.35"/>
    <row r="84012" hidden="1" x14ac:dyDescent="0.35"/>
    <row r="84013" hidden="1" x14ac:dyDescent="0.35"/>
    <row r="84014" hidden="1" x14ac:dyDescent="0.35"/>
    <row r="84015" hidden="1" x14ac:dyDescent="0.35"/>
    <row r="84016" hidden="1" x14ac:dyDescent="0.35"/>
    <row r="84017" hidden="1" x14ac:dyDescent="0.35"/>
    <row r="84018" hidden="1" x14ac:dyDescent="0.35"/>
    <row r="84019" hidden="1" x14ac:dyDescent="0.35"/>
    <row r="84020" hidden="1" x14ac:dyDescent="0.35"/>
    <row r="84021" hidden="1" x14ac:dyDescent="0.35"/>
    <row r="84022" hidden="1" x14ac:dyDescent="0.35"/>
    <row r="84023" hidden="1" x14ac:dyDescent="0.35"/>
    <row r="84024" hidden="1" x14ac:dyDescent="0.35"/>
    <row r="84025" hidden="1" x14ac:dyDescent="0.35"/>
    <row r="84026" hidden="1" x14ac:dyDescent="0.35"/>
    <row r="84027" hidden="1" x14ac:dyDescent="0.35"/>
    <row r="84028" hidden="1" x14ac:dyDescent="0.35"/>
    <row r="84029" hidden="1" x14ac:dyDescent="0.35"/>
    <row r="84030" hidden="1" x14ac:dyDescent="0.35"/>
    <row r="84031" hidden="1" x14ac:dyDescent="0.35"/>
    <row r="84032" hidden="1" x14ac:dyDescent="0.35"/>
    <row r="84033" hidden="1" x14ac:dyDescent="0.35"/>
    <row r="84034" hidden="1" x14ac:dyDescent="0.35"/>
    <row r="84035" hidden="1" x14ac:dyDescent="0.35"/>
    <row r="84036" hidden="1" x14ac:dyDescent="0.35"/>
    <row r="84037" hidden="1" x14ac:dyDescent="0.35"/>
    <row r="84038" hidden="1" x14ac:dyDescent="0.35"/>
    <row r="84039" hidden="1" x14ac:dyDescent="0.35"/>
    <row r="84040" hidden="1" x14ac:dyDescent="0.35"/>
    <row r="84041" hidden="1" x14ac:dyDescent="0.35"/>
    <row r="84042" hidden="1" x14ac:dyDescent="0.35"/>
    <row r="84043" hidden="1" x14ac:dyDescent="0.35"/>
    <row r="84044" hidden="1" x14ac:dyDescent="0.35"/>
    <row r="84045" hidden="1" x14ac:dyDescent="0.35"/>
    <row r="84046" hidden="1" x14ac:dyDescent="0.35"/>
    <row r="84047" hidden="1" x14ac:dyDescent="0.35"/>
    <row r="84048" hidden="1" x14ac:dyDescent="0.35"/>
    <row r="84049" hidden="1" x14ac:dyDescent="0.35"/>
    <row r="84050" hidden="1" x14ac:dyDescent="0.35"/>
    <row r="84051" hidden="1" x14ac:dyDescent="0.35"/>
    <row r="84052" hidden="1" x14ac:dyDescent="0.35"/>
    <row r="84053" hidden="1" x14ac:dyDescent="0.35"/>
    <row r="84054" hidden="1" x14ac:dyDescent="0.35"/>
    <row r="84055" hidden="1" x14ac:dyDescent="0.35"/>
    <row r="84056" hidden="1" x14ac:dyDescent="0.35"/>
    <row r="84057" hidden="1" x14ac:dyDescent="0.35"/>
    <row r="84058" hidden="1" x14ac:dyDescent="0.35"/>
    <row r="84059" hidden="1" x14ac:dyDescent="0.35"/>
    <row r="84060" hidden="1" x14ac:dyDescent="0.35"/>
    <row r="84061" hidden="1" x14ac:dyDescent="0.35"/>
    <row r="84062" hidden="1" x14ac:dyDescent="0.35"/>
    <row r="84063" hidden="1" x14ac:dyDescent="0.35"/>
    <row r="84064" hidden="1" x14ac:dyDescent="0.35"/>
    <row r="84065" hidden="1" x14ac:dyDescent="0.35"/>
    <row r="84066" hidden="1" x14ac:dyDescent="0.35"/>
    <row r="84067" hidden="1" x14ac:dyDescent="0.35"/>
    <row r="84068" hidden="1" x14ac:dyDescent="0.35"/>
    <row r="84069" hidden="1" x14ac:dyDescent="0.35"/>
    <row r="84070" hidden="1" x14ac:dyDescent="0.35"/>
    <row r="84071" hidden="1" x14ac:dyDescent="0.35"/>
    <row r="84072" hidden="1" x14ac:dyDescent="0.35"/>
    <row r="84073" hidden="1" x14ac:dyDescent="0.35"/>
    <row r="84074" hidden="1" x14ac:dyDescent="0.35"/>
    <row r="84075" hidden="1" x14ac:dyDescent="0.35"/>
    <row r="84076" hidden="1" x14ac:dyDescent="0.35"/>
    <row r="84077" hidden="1" x14ac:dyDescent="0.35"/>
    <row r="84078" hidden="1" x14ac:dyDescent="0.35"/>
    <row r="84079" hidden="1" x14ac:dyDescent="0.35"/>
    <row r="84080" hidden="1" x14ac:dyDescent="0.35"/>
    <row r="84081" hidden="1" x14ac:dyDescent="0.35"/>
    <row r="84082" hidden="1" x14ac:dyDescent="0.35"/>
    <row r="84083" hidden="1" x14ac:dyDescent="0.35"/>
    <row r="84084" hidden="1" x14ac:dyDescent="0.35"/>
    <row r="84085" hidden="1" x14ac:dyDescent="0.35"/>
    <row r="84086" hidden="1" x14ac:dyDescent="0.35"/>
    <row r="84087" hidden="1" x14ac:dyDescent="0.35"/>
    <row r="84088" hidden="1" x14ac:dyDescent="0.35"/>
    <row r="84089" hidden="1" x14ac:dyDescent="0.35"/>
    <row r="84090" hidden="1" x14ac:dyDescent="0.35"/>
    <row r="84091" hidden="1" x14ac:dyDescent="0.35"/>
    <row r="84092" hidden="1" x14ac:dyDescent="0.35"/>
    <row r="84093" hidden="1" x14ac:dyDescent="0.35"/>
    <row r="84094" hidden="1" x14ac:dyDescent="0.35"/>
    <row r="84095" hidden="1" x14ac:dyDescent="0.35"/>
    <row r="84096" hidden="1" x14ac:dyDescent="0.35"/>
    <row r="84097" hidden="1" x14ac:dyDescent="0.35"/>
    <row r="84098" hidden="1" x14ac:dyDescent="0.35"/>
    <row r="84099" hidden="1" x14ac:dyDescent="0.35"/>
    <row r="84100" hidden="1" x14ac:dyDescent="0.35"/>
    <row r="84101" hidden="1" x14ac:dyDescent="0.35"/>
    <row r="84102" hidden="1" x14ac:dyDescent="0.35"/>
    <row r="84103" hidden="1" x14ac:dyDescent="0.35"/>
    <row r="84104" hidden="1" x14ac:dyDescent="0.35"/>
    <row r="84105" hidden="1" x14ac:dyDescent="0.35"/>
    <row r="84106" hidden="1" x14ac:dyDescent="0.35"/>
    <row r="84107" hidden="1" x14ac:dyDescent="0.35"/>
    <row r="84108" hidden="1" x14ac:dyDescent="0.35"/>
    <row r="84109" hidden="1" x14ac:dyDescent="0.35"/>
    <row r="84110" hidden="1" x14ac:dyDescent="0.35"/>
    <row r="84111" hidden="1" x14ac:dyDescent="0.35"/>
    <row r="84112" hidden="1" x14ac:dyDescent="0.35"/>
    <row r="84113" hidden="1" x14ac:dyDescent="0.35"/>
    <row r="84114" hidden="1" x14ac:dyDescent="0.35"/>
    <row r="84115" hidden="1" x14ac:dyDescent="0.35"/>
    <row r="84116" hidden="1" x14ac:dyDescent="0.35"/>
    <row r="84117" hidden="1" x14ac:dyDescent="0.35"/>
    <row r="84118" hidden="1" x14ac:dyDescent="0.35"/>
    <row r="84119" hidden="1" x14ac:dyDescent="0.35"/>
    <row r="84120" hidden="1" x14ac:dyDescent="0.35"/>
    <row r="84121" hidden="1" x14ac:dyDescent="0.35"/>
    <row r="84122" hidden="1" x14ac:dyDescent="0.35"/>
    <row r="84123" hidden="1" x14ac:dyDescent="0.35"/>
    <row r="84124" hidden="1" x14ac:dyDescent="0.35"/>
    <row r="84125" hidden="1" x14ac:dyDescent="0.35"/>
    <row r="84126" hidden="1" x14ac:dyDescent="0.35"/>
    <row r="84127" hidden="1" x14ac:dyDescent="0.35"/>
    <row r="84128" hidden="1" x14ac:dyDescent="0.35"/>
    <row r="84129" hidden="1" x14ac:dyDescent="0.35"/>
    <row r="84130" hidden="1" x14ac:dyDescent="0.35"/>
    <row r="84131" hidden="1" x14ac:dyDescent="0.35"/>
    <row r="84132" hidden="1" x14ac:dyDescent="0.35"/>
    <row r="84133" hidden="1" x14ac:dyDescent="0.35"/>
    <row r="84134" hidden="1" x14ac:dyDescent="0.35"/>
    <row r="84135" hidden="1" x14ac:dyDescent="0.35"/>
    <row r="84136" hidden="1" x14ac:dyDescent="0.35"/>
    <row r="84137" hidden="1" x14ac:dyDescent="0.35"/>
    <row r="84138" hidden="1" x14ac:dyDescent="0.35"/>
    <row r="84139" hidden="1" x14ac:dyDescent="0.35"/>
    <row r="84140" hidden="1" x14ac:dyDescent="0.35"/>
    <row r="84141" hidden="1" x14ac:dyDescent="0.35"/>
    <row r="84142" hidden="1" x14ac:dyDescent="0.35"/>
    <row r="84143" hidden="1" x14ac:dyDescent="0.35"/>
    <row r="84144" hidden="1" x14ac:dyDescent="0.35"/>
    <row r="84145" hidden="1" x14ac:dyDescent="0.35"/>
    <row r="84146" hidden="1" x14ac:dyDescent="0.35"/>
    <row r="84147" hidden="1" x14ac:dyDescent="0.35"/>
    <row r="84148" hidden="1" x14ac:dyDescent="0.35"/>
    <row r="84149" hidden="1" x14ac:dyDescent="0.35"/>
    <row r="84150" hidden="1" x14ac:dyDescent="0.35"/>
    <row r="84151" hidden="1" x14ac:dyDescent="0.35"/>
    <row r="84152" hidden="1" x14ac:dyDescent="0.35"/>
    <row r="84153" hidden="1" x14ac:dyDescent="0.35"/>
    <row r="84154" hidden="1" x14ac:dyDescent="0.35"/>
    <row r="84155" hidden="1" x14ac:dyDescent="0.35"/>
    <row r="84156" hidden="1" x14ac:dyDescent="0.35"/>
    <row r="84157" hidden="1" x14ac:dyDescent="0.35"/>
    <row r="84158" hidden="1" x14ac:dyDescent="0.35"/>
    <row r="84159" hidden="1" x14ac:dyDescent="0.35"/>
    <row r="84160" hidden="1" x14ac:dyDescent="0.35"/>
    <row r="84161" hidden="1" x14ac:dyDescent="0.35"/>
    <row r="84162" hidden="1" x14ac:dyDescent="0.35"/>
    <row r="84163" hidden="1" x14ac:dyDescent="0.35"/>
    <row r="84164" hidden="1" x14ac:dyDescent="0.35"/>
    <row r="84165" hidden="1" x14ac:dyDescent="0.35"/>
    <row r="84166" hidden="1" x14ac:dyDescent="0.35"/>
    <row r="84167" hidden="1" x14ac:dyDescent="0.35"/>
    <row r="84168" hidden="1" x14ac:dyDescent="0.35"/>
    <row r="84169" hidden="1" x14ac:dyDescent="0.35"/>
    <row r="84170" hidden="1" x14ac:dyDescent="0.35"/>
    <row r="84171" hidden="1" x14ac:dyDescent="0.35"/>
    <row r="84172" hidden="1" x14ac:dyDescent="0.35"/>
    <row r="84173" hidden="1" x14ac:dyDescent="0.35"/>
    <row r="84174" hidden="1" x14ac:dyDescent="0.35"/>
    <row r="84175" hidden="1" x14ac:dyDescent="0.35"/>
    <row r="84176" hidden="1" x14ac:dyDescent="0.35"/>
    <row r="84177" hidden="1" x14ac:dyDescent="0.35"/>
    <row r="84178" hidden="1" x14ac:dyDescent="0.35"/>
    <row r="84179" hidden="1" x14ac:dyDescent="0.35"/>
    <row r="84180" hidden="1" x14ac:dyDescent="0.35"/>
    <row r="84181" hidden="1" x14ac:dyDescent="0.35"/>
    <row r="84182" hidden="1" x14ac:dyDescent="0.35"/>
    <row r="84183" hidden="1" x14ac:dyDescent="0.35"/>
    <row r="84184" hidden="1" x14ac:dyDescent="0.35"/>
    <row r="84185" hidden="1" x14ac:dyDescent="0.35"/>
    <row r="84186" hidden="1" x14ac:dyDescent="0.35"/>
    <row r="84187" hidden="1" x14ac:dyDescent="0.35"/>
    <row r="84188" hidden="1" x14ac:dyDescent="0.35"/>
    <row r="84189" hidden="1" x14ac:dyDescent="0.35"/>
    <row r="84190" hidden="1" x14ac:dyDescent="0.35"/>
    <row r="84191" hidden="1" x14ac:dyDescent="0.35"/>
    <row r="84192" hidden="1" x14ac:dyDescent="0.35"/>
    <row r="84193" hidden="1" x14ac:dyDescent="0.35"/>
    <row r="84194" hidden="1" x14ac:dyDescent="0.35"/>
    <row r="84195" hidden="1" x14ac:dyDescent="0.35"/>
    <row r="84196" hidden="1" x14ac:dyDescent="0.35"/>
    <row r="84197" hidden="1" x14ac:dyDescent="0.35"/>
    <row r="84198" hidden="1" x14ac:dyDescent="0.35"/>
    <row r="84199" hidden="1" x14ac:dyDescent="0.35"/>
    <row r="84200" hidden="1" x14ac:dyDescent="0.35"/>
    <row r="84201" hidden="1" x14ac:dyDescent="0.35"/>
    <row r="84202" hidden="1" x14ac:dyDescent="0.35"/>
    <row r="84203" hidden="1" x14ac:dyDescent="0.35"/>
    <row r="84204" hidden="1" x14ac:dyDescent="0.35"/>
    <row r="84205" hidden="1" x14ac:dyDescent="0.35"/>
    <row r="84206" hidden="1" x14ac:dyDescent="0.35"/>
    <row r="84207" hidden="1" x14ac:dyDescent="0.35"/>
    <row r="84208" hidden="1" x14ac:dyDescent="0.35"/>
    <row r="84209" hidden="1" x14ac:dyDescent="0.35"/>
    <row r="84210" hidden="1" x14ac:dyDescent="0.35"/>
    <row r="84211" hidden="1" x14ac:dyDescent="0.35"/>
    <row r="84212" hidden="1" x14ac:dyDescent="0.35"/>
    <row r="84213" hidden="1" x14ac:dyDescent="0.35"/>
    <row r="84214" hidden="1" x14ac:dyDescent="0.35"/>
    <row r="84215" hidden="1" x14ac:dyDescent="0.35"/>
    <row r="84216" hidden="1" x14ac:dyDescent="0.35"/>
    <row r="84217" hidden="1" x14ac:dyDescent="0.35"/>
    <row r="84218" hidden="1" x14ac:dyDescent="0.35"/>
    <row r="84219" hidden="1" x14ac:dyDescent="0.35"/>
    <row r="84220" hidden="1" x14ac:dyDescent="0.35"/>
    <row r="84221" hidden="1" x14ac:dyDescent="0.35"/>
    <row r="84222" hidden="1" x14ac:dyDescent="0.35"/>
    <row r="84223" hidden="1" x14ac:dyDescent="0.35"/>
    <row r="84224" hidden="1" x14ac:dyDescent="0.35"/>
    <row r="84225" hidden="1" x14ac:dyDescent="0.35"/>
    <row r="84226" hidden="1" x14ac:dyDescent="0.35"/>
    <row r="84227" hidden="1" x14ac:dyDescent="0.35"/>
    <row r="84228" hidden="1" x14ac:dyDescent="0.35"/>
    <row r="84229" hidden="1" x14ac:dyDescent="0.35"/>
    <row r="84230" hidden="1" x14ac:dyDescent="0.35"/>
    <row r="84231" hidden="1" x14ac:dyDescent="0.35"/>
    <row r="84232" hidden="1" x14ac:dyDescent="0.35"/>
    <row r="84233" hidden="1" x14ac:dyDescent="0.35"/>
    <row r="84234" hidden="1" x14ac:dyDescent="0.35"/>
    <row r="84235" hidden="1" x14ac:dyDescent="0.35"/>
    <row r="84236" hidden="1" x14ac:dyDescent="0.35"/>
    <row r="84237" hidden="1" x14ac:dyDescent="0.35"/>
    <row r="84238" hidden="1" x14ac:dyDescent="0.35"/>
    <row r="84239" hidden="1" x14ac:dyDescent="0.35"/>
    <row r="84240" hidden="1" x14ac:dyDescent="0.35"/>
    <row r="84241" hidden="1" x14ac:dyDescent="0.35"/>
    <row r="84242" hidden="1" x14ac:dyDescent="0.35"/>
    <row r="84243" hidden="1" x14ac:dyDescent="0.35"/>
    <row r="84244" hidden="1" x14ac:dyDescent="0.35"/>
    <row r="84245" hidden="1" x14ac:dyDescent="0.35"/>
    <row r="84246" hidden="1" x14ac:dyDescent="0.35"/>
    <row r="84247" hidden="1" x14ac:dyDescent="0.35"/>
    <row r="84248" hidden="1" x14ac:dyDescent="0.35"/>
    <row r="84249" hidden="1" x14ac:dyDescent="0.35"/>
    <row r="84250" hidden="1" x14ac:dyDescent="0.35"/>
    <row r="84251" hidden="1" x14ac:dyDescent="0.35"/>
    <row r="84252" hidden="1" x14ac:dyDescent="0.35"/>
    <row r="84253" hidden="1" x14ac:dyDescent="0.35"/>
    <row r="84254" hidden="1" x14ac:dyDescent="0.35"/>
    <row r="84255" hidden="1" x14ac:dyDescent="0.35"/>
    <row r="84256" hidden="1" x14ac:dyDescent="0.35"/>
    <row r="84257" hidden="1" x14ac:dyDescent="0.35"/>
    <row r="84258" hidden="1" x14ac:dyDescent="0.35"/>
    <row r="84259" hidden="1" x14ac:dyDescent="0.35"/>
    <row r="84260" hidden="1" x14ac:dyDescent="0.35"/>
    <row r="84261" hidden="1" x14ac:dyDescent="0.35"/>
    <row r="84262" hidden="1" x14ac:dyDescent="0.35"/>
    <row r="84263" hidden="1" x14ac:dyDescent="0.35"/>
    <row r="84264" hidden="1" x14ac:dyDescent="0.35"/>
    <row r="84265" hidden="1" x14ac:dyDescent="0.35"/>
    <row r="84266" hidden="1" x14ac:dyDescent="0.35"/>
    <row r="84267" hidden="1" x14ac:dyDescent="0.35"/>
    <row r="84268" hidden="1" x14ac:dyDescent="0.35"/>
    <row r="84269" hidden="1" x14ac:dyDescent="0.35"/>
    <row r="84270" hidden="1" x14ac:dyDescent="0.35"/>
    <row r="84271" hidden="1" x14ac:dyDescent="0.35"/>
    <row r="84272" hidden="1" x14ac:dyDescent="0.35"/>
    <row r="84273" hidden="1" x14ac:dyDescent="0.35"/>
    <row r="84274" hidden="1" x14ac:dyDescent="0.35"/>
    <row r="84275" hidden="1" x14ac:dyDescent="0.35"/>
    <row r="84276" hidden="1" x14ac:dyDescent="0.35"/>
    <row r="84277" hidden="1" x14ac:dyDescent="0.35"/>
    <row r="84278" hidden="1" x14ac:dyDescent="0.35"/>
    <row r="84279" hidden="1" x14ac:dyDescent="0.35"/>
    <row r="84280" hidden="1" x14ac:dyDescent="0.35"/>
    <row r="84281" hidden="1" x14ac:dyDescent="0.35"/>
    <row r="84282" hidden="1" x14ac:dyDescent="0.35"/>
    <row r="84283" hidden="1" x14ac:dyDescent="0.35"/>
    <row r="84284" hidden="1" x14ac:dyDescent="0.35"/>
    <row r="84285" hidden="1" x14ac:dyDescent="0.35"/>
    <row r="84286" hidden="1" x14ac:dyDescent="0.35"/>
    <row r="84287" hidden="1" x14ac:dyDescent="0.35"/>
    <row r="84288" hidden="1" x14ac:dyDescent="0.35"/>
    <row r="84289" hidden="1" x14ac:dyDescent="0.35"/>
    <row r="84290" hidden="1" x14ac:dyDescent="0.35"/>
    <row r="84291" hidden="1" x14ac:dyDescent="0.35"/>
    <row r="84292" hidden="1" x14ac:dyDescent="0.35"/>
    <row r="84293" hidden="1" x14ac:dyDescent="0.35"/>
    <row r="84294" hidden="1" x14ac:dyDescent="0.35"/>
    <row r="84295" hidden="1" x14ac:dyDescent="0.35"/>
    <row r="84296" hidden="1" x14ac:dyDescent="0.35"/>
    <row r="84297" hidden="1" x14ac:dyDescent="0.35"/>
    <row r="84298" hidden="1" x14ac:dyDescent="0.35"/>
    <row r="84299" hidden="1" x14ac:dyDescent="0.35"/>
    <row r="84300" hidden="1" x14ac:dyDescent="0.35"/>
    <row r="84301" hidden="1" x14ac:dyDescent="0.35"/>
    <row r="84302" hidden="1" x14ac:dyDescent="0.35"/>
    <row r="84303" hidden="1" x14ac:dyDescent="0.35"/>
    <row r="84304" hidden="1" x14ac:dyDescent="0.35"/>
    <row r="84305" hidden="1" x14ac:dyDescent="0.35"/>
    <row r="84306" hidden="1" x14ac:dyDescent="0.35"/>
    <row r="84307" hidden="1" x14ac:dyDescent="0.35"/>
    <row r="84308" hidden="1" x14ac:dyDescent="0.35"/>
    <row r="84309" hidden="1" x14ac:dyDescent="0.35"/>
    <row r="84310" hidden="1" x14ac:dyDescent="0.35"/>
    <row r="84311" hidden="1" x14ac:dyDescent="0.35"/>
    <row r="84312" hidden="1" x14ac:dyDescent="0.35"/>
    <row r="84313" hidden="1" x14ac:dyDescent="0.35"/>
    <row r="84314" hidden="1" x14ac:dyDescent="0.35"/>
    <row r="84315" hidden="1" x14ac:dyDescent="0.35"/>
    <row r="84316" hidden="1" x14ac:dyDescent="0.35"/>
    <row r="84317" hidden="1" x14ac:dyDescent="0.35"/>
    <row r="84318" hidden="1" x14ac:dyDescent="0.35"/>
    <row r="84319" hidden="1" x14ac:dyDescent="0.35"/>
    <row r="84320" hidden="1" x14ac:dyDescent="0.35"/>
    <row r="84321" hidden="1" x14ac:dyDescent="0.35"/>
    <row r="84322" hidden="1" x14ac:dyDescent="0.35"/>
    <row r="84323" hidden="1" x14ac:dyDescent="0.35"/>
    <row r="84324" hidden="1" x14ac:dyDescent="0.35"/>
    <row r="84325" hidden="1" x14ac:dyDescent="0.35"/>
    <row r="84326" hidden="1" x14ac:dyDescent="0.35"/>
    <row r="84327" hidden="1" x14ac:dyDescent="0.35"/>
    <row r="84328" hidden="1" x14ac:dyDescent="0.35"/>
    <row r="84329" hidden="1" x14ac:dyDescent="0.35"/>
    <row r="84330" hidden="1" x14ac:dyDescent="0.35"/>
    <row r="84331" hidden="1" x14ac:dyDescent="0.35"/>
    <row r="84332" hidden="1" x14ac:dyDescent="0.35"/>
    <row r="84333" hidden="1" x14ac:dyDescent="0.35"/>
    <row r="84334" hidden="1" x14ac:dyDescent="0.35"/>
    <row r="84335" hidden="1" x14ac:dyDescent="0.35"/>
    <row r="84336" hidden="1" x14ac:dyDescent="0.35"/>
    <row r="84337" hidden="1" x14ac:dyDescent="0.35"/>
    <row r="84338" hidden="1" x14ac:dyDescent="0.35"/>
    <row r="84339" hidden="1" x14ac:dyDescent="0.35"/>
    <row r="84340" hidden="1" x14ac:dyDescent="0.35"/>
    <row r="84341" hidden="1" x14ac:dyDescent="0.35"/>
    <row r="84342" hidden="1" x14ac:dyDescent="0.35"/>
    <row r="84343" hidden="1" x14ac:dyDescent="0.35"/>
    <row r="84344" hidden="1" x14ac:dyDescent="0.35"/>
    <row r="84345" hidden="1" x14ac:dyDescent="0.35"/>
    <row r="84346" hidden="1" x14ac:dyDescent="0.35"/>
    <row r="84347" hidden="1" x14ac:dyDescent="0.35"/>
    <row r="84348" hidden="1" x14ac:dyDescent="0.35"/>
    <row r="84349" hidden="1" x14ac:dyDescent="0.35"/>
    <row r="84350" hidden="1" x14ac:dyDescent="0.35"/>
    <row r="84351" hidden="1" x14ac:dyDescent="0.35"/>
    <row r="84352" hidden="1" x14ac:dyDescent="0.35"/>
    <row r="84353" hidden="1" x14ac:dyDescent="0.35"/>
    <row r="84354" hidden="1" x14ac:dyDescent="0.35"/>
    <row r="84355" hidden="1" x14ac:dyDescent="0.35"/>
    <row r="84356" hidden="1" x14ac:dyDescent="0.35"/>
    <row r="84357" hidden="1" x14ac:dyDescent="0.35"/>
    <row r="84358" hidden="1" x14ac:dyDescent="0.35"/>
    <row r="84359" hidden="1" x14ac:dyDescent="0.35"/>
    <row r="84360" hidden="1" x14ac:dyDescent="0.35"/>
    <row r="84361" hidden="1" x14ac:dyDescent="0.35"/>
    <row r="84362" hidden="1" x14ac:dyDescent="0.35"/>
    <row r="84363" hidden="1" x14ac:dyDescent="0.35"/>
    <row r="84364" hidden="1" x14ac:dyDescent="0.35"/>
    <row r="84365" hidden="1" x14ac:dyDescent="0.35"/>
    <row r="84366" hidden="1" x14ac:dyDescent="0.35"/>
    <row r="84367" hidden="1" x14ac:dyDescent="0.35"/>
    <row r="84368" hidden="1" x14ac:dyDescent="0.35"/>
    <row r="84369" hidden="1" x14ac:dyDescent="0.35"/>
    <row r="84370" hidden="1" x14ac:dyDescent="0.35"/>
    <row r="84371" hidden="1" x14ac:dyDescent="0.35"/>
    <row r="84372" hidden="1" x14ac:dyDescent="0.35"/>
    <row r="84373" hidden="1" x14ac:dyDescent="0.35"/>
    <row r="84374" hidden="1" x14ac:dyDescent="0.35"/>
    <row r="84375" hidden="1" x14ac:dyDescent="0.35"/>
    <row r="84376" hidden="1" x14ac:dyDescent="0.35"/>
    <row r="84377" hidden="1" x14ac:dyDescent="0.35"/>
    <row r="84378" hidden="1" x14ac:dyDescent="0.35"/>
    <row r="84379" hidden="1" x14ac:dyDescent="0.35"/>
    <row r="84380" hidden="1" x14ac:dyDescent="0.35"/>
    <row r="84381" hidden="1" x14ac:dyDescent="0.35"/>
    <row r="84382" hidden="1" x14ac:dyDescent="0.35"/>
    <row r="84383" hidden="1" x14ac:dyDescent="0.35"/>
    <row r="84384" hidden="1" x14ac:dyDescent="0.35"/>
    <row r="84385" hidden="1" x14ac:dyDescent="0.35"/>
    <row r="84386" hidden="1" x14ac:dyDescent="0.35"/>
    <row r="84387" hidden="1" x14ac:dyDescent="0.35"/>
    <row r="84388" hidden="1" x14ac:dyDescent="0.35"/>
    <row r="84389" hidden="1" x14ac:dyDescent="0.35"/>
    <row r="84390" hidden="1" x14ac:dyDescent="0.35"/>
    <row r="84391" hidden="1" x14ac:dyDescent="0.35"/>
    <row r="84392" hidden="1" x14ac:dyDescent="0.35"/>
    <row r="84393" hidden="1" x14ac:dyDescent="0.35"/>
    <row r="84394" hidden="1" x14ac:dyDescent="0.35"/>
    <row r="84395" hidden="1" x14ac:dyDescent="0.35"/>
    <row r="84396" hidden="1" x14ac:dyDescent="0.35"/>
    <row r="84397" hidden="1" x14ac:dyDescent="0.35"/>
    <row r="84398" hidden="1" x14ac:dyDescent="0.35"/>
    <row r="84399" hidden="1" x14ac:dyDescent="0.35"/>
    <row r="84400" hidden="1" x14ac:dyDescent="0.35"/>
    <row r="84401" hidden="1" x14ac:dyDescent="0.35"/>
    <row r="84402" hidden="1" x14ac:dyDescent="0.35"/>
    <row r="84403" hidden="1" x14ac:dyDescent="0.35"/>
    <row r="84404" hidden="1" x14ac:dyDescent="0.35"/>
    <row r="84405" hidden="1" x14ac:dyDescent="0.35"/>
    <row r="84406" hidden="1" x14ac:dyDescent="0.35"/>
    <row r="84407" hidden="1" x14ac:dyDescent="0.35"/>
    <row r="84408" hidden="1" x14ac:dyDescent="0.35"/>
    <row r="84409" hidden="1" x14ac:dyDescent="0.35"/>
    <row r="84410" hidden="1" x14ac:dyDescent="0.35"/>
    <row r="84411" hidden="1" x14ac:dyDescent="0.35"/>
    <row r="84412" hidden="1" x14ac:dyDescent="0.35"/>
    <row r="84413" hidden="1" x14ac:dyDescent="0.35"/>
    <row r="84414" hidden="1" x14ac:dyDescent="0.35"/>
    <row r="84415" hidden="1" x14ac:dyDescent="0.35"/>
    <row r="84416" hidden="1" x14ac:dyDescent="0.35"/>
    <row r="84417" hidden="1" x14ac:dyDescent="0.35"/>
    <row r="84418" hidden="1" x14ac:dyDescent="0.35"/>
    <row r="84419" hidden="1" x14ac:dyDescent="0.35"/>
    <row r="84420" hidden="1" x14ac:dyDescent="0.35"/>
    <row r="84421" hidden="1" x14ac:dyDescent="0.35"/>
    <row r="84422" hidden="1" x14ac:dyDescent="0.35"/>
    <row r="84423" hidden="1" x14ac:dyDescent="0.35"/>
    <row r="84424" hidden="1" x14ac:dyDescent="0.35"/>
    <row r="84425" hidden="1" x14ac:dyDescent="0.35"/>
    <row r="84426" hidden="1" x14ac:dyDescent="0.35"/>
    <row r="84427" hidden="1" x14ac:dyDescent="0.35"/>
    <row r="84428" hidden="1" x14ac:dyDescent="0.35"/>
    <row r="84429" hidden="1" x14ac:dyDescent="0.35"/>
    <row r="84430" hidden="1" x14ac:dyDescent="0.35"/>
    <row r="84431" hidden="1" x14ac:dyDescent="0.35"/>
    <row r="84432" hidden="1" x14ac:dyDescent="0.35"/>
    <row r="84433" hidden="1" x14ac:dyDescent="0.35"/>
    <row r="84434" hidden="1" x14ac:dyDescent="0.35"/>
    <row r="84435" hidden="1" x14ac:dyDescent="0.35"/>
    <row r="84436" hidden="1" x14ac:dyDescent="0.35"/>
    <row r="84437" hidden="1" x14ac:dyDescent="0.35"/>
    <row r="84438" hidden="1" x14ac:dyDescent="0.35"/>
    <row r="84439" hidden="1" x14ac:dyDescent="0.35"/>
    <row r="84440" hidden="1" x14ac:dyDescent="0.35"/>
    <row r="84441" hidden="1" x14ac:dyDescent="0.35"/>
    <row r="84442" hidden="1" x14ac:dyDescent="0.35"/>
    <row r="84443" hidden="1" x14ac:dyDescent="0.35"/>
    <row r="84444" hidden="1" x14ac:dyDescent="0.35"/>
    <row r="84445" hidden="1" x14ac:dyDescent="0.35"/>
    <row r="84446" hidden="1" x14ac:dyDescent="0.35"/>
    <row r="84447" hidden="1" x14ac:dyDescent="0.35"/>
    <row r="84448" hidden="1" x14ac:dyDescent="0.35"/>
    <row r="84449" hidden="1" x14ac:dyDescent="0.35"/>
    <row r="84450" hidden="1" x14ac:dyDescent="0.35"/>
    <row r="84451" hidden="1" x14ac:dyDescent="0.35"/>
    <row r="84452" hidden="1" x14ac:dyDescent="0.35"/>
    <row r="84453" hidden="1" x14ac:dyDescent="0.35"/>
    <row r="84454" hidden="1" x14ac:dyDescent="0.35"/>
    <row r="84455" hidden="1" x14ac:dyDescent="0.35"/>
    <row r="84456" hidden="1" x14ac:dyDescent="0.35"/>
    <row r="84457" hidden="1" x14ac:dyDescent="0.35"/>
    <row r="84458" hidden="1" x14ac:dyDescent="0.35"/>
    <row r="84459" hidden="1" x14ac:dyDescent="0.35"/>
    <row r="84460" hidden="1" x14ac:dyDescent="0.35"/>
    <row r="84461" hidden="1" x14ac:dyDescent="0.35"/>
    <row r="84462" hidden="1" x14ac:dyDescent="0.35"/>
    <row r="84463" hidden="1" x14ac:dyDescent="0.35"/>
    <row r="84464" hidden="1" x14ac:dyDescent="0.35"/>
    <row r="84465" hidden="1" x14ac:dyDescent="0.35"/>
    <row r="84466" hidden="1" x14ac:dyDescent="0.35"/>
    <row r="84467" hidden="1" x14ac:dyDescent="0.35"/>
    <row r="84468" hidden="1" x14ac:dyDescent="0.35"/>
    <row r="84469" hidden="1" x14ac:dyDescent="0.35"/>
    <row r="84470" hidden="1" x14ac:dyDescent="0.35"/>
    <row r="84471" hidden="1" x14ac:dyDescent="0.35"/>
    <row r="84472" hidden="1" x14ac:dyDescent="0.35"/>
    <row r="84473" hidden="1" x14ac:dyDescent="0.35"/>
    <row r="84474" hidden="1" x14ac:dyDescent="0.35"/>
    <row r="84475" hidden="1" x14ac:dyDescent="0.35"/>
    <row r="84476" hidden="1" x14ac:dyDescent="0.35"/>
    <row r="84477" hidden="1" x14ac:dyDescent="0.35"/>
    <row r="84478" hidden="1" x14ac:dyDescent="0.35"/>
    <row r="84479" hidden="1" x14ac:dyDescent="0.35"/>
    <row r="84480" hidden="1" x14ac:dyDescent="0.35"/>
    <row r="84481" hidden="1" x14ac:dyDescent="0.35"/>
    <row r="84482" hidden="1" x14ac:dyDescent="0.35"/>
    <row r="84483" hidden="1" x14ac:dyDescent="0.35"/>
    <row r="84484" hidden="1" x14ac:dyDescent="0.35"/>
    <row r="84485" hidden="1" x14ac:dyDescent="0.35"/>
    <row r="84486" hidden="1" x14ac:dyDescent="0.35"/>
    <row r="84487" hidden="1" x14ac:dyDescent="0.35"/>
    <row r="84488" hidden="1" x14ac:dyDescent="0.35"/>
    <row r="84489" hidden="1" x14ac:dyDescent="0.35"/>
    <row r="84490" hidden="1" x14ac:dyDescent="0.35"/>
    <row r="84491" hidden="1" x14ac:dyDescent="0.35"/>
    <row r="84492" hidden="1" x14ac:dyDescent="0.35"/>
    <row r="84493" hidden="1" x14ac:dyDescent="0.35"/>
    <row r="84494" hidden="1" x14ac:dyDescent="0.35"/>
    <row r="84495" hidden="1" x14ac:dyDescent="0.35"/>
    <row r="84496" hidden="1" x14ac:dyDescent="0.35"/>
    <row r="84497" hidden="1" x14ac:dyDescent="0.35"/>
    <row r="84498" hidden="1" x14ac:dyDescent="0.35"/>
    <row r="84499" hidden="1" x14ac:dyDescent="0.35"/>
    <row r="84500" hidden="1" x14ac:dyDescent="0.35"/>
    <row r="84501" hidden="1" x14ac:dyDescent="0.35"/>
    <row r="84502" hidden="1" x14ac:dyDescent="0.35"/>
    <row r="84503" hidden="1" x14ac:dyDescent="0.35"/>
    <row r="84504" hidden="1" x14ac:dyDescent="0.35"/>
    <row r="84505" hidden="1" x14ac:dyDescent="0.35"/>
    <row r="84506" hidden="1" x14ac:dyDescent="0.35"/>
    <row r="84507" hidden="1" x14ac:dyDescent="0.35"/>
    <row r="84508" hidden="1" x14ac:dyDescent="0.35"/>
    <row r="84509" hidden="1" x14ac:dyDescent="0.35"/>
    <row r="84510" hidden="1" x14ac:dyDescent="0.35"/>
    <row r="84511" hidden="1" x14ac:dyDescent="0.35"/>
    <row r="84512" hidden="1" x14ac:dyDescent="0.35"/>
    <row r="84513" hidden="1" x14ac:dyDescent="0.35"/>
    <row r="84514" hidden="1" x14ac:dyDescent="0.35"/>
    <row r="84515" hidden="1" x14ac:dyDescent="0.35"/>
    <row r="84516" hidden="1" x14ac:dyDescent="0.35"/>
    <row r="84517" hidden="1" x14ac:dyDescent="0.35"/>
    <row r="84518" hidden="1" x14ac:dyDescent="0.35"/>
    <row r="84519" hidden="1" x14ac:dyDescent="0.35"/>
    <row r="84520" hidden="1" x14ac:dyDescent="0.35"/>
    <row r="84521" hidden="1" x14ac:dyDescent="0.35"/>
    <row r="84522" hidden="1" x14ac:dyDescent="0.35"/>
    <row r="84523" hidden="1" x14ac:dyDescent="0.35"/>
    <row r="84524" hidden="1" x14ac:dyDescent="0.35"/>
    <row r="84525" hidden="1" x14ac:dyDescent="0.35"/>
    <row r="84526" hidden="1" x14ac:dyDescent="0.35"/>
    <row r="84527" hidden="1" x14ac:dyDescent="0.35"/>
    <row r="84528" hidden="1" x14ac:dyDescent="0.35"/>
    <row r="84529" hidden="1" x14ac:dyDescent="0.35"/>
    <row r="84530" hidden="1" x14ac:dyDescent="0.35"/>
    <row r="84531" hidden="1" x14ac:dyDescent="0.35"/>
    <row r="84532" hidden="1" x14ac:dyDescent="0.35"/>
    <row r="84533" hidden="1" x14ac:dyDescent="0.35"/>
    <row r="84534" hidden="1" x14ac:dyDescent="0.35"/>
    <row r="84535" hidden="1" x14ac:dyDescent="0.35"/>
    <row r="84536" hidden="1" x14ac:dyDescent="0.35"/>
    <row r="84537" hidden="1" x14ac:dyDescent="0.35"/>
    <row r="84538" hidden="1" x14ac:dyDescent="0.35"/>
    <row r="84539" hidden="1" x14ac:dyDescent="0.35"/>
    <row r="84540" hidden="1" x14ac:dyDescent="0.35"/>
    <row r="84541" hidden="1" x14ac:dyDescent="0.35"/>
    <row r="84542" hidden="1" x14ac:dyDescent="0.35"/>
    <row r="84543" hidden="1" x14ac:dyDescent="0.35"/>
    <row r="84544" hidden="1" x14ac:dyDescent="0.35"/>
    <row r="84545" hidden="1" x14ac:dyDescent="0.35"/>
    <row r="84546" hidden="1" x14ac:dyDescent="0.35"/>
    <row r="84547" hidden="1" x14ac:dyDescent="0.35"/>
    <row r="84548" hidden="1" x14ac:dyDescent="0.35"/>
    <row r="84549" hidden="1" x14ac:dyDescent="0.35"/>
    <row r="84550" hidden="1" x14ac:dyDescent="0.35"/>
    <row r="84551" hidden="1" x14ac:dyDescent="0.35"/>
    <row r="84552" hidden="1" x14ac:dyDescent="0.35"/>
    <row r="84553" hidden="1" x14ac:dyDescent="0.35"/>
    <row r="84554" hidden="1" x14ac:dyDescent="0.35"/>
    <row r="84555" hidden="1" x14ac:dyDescent="0.35"/>
    <row r="84556" hidden="1" x14ac:dyDescent="0.35"/>
    <row r="84557" hidden="1" x14ac:dyDescent="0.35"/>
    <row r="84558" hidden="1" x14ac:dyDescent="0.35"/>
    <row r="84559" hidden="1" x14ac:dyDescent="0.35"/>
    <row r="84560" hidden="1" x14ac:dyDescent="0.35"/>
    <row r="84561" hidden="1" x14ac:dyDescent="0.35"/>
    <row r="84562" hidden="1" x14ac:dyDescent="0.35"/>
    <row r="84563" hidden="1" x14ac:dyDescent="0.35"/>
    <row r="84564" hidden="1" x14ac:dyDescent="0.35"/>
    <row r="84565" hidden="1" x14ac:dyDescent="0.35"/>
    <row r="84566" hidden="1" x14ac:dyDescent="0.35"/>
    <row r="84567" hidden="1" x14ac:dyDescent="0.35"/>
    <row r="84568" hidden="1" x14ac:dyDescent="0.35"/>
    <row r="84569" hidden="1" x14ac:dyDescent="0.35"/>
    <row r="84570" hidden="1" x14ac:dyDescent="0.35"/>
    <row r="84571" hidden="1" x14ac:dyDescent="0.35"/>
    <row r="84572" hidden="1" x14ac:dyDescent="0.35"/>
    <row r="84573" hidden="1" x14ac:dyDescent="0.35"/>
    <row r="84574" hidden="1" x14ac:dyDescent="0.35"/>
    <row r="84575" hidden="1" x14ac:dyDescent="0.35"/>
    <row r="84576" hidden="1" x14ac:dyDescent="0.35"/>
    <row r="84577" hidden="1" x14ac:dyDescent="0.35"/>
    <row r="84578" hidden="1" x14ac:dyDescent="0.35"/>
    <row r="84579" hidden="1" x14ac:dyDescent="0.35"/>
    <row r="84580" hidden="1" x14ac:dyDescent="0.35"/>
    <row r="84581" hidden="1" x14ac:dyDescent="0.35"/>
    <row r="84582" hidden="1" x14ac:dyDescent="0.35"/>
    <row r="84583" hidden="1" x14ac:dyDescent="0.35"/>
    <row r="84584" hidden="1" x14ac:dyDescent="0.35"/>
    <row r="84585" hidden="1" x14ac:dyDescent="0.35"/>
    <row r="84586" hidden="1" x14ac:dyDescent="0.35"/>
    <row r="84587" hidden="1" x14ac:dyDescent="0.35"/>
    <row r="84588" hidden="1" x14ac:dyDescent="0.35"/>
    <row r="84589" hidden="1" x14ac:dyDescent="0.35"/>
    <row r="84590" hidden="1" x14ac:dyDescent="0.35"/>
    <row r="84591" hidden="1" x14ac:dyDescent="0.35"/>
    <row r="84592" hidden="1" x14ac:dyDescent="0.35"/>
    <row r="84593" hidden="1" x14ac:dyDescent="0.35"/>
    <row r="84594" hidden="1" x14ac:dyDescent="0.35"/>
    <row r="84595" hidden="1" x14ac:dyDescent="0.35"/>
    <row r="84596" hidden="1" x14ac:dyDescent="0.35"/>
    <row r="84597" hidden="1" x14ac:dyDescent="0.35"/>
    <row r="84598" hidden="1" x14ac:dyDescent="0.35"/>
    <row r="84599" hidden="1" x14ac:dyDescent="0.35"/>
    <row r="84600" hidden="1" x14ac:dyDescent="0.35"/>
    <row r="84601" hidden="1" x14ac:dyDescent="0.35"/>
    <row r="84602" hidden="1" x14ac:dyDescent="0.35"/>
    <row r="84603" hidden="1" x14ac:dyDescent="0.35"/>
    <row r="84604" hidden="1" x14ac:dyDescent="0.35"/>
    <row r="84605" hidden="1" x14ac:dyDescent="0.35"/>
    <row r="84606" hidden="1" x14ac:dyDescent="0.35"/>
    <row r="84607" hidden="1" x14ac:dyDescent="0.35"/>
    <row r="84608" hidden="1" x14ac:dyDescent="0.35"/>
    <row r="84609" hidden="1" x14ac:dyDescent="0.35"/>
    <row r="84610" hidden="1" x14ac:dyDescent="0.35"/>
    <row r="84611" hidden="1" x14ac:dyDescent="0.35"/>
    <row r="84612" hidden="1" x14ac:dyDescent="0.35"/>
    <row r="84613" hidden="1" x14ac:dyDescent="0.35"/>
    <row r="84614" hidden="1" x14ac:dyDescent="0.35"/>
    <row r="84615" hidden="1" x14ac:dyDescent="0.35"/>
    <row r="84616" hidden="1" x14ac:dyDescent="0.35"/>
    <row r="84617" hidden="1" x14ac:dyDescent="0.35"/>
    <row r="84618" hidden="1" x14ac:dyDescent="0.35"/>
    <row r="84619" hidden="1" x14ac:dyDescent="0.35"/>
    <row r="84620" hidden="1" x14ac:dyDescent="0.35"/>
    <row r="84621" hidden="1" x14ac:dyDescent="0.35"/>
    <row r="84622" hidden="1" x14ac:dyDescent="0.35"/>
    <row r="84623" hidden="1" x14ac:dyDescent="0.35"/>
    <row r="84624" hidden="1" x14ac:dyDescent="0.35"/>
    <row r="84625" hidden="1" x14ac:dyDescent="0.35"/>
    <row r="84626" hidden="1" x14ac:dyDescent="0.35"/>
    <row r="84627" hidden="1" x14ac:dyDescent="0.35"/>
    <row r="84628" hidden="1" x14ac:dyDescent="0.35"/>
    <row r="84629" hidden="1" x14ac:dyDescent="0.35"/>
    <row r="84630" hidden="1" x14ac:dyDescent="0.35"/>
    <row r="84631" hidden="1" x14ac:dyDescent="0.35"/>
    <row r="84632" hidden="1" x14ac:dyDescent="0.35"/>
    <row r="84633" hidden="1" x14ac:dyDescent="0.35"/>
    <row r="84634" hidden="1" x14ac:dyDescent="0.35"/>
    <row r="84635" hidden="1" x14ac:dyDescent="0.35"/>
    <row r="84636" hidden="1" x14ac:dyDescent="0.35"/>
    <row r="84637" hidden="1" x14ac:dyDescent="0.35"/>
    <row r="84638" hidden="1" x14ac:dyDescent="0.35"/>
    <row r="84639" hidden="1" x14ac:dyDescent="0.35"/>
    <row r="84640" hidden="1" x14ac:dyDescent="0.35"/>
    <row r="84641" hidden="1" x14ac:dyDescent="0.35"/>
    <row r="84642" hidden="1" x14ac:dyDescent="0.35"/>
    <row r="84643" hidden="1" x14ac:dyDescent="0.35"/>
    <row r="84644" hidden="1" x14ac:dyDescent="0.35"/>
    <row r="84645" hidden="1" x14ac:dyDescent="0.35"/>
    <row r="84646" hidden="1" x14ac:dyDescent="0.35"/>
    <row r="84647" hidden="1" x14ac:dyDescent="0.35"/>
    <row r="84648" hidden="1" x14ac:dyDescent="0.35"/>
    <row r="84649" hidden="1" x14ac:dyDescent="0.35"/>
    <row r="84650" hidden="1" x14ac:dyDescent="0.35"/>
    <row r="84651" hidden="1" x14ac:dyDescent="0.35"/>
    <row r="84652" hidden="1" x14ac:dyDescent="0.35"/>
    <row r="84653" hidden="1" x14ac:dyDescent="0.35"/>
    <row r="84654" hidden="1" x14ac:dyDescent="0.35"/>
    <row r="84655" hidden="1" x14ac:dyDescent="0.35"/>
    <row r="84656" hidden="1" x14ac:dyDescent="0.35"/>
    <row r="84657" hidden="1" x14ac:dyDescent="0.35"/>
    <row r="84658" hidden="1" x14ac:dyDescent="0.35"/>
    <row r="84659" hidden="1" x14ac:dyDescent="0.35"/>
    <row r="84660" hidden="1" x14ac:dyDescent="0.35"/>
    <row r="84661" hidden="1" x14ac:dyDescent="0.35"/>
    <row r="84662" hidden="1" x14ac:dyDescent="0.35"/>
    <row r="84663" hidden="1" x14ac:dyDescent="0.35"/>
    <row r="84664" hidden="1" x14ac:dyDescent="0.35"/>
    <row r="84665" hidden="1" x14ac:dyDescent="0.35"/>
    <row r="84666" hidden="1" x14ac:dyDescent="0.35"/>
    <row r="84667" hidden="1" x14ac:dyDescent="0.35"/>
    <row r="84668" hidden="1" x14ac:dyDescent="0.35"/>
    <row r="84669" hidden="1" x14ac:dyDescent="0.35"/>
    <row r="84670" hidden="1" x14ac:dyDescent="0.35"/>
    <row r="84671" hidden="1" x14ac:dyDescent="0.35"/>
    <row r="84672" hidden="1" x14ac:dyDescent="0.35"/>
    <row r="84673" hidden="1" x14ac:dyDescent="0.35"/>
    <row r="84674" hidden="1" x14ac:dyDescent="0.35"/>
    <row r="84675" hidden="1" x14ac:dyDescent="0.35"/>
    <row r="84676" hidden="1" x14ac:dyDescent="0.35"/>
    <row r="84677" hidden="1" x14ac:dyDescent="0.35"/>
    <row r="84678" hidden="1" x14ac:dyDescent="0.35"/>
    <row r="84679" hidden="1" x14ac:dyDescent="0.35"/>
    <row r="84680" hidden="1" x14ac:dyDescent="0.35"/>
    <row r="84681" hidden="1" x14ac:dyDescent="0.35"/>
    <row r="84682" hidden="1" x14ac:dyDescent="0.35"/>
    <row r="84683" hidden="1" x14ac:dyDescent="0.35"/>
    <row r="84684" hidden="1" x14ac:dyDescent="0.35"/>
    <row r="84685" hidden="1" x14ac:dyDescent="0.35"/>
    <row r="84686" hidden="1" x14ac:dyDescent="0.35"/>
    <row r="84687" hidden="1" x14ac:dyDescent="0.35"/>
    <row r="84688" hidden="1" x14ac:dyDescent="0.35"/>
    <row r="84689" hidden="1" x14ac:dyDescent="0.35"/>
    <row r="84690" hidden="1" x14ac:dyDescent="0.35"/>
    <row r="84691" hidden="1" x14ac:dyDescent="0.35"/>
    <row r="84692" hidden="1" x14ac:dyDescent="0.35"/>
    <row r="84693" hidden="1" x14ac:dyDescent="0.35"/>
    <row r="84694" hidden="1" x14ac:dyDescent="0.35"/>
    <row r="84695" hidden="1" x14ac:dyDescent="0.35"/>
    <row r="84696" hidden="1" x14ac:dyDescent="0.35"/>
    <row r="84697" hidden="1" x14ac:dyDescent="0.35"/>
    <row r="84698" hidden="1" x14ac:dyDescent="0.35"/>
    <row r="84699" hidden="1" x14ac:dyDescent="0.35"/>
    <row r="84700" hidden="1" x14ac:dyDescent="0.35"/>
    <row r="84701" hidden="1" x14ac:dyDescent="0.35"/>
    <row r="84702" hidden="1" x14ac:dyDescent="0.35"/>
    <row r="84703" hidden="1" x14ac:dyDescent="0.35"/>
    <row r="84704" hidden="1" x14ac:dyDescent="0.35"/>
    <row r="84705" hidden="1" x14ac:dyDescent="0.35"/>
    <row r="84706" hidden="1" x14ac:dyDescent="0.35"/>
    <row r="84707" hidden="1" x14ac:dyDescent="0.35"/>
    <row r="84708" hidden="1" x14ac:dyDescent="0.35"/>
    <row r="84709" hidden="1" x14ac:dyDescent="0.35"/>
    <row r="84710" hidden="1" x14ac:dyDescent="0.35"/>
    <row r="84711" hidden="1" x14ac:dyDescent="0.35"/>
    <row r="84712" hidden="1" x14ac:dyDescent="0.35"/>
    <row r="84713" hidden="1" x14ac:dyDescent="0.35"/>
    <row r="84714" hidden="1" x14ac:dyDescent="0.35"/>
    <row r="84715" hidden="1" x14ac:dyDescent="0.35"/>
    <row r="84716" hidden="1" x14ac:dyDescent="0.35"/>
    <row r="84717" hidden="1" x14ac:dyDescent="0.35"/>
    <row r="84718" hidden="1" x14ac:dyDescent="0.35"/>
    <row r="84719" hidden="1" x14ac:dyDescent="0.35"/>
    <row r="84720" hidden="1" x14ac:dyDescent="0.35"/>
    <row r="84721" hidden="1" x14ac:dyDescent="0.35"/>
    <row r="84722" hidden="1" x14ac:dyDescent="0.35"/>
    <row r="84723" hidden="1" x14ac:dyDescent="0.35"/>
    <row r="84724" hidden="1" x14ac:dyDescent="0.35"/>
    <row r="84725" hidden="1" x14ac:dyDescent="0.35"/>
    <row r="84726" hidden="1" x14ac:dyDescent="0.35"/>
    <row r="84727" hidden="1" x14ac:dyDescent="0.35"/>
    <row r="84728" hidden="1" x14ac:dyDescent="0.35"/>
    <row r="84729" hidden="1" x14ac:dyDescent="0.35"/>
    <row r="84730" hidden="1" x14ac:dyDescent="0.35"/>
    <row r="84731" hidden="1" x14ac:dyDescent="0.35"/>
    <row r="84732" hidden="1" x14ac:dyDescent="0.35"/>
    <row r="84733" hidden="1" x14ac:dyDescent="0.35"/>
    <row r="84734" hidden="1" x14ac:dyDescent="0.35"/>
    <row r="84735" hidden="1" x14ac:dyDescent="0.35"/>
    <row r="84736" hidden="1" x14ac:dyDescent="0.35"/>
    <row r="84737" hidden="1" x14ac:dyDescent="0.35"/>
    <row r="84738" hidden="1" x14ac:dyDescent="0.35"/>
    <row r="84739" hidden="1" x14ac:dyDescent="0.35"/>
    <row r="84740" hidden="1" x14ac:dyDescent="0.35"/>
    <row r="84741" hidden="1" x14ac:dyDescent="0.35"/>
    <row r="84742" hidden="1" x14ac:dyDescent="0.35"/>
    <row r="84743" hidden="1" x14ac:dyDescent="0.35"/>
    <row r="84744" hidden="1" x14ac:dyDescent="0.35"/>
    <row r="84745" hidden="1" x14ac:dyDescent="0.35"/>
    <row r="84746" hidden="1" x14ac:dyDescent="0.35"/>
    <row r="84747" hidden="1" x14ac:dyDescent="0.35"/>
    <row r="84748" hidden="1" x14ac:dyDescent="0.35"/>
    <row r="84749" hidden="1" x14ac:dyDescent="0.35"/>
    <row r="84750" hidden="1" x14ac:dyDescent="0.35"/>
    <row r="84751" hidden="1" x14ac:dyDescent="0.35"/>
    <row r="84752" hidden="1" x14ac:dyDescent="0.35"/>
    <row r="84753" hidden="1" x14ac:dyDescent="0.35"/>
    <row r="84754" hidden="1" x14ac:dyDescent="0.35"/>
    <row r="84755" hidden="1" x14ac:dyDescent="0.35"/>
    <row r="84756" hidden="1" x14ac:dyDescent="0.35"/>
    <row r="84757" hidden="1" x14ac:dyDescent="0.35"/>
    <row r="84758" hidden="1" x14ac:dyDescent="0.35"/>
    <row r="84759" hidden="1" x14ac:dyDescent="0.35"/>
    <row r="84760" hidden="1" x14ac:dyDescent="0.35"/>
    <row r="84761" hidden="1" x14ac:dyDescent="0.35"/>
    <row r="84762" hidden="1" x14ac:dyDescent="0.35"/>
    <row r="84763" hidden="1" x14ac:dyDescent="0.35"/>
    <row r="84764" hidden="1" x14ac:dyDescent="0.35"/>
    <row r="84765" hidden="1" x14ac:dyDescent="0.35"/>
    <row r="84766" hidden="1" x14ac:dyDescent="0.35"/>
    <row r="84767" hidden="1" x14ac:dyDescent="0.35"/>
    <row r="84768" hidden="1" x14ac:dyDescent="0.35"/>
    <row r="84769" hidden="1" x14ac:dyDescent="0.35"/>
    <row r="84770" hidden="1" x14ac:dyDescent="0.35"/>
    <row r="84771" hidden="1" x14ac:dyDescent="0.35"/>
    <row r="84772" hidden="1" x14ac:dyDescent="0.35"/>
    <row r="84773" hidden="1" x14ac:dyDescent="0.35"/>
    <row r="84774" hidden="1" x14ac:dyDescent="0.35"/>
    <row r="84775" hidden="1" x14ac:dyDescent="0.35"/>
    <row r="84776" hidden="1" x14ac:dyDescent="0.35"/>
    <row r="84777" hidden="1" x14ac:dyDescent="0.35"/>
    <row r="84778" hidden="1" x14ac:dyDescent="0.35"/>
    <row r="84779" hidden="1" x14ac:dyDescent="0.35"/>
    <row r="84780" hidden="1" x14ac:dyDescent="0.35"/>
    <row r="84781" hidden="1" x14ac:dyDescent="0.35"/>
    <row r="84782" hidden="1" x14ac:dyDescent="0.35"/>
    <row r="84783" hidden="1" x14ac:dyDescent="0.35"/>
    <row r="84784" hidden="1" x14ac:dyDescent="0.35"/>
    <row r="84785" hidden="1" x14ac:dyDescent="0.35"/>
    <row r="84786" hidden="1" x14ac:dyDescent="0.35"/>
    <row r="84787" hidden="1" x14ac:dyDescent="0.35"/>
    <row r="84788" hidden="1" x14ac:dyDescent="0.35"/>
    <row r="84789" hidden="1" x14ac:dyDescent="0.35"/>
    <row r="84790" hidden="1" x14ac:dyDescent="0.35"/>
    <row r="84791" hidden="1" x14ac:dyDescent="0.35"/>
    <row r="84792" hidden="1" x14ac:dyDescent="0.35"/>
    <row r="84793" hidden="1" x14ac:dyDescent="0.35"/>
    <row r="84794" hidden="1" x14ac:dyDescent="0.35"/>
    <row r="84795" hidden="1" x14ac:dyDescent="0.35"/>
    <row r="84796" hidden="1" x14ac:dyDescent="0.35"/>
    <row r="84797" hidden="1" x14ac:dyDescent="0.35"/>
    <row r="84798" hidden="1" x14ac:dyDescent="0.35"/>
    <row r="84799" hidden="1" x14ac:dyDescent="0.35"/>
    <row r="84800" hidden="1" x14ac:dyDescent="0.35"/>
    <row r="84801" hidden="1" x14ac:dyDescent="0.35"/>
    <row r="84802" hidden="1" x14ac:dyDescent="0.35"/>
    <row r="84803" hidden="1" x14ac:dyDescent="0.35"/>
    <row r="84804" hidden="1" x14ac:dyDescent="0.35"/>
    <row r="84805" hidden="1" x14ac:dyDescent="0.35"/>
    <row r="84806" hidden="1" x14ac:dyDescent="0.35"/>
    <row r="84807" hidden="1" x14ac:dyDescent="0.35"/>
    <row r="84808" hidden="1" x14ac:dyDescent="0.35"/>
    <row r="84809" hidden="1" x14ac:dyDescent="0.35"/>
    <row r="84810" hidden="1" x14ac:dyDescent="0.35"/>
    <row r="84811" hidden="1" x14ac:dyDescent="0.35"/>
    <row r="84812" hidden="1" x14ac:dyDescent="0.35"/>
    <row r="84813" hidden="1" x14ac:dyDescent="0.35"/>
    <row r="84814" hidden="1" x14ac:dyDescent="0.35"/>
    <row r="84815" hidden="1" x14ac:dyDescent="0.35"/>
    <row r="84816" hidden="1" x14ac:dyDescent="0.35"/>
    <row r="84817" hidden="1" x14ac:dyDescent="0.35"/>
    <row r="84818" hidden="1" x14ac:dyDescent="0.35"/>
    <row r="84819" hidden="1" x14ac:dyDescent="0.35"/>
    <row r="84820" hidden="1" x14ac:dyDescent="0.35"/>
    <row r="84821" hidden="1" x14ac:dyDescent="0.35"/>
    <row r="84822" hidden="1" x14ac:dyDescent="0.35"/>
    <row r="84823" hidden="1" x14ac:dyDescent="0.35"/>
    <row r="84824" hidden="1" x14ac:dyDescent="0.35"/>
    <row r="84825" hidden="1" x14ac:dyDescent="0.35"/>
    <row r="84826" hidden="1" x14ac:dyDescent="0.35"/>
    <row r="84827" hidden="1" x14ac:dyDescent="0.35"/>
    <row r="84828" hidden="1" x14ac:dyDescent="0.35"/>
    <row r="84829" hidden="1" x14ac:dyDescent="0.35"/>
    <row r="84830" hidden="1" x14ac:dyDescent="0.35"/>
    <row r="84831" hidden="1" x14ac:dyDescent="0.35"/>
    <row r="84832" hidden="1" x14ac:dyDescent="0.35"/>
    <row r="84833" hidden="1" x14ac:dyDescent="0.35"/>
    <row r="84834" hidden="1" x14ac:dyDescent="0.35"/>
    <row r="84835" hidden="1" x14ac:dyDescent="0.35"/>
    <row r="84836" hidden="1" x14ac:dyDescent="0.35"/>
    <row r="84837" hidden="1" x14ac:dyDescent="0.35"/>
    <row r="84838" hidden="1" x14ac:dyDescent="0.35"/>
    <row r="84839" hidden="1" x14ac:dyDescent="0.35"/>
    <row r="84840" hidden="1" x14ac:dyDescent="0.35"/>
    <row r="84841" hidden="1" x14ac:dyDescent="0.35"/>
    <row r="84842" hidden="1" x14ac:dyDescent="0.35"/>
    <row r="84843" hidden="1" x14ac:dyDescent="0.35"/>
    <row r="84844" hidden="1" x14ac:dyDescent="0.35"/>
    <row r="84845" hidden="1" x14ac:dyDescent="0.35"/>
    <row r="84846" hidden="1" x14ac:dyDescent="0.35"/>
    <row r="84847" hidden="1" x14ac:dyDescent="0.35"/>
    <row r="84848" hidden="1" x14ac:dyDescent="0.35"/>
    <row r="84849" hidden="1" x14ac:dyDescent="0.35"/>
    <row r="84850" hidden="1" x14ac:dyDescent="0.35"/>
    <row r="84851" hidden="1" x14ac:dyDescent="0.35"/>
    <row r="84852" hidden="1" x14ac:dyDescent="0.35"/>
    <row r="84853" hidden="1" x14ac:dyDescent="0.35"/>
    <row r="84854" hidden="1" x14ac:dyDescent="0.35"/>
    <row r="84855" hidden="1" x14ac:dyDescent="0.35"/>
    <row r="84856" hidden="1" x14ac:dyDescent="0.35"/>
    <row r="84857" hidden="1" x14ac:dyDescent="0.35"/>
    <row r="84858" hidden="1" x14ac:dyDescent="0.35"/>
    <row r="84859" hidden="1" x14ac:dyDescent="0.35"/>
    <row r="84860" hidden="1" x14ac:dyDescent="0.35"/>
    <row r="84861" hidden="1" x14ac:dyDescent="0.35"/>
    <row r="84862" hidden="1" x14ac:dyDescent="0.35"/>
    <row r="84863" hidden="1" x14ac:dyDescent="0.35"/>
    <row r="84864" hidden="1" x14ac:dyDescent="0.35"/>
    <row r="84865" hidden="1" x14ac:dyDescent="0.35"/>
    <row r="84866" hidden="1" x14ac:dyDescent="0.35"/>
    <row r="84867" hidden="1" x14ac:dyDescent="0.35"/>
    <row r="84868" hidden="1" x14ac:dyDescent="0.35"/>
    <row r="84869" hidden="1" x14ac:dyDescent="0.35"/>
    <row r="84870" hidden="1" x14ac:dyDescent="0.35"/>
    <row r="84871" hidden="1" x14ac:dyDescent="0.35"/>
    <row r="84872" hidden="1" x14ac:dyDescent="0.35"/>
    <row r="84873" hidden="1" x14ac:dyDescent="0.35"/>
    <row r="84874" hidden="1" x14ac:dyDescent="0.35"/>
    <row r="84875" hidden="1" x14ac:dyDescent="0.35"/>
    <row r="84876" hidden="1" x14ac:dyDescent="0.35"/>
    <row r="84877" hidden="1" x14ac:dyDescent="0.35"/>
    <row r="84878" hidden="1" x14ac:dyDescent="0.35"/>
    <row r="84879" hidden="1" x14ac:dyDescent="0.35"/>
    <row r="84880" hidden="1" x14ac:dyDescent="0.35"/>
    <row r="84881" hidden="1" x14ac:dyDescent="0.35"/>
    <row r="84882" hidden="1" x14ac:dyDescent="0.35"/>
    <row r="84883" hidden="1" x14ac:dyDescent="0.35"/>
    <row r="84884" hidden="1" x14ac:dyDescent="0.35"/>
    <row r="84885" hidden="1" x14ac:dyDescent="0.35"/>
    <row r="84886" hidden="1" x14ac:dyDescent="0.35"/>
    <row r="84887" hidden="1" x14ac:dyDescent="0.35"/>
    <row r="84888" hidden="1" x14ac:dyDescent="0.35"/>
    <row r="84889" hidden="1" x14ac:dyDescent="0.35"/>
    <row r="84890" hidden="1" x14ac:dyDescent="0.35"/>
    <row r="84891" hidden="1" x14ac:dyDescent="0.35"/>
    <row r="84892" hidden="1" x14ac:dyDescent="0.35"/>
    <row r="84893" hidden="1" x14ac:dyDescent="0.35"/>
    <row r="84894" hidden="1" x14ac:dyDescent="0.35"/>
    <row r="84895" hidden="1" x14ac:dyDescent="0.35"/>
    <row r="84896" hidden="1" x14ac:dyDescent="0.35"/>
    <row r="84897" hidden="1" x14ac:dyDescent="0.35"/>
    <row r="84898" hidden="1" x14ac:dyDescent="0.35"/>
    <row r="84899" hidden="1" x14ac:dyDescent="0.35"/>
    <row r="84900" hidden="1" x14ac:dyDescent="0.35"/>
    <row r="84901" hidden="1" x14ac:dyDescent="0.35"/>
    <row r="84902" hidden="1" x14ac:dyDescent="0.35"/>
    <row r="84903" hidden="1" x14ac:dyDescent="0.35"/>
    <row r="84904" hidden="1" x14ac:dyDescent="0.35"/>
    <row r="84905" hidden="1" x14ac:dyDescent="0.35"/>
    <row r="84906" hidden="1" x14ac:dyDescent="0.35"/>
    <row r="84907" hidden="1" x14ac:dyDescent="0.35"/>
    <row r="84908" hidden="1" x14ac:dyDescent="0.35"/>
    <row r="84909" hidden="1" x14ac:dyDescent="0.35"/>
    <row r="84910" hidden="1" x14ac:dyDescent="0.35"/>
    <row r="84911" hidden="1" x14ac:dyDescent="0.35"/>
    <row r="84912" hidden="1" x14ac:dyDescent="0.35"/>
    <row r="84913" hidden="1" x14ac:dyDescent="0.35"/>
    <row r="84914" hidden="1" x14ac:dyDescent="0.35"/>
    <row r="84915" hidden="1" x14ac:dyDescent="0.35"/>
    <row r="84916" hidden="1" x14ac:dyDescent="0.35"/>
    <row r="84917" hidden="1" x14ac:dyDescent="0.35"/>
    <row r="84918" hidden="1" x14ac:dyDescent="0.35"/>
    <row r="84919" hidden="1" x14ac:dyDescent="0.35"/>
    <row r="84920" hidden="1" x14ac:dyDescent="0.35"/>
    <row r="84921" hidden="1" x14ac:dyDescent="0.35"/>
    <row r="84922" hidden="1" x14ac:dyDescent="0.35"/>
    <row r="84923" hidden="1" x14ac:dyDescent="0.35"/>
    <row r="84924" hidden="1" x14ac:dyDescent="0.35"/>
    <row r="84925" hidden="1" x14ac:dyDescent="0.35"/>
    <row r="84926" hidden="1" x14ac:dyDescent="0.35"/>
    <row r="84927" hidden="1" x14ac:dyDescent="0.35"/>
    <row r="84928" hidden="1" x14ac:dyDescent="0.35"/>
    <row r="84929" hidden="1" x14ac:dyDescent="0.35"/>
    <row r="84930" hidden="1" x14ac:dyDescent="0.35"/>
    <row r="84931" hidden="1" x14ac:dyDescent="0.35"/>
    <row r="84932" hidden="1" x14ac:dyDescent="0.35"/>
    <row r="84933" hidden="1" x14ac:dyDescent="0.35"/>
    <row r="84934" hidden="1" x14ac:dyDescent="0.35"/>
    <row r="84935" hidden="1" x14ac:dyDescent="0.35"/>
    <row r="84936" hidden="1" x14ac:dyDescent="0.35"/>
    <row r="84937" hidden="1" x14ac:dyDescent="0.35"/>
    <row r="84938" hidden="1" x14ac:dyDescent="0.35"/>
    <row r="84939" hidden="1" x14ac:dyDescent="0.35"/>
    <row r="84940" hidden="1" x14ac:dyDescent="0.35"/>
    <row r="84941" hidden="1" x14ac:dyDescent="0.35"/>
    <row r="84942" hidden="1" x14ac:dyDescent="0.35"/>
    <row r="84943" hidden="1" x14ac:dyDescent="0.35"/>
    <row r="84944" hidden="1" x14ac:dyDescent="0.35"/>
    <row r="84945" hidden="1" x14ac:dyDescent="0.35"/>
    <row r="84946" hidden="1" x14ac:dyDescent="0.35"/>
    <row r="84947" hidden="1" x14ac:dyDescent="0.35"/>
    <row r="84948" hidden="1" x14ac:dyDescent="0.35"/>
    <row r="84949" hidden="1" x14ac:dyDescent="0.35"/>
    <row r="84950" hidden="1" x14ac:dyDescent="0.35"/>
    <row r="84951" hidden="1" x14ac:dyDescent="0.35"/>
    <row r="84952" hidden="1" x14ac:dyDescent="0.35"/>
    <row r="84953" hidden="1" x14ac:dyDescent="0.35"/>
    <row r="84954" hidden="1" x14ac:dyDescent="0.35"/>
    <row r="84955" hidden="1" x14ac:dyDescent="0.35"/>
    <row r="84956" hidden="1" x14ac:dyDescent="0.35"/>
    <row r="84957" hidden="1" x14ac:dyDescent="0.35"/>
    <row r="84958" hidden="1" x14ac:dyDescent="0.35"/>
    <row r="84959" hidden="1" x14ac:dyDescent="0.35"/>
    <row r="84960" hidden="1" x14ac:dyDescent="0.35"/>
    <row r="84961" hidden="1" x14ac:dyDescent="0.35"/>
    <row r="84962" hidden="1" x14ac:dyDescent="0.35"/>
    <row r="84963" hidden="1" x14ac:dyDescent="0.35"/>
    <row r="84964" hidden="1" x14ac:dyDescent="0.35"/>
    <row r="84965" hidden="1" x14ac:dyDescent="0.35"/>
    <row r="84966" hidden="1" x14ac:dyDescent="0.35"/>
    <row r="84967" hidden="1" x14ac:dyDescent="0.35"/>
    <row r="84968" hidden="1" x14ac:dyDescent="0.35"/>
    <row r="84969" hidden="1" x14ac:dyDescent="0.35"/>
    <row r="84970" hidden="1" x14ac:dyDescent="0.35"/>
    <row r="84971" hidden="1" x14ac:dyDescent="0.35"/>
    <row r="84972" hidden="1" x14ac:dyDescent="0.35"/>
    <row r="84973" hidden="1" x14ac:dyDescent="0.35"/>
    <row r="84974" hidden="1" x14ac:dyDescent="0.35"/>
    <row r="84975" hidden="1" x14ac:dyDescent="0.35"/>
    <row r="84976" hidden="1" x14ac:dyDescent="0.35"/>
    <row r="84977" hidden="1" x14ac:dyDescent="0.35"/>
    <row r="84978" hidden="1" x14ac:dyDescent="0.35"/>
    <row r="84979" hidden="1" x14ac:dyDescent="0.35"/>
    <row r="84980" hidden="1" x14ac:dyDescent="0.35"/>
    <row r="84981" hidden="1" x14ac:dyDescent="0.35"/>
    <row r="84982" hidden="1" x14ac:dyDescent="0.35"/>
    <row r="84983" hidden="1" x14ac:dyDescent="0.35"/>
    <row r="84984" hidden="1" x14ac:dyDescent="0.35"/>
    <row r="84985" hidden="1" x14ac:dyDescent="0.35"/>
    <row r="84986" hidden="1" x14ac:dyDescent="0.35"/>
    <row r="84987" hidden="1" x14ac:dyDescent="0.35"/>
    <row r="84988" hidden="1" x14ac:dyDescent="0.35"/>
    <row r="84989" hidden="1" x14ac:dyDescent="0.35"/>
    <row r="84990" hidden="1" x14ac:dyDescent="0.35"/>
    <row r="84991" hidden="1" x14ac:dyDescent="0.35"/>
    <row r="84992" hidden="1" x14ac:dyDescent="0.35"/>
    <row r="84993" hidden="1" x14ac:dyDescent="0.35"/>
    <row r="84994" hidden="1" x14ac:dyDescent="0.35"/>
    <row r="84995" hidden="1" x14ac:dyDescent="0.35"/>
    <row r="84996" hidden="1" x14ac:dyDescent="0.35"/>
    <row r="84997" hidden="1" x14ac:dyDescent="0.35"/>
    <row r="84998" hidden="1" x14ac:dyDescent="0.35"/>
    <row r="84999" hidden="1" x14ac:dyDescent="0.35"/>
    <row r="85000" hidden="1" x14ac:dyDescent="0.35"/>
    <row r="85001" hidden="1" x14ac:dyDescent="0.35"/>
    <row r="85002" hidden="1" x14ac:dyDescent="0.35"/>
    <row r="85003" hidden="1" x14ac:dyDescent="0.35"/>
    <row r="85004" hidden="1" x14ac:dyDescent="0.35"/>
    <row r="85005" hidden="1" x14ac:dyDescent="0.35"/>
    <row r="85006" hidden="1" x14ac:dyDescent="0.35"/>
    <row r="85007" hidden="1" x14ac:dyDescent="0.35"/>
    <row r="85008" hidden="1" x14ac:dyDescent="0.35"/>
    <row r="85009" hidden="1" x14ac:dyDescent="0.35"/>
    <row r="85010" hidden="1" x14ac:dyDescent="0.35"/>
    <row r="85011" hidden="1" x14ac:dyDescent="0.35"/>
    <row r="85012" hidden="1" x14ac:dyDescent="0.35"/>
    <row r="85013" hidden="1" x14ac:dyDescent="0.35"/>
    <row r="85014" hidden="1" x14ac:dyDescent="0.35"/>
    <row r="85015" hidden="1" x14ac:dyDescent="0.35"/>
    <row r="85016" hidden="1" x14ac:dyDescent="0.35"/>
    <row r="85017" hidden="1" x14ac:dyDescent="0.35"/>
    <row r="85018" hidden="1" x14ac:dyDescent="0.35"/>
    <row r="85019" hidden="1" x14ac:dyDescent="0.35"/>
    <row r="85020" hidden="1" x14ac:dyDescent="0.35"/>
    <row r="85021" hidden="1" x14ac:dyDescent="0.35"/>
    <row r="85022" hidden="1" x14ac:dyDescent="0.35"/>
    <row r="85023" hidden="1" x14ac:dyDescent="0.35"/>
    <row r="85024" hidden="1" x14ac:dyDescent="0.35"/>
    <row r="85025" hidden="1" x14ac:dyDescent="0.35"/>
    <row r="85026" hidden="1" x14ac:dyDescent="0.35"/>
    <row r="85027" hidden="1" x14ac:dyDescent="0.35"/>
    <row r="85028" hidden="1" x14ac:dyDescent="0.35"/>
    <row r="85029" hidden="1" x14ac:dyDescent="0.35"/>
    <row r="85030" hidden="1" x14ac:dyDescent="0.35"/>
    <row r="85031" hidden="1" x14ac:dyDescent="0.35"/>
    <row r="85032" hidden="1" x14ac:dyDescent="0.35"/>
    <row r="85033" hidden="1" x14ac:dyDescent="0.35"/>
    <row r="85034" hidden="1" x14ac:dyDescent="0.35"/>
    <row r="85035" hidden="1" x14ac:dyDescent="0.35"/>
    <row r="85036" hidden="1" x14ac:dyDescent="0.35"/>
    <row r="85037" hidden="1" x14ac:dyDescent="0.35"/>
    <row r="85038" hidden="1" x14ac:dyDescent="0.35"/>
    <row r="85039" hidden="1" x14ac:dyDescent="0.35"/>
    <row r="85040" hidden="1" x14ac:dyDescent="0.35"/>
    <row r="85041" hidden="1" x14ac:dyDescent="0.35"/>
    <row r="85042" hidden="1" x14ac:dyDescent="0.35"/>
    <row r="85043" hidden="1" x14ac:dyDescent="0.35"/>
    <row r="85044" hidden="1" x14ac:dyDescent="0.35"/>
    <row r="85045" hidden="1" x14ac:dyDescent="0.35"/>
    <row r="85046" hidden="1" x14ac:dyDescent="0.35"/>
    <row r="85047" hidden="1" x14ac:dyDescent="0.35"/>
    <row r="85048" hidden="1" x14ac:dyDescent="0.35"/>
    <row r="85049" hidden="1" x14ac:dyDescent="0.35"/>
    <row r="85050" hidden="1" x14ac:dyDescent="0.35"/>
    <row r="85051" hidden="1" x14ac:dyDescent="0.35"/>
    <row r="85052" hidden="1" x14ac:dyDescent="0.35"/>
    <row r="85053" hidden="1" x14ac:dyDescent="0.35"/>
    <row r="85054" hidden="1" x14ac:dyDescent="0.35"/>
    <row r="85055" hidden="1" x14ac:dyDescent="0.35"/>
    <row r="85056" hidden="1" x14ac:dyDescent="0.35"/>
    <row r="85057" hidden="1" x14ac:dyDescent="0.35"/>
    <row r="85058" hidden="1" x14ac:dyDescent="0.35"/>
    <row r="85059" hidden="1" x14ac:dyDescent="0.35"/>
    <row r="85060" hidden="1" x14ac:dyDescent="0.35"/>
    <row r="85061" hidden="1" x14ac:dyDescent="0.35"/>
    <row r="85062" hidden="1" x14ac:dyDescent="0.35"/>
    <row r="85063" hidden="1" x14ac:dyDescent="0.35"/>
    <row r="85064" hidden="1" x14ac:dyDescent="0.35"/>
    <row r="85065" hidden="1" x14ac:dyDescent="0.35"/>
    <row r="85066" hidden="1" x14ac:dyDescent="0.35"/>
    <row r="85067" hidden="1" x14ac:dyDescent="0.35"/>
    <row r="85068" hidden="1" x14ac:dyDescent="0.35"/>
    <row r="85069" hidden="1" x14ac:dyDescent="0.35"/>
    <row r="85070" hidden="1" x14ac:dyDescent="0.35"/>
    <row r="85071" hidden="1" x14ac:dyDescent="0.35"/>
    <row r="85072" hidden="1" x14ac:dyDescent="0.35"/>
    <row r="85073" hidden="1" x14ac:dyDescent="0.35"/>
    <row r="85074" hidden="1" x14ac:dyDescent="0.35"/>
    <row r="85075" hidden="1" x14ac:dyDescent="0.35"/>
    <row r="85076" hidden="1" x14ac:dyDescent="0.35"/>
    <row r="85077" hidden="1" x14ac:dyDescent="0.35"/>
    <row r="85078" hidden="1" x14ac:dyDescent="0.35"/>
    <row r="85079" hidden="1" x14ac:dyDescent="0.35"/>
    <row r="85080" hidden="1" x14ac:dyDescent="0.35"/>
    <row r="85081" hidden="1" x14ac:dyDescent="0.35"/>
    <row r="85082" hidden="1" x14ac:dyDescent="0.35"/>
    <row r="85083" hidden="1" x14ac:dyDescent="0.35"/>
    <row r="85084" hidden="1" x14ac:dyDescent="0.35"/>
    <row r="85085" hidden="1" x14ac:dyDescent="0.35"/>
    <row r="85086" hidden="1" x14ac:dyDescent="0.35"/>
    <row r="85087" hidden="1" x14ac:dyDescent="0.35"/>
    <row r="85088" hidden="1" x14ac:dyDescent="0.35"/>
    <row r="85089" hidden="1" x14ac:dyDescent="0.35"/>
    <row r="85090" hidden="1" x14ac:dyDescent="0.35"/>
    <row r="85091" hidden="1" x14ac:dyDescent="0.35"/>
    <row r="85092" hidden="1" x14ac:dyDescent="0.35"/>
    <row r="85093" hidden="1" x14ac:dyDescent="0.35"/>
    <row r="85094" hidden="1" x14ac:dyDescent="0.35"/>
    <row r="85095" hidden="1" x14ac:dyDescent="0.35"/>
    <row r="85096" hidden="1" x14ac:dyDescent="0.35"/>
    <row r="85097" hidden="1" x14ac:dyDescent="0.35"/>
    <row r="85098" hidden="1" x14ac:dyDescent="0.35"/>
    <row r="85099" hidden="1" x14ac:dyDescent="0.35"/>
    <row r="85100" hidden="1" x14ac:dyDescent="0.35"/>
    <row r="85101" hidden="1" x14ac:dyDescent="0.35"/>
    <row r="85102" hidden="1" x14ac:dyDescent="0.35"/>
    <row r="85103" hidden="1" x14ac:dyDescent="0.35"/>
    <row r="85104" hidden="1" x14ac:dyDescent="0.35"/>
    <row r="85105" hidden="1" x14ac:dyDescent="0.35"/>
    <row r="85106" hidden="1" x14ac:dyDescent="0.35"/>
    <row r="85107" hidden="1" x14ac:dyDescent="0.35"/>
    <row r="85108" hidden="1" x14ac:dyDescent="0.35"/>
    <row r="85109" hidden="1" x14ac:dyDescent="0.35"/>
    <row r="85110" hidden="1" x14ac:dyDescent="0.35"/>
    <row r="85111" hidden="1" x14ac:dyDescent="0.35"/>
    <row r="85112" hidden="1" x14ac:dyDescent="0.35"/>
    <row r="85113" hidden="1" x14ac:dyDescent="0.35"/>
    <row r="85114" hidden="1" x14ac:dyDescent="0.35"/>
    <row r="85115" hidden="1" x14ac:dyDescent="0.35"/>
    <row r="85116" hidden="1" x14ac:dyDescent="0.35"/>
    <row r="85117" hidden="1" x14ac:dyDescent="0.35"/>
    <row r="85118" hidden="1" x14ac:dyDescent="0.35"/>
    <row r="85119" hidden="1" x14ac:dyDescent="0.35"/>
    <row r="85120" hidden="1" x14ac:dyDescent="0.35"/>
    <row r="85121" hidden="1" x14ac:dyDescent="0.35"/>
    <row r="85122" hidden="1" x14ac:dyDescent="0.35"/>
    <row r="85123" hidden="1" x14ac:dyDescent="0.35"/>
    <row r="85124" hidden="1" x14ac:dyDescent="0.35"/>
    <row r="85125" hidden="1" x14ac:dyDescent="0.35"/>
    <row r="85126" hidden="1" x14ac:dyDescent="0.35"/>
    <row r="85127" hidden="1" x14ac:dyDescent="0.35"/>
    <row r="85128" hidden="1" x14ac:dyDescent="0.35"/>
    <row r="85129" hidden="1" x14ac:dyDescent="0.35"/>
    <row r="85130" hidden="1" x14ac:dyDescent="0.35"/>
    <row r="85131" hidden="1" x14ac:dyDescent="0.35"/>
    <row r="85132" hidden="1" x14ac:dyDescent="0.35"/>
    <row r="85133" hidden="1" x14ac:dyDescent="0.35"/>
    <row r="85134" hidden="1" x14ac:dyDescent="0.35"/>
    <row r="85135" hidden="1" x14ac:dyDescent="0.35"/>
    <row r="85136" hidden="1" x14ac:dyDescent="0.35"/>
    <row r="85137" hidden="1" x14ac:dyDescent="0.35"/>
    <row r="85138" hidden="1" x14ac:dyDescent="0.35"/>
    <row r="85139" hidden="1" x14ac:dyDescent="0.35"/>
    <row r="85140" hidden="1" x14ac:dyDescent="0.35"/>
    <row r="85141" hidden="1" x14ac:dyDescent="0.35"/>
    <row r="85142" hidden="1" x14ac:dyDescent="0.35"/>
    <row r="85143" hidden="1" x14ac:dyDescent="0.35"/>
    <row r="85144" hidden="1" x14ac:dyDescent="0.35"/>
    <row r="85145" hidden="1" x14ac:dyDescent="0.35"/>
    <row r="85146" hidden="1" x14ac:dyDescent="0.35"/>
    <row r="85147" hidden="1" x14ac:dyDescent="0.35"/>
    <row r="85148" hidden="1" x14ac:dyDescent="0.35"/>
    <row r="85149" hidden="1" x14ac:dyDescent="0.35"/>
    <row r="85150" hidden="1" x14ac:dyDescent="0.35"/>
    <row r="85151" hidden="1" x14ac:dyDescent="0.35"/>
    <row r="85152" hidden="1" x14ac:dyDescent="0.35"/>
    <row r="85153" hidden="1" x14ac:dyDescent="0.35"/>
    <row r="85154" hidden="1" x14ac:dyDescent="0.35"/>
    <row r="85155" hidden="1" x14ac:dyDescent="0.35"/>
    <row r="85156" hidden="1" x14ac:dyDescent="0.35"/>
    <row r="85157" hidden="1" x14ac:dyDescent="0.35"/>
    <row r="85158" hidden="1" x14ac:dyDescent="0.35"/>
    <row r="85159" hidden="1" x14ac:dyDescent="0.35"/>
    <row r="85160" hidden="1" x14ac:dyDescent="0.35"/>
    <row r="85161" hidden="1" x14ac:dyDescent="0.35"/>
    <row r="85162" hidden="1" x14ac:dyDescent="0.35"/>
    <row r="85163" hidden="1" x14ac:dyDescent="0.35"/>
    <row r="85164" hidden="1" x14ac:dyDescent="0.35"/>
    <row r="85165" hidden="1" x14ac:dyDescent="0.35"/>
    <row r="85166" hidden="1" x14ac:dyDescent="0.35"/>
    <row r="85167" hidden="1" x14ac:dyDescent="0.35"/>
    <row r="85168" hidden="1" x14ac:dyDescent="0.35"/>
    <row r="85169" hidden="1" x14ac:dyDescent="0.35"/>
    <row r="85170" hidden="1" x14ac:dyDescent="0.35"/>
    <row r="85171" hidden="1" x14ac:dyDescent="0.35"/>
    <row r="85172" hidden="1" x14ac:dyDescent="0.35"/>
    <row r="85173" hidden="1" x14ac:dyDescent="0.35"/>
    <row r="85174" hidden="1" x14ac:dyDescent="0.35"/>
    <row r="85175" hidden="1" x14ac:dyDescent="0.35"/>
    <row r="85176" hidden="1" x14ac:dyDescent="0.35"/>
    <row r="85177" hidden="1" x14ac:dyDescent="0.35"/>
    <row r="85178" hidden="1" x14ac:dyDescent="0.35"/>
    <row r="85179" hidden="1" x14ac:dyDescent="0.35"/>
    <row r="85180" hidden="1" x14ac:dyDescent="0.35"/>
    <row r="85181" hidden="1" x14ac:dyDescent="0.35"/>
    <row r="85182" hidden="1" x14ac:dyDescent="0.35"/>
    <row r="85183" hidden="1" x14ac:dyDescent="0.35"/>
    <row r="85184" hidden="1" x14ac:dyDescent="0.35"/>
    <row r="85185" hidden="1" x14ac:dyDescent="0.35"/>
    <row r="85186" hidden="1" x14ac:dyDescent="0.35"/>
    <row r="85187" hidden="1" x14ac:dyDescent="0.35"/>
    <row r="85188" hidden="1" x14ac:dyDescent="0.35"/>
    <row r="85189" hidden="1" x14ac:dyDescent="0.35"/>
    <row r="85190" hidden="1" x14ac:dyDescent="0.35"/>
    <row r="85191" hidden="1" x14ac:dyDescent="0.35"/>
    <row r="85192" hidden="1" x14ac:dyDescent="0.35"/>
    <row r="85193" hidden="1" x14ac:dyDescent="0.35"/>
    <row r="85194" hidden="1" x14ac:dyDescent="0.35"/>
    <row r="85195" hidden="1" x14ac:dyDescent="0.35"/>
    <row r="85196" hidden="1" x14ac:dyDescent="0.35"/>
    <row r="85197" hidden="1" x14ac:dyDescent="0.35"/>
    <row r="85198" hidden="1" x14ac:dyDescent="0.35"/>
    <row r="85199" hidden="1" x14ac:dyDescent="0.35"/>
    <row r="85200" hidden="1" x14ac:dyDescent="0.35"/>
    <row r="85201" hidden="1" x14ac:dyDescent="0.35"/>
    <row r="85202" hidden="1" x14ac:dyDescent="0.35"/>
    <row r="85203" hidden="1" x14ac:dyDescent="0.35"/>
    <row r="85204" hidden="1" x14ac:dyDescent="0.35"/>
    <row r="85205" hidden="1" x14ac:dyDescent="0.35"/>
    <row r="85206" hidden="1" x14ac:dyDescent="0.35"/>
    <row r="85207" hidden="1" x14ac:dyDescent="0.35"/>
    <row r="85208" hidden="1" x14ac:dyDescent="0.35"/>
    <row r="85209" hidden="1" x14ac:dyDescent="0.35"/>
    <row r="85210" hidden="1" x14ac:dyDescent="0.35"/>
    <row r="85211" hidden="1" x14ac:dyDescent="0.35"/>
    <row r="85212" hidden="1" x14ac:dyDescent="0.35"/>
    <row r="85213" hidden="1" x14ac:dyDescent="0.35"/>
    <row r="85214" hidden="1" x14ac:dyDescent="0.35"/>
    <row r="85215" hidden="1" x14ac:dyDescent="0.35"/>
    <row r="85216" hidden="1" x14ac:dyDescent="0.35"/>
    <row r="85217" hidden="1" x14ac:dyDescent="0.35"/>
    <row r="85218" hidden="1" x14ac:dyDescent="0.35"/>
    <row r="85219" hidden="1" x14ac:dyDescent="0.35"/>
    <row r="85220" hidden="1" x14ac:dyDescent="0.35"/>
    <row r="85221" hidden="1" x14ac:dyDescent="0.35"/>
    <row r="85222" hidden="1" x14ac:dyDescent="0.35"/>
    <row r="85223" hidden="1" x14ac:dyDescent="0.35"/>
    <row r="85224" hidden="1" x14ac:dyDescent="0.35"/>
    <row r="85225" hidden="1" x14ac:dyDescent="0.35"/>
    <row r="85226" hidden="1" x14ac:dyDescent="0.35"/>
    <row r="85227" hidden="1" x14ac:dyDescent="0.35"/>
    <row r="85228" hidden="1" x14ac:dyDescent="0.35"/>
    <row r="85229" hidden="1" x14ac:dyDescent="0.35"/>
    <row r="85230" hidden="1" x14ac:dyDescent="0.35"/>
    <row r="85231" hidden="1" x14ac:dyDescent="0.35"/>
    <row r="85232" hidden="1" x14ac:dyDescent="0.35"/>
    <row r="85233" hidden="1" x14ac:dyDescent="0.35"/>
    <row r="85234" hidden="1" x14ac:dyDescent="0.35"/>
    <row r="85235" hidden="1" x14ac:dyDescent="0.35"/>
    <row r="85236" hidden="1" x14ac:dyDescent="0.35"/>
    <row r="85237" hidden="1" x14ac:dyDescent="0.35"/>
    <row r="85238" hidden="1" x14ac:dyDescent="0.35"/>
    <row r="85239" hidden="1" x14ac:dyDescent="0.35"/>
    <row r="85240" hidden="1" x14ac:dyDescent="0.35"/>
    <row r="85241" hidden="1" x14ac:dyDescent="0.35"/>
    <row r="85242" hidden="1" x14ac:dyDescent="0.35"/>
    <row r="85243" hidden="1" x14ac:dyDescent="0.35"/>
    <row r="85244" hidden="1" x14ac:dyDescent="0.35"/>
    <row r="85245" hidden="1" x14ac:dyDescent="0.35"/>
    <row r="85246" hidden="1" x14ac:dyDescent="0.35"/>
    <row r="85247" hidden="1" x14ac:dyDescent="0.35"/>
    <row r="85248" hidden="1" x14ac:dyDescent="0.35"/>
    <row r="85249" hidden="1" x14ac:dyDescent="0.35"/>
    <row r="85250" hidden="1" x14ac:dyDescent="0.35"/>
    <row r="85251" hidden="1" x14ac:dyDescent="0.35"/>
    <row r="85252" hidden="1" x14ac:dyDescent="0.35"/>
    <row r="85253" hidden="1" x14ac:dyDescent="0.35"/>
    <row r="85254" hidden="1" x14ac:dyDescent="0.35"/>
    <row r="85255" hidden="1" x14ac:dyDescent="0.35"/>
    <row r="85256" hidden="1" x14ac:dyDescent="0.35"/>
    <row r="85257" hidden="1" x14ac:dyDescent="0.35"/>
    <row r="85258" hidden="1" x14ac:dyDescent="0.35"/>
    <row r="85259" hidden="1" x14ac:dyDescent="0.35"/>
    <row r="85260" hidden="1" x14ac:dyDescent="0.35"/>
    <row r="85261" hidden="1" x14ac:dyDescent="0.35"/>
    <row r="85262" hidden="1" x14ac:dyDescent="0.35"/>
    <row r="85263" hidden="1" x14ac:dyDescent="0.35"/>
    <row r="85264" hidden="1" x14ac:dyDescent="0.35"/>
    <row r="85265" hidden="1" x14ac:dyDescent="0.35"/>
    <row r="85266" hidden="1" x14ac:dyDescent="0.35"/>
    <row r="85267" hidden="1" x14ac:dyDescent="0.35"/>
    <row r="85268" hidden="1" x14ac:dyDescent="0.35"/>
    <row r="85269" hidden="1" x14ac:dyDescent="0.35"/>
    <row r="85270" hidden="1" x14ac:dyDescent="0.35"/>
    <row r="85271" hidden="1" x14ac:dyDescent="0.35"/>
    <row r="85272" hidden="1" x14ac:dyDescent="0.35"/>
    <row r="85273" hidden="1" x14ac:dyDescent="0.35"/>
    <row r="85274" hidden="1" x14ac:dyDescent="0.35"/>
    <row r="85275" hidden="1" x14ac:dyDescent="0.35"/>
    <row r="85276" hidden="1" x14ac:dyDescent="0.35"/>
    <row r="85277" hidden="1" x14ac:dyDescent="0.35"/>
    <row r="85278" hidden="1" x14ac:dyDescent="0.35"/>
    <row r="85279" hidden="1" x14ac:dyDescent="0.35"/>
    <row r="85280" hidden="1" x14ac:dyDescent="0.35"/>
    <row r="85281" hidden="1" x14ac:dyDescent="0.35"/>
    <row r="85282" hidden="1" x14ac:dyDescent="0.35"/>
    <row r="85283" hidden="1" x14ac:dyDescent="0.35"/>
    <row r="85284" hidden="1" x14ac:dyDescent="0.35"/>
    <row r="85285" hidden="1" x14ac:dyDescent="0.35"/>
    <row r="85286" hidden="1" x14ac:dyDescent="0.35"/>
    <row r="85287" hidden="1" x14ac:dyDescent="0.35"/>
    <row r="85288" hidden="1" x14ac:dyDescent="0.35"/>
    <row r="85289" hidden="1" x14ac:dyDescent="0.35"/>
    <row r="85290" hidden="1" x14ac:dyDescent="0.35"/>
    <row r="85291" hidden="1" x14ac:dyDescent="0.35"/>
    <row r="85292" hidden="1" x14ac:dyDescent="0.35"/>
    <row r="85293" hidden="1" x14ac:dyDescent="0.35"/>
    <row r="85294" hidden="1" x14ac:dyDescent="0.35"/>
    <row r="85295" hidden="1" x14ac:dyDescent="0.35"/>
    <row r="85296" hidden="1" x14ac:dyDescent="0.35"/>
    <row r="85297" hidden="1" x14ac:dyDescent="0.35"/>
    <row r="85298" hidden="1" x14ac:dyDescent="0.35"/>
    <row r="85299" hidden="1" x14ac:dyDescent="0.35"/>
    <row r="85300" hidden="1" x14ac:dyDescent="0.35"/>
    <row r="85301" hidden="1" x14ac:dyDescent="0.35"/>
    <row r="85302" hidden="1" x14ac:dyDescent="0.35"/>
    <row r="85303" hidden="1" x14ac:dyDescent="0.35"/>
    <row r="85304" hidden="1" x14ac:dyDescent="0.35"/>
    <row r="85305" hidden="1" x14ac:dyDescent="0.35"/>
    <row r="85306" hidden="1" x14ac:dyDescent="0.35"/>
    <row r="85307" hidden="1" x14ac:dyDescent="0.35"/>
    <row r="85308" hidden="1" x14ac:dyDescent="0.35"/>
    <row r="85309" hidden="1" x14ac:dyDescent="0.35"/>
    <row r="85310" hidden="1" x14ac:dyDescent="0.35"/>
    <row r="85311" hidden="1" x14ac:dyDescent="0.35"/>
    <row r="85312" hidden="1" x14ac:dyDescent="0.35"/>
    <row r="85313" hidden="1" x14ac:dyDescent="0.35"/>
    <row r="85314" hidden="1" x14ac:dyDescent="0.35"/>
    <row r="85315" hidden="1" x14ac:dyDescent="0.35"/>
    <row r="85316" hidden="1" x14ac:dyDescent="0.35"/>
    <row r="85317" hidden="1" x14ac:dyDescent="0.35"/>
    <row r="85318" hidden="1" x14ac:dyDescent="0.35"/>
    <row r="85319" hidden="1" x14ac:dyDescent="0.35"/>
    <row r="85320" hidden="1" x14ac:dyDescent="0.35"/>
    <row r="85321" hidden="1" x14ac:dyDescent="0.35"/>
    <row r="85322" hidden="1" x14ac:dyDescent="0.35"/>
    <row r="85323" hidden="1" x14ac:dyDescent="0.35"/>
    <row r="85324" hidden="1" x14ac:dyDescent="0.35"/>
    <row r="85325" hidden="1" x14ac:dyDescent="0.35"/>
    <row r="85326" hidden="1" x14ac:dyDescent="0.35"/>
    <row r="85327" hidden="1" x14ac:dyDescent="0.35"/>
    <row r="85328" hidden="1" x14ac:dyDescent="0.35"/>
    <row r="85329" hidden="1" x14ac:dyDescent="0.35"/>
    <row r="85330" hidden="1" x14ac:dyDescent="0.35"/>
    <row r="85331" hidden="1" x14ac:dyDescent="0.35"/>
    <row r="85332" hidden="1" x14ac:dyDescent="0.35"/>
    <row r="85333" hidden="1" x14ac:dyDescent="0.35"/>
    <row r="85334" hidden="1" x14ac:dyDescent="0.35"/>
    <row r="85335" hidden="1" x14ac:dyDescent="0.35"/>
    <row r="85336" hidden="1" x14ac:dyDescent="0.35"/>
    <row r="85337" hidden="1" x14ac:dyDescent="0.35"/>
    <row r="85338" hidden="1" x14ac:dyDescent="0.35"/>
    <row r="85339" hidden="1" x14ac:dyDescent="0.35"/>
    <row r="85340" hidden="1" x14ac:dyDescent="0.35"/>
    <row r="85341" hidden="1" x14ac:dyDescent="0.35"/>
    <row r="85342" hidden="1" x14ac:dyDescent="0.35"/>
    <row r="85343" hidden="1" x14ac:dyDescent="0.35"/>
    <row r="85344" hidden="1" x14ac:dyDescent="0.35"/>
    <row r="85345" hidden="1" x14ac:dyDescent="0.35"/>
    <row r="85346" hidden="1" x14ac:dyDescent="0.35"/>
    <row r="85347" hidden="1" x14ac:dyDescent="0.35"/>
    <row r="85348" hidden="1" x14ac:dyDescent="0.35"/>
    <row r="85349" hidden="1" x14ac:dyDescent="0.35"/>
    <row r="85350" hidden="1" x14ac:dyDescent="0.35"/>
    <row r="85351" hidden="1" x14ac:dyDescent="0.35"/>
    <row r="85352" hidden="1" x14ac:dyDescent="0.35"/>
    <row r="85353" hidden="1" x14ac:dyDescent="0.35"/>
    <row r="85354" hidden="1" x14ac:dyDescent="0.35"/>
    <row r="85355" hidden="1" x14ac:dyDescent="0.35"/>
    <row r="85356" hidden="1" x14ac:dyDescent="0.35"/>
    <row r="85357" hidden="1" x14ac:dyDescent="0.35"/>
    <row r="85358" hidden="1" x14ac:dyDescent="0.35"/>
    <row r="85359" hidden="1" x14ac:dyDescent="0.35"/>
    <row r="85360" hidden="1" x14ac:dyDescent="0.35"/>
    <row r="85361" hidden="1" x14ac:dyDescent="0.35"/>
    <row r="85362" hidden="1" x14ac:dyDescent="0.35"/>
    <row r="85363" hidden="1" x14ac:dyDescent="0.35"/>
    <row r="85364" hidden="1" x14ac:dyDescent="0.35"/>
    <row r="85365" hidden="1" x14ac:dyDescent="0.35"/>
    <row r="85366" hidden="1" x14ac:dyDescent="0.35"/>
    <row r="85367" hidden="1" x14ac:dyDescent="0.35"/>
    <row r="85368" hidden="1" x14ac:dyDescent="0.35"/>
    <row r="85369" hidden="1" x14ac:dyDescent="0.35"/>
    <row r="85370" hidden="1" x14ac:dyDescent="0.35"/>
    <row r="85371" hidden="1" x14ac:dyDescent="0.35"/>
    <row r="85372" hidden="1" x14ac:dyDescent="0.35"/>
    <row r="85373" hidden="1" x14ac:dyDescent="0.35"/>
    <row r="85374" hidden="1" x14ac:dyDescent="0.35"/>
    <row r="85375" hidden="1" x14ac:dyDescent="0.35"/>
    <row r="85376" hidden="1" x14ac:dyDescent="0.35"/>
    <row r="85377" hidden="1" x14ac:dyDescent="0.35"/>
    <row r="85378" hidden="1" x14ac:dyDescent="0.35"/>
    <row r="85379" hidden="1" x14ac:dyDescent="0.35"/>
    <row r="85380" hidden="1" x14ac:dyDescent="0.35"/>
    <row r="85381" hidden="1" x14ac:dyDescent="0.35"/>
    <row r="85382" hidden="1" x14ac:dyDescent="0.35"/>
    <row r="85383" hidden="1" x14ac:dyDescent="0.35"/>
    <row r="85384" hidden="1" x14ac:dyDescent="0.35"/>
    <row r="85385" hidden="1" x14ac:dyDescent="0.35"/>
    <row r="85386" hidden="1" x14ac:dyDescent="0.35"/>
    <row r="85387" hidden="1" x14ac:dyDescent="0.35"/>
    <row r="85388" hidden="1" x14ac:dyDescent="0.35"/>
    <row r="85389" hidden="1" x14ac:dyDescent="0.35"/>
    <row r="85390" hidden="1" x14ac:dyDescent="0.35"/>
    <row r="85391" hidden="1" x14ac:dyDescent="0.35"/>
    <row r="85392" hidden="1" x14ac:dyDescent="0.35"/>
    <row r="85393" hidden="1" x14ac:dyDescent="0.35"/>
    <row r="85394" hidden="1" x14ac:dyDescent="0.35"/>
    <row r="85395" hidden="1" x14ac:dyDescent="0.35"/>
    <row r="85396" hidden="1" x14ac:dyDescent="0.35"/>
    <row r="85397" hidden="1" x14ac:dyDescent="0.35"/>
    <row r="85398" hidden="1" x14ac:dyDescent="0.35"/>
    <row r="85399" hidden="1" x14ac:dyDescent="0.35"/>
    <row r="85400" hidden="1" x14ac:dyDescent="0.35"/>
    <row r="85401" hidden="1" x14ac:dyDescent="0.35"/>
    <row r="85402" hidden="1" x14ac:dyDescent="0.35"/>
    <row r="85403" hidden="1" x14ac:dyDescent="0.35"/>
    <row r="85404" hidden="1" x14ac:dyDescent="0.35"/>
    <row r="85405" hidden="1" x14ac:dyDescent="0.35"/>
    <row r="85406" hidden="1" x14ac:dyDescent="0.35"/>
    <row r="85407" hidden="1" x14ac:dyDescent="0.35"/>
    <row r="85408" hidden="1" x14ac:dyDescent="0.35"/>
    <row r="85409" hidden="1" x14ac:dyDescent="0.35"/>
    <row r="85410" hidden="1" x14ac:dyDescent="0.35"/>
    <row r="85411" hidden="1" x14ac:dyDescent="0.35"/>
    <row r="85412" hidden="1" x14ac:dyDescent="0.35"/>
    <row r="85413" hidden="1" x14ac:dyDescent="0.35"/>
    <row r="85414" hidden="1" x14ac:dyDescent="0.35"/>
    <row r="85415" hidden="1" x14ac:dyDescent="0.35"/>
    <row r="85416" hidden="1" x14ac:dyDescent="0.35"/>
    <row r="85417" hidden="1" x14ac:dyDescent="0.35"/>
    <row r="85418" hidden="1" x14ac:dyDescent="0.35"/>
    <row r="85419" hidden="1" x14ac:dyDescent="0.35"/>
    <row r="85420" hidden="1" x14ac:dyDescent="0.35"/>
    <row r="85421" hidden="1" x14ac:dyDescent="0.35"/>
    <row r="85422" hidden="1" x14ac:dyDescent="0.35"/>
    <row r="85423" hidden="1" x14ac:dyDescent="0.35"/>
    <row r="85424" hidden="1" x14ac:dyDescent="0.35"/>
    <row r="85425" hidden="1" x14ac:dyDescent="0.35"/>
    <row r="85426" hidden="1" x14ac:dyDescent="0.35"/>
    <row r="85427" hidden="1" x14ac:dyDescent="0.35"/>
    <row r="85428" hidden="1" x14ac:dyDescent="0.35"/>
    <row r="85429" hidden="1" x14ac:dyDescent="0.35"/>
    <row r="85430" hidden="1" x14ac:dyDescent="0.35"/>
    <row r="85431" hidden="1" x14ac:dyDescent="0.35"/>
    <row r="85432" hidden="1" x14ac:dyDescent="0.35"/>
    <row r="85433" hidden="1" x14ac:dyDescent="0.35"/>
    <row r="85434" hidden="1" x14ac:dyDescent="0.35"/>
    <row r="85435" hidden="1" x14ac:dyDescent="0.35"/>
    <row r="85436" hidden="1" x14ac:dyDescent="0.35"/>
    <row r="85437" hidden="1" x14ac:dyDescent="0.35"/>
    <row r="85438" hidden="1" x14ac:dyDescent="0.35"/>
    <row r="85439" hidden="1" x14ac:dyDescent="0.35"/>
    <row r="85440" hidden="1" x14ac:dyDescent="0.35"/>
    <row r="85441" hidden="1" x14ac:dyDescent="0.35"/>
    <row r="85442" hidden="1" x14ac:dyDescent="0.35"/>
    <row r="85443" hidden="1" x14ac:dyDescent="0.35"/>
    <row r="85444" hidden="1" x14ac:dyDescent="0.35"/>
    <row r="85445" hidden="1" x14ac:dyDescent="0.35"/>
    <row r="85446" hidden="1" x14ac:dyDescent="0.35"/>
    <row r="85447" hidden="1" x14ac:dyDescent="0.35"/>
    <row r="85448" hidden="1" x14ac:dyDescent="0.35"/>
    <row r="85449" hidden="1" x14ac:dyDescent="0.35"/>
    <row r="85450" hidden="1" x14ac:dyDescent="0.35"/>
    <row r="85451" hidden="1" x14ac:dyDescent="0.35"/>
    <row r="85452" hidden="1" x14ac:dyDescent="0.35"/>
    <row r="85453" hidden="1" x14ac:dyDescent="0.35"/>
    <row r="85454" hidden="1" x14ac:dyDescent="0.35"/>
    <row r="85455" hidden="1" x14ac:dyDescent="0.35"/>
    <row r="85456" hidden="1" x14ac:dyDescent="0.35"/>
    <row r="85457" hidden="1" x14ac:dyDescent="0.35"/>
    <row r="85458" hidden="1" x14ac:dyDescent="0.35"/>
    <row r="85459" hidden="1" x14ac:dyDescent="0.35"/>
    <row r="85460" hidden="1" x14ac:dyDescent="0.35"/>
    <row r="85461" hidden="1" x14ac:dyDescent="0.35"/>
    <row r="85462" hidden="1" x14ac:dyDescent="0.35"/>
    <row r="85463" hidden="1" x14ac:dyDescent="0.35"/>
    <row r="85464" hidden="1" x14ac:dyDescent="0.35"/>
    <row r="85465" hidden="1" x14ac:dyDescent="0.35"/>
    <row r="85466" hidden="1" x14ac:dyDescent="0.35"/>
    <row r="85467" hidden="1" x14ac:dyDescent="0.35"/>
    <row r="85468" hidden="1" x14ac:dyDescent="0.35"/>
    <row r="85469" hidden="1" x14ac:dyDescent="0.35"/>
    <row r="85470" hidden="1" x14ac:dyDescent="0.35"/>
    <row r="85471" hidden="1" x14ac:dyDescent="0.35"/>
    <row r="85472" hidden="1" x14ac:dyDescent="0.35"/>
    <row r="85473" hidden="1" x14ac:dyDescent="0.35"/>
    <row r="85474" hidden="1" x14ac:dyDescent="0.35"/>
    <row r="85475" hidden="1" x14ac:dyDescent="0.35"/>
    <row r="85476" hidden="1" x14ac:dyDescent="0.35"/>
    <row r="85477" hidden="1" x14ac:dyDescent="0.35"/>
    <row r="85478" hidden="1" x14ac:dyDescent="0.35"/>
    <row r="85479" hidden="1" x14ac:dyDescent="0.35"/>
    <row r="85480" hidden="1" x14ac:dyDescent="0.35"/>
    <row r="85481" hidden="1" x14ac:dyDescent="0.35"/>
    <row r="85482" hidden="1" x14ac:dyDescent="0.35"/>
    <row r="85483" hidden="1" x14ac:dyDescent="0.35"/>
    <row r="85484" hidden="1" x14ac:dyDescent="0.35"/>
    <row r="85485" hidden="1" x14ac:dyDescent="0.35"/>
    <row r="85486" hidden="1" x14ac:dyDescent="0.35"/>
    <row r="85487" hidden="1" x14ac:dyDescent="0.35"/>
    <row r="85488" hidden="1" x14ac:dyDescent="0.35"/>
    <row r="85489" hidden="1" x14ac:dyDescent="0.35"/>
    <row r="85490" hidden="1" x14ac:dyDescent="0.35"/>
    <row r="85491" hidden="1" x14ac:dyDescent="0.35"/>
    <row r="85492" hidden="1" x14ac:dyDescent="0.35"/>
    <row r="85493" hidden="1" x14ac:dyDescent="0.35"/>
    <row r="85494" hidden="1" x14ac:dyDescent="0.35"/>
    <row r="85495" hidden="1" x14ac:dyDescent="0.35"/>
    <row r="85496" hidden="1" x14ac:dyDescent="0.35"/>
    <row r="85497" hidden="1" x14ac:dyDescent="0.35"/>
    <row r="85498" hidden="1" x14ac:dyDescent="0.35"/>
    <row r="85499" hidden="1" x14ac:dyDescent="0.35"/>
    <row r="85500" hidden="1" x14ac:dyDescent="0.35"/>
    <row r="85501" hidden="1" x14ac:dyDescent="0.35"/>
    <row r="85502" hidden="1" x14ac:dyDescent="0.35"/>
    <row r="85503" hidden="1" x14ac:dyDescent="0.35"/>
    <row r="85504" hidden="1" x14ac:dyDescent="0.35"/>
    <row r="85505" hidden="1" x14ac:dyDescent="0.35"/>
    <row r="85506" hidden="1" x14ac:dyDescent="0.35"/>
    <row r="85507" hidden="1" x14ac:dyDescent="0.35"/>
    <row r="85508" hidden="1" x14ac:dyDescent="0.35"/>
    <row r="85509" hidden="1" x14ac:dyDescent="0.35"/>
    <row r="85510" hidden="1" x14ac:dyDescent="0.35"/>
    <row r="85511" hidden="1" x14ac:dyDescent="0.35"/>
    <row r="85512" hidden="1" x14ac:dyDescent="0.35"/>
    <row r="85513" hidden="1" x14ac:dyDescent="0.35"/>
    <row r="85514" hidden="1" x14ac:dyDescent="0.35"/>
    <row r="85515" hidden="1" x14ac:dyDescent="0.35"/>
    <row r="85516" hidden="1" x14ac:dyDescent="0.35"/>
    <row r="85517" hidden="1" x14ac:dyDescent="0.35"/>
    <row r="85518" hidden="1" x14ac:dyDescent="0.35"/>
    <row r="85519" hidden="1" x14ac:dyDescent="0.35"/>
    <row r="85520" hidden="1" x14ac:dyDescent="0.35"/>
    <row r="85521" hidden="1" x14ac:dyDescent="0.35"/>
    <row r="85522" hidden="1" x14ac:dyDescent="0.35"/>
    <row r="85523" hidden="1" x14ac:dyDescent="0.35"/>
    <row r="85524" hidden="1" x14ac:dyDescent="0.35"/>
    <row r="85525" hidden="1" x14ac:dyDescent="0.35"/>
    <row r="85526" hidden="1" x14ac:dyDescent="0.35"/>
    <row r="85527" hidden="1" x14ac:dyDescent="0.35"/>
    <row r="85528" hidden="1" x14ac:dyDescent="0.35"/>
    <row r="85529" hidden="1" x14ac:dyDescent="0.35"/>
    <row r="85530" hidden="1" x14ac:dyDescent="0.35"/>
    <row r="85531" hidden="1" x14ac:dyDescent="0.35"/>
    <row r="85532" hidden="1" x14ac:dyDescent="0.35"/>
    <row r="85533" hidden="1" x14ac:dyDescent="0.35"/>
    <row r="85534" hidden="1" x14ac:dyDescent="0.35"/>
    <row r="85535" hidden="1" x14ac:dyDescent="0.35"/>
    <row r="85536" hidden="1" x14ac:dyDescent="0.35"/>
    <row r="85537" hidden="1" x14ac:dyDescent="0.35"/>
    <row r="85538" hidden="1" x14ac:dyDescent="0.35"/>
    <row r="85539" hidden="1" x14ac:dyDescent="0.35"/>
    <row r="85540" hidden="1" x14ac:dyDescent="0.35"/>
    <row r="85541" hidden="1" x14ac:dyDescent="0.35"/>
    <row r="85542" hidden="1" x14ac:dyDescent="0.35"/>
    <row r="85543" hidden="1" x14ac:dyDescent="0.35"/>
    <row r="85544" hidden="1" x14ac:dyDescent="0.35"/>
    <row r="85545" hidden="1" x14ac:dyDescent="0.35"/>
    <row r="85546" hidden="1" x14ac:dyDescent="0.35"/>
    <row r="85547" hidden="1" x14ac:dyDescent="0.35"/>
    <row r="85548" hidden="1" x14ac:dyDescent="0.35"/>
    <row r="85549" hidden="1" x14ac:dyDescent="0.35"/>
    <row r="85550" hidden="1" x14ac:dyDescent="0.35"/>
    <row r="85551" hidden="1" x14ac:dyDescent="0.35"/>
    <row r="85552" hidden="1" x14ac:dyDescent="0.35"/>
    <row r="85553" hidden="1" x14ac:dyDescent="0.35"/>
    <row r="85554" hidden="1" x14ac:dyDescent="0.35"/>
    <row r="85555" hidden="1" x14ac:dyDescent="0.35"/>
    <row r="85556" hidden="1" x14ac:dyDescent="0.35"/>
    <row r="85557" hidden="1" x14ac:dyDescent="0.35"/>
    <row r="85558" hidden="1" x14ac:dyDescent="0.35"/>
    <row r="85559" hidden="1" x14ac:dyDescent="0.35"/>
    <row r="85560" hidden="1" x14ac:dyDescent="0.35"/>
    <row r="85561" hidden="1" x14ac:dyDescent="0.35"/>
    <row r="85562" hidden="1" x14ac:dyDescent="0.35"/>
    <row r="85563" hidden="1" x14ac:dyDescent="0.35"/>
    <row r="85564" hidden="1" x14ac:dyDescent="0.35"/>
    <row r="85565" hidden="1" x14ac:dyDescent="0.35"/>
    <row r="85566" hidden="1" x14ac:dyDescent="0.35"/>
    <row r="85567" hidden="1" x14ac:dyDescent="0.35"/>
    <row r="85568" hidden="1" x14ac:dyDescent="0.35"/>
    <row r="85569" hidden="1" x14ac:dyDescent="0.35"/>
    <row r="85570" hidden="1" x14ac:dyDescent="0.35"/>
    <row r="85571" hidden="1" x14ac:dyDescent="0.35"/>
    <row r="85572" hidden="1" x14ac:dyDescent="0.35"/>
    <row r="85573" hidden="1" x14ac:dyDescent="0.35"/>
    <row r="85574" hidden="1" x14ac:dyDescent="0.35"/>
    <row r="85575" hidden="1" x14ac:dyDescent="0.35"/>
    <row r="85576" hidden="1" x14ac:dyDescent="0.35"/>
    <row r="85577" hidden="1" x14ac:dyDescent="0.35"/>
    <row r="85578" hidden="1" x14ac:dyDescent="0.35"/>
    <row r="85579" hidden="1" x14ac:dyDescent="0.35"/>
    <row r="85580" hidden="1" x14ac:dyDescent="0.35"/>
    <row r="85581" hidden="1" x14ac:dyDescent="0.35"/>
    <row r="85582" hidden="1" x14ac:dyDescent="0.35"/>
    <row r="85583" hidden="1" x14ac:dyDescent="0.35"/>
    <row r="85584" hidden="1" x14ac:dyDescent="0.35"/>
    <row r="85585" hidden="1" x14ac:dyDescent="0.35"/>
    <row r="85586" hidden="1" x14ac:dyDescent="0.35"/>
    <row r="85587" hidden="1" x14ac:dyDescent="0.35"/>
    <row r="85588" hidden="1" x14ac:dyDescent="0.35"/>
    <row r="85589" hidden="1" x14ac:dyDescent="0.35"/>
    <row r="85590" hidden="1" x14ac:dyDescent="0.35"/>
    <row r="85591" hidden="1" x14ac:dyDescent="0.35"/>
    <row r="85592" hidden="1" x14ac:dyDescent="0.35"/>
    <row r="85593" hidden="1" x14ac:dyDescent="0.35"/>
    <row r="85594" hidden="1" x14ac:dyDescent="0.35"/>
    <row r="85595" hidden="1" x14ac:dyDescent="0.35"/>
    <row r="85596" hidden="1" x14ac:dyDescent="0.35"/>
    <row r="85597" hidden="1" x14ac:dyDescent="0.35"/>
    <row r="85598" hidden="1" x14ac:dyDescent="0.35"/>
    <row r="85599" hidden="1" x14ac:dyDescent="0.35"/>
    <row r="85600" hidden="1" x14ac:dyDescent="0.35"/>
    <row r="85601" hidden="1" x14ac:dyDescent="0.35"/>
    <row r="85602" hidden="1" x14ac:dyDescent="0.35"/>
    <row r="85603" hidden="1" x14ac:dyDescent="0.35"/>
    <row r="85604" hidden="1" x14ac:dyDescent="0.35"/>
    <row r="85605" hidden="1" x14ac:dyDescent="0.35"/>
    <row r="85606" hidden="1" x14ac:dyDescent="0.35"/>
    <row r="85607" hidden="1" x14ac:dyDescent="0.35"/>
    <row r="85608" hidden="1" x14ac:dyDescent="0.35"/>
    <row r="85609" hidden="1" x14ac:dyDescent="0.35"/>
    <row r="85610" hidden="1" x14ac:dyDescent="0.35"/>
    <row r="85611" hidden="1" x14ac:dyDescent="0.35"/>
    <row r="85612" hidden="1" x14ac:dyDescent="0.35"/>
    <row r="85613" hidden="1" x14ac:dyDescent="0.35"/>
    <row r="85614" hidden="1" x14ac:dyDescent="0.35"/>
    <row r="85615" hidden="1" x14ac:dyDescent="0.35"/>
    <row r="85616" hidden="1" x14ac:dyDescent="0.35"/>
    <row r="85617" hidden="1" x14ac:dyDescent="0.35"/>
    <row r="85618" hidden="1" x14ac:dyDescent="0.35"/>
    <row r="85619" hidden="1" x14ac:dyDescent="0.35"/>
    <row r="85620" hidden="1" x14ac:dyDescent="0.35"/>
    <row r="85621" hidden="1" x14ac:dyDescent="0.35"/>
    <row r="85622" hidden="1" x14ac:dyDescent="0.35"/>
    <row r="85623" hidden="1" x14ac:dyDescent="0.35"/>
    <row r="85624" hidden="1" x14ac:dyDescent="0.35"/>
    <row r="85625" hidden="1" x14ac:dyDescent="0.35"/>
    <row r="85626" hidden="1" x14ac:dyDescent="0.35"/>
    <row r="85627" hidden="1" x14ac:dyDescent="0.35"/>
    <row r="85628" hidden="1" x14ac:dyDescent="0.35"/>
    <row r="85629" hidden="1" x14ac:dyDescent="0.35"/>
    <row r="85630" hidden="1" x14ac:dyDescent="0.35"/>
    <row r="85631" hidden="1" x14ac:dyDescent="0.35"/>
    <row r="85632" hidden="1" x14ac:dyDescent="0.35"/>
    <row r="85633" hidden="1" x14ac:dyDescent="0.35"/>
    <row r="85634" hidden="1" x14ac:dyDescent="0.35"/>
    <row r="85635" hidden="1" x14ac:dyDescent="0.35"/>
    <row r="85636" hidden="1" x14ac:dyDescent="0.35"/>
    <row r="85637" hidden="1" x14ac:dyDescent="0.35"/>
    <row r="85638" hidden="1" x14ac:dyDescent="0.35"/>
    <row r="85639" hidden="1" x14ac:dyDescent="0.35"/>
    <row r="85640" hidden="1" x14ac:dyDescent="0.35"/>
    <row r="85641" hidden="1" x14ac:dyDescent="0.35"/>
    <row r="85642" hidden="1" x14ac:dyDescent="0.35"/>
    <row r="85643" hidden="1" x14ac:dyDescent="0.35"/>
    <row r="85644" hidden="1" x14ac:dyDescent="0.35"/>
    <row r="85645" hidden="1" x14ac:dyDescent="0.35"/>
    <row r="85646" hidden="1" x14ac:dyDescent="0.35"/>
    <row r="85647" hidden="1" x14ac:dyDescent="0.35"/>
    <row r="85648" hidden="1" x14ac:dyDescent="0.35"/>
    <row r="85649" hidden="1" x14ac:dyDescent="0.35"/>
    <row r="85650" hidden="1" x14ac:dyDescent="0.35"/>
    <row r="85651" hidden="1" x14ac:dyDescent="0.35"/>
    <row r="85652" hidden="1" x14ac:dyDescent="0.35"/>
    <row r="85653" hidden="1" x14ac:dyDescent="0.35"/>
    <row r="85654" hidden="1" x14ac:dyDescent="0.35"/>
    <row r="85655" hidden="1" x14ac:dyDescent="0.35"/>
    <row r="85656" hidden="1" x14ac:dyDescent="0.35"/>
    <row r="85657" hidden="1" x14ac:dyDescent="0.35"/>
    <row r="85658" hidden="1" x14ac:dyDescent="0.35"/>
    <row r="85659" hidden="1" x14ac:dyDescent="0.35"/>
    <row r="85660" hidden="1" x14ac:dyDescent="0.35"/>
    <row r="85661" hidden="1" x14ac:dyDescent="0.35"/>
    <row r="85662" hidden="1" x14ac:dyDescent="0.35"/>
    <row r="85663" hidden="1" x14ac:dyDescent="0.35"/>
    <row r="85664" hidden="1" x14ac:dyDescent="0.35"/>
    <row r="85665" hidden="1" x14ac:dyDescent="0.35"/>
    <row r="85666" hidden="1" x14ac:dyDescent="0.35"/>
    <row r="85667" hidden="1" x14ac:dyDescent="0.35"/>
    <row r="85668" hidden="1" x14ac:dyDescent="0.35"/>
    <row r="85669" hidden="1" x14ac:dyDescent="0.35"/>
    <row r="85670" hidden="1" x14ac:dyDescent="0.35"/>
    <row r="85671" hidden="1" x14ac:dyDescent="0.35"/>
    <row r="85672" hidden="1" x14ac:dyDescent="0.35"/>
    <row r="85673" hidden="1" x14ac:dyDescent="0.35"/>
    <row r="85674" hidden="1" x14ac:dyDescent="0.35"/>
    <row r="85675" hidden="1" x14ac:dyDescent="0.35"/>
    <row r="85676" hidden="1" x14ac:dyDescent="0.35"/>
    <row r="85677" hidden="1" x14ac:dyDescent="0.35"/>
    <row r="85678" hidden="1" x14ac:dyDescent="0.35"/>
    <row r="85679" hidden="1" x14ac:dyDescent="0.35"/>
    <row r="85680" hidden="1" x14ac:dyDescent="0.35"/>
    <row r="85681" hidden="1" x14ac:dyDescent="0.35"/>
    <row r="85682" hidden="1" x14ac:dyDescent="0.35"/>
    <row r="85683" hidden="1" x14ac:dyDescent="0.35"/>
    <row r="85684" hidden="1" x14ac:dyDescent="0.35"/>
    <row r="85685" hidden="1" x14ac:dyDescent="0.35"/>
    <row r="85686" hidden="1" x14ac:dyDescent="0.35"/>
    <row r="85687" hidden="1" x14ac:dyDescent="0.35"/>
    <row r="85688" hidden="1" x14ac:dyDescent="0.35"/>
    <row r="85689" hidden="1" x14ac:dyDescent="0.35"/>
    <row r="85690" hidden="1" x14ac:dyDescent="0.35"/>
    <row r="85691" hidden="1" x14ac:dyDescent="0.35"/>
    <row r="85692" hidden="1" x14ac:dyDescent="0.35"/>
    <row r="85693" hidden="1" x14ac:dyDescent="0.35"/>
    <row r="85694" hidden="1" x14ac:dyDescent="0.35"/>
    <row r="85695" hidden="1" x14ac:dyDescent="0.35"/>
    <row r="85696" hidden="1" x14ac:dyDescent="0.35"/>
    <row r="85697" hidden="1" x14ac:dyDescent="0.35"/>
    <row r="85698" hidden="1" x14ac:dyDescent="0.35"/>
    <row r="85699" hidden="1" x14ac:dyDescent="0.35"/>
    <row r="85700" hidden="1" x14ac:dyDescent="0.35"/>
    <row r="85701" hidden="1" x14ac:dyDescent="0.35"/>
    <row r="85702" hidden="1" x14ac:dyDescent="0.35"/>
    <row r="85703" hidden="1" x14ac:dyDescent="0.35"/>
    <row r="85704" hidden="1" x14ac:dyDescent="0.35"/>
    <row r="85705" hidden="1" x14ac:dyDescent="0.35"/>
    <row r="85706" hidden="1" x14ac:dyDescent="0.35"/>
    <row r="85707" hidden="1" x14ac:dyDescent="0.35"/>
    <row r="85708" hidden="1" x14ac:dyDescent="0.35"/>
    <row r="85709" hidden="1" x14ac:dyDescent="0.35"/>
    <row r="85710" hidden="1" x14ac:dyDescent="0.35"/>
    <row r="85711" hidden="1" x14ac:dyDescent="0.35"/>
    <row r="85712" hidden="1" x14ac:dyDescent="0.35"/>
    <row r="85713" hidden="1" x14ac:dyDescent="0.35"/>
    <row r="85714" hidden="1" x14ac:dyDescent="0.35"/>
    <row r="85715" hidden="1" x14ac:dyDescent="0.35"/>
    <row r="85716" hidden="1" x14ac:dyDescent="0.35"/>
    <row r="85717" hidden="1" x14ac:dyDescent="0.35"/>
    <row r="85718" hidden="1" x14ac:dyDescent="0.35"/>
    <row r="85719" hidden="1" x14ac:dyDescent="0.35"/>
    <row r="85720" hidden="1" x14ac:dyDescent="0.35"/>
    <row r="85721" hidden="1" x14ac:dyDescent="0.35"/>
    <row r="85722" hidden="1" x14ac:dyDescent="0.35"/>
    <row r="85723" hidden="1" x14ac:dyDescent="0.35"/>
    <row r="85724" hidden="1" x14ac:dyDescent="0.35"/>
    <row r="85725" hidden="1" x14ac:dyDescent="0.35"/>
    <row r="85726" hidden="1" x14ac:dyDescent="0.35"/>
    <row r="85727" hidden="1" x14ac:dyDescent="0.35"/>
    <row r="85728" hidden="1" x14ac:dyDescent="0.35"/>
    <row r="85729" hidden="1" x14ac:dyDescent="0.35"/>
    <row r="85730" hidden="1" x14ac:dyDescent="0.35"/>
    <row r="85731" hidden="1" x14ac:dyDescent="0.35"/>
    <row r="85732" hidden="1" x14ac:dyDescent="0.35"/>
    <row r="85733" hidden="1" x14ac:dyDescent="0.35"/>
    <row r="85734" hidden="1" x14ac:dyDescent="0.35"/>
    <row r="85735" hidden="1" x14ac:dyDescent="0.35"/>
    <row r="85736" hidden="1" x14ac:dyDescent="0.35"/>
    <row r="85737" hidden="1" x14ac:dyDescent="0.35"/>
    <row r="85738" hidden="1" x14ac:dyDescent="0.35"/>
    <row r="85739" hidden="1" x14ac:dyDescent="0.35"/>
    <row r="85740" hidden="1" x14ac:dyDescent="0.35"/>
    <row r="85741" hidden="1" x14ac:dyDescent="0.35"/>
    <row r="85742" hidden="1" x14ac:dyDescent="0.35"/>
    <row r="85743" hidden="1" x14ac:dyDescent="0.35"/>
    <row r="85744" hidden="1" x14ac:dyDescent="0.35"/>
    <row r="85745" hidden="1" x14ac:dyDescent="0.35"/>
    <row r="85746" hidden="1" x14ac:dyDescent="0.35"/>
    <row r="85747" hidden="1" x14ac:dyDescent="0.35"/>
    <row r="85748" hidden="1" x14ac:dyDescent="0.35"/>
    <row r="85749" hidden="1" x14ac:dyDescent="0.35"/>
    <row r="85750" hidden="1" x14ac:dyDescent="0.35"/>
    <row r="85751" hidden="1" x14ac:dyDescent="0.35"/>
    <row r="85752" hidden="1" x14ac:dyDescent="0.35"/>
    <row r="85753" hidden="1" x14ac:dyDescent="0.35"/>
    <row r="85754" hidden="1" x14ac:dyDescent="0.35"/>
    <row r="85755" hidden="1" x14ac:dyDescent="0.35"/>
    <row r="85756" hidden="1" x14ac:dyDescent="0.35"/>
    <row r="85757" hidden="1" x14ac:dyDescent="0.35"/>
    <row r="85758" hidden="1" x14ac:dyDescent="0.35"/>
    <row r="85759" hidden="1" x14ac:dyDescent="0.35"/>
    <row r="85760" hidden="1" x14ac:dyDescent="0.35"/>
    <row r="85761" hidden="1" x14ac:dyDescent="0.35"/>
    <row r="85762" hidden="1" x14ac:dyDescent="0.35"/>
    <row r="85763" hidden="1" x14ac:dyDescent="0.35"/>
    <row r="85764" hidden="1" x14ac:dyDescent="0.35"/>
    <row r="85765" hidden="1" x14ac:dyDescent="0.35"/>
    <row r="85766" hidden="1" x14ac:dyDescent="0.35"/>
    <row r="85767" hidden="1" x14ac:dyDescent="0.35"/>
    <row r="85768" hidden="1" x14ac:dyDescent="0.35"/>
    <row r="85769" hidden="1" x14ac:dyDescent="0.35"/>
    <row r="85770" hidden="1" x14ac:dyDescent="0.35"/>
    <row r="85771" hidden="1" x14ac:dyDescent="0.35"/>
    <row r="85772" hidden="1" x14ac:dyDescent="0.35"/>
    <row r="85773" hidden="1" x14ac:dyDescent="0.35"/>
    <row r="85774" hidden="1" x14ac:dyDescent="0.35"/>
    <row r="85775" hidden="1" x14ac:dyDescent="0.35"/>
    <row r="85776" hidden="1" x14ac:dyDescent="0.35"/>
    <row r="85777" hidden="1" x14ac:dyDescent="0.35"/>
    <row r="85778" hidden="1" x14ac:dyDescent="0.35"/>
    <row r="85779" hidden="1" x14ac:dyDescent="0.35"/>
    <row r="85780" hidden="1" x14ac:dyDescent="0.35"/>
    <row r="85781" hidden="1" x14ac:dyDescent="0.35"/>
    <row r="85782" hidden="1" x14ac:dyDescent="0.35"/>
    <row r="85783" hidden="1" x14ac:dyDescent="0.35"/>
    <row r="85784" hidden="1" x14ac:dyDescent="0.35"/>
    <row r="85785" hidden="1" x14ac:dyDescent="0.35"/>
    <row r="85786" hidden="1" x14ac:dyDescent="0.35"/>
    <row r="85787" hidden="1" x14ac:dyDescent="0.35"/>
    <row r="85788" hidden="1" x14ac:dyDescent="0.35"/>
    <row r="85789" hidden="1" x14ac:dyDescent="0.35"/>
    <row r="85790" hidden="1" x14ac:dyDescent="0.35"/>
    <row r="85791" hidden="1" x14ac:dyDescent="0.35"/>
    <row r="85792" hidden="1" x14ac:dyDescent="0.35"/>
    <row r="85793" hidden="1" x14ac:dyDescent="0.35"/>
    <row r="85794" hidden="1" x14ac:dyDescent="0.35"/>
    <row r="85795" hidden="1" x14ac:dyDescent="0.35"/>
    <row r="85796" hidden="1" x14ac:dyDescent="0.35"/>
    <row r="85797" hidden="1" x14ac:dyDescent="0.35"/>
    <row r="85798" hidden="1" x14ac:dyDescent="0.35"/>
    <row r="85799" hidden="1" x14ac:dyDescent="0.35"/>
    <row r="85800" hidden="1" x14ac:dyDescent="0.35"/>
    <row r="85801" hidden="1" x14ac:dyDescent="0.35"/>
    <row r="85802" hidden="1" x14ac:dyDescent="0.35"/>
    <row r="85803" hidden="1" x14ac:dyDescent="0.35"/>
    <row r="85804" hidden="1" x14ac:dyDescent="0.35"/>
    <row r="85805" hidden="1" x14ac:dyDescent="0.35"/>
    <row r="85806" hidden="1" x14ac:dyDescent="0.35"/>
    <row r="85807" hidden="1" x14ac:dyDescent="0.35"/>
    <row r="85808" hidden="1" x14ac:dyDescent="0.35"/>
    <row r="85809" hidden="1" x14ac:dyDescent="0.35"/>
    <row r="85810" hidden="1" x14ac:dyDescent="0.35"/>
    <row r="85811" hidden="1" x14ac:dyDescent="0.35"/>
    <row r="85812" hidden="1" x14ac:dyDescent="0.35"/>
    <row r="85813" hidden="1" x14ac:dyDescent="0.35"/>
    <row r="85814" hidden="1" x14ac:dyDescent="0.35"/>
    <row r="85815" hidden="1" x14ac:dyDescent="0.35"/>
    <row r="85816" hidden="1" x14ac:dyDescent="0.35"/>
    <row r="85817" hidden="1" x14ac:dyDescent="0.35"/>
    <row r="85818" hidden="1" x14ac:dyDescent="0.35"/>
    <row r="85819" hidden="1" x14ac:dyDescent="0.35"/>
    <row r="85820" hidden="1" x14ac:dyDescent="0.35"/>
    <row r="85821" hidden="1" x14ac:dyDescent="0.35"/>
    <row r="85822" hidden="1" x14ac:dyDescent="0.35"/>
    <row r="85823" hidden="1" x14ac:dyDescent="0.35"/>
    <row r="85824" hidden="1" x14ac:dyDescent="0.35"/>
    <row r="85825" hidden="1" x14ac:dyDescent="0.35"/>
    <row r="85826" hidden="1" x14ac:dyDescent="0.35"/>
    <row r="85827" hidden="1" x14ac:dyDescent="0.35"/>
    <row r="85828" hidden="1" x14ac:dyDescent="0.35"/>
    <row r="85829" hidden="1" x14ac:dyDescent="0.35"/>
    <row r="85830" hidden="1" x14ac:dyDescent="0.35"/>
    <row r="85831" hidden="1" x14ac:dyDescent="0.35"/>
    <row r="85832" hidden="1" x14ac:dyDescent="0.35"/>
    <row r="85833" hidden="1" x14ac:dyDescent="0.35"/>
    <row r="85834" hidden="1" x14ac:dyDescent="0.35"/>
    <row r="85835" hidden="1" x14ac:dyDescent="0.35"/>
    <row r="85836" hidden="1" x14ac:dyDescent="0.35"/>
    <row r="85837" hidden="1" x14ac:dyDescent="0.35"/>
    <row r="85838" hidden="1" x14ac:dyDescent="0.35"/>
    <row r="85839" hidden="1" x14ac:dyDescent="0.35"/>
    <row r="85840" hidden="1" x14ac:dyDescent="0.35"/>
    <row r="85841" hidden="1" x14ac:dyDescent="0.35"/>
    <row r="85842" hidden="1" x14ac:dyDescent="0.35"/>
    <row r="85843" hidden="1" x14ac:dyDescent="0.35"/>
    <row r="85844" hidden="1" x14ac:dyDescent="0.35"/>
    <row r="85845" hidden="1" x14ac:dyDescent="0.35"/>
    <row r="85846" hidden="1" x14ac:dyDescent="0.35"/>
    <row r="85847" hidden="1" x14ac:dyDescent="0.35"/>
    <row r="85848" hidden="1" x14ac:dyDescent="0.35"/>
    <row r="85849" hidden="1" x14ac:dyDescent="0.35"/>
    <row r="85850" hidden="1" x14ac:dyDescent="0.35"/>
    <row r="85851" hidden="1" x14ac:dyDescent="0.35"/>
    <row r="85852" hidden="1" x14ac:dyDescent="0.35"/>
    <row r="85853" hidden="1" x14ac:dyDescent="0.35"/>
    <row r="85854" hidden="1" x14ac:dyDescent="0.35"/>
    <row r="85855" hidden="1" x14ac:dyDescent="0.35"/>
    <row r="85856" hidden="1" x14ac:dyDescent="0.35"/>
    <row r="85857" hidden="1" x14ac:dyDescent="0.35"/>
    <row r="85858" hidden="1" x14ac:dyDescent="0.35"/>
    <row r="85859" hidden="1" x14ac:dyDescent="0.35"/>
    <row r="85860" hidden="1" x14ac:dyDescent="0.35"/>
    <row r="85861" hidden="1" x14ac:dyDescent="0.35"/>
    <row r="85862" hidden="1" x14ac:dyDescent="0.35"/>
    <row r="85863" hidden="1" x14ac:dyDescent="0.35"/>
    <row r="85864" hidden="1" x14ac:dyDescent="0.35"/>
    <row r="85865" hidden="1" x14ac:dyDescent="0.35"/>
    <row r="85866" hidden="1" x14ac:dyDescent="0.35"/>
    <row r="85867" hidden="1" x14ac:dyDescent="0.35"/>
    <row r="85868" hidden="1" x14ac:dyDescent="0.35"/>
    <row r="85869" hidden="1" x14ac:dyDescent="0.35"/>
    <row r="85870" hidden="1" x14ac:dyDescent="0.35"/>
    <row r="85871" hidden="1" x14ac:dyDescent="0.35"/>
    <row r="85872" hidden="1" x14ac:dyDescent="0.35"/>
    <row r="85873" hidden="1" x14ac:dyDescent="0.35"/>
    <row r="85874" hidden="1" x14ac:dyDescent="0.35"/>
    <row r="85875" hidden="1" x14ac:dyDescent="0.35"/>
    <row r="85876" hidden="1" x14ac:dyDescent="0.35"/>
    <row r="85877" hidden="1" x14ac:dyDescent="0.35"/>
    <row r="85878" hidden="1" x14ac:dyDescent="0.35"/>
    <row r="85879" hidden="1" x14ac:dyDescent="0.35"/>
    <row r="85880" hidden="1" x14ac:dyDescent="0.35"/>
    <row r="85881" hidden="1" x14ac:dyDescent="0.35"/>
    <row r="85882" hidden="1" x14ac:dyDescent="0.35"/>
    <row r="85883" hidden="1" x14ac:dyDescent="0.35"/>
    <row r="85884" hidden="1" x14ac:dyDescent="0.35"/>
    <row r="85885" hidden="1" x14ac:dyDescent="0.35"/>
    <row r="85886" hidden="1" x14ac:dyDescent="0.35"/>
    <row r="85887" hidden="1" x14ac:dyDescent="0.35"/>
    <row r="85888" hidden="1" x14ac:dyDescent="0.35"/>
    <row r="85889" hidden="1" x14ac:dyDescent="0.35"/>
    <row r="85890" hidden="1" x14ac:dyDescent="0.35"/>
    <row r="85891" hidden="1" x14ac:dyDescent="0.35"/>
    <row r="85892" hidden="1" x14ac:dyDescent="0.35"/>
    <row r="85893" hidden="1" x14ac:dyDescent="0.35"/>
    <row r="85894" hidden="1" x14ac:dyDescent="0.35"/>
    <row r="85895" hidden="1" x14ac:dyDescent="0.35"/>
    <row r="85896" hidden="1" x14ac:dyDescent="0.35"/>
    <row r="85897" hidden="1" x14ac:dyDescent="0.35"/>
    <row r="85898" hidden="1" x14ac:dyDescent="0.35"/>
    <row r="85899" hidden="1" x14ac:dyDescent="0.35"/>
    <row r="85900" hidden="1" x14ac:dyDescent="0.35"/>
    <row r="85901" hidden="1" x14ac:dyDescent="0.35"/>
    <row r="85902" hidden="1" x14ac:dyDescent="0.35"/>
    <row r="85903" hidden="1" x14ac:dyDescent="0.35"/>
    <row r="85904" hidden="1" x14ac:dyDescent="0.35"/>
    <row r="85905" hidden="1" x14ac:dyDescent="0.35"/>
    <row r="85906" hidden="1" x14ac:dyDescent="0.35"/>
    <row r="85907" hidden="1" x14ac:dyDescent="0.35"/>
    <row r="85908" hidden="1" x14ac:dyDescent="0.35"/>
    <row r="85909" hidden="1" x14ac:dyDescent="0.35"/>
    <row r="85910" hidden="1" x14ac:dyDescent="0.35"/>
    <row r="85911" hidden="1" x14ac:dyDescent="0.35"/>
    <row r="85912" hidden="1" x14ac:dyDescent="0.35"/>
    <row r="85913" hidden="1" x14ac:dyDescent="0.35"/>
    <row r="85914" hidden="1" x14ac:dyDescent="0.35"/>
    <row r="85915" hidden="1" x14ac:dyDescent="0.35"/>
    <row r="85916" hidden="1" x14ac:dyDescent="0.35"/>
    <row r="85917" hidden="1" x14ac:dyDescent="0.35"/>
    <row r="85918" hidden="1" x14ac:dyDescent="0.35"/>
    <row r="85919" hidden="1" x14ac:dyDescent="0.35"/>
    <row r="85920" hidden="1" x14ac:dyDescent="0.35"/>
    <row r="85921" hidden="1" x14ac:dyDescent="0.35"/>
    <row r="85922" hidden="1" x14ac:dyDescent="0.35"/>
    <row r="85923" hidden="1" x14ac:dyDescent="0.35"/>
    <row r="85924" hidden="1" x14ac:dyDescent="0.35"/>
    <row r="85925" hidden="1" x14ac:dyDescent="0.35"/>
    <row r="85926" hidden="1" x14ac:dyDescent="0.35"/>
    <row r="85927" hidden="1" x14ac:dyDescent="0.35"/>
    <row r="85928" hidden="1" x14ac:dyDescent="0.35"/>
    <row r="85929" hidden="1" x14ac:dyDescent="0.35"/>
    <row r="85930" hidden="1" x14ac:dyDescent="0.35"/>
    <row r="85931" hidden="1" x14ac:dyDescent="0.35"/>
    <row r="85932" hidden="1" x14ac:dyDescent="0.35"/>
    <row r="85933" hidden="1" x14ac:dyDescent="0.35"/>
    <row r="85934" hidden="1" x14ac:dyDescent="0.35"/>
    <row r="85935" hidden="1" x14ac:dyDescent="0.35"/>
    <row r="85936" hidden="1" x14ac:dyDescent="0.35"/>
    <row r="85937" hidden="1" x14ac:dyDescent="0.35"/>
    <row r="85938" hidden="1" x14ac:dyDescent="0.35"/>
    <row r="85939" hidden="1" x14ac:dyDescent="0.35"/>
    <row r="85940" hidden="1" x14ac:dyDescent="0.35"/>
    <row r="85941" hidden="1" x14ac:dyDescent="0.35"/>
    <row r="85942" hidden="1" x14ac:dyDescent="0.35"/>
    <row r="85943" hidden="1" x14ac:dyDescent="0.35"/>
    <row r="85944" hidden="1" x14ac:dyDescent="0.35"/>
    <row r="85945" hidden="1" x14ac:dyDescent="0.35"/>
    <row r="85946" hidden="1" x14ac:dyDescent="0.35"/>
    <row r="85947" hidden="1" x14ac:dyDescent="0.35"/>
    <row r="85948" hidden="1" x14ac:dyDescent="0.35"/>
    <row r="85949" hidden="1" x14ac:dyDescent="0.35"/>
    <row r="85950" hidden="1" x14ac:dyDescent="0.35"/>
    <row r="85951" hidden="1" x14ac:dyDescent="0.35"/>
    <row r="85952" hidden="1" x14ac:dyDescent="0.35"/>
    <row r="85953" hidden="1" x14ac:dyDescent="0.35"/>
    <row r="85954" hidden="1" x14ac:dyDescent="0.35"/>
    <row r="85955" hidden="1" x14ac:dyDescent="0.35"/>
    <row r="85956" hidden="1" x14ac:dyDescent="0.35"/>
    <row r="85957" hidden="1" x14ac:dyDescent="0.35"/>
    <row r="85958" hidden="1" x14ac:dyDescent="0.35"/>
    <row r="85959" hidden="1" x14ac:dyDescent="0.35"/>
    <row r="85960" hidden="1" x14ac:dyDescent="0.35"/>
    <row r="85961" hidden="1" x14ac:dyDescent="0.35"/>
    <row r="85962" hidden="1" x14ac:dyDescent="0.35"/>
    <row r="85963" hidden="1" x14ac:dyDescent="0.35"/>
    <row r="85964" hidden="1" x14ac:dyDescent="0.35"/>
    <row r="85965" hidden="1" x14ac:dyDescent="0.35"/>
    <row r="85966" hidden="1" x14ac:dyDescent="0.35"/>
    <row r="85967" hidden="1" x14ac:dyDescent="0.35"/>
    <row r="85968" hidden="1" x14ac:dyDescent="0.35"/>
    <row r="85969" hidden="1" x14ac:dyDescent="0.35"/>
    <row r="85970" hidden="1" x14ac:dyDescent="0.35"/>
    <row r="85971" hidden="1" x14ac:dyDescent="0.35"/>
    <row r="85972" hidden="1" x14ac:dyDescent="0.35"/>
    <row r="85973" hidden="1" x14ac:dyDescent="0.35"/>
    <row r="85974" hidden="1" x14ac:dyDescent="0.35"/>
    <row r="85975" hidden="1" x14ac:dyDescent="0.35"/>
    <row r="85976" hidden="1" x14ac:dyDescent="0.35"/>
    <row r="85977" hidden="1" x14ac:dyDescent="0.35"/>
    <row r="85978" hidden="1" x14ac:dyDescent="0.35"/>
    <row r="85979" hidden="1" x14ac:dyDescent="0.35"/>
    <row r="85980" hidden="1" x14ac:dyDescent="0.35"/>
    <row r="85981" hidden="1" x14ac:dyDescent="0.35"/>
    <row r="85982" hidden="1" x14ac:dyDescent="0.35"/>
    <row r="85983" hidden="1" x14ac:dyDescent="0.35"/>
    <row r="85984" hidden="1" x14ac:dyDescent="0.35"/>
    <row r="85985" hidden="1" x14ac:dyDescent="0.35"/>
    <row r="85986" hidden="1" x14ac:dyDescent="0.35"/>
    <row r="85987" hidden="1" x14ac:dyDescent="0.35"/>
    <row r="85988" hidden="1" x14ac:dyDescent="0.35"/>
    <row r="85989" hidden="1" x14ac:dyDescent="0.35"/>
    <row r="85990" hidden="1" x14ac:dyDescent="0.35"/>
    <row r="85991" hidden="1" x14ac:dyDescent="0.35"/>
    <row r="85992" hidden="1" x14ac:dyDescent="0.35"/>
    <row r="85993" hidden="1" x14ac:dyDescent="0.35"/>
    <row r="85994" hidden="1" x14ac:dyDescent="0.35"/>
    <row r="85995" hidden="1" x14ac:dyDescent="0.35"/>
    <row r="85996" hidden="1" x14ac:dyDescent="0.35"/>
    <row r="85997" hidden="1" x14ac:dyDescent="0.35"/>
    <row r="85998" hidden="1" x14ac:dyDescent="0.35"/>
    <row r="85999" hidden="1" x14ac:dyDescent="0.35"/>
    <row r="86000" hidden="1" x14ac:dyDescent="0.35"/>
    <row r="86001" hidden="1" x14ac:dyDescent="0.35"/>
    <row r="86002" hidden="1" x14ac:dyDescent="0.35"/>
    <row r="86003" hidden="1" x14ac:dyDescent="0.35"/>
    <row r="86004" hidden="1" x14ac:dyDescent="0.35"/>
    <row r="86005" hidden="1" x14ac:dyDescent="0.35"/>
    <row r="86006" hidden="1" x14ac:dyDescent="0.35"/>
    <row r="86007" hidden="1" x14ac:dyDescent="0.35"/>
    <row r="86008" hidden="1" x14ac:dyDescent="0.35"/>
    <row r="86009" hidden="1" x14ac:dyDescent="0.35"/>
    <row r="86010" hidden="1" x14ac:dyDescent="0.35"/>
    <row r="86011" hidden="1" x14ac:dyDescent="0.35"/>
    <row r="86012" hidden="1" x14ac:dyDescent="0.35"/>
    <row r="86013" hidden="1" x14ac:dyDescent="0.35"/>
    <row r="86014" hidden="1" x14ac:dyDescent="0.35"/>
    <row r="86015" hidden="1" x14ac:dyDescent="0.35"/>
    <row r="86016" hidden="1" x14ac:dyDescent="0.35"/>
    <row r="86017" hidden="1" x14ac:dyDescent="0.35"/>
    <row r="86018" hidden="1" x14ac:dyDescent="0.35"/>
    <row r="86019" hidden="1" x14ac:dyDescent="0.35"/>
    <row r="86020" hidden="1" x14ac:dyDescent="0.35"/>
    <row r="86021" hidden="1" x14ac:dyDescent="0.35"/>
    <row r="86022" hidden="1" x14ac:dyDescent="0.35"/>
    <row r="86023" hidden="1" x14ac:dyDescent="0.35"/>
    <row r="86024" hidden="1" x14ac:dyDescent="0.35"/>
    <row r="86025" hidden="1" x14ac:dyDescent="0.35"/>
    <row r="86026" hidden="1" x14ac:dyDescent="0.35"/>
    <row r="86027" hidden="1" x14ac:dyDescent="0.35"/>
    <row r="86028" hidden="1" x14ac:dyDescent="0.35"/>
    <row r="86029" hidden="1" x14ac:dyDescent="0.35"/>
    <row r="86030" hidden="1" x14ac:dyDescent="0.35"/>
    <row r="86031" hidden="1" x14ac:dyDescent="0.35"/>
    <row r="86032" hidden="1" x14ac:dyDescent="0.35"/>
    <row r="86033" hidden="1" x14ac:dyDescent="0.35"/>
    <row r="86034" hidden="1" x14ac:dyDescent="0.35"/>
    <row r="86035" hidden="1" x14ac:dyDescent="0.35"/>
    <row r="86036" hidden="1" x14ac:dyDescent="0.35"/>
    <row r="86037" hidden="1" x14ac:dyDescent="0.35"/>
    <row r="86038" hidden="1" x14ac:dyDescent="0.35"/>
    <row r="86039" hidden="1" x14ac:dyDescent="0.35"/>
    <row r="86040" hidden="1" x14ac:dyDescent="0.35"/>
    <row r="86041" hidden="1" x14ac:dyDescent="0.35"/>
    <row r="86042" hidden="1" x14ac:dyDescent="0.35"/>
    <row r="86043" hidden="1" x14ac:dyDescent="0.35"/>
    <row r="86044" hidden="1" x14ac:dyDescent="0.35"/>
    <row r="86045" hidden="1" x14ac:dyDescent="0.35"/>
    <row r="86046" hidden="1" x14ac:dyDescent="0.35"/>
    <row r="86047" hidden="1" x14ac:dyDescent="0.35"/>
    <row r="86048" hidden="1" x14ac:dyDescent="0.35"/>
    <row r="86049" hidden="1" x14ac:dyDescent="0.35"/>
    <row r="86050" hidden="1" x14ac:dyDescent="0.35"/>
    <row r="86051" hidden="1" x14ac:dyDescent="0.35"/>
    <row r="86052" hidden="1" x14ac:dyDescent="0.35"/>
    <row r="86053" hidden="1" x14ac:dyDescent="0.35"/>
    <row r="86054" hidden="1" x14ac:dyDescent="0.35"/>
    <row r="86055" hidden="1" x14ac:dyDescent="0.35"/>
    <row r="86056" hidden="1" x14ac:dyDescent="0.35"/>
    <row r="86057" hidden="1" x14ac:dyDescent="0.35"/>
    <row r="86058" hidden="1" x14ac:dyDescent="0.35"/>
    <row r="86059" hidden="1" x14ac:dyDescent="0.35"/>
    <row r="86060" hidden="1" x14ac:dyDescent="0.35"/>
    <row r="86061" hidden="1" x14ac:dyDescent="0.35"/>
    <row r="86062" hidden="1" x14ac:dyDescent="0.35"/>
    <row r="86063" hidden="1" x14ac:dyDescent="0.35"/>
    <row r="86064" hidden="1" x14ac:dyDescent="0.35"/>
    <row r="86065" hidden="1" x14ac:dyDescent="0.35"/>
    <row r="86066" hidden="1" x14ac:dyDescent="0.35"/>
    <row r="86067" hidden="1" x14ac:dyDescent="0.35"/>
    <row r="86068" hidden="1" x14ac:dyDescent="0.35"/>
    <row r="86069" hidden="1" x14ac:dyDescent="0.35"/>
    <row r="86070" hidden="1" x14ac:dyDescent="0.35"/>
    <row r="86071" hidden="1" x14ac:dyDescent="0.35"/>
    <row r="86072" hidden="1" x14ac:dyDescent="0.35"/>
    <row r="86073" hidden="1" x14ac:dyDescent="0.35"/>
    <row r="86074" hidden="1" x14ac:dyDescent="0.35"/>
    <row r="86075" hidden="1" x14ac:dyDescent="0.35"/>
    <row r="86076" hidden="1" x14ac:dyDescent="0.35"/>
    <row r="86077" hidden="1" x14ac:dyDescent="0.35"/>
    <row r="86078" hidden="1" x14ac:dyDescent="0.35"/>
    <row r="86079" hidden="1" x14ac:dyDescent="0.35"/>
    <row r="86080" hidden="1" x14ac:dyDescent="0.35"/>
    <row r="86081" hidden="1" x14ac:dyDescent="0.35"/>
    <row r="86082" hidden="1" x14ac:dyDescent="0.35"/>
    <row r="86083" hidden="1" x14ac:dyDescent="0.35"/>
    <row r="86084" hidden="1" x14ac:dyDescent="0.35"/>
    <row r="86085" hidden="1" x14ac:dyDescent="0.35"/>
    <row r="86086" hidden="1" x14ac:dyDescent="0.35"/>
    <row r="86087" hidden="1" x14ac:dyDescent="0.35"/>
    <row r="86088" hidden="1" x14ac:dyDescent="0.35"/>
    <row r="86089" hidden="1" x14ac:dyDescent="0.35"/>
    <row r="86090" hidden="1" x14ac:dyDescent="0.35"/>
    <row r="86091" hidden="1" x14ac:dyDescent="0.35"/>
    <row r="86092" hidden="1" x14ac:dyDescent="0.35"/>
    <row r="86093" hidden="1" x14ac:dyDescent="0.35"/>
    <row r="86094" hidden="1" x14ac:dyDescent="0.35"/>
    <row r="86095" hidden="1" x14ac:dyDescent="0.35"/>
    <row r="86096" hidden="1" x14ac:dyDescent="0.35"/>
    <row r="86097" hidden="1" x14ac:dyDescent="0.35"/>
    <row r="86098" hidden="1" x14ac:dyDescent="0.35"/>
    <row r="86099" hidden="1" x14ac:dyDescent="0.35"/>
    <row r="86100" hidden="1" x14ac:dyDescent="0.35"/>
    <row r="86101" hidden="1" x14ac:dyDescent="0.35"/>
    <row r="86102" hidden="1" x14ac:dyDescent="0.35"/>
    <row r="86103" hidden="1" x14ac:dyDescent="0.35"/>
    <row r="86104" hidden="1" x14ac:dyDescent="0.35"/>
    <row r="86105" hidden="1" x14ac:dyDescent="0.35"/>
    <row r="86106" hidden="1" x14ac:dyDescent="0.35"/>
    <row r="86107" hidden="1" x14ac:dyDescent="0.35"/>
    <row r="86108" hidden="1" x14ac:dyDescent="0.35"/>
    <row r="86109" hidden="1" x14ac:dyDescent="0.35"/>
    <row r="86110" hidden="1" x14ac:dyDescent="0.35"/>
    <row r="86111" hidden="1" x14ac:dyDescent="0.35"/>
    <row r="86112" hidden="1" x14ac:dyDescent="0.35"/>
    <row r="86113" hidden="1" x14ac:dyDescent="0.35"/>
    <row r="86114" hidden="1" x14ac:dyDescent="0.35"/>
    <row r="86115" hidden="1" x14ac:dyDescent="0.35"/>
    <row r="86116" hidden="1" x14ac:dyDescent="0.35"/>
    <row r="86117" hidden="1" x14ac:dyDescent="0.35"/>
    <row r="86118" hidden="1" x14ac:dyDescent="0.35"/>
    <row r="86119" hidden="1" x14ac:dyDescent="0.35"/>
    <row r="86120" hidden="1" x14ac:dyDescent="0.35"/>
    <row r="86121" hidden="1" x14ac:dyDescent="0.35"/>
    <row r="86122" hidden="1" x14ac:dyDescent="0.35"/>
    <row r="86123" hidden="1" x14ac:dyDescent="0.35"/>
    <row r="86124" hidden="1" x14ac:dyDescent="0.35"/>
    <row r="86125" hidden="1" x14ac:dyDescent="0.35"/>
    <row r="86126" hidden="1" x14ac:dyDescent="0.35"/>
    <row r="86127" hidden="1" x14ac:dyDescent="0.35"/>
    <row r="86128" hidden="1" x14ac:dyDescent="0.35"/>
    <row r="86129" hidden="1" x14ac:dyDescent="0.35"/>
    <row r="86130" hidden="1" x14ac:dyDescent="0.35"/>
    <row r="86131" hidden="1" x14ac:dyDescent="0.35"/>
    <row r="86132" hidden="1" x14ac:dyDescent="0.35"/>
    <row r="86133" hidden="1" x14ac:dyDescent="0.35"/>
    <row r="86134" hidden="1" x14ac:dyDescent="0.35"/>
    <row r="86135" hidden="1" x14ac:dyDescent="0.35"/>
    <row r="86136" hidden="1" x14ac:dyDescent="0.35"/>
    <row r="86137" hidden="1" x14ac:dyDescent="0.35"/>
    <row r="86138" hidden="1" x14ac:dyDescent="0.35"/>
    <row r="86139" hidden="1" x14ac:dyDescent="0.35"/>
    <row r="86140" hidden="1" x14ac:dyDescent="0.35"/>
    <row r="86141" hidden="1" x14ac:dyDescent="0.35"/>
    <row r="86142" hidden="1" x14ac:dyDescent="0.35"/>
    <row r="86143" hidden="1" x14ac:dyDescent="0.35"/>
    <row r="86144" hidden="1" x14ac:dyDescent="0.35"/>
    <row r="86145" hidden="1" x14ac:dyDescent="0.35"/>
    <row r="86146" hidden="1" x14ac:dyDescent="0.35"/>
    <row r="86147" hidden="1" x14ac:dyDescent="0.35"/>
    <row r="86148" hidden="1" x14ac:dyDescent="0.35"/>
    <row r="86149" hidden="1" x14ac:dyDescent="0.35"/>
    <row r="86150" hidden="1" x14ac:dyDescent="0.35"/>
    <row r="86151" hidden="1" x14ac:dyDescent="0.35"/>
    <row r="86152" hidden="1" x14ac:dyDescent="0.35"/>
    <row r="86153" hidden="1" x14ac:dyDescent="0.35"/>
    <row r="86154" hidden="1" x14ac:dyDescent="0.35"/>
    <row r="86155" hidden="1" x14ac:dyDescent="0.35"/>
    <row r="86156" hidden="1" x14ac:dyDescent="0.35"/>
    <row r="86157" hidden="1" x14ac:dyDescent="0.35"/>
    <row r="86158" hidden="1" x14ac:dyDescent="0.35"/>
    <row r="86159" hidden="1" x14ac:dyDescent="0.35"/>
    <row r="86160" hidden="1" x14ac:dyDescent="0.35"/>
    <row r="86161" hidden="1" x14ac:dyDescent="0.35"/>
    <row r="86162" hidden="1" x14ac:dyDescent="0.35"/>
    <row r="86163" hidden="1" x14ac:dyDescent="0.35"/>
    <row r="86164" hidden="1" x14ac:dyDescent="0.35"/>
    <row r="86165" hidden="1" x14ac:dyDescent="0.35"/>
    <row r="86166" hidden="1" x14ac:dyDescent="0.35"/>
    <row r="86167" hidden="1" x14ac:dyDescent="0.35"/>
    <row r="86168" hidden="1" x14ac:dyDescent="0.35"/>
    <row r="86169" hidden="1" x14ac:dyDescent="0.35"/>
    <row r="86170" hidden="1" x14ac:dyDescent="0.35"/>
    <row r="86171" hidden="1" x14ac:dyDescent="0.35"/>
    <row r="86172" hidden="1" x14ac:dyDescent="0.35"/>
    <row r="86173" hidden="1" x14ac:dyDescent="0.35"/>
    <row r="86174" hidden="1" x14ac:dyDescent="0.35"/>
    <row r="86175" hidden="1" x14ac:dyDescent="0.35"/>
    <row r="86176" hidden="1" x14ac:dyDescent="0.35"/>
    <row r="86177" hidden="1" x14ac:dyDescent="0.35"/>
    <row r="86178" hidden="1" x14ac:dyDescent="0.35"/>
    <row r="86179" hidden="1" x14ac:dyDescent="0.35"/>
    <row r="86180" hidden="1" x14ac:dyDescent="0.35"/>
    <row r="86181" hidden="1" x14ac:dyDescent="0.35"/>
    <row r="86182" hidden="1" x14ac:dyDescent="0.35"/>
    <row r="86183" hidden="1" x14ac:dyDescent="0.35"/>
    <row r="86184" hidden="1" x14ac:dyDescent="0.35"/>
    <row r="86185" hidden="1" x14ac:dyDescent="0.35"/>
    <row r="86186" hidden="1" x14ac:dyDescent="0.35"/>
    <row r="86187" hidden="1" x14ac:dyDescent="0.35"/>
    <row r="86188" hidden="1" x14ac:dyDescent="0.35"/>
    <row r="86189" hidden="1" x14ac:dyDescent="0.35"/>
    <row r="86190" hidden="1" x14ac:dyDescent="0.35"/>
    <row r="86191" hidden="1" x14ac:dyDescent="0.35"/>
    <row r="86192" hidden="1" x14ac:dyDescent="0.35"/>
    <row r="86193" hidden="1" x14ac:dyDescent="0.35"/>
    <row r="86194" hidden="1" x14ac:dyDescent="0.35"/>
    <row r="86195" hidden="1" x14ac:dyDescent="0.35"/>
    <row r="86196" hidden="1" x14ac:dyDescent="0.35"/>
    <row r="86197" hidden="1" x14ac:dyDescent="0.35"/>
    <row r="86198" hidden="1" x14ac:dyDescent="0.35"/>
    <row r="86199" hidden="1" x14ac:dyDescent="0.35"/>
    <row r="86200" hidden="1" x14ac:dyDescent="0.35"/>
    <row r="86201" hidden="1" x14ac:dyDescent="0.35"/>
    <row r="86202" hidden="1" x14ac:dyDescent="0.35"/>
    <row r="86203" hidden="1" x14ac:dyDescent="0.35"/>
    <row r="86204" hidden="1" x14ac:dyDescent="0.35"/>
    <row r="86205" hidden="1" x14ac:dyDescent="0.35"/>
    <row r="86206" hidden="1" x14ac:dyDescent="0.35"/>
    <row r="86207" hidden="1" x14ac:dyDescent="0.35"/>
    <row r="86208" hidden="1" x14ac:dyDescent="0.35"/>
    <row r="86209" hidden="1" x14ac:dyDescent="0.35"/>
    <row r="86210" hidden="1" x14ac:dyDescent="0.35"/>
    <row r="86211" hidden="1" x14ac:dyDescent="0.35"/>
    <row r="86212" hidden="1" x14ac:dyDescent="0.35"/>
    <row r="86213" hidden="1" x14ac:dyDescent="0.35"/>
    <row r="86214" hidden="1" x14ac:dyDescent="0.35"/>
    <row r="86215" hidden="1" x14ac:dyDescent="0.35"/>
    <row r="86216" hidden="1" x14ac:dyDescent="0.35"/>
    <row r="86217" hidden="1" x14ac:dyDescent="0.35"/>
    <row r="86218" hidden="1" x14ac:dyDescent="0.35"/>
    <row r="86219" hidden="1" x14ac:dyDescent="0.35"/>
    <row r="86220" hidden="1" x14ac:dyDescent="0.35"/>
    <row r="86221" hidden="1" x14ac:dyDescent="0.35"/>
    <row r="86222" hidden="1" x14ac:dyDescent="0.35"/>
    <row r="86223" hidden="1" x14ac:dyDescent="0.35"/>
    <row r="86224" hidden="1" x14ac:dyDescent="0.35"/>
    <row r="86225" hidden="1" x14ac:dyDescent="0.35"/>
    <row r="86226" hidden="1" x14ac:dyDescent="0.35"/>
    <row r="86227" hidden="1" x14ac:dyDescent="0.35"/>
    <row r="86228" hidden="1" x14ac:dyDescent="0.35"/>
    <row r="86229" hidden="1" x14ac:dyDescent="0.35"/>
    <row r="86230" hidden="1" x14ac:dyDescent="0.35"/>
    <row r="86231" hidden="1" x14ac:dyDescent="0.35"/>
    <row r="86232" hidden="1" x14ac:dyDescent="0.35"/>
    <row r="86233" hidden="1" x14ac:dyDescent="0.35"/>
    <row r="86234" hidden="1" x14ac:dyDescent="0.35"/>
    <row r="86235" hidden="1" x14ac:dyDescent="0.35"/>
    <row r="86236" hidden="1" x14ac:dyDescent="0.35"/>
    <row r="86237" hidden="1" x14ac:dyDescent="0.35"/>
    <row r="86238" hidden="1" x14ac:dyDescent="0.35"/>
    <row r="86239" hidden="1" x14ac:dyDescent="0.35"/>
    <row r="86240" hidden="1" x14ac:dyDescent="0.35"/>
    <row r="86241" hidden="1" x14ac:dyDescent="0.35"/>
    <row r="86242" hidden="1" x14ac:dyDescent="0.35"/>
    <row r="86243" hidden="1" x14ac:dyDescent="0.35"/>
    <row r="86244" hidden="1" x14ac:dyDescent="0.35"/>
    <row r="86245" hidden="1" x14ac:dyDescent="0.35"/>
    <row r="86246" hidden="1" x14ac:dyDescent="0.35"/>
    <row r="86247" hidden="1" x14ac:dyDescent="0.35"/>
    <row r="86248" hidden="1" x14ac:dyDescent="0.35"/>
    <row r="86249" hidden="1" x14ac:dyDescent="0.35"/>
    <row r="86250" hidden="1" x14ac:dyDescent="0.35"/>
    <row r="86251" hidden="1" x14ac:dyDescent="0.35"/>
    <row r="86252" hidden="1" x14ac:dyDescent="0.35"/>
    <row r="86253" hidden="1" x14ac:dyDescent="0.35"/>
    <row r="86254" hidden="1" x14ac:dyDescent="0.35"/>
    <row r="86255" hidden="1" x14ac:dyDescent="0.35"/>
    <row r="86256" hidden="1" x14ac:dyDescent="0.35"/>
    <row r="86257" hidden="1" x14ac:dyDescent="0.35"/>
    <row r="86258" hidden="1" x14ac:dyDescent="0.35"/>
    <row r="86259" hidden="1" x14ac:dyDescent="0.35"/>
    <row r="86260" hidden="1" x14ac:dyDescent="0.35"/>
    <row r="86261" hidden="1" x14ac:dyDescent="0.35"/>
    <row r="86262" hidden="1" x14ac:dyDescent="0.35"/>
    <row r="86263" hidden="1" x14ac:dyDescent="0.35"/>
    <row r="86264" hidden="1" x14ac:dyDescent="0.35"/>
    <row r="86265" hidden="1" x14ac:dyDescent="0.35"/>
    <row r="86266" hidden="1" x14ac:dyDescent="0.35"/>
    <row r="86267" hidden="1" x14ac:dyDescent="0.35"/>
    <row r="86268" hidden="1" x14ac:dyDescent="0.35"/>
    <row r="86269" hidden="1" x14ac:dyDescent="0.35"/>
    <row r="86270" hidden="1" x14ac:dyDescent="0.35"/>
    <row r="86271" hidden="1" x14ac:dyDescent="0.35"/>
    <row r="86272" hidden="1" x14ac:dyDescent="0.35"/>
    <row r="86273" hidden="1" x14ac:dyDescent="0.35"/>
    <row r="86274" hidden="1" x14ac:dyDescent="0.35"/>
    <row r="86275" hidden="1" x14ac:dyDescent="0.35"/>
    <row r="86276" hidden="1" x14ac:dyDescent="0.35"/>
    <row r="86277" hidden="1" x14ac:dyDescent="0.35"/>
    <row r="86278" hidden="1" x14ac:dyDescent="0.35"/>
    <row r="86279" hidden="1" x14ac:dyDescent="0.35"/>
    <row r="86280" hidden="1" x14ac:dyDescent="0.35"/>
    <row r="86281" hidden="1" x14ac:dyDescent="0.35"/>
    <row r="86282" hidden="1" x14ac:dyDescent="0.35"/>
    <row r="86283" hidden="1" x14ac:dyDescent="0.35"/>
    <row r="86284" hidden="1" x14ac:dyDescent="0.35"/>
    <row r="86285" hidden="1" x14ac:dyDescent="0.35"/>
    <row r="86286" hidden="1" x14ac:dyDescent="0.35"/>
    <row r="86287" hidden="1" x14ac:dyDescent="0.35"/>
    <row r="86288" hidden="1" x14ac:dyDescent="0.35"/>
    <row r="86289" hidden="1" x14ac:dyDescent="0.35"/>
    <row r="86290" hidden="1" x14ac:dyDescent="0.35"/>
    <row r="86291" hidden="1" x14ac:dyDescent="0.35"/>
    <row r="86292" hidden="1" x14ac:dyDescent="0.35"/>
    <row r="86293" hidden="1" x14ac:dyDescent="0.35"/>
    <row r="86294" hidden="1" x14ac:dyDescent="0.35"/>
    <row r="86295" hidden="1" x14ac:dyDescent="0.35"/>
    <row r="86296" hidden="1" x14ac:dyDescent="0.35"/>
    <row r="86297" hidden="1" x14ac:dyDescent="0.35"/>
    <row r="86298" hidden="1" x14ac:dyDescent="0.35"/>
    <row r="86299" hidden="1" x14ac:dyDescent="0.35"/>
    <row r="86300" hidden="1" x14ac:dyDescent="0.35"/>
    <row r="86301" hidden="1" x14ac:dyDescent="0.35"/>
    <row r="86302" hidden="1" x14ac:dyDescent="0.35"/>
    <row r="86303" hidden="1" x14ac:dyDescent="0.35"/>
    <row r="86304" hidden="1" x14ac:dyDescent="0.35"/>
    <row r="86305" hidden="1" x14ac:dyDescent="0.35"/>
    <row r="86306" hidden="1" x14ac:dyDescent="0.35"/>
    <row r="86307" hidden="1" x14ac:dyDescent="0.35"/>
    <row r="86308" hidden="1" x14ac:dyDescent="0.35"/>
    <row r="86309" hidden="1" x14ac:dyDescent="0.35"/>
    <row r="86310" hidden="1" x14ac:dyDescent="0.35"/>
    <row r="86311" hidden="1" x14ac:dyDescent="0.35"/>
    <row r="86312" hidden="1" x14ac:dyDescent="0.35"/>
    <row r="86313" hidden="1" x14ac:dyDescent="0.35"/>
    <row r="86314" hidden="1" x14ac:dyDescent="0.35"/>
    <row r="86315" hidden="1" x14ac:dyDescent="0.35"/>
    <row r="86316" hidden="1" x14ac:dyDescent="0.35"/>
    <row r="86317" hidden="1" x14ac:dyDescent="0.35"/>
    <row r="86318" hidden="1" x14ac:dyDescent="0.35"/>
    <row r="86319" hidden="1" x14ac:dyDescent="0.35"/>
    <row r="86320" hidden="1" x14ac:dyDescent="0.35"/>
    <row r="86321" hidden="1" x14ac:dyDescent="0.35"/>
    <row r="86322" hidden="1" x14ac:dyDescent="0.35"/>
    <row r="86323" hidden="1" x14ac:dyDescent="0.35"/>
    <row r="86324" hidden="1" x14ac:dyDescent="0.35"/>
    <row r="86325" hidden="1" x14ac:dyDescent="0.35"/>
    <row r="86326" hidden="1" x14ac:dyDescent="0.35"/>
    <row r="86327" hidden="1" x14ac:dyDescent="0.35"/>
    <row r="86328" hidden="1" x14ac:dyDescent="0.35"/>
    <row r="86329" hidden="1" x14ac:dyDescent="0.35"/>
    <row r="86330" hidden="1" x14ac:dyDescent="0.35"/>
    <row r="86331" hidden="1" x14ac:dyDescent="0.35"/>
    <row r="86332" hidden="1" x14ac:dyDescent="0.35"/>
    <row r="86333" hidden="1" x14ac:dyDescent="0.35"/>
    <row r="86334" hidden="1" x14ac:dyDescent="0.35"/>
    <row r="86335" hidden="1" x14ac:dyDescent="0.35"/>
    <row r="86336" hidden="1" x14ac:dyDescent="0.35"/>
    <row r="86337" hidden="1" x14ac:dyDescent="0.35"/>
    <row r="86338" hidden="1" x14ac:dyDescent="0.35"/>
    <row r="86339" hidden="1" x14ac:dyDescent="0.35"/>
    <row r="86340" hidden="1" x14ac:dyDescent="0.35"/>
    <row r="86341" hidden="1" x14ac:dyDescent="0.35"/>
    <row r="86342" hidden="1" x14ac:dyDescent="0.35"/>
    <row r="86343" hidden="1" x14ac:dyDescent="0.35"/>
    <row r="86344" hidden="1" x14ac:dyDescent="0.35"/>
    <row r="86345" hidden="1" x14ac:dyDescent="0.35"/>
    <row r="86346" hidden="1" x14ac:dyDescent="0.35"/>
    <row r="86347" hidden="1" x14ac:dyDescent="0.35"/>
    <row r="86348" hidden="1" x14ac:dyDescent="0.35"/>
    <row r="86349" hidden="1" x14ac:dyDescent="0.35"/>
    <row r="86350" hidden="1" x14ac:dyDescent="0.35"/>
    <row r="86351" hidden="1" x14ac:dyDescent="0.35"/>
    <row r="86352" hidden="1" x14ac:dyDescent="0.35"/>
    <row r="86353" hidden="1" x14ac:dyDescent="0.35"/>
    <row r="86354" hidden="1" x14ac:dyDescent="0.35"/>
    <row r="86355" hidden="1" x14ac:dyDescent="0.35"/>
    <row r="86356" hidden="1" x14ac:dyDescent="0.35"/>
    <row r="86357" hidden="1" x14ac:dyDescent="0.35"/>
    <row r="86358" hidden="1" x14ac:dyDescent="0.35"/>
    <row r="86359" hidden="1" x14ac:dyDescent="0.35"/>
    <row r="86360" hidden="1" x14ac:dyDescent="0.35"/>
    <row r="86361" hidden="1" x14ac:dyDescent="0.35"/>
    <row r="86362" hidden="1" x14ac:dyDescent="0.35"/>
    <row r="86363" hidden="1" x14ac:dyDescent="0.35"/>
    <row r="86364" hidden="1" x14ac:dyDescent="0.35"/>
    <row r="86365" hidden="1" x14ac:dyDescent="0.35"/>
    <row r="86366" hidden="1" x14ac:dyDescent="0.35"/>
    <row r="86367" hidden="1" x14ac:dyDescent="0.35"/>
    <row r="86368" hidden="1" x14ac:dyDescent="0.35"/>
    <row r="86369" hidden="1" x14ac:dyDescent="0.35"/>
    <row r="86370" hidden="1" x14ac:dyDescent="0.35"/>
    <row r="86371" hidden="1" x14ac:dyDescent="0.35"/>
    <row r="86372" hidden="1" x14ac:dyDescent="0.35"/>
    <row r="86373" hidden="1" x14ac:dyDescent="0.35"/>
    <row r="86374" hidden="1" x14ac:dyDescent="0.35"/>
    <row r="86375" hidden="1" x14ac:dyDescent="0.35"/>
    <row r="86376" hidden="1" x14ac:dyDescent="0.35"/>
    <row r="86377" hidden="1" x14ac:dyDescent="0.35"/>
    <row r="86378" hidden="1" x14ac:dyDescent="0.35"/>
    <row r="86379" hidden="1" x14ac:dyDescent="0.35"/>
    <row r="86380" hidden="1" x14ac:dyDescent="0.35"/>
    <row r="86381" hidden="1" x14ac:dyDescent="0.35"/>
    <row r="86382" hidden="1" x14ac:dyDescent="0.35"/>
    <row r="86383" hidden="1" x14ac:dyDescent="0.35"/>
    <row r="86384" hidden="1" x14ac:dyDescent="0.35"/>
    <row r="86385" hidden="1" x14ac:dyDescent="0.35"/>
    <row r="86386" hidden="1" x14ac:dyDescent="0.35"/>
    <row r="86387" hidden="1" x14ac:dyDescent="0.35"/>
    <row r="86388" hidden="1" x14ac:dyDescent="0.35"/>
    <row r="86389" hidden="1" x14ac:dyDescent="0.35"/>
    <row r="86390" hidden="1" x14ac:dyDescent="0.35"/>
    <row r="86391" hidden="1" x14ac:dyDescent="0.35"/>
    <row r="86392" hidden="1" x14ac:dyDescent="0.35"/>
    <row r="86393" hidden="1" x14ac:dyDescent="0.35"/>
    <row r="86394" hidden="1" x14ac:dyDescent="0.35"/>
    <row r="86395" hidden="1" x14ac:dyDescent="0.35"/>
    <row r="86396" hidden="1" x14ac:dyDescent="0.35"/>
    <row r="86397" hidden="1" x14ac:dyDescent="0.35"/>
    <row r="86398" hidden="1" x14ac:dyDescent="0.35"/>
    <row r="86399" hidden="1" x14ac:dyDescent="0.35"/>
    <row r="86400" hidden="1" x14ac:dyDescent="0.35"/>
    <row r="86401" hidden="1" x14ac:dyDescent="0.35"/>
    <row r="86402" hidden="1" x14ac:dyDescent="0.35"/>
    <row r="86403" hidden="1" x14ac:dyDescent="0.35"/>
    <row r="86404" hidden="1" x14ac:dyDescent="0.35"/>
    <row r="86405" hidden="1" x14ac:dyDescent="0.35"/>
    <row r="86406" hidden="1" x14ac:dyDescent="0.35"/>
    <row r="86407" hidden="1" x14ac:dyDescent="0.35"/>
    <row r="86408" hidden="1" x14ac:dyDescent="0.35"/>
    <row r="86409" hidden="1" x14ac:dyDescent="0.35"/>
    <row r="86410" hidden="1" x14ac:dyDescent="0.35"/>
    <row r="86411" hidden="1" x14ac:dyDescent="0.35"/>
    <row r="86412" hidden="1" x14ac:dyDescent="0.35"/>
    <row r="86413" hidden="1" x14ac:dyDescent="0.35"/>
    <row r="86414" hidden="1" x14ac:dyDescent="0.35"/>
    <row r="86415" hidden="1" x14ac:dyDescent="0.35"/>
    <row r="86416" hidden="1" x14ac:dyDescent="0.35"/>
    <row r="86417" hidden="1" x14ac:dyDescent="0.35"/>
    <row r="86418" hidden="1" x14ac:dyDescent="0.35"/>
    <row r="86419" hidden="1" x14ac:dyDescent="0.35"/>
    <row r="86420" hidden="1" x14ac:dyDescent="0.35"/>
    <row r="86421" hidden="1" x14ac:dyDescent="0.35"/>
    <row r="86422" hidden="1" x14ac:dyDescent="0.35"/>
    <row r="86423" hidden="1" x14ac:dyDescent="0.35"/>
    <row r="86424" hidden="1" x14ac:dyDescent="0.35"/>
    <row r="86425" hidden="1" x14ac:dyDescent="0.35"/>
    <row r="86426" hidden="1" x14ac:dyDescent="0.35"/>
    <row r="86427" hidden="1" x14ac:dyDescent="0.35"/>
    <row r="86428" hidden="1" x14ac:dyDescent="0.35"/>
    <row r="86429" hidden="1" x14ac:dyDescent="0.35"/>
    <row r="86430" hidden="1" x14ac:dyDescent="0.35"/>
    <row r="86431" hidden="1" x14ac:dyDescent="0.35"/>
    <row r="86432" hidden="1" x14ac:dyDescent="0.35"/>
    <row r="86433" hidden="1" x14ac:dyDescent="0.35"/>
    <row r="86434" hidden="1" x14ac:dyDescent="0.35"/>
    <row r="86435" hidden="1" x14ac:dyDescent="0.35"/>
    <row r="86436" hidden="1" x14ac:dyDescent="0.35"/>
    <row r="86437" hidden="1" x14ac:dyDescent="0.35"/>
    <row r="86438" hidden="1" x14ac:dyDescent="0.35"/>
    <row r="86439" hidden="1" x14ac:dyDescent="0.35"/>
    <row r="86440" hidden="1" x14ac:dyDescent="0.35"/>
    <row r="86441" hidden="1" x14ac:dyDescent="0.35"/>
    <row r="86442" hidden="1" x14ac:dyDescent="0.35"/>
    <row r="86443" hidden="1" x14ac:dyDescent="0.35"/>
    <row r="86444" hidden="1" x14ac:dyDescent="0.35"/>
    <row r="86445" hidden="1" x14ac:dyDescent="0.35"/>
    <row r="86446" hidden="1" x14ac:dyDescent="0.35"/>
    <row r="86447" hidden="1" x14ac:dyDescent="0.35"/>
    <row r="86448" hidden="1" x14ac:dyDescent="0.35"/>
    <row r="86449" hidden="1" x14ac:dyDescent="0.35"/>
    <row r="86450" hidden="1" x14ac:dyDescent="0.35"/>
    <row r="86451" hidden="1" x14ac:dyDescent="0.35"/>
    <row r="86452" hidden="1" x14ac:dyDescent="0.35"/>
    <row r="86453" hidden="1" x14ac:dyDescent="0.35"/>
    <row r="86454" hidden="1" x14ac:dyDescent="0.35"/>
    <row r="86455" hidden="1" x14ac:dyDescent="0.35"/>
    <row r="86456" hidden="1" x14ac:dyDescent="0.35"/>
    <row r="86457" hidden="1" x14ac:dyDescent="0.35"/>
    <row r="86458" hidden="1" x14ac:dyDescent="0.35"/>
    <row r="86459" hidden="1" x14ac:dyDescent="0.35"/>
    <row r="86460" hidden="1" x14ac:dyDescent="0.35"/>
    <row r="86461" hidden="1" x14ac:dyDescent="0.35"/>
    <row r="86462" hidden="1" x14ac:dyDescent="0.35"/>
    <row r="86463" hidden="1" x14ac:dyDescent="0.35"/>
    <row r="86464" hidden="1" x14ac:dyDescent="0.35"/>
    <row r="86465" hidden="1" x14ac:dyDescent="0.35"/>
    <row r="86466" hidden="1" x14ac:dyDescent="0.35"/>
    <row r="86467" hidden="1" x14ac:dyDescent="0.35"/>
    <row r="86468" hidden="1" x14ac:dyDescent="0.35"/>
    <row r="86469" hidden="1" x14ac:dyDescent="0.35"/>
    <row r="86470" hidden="1" x14ac:dyDescent="0.35"/>
    <row r="86471" hidden="1" x14ac:dyDescent="0.35"/>
    <row r="86472" hidden="1" x14ac:dyDescent="0.35"/>
    <row r="86473" hidden="1" x14ac:dyDescent="0.35"/>
    <row r="86474" hidden="1" x14ac:dyDescent="0.35"/>
    <row r="86475" hidden="1" x14ac:dyDescent="0.35"/>
    <row r="86476" hidden="1" x14ac:dyDescent="0.35"/>
    <row r="86477" hidden="1" x14ac:dyDescent="0.35"/>
    <row r="86478" hidden="1" x14ac:dyDescent="0.35"/>
    <row r="86479" hidden="1" x14ac:dyDescent="0.35"/>
    <row r="86480" hidden="1" x14ac:dyDescent="0.35"/>
    <row r="86481" hidden="1" x14ac:dyDescent="0.35"/>
    <row r="86482" hidden="1" x14ac:dyDescent="0.35"/>
    <row r="86483" hidden="1" x14ac:dyDescent="0.35"/>
    <row r="86484" hidden="1" x14ac:dyDescent="0.35"/>
    <row r="86485" hidden="1" x14ac:dyDescent="0.35"/>
    <row r="86486" hidden="1" x14ac:dyDescent="0.35"/>
    <row r="86487" hidden="1" x14ac:dyDescent="0.35"/>
    <row r="86488" hidden="1" x14ac:dyDescent="0.35"/>
    <row r="86489" hidden="1" x14ac:dyDescent="0.35"/>
    <row r="86490" hidden="1" x14ac:dyDescent="0.35"/>
    <row r="86491" hidden="1" x14ac:dyDescent="0.35"/>
    <row r="86492" hidden="1" x14ac:dyDescent="0.35"/>
    <row r="86493" hidden="1" x14ac:dyDescent="0.35"/>
    <row r="86494" hidden="1" x14ac:dyDescent="0.35"/>
    <row r="86495" hidden="1" x14ac:dyDescent="0.35"/>
    <row r="86496" hidden="1" x14ac:dyDescent="0.35"/>
    <row r="86497" hidden="1" x14ac:dyDescent="0.35"/>
    <row r="86498" hidden="1" x14ac:dyDescent="0.35"/>
    <row r="86499" hidden="1" x14ac:dyDescent="0.35"/>
    <row r="86500" hidden="1" x14ac:dyDescent="0.35"/>
    <row r="86501" hidden="1" x14ac:dyDescent="0.35"/>
    <row r="86502" hidden="1" x14ac:dyDescent="0.35"/>
    <row r="86503" hidden="1" x14ac:dyDescent="0.35"/>
    <row r="86504" hidden="1" x14ac:dyDescent="0.35"/>
    <row r="86505" hidden="1" x14ac:dyDescent="0.35"/>
    <row r="86506" hidden="1" x14ac:dyDescent="0.35"/>
    <row r="86507" hidden="1" x14ac:dyDescent="0.35"/>
    <row r="86508" hidden="1" x14ac:dyDescent="0.35"/>
    <row r="86509" hidden="1" x14ac:dyDescent="0.35"/>
    <row r="86510" hidden="1" x14ac:dyDescent="0.35"/>
    <row r="86511" hidden="1" x14ac:dyDescent="0.35"/>
    <row r="86512" hidden="1" x14ac:dyDescent="0.35"/>
    <row r="86513" hidden="1" x14ac:dyDescent="0.35"/>
    <row r="86514" hidden="1" x14ac:dyDescent="0.35"/>
    <row r="86515" hidden="1" x14ac:dyDescent="0.35"/>
    <row r="86516" hidden="1" x14ac:dyDescent="0.35"/>
    <row r="86517" hidden="1" x14ac:dyDescent="0.35"/>
    <row r="86518" hidden="1" x14ac:dyDescent="0.35"/>
    <row r="86519" hidden="1" x14ac:dyDescent="0.35"/>
    <row r="86520" hidden="1" x14ac:dyDescent="0.35"/>
    <row r="86521" hidden="1" x14ac:dyDescent="0.35"/>
    <row r="86522" hidden="1" x14ac:dyDescent="0.35"/>
    <row r="86523" hidden="1" x14ac:dyDescent="0.35"/>
    <row r="86524" hidden="1" x14ac:dyDescent="0.35"/>
    <row r="86525" hidden="1" x14ac:dyDescent="0.35"/>
    <row r="86526" hidden="1" x14ac:dyDescent="0.35"/>
    <row r="86527" hidden="1" x14ac:dyDescent="0.35"/>
    <row r="86528" hidden="1" x14ac:dyDescent="0.35"/>
    <row r="86529" hidden="1" x14ac:dyDescent="0.35"/>
    <row r="86530" hidden="1" x14ac:dyDescent="0.35"/>
    <row r="86531" hidden="1" x14ac:dyDescent="0.35"/>
    <row r="86532" hidden="1" x14ac:dyDescent="0.35"/>
    <row r="86533" hidden="1" x14ac:dyDescent="0.35"/>
    <row r="86534" hidden="1" x14ac:dyDescent="0.35"/>
    <row r="86535" hidden="1" x14ac:dyDescent="0.35"/>
    <row r="86536" hidden="1" x14ac:dyDescent="0.35"/>
    <row r="86537" hidden="1" x14ac:dyDescent="0.35"/>
    <row r="86538" hidden="1" x14ac:dyDescent="0.35"/>
    <row r="86539" hidden="1" x14ac:dyDescent="0.35"/>
    <row r="86540" hidden="1" x14ac:dyDescent="0.35"/>
    <row r="86541" hidden="1" x14ac:dyDescent="0.35"/>
    <row r="86542" hidden="1" x14ac:dyDescent="0.35"/>
    <row r="86543" hidden="1" x14ac:dyDescent="0.35"/>
    <row r="86544" hidden="1" x14ac:dyDescent="0.35"/>
    <row r="86545" hidden="1" x14ac:dyDescent="0.35"/>
    <row r="86546" hidden="1" x14ac:dyDescent="0.35"/>
    <row r="86547" hidden="1" x14ac:dyDescent="0.35"/>
    <row r="86548" hidden="1" x14ac:dyDescent="0.35"/>
    <row r="86549" hidden="1" x14ac:dyDescent="0.35"/>
    <row r="86550" hidden="1" x14ac:dyDescent="0.35"/>
    <row r="86551" hidden="1" x14ac:dyDescent="0.35"/>
    <row r="86552" hidden="1" x14ac:dyDescent="0.35"/>
    <row r="86553" hidden="1" x14ac:dyDescent="0.35"/>
    <row r="86554" hidden="1" x14ac:dyDescent="0.35"/>
    <row r="86555" hidden="1" x14ac:dyDescent="0.35"/>
    <row r="86556" hidden="1" x14ac:dyDescent="0.35"/>
    <row r="86557" hidden="1" x14ac:dyDescent="0.35"/>
    <row r="86558" hidden="1" x14ac:dyDescent="0.35"/>
    <row r="86559" hidden="1" x14ac:dyDescent="0.35"/>
    <row r="86560" hidden="1" x14ac:dyDescent="0.35"/>
    <row r="86561" hidden="1" x14ac:dyDescent="0.35"/>
    <row r="86562" hidden="1" x14ac:dyDescent="0.35"/>
    <row r="86563" hidden="1" x14ac:dyDescent="0.35"/>
    <row r="86564" hidden="1" x14ac:dyDescent="0.35"/>
    <row r="86565" hidden="1" x14ac:dyDescent="0.35"/>
    <row r="86566" hidden="1" x14ac:dyDescent="0.35"/>
    <row r="86567" hidden="1" x14ac:dyDescent="0.35"/>
    <row r="86568" hidden="1" x14ac:dyDescent="0.35"/>
    <row r="86569" hidden="1" x14ac:dyDescent="0.35"/>
    <row r="86570" hidden="1" x14ac:dyDescent="0.35"/>
    <row r="86571" hidden="1" x14ac:dyDescent="0.35"/>
    <row r="86572" hidden="1" x14ac:dyDescent="0.35"/>
    <row r="86573" hidden="1" x14ac:dyDescent="0.35"/>
    <row r="86574" hidden="1" x14ac:dyDescent="0.35"/>
    <row r="86575" hidden="1" x14ac:dyDescent="0.35"/>
    <row r="86576" hidden="1" x14ac:dyDescent="0.35"/>
    <row r="86577" hidden="1" x14ac:dyDescent="0.35"/>
    <row r="86578" hidden="1" x14ac:dyDescent="0.35"/>
    <row r="86579" hidden="1" x14ac:dyDescent="0.35"/>
    <row r="86580" hidden="1" x14ac:dyDescent="0.35"/>
    <row r="86581" hidden="1" x14ac:dyDescent="0.35"/>
    <row r="86582" hidden="1" x14ac:dyDescent="0.35"/>
    <row r="86583" hidden="1" x14ac:dyDescent="0.35"/>
    <row r="86584" hidden="1" x14ac:dyDescent="0.35"/>
    <row r="86585" hidden="1" x14ac:dyDescent="0.35"/>
    <row r="86586" hidden="1" x14ac:dyDescent="0.35"/>
    <row r="86587" hidden="1" x14ac:dyDescent="0.35"/>
    <row r="86588" hidden="1" x14ac:dyDescent="0.35"/>
    <row r="86589" hidden="1" x14ac:dyDescent="0.35"/>
    <row r="86590" hidden="1" x14ac:dyDescent="0.35"/>
    <row r="86591" hidden="1" x14ac:dyDescent="0.35"/>
    <row r="86592" hidden="1" x14ac:dyDescent="0.35"/>
    <row r="86593" hidden="1" x14ac:dyDescent="0.35"/>
    <row r="86594" hidden="1" x14ac:dyDescent="0.35"/>
    <row r="86595" hidden="1" x14ac:dyDescent="0.35"/>
    <row r="86596" hidden="1" x14ac:dyDescent="0.35"/>
    <row r="86597" hidden="1" x14ac:dyDescent="0.35"/>
    <row r="86598" hidden="1" x14ac:dyDescent="0.35"/>
    <row r="86599" hidden="1" x14ac:dyDescent="0.35"/>
    <row r="86600" hidden="1" x14ac:dyDescent="0.35"/>
    <row r="86601" hidden="1" x14ac:dyDescent="0.35"/>
    <row r="86602" hidden="1" x14ac:dyDescent="0.35"/>
    <row r="86603" hidden="1" x14ac:dyDescent="0.35"/>
    <row r="86604" hidden="1" x14ac:dyDescent="0.35"/>
    <row r="86605" hidden="1" x14ac:dyDescent="0.35"/>
    <row r="86606" hidden="1" x14ac:dyDescent="0.35"/>
    <row r="86607" hidden="1" x14ac:dyDescent="0.35"/>
    <row r="86608" hidden="1" x14ac:dyDescent="0.35"/>
    <row r="86609" hidden="1" x14ac:dyDescent="0.35"/>
    <row r="86610" hidden="1" x14ac:dyDescent="0.35"/>
    <row r="86611" hidden="1" x14ac:dyDescent="0.35"/>
    <row r="86612" hidden="1" x14ac:dyDescent="0.35"/>
    <row r="86613" hidden="1" x14ac:dyDescent="0.35"/>
    <row r="86614" hidden="1" x14ac:dyDescent="0.35"/>
    <row r="86615" hidden="1" x14ac:dyDescent="0.35"/>
    <row r="86616" hidden="1" x14ac:dyDescent="0.35"/>
    <row r="86617" hidden="1" x14ac:dyDescent="0.35"/>
    <row r="86618" hidden="1" x14ac:dyDescent="0.35"/>
    <row r="86619" hidden="1" x14ac:dyDescent="0.35"/>
    <row r="86620" hidden="1" x14ac:dyDescent="0.35"/>
    <row r="86621" hidden="1" x14ac:dyDescent="0.35"/>
    <row r="86622" hidden="1" x14ac:dyDescent="0.35"/>
    <row r="86623" hidden="1" x14ac:dyDescent="0.35"/>
    <row r="86624" hidden="1" x14ac:dyDescent="0.35"/>
    <row r="86625" hidden="1" x14ac:dyDescent="0.35"/>
    <row r="86626" hidden="1" x14ac:dyDescent="0.35"/>
    <row r="86627" hidden="1" x14ac:dyDescent="0.35"/>
    <row r="86628" hidden="1" x14ac:dyDescent="0.35"/>
    <row r="86629" hidden="1" x14ac:dyDescent="0.35"/>
    <row r="86630" hidden="1" x14ac:dyDescent="0.35"/>
    <row r="86631" hidden="1" x14ac:dyDescent="0.35"/>
    <row r="86632" hidden="1" x14ac:dyDescent="0.35"/>
    <row r="86633" hidden="1" x14ac:dyDescent="0.35"/>
    <row r="86634" hidden="1" x14ac:dyDescent="0.35"/>
    <row r="86635" hidden="1" x14ac:dyDescent="0.35"/>
    <row r="86636" hidden="1" x14ac:dyDescent="0.35"/>
    <row r="86637" hidden="1" x14ac:dyDescent="0.35"/>
    <row r="86638" hidden="1" x14ac:dyDescent="0.35"/>
    <row r="86639" hidden="1" x14ac:dyDescent="0.35"/>
    <row r="86640" hidden="1" x14ac:dyDescent="0.35"/>
    <row r="86641" hidden="1" x14ac:dyDescent="0.35"/>
    <row r="86642" hidden="1" x14ac:dyDescent="0.35"/>
    <row r="86643" hidden="1" x14ac:dyDescent="0.35"/>
    <row r="86644" hidden="1" x14ac:dyDescent="0.35"/>
    <row r="86645" hidden="1" x14ac:dyDescent="0.35"/>
    <row r="86646" hidden="1" x14ac:dyDescent="0.35"/>
    <row r="86647" hidden="1" x14ac:dyDescent="0.35"/>
    <row r="86648" hidden="1" x14ac:dyDescent="0.35"/>
    <row r="86649" hidden="1" x14ac:dyDescent="0.35"/>
    <row r="86650" hidden="1" x14ac:dyDescent="0.35"/>
    <row r="86651" hidden="1" x14ac:dyDescent="0.35"/>
    <row r="86652" hidden="1" x14ac:dyDescent="0.35"/>
    <row r="86653" hidden="1" x14ac:dyDescent="0.35"/>
    <row r="86654" hidden="1" x14ac:dyDescent="0.35"/>
    <row r="86655" hidden="1" x14ac:dyDescent="0.35"/>
    <row r="86656" hidden="1" x14ac:dyDescent="0.35"/>
    <row r="86657" hidden="1" x14ac:dyDescent="0.35"/>
    <row r="86658" hidden="1" x14ac:dyDescent="0.35"/>
    <row r="86659" hidden="1" x14ac:dyDescent="0.35"/>
    <row r="86660" hidden="1" x14ac:dyDescent="0.35"/>
    <row r="86661" hidden="1" x14ac:dyDescent="0.35"/>
    <row r="86662" hidden="1" x14ac:dyDescent="0.35"/>
    <row r="86663" hidden="1" x14ac:dyDescent="0.35"/>
    <row r="86664" hidden="1" x14ac:dyDescent="0.35"/>
    <row r="86665" hidden="1" x14ac:dyDescent="0.35"/>
    <row r="86666" hidden="1" x14ac:dyDescent="0.35"/>
    <row r="86667" hidden="1" x14ac:dyDescent="0.35"/>
    <row r="86668" hidden="1" x14ac:dyDescent="0.35"/>
    <row r="86669" hidden="1" x14ac:dyDescent="0.35"/>
    <row r="86670" hidden="1" x14ac:dyDescent="0.35"/>
    <row r="86671" hidden="1" x14ac:dyDescent="0.35"/>
    <row r="86672" hidden="1" x14ac:dyDescent="0.35"/>
    <row r="86673" hidden="1" x14ac:dyDescent="0.35"/>
    <row r="86674" hidden="1" x14ac:dyDescent="0.35"/>
    <row r="86675" hidden="1" x14ac:dyDescent="0.35"/>
    <row r="86676" hidden="1" x14ac:dyDescent="0.35"/>
    <row r="86677" hidden="1" x14ac:dyDescent="0.35"/>
    <row r="86678" hidden="1" x14ac:dyDescent="0.35"/>
    <row r="86679" hidden="1" x14ac:dyDescent="0.35"/>
    <row r="86680" hidden="1" x14ac:dyDescent="0.35"/>
    <row r="86681" hidden="1" x14ac:dyDescent="0.35"/>
    <row r="86682" hidden="1" x14ac:dyDescent="0.35"/>
    <row r="86683" hidden="1" x14ac:dyDescent="0.35"/>
    <row r="86684" hidden="1" x14ac:dyDescent="0.35"/>
    <row r="86685" hidden="1" x14ac:dyDescent="0.35"/>
    <row r="86686" hidden="1" x14ac:dyDescent="0.35"/>
    <row r="86687" hidden="1" x14ac:dyDescent="0.35"/>
    <row r="86688" hidden="1" x14ac:dyDescent="0.35"/>
    <row r="86689" hidden="1" x14ac:dyDescent="0.35"/>
    <row r="86690" hidden="1" x14ac:dyDescent="0.35"/>
    <row r="86691" hidden="1" x14ac:dyDescent="0.35"/>
    <row r="86692" hidden="1" x14ac:dyDescent="0.35"/>
    <row r="86693" hidden="1" x14ac:dyDescent="0.35"/>
    <row r="86694" hidden="1" x14ac:dyDescent="0.35"/>
    <row r="86695" hidden="1" x14ac:dyDescent="0.35"/>
    <row r="86696" hidden="1" x14ac:dyDescent="0.35"/>
    <row r="86697" hidden="1" x14ac:dyDescent="0.35"/>
    <row r="86698" hidden="1" x14ac:dyDescent="0.35"/>
    <row r="86699" hidden="1" x14ac:dyDescent="0.35"/>
    <row r="86700" hidden="1" x14ac:dyDescent="0.35"/>
    <row r="86701" hidden="1" x14ac:dyDescent="0.35"/>
    <row r="86702" hidden="1" x14ac:dyDescent="0.35"/>
    <row r="86703" hidden="1" x14ac:dyDescent="0.35"/>
    <row r="86704" hidden="1" x14ac:dyDescent="0.35"/>
    <row r="86705" hidden="1" x14ac:dyDescent="0.35"/>
    <row r="86706" hidden="1" x14ac:dyDescent="0.35"/>
    <row r="86707" hidden="1" x14ac:dyDescent="0.35"/>
    <row r="86708" hidden="1" x14ac:dyDescent="0.35"/>
    <row r="86709" hidden="1" x14ac:dyDescent="0.35"/>
    <row r="86710" hidden="1" x14ac:dyDescent="0.35"/>
    <row r="86711" hidden="1" x14ac:dyDescent="0.35"/>
    <row r="86712" hidden="1" x14ac:dyDescent="0.35"/>
    <row r="86713" hidden="1" x14ac:dyDescent="0.35"/>
    <row r="86714" hidden="1" x14ac:dyDescent="0.35"/>
    <row r="86715" hidden="1" x14ac:dyDescent="0.35"/>
    <row r="86716" hidden="1" x14ac:dyDescent="0.35"/>
    <row r="86717" hidden="1" x14ac:dyDescent="0.35"/>
    <row r="86718" hidden="1" x14ac:dyDescent="0.35"/>
    <row r="86719" hidden="1" x14ac:dyDescent="0.35"/>
    <row r="86720" hidden="1" x14ac:dyDescent="0.35"/>
    <row r="86721" hidden="1" x14ac:dyDescent="0.35"/>
    <row r="86722" hidden="1" x14ac:dyDescent="0.35"/>
    <row r="86723" hidden="1" x14ac:dyDescent="0.35"/>
    <row r="86724" hidden="1" x14ac:dyDescent="0.35"/>
    <row r="86725" hidden="1" x14ac:dyDescent="0.35"/>
    <row r="86726" hidden="1" x14ac:dyDescent="0.35"/>
    <row r="86727" hidden="1" x14ac:dyDescent="0.35"/>
    <row r="86728" hidden="1" x14ac:dyDescent="0.35"/>
    <row r="86729" hidden="1" x14ac:dyDescent="0.35"/>
    <row r="86730" hidden="1" x14ac:dyDescent="0.35"/>
    <row r="86731" hidden="1" x14ac:dyDescent="0.35"/>
    <row r="86732" hidden="1" x14ac:dyDescent="0.35"/>
    <row r="86733" hidden="1" x14ac:dyDescent="0.35"/>
    <row r="86734" hidden="1" x14ac:dyDescent="0.35"/>
    <row r="86735" hidden="1" x14ac:dyDescent="0.35"/>
    <row r="86736" hidden="1" x14ac:dyDescent="0.35"/>
    <row r="86737" hidden="1" x14ac:dyDescent="0.35"/>
    <row r="86738" hidden="1" x14ac:dyDescent="0.35"/>
    <row r="86739" hidden="1" x14ac:dyDescent="0.35"/>
    <row r="86740" hidden="1" x14ac:dyDescent="0.35"/>
    <row r="86741" hidden="1" x14ac:dyDescent="0.35"/>
    <row r="86742" hidden="1" x14ac:dyDescent="0.35"/>
    <row r="86743" hidden="1" x14ac:dyDescent="0.35"/>
    <row r="86744" hidden="1" x14ac:dyDescent="0.35"/>
    <row r="86745" hidden="1" x14ac:dyDescent="0.35"/>
    <row r="86746" hidden="1" x14ac:dyDescent="0.35"/>
    <row r="86747" hidden="1" x14ac:dyDescent="0.35"/>
    <row r="86748" hidden="1" x14ac:dyDescent="0.35"/>
    <row r="86749" hidden="1" x14ac:dyDescent="0.35"/>
    <row r="86750" hidden="1" x14ac:dyDescent="0.35"/>
    <row r="86751" hidden="1" x14ac:dyDescent="0.35"/>
    <row r="86752" hidden="1" x14ac:dyDescent="0.35"/>
    <row r="86753" hidden="1" x14ac:dyDescent="0.35"/>
    <row r="86754" hidden="1" x14ac:dyDescent="0.35"/>
    <row r="86755" hidden="1" x14ac:dyDescent="0.35"/>
    <row r="86756" hidden="1" x14ac:dyDescent="0.35"/>
    <row r="86757" hidden="1" x14ac:dyDescent="0.35"/>
    <row r="86758" hidden="1" x14ac:dyDescent="0.35"/>
    <row r="86759" hidden="1" x14ac:dyDescent="0.35"/>
    <row r="86760" hidden="1" x14ac:dyDescent="0.35"/>
    <row r="86761" hidden="1" x14ac:dyDescent="0.35"/>
    <row r="86762" hidden="1" x14ac:dyDescent="0.35"/>
    <row r="86763" hidden="1" x14ac:dyDescent="0.35"/>
    <row r="86764" hidden="1" x14ac:dyDescent="0.35"/>
    <row r="86765" hidden="1" x14ac:dyDescent="0.35"/>
    <row r="86766" hidden="1" x14ac:dyDescent="0.35"/>
    <row r="86767" hidden="1" x14ac:dyDescent="0.35"/>
    <row r="86768" hidden="1" x14ac:dyDescent="0.35"/>
    <row r="86769" hidden="1" x14ac:dyDescent="0.35"/>
    <row r="86770" hidden="1" x14ac:dyDescent="0.35"/>
    <row r="86771" hidden="1" x14ac:dyDescent="0.35"/>
    <row r="86772" hidden="1" x14ac:dyDescent="0.35"/>
    <row r="86773" hidden="1" x14ac:dyDescent="0.35"/>
    <row r="86774" hidden="1" x14ac:dyDescent="0.35"/>
    <row r="86775" hidden="1" x14ac:dyDescent="0.35"/>
    <row r="86776" hidden="1" x14ac:dyDescent="0.35"/>
    <row r="86777" hidden="1" x14ac:dyDescent="0.35"/>
    <row r="86778" hidden="1" x14ac:dyDescent="0.35"/>
    <row r="86779" hidden="1" x14ac:dyDescent="0.35"/>
    <row r="86780" hidden="1" x14ac:dyDescent="0.35"/>
    <row r="86781" hidden="1" x14ac:dyDescent="0.35"/>
    <row r="86782" hidden="1" x14ac:dyDescent="0.35"/>
    <row r="86783" hidden="1" x14ac:dyDescent="0.35"/>
    <row r="86784" hidden="1" x14ac:dyDescent="0.35"/>
    <row r="86785" hidden="1" x14ac:dyDescent="0.35"/>
    <row r="86786" hidden="1" x14ac:dyDescent="0.35"/>
    <row r="86787" hidden="1" x14ac:dyDescent="0.35"/>
    <row r="86788" hidden="1" x14ac:dyDescent="0.35"/>
    <row r="86789" hidden="1" x14ac:dyDescent="0.35"/>
    <row r="86790" hidden="1" x14ac:dyDescent="0.35"/>
    <row r="86791" hidden="1" x14ac:dyDescent="0.35"/>
    <row r="86792" hidden="1" x14ac:dyDescent="0.35"/>
    <row r="86793" hidden="1" x14ac:dyDescent="0.35"/>
    <row r="86794" hidden="1" x14ac:dyDescent="0.35"/>
    <row r="86795" hidden="1" x14ac:dyDescent="0.35"/>
    <row r="86796" hidden="1" x14ac:dyDescent="0.35"/>
    <row r="86797" hidden="1" x14ac:dyDescent="0.35"/>
    <row r="86798" hidden="1" x14ac:dyDescent="0.35"/>
    <row r="86799" hidden="1" x14ac:dyDescent="0.35"/>
    <row r="86800" hidden="1" x14ac:dyDescent="0.35"/>
    <row r="86801" hidden="1" x14ac:dyDescent="0.35"/>
    <row r="86802" hidden="1" x14ac:dyDescent="0.35"/>
    <row r="86803" hidden="1" x14ac:dyDescent="0.35"/>
    <row r="86804" hidden="1" x14ac:dyDescent="0.35"/>
    <row r="86805" hidden="1" x14ac:dyDescent="0.35"/>
    <row r="86806" hidden="1" x14ac:dyDescent="0.35"/>
    <row r="86807" hidden="1" x14ac:dyDescent="0.35"/>
    <row r="86808" hidden="1" x14ac:dyDescent="0.35"/>
    <row r="86809" hidden="1" x14ac:dyDescent="0.35"/>
    <row r="86810" hidden="1" x14ac:dyDescent="0.35"/>
    <row r="86811" hidden="1" x14ac:dyDescent="0.35"/>
    <row r="86812" hidden="1" x14ac:dyDescent="0.35"/>
    <row r="86813" hidden="1" x14ac:dyDescent="0.35"/>
    <row r="86814" hidden="1" x14ac:dyDescent="0.35"/>
    <row r="86815" hidden="1" x14ac:dyDescent="0.35"/>
    <row r="86816" hidden="1" x14ac:dyDescent="0.35"/>
    <row r="86817" hidden="1" x14ac:dyDescent="0.35"/>
    <row r="86818" hidden="1" x14ac:dyDescent="0.35"/>
    <row r="86819" hidden="1" x14ac:dyDescent="0.35"/>
    <row r="86820" hidden="1" x14ac:dyDescent="0.35"/>
    <row r="86821" hidden="1" x14ac:dyDescent="0.35"/>
    <row r="86822" hidden="1" x14ac:dyDescent="0.35"/>
    <row r="86823" hidden="1" x14ac:dyDescent="0.35"/>
    <row r="86824" hidden="1" x14ac:dyDescent="0.35"/>
    <row r="86825" hidden="1" x14ac:dyDescent="0.35"/>
    <row r="86826" hidden="1" x14ac:dyDescent="0.35"/>
    <row r="86827" hidden="1" x14ac:dyDescent="0.35"/>
    <row r="86828" hidden="1" x14ac:dyDescent="0.35"/>
    <row r="86829" hidden="1" x14ac:dyDescent="0.35"/>
    <row r="86830" hidden="1" x14ac:dyDescent="0.35"/>
    <row r="86831" hidden="1" x14ac:dyDescent="0.35"/>
    <row r="86832" hidden="1" x14ac:dyDescent="0.35"/>
    <row r="86833" hidden="1" x14ac:dyDescent="0.35"/>
    <row r="86834" hidden="1" x14ac:dyDescent="0.35"/>
    <row r="86835" hidden="1" x14ac:dyDescent="0.35"/>
    <row r="86836" hidden="1" x14ac:dyDescent="0.35"/>
    <row r="86837" hidden="1" x14ac:dyDescent="0.35"/>
    <row r="86838" hidden="1" x14ac:dyDescent="0.35"/>
    <row r="86839" hidden="1" x14ac:dyDescent="0.35"/>
    <row r="86840" hidden="1" x14ac:dyDescent="0.35"/>
    <row r="86841" hidden="1" x14ac:dyDescent="0.35"/>
    <row r="86842" hidden="1" x14ac:dyDescent="0.35"/>
    <row r="86843" hidden="1" x14ac:dyDescent="0.35"/>
    <row r="86844" hidden="1" x14ac:dyDescent="0.35"/>
    <row r="86845" hidden="1" x14ac:dyDescent="0.35"/>
    <row r="86846" hidden="1" x14ac:dyDescent="0.35"/>
    <row r="86847" hidden="1" x14ac:dyDescent="0.35"/>
    <row r="86848" hidden="1" x14ac:dyDescent="0.35"/>
    <row r="86849" hidden="1" x14ac:dyDescent="0.35"/>
    <row r="86850" hidden="1" x14ac:dyDescent="0.35"/>
    <row r="86851" hidden="1" x14ac:dyDescent="0.35"/>
    <row r="86852" hidden="1" x14ac:dyDescent="0.35"/>
    <row r="86853" hidden="1" x14ac:dyDescent="0.35"/>
    <row r="86854" hidden="1" x14ac:dyDescent="0.35"/>
    <row r="86855" hidden="1" x14ac:dyDescent="0.35"/>
    <row r="86856" hidden="1" x14ac:dyDescent="0.35"/>
    <row r="86857" hidden="1" x14ac:dyDescent="0.35"/>
    <row r="86858" hidden="1" x14ac:dyDescent="0.35"/>
    <row r="86859" hidden="1" x14ac:dyDescent="0.35"/>
    <row r="86860" hidden="1" x14ac:dyDescent="0.35"/>
    <row r="86861" hidden="1" x14ac:dyDescent="0.35"/>
    <row r="86862" hidden="1" x14ac:dyDescent="0.35"/>
    <row r="86863" hidden="1" x14ac:dyDescent="0.35"/>
    <row r="86864" hidden="1" x14ac:dyDescent="0.35"/>
    <row r="86865" hidden="1" x14ac:dyDescent="0.35"/>
    <row r="86866" hidden="1" x14ac:dyDescent="0.35"/>
    <row r="86867" hidden="1" x14ac:dyDescent="0.35"/>
    <row r="86868" hidden="1" x14ac:dyDescent="0.35"/>
    <row r="86869" hidden="1" x14ac:dyDescent="0.35"/>
    <row r="86870" hidden="1" x14ac:dyDescent="0.35"/>
    <row r="86871" hidden="1" x14ac:dyDescent="0.35"/>
    <row r="86872" hidden="1" x14ac:dyDescent="0.35"/>
    <row r="86873" hidden="1" x14ac:dyDescent="0.35"/>
    <row r="86874" hidden="1" x14ac:dyDescent="0.35"/>
    <row r="86875" hidden="1" x14ac:dyDescent="0.35"/>
    <row r="86876" hidden="1" x14ac:dyDescent="0.35"/>
    <row r="86877" hidden="1" x14ac:dyDescent="0.35"/>
    <row r="86878" hidden="1" x14ac:dyDescent="0.35"/>
    <row r="86879" hidden="1" x14ac:dyDescent="0.35"/>
    <row r="86880" hidden="1" x14ac:dyDescent="0.35"/>
    <row r="86881" hidden="1" x14ac:dyDescent="0.35"/>
    <row r="86882" hidden="1" x14ac:dyDescent="0.35"/>
    <row r="86883" hidden="1" x14ac:dyDescent="0.35"/>
    <row r="86884" hidden="1" x14ac:dyDescent="0.35"/>
    <row r="86885" hidden="1" x14ac:dyDescent="0.35"/>
    <row r="86886" hidden="1" x14ac:dyDescent="0.35"/>
    <row r="86887" hidden="1" x14ac:dyDescent="0.35"/>
    <row r="86888" hidden="1" x14ac:dyDescent="0.35"/>
    <row r="86889" hidden="1" x14ac:dyDescent="0.35"/>
    <row r="86890" hidden="1" x14ac:dyDescent="0.35"/>
    <row r="86891" hidden="1" x14ac:dyDescent="0.35"/>
    <row r="86892" hidden="1" x14ac:dyDescent="0.35"/>
    <row r="86893" hidden="1" x14ac:dyDescent="0.35"/>
    <row r="86894" hidden="1" x14ac:dyDescent="0.35"/>
    <row r="86895" hidden="1" x14ac:dyDescent="0.35"/>
    <row r="86896" hidden="1" x14ac:dyDescent="0.35"/>
    <row r="86897" hidden="1" x14ac:dyDescent="0.35"/>
    <row r="86898" hidden="1" x14ac:dyDescent="0.35"/>
    <row r="86899" hidden="1" x14ac:dyDescent="0.35"/>
    <row r="86900" hidden="1" x14ac:dyDescent="0.35"/>
    <row r="86901" hidden="1" x14ac:dyDescent="0.35"/>
    <row r="86902" hidden="1" x14ac:dyDescent="0.35"/>
    <row r="86903" hidden="1" x14ac:dyDescent="0.35"/>
    <row r="86904" hidden="1" x14ac:dyDescent="0.35"/>
    <row r="86905" hidden="1" x14ac:dyDescent="0.35"/>
    <row r="86906" hidden="1" x14ac:dyDescent="0.35"/>
    <row r="86907" hidden="1" x14ac:dyDescent="0.35"/>
    <row r="86908" hidden="1" x14ac:dyDescent="0.35"/>
    <row r="86909" hidden="1" x14ac:dyDescent="0.35"/>
    <row r="86910" hidden="1" x14ac:dyDescent="0.35"/>
    <row r="86911" hidden="1" x14ac:dyDescent="0.35"/>
    <row r="86912" hidden="1" x14ac:dyDescent="0.35"/>
    <row r="86913" hidden="1" x14ac:dyDescent="0.35"/>
    <row r="86914" hidden="1" x14ac:dyDescent="0.35"/>
    <row r="86915" hidden="1" x14ac:dyDescent="0.35"/>
    <row r="86916" hidden="1" x14ac:dyDescent="0.35"/>
    <row r="86917" hidden="1" x14ac:dyDescent="0.35"/>
    <row r="86918" hidden="1" x14ac:dyDescent="0.35"/>
    <row r="86919" hidden="1" x14ac:dyDescent="0.35"/>
    <row r="86920" hidden="1" x14ac:dyDescent="0.35"/>
    <row r="86921" hidden="1" x14ac:dyDescent="0.35"/>
    <row r="86922" hidden="1" x14ac:dyDescent="0.35"/>
    <row r="86923" hidden="1" x14ac:dyDescent="0.35"/>
    <row r="86924" hidden="1" x14ac:dyDescent="0.35"/>
    <row r="86925" hidden="1" x14ac:dyDescent="0.35"/>
    <row r="86926" hidden="1" x14ac:dyDescent="0.35"/>
    <row r="86927" hidden="1" x14ac:dyDescent="0.35"/>
    <row r="86928" hidden="1" x14ac:dyDescent="0.35"/>
    <row r="86929" hidden="1" x14ac:dyDescent="0.35"/>
    <row r="86930" hidden="1" x14ac:dyDescent="0.35"/>
    <row r="86931" hidden="1" x14ac:dyDescent="0.35"/>
    <row r="86932" hidden="1" x14ac:dyDescent="0.35"/>
    <row r="86933" hidden="1" x14ac:dyDescent="0.35"/>
    <row r="86934" hidden="1" x14ac:dyDescent="0.35"/>
    <row r="86935" hidden="1" x14ac:dyDescent="0.35"/>
    <row r="86936" hidden="1" x14ac:dyDescent="0.35"/>
    <row r="86937" hidden="1" x14ac:dyDescent="0.35"/>
    <row r="86938" hidden="1" x14ac:dyDescent="0.35"/>
    <row r="86939" hidden="1" x14ac:dyDescent="0.35"/>
    <row r="86940" hidden="1" x14ac:dyDescent="0.35"/>
    <row r="86941" hidden="1" x14ac:dyDescent="0.35"/>
    <row r="86942" hidden="1" x14ac:dyDescent="0.35"/>
    <row r="86943" hidden="1" x14ac:dyDescent="0.35"/>
    <row r="86944" hidden="1" x14ac:dyDescent="0.35"/>
    <row r="86945" hidden="1" x14ac:dyDescent="0.35"/>
    <row r="86946" hidden="1" x14ac:dyDescent="0.35"/>
    <row r="86947" hidden="1" x14ac:dyDescent="0.35"/>
    <row r="86948" hidden="1" x14ac:dyDescent="0.35"/>
    <row r="86949" hidden="1" x14ac:dyDescent="0.35"/>
    <row r="86950" hidden="1" x14ac:dyDescent="0.35"/>
    <row r="86951" hidden="1" x14ac:dyDescent="0.35"/>
    <row r="86952" hidden="1" x14ac:dyDescent="0.35"/>
    <row r="86953" hidden="1" x14ac:dyDescent="0.35"/>
    <row r="86954" hidden="1" x14ac:dyDescent="0.35"/>
    <row r="86955" hidden="1" x14ac:dyDescent="0.35"/>
    <row r="86956" hidden="1" x14ac:dyDescent="0.35"/>
    <row r="86957" hidden="1" x14ac:dyDescent="0.35"/>
    <row r="86958" hidden="1" x14ac:dyDescent="0.35"/>
    <row r="86959" hidden="1" x14ac:dyDescent="0.35"/>
    <row r="86960" hidden="1" x14ac:dyDescent="0.35"/>
    <row r="86961" hidden="1" x14ac:dyDescent="0.35"/>
    <row r="86962" hidden="1" x14ac:dyDescent="0.35"/>
    <row r="86963" hidden="1" x14ac:dyDescent="0.35"/>
    <row r="86964" hidden="1" x14ac:dyDescent="0.35"/>
    <row r="86965" hidden="1" x14ac:dyDescent="0.35"/>
    <row r="86966" hidden="1" x14ac:dyDescent="0.35"/>
    <row r="86967" hidden="1" x14ac:dyDescent="0.35"/>
    <row r="86968" hidden="1" x14ac:dyDescent="0.35"/>
    <row r="86969" hidden="1" x14ac:dyDescent="0.35"/>
    <row r="86970" hidden="1" x14ac:dyDescent="0.35"/>
    <row r="86971" hidden="1" x14ac:dyDescent="0.35"/>
    <row r="86972" hidden="1" x14ac:dyDescent="0.35"/>
    <row r="86973" hidden="1" x14ac:dyDescent="0.35"/>
    <row r="86974" hidden="1" x14ac:dyDescent="0.35"/>
    <row r="86975" hidden="1" x14ac:dyDescent="0.35"/>
    <row r="86976" hidden="1" x14ac:dyDescent="0.35"/>
    <row r="86977" hidden="1" x14ac:dyDescent="0.35"/>
    <row r="86978" hidden="1" x14ac:dyDescent="0.35"/>
    <row r="86979" hidden="1" x14ac:dyDescent="0.35"/>
    <row r="86980" hidden="1" x14ac:dyDescent="0.35"/>
    <row r="86981" hidden="1" x14ac:dyDescent="0.35"/>
    <row r="86982" hidden="1" x14ac:dyDescent="0.35"/>
    <row r="86983" hidden="1" x14ac:dyDescent="0.35"/>
    <row r="86984" hidden="1" x14ac:dyDescent="0.35"/>
    <row r="86985" hidden="1" x14ac:dyDescent="0.35"/>
    <row r="86986" hidden="1" x14ac:dyDescent="0.35"/>
    <row r="86987" hidden="1" x14ac:dyDescent="0.35"/>
    <row r="86988" hidden="1" x14ac:dyDescent="0.35"/>
    <row r="86989" hidden="1" x14ac:dyDescent="0.35"/>
    <row r="86990" hidden="1" x14ac:dyDescent="0.35"/>
    <row r="86991" hidden="1" x14ac:dyDescent="0.35"/>
    <row r="86992" hidden="1" x14ac:dyDescent="0.35"/>
    <row r="86993" hidden="1" x14ac:dyDescent="0.35"/>
    <row r="86994" hidden="1" x14ac:dyDescent="0.35"/>
    <row r="86995" hidden="1" x14ac:dyDescent="0.35"/>
    <row r="86996" hidden="1" x14ac:dyDescent="0.35"/>
    <row r="86997" hidden="1" x14ac:dyDescent="0.35"/>
    <row r="86998" hidden="1" x14ac:dyDescent="0.35"/>
    <row r="86999" hidden="1" x14ac:dyDescent="0.35"/>
    <row r="87000" hidden="1" x14ac:dyDescent="0.35"/>
    <row r="87001" hidden="1" x14ac:dyDescent="0.35"/>
    <row r="87002" hidden="1" x14ac:dyDescent="0.35"/>
    <row r="87003" hidden="1" x14ac:dyDescent="0.35"/>
    <row r="87004" hidden="1" x14ac:dyDescent="0.35"/>
    <row r="87005" hidden="1" x14ac:dyDescent="0.35"/>
    <row r="87006" hidden="1" x14ac:dyDescent="0.35"/>
    <row r="87007" hidden="1" x14ac:dyDescent="0.35"/>
    <row r="87008" hidden="1" x14ac:dyDescent="0.35"/>
    <row r="87009" hidden="1" x14ac:dyDescent="0.35"/>
    <row r="87010" hidden="1" x14ac:dyDescent="0.35"/>
    <row r="87011" hidden="1" x14ac:dyDescent="0.35"/>
    <row r="87012" hidden="1" x14ac:dyDescent="0.35"/>
    <row r="87013" hidden="1" x14ac:dyDescent="0.35"/>
    <row r="87014" hidden="1" x14ac:dyDescent="0.35"/>
    <row r="87015" hidden="1" x14ac:dyDescent="0.35"/>
    <row r="87016" hidden="1" x14ac:dyDescent="0.35"/>
    <row r="87017" hidden="1" x14ac:dyDescent="0.35"/>
    <row r="87018" hidden="1" x14ac:dyDescent="0.35"/>
    <row r="87019" hidden="1" x14ac:dyDescent="0.35"/>
    <row r="87020" hidden="1" x14ac:dyDescent="0.35"/>
    <row r="87021" hidden="1" x14ac:dyDescent="0.35"/>
    <row r="87022" hidden="1" x14ac:dyDescent="0.35"/>
    <row r="87023" hidden="1" x14ac:dyDescent="0.35"/>
    <row r="87024" hidden="1" x14ac:dyDescent="0.35"/>
    <row r="87025" hidden="1" x14ac:dyDescent="0.35"/>
    <row r="87026" hidden="1" x14ac:dyDescent="0.35"/>
    <row r="87027" hidden="1" x14ac:dyDescent="0.35"/>
    <row r="87028" hidden="1" x14ac:dyDescent="0.35"/>
    <row r="87029" hidden="1" x14ac:dyDescent="0.35"/>
    <row r="87030" hidden="1" x14ac:dyDescent="0.35"/>
    <row r="87031" hidden="1" x14ac:dyDescent="0.35"/>
    <row r="87032" hidden="1" x14ac:dyDescent="0.35"/>
    <row r="87033" hidden="1" x14ac:dyDescent="0.35"/>
    <row r="87034" hidden="1" x14ac:dyDescent="0.35"/>
    <row r="87035" hidden="1" x14ac:dyDescent="0.35"/>
    <row r="87036" hidden="1" x14ac:dyDescent="0.35"/>
    <row r="87037" hidden="1" x14ac:dyDescent="0.35"/>
    <row r="87038" hidden="1" x14ac:dyDescent="0.35"/>
    <row r="87039" hidden="1" x14ac:dyDescent="0.35"/>
    <row r="87040" hidden="1" x14ac:dyDescent="0.35"/>
    <row r="87041" hidden="1" x14ac:dyDescent="0.35"/>
    <row r="87042" hidden="1" x14ac:dyDescent="0.35"/>
    <row r="87043" hidden="1" x14ac:dyDescent="0.35"/>
    <row r="87044" hidden="1" x14ac:dyDescent="0.35"/>
    <row r="87045" hidden="1" x14ac:dyDescent="0.35"/>
    <row r="87046" hidden="1" x14ac:dyDescent="0.35"/>
    <row r="87047" hidden="1" x14ac:dyDescent="0.35"/>
    <row r="87048" hidden="1" x14ac:dyDescent="0.35"/>
    <row r="87049" hidden="1" x14ac:dyDescent="0.35"/>
    <row r="87050" hidden="1" x14ac:dyDescent="0.35"/>
    <row r="87051" hidden="1" x14ac:dyDescent="0.35"/>
    <row r="87052" hidden="1" x14ac:dyDescent="0.35"/>
    <row r="87053" hidden="1" x14ac:dyDescent="0.35"/>
    <row r="87054" hidden="1" x14ac:dyDescent="0.35"/>
    <row r="87055" hidden="1" x14ac:dyDescent="0.35"/>
    <row r="87056" hidden="1" x14ac:dyDescent="0.35"/>
    <row r="87057" hidden="1" x14ac:dyDescent="0.35"/>
    <row r="87058" hidden="1" x14ac:dyDescent="0.35"/>
    <row r="87059" hidden="1" x14ac:dyDescent="0.35"/>
    <row r="87060" hidden="1" x14ac:dyDescent="0.35"/>
    <row r="87061" hidden="1" x14ac:dyDescent="0.35"/>
    <row r="87062" hidden="1" x14ac:dyDescent="0.35"/>
    <row r="87063" hidden="1" x14ac:dyDescent="0.35"/>
    <row r="87064" hidden="1" x14ac:dyDescent="0.35"/>
    <row r="87065" hidden="1" x14ac:dyDescent="0.35"/>
    <row r="87066" hidden="1" x14ac:dyDescent="0.35"/>
    <row r="87067" hidden="1" x14ac:dyDescent="0.35"/>
    <row r="87068" hidden="1" x14ac:dyDescent="0.35"/>
    <row r="87069" hidden="1" x14ac:dyDescent="0.35"/>
    <row r="87070" hidden="1" x14ac:dyDescent="0.35"/>
    <row r="87071" hidden="1" x14ac:dyDescent="0.35"/>
    <row r="87072" hidden="1" x14ac:dyDescent="0.35"/>
    <row r="87073" hidden="1" x14ac:dyDescent="0.35"/>
    <row r="87074" hidden="1" x14ac:dyDescent="0.35"/>
    <row r="87075" hidden="1" x14ac:dyDescent="0.35"/>
    <row r="87076" hidden="1" x14ac:dyDescent="0.35"/>
    <row r="87077" hidden="1" x14ac:dyDescent="0.35"/>
    <row r="87078" hidden="1" x14ac:dyDescent="0.35"/>
    <row r="87079" hidden="1" x14ac:dyDescent="0.35"/>
    <row r="87080" hidden="1" x14ac:dyDescent="0.35"/>
    <row r="87081" hidden="1" x14ac:dyDescent="0.35"/>
    <row r="87082" hidden="1" x14ac:dyDescent="0.35"/>
    <row r="87083" hidden="1" x14ac:dyDescent="0.35"/>
    <row r="87084" hidden="1" x14ac:dyDescent="0.35"/>
    <row r="87085" hidden="1" x14ac:dyDescent="0.35"/>
    <row r="87086" hidden="1" x14ac:dyDescent="0.35"/>
    <row r="87087" hidden="1" x14ac:dyDescent="0.35"/>
    <row r="87088" hidden="1" x14ac:dyDescent="0.35"/>
    <row r="87089" hidden="1" x14ac:dyDescent="0.35"/>
    <row r="87090" hidden="1" x14ac:dyDescent="0.35"/>
    <row r="87091" hidden="1" x14ac:dyDescent="0.35"/>
    <row r="87092" hidden="1" x14ac:dyDescent="0.35"/>
    <row r="87093" hidden="1" x14ac:dyDescent="0.35"/>
    <row r="87094" hidden="1" x14ac:dyDescent="0.35"/>
    <row r="87095" hidden="1" x14ac:dyDescent="0.35"/>
    <row r="87096" hidden="1" x14ac:dyDescent="0.35"/>
    <row r="87097" hidden="1" x14ac:dyDescent="0.35"/>
    <row r="87098" hidden="1" x14ac:dyDescent="0.35"/>
    <row r="87099" hidden="1" x14ac:dyDescent="0.35"/>
    <row r="87100" hidden="1" x14ac:dyDescent="0.35"/>
    <row r="87101" hidden="1" x14ac:dyDescent="0.35"/>
    <row r="87102" hidden="1" x14ac:dyDescent="0.35"/>
    <row r="87103" hidden="1" x14ac:dyDescent="0.35"/>
    <row r="87104" hidden="1" x14ac:dyDescent="0.35"/>
    <row r="87105" hidden="1" x14ac:dyDescent="0.35"/>
    <row r="87106" hidden="1" x14ac:dyDescent="0.35"/>
    <row r="87107" hidden="1" x14ac:dyDescent="0.35"/>
    <row r="87108" hidden="1" x14ac:dyDescent="0.35"/>
    <row r="87109" hidden="1" x14ac:dyDescent="0.35"/>
    <row r="87110" hidden="1" x14ac:dyDescent="0.35"/>
    <row r="87111" hidden="1" x14ac:dyDescent="0.35"/>
    <row r="87112" hidden="1" x14ac:dyDescent="0.35"/>
    <row r="87113" hidden="1" x14ac:dyDescent="0.35"/>
    <row r="87114" hidden="1" x14ac:dyDescent="0.35"/>
    <row r="87115" hidden="1" x14ac:dyDescent="0.35"/>
    <row r="87116" hidden="1" x14ac:dyDescent="0.35"/>
    <row r="87117" hidden="1" x14ac:dyDescent="0.35"/>
    <row r="87118" hidden="1" x14ac:dyDescent="0.35"/>
    <row r="87119" hidden="1" x14ac:dyDescent="0.35"/>
    <row r="87120" hidden="1" x14ac:dyDescent="0.35"/>
    <row r="87121" hidden="1" x14ac:dyDescent="0.35"/>
    <row r="87122" hidden="1" x14ac:dyDescent="0.35"/>
    <row r="87123" hidden="1" x14ac:dyDescent="0.35"/>
    <row r="87124" hidden="1" x14ac:dyDescent="0.35"/>
    <row r="87125" hidden="1" x14ac:dyDescent="0.35"/>
    <row r="87126" hidden="1" x14ac:dyDescent="0.35"/>
    <row r="87127" hidden="1" x14ac:dyDescent="0.35"/>
    <row r="87128" hidden="1" x14ac:dyDescent="0.35"/>
    <row r="87129" hidden="1" x14ac:dyDescent="0.35"/>
    <row r="87130" hidden="1" x14ac:dyDescent="0.35"/>
    <row r="87131" hidden="1" x14ac:dyDescent="0.35"/>
    <row r="87132" hidden="1" x14ac:dyDescent="0.35"/>
    <row r="87133" hidden="1" x14ac:dyDescent="0.35"/>
    <row r="87134" hidden="1" x14ac:dyDescent="0.35"/>
    <row r="87135" hidden="1" x14ac:dyDescent="0.35"/>
    <row r="87136" hidden="1" x14ac:dyDescent="0.35"/>
    <row r="87137" hidden="1" x14ac:dyDescent="0.35"/>
    <row r="87138" hidden="1" x14ac:dyDescent="0.35"/>
    <row r="87139" hidden="1" x14ac:dyDescent="0.35"/>
    <row r="87140" hidden="1" x14ac:dyDescent="0.35"/>
    <row r="87141" hidden="1" x14ac:dyDescent="0.35"/>
    <row r="87142" hidden="1" x14ac:dyDescent="0.35"/>
    <row r="87143" hidden="1" x14ac:dyDescent="0.35"/>
    <row r="87144" hidden="1" x14ac:dyDescent="0.35"/>
    <row r="87145" hidden="1" x14ac:dyDescent="0.35"/>
    <row r="87146" hidden="1" x14ac:dyDescent="0.35"/>
    <row r="87147" hidden="1" x14ac:dyDescent="0.35"/>
    <row r="87148" hidden="1" x14ac:dyDescent="0.35"/>
    <row r="87149" hidden="1" x14ac:dyDescent="0.35"/>
    <row r="87150" hidden="1" x14ac:dyDescent="0.35"/>
    <row r="87151" hidden="1" x14ac:dyDescent="0.35"/>
    <row r="87152" hidden="1" x14ac:dyDescent="0.35"/>
    <row r="87153" hidden="1" x14ac:dyDescent="0.35"/>
    <row r="87154" hidden="1" x14ac:dyDescent="0.35"/>
    <row r="87155" hidden="1" x14ac:dyDescent="0.35"/>
    <row r="87156" hidden="1" x14ac:dyDescent="0.35"/>
    <row r="87157" hidden="1" x14ac:dyDescent="0.35"/>
    <row r="87158" hidden="1" x14ac:dyDescent="0.35"/>
    <row r="87159" hidden="1" x14ac:dyDescent="0.35"/>
    <row r="87160" hidden="1" x14ac:dyDescent="0.35"/>
    <row r="87161" hidden="1" x14ac:dyDescent="0.35"/>
    <row r="87162" hidden="1" x14ac:dyDescent="0.35"/>
    <row r="87163" hidden="1" x14ac:dyDescent="0.35"/>
    <row r="87164" hidden="1" x14ac:dyDescent="0.35"/>
    <row r="87165" hidden="1" x14ac:dyDescent="0.35"/>
    <row r="87166" hidden="1" x14ac:dyDescent="0.35"/>
    <row r="87167" hidden="1" x14ac:dyDescent="0.35"/>
    <row r="87168" hidden="1" x14ac:dyDescent="0.35"/>
    <row r="87169" hidden="1" x14ac:dyDescent="0.35"/>
    <row r="87170" hidden="1" x14ac:dyDescent="0.35"/>
    <row r="87171" hidden="1" x14ac:dyDescent="0.35"/>
    <row r="87172" hidden="1" x14ac:dyDescent="0.35"/>
    <row r="87173" hidden="1" x14ac:dyDescent="0.35"/>
    <row r="87174" hidden="1" x14ac:dyDescent="0.35"/>
    <row r="87175" hidden="1" x14ac:dyDescent="0.35"/>
    <row r="87176" hidden="1" x14ac:dyDescent="0.35"/>
    <row r="87177" hidden="1" x14ac:dyDescent="0.35"/>
    <row r="87178" hidden="1" x14ac:dyDescent="0.35"/>
    <row r="87179" hidden="1" x14ac:dyDescent="0.35"/>
    <row r="87180" hidden="1" x14ac:dyDescent="0.35"/>
    <row r="87181" hidden="1" x14ac:dyDescent="0.35"/>
    <row r="87182" hidden="1" x14ac:dyDescent="0.35"/>
    <row r="87183" hidden="1" x14ac:dyDescent="0.35"/>
    <row r="87184" hidden="1" x14ac:dyDescent="0.35"/>
    <row r="87185" hidden="1" x14ac:dyDescent="0.35"/>
    <row r="87186" hidden="1" x14ac:dyDescent="0.35"/>
    <row r="87187" hidden="1" x14ac:dyDescent="0.35"/>
    <row r="87188" hidden="1" x14ac:dyDescent="0.35"/>
    <row r="87189" hidden="1" x14ac:dyDescent="0.35"/>
    <row r="87190" hidden="1" x14ac:dyDescent="0.35"/>
    <row r="87191" hidden="1" x14ac:dyDescent="0.35"/>
    <row r="87192" hidden="1" x14ac:dyDescent="0.35"/>
    <row r="87193" hidden="1" x14ac:dyDescent="0.35"/>
    <row r="87194" hidden="1" x14ac:dyDescent="0.35"/>
    <row r="87195" hidden="1" x14ac:dyDescent="0.35"/>
    <row r="87196" hidden="1" x14ac:dyDescent="0.35"/>
    <row r="87197" hidden="1" x14ac:dyDescent="0.35"/>
    <row r="87198" hidden="1" x14ac:dyDescent="0.35"/>
    <row r="87199" hidden="1" x14ac:dyDescent="0.35"/>
    <row r="87200" hidden="1" x14ac:dyDescent="0.35"/>
    <row r="87201" hidden="1" x14ac:dyDescent="0.35"/>
    <row r="87202" hidden="1" x14ac:dyDescent="0.35"/>
    <row r="87203" hidden="1" x14ac:dyDescent="0.35"/>
    <row r="87204" hidden="1" x14ac:dyDescent="0.35"/>
    <row r="87205" hidden="1" x14ac:dyDescent="0.35"/>
    <row r="87206" hidden="1" x14ac:dyDescent="0.35"/>
    <row r="87207" hidden="1" x14ac:dyDescent="0.35"/>
    <row r="87208" hidden="1" x14ac:dyDescent="0.35"/>
    <row r="87209" hidden="1" x14ac:dyDescent="0.35"/>
    <row r="87210" hidden="1" x14ac:dyDescent="0.35"/>
    <row r="87211" hidden="1" x14ac:dyDescent="0.35"/>
    <row r="87212" hidden="1" x14ac:dyDescent="0.35"/>
    <row r="87213" hidden="1" x14ac:dyDescent="0.35"/>
    <row r="87214" hidden="1" x14ac:dyDescent="0.35"/>
    <row r="87215" hidden="1" x14ac:dyDescent="0.35"/>
    <row r="87216" hidden="1" x14ac:dyDescent="0.35"/>
    <row r="87217" hidden="1" x14ac:dyDescent="0.35"/>
    <row r="87218" hidden="1" x14ac:dyDescent="0.35"/>
    <row r="87219" hidden="1" x14ac:dyDescent="0.35"/>
    <row r="87220" hidden="1" x14ac:dyDescent="0.35"/>
    <row r="87221" hidden="1" x14ac:dyDescent="0.35"/>
    <row r="87222" hidden="1" x14ac:dyDescent="0.35"/>
    <row r="87223" hidden="1" x14ac:dyDescent="0.35"/>
    <row r="87224" hidden="1" x14ac:dyDescent="0.35"/>
    <row r="87225" hidden="1" x14ac:dyDescent="0.35"/>
    <row r="87226" hidden="1" x14ac:dyDescent="0.35"/>
    <row r="87227" hidden="1" x14ac:dyDescent="0.35"/>
    <row r="87228" hidden="1" x14ac:dyDescent="0.35"/>
    <row r="87229" hidden="1" x14ac:dyDescent="0.35"/>
    <row r="87230" hidden="1" x14ac:dyDescent="0.35"/>
    <row r="87231" hidden="1" x14ac:dyDescent="0.35"/>
    <row r="87232" hidden="1" x14ac:dyDescent="0.35"/>
    <row r="87233" hidden="1" x14ac:dyDescent="0.35"/>
    <row r="87234" hidden="1" x14ac:dyDescent="0.35"/>
    <row r="87235" hidden="1" x14ac:dyDescent="0.35"/>
    <row r="87236" hidden="1" x14ac:dyDescent="0.35"/>
    <row r="87237" hidden="1" x14ac:dyDescent="0.35"/>
    <row r="87238" hidden="1" x14ac:dyDescent="0.35"/>
    <row r="87239" hidden="1" x14ac:dyDescent="0.35"/>
    <row r="87240" hidden="1" x14ac:dyDescent="0.35"/>
    <row r="87241" hidden="1" x14ac:dyDescent="0.35"/>
    <row r="87242" hidden="1" x14ac:dyDescent="0.35"/>
    <row r="87243" hidden="1" x14ac:dyDescent="0.35"/>
    <row r="87244" hidden="1" x14ac:dyDescent="0.35"/>
    <row r="87245" hidden="1" x14ac:dyDescent="0.35"/>
    <row r="87246" hidden="1" x14ac:dyDescent="0.35"/>
    <row r="87247" hidden="1" x14ac:dyDescent="0.35"/>
    <row r="87248" hidden="1" x14ac:dyDescent="0.35"/>
    <row r="87249" hidden="1" x14ac:dyDescent="0.35"/>
    <row r="87250" hidden="1" x14ac:dyDescent="0.35"/>
    <row r="87251" hidden="1" x14ac:dyDescent="0.35"/>
    <row r="87252" hidden="1" x14ac:dyDescent="0.35"/>
    <row r="87253" hidden="1" x14ac:dyDescent="0.35"/>
    <row r="87254" hidden="1" x14ac:dyDescent="0.35"/>
    <row r="87255" hidden="1" x14ac:dyDescent="0.35"/>
    <row r="87256" hidden="1" x14ac:dyDescent="0.35"/>
    <row r="87257" hidden="1" x14ac:dyDescent="0.35"/>
    <row r="87258" hidden="1" x14ac:dyDescent="0.35"/>
    <row r="87259" hidden="1" x14ac:dyDescent="0.35"/>
    <row r="87260" hidden="1" x14ac:dyDescent="0.35"/>
    <row r="87261" hidden="1" x14ac:dyDescent="0.35"/>
    <row r="87262" hidden="1" x14ac:dyDescent="0.35"/>
    <row r="87263" hidden="1" x14ac:dyDescent="0.35"/>
    <row r="87264" hidden="1" x14ac:dyDescent="0.35"/>
    <row r="87265" hidden="1" x14ac:dyDescent="0.35"/>
    <row r="87266" hidden="1" x14ac:dyDescent="0.35"/>
    <row r="87267" hidden="1" x14ac:dyDescent="0.35"/>
    <row r="87268" hidden="1" x14ac:dyDescent="0.35"/>
    <row r="87269" hidden="1" x14ac:dyDescent="0.35"/>
    <row r="87270" hidden="1" x14ac:dyDescent="0.35"/>
    <row r="87271" hidden="1" x14ac:dyDescent="0.35"/>
    <row r="87272" hidden="1" x14ac:dyDescent="0.35"/>
    <row r="87273" hidden="1" x14ac:dyDescent="0.35"/>
    <row r="87274" hidden="1" x14ac:dyDescent="0.35"/>
    <row r="87275" hidden="1" x14ac:dyDescent="0.35"/>
    <row r="87276" hidden="1" x14ac:dyDescent="0.35"/>
    <row r="87277" hidden="1" x14ac:dyDescent="0.35"/>
    <row r="87278" hidden="1" x14ac:dyDescent="0.35"/>
    <row r="87279" hidden="1" x14ac:dyDescent="0.35"/>
    <row r="87280" hidden="1" x14ac:dyDescent="0.35"/>
    <row r="87281" hidden="1" x14ac:dyDescent="0.35"/>
    <row r="87282" hidden="1" x14ac:dyDescent="0.35"/>
    <row r="87283" hidden="1" x14ac:dyDescent="0.35"/>
    <row r="87284" hidden="1" x14ac:dyDescent="0.35"/>
    <row r="87285" hidden="1" x14ac:dyDescent="0.35"/>
    <row r="87286" hidden="1" x14ac:dyDescent="0.35"/>
    <row r="87287" hidden="1" x14ac:dyDescent="0.35"/>
    <row r="87288" hidden="1" x14ac:dyDescent="0.35"/>
    <row r="87289" hidden="1" x14ac:dyDescent="0.35"/>
    <row r="87290" hidden="1" x14ac:dyDescent="0.35"/>
    <row r="87291" hidden="1" x14ac:dyDescent="0.35"/>
    <row r="87292" hidden="1" x14ac:dyDescent="0.35"/>
    <row r="87293" hidden="1" x14ac:dyDescent="0.35"/>
    <row r="87294" hidden="1" x14ac:dyDescent="0.35"/>
    <row r="87295" hidden="1" x14ac:dyDescent="0.35"/>
    <row r="87296" hidden="1" x14ac:dyDescent="0.35"/>
    <row r="87297" hidden="1" x14ac:dyDescent="0.35"/>
    <row r="87298" hidden="1" x14ac:dyDescent="0.35"/>
    <row r="87299" hidden="1" x14ac:dyDescent="0.35"/>
    <row r="87300" hidden="1" x14ac:dyDescent="0.35"/>
    <row r="87301" hidden="1" x14ac:dyDescent="0.35"/>
    <row r="87302" hidden="1" x14ac:dyDescent="0.35"/>
    <row r="87303" hidden="1" x14ac:dyDescent="0.35"/>
    <row r="87304" hidden="1" x14ac:dyDescent="0.35"/>
    <row r="87305" hidden="1" x14ac:dyDescent="0.35"/>
    <row r="87306" hidden="1" x14ac:dyDescent="0.35"/>
    <row r="87307" hidden="1" x14ac:dyDescent="0.35"/>
    <row r="87308" hidden="1" x14ac:dyDescent="0.35"/>
    <row r="87309" hidden="1" x14ac:dyDescent="0.35"/>
    <row r="87310" hidden="1" x14ac:dyDescent="0.35"/>
    <row r="87311" hidden="1" x14ac:dyDescent="0.35"/>
    <row r="87312" hidden="1" x14ac:dyDescent="0.35"/>
    <row r="87313" hidden="1" x14ac:dyDescent="0.35"/>
    <row r="87314" hidden="1" x14ac:dyDescent="0.35"/>
    <row r="87315" hidden="1" x14ac:dyDescent="0.35"/>
    <row r="87316" hidden="1" x14ac:dyDescent="0.35"/>
    <row r="87317" hidden="1" x14ac:dyDescent="0.35"/>
    <row r="87318" hidden="1" x14ac:dyDescent="0.35"/>
    <row r="87319" hidden="1" x14ac:dyDescent="0.35"/>
    <row r="87320" hidden="1" x14ac:dyDescent="0.35"/>
    <row r="87321" hidden="1" x14ac:dyDescent="0.35"/>
    <row r="87322" hidden="1" x14ac:dyDescent="0.35"/>
    <row r="87323" hidden="1" x14ac:dyDescent="0.35"/>
    <row r="87324" hidden="1" x14ac:dyDescent="0.35"/>
    <row r="87325" hidden="1" x14ac:dyDescent="0.35"/>
    <row r="87326" hidden="1" x14ac:dyDescent="0.35"/>
    <row r="87327" hidden="1" x14ac:dyDescent="0.35"/>
    <row r="87328" hidden="1" x14ac:dyDescent="0.35"/>
    <row r="87329" hidden="1" x14ac:dyDescent="0.35"/>
    <row r="87330" hidden="1" x14ac:dyDescent="0.35"/>
    <row r="87331" hidden="1" x14ac:dyDescent="0.35"/>
    <row r="87332" hidden="1" x14ac:dyDescent="0.35"/>
    <row r="87333" hidden="1" x14ac:dyDescent="0.35"/>
    <row r="87334" hidden="1" x14ac:dyDescent="0.35"/>
    <row r="87335" hidden="1" x14ac:dyDescent="0.35"/>
    <row r="87336" hidden="1" x14ac:dyDescent="0.35"/>
    <row r="87337" hidden="1" x14ac:dyDescent="0.35"/>
    <row r="87338" hidden="1" x14ac:dyDescent="0.35"/>
    <row r="87339" hidden="1" x14ac:dyDescent="0.35"/>
    <row r="87340" hidden="1" x14ac:dyDescent="0.35"/>
    <row r="87341" hidden="1" x14ac:dyDescent="0.35"/>
    <row r="87342" hidden="1" x14ac:dyDescent="0.35"/>
    <row r="87343" hidden="1" x14ac:dyDescent="0.35"/>
    <row r="87344" hidden="1" x14ac:dyDescent="0.35"/>
    <row r="87345" hidden="1" x14ac:dyDescent="0.35"/>
    <row r="87346" hidden="1" x14ac:dyDescent="0.35"/>
    <row r="87347" hidden="1" x14ac:dyDescent="0.35"/>
    <row r="87348" hidden="1" x14ac:dyDescent="0.35"/>
    <row r="87349" hidden="1" x14ac:dyDescent="0.35"/>
    <row r="87350" hidden="1" x14ac:dyDescent="0.35"/>
    <row r="87351" hidden="1" x14ac:dyDescent="0.35"/>
    <row r="87352" hidden="1" x14ac:dyDescent="0.35"/>
    <row r="87353" hidden="1" x14ac:dyDescent="0.35"/>
    <row r="87354" hidden="1" x14ac:dyDescent="0.35"/>
    <row r="87355" hidden="1" x14ac:dyDescent="0.35"/>
    <row r="87356" hidden="1" x14ac:dyDescent="0.35"/>
    <row r="87357" hidden="1" x14ac:dyDescent="0.35"/>
    <row r="87358" hidden="1" x14ac:dyDescent="0.35"/>
    <row r="87359" hidden="1" x14ac:dyDescent="0.35"/>
    <row r="87360" hidden="1" x14ac:dyDescent="0.35"/>
    <row r="87361" hidden="1" x14ac:dyDescent="0.35"/>
    <row r="87362" hidden="1" x14ac:dyDescent="0.35"/>
    <row r="87363" hidden="1" x14ac:dyDescent="0.35"/>
    <row r="87364" hidden="1" x14ac:dyDescent="0.35"/>
    <row r="87365" hidden="1" x14ac:dyDescent="0.35"/>
    <row r="87366" hidden="1" x14ac:dyDescent="0.35"/>
    <row r="87367" hidden="1" x14ac:dyDescent="0.35"/>
    <row r="87368" hidden="1" x14ac:dyDescent="0.35"/>
    <row r="87369" hidden="1" x14ac:dyDescent="0.35"/>
    <row r="87370" hidden="1" x14ac:dyDescent="0.35"/>
    <row r="87371" hidden="1" x14ac:dyDescent="0.35"/>
    <row r="87372" hidden="1" x14ac:dyDescent="0.35"/>
    <row r="87373" hidden="1" x14ac:dyDescent="0.35"/>
    <row r="87374" hidden="1" x14ac:dyDescent="0.35"/>
    <row r="87375" hidden="1" x14ac:dyDescent="0.35"/>
    <row r="87376" hidden="1" x14ac:dyDescent="0.35"/>
    <row r="87377" hidden="1" x14ac:dyDescent="0.35"/>
    <row r="87378" hidden="1" x14ac:dyDescent="0.35"/>
    <row r="87379" hidden="1" x14ac:dyDescent="0.35"/>
    <row r="87380" hidden="1" x14ac:dyDescent="0.35"/>
    <row r="87381" hidden="1" x14ac:dyDescent="0.35"/>
    <row r="87382" hidden="1" x14ac:dyDescent="0.35"/>
    <row r="87383" hidden="1" x14ac:dyDescent="0.35"/>
    <row r="87384" hidden="1" x14ac:dyDescent="0.35"/>
    <row r="87385" hidden="1" x14ac:dyDescent="0.35"/>
    <row r="87386" hidden="1" x14ac:dyDescent="0.35"/>
    <row r="87387" hidden="1" x14ac:dyDescent="0.35"/>
    <row r="87388" hidden="1" x14ac:dyDescent="0.35"/>
    <row r="87389" hidden="1" x14ac:dyDescent="0.35"/>
    <row r="87390" hidden="1" x14ac:dyDescent="0.35"/>
    <row r="87391" hidden="1" x14ac:dyDescent="0.35"/>
    <row r="87392" hidden="1" x14ac:dyDescent="0.35"/>
    <row r="87393" hidden="1" x14ac:dyDescent="0.35"/>
    <row r="87394" hidden="1" x14ac:dyDescent="0.35"/>
    <row r="87395" hidden="1" x14ac:dyDescent="0.35"/>
    <row r="87396" hidden="1" x14ac:dyDescent="0.35"/>
    <row r="87397" hidden="1" x14ac:dyDescent="0.35"/>
    <row r="87398" hidden="1" x14ac:dyDescent="0.35"/>
    <row r="87399" hidden="1" x14ac:dyDescent="0.35"/>
    <row r="87400" hidden="1" x14ac:dyDescent="0.35"/>
    <row r="87401" hidden="1" x14ac:dyDescent="0.35"/>
    <row r="87402" hidden="1" x14ac:dyDescent="0.35"/>
    <row r="87403" hidden="1" x14ac:dyDescent="0.35"/>
    <row r="87404" hidden="1" x14ac:dyDescent="0.35"/>
    <row r="87405" hidden="1" x14ac:dyDescent="0.35"/>
    <row r="87406" hidden="1" x14ac:dyDescent="0.35"/>
    <row r="87407" hidden="1" x14ac:dyDescent="0.35"/>
    <row r="87408" hidden="1" x14ac:dyDescent="0.35"/>
    <row r="87409" hidden="1" x14ac:dyDescent="0.35"/>
    <row r="87410" hidden="1" x14ac:dyDescent="0.35"/>
    <row r="87411" hidden="1" x14ac:dyDescent="0.35"/>
    <row r="87412" hidden="1" x14ac:dyDescent="0.35"/>
    <row r="87413" hidden="1" x14ac:dyDescent="0.35"/>
    <row r="87414" hidden="1" x14ac:dyDescent="0.35"/>
    <row r="87415" hidden="1" x14ac:dyDescent="0.35"/>
    <row r="87416" hidden="1" x14ac:dyDescent="0.35"/>
    <row r="87417" hidden="1" x14ac:dyDescent="0.35"/>
    <row r="87418" hidden="1" x14ac:dyDescent="0.35"/>
    <row r="87419" hidden="1" x14ac:dyDescent="0.35"/>
    <row r="87420" hidden="1" x14ac:dyDescent="0.35"/>
    <row r="87421" hidden="1" x14ac:dyDescent="0.35"/>
    <row r="87422" hidden="1" x14ac:dyDescent="0.35"/>
    <row r="87423" hidden="1" x14ac:dyDescent="0.35"/>
    <row r="87424" hidden="1" x14ac:dyDescent="0.35"/>
    <row r="87425" hidden="1" x14ac:dyDescent="0.35"/>
    <row r="87426" hidden="1" x14ac:dyDescent="0.35"/>
    <row r="87427" hidden="1" x14ac:dyDescent="0.35"/>
    <row r="87428" hidden="1" x14ac:dyDescent="0.35"/>
    <row r="87429" hidden="1" x14ac:dyDescent="0.35"/>
    <row r="87430" hidden="1" x14ac:dyDescent="0.35"/>
    <row r="87431" hidden="1" x14ac:dyDescent="0.35"/>
    <row r="87432" hidden="1" x14ac:dyDescent="0.35"/>
    <row r="87433" hidden="1" x14ac:dyDescent="0.35"/>
    <row r="87434" hidden="1" x14ac:dyDescent="0.35"/>
    <row r="87435" hidden="1" x14ac:dyDescent="0.35"/>
    <row r="87436" hidden="1" x14ac:dyDescent="0.35"/>
    <row r="87437" hidden="1" x14ac:dyDescent="0.35"/>
    <row r="87438" hidden="1" x14ac:dyDescent="0.35"/>
    <row r="87439" hidden="1" x14ac:dyDescent="0.35"/>
    <row r="87440" hidden="1" x14ac:dyDescent="0.35"/>
    <row r="87441" hidden="1" x14ac:dyDescent="0.35"/>
    <row r="87442" hidden="1" x14ac:dyDescent="0.35"/>
    <row r="87443" hidden="1" x14ac:dyDescent="0.35"/>
    <row r="87444" hidden="1" x14ac:dyDescent="0.35"/>
    <row r="87445" hidden="1" x14ac:dyDescent="0.35"/>
    <row r="87446" hidden="1" x14ac:dyDescent="0.35"/>
    <row r="87447" hidden="1" x14ac:dyDescent="0.35"/>
    <row r="87448" hidden="1" x14ac:dyDescent="0.35"/>
    <row r="87449" hidden="1" x14ac:dyDescent="0.35"/>
    <row r="87450" hidden="1" x14ac:dyDescent="0.35"/>
    <row r="87451" hidden="1" x14ac:dyDescent="0.35"/>
    <row r="87452" hidden="1" x14ac:dyDescent="0.35"/>
    <row r="87453" hidden="1" x14ac:dyDescent="0.35"/>
    <row r="87454" hidden="1" x14ac:dyDescent="0.35"/>
    <row r="87455" hidden="1" x14ac:dyDescent="0.35"/>
    <row r="87456" hidden="1" x14ac:dyDescent="0.35"/>
    <row r="87457" hidden="1" x14ac:dyDescent="0.35"/>
    <row r="87458" hidden="1" x14ac:dyDescent="0.35"/>
    <row r="87459" hidden="1" x14ac:dyDescent="0.35"/>
    <row r="87460" hidden="1" x14ac:dyDescent="0.35"/>
    <row r="87461" hidden="1" x14ac:dyDescent="0.35"/>
    <row r="87462" hidden="1" x14ac:dyDescent="0.35"/>
    <row r="87463" hidden="1" x14ac:dyDescent="0.35"/>
    <row r="87464" hidden="1" x14ac:dyDescent="0.35"/>
    <row r="87465" hidden="1" x14ac:dyDescent="0.35"/>
    <row r="87466" hidden="1" x14ac:dyDescent="0.35"/>
    <row r="87467" hidden="1" x14ac:dyDescent="0.35"/>
    <row r="87468" hidden="1" x14ac:dyDescent="0.35"/>
    <row r="87469" hidden="1" x14ac:dyDescent="0.35"/>
    <row r="87470" hidden="1" x14ac:dyDescent="0.35"/>
    <row r="87471" hidden="1" x14ac:dyDescent="0.35"/>
    <row r="87472" hidden="1" x14ac:dyDescent="0.35"/>
    <row r="87473" hidden="1" x14ac:dyDescent="0.35"/>
    <row r="87474" hidden="1" x14ac:dyDescent="0.35"/>
    <row r="87475" hidden="1" x14ac:dyDescent="0.35"/>
    <row r="87476" hidden="1" x14ac:dyDescent="0.35"/>
    <row r="87477" hidden="1" x14ac:dyDescent="0.35"/>
    <row r="87478" hidden="1" x14ac:dyDescent="0.35"/>
    <row r="87479" hidden="1" x14ac:dyDescent="0.35"/>
    <row r="87480" hidden="1" x14ac:dyDescent="0.35"/>
    <row r="87481" hidden="1" x14ac:dyDescent="0.35"/>
    <row r="87482" hidden="1" x14ac:dyDescent="0.35"/>
    <row r="87483" hidden="1" x14ac:dyDescent="0.35"/>
    <row r="87484" hidden="1" x14ac:dyDescent="0.35"/>
    <row r="87485" hidden="1" x14ac:dyDescent="0.35"/>
    <row r="87486" hidden="1" x14ac:dyDescent="0.35"/>
    <row r="87487" hidden="1" x14ac:dyDescent="0.35"/>
    <row r="87488" hidden="1" x14ac:dyDescent="0.35"/>
    <row r="87489" hidden="1" x14ac:dyDescent="0.35"/>
    <row r="87490" hidden="1" x14ac:dyDescent="0.35"/>
    <row r="87491" hidden="1" x14ac:dyDescent="0.35"/>
    <row r="87492" hidden="1" x14ac:dyDescent="0.35"/>
    <row r="87493" hidden="1" x14ac:dyDescent="0.35"/>
    <row r="87494" hidden="1" x14ac:dyDescent="0.35"/>
    <row r="87495" hidden="1" x14ac:dyDescent="0.35"/>
    <row r="87496" hidden="1" x14ac:dyDescent="0.35"/>
    <row r="87497" hidden="1" x14ac:dyDescent="0.35"/>
    <row r="87498" hidden="1" x14ac:dyDescent="0.35"/>
    <row r="87499" hidden="1" x14ac:dyDescent="0.35"/>
    <row r="87500" hidden="1" x14ac:dyDescent="0.35"/>
    <row r="87501" hidden="1" x14ac:dyDescent="0.35"/>
    <row r="87502" hidden="1" x14ac:dyDescent="0.35"/>
    <row r="87503" hidden="1" x14ac:dyDescent="0.35"/>
    <row r="87504" hidden="1" x14ac:dyDescent="0.35"/>
    <row r="87505" hidden="1" x14ac:dyDescent="0.35"/>
    <row r="87506" hidden="1" x14ac:dyDescent="0.35"/>
    <row r="87507" hidden="1" x14ac:dyDescent="0.35"/>
    <row r="87508" hidden="1" x14ac:dyDescent="0.35"/>
    <row r="87509" hidden="1" x14ac:dyDescent="0.35"/>
    <row r="87510" hidden="1" x14ac:dyDescent="0.35"/>
    <row r="87511" hidden="1" x14ac:dyDescent="0.35"/>
    <row r="87512" hidden="1" x14ac:dyDescent="0.35"/>
    <row r="87513" hidden="1" x14ac:dyDescent="0.35"/>
    <row r="87514" hidden="1" x14ac:dyDescent="0.35"/>
    <row r="87515" hidden="1" x14ac:dyDescent="0.35"/>
    <row r="87516" hidden="1" x14ac:dyDescent="0.35"/>
    <row r="87517" hidden="1" x14ac:dyDescent="0.35"/>
    <row r="87518" hidden="1" x14ac:dyDescent="0.35"/>
    <row r="87519" hidden="1" x14ac:dyDescent="0.35"/>
    <row r="87520" hidden="1" x14ac:dyDescent="0.35"/>
    <row r="87521" hidden="1" x14ac:dyDescent="0.35"/>
    <row r="87522" hidden="1" x14ac:dyDescent="0.35"/>
    <row r="87523" hidden="1" x14ac:dyDescent="0.35"/>
    <row r="87524" hidden="1" x14ac:dyDescent="0.35"/>
    <row r="87525" hidden="1" x14ac:dyDescent="0.35"/>
    <row r="87526" hidden="1" x14ac:dyDescent="0.35"/>
    <row r="87527" hidden="1" x14ac:dyDescent="0.35"/>
    <row r="87528" hidden="1" x14ac:dyDescent="0.35"/>
    <row r="87529" hidden="1" x14ac:dyDescent="0.35"/>
    <row r="87530" hidden="1" x14ac:dyDescent="0.35"/>
    <row r="87531" hidden="1" x14ac:dyDescent="0.35"/>
    <row r="87532" hidden="1" x14ac:dyDescent="0.35"/>
    <row r="87533" hidden="1" x14ac:dyDescent="0.35"/>
    <row r="87534" hidden="1" x14ac:dyDescent="0.35"/>
    <row r="87535" hidden="1" x14ac:dyDescent="0.35"/>
    <row r="87536" hidden="1" x14ac:dyDescent="0.35"/>
    <row r="87537" hidden="1" x14ac:dyDescent="0.35"/>
    <row r="87538" hidden="1" x14ac:dyDescent="0.35"/>
    <row r="87539" hidden="1" x14ac:dyDescent="0.35"/>
    <row r="87540" hidden="1" x14ac:dyDescent="0.35"/>
    <row r="87541" hidden="1" x14ac:dyDescent="0.35"/>
    <row r="87542" hidden="1" x14ac:dyDescent="0.35"/>
    <row r="87543" hidden="1" x14ac:dyDescent="0.35"/>
    <row r="87544" hidden="1" x14ac:dyDescent="0.35"/>
    <row r="87545" hidden="1" x14ac:dyDescent="0.35"/>
    <row r="87546" hidden="1" x14ac:dyDescent="0.35"/>
    <row r="87547" hidden="1" x14ac:dyDescent="0.35"/>
    <row r="87548" hidden="1" x14ac:dyDescent="0.35"/>
    <row r="87549" hidden="1" x14ac:dyDescent="0.35"/>
    <row r="87550" hidden="1" x14ac:dyDescent="0.35"/>
    <row r="87551" hidden="1" x14ac:dyDescent="0.35"/>
    <row r="87552" hidden="1" x14ac:dyDescent="0.35"/>
    <row r="87553" hidden="1" x14ac:dyDescent="0.35"/>
    <row r="87554" hidden="1" x14ac:dyDescent="0.35"/>
    <row r="87555" hidden="1" x14ac:dyDescent="0.35"/>
    <row r="87556" hidden="1" x14ac:dyDescent="0.35"/>
    <row r="87557" hidden="1" x14ac:dyDescent="0.35"/>
    <row r="87558" hidden="1" x14ac:dyDescent="0.35"/>
    <row r="87559" hidden="1" x14ac:dyDescent="0.35"/>
    <row r="87560" hidden="1" x14ac:dyDescent="0.35"/>
    <row r="87561" hidden="1" x14ac:dyDescent="0.35"/>
    <row r="87562" hidden="1" x14ac:dyDescent="0.35"/>
    <row r="87563" hidden="1" x14ac:dyDescent="0.35"/>
    <row r="87564" hidden="1" x14ac:dyDescent="0.35"/>
    <row r="87565" hidden="1" x14ac:dyDescent="0.35"/>
    <row r="87566" hidden="1" x14ac:dyDescent="0.35"/>
    <row r="87567" hidden="1" x14ac:dyDescent="0.35"/>
    <row r="87568" hidden="1" x14ac:dyDescent="0.35"/>
    <row r="87569" hidden="1" x14ac:dyDescent="0.35"/>
    <row r="87570" hidden="1" x14ac:dyDescent="0.35"/>
    <row r="87571" hidden="1" x14ac:dyDescent="0.35"/>
    <row r="87572" hidden="1" x14ac:dyDescent="0.35"/>
    <row r="87573" hidden="1" x14ac:dyDescent="0.35"/>
    <row r="87574" hidden="1" x14ac:dyDescent="0.35"/>
    <row r="87575" hidden="1" x14ac:dyDescent="0.35"/>
    <row r="87576" hidden="1" x14ac:dyDescent="0.35"/>
    <row r="87577" hidden="1" x14ac:dyDescent="0.35"/>
    <row r="87578" hidden="1" x14ac:dyDescent="0.35"/>
    <row r="87579" hidden="1" x14ac:dyDescent="0.35"/>
    <row r="87580" hidden="1" x14ac:dyDescent="0.35"/>
    <row r="87581" hidden="1" x14ac:dyDescent="0.35"/>
    <row r="87582" hidden="1" x14ac:dyDescent="0.35"/>
    <row r="87583" hidden="1" x14ac:dyDescent="0.35"/>
    <row r="87584" hidden="1" x14ac:dyDescent="0.35"/>
    <row r="87585" hidden="1" x14ac:dyDescent="0.35"/>
    <row r="87586" hidden="1" x14ac:dyDescent="0.35"/>
    <row r="87587" hidden="1" x14ac:dyDescent="0.35"/>
    <row r="87588" hidden="1" x14ac:dyDescent="0.35"/>
    <row r="87589" hidden="1" x14ac:dyDescent="0.35"/>
    <row r="87590" hidden="1" x14ac:dyDescent="0.35"/>
    <row r="87591" hidden="1" x14ac:dyDescent="0.35"/>
    <row r="87592" hidden="1" x14ac:dyDescent="0.35"/>
    <row r="87593" hidden="1" x14ac:dyDescent="0.35"/>
    <row r="87594" hidden="1" x14ac:dyDescent="0.35"/>
    <row r="87595" hidden="1" x14ac:dyDescent="0.35"/>
    <row r="87596" hidden="1" x14ac:dyDescent="0.35"/>
    <row r="87597" hidden="1" x14ac:dyDescent="0.35"/>
    <row r="87598" hidden="1" x14ac:dyDescent="0.35"/>
    <row r="87599" hidden="1" x14ac:dyDescent="0.35"/>
    <row r="87600" hidden="1" x14ac:dyDescent="0.35"/>
    <row r="87601" hidden="1" x14ac:dyDescent="0.35"/>
    <row r="87602" hidden="1" x14ac:dyDescent="0.35"/>
    <row r="87603" hidden="1" x14ac:dyDescent="0.35"/>
    <row r="87604" hidden="1" x14ac:dyDescent="0.35"/>
    <row r="87605" hidden="1" x14ac:dyDescent="0.35"/>
    <row r="87606" hidden="1" x14ac:dyDescent="0.35"/>
    <row r="87607" hidden="1" x14ac:dyDescent="0.35"/>
    <row r="87608" hidden="1" x14ac:dyDescent="0.35"/>
    <row r="87609" hidden="1" x14ac:dyDescent="0.35"/>
    <row r="87610" hidden="1" x14ac:dyDescent="0.35"/>
    <row r="87611" hidden="1" x14ac:dyDescent="0.35"/>
    <row r="87612" hidden="1" x14ac:dyDescent="0.35"/>
    <row r="87613" hidden="1" x14ac:dyDescent="0.35"/>
    <row r="87614" hidden="1" x14ac:dyDescent="0.35"/>
    <row r="87615" hidden="1" x14ac:dyDescent="0.35"/>
    <row r="87616" hidden="1" x14ac:dyDescent="0.35"/>
    <row r="87617" hidden="1" x14ac:dyDescent="0.35"/>
    <row r="87618" hidden="1" x14ac:dyDescent="0.35"/>
    <row r="87619" hidden="1" x14ac:dyDescent="0.35"/>
    <row r="87620" hidden="1" x14ac:dyDescent="0.35"/>
    <row r="87621" hidden="1" x14ac:dyDescent="0.35"/>
    <row r="87622" hidden="1" x14ac:dyDescent="0.35"/>
    <row r="87623" hidden="1" x14ac:dyDescent="0.35"/>
    <row r="87624" hidden="1" x14ac:dyDescent="0.35"/>
    <row r="87625" hidden="1" x14ac:dyDescent="0.35"/>
    <row r="87626" hidden="1" x14ac:dyDescent="0.35"/>
    <row r="87627" hidden="1" x14ac:dyDescent="0.35"/>
    <row r="87628" hidden="1" x14ac:dyDescent="0.35"/>
    <row r="87629" hidden="1" x14ac:dyDescent="0.35"/>
    <row r="87630" hidden="1" x14ac:dyDescent="0.35"/>
    <row r="87631" hidden="1" x14ac:dyDescent="0.35"/>
    <row r="87632" hidden="1" x14ac:dyDescent="0.35"/>
    <row r="87633" hidden="1" x14ac:dyDescent="0.35"/>
    <row r="87634" hidden="1" x14ac:dyDescent="0.35"/>
    <row r="87635" hidden="1" x14ac:dyDescent="0.35"/>
    <row r="87636" hidden="1" x14ac:dyDescent="0.35"/>
    <row r="87637" hidden="1" x14ac:dyDescent="0.35"/>
    <row r="87638" hidden="1" x14ac:dyDescent="0.35"/>
    <row r="87639" hidden="1" x14ac:dyDescent="0.35"/>
    <row r="87640" hidden="1" x14ac:dyDescent="0.35"/>
    <row r="87641" hidden="1" x14ac:dyDescent="0.35"/>
    <row r="87642" hidden="1" x14ac:dyDescent="0.35"/>
    <row r="87643" hidden="1" x14ac:dyDescent="0.35"/>
    <row r="87644" hidden="1" x14ac:dyDescent="0.35"/>
    <row r="87645" hidden="1" x14ac:dyDescent="0.35"/>
    <row r="87646" hidden="1" x14ac:dyDescent="0.35"/>
    <row r="87647" hidden="1" x14ac:dyDescent="0.35"/>
    <row r="87648" hidden="1" x14ac:dyDescent="0.35"/>
    <row r="87649" hidden="1" x14ac:dyDescent="0.35"/>
    <row r="87650" hidden="1" x14ac:dyDescent="0.35"/>
    <row r="87651" hidden="1" x14ac:dyDescent="0.35"/>
    <row r="87652" hidden="1" x14ac:dyDescent="0.35"/>
    <row r="87653" hidden="1" x14ac:dyDescent="0.35"/>
    <row r="87654" hidden="1" x14ac:dyDescent="0.35"/>
    <row r="87655" hidden="1" x14ac:dyDescent="0.35"/>
    <row r="87656" hidden="1" x14ac:dyDescent="0.35"/>
    <row r="87657" hidden="1" x14ac:dyDescent="0.35"/>
    <row r="87658" hidden="1" x14ac:dyDescent="0.35"/>
    <row r="87659" hidden="1" x14ac:dyDescent="0.35"/>
    <row r="87660" hidden="1" x14ac:dyDescent="0.35"/>
    <row r="87661" hidden="1" x14ac:dyDescent="0.35"/>
    <row r="87662" hidden="1" x14ac:dyDescent="0.35"/>
    <row r="87663" hidden="1" x14ac:dyDescent="0.35"/>
    <row r="87664" hidden="1" x14ac:dyDescent="0.35"/>
    <row r="87665" hidden="1" x14ac:dyDescent="0.35"/>
    <row r="87666" hidden="1" x14ac:dyDescent="0.35"/>
    <row r="87667" hidden="1" x14ac:dyDescent="0.35"/>
    <row r="87668" hidden="1" x14ac:dyDescent="0.35"/>
    <row r="87669" hidden="1" x14ac:dyDescent="0.35"/>
    <row r="87670" hidden="1" x14ac:dyDescent="0.35"/>
    <row r="87671" hidden="1" x14ac:dyDescent="0.35"/>
    <row r="87672" hidden="1" x14ac:dyDescent="0.35"/>
    <row r="87673" hidden="1" x14ac:dyDescent="0.35"/>
    <row r="87674" hidden="1" x14ac:dyDescent="0.35"/>
    <row r="87675" hidden="1" x14ac:dyDescent="0.35"/>
    <row r="87676" hidden="1" x14ac:dyDescent="0.35"/>
    <row r="87677" hidden="1" x14ac:dyDescent="0.35"/>
    <row r="87678" hidden="1" x14ac:dyDescent="0.35"/>
    <row r="87679" hidden="1" x14ac:dyDescent="0.35"/>
    <row r="87680" hidden="1" x14ac:dyDescent="0.35"/>
    <row r="87681" hidden="1" x14ac:dyDescent="0.35"/>
    <row r="87682" hidden="1" x14ac:dyDescent="0.35"/>
    <row r="87683" hidden="1" x14ac:dyDescent="0.35"/>
    <row r="87684" hidden="1" x14ac:dyDescent="0.35"/>
    <row r="87685" hidden="1" x14ac:dyDescent="0.35"/>
    <row r="87686" hidden="1" x14ac:dyDescent="0.35"/>
    <row r="87687" hidden="1" x14ac:dyDescent="0.35"/>
    <row r="87688" hidden="1" x14ac:dyDescent="0.35"/>
    <row r="87689" hidden="1" x14ac:dyDescent="0.35"/>
    <row r="87690" hidden="1" x14ac:dyDescent="0.35"/>
    <row r="87691" hidden="1" x14ac:dyDescent="0.35"/>
    <row r="87692" hidden="1" x14ac:dyDescent="0.35"/>
    <row r="87693" hidden="1" x14ac:dyDescent="0.35"/>
    <row r="87694" hidden="1" x14ac:dyDescent="0.35"/>
    <row r="87695" hidden="1" x14ac:dyDescent="0.35"/>
    <row r="87696" hidden="1" x14ac:dyDescent="0.35"/>
    <row r="87697" hidden="1" x14ac:dyDescent="0.35"/>
    <row r="87698" hidden="1" x14ac:dyDescent="0.35"/>
    <row r="87699" hidden="1" x14ac:dyDescent="0.35"/>
    <row r="87700" hidden="1" x14ac:dyDescent="0.35"/>
    <row r="87701" hidden="1" x14ac:dyDescent="0.35"/>
    <row r="87702" hidden="1" x14ac:dyDescent="0.35"/>
    <row r="87703" hidden="1" x14ac:dyDescent="0.35"/>
    <row r="87704" hidden="1" x14ac:dyDescent="0.35"/>
    <row r="87705" hidden="1" x14ac:dyDescent="0.35"/>
    <row r="87706" hidden="1" x14ac:dyDescent="0.35"/>
    <row r="87707" hidden="1" x14ac:dyDescent="0.35"/>
    <row r="87708" hidden="1" x14ac:dyDescent="0.35"/>
    <row r="87709" hidden="1" x14ac:dyDescent="0.35"/>
    <row r="87710" hidden="1" x14ac:dyDescent="0.35"/>
    <row r="87711" hidden="1" x14ac:dyDescent="0.35"/>
    <row r="87712" hidden="1" x14ac:dyDescent="0.35"/>
    <row r="87713" hidden="1" x14ac:dyDescent="0.35"/>
    <row r="87714" hidden="1" x14ac:dyDescent="0.35"/>
    <row r="87715" hidden="1" x14ac:dyDescent="0.35"/>
    <row r="87716" hidden="1" x14ac:dyDescent="0.35"/>
    <row r="87717" hidden="1" x14ac:dyDescent="0.35"/>
    <row r="87718" hidden="1" x14ac:dyDescent="0.35"/>
    <row r="87719" hidden="1" x14ac:dyDescent="0.35"/>
    <row r="87720" hidden="1" x14ac:dyDescent="0.35"/>
    <row r="87721" hidden="1" x14ac:dyDescent="0.35"/>
    <row r="87722" hidden="1" x14ac:dyDescent="0.35"/>
    <row r="87723" hidden="1" x14ac:dyDescent="0.35"/>
    <row r="87724" hidden="1" x14ac:dyDescent="0.35"/>
    <row r="87725" hidden="1" x14ac:dyDescent="0.35"/>
    <row r="87726" hidden="1" x14ac:dyDescent="0.35"/>
    <row r="87727" hidden="1" x14ac:dyDescent="0.35"/>
    <row r="87728" hidden="1" x14ac:dyDescent="0.35"/>
    <row r="87729" hidden="1" x14ac:dyDescent="0.35"/>
    <row r="87730" hidden="1" x14ac:dyDescent="0.35"/>
    <row r="87731" hidden="1" x14ac:dyDescent="0.35"/>
    <row r="87732" hidden="1" x14ac:dyDescent="0.35"/>
    <row r="87733" hidden="1" x14ac:dyDescent="0.35"/>
    <row r="87734" hidden="1" x14ac:dyDescent="0.35"/>
    <row r="87735" hidden="1" x14ac:dyDescent="0.35"/>
    <row r="87736" hidden="1" x14ac:dyDescent="0.35"/>
    <row r="87737" hidden="1" x14ac:dyDescent="0.35"/>
    <row r="87738" hidden="1" x14ac:dyDescent="0.35"/>
    <row r="87739" hidden="1" x14ac:dyDescent="0.35"/>
    <row r="87740" hidden="1" x14ac:dyDescent="0.35"/>
    <row r="87741" hidden="1" x14ac:dyDescent="0.35"/>
    <row r="87742" hidden="1" x14ac:dyDescent="0.35"/>
    <row r="87743" hidden="1" x14ac:dyDescent="0.35"/>
    <row r="87744" hidden="1" x14ac:dyDescent="0.35"/>
    <row r="87745" hidden="1" x14ac:dyDescent="0.35"/>
    <row r="87746" hidden="1" x14ac:dyDescent="0.35"/>
    <row r="87747" hidden="1" x14ac:dyDescent="0.35"/>
    <row r="87748" hidden="1" x14ac:dyDescent="0.35"/>
    <row r="87749" hidden="1" x14ac:dyDescent="0.35"/>
    <row r="87750" hidden="1" x14ac:dyDescent="0.35"/>
    <row r="87751" hidden="1" x14ac:dyDescent="0.35"/>
    <row r="87752" hidden="1" x14ac:dyDescent="0.35"/>
    <row r="87753" hidden="1" x14ac:dyDescent="0.35"/>
    <row r="87754" hidden="1" x14ac:dyDescent="0.35"/>
    <row r="87755" hidden="1" x14ac:dyDescent="0.35"/>
    <row r="87756" hidden="1" x14ac:dyDescent="0.35"/>
    <row r="87757" hidden="1" x14ac:dyDescent="0.35"/>
    <row r="87758" hidden="1" x14ac:dyDescent="0.35"/>
    <row r="87759" hidden="1" x14ac:dyDescent="0.35"/>
    <row r="87760" hidden="1" x14ac:dyDescent="0.35"/>
    <row r="87761" hidden="1" x14ac:dyDescent="0.35"/>
    <row r="87762" hidden="1" x14ac:dyDescent="0.35"/>
    <row r="87763" hidden="1" x14ac:dyDescent="0.35"/>
    <row r="87764" hidden="1" x14ac:dyDescent="0.35"/>
    <row r="87765" hidden="1" x14ac:dyDescent="0.35"/>
    <row r="87766" hidden="1" x14ac:dyDescent="0.35"/>
    <row r="87767" hidden="1" x14ac:dyDescent="0.35"/>
    <row r="87768" hidden="1" x14ac:dyDescent="0.35"/>
    <row r="87769" hidden="1" x14ac:dyDescent="0.35"/>
    <row r="87770" hidden="1" x14ac:dyDescent="0.35"/>
    <row r="87771" hidden="1" x14ac:dyDescent="0.35"/>
    <row r="87772" hidden="1" x14ac:dyDescent="0.35"/>
    <row r="87773" hidden="1" x14ac:dyDescent="0.35"/>
    <row r="87774" hidden="1" x14ac:dyDescent="0.35"/>
    <row r="87775" hidden="1" x14ac:dyDescent="0.35"/>
    <row r="87776" hidden="1" x14ac:dyDescent="0.35"/>
    <row r="87777" hidden="1" x14ac:dyDescent="0.35"/>
    <row r="87778" hidden="1" x14ac:dyDescent="0.35"/>
    <row r="87779" hidden="1" x14ac:dyDescent="0.35"/>
    <row r="87780" hidden="1" x14ac:dyDescent="0.35"/>
    <row r="87781" hidden="1" x14ac:dyDescent="0.35"/>
    <row r="87782" hidden="1" x14ac:dyDescent="0.35"/>
    <row r="87783" hidden="1" x14ac:dyDescent="0.35"/>
    <row r="87784" hidden="1" x14ac:dyDescent="0.35"/>
    <row r="87785" hidden="1" x14ac:dyDescent="0.35"/>
    <row r="87786" hidden="1" x14ac:dyDescent="0.35"/>
    <row r="87787" hidden="1" x14ac:dyDescent="0.35"/>
    <row r="87788" hidden="1" x14ac:dyDescent="0.35"/>
    <row r="87789" hidden="1" x14ac:dyDescent="0.35"/>
    <row r="87790" hidden="1" x14ac:dyDescent="0.35"/>
    <row r="87791" hidden="1" x14ac:dyDescent="0.35"/>
    <row r="87792" hidden="1" x14ac:dyDescent="0.35"/>
    <row r="87793" hidden="1" x14ac:dyDescent="0.35"/>
    <row r="87794" hidden="1" x14ac:dyDescent="0.35"/>
    <row r="87795" hidden="1" x14ac:dyDescent="0.35"/>
    <row r="87796" hidden="1" x14ac:dyDescent="0.35"/>
    <row r="87797" hidden="1" x14ac:dyDescent="0.35"/>
    <row r="87798" hidden="1" x14ac:dyDescent="0.35"/>
    <row r="87799" hidden="1" x14ac:dyDescent="0.35"/>
    <row r="87800" hidden="1" x14ac:dyDescent="0.35"/>
    <row r="87801" hidden="1" x14ac:dyDescent="0.35"/>
    <row r="87802" hidden="1" x14ac:dyDescent="0.35"/>
    <row r="87803" hidden="1" x14ac:dyDescent="0.35"/>
    <row r="87804" hidden="1" x14ac:dyDescent="0.35"/>
    <row r="87805" hidden="1" x14ac:dyDescent="0.35"/>
    <row r="87806" hidden="1" x14ac:dyDescent="0.35"/>
    <row r="87807" hidden="1" x14ac:dyDescent="0.35"/>
    <row r="87808" hidden="1" x14ac:dyDescent="0.35"/>
    <row r="87809" hidden="1" x14ac:dyDescent="0.35"/>
    <row r="87810" hidden="1" x14ac:dyDescent="0.35"/>
    <row r="87811" hidden="1" x14ac:dyDescent="0.35"/>
    <row r="87812" hidden="1" x14ac:dyDescent="0.35"/>
    <row r="87813" hidden="1" x14ac:dyDescent="0.35"/>
    <row r="87814" hidden="1" x14ac:dyDescent="0.35"/>
    <row r="87815" hidden="1" x14ac:dyDescent="0.35"/>
    <row r="87816" hidden="1" x14ac:dyDescent="0.35"/>
    <row r="87817" hidden="1" x14ac:dyDescent="0.35"/>
    <row r="87818" hidden="1" x14ac:dyDescent="0.35"/>
    <row r="87819" hidden="1" x14ac:dyDescent="0.35"/>
    <row r="87820" hidden="1" x14ac:dyDescent="0.35"/>
    <row r="87821" hidden="1" x14ac:dyDescent="0.35"/>
    <row r="87822" hidden="1" x14ac:dyDescent="0.35"/>
    <row r="87823" hidden="1" x14ac:dyDescent="0.35"/>
    <row r="87824" hidden="1" x14ac:dyDescent="0.35"/>
    <row r="87825" hidden="1" x14ac:dyDescent="0.35"/>
    <row r="87826" hidden="1" x14ac:dyDescent="0.35"/>
    <row r="87827" hidden="1" x14ac:dyDescent="0.35"/>
    <row r="87828" hidden="1" x14ac:dyDescent="0.35"/>
    <row r="87829" hidden="1" x14ac:dyDescent="0.35"/>
    <row r="87830" hidden="1" x14ac:dyDescent="0.35"/>
    <row r="87831" hidden="1" x14ac:dyDescent="0.35"/>
    <row r="87832" hidden="1" x14ac:dyDescent="0.35"/>
    <row r="87833" hidden="1" x14ac:dyDescent="0.35"/>
    <row r="87834" hidden="1" x14ac:dyDescent="0.35"/>
    <row r="87835" hidden="1" x14ac:dyDescent="0.35"/>
    <row r="87836" hidden="1" x14ac:dyDescent="0.35"/>
    <row r="87837" hidden="1" x14ac:dyDescent="0.35"/>
    <row r="87838" hidden="1" x14ac:dyDescent="0.35"/>
    <row r="87839" hidden="1" x14ac:dyDescent="0.35"/>
    <row r="87840" hidden="1" x14ac:dyDescent="0.35"/>
    <row r="87841" hidden="1" x14ac:dyDescent="0.35"/>
    <row r="87842" hidden="1" x14ac:dyDescent="0.35"/>
    <row r="87843" hidden="1" x14ac:dyDescent="0.35"/>
    <row r="87844" hidden="1" x14ac:dyDescent="0.35"/>
    <row r="87845" hidden="1" x14ac:dyDescent="0.35"/>
    <row r="87846" hidden="1" x14ac:dyDescent="0.35"/>
    <row r="87847" hidden="1" x14ac:dyDescent="0.35"/>
    <row r="87848" hidden="1" x14ac:dyDescent="0.35"/>
    <row r="87849" hidden="1" x14ac:dyDescent="0.35"/>
    <row r="87850" hidden="1" x14ac:dyDescent="0.35"/>
    <row r="87851" hidden="1" x14ac:dyDescent="0.35"/>
    <row r="87852" hidden="1" x14ac:dyDescent="0.35"/>
    <row r="87853" hidden="1" x14ac:dyDescent="0.35"/>
    <row r="87854" hidden="1" x14ac:dyDescent="0.35"/>
    <row r="87855" hidden="1" x14ac:dyDescent="0.35"/>
    <row r="87856" hidden="1" x14ac:dyDescent="0.35"/>
    <row r="87857" hidden="1" x14ac:dyDescent="0.35"/>
    <row r="87858" hidden="1" x14ac:dyDescent="0.35"/>
    <row r="87859" hidden="1" x14ac:dyDescent="0.35"/>
    <row r="87860" hidden="1" x14ac:dyDescent="0.35"/>
    <row r="87861" hidden="1" x14ac:dyDescent="0.35"/>
    <row r="87862" hidden="1" x14ac:dyDescent="0.35"/>
    <row r="87863" hidden="1" x14ac:dyDescent="0.35"/>
    <row r="87864" hidden="1" x14ac:dyDescent="0.35"/>
    <row r="87865" hidden="1" x14ac:dyDescent="0.35"/>
    <row r="87866" hidden="1" x14ac:dyDescent="0.35"/>
    <row r="87867" hidden="1" x14ac:dyDescent="0.35"/>
    <row r="87868" hidden="1" x14ac:dyDescent="0.35"/>
    <row r="87869" hidden="1" x14ac:dyDescent="0.35"/>
    <row r="87870" hidden="1" x14ac:dyDescent="0.35"/>
    <row r="87871" hidden="1" x14ac:dyDescent="0.35"/>
    <row r="87872" hidden="1" x14ac:dyDescent="0.35"/>
    <row r="87873" hidden="1" x14ac:dyDescent="0.35"/>
    <row r="87874" hidden="1" x14ac:dyDescent="0.35"/>
    <row r="87875" hidden="1" x14ac:dyDescent="0.35"/>
    <row r="87876" hidden="1" x14ac:dyDescent="0.35"/>
    <row r="87877" hidden="1" x14ac:dyDescent="0.35"/>
    <row r="87878" hidden="1" x14ac:dyDescent="0.35"/>
    <row r="87879" hidden="1" x14ac:dyDescent="0.35"/>
    <row r="87880" hidden="1" x14ac:dyDescent="0.35"/>
    <row r="87881" hidden="1" x14ac:dyDescent="0.35"/>
    <row r="87882" hidden="1" x14ac:dyDescent="0.35"/>
    <row r="87883" hidden="1" x14ac:dyDescent="0.35"/>
    <row r="87884" hidden="1" x14ac:dyDescent="0.35"/>
    <row r="87885" hidden="1" x14ac:dyDescent="0.35"/>
    <row r="87886" hidden="1" x14ac:dyDescent="0.35"/>
    <row r="87887" hidden="1" x14ac:dyDescent="0.35"/>
    <row r="87888" hidden="1" x14ac:dyDescent="0.35"/>
    <row r="87889" hidden="1" x14ac:dyDescent="0.35"/>
    <row r="87890" hidden="1" x14ac:dyDescent="0.35"/>
    <row r="87891" hidden="1" x14ac:dyDescent="0.35"/>
    <row r="87892" hidden="1" x14ac:dyDescent="0.35"/>
    <row r="87893" hidden="1" x14ac:dyDescent="0.35"/>
    <row r="87894" hidden="1" x14ac:dyDescent="0.35"/>
    <row r="87895" hidden="1" x14ac:dyDescent="0.35"/>
    <row r="87896" hidden="1" x14ac:dyDescent="0.35"/>
    <row r="87897" hidden="1" x14ac:dyDescent="0.35"/>
    <row r="87898" hidden="1" x14ac:dyDescent="0.35"/>
    <row r="87899" hidden="1" x14ac:dyDescent="0.35"/>
    <row r="87900" hidden="1" x14ac:dyDescent="0.35"/>
    <row r="87901" hidden="1" x14ac:dyDescent="0.35"/>
    <row r="87902" hidden="1" x14ac:dyDescent="0.35"/>
    <row r="87903" hidden="1" x14ac:dyDescent="0.35"/>
    <row r="87904" hidden="1" x14ac:dyDescent="0.35"/>
    <row r="87905" hidden="1" x14ac:dyDescent="0.35"/>
    <row r="87906" hidden="1" x14ac:dyDescent="0.35"/>
    <row r="87907" hidden="1" x14ac:dyDescent="0.35"/>
    <row r="87908" hidden="1" x14ac:dyDescent="0.35"/>
    <row r="87909" hidden="1" x14ac:dyDescent="0.35"/>
    <row r="87910" hidden="1" x14ac:dyDescent="0.35"/>
    <row r="87911" hidden="1" x14ac:dyDescent="0.35"/>
    <row r="87912" hidden="1" x14ac:dyDescent="0.35"/>
    <row r="87913" hidden="1" x14ac:dyDescent="0.35"/>
    <row r="87914" hidden="1" x14ac:dyDescent="0.35"/>
    <row r="87915" hidden="1" x14ac:dyDescent="0.35"/>
    <row r="87916" hidden="1" x14ac:dyDescent="0.35"/>
    <row r="87917" hidden="1" x14ac:dyDescent="0.35"/>
    <row r="87918" hidden="1" x14ac:dyDescent="0.35"/>
    <row r="87919" hidden="1" x14ac:dyDescent="0.35"/>
    <row r="87920" hidden="1" x14ac:dyDescent="0.35"/>
    <row r="87921" hidden="1" x14ac:dyDescent="0.35"/>
    <row r="87922" hidden="1" x14ac:dyDescent="0.35"/>
    <row r="87923" hidden="1" x14ac:dyDescent="0.35"/>
    <row r="87924" hidden="1" x14ac:dyDescent="0.35"/>
    <row r="87925" hidden="1" x14ac:dyDescent="0.35"/>
    <row r="87926" hidden="1" x14ac:dyDescent="0.35"/>
    <row r="87927" hidden="1" x14ac:dyDescent="0.35"/>
    <row r="87928" hidden="1" x14ac:dyDescent="0.35"/>
    <row r="87929" hidden="1" x14ac:dyDescent="0.35"/>
    <row r="87930" hidden="1" x14ac:dyDescent="0.35"/>
    <row r="87931" hidden="1" x14ac:dyDescent="0.35"/>
    <row r="87932" hidden="1" x14ac:dyDescent="0.35"/>
    <row r="87933" hidden="1" x14ac:dyDescent="0.35"/>
    <row r="87934" hidden="1" x14ac:dyDescent="0.35"/>
    <row r="87935" hidden="1" x14ac:dyDescent="0.35"/>
    <row r="87936" hidden="1" x14ac:dyDescent="0.35"/>
    <row r="87937" hidden="1" x14ac:dyDescent="0.35"/>
    <row r="87938" hidden="1" x14ac:dyDescent="0.35"/>
    <row r="87939" hidden="1" x14ac:dyDescent="0.35"/>
    <row r="87940" hidden="1" x14ac:dyDescent="0.35"/>
    <row r="87941" hidden="1" x14ac:dyDescent="0.35"/>
    <row r="87942" hidden="1" x14ac:dyDescent="0.35"/>
    <row r="87943" hidden="1" x14ac:dyDescent="0.35"/>
    <row r="87944" hidden="1" x14ac:dyDescent="0.35"/>
    <row r="87945" hidden="1" x14ac:dyDescent="0.35"/>
    <row r="87946" hidden="1" x14ac:dyDescent="0.35"/>
    <row r="87947" hidden="1" x14ac:dyDescent="0.35"/>
    <row r="87948" hidden="1" x14ac:dyDescent="0.35"/>
    <row r="87949" hidden="1" x14ac:dyDescent="0.35"/>
    <row r="87950" hidden="1" x14ac:dyDescent="0.35"/>
    <row r="87951" hidden="1" x14ac:dyDescent="0.35"/>
    <row r="87952" hidden="1" x14ac:dyDescent="0.35"/>
    <row r="87953" hidden="1" x14ac:dyDescent="0.35"/>
    <row r="87954" hidden="1" x14ac:dyDescent="0.35"/>
    <row r="87955" hidden="1" x14ac:dyDescent="0.35"/>
    <row r="87956" hidden="1" x14ac:dyDescent="0.35"/>
    <row r="87957" hidden="1" x14ac:dyDescent="0.35"/>
    <row r="87958" hidden="1" x14ac:dyDescent="0.35"/>
    <row r="87959" hidden="1" x14ac:dyDescent="0.35"/>
    <row r="87960" hidden="1" x14ac:dyDescent="0.35"/>
    <row r="87961" hidden="1" x14ac:dyDescent="0.35"/>
    <row r="87962" hidden="1" x14ac:dyDescent="0.35"/>
    <row r="87963" hidden="1" x14ac:dyDescent="0.35"/>
    <row r="87964" hidden="1" x14ac:dyDescent="0.35"/>
    <row r="87965" hidden="1" x14ac:dyDescent="0.35"/>
    <row r="87966" hidden="1" x14ac:dyDescent="0.35"/>
    <row r="87967" hidden="1" x14ac:dyDescent="0.35"/>
    <row r="87968" hidden="1" x14ac:dyDescent="0.35"/>
    <row r="87969" hidden="1" x14ac:dyDescent="0.35"/>
    <row r="87970" hidden="1" x14ac:dyDescent="0.35"/>
    <row r="87971" hidden="1" x14ac:dyDescent="0.35"/>
    <row r="87972" hidden="1" x14ac:dyDescent="0.35"/>
    <row r="87973" hidden="1" x14ac:dyDescent="0.35"/>
    <row r="87974" hidden="1" x14ac:dyDescent="0.35"/>
    <row r="87975" hidden="1" x14ac:dyDescent="0.35"/>
    <row r="87976" hidden="1" x14ac:dyDescent="0.35"/>
    <row r="87977" hidden="1" x14ac:dyDescent="0.35"/>
    <row r="87978" hidden="1" x14ac:dyDescent="0.35"/>
    <row r="87979" hidden="1" x14ac:dyDescent="0.35"/>
    <row r="87980" hidden="1" x14ac:dyDescent="0.35"/>
    <row r="87981" hidden="1" x14ac:dyDescent="0.35"/>
    <row r="87982" hidden="1" x14ac:dyDescent="0.35"/>
    <row r="87983" hidden="1" x14ac:dyDescent="0.35"/>
    <row r="87984" hidden="1" x14ac:dyDescent="0.35"/>
    <row r="87985" hidden="1" x14ac:dyDescent="0.35"/>
    <row r="87986" hidden="1" x14ac:dyDescent="0.35"/>
    <row r="87987" hidden="1" x14ac:dyDescent="0.35"/>
    <row r="87988" hidden="1" x14ac:dyDescent="0.35"/>
    <row r="87989" hidden="1" x14ac:dyDescent="0.35"/>
    <row r="87990" hidden="1" x14ac:dyDescent="0.35"/>
    <row r="87991" hidden="1" x14ac:dyDescent="0.35"/>
    <row r="87992" hidden="1" x14ac:dyDescent="0.35"/>
    <row r="87993" hidden="1" x14ac:dyDescent="0.35"/>
    <row r="87994" hidden="1" x14ac:dyDescent="0.35"/>
    <row r="87995" hidden="1" x14ac:dyDescent="0.35"/>
    <row r="87996" hidden="1" x14ac:dyDescent="0.35"/>
    <row r="87997" hidden="1" x14ac:dyDescent="0.35"/>
    <row r="87998" hidden="1" x14ac:dyDescent="0.35"/>
    <row r="87999" hidden="1" x14ac:dyDescent="0.35"/>
    <row r="88000" hidden="1" x14ac:dyDescent="0.35"/>
    <row r="88001" hidden="1" x14ac:dyDescent="0.35"/>
    <row r="88002" hidden="1" x14ac:dyDescent="0.35"/>
    <row r="88003" hidden="1" x14ac:dyDescent="0.35"/>
    <row r="88004" hidden="1" x14ac:dyDescent="0.35"/>
    <row r="88005" hidden="1" x14ac:dyDescent="0.35"/>
    <row r="88006" hidden="1" x14ac:dyDescent="0.35"/>
    <row r="88007" hidden="1" x14ac:dyDescent="0.35"/>
    <row r="88008" hidden="1" x14ac:dyDescent="0.35"/>
    <row r="88009" hidden="1" x14ac:dyDescent="0.35"/>
    <row r="88010" hidden="1" x14ac:dyDescent="0.35"/>
    <row r="88011" hidden="1" x14ac:dyDescent="0.35"/>
    <row r="88012" hidden="1" x14ac:dyDescent="0.35"/>
    <row r="88013" hidden="1" x14ac:dyDescent="0.35"/>
    <row r="88014" hidden="1" x14ac:dyDescent="0.35"/>
    <row r="88015" hidden="1" x14ac:dyDescent="0.35"/>
    <row r="88016" hidden="1" x14ac:dyDescent="0.35"/>
    <row r="88017" hidden="1" x14ac:dyDescent="0.35"/>
    <row r="88018" hidden="1" x14ac:dyDescent="0.35"/>
    <row r="88019" hidden="1" x14ac:dyDescent="0.35"/>
    <row r="88020" hidden="1" x14ac:dyDescent="0.35"/>
    <row r="88021" hidden="1" x14ac:dyDescent="0.35"/>
    <row r="88022" hidden="1" x14ac:dyDescent="0.35"/>
    <row r="88023" hidden="1" x14ac:dyDescent="0.35"/>
    <row r="88024" hidden="1" x14ac:dyDescent="0.35"/>
    <row r="88025" hidden="1" x14ac:dyDescent="0.35"/>
    <row r="88026" hidden="1" x14ac:dyDescent="0.35"/>
    <row r="88027" hidden="1" x14ac:dyDescent="0.35"/>
    <row r="88028" hidden="1" x14ac:dyDescent="0.35"/>
    <row r="88029" hidden="1" x14ac:dyDescent="0.35"/>
    <row r="88030" hidden="1" x14ac:dyDescent="0.35"/>
    <row r="88031" hidden="1" x14ac:dyDescent="0.35"/>
    <row r="88032" hidden="1" x14ac:dyDescent="0.35"/>
    <row r="88033" hidden="1" x14ac:dyDescent="0.35"/>
    <row r="88034" hidden="1" x14ac:dyDescent="0.35"/>
    <row r="88035" hidden="1" x14ac:dyDescent="0.35"/>
    <row r="88036" hidden="1" x14ac:dyDescent="0.35"/>
    <row r="88037" hidden="1" x14ac:dyDescent="0.35"/>
    <row r="88038" hidden="1" x14ac:dyDescent="0.35"/>
    <row r="88039" hidden="1" x14ac:dyDescent="0.35"/>
    <row r="88040" hidden="1" x14ac:dyDescent="0.35"/>
    <row r="88041" hidden="1" x14ac:dyDescent="0.35"/>
    <row r="88042" hidden="1" x14ac:dyDescent="0.35"/>
    <row r="88043" hidden="1" x14ac:dyDescent="0.35"/>
    <row r="88044" hidden="1" x14ac:dyDescent="0.35"/>
    <row r="88045" hidden="1" x14ac:dyDescent="0.35"/>
    <row r="88046" hidden="1" x14ac:dyDescent="0.35"/>
    <row r="88047" hidden="1" x14ac:dyDescent="0.35"/>
    <row r="88048" hidden="1" x14ac:dyDescent="0.35"/>
    <row r="88049" hidden="1" x14ac:dyDescent="0.35"/>
    <row r="88050" hidden="1" x14ac:dyDescent="0.35"/>
    <row r="88051" hidden="1" x14ac:dyDescent="0.35"/>
    <row r="88052" hidden="1" x14ac:dyDescent="0.35"/>
    <row r="88053" hidden="1" x14ac:dyDescent="0.35"/>
    <row r="88054" hidden="1" x14ac:dyDescent="0.35"/>
    <row r="88055" hidden="1" x14ac:dyDescent="0.35"/>
    <row r="88056" hidden="1" x14ac:dyDescent="0.35"/>
    <row r="88057" hidden="1" x14ac:dyDescent="0.35"/>
    <row r="88058" hidden="1" x14ac:dyDescent="0.35"/>
    <row r="88059" hidden="1" x14ac:dyDescent="0.35"/>
    <row r="88060" hidden="1" x14ac:dyDescent="0.35"/>
    <row r="88061" hidden="1" x14ac:dyDescent="0.35"/>
    <row r="88062" hidden="1" x14ac:dyDescent="0.35"/>
    <row r="88063" hidden="1" x14ac:dyDescent="0.35"/>
    <row r="88064" hidden="1" x14ac:dyDescent="0.35"/>
    <row r="88065" hidden="1" x14ac:dyDescent="0.35"/>
    <row r="88066" hidden="1" x14ac:dyDescent="0.35"/>
    <row r="88067" hidden="1" x14ac:dyDescent="0.35"/>
    <row r="88068" hidden="1" x14ac:dyDescent="0.35"/>
    <row r="88069" hidden="1" x14ac:dyDescent="0.35"/>
    <row r="88070" hidden="1" x14ac:dyDescent="0.35"/>
    <row r="88071" hidden="1" x14ac:dyDescent="0.35"/>
    <row r="88072" hidden="1" x14ac:dyDescent="0.35"/>
    <row r="88073" hidden="1" x14ac:dyDescent="0.35"/>
    <row r="88074" hidden="1" x14ac:dyDescent="0.35"/>
    <row r="88075" hidden="1" x14ac:dyDescent="0.35"/>
    <row r="88076" hidden="1" x14ac:dyDescent="0.35"/>
    <row r="88077" hidden="1" x14ac:dyDescent="0.35"/>
    <row r="88078" hidden="1" x14ac:dyDescent="0.35"/>
    <row r="88079" hidden="1" x14ac:dyDescent="0.35"/>
    <row r="88080" hidden="1" x14ac:dyDescent="0.35"/>
    <row r="88081" hidden="1" x14ac:dyDescent="0.35"/>
    <row r="88082" hidden="1" x14ac:dyDescent="0.35"/>
    <row r="88083" hidden="1" x14ac:dyDescent="0.35"/>
    <row r="88084" hidden="1" x14ac:dyDescent="0.35"/>
    <row r="88085" hidden="1" x14ac:dyDescent="0.35"/>
    <row r="88086" hidden="1" x14ac:dyDescent="0.35"/>
    <row r="88087" hidden="1" x14ac:dyDescent="0.35"/>
    <row r="88088" hidden="1" x14ac:dyDescent="0.35"/>
    <row r="88089" hidden="1" x14ac:dyDescent="0.35"/>
    <row r="88090" hidden="1" x14ac:dyDescent="0.35"/>
    <row r="88091" hidden="1" x14ac:dyDescent="0.35"/>
    <row r="88092" hidden="1" x14ac:dyDescent="0.35"/>
    <row r="88093" hidden="1" x14ac:dyDescent="0.35"/>
    <row r="88094" hidden="1" x14ac:dyDescent="0.35"/>
    <row r="88095" hidden="1" x14ac:dyDescent="0.35"/>
    <row r="88096" hidden="1" x14ac:dyDescent="0.35"/>
    <row r="88097" hidden="1" x14ac:dyDescent="0.35"/>
    <row r="88098" hidden="1" x14ac:dyDescent="0.35"/>
    <row r="88099" hidden="1" x14ac:dyDescent="0.35"/>
    <row r="88100" hidden="1" x14ac:dyDescent="0.35"/>
    <row r="88101" hidden="1" x14ac:dyDescent="0.35"/>
    <row r="88102" hidden="1" x14ac:dyDescent="0.35"/>
    <row r="88103" hidden="1" x14ac:dyDescent="0.35"/>
    <row r="88104" hidden="1" x14ac:dyDescent="0.35"/>
    <row r="88105" hidden="1" x14ac:dyDescent="0.35"/>
    <row r="88106" hidden="1" x14ac:dyDescent="0.35"/>
    <row r="88107" hidden="1" x14ac:dyDescent="0.35"/>
    <row r="88108" hidden="1" x14ac:dyDescent="0.35"/>
    <row r="88109" hidden="1" x14ac:dyDescent="0.35"/>
    <row r="88110" hidden="1" x14ac:dyDescent="0.35"/>
    <row r="88111" hidden="1" x14ac:dyDescent="0.35"/>
    <row r="88112" hidden="1" x14ac:dyDescent="0.35"/>
    <row r="88113" hidden="1" x14ac:dyDescent="0.35"/>
    <row r="88114" hidden="1" x14ac:dyDescent="0.35"/>
    <row r="88115" hidden="1" x14ac:dyDescent="0.35"/>
    <row r="88116" hidden="1" x14ac:dyDescent="0.35"/>
    <row r="88117" hidden="1" x14ac:dyDescent="0.35"/>
    <row r="88118" hidden="1" x14ac:dyDescent="0.35"/>
    <row r="88119" hidden="1" x14ac:dyDescent="0.35"/>
    <row r="88120" hidden="1" x14ac:dyDescent="0.35"/>
    <row r="88121" hidden="1" x14ac:dyDescent="0.35"/>
    <row r="88122" hidden="1" x14ac:dyDescent="0.35"/>
    <row r="88123" hidden="1" x14ac:dyDescent="0.35"/>
    <row r="88124" hidden="1" x14ac:dyDescent="0.35"/>
    <row r="88125" hidden="1" x14ac:dyDescent="0.35"/>
    <row r="88126" hidden="1" x14ac:dyDescent="0.35"/>
    <row r="88127" hidden="1" x14ac:dyDescent="0.35"/>
    <row r="88128" hidden="1" x14ac:dyDescent="0.35"/>
    <row r="88129" hidden="1" x14ac:dyDescent="0.35"/>
    <row r="88130" hidden="1" x14ac:dyDescent="0.35"/>
    <row r="88131" hidden="1" x14ac:dyDescent="0.35"/>
    <row r="88132" hidden="1" x14ac:dyDescent="0.35"/>
    <row r="88133" hidden="1" x14ac:dyDescent="0.35"/>
    <row r="88134" hidden="1" x14ac:dyDescent="0.35"/>
    <row r="88135" hidden="1" x14ac:dyDescent="0.35"/>
    <row r="88136" hidden="1" x14ac:dyDescent="0.35"/>
    <row r="88137" hidden="1" x14ac:dyDescent="0.35"/>
    <row r="88138" hidden="1" x14ac:dyDescent="0.35"/>
    <row r="88139" hidden="1" x14ac:dyDescent="0.35"/>
    <row r="88140" hidden="1" x14ac:dyDescent="0.35"/>
    <row r="88141" hidden="1" x14ac:dyDescent="0.35"/>
    <row r="88142" hidden="1" x14ac:dyDescent="0.35"/>
    <row r="88143" hidden="1" x14ac:dyDescent="0.35"/>
    <row r="88144" hidden="1" x14ac:dyDescent="0.35"/>
    <row r="88145" hidden="1" x14ac:dyDescent="0.35"/>
    <row r="88146" hidden="1" x14ac:dyDescent="0.35"/>
    <row r="88147" hidden="1" x14ac:dyDescent="0.35"/>
    <row r="88148" hidden="1" x14ac:dyDescent="0.35"/>
    <row r="88149" hidden="1" x14ac:dyDescent="0.35"/>
    <row r="88150" hidden="1" x14ac:dyDescent="0.35"/>
    <row r="88151" hidden="1" x14ac:dyDescent="0.35"/>
    <row r="88152" hidden="1" x14ac:dyDescent="0.35"/>
    <row r="88153" hidden="1" x14ac:dyDescent="0.35"/>
    <row r="88154" hidden="1" x14ac:dyDescent="0.35"/>
    <row r="88155" hidden="1" x14ac:dyDescent="0.35"/>
    <row r="88156" hidden="1" x14ac:dyDescent="0.35"/>
    <row r="88157" hidden="1" x14ac:dyDescent="0.35"/>
    <row r="88158" hidden="1" x14ac:dyDescent="0.35"/>
    <row r="88159" hidden="1" x14ac:dyDescent="0.35"/>
    <row r="88160" hidden="1" x14ac:dyDescent="0.35"/>
    <row r="88161" hidden="1" x14ac:dyDescent="0.35"/>
    <row r="88162" hidden="1" x14ac:dyDescent="0.35"/>
    <row r="88163" hidden="1" x14ac:dyDescent="0.35"/>
    <row r="88164" hidden="1" x14ac:dyDescent="0.35"/>
    <row r="88165" hidden="1" x14ac:dyDescent="0.35"/>
    <row r="88166" hidden="1" x14ac:dyDescent="0.35"/>
    <row r="88167" hidden="1" x14ac:dyDescent="0.35"/>
    <row r="88168" hidden="1" x14ac:dyDescent="0.35"/>
    <row r="88169" hidden="1" x14ac:dyDescent="0.35"/>
    <row r="88170" hidden="1" x14ac:dyDescent="0.35"/>
    <row r="88171" hidden="1" x14ac:dyDescent="0.35"/>
    <row r="88172" hidden="1" x14ac:dyDescent="0.35"/>
    <row r="88173" hidden="1" x14ac:dyDescent="0.35"/>
    <row r="88174" hidden="1" x14ac:dyDescent="0.35"/>
    <row r="88175" hidden="1" x14ac:dyDescent="0.35"/>
    <row r="88176" hidden="1" x14ac:dyDescent="0.35"/>
    <row r="88177" hidden="1" x14ac:dyDescent="0.35"/>
    <row r="88178" hidden="1" x14ac:dyDescent="0.35"/>
    <row r="88179" hidden="1" x14ac:dyDescent="0.35"/>
    <row r="88180" hidden="1" x14ac:dyDescent="0.35"/>
    <row r="88181" hidden="1" x14ac:dyDescent="0.35"/>
    <row r="88182" hidden="1" x14ac:dyDescent="0.35"/>
    <row r="88183" hidden="1" x14ac:dyDescent="0.35"/>
    <row r="88184" hidden="1" x14ac:dyDescent="0.35"/>
    <row r="88185" hidden="1" x14ac:dyDescent="0.35"/>
    <row r="88186" hidden="1" x14ac:dyDescent="0.35"/>
    <row r="88187" hidden="1" x14ac:dyDescent="0.35"/>
    <row r="88188" hidden="1" x14ac:dyDescent="0.35"/>
    <row r="88189" hidden="1" x14ac:dyDescent="0.35"/>
    <row r="88190" hidden="1" x14ac:dyDescent="0.35"/>
    <row r="88191" hidden="1" x14ac:dyDescent="0.35"/>
    <row r="88192" hidden="1" x14ac:dyDescent="0.35"/>
    <row r="88193" hidden="1" x14ac:dyDescent="0.35"/>
    <row r="88194" hidden="1" x14ac:dyDescent="0.35"/>
    <row r="88195" hidden="1" x14ac:dyDescent="0.35"/>
    <row r="88196" hidden="1" x14ac:dyDescent="0.35"/>
    <row r="88197" hidden="1" x14ac:dyDescent="0.35"/>
    <row r="88198" hidden="1" x14ac:dyDescent="0.35"/>
    <row r="88199" hidden="1" x14ac:dyDescent="0.35"/>
    <row r="88200" hidden="1" x14ac:dyDescent="0.35"/>
    <row r="88201" hidden="1" x14ac:dyDescent="0.35"/>
    <row r="88202" hidden="1" x14ac:dyDescent="0.35"/>
    <row r="88203" hidden="1" x14ac:dyDescent="0.35"/>
    <row r="88204" hidden="1" x14ac:dyDescent="0.35"/>
    <row r="88205" hidden="1" x14ac:dyDescent="0.35"/>
    <row r="88206" hidden="1" x14ac:dyDescent="0.35"/>
    <row r="88207" hidden="1" x14ac:dyDescent="0.35"/>
    <row r="88208" hidden="1" x14ac:dyDescent="0.35"/>
    <row r="88209" hidden="1" x14ac:dyDescent="0.35"/>
    <row r="88210" hidden="1" x14ac:dyDescent="0.35"/>
    <row r="88211" hidden="1" x14ac:dyDescent="0.35"/>
    <row r="88212" hidden="1" x14ac:dyDescent="0.35"/>
    <row r="88213" hidden="1" x14ac:dyDescent="0.35"/>
    <row r="88214" hidden="1" x14ac:dyDescent="0.35"/>
    <row r="88215" hidden="1" x14ac:dyDescent="0.35"/>
    <row r="88216" hidden="1" x14ac:dyDescent="0.35"/>
    <row r="88217" hidden="1" x14ac:dyDescent="0.35"/>
    <row r="88218" hidden="1" x14ac:dyDescent="0.35"/>
    <row r="88219" hidden="1" x14ac:dyDescent="0.35"/>
    <row r="88220" hidden="1" x14ac:dyDescent="0.35"/>
    <row r="88221" hidden="1" x14ac:dyDescent="0.35"/>
    <row r="88222" hidden="1" x14ac:dyDescent="0.35"/>
    <row r="88223" hidden="1" x14ac:dyDescent="0.35"/>
    <row r="88224" hidden="1" x14ac:dyDescent="0.35"/>
    <row r="88225" hidden="1" x14ac:dyDescent="0.35"/>
    <row r="88226" hidden="1" x14ac:dyDescent="0.35"/>
    <row r="88227" hidden="1" x14ac:dyDescent="0.35"/>
    <row r="88228" hidden="1" x14ac:dyDescent="0.35"/>
    <row r="88229" hidden="1" x14ac:dyDescent="0.35"/>
    <row r="88230" hidden="1" x14ac:dyDescent="0.35"/>
    <row r="88231" hidden="1" x14ac:dyDescent="0.35"/>
    <row r="88232" hidden="1" x14ac:dyDescent="0.35"/>
    <row r="88233" hidden="1" x14ac:dyDescent="0.35"/>
    <row r="88234" hidden="1" x14ac:dyDescent="0.35"/>
    <row r="88235" hidden="1" x14ac:dyDescent="0.35"/>
    <row r="88236" hidden="1" x14ac:dyDescent="0.35"/>
    <row r="88237" hidden="1" x14ac:dyDescent="0.35"/>
    <row r="88238" hidden="1" x14ac:dyDescent="0.35"/>
    <row r="88239" hidden="1" x14ac:dyDescent="0.35"/>
    <row r="88240" hidden="1" x14ac:dyDescent="0.35"/>
    <row r="88241" hidden="1" x14ac:dyDescent="0.35"/>
    <row r="88242" hidden="1" x14ac:dyDescent="0.35"/>
    <row r="88243" hidden="1" x14ac:dyDescent="0.35"/>
    <row r="88244" hidden="1" x14ac:dyDescent="0.35"/>
    <row r="88245" hidden="1" x14ac:dyDescent="0.35"/>
    <row r="88246" hidden="1" x14ac:dyDescent="0.35"/>
    <row r="88247" hidden="1" x14ac:dyDescent="0.35"/>
    <row r="88248" hidden="1" x14ac:dyDescent="0.35"/>
    <row r="88249" hidden="1" x14ac:dyDescent="0.35"/>
    <row r="88250" hidden="1" x14ac:dyDescent="0.35"/>
    <row r="88251" hidden="1" x14ac:dyDescent="0.35"/>
    <row r="88252" hidden="1" x14ac:dyDescent="0.35"/>
    <row r="88253" hidden="1" x14ac:dyDescent="0.35"/>
    <row r="88254" hidden="1" x14ac:dyDescent="0.35"/>
    <row r="88255" hidden="1" x14ac:dyDescent="0.35"/>
    <row r="88256" hidden="1" x14ac:dyDescent="0.35"/>
    <row r="88257" hidden="1" x14ac:dyDescent="0.35"/>
    <row r="88258" hidden="1" x14ac:dyDescent="0.35"/>
    <row r="88259" hidden="1" x14ac:dyDescent="0.35"/>
    <row r="88260" hidden="1" x14ac:dyDescent="0.35"/>
    <row r="88261" hidden="1" x14ac:dyDescent="0.35"/>
    <row r="88262" hidden="1" x14ac:dyDescent="0.35"/>
    <row r="88263" hidden="1" x14ac:dyDescent="0.35"/>
    <row r="88264" hidden="1" x14ac:dyDescent="0.35"/>
    <row r="88265" hidden="1" x14ac:dyDescent="0.35"/>
    <row r="88266" hidden="1" x14ac:dyDescent="0.35"/>
    <row r="88267" hidden="1" x14ac:dyDescent="0.35"/>
    <row r="88268" hidden="1" x14ac:dyDescent="0.35"/>
    <row r="88269" hidden="1" x14ac:dyDescent="0.35"/>
    <row r="88270" hidden="1" x14ac:dyDescent="0.35"/>
    <row r="88271" hidden="1" x14ac:dyDescent="0.35"/>
    <row r="88272" hidden="1" x14ac:dyDescent="0.35"/>
    <row r="88273" hidden="1" x14ac:dyDescent="0.35"/>
    <row r="88274" hidden="1" x14ac:dyDescent="0.35"/>
    <row r="88275" hidden="1" x14ac:dyDescent="0.35"/>
    <row r="88276" hidden="1" x14ac:dyDescent="0.35"/>
    <row r="88277" hidden="1" x14ac:dyDescent="0.35"/>
    <row r="88278" hidden="1" x14ac:dyDescent="0.35"/>
    <row r="88279" hidden="1" x14ac:dyDescent="0.35"/>
    <row r="88280" hidden="1" x14ac:dyDescent="0.35"/>
    <row r="88281" hidden="1" x14ac:dyDescent="0.35"/>
    <row r="88282" hidden="1" x14ac:dyDescent="0.35"/>
    <row r="88283" hidden="1" x14ac:dyDescent="0.35"/>
    <row r="88284" hidden="1" x14ac:dyDescent="0.35"/>
    <row r="88285" hidden="1" x14ac:dyDescent="0.35"/>
    <row r="88286" hidden="1" x14ac:dyDescent="0.35"/>
    <row r="88287" hidden="1" x14ac:dyDescent="0.35"/>
    <row r="88288" hidden="1" x14ac:dyDescent="0.35"/>
    <row r="88289" hidden="1" x14ac:dyDescent="0.35"/>
    <row r="88290" hidden="1" x14ac:dyDescent="0.35"/>
    <row r="88291" hidden="1" x14ac:dyDescent="0.35"/>
    <row r="88292" hidden="1" x14ac:dyDescent="0.35"/>
    <row r="88293" hidden="1" x14ac:dyDescent="0.35"/>
    <row r="88294" hidden="1" x14ac:dyDescent="0.35"/>
    <row r="88295" hidden="1" x14ac:dyDescent="0.35"/>
    <row r="88296" hidden="1" x14ac:dyDescent="0.35"/>
    <row r="88297" hidden="1" x14ac:dyDescent="0.35"/>
    <row r="88298" hidden="1" x14ac:dyDescent="0.35"/>
    <row r="88299" hidden="1" x14ac:dyDescent="0.35"/>
    <row r="88300" hidden="1" x14ac:dyDescent="0.35"/>
    <row r="88301" hidden="1" x14ac:dyDescent="0.35"/>
    <row r="88302" hidden="1" x14ac:dyDescent="0.35"/>
    <row r="88303" hidden="1" x14ac:dyDescent="0.35"/>
    <row r="88304" hidden="1" x14ac:dyDescent="0.35"/>
    <row r="88305" hidden="1" x14ac:dyDescent="0.35"/>
    <row r="88306" hidden="1" x14ac:dyDescent="0.35"/>
    <row r="88307" hidden="1" x14ac:dyDescent="0.35"/>
    <row r="88308" hidden="1" x14ac:dyDescent="0.35"/>
    <row r="88309" hidden="1" x14ac:dyDescent="0.35"/>
    <row r="88310" hidden="1" x14ac:dyDescent="0.35"/>
    <row r="88311" hidden="1" x14ac:dyDescent="0.35"/>
    <row r="88312" hidden="1" x14ac:dyDescent="0.35"/>
    <row r="88313" hidden="1" x14ac:dyDescent="0.35"/>
    <row r="88314" hidden="1" x14ac:dyDescent="0.35"/>
    <row r="88315" hidden="1" x14ac:dyDescent="0.35"/>
    <row r="88316" hidden="1" x14ac:dyDescent="0.35"/>
    <row r="88317" hidden="1" x14ac:dyDescent="0.35"/>
    <row r="88318" hidden="1" x14ac:dyDescent="0.35"/>
    <row r="88319" hidden="1" x14ac:dyDescent="0.35"/>
    <row r="88320" hidden="1" x14ac:dyDescent="0.35"/>
    <row r="88321" hidden="1" x14ac:dyDescent="0.35"/>
    <row r="88322" hidden="1" x14ac:dyDescent="0.35"/>
    <row r="88323" hidden="1" x14ac:dyDescent="0.35"/>
    <row r="88324" hidden="1" x14ac:dyDescent="0.35"/>
    <row r="88325" hidden="1" x14ac:dyDescent="0.35"/>
    <row r="88326" hidden="1" x14ac:dyDescent="0.35"/>
    <row r="88327" hidden="1" x14ac:dyDescent="0.35"/>
    <row r="88328" hidden="1" x14ac:dyDescent="0.35"/>
    <row r="88329" hidden="1" x14ac:dyDescent="0.35"/>
    <row r="88330" hidden="1" x14ac:dyDescent="0.35"/>
    <row r="88331" hidden="1" x14ac:dyDescent="0.35"/>
    <row r="88332" hidden="1" x14ac:dyDescent="0.35"/>
    <row r="88333" hidden="1" x14ac:dyDescent="0.35"/>
    <row r="88334" hidden="1" x14ac:dyDescent="0.35"/>
    <row r="88335" hidden="1" x14ac:dyDescent="0.35"/>
    <row r="88336" hidden="1" x14ac:dyDescent="0.35"/>
    <row r="88337" hidden="1" x14ac:dyDescent="0.35"/>
    <row r="88338" hidden="1" x14ac:dyDescent="0.35"/>
    <row r="88339" hidden="1" x14ac:dyDescent="0.35"/>
    <row r="88340" hidden="1" x14ac:dyDescent="0.35"/>
    <row r="88341" hidden="1" x14ac:dyDescent="0.35"/>
    <row r="88342" hidden="1" x14ac:dyDescent="0.35"/>
    <row r="88343" hidden="1" x14ac:dyDescent="0.35"/>
    <row r="88344" hidden="1" x14ac:dyDescent="0.35"/>
    <row r="88345" hidden="1" x14ac:dyDescent="0.35"/>
    <row r="88346" hidden="1" x14ac:dyDescent="0.35"/>
    <row r="88347" hidden="1" x14ac:dyDescent="0.35"/>
    <row r="88348" hidden="1" x14ac:dyDescent="0.35"/>
    <row r="88349" hidden="1" x14ac:dyDescent="0.35"/>
    <row r="88350" hidden="1" x14ac:dyDescent="0.35"/>
    <row r="88351" hidden="1" x14ac:dyDescent="0.35"/>
    <row r="88352" hidden="1" x14ac:dyDescent="0.35"/>
    <row r="88353" hidden="1" x14ac:dyDescent="0.35"/>
    <row r="88354" hidden="1" x14ac:dyDescent="0.35"/>
    <row r="88355" hidden="1" x14ac:dyDescent="0.35"/>
    <row r="88356" hidden="1" x14ac:dyDescent="0.35"/>
    <row r="88357" hidden="1" x14ac:dyDescent="0.35"/>
    <row r="88358" hidden="1" x14ac:dyDescent="0.35"/>
    <row r="88359" hidden="1" x14ac:dyDescent="0.35"/>
    <row r="88360" hidden="1" x14ac:dyDescent="0.35"/>
    <row r="88361" hidden="1" x14ac:dyDescent="0.35"/>
    <row r="88362" hidden="1" x14ac:dyDescent="0.35"/>
    <row r="88363" hidden="1" x14ac:dyDescent="0.35"/>
    <row r="88364" hidden="1" x14ac:dyDescent="0.35"/>
    <row r="88365" hidden="1" x14ac:dyDescent="0.35"/>
    <row r="88366" hidden="1" x14ac:dyDescent="0.35"/>
    <row r="88367" hidden="1" x14ac:dyDescent="0.35"/>
    <row r="88368" hidden="1" x14ac:dyDescent="0.35"/>
    <row r="88369" hidden="1" x14ac:dyDescent="0.35"/>
    <row r="88370" hidden="1" x14ac:dyDescent="0.35"/>
    <row r="88371" hidden="1" x14ac:dyDescent="0.35"/>
    <row r="88372" hidden="1" x14ac:dyDescent="0.35"/>
    <row r="88373" hidden="1" x14ac:dyDescent="0.35"/>
    <row r="88374" hidden="1" x14ac:dyDescent="0.35"/>
    <row r="88375" hidden="1" x14ac:dyDescent="0.35"/>
    <row r="88376" hidden="1" x14ac:dyDescent="0.35"/>
    <row r="88377" hidden="1" x14ac:dyDescent="0.35"/>
    <row r="88378" hidden="1" x14ac:dyDescent="0.35"/>
    <row r="88379" hidden="1" x14ac:dyDescent="0.35"/>
    <row r="88380" hidden="1" x14ac:dyDescent="0.35"/>
    <row r="88381" hidden="1" x14ac:dyDescent="0.35"/>
    <row r="88382" hidden="1" x14ac:dyDescent="0.35"/>
    <row r="88383" hidden="1" x14ac:dyDescent="0.35"/>
    <row r="88384" hidden="1" x14ac:dyDescent="0.35"/>
    <row r="88385" hidden="1" x14ac:dyDescent="0.35"/>
    <row r="88386" hidden="1" x14ac:dyDescent="0.35"/>
    <row r="88387" hidden="1" x14ac:dyDescent="0.35"/>
    <row r="88388" hidden="1" x14ac:dyDescent="0.35"/>
    <row r="88389" hidden="1" x14ac:dyDescent="0.35"/>
    <row r="88390" hidden="1" x14ac:dyDescent="0.35"/>
    <row r="88391" hidden="1" x14ac:dyDescent="0.35"/>
    <row r="88392" hidden="1" x14ac:dyDescent="0.35"/>
    <row r="88393" hidden="1" x14ac:dyDescent="0.35"/>
    <row r="88394" hidden="1" x14ac:dyDescent="0.35"/>
    <row r="88395" hidden="1" x14ac:dyDescent="0.35"/>
    <row r="88396" hidden="1" x14ac:dyDescent="0.35"/>
    <row r="88397" hidden="1" x14ac:dyDescent="0.35"/>
    <row r="88398" hidden="1" x14ac:dyDescent="0.35"/>
    <row r="88399" hidden="1" x14ac:dyDescent="0.35"/>
    <row r="88400" hidden="1" x14ac:dyDescent="0.35"/>
    <row r="88401" hidden="1" x14ac:dyDescent="0.35"/>
    <row r="88402" hidden="1" x14ac:dyDescent="0.35"/>
    <row r="88403" hidden="1" x14ac:dyDescent="0.35"/>
    <row r="88404" hidden="1" x14ac:dyDescent="0.35"/>
    <row r="88405" hidden="1" x14ac:dyDescent="0.35"/>
    <row r="88406" hidden="1" x14ac:dyDescent="0.35"/>
    <row r="88407" hidden="1" x14ac:dyDescent="0.35"/>
    <row r="88408" hidden="1" x14ac:dyDescent="0.35"/>
    <row r="88409" hidden="1" x14ac:dyDescent="0.35"/>
    <row r="88410" hidden="1" x14ac:dyDescent="0.35"/>
    <row r="88411" hidden="1" x14ac:dyDescent="0.35"/>
    <row r="88412" hidden="1" x14ac:dyDescent="0.35"/>
    <row r="88413" hidden="1" x14ac:dyDescent="0.35"/>
    <row r="88414" hidden="1" x14ac:dyDescent="0.35"/>
    <row r="88415" hidden="1" x14ac:dyDescent="0.35"/>
    <row r="88416" hidden="1" x14ac:dyDescent="0.35"/>
    <row r="88417" hidden="1" x14ac:dyDescent="0.35"/>
    <row r="88418" hidden="1" x14ac:dyDescent="0.35"/>
    <row r="88419" hidden="1" x14ac:dyDescent="0.35"/>
    <row r="88420" hidden="1" x14ac:dyDescent="0.35"/>
    <row r="88421" hidden="1" x14ac:dyDescent="0.35"/>
    <row r="88422" hidden="1" x14ac:dyDescent="0.35"/>
    <row r="88423" hidden="1" x14ac:dyDescent="0.35"/>
    <row r="88424" hidden="1" x14ac:dyDescent="0.35"/>
    <row r="88425" hidden="1" x14ac:dyDescent="0.35"/>
    <row r="88426" hidden="1" x14ac:dyDescent="0.35"/>
    <row r="88427" hidden="1" x14ac:dyDescent="0.35"/>
    <row r="88428" hidden="1" x14ac:dyDescent="0.35"/>
    <row r="88429" hidden="1" x14ac:dyDescent="0.35"/>
    <row r="88430" hidden="1" x14ac:dyDescent="0.35"/>
    <row r="88431" hidden="1" x14ac:dyDescent="0.35"/>
    <row r="88432" hidden="1" x14ac:dyDescent="0.35"/>
    <row r="88433" hidden="1" x14ac:dyDescent="0.35"/>
    <row r="88434" hidden="1" x14ac:dyDescent="0.35"/>
    <row r="88435" hidden="1" x14ac:dyDescent="0.35"/>
    <row r="88436" hidden="1" x14ac:dyDescent="0.35"/>
    <row r="88437" hidden="1" x14ac:dyDescent="0.35"/>
    <row r="88438" hidden="1" x14ac:dyDescent="0.35"/>
    <row r="88439" hidden="1" x14ac:dyDescent="0.35"/>
    <row r="88440" hidden="1" x14ac:dyDescent="0.35"/>
    <row r="88441" hidden="1" x14ac:dyDescent="0.35"/>
    <row r="88442" hidden="1" x14ac:dyDescent="0.35"/>
    <row r="88443" hidden="1" x14ac:dyDescent="0.35"/>
    <row r="88444" hidden="1" x14ac:dyDescent="0.35"/>
    <row r="88445" hidden="1" x14ac:dyDescent="0.35"/>
    <row r="88446" hidden="1" x14ac:dyDescent="0.35"/>
    <row r="88447" hidden="1" x14ac:dyDescent="0.35"/>
    <row r="88448" hidden="1" x14ac:dyDescent="0.35"/>
    <row r="88449" hidden="1" x14ac:dyDescent="0.35"/>
    <row r="88450" hidden="1" x14ac:dyDescent="0.35"/>
    <row r="88451" hidden="1" x14ac:dyDescent="0.35"/>
    <row r="88452" hidden="1" x14ac:dyDescent="0.35"/>
    <row r="88453" hidden="1" x14ac:dyDescent="0.35"/>
    <row r="88454" hidden="1" x14ac:dyDescent="0.35"/>
    <row r="88455" hidden="1" x14ac:dyDescent="0.35"/>
    <row r="88456" hidden="1" x14ac:dyDescent="0.35"/>
    <row r="88457" hidden="1" x14ac:dyDescent="0.35"/>
    <row r="88458" hidden="1" x14ac:dyDescent="0.35"/>
    <row r="88459" hidden="1" x14ac:dyDescent="0.35"/>
    <row r="88460" hidden="1" x14ac:dyDescent="0.35"/>
    <row r="88461" hidden="1" x14ac:dyDescent="0.35"/>
    <row r="88462" hidden="1" x14ac:dyDescent="0.35"/>
    <row r="88463" hidden="1" x14ac:dyDescent="0.35"/>
    <row r="88464" hidden="1" x14ac:dyDescent="0.35"/>
    <row r="88465" hidden="1" x14ac:dyDescent="0.35"/>
    <row r="88466" hidden="1" x14ac:dyDescent="0.35"/>
    <row r="88467" hidden="1" x14ac:dyDescent="0.35"/>
    <row r="88468" hidden="1" x14ac:dyDescent="0.35"/>
    <row r="88469" hidden="1" x14ac:dyDescent="0.35"/>
    <row r="88470" hidden="1" x14ac:dyDescent="0.35"/>
    <row r="88471" hidden="1" x14ac:dyDescent="0.35"/>
    <row r="88472" hidden="1" x14ac:dyDescent="0.35"/>
    <row r="88473" hidden="1" x14ac:dyDescent="0.35"/>
    <row r="88474" hidden="1" x14ac:dyDescent="0.35"/>
    <row r="88475" hidden="1" x14ac:dyDescent="0.35"/>
    <row r="88476" hidden="1" x14ac:dyDescent="0.35"/>
    <row r="88477" hidden="1" x14ac:dyDescent="0.35"/>
    <row r="88478" hidden="1" x14ac:dyDescent="0.35"/>
    <row r="88479" hidden="1" x14ac:dyDescent="0.35"/>
    <row r="88480" hidden="1" x14ac:dyDescent="0.35"/>
    <row r="88481" hidden="1" x14ac:dyDescent="0.35"/>
    <row r="88482" hidden="1" x14ac:dyDescent="0.35"/>
    <row r="88483" hidden="1" x14ac:dyDescent="0.35"/>
    <row r="88484" hidden="1" x14ac:dyDescent="0.35"/>
    <row r="88485" hidden="1" x14ac:dyDescent="0.35"/>
    <row r="88486" hidden="1" x14ac:dyDescent="0.35"/>
    <row r="88487" hidden="1" x14ac:dyDescent="0.35"/>
    <row r="88488" hidden="1" x14ac:dyDescent="0.35"/>
    <row r="88489" hidden="1" x14ac:dyDescent="0.35"/>
    <row r="88490" hidden="1" x14ac:dyDescent="0.35"/>
    <row r="88491" hidden="1" x14ac:dyDescent="0.35"/>
    <row r="88492" hidden="1" x14ac:dyDescent="0.35"/>
    <row r="88493" hidden="1" x14ac:dyDescent="0.35"/>
    <row r="88494" hidden="1" x14ac:dyDescent="0.35"/>
    <row r="88495" hidden="1" x14ac:dyDescent="0.35"/>
    <row r="88496" hidden="1" x14ac:dyDescent="0.35"/>
    <row r="88497" hidden="1" x14ac:dyDescent="0.35"/>
    <row r="88498" hidden="1" x14ac:dyDescent="0.35"/>
    <row r="88499" hidden="1" x14ac:dyDescent="0.35"/>
    <row r="88500" hidden="1" x14ac:dyDescent="0.35"/>
    <row r="88501" hidden="1" x14ac:dyDescent="0.35"/>
    <row r="88502" hidden="1" x14ac:dyDescent="0.35"/>
    <row r="88503" hidden="1" x14ac:dyDescent="0.35"/>
    <row r="88504" hidden="1" x14ac:dyDescent="0.35"/>
    <row r="88505" hidden="1" x14ac:dyDescent="0.35"/>
    <row r="88506" hidden="1" x14ac:dyDescent="0.35"/>
    <row r="88507" hidden="1" x14ac:dyDescent="0.35"/>
    <row r="88508" hidden="1" x14ac:dyDescent="0.35"/>
    <row r="88509" hidden="1" x14ac:dyDescent="0.35"/>
    <row r="88510" hidden="1" x14ac:dyDescent="0.35"/>
    <row r="88511" hidden="1" x14ac:dyDescent="0.35"/>
    <row r="88512" hidden="1" x14ac:dyDescent="0.35"/>
    <row r="88513" hidden="1" x14ac:dyDescent="0.35"/>
    <row r="88514" hidden="1" x14ac:dyDescent="0.35"/>
    <row r="88515" hidden="1" x14ac:dyDescent="0.35"/>
    <row r="88516" hidden="1" x14ac:dyDescent="0.35"/>
    <row r="88517" hidden="1" x14ac:dyDescent="0.35"/>
    <row r="88518" hidden="1" x14ac:dyDescent="0.35"/>
    <row r="88519" hidden="1" x14ac:dyDescent="0.35"/>
    <row r="88520" hidden="1" x14ac:dyDescent="0.35"/>
    <row r="88521" hidden="1" x14ac:dyDescent="0.35"/>
    <row r="88522" hidden="1" x14ac:dyDescent="0.35"/>
    <row r="88523" hidden="1" x14ac:dyDescent="0.35"/>
    <row r="88524" hidden="1" x14ac:dyDescent="0.35"/>
    <row r="88525" hidden="1" x14ac:dyDescent="0.35"/>
    <row r="88526" hidden="1" x14ac:dyDescent="0.35"/>
    <row r="88527" hidden="1" x14ac:dyDescent="0.35"/>
    <row r="88528" hidden="1" x14ac:dyDescent="0.35"/>
    <row r="88529" hidden="1" x14ac:dyDescent="0.35"/>
    <row r="88530" hidden="1" x14ac:dyDescent="0.35"/>
    <row r="88531" hidden="1" x14ac:dyDescent="0.35"/>
    <row r="88532" hidden="1" x14ac:dyDescent="0.35"/>
    <row r="88533" hidden="1" x14ac:dyDescent="0.35"/>
    <row r="88534" hidden="1" x14ac:dyDescent="0.35"/>
    <row r="88535" hidden="1" x14ac:dyDescent="0.35"/>
    <row r="88536" hidden="1" x14ac:dyDescent="0.35"/>
    <row r="88537" hidden="1" x14ac:dyDescent="0.35"/>
    <row r="88538" hidden="1" x14ac:dyDescent="0.35"/>
    <row r="88539" hidden="1" x14ac:dyDescent="0.35"/>
    <row r="88540" hidden="1" x14ac:dyDescent="0.35"/>
    <row r="88541" hidden="1" x14ac:dyDescent="0.35"/>
    <row r="88542" hidden="1" x14ac:dyDescent="0.35"/>
    <row r="88543" hidden="1" x14ac:dyDescent="0.35"/>
    <row r="88544" hidden="1" x14ac:dyDescent="0.35"/>
    <row r="88545" hidden="1" x14ac:dyDescent="0.35"/>
    <row r="88546" hidden="1" x14ac:dyDescent="0.35"/>
    <row r="88547" hidden="1" x14ac:dyDescent="0.35"/>
    <row r="88548" hidden="1" x14ac:dyDescent="0.35"/>
    <row r="88549" hidden="1" x14ac:dyDescent="0.35"/>
    <row r="88550" hidden="1" x14ac:dyDescent="0.35"/>
    <row r="88551" hidden="1" x14ac:dyDescent="0.35"/>
    <row r="88552" hidden="1" x14ac:dyDescent="0.35"/>
    <row r="88553" hidden="1" x14ac:dyDescent="0.35"/>
    <row r="88554" hidden="1" x14ac:dyDescent="0.35"/>
    <row r="88555" hidden="1" x14ac:dyDescent="0.35"/>
    <row r="88556" hidden="1" x14ac:dyDescent="0.35"/>
    <row r="88557" hidden="1" x14ac:dyDescent="0.35"/>
    <row r="88558" hidden="1" x14ac:dyDescent="0.35"/>
    <row r="88559" hidden="1" x14ac:dyDescent="0.35"/>
    <row r="88560" hidden="1" x14ac:dyDescent="0.35"/>
    <row r="88561" hidden="1" x14ac:dyDescent="0.35"/>
    <row r="88562" hidden="1" x14ac:dyDescent="0.35"/>
    <row r="88563" hidden="1" x14ac:dyDescent="0.35"/>
    <row r="88564" hidden="1" x14ac:dyDescent="0.35"/>
    <row r="88565" hidden="1" x14ac:dyDescent="0.35"/>
    <row r="88566" hidden="1" x14ac:dyDescent="0.35"/>
    <row r="88567" hidden="1" x14ac:dyDescent="0.35"/>
    <row r="88568" hidden="1" x14ac:dyDescent="0.35"/>
    <row r="88569" hidden="1" x14ac:dyDescent="0.35"/>
    <row r="88570" hidden="1" x14ac:dyDescent="0.35"/>
    <row r="88571" hidden="1" x14ac:dyDescent="0.35"/>
    <row r="88572" hidden="1" x14ac:dyDescent="0.35"/>
    <row r="88573" hidden="1" x14ac:dyDescent="0.35"/>
    <row r="88574" hidden="1" x14ac:dyDescent="0.35"/>
    <row r="88575" hidden="1" x14ac:dyDescent="0.35"/>
    <row r="88576" hidden="1" x14ac:dyDescent="0.35"/>
    <row r="88577" hidden="1" x14ac:dyDescent="0.35"/>
    <row r="88578" hidden="1" x14ac:dyDescent="0.35"/>
    <row r="88579" hidden="1" x14ac:dyDescent="0.35"/>
    <row r="88580" hidden="1" x14ac:dyDescent="0.35"/>
    <row r="88581" hidden="1" x14ac:dyDescent="0.35"/>
    <row r="88582" hidden="1" x14ac:dyDescent="0.35"/>
    <row r="88583" hidden="1" x14ac:dyDescent="0.35"/>
    <row r="88584" hidden="1" x14ac:dyDescent="0.35"/>
    <row r="88585" hidden="1" x14ac:dyDescent="0.35"/>
    <row r="88586" hidden="1" x14ac:dyDescent="0.35"/>
    <row r="88587" hidden="1" x14ac:dyDescent="0.35"/>
    <row r="88588" hidden="1" x14ac:dyDescent="0.35"/>
    <row r="88589" hidden="1" x14ac:dyDescent="0.35"/>
    <row r="88590" hidden="1" x14ac:dyDescent="0.35"/>
    <row r="88591" hidden="1" x14ac:dyDescent="0.35"/>
    <row r="88592" hidden="1" x14ac:dyDescent="0.35"/>
    <row r="88593" hidden="1" x14ac:dyDescent="0.35"/>
    <row r="88594" hidden="1" x14ac:dyDescent="0.35"/>
    <row r="88595" hidden="1" x14ac:dyDescent="0.35"/>
    <row r="88596" hidden="1" x14ac:dyDescent="0.35"/>
    <row r="88597" hidden="1" x14ac:dyDescent="0.35"/>
    <row r="88598" hidden="1" x14ac:dyDescent="0.35"/>
    <row r="88599" hidden="1" x14ac:dyDescent="0.35"/>
    <row r="88600" hidden="1" x14ac:dyDescent="0.35"/>
    <row r="88601" hidden="1" x14ac:dyDescent="0.35"/>
    <row r="88602" hidden="1" x14ac:dyDescent="0.35"/>
    <row r="88603" hidden="1" x14ac:dyDescent="0.35"/>
    <row r="88604" hidden="1" x14ac:dyDescent="0.35"/>
    <row r="88605" hidden="1" x14ac:dyDescent="0.35"/>
    <row r="88606" hidden="1" x14ac:dyDescent="0.35"/>
    <row r="88607" hidden="1" x14ac:dyDescent="0.35"/>
    <row r="88608" hidden="1" x14ac:dyDescent="0.35"/>
    <row r="88609" hidden="1" x14ac:dyDescent="0.35"/>
    <row r="88610" hidden="1" x14ac:dyDescent="0.35"/>
    <row r="88611" hidden="1" x14ac:dyDescent="0.35"/>
    <row r="88612" hidden="1" x14ac:dyDescent="0.35"/>
    <row r="88613" hidden="1" x14ac:dyDescent="0.35"/>
    <row r="88614" hidden="1" x14ac:dyDescent="0.35"/>
    <row r="88615" hidden="1" x14ac:dyDescent="0.35"/>
    <row r="88616" hidden="1" x14ac:dyDescent="0.35"/>
    <row r="88617" hidden="1" x14ac:dyDescent="0.35"/>
    <row r="88618" hidden="1" x14ac:dyDescent="0.35"/>
    <row r="88619" hidden="1" x14ac:dyDescent="0.35"/>
    <row r="88620" hidden="1" x14ac:dyDescent="0.35"/>
    <row r="88621" hidden="1" x14ac:dyDescent="0.35"/>
    <row r="88622" hidden="1" x14ac:dyDescent="0.35"/>
    <row r="88623" hidden="1" x14ac:dyDescent="0.35"/>
    <row r="88624" hidden="1" x14ac:dyDescent="0.35"/>
    <row r="88625" hidden="1" x14ac:dyDescent="0.35"/>
    <row r="88626" hidden="1" x14ac:dyDescent="0.35"/>
    <row r="88627" hidden="1" x14ac:dyDescent="0.35"/>
    <row r="88628" hidden="1" x14ac:dyDescent="0.35"/>
    <row r="88629" hidden="1" x14ac:dyDescent="0.35"/>
    <row r="88630" hidden="1" x14ac:dyDescent="0.35"/>
    <row r="88631" hidden="1" x14ac:dyDescent="0.35"/>
    <row r="88632" hidden="1" x14ac:dyDescent="0.35"/>
    <row r="88633" hidden="1" x14ac:dyDescent="0.35"/>
    <row r="88634" hidden="1" x14ac:dyDescent="0.35"/>
    <row r="88635" hidden="1" x14ac:dyDescent="0.35"/>
    <row r="88636" hidden="1" x14ac:dyDescent="0.35"/>
    <row r="88637" hidden="1" x14ac:dyDescent="0.35"/>
    <row r="88638" hidden="1" x14ac:dyDescent="0.35"/>
    <row r="88639" hidden="1" x14ac:dyDescent="0.35"/>
    <row r="88640" hidden="1" x14ac:dyDescent="0.35"/>
    <row r="88641" hidden="1" x14ac:dyDescent="0.35"/>
    <row r="88642" hidden="1" x14ac:dyDescent="0.35"/>
    <row r="88643" hidden="1" x14ac:dyDescent="0.35"/>
    <row r="88644" hidden="1" x14ac:dyDescent="0.35"/>
    <row r="88645" hidden="1" x14ac:dyDescent="0.35"/>
    <row r="88646" hidden="1" x14ac:dyDescent="0.35"/>
    <row r="88647" hidden="1" x14ac:dyDescent="0.35"/>
    <row r="88648" hidden="1" x14ac:dyDescent="0.35"/>
    <row r="88649" hidden="1" x14ac:dyDescent="0.35"/>
    <row r="88650" hidden="1" x14ac:dyDescent="0.35"/>
    <row r="88651" hidden="1" x14ac:dyDescent="0.35"/>
    <row r="88652" hidden="1" x14ac:dyDescent="0.35"/>
    <row r="88653" hidden="1" x14ac:dyDescent="0.35"/>
    <row r="88654" hidden="1" x14ac:dyDescent="0.35"/>
    <row r="88655" hidden="1" x14ac:dyDescent="0.35"/>
    <row r="88656" hidden="1" x14ac:dyDescent="0.35"/>
    <row r="88657" hidden="1" x14ac:dyDescent="0.35"/>
    <row r="88658" hidden="1" x14ac:dyDescent="0.35"/>
    <row r="88659" hidden="1" x14ac:dyDescent="0.35"/>
    <row r="88660" hidden="1" x14ac:dyDescent="0.35"/>
    <row r="88661" hidden="1" x14ac:dyDescent="0.35"/>
    <row r="88662" hidden="1" x14ac:dyDescent="0.35"/>
    <row r="88663" hidden="1" x14ac:dyDescent="0.35"/>
    <row r="88664" hidden="1" x14ac:dyDescent="0.35"/>
    <row r="88665" hidden="1" x14ac:dyDescent="0.35"/>
    <row r="88666" hidden="1" x14ac:dyDescent="0.35"/>
    <row r="88667" hidden="1" x14ac:dyDescent="0.35"/>
    <row r="88668" hidden="1" x14ac:dyDescent="0.35"/>
    <row r="88669" hidden="1" x14ac:dyDescent="0.35"/>
    <row r="88670" hidden="1" x14ac:dyDescent="0.35"/>
    <row r="88671" hidden="1" x14ac:dyDescent="0.35"/>
    <row r="88672" hidden="1" x14ac:dyDescent="0.35"/>
    <row r="88673" hidden="1" x14ac:dyDescent="0.35"/>
    <row r="88674" hidden="1" x14ac:dyDescent="0.35"/>
    <row r="88675" hidden="1" x14ac:dyDescent="0.35"/>
    <row r="88676" hidden="1" x14ac:dyDescent="0.35"/>
    <row r="88677" hidden="1" x14ac:dyDescent="0.35"/>
    <row r="88678" hidden="1" x14ac:dyDescent="0.35"/>
    <row r="88679" hidden="1" x14ac:dyDescent="0.35"/>
    <row r="88680" hidden="1" x14ac:dyDescent="0.35"/>
    <row r="88681" hidden="1" x14ac:dyDescent="0.35"/>
    <row r="88682" hidden="1" x14ac:dyDescent="0.35"/>
    <row r="88683" hidden="1" x14ac:dyDescent="0.35"/>
    <row r="88684" hidden="1" x14ac:dyDescent="0.35"/>
    <row r="88685" hidden="1" x14ac:dyDescent="0.35"/>
    <row r="88686" hidden="1" x14ac:dyDescent="0.35"/>
    <row r="88687" hidden="1" x14ac:dyDescent="0.35"/>
    <row r="88688" hidden="1" x14ac:dyDescent="0.35"/>
    <row r="88689" hidden="1" x14ac:dyDescent="0.35"/>
    <row r="88690" hidden="1" x14ac:dyDescent="0.35"/>
    <row r="88691" hidden="1" x14ac:dyDescent="0.35"/>
    <row r="88692" hidden="1" x14ac:dyDescent="0.35"/>
    <row r="88693" hidden="1" x14ac:dyDescent="0.35"/>
    <row r="88694" hidden="1" x14ac:dyDescent="0.35"/>
    <row r="88695" hidden="1" x14ac:dyDescent="0.35"/>
    <row r="88696" hidden="1" x14ac:dyDescent="0.35"/>
    <row r="88697" hidden="1" x14ac:dyDescent="0.35"/>
    <row r="88698" hidden="1" x14ac:dyDescent="0.35"/>
    <row r="88699" hidden="1" x14ac:dyDescent="0.35"/>
    <row r="88700" hidden="1" x14ac:dyDescent="0.35"/>
    <row r="88701" hidden="1" x14ac:dyDescent="0.35"/>
    <row r="88702" hidden="1" x14ac:dyDescent="0.35"/>
    <row r="88703" hidden="1" x14ac:dyDescent="0.35"/>
    <row r="88704" hidden="1" x14ac:dyDescent="0.35"/>
    <row r="88705" hidden="1" x14ac:dyDescent="0.35"/>
    <row r="88706" hidden="1" x14ac:dyDescent="0.35"/>
    <row r="88707" hidden="1" x14ac:dyDescent="0.35"/>
    <row r="88708" hidden="1" x14ac:dyDescent="0.35"/>
    <row r="88709" hidden="1" x14ac:dyDescent="0.35"/>
    <row r="88710" hidden="1" x14ac:dyDescent="0.35"/>
    <row r="88711" hidden="1" x14ac:dyDescent="0.35"/>
    <row r="88712" hidden="1" x14ac:dyDescent="0.35"/>
    <row r="88713" hidden="1" x14ac:dyDescent="0.35"/>
    <row r="88714" hidden="1" x14ac:dyDescent="0.35"/>
    <row r="88715" hidden="1" x14ac:dyDescent="0.35"/>
    <row r="88716" hidden="1" x14ac:dyDescent="0.35"/>
    <row r="88717" hidden="1" x14ac:dyDescent="0.35"/>
    <row r="88718" hidden="1" x14ac:dyDescent="0.35"/>
    <row r="88719" hidden="1" x14ac:dyDescent="0.35"/>
    <row r="88720" hidden="1" x14ac:dyDescent="0.35"/>
    <row r="88721" hidden="1" x14ac:dyDescent="0.35"/>
    <row r="88722" hidden="1" x14ac:dyDescent="0.35"/>
    <row r="88723" hidden="1" x14ac:dyDescent="0.35"/>
    <row r="88724" hidden="1" x14ac:dyDescent="0.35"/>
    <row r="88725" hidden="1" x14ac:dyDescent="0.35"/>
    <row r="88726" hidden="1" x14ac:dyDescent="0.35"/>
    <row r="88727" hidden="1" x14ac:dyDescent="0.35"/>
    <row r="88728" hidden="1" x14ac:dyDescent="0.35"/>
    <row r="88729" hidden="1" x14ac:dyDescent="0.35"/>
    <row r="88730" hidden="1" x14ac:dyDescent="0.35"/>
    <row r="88731" hidden="1" x14ac:dyDescent="0.35"/>
    <row r="88732" hidden="1" x14ac:dyDescent="0.35"/>
    <row r="88733" hidden="1" x14ac:dyDescent="0.35"/>
    <row r="88734" hidden="1" x14ac:dyDescent="0.35"/>
    <row r="88735" hidden="1" x14ac:dyDescent="0.35"/>
    <row r="88736" hidden="1" x14ac:dyDescent="0.35"/>
    <row r="88737" hidden="1" x14ac:dyDescent="0.35"/>
    <row r="88738" hidden="1" x14ac:dyDescent="0.35"/>
    <row r="88739" hidden="1" x14ac:dyDescent="0.35"/>
    <row r="88740" hidden="1" x14ac:dyDescent="0.35"/>
    <row r="88741" hidden="1" x14ac:dyDescent="0.35"/>
    <row r="88742" hidden="1" x14ac:dyDescent="0.35"/>
    <row r="88743" hidden="1" x14ac:dyDescent="0.35"/>
    <row r="88744" hidden="1" x14ac:dyDescent="0.35"/>
    <row r="88745" hidden="1" x14ac:dyDescent="0.35"/>
    <row r="88746" hidden="1" x14ac:dyDescent="0.35"/>
    <row r="88747" hidden="1" x14ac:dyDescent="0.35"/>
    <row r="88748" hidden="1" x14ac:dyDescent="0.35"/>
    <row r="88749" hidden="1" x14ac:dyDescent="0.35"/>
    <row r="88750" hidden="1" x14ac:dyDescent="0.35"/>
    <row r="88751" hidden="1" x14ac:dyDescent="0.35"/>
    <row r="88752" hidden="1" x14ac:dyDescent="0.35"/>
    <row r="88753" hidden="1" x14ac:dyDescent="0.35"/>
    <row r="88754" hidden="1" x14ac:dyDescent="0.35"/>
    <row r="88755" hidden="1" x14ac:dyDescent="0.35"/>
    <row r="88756" hidden="1" x14ac:dyDescent="0.35"/>
    <row r="88757" hidden="1" x14ac:dyDescent="0.35"/>
    <row r="88758" hidden="1" x14ac:dyDescent="0.35"/>
    <row r="88759" hidden="1" x14ac:dyDescent="0.35"/>
    <row r="88760" hidden="1" x14ac:dyDescent="0.35"/>
    <row r="88761" hidden="1" x14ac:dyDescent="0.35"/>
    <row r="88762" hidden="1" x14ac:dyDescent="0.35"/>
    <row r="88763" hidden="1" x14ac:dyDescent="0.35"/>
    <row r="88764" hidden="1" x14ac:dyDescent="0.35"/>
    <row r="88765" hidden="1" x14ac:dyDescent="0.35"/>
    <row r="88766" hidden="1" x14ac:dyDescent="0.35"/>
    <row r="88767" hidden="1" x14ac:dyDescent="0.35"/>
    <row r="88768" hidden="1" x14ac:dyDescent="0.35"/>
    <row r="88769" hidden="1" x14ac:dyDescent="0.35"/>
    <row r="88770" hidden="1" x14ac:dyDescent="0.35"/>
    <row r="88771" hidden="1" x14ac:dyDescent="0.35"/>
    <row r="88772" hidden="1" x14ac:dyDescent="0.35"/>
    <row r="88773" hidden="1" x14ac:dyDescent="0.35"/>
    <row r="88774" hidden="1" x14ac:dyDescent="0.35"/>
    <row r="88775" hidden="1" x14ac:dyDescent="0.35"/>
    <row r="88776" hidden="1" x14ac:dyDescent="0.35"/>
    <row r="88777" hidden="1" x14ac:dyDescent="0.35"/>
    <row r="88778" hidden="1" x14ac:dyDescent="0.35"/>
    <row r="88779" hidden="1" x14ac:dyDescent="0.35"/>
    <row r="88780" hidden="1" x14ac:dyDescent="0.35"/>
    <row r="88781" hidden="1" x14ac:dyDescent="0.35"/>
    <row r="88782" hidden="1" x14ac:dyDescent="0.35"/>
    <row r="88783" hidden="1" x14ac:dyDescent="0.35"/>
    <row r="88784" hidden="1" x14ac:dyDescent="0.35"/>
    <row r="88785" hidden="1" x14ac:dyDescent="0.35"/>
    <row r="88786" hidden="1" x14ac:dyDescent="0.35"/>
    <row r="88787" hidden="1" x14ac:dyDescent="0.35"/>
    <row r="88788" hidden="1" x14ac:dyDescent="0.35"/>
    <row r="88789" hidden="1" x14ac:dyDescent="0.35"/>
    <row r="88790" hidden="1" x14ac:dyDescent="0.35"/>
    <row r="88791" hidden="1" x14ac:dyDescent="0.35"/>
    <row r="88792" hidden="1" x14ac:dyDescent="0.35"/>
    <row r="88793" hidden="1" x14ac:dyDescent="0.35"/>
    <row r="88794" hidden="1" x14ac:dyDescent="0.35"/>
    <row r="88795" hidden="1" x14ac:dyDescent="0.35"/>
    <row r="88796" hidden="1" x14ac:dyDescent="0.35"/>
    <row r="88797" hidden="1" x14ac:dyDescent="0.35"/>
    <row r="88798" hidden="1" x14ac:dyDescent="0.35"/>
    <row r="88799" hidden="1" x14ac:dyDescent="0.35"/>
    <row r="88800" hidden="1" x14ac:dyDescent="0.35"/>
    <row r="88801" hidden="1" x14ac:dyDescent="0.35"/>
    <row r="88802" hidden="1" x14ac:dyDescent="0.35"/>
    <row r="88803" hidden="1" x14ac:dyDescent="0.35"/>
    <row r="88804" hidden="1" x14ac:dyDescent="0.35"/>
    <row r="88805" hidden="1" x14ac:dyDescent="0.35"/>
    <row r="88806" hidden="1" x14ac:dyDescent="0.35"/>
    <row r="88807" hidden="1" x14ac:dyDescent="0.35"/>
    <row r="88808" hidden="1" x14ac:dyDescent="0.35"/>
    <row r="88809" hidden="1" x14ac:dyDescent="0.35"/>
    <row r="88810" hidden="1" x14ac:dyDescent="0.35"/>
    <row r="88811" hidden="1" x14ac:dyDescent="0.35"/>
    <row r="88812" hidden="1" x14ac:dyDescent="0.35"/>
    <row r="88813" hidden="1" x14ac:dyDescent="0.35"/>
    <row r="88814" hidden="1" x14ac:dyDescent="0.35"/>
    <row r="88815" hidden="1" x14ac:dyDescent="0.35"/>
    <row r="88816" hidden="1" x14ac:dyDescent="0.35"/>
    <row r="88817" hidden="1" x14ac:dyDescent="0.35"/>
    <row r="88818" hidden="1" x14ac:dyDescent="0.35"/>
    <row r="88819" hidden="1" x14ac:dyDescent="0.35"/>
    <row r="88820" hidden="1" x14ac:dyDescent="0.35"/>
    <row r="88821" hidden="1" x14ac:dyDescent="0.35"/>
    <row r="88822" hidden="1" x14ac:dyDescent="0.35"/>
    <row r="88823" hidden="1" x14ac:dyDescent="0.35"/>
    <row r="88824" hidden="1" x14ac:dyDescent="0.35"/>
    <row r="88825" hidden="1" x14ac:dyDescent="0.35"/>
    <row r="88826" hidden="1" x14ac:dyDescent="0.35"/>
    <row r="88827" hidden="1" x14ac:dyDescent="0.35"/>
    <row r="88828" hidden="1" x14ac:dyDescent="0.35"/>
    <row r="88829" hidden="1" x14ac:dyDescent="0.35"/>
    <row r="88830" hidden="1" x14ac:dyDescent="0.35"/>
    <row r="88831" hidden="1" x14ac:dyDescent="0.35"/>
    <row r="88832" hidden="1" x14ac:dyDescent="0.35"/>
    <row r="88833" hidden="1" x14ac:dyDescent="0.35"/>
    <row r="88834" hidden="1" x14ac:dyDescent="0.35"/>
    <row r="88835" hidden="1" x14ac:dyDescent="0.35"/>
    <row r="88836" hidden="1" x14ac:dyDescent="0.35"/>
    <row r="88837" hidden="1" x14ac:dyDescent="0.35"/>
    <row r="88838" hidden="1" x14ac:dyDescent="0.35"/>
    <row r="88839" hidden="1" x14ac:dyDescent="0.35"/>
    <row r="88840" hidden="1" x14ac:dyDescent="0.35"/>
    <row r="88841" hidden="1" x14ac:dyDescent="0.35"/>
    <row r="88842" hidden="1" x14ac:dyDescent="0.35"/>
    <row r="88843" hidden="1" x14ac:dyDescent="0.35"/>
    <row r="88844" hidden="1" x14ac:dyDescent="0.35"/>
    <row r="88845" hidden="1" x14ac:dyDescent="0.35"/>
    <row r="88846" hidden="1" x14ac:dyDescent="0.35"/>
    <row r="88847" hidden="1" x14ac:dyDescent="0.35"/>
    <row r="88848" hidden="1" x14ac:dyDescent="0.35"/>
    <row r="88849" hidden="1" x14ac:dyDescent="0.35"/>
    <row r="88850" hidden="1" x14ac:dyDescent="0.35"/>
    <row r="88851" hidden="1" x14ac:dyDescent="0.35"/>
    <row r="88852" hidden="1" x14ac:dyDescent="0.35"/>
    <row r="88853" hidden="1" x14ac:dyDescent="0.35"/>
    <row r="88854" hidden="1" x14ac:dyDescent="0.35"/>
    <row r="88855" hidden="1" x14ac:dyDescent="0.35"/>
    <row r="88856" hidden="1" x14ac:dyDescent="0.35"/>
    <row r="88857" hidden="1" x14ac:dyDescent="0.35"/>
    <row r="88858" hidden="1" x14ac:dyDescent="0.35"/>
    <row r="88859" hidden="1" x14ac:dyDescent="0.35"/>
    <row r="88860" hidden="1" x14ac:dyDescent="0.35"/>
    <row r="88861" hidden="1" x14ac:dyDescent="0.35"/>
    <row r="88862" hidden="1" x14ac:dyDescent="0.35"/>
    <row r="88863" hidden="1" x14ac:dyDescent="0.35"/>
    <row r="88864" hidden="1" x14ac:dyDescent="0.35"/>
    <row r="88865" hidden="1" x14ac:dyDescent="0.35"/>
    <row r="88866" hidden="1" x14ac:dyDescent="0.35"/>
    <row r="88867" hidden="1" x14ac:dyDescent="0.35"/>
    <row r="88868" hidden="1" x14ac:dyDescent="0.35"/>
    <row r="88869" hidden="1" x14ac:dyDescent="0.35"/>
    <row r="88870" hidden="1" x14ac:dyDescent="0.35"/>
    <row r="88871" hidden="1" x14ac:dyDescent="0.35"/>
    <row r="88872" hidden="1" x14ac:dyDescent="0.35"/>
    <row r="88873" hidden="1" x14ac:dyDescent="0.35"/>
    <row r="88874" hidden="1" x14ac:dyDescent="0.35"/>
    <row r="88875" hidden="1" x14ac:dyDescent="0.35"/>
    <row r="88876" hidden="1" x14ac:dyDescent="0.35"/>
    <row r="88877" hidden="1" x14ac:dyDescent="0.35"/>
    <row r="88878" hidden="1" x14ac:dyDescent="0.35"/>
    <row r="88879" hidden="1" x14ac:dyDescent="0.35"/>
    <row r="88880" hidden="1" x14ac:dyDescent="0.35"/>
    <row r="88881" hidden="1" x14ac:dyDescent="0.35"/>
    <row r="88882" hidden="1" x14ac:dyDescent="0.35"/>
    <row r="88883" hidden="1" x14ac:dyDescent="0.35"/>
    <row r="88884" hidden="1" x14ac:dyDescent="0.35"/>
    <row r="88885" hidden="1" x14ac:dyDescent="0.35"/>
    <row r="88886" hidden="1" x14ac:dyDescent="0.35"/>
    <row r="88887" hidden="1" x14ac:dyDescent="0.35"/>
    <row r="88888" hidden="1" x14ac:dyDescent="0.35"/>
    <row r="88889" hidden="1" x14ac:dyDescent="0.35"/>
    <row r="88890" hidden="1" x14ac:dyDescent="0.35"/>
    <row r="88891" hidden="1" x14ac:dyDescent="0.35"/>
    <row r="88892" hidden="1" x14ac:dyDescent="0.35"/>
    <row r="88893" hidden="1" x14ac:dyDescent="0.35"/>
    <row r="88894" hidden="1" x14ac:dyDescent="0.35"/>
    <row r="88895" hidden="1" x14ac:dyDescent="0.35"/>
    <row r="88896" hidden="1" x14ac:dyDescent="0.35"/>
    <row r="88897" hidden="1" x14ac:dyDescent="0.35"/>
    <row r="88898" hidden="1" x14ac:dyDescent="0.35"/>
    <row r="88899" hidden="1" x14ac:dyDescent="0.35"/>
    <row r="88900" hidden="1" x14ac:dyDescent="0.35"/>
    <row r="88901" hidden="1" x14ac:dyDescent="0.35"/>
    <row r="88902" hidden="1" x14ac:dyDescent="0.35"/>
    <row r="88903" hidden="1" x14ac:dyDescent="0.35"/>
    <row r="88904" hidden="1" x14ac:dyDescent="0.35"/>
    <row r="88905" hidden="1" x14ac:dyDescent="0.35"/>
    <row r="88906" hidden="1" x14ac:dyDescent="0.35"/>
    <row r="88907" hidden="1" x14ac:dyDescent="0.35"/>
    <row r="88908" hidden="1" x14ac:dyDescent="0.35"/>
    <row r="88909" hidden="1" x14ac:dyDescent="0.35"/>
    <row r="88910" hidden="1" x14ac:dyDescent="0.35"/>
    <row r="88911" hidden="1" x14ac:dyDescent="0.35"/>
    <row r="88912" hidden="1" x14ac:dyDescent="0.35"/>
    <row r="88913" hidden="1" x14ac:dyDescent="0.35"/>
    <row r="88914" hidden="1" x14ac:dyDescent="0.35"/>
    <row r="88915" hidden="1" x14ac:dyDescent="0.35"/>
    <row r="88916" hidden="1" x14ac:dyDescent="0.35"/>
    <row r="88917" hidden="1" x14ac:dyDescent="0.35"/>
    <row r="88918" hidden="1" x14ac:dyDescent="0.35"/>
    <row r="88919" hidden="1" x14ac:dyDescent="0.35"/>
    <row r="88920" hidden="1" x14ac:dyDescent="0.35"/>
    <row r="88921" hidden="1" x14ac:dyDescent="0.35"/>
    <row r="88922" hidden="1" x14ac:dyDescent="0.35"/>
    <row r="88923" hidden="1" x14ac:dyDescent="0.35"/>
    <row r="88924" hidden="1" x14ac:dyDescent="0.35"/>
    <row r="88925" hidden="1" x14ac:dyDescent="0.35"/>
    <row r="88926" hidden="1" x14ac:dyDescent="0.35"/>
    <row r="88927" hidden="1" x14ac:dyDescent="0.35"/>
    <row r="88928" hidden="1" x14ac:dyDescent="0.35"/>
    <row r="88929" hidden="1" x14ac:dyDescent="0.35"/>
    <row r="88930" hidden="1" x14ac:dyDescent="0.35"/>
    <row r="88931" hidden="1" x14ac:dyDescent="0.35"/>
    <row r="88932" hidden="1" x14ac:dyDescent="0.35"/>
    <row r="88933" hidden="1" x14ac:dyDescent="0.35"/>
    <row r="88934" hidden="1" x14ac:dyDescent="0.35"/>
    <row r="88935" hidden="1" x14ac:dyDescent="0.35"/>
    <row r="88936" hidden="1" x14ac:dyDescent="0.35"/>
    <row r="88937" hidden="1" x14ac:dyDescent="0.35"/>
    <row r="88938" hidden="1" x14ac:dyDescent="0.35"/>
    <row r="88939" hidden="1" x14ac:dyDescent="0.35"/>
    <row r="88940" hidden="1" x14ac:dyDescent="0.35"/>
    <row r="88941" hidden="1" x14ac:dyDescent="0.35"/>
    <row r="88942" hidden="1" x14ac:dyDescent="0.35"/>
    <row r="88943" hidden="1" x14ac:dyDescent="0.35"/>
    <row r="88944" hidden="1" x14ac:dyDescent="0.35"/>
    <row r="88945" hidden="1" x14ac:dyDescent="0.35"/>
    <row r="88946" hidden="1" x14ac:dyDescent="0.35"/>
    <row r="88947" hidden="1" x14ac:dyDescent="0.35"/>
    <row r="88948" hidden="1" x14ac:dyDescent="0.35"/>
    <row r="88949" hidden="1" x14ac:dyDescent="0.35"/>
    <row r="88950" hidden="1" x14ac:dyDescent="0.35"/>
    <row r="88951" hidden="1" x14ac:dyDescent="0.35"/>
    <row r="88952" hidden="1" x14ac:dyDescent="0.35"/>
    <row r="88953" hidden="1" x14ac:dyDescent="0.35"/>
    <row r="88954" hidden="1" x14ac:dyDescent="0.35"/>
    <row r="88955" hidden="1" x14ac:dyDescent="0.35"/>
    <row r="88956" hidden="1" x14ac:dyDescent="0.35"/>
    <row r="88957" hidden="1" x14ac:dyDescent="0.35"/>
    <row r="88958" hidden="1" x14ac:dyDescent="0.35"/>
    <row r="88959" hidden="1" x14ac:dyDescent="0.35"/>
    <row r="88960" hidden="1" x14ac:dyDescent="0.35"/>
    <row r="88961" hidden="1" x14ac:dyDescent="0.35"/>
    <row r="88962" hidden="1" x14ac:dyDescent="0.35"/>
    <row r="88963" hidden="1" x14ac:dyDescent="0.35"/>
    <row r="88964" hidden="1" x14ac:dyDescent="0.35"/>
    <row r="88965" hidden="1" x14ac:dyDescent="0.35"/>
    <row r="88966" hidden="1" x14ac:dyDescent="0.35"/>
    <row r="88967" hidden="1" x14ac:dyDescent="0.35"/>
    <row r="88968" hidden="1" x14ac:dyDescent="0.35"/>
    <row r="88969" hidden="1" x14ac:dyDescent="0.35"/>
    <row r="88970" hidden="1" x14ac:dyDescent="0.35"/>
    <row r="88971" hidden="1" x14ac:dyDescent="0.35"/>
    <row r="88972" hidden="1" x14ac:dyDescent="0.35"/>
    <row r="88973" hidden="1" x14ac:dyDescent="0.35"/>
    <row r="88974" hidden="1" x14ac:dyDescent="0.35"/>
    <row r="88975" hidden="1" x14ac:dyDescent="0.35"/>
    <row r="88976" hidden="1" x14ac:dyDescent="0.35"/>
    <row r="88977" hidden="1" x14ac:dyDescent="0.35"/>
    <row r="88978" hidden="1" x14ac:dyDescent="0.35"/>
    <row r="88979" hidden="1" x14ac:dyDescent="0.35"/>
    <row r="88980" hidden="1" x14ac:dyDescent="0.35"/>
    <row r="88981" hidden="1" x14ac:dyDescent="0.35"/>
    <row r="88982" hidden="1" x14ac:dyDescent="0.35"/>
    <row r="88983" hidden="1" x14ac:dyDescent="0.35"/>
    <row r="88984" hidden="1" x14ac:dyDescent="0.35"/>
    <row r="88985" hidden="1" x14ac:dyDescent="0.35"/>
    <row r="88986" hidden="1" x14ac:dyDescent="0.35"/>
    <row r="88987" hidden="1" x14ac:dyDescent="0.35"/>
    <row r="88988" hidden="1" x14ac:dyDescent="0.35"/>
    <row r="88989" hidden="1" x14ac:dyDescent="0.35"/>
    <row r="88990" hidden="1" x14ac:dyDescent="0.35"/>
    <row r="88991" hidden="1" x14ac:dyDescent="0.35"/>
    <row r="88992" hidden="1" x14ac:dyDescent="0.35"/>
    <row r="88993" hidden="1" x14ac:dyDescent="0.35"/>
    <row r="88994" hidden="1" x14ac:dyDescent="0.35"/>
    <row r="88995" hidden="1" x14ac:dyDescent="0.35"/>
    <row r="88996" hidden="1" x14ac:dyDescent="0.35"/>
    <row r="88997" hidden="1" x14ac:dyDescent="0.35"/>
    <row r="88998" hidden="1" x14ac:dyDescent="0.35"/>
    <row r="88999" hidden="1" x14ac:dyDescent="0.35"/>
    <row r="89000" hidden="1" x14ac:dyDescent="0.35"/>
    <row r="89001" hidden="1" x14ac:dyDescent="0.35"/>
    <row r="89002" hidden="1" x14ac:dyDescent="0.35"/>
    <row r="89003" hidden="1" x14ac:dyDescent="0.35"/>
    <row r="89004" hidden="1" x14ac:dyDescent="0.35"/>
    <row r="89005" hidden="1" x14ac:dyDescent="0.35"/>
    <row r="89006" hidden="1" x14ac:dyDescent="0.35"/>
    <row r="89007" hidden="1" x14ac:dyDescent="0.35"/>
    <row r="89008" hidden="1" x14ac:dyDescent="0.35"/>
    <row r="89009" hidden="1" x14ac:dyDescent="0.35"/>
    <row r="89010" hidden="1" x14ac:dyDescent="0.35"/>
    <row r="89011" hidden="1" x14ac:dyDescent="0.35"/>
    <row r="89012" hidden="1" x14ac:dyDescent="0.35"/>
    <row r="89013" hidden="1" x14ac:dyDescent="0.35"/>
    <row r="89014" hidden="1" x14ac:dyDescent="0.35"/>
    <row r="89015" hidden="1" x14ac:dyDescent="0.35"/>
    <row r="89016" hidden="1" x14ac:dyDescent="0.35"/>
    <row r="89017" hidden="1" x14ac:dyDescent="0.35"/>
    <row r="89018" hidden="1" x14ac:dyDescent="0.35"/>
    <row r="89019" hidden="1" x14ac:dyDescent="0.35"/>
    <row r="89020" hidden="1" x14ac:dyDescent="0.35"/>
    <row r="89021" hidden="1" x14ac:dyDescent="0.35"/>
    <row r="89022" hidden="1" x14ac:dyDescent="0.35"/>
    <row r="89023" hidden="1" x14ac:dyDescent="0.35"/>
    <row r="89024" hidden="1" x14ac:dyDescent="0.35"/>
    <row r="89025" hidden="1" x14ac:dyDescent="0.35"/>
    <row r="89026" hidden="1" x14ac:dyDescent="0.35"/>
    <row r="89027" hidden="1" x14ac:dyDescent="0.35"/>
    <row r="89028" hidden="1" x14ac:dyDescent="0.35"/>
    <row r="89029" hidden="1" x14ac:dyDescent="0.35"/>
    <row r="89030" hidden="1" x14ac:dyDescent="0.35"/>
    <row r="89031" hidden="1" x14ac:dyDescent="0.35"/>
    <row r="89032" hidden="1" x14ac:dyDescent="0.35"/>
    <row r="89033" hidden="1" x14ac:dyDescent="0.35"/>
    <row r="89034" hidden="1" x14ac:dyDescent="0.35"/>
    <row r="89035" hidden="1" x14ac:dyDescent="0.35"/>
    <row r="89036" hidden="1" x14ac:dyDescent="0.35"/>
    <row r="89037" hidden="1" x14ac:dyDescent="0.35"/>
    <row r="89038" hidden="1" x14ac:dyDescent="0.35"/>
    <row r="89039" hidden="1" x14ac:dyDescent="0.35"/>
    <row r="89040" hidden="1" x14ac:dyDescent="0.35"/>
    <row r="89041" hidden="1" x14ac:dyDescent="0.35"/>
    <row r="89042" hidden="1" x14ac:dyDescent="0.35"/>
    <row r="89043" hidden="1" x14ac:dyDescent="0.35"/>
    <row r="89044" hidden="1" x14ac:dyDescent="0.35"/>
    <row r="89045" hidden="1" x14ac:dyDescent="0.35"/>
    <row r="89046" hidden="1" x14ac:dyDescent="0.35"/>
    <row r="89047" hidden="1" x14ac:dyDescent="0.35"/>
    <row r="89048" hidden="1" x14ac:dyDescent="0.35"/>
    <row r="89049" hidden="1" x14ac:dyDescent="0.35"/>
    <row r="89050" hidden="1" x14ac:dyDescent="0.35"/>
    <row r="89051" hidden="1" x14ac:dyDescent="0.35"/>
    <row r="89052" hidden="1" x14ac:dyDescent="0.35"/>
    <row r="89053" hidden="1" x14ac:dyDescent="0.35"/>
    <row r="89054" hidden="1" x14ac:dyDescent="0.35"/>
    <row r="89055" hidden="1" x14ac:dyDescent="0.35"/>
    <row r="89056" hidden="1" x14ac:dyDescent="0.35"/>
    <row r="89057" hidden="1" x14ac:dyDescent="0.35"/>
    <row r="89058" hidden="1" x14ac:dyDescent="0.35"/>
    <row r="89059" hidden="1" x14ac:dyDescent="0.35"/>
    <row r="89060" hidden="1" x14ac:dyDescent="0.35"/>
    <row r="89061" hidden="1" x14ac:dyDescent="0.35"/>
    <row r="89062" hidden="1" x14ac:dyDescent="0.35"/>
    <row r="89063" hidden="1" x14ac:dyDescent="0.35"/>
    <row r="89064" hidden="1" x14ac:dyDescent="0.35"/>
    <row r="89065" hidden="1" x14ac:dyDescent="0.35"/>
    <row r="89066" hidden="1" x14ac:dyDescent="0.35"/>
    <row r="89067" hidden="1" x14ac:dyDescent="0.35"/>
    <row r="89068" hidden="1" x14ac:dyDescent="0.35"/>
    <row r="89069" hidden="1" x14ac:dyDescent="0.35"/>
    <row r="89070" hidden="1" x14ac:dyDescent="0.35"/>
    <row r="89071" hidden="1" x14ac:dyDescent="0.35"/>
    <row r="89072" hidden="1" x14ac:dyDescent="0.35"/>
    <row r="89073" hidden="1" x14ac:dyDescent="0.35"/>
    <row r="89074" hidden="1" x14ac:dyDescent="0.35"/>
    <row r="89075" hidden="1" x14ac:dyDescent="0.35"/>
    <row r="89076" hidden="1" x14ac:dyDescent="0.35"/>
    <row r="89077" hidden="1" x14ac:dyDescent="0.35"/>
    <row r="89078" hidden="1" x14ac:dyDescent="0.35"/>
    <row r="89079" hidden="1" x14ac:dyDescent="0.35"/>
    <row r="89080" hidden="1" x14ac:dyDescent="0.35"/>
    <row r="89081" hidden="1" x14ac:dyDescent="0.35"/>
    <row r="89082" hidden="1" x14ac:dyDescent="0.35"/>
    <row r="89083" hidden="1" x14ac:dyDescent="0.35"/>
    <row r="89084" hidden="1" x14ac:dyDescent="0.35"/>
    <row r="89085" hidden="1" x14ac:dyDescent="0.35"/>
    <row r="89086" hidden="1" x14ac:dyDescent="0.35"/>
    <row r="89087" hidden="1" x14ac:dyDescent="0.35"/>
    <row r="89088" hidden="1" x14ac:dyDescent="0.35"/>
    <row r="89089" hidden="1" x14ac:dyDescent="0.35"/>
    <row r="89090" hidden="1" x14ac:dyDescent="0.35"/>
    <row r="89091" hidden="1" x14ac:dyDescent="0.35"/>
    <row r="89092" hidden="1" x14ac:dyDescent="0.35"/>
    <row r="89093" hidden="1" x14ac:dyDescent="0.35"/>
    <row r="89094" hidden="1" x14ac:dyDescent="0.35"/>
    <row r="89095" hidden="1" x14ac:dyDescent="0.35"/>
    <row r="89096" hidden="1" x14ac:dyDescent="0.35"/>
    <row r="89097" hidden="1" x14ac:dyDescent="0.35"/>
    <row r="89098" hidden="1" x14ac:dyDescent="0.35"/>
    <row r="89099" hidden="1" x14ac:dyDescent="0.35"/>
    <row r="89100" hidden="1" x14ac:dyDescent="0.35"/>
    <row r="89101" hidden="1" x14ac:dyDescent="0.35"/>
    <row r="89102" hidden="1" x14ac:dyDescent="0.35"/>
    <row r="89103" hidden="1" x14ac:dyDescent="0.35"/>
    <row r="89104" hidden="1" x14ac:dyDescent="0.35"/>
    <row r="89105" hidden="1" x14ac:dyDescent="0.35"/>
    <row r="89106" hidden="1" x14ac:dyDescent="0.35"/>
    <row r="89107" hidden="1" x14ac:dyDescent="0.35"/>
    <row r="89108" hidden="1" x14ac:dyDescent="0.35"/>
    <row r="89109" hidden="1" x14ac:dyDescent="0.35"/>
    <row r="89110" hidden="1" x14ac:dyDescent="0.35"/>
    <row r="89111" hidden="1" x14ac:dyDescent="0.35"/>
    <row r="89112" hidden="1" x14ac:dyDescent="0.35"/>
    <row r="89113" hidden="1" x14ac:dyDescent="0.35"/>
    <row r="89114" hidden="1" x14ac:dyDescent="0.35"/>
    <row r="89115" hidden="1" x14ac:dyDescent="0.35"/>
    <row r="89116" hidden="1" x14ac:dyDescent="0.35"/>
    <row r="89117" hidden="1" x14ac:dyDescent="0.35"/>
    <row r="89118" hidden="1" x14ac:dyDescent="0.35"/>
    <row r="89119" hidden="1" x14ac:dyDescent="0.35"/>
    <row r="89120" hidden="1" x14ac:dyDescent="0.35"/>
    <row r="89121" hidden="1" x14ac:dyDescent="0.35"/>
    <row r="89122" hidden="1" x14ac:dyDescent="0.35"/>
    <row r="89123" hidden="1" x14ac:dyDescent="0.35"/>
    <row r="89124" hidden="1" x14ac:dyDescent="0.35"/>
    <row r="89125" hidden="1" x14ac:dyDescent="0.35"/>
    <row r="89126" hidden="1" x14ac:dyDescent="0.35"/>
    <row r="89127" hidden="1" x14ac:dyDescent="0.35"/>
    <row r="89128" hidden="1" x14ac:dyDescent="0.35"/>
    <row r="89129" hidden="1" x14ac:dyDescent="0.35"/>
    <row r="89130" hidden="1" x14ac:dyDescent="0.35"/>
    <row r="89131" hidden="1" x14ac:dyDescent="0.35"/>
    <row r="89132" hidden="1" x14ac:dyDescent="0.35"/>
    <row r="89133" hidden="1" x14ac:dyDescent="0.35"/>
    <row r="89134" hidden="1" x14ac:dyDescent="0.35"/>
    <row r="89135" hidden="1" x14ac:dyDescent="0.35"/>
    <row r="89136" hidden="1" x14ac:dyDescent="0.35"/>
    <row r="89137" hidden="1" x14ac:dyDescent="0.35"/>
    <row r="89138" hidden="1" x14ac:dyDescent="0.35"/>
    <row r="89139" hidden="1" x14ac:dyDescent="0.35"/>
    <row r="89140" hidden="1" x14ac:dyDescent="0.35"/>
    <row r="89141" hidden="1" x14ac:dyDescent="0.35"/>
    <row r="89142" hidden="1" x14ac:dyDescent="0.35"/>
    <row r="89143" hidden="1" x14ac:dyDescent="0.35"/>
    <row r="89144" hidden="1" x14ac:dyDescent="0.35"/>
    <row r="89145" hidden="1" x14ac:dyDescent="0.35"/>
    <row r="89146" hidden="1" x14ac:dyDescent="0.35"/>
    <row r="89147" hidden="1" x14ac:dyDescent="0.35"/>
    <row r="89148" hidden="1" x14ac:dyDescent="0.35"/>
    <row r="89149" hidden="1" x14ac:dyDescent="0.35"/>
    <row r="89150" hidden="1" x14ac:dyDescent="0.35"/>
    <row r="89151" hidden="1" x14ac:dyDescent="0.35"/>
    <row r="89152" hidden="1" x14ac:dyDescent="0.35"/>
    <row r="89153" hidden="1" x14ac:dyDescent="0.35"/>
    <row r="89154" hidden="1" x14ac:dyDescent="0.35"/>
    <row r="89155" hidden="1" x14ac:dyDescent="0.35"/>
    <row r="89156" hidden="1" x14ac:dyDescent="0.35"/>
    <row r="89157" hidden="1" x14ac:dyDescent="0.35"/>
    <row r="89158" hidden="1" x14ac:dyDescent="0.35"/>
    <row r="89159" hidden="1" x14ac:dyDescent="0.35"/>
    <row r="89160" hidden="1" x14ac:dyDescent="0.35"/>
    <row r="89161" hidden="1" x14ac:dyDescent="0.35"/>
    <row r="89162" hidden="1" x14ac:dyDescent="0.35"/>
    <row r="89163" hidden="1" x14ac:dyDescent="0.35"/>
    <row r="89164" hidden="1" x14ac:dyDescent="0.35"/>
    <row r="89165" hidden="1" x14ac:dyDescent="0.35"/>
    <row r="89166" hidden="1" x14ac:dyDescent="0.35"/>
    <row r="89167" hidden="1" x14ac:dyDescent="0.35"/>
    <row r="89168" hidden="1" x14ac:dyDescent="0.35"/>
    <row r="89169" hidden="1" x14ac:dyDescent="0.35"/>
    <row r="89170" hidden="1" x14ac:dyDescent="0.35"/>
    <row r="89171" hidden="1" x14ac:dyDescent="0.35"/>
    <row r="89172" hidden="1" x14ac:dyDescent="0.35"/>
    <row r="89173" hidden="1" x14ac:dyDescent="0.35"/>
    <row r="89174" hidden="1" x14ac:dyDescent="0.35"/>
    <row r="89175" hidden="1" x14ac:dyDescent="0.35"/>
    <row r="89176" hidden="1" x14ac:dyDescent="0.35"/>
    <row r="89177" hidden="1" x14ac:dyDescent="0.35"/>
    <row r="89178" hidden="1" x14ac:dyDescent="0.35"/>
    <row r="89179" hidden="1" x14ac:dyDescent="0.35"/>
    <row r="89180" hidden="1" x14ac:dyDescent="0.35"/>
    <row r="89181" hidden="1" x14ac:dyDescent="0.35"/>
    <row r="89182" hidden="1" x14ac:dyDescent="0.35"/>
    <row r="89183" hidden="1" x14ac:dyDescent="0.35"/>
    <row r="89184" hidden="1" x14ac:dyDescent="0.35"/>
    <row r="89185" hidden="1" x14ac:dyDescent="0.35"/>
    <row r="89186" hidden="1" x14ac:dyDescent="0.35"/>
    <row r="89187" hidden="1" x14ac:dyDescent="0.35"/>
    <row r="89188" hidden="1" x14ac:dyDescent="0.35"/>
    <row r="89189" hidden="1" x14ac:dyDescent="0.35"/>
    <row r="89190" hidden="1" x14ac:dyDescent="0.35"/>
    <row r="89191" hidden="1" x14ac:dyDescent="0.35"/>
    <row r="89192" hidden="1" x14ac:dyDescent="0.35"/>
    <row r="89193" hidden="1" x14ac:dyDescent="0.35"/>
    <row r="89194" hidden="1" x14ac:dyDescent="0.35"/>
    <row r="89195" hidden="1" x14ac:dyDescent="0.35"/>
    <row r="89196" hidden="1" x14ac:dyDescent="0.35"/>
    <row r="89197" hidden="1" x14ac:dyDescent="0.35"/>
    <row r="89198" hidden="1" x14ac:dyDescent="0.35"/>
    <row r="89199" hidden="1" x14ac:dyDescent="0.35"/>
    <row r="89200" hidden="1" x14ac:dyDescent="0.35"/>
    <row r="89201" hidden="1" x14ac:dyDescent="0.35"/>
    <row r="89202" hidden="1" x14ac:dyDescent="0.35"/>
    <row r="89203" hidden="1" x14ac:dyDescent="0.35"/>
    <row r="89204" hidden="1" x14ac:dyDescent="0.35"/>
    <row r="89205" hidden="1" x14ac:dyDescent="0.35"/>
    <row r="89206" hidden="1" x14ac:dyDescent="0.35"/>
    <row r="89207" hidden="1" x14ac:dyDescent="0.35"/>
    <row r="89208" hidden="1" x14ac:dyDescent="0.35"/>
    <row r="89209" hidden="1" x14ac:dyDescent="0.35"/>
    <row r="89210" hidden="1" x14ac:dyDescent="0.35"/>
    <row r="89211" hidden="1" x14ac:dyDescent="0.35"/>
    <row r="89212" hidden="1" x14ac:dyDescent="0.35"/>
    <row r="89213" hidden="1" x14ac:dyDescent="0.35"/>
    <row r="89214" hidden="1" x14ac:dyDescent="0.35"/>
    <row r="89215" hidden="1" x14ac:dyDescent="0.35"/>
    <row r="89216" hidden="1" x14ac:dyDescent="0.35"/>
    <row r="89217" hidden="1" x14ac:dyDescent="0.35"/>
    <row r="89218" hidden="1" x14ac:dyDescent="0.35"/>
    <row r="89219" hidden="1" x14ac:dyDescent="0.35"/>
    <row r="89220" hidden="1" x14ac:dyDescent="0.35"/>
    <row r="89221" hidden="1" x14ac:dyDescent="0.35"/>
    <row r="89222" hidden="1" x14ac:dyDescent="0.35"/>
    <row r="89223" hidden="1" x14ac:dyDescent="0.35"/>
    <row r="89224" hidden="1" x14ac:dyDescent="0.35"/>
    <row r="89225" hidden="1" x14ac:dyDescent="0.35"/>
    <row r="89226" hidden="1" x14ac:dyDescent="0.35"/>
    <row r="89227" hidden="1" x14ac:dyDescent="0.35"/>
    <row r="89228" hidden="1" x14ac:dyDescent="0.35"/>
    <row r="89229" hidden="1" x14ac:dyDescent="0.35"/>
    <row r="89230" hidden="1" x14ac:dyDescent="0.35"/>
    <row r="89231" hidden="1" x14ac:dyDescent="0.35"/>
    <row r="89232" hidden="1" x14ac:dyDescent="0.35"/>
    <row r="89233" hidden="1" x14ac:dyDescent="0.35"/>
    <row r="89234" hidden="1" x14ac:dyDescent="0.35"/>
    <row r="89235" hidden="1" x14ac:dyDescent="0.35"/>
    <row r="89236" hidden="1" x14ac:dyDescent="0.35"/>
    <row r="89237" hidden="1" x14ac:dyDescent="0.35"/>
    <row r="89238" hidden="1" x14ac:dyDescent="0.35"/>
    <row r="89239" hidden="1" x14ac:dyDescent="0.35"/>
    <row r="89240" hidden="1" x14ac:dyDescent="0.35"/>
    <row r="89241" hidden="1" x14ac:dyDescent="0.35"/>
    <row r="89242" hidden="1" x14ac:dyDescent="0.35"/>
    <row r="89243" hidden="1" x14ac:dyDescent="0.35"/>
    <row r="89244" hidden="1" x14ac:dyDescent="0.35"/>
    <row r="89245" hidden="1" x14ac:dyDescent="0.35"/>
    <row r="89246" hidden="1" x14ac:dyDescent="0.35"/>
    <row r="89247" hidden="1" x14ac:dyDescent="0.35"/>
    <row r="89248" hidden="1" x14ac:dyDescent="0.35"/>
    <row r="89249" hidden="1" x14ac:dyDescent="0.35"/>
    <row r="89250" hidden="1" x14ac:dyDescent="0.35"/>
    <row r="89251" hidden="1" x14ac:dyDescent="0.35"/>
    <row r="89252" hidden="1" x14ac:dyDescent="0.35"/>
    <row r="89253" hidden="1" x14ac:dyDescent="0.35"/>
    <row r="89254" hidden="1" x14ac:dyDescent="0.35"/>
    <row r="89255" hidden="1" x14ac:dyDescent="0.35"/>
    <row r="89256" hidden="1" x14ac:dyDescent="0.35"/>
    <row r="89257" hidden="1" x14ac:dyDescent="0.35"/>
    <row r="89258" hidden="1" x14ac:dyDescent="0.35"/>
    <row r="89259" hidden="1" x14ac:dyDescent="0.35"/>
    <row r="89260" hidden="1" x14ac:dyDescent="0.35"/>
    <row r="89261" hidden="1" x14ac:dyDescent="0.35"/>
    <row r="89262" hidden="1" x14ac:dyDescent="0.35"/>
    <row r="89263" hidden="1" x14ac:dyDescent="0.35"/>
    <row r="89264" hidden="1" x14ac:dyDescent="0.35"/>
    <row r="89265" hidden="1" x14ac:dyDescent="0.35"/>
    <row r="89266" hidden="1" x14ac:dyDescent="0.35"/>
    <row r="89267" hidden="1" x14ac:dyDescent="0.35"/>
    <row r="89268" hidden="1" x14ac:dyDescent="0.35"/>
    <row r="89269" hidden="1" x14ac:dyDescent="0.35"/>
    <row r="89270" hidden="1" x14ac:dyDescent="0.35"/>
    <row r="89271" hidden="1" x14ac:dyDescent="0.35"/>
    <row r="89272" hidden="1" x14ac:dyDescent="0.35"/>
    <row r="89273" hidden="1" x14ac:dyDescent="0.35"/>
    <row r="89274" hidden="1" x14ac:dyDescent="0.35"/>
    <row r="89275" hidden="1" x14ac:dyDescent="0.35"/>
    <row r="89276" hidden="1" x14ac:dyDescent="0.35"/>
    <row r="89277" hidden="1" x14ac:dyDescent="0.35"/>
    <row r="89278" hidden="1" x14ac:dyDescent="0.35"/>
    <row r="89279" hidden="1" x14ac:dyDescent="0.35"/>
    <row r="89280" hidden="1" x14ac:dyDescent="0.35"/>
    <row r="89281" hidden="1" x14ac:dyDescent="0.35"/>
    <row r="89282" hidden="1" x14ac:dyDescent="0.35"/>
    <row r="89283" hidden="1" x14ac:dyDescent="0.35"/>
    <row r="89284" hidden="1" x14ac:dyDescent="0.35"/>
    <row r="89285" hidden="1" x14ac:dyDescent="0.35"/>
    <row r="89286" hidden="1" x14ac:dyDescent="0.35"/>
    <row r="89287" hidden="1" x14ac:dyDescent="0.35"/>
    <row r="89288" hidden="1" x14ac:dyDescent="0.35"/>
    <row r="89289" hidden="1" x14ac:dyDescent="0.35"/>
    <row r="89290" hidden="1" x14ac:dyDescent="0.35"/>
    <row r="89291" hidden="1" x14ac:dyDescent="0.35"/>
    <row r="89292" hidden="1" x14ac:dyDescent="0.35"/>
    <row r="89293" hidden="1" x14ac:dyDescent="0.35"/>
    <row r="89294" hidden="1" x14ac:dyDescent="0.35"/>
    <row r="89295" hidden="1" x14ac:dyDescent="0.35"/>
    <row r="89296" hidden="1" x14ac:dyDescent="0.35"/>
    <row r="89297" hidden="1" x14ac:dyDescent="0.35"/>
    <row r="89298" hidden="1" x14ac:dyDescent="0.35"/>
    <row r="89299" hidden="1" x14ac:dyDescent="0.35"/>
    <row r="89300" hidden="1" x14ac:dyDescent="0.35"/>
    <row r="89301" hidden="1" x14ac:dyDescent="0.35"/>
    <row r="89302" hidden="1" x14ac:dyDescent="0.35"/>
    <row r="89303" hidden="1" x14ac:dyDescent="0.35"/>
    <row r="89304" hidden="1" x14ac:dyDescent="0.35"/>
    <row r="89305" hidden="1" x14ac:dyDescent="0.35"/>
    <row r="89306" hidden="1" x14ac:dyDescent="0.35"/>
    <row r="89307" hidden="1" x14ac:dyDescent="0.35"/>
    <row r="89308" hidden="1" x14ac:dyDescent="0.35"/>
    <row r="89309" hidden="1" x14ac:dyDescent="0.35"/>
    <row r="89310" hidden="1" x14ac:dyDescent="0.35"/>
    <row r="89311" hidden="1" x14ac:dyDescent="0.35"/>
    <row r="89312" hidden="1" x14ac:dyDescent="0.35"/>
    <row r="89313" hidden="1" x14ac:dyDescent="0.35"/>
    <row r="89314" hidden="1" x14ac:dyDescent="0.35"/>
    <row r="89315" hidden="1" x14ac:dyDescent="0.35"/>
    <row r="89316" hidden="1" x14ac:dyDescent="0.35"/>
    <row r="89317" hidden="1" x14ac:dyDescent="0.35"/>
    <row r="89318" hidden="1" x14ac:dyDescent="0.35"/>
    <row r="89319" hidden="1" x14ac:dyDescent="0.35"/>
    <row r="89320" hidden="1" x14ac:dyDescent="0.35"/>
    <row r="89321" hidden="1" x14ac:dyDescent="0.35"/>
    <row r="89322" hidden="1" x14ac:dyDescent="0.35"/>
    <row r="89323" hidden="1" x14ac:dyDescent="0.35"/>
    <row r="89324" hidden="1" x14ac:dyDescent="0.35"/>
    <row r="89325" hidden="1" x14ac:dyDescent="0.35"/>
    <row r="89326" hidden="1" x14ac:dyDescent="0.35"/>
    <row r="89327" hidden="1" x14ac:dyDescent="0.35"/>
    <row r="89328" hidden="1" x14ac:dyDescent="0.35"/>
    <row r="89329" hidden="1" x14ac:dyDescent="0.35"/>
    <row r="89330" hidden="1" x14ac:dyDescent="0.35"/>
    <row r="89331" hidden="1" x14ac:dyDescent="0.35"/>
    <row r="89332" hidden="1" x14ac:dyDescent="0.35"/>
    <row r="89333" hidden="1" x14ac:dyDescent="0.35"/>
    <row r="89334" hidden="1" x14ac:dyDescent="0.35"/>
    <row r="89335" hidden="1" x14ac:dyDescent="0.35"/>
    <row r="89336" hidden="1" x14ac:dyDescent="0.35"/>
    <row r="89337" hidden="1" x14ac:dyDescent="0.35"/>
    <row r="89338" hidden="1" x14ac:dyDescent="0.35"/>
    <row r="89339" hidden="1" x14ac:dyDescent="0.35"/>
    <row r="89340" hidden="1" x14ac:dyDescent="0.35"/>
    <row r="89341" hidden="1" x14ac:dyDescent="0.35"/>
    <row r="89342" hidden="1" x14ac:dyDescent="0.35"/>
    <row r="89343" hidden="1" x14ac:dyDescent="0.35"/>
    <row r="89344" hidden="1" x14ac:dyDescent="0.35"/>
    <row r="89345" hidden="1" x14ac:dyDescent="0.35"/>
    <row r="89346" hidden="1" x14ac:dyDescent="0.35"/>
    <row r="89347" hidden="1" x14ac:dyDescent="0.35"/>
    <row r="89348" hidden="1" x14ac:dyDescent="0.35"/>
    <row r="89349" hidden="1" x14ac:dyDescent="0.35"/>
    <row r="89350" hidden="1" x14ac:dyDescent="0.35"/>
    <row r="89351" hidden="1" x14ac:dyDescent="0.35"/>
    <row r="89352" hidden="1" x14ac:dyDescent="0.35"/>
    <row r="89353" hidden="1" x14ac:dyDescent="0.35"/>
    <row r="89354" hidden="1" x14ac:dyDescent="0.35"/>
    <row r="89355" hidden="1" x14ac:dyDescent="0.35"/>
    <row r="89356" hidden="1" x14ac:dyDescent="0.35"/>
    <row r="89357" hidden="1" x14ac:dyDescent="0.35"/>
    <row r="89358" hidden="1" x14ac:dyDescent="0.35"/>
    <row r="89359" hidden="1" x14ac:dyDescent="0.35"/>
    <row r="89360" hidden="1" x14ac:dyDescent="0.35"/>
    <row r="89361" hidden="1" x14ac:dyDescent="0.35"/>
    <row r="89362" hidden="1" x14ac:dyDescent="0.35"/>
    <row r="89363" hidden="1" x14ac:dyDescent="0.35"/>
    <row r="89364" hidden="1" x14ac:dyDescent="0.35"/>
    <row r="89365" hidden="1" x14ac:dyDescent="0.35"/>
    <row r="89366" hidden="1" x14ac:dyDescent="0.35"/>
    <row r="89367" hidden="1" x14ac:dyDescent="0.35"/>
    <row r="89368" hidden="1" x14ac:dyDescent="0.35"/>
    <row r="89369" hidden="1" x14ac:dyDescent="0.35"/>
    <row r="89370" hidden="1" x14ac:dyDescent="0.35"/>
    <row r="89371" hidden="1" x14ac:dyDescent="0.35"/>
    <row r="89372" hidden="1" x14ac:dyDescent="0.35"/>
    <row r="89373" hidden="1" x14ac:dyDescent="0.35"/>
    <row r="89374" hidden="1" x14ac:dyDescent="0.35"/>
    <row r="89375" hidden="1" x14ac:dyDescent="0.35"/>
    <row r="89376" hidden="1" x14ac:dyDescent="0.35"/>
    <row r="89377" hidden="1" x14ac:dyDescent="0.35"/>
    <row r="89378" hidden="1" x14ac:dyDescent="0.35"/>
    <row r="89379" hidden="1" x14ac:dyDescent="0.35"/>
    <row r="89380" hidden="1" x14ac:dyDescent="0.35"/>
    <row r="89381" hidden="1" x14ac:dyDescent="0.35"/>
    <row r="89382" hidden="1" x14ac:dyDescent="0.35"/>
    <row r="89383" hidden="1" x14ac:dyDescent="0.35"/>
    <row r="89384" hidden="1" x14ac:dyDescent="0.35"/>
    <row r="89385" hidden="1" x14ac:dyDescent="0.35"/>
    <row r="89386" hidden="1" x14ac:dyDescent="0.35"/>
    <row r="89387" hidden="1" x14ac:dyDescent="0.35"/>
    <row r="89388" hidden="1" x14ac:dyDescent="0.35"/>
    <row r="89389" hidden="1" x14ac:dyDescent="0.35"/>
    <row r="89390" hidden="1" x14ac:dyDescent="0.35"/>
    <row r="89391" hidden="1" x14ac:dyDescent="0.35"/>
    <row r="89392" hidden="1" x14ac:dyDescent="0.35"/>
    <row r="89393" hidden="1" x14ac:dyDescent="0.35"/>
    <row r="89394" hidden="1" x14ac:dyDescent="0.35"/>
    <row r="89395" hidden="1" x14ac:dyDescent="0.35"/>
    <row r="89396" hidden="1" x14ac:dyDescent="0.35"/>
    <row r="89397" hidden="1" x14ac:dyDescent="0.35"/>
    <row r="89398" hidden="1" x14ac:dyDescent="0.35"/>
    <row r="89399" hidden="1" x14ac:dyDescent="0.35"/>
    <row r="89400" hidden="1" x14ac:dyDescent="0.35"/>
    <row r="89401" hidden="1" x14ac:dyDescent="0.35"/>
    <row r="89402" hidden="1" x14ac:dyDescent="0.35"/>
    <row r="89403" hidden="1" x14ac:dyDescent="0.35"/>
    <row r="89404" hidden="1" x14ac:dyDescent="0.35"/>
    <row r="89405" hidden="1" x14ac:dyDescent="0.35"/>
    <row r="89406" hidden="1" x14ac:dyDescent="0.35"/>
    <row r="89407" hidden="1" x14ac:dyDescent="0.35"/>
    <row r="89408" hidden="1" x14ac:dyDescent="0.35"/>
    <row r="89409" hidden="1" x14ac:dyDescent="0.35"/>
    <row r="89410" hidden="1" x14ac:dyDescent="0.35"/>
    <row r="89411" hidden="1" x14ac:dyDescent="0.35"/>
    <row r="89412" hidden="1" x14ac:dyDescent="0.35"/>
    <row r="89413" hidden="1" x14ac:dyDescent="0.35"/>
    <row r="89414" hidden="1" x14ac:dyDescent="0.35"/>
    <row r="89415" hidden="1" x14ac:dyDescent="0.35"/>
    <row r="89416" hidden="1" x14ac:dyDescent="0.35"/>
    <row r="89417" hidden="1" x14ac:dyDescent="0.35"/>
    <row r="89418" hidden="1" x14ac:dyDescent="0.35"/>
    <row r="89419" hidden="1" x14ac:dyDescent="0.35"/>
    <row r="89420" hidden="1" x14ac:dyDescent="0.35"/>
    <row r="89421" hidden="1" x14ac:dyDescent="0.35"/>
    <row r="89422" hidden="1" x14ac:dyDescent="0.35"/>
    <row r="89423" hidden="1" x14ac:dyDescent="0.35"/>
    <row r="89424" hidden="1" x14ac:dyDescent="0.35"/>
    <row r="89425" hidden="1" x14ac:dyDescent="0.35"/>
    <row r="89426" hidden="1" x14ac:dyDescent="0.35"/>
    <row r="89427" hidden="1" x14ac:dyDescent="0.35"/>
    <row r="89428" hidden="1" x14ac:dyDescent="0.35"/>
    <row r="89429" hidden="1" x14ac:dyDescent="0.35"/>
    <row r="89430" hidden="1" x14ac:dyDescent="0.35"/>
    <row r="89431" hidden="1" x14ac:dyDescent="0.35"/>
    <row r="89432" hidden="1" x14ac:dyDescent="0.35"/>
    <row r="89433" hidden="1" x14ac:dyDescent="0.35"/>
    <row r="89434" hidden="1" x14ac:dyDescent="0.35"/>
    <row r="89435" hidden="1" x14ac:dyDescent="0.35"/>
    <row r="89436" hidden="1" x14ac:dyDescent="0.35"/>
    <row r="89437" hidden="1" x14ac:dyDescent="0.35"/>
    <row r="89438" hidden="1" x14ac:dyDescent="0.35"/>
    <row r="89439" hidden="1" x14ac:dyDescent="0.35"/>
    <row r="89440" hidden="1" x14ac:dyDescent="0.35"/>
    <row r="89441" hidden="1" x14ac:dyDescent="0.35"/>
    <row r="89442" hidden="1" x14ac:dyDescent="0.35"/>
    <row r="89443" hidden="1" x14ac:dyDescent="0.35"/>
    <row r="89444" hidden="1" x14ac:dyDescent="0.35"/>
    <row r="89445" hidden="1" x14ac:dyDescent="0.35"/>
    <row r="89446" hidden="1" x14ac:dyDescent="0.35"/>
    <row r="89447" hidden="1" x14ac:dyDescent="0.35"/>
    <row r="89448" hidden="1" x14ac:dyDescent="0.35"/>
    <row r="89449" hidden="1" x14ac:dyDescent="0.35"/>
    <row r="89450" hidden="1" x14ac:dyDescent="0.35"/>
    <row r="89451" hidden="1" x14ac:dyDescent="0.35"/>
    <row r="89452" hidden="1" x14ac:dyDescent="0.35"/>
    <row r="89453" hidden="1" x14ac:dyDescent="0.35"/>
    <row r="89454" hidden="1" x14ac:dyDescent="0.35"/>
    <row r="89455" hidden="1" x14ac:dyDescent="0.35"/>
    <row r="89456" hidden="1" x14ac:dyDescent="0.35"/>
    <row r="89457" hidden="1" x14ac:dyDescent="0.35"/>
    <row r="89458" hidden="1" x14ac:dyDescent="0.35"/>
    <row r="89459" hidden="1" x14ac:dyDescent="0.35"/>
    <row r="89460" hidden="1" x14ac:dyDescent="0.35"/>
    <row r="89461" hidden="1" x14ac:dyDescent="0.35"/>
    <row r="89462" hidden="1" x14ac:dyDescent="0.35"/>
    <row r="89463" hidden="1" x14ac:dyDescent="0.35"/>
    <row r="89464" hidden="1" x14ac:dyDescent="0.35"/>
    <row r="89465" hidden="1" x14ac:dyDescent="0.35"/>
    <row r="89466" hidden="1" x14ac:dyDescent="0.35"/>
    <row r="89467" hidden="1" x14ac:dyDescent="0.35"/>
    <row r="89468" hidden="1" x14ac:dyDescent="0.35"/>
    <row r="89469" hidden="1" x14ac:dyDescent="0.35"/>
    <row r="89470" hidden="1" x14ac:dyDescent="0.35"/>
    <row r="89471" hidden="1" x14ac:dyDescent="0.35"/>
    <row r="89472" hidden="1" x14ac:dyDescent="0.35"/>
    <row r="89473" hidden="1" x14ac:dyDescent="0.35"/>
    <row r="89474" hidden="1" x14ac:dyDescent="0.35"/>
    <row r="89475" hidden="1" x14ac:dyDescent="0.35"/>
    <row r="89476" hidden="1" x14ac:dyDescent="0.35"/>
    <row r="89477" hidden="1" x14ac:dyDescent="0.35"/>
    <row r="89478" hidden="1" x14ac:dyDescent="0.35"/>
    <row r="89479" hidden="1" x14ac:dyDescent="0.35"/>
    <row r="89480" hidden="1" x14ac:dyDescent="0.35"/>
    <row r="89481" hidden="1" x14ac:dyDescent="0.35"/>
    <row r="89482" hidden="1" x14ac:dyDescent="0.35"/>
    <row r="89483" hidden="1" x14ac:dyDescent="0.35"/>
    <row r="89484" hidden="1" x14ac:dyDescent="0.35"/>
    <row r="89485" hidden="1" x14ac:dyDescent="0.35"/>
    <row r="89486" hidden="1" x14ac:dyDescent="0.35"/>
    <row r="89487" hidden="1" x14ac:dyDescent="0.35"/>
    <row r="89488" hidden="1" x14ac:dyDescent="0.35"/>
    <row r="89489" hidden="1" x14ac:dyDescent="0.35"/>
    <row r="89490" hidden="1" x14ac:dyDescent="0.35"/>
    <row r="89491" hidden="1" x14ac:dyDescent="0.35"/>
    <row r="89492" hidden="1" x14ac:dyDescent="0.35"/>
    <row r="89493" hidden="1" x14ac:dyDescent="0.35"/>
    <row r="89494" hidden="1" x14ac:dyDescent="0.35"/>
    <row r="89495" hidden="1" x14ac:dyDescent="0.35"/>
    <row r="89496" hidden="1" x14ac:dyDescent="0.35"/>
    <row r="89497" hidden="1" x14ac:dyDescent="0.35"/>
    <row r="89498" hidden="1" x14ac:dyDescent="0.35"/>
    <row r="89499" hidden="1" x14ac:dyDescent="0.35"/>
    <row r="89500" hidden="1" x14ac:dyDescent="0.35"/>
    <row r="89501" hidden="1" x14ac:dyDescent="0.35"/>
    <row r="89502" hidden="1" x14ac:dyDescent="0.35"/>
    <row r="89503" hidden="1" x14ac:dyDescent="0.35"/>
    <row r="89504" hidden="1" x14ac:dyDescent="0.35"/>
    <row r="89505" hidden="1" x14ac:dyDescent="0.35"/>
    <row r="89506" hidden="1" x14ac:dyDescent="0.35"/>
    <row r="89507" hidden="1" x14ac:dyDescent="0.35"/>
    <row r="89508" hidden="1" x14ac:dyDescent="0.35"/>
    <row r="89509" hidden="1" x14ac:dyDescent="0.35"/>
    <row r="89510" hidden="1" x14ac:dyDescent="0.35"/>
    <row r="89511" hidden="1" x14ac:dyDescent="0.35"/>
    <row r="89512" hidden="1" x14ac:dyDescent="0.35"/>
    <row r="89513" hidden="1" x14ac:dyDescent="0.35"/>
    <row r="89514" hidden="1" x14ac:dyDescent="0.35"/>
    <row r="89515" hidden="1" x14ac:dyDescent="0.35"/>
    <row r="89516" hidden="1" x14ac:dyDescent="0.35"/>
    <row r="89517" hidden="1" x14ac:dyDescent="0.35"/>
    <row r="89518" hidden="1" x14ac:dyDescent="0.35"/>
    <row r="89519" hidden="1" x14ac:dyDescent="0.35"/>
    <row r="89520" hidden="1" x14ac:dyDescent="0.35"/>
    <row r="89521" hidden="1" x14ac:dyDescent="0.35"/>
    <row r="89522" hidden="1" x14ac:dyDescent="0.35"/>
    <row r="89523" hidden="1" x14ac:dyDescent="0.35"/>
    <row r="89524" hidden="1" x14ac:dyDescent="0.35"/>
    <row r="89525" hidden="1" x14ac:dyDescent="0.35"/>
    <row r="89526" hidden="1" x14ac:dyDescent="0.35"/>
    <row r="89527" hidden="1" x14ac:dyDescent="0.35"/>
    <row r="89528" hidden="1" x14ac:dyDescent="0.35"/>
    <row r="89529" hidden="1" x14ac:dyDescent="0.35"/>
    <row r="89530" hidden="1" x14ac:dyDescent="0.35"/>
    <row r="89531" hidden="1" x14ac:dyDescent="0.35"/>
    <row r="89532" hidden="1" x14ac:dyDescent="0.35"/>
    <row r="89533" hidden="1" x14ac:dyDescent="0.35"/>
    <row r="89534" hidden="1" x14ac:dyDescent="0.35"/>
    <row r="89535" hidden="1" x14ac:dyDescent="0.35"/>
    <row r="89536" hidden="1" x14ac:dyDescent="0.35"/>
    <row r="89537" hidden="1" x14ac:dyDescent="0.35"/>
    <row r="89538" hidden="1" x14ac:dyDescent="0.35"/>
    <row r="89539" hidden="1" x14ac:dyDescent="0.35"/>
    <row r="89540" hidden="1" x14ac:dyDescent="0.35"/>
    <row r="89541" hidden="1" x14ac:dyDescent="0.35"/>
    <row r="89542" hidden="1" x14ac:dyDescent="0.35"/>
    <row r="89543" hidden="1" x14ac:dyDescent="0.35"/>
    <row r="89544" hidden="1" x14ac:dyDescent="0.35"/>
    <row r="89545" hidden="1" x14ac:dyDescent="0.35"/>
    <row r="89546" hidden="1" x14ac:dyDescent="0.35"/>
    <row r="89547" hidden="1" x14ac:dyDescent="0.35"/>
    <row r="89548" hidden="1" x14ac:dyDescent="0.35"/>
    <row r="89549" hidden="1" x14ac:dyDescent="0.35"/>
    <row r="89550" hidden="1" x14ac:dyDescent="0.35"/>
    <row r="89551" hidden="1" x14ac:dyDescent="0.35"/>
    <row r="89552" hidden="1" x14ac:dyDescent="0.35"/>
    <row r="89553" hidden="1" x14ac:dyDescent="0.35"/>
    <row r="89554" hidden="1" x14ac:dyDescent="0.35"/>
    <row r="89555" hidden="1" x14ac:dyDescent="0.35"/>
    <row r="89556" hidden="1" x14ac:dyDescent="0.35"/>
    <row r="89557" hidden="1" x14ac:dyDescent="0.35"/>
    <row r="89558" hidden="1" x14ac:dyDescent="0.35"/>
    <row r="89559" hidden="1" x14ac:dyDescent="0.35"/>
    <row r="89560" hidden="1" x14ac:dyDescent="0.35"/>
    <row r="89561" hidden="1" x14ac:dyDescent="0.35"/>
    <row r="89562" hidden="1" x14ac:dyDescent="0.35"/>
    <row r="89563" hidden="1" x14ac:dyDescent="0.35"/>
    <row r="89564" hidden="1" x14ac:dyDescent="0.35"/>
    <row r="89565" hidden="1" x14ac:dyDescent="0.35"/>
    <row r="89566" hidden="1" x14ac:dyDescent="0.35"/>
    <row r="89567" hidden="1" x14ac:dyDescent="0.35"/>
    <row r="89568" hidden="1" x14ac:dyDescent="0.35"/>
    <row r="89569" hidden="1" x14ac:dyDescent="0.35"/>
    <row r="89570" hidden="1" x14ac:dyDescent="0.35"/>
    <row r="89571" hidden="1" x14ac:dyDescent="0.35"/>
    <row r="89572" hidden="1" x14ac:dyDescent="0.35"/>
    <row r="89573" hidden="1" x14ac:dyDescent="0.35"/>
    <row r="89574" hidden="1" x14ac:dyDescent="0.35"/>
    <row r="89575" hidden="1" x14ac:dyDescent="0.35"/>
    <row r="89576" hidden="1" x14ac:dyDescent="0.35"/>
    <row r="89577" hidden="1" x14ac:dyDescent="0.35"/>
    <row r="89578" hidden="1" x14ac:dyDescent="0.35"/>
    <row r="89579" hidden="1" x14ac:dyDescent="0.35"/>
    <row r="89580" hidden="1" x14ac:dyDescent="0.35"/>
    <row r="89581" hidden="1" x14ac:dyDescent="0.35"/>
    <row r="89582" hidden="1" x14ac:dyDescent="0.35"/>
    <row r="89583" hidden="1" x14ac:dyDescent="0.35"/>
    <row r="89584" hidden="1" x14ac:dyDescent="0.35"/>
    <row r="89585" hidden="1" x14ac:dyDescent="0.35"/>
    <row r="89586" hidden="1" x14ac:dyDescent="0.35"/>
    <row r="89587" hidden="1" x14ac:dyDescent="0.35"/>
    <row r="89588" hidden="1" x14ac:dyDescent="0.35"/>
    <row r="89589" hidden="1" x14ac:dyDescent="0.35"/>
    <row r="89590" hidden="1" x14ac:dyDescent="0.35"/>
    <row r="89591" hidden="1" x14ac:dyDescent="0.35"/>
    <row r="89592" hidden="1" x14ac:dyDescent="0.35"/>
    <row r="89593" hidden="1" x14ac:dyDescent="0.35"/>
    <row r="89594" hidden="1" x14ac:dyDescent="0.35"/>
    <row r="89595" hidden="1" x14ac:dyDescent="0.35"/>
    <row r="89596" hidden="1" x14ac:dyDescent="0.35"/>
    <row r="89597" hidden="1" x14ac:dyDescent="0.35"/>
    <row r="89598" hidden="1" x14ac:dyDescent="0.35"/>
    <row r="89599" hidden="1" x14ac:dyDescent="0.35"/>
    <row r="89600" hidden="1" x14ac:dyDescent="0.35"/>
    <row r="89601" hidden="1" x14ac:dyDescent="0.35"/>
    <row r="89602" hidden="1" x14ac:dyDescent="0.35"/>
    <row r="89603" hidden="1" x14ac:dyDescent="0.35"/>
    <row r="89604" hidden="1" x14ac:dyDescent="0.35"/>
    <row r="89605" hidden="1" x14ac:dyDescent="0.35"/>
    <row r="89606" hidden="1" x14ac:dyDescent="0.35"/>
    <row r="89607" hidden="1" x14ac:dyDescent="0.35"/>
    <row r="89608" hidden="1" x14ac:dyDescent="0.35"/>
    <row r="89609" hidden="1" x14ac:dyDescent="0.35"/>
    <row r="89610" hidden="1" x14ac:dyDescent="0.35"/>
    <row r="89611" hidden="1" x14ac:dyDescent="0.35"/>
    <row r="89612" hidden="1" x14ac:dyDescent="0.35"/>
    <row r="89613" hidden="1" x14ac:dyDescent="0.35"/>
    <row r="89614" hidden="1" x14ac:dyDescent="0.35"/>
    <row r="89615" hidden="1" x14ac:dyDescent="0.35"/>
    <row r="89616" hidden="1" x14ac:dyDescent="0.35"/>
    <row r="89617" hidden="1" x14ac:dyDescent="0.35"/>
    <row r="89618" hidden="1" x14ac:dyDescent="0.35"/>
    <row r="89619" hidden="1" x14ac:dyDescent="0.35"/>
    <row r="89620" hidden="1" x14ac:dyDescent="0.35"/>
    <row r="89621" hidden="1" x14ac:dyDescent="0.35"/>
    <row r="89622" hidden="1" x14ac:dyDescent="0.35"/>
    <row r="89623" hidden="1" x14ac:dyDescent="0.35"/>
    <row r="89624" hidden="1" x14ac:dyDescent="0.35"/>
    <row r="89625" hidden="1" x14ac:dyDescent="0.35"/>
    <row r="89626" hidden="1" x14ac:dyDescent="0.35"/>
    <row r="89627" hidden="1" x14ac:dyDescent="0.35"/>
    <row r="89628" hidden="1" x14ac:dyDescent="0.35"/>
    <row r="89629" hidden="1" x14ac:dyDescent="0.35"/>
    <row r="89630" hidden="1" x14ac:dyDescent="0.35"/>
    <row r="89631" hidden="1" x14ac:dyDescent="0.35"/>
    <row r="89632" hidden="1" x14ac:dyDescent="0.35"/>
    <row r="89633" hidden="1" x14ac:dyDescent="0.35"/>
    <row r="89634" hidden="1" x14ac:dyDescent="0.35"/>
    <row r="89635" hidden="1" x14ac:dyDescent="0.35"/>
    <row r="89636" hidden="1" x14ac:dyDescent="0.35"/>
    <row r="89637" hidden="1" x14ac:dyDescent="0.35"/>
    <row r="89638" hidden="1" x14ac:dyDescent="0.35"/>
    <row r="89639" hidden="1" x14ac:dyDescent="0.35"/>
    <row r="89640" hidden="1" x14ac:dyDescent="0.35"/>
    <row r="89641" hidden="1" x14ac:dyDescent="0.35"/>
    <row r="89642" hidden="1" x14ac:dyDescent="0.35"/>
    <row r="89643" hidden="1" x14ac:dyDescent="0.35"/>
    <row r="89644" hidden="1" x14ac:dyDescent="0.35"/>
    <row r="89645" hidden="1" x14ac:dyDescent="0.35"/>
    <row r="89646" hidden="1" x14ac:dyDescent="0.35"/>
    <row r="89647" hidden="1" x14ac:dyDescent="0.35"/>
    <row r="89648" hidden="1" x14ac:dyDescent="0.35"/>
    <row r="89649" hidden="1" x14ac:dyDescent="0.35"/>
    <row r="89650" hidden="1" x14ac:dyDescent="0.35"/>
    <row r="89651" hidden="1" x14ac:dyDescent="0.35"/>
    <row r="89652" hidden="1" x14ac:dyDescent="0.35"/>
    <row r="89653" hidden="1" x14ac:dyDescent="0.35"/>
    <row r="89654" hidden="1" x14ac:dyDescent="0.35"/>
    <row r="89655" hidden="1" x14ac:dyDescent="0.35"/>
    <row r="89656" hidden="1" x14ac:dyDescent="0.35"/>
    <row r="89657" hidden="1" x14ac:dyDescent="0.35"/>
    <row r="89658" hidden="1" x14ac:dyDescent="0.35"/>
    <row r="89659" hidden="1" x14ac:dyDescent="0.35"/>
    <row r="89660" hidden="1" x14ac:dyDescent="0.35"/>
    <row r="89661" hidden="1" x14ac:dyDescent="0.35"/>
    <row r="89662" hidden="1" x14ac:dyDescent="0.35"/>
    <row r="89663" hidden="1" x14ac:dyDescent="0.35"/>
    <row r="89664" hidden="1" x14ac:dyDescent="0.35"/>
    <row r="89665" hidden="1" x14ac:dyDescent="0.35"/>
    <row r="89666" hidden="1" x14ac:dyDescent="0.35"/>
    <row r="89667" hidden="1" x14ac:dyDescent="0.35"/>
    <row r="89668" hidden="1" x14ac:dyDescent="0.35"/>
    <row r="89669" hidden="1" x14ac:dyDescent="0.35"/>
    <row r="89670" hidden="1" x14ac:dyDescent="0.35"/>
    <row r="89671" hidden="1" x14ac:dyDescent="0.35"/>
    <row r="89672" hidden="1" x14ac:dyDescent="0.35"/>
    <row r="89673" hidden="1" x14ac:dyDescent="0.35"/>
    <row r="89674" hidden="1" x14ac:dyDescent="0.35"/>
    <row r="89675" hidden="1" x14ac:dyDescent="0.35"/>
    <row r="89676" hidden="1" x14ac:dyDescent="0.35"/>
    <row r="89677" hidden="1" x14ac:dyDescent="0.35"/>
    <row r="89678" hidden="1" x14ac:dyDescent="0.35"/>
    <row r="89679" hidden="1" x14ac:dyDescent="0.35"/>
    <row r="89680" hidden="1" x14ac:dyDescent="0.35"/>
    <row r="89681" hidden="1" x14ac:dyDescent="0.35"/>
    <row r="89682" hidden="1" x14ac:dyDescent="0.35"/>
    <row r="89683" hidden="1" x14ac:dyDescent="0.35"/>
    <row r="89684" hidden="1" x14ac:dyDescent="0.35"/>
    <row r="89685" hidden="1" x14ac:dyDescent="0.35"/>
    <row r="89686" hidden="1" x14ac:dyDescent="0.35"/>
    <row r="89687" hidden="1" x14ac:dyDescent="0.35"/>
    <row r="89688" hidden="1" x14ac:dyDescent="0.35"/>
    <row r="89689" hidden="1" x14ac:dyDescent="0.35"/>
    <row r="89690" hidden="1" x14ac:dyDescent="0.35"/>
    <row r="89691" hidden="1" x14ac:dyDescent="0.35"/>
    <row r="89692" hidden="1" x14ac:dyDescent="0.35"/>
    <row r="89693" hidden="1" x14ac:dyDescent="0.35"/>
    <row r="89694" hidden="1" x14ac:dyDescent="0.35"/>
    <row r="89695" hidden="1" x14ac:dyDescent="0.35"/>
    <row r="89696" hidden="1" x14ac:dyDescent="0.35"/>
    <row r="89697" hidden="1" x14ac:dyDescent="0.35"/>
    <row r="89698" hidden="1" x14ac:dyDescent="0.35"/>
    <row r="89699" hidden="1" x14ac:dyDescent="0.35"/>
    <row r="89700" hidden="1" x14ac:dyDescent="0.35"/>
    <row r="89701" hidden="1" x14ac:dyDescent="0.35"/>
    <row r="89702" hidden="1" x14ac:dyDescent="0.35"/>
    <row r="89703" hidden="1" x14ac:dyDescent="0.35"/>
    <row r="89704" hidden="1" x14ac:dyDescent="0.35"/>
    <row r="89705" hidden="1" x14ac:dyDescent="0.35"/>
    <row r="89706" hidden="1" x14ac:dyDescent="0.35"/>
    <row r="89707" hidden="1" x14ac:dyDescent="0.35"/>
    <row r="89708" hidden="1" x14ac:dyDescent="0.35"/>
    <row r="89709" hidden="1" x14ac:dyDescent="0.35"/>
    <row r="89710" hidden="1" x14ac:dyDescent="0.35"/>
    <row r="89711" hidden="1" x14ac:dyDescent="0.35"/>
    <row r="89712" hidden="1" x14ac:dyDescent="0.35"/>
    <row r="89713" hidden="1" x14ac:dyDescent="0.35"/>
    <row r="89714" hidden="1" x14ac:dyDescent="0.35"/>
    <row r="89715" hidden="1" x14ac:dyDescent="0.35"/>
    <row r="89716" hidden="1" x14ac:dyDescent="0.35"/>
    <row r="89717" hidden="1" x14ac:dyDescent="0.35"/>
    <row r="89718" hidden="1" x14ac:dyDescent="0.35"/>
    <row r="89719" hidden="1" x14ac:dyDescent="0.35"/>
    <row r="89720" hidden="1" x14ac:dyDescent="0.35"/>
    <row r="89721" hidden="1" x14ac:dyDescent="0.35"/>
    <row r="89722" hidden="1" x14ac:dyDescent="0.35"/>
    <row r="89723" hidden="1" x14ac:dyDescent="0.35"/>
    <row r="89724" hidden="1" x14ac:dyDescent="0.35"/>
    <row r="89725" hidden="1" x14ac:dyDescent="0.35"/>
    <row r="89726" hidden="1" x14ac:dyDescent="0.35"/>
    <row r="89727" hidden="1" x14ac:dyDescent="0.35"/>
    <row r="89728" hidden="1" x14ac:dyDescent="0.35"/>
    <row r="89729" hidden="1" x14ac:dyDescent="0.35"/>
    <row r="89730" hidden="1" x14ac:dyDescent="0.35"/>
    <row r="89731" hidden="1" x14ac:dyDescent="0.35"/>
    <row r="89732" hidden="1" x14ac:dyDescent="0.35"/>
    <row r="89733" hidden="1" x14ac:dyDescent="0.35"/>
    <row r="89734" hidden="1" x14ac:dyDescent="0.35"/>
    <row r="89735" hidden="1" x14ac:dyDescent="0.35"/>
    <row r="89736" hidden="1" x14ac:dyDescent="0.35"/>
    <row r="89737" hidden="1" x14ac:dyDescent="0.35"/>
    <row r="89738" hidden="1" x14ac:dyDescent="0.35"/>
    <row r="89739" hidden="1" x14ac:dyDescent="0.35"/>
    <row r="89740" hidden="1" x14ac:dyDescent="0.35"/>
    <row r="89741" hidden="1" x14ac:dyDescent="0.35"/>
    <row r="89742" hidden="1" x14ac:dyDescent="0.35"/>
    <row r="89743" hidden="1" x14ac:dyDescent="0.35"/>
    <row r="89744" hidden="1" x14ac:dyDescent="0.35"/>
    <row r="89745" hidden="1" x14ac:dyDescent="0.35"/>
    <row r="89746" hidden="1" x14ac:dyDescent="0.35"/>
    <row r="89747" hidden="1" x14ac:dyDescent="0.35"/>
    <row r="89748" hidden="1" x14ac:dyDescent="0.35"/>
    <row r="89749" hidden="1" x14ac:dyDescent="0.35"/>
    <row r="89750" hidden="1" x14ac:dyDescent="0.35"/>
    <row r="89751" hidden="1" x14ac:dyDescent="0.35"/>
    <row r="89752" hidden="1" x14ac:dyDescent="0.35"/>
    <row r="89753" hidden="1" x14ac:dyDescent="0.35"/>
    <row r="89754" hidden="1" x14ac:dyDescent="0.35"/>
    <row r="89755" hidden="1" x14ac:dyDescent="0.35"/>
    <row r="89756" hidden="1" x14ac:dyDescent="0.35"/>
    <row r="89757" hidden="1" x14ac:dyDescent="0.35"/>
    <row r="89758" hidden="1" x14ac:dyDescent="0.35"/>
    <row r="89759" hidden="1" x14ac:dyDescent="0.35"/>
    <row r="89760" hidden="1" x14ac:dyDescent="0.35"/>
    <row r="89761" hidden="1" x14ac:dyDescent="0.35"/>
    <row r="89762" hidden="1" x14ac:dyDescent="0.35"/>
    <row r="89763" hidden="1" x14ac:dyDescent="0.35"/>
    <row r="89764" hidden="1" x14ac:dyDescent="0.35"/>
    <row r="89765" hidden="1" x14ac:dyDescent="0.35"/>
    <row r="89766" hidden="1" x14ac:dyDescent="0.35"/>
    <row r="89767" hidden="1" x14ac:dyDescent="0.35"/>
    <row r="89768" hidden="1" x14ac:dyDescent="0.35"/>
    <row r="89769" hidden="1" x14ac:dyDescent="0.35"/>
    <row r="89770" hidden="1" x14ac:dyDescent="0.35"/>
    <row r="89771" hidden="1" x14ac:dyDescent="0.35"/>
    <row r="89772" hidden="1" x14ac:dyDescent="0.35"/>
    <row r="89773" hidden="1" x14ac:dyDescent="0.35"/>
    <row r="89774" hidden="1" x14ac:dyDescent="0.35"/>
    <row r="89775" hidden="1" x14ac:dyDescent="0.35"/>
    <row r="89776" hidden="1" x14ac:dyDescent="0.35"/>
    <row r="89777" hidden="1" x14ac:dyDescent="0.35"/>
    <row r="89778" hidden="1" x14ac:dyDescent="0.35"/>
    <row r="89779" hidden="1" x14ac:dyDescent="0.35"/>
    <row r="89780" hidden="1" x14ac:dyDescent="0.35"/>
    <row r="89781" hidden="1" x14ac:dyDescent="0.35"/>
    <row r="89782" hidden="1" x14ac:dyDescent="0.35"/>
    <row r="89783" hidden="1" x14ac:dyDescent="0.35"/>
    <row r="89784" hidden="1" x14ac:dyDescent="0.35"/>
    <row r="89785" hidden="1" x14ac:dyDescent="0.35"/>
    <row r="89786" hidden="1" x14ac:dyDescent="0.35"/>
    <row r="89787" hidden="1" x14ac:dyDescent="0.35"/>
    <row r="89788" hidden="1" x14ac:dyDescent="0.35"/>
    <row r="89789" hidden="1" x14ac:dyDescent="0.35"/>
    <row r="89790" hidden="1" x14ac:dyDescent="0.35"/>
    <row r="89791" hidden="1" x14ac:dyDescent="0.35"/>
    <row r="89792" hidden="1" x14ac:dyDescent="0.35"/>
    <row r="89793" hidden="1" x14ac:dyDescent="0.35"/>
    <row r="89794" hidden="1" x14ac:dyDescent="0.35"/>
    <row r="89795" hidden="1" x14ac:dyDescent="0.35"/>
    <row r="89796" hidden="1" x14ac:dyDescent="0.35"/>
    <row r="89797" hidden="1" x14ac:dyDescent="0.35"/>
    <row r="89798" hidden="1" x14ac:dyDescent="0.35"/>
    <row r="89799" hidden="1" x14ac:dyDescent="0.35"/>
    <row r="89800" hidden="1" x14ac:dyDescent="0.35"/>
    <row r="89801" hidden="1" x14ac:dyDescent="0.35"/>
    <row r="89802" hidden="1" x14ac:dyDescent="0.35"/>
    <row r="89803" hidden="1" x14ac:dyDescent="0.35"/>
    <row r="89804" hidden="1" x14ac:dyDescent="0.35"/>
    <row r="89805" hidden="1" x14ac:dyDescent="0.35"/>
    <row r="89806" hidden="1" x14ac:dyDescent="0.35"/>
    <row r="89807" hidden="1" x14ac:dyDescent="0.35"/>
    <row r="89808" hidden="1" x14ac:dyDescent="0.35"/>
    <row r="89809" hidden="1" x14ac:dyDescent="0.35"/>
    <row r="89810" hidden="1" x14ac:dyDescent="0.35"/>
    <row r="89811" hidden="1" x14ac:dyDescent="0.35"/>
    <row r="89812" hidden="1" x14ac:dyDescent="0.35"/>
    <row r="89813" hidden="1" x14ac:dyDescent="0.35"/>
    <row r="89814" hidden="1" x14ac:dyDescent="0.35"/>
    <row r="89815" hidden="1" x14ac:dyDescent="0.35"/>
    <row r="89816" hidden="1" x14ac:dyDescent="0.35"/>
    <row r="89817" hidden="1" x14ac:dyDescent="0.35"/>
    <row r="89818" hidden="1" x14ac:dyDescent="0.35"/>
    <row r="89819" hidden="1" x14ac:dyDescent="0.35"/>
    <row r="89820" hidden="1" x14ac:dyDescent="0.35"/>
    <row r="89821" hidden="1" x14ac:dyDescent="0.35"/>
    <row r="89822" hidden="1" x14ac:dyDescent="0.35"/>
    <row r="89823" hidden="1" x14ac:dyDescent="0.35"/>
    <row r="89824" hidden="1" x14ac:dyDescent="0.35"/>
    <row r="89825" hidden="1" x14ac:dyDescent="0.35"/>
    <row r="89826" hidden="1" x14ac:dyDescent="0.35"/>
    <row r="89827" hidden="1" x14ac:dyDescent="0.35"/>
    <row r="89828" hidden="1" x14ac:dyDescent="0.35"/>
    <row r="89829" hidden="1" x14ac:dyDescent="0.35"/>
    <row r="89830" hidden="1" x14ac:dyDescent="0.35"/>
    <row r="89831" hidden="1" x14ac:dyDescent="0.35"/>
    <row r="89832" hidden="1" x14ac:dyDescent="0.35"/>
    <row r="89833" hidden="1" x14ac:dyDescent="0.35"/>
    <row r="89834" hidden="1" x14ac:dyDescent="0.35"/>
    <row r="89835" hidden="1" x14ac:dyDescent="0.35"/>
    <row r="89836" hidden="1" x14ac:dyDescent="0.35"/>
    <row r="89837" hidden="1" x14ac:dyDescent="0.35"/>
    <row r="89838" hidden="1" x14ac:dyDescent="0.35"/>
    <row r="89839" hidden="1" x14ac:dyDescent="0.35"/>
    <row r="89840" hidden="1" x14ac:dyDescent="0.35"/>
    <row r="89841" hidden="1" x14ac:dyDescent="0.35"/>
    <row r="89842" hidden="1" x14ac:dyDescent="0.35"/>
    <row r="89843" hidden="1" x14ac:dyDescent="0.35"/>
    <row r="89844" hidden="1" x14ac:dyDescent="0.35"/>
    <row r="89845" hidden="1" x14ac:dyDescent="0.35"/>
    <row r="89846" hidden="1" x14ac:dyDescent="0.35"/>
    <row r="89847" hidden="1" x14ac:dyDescent="0.35"/>
    <row r="89848" hidden="1" x14ac:dyDescent="0.35"/>
    <row r="89849" hidden="1" x14ac:dyDescent="0.35"/>
    <row r="89850" hidden="1" x14ac:dyDescent="0.35"/>
    <row r="89851" hidden="1" x14ac:dyDescent="0.35"/>
    <row r="89852" hidden="1" x14ac:dyDescent="0.35"/>
    <row r="89853" hidden="1" x14ac:dyDescent="0.35"/>
    <row r="89854" hidden="1" x14ac:dyDescent="0.35"/>
    <row r="89855" hidden="1" x14ac:dyDescent="0.35"/>
    <row r="89856" hidden="1" x14ac:dyDescent="0.35"/>
    <row r="89857" hidden="1" x14ac:dyDescent="0.35"/>
    <row r="89858" hidden="1" x14ac:dyDescent="0.35"/>
    <row r="89859" hidden="1" x14ac:dyDescent="0.35"/>
    <row r="89860" hidden="1" x14ac:dyDescent="0.35"/>
    <row r="89861" hidden="1" x14ac:dyDescent="0.35"/>
    <row r="89862" hidden="1" x14ac:dyDescent="0.35"/>
    <row r="89863" hidden="1" x14ac:dyDescent="0.35"/>
    <row r="89864" hidden="1" x14ac:dyDescent="0.35"/>
    <row r="89865" hidden="1" x14ac:dyDescent="0.35"/>
    <row r="89866" hidden="1" x14ac:dyDescent="0.35"/>
    <row r="89867" hidden="1" x14ac:dyDescent="0.35"/>
    <row r="89868" hidden="1" x14ac:dyDescent="0.35"/>
    <row r="89869" hidden="1" x14ac:dyDescent="0.35"/>
    <row r="89870" hidden="1" x14ac:dyDescent="0.35"/>
    <row r="89871" hidden="1" x14ac:dyDescent="0.35"/>
    <row r="89872" hidden="1" x14ac:dyDescent="0.35"/>
    <row r="89873" hidden="1" x14ac:dyDescent="0.35"/>
    <row r="89874" hidden="1" x14ac:dyDescent="0.35"/>
    <row r="89875" hidden="1" x14ac:dyDescent="0.35"/>
    <row r="89876" hidden="1" x14ac:dyDescent="0.35"/>
    <row r="89877" hidden="1" x14ac:dyDescent="0.35"/>
    <row r="89878" hidden="1" x14ac:dyDescent="0.35"/>
    <row r="89879" hidden="1" x14ac:dyDescent="0.35"/>
    <row r="89880" hidden="1" x14ac:dyDescent="0.35"/>
    <row r="89881" hidden="1" x14ac:dyDescent="0.35"/>
    <row r="89882" hidden="1" x14ac:dyDescent="0.35"/>
    <row r="89883" hidden="1" x14ac:dyDescent="0.35"/>
    <row r="89884" hidden="1" x14ac:dyDescent="0.35"/>
    <row r="89885" hidden="1" x14ac:dyDescent="0.35"/>
    <row r="89886" hidden="1" x14ac:dyDescent="0.35"/>
    <row r="89887" hidden="1" x14ac:dyDescent="0.35"/>
    <row r="89888" hidden="1" x14ac:dyDescent="0.35"/>
    <row r="89889" hidden="1" x14ac:dyDescent="0.35"/>
    <row r="89890" hidden="1" x14ac:dyDescent="0.35"/>
    <row r="89891" hidden="1" x14ac:dyDescent="0.35"/>
    <row r="89892" hidden="1" x14ac:dyDescent="0.35"/>
    <row r="89893" hidden="1" x14ac:dyDescent="0.35"/>
    <row r="89894" hidden="1" x14ac:dyDescent="0.35"/>
    <row r="89895" hidden="1" x14ac:dyDescent="0.35"/>
    <row r="89896" hidden="1" x14ac:dyDescent="0.35"/>
    <row r="89897" hidden="1" x14ac:dyDescent="0.35"/>
    <row r="89898" hidden="1" x14ac:dyDescent="0.35"/>
    <row r="89899" hidden="1" x14ac:dyDescent="0.35"/>
    <row r="89900" hidden="1" x14ac:dyDescent="0.35"/>
    <row r="89901" hidden="1" x14ac:dyDescent="0.35"/>
    <row r="89902" hidden="1" x14ac:dyDescent="0.35"/>
    <row r="89903" hidden="1" x14ac:dyDescent="0.35"/>
    <row r="89904" hidden="1" x14ac:dyDescent="0.35"/>
    <row r="89905" hidden="1" x14ac:dyDescent="0.35"/>
    <row r="89906" hidden="1" x14ac:dyDescent="0.35"/>
    <row r="89907" hidden="1" x14ac:dyDescent="0.35"/>
    <row r="89908" hidden="1" x14ac:dyDescent="0.35"/>
    <row r="89909" hidden="1" x14ac:dyDescent="0.35"/>
    <row r="89910" hidden="1" x14ac:dyDescent="0.35"/>
    <row r="89911" hidden="1" x14ac:dyDescent="0.35"/>
    <row r="89912" hidden="1" x14ac:dyDescent="0.35"/>
    <row r="89913" hidden="1" x14ac:dyDescent="0.35"/>
    <row r="89914" hidden="1" x14ac:dyDescent="0.35"/>
    <row r="89915" hidden="1" x14ac:dyDescent="0.35"/>
    <row r="89916" hidden="1" x14ac:dyDescent="0.35"/>
    <row r="89917" hidden="1" x14ac:dyDescent="0.35"/>
    <row r="89918" hidden="1" x14ac:dyDescent="0.35"/>
    <row r="89919" hidden="1" x14ac:dyDescent="0.35"/>
    <row r="89920" hidden="1" x14ac:dyDescent="0.35"/>
    <row r="89921" hidden="1" x14ac:dyDescent="0.35"/>
    <row r="89922" hidden="1" x14ac:dyDescent="0.35"/>
    <row r="89923" hidden="1" x14ac:dyDescent="0.35"/>
    <row r="89924" hidden="1" x14ac:dyDescent="0.35"/>
    <row r="89925" hidden="1" x14ac:dyDescent="0.35"/>
    <row r="89926" hidden="1" x14ac:dyDescent="0.35"/>
    <row r="89927" hidden="1" x14ac:dyDescent="0.35"/>
    <row r="89928" hidden="1" x14ac:dyDescent="0.35"/>
    <row r="89929" hidden="1" x14ac:dyDescent="0.35"/>
    <row r="89930" hidden="1" x14ac:dyDescent="0.35"/>
    <row r="89931" hidden="1" x14ac:dyDescent="0.35"/>
    <row r="89932" hidden="1" x14ac:dyDescent="0.35"/>
    <row r="89933" hidden="1" x14ac:dyDescent="0.35"/>
    <row r="89934" hidden="1" x14ac:dyDescent="0.35"/>
    <row r="89935" hidden="1" x14ac:dyDescent="0.35"/>
    <row r="89936" hidden="1" x14ac:dyDescent="0.35"/>
    <row r="89937" hidden="1" x14ac:dyDescent="0.35"/>
    <row r="89938" hidden="1" x14ac:dyDescent="0.35"/>
    <row r="89939" hidden="1" x14ac:dyDescent="0.35"/>
    <row r="89940" hidden="1" x14ac:dyDescent="0.35"/>
    <row r="89941" hidden="1" x14ac:dyDescent="0.35"/>
    <row r="89942" hidden="1" x14ac:dyDescent="0.35"/>
    <row r="89943" hidden="1" x14ac:dyDescent="0.35"/>
    <row r="89944" hidden="1" x14ac:dyDescent="0.35"/>
    <row r="89945" hidden="1" x14ac:dyDescent="0.35"/>
    <row r="89946" hidden="1" x14ac:dyDescent="0.35"/>
    <row r="89947" hidden="1" x14ac:dyDescent="0.35"/>
    <row r="89948" hidden="1" x14ac:dyDescent="0.35"/>
    <row r="89949" hidden="1" x14ac:dyDescent="0.35"/>
    <row r="89950" hidden="1" x14ac:dyDescent="0.35"/>
    <row r="89951" hidden="1" x14ac:dyDescent="0.35"/>
    <row r="89952" hidden="1" x14ac:dyDescent="0.35"/>
    <row r="89953" hidden="1" x14ac:dyDescent="0.35"/>
    <row r="89954" hidden="1" x14ac:dyDescent="0.35"/>
    <row r="89955" hidden="1" x14ac:dyDescent="0.35"/>
    <row r="89956" hidden="1" x14ac:dyDescent="0.35"/>
    <row r="89957" hidden="1" x14ac:dyDescent="0.35"/>
    <row r="89958" hidden="1" x14ac:dyDescent="0.35"/>
    <row r="89959" hidden="1" x14ac:dyDescent="0.35"/>
    <row r="89960" hidden="1" x14ac:dyDescent="0.35"/>
    <row r="89961" hidden="1" x14ac:dyDescent="0.35"/>
    <row r="89962" hidden="1" x14ac:dyDescent="0.35"/>
    <row r="89963" hidden="1" x14ac:dyDescent="0.35"/>
    <row r="89964" hidden="1" x14ac:dyDescent="0.35"/>
    <row r="89965" hidden="1" x14ac:dyDescent="0.35"/>
    <row r="89966" hidden="1" x14ac:dyDescent="0.35"/>
    <row r="89967" hidden="1" x14ac:dyDescent="0.35"/>
    <row r="89968" hidden="1" x14ac:dyDescent="0.35"/>
    <row r="89969" hidden="1" x14ac:dyDescent="0.35"/>
    <row r="89970" hidden="1" x14ac:dyDescent="0.35"/>
    <row r="89971" hidden="1" x14ac:dyDescent="0.35"/>
    <row r="89972" hidden="1" x14ac:dyDescent="0.35"/>
    <row r="89973" hidden="1" x14ac:dyDescent="0.35"/>
    <row r="89974" hidden="1" x14ac:dyDescent="0.35"/>
    <row r="89975" hidden="1" x14ac:dyDescent="0.35"/>
    <row r="89976" hidden="1" x14ac:dyDescent="0.35"/>
    <row r="89977" hidden="1" x14ac:dyDescent="0.35"/>
    <row r="89978" hidden="1" x14ac:dyDescent="0.35"/>
    <row r="89979" hidden="1" x14ac:dyDescent="0.35"/>
    <row r="89980" hidden="1" x14ac:dyDescent="0.35"/>
    <row r="89981" hidden="1" x14ac:dyDescent="0.35"/>
    <row r="89982" hidden="1" x14ac:dyDescent="0.35"/>
    <row r="89983" hidden="1" x14ac:dyDescent="0.35"/>
    <row r="89984" hidden="1" x14ac:dyDescent="0.35"/>
    <row r="89985" hidden="1" x14ac:dyDescent="0.35"/>
    <row r="89986" hidden="1" x14ac:dyDescent="0.35"/>
    <row r="89987" hidden="1" x14ac:dyDescent="0.35"/>
    <row r="89988" hidden="1" x14ac:dyDescent="0.35"/>
    <row r="89989" hidden="1" x14ac:dyDescent="0.35"/>
    <row r="89990" hidden="1" x14ac:dyDescent="0.35"/>
    <row r="89991" hidden="1" x14ac:dyDescent="0.35"/>
    <row r="89992" hidden="1" x14ac:dyDescent="0.35"/>
    <row r="89993" hidden="1" x14ac:dyDescent="0.35"/>
    <row r="89994" hidden="1" x14ac:dyDescent="0.35"/>
    <row r="89995" hidden="1" x14ac:dyDescent="0.35"/>
    <row r="89996" hidden="1" x14ac:dyDescent="0.35"/>
    <row r="89997" hidden="1" x14ac:dyDescent="0.35"/>
    <row r="89998" hidden="1" x14ac:dyDescent="0.35"/>
    <row r="89999" hidden="1" x14ac:dyDescent="0.35"/>
    <row r="90000" hidden="1" x14ac:dyDescent="0.35"/>
    <row r="90001" hidden="1" x14ac:dyDescent="0.35"/>
    <row r="90002" hidden="1" x14ac:dyDescent="0.35"/>
    <row r="90003" hidden="1" x14ac:dyDescent="0.35"/>
    <row r="90004" hidden="1" x14ac:dyDescent="0.35"/>
    <row r="90005" hidden="1" x14ac:dyDescent="0.35"/>
    <row r="90006" hidden="1" x14ac:dyDescent="0.35"/>
    <row r="90007" hidden="1" x14ac:dyDescent="0.35"/>
    <row r="90008" hidden="1" x14ac:dyDescent="0.35"/>
    <row r="90009" hidden="1" x14ac:dyDescent="0.35"/>
    <row r="90010" hidden="1" x14ac:dyDescent="0.35"/>
    <row r="90011" hidden="1" x14ac:dyDescent="0.35"/>
    <row r="90012" hidden="1" x14ac:dyDescent="0.35"/>
    <row r="90013" hidden="1" x14ac:dyDescent="0.35"/>
    <row r="90014" hidden="1" x14ac:dyDescent="0.35"/>
    <row r="90015" hidden="1" x14ac:dyDescent="0.35"/>
    <row r="90016" hidden="1" x14ac:dyDescent="0.35"/>
    <row r="90017" hidden="1" x14ac:dyDescent="0.35"/>
    <row r="90018" hidden="1" x14ac:dyDescent="0.35"/>
    <row r="90019" hidden="1" x14ac:dyDescent="0.35"/>
    <row r="90020" hidden="1" x14ac:dyDescent="0.35"/>
    <row r="90021" hidden="1" x14ac:dyDescent="0.35"/>
    <row r="90022" hidden="1" x14ac:dyDescent="0.35"/>
    <row r="90023" hidden="1" x14ac:dyDescent="0.35"/>
    <row r="90024" hidden="1" x14ac:dyDescent="0.35"/>
    <row r="90025" hidden="1" x14ac:dyDescent="0.35"/>
    <row r="90026" hidden="1" x14ac:dyDescent="0.35"/>
    <row r="90027" hidden="1" x14ac:dyDescent="0.35"/>
    <row r="90028" hidden="1" x14ac:dyDescent="0.35"/>
    <row r="90029" hidden="1" x14ac:dyDescent="0.35"/>
    <row r="90030" hidden="1" x14ac:dyDescent="0.35"/>
    <row r="90031" hidden="1" x14ac:dyDescent="0.35"/>
    <row r="90032" hidden="1" x14ac:dyDescent="0.35"/>
    <row r="90033" hidden="1" x14ac:dyDescent="0.35"/>
    <row r="90034" hidden="1" x14ac:dyDescent="0.35"/>
    <row r="90035" hidden="1" x14ac:dyDescent="0.35"/>
    <row r="90036" hidden="1" x14ac:dyDescent="0.35"/>
    <row r="90037" hidden="1" x14ac:dyDescent="0.35"/>
    <row r="90038" hidden="1" x14ac:dyDescent="0.35"/>
    <row r="90039" hidden="1" x14ac:dyDescent="0.35"/>
    <row r="90040" hidden="1" x14ac:dyDescent="0.35"/>
    <row r="90041" hidden="1" x14ac:dyDescent="0.35"/>
    <row r="90042" hidden="1" x14ac:dyDescent="0.35"/>
    <row r="90043" hidden="1" x14ac:dyDescent="0.35"/>
    <row r="90044" hidden="1" x14ac:dyDescent="0.35"/>
    <row r="90045" hidden="1" x14ac:dyDescent="0.35"/>
    <row r="90046" hidden="1" x14ac:dyDescent="0.35"/>
    <row r="90047" hidden="1" x14ac:dyDescent="0.35"/>
    <row r="90048" hidden="1" x14ac:dyDescent="0.35"/>
    <row r="90049" hidden="1" x14ac:dyDescent="0.35"/>
    <row r="90050" hidden="1" x14ac:dyDescent="0.35"/>
    <row r="90051" hidden="1" x14ac:dyDescent="0.35"/>
    <row r="90052" hidden="1" x14ac:dyDescent="0.35"/>
    <row r="90053" hidden="1" x14ac:dyDescent="0.35"/>
    <row r="90054" hidden="1" x14ac:dyDescent="0.35"/>
    <row r="90055" hidden="1" x14ac:dyDescent="0.35"/>
    <row r="90056" hidden="1" x14ac:dyDescent="0.35"/>
    <row r="90057" hidden="1" x14ac:dyDescent="0.35"/>
    <row r="90058" hidden="1" x14ac:dyDescent="0.35"/>
    <row r="90059" hidden="1" x14ac:dyDescent="0.35"/>
    <row r="90060" hidden="1" x14ac:dyDescent="0.35"/>
    <row r="90061" hidden="1" x14ac:dyDescent="0.35"/>
    <row r="90062" hidden="1" x14ac:dyDescent="0.35"/>
    <row r="90063" hidden="1" x14ac:dyDescent="0.35"/>
    <row r="90064" hidden="1" x14ac:dyDescent="0.35"/>
    <row r="90065" hidden="1" x14ac:dyDescent="0.35"/>
    <row r="90066" hidden="1" x14ac:dyDescent="0.35"/>
    <row r="90067" hidden="1" x14ac:dyDescent="0.35"/>
    <row r="90068" hidden="1" x14ac:dyDescent="0.35"/>
    <row r="90069" hidden="1" x14ac:dyDescent="0.35"/>
    <row r="90070" hidden="1" x14ac:dyDescent="0.35"/>
    <row r="90071" hidden="1" x14ac:dyDescent="0.35"/>
    <row r="90072" hidden="1" x14ac:dyDescent="0.35"/>
    <row r="90073" hidden="1" x14ac:dyDescent="0.35"/>
    <row r="90074" hidden="1" x14ac:dyDescent="0.35"/>
    <row r="90075" hidden="1" x14ac:dyDescent="0.35"/>
    <row r="90076" hidden="1" x14ac:dyDescent="0.35"/>
    <row r="90077" hidden="1" x14ac:dyDescent="0.35"/>
    <row r="90078" hidden="1" x14ac:dyDescent="0.35"/>
    <row r="90079" hidden="1" x14ac:dyDescent="0.35"/>
    <row r="90080" hidden="1" x14ac:dyDescent="0.35"/>
    <row r="90081" hidden="1" x14ac:dyDescent="0.35"/>
    <row r="90082" hidden="1" x14ac:dyDescent="0.35"/>
    <row r="90083" hidden="1" x14ac:dyDescent="0.35"/>
    <row r="90084" hidden="1" x14ac:dyDescent="0.35"/>
    <row r="90085" hidden="1" x14ac:dyDescent="0.35"/>
    <row r="90086" hidden="1" x14ac:dyDescent="0.35"/>
    <row r="90087" hidden="1" x14ac:dyDescent="0.35"/>
    <row r="90088" hidden="1" x14ac:dyDescent="0.35"/>
    <row r="90089" hidden="1" x14ac:dyDescent="0.35"/>
    <row r="90090" hidden="1" x14ac:dyDescent="0.35"/>
    <row r="90091" hidden="1" x14ac:dyDescent="0.35"/>
    <row r="90092" hidden="1" x14ac:dyDescent="0.35"/>
    <row r="90093" hidden="1" x14ac:dyDescent="0.35"/>
    <row r="90094" hidden="1" x14ac:dyDescent="0.35"/>
    <row r="90095" hidden="1" x14ac:dyDescent="0.35"/>
    <row r="90096" hidden="1" x14ac:dyDescent="0.35"/>
    <row r="90097" hidden="1" x14ac:dyDescent="0.35"/>
    <row r="90098" hidden="1" x14ac:dyDescent="0.35"/>
    <row r="90099" hidden="1" x14ac:dyDescent="0.35"/>
    <row r="90100" hidden="1" x14ac:dyDescent="0.35"/>
    <row r="90101" hidden="1" x14ac:dyDescent="0.35"/>
    <row r="90102" hidden="1" x14ac:dyDescent="0.35"/>
    <row r="90103" hidden="1" x14ac:dyDescent="0.35"/>
    <row r="90104" hidden="1" x14ac:dyDescent="0.35"/>
    <row r="90105" hidden="1" x14ac:dyDescent="0.35"/>
    <row r="90106" hidden="1" x14ac:dyDescent="0.35"/>
    <row r="90107" hidden="1" x14ac:dyDescent="0.35"/>
    <row r="90108" hidden="1" x14ac:dyDescent="0.35"/>
    <row r="90109" hidden="1" x14ac:dyDescent="0.35"/>
    <row r="90110" hidden="1" x14ac:dyDescent="0.35"/>
    <row r="90111" hidden="1" x14ac:dyDescent="0.35"/>
    <row r="90112" hidden="1" x14ac:dyDescent="0.35"/>
    <row r="90113" hidden="1" x14ac:dyDescent="0.35"/>
    <row r="90114" hidden="1" x14ac:dyDescent="0.35"/>
    <row r="90115" hidden="1" x14ac:dyDescent="0.35"/>
    <row r="90116" hidden="1" x14ac:dyDescent="0.35"/>
    <row r="90117" hidden="1" x14ac:dyDescent="0.35"/>
    <row r="90118" hidden="1" x14ac:dyDescent="0.35"/>
    <row r="90119" hidden="1" x14ac:dyDescent="0.35"/>
    <row r="90120" hidden="1" x14ac:dyDescent="0.35"/>
    <row r="90121" hidden="1" x14ac:dyDescent="0.35"/>
    <row r="90122" hidden="1" x14ac:dyDescent="0.35"/>
    <row r="90123" hidden="1" x14ac:dyDescent="0.35"/>
    <row r="90124" hidden="1" x14ac:dyDescent="0.35"/>
    <row r="90125" hidden="1" x14ac:dyDescent="0.35"/>
    <row r="90126" hidden="1" x14ac:dyDescent="0.35"/>
    <row r="90127" hidden="1" x14ac:dyDescent="0.35"/>
    <row r="90128" hidden="1" x14ac:dyDescent="0.35"/>
    <row r="90129" hidden="1" x14ac:dyDescent="0.35"/>
    <row r="90130" hidden="1" x14ac:dyDescent="0.35"/>
    <row r="90131" hidden="1" x14ac:dyDescent="0.35"/>
    <row r="90132" hidden="1" x14ac:dyDescent="0.35"/>
    <row r="90133" hidden="1" x14ac:dyDescent="0.35"/>
    <row r="90134" hidden="1" x14ac:dyDescent="0.35"/>
    <row r="90135" hidden="1" x14ac:dyDescent="0.35"/>
    <row r="90136" hidden="1" x14ac:dyDescent="0.35"/>
    <row r="90137" hidden="1" x14ac:dyDescent="0.35"/>
    <row r="90138" hidden="1" x14ac:dyDescent="0.35"/>
    <row r="90139" hidden="1" x14ac:dyDescent="0.35"/>
    <row r="90140" hidden="1" x14ac:dyDescent="0.35"/>
    <row r="90141" hidden="1" x14ac:dyDescent="0.35"/>
    <row r="90142" hidden="1" x14ac:dyDescent="0.35"/>
    <row r="90143" hidden="1" x14ac:dyDescent="0.35"/>
    <row r="90144" hidden="1" x14ac:dyDescent="0.35"/>
    <row r="90145" hidden="1" x14ac:dyDescent="0.35"/>
    <row r="90146" hidden="1" x14ac:dyDescent="0.35"/>
    <row r="90147" hidden="1" x14ac:dyDescent="0.35"/>
    <row r="90148" hidden="1" x14ac:dyDescent="0.35"/>
    <row r="90149" hidden="1" x14ac:dyDescent="0.35"/>
    <row r="90150" hidden="1" x14ac:dyDescent="0.35"/>
    <row r="90151" hidden="1" x14ac:dyDescent="0.35"/>
    <row r="90152" hidden="1" x14ac:dyDescent="0.35"/>
    <row r="90153" hidden="1" x14ac:dyDescent="0.35"/>
    <row r="90154" hidden="1" x14ac:dyDescent="0.35"/>
    <row r="90155" hidden="1" x14ac:dyDescent="0.35"/>
    <row r="90156" hidden="1" x14ac:dyDescent="0.35"/>
    <row r="90157" hidden="1" x14ac:dyDescent="0.35"/>
    <row r="90158" hidden="1" x14ac:dyDescent="0.35"/>
    <row r="90159" hidden="1" x14ac:dyDescent="0.35"/>
    <row r="90160" hidden="1" x14ac:dyDescent="0.35"/>
    <row r="90161" hidden="1" x14ac:dyDescent="0.35"/>
    <row r="90162" hidden="1" x14ac:dyDescent="0.35"/>
    <row r="90163" hidden="1" x14ac:dyDescent="0.35"/>
    <row r="90164" hidden="1" x14ac:dyDescent="0.35"/>
    <row r="90165" hidden="1" x14ac:dyDescent="0.35"/>
    <row r="90166" hidden="1" x14ac:dyDescent="0.35"/>
    <row r="90167" hidden="1" x14ac:dyDescent="0.35"/>
    <row r="90168" hidden="1" x14ac:dyDescent="0.35"/>
    <row r="90169" hidden="1" x14ac:dyDescent="0.35"/>
    <row r="90170" hidden="1" x14ac:dyDescent="0.35"/>
    <row r="90171" hidden="1" x14ac:dyDescent="0.35"/>
    <row r="90172" hidden="1" x14ac:dyDescent="0.35"/>
    <row r="90173" hidden="1" x14ac:dyDescent="0.35"/>
    <row r="90174" hidden="1" x14ac:dyDescent="0.35"/>
    <row r="90175" hidden="1" x14ac:dyDescent="0.35"/>
    <row r="90176" hidden="1" x14ac:dyDescent="0.35"/>
    <row r="90177" hidden="1" x14ac:dyDescent="0.35"/>
    <row r="90178" hidden="1" x14ac:dyDescent="0.35"/>
    <row r="90179" hidden="1" x14ac:dyDescent="0.35"/>
    <row r="90180" hidden="1" x14ac:dyDescent="0.35"/>
    <row r="90181" hidden="1" x14ac:dyDescent="0.35"/>
    <row r="90182" hidden="1" x14ac:dyDescent="0.35"/>
    <row r="90183" hidden="1" x14ac:dyDescent="0.35"/>
    <row r="90184" hidden="1" x14ac:dyDescent="0.35"/>
    <row r="90185" hidden="1" x14ac:dyDescent="0.35"/>
    <row r="90186" hidden="1" x14ac:dyDescent="0.35"/>
    <row r="90187" hidden="1" x14ac:dyDescent="0.35"/>
    <row r="90188" hidden="1" x14ac:dyDescent="0.35"/>
    <row r="90189" hidden="1" x14ac:dyDescent="0.35"/>
    <row r="90190" hidden="1" x14ac:dyDescent="0.35"/>
    <row r="90191" hidden="1" x14ac:dyDescent="0.35"/>
    <row r="90192" hidden="1" x14ac:dyDescent="0.35"/>
    <row r="90193" hidden="1" x14ac:dyDescent="0.35"/>
    <row r="90194" hidden="1" x14ac:dyDescent="0.35"/>
    <row r="90195" hidden="1" x14ac:dyDescent="0.35"/>
    <row r="90196" hidden="1" x14ac:dyDescent="0.35"/>
    <row r="90197" hidden="1" x14ac:dyDescent="0.35"/>
    <row r="90198" hidden="1" x14ac:dyDescent="0.35"/>
    <row r="90199" hidden="1" x14ac:dyDescent="0.35"/>
    <row r="90200" hidden="1" x14ac:dyDescent="0.35"/>
    <row r="90201" hidden="1" x14ac:dyDescent="0.35"/>
    <row r="90202" hidden="1" x14ac:dyDescent="0.35"/>
    <row r="90203" hidden="1" x14ac:dyDescent="0.35"/>
    <row r="90204" hidden="1" x14ac:dyDescent="0.35"/>
    <row r="90205" hidden="1" x14ac:dyDescent="0.35"/>
    <row r="90206" hidden="1" x14ac:dyDescent="0.35"/>
    <row r="90207" hidden="1" x14ac:dyDescent="0.35"/>
    <row r="90208" hidden="1" x14ac:dyDescent="0.35"/>
    <row r="90209" hidden="1" x14ac:dyDescent="0.35"/>
    <row r="90210" hidden="1" x14ac:dyDescent="0.35"/>
    <row r="90211" hidden="1" x14ac:dyDescent="0.35"/>
    <row r="90212" hidden="1" x14ac:dyDescent="0.35"/>
    <row r="90213" hidden="1" x14ac:dyDescent="0.35"/>
    <row r="90214" hidden="1" x14ac:dyDescent="0.35"/>
    <row r="90215" hidden="1" x14ac:dyDescent="0.35"/>
    <row r="90216" hidden="1" x14ac:dyDescent="0.35"/>
    <row r="90217" hidden="1" x14ac:dyDescent="0.35"/>
    <row r="90218" hidden="1" x14ac:dyDescent="0.35"/>
    <row r="90219" hidden="1" x14ac:dyDescent="0.35"/>
    <row r="90220" hidden="1" x14ac:dyDescent="0.35"/>
    <row r="90221" hidden="1" x14ac:dyDescent="0.35"/>
    <row r="90222" hidden="1" x14ac:dyDescent="0.35"/>
    <row r="90223" hidden="1" x14ac:dyDescent="0.35"/>
    <row r="90224" hidden="1" x14ac:dyDescent="0.35"/>
    <row r="90225" hidden="1" x14ac:dyDescent="0.35"/>
    <row r="90226" hidden="1" x14ac:dyDescent="0.35"/>
    <row r="90227" hidden="1" x14ac:dyDescent="0.35"/>
    <row r="90228" hidden="1" x14ac:dyDescent="0.35"/>
    <row r="90229" hidden="1" x14ac:dyDescent="0.35"/>
    <row r="90230" hidden="1" x14ac:dyDescent="0.35"/>
    <row r="90231" hidden="1" x14ac:dyDescent="0.35"/>
    <row r="90232" hidden="1" x14ac:dyDescent="0.35"/>
    <row r="90233" hidden="1" x14ac:dyDescent="0.35"/>
    <row r="90234" hidden="1" x14ac:dyDescent="0.35"/>
    <row r="90235" hidden="1" x14ac:dyDescent="0.35"/>
    <row r="90236" hidden="1" x14ac:dyDescent="0.35"/>
    <row r="90237" hidden="1" x14ac:dyDescent="0.35"/>
    <row r="90238" hidden="1" x14ac:dyDescent="0.35"/>
    <row r="90239" hidden="1" x14ac:dyDescent="0.35"/>
    <row r="90240" hidden="1" x14ac:dyDescent="0.35"/>
    <row r="90241" hidden="1" x14ac:dyDescent="0.35"/>
    <row r="90242" hidden="1" x14ac:dyDescent="0.35"/>
    <row r="90243" hidden="1" x14ac:dyDescent="0.35"/>
    <row r="90244" hidden="1" x14ac:dyDescent="0.35"/>
    <row r="90245" hidden="1" x14ac:dyDescent="0.35"/>
    <row r="90246" hidden="1" x14ac:dyDescent="0.35"/>
    <row r="90247" hidden="1" x14ac:dyDescent="0.35"/>
    <row r="90248" hidden="1" x14ac:dyDescent="0.35"/>
    <row r="90249" hidden="1" x14ac:dyDescent="0.35"/>
    <row r="90250" hidden="1" x14ac:dyDescent="0.35"/>
    <row r="90251" hidden="1" x14ac:dyDescent="0.35"/>
    <row r="90252" hidden="1" x14ac:dyDescent="0.35"/>
    <row r="90253" hidden="1" x14ac:dyDescent="0.35"/>
    <row r="90254" hidden="1" x14ac:dyDescent="0.35"/>
    <row r="90255" hidden="1" x14ac:dyDescent="0.35"/>
    <row r="90256" hidden="1" x14ac:dyDescent="0.35"/>
    <row r="90257" hidden="1" x14ac:dyDescent="0.35"/>
    <row r="90258" hidden="1" x14ac:dyDescent="0.35"/>
    <row r="90259" hidden="1" x14ac:dyDescent="0.35"/>
    <row r="90260" hidden="1" x14ac:dyDescent="0.35"/>
    <row r="90261" hidden="1" x14ac:dyDescent="0.35"/>
    <row r="90262" hidden="1" x14ac:dyDescent="0.35"/>
    <row r="90263" hidden="1" x14ac:dyDescent="0.35"/>
    <row r="90264" hidden="1" x14ac:dyDescent="0.35"/>
    <row r="90265" hidden="1" x14ac:dyDescent="0.35"/>
    <row r="90266" hidden="1" x14ac:dyDescent="0.35"/>
    <row r="90267" hidden="1" x14ac:dyDescent="0.35"/>
    <row r="90268" hidden="1" x14ac:dyDescent="0.35"/>
    <row r="90269" hidden="1" x14ac:dyDescent="0.35"/>
    <row r="90270" hidden="1" x14ac:dyDescent="0.35"/>
    <row r="90271" hidden="1" x14ac:dyDescent="0.35"/>
    <row r="90272" hidden="1" x14ac:dyDescent="0.35"/>
    <row r="90273" hidden="1" x14ac:dyDescent="0.35"/>
    <row r="90274" hidden="1" x14ac:dyDescent="0.35"/>
    <row r="90275" hidden="1" x14ac:dyDescent="0.35"/>
    <row r="90276" hidden="1" x14ac:dyDescent="0.35"/>
    <row r="90277" hidden="1" x14ac:dyDescent="0.35"/>
    <row r="90278" hidden="1" x14ac:dyDescent="0.35"/>
    <row r="90279" hidden="1" x14ac:dyDescent="0.35"/>
    <row r="90280" hidden="1" x14ac:dyDescent="0.35"/>
    <row r="90281" hidden="1" x14ac:dyDescent="0.35"/>
    <row r="90282" hidden="1" x14ac:dyDescent="0.35"/>
    <row r="90283" hidden="1" x14ac:dyDescent="0.35"/>
    <row r="90284" hidden="1" x14ac:dyDescent="0.35"/>
    <row r="90285" hidden="1" x14ac:dyDescent="0.35"/>
    <row r="90286" hidden="1" x14ac:dyDescent="0.35"/>
    <row r="90287" hidden="1" x14ac:dyDescent="0.35"/>
    <row r="90288" hidden="1" x14ac:dyDescent="0.35"/>
    <row r="90289" hidden="1" x14ac:dyDescent="0.35"/>
    <row r="90290" hidden="1" x14ac:dyDescent="0.35"/>
    <row r="90291" hidden="1" x14ac:dyDescent="0.35"/>
    <row r="90292" hidden="1" x14ac:dyDescent="0.35"/>
    <row r="90293" hidden="1" x14ac:dyDescent="0.35"/>
    <row r="90294" hidden="1" x14ac:dyDescent="0.35"/>
    <row r="90295" hidden="1" x14ac:dyDescent="0.35"/>
    <row r="90296" hidden="1" x14ac:dyDescent="0.35"/>
    <row r="90297" hidden="1" x14ac:dyDescent="0.35"/>
    <row r="90298" hidden="1" x14ac:dyDescent="0.35"/>
    <row r="90299" hidden="1" x14ac:dyDescent="0.35"/>
    <row r="90300" hidden="1" x14ac:dyDescent="0.35"/>
    <row r="90301" hidden="1" x14ac:dyDescent="0.35"/>
    <row r="90302" hidden="1" x14ac:dyDescent="0.35"/>
    <row r="90303" hidden="1" x14ac:dyDescent="0.35"/>
    <row r="90304" hidden="1" x14ac:dyDescent="0.35"/>
    <row r="90305" hidden="1" x14ac:dyDescent="0.35"/>
    <row r="90306" hidden="1" x14ac:dyDescent="0.35"/>
    <row r="90307" hidden="1" x14ac:dyDescent="0.35"/>
    <row r="90308" hidden="1" x14ac:dyDescent="0.35"/>
    <row r="90309" hidden="1" x14ac:dyDescent="0.35"/>
    <row r="90310" hidden="1" x14ac:dyDescent="0.35"/>
    <row r="90311" hidden="1" x14ac:dyDescent="0.35"/>
    <row r="90312" hidden="1" x14ac:dyDescent="0.35"/>
    <row r="90313" hidden="1" x14ac:dyDescent="0.35"/>
    <row r="90314" hidden="1" x14ac:dyDescent="0.35"/>
    <row r="90315" hidden="1" x14ac:dyDescent="0.35"/>
    <row r="90316" hidden="1" x14ac:dyDescent="0.35"/>
    <row r="90317" hidden="1" x14ac:dyDescent="0.35"/>
    <row r="90318" hidden="1" x14ac:dyDescent="0.35"/>
    <row r="90319" hidden="1" x14ac:dyDescent="0.35"/>
    <row r="90320" hidden="1" x14ac:dyDescent="0.35"/>
    <row r="90321" hidden="1" x14ac:dyDescent="0.35"/>
    <row r="90322" hidden="1" x14ac:dyDescent="0.35"/>
    <row r="90323" hidden="1" x14ac:dyDescent="0.35"/>
    <row r="90324" hidden="1" x14ac:dyDescent="0.35"/>
    <row r="90325" hidden="1" x14ac:dyDescent="0.35"/>
    <row r="90326" hidden="1" x14ac:dyDescent="0.35"/>
    <row r="90327" hidden="1" x14ac:dyDescent="0.35"/>
    <row r="90328" hidden="1" x14ac:dyDescent="0.35"/>
    <row r="90329" hidden="1" x14ac:dyDescent="0.35"/>
    <row r="90330" hidden="1" x14ac:dyDescent="0.35"/>
    <row r="90331" hidden="1" x14ac:dyDescent="0.35"/>
    <row r="90332" hidden="1" x14ac:dyDescent="0.35"/>
    <row r="90333" hidden="1" x14ac:dyDescent="0.35"/>
    <row r="90334" hidden="1" x14ac:dyDescent="0.35"/>
    <row r="90335" hidden="1" x14ac:dyDescent="0.35"/>
    <row r="90336" hidden="1" x14ac:dyDescent="0.35"/>
    <row r="90337" hidden="1" x14ac:dyDescent="0.35"/>
    <row r="90338" hidden="1" x14ac:dyDescent="0.35"/>
    <row r="90339" hidden="1" x14ac:dyDescent="0.35"/>
    <row r="90340" hidden="1" x14ac:dyDescent="0.35"/>
    <row r="90341" hidden="1" x14ac:dyDescent="0.35"/>
    <row r="90342" hidden="1" x14ac:dyDescent="0.35"/>
    <row r="90343" hidden="1" x14ac:dyDescent="0.35"/>
    <row r="90344" hidden="1" x14ac:dyDescent="0.35"/>
    <row r="90345" hidden="1" x14ac:dyDescent="0.35"/>
    <row r="90346" hidden="1" x14ac:dyDescent="0.35"/>
    <row r="90347" hidden="1" x14ac:dyDescent="0.35"/>
    <row r="90348" hidden="1" x14ac:dyDescent="0.35"/>
    <row r="90349" hidden="1" x14ac:dyDescent="0.35"/>
    <row r="90350" hidden="1" x14ac:dyDescent="0.35"/>
    <row r="90351" hidden="1" x14ac:dyDescent="0.35"/>
    <row r="90352" hidden="1" x14ac:dyDescent="0.35"/>
    <row r="90353" hidden="1" x14ac:dyDescent="0.35"/>
    <row r="90354" hidden="1" x14ac:dyDescent="0.35"/>
    <row r="90355" hidden="1" x14ac:dyDescent="0.35"/>
    <row r="90356" hidden="1" x14ac:dyDescent="0.35"/>
    <row r="90357" hidden="1" x14ac:dyDescent="0.35"/>
    <row r="90358" hidden="1" x14ac:dyDescent="0.35"/>
    <row r="90359" hidden="1" x14ac:dyDescent="0.35"/>
    <row r="90360" hidden="1" x14ac:dyDescent="0.35"/>
    <row r="90361" hidden="1" x14ac:dyDescent="0.35"/>
    <row r="90362" hidden="1" x14ac:dyDescent="0.35"/>
    <row r="90363" hidden="1" x14ac:dyDescent="0.35"/>
    <row r="90364" hidden="1" x14ac:dyDescent="0.35"/>
    <row r="90365" hidden="1" x14ac:dyDescent="0.35"/>
    <row r="90366" hidden="1" x14ac:dyDescent="0.35"/>
    <row r="90367" hidden="1" x14ac:dyDescent="0.35"/>
    <row r="90368" hidden="1" x14ac:dyDescent="0.35"/>
    <row r="90369" hidden="1" x14ac:dyDescent="0.35"/>
    <row r="90370" hidden="1" x14ac:dyDescent="0.35"/>
    <row r="90371" hidden="1" x14ac:dyDescent="0.35"/>
    <row r="90372" hidden="1" x14ac:dyDescent="0.35"/>
    <row r="90373" hidden="1" x14ac:dyDescent="0.35"/>
    <row r="90374" hidden="1" x14ac:dyDescent="0.35"/>
    <row r="90375" hidden="1" x14ac:dyDescent="0.35"/>
    <row r="90376" hidden="1" x14ac:dyDescent="0.35"/>
    <row r="90377" hidden="1" x14ac:dyDescent="0.35"/>
    <row r="90378" hidden="1" x14ac:dyDescent="0.35"/>
    <row r="90379" hidden="1" x14ac:dyDescent="0.35"/>
    <row r="90380" hidden="1" x14ac:dyDescent="0.35"/>
    <row r="90381" hidden="1" x14ac:dyDescent="0.35"/>
    <row r="90382" hidden="1" x14ac:dyDescent="0.35"/>
    <row r="90383" hidden="1" x14ac:dyDescent="0.35"/>
    <row r="90384" hidden="1" x14ac:dyDescent="0.35"/>
    <row r="90385" hidden="1" x14ac:dyDescent="0.35"/>
    <row r="90386" hidden="1" x14ac:dyDescent="0.35"/>
    <row r="90387" hidden="1" x14ac:dyDescent="0.35"/>
    <row r="90388" hidden="1" x14ac:dyDescent="0.35"/>
    <row r="90389" hidden="1" x14ac:dyDescent="0.35"/>
    <row r="90390" hidden="1" x14ac:dyDescent="0.35"/>
    <row r="90391" hidden="1" x14ac:dyDescent="0.35"/>
    <row r="90392" hidden="1" x14ac:dyDescent="0.35"/>
    <row r="90393" hidden="1" x14ac:dyDescent="0.35"/>
    <row r="90394" hidden="1" x14ac:dyDescent="0.35"/>
    <row r="90395" hidden="1" x14ac:dyDescent="0.35"/>
    <row r="90396" hidden="1" x14ac:dyDescent="0.35"/>
    <row r="90397" hidden="1" x14ac:dyDescent="0.35"/>
    <row r="90398" hidden="1" x14ac:dyDescent="0.35"/>
    <row r="90399" hidden="1" x14ac:dyDescent="0.35"/>
    <row r="90400" hidden="1" x14ac:dyDescent="0.35"/>
    <row r="90401" hidden="1" x14ac:dyDescent="0.35"/>
    <row r="90402" hidden="1" x14ac:dyDescent="0.35"/>
    <row r="90403" hidden="1" x14ac:dyDescent="0.35"/>
    <row r="90404" hidden="1" x14ac:dyDescent="0.35"/>
    <row r="90405" hidden="1" x14ac:dyDescent="0.35"/>
    <row r="90406" hidden="1" x14ac:dyDescent="0.35"/>
    <row r="90407" hidden="1" x14ac:dyDescent="0.35"/>
    <row r="90408" hidden="1" x14ac:dyDescent="0.35"/>
    <row r="90409" hidden="1" x14ac:dyDescent="0.35"/>
    <row r="90410" hidden="1" x14ac:dyDescent="0.35"/>
    <row r="90411" hidden="1" x14ac:dyDescent="0.35"/>
    <row r="90412" hidden="1" x14ac:dyDescent="0.35"/>
    <row r="90413" hidden="1" x14ac:dyDescent="0.35"/>
    <row r="90414" hidden="1" x14ac:dyDescent="0.35"/>
    <row r="90415" hidden="1" x14ac:dyDescent="0.35"/>
    <row r="90416" hidden="1" x14ac:dyDescent="0.35"/>
    <row r="90417" hidden="1" x14ac:dyDescent="0.35"/>
    <row r="90418" hidden="1" x14ac:dyDescent="0.35"/>
    <row r="90419" hidden="1" x14ac:dyDescent="0.35"/>
    <row r="90420" hidden="1" x14ac:dyDescent="0.35"/>
    <row r="90421" hidden="1" x14ac:dyDescent="0.35"/>
    <row r="90422" hidden="1" x14ac:dyDescent="0.35"/>
    <row r="90423" hidden="1" x14ac:dyDescent="0.35"/>
    <row r="90424" hidden="1" x14ac:dyDescent="0.35"/>
    <row r="90425" hidden="1" x14ac:dyDescent="0.35"/>
    <row r="90426" hidden="1" x14ac:dyDescent="0.35"/>
    <row r="90427" hidden="1" x14ac:dyDescent="0.35"/>
    <row r="90428" hidden="1" x14ac:dyDescent="0.35"/>
    <row r="90429" hidden="1" x14ac:dyDescent="0.35"/>
    <row r="90430" hidden="1" x14ac:dyDescent="0.35"/>
    <row r="90431" hidden="1" x14ac:dyDescent="0.35"/>
    <row r="90432" hidden="1" x14ac:dyDescent="0.35"/>
    <row r="90433" hidden="1" x14ac:dyDescent="0.35"/>
    <row r="90434" hidden="1" x14ac:dyDescent="0.35"/>
    <row r="90435" hidden="1" x14ac:dyDescent="0.35"/>
    <row r="90436" hidden="1" x14ac:dyDescent="0.35"/>
    <row r="90437" hidden="1" x14ac:dyDescent="0.35"/>
    <row r="90438" hidden="1" x14ac:dyDescent="0.35"/>
    <row r="90439" hidden="1" x14ac:dyDescent="0.35"/>
    <row r="90440" hidden="1" x14ac:dyDescent="0.35"/>
    <row r="90441" hidden="1" x14ac:dyDescent="0.35"/>
    <row r="90442" hidden="1" x14ac:dyDescent="0.35"/>
    <row r="90443" hidden="1" x14ac:dyDescent="0.35"/>
    <row r="90444" hidden="1" x14ac:dyDescent="0.35"/>
    <row r="90445" hidden="1" x14ac:dyDescent="0.35"/>
    <row r="90446" hidden="1" x14ac:dyDescent="0.35"/>
    <row r="90447" hidden="1" x14ac:dyDescent="0.35"/>
    <row r="90448" hidden="1" x14ac:dyDescent="0.35"/>
    <row r="90449" hidden="1" x14ac:dyDescent="0.35"/>
    <row r="90450" hidden="1" x14ac:dyDescent="0.35"/>
    <row r="90451" hidden="1" x14ac:dyDescent="0.35"/>
    <row r="90452" hidden="1" x14ac:dyDescent="0.35"/>
    <row r="90453" hidden="1" x14ac:dyDescent="0.35"/>
    <row r="90454" hidden="1" x14ac:dyDescent="0.35"/>
    <row r="90455" hidden="1" x14ac:dyDescent="0.35"/>
    <row r="90456" hidden="1" x14ac:dyDescent="0.35"/>
    <row r="90457" hidden="1" x14ac:dyDescent="0.35"/>
    <row r="90458" hidden="1" x14ac:dyDescent="0.35"/>
    <row r="90459" hidden="1" x14ac:dyDescent="0.35"/>
    <row r="90460" hidden="1" x14ac:dyDescent="0.35"/>
    <row r="90461" hidden="1" x14ac:dyDescent="0.35"/>
    <row r="90462" hidden="1" x14ac:dyDescent="0.35"/>
    <row r="90463" hidden="1" x14ac:dyDescent="0.35"/>
    <row r="90464" hidden="1" x14ac:dyDescent="0.35"/>
    <row r="90465" hidden="1" x14ac:dyDescent="0.35"/>
    <row r="90466" hidden="1" x14ac:dyDescent="0.35"/>
    <row r="90467" hidden="1" x14ac:dyDescent="0.35"/>
    <row r="90468" hidden="1" x14ac:dyDescent="0.35"/>
    <row r="90469" hidden="1" x14ac:dyDescent="0.35"/>
    <row r="90470" hidden="1" x14ac:dyDescent="0.35"/>
    <row r="90471" hidden="1" x14ac:dyDescent="0.35"/>
    <row r="90472" hidden="1" x14ac:dyDescent="0.35"/>
    <row r="90473" hidden="1" x14ac:dyDescent="0.35"/>
    <row r="90474" hidden="1" x14ac:dyDescent="0.35"/>
    <row r="90475" hidden="1" x14ac:dyDescent="0.35"/>
    <row r="90476" hidden="1" x14ac:dyDescent="0.35"/>
    <row r="90477" hidden="1" x14ac:dyDescent="0.35"/>
    <row r="90478" hidden="1" x14ac:dyDescent="0.35"/>
    <row r="90479" hidden="1" x14ac:dyDescent="0.35"/>
    <row r="90480" hidden="1" x14ac:dyDescent="0.35"/>
    <row r="90481" hidden="1" x14ac:dyDescent="0.35"/>
    <row r="90482" hidden="1" x14ac:dyDescent="0.35"/>
    <row r="90483" hidden="1" x14ac:dyDescent="0.35"/>
    <row r="90484" hidden="1" x14ac:dyDescent="0.35"/>
    <row r="90485" hidden="1" x14ac:dyDescent="0.35"/>
    <row r="90486" hidden="1" x14ac:dyDescent="0.35"/>
    <row r="90487" hidden="1" x14ac:dyDescent="0.35"/>
    <row r="90488" hidden="1" x14ac:dyDescent="0.35"/>
    <row r="90489" hidden="1" x14ac:dyDescent="0.35"/>
    <row r="90490" hidden="1" x14ac:dyDescent="0.35"/>
    <row r="90491" hidden="1" x14ac:dyDescent="0.35"/>
    <row r="90492" hidden="1" x14ac:dyDescent="0.35"/>
    <row r="90493" hidden="1" x14ac:dyDescent="0.35"/>
    <row r="90494" hidden="1" x14ac:dyDescent="0.35"/>
    <row r="90495" hidden="1" x14ac:dyDescent="0.35"/>
    <row r="90496" hidden="1" x14ac:dyDescent="0.35"/>
    <row r="90497" hidden="1" x14ac:dyDescent="0.35"/>
    <row r="90498" hidden="1" x14ac:dyDescent="0.35"/>
    <row r="90499" hidden="1" x14ac:dyDescent="0.35"/>
    <row r="90500" hidden="1" x14ac:dyDescent="0.35"/>
    <row r="90501" hidden="1" x14ac:dyDescent="0.35"/>
    <row r="90502" hidden="1" x14ac:dyDescent="0.35"/>
    <row r="90503" hidden="1" x14ac:dyDescent="0.35"/>
    <row r="90504" hidden="1" x14ac:dyDescent="0.35"/>
    <row r="90505" hidden="1" x14ac:dyDescent="0.35"/>
    <row r="90506" hidden="1" x14ac:dyDescent="0.35"/>
    <row r="90507" hidden="1" x14ac:dyDescent="0.35"/>
    <row r="90508" hidden="1" x14ac:dyDescent="0.35"/>
    <row r="90509" hidden="1" x14ac:dyDescent="0.35"/>
    <row r="90510" hidden="1" x14ac:dyDescent="0.35"/>
    <row r="90511" hidden="1" x14ac:dyDescent="0.35"/>
    <row r="90512" hidden="1" x14ac:dyDescent="0.35"/>
    <row r="90513" hidden="1" x14ac:dyDescent="0.35"/>
    <row r="90514" hidden="1" x14ac:dyDescent="0.35"/>
    <row r="90515" hidden="1" x14ac:dyDescent="0.35"/>
    <row r="90516" hidden="1" x14ac:dyDescent="0.35"/>
    <row r="90517" hidden="1" x14ac:dyDescent="0.35"/>
    <row r="90518" hidden="1" x14ac:dyDescent="0.35"/>
    <row r="90519" hidden="1" x14ac:dyDescent="0.35"/>
    <row r="90520" hidden="1" x14ac:dyDescent="0.35"/>
    <row r="90521" hidden="1" x14ac:dyDescent="0.35"/>
    <row r="90522" hidden="1" x14ac:dyDescent="0.35"/>
    <row r="90523" hidden="1" x14ac:dyDescent="0.35"/>
    <row r="90524" hidden="1" x14ac:dyDescent="0.35"/>
    <row r="90525" hidden="1" x14ac:dyDescent="0.35"/>
    <row r="90526" hidden="1" x14ac:dyDescent="0.35"/>
    <row r="90527" hidden="1" x14ac:dyDescent="0.35"/>
    <row r="90528" hidden="1" x14ac:dyDescent="0.35"/>
    <row r="90529" hidden="1" x14ac:dyDescent="0.35"/>
    <row r="90530" hidden="1" x14ac:dyDescent="0.35"/>
    <row r="90531" hidden="1" x14ac:dyDescent="0.35"/>
    <row r="90532" hidden="1" x14ac:dyDescent="0.35"/>
    <row r="90533" hidden="1" x14ac:dyDescent="0.35"/>
    <row r="90534" hidden="1" x14ac:dyDescent="0.35"/>
    <row r="90535" hidden="1" x14ac:dyDescent="0.35"/>
    <row r="90536" hidden="1" x14ac:dyDescent="0.35"/>
    <row r="90537" hidden="1" x14ac:dyDescent="0.35"/>
    <row r="90538" hidden="1" x14ac:dyDescent="0.35"/>
    <row r="90539" hidden="1" x14ac:dyDescent="0.35"/>
    <row r="90540" hidden="1" x14ac:dyDescent="0.35"/>
    <row r="90541" hidden="1" x14ac:dyDescent="0.35"/>
    <row r="90542" hidden="1" x14ac:dyDescent="0.35"/>
    <row r="90543" hidden="1" x14ac:dyDescent="0.35"/>
    <row r="90544" hidden="1" x14ac:dyDescent="0.35"/>
    <row r="90545" hidden="1" x14ac:dyDescent="0.35"/>
    <row r="90546" hidden="1" x14ac:dyDescent="0.35"/>
    <row r="90547" hidden="1" x14ac:dyDescent="0.35"/>
    <row r="90548" hidden="1" x14ac:dyDescent="0.35"/>
    <row r="90549" hidden="1" x14ac:dyDescent="0.35"/>
    <row r="90550" hidden="1" x14ac:dyDescent="0.35"/>
    <row r="90551" hidden="1" x14ac:dyDescent="0.35"/>
    <row r="90552" hidden="1" x14ac:dyDescent="0.35"/>
    <row r="90553" hidden="1" x14ac:dyDescent="0.35"/>
    <row r="90554" hidden="1" x14ac:dyDescent="0.35"/>
    <row r="90555" hidden="1" x14ac:dyDescent="0.35"/>
    <row r="90556" hidden="1" x14ac:dyDescent="0.35"/>
    <row r="90557" hidden="1" x14ac:dyDescent="0.35"/>
    <row r="90558" hidden="1" x14ac:dyDescent="0.35"/>
    <row r="90559" hidden="1" x14ac:dyDescent="0.35"/>
    <row r="90560" hidden="1" x14ac:dyDescent="0.35"/>
    <row r="90561" hidden="1" x14ac:dyDescent="0.35"/>
    <row r="90562" hidden="1" x14ac:dyDescent="0.35"/>
    <row r="90563" hidden="1" x14ac:dyDescent="0.35"/>
    <row r="90564" hidden="1" x14ac:dyDescent="0.35"/>
    <row r="90565" hidden="1" x14ac:dyDescent="0.35"/>
    <row r="90566" hidden="1" x14ac:dyDescent="0.35"/>
    <row r="90567" hidden="1" x14ac:dyDescent="0.35"/>
    <row r="90568" hidden="1" x14ac:dyDescent="0.35"/>
    <row r="90569" hidden="1" x14ac:dyDescent="0.35"/>
    <row r="90570" hidden="1" x14ac:dyDescent="0.35"/>
    <row r="90571" hidden="1" x14ac:dyDescent="0.35"/>
    <row r="90572" hidden="1" x14ac:dyDescent="0.35"/>
    <row r="90573" hidden="1" x14ac:dyDescent="0.35"/>
    <row r="90574" hidden="1" x14ac:dyDescent="0.35"/>
    <row r="90575" hidden="1" x14ac:dyDescent="0.35"/>
    <row r="90576" hidden="1" x14ac:dyDescent="0.35"/>
    <row r="90577" hidden="1" x14ac:dyDescent="0.35"/>
    <row r="90578" hidden="1" x14ac:dyDescent="0.35"/>
    <row r="90579" hidden="1" x14ac:dyDescent="0.35"/>
    <row r="90580" hidden="1" x14ac:dyDescent="0.35"/>
    <row r="90581" hidden="1" x14ac:dyDescent="0.35"/>
    <row r="90582" hidden="1" x14ac:dyDescent="0.35"/>
    <row r="90583" hidden="1" x14ac:dyDescent="0.35"/>
    <row r="90584" hidden="1" x14ac:dyDescent="0.35"/>
    <row r="90585" hidden="1" x14ac:dyDescent="0.35"/>
    <row r="90586" hidden="1" x14ac:dyDescent="0.35"/>
    <row r="90587" hidden="1" x14ac:dyDescent="0.35"/>
    <row r="90588" hidden="1" x14ac:dyDescent="0.35"/>
    <row r="90589" hidden="1" x14ac:dyDescent="0.35"/>
    <row r="90590" hidden="1" x14ac:dyDescent="0.35"/>
    <row r="90591" hidden="1" x14ac:dyDescent="0.35"/>
    <row r="90592" hidden="1" x14ac:dyDescent="0.35"/>
    <row r="90593" hidden="1" x14ac:dyDescent="0.35"/>
    <row r="90594" hidden="1" x14ac:dyDescent="0.35"/>
    <row r="90595" hidden="1" x14ac:dyDescent="0.35"/>
    <row r="90596" hidden="1" x14ac:dyDescent="0.35"/>
    <row r="90597" hidden="1" x14ac:dyDescent="0.35"/>
    <row r="90598" hidden="1" x14ac:dyDescent="0.35"/>
    <row r="90599" hidden="1" x14ac:dyDescent="0.35"/>
    <row r="90600" hidden="1" x14ac:dyDescent="0.35"/>
    <row r="90601" hidden="1" x14ac:dyDescent="0.35"/>
    <row r="90602" hidden="1" x14ac:dyDescent="0.35"/>
    <row r="90603" hidden="1" x14ac:dyDescent="0.35"/>
    <row r="90604" hidden="1" x14ac:dyDescent="0.35"/>
    <row r="90605" hidden="1" x14ac:dyDescent="0.35"/>
    <row r="90606" hidden="1" x14ac:dyDescent="0.35"/>
    <row r="90607" hidden="1" x14ac:dyDescent="0.35"/>
    <row r="90608" hidden="1" x14ac:dyDescent="0.35"/>
    <row r="90609" hidden="1" x14ac:dyDescent="0.35"/>
    <row r="90610" hidden="1" x14ac:dyDescent="0.35"/>
    <row r="90611" hidden="1" x14ac:dyDescent="0.35"/>
    <row r="90612" hidden="1" x14ac:dyDescent="0.35"/>
    <row r="90613" hidden="1" x14ac:dyDescent="0.35"/>
    <row r="90614" hidden="1" x14ac:dyDescent="0.35"/>
    <row r="90615" hidden="1" x14ac:dyDescent="0.35"/>
    <row r="90616" hidden="1" x14ac:dyDescent="0.35"/>
    <row r="90617" hidden="1" x14ac:dyDescent="0.35"/>
    <row r="90618" hidden="1" x14ac:dyDescent="0.35"/>
    <row r="90619" hidden="1" x14ac:dyDescent="0.35"/>
    <row r="90620" hidden="1" x14ac:dyDescent="0.35"/>
    <row r="90621" hidden="1" x14ac:dyDescent="0.35"/>
    <row r="90622" hidden="1" x14ac:dyDescent="0.35"/>
    <row r="90623" hidden="1" x14ac:dyDescent="0.35"/>
    <row r="90624" hidden="1" x14ac:dyDescent="0.35"/>
    <row r="90625" hidden="1" x14ac:dyDescent="0.35"/>
    <row r="90626" hidden="1" x14ac:dyDescent="0.35"/>
    <row r="90627" hidden="1" x14ac:dyDescent="0.35"/>
    <row r="90628" hidden="1" x14ac:dyDescent="0.35"/>
    <row r="90629" hidden="1" x14ac:dyDescent="0.35"/>
    <row r="90630" hidden="1" x14ac:dyDescent="0.35"/>
    <row r="90631" hidden="1" x14ac:dyDescent="0.35"/>
    <row r="90632" hidden="1" x14ac:dyDescent="0.35"/>
    <row r="90633" hidden="1" x14ac:dyDescent="0.35"/>
    <row r="90634" hidden="1" x14ac:dyDescent="0.35"/>
    <row r="90635" hidden="1" x14ac:dyDescent="0.35"/>
    <row r="90636" hidden="1" x14ac:dyDescent="0.35"/>
    <row r="90637" hidden="1" x14ac:dyDescent="0.35"/>
    <row r="90638" hidden="1" x14ac:dyDescent="0.35"/>
    <row r="90639" hidden="1" x14ac:dyDescent="0.35"/>
    <row r="90640" hidden="1" x14ac:dyDescent="0.35"/>
    <row r="90641" hidden="1" x14ac:dyDescent="0.35"/>
    <row r="90642" hidden="1" x14ac:dyDescent="0.35"/>
    <row r="90643" hidden="1" x14ac:dyDescent="0.35"/>
    <row r="90644" hidden="1" x14ac:dyDescent="0.35"/>
    <row r="90645" hidden="1" x14ac:dyDescent="0.35"/>
    <row r="90646" hidden="1" x14ac:dyDescent="0.35"/>
    <row r="90647" hidden="1" x14ac:dyDescent="0.35"/>
    <row r="90648" hidden="1" x14ac:dyDescent="0.35"/>
    <row r="90649" hidden="1" x14ac:dyDescent="0.35"/>
    <row r="90650" hidden="1" x14ac:dyDescent="0.35"/>
    <row r="90651" hidden="1" x14ac:dyDescent="0.35"/>
    <row r="90652" hidden="1" x14ac:dyDescent="0.35"/>
    <row r="90653" hidden="1" x14ac:dyDescent="0.35"/>
    <row r="90654" hidden="1" x14ac:dyDescent="0.35"/>
    <row r="90655" hidden="1" x14ac:dyDescent="0.35"/>
    <row r="90656" hidden="1" x14ac:dyDescent="0.35"/>
    <row r="90657" hidden="1" x14ac:dyDescent="0.35"/>
    <row r="90658" hidden="1" x14ac:dyDescent="0.35"/>
    <row r="90659" hidden="1" x14ac:dyDescent="0.35"/>
    <row r="90660" hidden="1" x14ac:dyDescent="0.35"/>
    <row r="90661" hidden="1" x14ac:dyDescent="0.35"/>
    <row r="90662" hidden="1" x14ac:dyDescent="0.35"/>
    <row r="90663" hidden="1" x14ac:dyDescent="0.35"/>
    <row r="90664" hidden="1" x14ac:dyDescent="0.35"/>
    <row r="90665" hidden="1" x14ac:dyDescent="0.35"/>
    <row r="90666" hidden="1" x14ac:dyDescent="0.35"/>
    <row r="90667" hidden="1" x14ac:dyDescent="0.35"/>
    <row r="90668" hidden="1" x14ac:dyDescent="0.35"/>
    <row r="90669" hidden="1" x14ac:dyDescent="0.35"/>
    <row r="90670" hidden="1" x14ac:dyDescent="0.35"/>
    <row r="90671" hidden="1" x14ac:dyDescent="0.35"/>
    <row r="90672" hidden="1" x14ac:dyDescent="0.35"/>
    <row r="90673" hidden="1" x14ac:dyDescent="0.35"/>
    <row r="90674" hidden="1" x14ac:dyDescent="0.35"/>
    <row r="90675" hidden="1" x14ac:dyDescent="0.35"/>
    <row r="90676" hidden="1" x14ac:dyDescent="0.35"/>
    <row r="90677" hidden="1" x14ac:dyDescent="0.35"/>
    <row r="90678" hidden="1" x14ac:dyDescent="0.35"/>
    <row r="90679" hidden="1" x14ac:dyDescent="0.35"/>
    <row r="90680" hidden="1" x14ac:dyDescent="0.35"/>
    <row r="90681" hidden="1" x14ac:dyDescent="0.35"/>
    <row r="90682" hidden="1" x14ac:dyDescent="0.35"/>
    <row r="90683" hidden="1" x14ac:dyDescent="0.35"/>
    <row r="90684" hidden="1" x14ac:dyDescent="0.35"/>
    <row r="90685" hidden="1" x14ac:dyDescent="0.35"/>
    <row r="90686" hidden="1" x14ac:dyDescent="0.35"/>
    <row r="90687" hidden="1" x14ac:dyDescent="0.35"/>
    <row r="90688" hidden="1" x14ac:dyDescent="0.35"/>
    <row r="90689" hidden="1" x14ac:dyDescent="0.35"/>
    <row r="90690" hidden="1" x14ac:dyDescent="0.35"/>
    <row r="90691" hidden="1" x14ac:dyDescent="0.35"/>
    <row r="90692" hidden="1" x14ac:dyDescent="0.35"/>
    <row r="90693" hidden="1" x14ac:dyDescent="0.35"/>
    <row r="90694" hidden="1" x14ac:dyDescent="0.35"/>
    <row r="90695" hidden="1" x14ac:dyDescent="0.35"/>
    <row r="90696" hidden="1" x14ac:dyDescent="0.35"/>
    <row r="90697" hidden="1" x14ac:dyDescent="0.35"/>
    <row r="90698" hidden="1" x14ac:dyDescent="0.35"/>
    <row r="90699" hidden="1" x14ac:dyDescent="0.35"/>
    <row r="90700" hidden="1" x14ac:dyDescent="0.35"/>
    <row r="90701" hidden="1" x14ac:dyDescent="0.35"/>
    <row r="90702" hidden="1" x14ac:dyDescent="0.35"/>
    <row r="90703" hidden="1" x14ac:dyDescent="0.35"/>
    <row r="90704" hidden="1" x14ac:dyDescent="0.35"/>
    <row r="90705" hidden="1" x14ac:dyDescent="0.35"/>
    <row r="90706" hidden="1" x14ac:dyDescent="0.35"/>
    <row r="90707" hidden="1" x14ac:dyDescent="0.35"/>
    <row r="90708" hidden="1" x14ac:dyDescent="0.35"/>
    <row r="90709" hidden="1" x14ac:dyDescent="0.35"/>
    <row r="90710" hidden="1" x14ac:dyDescent="0.35"/>
    <row r="90711" hidden="1" x14ac:dyDescent="0.35"/>
    <row r="90712" hidden="1" x14ac:dyDescent="0.35"/>
    <row r="90713" hidden="1" x14ac:dyDescent="0.35"/>
    <row r="90714" hidden="1" x14ac:dyDescent="0.35"/>
    <row r="90715" hidden="1" x14ac:dyDescent="0.35"/>
    <row r="90716" hidden="1" x14ac:dyDescent="0.35"/>
    <row r="90717" hidden="1" x14ac:dyDescent="0.35"/>
    <row r="90718" hidden="1" x14ac:dyDescent="0.35"/>
    <row r="90719" hidden="1" x14ac:dyDescent="0.35"/>
    <row r="90720" hidden="1" x14ac:dyDescent="0.35"/>
    <row r="90721" hidden="1" x14ac:dyDescent="0.35"/>
    <row r="90722" hidden="1" x14ac:dyDescent="0.35"/>
    <row r="90723" hidden="1" x14ac:dyDescent="0.35"/>
    <row r="90724" hidden="1" x14ac:dyDescent="0.35"/>
    <row r="90725" hidden="1" x14ac:dyDescent="0.35"/>
    <row r="90726" hidden="1" x14ac:dyDescent="0.35"/>
    <row r="90727" hidden="1" x14ac:dyDescent="0.35"/>
    <row r="90728" hidden="1" x14ac:dyDescent="0.35"/>
    <row r="90729" hidden="1" x14ac:dyDescent="0.35"/>
    <row r="90730" hidden="1" x14ac:dyDescent="0.35"/>
    <row r="90731" hidden="1" x14ac:dyDescent="0.35"/>
    <row r="90732" hidden="1" x14ac:dyDescent="0.35"/>
    <row r="90733" hidden="1" x14ac:dyDescent="0.35"/>
    <row r="90734" hidden="1" x14ac:dyDescent="0.35"/>
    <row r="90735" hidden="1" x14ac:dyDescent="0.35"/>
    <row r="90736" hidden="1" x14ac:dyDescent="0.35"/>
    <row r="90737" hidden="1" x14ac:dyDescent="0.35"/>
    <row r="90738" hidden="1" x14ac:dyDescent="0.35"/>
    <row r="90739" hidden="1" x14ac:dyDescent="0.35"/>
    <row r="90740" hidden="1" x14ac:dyDescent="0.35"/>
    <row r="90741" hidden="1" x14ac:dyDescent="0.35"/>
    <row r="90742" hidden="1" x14ac:dyDescent="0.35"/>
    <row r="90743" hidden="1" x14ac:dyDescent="0.35"/>
    <row r="90744" hidden="1" x14ac:dyDescent="0.35"/>
    <row r="90745" hidden="1" x14ac:dyDescent="0.35"/>
    <row r="90746" hidden="1" x14ac:dyDescent="0.35"/>
    <row r="90747" hidden="1" x14ac:dyDescent="0.35"/>
    <row r="90748" hidden="1" x14ac:dyDescent="0.35"/>
    <row r="90749" hidden="1" x14ac:dyDescent="0.35"/>
    <row r="90750" hidden="1" x14ac:dyDescent="0.35"/>
    <row r="90751" hidden="1" x14ac:dyDescent="0.35"/>
    <row r="90752" hidden="1" x14ac:dyDescent="0.35"/>
    <row r="90753" hidden="1" x14ac:dyDescent="0.35"/>
    <row r="90754" hidden="1" x14ac:dyDescent="0.35"/>
    <row r="90755" hidden="1" x14ac:dyDescent="0.35"/>
    <row r="90756" hidden="1" x14ac:dyDescent="0.35"/>
    <row r="90757" hidden="1" x14ac:dyDescent="0.35"/>
    <row r="90758" hidden="1" x14ac:dyDescent="0.35"/>
    <row r="90759" hidden="1" x14ac:dyDescent="0.35"/>
    <row r="90760" hidden="1" x14ac:dyDescent="0.35"/>
    <row r="90761" hidden="1" x14ac:dyDescent="0.35"/>
    <row r="90762" hidden="1" x14ac:dyDescent="0.35"/>
    <row r="90763" hidden="1" x14ac:dyDescent="0.35"/>
    <row r="90764" hidden="1" x14ac:dyDescent="0.35"/>
    <row r="90765" hidden="1" x14ac:dyDescent="0.35"/>
    <row r="90766" hidden="1" x14ac:dyDescent="0.35"/>
    <row r="90767" hidden="1" x14ac:dyDescent="0.35"/>
    <row r="90768" hidden="1" x14ac:dyDescent="0.35"/>
    <row r="90769" hidden="1" x14ac:dyDescent="0.35"/>
    <row r="90770" hidden="1" x14ac:dyDescent="0.35"/>
    <row r="90771" hidden="1" x14ac:dyDescent="0.35"/>
    <row r="90772" hidden="1" x14ac:dyDescent="0.35"/>
    <row r="90773" hidden="1" x14ac:dyDescent="0.35"/>
    <row r="90774" hidden="1" x14ac:dyDescent="0.35"/>
    <row r="90775" hidden="1" x14ac:dyDescent="0.35"/>
    <row r="90776" hidden="1" x14ac:dyDescent="0.35"/>
    <row r="90777" hidden="1" x14ac:dyDescent="0.35"/>
    <row r="90778" hidden="1" x14ac:dyDescent="0.35"/>
    <row r="90779" hidden="1" x14ac:dyDescent="0.35"/>
    <row r="90780" hidden="1" x14ac:dyDescent="0.35"/>
    <row r="90781" hidden="1" x14ac:dyDescent="0.35"/>
    <row r="90782" hidden="1" x14ac:dyDescent="0.35"/>
    <row r="90783" hidden="1" x14ac:dyDescent="0.35"/>
    <row r="90784" hidden="1" x14ac:dyDescent="0.35"/>
    <row r="90785" hidden="1" x14ac:dyDescent="0.35"/>
    <row r="90786" hidden="1" x14ac:dyDescent="0.35"/>
    <row r="90787" hidden="1" x14ac:dyDescent="0.35"/>
    <row r="90788" hidden="1" x14ac:dyDescent="0.35"/>
    <row r="90789" hidden="1" x14ac:dyDescent="0.35"/>
    <row r="90790" hidden="1" x14ac:dyDescent="0.35"/>
    <row r="90791" hidden="1" x14ac:dyDescent="0.35"/>
    <row r="90792" hidden="1" x14ac:dyDescent="0.35"/>
    <row r="90793" hidden="1" x14ac:dyDescent="0.35"/>
    <row r="90794" hidden="1" x14ac:dyDescent="0.35"/>
    <row r="90795" hidden="1" x14ac:dyDescent="0.35"/>
    <row r="90796" hidden="1" x14ac:dyDescent="0.35"/>
    <row r="90797" hidden="1" x14ac:dyDescent="0.35"/>
    <row r="90798" hidden="1" x14ac:dyDescent="0.35"/>
    <row r="90799" hidden="1" x14ac:dyDescent="0.35"/>
    <row r="90800" hidden="1" x14ac:dyDescent="0.35"/>
    <row r="90801" hidden="1" x14ac:dyDescent="0.35"/>
    <row r="90802" hidden="1" x14ac:dyDescent="0.35"/>
    <row r="90803" hidden="1" x14ac:dyDescent="0.35"/>
    <row r="90804" hidden="1" x14ac:dyDescent="0.35"/>
    <row r="90805" hidden="1" x14ac:dyDescent="0.35"/>
    <row r="90806" hidden="1" x14ac:dyDescent="0.35"/>
    <row r="90807" hidden="1" x14ac:dyDescent="0.35"/>
    <row r="90808" hidden="1" x14ac:dyDescent="0.35"/>
    <row r="90809" hidden="1" x14ac:dyDescent="0.35"/>
    <row r="90810" hidden="1" x14ac:dyDescent="0.35"/>
    <row r="90811" hidden="1" x14ac:dyDescent="0.35"/>
    <row r="90812" hidden="1" x14ac:dyDescent="0.35"/>
    <row r="90813" hidden="1" x14ac:dyDescent="0.35"/>
    <row r="90814" hidden="1" x14ac:dyDescent="0.35"/>
    <row r="90815" hidden="1" x14ac:dyDescent="0.35"/>
    <row r="90816" hidden="1" x14ac:dyDescent="0.35"/>
    <row r="90817" hidden="1" x14ac:dyDescent="0.35"/>
    <row r="90818" hidden="1" x14ac:dyDescent="0.35"/>
    <row r="90819" hidden="1" x14ac:dyDescent="0.35"/>
    <row r="90820" hidden="1" x14ac:dyDescent="0.35"/>
    <row r="90821" hidden="1" x14ac:dyDescent="0.35"/>
    <row r="90822" hidden="1" x14ac:dyDescent="0.35"/>
    <row r="90823" hidden="1" x14ac:dyDescent="0.35"/>
    <row r="90824" hidden="1" x14ac:dyDescent="0.35"/>
    <row r="90825" hidden="1" x14ac:dyDescent="0.35"/>
    <row r="90826" hidden="1" x14ac:dyDescent="0.35"/>
    <row r="90827" hidden="1" x14ac:dyDescent="0.35"/>
    <row r="90828" hidden="1" x14ac:dyDescent="0.35"/>
    <row r="90829" hidden="1" x14ac:dyDescent="0.35"/>
    <row r="90830" hidden="1" x14ac:dyDescent="0.35"/>
    <row r="90831" hidden="1" x14ac:dyDescent="0.35"/>
    <row r="90832" hidden="1" x14ac:dyDescent="0.35"/>
    <row r="90833" hidden="1" x14ac:dyDescent="0.35"/>
    <row r="90834" hidden="1" x14ac:dyDescent="0.35"/>
    <row r="90835" hidden="1" x14ac:dyDescent="0.35"/>
    <row r="90836" hidden="1" x14ac:dyDescent="0.35"/>
    <row r="90837" hidden="1" x14ac:dyDescent="0.35"/>
    <row r="90838" hidden="1" x14ac:dyDescent="0.35"/>
    <row r="90839" hidden="1" x14ac:dyDescent="0.35"/>
    <row r="90840" hidden="1" x14ac:dyDescent="0.35"/>
    <row r="90841" hidden="1" x14ac:dyDescent="0.35"/>
    <row r="90842" hidden="1" x14ac:dyDescent="0.35"/>
    <row r="90843" hidden="1" x14ac:dyDescent="0.35"/>
    <row r="90844" hidden="1" x14ac:dyDescent="0.35"/>
    <row r="90845" hidden="1" x14ac:dyDescent="0.35"/>
    <row r="90846" hidden="1" x14ac:dyDescent="0.35"/>
    <row r="90847" hidden="1" x14ac:dyDescent="0.35"/>
    <row r="90848" hidden="1" x14ac:dyDescent="0.35"/>
    <row r="90849" hidden="1" x14ac:dyDescent="0.35"/>
    <row r="90850" hidden="1" x14ac:dyDescent="0.35"/>
    <row r="90851" hidden="1" x14ac:dyDescent="0.35"/>
    <row r="90852" hidden="1" x14ac:dyDescent="0.35"/>
    <row r="90853" hidden="1" x14ac:dyDescent="0.35"/>
    <row r="90854" hidden="1" x14ac:dyDescent="0.35"/>
    <row r="90855" hidden="1" x14ac:dyDescent="0.35"/>
    <row r="90856" hidden="1" x14ac:dyDescent="0.35"/>
    <row r="90857" hidden="1" x14ac:dyDescent="0.35"/>
    <row r="90858" hidden="1" x14ac:dyDescent="0.35"/>
    <row r="90859" hidden="1" x14ac:dyDescent="0.35"/>
    <row r="90860" hidden="1" x14ac:dyDescent="0.35"/>
    <row r="90861" hidden="1" x14ac:dyDescent="0.35"/>
    <row r="90862" hidden="1" x14ac:dyDescent="0.35"/>
    <row r="90863" hidden="1" x14ac:dyDescent="0.35"/>
    <row r="90864" hidden="1" x14ac:dyDescent="0.35"/>
    <row r="90865" hidden="1" x14ac:dyDescent="0.35"/>
    <row r="90866" hidden="1" x14ac:dyDescent="0.35"/>
    <row r="90867" hidden="1" x14ac:dyDescent="0.35"/>
    <row r="90868" hidden="1" x14ac:dyDescent="0.35"/>
    <row r="90869" hidden="1" x14ac:dyDescent="0.35"/>
    <row r="90870" hidden="1" x14ac:dyDescent="0.35"/>
    <row r="90871" hidden="1" x14ac:dyDescent="0.35"/>
    <row r="90872" hidden="1" x14ac:dyDescent="0.35"/>
    <row r="90873" hidden="1" x14ac:dyDescent="0.35"/>
    <row r="90874" hidden="1" x14ac:dyDescent="0.35"/>
    <row r="90875" hidden="1" x14ac:dyDescent="0.35"/>
    <row r="90876" hidden="1" x14ac:dyDescent="0.35"/>
    <row r="90877" hidden="1" x14ac:dyDescent="0.35"/>
    <row r="90878" hidden="1" x14ac:dyDescent="0.35"/>
    <row r="90879" hidden="1" x14ac:dyDescent="0.35"/>
    <row r="90880" hidden="1" x14ac:dyDescent="0.35"/>
    <row r="90881" hidden="1" x14ac:dyDescent="0.35"/>
    <row r="90882" hidden="1" x14ac:dyDescent="0.35"/>
    <row r="90883" hidden="1" x14ac:dyDescent="0.35"/>
    <row r="90884" hidden="1" x14ac:dyDescent="0.35"/>
    <row r="90885" hidden="1" x14ac:dyDescent="0.35"/>
    <row r="90886" hidden="1" x14ac:dyDescent="0.35"/>
    <row r="90887" hidden="1" x14ac:dyDescent="0.35"/>
    <row r="90888" hidden="1" x14ac:dyDescent="0.35"/>
    <row r="90889" hidden="1" x14ac:dyDescent="0.35"/>
    <row r="90890" hidden="1" x14ac:dyDescent="0.35"/>
    <row r="90891" hidden="1" x14ac:dyDescent="0.35"/>
    <row r="90892" hidden="1" x14ac:dyDescent="0.35"/>
    <row r="90893" hidden="1" x14ac:dyDescent="0.35"/>
    <row r="90894" hidden="1" x14ac:dyDescent="0.35"/>
    <row r="90895" hidden="1" x14ac:dyDescent="0.35"/>
    <row r="90896" hidden="1" x14ac:dyDescent="0.35"/>
    <row r="90897" hidden="1" x14ac:dyDescent="0.35"/>
    <row r="90898" hidden="1" x14ac:dyDescent="0.35"/>
    <row r="90899" hidden="1" x14ac:dyDescent="0.35"/>
    <row r="90900" hidden="1" x14ac:dyDescent="0.35"/>
    <row r="90901" hidden="1" x14ac:dyDescent="0.35"/>
    <row r="90902" hidden="1" x14ac:dyDescent="0.35"/>
    <row r="90903" hidden="1" x14ac:dyDescent="0.35"/>
    <row r="90904" hidden="1" x14ac:dyDescent="0.35"/>
    <row r="90905" hidden="1" x14ac:dyDescent="0.35"/>
    <row r="90906" hidden="1" x14ac:dyDescent="0.35"/>
    <row r="90907" hidden="1" x14ac:dyDescent="0.35"/>
    <row r="90908" hidden="1" x14ac:dyDescent="0.35"/>
    <row r="90909" hidden="1" x14ac:dyDescent="0.35"/>
    <row r="90910" hidden="1" x14ac:dyDescent="0.35"/>
    <row r="90911" hidden="1" x14ac:dyDescent="0.35"/>
    <row r="90912" hidden="1" x14ac:dyDescent="0.35"/>
    <row r="90913" hidden="1" x14ac:dyDescent="0.35"/>
    <row r="90914" hidden="1" x14ac:dyDescent="0.35"/>
    <row r="90915" hidden="1" x14ac:dyDescent="0.35"/>
    <row r="90916" hidden="1" x14ac:dyDescent="0.35"/>
    <row r="90917" hidden="1" x14ac:dyDescent="0.35"/>
    <row r="90918" hidden="1" x14ac:dyDescent="0.35"/>
    <row r="90919" hidden="1" x14ac:dyDescent="0.35"/>
    <row r="90920" hidden="1" x14ac:dyDescent="0.35"/>
    <row r="90921" hidden="1" x14ac:dyDescent="0.35"/>
    <row r="90922" hidden="1" x14ac:dyDescent="0.35"/>
    <row r="90923" hidden="1" x14ac:dyDescent="0.35"/>
    <row r="90924" hidden="1" x14ac:dyDescent="0.35"/>
    <row r="90925" hidden="1" x14ac:dyDescent="0.35"/>
    <row r="90926" hidden="1" x14ac:dyDescent="0.35"/>
    <row r="90927" hidden="1" x14ac:dyDescent="0.35"/>
    <row r="90928" hidden="1" x14ac:dyDescent="0.35"/>
    <row r="90929" hidden="1" x14ac:dyDescent="0.35"/>
    <row r="90930" hidden="1" x14ac:dyDescent="0.35"/>
    <row r="90931" hidden="1" x14ac:dyDescent="0.35"/>
    <row r="90932" hidden="1" x14ac:dyDescent="0.35"/>
    <row r="90933" hidden="1" x14ac:dyDescent="0.35"/>
    <row r="90934" hidden="1" x14ac:dyDescent="0.35"/>
    <row r="90935" hidden="1" x14ac:dyDescent="0.35"/>
    <row r="90936" hidden="1" x14ac:dyDescent="0.35"/>
    <row r="90937" hidden="1" x14ac:dyDescent="0.35"/>
    <row r="90938" hidden="1" x14ac:dyDescent="0.35"/>
    <row r="90939" hidden="1" x14ac:dyDescent="0.35"/>
    <row r="90940" hidden="1" x14ac:dyDescent="0.35"/>
    <row r="90941" hidden="1" x14ac:dyDescent="0.35"/>
    <row r="90942" hidden="1" x14ac:dyDescent="0.35"/>
    <row r="90943" hidden="1" x14ac:dyDescent="0.35"/>
    <row r="90944" hidden="1" x14ac:dyDescent="0.35"/>
    <row r="90945" hidden="1" x14ac:dyDescent="0.35"/>
    <row r="90946" hidden="1" x14ac:dyDescent="0.35"/>
    <row r="90947" hidden="1" x14ac:dyDescent="0.35"/>
    <row r="90948" hidden="1" x14ac:dyDescent="0.35"/>
    <row r="90949" hidden="1" x14ac:dyDescent="0.35"/>
    <row r="90950" hidden="1" x14ac:dyDescent="0.35"/>
    <row r="90951" hidden="1" x14ac:dyDescent="0.35"/>
    <row r="90952" hidden="1" x14ac:dyDescent="0.35"/>
    <row r="90953" hidden="1" x14ac:dyDescent="0.35"/>
    <row r="90954" hidden="1" x14ac:dyDescent="0.35"/>
    <row r="90955" hidden="1" x14ac:dyDescent="0.35"/>
    <row r="90956" hidden="1" x14ac:dyDescent="0.35"/>
    <row r="90957" hidden="1" x14ac:dyDescent="0.35"/>
    <row r="90958" hidden="1" x14ac:dyDescent="0.35"/>
    <row r="90959" hidden="1" x14ac:dyDescent="0.35"/>
    <row r="90960" hidden="1" x14ac:dyDescent="0.35"/>
    <row r="90961" hidden="1" x14ac:dyDescent="0.35"/>
    <row r="90962" hidden="1" x14ac:dyDescent="0.35"/>
    <row r="90963" hidden="1" x14ac:dyDescent="0.35"/>
    <row r="90964" hidden="1" x14ac:dyDescent="0.35"/>
    <row r="90965" hidden="1" x14ac:dyDescent="0.35"/>
    <row r="90966" hidden="1" x14ac:dyDescent="0.35"/>
    <row r="90967" hidden="1" x14ac:dyDescent="0.35"/>
    <row r="90968" hidden="1" x14ac:dyDescent="0.35"/>
    <row r="90969" hidden="1" x14ac:dyDescent="0.35"/>
    <row r="90970" hidden="1" x14ac:dyDescent="0.35"/>
    <row r="90971" hidden="1" x14ac:dyDescent="0.35"/>
    <row r="90972" hidden="1" x14ac:dyDescent="0.35"/>
    <row r="90973" hidden="1" x14ac:dyDescent="0.35"/>
    <row r="90974" hidden="1" x14ac:dyDescent="0.35"/>
    <row r="90975" hidden="1" x14ac:dyDescent="0.35"/>
    <row r="90976" hidden="1" x14ac:dyDescent="0.35"/>
    <row r="90977" hidden="1" x14ac:dyDescent="0.35"/>
    <row r="90978" hidden="1" x14ac:dyDescent="0.35"/>
    <row r="90979" hidden="1" x14ac:dyDescent="0.35"/>
    <row r="90980" hidden="1" x14ac:dyDescent="0.35"/>
    <row r="90981" hidden="1" x14ac:dyDescent="0.35"/>
    <row r="90982" hidden="1" x14ac:dyDescent="0.35"/>
    <row r="90983" hidden="1" x14ac:dyDescent="0.35"/>
    <row r="90984" hidden="1" x14ac:dyDescent="0.35"/>
    <row r="90985" hidden="1" x14ac:dyDescent="0.35"/>
    <row r="90986" hidden="1" x14ac:dyDescent="0.35"/>
    <row r="90987" hidden="1" x14ac:dyDescent="0.35"/>
    <row r="90988" hidden="1" x14ac:dyDescent="0.35"/>
    <row r="90989" hidden="1" x14ac:dyDescent="0.35"/>
    <row r="90990" hidden="1" x14ac:dyDescent="0.35"/>
    <row r="90991" hidden="1" x14ac:dyDescent="0.35"/>
    <row r="90992" hidden="1" x14ac:dyDescent="0.35"/>
    <row r="90993" hidden="1" x14ac:dyDescent="0.35"/>
    <row r="90994" hidden="1" x14ac:dyDescent="0.35"/>
    <row r="90995" hidden="1" x14ac:dyDescent="0.35"/>
    <row r="90996" hidden="1" x14ac:dyDescent="0.35"/>
    <row r="90997" hidden="1" x14ac:dyDescent="0.35"/>
    <row r="90998" hidden="1" x14ac:dyDescent="0.35"/>
    <row r="90999" hidden="1" x14ac:dyDescent="0.35"/>
    <row r="91000" hidden="1" x14ac:dyDescent="0.35"/>
    <row r="91001" hidden="1" x14ac:dyDescent="0.35"/>
    <row r="91002" hidden="1" x14ac:dyDescent="0.35"/>
    <row r="91003" hidden="1" x14ac:dyDescent="0.35"/>
    <row r="91004" hidden="1" x14ac:dyDescent="0.35"/>
    <row r="91005" hidden="1" x14ac:dyDescent="0.35"/>
    <row r="91006" hidden="1" x14ac:dyDescent="0.35"/>
    <row r="91007" hidden="1" x14ac:dyDescent="0.35"/>
    <row r="91008" hidden="1" x14ac:dyDescent="0.35"/>
    <row r="91009" hidden="1" x14ac:dyDescent="0.35"/>
    <row r="91010" hidden="1" x14ac:dyDescent="0.35"/>
    <row r="91011" hidden="1" x14ac:dyDescent="0.35"/>
    <row r="91012" hidden="1" x14ac:dyDescent="0.35"/>
    <row r="91013" hidden="1" x14ac:dyDescent="0.35"/>
    <row r="91014" hidden="1" x14ac:dyDescent="0.35"/>
    <row r="91015" hidden="1" x14ac:dyDescent="0.35"/>
    <row r="91016" hidden="1" x14ac:dyDescent="0.35"/>
    <row r="91017" hidden="1" x14ac:dyDescent="0.35"/>
    <row r="91018" hidden="1" x14ac:dyDescent="0.35"/>
    <row r="91019" hidden="1" x14ac:dyDescent="0.35"/>
    <row r="91020" hidden="1" x14ac:dyDescent="0.35"/>
    <row r="91021" hidden="1" x14ac:dyDescent="0.35"/>
    <row r="91022" hidden="1" x14ac:dyDescent="0.35"/>
    <row r="91023" hidden="1" x14ac:dyDescent="0.35"/>
    <row r="91024" hidden="1" x14ac:dyDescent="0.35"/>
    <row r="91025" hidden="1" x14ac:dyDescent="0.35"/>
    <row r="91026" hidden="1" x14ac:dyDescent="0.35"/>
    <row r="91027" hidden="1" x14ac:dyDescent="0.35"/>
    <row r="91028" hidden="1" x14ac:dyDescent="0.35"/>
    <row r="91029" hidden="1" x14ac:dyDescent="0.35"/>
    <row r="91030" hidden="1" x14ac:dyDescent="0.35"/>
    <row r="91031" hidden="1" x14ac:dyDescent="0.35"/>
    <row r="91032" hidden="1" x14ac:dyDescent="0.35"/>
    <row r="91033" hidden="1" x14ac:dyDescent="0.35"/>
    <row r="91034" hidden="1" x14ac:dyDescent="0.35"/>
    <row r="91035" hidden="1" x14ac:dyDescent="0.35"/>
    <row r="91036" hidden="1" x14ac:dyDescent="0.35"/>
    <row r="91037" hidden="1" x14ac:dyDescent="0.35"/>
    <row r="91038" hidden="1" x14ac:dyDescent="0.35"/>
    <row r="91039" hidden="1" x14ac:dyDescent="0.35"/>
    <row r="91040" hidden="1" x14ac:dyDescent="0.35"/>
    <row r="91041" hidden="1" x14ac:dyDescent="0.35"/>
    <row r="91042" hidden="1" x14ac:dyDescent="0.35"/>
    <row r="91043" hidden="1" x14ac:dyDescent="0.35"/>
    <row r="91044" hidden="1" x14ac:dyDescent="0.35"/>
    <row r="91045" hidden="1" x14ac:dyDescent="0.35"/>
    <row r="91046" hidden="1" x14ac:dyDescent="0.35"/>
    <row r="91047" hidden="1" x14ac:dyDescent="0.35"/>
    <row r="91048" hidden="1" x14ac:dyDescent="0.35"/>
    <row r="91049" hidden="1" x14ac:dyDescent="0.35"/>
    <row r="91050" hidden="1" x14ac:dyDescent="0.35"/>
    <row r="91051" hidden="1" x14ac:dyDescent="0.35"/>
    <row r="91052" hidden="1" x14ac:dyDescent="0.35"/>
    <row r="91053" hidden="1" x14ac:dyDescent="0.35"/>
    <row r="91054" hidden="1" x14ac:dyDescent="0.35"/>
    <row r="91055" hidden="1" x14ac:dyDescent="0.35"/>
    <row r="91056" hidden="1" x14ac:dyDescent="0.35"/>
    <row r="91057" hidden="1" x14ac:dyDescent="0.35"/>
    <row r="91058" hidden="1" x14ac:dyDescent="0.35"/>
    <row r="91059" hidden="1" x14ac:dyDescent="0.35"/>
    <row r="91060" hidden="1" x14ac:dyDescent="0.35"/>
    <row r="91061" hidden="1" x14ac:dyDescent="0.35"/>
    <row r="91062" hidden="1" x14ac:dyDescent="0.35"/>
    <row r="91063" hidden="1" x14ac:dyDescent="0.35"/>
    <row r="91064" hidden="1" x14ac:dyDescent="0.35"/>
    <row r="91065" hidden="1" x14ac:dyDescent="0.35"/>
    <row r="91066" hidden="1" x14ac:dyDescent="0.35"/>
    <row r="91067" hidden="1" x14ac:dyDescent="0.35"/>
    <row r="91068" hidden="1" x14ac:dyDescent="0.35"/>
    <row r="91069" hidden="1" x14ac:dyDescent="0.35"/>
    <row r="91070" hidden="1" x14ac:dyDescent="0.35"/>
    <row r="91071" hidden="1" x14ac:dyDescent="0.35"/>
    <row r="91072" hidden="1" x14ac:dyDescent="0.35"/>
    <row r="91073" hidden="1" x14ac:dyDescent="0.35"/>
    <row r="91074" hidden="1" x14ac:dyDescent="0.35"/>
    <row r="91075" hidden="1" x14ac:dyDescent="0.35"/>
    <row r="91076" hidden="1" x14ac:dyDescent="0.35"/>
    <row r="91077" hidden="1" x14ac:dyDescent="0.35"/>
    <row r="91078" hidden="1" x14ac:dyDescent="0.35"/>
    <row r="91079" hidden="1" x14ac:dyDescent="0.35"/>
    <row r="91080" hidden="1" x14ac:dyDescent="0.35"/>
    <row r="91081" hidden="1" x14ac:dyDescent="0.35"/>
    <row r="91082" hidden="1" x14ac:dyDescent="0.35"/>
    <row r="91083" hidden="1" x14ac:dyDescent="0.35"/>
    <row r="91084" hidden="1" x14ac:dyDescent="0.35"/>
    <row r="91085" hidden="1" x14ac:dyDescent="0.35"/>
    <row r="91086" hidden="1" x14ac:dyDescent="0.35"/>
    <row r="91087" hidden="1" x14ac:dyDescent="0.35"/>
    <row r="91088" hidden="1" x14ac:dyDescent="0.35"/>
    <row r="91089" hidden="1" x14ac:dyDescent="0.35"/>
    <row r="91090" hidden="1" x14ac:dyDescent="0.35"/>
    <row r="91091" hidden="1" x14ac:dyDescent="0.35"/>
    <row r="91092" hidden="1" x14ac:dyDescent="0.35"/>
    <row r="91093" hidden="1" x14ac:dyDescent="0.35"/>
    <row r="91094" hidden="1" x14ac:dyDescent="0.35"/>
    <row r="91095" hidden="1" x14ac:dyDescent="0.35"/>
    <row r="91096" hidden="1" x14ac:dyDescent="0.35"/>
    <row r="91097" hidden="1" x14ac:dyDescent="0.35"/>
    <row r="91098" hidden="1" x14ac:dyDescent="0.35"/>
    <row r="91099" hidden="1" x14ac:dyDescent="0.35"/>
    <row r="91100" hidden="1" x14ac:dyDescent="0.35"/>
    <row r="91101" hidden="1" x14ac:dyDescent="0.35"/>
    <row r="91102" hidden="1" x14ac:dyDescent="0.35"/>
    <row r="91103" hidden="1" x14ac:dyDescent="0.35"/>
    <row r="91104" hidden="1" x14ac:dyDescent="0.35"/>
    <row r="91105" hidden="1" x14ac:dyDescent="0.35"/>
    <row r="91106" hidden="1" x14ac:dyDescent="0.35"/>
    <row r="91107" hidden="1" x14ac:dyDescent="0.35"/>
    <row r="91108" hidden="1" x14ac:dyDescent="0.35"/>
    <row r="91109" hidden="1" x14ac:dyDescent="0.35"/>
    <row r="91110" hidden="1" x14ac:dyDescent="0.35"/>
    <row r="91111" hidden="1" x14ac:dyDescent="0.35"/>
    <row r="91112" hidden="1" x14ac:dyDescent="0.35"/>
    <row r="91113" hidden="1" x14ac:dyDescent="0.35"/>
    <row r="91114" hidden="1" x14ac:dyDescent="0.35"/>
    <row r="91115" hidden="1" x14ac:dyDescent="0.35"/>
    <row r="91116" hidden="1" x14ac:dyDescent="0.35"/>
    <row r="91117" hidden="1" x14ac:dyDescent="0.35"/>
    <row r="91118" hidden="1" x14ac:dyDescent="0.35"/>
    <row r="91119" hidden="1" x14ac:dyDescent="0.35"/>
    <row r="91120" hidden="1" x14ac:dyDescent="0.35"/>
    <row r="91121" hidden="1" x14ac:dyDescent="0.35"/>
    <row r="91122" hidden="1" x14ac:dyDescent="0.35"/>
    <row r="91123" hidden="1" x14ac:dyDescent="0.35"/>
    <row r="91124" hidden="1" x14ac:dyDescent="0.35"/>
    <row r="91125" hidden="1" x14ac:dyDescent="0.35"/>
    <row r="91126" hidden="1" x14ac:dyDescent="0.35"/>
    <row r="91127" hidden="1" x14ac:dyDescent="0.35"/>
    <row r="91128" hidden="1" x14ac:dyDescent="0.35"/>
    <row r="91129" hidden="1" x14ac:dyDescent="0.35"/>
    <row r="91130" hidden="1" x14ac:dyDescent="0.35"/>
    <row r="91131" hidden="1" x14ac:dyDescent="0.35"/>
    <row r="91132" hidden="1" x14ac:dyDescent="0.35"/>
    <row r="91133" hidden="1" x14ac:dyDescent="0.35"/>
    <row r="91134" hidden="1" x14ac:dyDescent="0.35"/>
    <row r="91135" hidden="1" x14ac:dyDescent="0.35"/>
    <row r="91136" hidden="1" x14ac:dyDescent="0.35"/>
    <row r="91137" hidden="1" x14ac:dyDescent="0.35"/>
    <row r="91138" hidden="1" x14ac:dyDescent="0.35"/>
    <row r="91139" hidden="1" x14ac:dyDescent="0.35"/>
    <row r="91140" hidden="1" x14ac:dyDescent="0.35"/>
    <row r="91141" hidden="1" x14ac:dyDescent="0.35"/>
    <row r="91142" hidden="1" x14ac:dyDescent="0.35"/>
    <row r="91143" hidden="1" x14ac:dyDescent="0.35"/>
    <row r="91144" hidden="1" x14ac:dyDescent="0.35"/>
    <row r="91145" hidden="1" x14ac:dyDescent="0.35"/>
    <row r="91146" hidden="1" x14ac:dyDescent="0.35"/>
    <row r="91147" hidden="1" x14ac:dyDescent="0.35"/>
    <row r="91148" hidden="1" x14ac:dyDescent="0.35"/>
    <row r="91149" hidden="1" x14ac:dyDescent="0.35"/>
    <row r="91150" hidden="1" x14ac:dyDescent="0.35"/>
    <row r="91151" hidden="1" x14ac:dyDescent="0.35"/>
    <row r="91152" hidden="1" x14ac:dyDescent="0.35"/>
    <row r="91153" hidden="1" x14ac:dyDescent="0.35"/>
    <row r="91154" hidden="1" x14ac:dyDescent="0.35"/>
    <row r="91155" hidden="1" x14ac:dyDescent="0.35"/>
    <row r="91156" hidden="1" x14ac:dyDescent="0.35"/>
    <row r="91157" hidden="1" x14ac:dyDescent="0.35"/>
    <row r="91158" hidden="1" x14ac:dyDescent="0.35"/>
    <row r="91159" hidden="1" x14ac:dyDescent="0.35"/>
    <row r="91160" hidden="1" x14ac:dyDescent="0.35"/>
    <row r="91161" hidden="1" x14ac:dyDescent="0.35"/>
    <row r="91162" hidden="1" x14ac:dyDescent="0.35"/>
    <row r="91163" hidden="1" x14ac:dyDescent="0.35"/>
    <row r="91164" hidden="1" x14ac:dyDescent="0.35"/>
    <row r="91165" hidden="1" x14ac:dyDescent="0.35"/>
    <row r="91166" hidden="1" x14ac:dyDescent="0.35"/>
    <row r="91167" hidden="1" x14ac:dyDescent="0.35"/>
    <row r="91168" hidden="1" x14ac:dyDescent="0.35"/>
    <row r="91169" hidden="1" x14ac:dyDescent="0.35"/>
    <row r="91170" hidden="1" x14ac:dyDescent="0.35"/>
    <row r="91171" hidden="1" x14ac:dyDescent="0.35"/>
    <row r="91172" hidden="1" x14ac:dyDescent="0.35"/>
    <row r="91173" hidden="1" x14ac:dyDescent="0.35"/>
    <row r="91174" hidden="1" x14ac:dyDescent="0.35"/>
    <row r="91175" hidden="1" x14ac:dyDescent="0.35"/>
    <row r="91176" hidden="1" x14ac:dyDescent="0.35"/>
    <row r="91177" hidden="1" x14ac:dyDescent="0.35"/>
    <row r="91178" hidden="1" x14ac:dyDescent="0.35"/>
    <row r="91179" hidden="1" x14ac:dyDescent="0.35"/>
    <row r="91180" hidden="1" x14ac:dyDescent="0.35"/>
    <row r="91181" hidden="1" x14ac:dyDescent="0.35"/>
    <row r="91182" hidden="1" x14ac:dyDescent="0.35"/>
    <row r="91183" hidden="1" x14ac:dyDescent="0.35"/>
    <row r="91184" hidden="1" x14ac:dyDescent="0.35"/>
    <row r="91185" hidden="1" x14ac:dyDescent="0.35"/>
    <row r="91186" hidden="1" x14ac:dyDescent="0.35"/>
    <row r="91187" hidden="1" x14ac:dyDescent="0.35"/>
    <row r="91188" hidden="1" x14ac:dyDescent="0.35"/>
    <row r="91189" hidden="1" x14ac:dyDescent="0.35"/>
    <row r="91190" hidden="1" x14ac:dyDescent="0.35"/>
    <row r="91191" hidden="1" x14ac:dyDescent="0.35"/>
    <row r="91192" hidden="1" x14ac:dyDescent="0.35"/>
    <row r="91193" hidden="1" x14ac:dyDescent="0.35"/>
    <row r="91194" hidden="1" x14ac:dyDescent="0.35"/>
    <row r="91195" hidden="1" x14ac:dyDescent="0.35"/>
    <row r="91196" hidden="1" x14ac:dyDescent="0.35"/>
    <row r="91197" hidden="1" x14ac:dyDescent="0.35"/>
    <row r="91198" hidden="1" x14ac:dyDescent="0.35"/>
    <row r="91199" hidden="1" x14ac:dyDescent="0.35"/>
    <row r="91200" hidden="1" x14ac:dyDescent="0.35"/>
    <row r="91201" hidden="1" x14ac:dyDescent="0.35"/>
    <row r="91202" hidden="1" x14ac:dyDescent="0.35"/>
    <row r="91203" hidden="1" x14ac:dyDescent="0.35"/>
    <row r="91204" hidden="1" x14ac:dyDescent="0.35"/>
    <row r="91205" hidden="1" x14ac:dyDescent="0.35"/>
    <row r="91206" hidden="1" x14ac:dyDescent="0.35"/>
    <row r="91207" hidden="1" x14ac:dyDescent="0.35"/>
    <row r="91208" hidden="1" x14ac:dyDescent="0.35"/>
    <row r="91209" hidden="1" x14ac:dyDescent="0.35"/>
    <row r="91210" hidden="1" x14ac:dyDescent="0.35"/>
    <row r="91211" hidden="1" x14ac:dyDescent="0.35"/>
    <row r="91212" hidden="1" x14ac:dyDescent="0.35"/>
    <row r="91213" hidden="1" x14ac:dyDescent="0.35"/>
    <row r="91214" hidden="1" x14ac:dyDescent="0.35"/>
    <row r="91215" hidden="1" x14ac:dyDescent="0.35"/>
    <row r="91216" hidden="1" x14ac:dyDescent="0.35"/>
    <row r="91217" hidden="1" x14ac:dyDescent="0.35"/>
    <row r="91218" hidden="1" x14ac:dyDescent="0.35"/>
    <row r="91219" hidden="1" x14ac:dyDescent="0.35"/>
    <row r="91220" hidden="1" x14ac:dyDescent="0.35"/>
    <row r="91221" hidden="1" x14ac:dyDescent="0.35"/>
    <row r="91222" hidden="1" x14ac:dyDescent="0.35"/>
    <row r="91223" hidden="1" x14ac:dyDescent="0.35"/>
    <row r="91224" hidden="1" x14ac:dyDescent="0.35"/>
    <row r="91225" hidden="1" x14ac:dyDescent="0.35"/>
    <row r="91226" hidden="1" x14ac:dyDescent="0.35"/>
    <row r="91227" hidden="1" x14ac:dyDescent="0.35"/>
    <row r="91228" hidden="1" x14ac:dyDescent="0.35"/>
    <row r="91229" hidden="1" x14ac:dyDescent="0.35"/>
    <row r="91230" hidden="1" x14ac:dyDescent="0.35"/>
    <row r="91231" hidden="1" x14ac:dyDescent="0.35"/>
    <row r="91232" hidden="1" x14ac:dyDescent="0.35"/>
    <row r="91233" hidden="1" x14ac:dyDescent="0.35"/>
    <row r="91234" hidden="1" x14ac:dyDescent="0.35"/>
    <row r="91235" hidden="1" x14ac:dyDescent="0.35"/>
    <row r="91236" hidden="1" x14ac:dyDescent="0.35"/>
    <row r="91237" hidden="1" x14ac:dyDescent="0.35"/>
    <row r="91238" hidden="1" x14ac:dyDescent="0.35"/>
    <row r="91239" hidden="1" x14ac:dyDescent="0.35"/>
    <row r="91240" hidden="1" x14ac:dyDescent="0.35"/>
    <row r="91241" hidden="1" x14ac:dyDescent="0.35"/>
    <row r="91242" hidden="1" x14ac:dyDescent="0.35"/>
    <row r="91243" hidden="1" x14ac:dyDescent="0.35"/>
    <row r="91244" hidden="1" x14ac:dyDescent="0.35"/>
    <row r="91245" hidden="1" x14ac:dyDescent="0.35"/>
    <row r="91246" hidden="1" x14ac:dyDescent="0.35"/>
    <row r="91247" hidden="1" x14ac:dyDescent="0.35"/>
    <row r="91248" hidden="1" x14ac:dyDescent="0.35"/>
    <row r="91249" hidden="1" x14ac:dyDescent="0.35"/>
    <row r="91250" hidden="1" x14ac:dyDescent="0.35"/>
    <row r="91251" hidden="1" x14ac:dyDescent="0.35"/>
    <row r="91252" hidden="1" x14ac:dyDescent="0.35"/>
    <row r="91253" hidden="1" x14ac:dyDescent="0.35"/>
    <row r="91254" hidden="1" x14ac:dyDescent="0.35"/>
    <row r="91255" hidden="1" x14ac:dyDescent="0.35"/>
    <row r="91256" hidden="1" x14ac:dyDescent="0.35"/>
    <row r="91257" hidden="1" x14ac:dyDescent="0.35"/>
    <row r="91258" hidden="1" x14ac:dyDescent="0.35"/>
    <row r="91259" hidden="1" x14ac:dyDescent="0.35"/>
    <row r="91260" hidden="1" x14ac:dyDescent="0.35"/>
    <row r="91261" hidden="1" x14ac:dyDescent="0.35"/>
    <row r="91262" hidden="1" x14ac:dyDescent="0.35"/>
    <row r="91263" hidden="1" x14ac:dyDescent="0.35"/>
    <row r="91264" hidden="1" x14ac:dyDescent="0.35"/>
    <row r="91265" hidden="1" x14ac:dyDescent="0.35"/>
    <row r="91266" hidden="1" x14ac:dyDescent="0.35"/>
    <row r="91267" hidden="1" x14ac:dyDescent="0.35"/>
    <row r="91268" hidden="1" x14ac:dyDescent="0.35"/>
    <row r="91269" hidden="1" x14ac:dyDescent="0.35"/>
    <row r="91270" hidden="1" x14ac:dyDescent="0.35"/>
    <row r="91271" hidden="1" x14ac:dyDescent="0.35"/>
    <row r="91272" hidden="1" x14ac:dyDescent="0.35"/>
    <row r="91273" hidden="1" x14ac:dyDescent="0.35"/>
    <row r="91274" hidden="1" x14ac:dyDescent="0.35"/>
    <row r="91275" hidden="1" x14ac:dyDescent="0.35"/>
    <row r="91276" hidden="1" x14ac:dyDescent="0.35"/>
    <row r="91277" hidden="1" x14ac:dyDescent="0.35"/>
    <row r="91278" hidden="1" x14ac:dyDescent="0.35"/>
    <row r="91279" hidden="1" x14ac:dyDescent="0.35"/>
    <row r="91280" hidden="1" x14ac:dyDescent="0.35"/>
    <row r="91281" hidden="1" x14ac:dyDescent="0.35"/>
    <row r="91282" hidden="1" x14ac:dyDescent="0.35"/>
    <row r="91283" hidden="1" x14ac:dyDescent="0.35"/>
    <row r="91284" hidden="1" x14ac:dyDescent="0.35"/>
    <row r="91285" hidden="1" x14ac:dyDescent="0.35"/>
    <row r="91286" hidden="1" x14ac:dyDescent="0.35"/>
    <row r="91287" hidden="1" x14ac:dyDescent="0.35"/>
    <row r="91288" hidden="1" x14ac:dyDescent="0.35"/>
    <row r="91289" hidden="1" x14ac:dyDescent="0.35"/>
    <row r="91290" hidden="1" x14ac:dyDescent="0.35"/>
    <row r="91291" hidden="1" x14ac:dyDescent="0.35"/>
    <row r="91292" hidden="1" x14ac:dyDescent="0.35"/>
    <row r="91293" hidden="1" x14ac:dyDescent="0.35"/>
    <row r="91294" hidden="1" x14ac:dyDescent="0.35"/>
    <row r="91295" hidden="1" x14ac:dyDescent="0.35"/>
    <row r="91296" hidden="1" x14ac:dyDescent="0.35"/>
    <row r="91297" hidden="1" x14ac:dyDescent="0.35"/>
    <row r="91298" hidden="1" x14ac:dyDescent="0.35"/>
    <row r="91299" hidden="1" x14ac:dyDescent="0.35"/>
    <row r="91300" hidden="1" x14ac:dyDescent="0.35"/>
    <row r="91301" hidden="1" x14ac:dyDescent="0.35"/>
    <row r="91302" hidden="1" x14ac:dyDescent="0.35"/>
    <row r="91303" hidden="1" x14ac:dyDescent="0.35"/>
    <row r="91304" hidden="1" x14ac:dyDescent="0.35"/>
    <row r="91305" hidden="1" x14ac:dyDescent="0.35"/>
    <row r="91306" hidden="1" x14ac:dyDescent="0.35"/>
    <row r="91307" hidden="1" x14ac:dyDescent="0.35"/>
    <row r="91308" hidden="1" x14ac:dyDescent="0.35"/>
    <row r="91309" hidden="1" x14ac:dyDescent="0.35"/>
    <row r="91310" hidden="1" x14ac:dyDescent="0.35"/>
    <row r="91311" hidden="1" x14ac:dyDescent="0.35"/>
    <row r="91312" hidden="1" x14ac:dyDescent="0.35"/>
    <row r="91313" hidden="1" x14ac:dyDescent="0.35"/>
    <row r="91314" hidden="1" x14ac:dyDescent="0.35"/>
    <row r="91315" hidden="1" x14ac:dyDescent="0.35"/>
    <row r="91316" hidden="1" x14ac:dyDescent="0.35"/>
    <row r="91317" hidden="1" x14ac:dyDescent="0.35"/>
    <row r="91318" hidden="1" x14ac:dyDescent="0.35"/>
    <row r="91319" hidden="1" x14ac:dyDescent="0.35"/>
    <row r="91320" hidden="1" x14ac:dyDescent="0.35"/>
    <row r="91321" hidden="1" x14ac:dyDescent="0.35"/>
    <row r="91322" hidden="1" x14ac:dyDescent="0.35"/>
    <row r="91323" hidden="1" x14ac:dyDescent="0.35"/>
    <row r="91324" hidden="1" x14ac:dyDescent="0.35"/>
    <row r="91325" hidden="1" x14ac:dyDescent="0.35"/>
    <row r="91326" hidden="1" x14ac:dyDescent="0.35"/>
    <row r="91327" hidden="1" x14ac:dyDescent="0.35"/>
    <row r="91328" hidden="1" x14ac:dyDescent="0.35"/>
    <row r="91329" hidden="1" x14ac:dyDescent="0.35"/>
    <row r="91330" hidden="1" x14ac:dyDescent="0.35"/>
    <row r="91331" hidden="1" x14ac:dyDescent="0.35"/>
    <row r="91332" hidden="1" x14ac:dyDescent="0.35"/>
    <row r="91333" hidden="1" x14ac:dyDescent="0.35"/>
    <row r="91334" hidden="1" x14ac:dyDescent="0.35"/>
    <row r="91335" hidden="1" x14ac:dyDescent="0.35"/>
    <row r="91336" hidden="1" x14ac:dyDescent="0.35"/>
    <row r="91337" hidden="1" x14ac:dyDescent="0.35"/>
    <row r="91338" hidden="1" x14ac:dyDescent="0.35"/>
    <row r="91339" hidden="1" x14ac:dyDescent="0.35"/>
    <row r="91340" hidden="1" x14ac:dyDescent="0.35"/>
    <row r="91341" hidden="1" x14ac:dyDescent="0.35"/>
    <row r="91342" hidden="1" x14ac:dyDescent="0.35"/>
    <row r="91343" hidden="1" x14ac:dyDescent="0.35"/>
    <row r="91344" hidden="1" x14ac:dyDescent="0.35"/>
    <row r="91345" hidden="1" x14ac:dyDescent="0.35"/>
    <row r="91346" hidden="1" x14ac:dyDescent="0.35"/>
    <row r="91347" hidden="1" x14ac:dyDescent="0.35"/>
    <row r="91348" hidden="1" x14ac:dyDescent="0.35"/>
    <row r="91349" hidden="1" x14ac:dyDescent="0.35"/>
    <row r="91350" hidden="1" x14ac:dyDescent="0.35"/>
    <row r="91351" hidden="1" x14ac:dyDescent="0.35"/>
    <row r="91352" hidden="1" x14ac:dyDescent="0.35"/>
    <row r="91353" hidden="1" x14ac:dyDescent="0.35"/>
    <row r="91354" hidden="1" x14ac:dyDescent="0.35"/>
    <row r="91355" hidden="1" x14ac:dyDescent="0.35"/>
    <row r="91356" hidden="1" x14ac:dyDescent="0.35"/>
    <row r="91357" hidden="1" x14ac:dyDescent="0.35"/>
    <row r="91358" hidden="1" x14ac:dyDescent="0.35"/>
    <row r="91359" hidden="1" x14ac:dyDescent="0.35"/>
    <row r="91360" hidden="1" x14ac:dyDescent="0.35"/>
    <row r="91361" hidden="1" x14ac:dyDescent="0.35"/>
    <row r="91362" hidden="1" x14ac:dyDescent="0.35"/>
    <row r="91363" hidden="1" x14ac:dyDescent="0.35"/>
    <row r="91364" hidden="1" x14ac:dyDescent="0.35"/>
    <row r="91365" hidden="1" x14ac:dyDescent="0.35"/>
    <row r="91366" hidden="1" x14ac:dyDescent="0.35"/>
    <row r="91367" hidden="1" x14ac:dyDescent="0.35"/>
    <row r="91368" hidden="1" x14ac:dyDescent="0.35"/>
    <row r="91369" hidden="1" x14ac:dyDescent="0.35"/>
    <row r="91370" hidden="1" x14ac:dyDescent="0.35"/>
    <row r="91371" hidden="1" x14ac:dyDescent="0.35"/>
    <row r="91372" hidden="1" x14ac:dyDescent="0.35"/>
    <row r="91373" hidden="1" x14ac:dyDescent="0.35"/>
    <row r="91374" hidden="1" x14ac:dyDescent="0.35"/>
    <row r="91375" hidden="1" x14ac:dyDescent="0.35"/>
    <row r="91376" hidden="1" x14ac:dyDescent="0.35"/>
    <row r="91377" hidden="1" x14ac:dyDescent="0.35"/>
    <row r="91378" hidden="1" x14ac:dyDescent="0.35"/>
    <row r="91379" hidden="1" x14ac:dyDescent="0.35"/>
    <row r="91380" hidden="1" x14ac:dyDescent="0.35"/>
    <row r="91381" hidden="1" x14ac:dyDescent="0.35"/>
    <row r="91382" hidden="1" x14ac:dyDescent="0.35"/>
    <row r="91383" hidden="1" x14ac:dyDescent="0.35"/>
    <row r="91384" hidden="1" x14ac:dyDescent="0.35"/>
    <row r="91385" hidden="1" x14ac:dyDescent="0.35"/>
    <row r="91386" hidden="1" x14ac:dyDescent="0.35"/>
    <row r="91387" hidden="1" x14ac:dyDescent="0.35"/>
    <row r="91388" hidden="1" x14ac:dyDescent="0.35"/>
    <row r="91389" hidden="1" x14ac:dyDescent="0.35"/>
    <row r="91390" hidden="1" x14ac:dyDescent="0.35"/>
    <row r="91391" hidden="1" x14ac:dyDescent="0.35"/>
    <row r="91392" hidden="1" x14ac:dyDescent="0.35"/>
    <row r="91393" hidden="1" x14ac:dyDescent="0.35"/>
    <row r="91394" hidden="1" x14ac:dyDescent="0.35"/>
    <row r="91395" hidden="1" x14ac:dyDescent="0.35"/>
    <row r="91396" hidden="1" x14ac:dyDescent="0.35"/>
    <row r="91397" hidden="1" x14ac:dyDescent="0.35"/>
    <row r="91398" hidden="1" x14ac:dyDescent="0.35"/>
    <row r="91399" hidden="1" x14ac:dyDescent="0.35"/>
    <row r="91400" hidden="1" x14ac:dyDescent="0.35"/>
    <row r="91401" hidden="1" x14ac:dyDescent="0.35"/>
    <row r="91402" hidden="1" x14ac:dyDescent="0.35"/>
    <row r="91403" hidden="1" x14ac:dyDescent="0.35"/>
    <row r="91404" hidden="1" x14ac:dyDescent="0.35"/>
    <row r="91405" hidden="1" x14ac:dyDescent="0.35"/>
    <row r="91406" hidden="1" x14ac:dyDescent="0.35"/>
    <row r="91407" hidden="1" x14ac:dyDescent="0.35"/>
    <row r="91408" hidden="1" x14ac:dyDescent="0.35"/>
    <row r="91409" hidden="1" x14ac:dyDescent="0.35"/>
    <row r="91410" hidden="1" x14ac:dyDescent="0.35"/>
    <row r="91411" hidden="1" x14ac:dyDescent="0.35"/>
    <row r="91412" hidden="1" x14ac:dyDescent="0.35"/>
    <row r="91413" hidden="1" x14ac:dyDescent="0.35"/>
    <row r="91414" hidden="1" x14ac:dyDescent="0.35"/>
    <row r="91415" hidden="1" x14ac:dyDescent="0.35"/>
    <row r="91416" hidden="1" x14ac:dyDescent="0.35"/>
    <row r="91417" hidden="1" x14ac:dyDescent="0.35"/>
    <row r="91418" hidden="1" x14ac:dyDescent="0.35"/>
    <row r="91419" hidden="1" x14ac:dyDescent="0.35"/>
    <row r="91420" hidden="1" x14ac:dyDescent="0.35"/>
    <row r="91421" hidden="1" x14ac:dyDescent="0.35"/>
    <row r="91422" hidden="1" x14ac:dyDescent="0.35"/>
    <row r="91423" hidden="1" x14ac:dyDescent="0.35"/>
    <row r="91424" hidden="1" x14ac:dyDescent="0.35"/>
    <row r="91425" hidden="1" x14ac:dyDescent="0.35"/>
    <row r="91426" hidden="1" x14ac:dyDescent="0.35"/>
    <row r="91427" hidden="1" x14ac:dyDescent="0.35"/>
    <row r="91428" hidden="1" x14ac:dyDescent="0.35"/>
    <row r="91429" hidden="1" x14ac:dyDescent="0.35"/>
    <row r="91430" hidden="1" x14ac:dyDescent="0.35"/>
    <row r="91431" hidden="1" x14ac:dyDescent="0.35"/>
    <row r="91432" hidden="1" x14ac:dyDescent="0.35"/>
    <row r="91433" hidden="1" x14ac:dyDescent="0.35"/>
    <row r="91434" hidden="1" x14ac:dyDescent="0.35"/>
    <row r="91435" hidden="1" x14ac:dyDescent="0.35"/>
    <row r="91436" hidden="1" x14ac:dyDescent="0.35"/>
    <row r="91437" hidden="1" x14ac:dyDescent="0.35"/>
    <row r="91438" hidden="1" x14ac:dyDescent="0.35"/>
    <row r="91439" hidden="1" x14ac:dyDescent="0.35"/>
    <row r="91440" hidden="1" x14ac:dyDescent="0.35"/>
    <row r="91441" hidden="1" x14ac:dyDescent="0.35"/>
    <row r="91442" hidden="1" x14ac:dyDescent="0.35"/>
    <row r="91443" hidden="1" x14ac:dyDescent="0.35"/>
    <row r="91444" hidden="1" x14ac:dyDescent="0.35"/>
    <row r="91445" hidden="1" x14ac:dyDescent="0.35"/>
    <row r="91446" hidden="1" x14ac:dyDescent="0.35"/>
    <row r="91447" hidden="1" x14ac:dyDescent="0.35"/>
    <row r="91448" hidden="1" x14ac:dyDescent="0.35"/>
    <row r="91449" hidden="1" x14ac:dyDescent="0.35"/>
    <row r="91450" hidden="1" x14ac:dyDescent="0.35"/>
    <row r="91451" hidden="1" x14ac:dyDescent="0.35"/>
    <row r="91452" hidden="1" x14ac:dyDescent="0.35"/>
    <row r="91453" hidden="1" x14ac:dyDescent="0.35"/>
    <row r="91454" hidden="1" x14ac:dyDescent="0.35"/>
    <row r="91455" hidden="1" x14ac:dyDescent="0.35"/>
    <row r="91456" hidden="1" x14ac:dyDescent="0.35"/>
    <row r="91457" hidden="1" x14ac:dyDescent="0.35"/>
    <row r="91458" hidden="1" x14ac:dyDescent="0.35"/>
    <row r="91459" hidden="1" x14ac:dyDescent="0.35"/>
    <row r="91460" hidden="1" x14ac:dyDescent="0.35"/>
    <row r="91461" hidden="1" x14ac:dyDescent="0.35"/>
    <row r="91462" hidden="1" x14ac:dyDescent="0.35"/>
    <row r="91463" hidden="1" x14ac:dyDescent="0.35"/>
    <row r="91464" hidden="1" x14ac:dyDescent="0.35"/>
    <row r="91465" hidden="1" x14ac:dyDescent="0.35"/>
    <row r="91466" hidden="1" x14ac:dyDescent="0.35"/>
    <row r="91467" hidden="1" x14ac:dyDescent="0.35"/>
    <row r="91468" hidden="1" x14ac:dyDescent="0.35"/>
    <row r="91469" hidden="1" x14ac:dyDescent="0.35"/>
    <row r="91470" hidden="1" x14ac:dyDescent="0.35"/>
    <row r="91471" hidden="1" x14ac:dyDescent="0.35"/>
    <row r="91472" hidden="1" x14ac:dyDescent="0.35"/>
    <row r="91473" hidden="1" x14ac:dyDescent="0.35"/>
    <row r="91474" hidden="1" x14ac:dyDescent="0.35"/>
    <row r="91475" hidden="1" x14ac:dyDescent="0.35"/>
    <row r="91476" hidden="1" x14ac:dyDescent="0.35"/>
    <row r="91477" hidden="1" x14ac:dyDescent="0.35"/>
    <row r="91478" hidden="1" x14ac:dyDescent="0.35"/>
    <row r="91479" hidden="1" x14ac:dyDescent="0.35"/>
    <row r="91480" hidden="1" x14ac:dyDescent="0.35"/>
    <row r="91481" hidden="1" x14ac:dyDescent="0.35"/>
    <row r="91482" hidden="1" x14ac:dyDescent="0.35"/>
    <row r="91483" hidden="1" x14ac:dyDescent="0.35"/>
    <row r="91484" hidden="1" x14ac:dyDescent="0.35"/>
    <row r="91485" hidden="1" x14ac:dyDescent="0.35"/>
    <row r="91486" hidden="1" x14ac:dyDescent="0.35"/>
    <row r="91487" hidden="1" x14ac:dyDescent="0.35"/>
    <row r="91488" hidden="1" x14ac:dyDescent="0.35"/>
    <row r="91489" hidden="1" x14ac:dyDescent="0.35"/>
    <row r="91490" hidden="1" x14ac:dyDescent="0.35"/>
    <row r="91491" hidden="1" x14ac:dyDescent="0.35"/>
    <row r="91492" hidden="1" x14ac:dyDescent="0.35"/>
    <row r="91493" hidden="1" x14ac:dyDescent="0.35"/>
    <row r="91494" hidden="1" x14ac:dyDescent="0.35"/>
    <row r="91495" hidden="1" x14ac:dyDescent="0.35"/>
    <row r="91496" hidden="1" x14ac:dyDescent="0.35"/>
    <row r="91497" hidden="1" x14ac:dyDescent="0.35"/>
    <row r="91498" hidden="1" x14ac:dyDescent="0.35"/>
    <row r="91499" hidden="1" x14ac:dyDescent="0.35"/>
    <row r="91500" hidden="1" x14ac:dyDescent="0.35"/>
    <row r="91501" hidden="1" x14ac:dyDescent="0.35"/>
    <row r="91502" hidden="1" x14ac:dyDescent="0.35"/>
    <row r="91503" hidden="1" x14ac:dyDescent="0.35"/>
    <row r="91504" hidden="1" x14ac:dyDescent="0.35"/>
    <row r="91505" hidden="1" x14ac:dyDescent="0.35"/>
    <row r="91506" hidden="1" x14ac:dyDescent="0.35"/>
    <row r="91507" hidden="1" x14ac:dyDescent="0.35"/>
    <row r="91508" hidden="1" x14ac:dyDescent="0.35"/>
    <row r="91509" hidden="1" x14ac:dyDescent="0.35"/>
    <row r="91510" hidden="1" x14ac:dyDescent="0.35"/>
    <row r="91511" hidden="1" x14ac:dyDescent="0.35"/>
    <row r="91512" hidden="1" x14ac:dyDescent="0.35"/>
    <row r="91513" hidden="1" x14ac:dyDescent="0.35"/>
    <row r="91514" hidden="1" x14ac:dyDescent="0.35"/>
    <row r="91515" hidden="1" x14ac:dyDescent="0.35"/>
    <row r="91516" hidden="1" x14ac:dyDescent="0.35"/>
    <row r="91517" hidden="1" x14ac:dyDescent="0.35"/>
    <row r="91518" hidden="1" x14ac:dyDescent="0.35"/>
    <row r="91519" hidden="1" x14ac:dyDescent="0.35"/>
    <row r="91520" hidden="1" x14ac:dyDescent="0.35"/>
    <row r="91521" hidden="1" x14ac:dyDescent="0.35"/>
    <row r="91522" hidden="1" x14ac:dyDescent="0.35"/>
    <row r="91523" hidden="1" x14ac:dyDescent="0.35"/>
    <row r="91524" hidden="1" x14ac:dyDescent="0.35"/>
    <row r="91525" hidden="1" x14ac:dyDescent="0.35"/>
    <row r="91526" hidden="1" x14ac:dyDescent="0.35"/>
    <row r="91527" hidden="1" x14ac:dyDescent="0.35"/>
    <row r="91528" hidden="1" x14ac:dyDescent="0.35"/>
    <row r="91529" hidden="1" x14ac:dyDescent="0.35"/>
    <row r="91530" hidden="1" x14ac:dyDescent="0.35"/>
    <row r="91531" hidden="1" x14ac:dyDescent="0.35"/>
    <row r="91532" hidden="1" x14ac:dyDescent="0.35"/>
    <row r="91533" hidden="1" x14ac:dyDescent="0.35"/>
    <row r="91534" hidden="1" x14ac:dyDescent="0.35"/>
    <row r="91535" hidden="1" x14ac:dyDescent="0.35"/>
    <row r="91536" hidden="1" x14ac:dyDescent="0.35"/>
    <row r="91537" hidden="1" x14ac:dyDescent="0.35"/>
    <row r="91538" hidden="1" x14ac:dyDescent="0.35"/>
    <row r="91539" hidden="1" x14ac:dyDescent="0.35"/>
    <row r="91540" hidden="1" x14ac:dyDescent="0.35"/>
    <row r="91541" hidden="1" x14ac:dyDescent="0.35"/>
    <row r="91542" hidden="1" x14ac:dyDescent="0.35"/>
    <row r="91543" hidden="1" x14ac:dyDescent="0.35"/>
    <row r="91544" hidden="1" x14ac:dyDescent="0.35"/>
    <row r="91545" hidden="1" x14ac:dyDescent="0.35"/>
    <row r="91546" hidden="1" x14ac:dyDescent="0.35"/>
    <row r="91547" hidden="1" x14ac:dyDescent="0.35"/>
    <row r="91548" hidden="1" x14ac:dyDescent="0.35"/>
    <row r="91549" hidden="1" x14ac:dyDescent="0.35"/>
    <row r="91550" hidden="1" x14ac:dyDescent="0.35"/>
    <row r="91551" hidden="1" x14ac:dyDescent="0.35"/>
    <row r="91552" hidden="1" x14ac:dyDescent="0.35"/>
    <row r="91553" hidden="1" x14ac:dyDescent="0.35"/>
    <row r="91554" hidden="1" x14ac:dyDescent="0.35"/>
    <row r="91555" hidden="1" x14ac:dyDescent="0.35"/>
    <row r="91556" hidden="1" x14ac:dyDescent="0.35"/>
    <row r="91557" hidden="1" x14ac:dyDescent="0.35"/>
    <row r="91558" hidden="1" x14ac:dyDescent="0.35"/>
    <row r="91559" hidden="1" x14ac:dyDescent="0.35"/>
    <row r="91560" hidden="1" x14ac:dyDescent="0.35"/>
    <row r="91561" hidden="1" x14ac:dyDescent="0.35"/>
    <row r="91562" hidden="1" x14ac:dyDescent="0.35"/>
    <row r="91563" hidden="1" x14ac:dyDescent="0.35"/>
    <row r="91564" hidden="1" x14ac:dyDescent="0.35"/>
    <row r="91565" hidden="1" x14ac:dyDescent="0.35"/>
    <row r="91566" hidden="1" x14ac:dyDescent="0.35"/>
    <row r="91567" hidden="1" x14ac:dyDescent="0.35"/>
    <row r="91568" hidden="1" x14ac:dyDescent="0.35"/>
    <row r="91569" hidden="1" x14ac:dyDescent="0.35"/>
    <row r="91570" hidden="1" x14ac:dyDescent="0.35"/>
    <row r="91571" hidden="1" x14ac:dyDescent="0.35"/>
    <row r="91572" hidden="1" x14ac:dyDescent="0.35"/>
    <row r="91573" hidden="1" x14ac:dyDescent="0.35"/>
    <row r="91574" hidden="1" x14ac:dyDescent="0.35"/>
    <row r="91575" hidden="1" x14ac:dyDescent="0.35"/>
    <row r="91576" hidden="1" x14ac:dyDescent="0.35"/>
    <row r="91577" hidden="1" x14ac:dyDescent="0.35"/>
    <row r="91578" hidden="1" x14ac:dyDescent="0.35"/>
    <row r="91579" hidden="1" x14ac:dyDescent="0.35"/>
    <row r="91580" hidden="1" x14ac:dyDescent="0.35"/>
    <row r="91581" hidden="1" x14ac:dyDescent="0.35"/>
    <row r="91582" hidden="1" x14ac:dyDescent="0.35"/>
    <row r="91583" hidden="1" x14ac:dyDescent="0.35"/>
    <row r="91584" hidden="1" x14ac:dyDescent="0.35"/>
    <row r="91585" hidden="1" x14ac:dyDescent="0.35"/>
    <row r="91586" hidden="1" x14ac:dyDescent="0.35"/>
    <row r="91587" hidden="1" x14ac:dyDescent="0.35"/>
    <row r="91588" hidden="1" x14ac:dyDescent="0.35"/>
    <row r="91589" hidden="1" x14ac:dyDescent="0.35"/>
    <row r="91590" hidden="1" x14ac:dyDescent="0.35"/>
    <row r="91591" hidden="1" x14ac:dyDescent="0.35"/>
    <row r="91592" hidden="1" x14ac:dyDescent="0.35"/>
    <row r="91593" hidden="1" x14ac:dyDescent="0.35"/>
    <row r="91594" hidden="1" x14ac:dyDescent="0.35"/>
    <row r="91595" hidden="1" x14ac:dyDescent="0.35"/>
    <row r="91596" hidden="1" x14ac:dyDescent="0.35"/>
    <row r="91597" hidden="1" x14ac:dyDescent="0.35"/>
    <row r="91598" hidden="1" x14ac:dyDescent="0.35"/>
    <row r="91599" hidden="1" x14ac:dyDescent="0.35"/>
    <row r="91600" hidden="1" x14ac:dyDescent="0.35"/>
    <row r="91601" hidden="1" x14ac:dyDescent="0.35"/>
    <row r="91602" hidden="1" x14ac:dyDescent="0.35"/>
    <row r="91603" hidden="1" x14ac:dyDescent="0.35"/>
    <row r="91604" hidden="1" x14ac:dyDescent="0.35"/>
    <row r="91605" hidden="1" x14ac:dyDescent="0.35"/>
    <row r="91606" hidden="1" x14ac:dyDescent="0.35"/>
    <row r="91607" hidden="1" x14ac:dyDescent="0.35"/>
    <row r="91608" hidden="1" x14ac:dyDescent="0.35"/>
    <row r="91609" hidden="1" x14ac:dyDescent="0.35"/>
    <row r="91610" hidden="1" x14ac:dyDescent="0.35"/>
    <row r="91611" hidden="1" x14ac:dyDescent="0.35"/>
    <row r="91612" hidden="1" x14ac:dyDescent="0.35"/>
    <row r="91613" hidden="1" x14ac:dyDescent="0.35"/>
    <row r="91614" hidden="1" x14ac:dyDescent="0.35"/>
    <row r="91615" hidden="1" x14ac:dyDescent="0.35"/>
    <row r="91616" hidden="1" x14ac:dyDescent="0.35"/>
    <row r="91617" hidden="1" x14ac:dyDescent="0.35"/>
    <row r="91618" hidden="1" x14ac:dyDescent="0.35"/>
    <row r="91619" hidden="1" x14ac:dyDescent="0.35"/>
    <row r="91620" hidden="1" x14ac:dyDescent="0.35"/>
    <row r="91621" hidden="1" x14ac:dyDescent="0.35"/>
    <row r="91622" hidden="1" x14ac:dyDescent="0.35"/>
    <row r="91623" hidden="1" x14ac:dyDescent="0.35"/>
    <row r="91624" hidden="1" x14ac:dyDescent="0.35"/>
    <row r="91625" hidden="1" x14ac:dyDescent="0.35"/>
    <row r="91626" hidden="1" x14ac:dyDescent="0.35"/>
    <row r="91627" hidden="1" x14ac:dyDescent="0.35"/>
    <row r="91628" hidden="1" x14ac:dyDescent="0.35"/>
    <row r="91629" hidden="1" x14ac:dyDescent="0.35"/>
    <row r="91630" hidden="1" x14ac:dyDescent="0.35"/>
    <row r="91631" hidden="1" x14ac:dyDescent="0.35"/>
    <row r="91632" hidden="1" x14ac:dyDescent="0.35"/>
    <row r="91633" hidden="1" x14ac:dyDescent="0.35"/>
    <row r="91634" hidden="1" x14ac:dyDescent="0.35"/>
    <row r="91635" hidden="1" x14ac:dyDescent="0.35"/>
    <row r="91636" hidden="1" x14ac:dyDescent="0.35"/>
    <row r="91637" hidden="1" x14ac:dyDescent="0.35"/>
    <row r="91638" hidden="1" x14ac:dyDescent="0.35"/>
    <row r="91639" hidden="1" x14ac:dyDescent="0.35"/>
    <row r="91640" hidden="1" x14ac:dyDescent="0.35"/>
    <row r="91641" hidden="1" x14ac:dyDescent="0.35"/>
    <row r="91642" hidden="1" x14ac:dyDescent="0.35"/>
    <row r="91643" hidden="1" x14ac:dyDescent="0.35"/>
    <row r="91644" hidden="1" x14ac:dyDescent="0.35"/>
    <row r="91645" hidden="1" x14ac:dyDescent="0.35"/>
    <row r="91646" hidden="1" x14ac:dyDescent="0.35"/>
    <row r="91647" hidden="1" x14ac:dyDescent="0.35"/>
    <row r="91648" hidden="1" x14ac:dyDescent="0.35"/>
    <row r="91649" hidden="1" x14ac:dyDescent="0.35"/>
    <row r="91650" hidden="1" x14ac:dyDescent="0.35"/>
    <row r="91651" hidden="1" x14ac:dyDescent="0.35"/>
    <row r="91652" hidden="1" x14ac:dyDescent="0.35"/>
    <row r="91653" hidden="1" x14ac:dyDescent="0.35"/>
    <row r="91654" hidden="1" x14ac:dyDescent="0.35"/>
    <row r="91655" hidden="1" x14ac:dyDescent="0.35"/>
    <row r="91656" hidden="1" x14ac:dyDescent="0.35"/>
    <row r="91657" hidden="1" x14ac:dyDescent="0.35"/>
    <row r="91658" hidden="1" x14ac:dyDescent="0.35"/>
    <row r="91659" hidden="1" x14ac:dyDescent="0.35"/>
    <row r="91660" hidden="1" x14ac:dyDescent="0.35"/>
    <row r="91661" hidden="1" x14ac:dyDescent="0.35"/>
    <row r="91662" hidden="1" x14ac:dyDescent="0.35"/>
    <row r="91663" hidden="1" x14ac:dyDescent="0.35"/>
    <row r="91664" hidden="1" x14ac:dyDescent="0.35"/>
    <row r="91665" hidden="1" x14ac:dyDescent="0.35"/>
    <row r="91666" hidden="1" x14ac:dyDescent="0.35"/>
    <row r="91667" hidden="1" x14ac:dyDescent="0.35"/>
    <row r="91668" hidden="1" x14ac:dyDescent="0.35"/>
    <row r="91669" hidden="1" x14ac:dyDescent="0.35"/>
    <row r="91670" hidden="1" x14ac:dyDescent="0.35"/>
    <row r="91671" hidden="1" x14ac:dyDescent="0.35"/>
    <row r="91672" hidden="1" x14ac:dyDescent="0.35"/>
    <row r="91673" hidden="1" x14ac:dyDescent="0.35"/>
    <row r="91674" hidden="1" x14ac:dyDescent="0.35"/>
    <row r="91675" hidden="1" x14ac:dyDescent="0.35"/>
    <row r="91676" hidden="1" x14ac:dyDescent="0.35"/>
    <row r="91677" hidden="1" x14ac:dyDescent="0.35"/>
    <row r="91678" hidden="1" x14ac:dyDescent="0.35"/>
    <row r="91679" hidden="1" x14ac:dyDescent="0.35"/>
    <row r="91680" hidden="1" x14ac:dyDescent="0.35"/>
    <row r="91681" hidden="1" x14ac:dyDescent="0.35"/>
    <row r="91682" hidden="1" x14ac:dyDescent="0.35"/>
    <row r="91683" hidden="1" x14ac:dyDescent="0.35"/>
    <row r="91684" hidden="1" x14ac:dyDescent="0.35"/>
    <row r="91685" hidden="1" x14ac:dyDescent="0.35"/>
    <row r="91686" hidden="1" x14ac:dyDescent="0.35"/>
    <row r="91687" hidden="1" x14ac:dyDescent="0.35"/>
    <row r="91688" hidden="1" x14ac:dyDescent="0.35"/>
    <row r="91689" hidden="1" x14ac:dyDescent="0.35"/>
    <row r="91690" hidden="1" x14ac:dyDescent="0.35"/>
    <row r="91691" hidden="1" x14ac:dyDescent="0.35"/>
    <row r="91692" hidden="1" x14ac:dyDescent="0.35"/>
    <row r="91693" hidden="1" x14ac:dyDescent="0.35"/>
    <row r="91694" hidden="1" x14ac:dyDescent="0.35"/>
    <row r="91695" hidden="1" x14ac:dyDescent="0.35"/>
    <row r="91696" hidden="1" x14ac:dyDescent="0.35"/>
    <row r="91697" hidden="1" x14ac:dyDescent="0.35"/>
    <row r="91698" hidden="1" x14ac:dyDescent="0.35"/>
    <row r="91699" hidden="1" x14ac:dyDescent="0.35"/>
    <row r="91700" hidden="1" x14ac:dyDescent="0.35"/>
    <row r="91701" hidden="1" x14ac:dyDescent="0.35"/>
    <row r="91702" hidden="1" x14ac:dyDescent="0.35"/>
    <row r="91703" hidden="1" x14ac:dyDescent="0.35"/>
    <row r="91704" hidden="1" x14ac:dyDescent="0.35"/>
    <row r="91705" hidden="1" x14ac:dyDescent="0.35"/>
    <row r="91706" hidden="1" x14ac:dyDescent="0.35"/>
    <row r="91707" hidden="1" x14ac:dyDescent="0.35"/>
    <row r="91708" hidden="1" x14ac:dyDescent="0.35"/>
    <row r="91709" hidden="1" x14ac:dyDescent="0.35"/>
    <row r="91710" hidden="1" x14ac:dyDescent="0.35"/>
    <row r="91711" hidden="1" x14ac:dyDescent="0.35"/>
    <row r="91712" hidden="1" x14ac:dyDescent="0.35"/>
    <row r="91713" hidden="1" x14ac:dyDescent="0.35"/>
    <row r="91714" hidden="1" x14ac:dyDescent="0.35"/>
    <row r="91715" hidden="1" x14ac:dyDescent="0.35"/>
    <row r="91716" hidden="1" x14ac:dyDescent="0.35"/>
    <row r="91717" hidden="1" x14ac:dyDescent="0.35"/>
    <row r="91718" hidden="1" x14ac:dyDescent="0.35"/>
    <row r="91719" hidden="1" x14ac:dyDescent="0.35"/>
    <row r="91720" hidden="1" x14ac:dyDescent="0.35"/>
    <row r="91721" hidden="1" x14ac:dyDescent="0.35"/>
    <row r="91722" hidden="1" x14ac:dyDescent="0.35"/>
    <row r="91723" hidden="1" x14ac:dyDescent="0.35"/>
    <row r="91724" hidden="1" x14ac:dyDescent="0.35"/>
    <row r="91725" hidden="1" x14ac:dyDescent="0.35"/>
    <row r="91726" hidden="1" x14ac:dyDescent="0.35"/>
    <row r="91727" hidden="1" x14ac:dyDescent="0.35"/>
    <row r="91728" hidden="1" x14ac:dyDescent="0.35"/>
    <row r="91729" hidden="1" x14ac:dyDescent="0.35"/>
    <row r="91730" hidden="1" x14ac:dyDescent="0.35"/>
    <row r="91731" hidden="1" x14ac:dyDescent="0.35"/>
    <row r="91732" hidden="1" x14ac:dyDescent="0.35"/>
    <row r="91733" hidden="1" x14ac:dyDescent="0.35"/>
    <row r="91734" hidden="1" x14ac:dyDescent="0.35"/>
    <row r="91735" hidden="1" x14ac:dyDescent="0.35"/>
    <row r="91736" hidden="1" x14ac:dyDescent="0.35"/>
    <row r="91737" hidden="1" x14ac:dyDescent="0.35"/>
    <row r="91738" hidden="1" x14ac:dyDescent="0.35"/>
    <row r="91739" hidden="1" x14ac:dyDescent="0.35"/>
    <row r="91740" hidden="1" x14ac:dyDescent="0.35"/>
    <row r="91741" hidden="1" x14ac:dyDescent="0.35"/>
    <row r="91742" hidden="1" x14ac:dyDescent="0.35"/>
    <row r="91743" hidden="1" x14ac:dyDescent="0.35"/>
    <row r="91744" hidden="1" x14ac:dyDescent="0.35"/>
    <row r="91745" hidden="1" x14ac:dyDescent="0.35"/>
    <row r="91746" hidden="1" x14ac:dyDescent="0.35"/>
    <row r="91747" hidden="1" x14ac:dyDescent="0.35"/>
    <row r="91748" hidden="1" x14ac:dyDescent="0.35"/>
    <row r="91749" hidden="1" x14ac:dyDescent="0.35"/>
    <row r="91750" hidden="1" x14ac:dyDescent="0.35"/>
    <row r="91751" hidden="1" x14ac:dyDescent="0.35"/>
    <row r="91752" hidden="1" x14ac:dyDescent="0.35"/>
    <row r="91753" hidden="1" x14ac:dyDescent="0.35"/>
    <row r="91754" hidden="1" x14ac:dyDescent="0.35"/>
    <row r="91755" hidden="1" x14ac:dyDescent="0.35"/>
    <row r="91756" hidden="1" x14ac:dyDescent="0.35"/>
    <row r="91757" hidden="1" x14ac:dyDescent="0.35"/>
    <row r="91758" hidden="1" x14ac:dyDescent="0.35"/>
    <row r="91759" hidden="1" x14ac:dyDescent="0.35"/>
    <row r="91760" hidden="1" x14ac:dyDescent="0.35"/>
    <row r="91761" hidden="1" x14ac:dyDescent="0.35"/>
    <row r="91762" hidden="1" x14ac:dyDescent="0.35"/>
    <row r="91763" hidden="1" x14ac:dyDescent="0.35"/>
    <row r="91764" hidden="1" x14ac:dyDescent="0.35"/>
    <row r="91765" hidden="1" x14ac:dyDescent="0.35"/>
    <row r="91766" hidden="1" x14ac:dyDescent="0.35"/>
    <row r="91767" hidden="1" x14ac:dyDescent="0.35"/>
    <row r="91768" hidden="1" x14ac:dyDescent="0.35"/>
    <row r="91769" hidden="1" x14ac:dyDescent="0.35"/>
    <row r="91770" hidden="1" x14ac:dyDescent="0.35"/>
    <row r="91771" hidden="1" x14ac:dyDescent="0.35"/>
    <row r="91772" hidden="1" x14ac:dyDescent="0.35"/>
    <row r="91773" hidden="1" x14ac:dyDescent="0.35"/>
    <row r="91774" hidden="1" x14ac:dyDescent="0.35"/>
    <row r="91775" hidden="1" x14ac:dyDescent="0.35"/>
    <row r="91776" hidden="1" x14ac:dyDescent="0.35"/>
    <row r="91777" hidden="1" x14ac:dyDescent="0.35"/>
    <row r="91778" hidden="1" x14ac:dyDescent="0.35"/>
    <row r="91779" hidden="1" x14ac:dyDescent="0.35"/>
    <row r="91780" hidden="1" x14ac:dyDescent="0.35"/>
    <row r="91781" hidden="1" x14ac:dyDescent="0.35"/>
    <row r="91782" hidden="1" x14ac:dyDescent="0.35"/>
    <row r="91783" hidden="1" x14ac:dyDescent="0.35"/>
    <row r="91784" hidden="1" x14ac:dyDescent="0.35"/>
    <row r="91785" hidden="1" x14ac:dyDescent="0.35"/>
    <row r="91786" hidden="1" x14ac:dyDescent="0.35"/>
    <row r="91787" hidden="1" x14ac:dyDescent="0.35"/>
    <row r="91788" hidden="1" x14ac:dyDescent="0.35"/>
    <row r="91789" hidden="1" x14ac:dyDescent="0.35"/>
    <row r="91790" hidden="1" x14ac:dyDescent="0.35"/>
    <row r="91791" hidden="1" x14ac:dyDescent="0.35"/>
    <row r="91792" hidden="1" x14ac:dyDescent="0.35"/>
    <row r="91793" hidden="1" x14ac:dyDescent="0.35"/>
    <row r="91794" hidden="1" x14ac:dyDescent="0.35"/>
    <row r="91795" hidden="1" x14ac:dyDescent="0.35"/>
    <row r="91796" hidden="1" x14ac:dyDescent="0.35"/>
    <row r="91797" hidden="1" x14ac:dyDescent="0.35"/>
    <row r="91798" hidden="1" x14ac:dyDescent="0.35"/>
    <row r="91799" hidden="1" x14ac:dyDescent="0.35"/>
    <row r="91800" hidden="1" x14ac:dyDescent="0.35"/>
    <row r="91801" hidden="1" x14ac:dyDescent="0.35"/>
    <row r="91802" hidden="1" x14ac:dyDescent="0.35"/>
    <row r="91803" hidden="1" x14ac:dyDescent="0.35"/>
    <row r="91804" hidden="1" x14ac:dyDescent="0.35"/>
    <row r="91805" hidden="1" x14ac:dyDescent="0.35"/>
    <row r="91806" hidden="1" x14ac:dyDescent="0.35"/>
    <row r="91807" hidden="1" x14ac:dyDescent="0.35"/>
    <row r="91808" hidden="1" x14ac:dyDescent="0.35"/>
    <row r="91809" hidden="1" x14ac:dyDescent="0.35"/>
    <row r="91810" hidden="1" x14ac:dyDescent="0.35"/>
    <row r="91811" hidden="1" x14ac:dyDescent="0.35"/>
    <row r="91812" hidden="1" x14ac:dyDescent="0.35"/>
    <row r="91813" hidden="1" x14ac:dyDescent="0.35"/>
    <row r="91814" hidden="1" x14ac:dyDescent="0.35"/>
    <row r="91815" hidden="1" x14ac:dyDescent="0.35"/>
    <row r="91816" hidden="1" x14ac:dyDescent="0.35"/>
    <row r="91817" hidden="1" x14ac:dyDescent="0.35"/>
    <row r="91818" hidden="1" x14ac:dyDescent="0.35"/>
    <row r="91819" hidden="1" x14ac:dyDescent="0.35"/>
    <row r="91820" hidden="1" x14ac:dyDescent="0.35"/>
    <row r="91821" hidden="1" x14ac:dyDescent="0.35"/>
    <row r="91822" hidden="1" x14ac:dyDescent="0.35"/>
    <row r="91823" hidden="1" x14ac:dyDescent="0.35"/>
    <row r="91824" hidden="1" x14ac:dyDescent="0.35"/>
    <row r="91825" hidden="1" x14ac:dyDescent="0.35"/>
    <row r="91826" hidden="1" x14ac:dyDescent="0.35"/>
    <row r="91827" hidden="1" x14ac:dyDescent="0.35"/>
    <row r="91828" hidden="1" x14ac:dyDescent="0.35"/>
    <row r="91829" hidden="1" x14ac:dyDescent="0.35"/>
    <row r="91830" hidden="1" x14ac:dyDescent="0.35"/>
    <row r="91831" hidden="1" x14ac:dyDescent="0.35"/>
    <row r="91832" hidden="1" x14ac:dyDescent="0.35"/>
    <row r="91833" hidden="1" x14ac:dyDescent="0.35"/>
    <row r="91834" hidden="1" x14ac:dyDescent="0.35"/>
    <row r="91835" hidden="1" x14ac:dyDescent="0.35"/>
    <row r="91836" hidden="1" x14ac:dyDescent="0.35"/>
    <row r="91837" hidden="1" x14ac:dyDescent="0.35"/>
    <row r="91838" hidden="1" x14ac:dyDescent="0.35"/>
    <row r="91839" hidden="1" x14ac:dyDescent="0.35"/>
    <row r="91840" hidden="1" x14ac:dyDescent="0.35"/>
    <row r="91841" hidden="1" x14ac:dyDescent="0.35"/>
    <row r="91842" hidden="1" x14ac:dyDescent="0.35"/>
    <row r="91843" hidden="1" x14ac:dyDescent="0.35"/>
    <row r="91844" hidden="1" x14ac:dyDescent="0.35"/>
    <row r="91845" hidden="1" x14ac:dyDescent="0.35"/>
    <row r="91846" hidden="1" x14ac:dyDescent="0.35"/>
    <row r="91847" hidden="1" x14ac:dyDescent="0.35"/>
    <row r="91848" hidden="1" x14ac:dyDescent="0.35"/>
    <row r="91849" hidden="1" x14ac:dyDescent="0.35"/>
    <row r="91850" hidden="1" x14ac:dyDescent="0.35"/>
    <row r="91851" hidden="1" x14ac:dyDescent="0.35"/>
    <row r="91852" hidden="1" x14ac:dyDescent="0.35"/>
    <row r="91853" hidden="1" x14ac:dyDescent="0.35"/>
    <row r="91854" hidden="1" x14ac:dyDescent="0.35"/>
    <row r="91855" hidden="1" x14ac:dyDescent="0.35"/>
    <row r="91856" hidden="1" x14ac:dyDescent="0.35"/>
    <row r="91857" hidden="1" x14ac:dyDescent="0.35"/>
    <row r="91858" hidden="1" x14ac:dyDescent="0.35"/>
    <row r="91859" hidden="1" x14ac:dyDescent="0.35"/>
    <row r="91860" hidden="1" x14ac:dyDescent="0.35"/>
    <row r="91861" hidden="1" x14ac:dyDescent="0.35"/>
    <row r="91862" hidden="1" x14ac:dyDescent="0.35"/>
    <row r="91863" hidden="1" x14ac:dyDescent="0.35"/>
    <row r="91864" hidden="1" x14ac:dyDescent="0.35"/>
    <row r="91865" hidden="1" x14ac:dyDescent="0.35"/>
    <row r="91866" hidden="1" x14ac:dyDescent="0.35"/>
    <row r="91867" hidden="1" x14ac:dyDescent="0.35"/>
    <row r="91868" hidden="1" x14ac:dyDescent="0.35"/>
    <row r="91869" hidden="1" x14ac:dyDescent="0.35"/>
    <row r="91870" hidden="1" x14ac:dyDescent="0.35"/>
    <row r="91871" hidden="1" x14ac:dyDescent="0.35"/>
    <row r="91872" hidden="1" x14ac:dyDescent="0.35"/>
    <row r="91873" hidden="1" x14ac:dyDescent="0.35"/>
    <row r="91874" hidden="1" x14ac:dyDescent="0.35"/>
    <row r="91875" hidden="1" x14ac:dyDescent="0.35"/>
    <row r="91876" hidden="1" x14ac:dyDescent="0.35"/>
    <row r="91877" hidden="1" x14ac:dyDescent="0.35"/>
    <row r="91878" hidden="1" x14ac:dyDescent="0.35"/>
    <row r="91879" hidden="1" x14ac:dyDescent="0.35"/>
    <row r="91880" hidden="1" x14ac:dyDescent="0.35"/>
    <row r="91881" hidden="1" x14ac:dyDescent="0.35"/>
    <row r="91882" hidden="1" x14ac:dyDescent="0.35"/>
    <row r="91883" hidden="1" x14ac:dyDescent="0.35"/>
    <row r="91884" hidden="1" x14ac:dyDescent="0.35"/>
    <row r="91885" hidden="1" x14ac:dyDescent="0.35"/>
    <row r="91886" hidden="1" x14ac:dyDescent="0.35"/>
    <row r="91887" hidden="1" x14ac:dyDescent="0.35"/>
    <row r="91888" hidden="1" x14ac:dyDescent="0.35"/>
    <row r="91889" hidden="1" x14ac:dyDescent="0.35"/>
    <row r="91890" hidden="1" x14ac:dyDescent="0.35"/>
    <row r="91891" hidden="1" x14ac:dyDescent="0.35"/>
    <row r="91892" hidden="1" x14ac:dyDescent="0.35"/>
    <row r="91893" hidden="1" x14ac:dyDescent="0.35"/>
    <row r="91894" hidden="1" x14ac:dyDescent="0.35"/>
    <row r="91895" hidden="1" x14ac:dyDescent="0.35"/>
    <row r="91896" hidden="1" x14ac:dyDescent="0.35"/>
    <row r="91897" hidden="1" x14ac:dyDescent="0.35"/>
    <row r="91898" hidden="1" x14ac:dyDescent="0.35"/>
    <row r="91899" hidden="1" x14ac:dyDescent="0.35"/>
    <row r="91900" hidden="1" x14ac:dyDescent="0.35"/>
    <row r="91901" hidden="1" x14ac:dyDescent="0.35"/>
    <row r="91902" hidden="1" x14ac:dyDescent="0.35"/>
    <row r="91903" hidden="1" x14ac:dyDescent="0.35"/>
    <row r="91904" hidden="1" x14ac:dyDescent="0.35"/>
    <row r="91905" hidden="1" x14ac:dyDescent="0.35"/>
    <row r="91906" hidden="1" x14ac:dyDescent="0.35"/>
    <row r="91907" hidden="1" x14ac:dyDescent="0.35"/>
    <row r="91908" hidden="1" x14ac:dyDescent="0.35"/>
    <row r="91909" hidden="1" x14ac:dyDescent="0.35"/>
    <row r="91910" hidden="1" x14ac:dyDescent="0.35"/>
    <row r="91911" hidden="1" x14ac:dyDescent="0.35"/>
    <row r="91912" hidden="1" x14ac:dyDescent="0.35"/>
    <row r="91913" hidden="1" x14ac:dyDescent="0.35"/>
    <row r="91914" hidden="1" x14ac:dyDescent="0.35"/>
    <row r="91915" hidden="1" x14ac:dyDescent="0.35"/>
    <row r="91916" hidden="1" x14ac:dyDescent="0.35"/>
    <row r="91917" hidden="1" x14ac:dyDescent="0.35"/>
    <row r="91918" hidden="1" x14ac:dyDescent="0.35"/>
    <row r="91919" hidden="1" x14ac:dyDescent="0.35"/>
    <row r="91920" hidden="1" x14ac:dyDescent="0.35"/>
    <row r="91921" hidden="1" x14ac:dyDescent="0.35"/>
    <row r="91922" hidden="1" x14ac:dyDescent="0.35"/>
    <row r="91923" hidden="1" x14ac:dyDescent="0.35"/>
    <row r="91924" hidden="1" x14ac:dyDescent="0.35"/>
    <row r="91925" hidden="1" x14ac:dyDescent="0.35"/>
    <row r="91926" hidden="1" x14ac:dyDescent="0.35"/>
    <row r="91927" hidden="1" x14ac:dyDescent="0.35"/>
    <row r="91928" hidden="1" x14ac:dyDescent="0.35"/>
    <row r="91929" hidden="1" x14ac:dyDescent="0.35"/>
    <row r="91930" hidden="1" x14ac:dyDescent="0.35"/>
    <row r="91931" hidden="1" x14ac:dyDescent="0.35"/>
    <row r="91932" hidden="1" x14ac:dyDescent="0.35"/>
    <row r="91933" hidden="1" x14ac:dyDescent="0.35"/>
    <row r="91934" hidden="1" x14ac:dyDescent="0.35"/>
    <row r="91935" hidden="1" x14ac:dyDescent="0.35"/>
    <row r="91936" hidden="1" x14ac:dyDescent="0.35"/>
    <row r="91937" hidden="1" x14ac:dyDescent="0.35"/>
    <row r="91938" hidden="1" x14ac:dyDescent="0.35"/>
    <row r="91939" hidden="1" x14ac:dyDescent="0.35"/>
    <row r="91940" hidden="1" x14ac:dyDescent="0.35"/>
    <row r="91941" hidden="1" x14ac:dyDescent="0.35"/>
    <row r="91942" hidden="1" x14ac:dyDescent="0.35"/>
    <row r="91943" hidden="1" x14ac:dyDescent="0.35"/>
    <row r="91944" hidden="1" x14ac:dyDescent="0.35"/>
    <row r="91945" hidden="1" x14ac:dyDescent="0.35"/>
    <row r="91946" hidden="1" x14ac:dyDescent="0.35"/>
    <row r="91947" hidden="1" x14ac:dyDescent="0.35"/>
    <row r="91948" hidden="1" x14ac:dyDescent="0.35"/>
    <row r="91949" hidden="1" x14ac:dyDescent="0.35"/>
    <row r="91950" hidden="1" x14ac:dyDescent="0.35"/>
    <row r="91951" hidden="1" x14ac:dyDescent="0.35"/>
    <row r="91952" hidden="1" x14ac:dyDescent="0.35"/>
    <row r="91953" hidden="1" x14ac:dyDescent="0.35"/>
    <row r="91954" hidden="1" x14ac:dyDescent="0.35"/>
    <row r="91955" hidden="1" x14ac:dyDescent="0.35"/>
    <row r="91956" hidden="1" x14ac:dyDescent="0.35"/>
    <row r="91957" hidden="1" x14ac:dyDescent="0.35"/>
    <row r="91958" hidden="1" x14ac:dyDescent="0.35"/>
    <row r="91959" hidden="1" x14ac:dyDescent="0.35"/>
    <row r="91960" hidden="1" x14ac:dyDescent="0.35"/>
    <row r="91961" hidden="1" x14ac:dyDescent="0.35"/>
    <row r="91962" hidden="1" x14ac:dyDescent="0.35"/>
    <row r="91963" hidden="1" x14ac:dyDescent="0.35"/>
    <row r="91964" hidden="1" x14ac:dyDescent="0.35"/>
    <row r="91965" hidden="1" x14ac:dyDescent="0.35"/>
    <row r="91966" hidden="1" x14ac:dyDescent="0.35"/>
    <row r="91967" hidden="1" x14ac:dyDescent="0.35"/>
    <row r="91968" hidden="1" x14ac:dyDescent="0.35"/>
    <row r="91969" hidden="1" x14ac:dyDescent="0.35"/>
    <row r="91970" hidden="1" x14ac:dyDescent="0.35"/>
    <row r="91971" hidden="1" x14ac:dyDescent="0.35"/>
    <row r="91972" hidden="1" x14ac:dyDescent="0.35"/>
    <row r="91973" hidden="1" x14ac:dyDescent="0.35"/>
    <row r="91974" hidden="1" x14ac:dyDescent="0.35"/>
    <row r="91975" hidden="1" x14ac:dyDescent="0.35"/>
    <row r="91976" hidden="1" x14ac:dyDescent="0.35"/>
    <row r="91977" hidden="1" x14ac:dyDescent="0.35"/>
    <row r="91978" hidden="1" x14ac:dyDescent="0.35"/>
    <row r="91979" hidden="1" x14ac:dyDescent="0.35"/>
    <row r="91980" hidden="1" x14ac:dyDescent="0.35"/>
    <row r="91981" hidden="1" x14ac:dyDescent="0.35"/>
    <row r="91982" hidden="1" x14ac:dyDescent="0.35"/>
    <row r="91983" hidden="1" x14ac:dyDescent="0.35"/>
    <row r="91984" hidden="1" x14ac:dyDescent="0.35"/>
    <row r="91985" hidden="1" x14ac:dyDescent="0.35"/>
    <row r="91986" hidden="1" x14ac:dyDescent="0.35"/>
    <row r="91987" hidden="1" x14ac:dyDescent="0.35"/>
    <row r="91988" hidden="1" x14ac:dyDescent="0.35"/>
    <row r="91989" hidden="1" x14ac:dyDescent="0.35"/>
    <row r="91990" hidden="1" x14ac:dyDescent="0.35"/>
    <row r="91991" hidden="1" x14ac:dyDescent="0.35"/>
    <row r="91992" hidden="1" x14ac:dyDescent="0.35"/>
    <row r="91993" hidden="1" x14ac:dyDescent="0.35"/>
    <row r="91994" hidden="1" x14ac:dyDescent="0.35"/>
    <row r="91995" hidden="1" x14ac:dyDescent="0.35"/>
    <row r="91996" hidden="1" x14ac:dyDescent="0.35"/>
    <row r="91997" hidden="1" x14ac:dyDescent="0.35"/>
    <row r="91998" hidden="1" x14ac:dyDescent="0.35"/>
    <row r="91999" hidden="1" x14ac:dyDescent="0.35"/>
    <row r="92000" hidden="1" x14ac:dyDescent="0.35"/>
    <row r="92001" hidden="1" x14ac:dyDescent="0.35"/>
    <row r="92002" hidden="1" x14ac:dyDescent="0.35"/>
    <row r="92003" hidden="1" x14ac:dyDescent="0.35"/>
    <row r="92004" hidden="1" x14ac:dyDescent="0.35"/>
    <row r="92005" hidden="1" x14ac:dyDescent="0.35"/>
    <row r="92006" hidden="1" x14ac:dyDescent="0.35"/>
    <row r="92007" hidden="1" x14ac:dyDescent="0.35"/>
    <row r="92008" hidden="1" x14ac:dyDescent="0.35"/>
    <row r="92009" hidden="1" x14ac:dyDescent="0.35"/>
    <row r="92010" hidden="1" x14ac:dyDescent="0.35"/>
    <row r="92011" hidden="1" x14ac:dyDescent="0.35"/>
    <row r="92012" hidden="1" x14ac:dyDescent="0.35"/>
    <row r="92013" hidden="1" x14ac:dyDescent="0.35"/>
    <row r="92014" hidden="1" x14ac:dyDescent="0.35"/>
    <row r="92015" hidden="1" x14ac:dyDescent="0.35"/>
    <row r="92016" hidden="1" x14ac:dyDescent="0.35"/>
    <row r="92017" hidden="1" x14ac:dyDescent="0.35"/>
    <row r="92018" hidden="1" x14ac:dyDescent="0.35"/>
    <row r="92019" hidden="1" x14ac:dyDescent="0.35"/>
    <row r="92020" hidden="1" x14ac:dyDescent="0.35"/>
    <row r="92021" hidden="1" x14ac:dyDescent="0.35"/>
    <row r="92022" hidden="1" x14ac:dyDescent="0.35"/>
    <row r="92023" hidden="1" x14ac:dyDescent="0.35"/>
    <row r="92024" hidden="1" x14ac:dyDescent="0.35"/>
    <row r="92025" hidden="1" x14ac:dyDescent="0.35"/>
    <row r="92026" hidden="1" x14ac:dyDescent="0.35"/>
    <row r="92027" hidden="1" x14ac:dyDescent="0.35"/>
    <row r="92028" hidden="1" x14ac:dyDescent="0.35"/>
    <row r="92029" hidden="1" x14ac:dyDescent="0.35"/>
    <row r="92030" hidden="1" x14ac:dyDescent="0.35"/>
    <row r="92031" hidden="1" x14ac:dyDescent="0.35"/>
    <row r="92032" hidden="1" x14ac:dyDescent="0.35"/>
    <row r="92033" hidden="1" x14ac:dyDescent="0.35"/>
    <row r="92034" hidden="1" x14ac:dyDescent="0.35"/>
    <row r="92035" hidden="1" x14ac:dyDescent="0.35"/>
    <row r="92036" hidden="1" x14ac:dyDescent="0.35"/>
    <row r="92037" hidden="1" x14ac:dyDescent="0.35"/>
    <row r="92038" hidden="1" x14ac:dyDescent="0.35"/>
    <row r="92039" hidden="1" x14ac:dyDescent="0.35"/>
    <row r="92040" hidden="1" x14ac:dyDescent="0.35"/>
    <row r="92041" hidden="1" x14ac:dyDescent="0.35"/>
    <row r="92042" hidden="1" x14ac:dyDescent="0.35"/>
    <row r="92043" hidden="1" x14ac:dyDescent="0.35"/>
    <row r="92044" hidden="1" x14ac:dyDescent="0.35"/>
    <row r="92045" hidden="1" x14ac:dyDescent="0.35"/>
    <row r="92046" hidden="1" x14ac:dyDescent="0.35"/>
    <row r="92047" hidden="1" x14ac:dyDescent="0.35"/>
    <row r="92048" hidden="1" x14ac:dyDescent="0.35"/>
    <row r="92049" hidden="1" x14ac:dyDescent="0.35"/>
    <row r="92050" hidden="1" x14ac:dyDescent="0.35"/>
    <row r="92051" hidden="1" x14ac:dyDescent="0.35"/>
    <row r="92052" hidden="1" x14ac:dyDescent="0.35"/>
    <row r="92053" hidden="1" x14ac:dyDescent="0.35"/>
    <row r="92054" hidden="1" x14ac:dyDescent="0.35"/>
    <row r="92055" hidden="1" x14ac:dyDescent="0.35"/>
    <row r="92056" hidden="1" x14ac:dyDescent="0.35"/>
    <row r="92057" hidden="1" x14ac:dyDescent="0.35"/>
    <row r="92058" hidden="1" x14ac:dyDescent="0.35"/>
    <row r="92059" hidden="1" x14ac:dyDescent="0.35"/>
    <row r="92060" hidden="1" x14ac:dyDescent="0.35"/>
    <row r="92061" hidden="1" x14ac:dyDescent="0.35"/>
    <row r="92062" hidden="1" x14ac:dyDescent="0.35"/>
    <row r="92063" hidden="1" x14ac:dyDescent="0.35"/>
    <row r="92064" hidden="1" x14ac:dyDescent="0.35"/>
    <row r="92065" hidden="1" x14ac:dyDescent="0.35"/>
    <row r="92066" hidden="1" x14ac:dyDescent="0.35"/>
    <row r="92067" hidden="1" x14ac:dyDescent="0.35"/>
    <row r="92068" hidden="1" x14ac:dyDescent="0.35"/>
    <row r="92069" hidden="1" x14ac:dyDescent="0.35"/>
    <row r="92070" hidden="1" x14ac:dyDescent="0.35"/>
    <row r="92071" hidden="1" x14ac:dyDescent="0.35"/>
    <row r="92072" hidden="1" x14ac:dyDescent="0.35"/>
    <row r="92073" hidden="1" x14ac:dyDescent="0.35"/>
    <row r="92074" hidden="1" x14ac:dyDescent="0.35"/>
    <row r="92075" hidden="1" x14ac:dyDescent="0.35"/>
    <row r="92076" hidden="1" x14ac:dyDescent="0.35"/>
    <row r="92077" hidden="1" x14ac:dyDescent="0.35"/>
    <row r="92078" hidden="1" x14ac:dyDescent="0.35"/>
    <row r="92079" hidden="1" x14ac:dyDescent="0.35"/>
    <row r="92080" hidden="1" x14ac:dyDescent="0.35"/>
    <row r="92081" hidden="1" x14ac:dyDescent="0.35"/>
    <row r="92082" hidden="1" x14ac:dyDescent="0.35"/>
    <row r="92083" hidden="1" x14ac:dyDescent="0.35"/>
    <row r="92084" hidden="1" x14ac:dyDescent="0.35"/>
    <row r="92085" hidden="1" x14ac:dyDescent="0.35"/>
    <row r="92086" hidden="1" x14ac:dyDescent="0.35"/>
    <row r="92087" hidden="1" x14ac:dyDescent="0.35"/>
    <row r="92088" hidden="1" x14ac:dyDescent="0.35"/>
    <row r="92089" hidden="1" x14ac:dyDescent="0.35"/>
    <row r="92090" hidden="1" x14ac:dyDescent="0.35"/>
    <row r="92091" hidden="1" x14ac:dyDescent="0.35"/>
    <row r="92092" hidden="1" x14ac:dyDescent="0.35"/>
    <row r="92093" hidden="1" x14ac:dyDescent="0.35"/>
    <row r="92094" hidden="1" x14ac:dyDescent="0.35"/>
    <row r="92095" hidden="1" x14ac:dyDescent="0.35"/>
    <row r="92096" hidden="1" x14ac:dyDescent="0.35"/>
    <row r="92097" hidden="1" x14ac:dyDescent="0.35"/>
    <row r="92098" hidden="1" x14ac:dyDescent="0.35"/>
    <row r="92099" hidden="1" x14ac:dyDescent="0.35"/>
    <row r="92100" hidden="1" x14ac:dyDescent="0.35"/>
    <row r="92101" hidden="1" x14ac:dyDescent="0.35"/>
    <row r="92102" hidden="1" x14ac:dyDescent="0.35"/>
    <row r="92103" hidden="1" x14ac:dyDescent="0.35"/>
    <row r="92104" hidden="1" x14ac:dyDescent="0.35"/>
    <row r="92105" hidden="1" x14ac:dyDescent="0.35"/>
    <row r="92106" hidden="1" x14ac:dyDescent="0.35"/>
    <row r="92107" hidden="1" x14ac:dyDescent="0.35"/>
    <row r="92108" hidden="1" x14ac:dyDescent="0.35"/>
    <row r="92109" hidden="1" x14ac:dyDescent="0.35"/>
    <row r="92110" hidden="1" x14ac:dyDescent="0.35"/>
    <row r="92111" hidden="1" x14ac:dyDescent="0.35"/>
    <row r="92112" hidden="1" x14ac:dyDescent="0.35"/>
    <row r="92113" hidden="1" x14ac:dyDescent="0.35"/>
    <row r="92114" hidden="1" x14ac:dyDescent="0.35"/>
    <row r="92115" hidden="1" x14ac:dyDescent="0.35"/>
    <row r="92116" hidden="1" x14ac:dyDescent="0.35"/>
    <row r="92117" hidden="1" x14ac:dyDescent="0.35"/>
    <row r="92118" hidden="1" x14ac:dyDescent="0.35"/>
    <row r="92119" hidden="1" x14ac:dyDescent="0.35"/>
    <row r="92120" hidden="1" x14ac:dyDescent="0.35"/>
    <row r="92121" hidden="1" x14ac:dyDescent="0.35"/>
    <row r="92122" hidden="1" x14ac:dyDescent="0.35"/>
    <row r="92123" hidden="1" x14ac:dyDescent="0.35"/>
    <row r="92124" hidden="1" x14ac:dyDescent="0.35"/>
    <row r="92125" hidden="1" x14ac:dyDescent="0.35"/>
    <row r="92126" hidden="1" x14ac:dyDescent="0.35"/>
    <row r="92127" hidden="1" x14ac:dyDescent="0.35"/>
    <row r="92128" hidden="1" x14ac:dyDescent="0.35"/>
    <row r="92129" hidden="1" x14ac:dyDescent="0.35"/>
    <row r="92130" hidden="1" x14ac:dyDescent="0.35"/>
    <row r="92131" hidden="1" x14ac:dyDescent="0.35"/>
    <row r="92132" hidden="1" x14ac:dyDescent="0.35"/>
    <row r="92133" hidden="1" x14ac:dyDescent="0.35"/>
    <row r="92134" hidden="1" x14ac:dyDescent="0.35"/>
    <row r="92135" hidden="1" x14ac:dyDescent="0.35"/>
    <row r="92136" hidden="1" x14ac:dyDescent="0.35"/>
    <row r="92137" hidden="1" x14ac:dyDescent="0.35"/>
    <row r="92138" hidden="1" x14ac:dyDescent="0.35"/>
    <row r="92139" hidden="1" x14ac:dyDescent="0.35"/>
    <row r="92140" hidden="1" x14ac:dyDescent="0.35"/>
    <row r="92141" hidden="1" x14ac:dyDescent="0.35"/>
    <row r="92142" hidden="1" x14ac:dyDescent="0.35"/>
    <row r="92143" hidden="1" x14ac:dyDescent="0.35"/>
    <row r="92144" hidden="1" x14ac:dyDescent="0.35"/>
    <row r="92145" hidden="1" x14ac:dyDescent="0.35"/>
    <row r="92146" hidden="1" x14ac:dyDescent="0.35"/>
    <row r="92147" hidden="1" x14ac:dyDescent="0.35"/>
    <row r="92148" hidden="1" x14ac:dyDescent="0.35"/>
    <row r="92149" hidden="1" x14ac:dyDescent="0.35"/>
    <row r="92150" hidden="1" x14ac:dyDescent="0.35"/>
    <row r="92151" hidden="1" x14ac:dyDescent="0.35"/>
    <row r="92152" hidden="1" x14ac:dyDescent="0.35"/>
    <row r="92153" hidden="1" x14ac:dyDescent="0.35"/>
    <row r="92154" hidden="1" x14ac:dyDescent="0.35"/>
    <row r="92155" hidden="1" x14ac:dyDescent="0.35"/>
    <row r="92156" hidden="1" x14ac:dyDescent="0.35"/>
    <row r="92157" hidden="1" x14ac:dyDescent="0.35"/>
    <row r="92158" hidden="1" x14ac:dyDescent="0.35"/>
    <row r="92159" hidden="1" x14ac:dyDescent="0.35"/>
    <row r="92160" hidden="1" x14ac:dyDescent="0.35"/>
    <row r="92161" hidden="1" x14ac:dyDescent="0.35"/>
    <row r="92162" hidden="1" x14ac:dyDescent="0.35"/>
    <row r="92163" hidden="1" x14ac:dyDescent="0.35"/>
    <row r="92164" hidden="1" x14ac:dyDescent="0.35"/>
    <row r="92165" hidden="1" x14ac:dyDescent="0.35"/>
    <row r="92166" hidden="1" x14ac:dyDescent="0.35"/>
    <row r="92167" hidden="1" x14ac:dyDescent="0.35"/>
    <row r="92168" hidden="1" x14ac:dyDescent="0.35"/>
    <row r="92169" hidden="1" x14ac:dyDescent="0.35"/>
    <row r="92170" hidden="1" x14ac:dyDescent="0.35"/>
    <row r="92171" hidden="1" x14ac:dyDescent="0.35"/>
    <row r="92172" hidden="1" x14ac:dyDescent="0.35"/>
    <row r="92173" hidden="1" x14ac:dyDescent="0.35"/>
    <row r="92174" hidden="1" x14ac:dyDescent="0.35"/>
    <row r="92175" hidden="1" x14ac:dyDescent="0.35"/>
    <row r="92176" hidden="1" x14ac:dyDescent="0.35"/>
    <row r="92177" hidden="1" x14ac:dyDescent="0.35"/>
    <row r="92178" hidden="1" x14ac:dyDescent="0.35"/>
    <row r="92179" hidden="1" x14ac:dyDescent="0.35"/>
    <row r="92180" hidden="1" x14ac:dyDescent="0.35"/>
    <row r="92181" hidden="1" x14ac:dyDescent="0.35"/>
    <row r="92182" hidden="1" x14ac:dyDescent="0.35"/>
    <row r="92183" hidden="1" x14ac:dyDescent="0.35"/>
    <row r="92184" hidden="1" x14ac:dyDescent="0.35"/>
    <row r="92185" hidden="1" x14ac:dyDescent="0.35"/>
    <row r="92186" hidden="1" x14ac:dyDescent="0.35"/>
    <row r="92187" hidden="1" x14ac:dyDescent="0.35"/>
    <row r="92188" hidden="1" x14ac:dyDescent="0.35"/>
    <row r="92189" hidden="1" x14ac:dyDescent="0.35"/>
    <row r="92190" hidden="1" x14ac:dyDescent="0.35"/>
    <row r="92191" hidden="1" x14ac:dyDescent="0.35"/>
    <row r="92192" hidden="1" x14ac:dyDescent="0.35"/>
    <row r="92193" hidden="1" x14ac:dyDescent="0.35"/>
    <row r="92194" hidden="1" x14ac:dyDescent="0.35"/>
    <row r="92195" hidden="1" x14ac:dyDescent="0.35"/>
    <row r="92196" hidden="1" x14ac:dyDescent="0.35"/>
    <row r="92197" hidden="1" x14ac:dyDescent="0.35"/>
    <row r="92198" hidden="1" x14ac:dyDescent="0.35"/>
    <row r="92199" hidden="1" x14ac:dyDescent="0.35"/>
    <row r="92200" hidden="1" x14ac:dyDescent="0.35"/>
    <row r="92201" hidden="1" x14ac:dyDescent="0.35"/>
    <row r="92202" hidden="1" x14ac:dyDescent="0.35"/>
    <row r="92203" hidden="1" x14ac:dyDescent="0.35"/>
    <row r="92204" hidden="1" x14ac:dyDescent="0.35"/>
    <row r="92205" hidden="1" x14ac:dyDescent="0.35"/>
    <row r="92206" hidden="1" x14ac:dyDescent="0.35"/>
    <row r="92207" hidden="1" x14ac:dyDescent="0.35"/>
    <row r="92208" hidden="1" x14ac:dyDescent="0.35"/>
    <row r="92209" hidden="1" x14ac:dyDescent="0.35"/>
    <row r="92210" hidden="1" x14ac:dyDescent="0.35"/>
    <row r="92211" hidden="1" x14ac:dyDescent="0.35"/>
    <row r="92212" hidden="1" x14ac:dyDescent="0.35"/>
    <row r="92213" hidden="1" x14ac:dyDescent="0.35"/>
    <row r="92214" hidden="1" x14ac:dyDescent="0.35"/>
    <row r="92215" hidden="1" x14ac:dyDescent="0.35"/>
    <row r="92216" hidden="1" x14ac:dyDescent="0.35"/>
    <row r="92217" hidden="1" x14ac:dyDescent="0.35"/>
    <row r="92218" hidden="1" x14ac:dyDescent="0.35"/>
    <row r="92219" hidden="1" x14ac:dyDescent="0.35"/>
    <row r="92220" hidden="1" x14ac:dyDescent="0.35"/>
    <row r="92221" hidden="1" x14ac:dyDescent="0.35"/>
    <row r="92222" hidden="1" x14ac:dyDescent="0.35"/>
    <row r="92223" hidden="1" x14ac:dyDescent="0.35"/>
    <row r="92224" hidden="1" x14ac:dyDescent="0.35"/>
    <row r="92225" hidden="1" x14ac:dyDescent="0.35"/>
    <row r="92226" hidden="1" x14ac:dyDescent="0.35"/>
    <row r="92227" hidden="1" x14ac:dyDescent="0.35"/>
    <row r="92228" hidden="1" x14ac:dyDescent="0.35"/>
    <row r="92229" hidden="1" x14ac:dyDescent="0.35"/>
    <row r="92230" hidden="1" x14ac:dyDescent="0.35"/>
    <row r="92231" hidden="1" x14ac:dyDescent="0.35"/>
    <row r="92232" hidden="1" x14ac:dyDescent="0.35"/>
    <row r="92233" hidden="1" x14ac:dyDescent="0.35"/>
    <row r="92234" hidden="1" x14ac:dyDescent="0.35"/>
    <row r="92235" hidden="1" x14ac:dyDescent="0.35"/>
    <row r="92236" hidden="1" x14ac:dyDescent="0.35"/>
    <row r="92237" hidden="1" x14ac:dyDescent="0.35"/>
    <row r="92238" hidden="1" x14ac:dyDescent="0.35"/>
    <row r="92239" hidden="1" x14ac:dyDescent="0.35"/>
    <row r="92240" hidden="1" x14ac:dyDescent="0.35"/>
    <row r="92241" hidden="1" x14ac:dyDescent="0.35"/>
    <row r="92242" hidden="1" x14ac:dyDescent="0.35"/>
    <row r="92243" hidden="1" x14ac:dyDescent="0.35"/>
    <row r="92244" hidden="1" x14ac:dyDescent="0.35"/>
    <row r="92245" hidden="1" x14ac:dyDescent="0.35"/>
    <row r="92246" hidden="1" x14ac:dyDescent="0.35"/>
    <row r="92247" hidden="1" x14ac:dyDescent="0.35"/>
    <row r="92248" hidden="1" x14ac:dyDescent="0.35"/>
    <row r="92249" hidden="1" x14ac:dyDescent="0.35"/>
    <row r="92250" hidden="1" x14ac:dyDescent="0.35"/>
    <row r="92251" hidden="1" x14ac:dyDescent="0.35"/>
    <row r="92252" hidden="1" x14ac:dyDescent="0.35"/>
    <row r="92253" hidden="1" x14ac:dyDescent="0.35"/>
    <row r="92254" hidden="1" x14ac:dyDescent="0.35"/>
    <row r="92255" hidden="1" x14ac:dyDescent="0.35"/>
    <row r="92256" hidden="1" x14ac:dyDescent="0.35"/>
    <row r="92257" hidden="1" x14ac:dyDescent="0.35"/>
    <row r="92258" hidden="1" x14ac:dyDescent="0.35"/>
    <row r="92259" hidden="1" x14ac:dyDescent="0.35"/>
    <row r="92260" hidden="1" x14ac:dyDescent="0.35"/>
    <row r="92261" hidden="1" x14ac:dyDescent="0.35"/>
    <row r="92262" hidden="1" x14ac:dyDescent="0.35"/>
    <row r="92263" hidden="1" x14ac:dyDescent="0.35"/>
    <row r="92264" hidden="1" x14ac:dyDescent="0.35"/>
    <row r="92265" hidden="1" x14ac:dyDescent="0.35"/>
    <row r="92266" hidden="1" x14ac:dyDescent="0.35"/>
    <row r="92267" hidden="1" x14ac:dyDescent="0.35"/>
    <row r="92268" hidden="1" x14ac:dyDescent="0.35"/>
    <row r="92269" hidden="1" x14ac:dyDescent="0.35"/>
    <row r="92270" hidden="1" x14ac:dyDescent="0.35"/>
    <row r="92271" hidden="1" x14ac:dyDescent="0.35"/>
    <row r="92272" hidden="1" x14ac:dyDescent="0.35"/>
    <row r="92273" hidden="1" x14ac:dyDescent="0.35"/>
    <row r="92274" hidden="1" x14ac:dyDescent="0.35"/>
    <row r="92275" hidden="1" x14ac:dyDescent="0.35"/>
    <row r="92276" hidden="1" x14ac:dyDescent="0.35"/>
    <row r="92277" hidden="1" x14ac:dyDescent="0.35"/>
    <row r="92278" hidden="1" x14ac:dyDescent="0.35"/>
    <row r="92279" hidden="1" x14ac:dyDescent="0.35"/>
    <row r="92280" hidden="1" x14ac:dyDescent="0.35"/>
    <row r="92281" hidden="1" x14ac:dyDescent="0.35"/>
    <row r="92282" hidden="1" x14ac:dyDescent="0.35"/>
    <row r="92283" hidden="1" x14ac:dyDescent="0.35"/>
    <row r="92284" hidden="1" x14ac:dyDescent="0.35"/>
    <row r="92285" hidden="1" x14ac:dyDescent="0.35"/>
    <row r="92286" hidden="1" x14ac:dyDescent="0.35"/>
    <row r="92287" hidden="1" x14ac:dyDescent="0.35"/>
    <row r="92288" hidden="1" x14ac:dyDescent="0.35"/>
    <row r="92289" hidden="1" x14ac:dyDescent="0.35"/>
    <row r="92290" hidden="1" x14ac:dyDescent="0.35"/>
    <row r="92291" hidden="1" x14ac:dyDescent="0.35"/>
    <row r="92292" hidden="1" x14ac:dyDescent="0.35"/>
    <row r="92293" hidden="1" x14ac:dyDescent="0.35"/>
    <row r="92294" hidden="1" x14ac:dyDescent="0.35"/>
    <row r="92295" hidden="1" x14ac:dyDescent="0.35"/>
    <row r="92296" hidden="1" x14ac:dyDescent="0.35"/>
    <row r="92297" hidden="1" x14ac:dyDescent="0.35"/>
    <row r="92298" hidden="1" x14ac:dyDescent="0.35"/>
    <row r="92299" hidden="1" x14ac:dyDescent="0.35"/>
    <row r="92300" hidden="1" x14ac:dyDescent="0.35"/>
    <row r="92301" hidden="1" x14ac:dyDescent="0.35"/>
    <row r="92302" hidden="1" x14ac:dyDescent="0.35"/>
    <row r="92303" hidden="1" x14ac:dyDescent="0.35"/>
    <row r="92304" hidden="1" x14ac:dyDescent="0.35"/>
    <row r="92305" hidden="1" x14ac:dyDescent="0.35"/>
    <row r="92306" hidden="1" x14ac:dyDescent="0.35"/>
    <row r="92307" hidden="1" x14ac:dyDescent="0.35"/>
    <row r="92308" hidden="1" x14ac:dyDescent="0.35"/>
    <row r="92309" hidden="1" x14ac:dyDescent="0.35"/>
    <row r="92310" hidden="1" x14ac:dyDescent="0.35"/>
    <row r="92311" hidden="1" x14ac:dyDescent="0.35"/>
    <row r="92312" hidden="1" x14ac:dyDescent="0.35"/>
    <row r="92313" hidden="1" x14ac:dyDescent="0.35"/>
    <row r="92314" hidden="1" x14ac:dyDescent="0.35"/>
    <row r="92315" hidden="1" x14ac:dyDescent="0.35"/>
    <row r="92316" hidden="1" x14ac:dyDescent="0.35"/>
    <row r="92317" hidden="1" x14ac:dyDescent="0.35"/>
    <row r="92318" hidden="1" x14ac:dyDescent="0.35"/>
    <row r="92319" hidden="1" x14ac:dyDescent="0.35"/>
    <row r="92320" hidden="1" x14ac:dyDescent="0.35"/>
    <row r="92321" hidden="1" x14ac:dyDescent="0.35"/>
    <row r="92322" hidden="1" x14ac:dyDescent="0.35"/>
    <row r="92323" hidden="1" x14ac:dyDescent="0.35"/>
    <row r="92324" hidden="1" x14ac:dyDescent="0.35"/>
    <row r="92325" hidden="1" x14ac:dyDescent="0.35"/>
    <row r="92326" hidden="1" x14ac:dyDescent="0.35"/>
    <row r="92327" hidden="1" x14ac:dyDescent="0.35"/>
    <row r="92328" hidden="1" x14ac:dyDescent="0.35"/>
    <row r="92329" hidden="1" x14ac:dyDescent="0.35"/>
    <row r="92330" hidden="1" x14ac:dyDescent="0.35"/>
    <row r="92331" hidden="1" x14ac:dyDescent="0.35"/>
    <row r="92332" hidden="1" x14ac:dyDescent="0.35"/>
    <row r="92333" hidden="1" x14ac:dyDescent="0.35"/>
    <row r="92334" hidden="1" x14ac:dyDescent="0.35"/>
    <row r="92335" hidden="1" x14ac:dyDescent="0.35"/>
    <row r="92336" hidden="1" x14ac:dyDescent="0.35"/>
    <row r="92337" hidden="1" x14ac:dyDescent="0.35"/>
    <row r="92338" hidden="1" x14ac:dyDescent="0.35"/>
    <row r="92339" hidden="1" x14ac:dyDescent="0.35"/>
    <row r="92340" hidden="1" x14ac:dyDescent="0.35"/>
    <row r="92341" hidden="1" x14ac:dyDescent="0.35"/>
    <row r="92342" hidden="1" x14ac:dyDescent="0.35"/>
    <row r="92343" hidden="1" x14ac:dyDescent="0.35"/>
    <row r="92344" hidden="1" x14ac:dyDescent="0.35"/>
    <row r="92345" hidden="1" x14ac:dyDescent="0.35"/>
    <row r="92346" hidden="1" x14ac:dyDescent="0.35"/>
    <row r="92347" hidden="1" x14ac:dyDescent="0.35"/>
    <row r="92348" hidden="1" x14ac:dyDescent="0.35"/>
    <row r="92349" hidden="1" x14ac:dyDescent="0.35"/>
    <row r="92350" hidden="1" x14ac:dyDescent="0.35"/>
    <row r="92351" hidden="1" x14ac:dyDescent="0.35"/>
    <row r="92352" hidden="1" x14ac:dyDescent="0.35"/>
    <row r="92353" hidden="1" x14ac:dyDescent="0.35"/>
    <row r="92354" hidden="1" x14ac:dyDescent="0.35"/>
    <row r="92355" hidden="1" x14ac:dyDescent="0.35"/>
    <row r="92356" hidden="1" x14ac:dyDescent="0.35"/>
    <row r="92357" hidden="1" x14ac:dyDescent="0.35"/>
    <row r="92358" hidden="1" x14ac:dyDescent="0.35"/>
    <row r="92359" hidden="1" x14ac:dyDescent="0.35"/>
    <row r="92360" hidden="1" x14ac:dyDescent="0.35"/>
    <row r="92361" hidden="1" x14ac:dyDescent="0.35"/>
    <row r="92362" hidden="1" x14ac:dyDescent="0.35"/>
    <row r="92363" hidden="1" x14ac:dyDescent="0.35"/>
    <row r="92364" hidden="1" x14ac:dyDescent="0.35"/>
    <row r="92365" hidden="1" x14ac:dyDescent="0.35"/>
    <row r="92366" hidden="1" x14ac:dyDescent="0.35"/>
    <row r="92367" hidden="1" x14ac:dyDescent="0.35"/>
    <row r="92368" hidden="1" x14ac:dyDescent="0.35"/>
    <row r="92369" hidden="1" x14ac:dyDescent="0.35"/>
    <row r="92370" hidden="1" x14ac:dyDescent="0.35"/>
    <row r="92371" hidden="1" x14ac:dyDescent="0.35"/>
    <row r="92372" hidden="1" x14ac:dyDescent="0.35"/>
    <row r="92373" hidden="1" x14ac:dyDescent="0.35"/>
    <row r="92374" hidden="1" x14ac:dyDescent="0.35"/>
    <row r="92375" hidden="1" x14ac:dyDescent="0.35"/>
    <row r="92376" hidden="1" x14ac:dyDescent="0.35"/>
    <row r="92377" hidden="1" x14ac:dyDescent="0.35"/>
    <row r="92378" hidden="1" x14ac:dyDescent="0.35"/>
    <row r="92379" hidden="1" x14ac:dyDescent="0.35"/>
    <row r="92380" hidden="1" x14ac:dyDescent="0.35"/>
    <row r="92381" hidden="1" x14ac:dyDescent="0.35"/>
    <row r="92382" hidden="1" x14ac:dyDescent="0.35"/>
    <row r="92383" hidden="1" x14ac:dyDescent="0.35"/>
    <row r="92384" hidden="1" x14ac:dyDescent="0.35"/>
    <row r="92385" hidden="1" x14ac:dyDescent="0.35"/>
    <row r="92386" hidden="1" x14ac:dyDescent="0.35"/>
    <row r="92387" hidden="1" x14ac:dyDescent="0.35"/>
    <row r="92388" hidden="1" x14ac:dyDescent="0.35"/>
    <row r="92389" hidden="1" x14ac:dyDescent="0.35"/>
    <row r="92390" hidden="1" x14ac:dyDescent="0.35"/>
    <row r="92391" hidden="1" x14ac:dyDescent="0.35"/>
    <row r="92392" hidden="1" x14ac:dyDescent="0.35"/>
    <row r="92393" hidden="1" x14ac:dyDescent="0.35"/>
    <row r="92394" hidden="1" x14ac:dyDescent="0.35"/>
    <row r="92395" hidden="1" x14ac:dyDescent="0.35"/>
    <row r="92396" hidden="1" x14ac:dyDescent="0.35"/>
    <row r="92397" hidden="1" x14ac:dyDescent="0.35"/>
    <row r="92398" hidden="1" x14ac:dyDescent="0.35"/>
    <row r="92399" hidden="1" x14ac:dyDescent="0.35"/>
    <row r="92400" hidden="1" x14ac:dyDescent="0.35"/>
    <row r="92401" hidden="1" x14ac:dyDescent="0.35"/>
    <row r="92402" hidden="1" x14ac:dyDescent="0.35"/>
    <row r="92403" hidden="1" x14ac:dyDescent="0.35"/>
    <row r="92404" hidden="1" x14ac:dyDescent="0.35"/>
    <row r="92405" hidden="1" x14ac:dyDescent="0.35"/>
    <row r="92406" hidden="1" x14ac:dyDescent="0.35"/>
    <row r="92407" hidden="1" x14ac:dyDescent="0.35"/>
    <row r="92408" hidden="1" x14ac:dyDescent="0.35"/>
    <row r="92409" hidden="1" x14ac:dyDescent="0.35"/>
    <row r="92410" hidden="1" x14ac:dyDescent="0.35"/>
    <row r="92411" hidden="1" x14ac:dyDescent="0.35"/>
    <row r="92412" hidden="1" x14ac:dyDescent="0.35"/>
    <row r="92413" hidden="1" x14ac:dyDescent="0.35"/>
    <row r="92414" hidden="1" x14ac:dyDescent="0.35"/>
    <row r="92415" hidden="1" x14ac:dyDescent="0.35"/>
    <row r="92416" hidden="1" x14ac:dyDescent="0.35"/>
    <row r="92417" hidden="1" x14ac:dyDescent="0.35"/>
    <row r="92418" hidden="1" x14ac:dyDescent="0.35"/>
    <row r="92419" hidden="1" x14ac:dyDescent="0.35"/>
    <row r="92420" hidden="1" x14ac:dyDescent="0.35"/>
    <row r="92421" hidden="1" x14ac:dyDescent="0.35"/>
    <row r="92422" hidden="1" x14ac:dyDescent="0.35"/>
    <row r="92423" hidden="1" x14ac:dyDescent="0.35"/>
    <row r="92424" hidden="1" x14ac:dyDescent="0.35"/>
    <row r="92425" hidden="1" x14ac:dyDescent="0.35"/>
    <row r="92426" hidden="1" x14ac:dyDescent="0.35"/>
    <row r="92427" hidden="1" x14ac:dyDescent="0.35"/>
    <row r="92428" hidden="1" x14ac:dyDescent="0.35"/>
    <row r="92429" hidden="1" x14ac:dyDescent="0.35"/>
    <row r="92430" hidden="1" x14ac:dyDescent="0.35"/>
    <row r="92431" hidden="1" x14ac:dyDescent="0.35"/>
    <row r="92432" hidden="1" x14ac:dyDescent="0.35"/>
    <row r="92433" hidden="1" x14ac:dyDescent="0.35"/>
    <row r="92434" hidden="1" x14ac:dyDescent="0.35"/>
    <row r="92435" hidden="1" x14ac:dyDescent="0.35"/>
    <row r="92436" hidden="1" x14ac:dyDescent="0.35"/>
    <row r="92437" hidden="1" x14ac:dyDescent="0.35"/>
    <row r="92438" hidden="1" x14ac:dyDescent="0.35"/>
    <row r="92439" hidden="1" x14ac:dyDescent="0.35"/>
    <row r="92440" hidden="1" x14ac:dyDescent="0.35"/>
    <row r="92441" hidden="1" x14ac:dyDescent="0.35"/>
    <row r="92442" hidden="1" x14ac:dyDescent="0.35"/>
    <row r="92443" hidden="1" x14ac:dyDescent="0.35"/>
    <row r="92444" hidden="1" x14ac:dyDescent="0.35"/>
    <row r="92445" hidden="1" x14ac:dyDescent="0.35"/>
    <row r="92446" hidden="1" x14ac:dyDescent="0.35"/>
    <row r="92447" hidden="1" x14ac:dyDescent="0.35"/>
    <row r="92448" hidden="1" x14ac:dyDescent="0.35"/>
    <row r="92449" hidden="1" x14ac:dyDescent="0.35"/>
    <row r="92450" hidden="1" x14ac:dyDescent="0.35"/>
    <row r="92451" hidden="1" x14ac:dyDescent="0.35"/>
    <row r="92452" hidden="1" x14ac:dyDescent="0.35"/>
    <row r="92453" hidden="1" x14ac:dyDescent="0.35"/>
    <row r="92454" hidden="1" x14ac:dyDescent="0.35"/>
    <row r="92455" hidden="1" x14ac:dyDescent="0.35"/>
    <row r="92456" hidden="1" x14ac:dyDescent="0.35"/>
    <row r="92457" hidden="1" x14ac:dyDescent="0.35"/>
    <row r="92458" hidden="1" x14ac:dyDescent="0.35"/>
    <row r="92459" hidden="1" x14ac:dyDescent="0.35"/>
    <row r="92460" hidden="1" x14ac:dyDescent="0.35"/>
    <row r="92461" hidden="1" x14ac:dyDescent="0.35"/>
    <row r="92462" hidden="1" x14ac:dyDescent="0.35"/>
    <row r="92463" hidden="1" x14ac:dyDescent="0.35"/>
    <row r="92464" hidden="1" x14ac:dyDescent="0.35"/>
    <row r="92465" hidden="1" x14ac:dyDescent="0.35"/>
    <row r="92466" hidden="1" x14ac:dyDescent="0.35"/>
    <row r="92467" hidden="1" x14ac:dyDescent="0.35"/>
    <row r="92468" hidden="1" x14ac:dyDescent="0.35"/>
    <row r="92469" hidden="1" x14ac:dyDescent="0.35"/>
    <row r="92470" hidden="1" x14ac:dyDescent="0.35"/>
    <row r="92471" hidden="1" x14ac:dyDescent="0.35"/>
    <row r="92472" hidden="1" x14ac:dyDescent="0.35"/>
    <row r="92473" hidden="1" x14ac:dyDescent="0.35"/>
    <row r="92474" hidden="1" x14ac:dyDescent="0.35"/>
    <row r="92475" hidden="1" x14ac:dyDescent="0.35"/>
    <row r="92476" hidden="1" x14ac:dyDescent="0.35"/>
    <row r="92477" hidden="1" x14ac:dyDescent="0.35"/>
    <row r="92478" hidden="1" x14ac:dyDescent="0.35"/>
    <row r="92479" hidden="1" x14ac:dyDescent="0.35"/>
    <row r="92480" hidden="1" x14ac:dyDescent="0.35"/>
    <row r="92481" hidden="1" x14ac:dyDescent="0.35"/>
    <row r="92482" hidden="1" x14ac:dyDescent="0.35"/>
    <row r="92483" hidden="1" x14ac:dyDescent="0.35"/>
    <row r="92484" hidden="1" x14ac:dyDescent="0.35"/>
    <row r="92485" hidden="1" x14ac:dyDescent="0.35"/>
    <row r="92486" hidden="1" x14ac:dyDescent="0.35"/>
    <row r="92487" hidden="1" x14ac:dyDescent="0.35"/>
    <row r="92488" hidden="1" x14ac:dyDescent="0.35"/>
    <row r="92489" hidden="1" x14ac:dyDescent="0.35"/>
    <row r="92490" hidden="1" x14ac:dyDescent="0.35"/>
    <row r="92491" hidden="1" x14ac:dyDescent="0.35"/>
    <row r="92492" hidden="1" x14ac:dyDescent="0.35"/>
    <row r="92493" hidden="1" x14ac:dyDescent="0.35"/>
    <row r="92494" hidden="1" x14ac:dyDescent="0.35"/>
    <row r="92495" hidden="1" x14ac:dyDescent="0.35"/>
    <row r="92496" hidden="1" x14ac:dyDescent="0.35"/>
    <row r="92497" hidden="1" x14ac:dyDescent="0.35"/>
    <row r="92498" hidden="1" x14ac:dyDescent="0.35"/>
    <row r="92499" hidden="1" x14ac:dyDescent="0.35"/>
    <row r="92500" hidden="1" x14ac:dyDescent="0.35"/>
    <row r="92501" hidden="1" x14ac:dyDescent="0.35"/>
    <row r="92502" hidden="1" x14ac:dyDescent="0.35"/>
    <row r="92503" hidden="1" x14ac:dyDescent="0.35"/>
    <row r="92504" hidden="1" x14ac:dyDescent="0.35"/>
    <row r="92505" hidden="1" x14ac:dyDescent="0.35"/>
    <row r="92506" hidden="1" x14ac:dyDescent="0.35"/>
    <row r="92507" hidden="1" x14ac:dyDescent="0.35"/>
    <row r="92508" hidden="1" x14ac:dyDescent="0.35"/>
    <row r="92509" hidden="1" x14ac:dyDescent="0.35"/>
    <row r="92510" hidden="1" x14ac:dyDescent="0.35"/>
    <row r="92511" hidden="1" x14ac:dyDescent="0.35"/>
    <row r="92512" hidden="1" x14ac:dyDescent="0.35"/>
    <row r="92513" hidden="1" x14ac:dyDescent="0.35"/>
    <row r="92514" hidden="1" x14ac:dyDescent="0.35"/>
    <row r="92515" hidden="1" x14ac:dyDescent="0.35"/>
    <row r="92516" hidden="1" x14ac:dyDescent="0.35"/>
    <row r="92517" hidden="1" x14ac:dyDescent="0.35"/>
    <row r="92518" hidden="1" x14ac:dyDescent="0.35"/>
    <row r="92519" hidden="1" x14ac:dyDescent="0.35"/>
    <row r="92520" hidden="1" x14ac:dyDescent="0.35"/>
    <row r="92521" hidden="1" x14ac:dyDescent="0.35"/>
    <row r="92522" hidden="1" x14ac:dyDescent="0.35"/>
    <row r="92523" hidden="1" x14ac:dyDescent="0.35"/>
    <row r="92524" hidden="1" x14ac:dyDescent="0.35"/>
    <row r="92525" hidden="1" x14ac:dyDescent="0.35"/>
    <row r="92526" hidden="1" x14ac:dyDescent="0.35"/>
    <row r="92527" hidden="1" x14ac:dyDescent="0.35"/>
    <row r="92528" hidden="1" x14ac:dyDescent="0.35"/>
    <row r="92529" hidden="1" x14ac:dyDescent="0.35"/>
    <row r="92530" hidden="1" x14ac:dyDescent="0.35"/>
    <row r="92531" hidden="1" x14ac:dyDescent="0.35"/>
    <row r="92532" hidden="1" x14ac:dyDescent="0.35"/>
    <row r="92533" hidden="1" x14ac:dyDescent="0.35"/>
    <row r="92534" hidden="1" x14ac:dyDescent="0.35"/>
    <row r="92535" hidden="1" x14ac:dyDescent="0.35"/>
    <row r="92536" hidden="1" x14ac:dyDescent="0.35"/>
    <row r="92537" hidden="1" x14ac:dyDescent="0.35"/>
    <row r="92538" hidden="1" x14ac:dyDescent="0.35"/>
    <row r="92539" hidden="1" x14ac:dyDescent="0.35"/>
    <row r="92540" hidden="1" x14ac:dyDescent="0.35"/>
    <row r="92541" hidden="1" x14ac:dyDescent="0.35"/>
    <row r="92542" hidden="1" x14ac:dyDescent="0.35"/>
    <row r="92543" hidden="1" x14ac:dyDescent="0.35"/>
    <row r="92544" hidden="1" x14ac:dyDescent="0.35"/>
    <row r="92545" hidden="1" x14ac:dyDescent="0.35"/>
    <row r="92546" hidden="1" x14ac:dyDescent="0.35"/>
    <row r="92547" hidden="1" x14ac:dyDescent="0.35"/>
    <row r="92548" hidden="1" x14ac:dyDescent="0.35"/>
    <row r="92549" hidden="1" x14ac:dyDescent="0.35"/>
    <row r="92550" hidden="1" x14ac:dyDescent="0.35"/>
    <row r="92551" hidden="1" x14ac:dyDescent="0.35"/>
    <row r="92552" hidden="1" x14ac:dyDescent="0.35"/>
    <row r="92553" hidden="1" x14ac:dyDescent="0.35"/>
    <row r="92554" hidden="1" x14ac:dyDescent="0.35"/>
    <row r="92555" hidden="1" x14ac:dyDescent="0.35"/>
    <row r="92556" hidden="1" x14ac:dyDescent="0.35"/>
    <row r="92557" hidden="1" x14ac:dyDescent="0.35"/>
    <row r="92558" hidden="1" x14ac:dyDescent="0.35"/>
    <row r="92559" hidden="1" x14ac:dyDescent="0.35"/>
    <row r="92560" hidden="1" x14ac:dyDescent="0.35"/>
    <row r="92561" hidden="1" x14ac:dyDescent="0.35"/>
    <row r="92562" hidden="1" x14ac:dyDescent="0.35"/>
    <row r="92563" hidden="1" x14ac:dyDescent="0.35"/>
    <row r="92564" hidden="1" x14ac:dyDescent="0.35"/>
    <row r="92565" hidden="1" x14ac:dyDescent="0.35"/>
    <row r="92566" hidden="1" x14ac:dyDescent="0.35"/>
    <row r="92567" hidden="1" x14ac:dyDescent="0.35"/>
    <row r="92568" hidden="1" x14ac:dyDescent="0.35"/>
    <row r="92569" hidden="1" x14ac:dyDescent="0.35"/>
    <row r="92570" hidden="1" x14ac:dyDescent="0.35"/>
    <row r="92571" hidden="1" x14ac:dyDescent="0.35"/>
    <row r="92572" hidden="1" x14ac:dyDescent="0.35"/>
    <row r="92573" hidden="1" x14ac:dyDescent="0.35"/>
    <row r="92574" hidden="1" x14ac:dyDescent="0.35"/>
    <row r="92575" hidden="1" x14ac:dyDescent="0.35"/>
    <row r="92576" hidden="1" x14ac:dyDescent="0.35"/>
    <row r="92577" hidden="1" x14ac:dyDescent="0.35"/>
    <row r="92578" hidden="1" x14ac:dyDescent="0.35"/>
    <row r="92579" hidden="1" x14ac:dyDescent="0.35"/>
    <row r="92580" hidden="1" x14ac:dyDescent="0.35"/>
    <row r="92581" hidden="1" x14ac:dyDescent="0.35"/>
    <row r="92582" hidden="1" x14ac:dyDescent="0.35"/>
    <row r="92583" hidden="1" x14ac:dyDescent="0.35"/>
    <row r="92584" hidden="1" x14ac:dyDescent="0.35"/>
    <row r="92585" hidden="1" x14ac:dyDescent="0.35"/>
    <row r="92586" hidden="1" x14ac:dyDescent="0.35"/>
    <row r="92587" hidden="1" x14ac:dyDescent="0.35"/>
    <row r="92588" hidden="1" x14ac:dyDescent="0.35"/>
    <row r="92589" hidden="1" x14ac:dyDescent="0.35"/>
    <row r="92590" hidden="1" x14ac:dyDescent="0.35"/>
    <row r="92591" hidden="1" x14ac:dyDescent="0.35"/>
    <row r="92592" hidden="1" x14ac:dyDescent="0.35"/>
    <row r="92593" hidden="1" x14ac:dyDescent="0.35"/>
    <row r="92594" hidden="1" x14ac:dyDescent="0.35"/>
    <row r="92595" hidden="1" x14ac:dyDescent="0.35"/>
    <row r="92596" hidden="1" x14ac:dyDescent="0.35"/>
    <row r="92597" hidden="1" x14ac:dyDescent="0.35"/>
    <row r="92598" hidden="1" x14ac:dyDescent="0.35"/>
    <row r="92599" hidden="1" x14ac:dyDescent="0.35"/>
    <row r="92600" hidden="1" x14ac:dyDescent="0.35"/>
    <row r="92601" hidden="1" x14ac:dyDescent="0.35"/>
    <row r="92602" hidden="1" x14ac:dyDescent="0.35"/>
    <row r="92603" hidden="1" x14ac:dyDescent="0.35"/>
    <row r="92604" hidden="1" x14ac:dyDescent="0.35"/>
    <row r="92605" hidden="1" x14ac:dyDescent="0.35"/>
    <row r="92606" hidden="1" x14ac:dyDescent="0.35"/>
    <row r="92607" hidden="1" x14ac:dyDescent="0.35"/>
    <row r="92608" hidden="1" x14ac:dyDescent="0.35"/>
    <row r="92609" hidden="1" x14ac:dyDescent="0.35"/>
    <row r="92610" hidden="1" x14ac:dyDescent="0.35"/>
    <row r="92611" hidden="1" x14ac:dyDescent="0.35"/>
    <row r="92612" hidden="1" x14ac:dyDescent="0.35"/>
    <row r="92613" hidden="1" x14ac:dyDescent="0.35"/>
    <row r="92614" hidden="1" x14ac:dyDescent="0.35"/>
    <row r="92615" hidden="1" x14ac:dyDescent="0.35"/>
    <row r="92616" hidden="1" x14ac:dyDescent="0.35"/>
    <row r="92617" hidden="1" x14ac:dyDescent="0.35"/>
    <row r="92618" hidden="1" x14ac:dyDescent="0.35"/>
    <row r="92619" hidden="1" x14ac:dyDescent="0.35"/>
    <row r="92620" hidden="1" x14ac:dyDescent="0.35"/>
    <row r="92621" hidden="1" x14ac:dyDescent="0.35"/>
    <row r="92622" hidden="1" x14ac:dyDescent="0.35"/>
    <row r="92623" hidden="1" x14ac:dyDescent="0.35"/>
    <row r="92624" hidden="1" x14ac:dyDescent="0.35"/>
    <row r="92625" hidden="1" x14ac:dyDescent="0.35"/>
    <row r="92626" hidden="1" x14ac:dyDescent="0.35"/>
    <row r="92627" hidden="1" x14ac:dyDescent="0.35"/>
    <row r="92628" hidden="1" x14ac:dyDescent="0.35"/>
    <row r="92629" hidden="1" x14ac:dyDescent="0.35"/>
    <row r="92630" hidden="1" x14ac:dyDescent="0.35"/>
    <row r="92631" hidden="1" x14ac:dyDescent="0.35"/>
    <row r="92632" hidden="1" x14ac:dyDescent="0.35"/>
    <row r="92633" hidden="1" x14ac:dyDescent="0.35"/>
    <row r="92634" hidden="1" x14ac:dyDescent="0.35"/>
    <row r="92635" hidden="1" x14ac:dyDescent="0.35"/>
    <row r="92636" hidden="1" x14ac:dyDescent="0.35"/>
    <row r="92637" hidden="1" x14ac:dyDescent="0.35"/>
    <row r="92638" hidden="1" x14ac:dyDescent="0.35"/>
    <row r="92639" hidden="1" x14ac:dyDescent="0.35"/>
    <row r="92640" hidden="1" x14ac:dyDescent="0.35"/>
    <row r="92641" hidden="1" x14ac:dyDescent="0.35"/>
    <row r="92642" hidden="1" x14ac:dyDescent="0.35"/>
    <row r="92643" hidden="1" x14ac:dyDescent="0.35"/>
    <row r="92644" hidden="1" x14ac:dyDescent="0.35"/>
    <row r="92645" hidden="1" x14ac:dyDescent="0.35"/>
    <row r="92646" hidden="1" x14ac:dyDescent="0.35"/>
    <row r="92647" hidden="1" x14ac:dyDescent="0.35"/>
    <row r="92648" hidden="1" x14ac:dyDescent="0.35"/>
    <row r="92649" hidden="1" x14ac:dyDescent="0.35"/>
    <row r="92650" hidden="1" x14ac:dyDescent="0.35"/>
    <row r="92651" hidden="1" x14ac:dyDescent="0.35"/>
    <row r="92652" hidden="1" x14ac:dyDescent="0.35"/>
    <row r="92653" hidden="1" x14ac:dyDescent="0.35"/>
    <row r="92654" hidden="1" x14ac:dyDescent="0.35"/>
    <row r="92655" hidden="1" x14ac:dyDescent="0.35"/>
    <row r="92656" hidden="1" x14ac:dyDescent="0.35"/>
    <row r="92657" hidden="1" x14ac:dyDescent="0.35"/>
    <row r="92658" hidden="1" x14ac:dyDescent="0.35"/>
    <row r="92659" hidden="1" x14ac:dyDescent="0.35"/>
    <row r="92660" hidden="1" x14ac:dyDescent="0.35"/>
    <row r="92661" hidden="1" x14ac:dyDescent="0.35"/>
    <row r="92662" hidden="1" x14ac:dyDescent="0.35"/>
    <row r="92663" hidden="1" x14ac:dyDescent="0.35"/>
    <row r="92664" hidden="1" x14ac:dyDescent="0.35"/>
    <row r="92665" hidden="1" x14ac:dyDescent="0.35"/>
    <row r="92666" hidden="1" x14ac:dyDescent="0.35"/>
    <row r="92667" hidden="1" x14ac:dyDescent="0.35"/>
    <row r="92668" hidden="1" x14ac:dyDescent="0.35"/>
    <row r="92669" hidden="1" x14ac:dyDescent="0.35"/>
    <row r="92670" hidden="1" x14ac:dyDescent="0.35"/>
    <row r="92671" hidden="1" x14ac:dyDescent="0.35"/>
    <row r="92672" hidden="1" x14ac:dyDescent="0.35"/>
    <row r="92673" hidden="1" x14ac:dyDescent="0.35"/>
    <row r="92674" hidden="1" x14ac:dyDescent="0.35"/>
    <row r="92675" hidden="1" x14ac:dyDescent="0.35"/>
    <row r="92676" hidden="1" x14ac:dyDescent="0.35"/>
    <row r="92677" hidden="1" x14ac:dyDescent="0.35"/>
    <row r="92678" hidden="1" x14ac:dyDescent="0.35"/>
    <row r="92679" hidden="1" x14ac:dyDescent="0.35"/>
    <row r="92680" hidden="1" x14ac:dyDescent="0.35"/>
    <row r="92681" hidden="1" x14ac:dyDescent="0.35"/>
    <row r="92682" hidden="1" x14ac:dyDescent="0.35"/>
    <row r="92683" hidden="1" x14ac:dyDescent="0.35"/>
    <row r="92684" hidden="1" x14ac:dyDescent="0.35"/>
    <row r="92685" hidden="1" x14ac:dyDescent="0.35"/>
    <row r="92686" hidden="1" x14ac:dyDescent="0.35"/>
    <row r="92687" hidden="1" x14ac:dyDescent="0.35"/>
    <row r="92688" hidden="1" x14ac:dyDescent="0.35"/>
    <row r="92689" hidden="1" x14ac:dyDescent="0.35"/>
    <row r="92690" hidden="1" x14ac:dyDescent="0.35"/>
    <row r="92691" hidden="1" x14ac:dyDescent="0.35"/>
    <row r="92692" hidden="1" x14ac:dyDescent="0.35"/>
    <row r="92693" hidden="1" x14ac:dyDescent="0.35"/>
    <row r="92694" hidden="1" x14ac:dyDescent="0.35"/>
    <row r="92695" hidden="1" x14ac:dyDescent="0.35"/>
    <row r="92696" hidden="1" x14ac:dyDescent="0.35"/>
    <row r="92697" hidden="1" x14ac:dyDescent="0.35"/>
    <row r="92698" hidden="1" x14ac:dyDescent="0.35"/>
    <row r="92699" hidden="1" x14ac:dyDescent="0.35"/>
    <row r="92700" hidden="1" x14ac:dyDescent="0.35"/>
    <row r="92701" hidden="1" x14ac:dyDescent="0.35"/>
    <row r="92702" hidden="1" x14ac:dyDescent="0.35"/>
    <row r="92703" hidden="1" x14ac:dyDescent="0.35"/>
    <row r="92704" hidden="1" x14ac:dyDescent="0.35"/>
    <row r="92705" hidden="1" x14ac:dyDescent="0.35"/>
    <row r="92706" hidden="1" x14ac:dyDescent="0.35"/>
    <row r="92707" hidden="1" x14ac:dyDescent="0.35"/>
    <row r="92708" hidden="1" x14ac:dyDescent="0.35"/>
    <row r="92709" hidden="1" x14ac:dyDescent="0.35"/>
    <row r="92710" hidden="1" x14ac:dyDescent="0.35"/>
    <row r="92711" hidden="1" x14ac:dyDescent="0.35"/>
    <row r="92712" hidden="1" x14ac:dyDescent="0.35"/>
    <row r="92713" hidden="1" x14ac:dyDescent="0.35"/>
    <row r="92714" hidden="1" x14ac:dyDescent="0.35"/>
    <row r="92715" hidden="1" x14ac:dyDescent="0.35"/>
    <row r="92716" hidden="1" x14ac:dyDescent="0.35"/>
    <row r="92717" hidden="1" x14ac:dyDescent="0.35"/>
    <row r="92718" hidden="1" x14ac:dyDescent="0.35"/>
    <row r="92719" hidden="1" x14ac:dyDescent="0.35"/>
    <row r="92720" hidden="1" x14ac:dyDescent="0.35"/>
    <row r="92721" hidden="1" x14ac:dyDescent="0.35"/>
    <row r="92722" hidden="1" x14ac:dyDescent="0.35"/>
    <row r="92723" hidden="1" x14ac:dyDescent="0.35"/>
    <row r="92724" hidden="1" x14ac:dyDescent="0.35"/>
    <row r="92725" hidden="1" x14ac:dyDescent="0.35"/>
    <row r="92726" hidden="1" x14ac:dyDescent="0.35"/>
    <row r="92727" hidden="1" x14ac:dyDescent="0.35"/>
    <row r="92728" hidden="1" x14ac:dyDescent="0.35"/>
    <row r="92729" hidden="1" x14ac:dyDescent="0.35"/>
    <row r="92730" hidden="1" x14ac:dyDescent="0.35"/>
    <row r="92731" hidden="1" x14ac:dyDescent="0.35"/>
    <row r="92732" hidden="1" x14ac:dyDescent="0.35"/>
    <row r="92733" hidden="1" x14ac:dyDescent="0.35"/>
    <row r="92734" hidden="1" x14ac:dyDescent="0.35"/>
    <row r="92735" hidden="1" x14ac:dyDescent="0.35"/>
    <row r="92736" hidden="1" x14ac:dyDescent="0.35"/>
    <row r="92737" hidden="1" x14ac:dyDescent="0.35"/>
    <row r="92738" hidden="1" x14ac:dyDescent="0.35"/>
    <row r="92739" hidden="1" x14ac:dyDescent="0.35"/>
    <row r="92740" hidden="1" x14ac:dyDescent="0.35"/>
    <row r="92741" hidden="1" x14ac:dyDescent="0.35"/>
    <row r="92742" hidden="1" x14ac:dyDescent="0.35"/>
    <row r="92743" hidden="1" x14ac:dyDescent="0.35"/>
    <row r="92744" hidden="1" x14ac:dyDescent="0.35"/>
    <row r="92745" hidden="1" x14ac:dyDescent="0.35"/>
    <row r="92746" hidden="1" x14ac:dyDescent="0.35"/>
    <row r="92747" hidden="1" x14ac:dyDescent="0.35"/>
    <row r="92748" hidden="1" x14ac:dyDescent="0.35"/>
    <row r="92749" hidden="1" x14ac:dyDescent="0.35"/>
    <row r="92750" hidden="1" x14ac:dyDescent="0.35"/>
    <row r="92751" hidden="1" x14ac:dyDescent="0.35"/>
    <row r="92752" hidden="1" x14ac:dyDescent="0.35"/>
    <row r="92753" hidden="1" x14ac:dyDescent="0.35"/>
    <row r="92754" hidden="1" x14ac:dyDescent="0.35"/>
    <row r="92755" hidden="1" x14ac:dyDescent="0.35"/>
    <row r="92756" hidden="1" x14ac:dyDescent="0.35"/>
    <row r="92757" hidden="1" x14ac:dyDescent="0.35"/>
    <row r="92758" hidden="1" x14ac:dyDescent="0.35"/>
    <row r="92759" hidden="1" x14ac:dyDescent="0.35"/>
    <row r="92760" hidden="1" x14ac:dyDescent="0.35"/>
    <row r="92761" hidden="1" x14ac:dyDescent="0.35"/>
    <row r="92762" hidden="1" x14ac:dyDescent="0.35"/>
    <row r="92763" hidden="1" x14ac:dyDescent="0.35"/>
    <row r="92764" hidden="1" x14ac:dyDescent="0.35"/>
    <row r="92765" hidden="1" x14ac:dyDescent="0.35"/>
    <row r="92766" hidden="1" x14ac:dyDescent="0.35"/>
    <row r="92767" hidden="1" x14ac:dyDescent="0.35"/>
    <row r="92768" hidden="1" x14ac:dyDescent="0.35"/>
    <row r="92769" hidden="1" x14ac:dyDescent="0.35"/>
    <row r="92770" hidden="1" x14ac:dyDescent="0.35"/>
    <row r="92771" hidden="1" x14ac:dyDescent="0.35"/>
    <row r="92772" hidden="1" x14ac:dyDescent="0.35"/>
    <row r="92773" hidden="1" x14ac:dyDescent="0.35"/>
    <row r="92774" hidden="1" x14ac:dyDescent="0.35"/>
    <row r="92775" hidden="1" x14ac:dyDescent="0.35"/>
    <row r="92776" hidden="1" x14ac:dyDescent="0.35"/>
    <row r="92777" hidden="1" x14ac:dyDescent="0.35"/>
    <row r="92778" hidden="1" x14ac:dyDescent="0.35"/>
    <row r="92779" hidden="1" x14ac:dyDescent="0.35"/>
    <row r="92780" hidden="1" x14ac:dyDescent="0.35"/>
    <row r="92781" hidden="1" x14ac:dyDescent="0.35"/>
    <row r="92782" hidden="1" x14ac:dyDescent="0.35"/>
    <row r="92783" hidden="1" x14ac:dyDescent="0.35"/>
    <row r="92784" hidden="1" x14ac:dyDescent="0.35"/>
    <row r="92785" hidden="1" x14ac:dyDescent="0.35"/>
    <row r="92786" hidden="1" x14ac:dyDescent="0.35"/>
    <row r="92787" hidden="1" x14ac:dyDescent="0.35"/>
    <row r="92788" hidden="1" x14ac:dyDescent="0.35"/>
    <row r="92789" hidden="1" x14ac:dyDescent="0.35"/>
    <row r="92790" hidden="1" x14ac:dyDescent="0.35"/>
    <row r="92791" hidden="1" x14ac:dyDescent="0.35"/>
    <row r="92792" hidden="1" x14ac:dyDescent="0.35"/>
    <row r="92793" hidden="1" x14ac:dyDescent="0.35"/>
    <row r="92794" hidden="1" x14ac:dyDescent="0.35"/>
    <row r="92795" hidden="1" x14ac:dyDescent="0.35"/>
    <row r="92796" hidden="1" x14ac:dyDescent="0.35"/>
    <row r="92797" hidden="1" x14ac:dyDescent="0.35"/>
    <row r="92798" hidden="1" x14ac:dyDescent="0.35"/>
    <row r="92799" hidden="1" x14ac:dyDescent="0.35"/>
    <row r="92800" hidden="1" x14ac:dyDescent="0.35"/>
    <row r="92801" hidden="1" x14ac:dyDescent="0.35"/>
    <row r="92802" hidden="1" x14ac:dyDescent="0.35"/>
    <row r="92803" hidden="1" x14ac:dyDescent="0.35"/>
    <row r="92804" hidden="1" x14ac:dyDescent="0.35"/>
    <row r="92805" hidden="1" x14ac:dyDescent="0.35"/>
    <row r="92806" hidden="1" x14ac:dyDescent="0.35"/>
    <row r="92807" hidden="1" x14ac:dyDescent="0.35"/>
    <row r="92808" hidden="1" x14ac:dyDescent="0.35"/>
    <row r="92809" hidden="1" x14ac:dyDescent="0.35"/>
    <row r="92810" hidden="1" x14ac:dyDescent="0.35"/>
    <row r="92811" hidden="1" x14ac:dyDescent="0.35"/>
    <row r="92812" hidden="1" x14ac:dyDescent="0.35"/>
    <row r="92813" hidden="1" x14ac:dyDescent="0.35"/>
    <row r="92814" hidden="1" x14ac:dyDescent="0.35"/>
    <row r="92815" hidden="1" x14ac:dyDescent="0.35"/>
    <row r="92816" hidden="1" x14ac:dyDescent="0.35"/>
    <row r="92817" hidden="1" x14ac:dyDescent="0.35"/>
    <row r="92818" hidden="1" x14ac:dyDescent="0.35"/>
    <row r="92819" hidden="1" x14ac:dyDescent="0.35"/>
    <row r="92820" hidden="1" x14ac:dyDescent="0.35"/>
    <row r="92821" hidden="1" x14ac:dyDescent="0.35"/>
    <row r="92822" hidden="1" x14ac:dyDescent="0.35"/>
    <row r="92823" hidden="1" x14ac:dyDescent="0.35"/>
    <row r="92824" hidden="1" x14ac:dyDescent="0.35"/>
    <row r="92825" hidden="1" x14ac:dyDescent="0.35"/>
    <row r="92826" hidden="1" x14ac:dyDescent="0.35"/>
    <row r="92827" hidden="1" x14ac:dyDescent="0.35"/>
    <row r="92828" hidden="1" x14ac:dyDescent="0.35"/>
    <row r="92829" hidden="1" x14ac:dyDescent="0.35"/>
    <row r="92830" hidden="1" x14ac:dyDescent="0.35"/>
    <row r="92831" hidden="1" x14ac:dyDescent="0.35"/>
    <row r="92832" hidden="1" x14ac:dyDescent="0.35"/>
    <row r="92833" hidden="1" x14ac:dyDescent="0.35"/>
    <row r="92834" hidden="1" x14ac:dyDescent="0.35"/>
    <row r="92835" hidden="1" x14ac:dyDescent="0.35"/>
    <row r="92836" hidden="1" x14ac:dyDescent="0.35"/>
    <row r="92837" hidden="1" x14ac:dyDescent="0.35"/>
    <row r="92838" hidden="1" x14ac:dyDescent="0.35"/>
    <row r="92839" hidden="1" x14ac:dyDescent="0.35"/>
    <row r="92840" hidden="1" x14ac:dyDescent="0.35"/>
    <row r="92841" hidden="1" x14ac:dyDescent="0.35"/>
    <row r="92842" hidden="1" x14ac:dyDescent="0.35"/>
    <row r="92843" hidden="1" x14ac:dyDescent="0.35"/>
    <row r="92844" hidden="1" x14ac:dyDescent="0.35"/>
    <row r="92845" hidden="1" x14ac:dyDescent="0.35"/>
    <row r="92846" hidden="1" x14ac:dyDescent="0.35"/>
    <row r="92847" hidden="1" x14ac:dyDescent="0.35"/>
    <row r="92848" hidden="1" x14ac:dyDescent="0.35"/>
    <row r="92849" hidden="1" x14ac:dyDescent="0.35"/>
    <row r="92850" hidden="1" x14ac:dyDescent="0.35"/>
    <row r="92851" hidden="1" x14ac:dyDescent="0.35"/>
    <row r="92852" hidden="1" x14ac:dyDescent="0.35"/>
    <row r="92853" hidden="1" x14ac:dyDescent="0.35"/>
    <row r="92854" hidden="1" x14ac:dyDescent="0.35"/>
    <row r="92855" hidden="1" x14ac:dyDescent="0.35"/>
    <row r="92856" hidden="1" x14ac:dyDescent="0.35"/>
    <row r="92857" hidden="1" x14ac:dyDescent="0.35"/>
    <row r="92858" hidden="1" x14ac:dyDescent="0.35"/>
    <row r="92859" hidden="1" x14ac:dyDescent="0.35"/>
    <row r="92860" hidden="1" x14ac:dyDescent="0.35"/>
    <row r="92861" hidden="1" x14ac:dyDescent="0.35"/>
    <row r="92862" hidden="1" x14ac:dyDescent="0.35"/>
    <row r="92863" hidden="1" x14ac:dyDescent="0.35"/>
    <row r="92864" hidden="1" x14ac:dyDescent="0.35"/>
    <row r="92865" hidden="1" x14ac:dyDescent="0.35"/>
    <row r="92866" hidden="1" x14ac:dyDescent="0.35"/>
    <row r="92867" hidden="1" x14ac:dyDescent="0.35"/>
    <row r="92868" hidden="1" x14ac:dyDescent="0.35"/>
    <row r="92869" hidden="1" x14ac:dyDescent="0.35"/>
    <row r="92870" hidden="1" x14ac:dyDescent="0.35"/>
    <row r="92871" hidden="1" x14ac:dyDescent="0.35"/>
    <row r="92872" hidden="1" x14ac:dyDescent="0.35"/>
    <row r="92873" hidden="1" x14ac:dyDescent="0.35"/>
    <row r="92874" hidden="1" x14ac:dyDescent="0.35"/>
    <row r="92875" hidden="1" x14ac:dyDescent="0.35"/>
    <row r="92876" hidden="1" x14ac:dyDescent="0.35"/>
    <row r="92877" hidden="1" x14ac:dyDescent="0.35"/>
    <row r="92878" hidden="1" x14ac:dyDescent="0.35"/>
    <row r="92879" hidden="1" x14ac:dyDescent="0.35"/>
    <row r="92880" hidden="1" x14ac:dyDescent="0.35"/>
    <row r="92881" hidden="1" x14ac:dyDescent="0.35"/>
    <row r="92882" hidden="1" x14ac:dyDescent="0.35"/>
    <row r="92883" hidden="1" x14ac:dyDescent="0.35"/>
    <row r="92884" hidden="1" x14ac:dyDescent="0.35"/>
    <row r="92885" hidden="1" x14ac:dyDescent="0.35"/>
    <row r="92886" hidden="1" x14ac:dyDescent="0.35"/>
    <row r="92887" hidden="1" x14ac:dyDescent="0.35"/>
    <row r="92888" hidden="1" x14ac:dyDescent="0.35"/>
    <row r="92889" hidden="1" x14ac:dyDescent="0.35"/>
    <row r="92890" hidden="1" x14ac:dyDescent="0.35"/>
    <row r="92891" hidden="1" x14ac:dyDescent="0.35"/>
    <row r="92892" hidden="1" x14ac:dyDescent="0.35"/>
    <row r="92893" hidden="1" x14ac:dyDescent="0.35"/>
    <row r="92894" hidden="1" x14ac:dyDescent="0.35"/>
    <row r="92895" hidden="1" x14ac:dyDescent="0.35"/>
    <row r="92896" hidden="1" x14ac:dyDescent="0.35"/>
    <row r="92897" hidden="1" x14ac:dyDescent="0.35"/>
    <row r="92898" hidden="1" x14ac:dyDescent="0.35"/>
    <row r="92899" hidden="1" x14ac:dyDescent="0.35"/>
    <row r="92900" hidden="1" x14ac:dyDescent="0.35"/>
    <row r="92901" hidden="1" x14ac:dyDescent="0.35"/>
    <row r="92902" hidden="1" x14ac:dyDescent="0.35"/>
    <row r="92903" hidden="1" x14ac:dyDescent="0.35"/>
    <row r="92904" hidden="1" x14ac:dyDescent="0.35"/>
    <row r="92905" hidden="1" x14ac:dyDescent="0.35"/>
    <row r="92906" hidden="1" x14ac:dyDescent="0.35"/>
    <row r="92907" hidden="1" x14ac:dyDescent="0.35"/>
    <row r="92908" hidden="1" x14ac:dyDescent="0.35"/>
    <row r="92909" hidden="1" x14ac:dyDescent="0.35"/>
    <row r="92910" hidden="1" x14ac:dyDescent="0.35"/>
    <row r="92911" hidden="1" x14ac:dyDescent="0.35"/>
    <row r="92912" hidden="1" x14ac:dyDescent="0.35"/>
    <row r="92913" hidden="1" x14ac:dyDescent="0.35"/>
    <row r="92914" hidden="1" x14ac:dyDescent="0.35"/>
    <row r="92915" hidden="1" x14ac:dyDescent="0.35"/>
    <row r="92916" hidden="1" x14ac:dyDescent="0.35"/>
    <row r="92917" hidden="1" x14ac:dyDescent="0.35"/>
    <row r="92918" hidden="1" x14ac:dyDescent="0.35"/>
    <row r="92919" hidden="1" x14ac:dyDescent="0.35"/>
    <row r="92920" hidden="1" x14ac:dyDescent="0.35"/>
    <row r="92921" hidden="1" x14ac:dyDescent="0.35"/>
    <row r="92922" hidden="1" x14ac:dyDescent="0.35"/>
    <row r="92923" hidden="1" x14ac:dyDescent="0.35"/>
    <row r="92924" hidden="1" x14ac:dyDescent="0.35"/>
    <row r="92925" hidden="1" x14ac:dyDescent="0.35"/>
    <row r="92926" hidden="1" x14ac:dyDescent="0.35"/>
    <row r="92927" hidden="1" x14ac:dyDescent="0.35"/>
    <row r="92928" hidden="1" x14ac:dyDescent="0.35"/>
    <row r="92929" hidden="1" x14ac:dyDescent="0.35"/>
    <row r="92930" hidden="1" x14ac:dyDescent="0.35"/>
    <row r="92931" hidden="1" x14ac:dyDescent="0.35"/>
    <row r="92932" hidden="1" x14ac:dyDescent="0.35"/>
    <row r="92933" hidden="1" x14ac:dyDescent="0.35"/>
    <row r="92934" hidden="1" x14ac:dyDescent="0.35"/>
    <row r="92935" hidden="1" x14ac:dyDescent="0.35"/>
    <row r="92936" hidden="1" x14ac:dyDescent="0.35"/>
    <row r="92937" hidden="1" x14ac:dyDescent="0.35"/>
    <row r="92938" hidden="1" x14ac:dyDescent="0.35"/>
    <row r="92939" hidden="1" x14ac:dyDescent="0.35"/>
    <row r="92940" hidden="1" x14ac:dyDescent="0.35"/>
    <row r="92941" hidden="1" x14ac:dyDescent="0.35"/>
    <row r="92942" hidden="1" x14ac:dyDescent="0.35"/>
    <row r="92943" hidden="1" x14ac:dyDescent="0.35"/>
    <row r="92944" hidden="1" x14ac:dyDescent="0.35"/>
    <row r="92945" hidden="1" x14ac:dyDescent="0.35"/>
    <row r="92946" hidden="1" x14ac:dyDescent="0.35"/>
    <row r="92947" hidden="1" x14ac:dyDescent="0.35"/>
    <row r="92948" hidden="1" x14ac:dyDescent="0.35"/>
    <row r="92949" hidden="1" x14ac:dyDescent="0.35"/>
    <row r="92950" hidden="1" x14ac:dyDescent="0.35"/>
    <row r="92951" hidden="1" x14ac:dyDescent="0.35"/>
    <row r="92952" hidden="1" x14ac:dyDescent="0.35"/>
    <row r="92953" hidden="1" x14ac:dyDescent="0.35"/>
    <row r="92954" hidden="1" x14ac:dyDescent="0.35"/>
    <row r="92955" hidden="1" x14ac:dyDescent="0.35"/>
    <row r="92956" hidden="1" x14ac:dyDescent="0.35"/>
    <row r="92957" hidden="1" x14ac:dyDescent="0.35"/>
    <row r="92958" hidden="1" x14ac:dyDescent="0.35"/>
    <row r="92959" hidden="1" x14ac:dyDescent="0.35"/>
    <row r="92960" hidden="1" x14ac:dyDescent="0.35"/>
    <row r="92961" hidden="1" x14ac:dyDescent="0.35"/>
    <row r="92962" hidden="1" x14ac:dyDescent="0.35"/>
    <row r="92963" hidden="1" x14ac:dyDescent="0.35"/>
    <row r="92964" hidden="1" x14ac:dyDescent="0.35"/>
    <row r="92965" hidden="1" x14ac:dyDescent="0.35"/>
    <row r="92966" hidden="1" x14ac:dyDescent="0.35"/>
    <row r="92967" hidden="1" x14ac:dyDescent="0.35"/>
    <row r="92968" hidden="1" x14ac:dyDescent="0.35"/>
    <row r="92969" hidden="1" x14ac:dyDescent="0.35"/>
    <row r="92970" hidden="1" x14ac:dyDescent="0.35"/>
    <row r="92971" hidden="1" x14ac:dyDescent="0.35"/>
    <row r="92972" hidden="1" x14ac:dyDescent="0.35"/>
    <row r="92973" hidden="1" x14ac:dyDescent="0.35"/>
    <row r="92974" hidden="1" x14ac:dyDescent="0.35"/>
    <row r="92975" hidden="1" x14ac:dyDescent="0.35"/>
    <row r="92976" hidden="1" x14ac:dyDescent="0.35"/>
    <row r="92977" hidden="1" x14ac:dyDescent="0.35"/>
    <row r="92978" hidden="1" x14ac:dyDescent="0.35"/>
    <row r="92979" hidden="1" x14ac:dyDescent="0.35"/>
    <row r="92980" hidden="1" x14ac:dyDescent="0.35"/>
    <row r="92981" hidden="1" x14ac:dyDescent="0.35"/>
    <row r="92982" hidden="1" x14ac:dyDescent="0.35"/>
    <row r="92983" hidden="1" x14ac:dyDescent="0.35"/>
    <row r="92984" hidden="1" x14ac:dyDescent="0.35"/>
    <row r="92985" hidden="1" x14ac:dyDescent="0.35"/>
    <row r="92986" hidden="1" x14ac:dyDescent="0.35"/>
    <row r="92987" hidden="1" x14ac:dyDescent="0.35"/>
    <row r="92988" hidden="1" x14ac:dyDescent="0.35"/>
    <row r="92989" hidden="1" x14ac:dyDescent="0.35"/>
    <row r="92990" hidden="1" x14ac:dyDescent="0.35"/>
    <row r="92991" hidden="1" x14ac:dyDescent="0.35"/>
    <row r="92992" hidden="1" x14ac:dyDescent="0.35"/>
    <row r="92993" hidden="1" x14ac:dyDescent="0.35"/>
    <row r="92994" hidden="1" x14ac:dyDescent="0.35"/>
    <row r="92995" hidden="1" x14ac:dyDescent="0.35"/>
    <row r="92996" hidden="1" x14ac:dyDescent="0.35"/>
    <row r="92997" hidden="1" x14ac:dyDescent="0.35"/>
    <row r="92998" hidden="1" x14ac:dyDescent="0.35"/>
    <row r="92999" hidden="1" x14ac:dyDescent="0.35"/>
    <row r="93000" hidden="1" x14ac:dyDescent="0.35"/>
    <row r="93001" hidden="1" x14ac:dyDescent="0.35"/>
    <row r="93002" hidden="1" x14ac:dyDescent="0.35"/>
    <row r="93003" hidden="1" x14ac:dyDescent="0.35"/>
    <row r="93004" hidden="1" x14ac:dyDescent="0.35"/>
    <row r="93005" hidden="1" x14ac:dyDescent="0.35"/>
    <row r="93006" hidden="1" x14ac:dyDescent="0.35"/>
    <row r="93007" hidden="1" x14ac:dyDescent="0.35"/>
    <row r="93008" hidden="1" x14ac:dyDescent="0.35"/>
    <row r="93009" hidden="1" x14ac:dyDescent="0.35"/>
    <row r="93010" hidden="1" x14ac:dyDescent="0.35"/>
    <row r="93011" hidden="1" x14ac:dyDescent="0.35"/>
    <row r="93012" hidden="1" x14ac:dyDescent="0.35"/>
    <row r="93013" hidden="1" x14ac:dyDescent="0.35"/>
    <row r="93014" hidden="1" x14ac:dyDescent="0.35"/>
    <row r="93015" hidden="1" x14ac:dyDescent="0.35"/>
    <row r="93016" hidden="1" x14ac:dyDescent="0.35"/>
    <row r="93017" hidden="1" x14ac:dyDescent="0.35"/>
    <row r="93018" hidden="1" x14ac:dyDescent="0.35"/>
    <row r="93019" hidden="1" x14ac:dyDescent="0.35"/>
    <row r="93020" hidden="1" x14ac:dyDescent="0.35"/>
    <row r="93021" hidden="1" x14ac:dyDescent="0.35"/>
    <row r="93022" hidden="1" x14ac:dyDescent="0.35"/>
    <row r="93023" hidden="1" x14ac:dyDescent="0.35"/>
    <row r="93024" hidden="1" x14ac:dyDescent="0.35"/>
    <row r="93025" hidden="1" x14ac:dyDescent="0.35"/>
    <row r="93026" hidden="1" x14ac:dyDescent="0.35"/>
    <row r="93027" hidden="1" x14ac:dyDescent="0.35"/>
    <row r="93028" hidden="1" x14ac:dyDescent="0.35"/>
    <row r="93029" hidden="1" x14ac:dyDescent="0.35"/>
    <row r="93030" hidden="1" x14ac:dyDescent="0.35"/>
    <row r="93031" hidden="1" x14ac:dyDescent="0.35"/>
    <row r="93032" hidden="1" x14ac:dyDescent="0.35"/>
    <row r="93033" hidden="1" x14ac:dyDescent="0.35"/>
    <row r="93034" hidden="1" x14ac:dyDescent="0.35"/>
    <row r="93035" hidden="1" x14ac:dyDescent="0.35"/>
    <row r="93036" hidden="1" x14ac:dyDescent="0.35"/>
    <row r="93037" hidden="1" x14ac:dyDescent="0.35"/>
    <row r="93038" hidden="1" x14ac:dyDescent="0.35"/>
    <row r="93039" hidden="1" x14ac:dyDescent="0.35"/>
    <row r="93040" hidden="1" x14ac:dyDescent="0.35"/>
    <row r="93041" hidden="1" x14ac:dyDescent="0.35"/>
    <row r="93042" hidden="1" x14ac:dyDescent="0.35"/>
    <row r="93043" hidden="1" x14ac:dyDescent="0.35"/>
    <row r="93044" hidden="1" x14ac:dyDescent="0.35"/>
    <row r="93045" hidden="1" x14ac:dyDescent="0.35"/>
    <row r="93046" hidden="1" x14ac:dyDescent="0.35"/>
    <row r="93047" hidden="1" x14ac:dyDescent="0.35"/>
    <row r="93048" hidden="1" x14ac:dyDescent="0.35"/>
    <row r="93049" hidden="1" x14ac:dyDescent="0.35"/>
    <row r="93050" hidden="1" x14ac:dyDescent="0.35"/>
    <row r="93051" hidden="1" x14ac:dyDescent="0.35"/>
    <row r="93052" hidden="1" x14ac:dyDescent="0.35"/>
    <row r="93053" hidden="1" x14ac:dyDescent="0.35"/>
    <row r="93054" hidden="1" x14ac:dyDescent="0.35"/>
    <row r="93055" hidden="1" x14ac:dyDescent="0.35"/>
    <row r="93056" hidden="1" x14ac:dyDescent="0.35"/>
    <row r="93057" hidden="1" x14ac:dyDescent="0.35"/>
    <row r="93058" hidden="1" x14ac:dyDescent="0.35"/>
    <row r="93059" hidden="1" x14ac:dyDescent="0.35"/>
    <row r="93060" hidden="1" x14ac:dyDescent="0.35"/>
    <row r="93061" hidden="1" x14ac:dyDescent="0.35"/>
    <row r="93062" hidden="1" x14ac:dyDescent="0.35"/>
    <row r="93063" hidden="1" x14ac:dyDescent="0.35"/>
    <row r="93064" hidden="1" x14ac:dyDescent="0.35"/>
    <row r="93065" hidden="1" x14ac:dyDescent="0.35"/>
    <row r="93066" hidden="1" x14ac:dyDescent="0.35"/>
    <row r="93067" hidden="1" x14ac:dyDescent="0.35"/>
    <row r="93068" hidden="1" x14ac:dyDescent="0.35"/>
    <row r="93069" hidden="1" x14ac:dyDescent="0.35"/>
    <row r="93070" hidden="1" x14ac:dyDescent="0.35"/>
    <row r="93071" hidden="1" x14ac:dyDescent="0.35"/>
    <row r="93072" hidden="1" x14ac:dyDescent="0.35"/>
    <row r="93073" hidden="1" x14ac:dyDescent="0.35"/>
    <row r="93074" hidden="1" x14ac:dyDescent="0.35"/>
    <row r="93075" hidden="1" x14ac:dyDescent="0.35"/>
    <row r="93076" hidden="1" x14ac:dyDescent="0.35"/>
    <row r="93077" hidden="1" x14ac:dyDescent="0.35"/>
    <row r="93078" hidden="1" x14ac:dyDescent="0.35"/>
    <row r="93079" hidden="1" x14ac:dyDescent="0.35"/>
    <row r="93080" hidden="1" x14ac:dyDescent="0.35"/>
    <row r="93081" hidden="1" x14ac:dyDescent="0.35"/>
    <row r="93082" hidden="1" x14ac:dyDescent="0.35"/>
    <row r="93083" hidden="1" x14ac:dyDescent="0.35"/>
    <row r="93084" hidden="1" x14ac:dyDescent="0.35"/>
    <row r="93085" hidden="1" x14ac:dyDescent="0.35"/>
    <row r="93086" hidden="1" x14ac:dyDescent="0.35"/>
    <row r="93087" hidden="1" x14ac:dyDescent="0.35"/>
    <row r="93088" hidden="1" x14ac:dyDescent="0.35"/>
    <row r="93089" hidden="1" x14ac:dyDescent="0.35"/>
    <row r="93090" hidden="1" x14ac:dyDescent="0.35"/>
    <row r="93091" hidden="1" x14ac:dyDescent="0.35"/>
    <row r="93092" hidden="1" x14ac:dyDescent="0.35"/>
    <row r="93093" hidden="1" x14ac:dyDescent="0.35"/>
    <row r="93094" hidden="1" x14ac:dyDescent="0.35"/>
    <row r="93095" hidden="1" x14ac:dyDescent="0.35"/>
    <row r="93096" hidden="1" x14ac:dyDescent="0.35"/>
    <row r="93097" hidden="1" x14ac:dyDescent="0.35"/>
    <row r="93098" hidden="1" x14ac:dyDescent="0.35"/>
    <row r="93099" hidden="1" x14ac:dyDescent="0.35"/>
    <row r="93100" hidden="1" x14ac:dyDescent="0.35"/>
    <row r="93101" hidden="1" x14ac:dyDescent="0.35"/>
    <row r="93102" hidden="1" x14ac:dyDescent="0.35"/>
    <row r="93103" hidden="1" x14ac:dyDescent="0.35"/>
    <row r="93104" hidden="1" x14ac:dyDescent="0.35"/>
    <row r="93105" hidden="1" x14ac:dyDescent="0.35"/>
    <row r="93106" hidden="1" x14ac:dyDescent="0.35"/>
    <row r="93107" hidden="1" x14ac:dyDescent="0.35"/>
    <row r="93108" hidden="1" x14ac:dyDescent="0.35"/>
    <row r="93109" hidden="1" x14ac:dyDescent="0.35"/>
    <row r="93110" hidden="1" x14ac:dyDescent="0.35"/>
    <row r="93111" hidden="1" x14ac:dyDescent="0.35"/>
    <row r="93112" hidden="1" x14ac:dyDescent="0.35"/>
    <row r="93113" hidden="1" x14ac:dyDescent="0.35"/>
    <row r="93114" hidden="1" x14ac:dyDescent="0.35"/>
    <row r="93115" hidden="1" x14ac:dyDescent="0.35"/>
    <row r="93116" hidden="1" x14ac:dyDescent="0.35"/>
    <row r="93117" hidden="1" x14ac:dyDescent="0.35"/>
    <row r="93118" hidden="1" x14ac:dyDescent="0.35"/>
    <row r="93119" hidden="1" x14ac:dyDescent="0.35"/>
    <row r="93120" hidden="1" x14ac:dyDescent="0.35"/>
    <row r="93121" hidden="1" x14ac:dyDescent="0.35"/>
    <row r="93122" hidden="1" x14ac:dyDescent="0.35"/>
    <row r="93123" hidden="1" x14ac:dyDescent="0.35"/>
    <row r="93124" hidden="1" x14ac:dyDescent="0.35"/>
    <row r="93125" hidden="1" x14ac:dyDescent="0.35"/>
    <row r="93126" hidden="1" x14ac:dyDescent="0.35"/>
    <row r="93127" hidden="1" x14ac:dyDescent="0.35"/>
    <row r="93128" hidden="1" x14ac:dyDescent="0.35"/>
    <row r="93129" hidden="1" x14ac:dyDescent="0.35"/>
    <row r="93130" hidden="1" x14ac:dyDescent="0.35"/>
    <row r="93131" hidden="1" x14ac:dyDescent="0.35"/>
    <row r="93132" hidden="1" x14ac:dyDescent="0.35"/>
    <row r="93133" hidden="1" x14ac:dyDescent="0.35"/>
    <row r="93134" hidden="1" x14ac:dyDescent="0.35"/>
    <row r="93135" hidden="1" x14ac:dyDescent="0.35"/>
    <row r="93136" hidden="1" x14ac:dyDescent="0.35"/>
    <row r="93137" hidden="1" x14ac:dyDescent="0.35"/>
    <row r="93138" hidden="1" x14ac:dyDescent="0.35"/>
    <row r="93139" hidden="1" x14ac:dyDescent="0.35"/>
    <row r="93140" hidden="1" x14ac:dyDescent="0.35"/>
    <row r="93141" hidden="1" x14ac:dyDescent="0.35"/>
    <row r="93142" hidden="1" x14ac:dyDescent="0.35"/>
    <row r="93143" hidden="1" x14ac:dyDescent="0.35"/>
    <row r="93144" hidden="1" x14ac:dyDescent="0.35"/>
    <row r="93145" hidden="1" x14ac:dyDescent="0.35"/>
    <row r="93146" hidden="1" x14ac:dyDescent="0.35"/>
    <row r="93147" hidden="1" x14ac:dyDescent="0.35"/>
    <row r="93148" hidden="1" x14ac:dyDescent="0.35"/>
    <row r="93149" hidden="1" x14ac:dyDescent="0.35"/>
    <row r="93150" hidden="1" x14ac:dyDescent="0.35"/>
    <row r="93151" hidden="1" x14ac:dyDescent="0.35"/>
    <row r="93152" hidden="1" x14ac:dyDescent="0.35"/>
    <row r="93153" hidden="1" x14ac:dyDescent="0.35"/>
    <row r="93154" hidden="1" x14ac:dyDescent="0.35"/>
    <row r="93155" hidden="1" x14ac:dyDescent="0.35"/>
    <row r="93156" hidden="1" x14ac:dyDescent="0.35"/>
    <row r="93157" hidden="1" x14ac:dyDescent="0.35"/>
    <row r="93158" hidden="1" x14ac:dyDescent="0.35"/>
    <row r="93159" hidden="1" x14ac:dyDescent="0.35"/>
    <row r="93160" hidden="1" x14ac:dyDescent="0.35"/>
    <row r="93161" hidden="1" x14ac:dyDescent="0.35"/>
    <row r="93162" hidden="1" x14ac:dyDescent="0.35"/>
    <row r="93163" hidden="1" x14ac:dyDescent="0.35"/>
    <row r="93164" hidden="1" x14ac:dyDescent="0.35"/>
    <row r="93165" hidden="1" x14ac:dyDescent="0.35"/>
    <row r="93166" hidden="1" x14ac:dyDescent="0.35"/>
    <row r="93167" hidden="1" x14ac:dyDescent="0.35"/>
    <row r="93168" hidden="1" x14ac:dyDescent="0.35"/>
    <row r="93169" hidden="1" x14ac:dyDescent="0.35"/>
    <row r="93170" hidden="1" x14ac:dyDescent="0.35"/>
    <row r="93171" hidden="1" x14ac:dyDescent="0.35"/>
    <row r="93172" hidden="1" x14ac:dyDescent="0.35"/>
    <row r="93173" hidden="1" x14ac:dyDescent="0.35"/>
    <row r="93174" hidden="1" x14ac:dyDescent="0.35"/>
    <row r="93175" hidden="1" x14ac:dyDescent="0.35"/>
    <row r="93176" hidden="1" x14ac:dyDescent="0.35"/>
    <row r="93177" hidden="1" x14ac:dyDescent="0.35"/>
    <row r="93178" hidden="1" x14ac:dyDescent="0.35"/>
    <row r="93179" hidden="1" x14ac:dyDescent="0.35"/>
    <row r="93180" hidden="1" x14ac:dyDescent="0.35"/>
    <row r="93181" hidden="1" x14ac:dyDescent="0.35"/>
    <row r="93182" hidden="1" x14ac:dyDescent="0.35"/>
    <row r="93183" hidden="1" x14ac:dyDescent="0.35"/>
    <row r="93184" hidden="1" x14ac:dyDescent="0.35"/>
    <row r="93185" hidden="1" x14ac:dyDescent="0.35"/>
    <row r="93186" hidden="1" x14ac:dyDescent="0.35"/>
    <row r="93187" hidden="1" x14ac:dyDescent="0.35"/>
    <row r="93188" hidden="1" x14ac:dyDescent="0.35"/>
    <row r="93189" hidden="1" x14ac:dyDescent="0.35"/>
    <row r="93190" hidden="1" x14ac:dyDescent="0.35"/>
    <row r="93191" hidden="1" x14ac:dyDescent="0.35"/>
    <row r="93192" hidden="1" x14ac:dyDescent="0.35"/>
    <row r="93193" hidden="1" x14ac:dyDescent="0.35"/>
    <row r="93194" hidden="1" x14ac:dyDescent="0.35"/>
    <row r="93195" hidden="1" x14ac:dyDescent="0.35"/>
    <row r="93196" hidden="1" x14ac:dyDescent="0.35"/>
    <row r="93197" hidden="1" x14ac:dyDescent="0.35"/>
    <row r="93198" hidden="1" x14ac:dyDescent="0.35"/>
    <row r="93199" hidden="1" x14ac:dyDescent="0.35"/>
    <row r="93200" hidden="1" x14ac:dyDescent="0.35"/>
    <row r="93201" hidden="1" x14ac:dyDescent="0.35"/>
    <row r="93202" hidden="1" x14ac:dyDescent="0.35"/>
    <row r="93203" hidden="1" x14ac:dyDescent="0.35"/>
    <row r="93204" hidden="1" x14ac:dyDescent="0.35"/>
    <row r="93205" hidden="1" x14ac:dyDescent="0.35"/>
    <row r="93206" hidden="1" x14ac:dyDescent="0.35"/>
    <row r="93207" hidden="1" x14ac:dyDescent="0.35"/>
    <row r="93208" hidden="1" x14ac:dyDescent="0.35"/>
    <row r="93209" hidden="1" x14ac:dyDescent="0.35"/>
    <row r="93210" hidden="1" x14ac:dyDescent="0.35"/>
    <row r="93211" hidden="1" x14ac:dyDescent="0.35"/>
    <row r="93212" hidden="1" x14ac:dyDescent="0.35"/>
    <row r="93213" hidden="1" x14ac:dyDescent="0.35"/>
    <row r="93214" hidden="1" x14ac:dyDescent="0.35"/>
    <row r="93215" hidden="1" x14ac:dyDescent="0.35"/>
    <row r="93216" hidden="1" x14ac:dyDescent="0.35"/>
    <row r="93217" hidden="1" x14ac:dyDescent="0.35"/>
    <row r="93218" hidden="1" x14ac:dyDescent="0.35"/>
    <row r="93219" hidden="1" x14ac:dyDescent="0.35"/>
    <row r="93220" hidden="1" x14ac:dyDescent="0.35"/>
    <row r="93221" hidden="1" x14ac:dyDescent="0.35"/>
    <row r="93222" hidden="1" x14ac:dyDescent="0.35"/>
    <row r="93223" hidden="1" x14ac:dyDescent="0.35"/>
    <row r="93224" hidden="1" x14ac:dyDescent="0.35"/>
    <row r="93225" hidden="1" x14ac:dyDescent="0.35"/>
    <row r="93226" hidden="1" x14ac:dyDescent="0.35"/>
    <row r="93227" hidden="1" x14ac:dyDescent="0.35"/>
    <row r="93228" hidden="1" x14ac:dyDescent="0.35"/>
    <row r="93229" hidden="1" x14ac:dyDescent="0.35"/>
    <row r="93230" hidden="1" x14ac:dyDescent="0.35"/>
    <row r="93231" hidden="1" x14ac:dyDescent="0.35"/>
    <row r="93232" hidden="1" x14ac:dyDescent="0.35"/>
    <row r="93233" hidden="1" x14ac:dyDescent="0.35"/>
    <row r="93234" hidden="1" x14ac:dyDescent="0.35"/>
    <row r="93235" hidden="1" x14ac:dyDescent="0.35"/>
    <row r="93236" hidden="1" x14ac:dyDescent="0.35"/>
    <row r="93237" hidden="1" x14ac:dyDescent="0.35"/>
    <row r="93238" hidden="1" x14ac:dyDescent="0.35"/>
    <row r="93239" hidden="1" x14ac:dyDescent="0.35"/>
    <row r="93240" hidden="1" x14ac:dyDescent="0.35"/>
    <row r="93241" hidden="1" x14ac:dyDescent="0.35"/>
    <row r="93242" hidden="1" x14ac:dyDescent="0.35"/>
    <row r="93243" hidden="1" x14ac:dyDescent="0.35"/>
    <row r="93244" hidden="1" x14ac:dyDescent="0.35"/>
    <row r="93245" hidden="1" x14ac:dyDescent="0.35"/>
    <row r="93246" hidden="1" x14ac:dyDescent="0.35"/>
    <row r="93247" hidden="1" x14ac:dyDescent="0.35"/>
    <row r="93248" hidden="1" x14ac:dyDescent="0.35"/>
    <row r="93249" hidden="1" x14ac:dyDescent="0.35"/>
    <row r="93250" hidden="1" x14ac:dyDescent="0.35"/>
    <row r="93251" hidden="1" x14ac:dyDescent="0.35"/>
    <row r="93252" hidden="1" x14ac:dyDescent="0.35"/>
    <row r="93253" hidden="1" x14ac:dyDescent="0.35"/>
    <row r="93254" hidden="1" x14ac:dyDescent="0.35"/>
    <row r="93255" hidden="1" x14ac:dyDescent="0.35"/>
    <row r="93256" hidden="1" x14ac:dyDescent="0.35"/>
    <row r="93257" hidden="1" x14ac:dyDescent="0.35"/>
    <row r="93258" hidden="1" x14ac:dyDescent="0.35"/>
    <row r="93259" hidden="1" x14ac:dyDescent="0.35"/>
    <row r="93260" hidden="1" x14ac:dyDescent="0.35"/>
    <row r="93261" hidden="1" x14ac:dyDescent="0.35"/>
    <row r="93262" hidden="1" x14ac:dyDescent="0.35"/>
    <row r="93263" hidden="1" x14ac:dyDescent="0.35"/>
    <row r="93264" hidden="1" x14ac:dyDescent="0.35"/>
    <row r="93265" hidden="1" x14ac:dyDescent="0.35"/>
    <row r="93266" hidden="1" x14ac:dyDescent="0.35"/>
    <row r="93267" hidden="1" x14ac:dyDescent="0.35"/>
    <row r="93268" hidden="1" x14ac:dyDescent="0.35"/>
    <row r="93269" hidden="1" x14ac:dyDescent="0.35"/>
    <row r="93270" hidden="1" x14ac:dyDescent="0.35"/>
    <row r="93271" hidden="1" x14ac:dyDescent="0.35"/>
    <row r="93272" hidden="1" x14ac:dyDescent="0.35"/>
    <row r="93273" hidden="1" x14ac:dyDescent="0.35"/>
    <row r="93274" hidden="1" x14ac:dyDescent="0.35"/>
    <row r="93275" hidden="1" x14ac:dyDescent="0.35"/>
    <row r="93276" hidden="1" x14ac:dyDescent="0.35"/>
    <row r="93277" hidden="1" x14ac:dyDescent="0.35"/>
    <row r="93278" hidden="1" x14ac:dyDescent="0.35"/>
    <row r="93279" hidden="1" x14ac:dyDescent="0.35"/>
    <row r="93280" hidden="1" x14ac:dyDescent="0.35"/>
    <row r="93281" hidden="1" x14ac:dyDescent="0.35"/>
    <row r="93282" hidden="1" x14ac:dyDescent="0.35"/>
    <row r="93283" hidden="1" x14ac:dyDescent="0.35"/>
    <row r="93284" hidden="1" x14ac:dyDescent="0.35"/>
    <row r="93285" hidden="1" x14ac:dyDescent="0.35"/>
    <row r="93286" hidden="1" x14ac:dyDescent="0.35"/>
    <row r="93287" hidden="1" x14ac:dyDescent="0.35"/>
    <row r="93288" hidden="1" x14ac:dyDescent="0.35"/>
    <row r="93289" hidden="1" x14ac:dyDescent="0.35"/>
    <row r="93290" hidden="1" x14ac:dyDescent="0.35"/>
    <row r="93291" hidden="1" x14ac:dyDescent="0.35"/>
    <row r="93292" hidden="1" x14ac:dyDescent="0.35"/>
    <row r="93293" hidden="1" x14ac:dyDescent="0.35"/>
    <row r="93294" hidden="1" x14ac:dyDescent="0.35"/>
    <row r="93295" hidden="1" x14ac:dyDescent="0.35"/>
    <row r="93296" hidden="1" x14ac:dyDescent="0.35"/>
    <row r="93297" hidden="1" x14ac:dyDescent="0.35"/>
    <row r="93298" hidden="1" x14ac:dyDescent="0.35"/>
    <row r="93299" hidden="1" x14ac:dyDescent="0.35"/>
    <row r="93300" hidden="1" x14ac:dyDescent="0.35"/>
    <row r="93301" hidden="1" x14ac:dyDescent="0.35"/>
    <row r="93302" hidden="1" x14ac:dyDescent="0.35"/>
    <row r="93303" hidden="1" x14ac:dyDescent="0.35"/>
    <row r="93304" hidden="1" x14ac:dyDescent="0.35"/>
    <row r="93305" hidden="1" x14ac:dyDescent="0.35"/>
    <row r="93306" hidden="1" x14ac:dyDescent="0.35"/>
    <row r="93307" hidden="1" x14ac:dyDescent="0.35"/>
    <row r="93308" hidden="1" x14ac:dyDescent="0.35"/>
    <row r="93309" hidden="1" x14ac:dyDescent="0.35"/>
    <row r="93310" hidden="1" x14ac:dyDescent="0.35"/>
    <row r="93311" hidden="1" x14ac:dyDescent="0.35"/>
    <row r="93312" hidden="1" x14ac:dyDescent="0.35"/>
    <row r="93313" hidden="1" x14ac:dyDescent="0.35"/>
    <row r="93314" hidden="1" x14ac:dyDescent="0.35"/>
    <row r="93315" hidden="1" x14ac:dyDescent="0.35"/>
    <row r="93316" hidden="1" x14ac:dyDescent="0.35"/>
    <row r="93317" hidden="1" x14ac:dyDescent="0.35"/>
    <row r="93318" hidden="1" x14ac:dyDescent="0.35"/>
    <row r="93319" hidden="1" x14ac:dyDescent="0.35"/>
    <row r="93320" hidden="1" x14ac:dyDescent="0.35"/>
    <row r="93321" hidden="1" x14ac:dyDescent="0.35"/>
    <row r="93322" hidden="1" x14ac:dyDescent="0.35"/>
    <row r="93323" hidden="1" x14ac:dyDescent="0.35"/>
    <row r="93324" hidden="1" x14ac:dyDescent="0.35"/>
    <row r="93325" hidden="1" x14ac:dyDescent="0.35"/>
    <row r="93326" hidden="1" x14ac:dyDescent="0.35"/>
    <row r="93327" hidden="1" x14ac:dyDescent="0.35"/>
    <row r="93328" hidden="1" x14ac:dyDescent="0.35"/>
    <row r="93329" hidden="1" x14ac:dyDescent="0.35"/>
    <row r="93330" hidden="1" x14ac:dyDescent="0.35"/>
    <row r="93331" hidden="1" x14ac:dyDescent="0.35"/>
    <row r="93332" hidden="1" x14ac:dyDescent="0.35"/>
    <row r="93333" hidden="1" x14ac:dyDescent="0.35"/>
    <row r="93334" hidden="1" x14ac:dyDescent="0.35"/>
    <row r="93335" hidden="1" x14ac:dyDescent="0.35"/>
    <row r="93336" hidden="1" x14ac:dyDescent="0.35"/>
    <row r="93337" hidden="1" x14ac:dyDescent="0.35"/>
    <row r="93338" hidden="1" x14ac:dyDescent="0.35"/>
    <row r="93339" hidden="1" x14ac:dyDescent="0.35"/>
    <row r="93340" hidden="1" x14ac:dyDescent="0.35"/>
    <row r="93341" hidden="1" x14ac:dyDescent="0.35"/>
    <row r="93342" hidden="1" x14ac:dyDescent="0.35"/>
    <row r="93343" hidden="1" x14ac:dyDescent="0.35"/>
    <row r="93344" hidden="1" x14ac:dyDescent="0.35"/>
    <row r="93345" hidden="1" x14ac:dyDescent="0.35"/>
    <row r="93346" hidden="1" x14ac:dyDescent="0.35"/>
    <row r="93347" hidden="1" x14ac:dyDescent="0.35"/>
    <row r="93348" hidden="1" x14ac:dyDescent="0.35"/>
    <row r="93349" hidden="1" x14ac:dyDescent="0.35"/>
    <row r="93350" hidden="1" x14ac:dyDescent="0.35"/>
    <row r="93351" hidden="1" x14ac:dyDescent="0.35"/>
    <row r="93352" hidden="1" x14ac:dyDescent="0.35"/>
    <row r="93353" hidden="1" x14ac:dyDescent="0.35"/>
    <row r="93354" hidden="1" x14ac:dyDescent="0.35"/>
    <row r="93355" hidden="1" x14ac:dyDescent="0.35"/>
    <row r="93356" hidden="1" x14ac:dyDescent="0.35"/>
    <row r="93357" hidden="1" x14ac:dyDescent="0.35"/>
    <row r="93358" hidden="1" x14ac:dyDescent="0.35"/>
    <row r="93359" hidden="1" x14ac:dyDescent="0.35"/>
    <row r="93360" hidden="1" x14ac:dyDescent="0.35"/>
    <row r="93361" hidden="1" x14ac:dyDescent="0.35"/>
    <row r="93362" hidden="1" x14ac:dyDescent="0.35"/>
    <row r="93363" hidden="1" x14ac:dyDescent="0.35"/>
    <row r="93364" hidden="1" x14ac:dyDescent="0.35"/>
    <row r="93365" hidden="1" x14ac:dyDescent="0.35"/>
    <row r="93366" hidden="1" x14ac:dyDescent="0.35"/>
    <row r="93367" hidden="1" x14ac:dyDescent="0.35"/>
    <row r="93368" hidden="1" x14ac:dyDescent="0.35"/>
    <row r="93369" hidden="1" x14ac:dyDescent="0.35"/>
    <row r="93370" hidden="1" x14ac:dyDescent="0.35"/>
    <row r="93371" hidden="1" x14ac:dyDescent="0.35"/>
    <row r="93372" hidden="1" x14ac:dyDescent="0.35"/>
    <row r="93373" hidden="1" x14ac:dyDescent="0.35"/>
    <row r="93374" hidden="1" x14ac:dyDescent="0.35"/>
    <row r="93375" hidden="1" x14ac:dyDescent="0.35"/>
    <row r="93376" hidden="1" x14ac:dyDescent="0.35"/>
    <row r="93377" hidden="1" x14ac:dyDescent="0.35"/>
    <row r="93378" hidden="1" x14ac:dyDescent="0.35"/>
    <row r="93379" hidden="1" x14ac:dyDescent="0.35"/>
    <row r="93380" hidden="1" x14ac:dyDescent="0.35"/>
    <row r="93381" hidden="1" x14ac:dyDescent="0.35"/>
    <row r="93382" hidden="1" x14ac:dyDescent="0.35"/>
    <row r="93383" hidden="1" x14ac:dyDescent="0.35"/>
    <row r="93384" hidden="1" x14ac:dyDescent="0.35"/>
    <row r="93385" hidden="1" x14ac:dyDescent="0.35"/>
    <row r="93386" hidden="1" x14ac:dyDescent="0.35"/>
    <row r="93387" hidden="1" x14ac:dyDescent="0.35"/>
    <row r="93388" hidden="1" x14ac:dyDescent="0.35"/>
    <row r="93389" hidden="1" x14ac:dyDescent="0.35"/>
    <row r="93390" hidden="1" x14ac:dyDescent="0.35"/>
    <row r="93391" hidden="1" x14ac:dyDescent="0.35"/>
    <row r="93392" hidden="1" x14ac:dyDescent="0.35"/>
    <row r="93393" hidden="1" x14ac:dyDescent="0.35"/>
    <row r="93394" hidden="1" x14ac:dyDescent="0.35"/>
    <row r="93395" hidden="1" x14ac:dyDescent="0.35"/>
    <row r="93396" hidden="1" x14ac:dyDescent="0.35"/>
    <row r="93397" hidden="1" x14ac:dyDescent="0.35"/>
    <row r="93398" hidden="1" x14ac:dyDescent="0.35"/>
    <row r="93399" hidden="1" x14ac:dyDescent="0.35"/>
    <row r="93400" hidden="1" x14ac:dyDescent="0.35"/>
    <row r="93401" hidden="1" x14ac:dyDescent="0.35"/>
    <row r="93402" hidden="1" x14ac:dyDescent="0.35"/>
    <row r="93403" hidden="1" x14ac:dyDescent="0.35"/>
    <row r="93404" hidden="1" x14ac:dyDescent="0.35"/>
    <row r="93405" hidden="1" x14ac:dyDescent="0.35"/>
    <row r="93406" hidden="1" x14ac:dyDescent="0.35"/>
    <row r="93407" hidden="1" x14ac:dyDescent="0.35"/>
    <row r="93408" hidden="1" x14ac:dyDescent="0.35"/>
    <row r="93409" hidden="1" x14ac:dyDescent="0.35"/>
    <row r="93410" hidden="1" x14ac:dyDescent="0.35"/>
    <row r="93411" hidden="1" x14ac:dyDescent="0.35"/>
    <row r="93412" hidden="1" x14ac:dyDescent="0.35"/>
    <row r="93413" hidden="1" x14ac:dyDescent="0.35"/>
    <row r="93414" hidden="1" x14ac:dyDescent="0.35"/>
    <row r="93415" hidden="1" x14ac:dyDescent="0.35"/>
    <row r="93416" hidden="1" x14ac:dyDescent="0.35"/>
    <row r="93417" hidden="1" x14ac:dyDescent="0.35"/>
    <row r="93418" hidden="1" x14ac:dyDescent="0.35"/>
    <row r="93419" hidden="1" x14ac:dyDescent="0.35"/>
    <row r="93420" hidden="1" x14ac:dyDescent="0.35"/>
    <row r="93421" hidden="1" x14ac:dyDescent="0.35"/>
    <row r="93422" hidden="1" x14ac:dyDescent="0.35"/>
    <row r="93423" hidden="1" x14ac:dyDescent="0.35"/>
    <row r="93424" hidden="1" x14ac:dyDescent="0.35"/>
    <row r="93425" hidden="1" x14ac:dyDescent="0.35"/>
    <row r="93426" hidden="1" x14ac:dyDescent="0.35"/>
    <row r="93427" hidden="1" x14ac:dyDescent="0.35"/>
    <row r="93428" hidden="1" x14ac:dyDescent="0.35"/>
    <row r="93429" hidden="1" x14ac:dyDescent="0.35"/>
    <row r="93430" hidden="1" x14ac:dyDescent="0.35"/>
    <row r="93431" hidden="1" x14ac:dyDescent="0.35"/>
    <row r="93432" hidden="1" x14ac:dyDescent="0.35"/>
    <row r="93433" hidden="1" x14ac:dyDescent="0.35"/>
    <row r="93434" hidden="1" x14ac:dyDescent="0.35"/>
    <row r="93435" hidden="1" x14ac:dyDescent="0.35"/>
    <row r="93436" hidden="1" x14ac:dyDescent="0.35"/>
    <row r="93437" hidden="1" x14ac:dyDescent="0.35"/>
    <row r="93438" hidden="1" x14ac:dyDescent="0.35"/>
    <row r="93439" hidden="1" x14ac:dyDescent="0.35"/>
    <row r="93440" hidden="1" x14ac:dyDescent="0.35"/>
    <row r="93441" hidden="1" x14ac:dyDescent="0.35"/>
    <row r="93442" hidden="1" x14ac:dyDescent="0.35"/>
    <row r="93443" hidden="1" x14ac:dyDescent="0.35"/>
    <row r="93444" hidden="1" x14ac:dyDescent="0.35"/>
    <row r="93445" hidden="1" x14ac:dyDescent="0.35"/>
    <row r="93446" hidden="1" x14ac:dyDescent="0.35"/>
    <row r="93447" hidden="1" x14ac:dyDescent="0.35"/>
    <row r="93448" hidden="1" x14ac:dyDescent="0.35"/>
    <row r="93449" hidden="1" x14ac:dyDescent="0.35"/>
    <row r="93450" hidden="1" x14ac:dyDescent="0.35"/>
    <row r="93451" hidden="1" x14ac:dyDescent="0.35"/>
    <row r="93452" hidden="1" x14ac:dyDescent="0.35"/>
    <row r="93453" hidden="1" x14ac:dyDescent="0.35"/>
    <row r="93454" hidden="1" x14ac:dyDescent="0.35"/>
    <row r="93455" hidden="1" x14ac:dyDescent="0.35"/>
    <row r="93456" hidden="1" x14ac:dyDescent="0.35"/>
    <row r="93457" hidden="1" x14ac:dyDescent="0.35"/>
    <row r="93458" hidden="1" x14ac:dyDescent="0.35"/>
    <row r="93459" hidden="1" x14ac:dyDescent="0.35"/>
    <row r="93460" hidden="1" x14ac:dyDescent="0.35"/>
    <row r="93461" hidden="1" x14ac:dyDescent="0.35"/>
    <row r="93462" hidden="1" x14ac:dyDescent="0.35"/>
    <row r="93463" hidden="1" x14ac:dyDescent="0.35"/>
    <row r="93464" hidden="1" x14ac:dyDescent="0.35"/>
    <row r="93465" hidden="1" x14ac:dyDescent="0.35"/>
    <row r="93466" hidden="1" x14ac:dyDescent="0.35"/>
    <row r="93467" hidden="1" x14ac:dyDescent="0.35"/>
    <row r="93468" hidden="1" x14ac:dyDescent="0.35"/>
    <row r="93469" hidden="1" x14ac:dyDescent="0.35"/>
    <row r="93470" hidden="1" x14ac:dyDescent="0.35"/>
    <row r="93471" hidden="1" x14ac:dyDescent="0.35"/>
    <row r="93472" hidden="1" x14ac:dyDescent="0.35"/>
    <row r="93473" hidden="1" x14ac:dyDescent="0.35"/>
    <row r="93474" hidden="1" x14ac:dyDescent="0.35"/>
    <row r="93475" hidden="1" x14ac:dyDescent="0.35"/>
    <row r="93476" hidden="1" x14ac:dyDescent="0.35"/>
    <row r="93477" hidden="1" x14ac:dyDescent="0.35"/>
    <row r="93478" hidden="1" x14ac:dyDescent="0.35"/>
    <row r="93479" hidden="1" x14ac:dyDescent="0.35"/>
    <row r="93480" hidden="1" x14ac:dyDescent="0.35"/>
    <row r="93481" hidden="1" x14ac:dyDescent="0.35"/>
    <row r="93482" hidden="1" x14ac:dyDescent="0.35"/>
    <row r="93483" hidden="1" x14ac:dyDescent="0.35"/>
    <row r="93484" hidden="1" x14ac:dyDescent="0.35"/>
    <row r="93485" hidden="1" x14ac:dyDescent="0.35"/>
    <row r="93486" hidden="1" x14ac:dyDescent="0.35"/>
    <row r="93487" hidden="1" x14ac:dyDescent="0.35"/>
    <row r="93488" hidden="1" x14ac:dyDescent="0.35"/>
    <row r="93489" hidden="1" x14ac:dyDescent="0.35"/>
    <row r="93490" hidden="1" x14ac:dyDescent="0.35"/>
    <row r="93491" hidden="1" x14ac:dyDescent="0.35"/>
    <row r="93492" hidden="1" x14ac:dyDescent="0.35"/>
    <row r="93493" hidden="1" x14ac:dyDescent="0.35"/>
    <row r="93494" hidden="1" x14ac:dyDescent="0.35"/>
    <row r="93495" hidden="1" x14ac:dyDescent="0.35"/>
    <row r="93496" hidden="1" x14ac:dyDescent="0.35"/>
    <row r="93497" hidden="1" x14ac:dyDescent="0.35"/>
    <row r="93498" hidden="1" x14ac:dyDescent="0.35"/>
    <row r="93499" hidden="1" x14ac:dyDescent="0.35"/>
    <row r="93500" hidden="1" x14ac:dyDescent="0.35"/>
    <row r="93501" hidden="1" x14ac:dyDescent="0.35"/>
    <row r="93502" hidden="1" x14ac:dyDescent="0.35"/>
    <row r="93503" hidden="1" x14ac:dyDescent="0.35"/>
    <row r="93504" hidden="1" x14ac:dyDescent="0.35"/>
    <row r="93505" hidden="1" x14ac:dyDescent="0.35"/>
    <row r="93506" hidden="1" x14ac:dyDescent="0.35"/>
    <row r="93507" hidden="1" x14ac:dyDescent="0.35"/>
    <row r="93508" hidden="1" x14ac:dyDescent="0.35"/>
    <row r="93509" hidden="1" x14ac:dyDescent="0.35"/>
    <row r="93510" hidden="1" x14ac:dyDescent="0.35"/>
    <row r="93511" hidden="1" x14ac:dyDescent="0.35"/>
    <row r="93512" hidden="1" x14ac:dyDescent="0.35"/>
    <row r="93513" hidden="1" x14ac:dyDescent="0.35"/>
    <row r="93514" hidden="1" x14ac:dyDescent="0.35"/>
    <row r="93515" hidden="1" x14ac:dyDescent="0.35"/>
    <row r="93516" hidden="1" x14ac:dyDescent="0.35"/>
    <row r="93517" hidden="1" x14ac:dyDescent="0.35"/>
    <row r="93518" hidden="1" x14ac:dyDescent="0.35"/>
    <row r="93519" hidden="1" x14ac:dyDescent="0.35"/>
    <row r="93520" hidden="1" x14ac:dyDescent="0.35"/>
    <row r="93521" hidden="1" x14ac:dyDescent="0.35"/>
    <row r="93522" hidden="1" x14ac:dyDescent="0.35"/>
    <row r="93523" hidden="1" x14ac:dyDescent="0.35"/>
    <row r="93524" hidden="1" x14ac:dyDescent="0.35"/>
    <row r="93525" hidden="1" x14ac:dyDescent="0.35"/>
    <row r="93526" hidden="1" x14ac:dyDescent="0.35"/>
    <row r="93527" hidden="1" x14ac:dyDescent="0.35"/>
    <row r="93528" hidden="1" x14ac:dyDescent="0.35"/>
    <row r="93529" hidden="1" x14ac:dyDescent="0.35"/>
    <row r="93530" hidden="1" x14ac:dyDescent="0.35"/>
    <row r="93531" hidden="1" x14ac:dyDescent="0.35"/>
    <row r="93532" hidden="1" x14ac:dyDescent="0.35"/>
    <row r="93533" hidden="1" x14ac:dyDescent="0.35"/>
    <row r="93534" hidden="1" x14ac:dyDescent="0.35"/>
    <row r="93535" hidden="1" x14ac:dyDescent="0.35"/>
    <row r="93536" hidden="1" x14ac:dyDescent="0.35"/>
    <row r="93537" hidden="1" x14ac:dyDescent="0.35"/>
    <row r="93538" hidden="1" x14ac:dyDescent="0.35"/>
    <row r="93539" hidden="1" x14ac:dyDescent="0.35"/>
    <row r="93540" hidden="1" x14ac:dyDescent="0.35"/>
    <row r="93541" hidden="1" x14ac:dyDescent="0.35"/>
    <row r="93542" hidden="1" x14ac:dyDescent="0.35"/>
    <row r="93543" hidden="1" x14ac:dyDescent="0.35"/>
    <row r="93544" hidden="1" x14ac:dyDescent="0.35"/>
    <row r="93545" hidden="1" x14ac:dyDescent="0.35"/>
    <row r="93546" hidden="1" x14ac:dyDescent="0.35"/>
    <row r="93547" hidden="1" x14ac:dyDescent="0.35"/>
    <row r="93548" hidden="1" x14ac:dyDescent="0.35"/>
    <row r="93549" hidden="1" x14ac:dyDescent="0.35"/>
    <row r="93550" hidden="1" x14ac:dyDescent="0.35"/>
    <row r="93551" hidden="1" x14ac:dyDescent="0.35"/>
    <row r="93552" hidden="1" x14ac:dyDescent="0.35"/>
    <row r="93553" hidden="1" x14ac:dyDescent="0.35"/>
    <row r="93554" hidden="1" x14ac:dyDescent="0.35"/>
    <row r="93555" hidden="1" x14ac:dyDescent="0.35"/>
    <row r="93556" hidden="1" x14ac:dyDescent="0.35"/>
    <row r="93557" hidden="1" x14ac:dyDescent="0.35"/>
    <row r="93558" hidden="1" x14ac:dyDescent="0.35"/>
    <row r="93559" hidden="1" x14ac:dyDescent="0.35"/>
    <row r="93560" hidden="1" x14ac:dyDescent="0.35"/>
    <row r="93561" hidden="1" x14ac:dyDescent="0.35"/>
    <row r="93562" hidden="1" x14ac:dyDescent="0.35"/>
    <row r="93563" hidden="1" x14ac:dyDescent="0.35"/>
    <row r="93564" hidden="1" x14ac:dyDescent="0.35"/>
    <row r="93565" hidden="1" x14ac:dyDescent="0.35"/>
    <row r="93566" hidden="1" x14ac:dyDescent="0.35"/>
    <row r="93567" hidden="1" x14ac:dyDescent="0.35"/>
    <row r="93568" hidden="1" x14ac:dyDescent="0.35"/>
    <row r="93569" hidden="1" x14ac:dyDescent="0.35"/>
    <row r="93570" hidden="1" x14ac:dyDescent="0.35"/>
    <row r="93571" hidden="1" x14ac:dyDescent="0.35"/>
    <row r="93572" hidden="1" x14ac:dyDescent="0.35"/>
    <row r="93573" hidden="1" x14ac:dyDescent="0.35"/>
    <row r="93574" hidden="1" x14ac:dyDescent="0.35"/>
    <row r="93575" hidden="1" x14ac:dyDescent="0.35"/>
    <row r="93576" hidden="1" x14ac:dyDescent="0.35"/>
    <row r="93577" hidden="1" x14ac:dyDescent="0.35"/>
    <row r="93578" hidden="1" x14ac:dyDescent="0.35"/>
    <row r="93579" hidden="1" x14ac:dyDescent="0.35"/>
    <row r="93580" hidden="1" x14ac:dyDescent="0.35"/>
    <row r="93581" hidden="1" x14ac:dyDescent="0.35"/>
    <row r="93582" hidden="1" x14ac:dyDescent="0.35"/>
    <row r="93583" hidden="1" x14ac:dyDescent="0.35"/>
    <row r="93584" hidden="1" x14ac:dyDescent="0.35"/>
    <row r="93585" hidden="1" x14ac:dyDescent="0.35"/>
    <row r="93586" hidden="1" x14ac:dyDescent="0.35"/>
    <row r="93587" hidden="1" x14ac:dyDescent="0.35"/>
    <row r="93588" hidden="1" x14ac:dyDescent="0.35"/>
    <row r="93589" hidden="1" x14ac:dyDescent="0.35"/>
    <row r="93590" hidden="1" x14ac:dyDescent="0.35"/>
    <row r="93591" hidden="1" x14ac:dyDescent="0.35"/>
    <row r="93592" hidden="1" x14ac:dyDescent="0.35"/>
    <row r="93593" hidden="1" x14ac:dyDescent="0.35"/>
    <row r="93594" hidden="1" x14ac:dyDescent="0.35"/>
    <row r="93595" hidden="1" x14ac:dyDescent="0.35"/>
    <row r="93596" hidden="1" x14ac:dyDescent="0.35"/>
    <row r="93597" hidden="1" x14ac:dyDescent="0.35"/>
    <row r="93598" hidden="1" x14ac:dyDescent="0.35"/>
    <row r="93599" hidden="1" x14ac:dyDescent="0.35"/>
    <row r="93600" hidden="1" x14ac:dyDescent="0.35"/>
    <row r="93601" hidden="1" x14ac:dyDescent="0.35"/>
    <row r="93602" hidden="1" x14ac:dyDescent="0.35"/>
    <row r="93603" hidden="1" x14ac:dyDescent="0.35"/>
    <row r="93604" hidden="1" x14ac:dyDescent="0.35"/>
    <row r="93605" hidden="1" x14ac:dyDescent="0.35"/>
    <row r="93606" hidden="1" x14ac:dyDescent="0.35"/>
    <row r="93607" hidden="1" x14ac:dyDescent="0.35"/>
    <row r="93608" hidden="1" x14ac:dyDescent="0.35"/>
    <row r="93609" hidden="1" x14ac:dyDescent="0.35"/>
    <row r="93610" hidden="1" x14ac:dyDescent="0.35"/>
    <row r="93611" hidden="1" x14ac:dyDescent="0.35"/>
    <row r="93612" hidden="1" x14ac:dyDescent="0.35"/>
    <row r="93613" hidden="1" x14ac:dyDescent="0.35"/>
    <row r="93614" hidden="1" x14ac:dyDescent="0.35"/>
    <row r="93615" hidden="1" x14ac:dyDescent="0.35"/>
    <row r="93616" hidden="1" x14ac:dyDescent="0.35"/>
    <row r="93617" hidden="1" x14ac:dyDescent="0.35"/>
    <row r="93618" hidden="1" x14ac:dyDescent="0.35"/>
    <row r="93619" hidden="1" x14ac:dyDescent="0.35"/>
    <row r="93620" hidden="1" x14ac:dyDescent="0.35"/>
    <row r="93621" hidden="1" x14ac:dyDescent="0.35"/>
    <row r="93622" hidden="1" x14ac:dyDescent="0.35"/>
    <row r="93623" hidden="1" x14ac:dyDescent="0.35"/>
    <row r="93624" hidden="1" x14ac:dyDescent="0.35"/>
    <row r="93625" hidden="1" x14ac:dyDescent="0.35"/>
    <row r="93626" hidden="1" x14ac:dyDescent="0.35"/>
    <row r="93627" hidden="1" x14ac:dyDescent="0.35"/>
    <row r="93628" hidden="1" x14ac:dyDescent="0.35"/>
    <row r="93629" hidden="1" x14ac:dyDescent="0.35"/>
    <row r="93630" hidden="1" x14ac:dyDescent="0.35"/>
    <row r="93631" hidden="1" x14ac:dyDescent="0.35"/>
    <row r="93632" hidden="1" x14ac:dyDescent="0.35"/>
    <row r="93633" hidden="1" x14ac:dyDescent="0.35"/>
    <row r="93634" hidden="1" x14ac:dyDescent="0.35"/>
    <row r="93635" hidden="1" x14ac:dyDescent="0.35"/>
    <row r="93636" hidden="1" x14ac:dyDescent="0.35"/>
    <row r="93637" hidden="1" x14ac:dyDescent="0.35"/>
    <row r="93638" hidden="1" x14ac:dyDescent="0.35"/>
    <row r="93639" hidden="1" x14ac:dyDescent="0.35"/>
    <row r="93640" hidden="1" x14ac:dyDescent="0.35"/>
    <row r="93641" hidden="1" x14ac:dyDescent="0.35"/>
    <row r="93642" hidden="1" x14ac:dyDescent="0.35"/>
    <row r="93643" hidden="1" x14ac:dyDescent="0.35"/>
    <row r="93644" hidden="1" x14ac:dyDescent="0.35"/>
    <row r="93645" hidden="1" x14ac:dyDescent="0.35"/>
    <row r="93646" hidden="1" x14ac:dyDescent="0.35"/>
    <row r="93647" hidden="1" x14ac:dyDescent="0.35"/>
    <row r="93648" hidden="1" x14ac:dyDescent="0.35"/>
    <row r="93649" hidden="1" x14ac:dyDescent="0.35"/>
    <row r="93650" hidden="1" x14ac:dyDescent="0.35"/>
    <row r="93651" hidden="1" x14ac:dyDescent="0.35"/>
    <row r="93652" hidden="1" x14ac:dyDescent="0.35"/>
    <row r="93653" hidden="1" x14ac:dyDescent="0.35"/>
    <row r="93654" hidden="1" x14ac:dyDescent="0.35"/>
    <row r="93655" hidden="1" x14ac:dyDescent="0.35"/>
    <row r="93656" hidden="1" x14ac:dyDescent="0.35"/>
    <row r="93657" hidden="1" x14ac:dyDescent="0.35"/>
    <row r="93658" hidden="1" x14ac:dyDescent="0.35"/>
    <row r="93659" hidden="1" x14ac:dyDescent="0.35"/>
    <row r="93660" hidden="1" x14ac:dyDescent="0.35"/>
    <row r="93661" hidden="1" x14ac:dyDescent="0.35"/>
    <row r="93662" hidden="1" x14ac:dyDescent="0.35"/>
    <row r="93663" hidden="1" x14ac:dyDescent="0.35"/>
    <row r="93664" hidden="1" x14ac:dyDescent="0.35"/>
    <row r="93665" hidden="1" x14ac:dyDescent="0.35"/>
    <row r="93666" hidden="1" x14ac:dyDescent="0.35"/>
    <row r="93667" hidden="1" x14ac:dyDescent="0.35"/>
    <row r="93668" hidden="1" x14ac:dyDescent="0.35"/>
    <row r="93669" hidden="1" x14ac:dyDescent="0.35"/>
    <row r="93670" hidden="1" x14ac:dyDescent="0.35"/>
    <row r="93671" hidden="1" x14ac:dyDescent="0.35"/>
    <row r="93672" hidden="1" x14ac:dyDescent="0.35"/>
    <row r="93673" hidden="1" x14ac:dyDescent="0.35"/>
    <row r="93674" hidden="1" x14ac:dyDescent="0.35"/>
    <row r="93675" hidden="1" x14ac:dyDescent="0.35"/>
    <row r="93676" hidden="1" x14ac:dyDescent="0.35"/>
    <row r="93677" hidden="1" x14ac:dyDescent="0.35"/>
    <row r="93678" hidden="1" x14ac:dyDescent="0.35"/>
    <row r="93679" hidden="1" x14ac:dyDescent="0.35"/>
    <row r="93680" hidden="1" x14ac:dyDescent="0.35"/>
    <row r="93681" hidden="1" x14ac:dyDescent="0.35"/>
    <row r="93682" hidden="1" x14ac:dyDescent="0.35"/>
    <row r="93683" hidden="1" x14ac:dyDescent="0.35"/>
    <row r="93684" hidden="1" x14ac:dyDescent="0.35"/>
    <row r="93685" hidden="1" x14ac:dyDescent="0.35"/>
    <row r="93686" hidden="1" x14ac:dyDescent="0.35"/>
    <row r="93687" hidden="1" x14ac:dyDescent="0.35"/>
    <row r="93688" hidden="1" x14ac:dyDescent="0.35"/>
    <row r="93689" hidden="1" x14ac:dyDescent="0.35"/>
    <row r="93690" hidden="1" x14ac:dyDescent="0.35"/>
    <row r="93691" hidden="1" x14ac:dyDescent="0.35"/>
    <row r="93692" hidden="1" x14ac:dyDescent="0.35"/>
    <row r="93693" hidden="1" x14ac:dyDescent="0.35"/>
    <row r="93694" hidden="1" x14ac:dyDescent="0.35"/>
    <row r="93695" hidden="1" x14ac:dyDescent="0.35"/>
    <row r="93696" hidden="1" x14ac:dyDescent="0.35"/>
    <row r="93697" hidden="1" x14ac:dyDescent="0.35"/>
    <row r="93698" hidden="1" x14ac:dyDescent="0.35"/>
    <row r="93699" hidden="1" x14ac:dyDescent="0.35"/>
    <row r="93700" hidden="1" x14ac:dyDescent="0.35"/>
    <row r="93701" hidden="1" x14ac:dyDescent="0.35"/>
    <row r="93702" hidden="1" x14ac:dyDescent="0.35"/>
    <row r="93703" hidden="1" x14ac:dyDescent="0.35"/>
    <row r="93704" hidden="1" x14ac:dyDescent="0.35"/>
    <row r="93705" hidden="1" x14ac:dyDescent="0.35"/>
    <row r="93706" hidden="1" x14ac:dyDescent="0.35"/>
    <row r="93707" hidden="1" x14ac:dyDescent="0.35"/>
    <row r="93708" hidden="1" x14ac:dyDescent="0.35"/>
    <row r="93709" hidden="1" x14ac:dyDescent="0.35"/>
    <row r="93710" hidden="1" x14ac:dyDescent="0.35"/>
    <row r="93711" hidden="1" x14ac:dyDescent="0.35"/>
    <row r="93712" hidden="1" x14ac:dyDescent="0.35"/>
    <row r="93713" hidden="1" x14ac:dyDescent="0.35"/>
    <row r="93714" hidden="1" x14ac:dyDescent="0.35"/>
    <row r="93715" hidden="1" x14ac:dyDescent="0.35"/>
    <row r="93716" hidden="1" x14ac:dyDescent="0.35"/>
    <row r="93717" hidden="1" x14ac:dyDescent="0.35"/>
    <row r="93718" hidden="1" x14ac:dyDescent="0.35"/>
    <row r="93719" hidden="1" x14ac:dyDescent="0.35"/>
    <row r="93720" hidden="1" x14ac:dyDescent="0.35"/>
    <row r="93721" hidden="1" x14ac:dyDescent="0.35"/>
    <row r="93722" hidden="1" x14ac:dyDescent="0.35"/>
    <row r="93723" hidden="1" x14ac:dyDescent="0.35"/>
    <row r="93724" hidden="1" x14ac:dyDescent="0.35"/>
    <row r="93725" hidden="1" x14ac:dyDescent="0.35"/>
    <row r="93726" hidden="1" x14ac:dyDescent="0.35"/>
    <row r="93727" hidden="1" x14ac:dyDescent="0.35"/>
    <row r="93728" hidden="1" x14ac:dyDescent="0.35"/>
    <row r="93729" hidden="1" x14ac:dyDescent="0.35"/>
    <row r="93730" hidden="1" x14ac:dyDescent="0.35"/>
    <row r="93731" hidden="1" x14ac:dyDescent="0.35"/>
    <row r="93732" hidden="1" x14ac:dyDescent="0.35"/>
    <row r="93733" hidden="1" x14ac:dyDescent="0.35"/>
    <row r="93734" hidden="1" x14ac:dyDescent="0.35"/>
    <row r="93735" hidden="1" x14ac:dyDescent="0.35"/>
    <row r="93736" hidden="1" x14ac:dyDescent="0.35"/>
    <row r="93737" hidden="1" x14ac:dyDescent="0.35"/>
    <row r="93738" hidden="1" x14ac:dyDescent="0.35"/>
    <row r="93739" hidden="1" x14ac:dyDescent="0.35"/>
    <row r="93740" hidden="1" x14ac:dyDescent="0.35"/>
    <row r="93741" hidden="1" x14ac:dyDescent="0.35"/>
    <row r="93742" hidden="1" x14ac:dyDescent="0.35"/>
    <row r="93743" hidden="1" x14ac:dyDescent="0.35"/>
    <row r="93744" hidden="1" x14ac:dyDescent="0.35"/>
    <row r="93745" hidden="1" x14ac:dyDescent="0.35"/>
    <row r="93746" hidden="1" x14ac:dyDescent="0.35"/>
    <row r="93747" hidden="1" x14ac:dyDescent="0.35"/>
    <row r="93748" hidden="1" x14ac:dyDescent="0.35"/>
    <row r="93749" hidden="1" x14ac:dyDescent="0.35"/>
    <row r="93750" hidden="1" x14ac:dyDescent="0.35"/>
    <row r="93751" hidden="1" x14ac:dyDescent="0.35"/>
    <row r="93752" hidden="1" x14ac:dyDescent="0.35"/>
    <row r="93753" hidden="1" x14ac:dyDescent="0.35"/>
    <row r="93754" hidden="1" x14ac:dyDescent="0.35"/>
    <row r="93755" hidden="1" x14ac:dyDescent="0.35"/>
    <row r="93756" hidden="1" x14ac:dyDescent="0.35"/>
    <row r="93757" hidden="1" x14ac:dyDescent="0.35"/>
    <row r="93758" hidden="1" x14ac:dyDescent="0.35"/>
    <row r="93759" hidden="1" x14ac:dyDescent="0.35"/>
    <row r="93760" hidden="1" x14ac:dyDescent="0.35"/>
    <row r="93761" hidden="1" x14ac:dyDescent="0.35"/>
    <row r="93762" hidden="1" x14ac:dyDescent="0.35"/>
    <row r="93763" hidden="1" x14ac:dyDescent="0.35"/>
    <row r="93764" hidden="1" x14ac:dyDescent="0.35"/>
    <row r="93765" hidden="1" x14ac:dyDescent="0.35"/>
    <row r="93766" hidden="1" x14ac:dyDescent="0.35"/>
    <row r="93767" hidden="1" x14ac:dyDescent="0.35"/>
    <row r="93768" hidden="1" x14ac:dyDescent="0.35"/>
    <row r="93769" hidden="1" x14ac:dyDescent="0.35"/>
    <row r="93770" hidden="1" x14ac:dyDescent="0.35"/>
    <row r="93771" hidden="1" x14ac:dyDescent="0.35"/>
    <row r="93772" hidden="1" x14ac:dyDescent="0.35"/>
    <row r="93773" hidden="1" x14ac:dyDescent="0.35"/>
    <row r="93774" hidden="1" x14ac:dyDescent="0.35"/>
    <row r="93775" hidden="1" x14ac:dyDescent="0.35"/>
    <row r="93776" hidden="1" x14ac:dyDescent="0.35"/>
    <row r="93777" hidden="1" x14ac:dyDescent="0.35"/>
    <row r="93778" hidden="1" x14ac:dyDescent="0.35"/>
    <row r="93779" hidden="1" x14ac:dyDescent="0.35"/>
    <row r="93780" hidden="1" x14ac:dyDescent="0.35"/>
    <row r="93781" hidden="1" x14ac:dyDescent="0.35"/>
    <row r="93782" hidden="1" x14ac:dyDescent="0.35"/>
    <row r="93783" hidden="1" x14ac:dyDescent="0.35"/>
    <row r="93784" hidden="1" x14ac:dyDescent="0.35"/>
    <row r="93785" hidden="1" x14ac:dyDescent="0.35"/>
    <row r="93786" hidden="1" x14ac:dyDescent="0.35"/>
    <row r="93787" hidden="1" x14ac:dyDescent="0.35"/>
    <row r="93788" hidden="1" x14ac:dyDescent="0.35"/>
    <row r="93789" hidden="1" x14ac:dyDescent="0.35"/>
    <row r="93790" hidden="1" x14ac:dyDescent="0.35"/>
    <row r="93791" hidden="1" x14ac:dyDescent="0.35"/>
    <row r="93792" hidden="1" x14ac:dyDescent="0.35"/>
    <row r="93793" hidden="1" x14ac:dyDescent="0.35"/>
    <row r="93794" hidden="1" x14ac:dyDescent="0.35"/>
    <row r="93795" hidden="1" x14ac:dyDescent="0.35"/>
    <row r="93796" hidden="1" x14ac:dyDescent="0.35"/>
    <row r="93797" hidden="1" x14ac:dyDescent="0.35"/>
    <row r="93798" hidden="1" x14ac:dyDescent="0.35"/>
    <row r="93799" hidden="1" x14ac:dyDescent="0.35"/>
    <row r="93800" hidden="1" x14ac:dyDescent="0.35"/>
    <row r="93801" hidden="1" x14ac:dyDescent="0.35"/>
    <row r="93802" hidden="1" x14ac:dyDescent="0.35"/>
    <row r="93803" hidden="1" x14ac:dyDescent="0.35"/>
    <row r="93804" hidden="1" x14ac:dyDescent="0.35"/>
    <row r="93805" hidden="1" x14ac:dyDescent="0.35"/>
    <row r="93806" hidden="1" x14ac:dyDescent="0.35"/>
    <row r="93807" hidden="1" x14ac:dyDescent="0.35"/>
    <row r="93808" hidden="1" x14ac:dyDescent="0.35"/>
    <row r="93809" hidden="1" x14ac:dyDescent="0.35"/>
    <row r="93810" hidden="1" x14ac:dyDescent="0.35"/>
    <row r="93811" hidden="1" x14ac:dyDescent="0.35"/>
    <row r="93812" hidden="1" x14ac:dyDescent="0.35"/>
    <row r="93813" hidden="1" x14ac:dyDescent="0.35"/>
    <row r="93814" hidden="1" x14ac:dyDescent="0.35"/>
    <row r="93815" hidden="1" x14ac:dyDescent="0.35"/>
    <row r="93816" hidden="1" x14ac:dyDescent="0.35"/>
    <row r="93817" hidden="1" x14ac:dyDescent="0.35"/>
    <row r="93818" hidden="1" x14ac:dyDescent="0.35"/>
    <row r="93819" hidden="1" x14ac:dyDescent="0.35"/>
    <row r="93820" hidden="1" x14ac:dyDescent="0.35"/>
    <row r="93821" hidden="1" x14ac:dyDescent="0.35"/>
    <row r="93822" hidden="1" x14ac:dyDescent="0.35"/>
    <row r="93823" hidden="1" x14ac:dyDescent="0.35"/>
    <row r="93824" hidden="1" x14ac:dyDescent="0.35"/>
    <row r="93825" hidden="1" x14ac:dyDescent="0.35"/>
    <row r="93826" hidden="1" x14ac:dyDescent="0.35"/>
    <row r="93827" hidden="1" x14ac:dyDescent="0.35"/>
    <row r="93828" hidden="1" x14ac:dyDescent="0.35"/>
    <row r="93829" hidden="1" x14ac:dyDescent="0.35"/>
    <row r="93830" hidden="1" x14ac:dyDescent="0.35"/>
    <row r="93831" hidden="1" x14ac:dyDescent="0.35"/>
    <row r="93832" hidden="1" x14ac:dyDescent="0.35"/>
    <row r="93833" hidden="1" x14ac:dyDescent="0.35"/>
    <row r="93834" hidden="1" x14ac:dyDescent="0.35"/>
    <row r="93835" hidden="1" x14ac:dyDescent="0.35"/>
    <row r="93836" hidden="1" x14ac:dyDescent="0.35"/>
    <row r="93837" hidden="1" x14ac:dyDescent="0.35"/>
    <row r="93838" hidden="1" x14ac:dyDescent="0.35"/>
    <row r="93839" hidden="1" x14ac:dyDescent="0.35"/>
    <row r="93840" hidden="1" x14ac:dyDescent="0.35"/>
    <row r="93841" hidden="1" x14ac:dyDescent="0.35"/>
    <row r="93842" hidden="1" x14ac:dyDescent="0.35"/>
    <row r="93843" hidden="1" x14ac:dyDescent="0.35"/>
    <row r="93844" hidden="1" x14ac:dyDescent="0.35"/>
    <row r="93845" hidden="1" x14ac:dyDescent="0.35"/>
    <row r="93846" hidden="1" x14ac:dyDescent="0.35"/>
    <row r="93847" hidden="1" x14ac:dyDescent="0.35"/>
    <row r="93848" hidden="1" x14ac:dyDescent="0.35"/>
    <row r="93849" hidden="1" x14ac:dyDescent="0.35"/>
    <row r="93850" hidden="1" x14ac:dyDescent="0.35"/>
    <row r="93851" hidden="1" x14ac:dyDescent="0.35"/>
    <row r="93852" hidden="1" x14ac:dyDescent="0.35"/>
    <row r="93853" hidden="1" x14ac:dyDescent="0.35"/>
    <row r="93854" hidden="1" x14ac:dyDescent="0.35"/>
    <row r="93855" hidden="1" x14ac:dyDescent="0.35"/>
    <row r="93856" hidden="1" x14ac:dyDescent="0.35"/>
    <row r="93857" hidden="1" x14ac:dyDescent="0.35"/>
    <row r="93858" hidden="1" x14ac:dyDescent="0.35"/>
    <row r="93859" hidden="1" x14ac:dyDescent="0.35"/>
    <row r="93860" hidden="1" x14ac:dyDescent="0.35"/>
    <row r="93861" hidden="1" x14ac:dyDescent="0.35"/>
    <row r="93862" hidden="1" x14ac:dyDescent="0.35"/>
    <row r="93863" hidden="1" x14ac:dyDescent="0.35"/>
    <row r="93864" hidden="1" x14ac:dyDescent="0.35"/>
    <row r="93865" hidden="1" x14ac:dyDescent="0.35"/>
    <row r="93866" hidden="1" x14ac:dyDescent="0.35"/>
    <row r="93867" hidden="1" x14ac:dyDescent="0.35"/>
    <row r="93868" hidden="1" x14ac:dyDescent="0.35"/>
    <row r="93869" hidden="1" x14ac:dyDescent="0.35"/>
    <row r="93870" hidden="1" x14ac:dyDescent="0.35"/>
    <row r="93871" hidden="1" x14ac:dyDescent="0.35"/>
    <row r="93872" hidden="1" x14ac:dyDescent="0.35"/>
    <row r="93873" hidden="1" x14ac:dyDescent="0.35"/>
    <row r="93874" hidden="1" x14ac:dyDescent="0.35"/>
    <row r="93875" hidden="1" x14ac:dyDescent="0.35"/>
    <row r="93876" hidden="1" x14ac:dyDescent="0.35"/>
    <row r="93877" hidden="1" x14ac:dyDescent="0.35"/>
    <row r="93878" hidden="1" x14ac:dyDescent="0.35"/>
    <row r="93879" hidden="1" x14ac:dyDescent="0.35"/>
    <row r="93880" hidden="1" x14ac:dyDescent="0.35"/>
    <row r="93881" hidden="1" x14ac:dyDescent="0.35"/>
    <row r="93882" hidden="1" x14ac:dyDescent="0.35"/>
    <row r="93883" hidden="1" x14ac:dyDescent="0.35"/>
    <row r="93884" hidden="1" x14ac:dyDescent="0.35"/>
    <row r="93885" hidden="1" x14ac:dyDescent="0.35"/>
    <row r="93886" hidden="1" x14ac:dyDescent="0.35"/>
    <row r="93887" hidden="1" x14ac:dyDescent="0.35"/>
    <row r="93888" hidden="1" x14ac:dyDescent="0.35"/>
    <row r="93889" hidden="1" x14ac:dyDescent="0.35"/>
    <row r="93890" hidden="1" x14ac:dyDescent="0.35"/>
    <row r="93891" hidden="1" x14ac:dyDescent="0.35"/>
    <row r="93892" hidden="1" x14ac:dyDescent="0.35"/>
    <row r="93893" hidden="1" x14ac:dyDescent="0.35"/>
    <row r="93894" hidden="1" x14ac:dyDescent="0.35"/>
    <row r="93895" hidden="1" x14ac:dyDescent="0.35"/>
    <row r="93896" hidden="1" x14ac:dyDescent="0.35"/>
    <row r="93897" hidden="1" x14ac:dyDescent="0.35"/>
    <row r="93898" hidden="1" x14ac:dyDescent="0.35"/>
    <row r="93899" hidden="1" x14ac:dyDescent="0.35"/>
    <row r="93900" hidden="1" x14ac:dyDescent="0.35"/>
    <row r="93901" hidden="1" x14ac:dyDescent="0.35"/>
    <row r="93902" hidden="1" x14ac:dyDescent="0.35"/>
    <row r="93903" hidden="1" x14ac:dyDescent="0.35"/>
    <row r="93904" hidden="1" x14ac:dyDescent="0.35"/>
    <row r="93905" hidden="1" x14ac:dyDescent="0.35"/>
    <row r="93906" hidden="1" x14ac:dyDescent="0.35"/>
    <row r="93907" hidden="1" x14ac:dyDescent="0.35"/>
    <row r="93908" hidden="1" x14ac:dyDescent="0.35"/>
    <row r="93909" hidden="1" x14ac:dyDescent="0.35"/>
    <row r="93910" hidden="1" x14ac:dyDescent="0.35"/>
    <row r="93911" hidden="1" x14ac:dyDescent="0.35"/>
    <row r="93912" hidden="1" x14ac:dyDescent="0.35"/>
    <row r="93913" hidden="1" x14ac:dyDescent="0.35"/>
    <row r="93914" hidden="1" x14ac:dyDescent="0.35"/>
    <row r="93915" hidden="1" x14ac:dyDescent="0.35"/>
    <row r="93916" hidden="1" x14ac:dyDescent="0.35"/>
    <row r="93917" hidden="1" x14ac:dyDescent="0.35"/>
    <row r="93918" hidden="1" x14ac:dyDescent="0.35"/>
    <row r="93919" hidden="1" x14ac:dyDescent="0.35"/>
    <row r="93920" hidden="1" x14ac:dyDescent="0.35"/>
    <row r="93921" hidden="1" x14ac:dyDescent="0.35"/>
    <row r="93922" hidden="1" x14ac:dyDescent="0.35"/>
    <row r="93923" hidden="1" x14ac:dyDescent="0.35"/>
    <row r="93924" hidden="1" x14ac:dyDescent="0.35"/>
    <row r="93925" hidden="1" x14ac:dyDescent="0.35"/>
    <row r="93926" hidden="1" x14ac:dyDescent="0.35"/>
    <row r="93927" hidden="1" x14ac:dyDescent="0.35"/>
    <row r="93928" hidden="1" x14ac:dyDescent="0.35"/>
    <row r="93929" hidden="1" x14ac:dyDescent="0.35"/>
    <row r="93930" hidden="1" x14ac:dyDescent="0.35"/>
    <row r="93931" hidden="1" x14ac:dyDescent="0.35"/>
    <row r="93932" hidden="1" x14ac:dyDescent="0.35"/>
    <row r="93933" hidden="1" x14ac:dyDescent="0.35"/>
    <row r="93934" hidden="1" x14ac:dyDescent="0.35"/>
    <row r="93935" hidden="1" x14ac:dyDescent="0.35"/>
    <row r="93936" hidden="1" x14ac:dyDescent="0.35"/>
    <row r="93937" hidden="1" x14ac:dyDescent="0.35"/>
    <row r="93938" hidden="1" x14ac:dyDescent="0.35"/>
    <row r="93939" hidden="1" x14ac:dyDescent="0.35"/>
    <row r="93940" hidden="1" x14ac:dyDescent="0.35"/>
    <row r="93941" hidden="1" x14ac:dyDescent="0.35"/>
    <row r="93942" hidden="1" x14ac:dyDescent="0.35"/>
    <row r="93943" hidden="1" x14ac:dyDescent="0.35"/>
    <row r="93944" hidden="1" x14ac:dyDescent="0.35"/>
    <row r="93945" hidden="1" x14ac:dyDescent="0.35"/>
    <row r="93946" hidden="1" x14ac:dyDescent="0.35"/>
    <row r="93947" hidden="1" x14ac:dyDescent="0.35"/>
    <row r="93948" hidden="1" x14ac:dyDescent="0.35"/>
    <row r="93949" hidden="1" x14ac:dyDescent="0.35"/>
    <row r="93950" hidden="1" x14ac:dyDescent="0.35"/>
    <row r="93951" hidden="1" x14ac:dyDescent="0.35"/>
    <row r="93952" hidden="1" x14ac:dyDescent="0.35"/>
    <row r="93953" hidden="1" x14ac:dyDescent="0.35"/>
    <row r="93954" hidden="1" x14ac:dyDescent="0.35"/>
    <row r="93955" hidden="1" x14ac:dyDescent="0.35"/>
    <row r="93956" hidden="1" x14ac:dyDescent="0.35"/>
    <row r="93957" hidden="1" x14ac:dyDescent="0.35"/>
    <row r="93958" hidden="1" x14ac:dyDescent="0.35"/>
    <row r="93959" hidden="1" x14ac:dyDescent="0.35"/>
    <row r="93960" hidden="1" x14ac:dyDescent="0.35"/>
    <row r="93961" hidden="1" x14ac:dyDescent="0.35"/>
    <row r="93962" hidden="1" x14ac:dyDescent="0.35"/>
    <row r="93963" hidden="1" x14ac:dyDescent="0.35"/>
    <row r="93964" hidden="1" x14ac:dyDescent="0.35"/>
    <row r="93965" hidden="1" x14ac:dyDescent="0.35"/>
    <row r="93966" hidden="1" x14ac:dyDescent="0.35"/>
    <row r="93967" hidden="1" x14ac:dyDescent="0.35"/>
    <row r="93968" hidden="1" x14ac:dyDescent="0.35"/>
    <row r="93969" hidden="1" x14ac:dyDescent="0.35"/>
    <row r="93970" hidden="1" x14ac:dyDescent="0.35"/>
    <row r="93971" hidden="1" x14ac:dyDescent="0.35"/>
    <row r="93972" hidden="1" x14ac:dyDescent="0.35"/>
    <row r="93973" hidden="1" x14ac:dyDescent="0.35"/>
    <row r="93974" hidden="1" x14ac:dyDescent="0.35"/>
    <row r="93975" hidden="1" x14ac:dyDescent="0.35"/>
    <row r="93976" hidden="1" x14ac:dyDescent="0.35"/>
    <row r="93977" hidden="1" x14ac:dyDescent="0.35"/>
    <row r="93978" hidden="1" x14ac:dyDescent="0.35"/>
    <row r="93979" hidden="1" x14ac:dyDescent="0.35"/>
    <row r="93980" hidden="1" x14ac:dyDescent="0.35"/>
    <row r="93981" hidden="1" x14ac:dyDescent="0.35"/>
    <row r="93982" hidden="1" x14ac:dyDescent="0.35"/>
    <row r="93983" hidden="1" x14ac:dyDescent="0.35"/>
    <row r="93984" hidden="1" x14ac:dyDescent="0.35"/>
    <row r="93985" hidden="1" x14ac:dyDescent="0.35"/>
    <row r="93986" hidden="1" x14ac:dyDescent="0.35"/>
    <row r="93987" hidden="1" x14ac:dyDescent="0.35"/>
    <row r="93988" hidden="1" x14ac:dyDescent="0.35"/>
    <row r="93989" hidden="1" x14ac:dyDescent="0.35"/>
    <row r="93990" hidden="1" x14ac:dyDescent="0.35"/>
    <row r="93991" hidden="1" x14ac:dyDescent="0.35"/>
    <row r="93992" hidden="1" x14ac:dyDescent="0.35"/>
    <row r="93993" hidden="1" x14ac:dyDescent="0.35"/>
    <row r="93994" hidden="1" x14ac:dyDescent="0.35"/>
    <row r="93995" hidden="1" x14ac:dyDescent="0.35"/>
    <row r="93996" hidden="1" x14ac:dyDescent="0.35"/>
    <row r="93997" hidden="1" x14ac:dyDescent="0.35"/>
    <row r="93998" hidden="1" x14ac:dyDescent="0.35"/>
    <row r="93999" hidden="1" x14ac:dyDescent="0.35"/>
    <row r="94000" hidden="1" x14ac:dyDescent="0.35"/>
    <row r="94001" hidden="1" x14ac:dyDescent="0.35"/>
    <row r="94002" hidden="1" x14ac:dyDescent="0.35"/>
    <row r="94003" hidden="1" x14ac:dyDescent="0.35"/>
    <row r="94004" hidden="1" x14ac:dyDescent="0.35"/>
    <row r="94005" hidden="1" x14ac:dyDescent="0.35"/>
    <row r="94006" hidden="1" x14ac:dyDescent="0.35"/>
    <row r="94007" hidden="1" x14ac:dyDescent="0.35"/>
    <row r="94008" hidden="1" x14ac:dyDescent="0.35"/>
    <row r="94009" hidden="1" x14ac:dyDescent="0.35"/>
    <row r="94010" hidden="1" x14ac:dyDescent="0.35"/>
    <row r="94011" hidden="1" x14ac:dyDescent="0.35"/>
    <row r="94012" hidden="1" x14ac:dyDescent="0.35"/>
    <row r="94013" hidden="1" x14ac:dyDescent="0.35"/>
    <row r="94014" hidden="1" x14ac:dyDescent="0.35"/>
    <row r="94015" hidden="1" x14ac:dyDescent="0.35"/>
    <row r="94016" hidden="1" x14ac:dyDescent="0.35"/>
    <row r="94017" hidden="1" x14ac:dyDescent="0.35"/>
    <row r="94018" hidden="1" x14ac:dyDescent="0.35"/>
    <row r="94019" hidden="1" x14ac:dyDescent="0.35"/>
    <row r="94020" hidden="1" x14ac:dyDescent="0.35"/>
    <row r="94021" hidden="1" x14ac:dyDescent="0.35"/>
    <row r="94022" hidden="1" x14ac:dyDescent="0.35"/>
    <row r="94023" hidden="1" x14ac:dyDescent="0.35"/>
    <row r="94024" hidden="1" x14ac:dyDescent="0.35"/>
    <row r="94025" hidden="1" x14ac:dyDescent="0.35"/>
    <row r="94026" hidden="1" x14ac:dyDescent="0.35"/>
    <row r="94027" hidden="1" x14ac:dyDescent="0.35"/>
    <row r="94028" hidden="1" x14ac:dyDescent="0.35"/>
    <row r="94029" hidden="1" x14ac:dyDescent="0.35"/>
    <row r="94030" hidden="1" x14ac:dyDescent="0.35"/>
    <row r="94031" hidden="1" x14ac:dyDescent="0.35"/>
    <row r="94032" hidden="1" x14ac:dyDescent="0.35"/>
    <row r="94033" hidden="1" x14ac:dyDescent="0.35"/>
    <row r="94034" hidden="1" x14ac:dyDescent="0.35"/>
    <row r="94035" hidden="1" x14ac:dyDescent="0.35"/>
    <row r="94036" hidden="1" x14ac:dyDescent="0.35"/>
    <row r="94037" hidden="1" x14ac:dyDescent="0.35"/>
    <row r="94038" hidden="1" x14ac:dyDescent="0.35"/>
    <row r="94039" hidden="1" x14ac:dyDescent="0.35"/>
    <row r="94040" hidden="1" x14ac:dyDescent="0.35"/>
    <row r="94041" hidden="1" x14ac:dyDescent="0.35"/>
    <row r="94042" hidden="1" x14ac:dyDescent="0.35"/>
    <row r="94043" hidden="1" x14ac:dyDescent="0.35"/>
    <row r="94044" hidden="1" x14ac:dyDescent="0.35"/>
    <row r="94045" hidden="1" x14ac:dyDescent="0.35"/>
    <row r="94046" hidden="1" x14ac:dyDescent="0.35"/>
    <row r="94047" hidden="1" x14ac:dyDescent="0.35"/>
    <row r="94048" hidden="1" x14ac:dyDescent="0.35"/>
    <row r="94049" hidden="1" x14ac:dyDescent="0.35"/>
    <row r="94050" hidden="1" x14ac:dyDescent="0.35"/>
    <row r="94051" hidden="1" x14ac:dyDescent="0.35"/>
    <row r="94052" hidden="1" x14ac:dyDescent="0.35"/>
    <row r="94053" hidden="1" x14ac:dyDescent="0.35"/>
    <row r="94054" hidden="1" x14ac:dyDescent="0.35"/>
    <row r="94055" hidden="1" x14ac:dyDescent="0.35"/>
    <row r="94056" hidden="1" x14ac:dyDescent="0.35"/>
    <row r="94057" hidden="1" x14ac:dyDescent="0.35"/>
    <row r="94058" hidden="1" x14ac:dyDescent="0.35"/>
    <row r="94059" hidden="1" x14ac:dyDescent="0.35"/>
    <row r="94060" hidden="1" x14ac:dyDescent="0.35"/>
    <row r="94061" hidden="1" x14ac:dyDescent="0.35"/>
    <row r="94062" hidden="1" x14ac:dyDescent="0.35"/>
    <row r="94063" hidden="1" x14ac:dyDescent="0.35"/>
    <row r="94064" hidden="1" x14ac:dyDescent="0.35"/>
    <row r="94065" hidden="1" x14ac:dyDescent="0.35"/>
    <row r="94066" hidden="1" x14ac:dyDescent="0.35"/>
    <row r="94067" hidden="1" x14ac:dyDescent="0.35"/>
    <row r="94068" hidden="1" x14ac:dyDescent="0.35"/>
    <row r="94069" hidden="1" x14ac:dyDescent="0.35"/>
    <row r="94070" hidden="1" x14ac:dyDescent="0.35"/>
    <row r="94071" hidden="1" x14ac:dyDescent="0.35"/>
    <row r="94072" hidden="1" x14ac:dyDescent="0.35"/>
    <row r="94073" hidden="1" x14ac:dyDescent="0.35"/>
    <row r="94074" hidden="1" x14ac:dyDescent="0.35"/>
    <row r="94075" hidden="1" x14ac:dyDescent="0.35"/>
    <row r="94076" hidden="1" x14ac:dyDescent="0.35"/>
    <row r="94077" hidden="1" x14ac:dyDescent="0.35"/>
    <row r="94078" hidden="1" x14ac:dyDescent="0.35"/>
    <row r="94079" hidden="1" x14ac:dyDescent="0.35"/>
    <row r="94080" hidden="1" x14ac:dyDescent="0.35"/>
    <row r="94081" hidden="1" x14ac:dyDescent="0.35"/>
    <row r="94082" hidden="1" x14ac:dyDescent="0.35"/>
    <row r="94083" hidden="1" x14ac:dyDescent="0.35"/>
    <row r="94084" hidden="1" x14ac:dyDescent="0.35"/>
    <row r="94085" hidden="1" x14ac:dyDescent="0.35"/>
    <row r="94086" hidden="1" x14ac:dyDescent="0.35"/>
    <row r="94087" hidden="1" x14ac:dyDescent="0.35"/>
    <row r="94088" hidden="1" x14ac:dyDescent="0.35"/>
    <row r="94089" hidden="1" x14ac:dyDescent="0.35"/>
    <row r="94090" hidden="1" x14ac:dyDescent="0.35"/>
    <row r="94091" hidden="1" x14ac:dyDescent="0.35"/>
    <row r="94092" hidden="1" x14ac:dyDescent="0.35"/>
    <row r="94093" hidden="1" x14ac:dyDescent="0.35"/>
    <row r="94094" hidden="1" x14ac:dyDescent="0.35"/>
    <row r="94095" hidden="1" x14ac:dyDescent="0.35"/>
    <row r="94096" hidden="1" x14ac:dyDescent="0.35"/>
    <row r="94097" hidden="1" x14ac:dyDescent="0.35"/>
    <row r="94098" hidden="1" x14ac:dyDescent="0.35"/>
    <row r="94099" hidden="1" x14ac:dyDescent="0.35"/>
    <row r="94100" hidden="1" x14ac:dyDescent="0.35"/>
    <row r="94101" hidden="1" x14ac:dyDescent="0.35"/>
    <row r="94102" hidden="1" x14ac:dyDescent="0.35"/>
    <row r="94103" hidden="1" x14ac:dyDescent="0.35"/>
    <row r="94104" hidden="1" x14ac:dyDescent="0.35"/>
    <row r="94105" hidden="1" x14ac:dyDescent="0.35"/>
    <row r="94106" hidden="1" x14ac:dyDescent="0.35"/>
    <row r="94107" hidden="1" x14ac:dyDescent="0.35"/>
    <row r="94108" hidden="1" x14ac:dyDescent="0.35"/>
    <row r="94109" hidden="1" x14ac:dyDescent="0.35"/>
    <row r="94110" hidden="1" x14ac:dyDescent="0.35"/>
    <row r="94111" hidden="1" x14ac:dyDescent="0.35"/>
    <row r="94112" hidden="1" x14ac:dyDescent="0.35"/>
    <row r="94113" hidden="1" x14ac:dyDescent="0.35"/>
    <row r="94114" hidden="1" x14ac:dyDescent="0.35"/>
    <row r="94115" hidden="1" x14ac:dyDescent="0.35"/>
    <row r="94116" hidden="1" x14ac:dyDescent="0.35"/>
    <row r="94117" hidden="1" x14ac:dyDescent="0.35"/>
    <row r="94118" hidden="1" x14ac:dyDescent="0.35"/>
    <row r="94119" hidden="1" x14ac:dyDescent="0.35"/>
    <row r="94120" hidden="1" x14ac:dyDescent="0.35"/>
    <row r="94121" hidden="1" x14ac:dyDescent="0.35"/>
    <row r="94122" hidden="1" x14ac:dyDescent="0.35"/>
    <row r="94123" hidden="1" x14ac:dyDescent="0.35"/>
    <row r="94124" hidden="1" x14ac:dyDescent="0.35"/>
    <row r="94125" hidden="1" x14ac:dyDescent="0.35"/>
    <row r="94126" hidden="1" x14ac:dyDescent="0.35"/>
    <row r="94127" hidden="1" x14ac:dyDescent="0.35"/>
    <row r="94128" hidden="1" x14ac:dyDescent="0.35"/>
    <row r="94129" hidden="1" x14ac:dyDescent="0.35"/>
    <row r="94130" hidden="1" x14ac:dyDescent="0.35"/>
    <row r="94131" hidden="1" x14ac:dyDescent="0.35"/>
    <row r="94132" hidden="1" x14ac:dyDescent="0.35"/>
    <row r="94133" hidden="1" x14ac:dyDescent="0.35"/>
    <row r="94134" hidden="1" x14ac:dyDescent="0.35"/>
    <row r="94135" hidden="1" x14ac:dyDescent="0.35"/>
    <row r="94136" hidden="1" x14ac:dyDescent="0.35"/>
    <row r="94137" hidden="1" x14ac:dyDescent="0.35"/>
    <row r="94138" hidden="1" x14ac:dyDescent="0.35"/>
    <row r="94139" hidden="1" x14ac:dyDescent="0.35"/>
    <row r="94140" hidden="1" x14ac:dyDescent="0.35"/>
    <row r="94141" hidden="1" x14ac:dyDescent="0.35"/>
    <row r="94142" hidden="1" x14ac:dyDescent="0.35"/>
    <row r="94143" hidden="1" x14ac:dyDescent="0.35"/>
    <row r="94144" hidden="1" x14ac:dyDescent="0.35"/>
    <row r="94145" hidden="1" x14ac:dyDescent="0.35"/>
    <row r="94146" hidden="1" x14ac:dyDescent="0.35"/>
    <row r="94147" hidden="1" x14ac:dyDescent="0.35"/>
    <row r="94148" hidden="1" x14ac:dyDescent="0.35"/>
    <row r="94149" hidden="1" x14ac:dyDescent="0.35"/>
    <row r="94150" hidden="1" x14ac:dyDescent="0.35"/>
    <row r="94151" hidden="1" x14ac:dyDescent="0.35"/>
    <row r="94152" hidden="1" x14ac:dyDescent="0.35"/>
    <row r="94153" hidden="1" x14ac:dyDescent="0.35"/>
    <row r="94154" hidden="1" x14ac:dyDescent="0.35"/>
    <row r="94155" hidden="1" x14ac:dyDescent="0.35"/>
    <row r="94156" hidden="1" x14ac:dyDescent="0.35"/>
    <row r="94157" hidden="1" x14ac:dyDescent="0.35"/>
    <row r="94158" hidden="1" x14ac:dyDescent="0.35"/>
    <row r="94159" hidden="1" x14ac:dyDescent="0.35"/>
    <row r="94160" hidden="1" x14ac:dyDescent="0.35"/>
    <row r="94161" hidden="1" x14ac:dyDescent="0.35"/>
    <row r="94162" hidden="1" x14ac:dyDescent="0.35"/>
    <row r="94163" hidden="1" x14ac:dyDescent="0.35"/>
    <row r="94164" hidden="1" x14ac:dyDescent="0.35"/>
    <row r="94165" hidden="1" x14ac:dyDescent="0.35"/>
    <row r="94166" hidden="1" x14ac:dyDescent="0.35"/>
    <row r="94167" hidden="1" x14ac:dyDescent="0.35"/>
    <row r="94168" hidden="1" x14ac:dyDescent="0.35"/>
    <row r="94169" hidden="1" x14ac:dyDescent="0.35"/>
    <row r="94170" hidden="1" x14ac:dyDescent="0.35"/>
    <row r="94171" hidden="1" x14ac:dyDescent="0.35"/>
    <row r="94172" hidden="1" x14ac:dyDescent="0.35"/>
    <row r="94173" hidden="1" x14ac:dyDescent="0.35"/>
    <row r="94174" hidden="1" x14ac:dyDescent="0.35"/>
    <row r="94175" hidden="1" x14ac:dyDescent="0.35"/>
    <row r="94176" hidden="1" x14ac:dyDescent="0.35"/>
    <row r="94177" hidden="1" x14ac:dyDescent="0.35"/>
    <row r="94178" hidden="1" x14ac:dyDescent="0.35"/>
    <row r="94179" hidden="1" x14ac:dyDescent="0.35"/>
    <row r="94180" hidden="1" x14ac:dyDescent="0.35"/>
    <row r="94181" hidden="1" x14ac:dyDescent="0.35"/>
    <row r="94182" hidden="1" x14ac:dyDescent="0.35"/>
    <row r="94183" hidden="1" x14ac:dyDescent="0.35"/>
    <row r="94184" hidden="1" x14ac:dyDescent="0.35"/>
    <row r="94185" hidden="1" x14ac:dyDescent="0.35"/>
    <row r="94186" hidden="1" x14ac:dyDescent="0.35"/>
    <row r="94187" hidden="1" x14ac:dyDescent="0.35"/>
    <row r="94188" hidden="1" x14ac:dyDescent="0.35"/>
    <row r="94189" hidden="1" x14ac:dyDescent="0.35"/>
    <row r="94190" hidden="1" x14ac:dyDescent="0.35"/>
    <row r="94191" hidden="1" x14ac:dyDescent="0.35"/>
    <row r="94192" hidden="1" x14ac:dyDescent="0.35"/>
    <row r="94193" hidden="1" x14ac:dyDescent="0.35"/>
    <row r="94194" hidden="1" x14ac:dyDescent="0.35"/>
    <row r="94195" hidden="1" x14ac:dyDescent="0.35"/>
    <row r="94196" hidden="1" x14ac:dyDescent="0.35"/>
    <row r="94197" hidden="1" x14ac:dyDescent="0.35"/>
    <row r="94198" hidden="1" x14ac:dyDescent="0.35"/>
    <row r="94199" hidden="1" x14ac:dyDescent="0.35"/>
    <row r="94200" hidden="1" x14ac:dyDescent="0.35"/>
    <row r="94201" hidden="1" x14ac:dyDescent="0.35"/>
    <row r="94202" hidden="1" x14ac:dyDescent="0.35"/>
    <row r="94203" hidden="1" x14ac:dyDescent="0.35"/>
    <row r="94204" hidden="1" x14ac:dyDescent="0.35"/>
    <row r="94205" hidden="1" x14ac:dyDescent="0.35"/>
    <row r="94206" hidden="1" x14ac:dyDescent="0.35"/>
    <row r="94207" hidden="1" x14ac:dyDescent="0.35"/>
    <row r="94208" hidden="1" x14ac:dyDescent="0.35"/>
    <row r="94209" hidden="1" x14ac:dyDescent="0.35"/>
    <row r="94210" hidden="1" x14ac:dyDescent="0.35"/>
    <row r="94211" hidden="1" x14ac:dyDescent="0.35"/>
    <row r="94212" hidden="1" x14ac:dyDescent="0.35"/>
    <row r="94213" hidden="1" x14ac:dyDescent="0.35"/>
    <row r="94214" hidden="1" x14ac:dyDescent="0.35"/>
    <row r="94215" hidden="1" x14ac:dyDescent="0.35"/>
    <row r="94216" hidden="1" x14ac:dyDescent="0.35"/>
    <row r="94217" hidden="1" x14ac:dyDescent="0.35"/>
    <row r="94218" hidden="1" x14ac:dyDescent="0.35"/>
    <row r="94219" hidden="1" x14ac:dyDescent="0.35"/>
    <row r="94220" hidden="1" x14ac:dyDescent="0.35"/>
    <row r="94221" hidden="1" x14ac:dyDescent="0.35"/>
    <row r="94222" hidden="1" x14ac:dyDescent="0.35"/>
    <row r="94223" hidden="1" x14ac:dyDescent="0.35"/>
    <row r="94224" hidden="1" x14ac:dyDescent="0.35"/>
    <row r="94225" hidden="1" x14ac:dyDescent="0.35"/>
    <row r="94226" hidden="1" x14ac:dyDescent="0.35"/>
    <row r="94227" hidden="1" x14ac:dyDescent="0.35"/>
    <row r="94228" hidden="1" x14ac:dyDescent="0.35"/>
    <row r="94229" hidden="1" x14ac:dyDescent="0.35"/>
    <row r="94230" hidden="1" x14ac:dyDescent="0.35"/>
    <row r="94231" hidden="1" x14ac:dyDescent="0.35"/>
    <row r="94232" hidden="1" x14ac:dyDescent="0.35"/>
    <row r="94233" hidden="1" x14ac:dyDescent="0.35"/>
    <row r="94234" hidden="1" x14ac:dyDescent="0.35"/>
    <row r="94235" hidden="1" x14ac:dyDescent="0.35"/>
    <row r="94236" hidden="1" x14ac:dyDescent="0.35"/>
    <row r="94237" hidden="1" x14ac:dyDescent="0.35"/>
    <row r="94238" hidden="1" x14ac:dyDescent="0.35"/>
    <row r="94239" hidden="1" x14ac:dyDescent="0.35"/>
    <row r="94240" hidden="1" x14ac:dyDescent="0.35"/>
    <row r="94241" hidden="1" x14ac:dyDescent="0.35"/>
    <row r="94242" hidden="1" x14ac:dyDescent="0.35"/>
    <row r="94243" hidden="1" x14ac:dyDescent="0.35"/>
    <row r="94244" hidden="1" x14ac:dyDescent="0.35"/>
    <row r="94245" hidden="1" x14ac:dyDescent="0.35"/>
    <row r="94246" hidden="1" x14ac:dyDescent="0.35"/>
    <row r="94247" hidden="1" x14ac:dyDescent="0.35"/>
    <row r="94248" hidden="1" x14ac:dyDescent="0.35"/>
    <row r="94249" hidden="1" x14ac:dyDescent="0.35"/>
    <row r="94250" hidden="1" x14ac:dyDescent="0.35"/>
    <row r="94251" hidden="1" x14ac:dyDescent="0.35"/>
    <row r="94252" hidden="1" x14ac:dyDescent="0.35"/>
    <row r="94253" hidden="1" x14ac:dyDescent="0.35"/>
    <row r="94254" hidden="1" x14ac:dyDescent="0.35"/>
    <row r="94255" hidden="1" x14ac:dyDescent="0.35"/>
    <row r="94256" hidden="1" x14ac:dyDescent="0.35"/>
    <row r="94257" hidden="1" x14ac:dyDescent="0.35"/>
    <row r="94258" hidden="1" x14ac:dyDescent="0.35"/>
    <row r="94259" hidden="1" x14ac:dyDescent="0.35"/>
    <row r="94260" hidden="1" x14ac:dyDescent="0.35"/>
    <row r="94261" hidden="1" x14ac:dyDescent="0.35"/>
    <row r="94262" hidden="1" x14ac:dyDescent="0.35"/>
    <row r="94263" hidden="1" x14ac:dyDescent="0.35"/>
    <row r="94264" hidden="1" x14ac:dyDescent="0.35"/>
    <row r="94265" hidden="1" x14ac:dyDescent="0.35"/>
    <row r="94266" hidden="1" x14ac:dyDescent="0.35"/>
    <row r="94267" hidden="1" x14ac:dyDescent="0.35"/>
    <row r="94268" hidden="1" x14ac:dyDescent="0.35"/>
    <row r="94269" hidden="1" x14ac:dyDescent="0.35"/>
    <row r="94270" hidden="1" x14ac:dyDescent="0.35"/>
    <row r="94271" hidden="1" x14ac:dyDescent="0.35"/>
    <row r="94272" hidden="1" x14ac:dyDescent="0.35"/>
    <row r="94273" hidden="1" x14ac:dyDescent="0.35"/>
    <row r="94274" hidden="1" x14ac:dyDescent="0.35"/>
    <row r="94275" hidden="1" x14ac:dyDescent="0.35"/>
    <row r="94276" hidden="1" x14ac:dyDescent="0.35"/>
    <row r="94277" hidden="1" x14ac:dyDescent="0.35"/>
    <row r="94278" hidden="1" x14ac:dyDescent="0.35"/>
    <row r="94279" hidden="1" x14ac:dyDescent="0.35"/>
    <row r="94280" hidden="1" x14ac:dyDescent="0.35"/>
    <row r="94281" hidden="1" x14ac:dyDescent="0.35"/>
    <row r="94282" hidden="1" x14ac:dyDescent="0.35"/>
    <row r="94283" hidden="1" x14ac:dyDescent="0.35"/>
    <row r="94284" hidden="1" x14ac:dyDescent="0.35"/>
    <row r="94285" hidden="1" x14ac:dyDescent="0.35"/>
    <row r="94286" hidden="1" x14ac:dyDescent="0.35"/>
    <row r="94287" hidden="1" x14ac:dyDescent="0.35"/>
    <row r="94288" hidden="1" x14ac:dyDescent="0.35"/>
    <row r="94289" hidden="1" x14ac:dyDescent="0.35"/>
    <row r="94290" hidden="1" x14ac:dyDescent="0.35"/>
    <row r="94291" hidden="1" x14ac:dyDescent="0.35"/>
    <row r="94292" hidden="1" x14ac:dyDescent="0.35"/>
    <row r="94293" hidden="1" x14ac:dyDescent="0.35"/>
    <row r="94294" hidden="1" x14ac:dyDescent="0.35"/>
    <row r="94295" hidden="1" x14ac:dyDescent="0.35"/>
    <row r="94296" hidden="1" x14ac:dyDescent="0.35"/>
    <row r="94297" hidden="1" x14ac:dyDescent="0.35"/>
    <row r="94298" hidden="1" x14ac:dyDescent="0.35"/>
    <row r="94299" hidden="1" x14ac:dyDescent="0.35"/>
    <row r="94300" hidden="1" x14ac:dyDescent="0.35"/>
    <row r="94301" hidden="1" x14ac:dyDescent="0.35"/>
    <row r="94302" hidden="1" x14ac:dyDescent="0.35"/>
    <row r="94303" hidden="1" x14ac:dyDescent="0.35"/>
    <row r="94304" hidden="1" x14ac:dyDescent="0.35"/>
    <row r="94305" hidden="1" x14ac:dyDescent="0.35"/>
    <row r="94306" hidden="1" x14ac:dyDescent="0.35"/>
    <row r="94307" hidden="1" x14ac:dyDescent="0.35"/>
    <row r="94308" hidden="1" x14ac:dyDescent="0.35"/>
    <row r="94309" hidden="1" x14ac:dyDescent="0.35"/>
    <row r="94310" hidden="1" x14ac:dyDescent="0.35"/>
    <row r="94311" hidden="1" x14ac:dyDescent="0.35"/>
    <row r="94312" hidden="1" x14ac:dyDescent="0.35"/>
    <row r="94313" hidden="1" x14ac:dyDescent="0.35"/>
    <row r="94314" hidden="1" x14ac:dyDescent="0.35"/>
    <row r="94315" hidden="1" x14ac:dyDescent="0.35"/>
    <row r="94316" hidden="1" x14ac:dyDescent="0.35"/>
    <row r="94317" hidden="1" x14ac:dyDescent="0.35"/>
    <row r="94318" hidden="1" x14ac:dyDescent="0.35"/>
    <row r="94319" hidden="1" x14ac:dyDescent="0.35"/>
    <row r="94320" hidden="1" x14ac:dyDescent="0.35"/>
    <row r="94321" hidden="1" x14ac:dyDescent="0.35"/>
    <row r="94322" hidden="1" x14ac:dyDescent="0.35"/>
    <row r="94323" hidden="1" x14ac:dyDescent="0.35"/>
    <row r="94324" hidden="1" x14ac:dyDescent="0.35"/>
    <row r="94325" hidden="1" x14ac:dyDescent="0.35"/>
    <row r="94326" hidden="1" x14ac:dyDescent="0.35"/>
    <row r="94327" hidden="1" x14ac:dyDescent="0.35"/>
    <row r="94328" hidden="1" x14ac:dyDescent="0.35"/>
    <row r="94329" hidden="1" x14ac:dyDescent="0.35"/>
    <row r="94330" hidden="1" x14ac:dyDescent="0.35"/>
    <row r="94331" hidden="1" x14ac:dyDescent="0.35"/>
    <row r="94332" hidden="1" x14ac:dyDescent="0.35"/>
    <row r="94333" hidden="1" x14ac:dyDescent="0.35"/>
    <row r="94334" hidden="1" x14ac:dyDescent="0.35"/>
    <row r="94335" hidden="1" x14ac:dyDescent="0.35"/>
    <row r="94336" hidden="1" x14ac:dyDescent="0.35"/>
    <row r="94337" hidden="1" x14ac:dyDescent="0.35"/>
    <row r="94338" hidden="1" x14ac:dyDescent="0.35"/>
    <row r="94339" hidden="1" x14ac:dyDescent="0.35"/>
    <row r="94340" hidden="1" x14ac:dyDescent="0.35"/>
    <row r="94341" hidden="1" x14ac:dyDescent="0.35"/>
    <row r="94342" hidden="1" x14ac:dyDescent="0.35"/>
    <row r="94343" hidden="1" x14ac:dyDescent="0.35"/>
    <row r="94344" hidden="1" x14ac:dyDescent="0.35"/>
    <row r="94345" hidden="1" x14ac:dyDescent="0.35"/>
    <row r="94346" hidden="1" x14ac:dyDescent="0.35"/>
    <row r="94347" hidden="1" x14ac:dyDescent="0.35"/>
    <row r="94348" hidden="1" x14ac:dyDescent="0.35"/>
    <row r="94349" hidden="1" x14ac:dyDescent="0.35"/>
    <row r="94350" hidden="1" x14ac:dyDescent="0.35"/>
    <row r="94351" hidden="1" x14ac:dyDescent="0.35"/>
    <row r="94352" hidden="1" x14ac:dyDescent="0.35"/>
    <row r="94353" hidden="1" x14ac:dyDescent="0.35"/>
    <row r="94354" hidden="1" x14ac:dyDescent="0.35"/>
    <row r="94355" hidden="1" x14ac:dyDescent="0.35"/>
    <row r="94356" hidden="1" x14ac:dyDescent="0.35"/>
    <row r="94357" hidden="1" x14ac:dyDescent="0.35"/>
    <row r="94358" hidden="1" x14ac:dyDescent="0.35"/>
    <row r="94359" hidden="1" x14ac:dyDescent="0.35"/>
    <row r="94360" hidden="1" x14ac:dyDescent="0.35"/>
    <row r="94361" hidden="1" x14ac:dyDescent="0.35"/>
    <row r="94362" hidden="1" x14ac:dyDescent="0.35"/>
    <row r="94363" hidden="1" x14ac:dyDescent="0.35"/>
    <row r="94364" hidden="1" x14ac:dyDescent="0.35"/>
    <row r="94365" hidden="1" x14ac:dyDescent="0.35"/>
    <row r="94366" hidden="1" x14ac:dyDescent="0.35"/>
    <row r="94367" hidden="1" x14ac:dyDescent="0.35"/>
    <row r="94368" hidden="1" x14ac:dyDescent="0.35"/>
    <row r="94369" hidden="1" x14ac:dyDescent="0.35"/>
    <row r="94370" hidden="1" x14ac:dyDescent="0.35"/>
    <row r="94371" hidden="1" x14ac:dyDescent="0.35"/>
    <row r="94372" hidden="1" x14ac:dyDescent="0.35"/>
    <row r="94373" hidden="1" x14ac:dyDescent="0.35"/>
    <row r="94374" hidden="1" x14ac:dyDescent="0.35"/>
    <row r="94375" hidden="1" x14ac:dyDescent="0.35"/>
    <row r="94376" hidden="1" x14ac:dyDescent="0.35"/>
    <row r="94377" hidden="1" x14ac:dyDescent="0.35"/>
    <row r="94378" hidden="1" x14ac:dyDescent="0.35"/>
    <row r="94379" hidden="1" x14ac:dyDescent="0.35"/>
    <row r="94380" hidden="1" x14ac:dyDescent="0.35"/>
    <row r="94381" hidden="1" x14ac:dyDescent="0.35"/>
    <row r="94382" hidden="1" x14ac:dyDescent="0.35"/>
    <row r="94383" hidden="1" x14ac:dyDescent="0.35"/>
    <row r="94384" hidden="1" x14ac:dyDescent="0.35"/>
    <row r="94385" hidden="1" x14ac:dyDescent="0.35"/>
    <row r="94386" hidden="1" x14ac:dyDescent="0.35"/>
    <row r="94387" hidden="1" x14ac:dyDescent="0.35"/>
    <row r="94388" hidden="1" x14ac:dyDescent="0.35"/>
    <row r="94389" hidden="1" x14ac:dyDescent="0.35"/>
    <row r="94390" hidden="1" x14ac:dyDescent="0.35"/>
    <row r="94391" hidden="1" x14ac:dyDescent="0.35"/>
    <row r="94392" hidden="1" x14ac:dyDescent="0.35"/>
    <row r="94393" hidden="1" x14ac:dyDescent="0.35"/>
    <row r="94394" hidden="1" x14ac:dyDescent="0.35"/>
    <row r="94395" hidden="1" x14ac:dyDescent="0.35"/>
    <row r="94396" hidden="1" x14ac:dyDescent="0.35"/>
    <row r="94397" hidden="1" x14ac:dyDescent="0.35"/>
    <row r="94398" hidden="1" x14ac:dyDescent="0.35"/>
    <row r="94399" hidden="1" x14ac:dyDescent="0.35"/>
    <row r="94400" hidden="1" x14ac:dyDescent="0.35"/>
    <row r="94401" hidden="1" x14ac:dyDescent="0.35"/>
    <row r="94402" hidden="1" x14ac:dyDescent="0.35"/>
    <row r="94403" hidden="1" x14ac:dyDescent="0.35"/>
    <row r="94404" hidden="1" x14ac:dyDescent="0.35"/>
    <row r="94405" hidden="1" x14ac:dyDescent="0.35"/>
    <row r="94406" hidden="1" x14ac:dyDescent="0.35"/>
    <row r="94407" hidden="1" x14ac:dyDescent="0.35"/>
    <row r="94408" hidden="1" x14ac:dyDescent="0.35"/>
    <row r="94409" hidden="1" x14ac:dyDescent="0.35"/>
    <row r="94410" hidden="1" x14ac:dyDescent="0.35"/>
    <row r="94411" hidden="1" x14ac:dyDescent="0.35"/>
    <row r="94412" hidden="1" x14ac:dyDescent="0.35"/>
    <row r="94413" hidden="1" x14ac:dyDescent="0.35"/>
    <row r="94414" hidden="1" x14ac:dyDescent="0.35"/>
    <row r="94415" hidden="1" x14ac:dyDescent="0.35"/>
    <row r="94416" hidden="1" x14ac:dyDescent="0.35"/>
    <row r="94417" hidden="1" x14ac:dyDescent="0.35"/>
    <row r="94418" hidden="1" x14ac:dyDescent="0.35"/>
    <row r="94419" hidden="1" x14ac:dyDescent="0.35"/>
    <row r="94420" hidden="1" x14ac:dyDescent="0.35"/>
    <row r="94421" hidden="1" x14ac:dyDescent="0.35"/>
    <row r="94422" hidden="1" x14ac:dyDescent="0.35"/>
    <row r="94423" hidden="1" x14ac:dyDescent="0.35"/>
    <row r="94424" hidden="1" x14ac:dyDescent="0.35"/>
    <row r="94425" hidden="1" x14ac:dyDescent="0.35"/>
    <row r="94426" hidden="1" x14ac:dyDescent="0.35"/>
    <row r="94427" hidden="1" x14ac:dyDescent="0.35"/>
    <row r="94428" hidden="1" x14ac:dyDescent="0.35"/>
    <row r="94429" hidden="1" x14ac:dyDescent="0.35"/>
    <row r="94430" hidden="1" x14ac:dyDescent="0.35"/>
    <row r="94431" hidden="1" x14ac:dyDescent="0.35"/>
    <row r="94432" hidden="1" x14ac:dyDescent="0.35"/>
    <row r="94433" hidden="1" x14ac:dyDescent="0.35"/>
    <row r="94434" hidden="1" x14ac:dyDescent="0.35"/>
    <row r="94435" hidden="1" x14ac:dyDescent="0.35"/>
    <row r="94436" hidden="1" x14ac:dyDescent="0.35"/>
    <row r="94437" hidden="1" x14ac:dyDescent="0.35"/>
    <row r="94438" hidden="1" x14ac:dyDescent="0.35"/>
    <row r="94439" hidden="1" x14ac:dyDescent="0.35"/>
    <row r="94440" hidden="1" x14ac:dyDescent="0.35"/>
    <row r="94441" hidden="1" x14ac:dyDescent="0.35"/>
    <row r="94442" hidden="1" x14ac:dyDescent="0.35"/>
    <row r="94443" hidden="1" x14ac:dyDescent="0.35"/>
    <row r="94444" hidden="1" x14ac:dyDescent="0.35"/>
    <row r="94445" hidden="1" x14ac:dyDescent="0.35"/>
    <row r="94446" hidden="1" x14ac:dyDescent="0.35"/>
    <row r="94447" hidden="1" x14ac:dyDescent="0.35"/>
    <row r="94448" hidden="1" x14ac:dyDescent="0.35"/>
    <row r="94449" hidden="1" x14ac:dyDescent="0.35"/>
    <row r="94450" hidden="1" x14ac:dyDescent="0.35"/>
    <row r="94451" hidden="1" x14ac:dyDescent="0.35"/>
    <row r="94452" hidden="1" x14ac:dyDescent="0.35"/>
    <row r="94453" hidden="1" x14ac:dyDescent="0.35"/>
    <row r="94454" hidden="1" x14ac:dyDescent="0.35"/>
    <row r="94455" hidden="1" x14ac:dyDescent="0.35"/>
    <row r="94456" hidden="1" x14ac:dyDescent="0.35"/>
    <row r="94457" hidden="1" x14ac:dyDescent="0.35"/>
    <row r="94458" hidden="1" x14ac:dyDescent="0.35"/>
    <row r="94459" hidden="1" x14ac:dyDescent="0.35"/>
    <row r="94460" hidden="1" x14ac:dyDescent="0.35"/>
    <row r="94461" hidden="1" x14ac:dyDescent="0.35"/>
    <row r="94462" hidden="1" x14ac:dyDescent="0.35"/>
    <row r="94463" hidden="1" x14ac:dyDescent="0.35"/>
    <row r="94464" hidden="1" x14ac:dyDescent="0.35"/>
    <row r="94465" hidden="1" x14ac:dyDescent="0.35"/>
    <row r="94466" hidden="1" x14ac:dyDescent="0.35"/>
    <row r="94467" hidden="1" x14ac:dyDescent="0.35"/>
    <row r="94468" hidden="1" x14ac:dyDescent="0.35"/>
    <row r="94469" hidden="1" x14ac:dyDescent="0.35"/>
    <row r="94470" hidden="1" x14ac:dyDescent="0.35"/>
    <row r="94471" hidden="1" x14ac:dyDescent="0.35"/>
    <row r="94472" hidden="1" x14ac:dyDescent="0.35"/>
    <row r="94473" hidden="1" x14ac:dyDescent="0.35"/>
    <row r="94474" hidden="1" x14ac:dyDescent="0.35"/>
    <row r="94475" hidden="1" x14ac:dyDescent="0.35"/>
    <row r="94476" hidden="1" x14ac:dyDescent="0.35"/>
    <row r="94477" hidden="1" x14ac:dyDescent="0.35"/>
    <row r="94478" hidden="1" x14ac:dyDescent="0.35"/>
    <row r="94479" hidden="1" x14ac:dyDescent="0.35"/>
    <row r="94480" hidden="1" x14ac:dyDescent="0.35"/>
    <row r="94481" hidden="1" x14ac:dyDescent="0.35"/>
    <row r="94482" hidden="1" x14ac:dyDescent="0.35"/>
    <row r="94483" hidden="1" x14ac:dyDescent="0.35"/>
    <row r="94484" hidden="1" x14ac:dyDescent="0.35"/>
    <row r="94485" hidden="1" x14ac:dyDescent="0.35"/>
    <row r="94486" hidden="1" x14ac:dyDescent="0.35"/>
    <row r="94487" hidden="1" x14ac:dyDescent="0.35"/>
    <row r="94488" hidden="1" x14ac:dyDescent="0.35"/>
    <row r="94489" hidden="1" x14ac:dyDescent="0.35"/>
    <row r="94490" hidden="1" x14ac:dyDescent="0.35"/>
    <row r="94491" hidden="1" x14ac:dyDescent="0.35"/>
    <row r="94492" hidden="1" x14ac:dyDescent="0.35"/>
    <row r="94493" hidden="1" x14ac:dyDescent="0.35"/>
    <row r="94494" hidden="1" x14ac:dyDescent="0.35"/>
    <row r="94495" hidden="1" x14ac:dyDescent="0.35"/>
    <row r="94496" hidden="1" x14ac:dyDescent="0.35"/>
    <row r="94497" hidden="1" x14ac:dyDescent="0.35"/>
    <row r="94498" hidden="1" x14ac:dyDescent="0.35"/>
    <row r="94499" hidden="1" x14ac:dyDescent="0.35"/>
    <row r="94500" hidden="1" x14ac:dyDescent="0.35"/>
    <row r="94501" hidden="1" x14ac:dyDescent="0.35"/>
    <row r="94502" hidden="1" x14ac:dyDescent="0.35"/>
    <row r="94503" hidden="1" x14ac:dyDescent="0.35"/>
    <row r="94504" hidden="1" x14ac:dyDescent="0.35"/>
    <row r="94505" hidden="1" x14ac:dyDescent="0.35"/>
    <row r="94506" hidden="1" x14ac:dyDescent="0.35"/>
    <row r="94507" hidden="1" x14ac:dyDescent="0.35"/>
    <row r="94508" hidden="1" x14ac:dyDescent="0.35"/>
    <row r="94509" hidden="1" x14ac:dyDescent="0.35"/>
    <row r="94510" hidden="1" x14ac:dyDescent="0.35"/>
    <row r="94511" hidden="1" x14ac:dyDescent="0.35"/>
    <row r="94512" hidden="1" x14ac:dyDescent="0.35"/>
    <row r="94513" hidden="1" x14ac:dyDescent="0.35"/>
    <row r="94514" hidden="1" x14ac:dyDescent="0.35"/>
    <row r="94515" hidden="1" x14ac:dyDescent="0.35"/>
    <row r="94516" hidden="1" x14ac:dyDescent="0.35"/>
    <row r="94517" hidden="1" x14ac:dyDescent="0.35"/>
    <row r="94518" hidden="1" x14ac:dyDescent="0.35"/>
    <row r="94519" hidden="1" x14ac:dyDescent="0.35"/>
    <row r="94520" hidden="1" x14ac:dyDescent="0.35"/>
    <row r="94521" hidden="1" x14ac:dyDescent="0.35"/>
    <row r="94522" hidden="1" x14ac:dyDescent="0.35"/>
    <row r="94523" hidden="1" x14ac:dyDescent="0.35"/>
    <row r="94524" hidden="1" x14ac:dyDescent="0.35"/>
    <row r="94525" hidden="1" x14ac:dyDescent="0.35"/>
    <row r="94526" hidden="1" x14ac:dyDescent="0.35"/>
    <row r="94527" hidden="1" x14ac:dyDescent="0.35"/>
    <row r="94528" hidden="1" x14ac:dyDescent="0.35"/>
    <row r="94529" hidden="1" x14ac:dyDescent="0.35"/>
    <row r="94530" hidden="1" x14ac:dyDescent="0.35"/>
    <row r="94531" hidden="1" x14ac:dyDescent="0.35"/>
    <row r="94532" hidden="1" x14ac:dyDescent="0.35"/>
    <row r="94533" hidden="1" x14ac:dyDescent="0.35"/>
    <row r="94534" hidden="1" x14ac:dyDescent="0.35"/>
    <row r="94535" hidden="1" x14ac:dyDescent="0.35"/>
    <row r="94536" hidden="1" x14ac:dyDescent="0.35"/>
    <row r="94537" hidden="1" x14ac:dyDescent="0.35"/>
    <row r="94538" hidden="1" x14ac:dyDescent="0.35"/>
    <row r="94539" hidden="1" x14ac:dyDescent="0.35"/>
    <row r="94540" hidden="1" x14ac:dyDescent="0.35"/>
    <row r="94541" hidden="1" x14ac:dyDescent="0.35"/>
    <row r="94542" hidden="1" x14ac:dyDescent="0.35"/>
    <row r="94543" hidden="1" x14ac:dyDescent="0.35"/>
    <row r="94544" hidden="1" x14ac:dyDescent="0.35"/>
    <row r="94545" hidden="1" x14ac:dyDescent="0.35"/>
    <row r="94546" hidden="1" x14ac:dyDescent="0.35"/>
    <row r="94547" hidden="1" x14ac:dyDescent="0.35"/>
    <row r="94548" hidden="1" x14ac:dyDescent="0.35"/>
    <row r="94549" hidden="1" x14ac:dyDescent="0.35"/>
    <row r="94550" hidden="1" x14ac:dyDescent="0.35"/>
    <row r="94551" hidden="1" x14ac:dyDescent="0.35"/>
    <row r="94552" hidden="1" x14ac:dyDescent="0.35"/>
    <row r="94553" hidden="1" x14ac:dyDescent="0.35"/>
    <row r="94554" hidden="1" x14ac:dyDescent="0.35"/>
    <row r="94555" hidden="1" x14ac:dyDescent="0.35"/>
    <row r="94556" hidden="1" x14ac:dyDescent="0.35"/>
    <row r="94557" hidden="1" x14ac:dyDescent="0.35"/>
    <row r="94558" hidden="1" x14ac:dyDescent="0.35"/>
    <row r="94559" hidden="1" x14ac:dyDescent="0.35"/>
    <row r="94560" hidden="1" x14ac:dyDescent="0.35"/>
    <row r="94561" hidden="1" x14ac:dyDescent="0.35"/>
    <row r="94562" hidden="1" x14ac:dyDescent="0.35"/>
    <row r="94563" hidden="1" x14ac:dyDescent="0.35"/>
    <row r="94564" hidden="1" x14ac:dyDescent="0.35"/>
    <row r="94565" hidden="1" x14ac:dyDescent="0.35"/>
    <row r="94566" hidden="1" x14ac:dyDescent="0.35"/>
    <row r="94567" hidden="1" x14ac:dyDescent="0.35"/>
    <row r="94568" hidden="1" x14ac:dyDescent="0.35"/>
    <row r="94569" hidden="1" x14ac:dyDescent="0.35"/>
    <row r="94570" hidden="1" x14ac:dyDescent="0.35"/>
    <row r="94571" hidden="1" x14ac:dyDescent="0.35"/>
    <row r="94572" hidden="1" x14ac:dyDescent="0.35"/>
    <row r="94573" hidden="1" x14ac:dyDescent="0.35"/>
    <row r="94574" hidden="1" x14ac:dyDescent="0.35"/>
    <row r="94575" hidden="1" x14ac:dyDescent="0.35"/>
    <row r="94576" hidden="1" x14ac:dyDescent="0.35"/>
    <row r="94577" hidden="1" x14ac:dyDescent="0.35"/>
    <row r="94578" hidden="1" x14ac:dyDescent="0.35"/>
    <row r="94579" hidden="1" x14ac:dyDescent="0.35"/>
    <row r="94580" hidden="1" x14ac:dyDescent="0.35"/>
    <row r="94581" hidden="1" x14ac:dyDescent="0.35"/>
    <row r="94582" hidden="1" x14ac:dyDescent="0.35"/>
    <row r="94583" hidden="1" x14ac:dyDescent="0.35"/>
    <row r="94584" hidden="1" x14ac:dyDescent="0.35"/>
    <row r="94585" hidden="1" x14ac:dyDescent="0.35"/>
    <row r="94586" hidden="1" x14ac:dyDescent="0.35"/>
    <row r="94587" hidden="1" x14ac:dyDescent="0.35"/>
    <row r="94588" hidden="1" x14ac:dyDescent="0.35"/>
    <row r="94589" hidden="1" x14ac:dyDescent="0.35"/>
    <row r="94590" hidden="1" x14ac:dyDescent="0.35"/>
    <row r="94591" hidden="1" x14ac:dyDescent="0.35"/>
    <row r="94592" hidden="1" x14ac:dyDescent="0.35"/>
    <row r="94593" hidden="1" x14ac:dyDescent="0.35"/>
    <row r="94594" hidden="1" x14ac:dyDescent="0.35"/>
    <row r="94595" hidden="1" x14ac:dyDescent="0.35"/>
    <row r="94596" hidden="1" x14ac:dyDescent="0.35"/>
    <row r="94597" hidden="1" x14ac:dyDescent="0.35"/>
    <row r="94598" hidden="1" x14ac:dyDescent="0.35"/>
    <row r="94599" hidden="1" x14ac:dyDescent="0.35"/>
    <row r="94600" hidden="1" x14ac:dyDescent="0.35"/>
    <row r="94601" hidden="1" x14ac:dyDescent="0.35"/>
    <row r="94602" hidden="1" x14ac:dyDescent="0.35"/>
    <row r="94603" hidden="1" x14ac:dyDescent="0.35"/>
    <row r="94604" hidden="1" x14ac:dyDescent="0.35"/>
    <row r="94605" hidden="1" x14ac:dyDescent="0.35"/>
    <row r="94606" hidden="1" x14ac:dyDescent="0.35"/>
    <row r="94607" hidden="1" x14ac:dyDescent="0.35"/>
    <row r="94608" hidden="1" x14ac:dyDescent="0.35"/>
    <row r="94609" hidden="1" x14ac:dyDescent="0.35"/>
    <row r="94610" hidden="1" x14ac:dyDescent="0.35"/>
    <row r="94611" hidden="1" x14ac:dyDescent="0.35"/>
    <row r="94612" hidden="1" x14ac:dyDescent="0.35"/>
    <row r="94613" hidden="1" x14ac:dyDescent="0.35"/>
    <row r="94614" hidden="1" x14ac:dyDescent="0.35"/>
    <row r="94615" hidden="1" x14ac:dyDescent="0.35"/>
    <row r="94616" hidden="1" x14ac:dyDescent="0.35"/>
    <row r="94617" hidden="1" x14ac:dyDescent="0.35"/>
    <row r="94618" hidden="1" x14ac:dyDescent="0.35"/>
    <row r="94619" hidden="1" x14ac:dyDescent="0.35"/>
    <row r="94620" hidden="1" x14ac:dyDescent="0.35"/>
    <row r="94621" hidden="1" x14ac:dyDescent="0.35"/>
    <row r="94622" hidden="1" x14ac:dyDescent="0.35"/>
    <row r="94623" hidden="1" x14ac:dyDescent="0.35"/>
    <row r="94624" hidden="1" x14ac:dyDescent="0.35"/>
    <row r="94625" hidden="1" x14ac:dyDescent="0.35"/>
    <row r="94626" hidden="1" x14ac:dyDescent="0.35"/>
    <row r="94627" hidden="1" x14ac:dyDescent="0.35"/>
    <row r="94628" hidden="1" x14ac:dyDescent="0.35"/>
    <row r="94629" hidden="1" x14ac:dyDescent="0.35"/>
    <row r="94630" hidden="1" x14ac:dyDescent="0.35"/>
    <row r="94631" hidden="1" x14ac:dyDescent="0.35"/>
    <row r="94632" hidden="1" x14ac:dyDescent="0.35"/>
    <row r="94633" hidden="1" x14ac:dyDescent="0.35"/>
    <row r="94634" hidden="1" x14ac:dyDescent="0.35"/>
    <row r="94635" hidden="1" x14ac:dyDescent="0.35"/>
    <row r="94636" hidden="1" x14ac:dyDescent="0.35"/>
    <row r="94637" hidden="1" x14ac:dyDescent="0.35"/>
    <row r="94638" hidden="1" x14ac:dyDescent="0.35"/>
    <row r="94639" hidden="1" x14ac:dyDescent="0.35"/>
    <row r="94640" hidden="1" x14ac:dyDescent="0.35"/>
    <row r="94641" hidden="1" x14ac:dyDescent="0.35"/>
    <row r="94642" hidden="1" x14ac:dyDescent="0.35"/>
    <row r="94643" hidden="1" x14ac:dyDescent="0.35"/>
    <row r="94644" hidden="1" x14ac:dyDescent="0.35"/>
    <row r="94645" hidden="1" x14ac:dyDescent="0.35"/>
    <row r="94646" hidden="1" x14ac:dyDescent="0.35"/>
    <row r="94647" hidden="1" x14ac:dyDescent="0.35"/>
    <row r="94648" hidden="1" x14ac:dyDescent="0.35"/>
    <row r="94649" hidden="1" x14ac:dyDescent="0.35"/>
    <row r="94650" hidden="1" x14ac:dyDescent="0.35"/>
    <row r="94651" hidden="1" x14ac:dyDescent="0.35"/>
    <row r="94652" hidden="1" x14ac:dyDescent="0.35"/>
    <row r="94653" hidden="1" x14ac:dyDescent="0.35"/>
    <row r="94654" hidden="1" x14ac:dyDescent="0.35"/>
    <row r="94655" hidden="1" x14ac:dyDescent="0.35"/>
    <row r="94656" hidden="1" x14ac:dyDescent="0.35"/>
    <row r="94657" hidden="1" x14ac:dyDescent="0.35"/>
    <row r="94658" hidden="1" x14ac:dyDescent="0.35"/>
    <row r="94659" hidden="1" x14ac:dyDescent="0.35"/>
    <row r="94660" hidden="1" x14ac:dyDescent="0.35"/>
    <row r="94661" hidden="1" x14ac:dyDescent="0.35"/>
    <row r="94662" hidden="1" x14ac:dyDescent="0.35"/>
    <row r="94663" hidden="1" x14ac:dyDescent="0.35"/>
    <row r="94664" hidden="1" x14ac:dyDescent="0.35"/>
    <row r="94665" hidden="1" x14ac:dyDescent="0.35"/>
    <row r="94666" hidden="1" x14ac:dyDescent="0.35"/>
    <row r="94667" hidden="1" x14ac:dyDescent="0.35"/>
    <row r="94668" hidden="1" x14ac:dyDescent="0.35"/>
    <row r="94669" hidden="1" x14ac:dyDescent="0.35"/>
    <row r="94670" hidden="1" x14ac:dyDescent="0.35"/>
    <row r="94671" hidden="1" x14ac:dyDescent="0.35"/>
    <row r="94672" hidden="1" x14ac:dyDescent="0.35"/>
    <row r="94673" hidden="1" x14ac:dyDescent="0.35"/>
    <row r="94674" hidden="1" x14ac:dyDescent="0.35"/>
    <row r="94675" hidden="1" x14ac:dyDescent="0.35"/>
    <row r="94676" hidden="1" x14ac:dyDescent="0.35"/>
    <row r="94677" hidden="1" x14ac:dyDescent="0.35"/>
    <row r="94678" hidden="1" x14ac:dyDescent="0.35"/>
    <row r="94679" hidden="1" x14ac:dyDescent="0.35"/>
    <row r="94680" hidden="1" x14ac:dyDescent="0.35"/>
    <row r="94681" hidden="1" x14ac:dyDescent="0.35"/>
    <row r="94682" hidden="1" x14ac:dyDescent="0.35"/>
    <row r="94683" hidden="1" x14ac:dyDescent="0.35"/>
    <row r="94684" hidden="1" x14ac:dyDescent="0.35"/>
    <row r="94685" hidden="1" x14ac:dyDescent="0.35"/>
    <row r="94686" hidden="1" x14ac:dyDescent="0.35"/>
    <row r="94687" hidden="1" x14ac:dyDescent="0.35"/>
    <row r="94688" hidden="1" x14ac:dyDescent="0.35"/>
    <row r="94689" hidden="1" x14ac:dyDescent="0.35"/>
    <row r="94690" hidden="1" x14ac:dyDescent="0.35"/>
    <row r="94691" hidden="1" x14ac:dyDescent="0.35"/>
    <row r="94692" hidden="1" x14ac:dyDescent="0.35"/>
    <row r="94693" hidden="1" x14ac:dyDescent="0.35"/>
    <row r="94694" hidden="1" x14ac:dyDescent="0.35"/>
    <row r="94695" hidden="1" x14ac:dyDescent="0.35"/>
    <row r="94696" hidden="1" x14ac:dyDescent="0.35"/>
    <row r="94697" hidden="1" x14ac:dyDescent="0.35"/>
    <row r="94698" hidden="1" x14ac:dyDescent="0.35"/>
    <row r="94699" hidden="1" x14ac:dyDescent="0.35"/>
    <row r="94700" hidden="1" x14ac:dyDescent="0.35"/>
    <row r="94701" hidden="1" x14ac:dyDescent="0.35"/>
    <row r="94702" hidden="1" x14ac:dyDescent="0.35"/>
    <row r="94703" hidden="1" x14ac:dyDescent="0.35"/>
    <row r="94704" hidden="1" x14ac:dyDescent="0.35"/>
    <row r="94705" hidden="1" x14ac:dyDescent="0.35"/>
    <row r="94706" hidden="1" x14ac:dyDescent="0.35"/>
    <row r="94707" hidden="1" x14ac:dyDescent="0.35"/>
    <row r="94708" hidden="1" x14ac:dyDescent="0.35"/>
    <row r="94709" hidden="1" x14ac:dyDescent="0.35"/>
    <row r="94710" hidden="1" x14ac:dyDescent="0.35"/>
    <row r="94711" hidden="1" x14ac:dyDescent="0.35"/>
    <row r="94712" hidden="1" x14ac:dyDescent="0.35"/>
    <row r="94713" hidden="1" x14ac:dyDescent="0.35"/>
    <row r="94714" hidden="1" x14ac:dyDescent="0.35"/>
    <row r="94715" hidden="1" x14ac:dyDescent="0.35"/>
    <row r="94716" hidden="1" x14ac:dyDescent="0.35"/>
    <row r="94717" hidden="1" x14ac:dyDescent="0.35"/>
    <row r="94718" hidden="1" x14ac:dyDescent="0.35"/>
    <row r="94719" hidden="1" x14ac:dyDescent="0.35"/>
    <row r="94720" hidden="1" x14ac:dyDescent="0.35"/>
    <row r="94721" hidden="1" x14ac:dyDescent="0.35"/>
    <row r="94722" hidden="1" x14ac:dyDescent="0.35"/>
    <row r="94723" hidden="1" x14ac:dyDescent="0.35"/>
    <row r="94724" hidden="1" x14ac:dyDescent="0.35"/>
    <row r="94725" hidden="1" x14ac:dyDescent="0.35"/>
    <row r="94726" hidden="1" x14ac:dyDescent="0.35"/>
    <row r="94727" hidden="1" x14ac:dyDescent="0.35"/>
    <row r="94728" hidden="1" x14ac:dyDescent="0.35"/>
    <row r="94729" hidden="1" x14ac:dyDescent="0.35"/>
    <row r="94730" hidden="1" x14ac:dyDescent="0.35"/>
    <row r="94731" hidden="1" x14ac:dyDescent="0.35"/>
    <row r="94732" hidden="1" x14ac:dyDescent="0.35"/>
    <row r="94733" hidden="1" x14ac:dyDescent="0.35"/>
    <row r="94734" hidden="1" x14ac:dyDescent="0.35"/>
    <row r="94735" hidden="1" x14ac:dyDescent="0.35"/>
    <row r="94736" hidden="1" x14ac:dyDescent="0.35"/>
    <row r="94737" hidden="1" x14ac:dyDescent="0.35"/>
    <row r="94738" hidden="1" x14ac:dyDescent="0.35"/>
    <row r="94739" hidden="1" x14ac:dyDescent="0.35"/>
    <row r="94740" hidden="1" x14ac:dyDescent="0.35"/>
    <row r="94741" hidden="1" x14ac:dyDescent="0.35"/>
    <row r="94742" hidden="1" x14ac:dyDescent="0.35"/>
    <row r="94743" hidden="1" x14ac:dyDescent="0.35"/>
    <row r="94744" hidden="1" x14ac:dyDescent="0.35"/>
    <row r="94745" hidden="1" x14ac:dyDescent="0.35"/>
    <row r="94746" hidden="1" x14ac:dyDescent="0.35"/>
    <row r="94747" hidden="1" x14ac:dyDescent="0.35"/>
    <row r="94748" hidden="1" x14ac:dyDescent="0.35"/>
    <row r="94749" hidden="1" x14ac:dyDescent="0.35"/>
    <row r="94750" hidden="1" x14ac:dyDescent="0.35"/>
    <row r="94751" hidden="1" x14ac:dyDescent="0.35"/>
    <row r="94752" hidden="1" x14ac:dyDescent="0.35"/>
    <row r="94753" hidden="1" x14ac:dyDescent="0.35"/>
    <row r="94754" hidden="1" x14ac:dyDescent="0.35"/>
    <row r="94755" hidden="1" x14ac:dyDescent="0.35"/>
    <row r="94756" hidden="1" x14ac:dyDescent="0.35"/>
    <row r="94757" hidden="1" x14ac:dyDescent="0.35"/>
    <row r="94758" hidden="1" x14ac:dyDescent="0.35"/>
    <row r="94759" hidden="1" x14ac:dyDescent="0.35"/>
    <row r="94760" hidden="1" x14ac:dyDescent="0.35"/>
    <row r="94761" hidden="1" x14ac:dyDescent="0.35"/>
    <row r="94762" hidden="1" x14ac:dyDescent="0.35"/>
    <row r="94763" hidden="1" x14ac:dyDescent="0.35"/>
    <row r="94764" hidden="1" x14ac:dyDescent="0.35"/>
    <row r="94765" hidden="1" x14ac:dyDescent="0.35"/>
    <row r="94766" hidden="1" x14ac:dyDescent="0.35"/>
    <row r="94767" hidden="1" x14ac:dyDescent="0.35"/>
    <row r="94768" hidden="1" x14ac:dyDescent="0.35"/>
    <row r="94769" hidden="1" x14ac:dyDescent="0.35"/>
    <row r="94770" hidden="1" x14ac:dyDescent="0.35"/>
    <row r="94771" hidden="1" x14ac:dyDescent="0.35"/>
    <row r="94772" hidden="1" x14ac:dyDescent="0.35"/>
    <row r="94773" hidden="1" x14ac:dyDescent="0.35"/>
    <row r="94774" hidden="1" x14ac:dyDescent="0.35"/>
    <row r="94775" hidden="1" x14ac:dyDescent="0.35"/>
    <row r="94776" hidden="1" x14ac:dyDescent="0.35"/>
    <row r="94777" hidden="1" x14ac:dyDescent="0.35"/>
    <row r="94778" hidden="1" x14ac:dyDescent="0.35"/>
    <row r="94779" hidden="1" x14ac:dyDescent="0.35"/>
    <row r="94780" hidden="1" x14ac:dyDescent="0.35"/>
    <row r="94781" hidden="1" x14ac:dyDescent="0.35"/>
    <row r="94782" hidden="1" x14ac:dyDescent="0.35"/>
    <row r="94783" hidden="1" x14ac:dyDescent="0.35"/>
    <row r="94784" hidden="1" x14ac:dyDescent="0.35"/>
    <row r="94785" hidden="1" x14ac:dyDescent="0.35"/>
    <row r="94786" hidden="1" x14ac:dyDescent="0.35"/>
    <row r="94787" hidden="1" x14ac:dyDescent="0.35"/>
    <row r="94788" hidden="1" x14ac:dyDescent="0.35"/>
    <row r="94789" hidden="1" x14ac:dyDescent="0.35"/>
    <row r="94790" hidden="1" x14ac:dyDescent="0.35"/>
    <row r="94791" hidden="1" x14ac:dyDescent="0.35"/>
    <row r="94792" hidden="1" x14ac:dyDescent="0.35"/>
    <row r="94793" hidden="1" x14ac:dyDescent="0.35"/>
    <row r="94794" hidden="1" x14ac:dyDescent="0.35"/>
    <row r="94795" hidden="1" x14ac:dyDescent="0.35"/>
    <row r="94796" hidden="1" x14ac:dyDescent="0.35"/>
    <row r="94797" hidden="1" x14ac:dyDescent="0.35"/>
    <row r="94798" hidden="1" x14ac:dyDescent="0.35"/>
    <row r="94799" hidden="1" x14ac:dyDescent="0.35"/>
    <row r="94800" hidden="1" x14ac:dyDescent="0.35"/>
    <row r="94801" hidden="1" x14ac:dyDescent="0.35"/>
    <row r="94802" hidden="1" x14ac:dyDescent="0.35"/>
    <row r="94803" hidden="1" x14ac:dyDescent="0.35"/>
    <row r="94804" hidden="1" x14ac:dyDescent="0.35"/>
    <row r="94805" hidden="1" x14ac:dyDescent="0.35"/>
    <row r="94806" hidden="1" x14ac:dyDescent="0.35"/>
    <row r="94807" hidden="1" x14ac:dyDescent="0.35"/>
    <row r="94808" hidden="1" x14ac:dyDescent="0.35"/>
    <row r="94809" hidden="1" x14ac:dyDescent="0.35"/>
    <row r="94810" hidden="1" x14ac:dyDescent="0.35"/>
    <row r="94811" hidden="1" x14ac:dyDescent="0.35"/>
    <row r="94812" hidden="1" x14ac:dyDescent="0.35"/>
    <row r="94813" hidden="1" x14ac:dyDescent="0.35"/>
    <row r="94814" hidden="1" x14ac:dyDescent="0.35"/>
    <row r="94815" hidden="1" x14ac:dyDescent="0.35"/>
    <row r="94816" hidden="1" x14ac:dyDescent="0.35"/>
    <row r="94817" hidden="1" x14ac:dyDescent="0.35"/>
    <row r="94818" hidden="1" x14ac:dyDescent="0.35"/>
    <row r="94819" hidden="1" x14ac:dyDescent="0.35"/>
    <row r="94820" hidden="1" x14ac:dyDescent="0.35"/>
    <row r="94821" hidden="1" x14ac:dyDescent="0.35"/>
    <row r="94822" hidden="1" x14ac:dyDescent="0.35"/>
    <row r="94823" hidden="1" x14ac:dyDescent="0.35"/>
    <row r="94824" hidden="1" x14ac:dyDescent="0.35"/>
    <row r="94825" hidden="1" x14ac:dyDescent="0.35"/>
    <row r="94826" hidden="1" x14ac:dyDescent="0.35"/>
    <row r="94827" hidden="1" x14ac:dyDescent="0.35"/>
    <row r="94828" hidden="1" x14ac:dyDescent="0.35"/>
    <row r="94829" hidden="1" x14ac:dyDescent="0.35"/>
    <row r="94830" hidden="1" x14ac:dyDescent="0.35"/>
    <row r="94831" hidden="1" x14ac:dyDescent="0.35"/>
    <row r="94832" hidden="1" x14ac:dyDescent="0.35"/>
    <row r="94833" hidden="1" x14ac:dyDescent="0.35"/>
    <row r="94834" hidden="1" x14ac:dyDescent="0.35"/>
    <row r="94835" hidden="1" x14ac:dyDescent="0.35"/>
    <row r="94836" hidden="1" x14ac:dyDescent="0.35"/>
    <row r="94837" hidden="1" x14ac:dyDescent="0.35"/>
    <row r="94838" hidden="1" x14ac:dyDescent="0.35"/>
    <row r="94839" hidden="1" x14ac:dyDescent="0.35"/>
    <row r="94840" hidden="1" x14ac:dyDescent="0.35"/>
    <row r="94841" hidden="1" x14ac:dyDescent="0.35"/>
    <row r="94842" hidden="1" x14ac:dyDescent="0.35"/>
    <row r="94843" hidden="1" x14ac:dyDescent="0.35"/>
    <row r="94844" hidden="1" x14ac:dyDescent="0.35"/>
    <row r="94845" hidden="1" x14ac:dyDescent="0.35"/>
    <row r="94846" hidden="1" x14ac:dyDescent="0.35"/>
    <row r="94847" hidden="1" x14ac:dyDescent="0.35"/>
    <row r="94848" hidden="1" x14ac:dyDescent="0.35"/>
    <row r="94849" hidden="1" x14ac:dyDescent="0.35"/>
    <row r="94850" hidden="1" x14ac:dyDescent="0.35"/>
    <row r="94851" hidden="1" x14ac:dyDescent="0.35"/>
    <row r="94852" hidden="1" x14ac:dyDescent="0.35"/>
    <row r="94853" hidden="1" x14ac:dyDescent="0.35"/>
    <row r="94854" hidden="1" x14ac:dyDescent="0.35"/>
    <row r="94855" hidden="1" x14ac:dyDescent="0.35"/>
    <row r="94856" hidden="1" x14ac:dyDescent="0.35"/>
    <row r="94857" hidden="1" x14ac:dyDescent="0.35"/>
    <row r="94858" hidden="1" x14ac:dyDescent="0.35"/>
    <row r="94859" hidden="1" x14ac:dyDescent="0.35"/>
    <row r="94860" hidden="1" x14ac:dyDescent="0.35"/>
    <row r="94861" hidden="1" x14ac:dyDescent="0.35"/>
    <row r="94862" hidden="1" x14ac:dyDescent="0.35"/>
    <row r="94863" hidden="1" x14ac:dyDescent="0.35"/>
    <row r="94864" hidden="1" x14ac:dyDescent="0.35"/>
    <row r="94865" hidden="1" x14ac:dyDescent="0.35"/>
    <row r="94866" hidden="1" x14ac:dyDescent="0.35"/>
    <row r="94867" hidden="1" x14ac:dyDescent="0.35"/>
    <row r="94868" hidden="1" x14ac:dyDescent="0.35"/>
    <row r="94869" hidden="1" x14ac:dyDescent="0.35"/>
    <row r="94870" hidden="1" x14ac:dyDescent="0.35"/>
    <row r="94871" hidden="1" x14ac:dyDescent="0.35"/>
    <row r="94872" hidden="1" x14ac:dyDescent="0.35"/>
    <row r="94873" hidden="1" x14ac:dyDescent="0.35"/>
    <row r="94874" hidden="1" x14ac:dyDescent="0.35"/>
    <row r="94875" hidden="1" x14ac:dyDescent="0.35"/>
    <row r="94876" hidden="1" x14ac:dyDescent="0.35"/>
    <row r="94877" hidden="1" x14ac:dyDescent="0.35"/>
    <row r="94878" hidden="1" x14ac:dyDescent="0.35"/>
    <row r="94879" hidden="1" x14ac:dyDescent="0.35"/>
    <row r="94880" hidden="1" x14ac:dyDescent="0.35"/>
    <row r="94881" hidden="1" x14ac:dyDescent="0.35"/>
    <row r="94882" hidden="1" x14ac:dyDescent="0.35"/>
    <row r="94883" hidden="1" x14ac:dyDescent="0.35"/>
    <row r="94884" hidden="1" x14ac:dyDescent="0.35"/>
    <row r="94885" hidden="1" x14ac:dyDescent="0.35"/>
    <row r="94886" hidden="1" x14ac:dyDescent="0.35"/>
    <row r="94887" hidden="1" x14ac:dyDescent="0.35"/>
    <row r="94888" hidden="1" x14ac:dyDescent="0.35"/>
    <row r="94889" hidden="1" x14ac:dyDescent="0.35"/>
    <row r="94890" hidden="1" x14ac:dyDescent="0.35"/>
    <row r="94891" hidden="1" x14ac:dyDescent="0.35"/>
    <row r="94892" hidden="1" x14ac:dyDescent="0.35"/>
    <row r="94893" hidden="1" x14ac:dyDescent="0.35"/>
    <row r="94894" hidden="1" x14ac:dyDescent="0.35"/>
    <row r="94895" hidden="1" x14ac:dyDescent="0.35"/>
    <row r="94896" hidden="1" x14ac:dyDescent="0.35"/>
    <row r="94897" hidden="1" x14ac:dyDescent="0.35"/>
    <row r="94898" hidden="1" x14ac:dyDescent="0.35"/>
    <row r="94899" hidden="1" x14ac:dyDescent="0.35"/>
    <row r="94900" hidden="1" x14ac:dyDescent="0.35"/>
    <row r="94901" hidden="1" x14ac:dyDescent="0.35"/>
    <row r="94902" hidden="1" x14ac:dyDescent="0.35"/>
    <row r="94903" hidden="1" x14ac:dyDescent="0.35"/>
    <row r="94904" hidden="1" x14ac:dyDescent="0.35"/>
    <row r="94905" hidden="1" x14ac:dyDescent="0.35"/>
    <row r="94906" hidden="1" x14ac:dyDescent="0.35"/>
    <row r="94907" hidden="1" x14ac:dyDescent="0.35"/>
    <row r="94908" hidden="1" x14ac:dyDescent="0.35"/>
    <row r="94909" hidden="1" x14ac:dyDescent="0.35"/>
    <row r="94910" hidden="1" x14ac:dyDescent="0.35"/>
    <row r="94911" hidden="1" x14ac:dyDescent="0.35"/>
    <row r="94912" hidden="1" x14ac:dyDescent="0.35"/>
    <row r="94913" hidden="1" x14ac:dyDescent="0.35"/>
    <row r="94914" hidden="1" x14ac:dyDescent="0.35"/>
    <row r="94915" hidden="1" x14ac:dyDescent="0.35"/>
    <row r="94916" hidden="1" x14ac:dyDescent="0.35"/>
    <row r="94917" hidden="1" x14ac:dyDescent="0.35"/>
    <row r="94918" hidden="1" x14ac:dyDescent="0.35"/>
    <row r="94919" hidden="1" x14ac:dyDescent="0.35"/>
    <row r="94920" hidden="1" x14ac:dyDescent="0.35"/>
    <row r="94921" hidden="1" x14ac:dyDescent="0.35"/>
    <row r="94922" hidden="1" x14ac:dyDescent="0.35"/>
    <row r="94923" hidden="1" x14ac:dyDescent="0.35"/>
    <row r="94924" hidden="1" x14ac:dyDescent="0.35"/>
    <row r="94925" hidden="1" x14ac:dyDescent="0.35"/>
    <row r="94926" hidden="1" x14ac:dyDescent="0.35"/>
    <row r="94927" hidden="1" x14ac:dyDescent="0.35"/>
    <row r="94928" hidden="1" x14ac:dyDescent="0.35"/>
    <row r="94929" hidden="1" x14ac:dyDescent="0.35"/>
    <row r="94930" hidden="1" x14ac:dyDescent="0.35"/>
    <row r="94931" hidden="1" x14ac:dyDescent="0.35"/>
    <row r="94932" hidden="1" x14ac:dyDescent="0.35"/>
    <row r="94933" hidden="1" x14ac:dyDescent="0.35"/>
    <row r="94934" hidden="1" x14ac:dyDescent="0.35"/>
    <row r="94935" hidden="1" x14ac:dyDescent="0.35"/>
    <row r="94936" hidden="1" x14ac:dyDescent="0.35"/>
    <row r="94937" hidden="1" x14ac:dyDescent="0.35"/>
    <row r="94938" hidden="1" x14ac:dyDescent="0.35"/>
    <row r="94939" hidden="1" x14ac:dyDescent="0.35"/>
    <row r="94940" hidden="1" x14ac:dyDescent="0.35"/>
    <row r="94941" hidden="1" x14ac:dyDescent="0.35"/>
    <row r="94942" hidden="1" x14ac:dyDescent="0.35"/>
    <row r="94943" hidden="1" x14ac:dyDescent="0.35"/>
    <row r="94944" hidden="1" x14ac:dyDescent="0.35"/>
    <row r="94945" hidden="1" x14ac:dyDescent="0.35"/>
    <row r="94946" hidden="1" x14ac:dyDescent="0.35"/>
    <row r="94947" hidden="1" x14ac:dyDescent="0.35"/>
    <row r="94948" hidden="1" x14ac:dyDescent="0.35"/>
    <row r="94949" hidden="1" x14ac:dyDescent="0.35"/>
    <row r="94950" hidden="1" x14ac:dyDescent="0.35"/>
    <row r="94951" hidden="1" x14ac:dyDescent="0.35"/>
    <row r="94952" hidden="1" x14ac:dyDescent="0.35"/>
    <row r="94953" hidden="1" x14ac:dyDescent="0.35"/>
    <row r="94954" hidden="1" x14ac:dyDescent="0.35"/>
    <row r="94955" hidden="1" x14ac:dyDescent="0.35"/>
    <row r="94956" hidden="1" x14ac:dyDescent="0.35"/>
    <row r="94957" hidden="1" x14ac:dyDescent="0.35"/>
    <row r="94958" hidden="1" x14ac:dyDescent="0.35"/>
    <row r="94959" hidden="1" x14ac:dyDescent="0.35"/>
    <row r="94960" hidden="1" x14ac:dyDescent="0.35"/>
    <row r="94961" hidden="1" x14ac:dyDescent="0.35"/>
    <row r="94962" hidden="1" x14ac:dyDescent="0.35"/>
    <row r="94963" hidden="1" x14ac:dyDescent="0.35"/>
    <row r="94964" hidden="1" x14ac:dyDescent="0.35"/>
    <row r="94965" hidden="1" x14ac:dyDescent="0.35"/>
    <row r="94966" hidden="1" x14ac:dyDescent="0.35"/>
    <row r="94967" hidden="1" x14ac:dyDescent="0.35"/>
    <row r="94968" hidden="1" x14ac:dyDescent="0.35"/>
    <row r="94969" hidden="1" x14ac:dyDescent="0.35"/>
    <row r="94970" hidden="1" x14ac:dyDescent="0.35"/>
    <row r="94971" hidden="1" x14ac:dyDescent="0.35"/>
    <row r="94972" hidden="1" x14ac:dyDescent="0.35"/>
    <row r="94973" hidden="1" x14ac:dyDescent="0.35"/>
    <row r="94974" hidden="1" x14ac:dyDescent="0.35"/>
    <row r="94975" hidden="1" x14ac:dyDescent="0.35"/>
    <row r="94976" hidden="1" x14ac:dyDescent="0.35"/>
    <row r="94977" hidden="1" x14ac:dyDescent="0.35"/>
    <row r="94978" hidden="1" x14ac:dyDescent="0.35"/>
    <row r="94979" hidden="1" x14ac:dyDescent="0.35"/>
    <row r="94980" hidden="1" x14ac:dyDescent="0.35"/>
    <row r="94981" hidden="1" x14ac:dyDescent="0.35"/>
    <row r="94982" hidden="1" x14ac:dyDescent="0.35"/>
    <row r="94983" hidden="1" x14ac:dyDescent="0.35"/>
    <row r="94984" hidden="1" x14ac:dyDescent="0.35"/>
    <row r="94985" hidden="1" x14ac:dyDescent="0.35"/>
    <row r="94986" hidden="1" x14ac:dyDescent="0.35"/>
    <row r="94987" hidden="1" x14ac:dyDescent="0.35"/>
    <row r="94988" hidden="1" x14ac:dyDescent="0.35"/>
    <row r="94989" hidden="1" x14ac:dyDescent="0.35"/>
    <row r="94990" hidden="1" x14ac:dyDescent="0.35"/>
    <row r="94991" hidden="1" x14ac:dyDescent="0.35"/>
    <row r="94992" hidden="1" x14ac:dyDescent="0.35"/>
    <row r="94993" hidden="1" x14ac:dyDescent="0.35"/>
    <row r="94994" hidden="1" x14ac:dyDescent="0.35"/>
    <row r="94995" hidden="1" x14ac:dyDescent="0.35"/>
    <row r="94996" hidden="1" x14ac:dyDescent="0.35"/>
    <row r="94997" hidden="1" x14ac:dyDescent="0.35"/>
    <row r="94998" hidden="1" x14ac:dyDescent="0.35"/>
    <row r="94999" hidden="1" x14ac:dyDescent="0.35"/>
    <row r="95000" hidden="1" x14ac:dyDescent="0.35"/>
    <row r="95001" hidden="1" x14ac:dyDescent="0.35"/>
    <row r="95002" hidden="1" x14ac:dyDescent="0.35"/>
    <row r="95003" hidden="1" x14ac:dyDescent="0.35"/>
    <row r="95004" hidden="1" x14ac:dyDescent="0.35"/>
    <row r="95005" hidden="1" x14ac:dyDescent="0.35"/>
    <row r="95006" hidden="1" x14ac:dyDescent="0.35"/>
    <row r="95007" hidden="1" x14ac:dyDescent="0.35"/>
    <row r="95008" hidden="1" x14ac:dyDescent="0.35"/>
    <row r="95009" hidden="1" x14ac:dyDescent="0.35"/>
    <row r="95010" hidden="1" x14ac:dyDescent="0.35"/>
    <row r="95011" hidden="1" x14ac:dyDescent="0.35"/>
    <row r="95012" hidden="1" x14ac:dyDescent="0.35"/>
    <row r="95013" hidden="1" x14ac:dyDescent="0.35"/>
    <row r="95014" hidden="1" x14ac:dyDescent="0.35"/>
    <row r="95015" hidden="1" x14ac:dyDescent="0.35"/>
    <row r="95016" hidden="1" x14ac:dyDescent="0.35"/>
    <row r="95017" hidden="1" x14ac:dyDescent="0.35"/>
    <row r="95018" hidden="1" x14ac:dyDescent="0.35"/>
    <row r="95019" hidden="1" x14ac:dyDescent="0.35"/>
    <row r="95020" hidden="1" x14ac:dyDescent="0.35"/>
    <row r="95021" hidden="1" x14ac:dyDescent="0.35"/>
    <row r="95022" hidden="1" x14ac:dyDescent="0.35"/>
    <row r="95023" hidden="1" x14ac:dyDescent="0.35"/>
    <row r="95024" hidden="1" x14ac:dyDescent="0.35"/>
    <row r="95025" hidden="1" x14ac:dyDescent="0.35"/>
    <row r="95026" hidden="1" x14ac:dyDescent="0.35"/>
    <row r="95027" hidden="1" x14ac:dyDescent="0.35"/>
    <row r="95028" hidden="1" x14ac:dyDescent="0.35"/>
    <row r="95029" hidden="1" x14ac:dyDescent="0.35"/>
    <row r="95030" hidden="1" x14ac:dyDescent="0.35"/>
    <row r="95031" hidden="1" x14ac:dyDescent="0.35"/>
    <row r="95032" hidden="1" x14ac:dyDescent="0.35"/>
    <row r="95033" hidden="1" x14ac:dyDescent="0.35"/>
    <row r="95034" hidden="1" x14ac:dyDescent="0.35"/>
    <row r="95035" hidden="1" x14ac:dyDescent="0.35"/>
    <row r="95036" hidden="1" x14ac:dyDescent="0.35"/>
    <row r="95037" hidden="1" x14ac:dyDescent="0.35"/>
    <row r="95038" hidden="1" x14ac:dyDescent="0.35"/>
    <row r="95039" hidden="1" x14ac:dyDescent="0.35"/>
    <row r="95040" hidden="1" x14ac:dyDescent="0.35"/>
    <row r="95041" hidden="1" x14ac:dyDescent="0.35"/>
    <row r="95042" hidden="1" x14ac:dyDescent="0.35"/>
    <row r="95043" hidden="1" x14ac:dyDescent="0.35"/>
    <row r="95044" hidden="1" x14ac:dyDescent="0.35"/>
    <row r="95045" hidden="1" x14ac:dyDescent="0.35"/>
    <row r="95046" hidden="1" x14ac:dyDescent="0.35"/>
    <row r="95047" hidden="1" x14ac:dyDescent="0.35"/>
    <row r="95048" hidden="1" x14ac:dyDescent="0.35"/>
    <row r="95049" hidden="1" x14ac:dyDescent="0.35"/>
    <row r="95050" hidden="1" x14ac:dyDescent="0.35"/>
    <row r="95051" hidden="1" x14ac:dyDescent="0.35"/>
    <row r="95052" hidden="1" x14ac:dyDescent="0.35"/>
    <row r="95053" hidden="1" x14ac:dyDescent="0.35"/>
    <row r="95054" hidden="1" x14ac:dyDescent="0.35"/>
    <row r="95055" hidden="1" x14ac:dyDescent="0.35"/>
    <row r="95056" hidden="1" x14ac:dyDescent="0.35"/>
    <row r="95057" hidden="1" x14ac:dyDescent="0.35"/>
    <row r="95058" hidden="1" x14ac:dyDescent="0.35"/>
    <row r="95059" hidden="1" x14ac:dyDescent="0.35"/>
    <row r="95060" hidden="1" x14ac:dyDescent="0.35"/>
    <row r="95061" hidden="1" x14ac:dyDescent="0.35"/>
    <row r="95062" hidden="1" x14ac:dyDescent="0.35"/>
    <row r="95063" hidden="1" x14ac:dyDescent="0.35"/>
    <row r="95064" hidden="1" x14ac:dyDescent="0.35"/>
    <row r="95065" hidden="1" x14ac:dyDescent="0.35"/>
    <row r="95066" hidden="1" x14ac:dyDescent="0.35"/>
    <row r="95067" hidden="1" x14ac:dyDescent="0.35"/>
    <row r="95068" hidden="1" x14ac:dyDescent="0.35"/>
    <row r="95069" hidden="1" x14ac:dyDescent="0.35"/>
    <row r="95070" hidden="1" x14ac:dyDescent="0.35"/>
    <row r="95071" hidden="1" x14ac:dyDescent="0.35"/>
    <row r="95072" hidden="1" x14ac:dyDescent="0.35"/>
    <row r="95073" hidden="1" x14ac:dyDescent="0.35"/>
    <row r="95074" hidden="1" x14ac:dyDescent="0.35"/>
    <row r="95075" hidden="1" x14ac:dyDescent="0.35"/>
    <row r="95076" hidden="1" x14ac:dyDescent="0.35"/>
    <row r="95077" hidden="1" x14ac:dyDescent="0.35"/>
    <row r="95078" hidden="1" x14ac:dyDescent="0.35"/>
    <row r="95079" hidden="1" x14ac:dyDescent="0.35"/>
    <row r="95080" hidden="1" x14ac:dyDescent="0.35"/>
    <row r="95081" hidden="1" x14ac:dyDescent="0.35"/>
    <row r="95082" hidden="1" x14ac:dyDescent="0.35"/>
    <row r="95083" hidden="1" x14ac:dyDescent="0.35"/>
    <row r="95084" hidden="1" x14ac:dyDescent="0.35"/>
    <row r="95085" hidden="1" x14ac:dyDescent="0.35"/>
    <row r="95086" hidden="1" x14ac:dyDescent="0.35"/>
    <row r="95087" hidden="1" x14ac:dyDescent="0.35"/>
    <row r="95088" hidden="1" x14ac:dyDescent="0.35"/>
    <row r="95089" hidden="1" x14ac:dyDescent="0.35"/>
    <row r="95090" hidden="1" x14ac:dyDescent="0.35"/>
    <row r="95091" hidden="1" x14ac:dyDescent="0.35"/>
    <row r="95092" hidden="1" x14ac:dyDescent="0.35"/>
    <row r="95093" hidden="1" x14ac:dyDescent="0.35"/>
    <row r="95094" hidden="1" x14ac:dyDescent="0.35"/>
    <row r="95095" hidden="1" x14ac:dyDescent="0.35"/>
    <row r="95096" hidden="1" x14ac:dyDescent="0.35"/>
    <row r="95097" hidden="1" x14ac:dyDescent="0.35"/>
    <row r="95098" hidden="1" x14ac:dyDescent="0.35"/>
    <row r="95099" hidden="1" x14ac:dyDescent="0.35"/>
    <row r="95100" hidden="1" x14ac:dyDescent="0.35"/>
    <row r="95101" hidden="1" x14ac:dyDescent="0.35"/>
    <row r="95102" hidden="1" x14ac:dyDescent="0.35"/>
    <row r="95103" hidden="1" x14ac:dyDescent="0.35"/>
    <row r="95104" hidden="1" x14ac:dyDescent="0.35"/>
    <row r="95105" hidden="1" x14ac:dyDescent="0.35"/>
    <row r="95106" hidden="1" x14ac:dyDescent="0.35"/>
    <row r="95107" hidden="1" x14ac:dyDescent="0.35"/>
    <row r="95108" hidden="1" x14ac:dyDescent="0.35"/>
    <row r="95109" hidden="1" x14ac:dyDescent="0.35"/>
    <row r="95110" hidden="1" x14ac:dyDescent="0.35"/>
    <row r="95111" hidden="1" x14ac:dyDescent="0.35"/>
    <row r="95112" hidden="1" x14ac:dyDescent="0.35"/>
    <row r="95113" hidden="1" x14ac:dyDescent="0.35"/>
    <row r="95114" hidden="1" x14ac:dyDescent="0.35"/>
    <row r="95115" hidden="1" x14ac:dyDescent="0.35"/>
    <row r="95116" hidden="1" x14ac:dyDescent="0.35"/>
    <row r="95117" hidden="1" x14ac:dyDescent="0.35"/>
    <row r="95118" hidden="1" x14ac:dyDescent="0.35"/>
    <row r="95119" hidden="1" x14ac:dyDescent="0.35"/>
    <row r="95120" hidden="1" x14ac:dyDescent="0.35"/>
    <row r="95121" hidden="1" x14ac:dyDescent="0.35"/>
    <row r="95122" hidden="1" x14ac:dyDescent="0.35"/>
    <row r="95123" hidden="1" x14ac:dyDescent="0.35"/>
    <row r="95124" hidden="1" x14ac:dyDescent="0.35"/>
    <row r="95125" hidden="1" x14ac:dyDescent="0.35"/>
    <row r="95126" hidden="1" x14ac:dyDescent="0.35"/>
    <row r="95127" hidden="1" x14ac:dyDescent="0.35"/>
    <row r="95128" hidden="1" x14ac:dyDescent="0.35"/>
    <row r="95129" hidden="1" x14ac:dyDescent="0.35"/>
    <row r="95130" hidden="1" x14ac:dyDescent="0.35"/>
    <row r="95131" hidden="1" x14ac:dyDescent="0.35"/>
    <row r="95132" hidden="1" x14ac:dyDescent="0.35"/>
    <row r="95133" hidden="1" x14ac:dyDescent="0.35"/>
    <row r="95134" hidden="1" x14ac:dyDescent="0.35"/>
    <row r="95135" hidden="1" x14ac:dyDescent="0.35"/>
    <row r="95136" hidden="1" x14ac:dyDescent="0.35"/>
    <row r="95137" hidden="1" x14ac:dyDescent="0.35"/>
    <row r="95138" hidden="1" x14ac:dyDescent="0.35"/>
    <row r="95139" hidden="1" x14ac:dyDescent="0.35"/>
    <row r="95140" hidden="1" x14ac:dyDescent="0.35"/>
    <row r="95141" hidden="1" x14ac:dyDescent="0.35"/>
    <row r="95142" hidden="1" x14ac:dyDescent="0.35"/>
    <row r="95143" hidden="1" x14ac:dyDescent="0.35"/>
    <row r="95144" hidden="1" x14ac:dyDescent="0.35"/>
    <row r="95145" hidden="1" x14ac:dyDescent="0.35"/>
    <row r="95146" hidden="1" x14ac:dyDescent="0.35"/>
    <row r="95147" hidden="1" x14ac:dyDescent="0.35"/>
    <row r="95148" hidden="1" x14ac:dyDescent="0.35"/>
    <row r="95149" hidden="1" x14ac:dyDescent="0.35"/>
    <row r="95150" hidden="1" x14ac:dyDescent="0.35"/>
    <row r="95151" hidden="1" x14ac:dyDescent="0.35"/>
    <row r="95152" hidden="1" x14ac:dyDescent="0.35"/>
    <row r="95153" hidden="1" x14ac:dyDescent="0.35"/>
    <row r="95154" hidden="1" x14ac:dyDescent="0.35"/>
    <row r="95155" hidden="1" x14ac:dyDescent="0.35"/>
    <row r="95156" hidden="1" x14ac:dyDescent="0.35"/>
    <row r="95157" hidden="1" x14ac:dyDescent="0.35"/>
    <row r="95158" hidden="1" x14ac:dyDescent="0.35"/>
    <row r="95159" hidden="1" x14ac:dyDescent="0.35"/>
    <row r="95160" hidden="1" x14ac:dyDescent="0.35"/>
    <row r="95161" hidden="1" x14ac:dyDescent="0.35"/>
    <row r="95162" hidden="1" x14ac:dyDescent="0.35"/>
    <row r="95163" hidden="1" x14ac:dyDescent="0.35"/>
    <row r="95164" hidden="1" x14ac:dyDescent="0.35"/>
    <row r="95165" hidden="1" x14ac:dyDescent="0.35"/>
    <row r="95166" hidden="1" x14ac:dyDescent="0.35"/>
    <row r="95167" hidden="1" x14ac:dyDescent="0.35"/>
    <row r="95168" hidden="1" x14ac:dyDescent="0.35"/>
    <row r="95169" hidden="1" x14ac:dyDescent="0.35"/>
    <row r="95170" hidden="1" x14ac:dyDescent="0.35"/>
    <row r="95171" hidden="1" x14ac:dyDescent="0.35"/>
    <row r="95172" hidden="1" x14ac:dyDescent="0.35"/>
    <row r="95173" hidden="1" x14ac:dyDescent="0.35"/>
    <row r="95174" hidden="1" x14ac:dyDescent="0.35"/>
    <row r="95175" hidden="1" x14ac:dyDescent="0.35"/>
    <row r="95176" hidden="1" x14ac:dyDescent="0.35"/>
    <row r="95177" hidden="1" x14ac:dyDescent="0.35"/>
    <row r="95178" hidden="1" x14ac:dyDescent="0.35"/>
    <row r="95179" hidden="1" x14ac:dyDescent="0.35"/>
    <row r="95180" hidden="1" x14ac:dyDescent="0.35"/>
    <row r="95181" hidden="1" x14ac:dyDescent="0.35"/>
    <row r="95182" hidden="1" x14ac:dyDescent="0.35"/>
    <row r="95183" hidden="1" x14ac:dyDescent="0.35"/>
    <row r="95184" hidden="1" x14ac:dyDescent="0.35"/>
    <row r="95185" hidden="1" x14ac:dyDescent="0.35"/>
    <row r="95186" hidden="1" x14ac:dyDescent="0.35"/>
    <row r="95187" hidden="1" x14ac:dyDescent="0.35"/>
    <row r="95188" hidden="1" x14ac:dyDescent="0.35"/>
    <row r="95189" hidden="1" x14ac:dyDescent="0.35"/>
    <row r="95190" hidden="1" x14ac:dyDescent="0.35"/>
    <row r="95191" hidden="1" x14ac:dyDescent="0.35"/>
    <row r="95192" hidden="1" x14ac:dyDescent="0.35"/>
    <row r="95193" hidden="1" x14ac:dyDescent="0.35"/>
    <row r="95194" hidden="1" x14ac:dyDescent="0.35"/>
    <row r="95195" hidden="1" x14ac:dyDescent="0.35"/>
    <row r="95196" hidden="1" x14ac:dyDescent="0.35"/>
    <row r="95197" hidden="1" x14ac:dyDescent="0.35"/>
    <row r="95198" hidden="1" x14ac:dyDescent="0.35"/>
    <row r="95199" hidden="1" x14ac:dyDescent="0.35"/>
    <row r="95200" hidden="1" x14ac:dyDescent="0.35"/>
    <row r="95201" hidden="1" x14ac:dyDescent="0.35"/>
    <row r="95202" hidden="1" x14ac:dyDescent="0.35"/>
    <row r="95203" hidden="1" x14ac:dyDescent="0.35"/>
    <row r="95204" hidden="1" x14ac:dyDescent="0.35"/>
    <row r="95205" hidden="1" x14ac:dyDescent="0.35"/>
    <row r="95206" hidden="1" x14ac:dyDescent="0.35"/>
    <row r="95207" hidden="1" x14ac:dyDescent="0.35"/>
    <row r="95208" hidden="1" x14ac:dyDescent="0.35"/>
    <row r="95209" hidden="1" x14ac:dyDescent="0.35"/>
    <row r="95210" hidden="1" x14ac:dyDescent="0.35"/>
    <row r="95211" hidden="1" x14ac:dyDescent="0.35"/>
    <row r="95212" hidden="1" x14ac:dyDescent="0.35"/>
    <row r="95213" hidden="1" x14ac:dyDescent="0.35"/>
    <row r="95214" hidden="1" x14ac:dyDescent="0.35"/>
    <row r="95215" hidden="1" x14ac:dyDescent="0.35"/>
    <row r="95216" hidden="1" x14ac:dyDescent="0.35"/>
    <row r="95217" hidden="1" x14ac:dyDescent="0.35"/>
    <row r="95218" hidden="1" x14ac:dyDescent="0.35"/>
    <row r="95219" hidden="1" x14ac:dyDescent="0.35"/>
    <row r="95220" hidden="1" x14ac:dyDescent="0.35"/>
    <row r="95221" hidden="1" x14ac:dyDescent="0.35"/>
    <row r="95222" hidden="1" x14ac:dyDescent="0.35"/>
    <row r="95223" hidden="1" x14ac:dyDescent="0.35"/>
    <row r="95224" hidden="1" x14ac:dyDescent="0.35"/>
    <row r="95225" hidden="1" x14ac:dyDescent="0.35"/>
    <row r="95226" hidden="1" x14ac:dyDescent="0.35"/>
    <row r="95227" hidden="1" x14ac:dyDescent="0.35"/>
    <row r="95228" hidden="1" x14ac:dyDescent="0.35"/>
    <row r="95229" hidden="1" x14ac:dyDescent="0.35"/>
    <row r="95230" hidden="1" x14ac:dyDescent="0.35"/>
    <row r="95231" hidden="1" x14ac:dyDescent="0.35"/>
    <row r="95232" hidden="1" x14ac:dyDescent="0.35"/>
    <row r="95233" hidden="1" x14ac:dyDescent="0.35"/>
    <row r="95234" hidden="1" x14ac:dyDescent="0.35"/>
    <row r="95235" hidden="1" x14ac:dyDescent="0.35"/>
    <row r="95236" hidden="1" x14ac:dyDescent="0.35"/>
    <row r="95237" hidden="1" x14ac:dyDescent="0.35"/>
    <row r="95238" hidden="1" x14ac:dyDescent="0.35"/>
    <row r="95239" hidden="1" x14ac:dyDescent="0.35"/>
    <row r="95240" hidden="1" x14ac:dyDescent="0.35"/>
    <row r="95241" hidden="1" x14ac:dyDescent="0.35"/>
    <row r="95242" hidden="1" x14ac:dyDescent="0.35"/>
    <row r="95243" hidden="1" x14ac:dyDescent="0.35"/>
    <row r="95244" hidden="1" x14ac:dyDescent="0.35"/>
    <row r="95245" hidden="1" x14ac:dyDescent="0.35"/>
    <row r="95246" hidden="1" x14ac:dyDescent="0.35"/>
    <row r="95247" hidden="1" x14ac:dyDescent="0.35"/>
    <row r="95248" hidden="1" x14ac:dyDescent="0.35"/>
    <row r="95249" hidden="1" x14ac:dyDescent="0.35"/>
    <row r="95250" hidden="1" x14ac:dyDescent="0.35"/>
    <row r="95251" hidden="1" x14ac:dyDescent="0.35"/>
    <row r="95252" hidden="1" x14ac:dyDescent="0.35"/>
    <row r="95253" hidden="1" x14ac:dyDescent="0.35"/>
    <row r="95254" hidden="1" x14ac:dyDescent="0.35"/>
    <row r="95255" hidden="1" x14ac:dyDescent="0.35"/>
    <row r="95256" hidden="1" x14ac:dyDescent="0.35"/>
    <row r="95257" hidden="1" x14ac:dyDescent="0.35"/>
    <row r="95258" hidden="1" x14ac:dyDescent="0.35"/>
    <row r="95259" hidden="1" x14ac:dyDescent="0.35"/>
    <row r="95260" hidden="1" x14ac:dyDescent="0.35"/>
    <row r="95261" hidden="1" x14ac:dyDescent="0.35"/>
    <row r="95262" hidden="1" x14ac:dyDescent="0.35"/>
    <row r="95263" hidden="1" x14ac:dyDescent="0.35"/>
    <row r="95264" hidden="1" x14ac:dyDescent="0.35"/>
    <row r="95265" hidden="1" x14ac:dyDescent="0.35"/>
    <row r="95266" hidden="1" x14ac:dyDescent="0.35"/>
    <row r="95267" hidden="1" x14ac:dyDescent="0.35"/>
    <row r="95268" hidden="1" x14ac:dyDescent="0.35"/>
    <row r="95269" hidden="1" x14ac:dyDescent="0.35"/>
    <row r="95270" hidden="1" x14ac:dyDescent="0.35"/>
    <row r="95271" hidden="1" x14ac:dyDescent="0.35"/>
    <row r="95272" hidden="1" x14ac:dyDescent="0.35"/>
    <row r="95273" hidden="1" x14ac:dyDescent="0.35"/>
    <row r="95274" hidden="1" x14ac:dyDescent="0.35"/>
    <row r="95275" hidden="1" x14ac:dyDescent="0.35"/>
    <row r="95276" hidden="1" x14ac:dyDescent="0.35"/>
    <row r="95277" hidden="1" x14ac:dyDescent="0.35"/>
    <row r="95278" hidden="1" x14ac:dyDescent="0.35"/>
    <row r="95279" hidden="1" x14ac:dyDescent="0.35"/>
    <row r="95280" hidden="1" x14ac:dyDescent="0.35"/>
    <row r="95281" hidden="1" x14ac:dyDescent="0.35"/>
    <row r="95282" hidden="1" x14ac:dyDescent="0.35"/>
    <row r="95283" hidden="1" x14ac:dyDescent="0.35"/>
    <row r="95284" hidden="1" x14ac:dyDescent="0.35"/>
    <row r="95285" hidden="1" x14ac:dyDescent="0.35"/>
    <row r="95286" hidden="1" x14ac:dyDescent="0.35"/>
    <row r="95287" hidden="1" x14ac:dyDescent="0.35"/>
    <row r="95288" hidden="1" x14ac:dyDescent="0.35"/>
    <row r="95289" hidden="1" x14ac:dyDescent="0.35"/>
    <row r="95290" hidden="1" x14ac:dyDescent="0.35"/>
    <row r="95291" hidden="1" x14ac:dyDescent="0.35"/>
    <row r="95292" hidden="1" x14ac:dyDescent="0.35"/>
    <row r="95293" hidden="1" x14ac:dyDescent="0.35"/>
    <row r="95294" hidden="1" x14ac:dyDescent="0.35"/>
    <row r="95295" hidden="1" x14ac:dyDescent="0.35"/>
    <row r="95296" hidden="1" x14ac:dyDescent="0.35"/>
    <row r="95297" hidden="1" x14ac:dyDescent="0.35"/>
    <row r="95298" hidden="1" x14ac:dyDescent="0.35"/>
    <row r="95299" hidden="1" x14ac:dyDescent="0.35"/>
    <row r="95300" hidden="1" x14ac:dyDescent="0.35"/>
    <row r="95301" hidden="1" x14ac:dyDescent="0.35"/>
    <row r="95302" hidden="1" x14ac:dyDescent="0.35"/>
    <row r="95303" hidden="1" x14ac:dyDescent="0.35"/>
    <row r="95304" hidden="1" x14ac:dyDescent="0.35"/>
    <row r="95305" hidden="1" x14ac:dyDescent="0.35"/>
    <row r="95306" hidden="1" x14ac:dyDescent="0.35"/>
    <row r="95307" hidden="1" x14ac:dyDescent="0.35"/>
    <row r="95308" hidden="1" x14ac:dyDescent="0.35"/>
    <row r="95309" hidden="1" x14ac:dyDescent="0.35"/>
    <row r="95310" hidden="1" x14ac:dyDescent="0.35"/>
    <row r="95311" hidden="1" x14ac:dyDescent="0.35"/>
    <row r="95312" hidden="1" x14ac:dyDescent="0.35"/>
    <row r="95313" hidden="1" x14ac:dyDescent="0.35"/>
    <row r="95314" hidden="1" x14ac:dyDescent="0.35"/>
    <row r="95315" hidden="1" x14ac:dyDescent="0.35"/>
    <row r="95316" hidden="1" x14ac:dyDescent="0.35"/>
    <row r="95317" hidden="1" x14ac:dyDescent="0.35"/>
    <row r="95318" hidden="1" x14ac:dyDescent="0.35"/>
    <row r="95319" hidden="1" x14ac:dyDescent="0.35"/>
    <row r="95320" hidden="1" x14ac:dyDescent="0.35"/>
    <row r="95321" hidden="1" x14ac:dyDescent="0.35"/>
    <row r="95322" hidden="1" x14ac:dyDescent="0.35"/>
    <row r="95323" hidden="1" x14ac:dyDescent="0.35"/>
    <row r="95324" hidden="1" x14ac:dyDescent="0.35"/>
    <row r="95325" hidden="1" x14ac:dyDescent="0.35"/>
    <row r="95326" hidden="1" x14ac:dyDescent="0.35"/>
    <row r="95327" hidden="1" x14ac:dyDescent="0.35"/>
    <row r="95328" hidden="1" x14ac:dyDescent="0.35"/>
    <row r="95329" hidden="1" x14ac:dyDescent="0.35"/>
    <row r="95330" hidden="1" x14ac:dyDescent="0.35"/>
    <row r="95331" hidden="1" x14ac:dyDescent="0.35"/>
    <row r="95332" hidden="1" x14ac:dyDescent="0.35"/>
    <row r="95333" hidden="1" x14ac:dyDescent="0.35"/>
    <row r="95334" hidden="1" x14ac:dyDescent="0.35"/>
    <row r="95335" hidden="1" x14ac:dyDescent="0.35"/>
    <row r="95336" hidden="1" x14ac:dyDescent="0.35"/>
    <row r="95337" hidden="1" x14ac:dyDescent="0.35"/>
    <row r="95338" hidden="1" x14ac:dyDescent="0.35"/>
    <row r="95339" hidden="1" x14ac:dyDescent="0.35"/>
    <row r="95340" hidden="1" x14ac:dyDescent="0.35"/>
    <row r="95341" hidden="1" x14ac:dyDescent="0.35"/>
    <row r="95342" hidden="1" x14ac:dyDescent="0.35"/>
    <row r="95343" hidden="1" x14ac:dyDescent="0.35"/>
    <row r="95344" hidden="1" x14ac:dyDescent="0.35"/>
    <row r="95345" hidden="1" x14ac:dyDescent="0.35"/>
    <row r="95346" hidden="1" x14ac:dyDescent="0.35"/>
    <row r="95347" hidden="1" x14ac:dyDescent="0.35"/>
    <row r="95348" hidden="1" x14ac:dyDescent="0.35"/>
    <row r="95349" hidden="1" x14ac:dyDescent="0.35"/>
    <row r="95350" hidden="1" x14ac:dyDescent="0.35"/>
    <row r="95351" hidden="1" x14ac:dyDescent="0.35"/>
    <row r="95352" hidden="1" x14ac:dyDescent="0.35"/>
    <row r="95353" hidden="1" x14ac:dyDescent="0.35"/>
    <row r="95354" hidden="1" x14ac:dyDescent="0.35"/>
    <row r="95355" hidden="1" x14ac:dyDescent="0.35"/>
    <row r="95356" hidden="1" x14ac:dyDescent="0.35"/>
    <row r="95357" hidden="1" x14ac:dyDescent="0.35"/>
    <row r="95358" hidden="1" x14ac:dyDescent="0.35"/>
    <row r="95359" hidden="1" x14ac:dyDescent="0.35"/>
    <row r="95360" hidden="1" x14ac:dyDescent="0.35"/>
    <row r="95361" hidden="1" x14ac:dyDescent="0.35"/>
    <row r="95362" hidden="1" x14ac:dyDescent="0.35"/>
    <row r="95363" hidden="1" x14ac:dyDescent="0.35"/>
    <row r="95364" hidden="1" x14ac:dyDescent="0.35"/>
    <row r="95365" hidden="1" x14ac:dyDescent="0.35"/>
    <row r="95366" hidden="1" x14ac:dyDescent="0.35"/>
    <row r="95367" hidden="1" x14ac:dyDescent="0.35"/>
    <row r="95368" hidden="1" x14ac:dyDescent="0.35"/>
    <row r="95369" hidden="1" x14ac:dyDescent="0.35"/>
    <row r="95370" hidden="1" x14ac:dyDescent="0.35"/>
    <row r="95371" hidden="1" x14ac:dyDescent="0.35"/>
    <row r="95372" hidden="1" x14ac:dyDescent="0.35"/>
    <row r="95373" hidden="1" x14ac:dyDescent="0.35"/>
    <row r="95374" hidden="1" x14ac:dyDescent="0.35"/>
    <row r="95375" hidden="1" x14ac:dyDescent="0.35"/>
    <row r="95376" hidden="1" x14ac:dyDescent="0.35"/>
    <row r="95377" hidden="1" x14ac:dyDescent="0.35"/>
    <row r="95378" hidden="1" x14ac:dyDescent="0.35"/>
    <row r="95379" hidden="1" x14ac:dyDescent="0.35"/>
    <row r="95380" hidden="1" x14ac:dyDescent="0.35"/>
    <row r="95381" hidden="1" x14ac:dyDescent="0.35"/>
    <row r="95382" hidden="1" x14ac:dyDescent="0.35"/>
    <row r="95383" hidden="1" x14ac:dyDescent="0.35"/>
    <row r="95384" hidden="1" x14ac:dyDescent="0.35"/>
    <row r="95385" hidden="1" x14ac:dyDescent="0.35"/>
    <row r="95386" hidden="1" x14ac:dyDescent="0.35"/>
    <row r="95387" hidden="1" x14ac:dyDescent="0.35"/>
    <row r="95388" hidden="1" x14ac:dyDescent="0.35"/>
    <row r="95389" hidden="1" x14ac:dyDescent="0.35"/>
    <row r="95390" hidden="1" x14ac:dyDescent="0.35"/>
    <row r="95391" hidden="1" x14ac:dyDescent="0.35"/>
    <row r="95392" hidden="1" x14ac:dyDescent="0.35"/>
    <row r="95393" hidden="1" x14ac:dyDescent="0.35"/>
    <row r="95394" hidden="1" x14ac:dyDescent="0.35"/>
    <row r="95395" hidden="1" x14ac:dyDescent="0.35"/>
    <row r="95396" hidden="1" x14ac:dyDescent="0.35"/>
    <row r="95397" hidden="1" x14ac:dyDescent="0.35"/>
    <row r="95398" hidden="1" x14ac:dyDescent="0.35"/>
    <row r="95399" hidden="1" x14ac:dyDescent="0.35"/>
    <row r="95400" hidden="1" x14ac:dyDescent="0.35"/>
    <row r="95401" hidden="1" x14ac:dyDescent="0.35"/>
    <row r="95402" hidden="1" x14ac:dyDescent="0.35"/>
    <row r="95403" hidden="1" x14ac:dyDescent="0.35"/>
    <row r="95404" hidden="1" x14ac:dyDescent="0.35"/>
    <row r="95405" hidden="1" x14ac:dyDescent="0.35"/>
    <row r="95406" hidden="1" x14ac:dyDescent="0.35"/>
    <row r="95407" hidden="1" x14ac:dyDescent="0.35"/>
    <row r="95408" hidden="1" x14ac:dyDescent="0.35"/>
    <row r="95409" hidden="1" x14ac:dyDescent="0.35"/>
    <row r="95410" hidden="1" x14ac:dyDescent="0.35"/>
    <row r="95411" hidden="1" x14ac:dyDescent="0.35"/>
    <row r="95412" hidden="1" x14ac:dyDescent="0.35"/>
    <row r="95413" hidden="1" x14ac:dyDescent="0.35"/>
    <row r="95414" hidden="1" x14ac:dyDescent="0.35"/>
    <row r="95415" hidden="1" x14ac:dyDescent="0.35"/>
    <row r="95416" hidden="1" x14ac:dyDescent="0.35"/>
    <row r="95417" hidden="1" x14ac:dyDescent="0.35"/>
    <row r="95418" hidden="1" x14ac:dyDescent="0.35"/>
    <row r="95419" hidden="1" x14ac:dyDescent="0.35"/>
    <row r="95420" hidden="1" x14ac:dyDescent="0.35"/>
    <row r="95421" hidden="1" x14ac:dyDescent="0.35"/>
    <row r="95422" hidden="1" x14ac:dyDescent="0.35"/>
    <row r="95423" hidden="1" x14ac:dyDescent="0.35"/>
    <row r="95424" hidden="1" x14ac:dyDescent="0.35"/>
    <row r="95425" hidden="1" x14ac:dyDescent="0.35"/>
    <row r="95426" hidden="1" x14ac:dyDescent="0.35"/>
    <row r="95427" hidden="1" x14ac:dyDescent="0.35"/>
    <row r="95428" hidden="1" x14ac:dyDescent="0.35"/>
    <row r="95429" hidden="1" x14ac:dyDescent="0.35"/>
    <row r="95430" hidden="1" x14ac:dyDescent="0.35"/>
    <row r="95431" hidden="1" x14ac:dyDescent="0.35"/>
    <row r="95432" hidden="1" x14ac:dyDescent="0.35"/>
    <row r="95433" hidden="1" x14ac:dyDescent="0.35"/>
    <row r="95434" hidden="1" x14ac:dyDescent="0.35"/>
    <row r="95435" hidden="1" x14ac:dyDescent="0.35"/>
    <row r="95436" hidden="1" x14ac:dyDescent="0.35"/>
    <row r="95437" hidden="1" x14ac:dyDescent="0.35"/>
    <row r="95438" hidden="1" x14ac:dyDescent="0.35"/>
    <row r="95439" hidden="1" x14ac:dyDescent="0.35"/>
    <row r="95440" hidden="1" x14ac:dyDescent="0.35"/>
    <row r="95441" hidden="1" x14ac:dyDescent="0.35"/>
    <row r="95442" hidden="1" x14ac:dyDescent="0.35"/>
    <row r="95443" hidden="1" x14ac:dyDescent="0.35"/>
    <row r="95444" hidden="1" x14ac:dyDescent="0.35"/>
    <row r="95445" hidden="1" x14ac:dyDescent="0.35"/>
    <row r="95446" hidden="1" x14ac:dyDescent="0.35"/>
    <row r="95447" hidden="1" x14ac:dyDescent="0.35"/>
    <row r="95448" hidden="1" x14ac:dyDescent="0.35"/>
    <row r="95449" hidden="1" x14ac:dyDescent="0.35"/>
    <row r="95450" hidden="1" x14ac:dyDescent="0.35"/>
    <row r="95451" hidden="1" x14ac:dyDescent="0.35"/>
    <row r="95452" hidden="1" x14ac:dyDescent="0.35"/>
    <row r="95453" hidden="1" x14ac:dyDescent="0.35"/>
    <row r="95454" hidden="1" x14ac:dyDescent="0.35"/>
    <row r="95455" hidden="1" x14ac:dyDescent="0.35"/>
    <row r="95456" hidden="1" x14ac:dyDescent="0.35"/>
    <row r="95457" hidden="1" x14ac:dyDescent="0.35"/>
    <row r="95458" hidden="1" x14ac:dyDescent="0.35"/>
    <row r="95459" hidden="1" x14ac:dyDescent="0.35"/>
    <row r="95460" hidden="1" x14ac:dyDescent="0.35"/>
    <row r="95461" hidden="1" x14ac:dyDescent="0.35"/>
    <row r="95462" hidden="1" x14ac:dyDescent="0.35"/>
    <row r="95463" hidden="1" x14ac:dyDescent="0.35"/>
    <row r="95464" hidden="1" x14ac:dyDescent="0.35"/>
    <row r="95465" hidden="1" x14ac:dyDescent="0.35"/>
    <row r="95466" hidden="1" x14ac:dyDescent="0.35"/>
    <row r="95467" hidden="1" x14ac:dyDescent="0.35"/>
    <row r="95468" hidden="1" x14ac:dyDescent="0.35"/>
    <row r="95469" hidden="1" x14ac:dyDescent="0.35"/>
    <row r="95470" hidden="1" x14ac:dyDescent="0.35"/>
    <row r="95471" hidden="1" x14ac:dyDescent="0.35"/>
    <row r="95472" hidden="1" x14ac:dyDescent="0.35"/>
    <row r="95473" hidden="1" x14ac:dyDescent="0.35"/>
    <row r="95474" hidden="1" x14ac:dyDescent="0.35"/>
    <row r="95475" hidden="1" x14ac:dyDescent="0.35"/>
    <row r="95476" hidden="1" x14ac:dyDescent="0.35"/>
    <row r="95477" hidden="1" x14ac:dyDescent="0.35"/>
    <row r="95478" hidden="1" x14ac:dyDescent="0.35"/>
    <row r="95479" hidden="1" x14ac:dyDescent="0.35"/>
    <row r="95480" hidden="1" x14ac:dyDescent="0.35"/>
    <row r="95481" hidden="1" x14ac:dyDescent="0.35"/>
    <row r="95482" hidden="1" x14ac:dyDescent="0.35"/>
    <row r="95483" hidden="1" x14ac:dyDescent="0.35"/>
    <row r="95484" hidden="1" x14ac:dyDescent="0.35"/>
    <row r="95485" hidden="1" x14ac:dyDescent="0.35"/>
    <row r="95486" hidden="1" x14ac:dyDescent="0.35"/>
    <row r="95487" hidden="1" x14ac:dyDescent="0.35"/>
    <row r="95488" hidden="1" x14ac:dyDescent="0.35"/>
    <row r="95489" hidden="1" x14ac:dyDescent="0.35"/>
    <row r="95490" hidden="1" x14ac:dyDescent="0.35"/>
    <row r="95491" hidden="1" x14ac:dyDescent="0.35"/>
    <row r="95492" hidden="1" x14ac:dyDescent="0.35"/>
    <row r="95493" hidden="1" x14ac:dyDescent="0.35"/>
    <row r="95494" hidden="1" x14ac:dyDescent="0.35"/>
    <row r="95495" hidden="1" x14ac:dyDescent="0.35"/>
    <row r="95496" hidden="1" x14ac:dyDescent="0.35"/>
    <row r="95497" hidden="1" x14ac:dyDescent="0.35"/>
    <row r="95498" hidden="1" x14ac:dyDescent="0.35"/>
    <row r="95499" hidden="1" x14ac:dyDescent="0.35"/>
    <row r="95500" hidden="1" x14ac:dyDescent="0.35"/>
    <row r="95501" hidden="1" x14ac:dyDescent="0.35"/>
    <row r="95502" hidden="1" x14ac:dyDescent="0.35"/>
    <row r="95503" hidden="1" x14ac:dyDescent="0.35"/>
    <row r="95504" hidden="1" x14ac:dyDescent="0.35"/>
    <row r="95505" hidden="1" x14ac:dyDescent="0.35"/>
    <row r="95506" hidden="1" x14ac:dyDescent="0.35"/>
    <row r="95507" hidden="1" x14ac:dyDescent="0.35"/>
    <row r="95508" hidden="1" x14ac:dyDescent="0.35"/>
    <row r="95509" hidden="1" x14ac:dyDescent="0.35"/>
    <row r="95510" hidden="1" x14ac:dyDescent="0.35"/>
    <row r="95511" hidden="1" x14ac:dyDescent="0.35"/>
    <row r="95512" hidden="1" x14ac:dyDescent="0.35"/>
    <row r="95513" hidden="1" x14ac:dyDescent="0.35"/>
    <row r="95514" hidden="1" x14ac:dyDescent="0.35"/>
    <row r="95515" hidden="1" x14ac:dyDescent="0.35"/>
    <row r="95516" hidden="1" x14ac:dyDescent="0.35"/>
    <row r="95517" hidden="1" x14ac:dyDescent="0.35"/>
    <row r="95518" hidden="1" x14ac:dyDescent="0.35"/>
    <row r="95519" hidden="1" x14ac:dyDescent="0.35"/>
    <row r="95520" hidden="1" x14ac:dyDescent="0.35"/>
    <row r="95521" hidden="1" x14ac:dyDescent="0.35"/>
    <row r="95522" hidden="1" x14ac:dyDescent="0.35"/>
    <row r="95523" hidden="1" x14ac:dyDescent="0.35"/>
    <row r="95524" hidden="1" x14ac:dyDescent="0.35"/>
    <row r="95525" hidden="1" x14ac:dyDescent="0.35"/>
    <row r="95526" hidden="1" x14ac:dyDescent="0.35"/>
    <row r="95527" hidden="1" x14ac:dyDescent="0.35"/>
    <row r="95528" hidden="1" x14ac:dyDescent="0.35"/>
    <row r="95529" hidden="1" x14ac:dyDescent="0.35"/>
    <row r="95530" hidden="1" x14ac:dyDescent="0.35"/>
    <row r="95531" hidden="1" x14ac:dyDescent="0.35"/>
    <row r="95532" hidden="1" x14ac:dyDescent="0.35"/>
    <row r="95533" hidden="1" x14ac:dyDescent="0.35"/>
    <row r="95534" hidden="1" x14ac:dyDescent="0.35"/>
    <row r="95535" hidden="1" x14ac:dyDescent="0.35"/>
    <row r="95536" hidden="1" x14ac:dyDescent="0.35"/>
    <row r="95537" hidden="1" x14ac:dyDescent="0.35"/>
    <row r="95538" hidden="1" x14ac:dyDescent="0.35"/>
    <row r="95539" hidden="1" x14ac:dyDescent="0.35"/>
    <row r="95540" hidden="1" x14ac:dyDescent="0.35"/>
    <row r="95541" hidden="1" x14ac:dyDescent="0.35"/>
    <row r="95542" hidden="1" x14ac:dyDescent="0.35"/>
    <row r="95543" hidden="1" x14ac:dyDescent="0.35"/>
    <row r="95544" hidden="1" x14ac:dyDescent="0.35"/>
    <row r="95545" hidden="1" x14ac:dyDescent="0.35"/>
    <row r="95546" hidden="1" x14ac:dyDescent="0.35"/>
    <row r="95547" hidden="1" x14ac:dyDescent="0.35"/>
    <row r="95548" hidden="1" x14ac:dyDescent="0.35"/>
    <row r="95549" hidden="1" x14ac:dyDescent="0.35"/>
    <row r="95550" hidden="1" x14ac:dyDescent="0.35"/>
    <row r="95551" hidden="1" x14ac:dyDescent="0.35"/>
    <row r="95552" hidden="1" x14ac:dyDescent="0.35"/>
    <row r="95553" hidden="1" x14ac:dyDescent="0.35"/>
    <row r="95554" hidden="1" x14ac:dyDescent="0.35"/>
    <row r="95555" hidden="1" x14ac:dyDescent="0.35"/>
    <row r="95556" hidden="1" x14ac:dyDescent="0.35"/>
    <row r="95557" hidden="1" x14ac:dyDescent="0.35"/>
    <row r="95558" hidden="1" x14ac:dyDescent="0.35"/>
    <row r="95559" hidden="1" x14ac:dyDescent="0.35"/>
    <row r="95560" hidden="1" x14ac:dyDescent="0.35"/>
    <row r="95561" hidden="1" x14ac:dyDescent="0.35"/>
    <row r="95562" hidden="1" x14ac:dyDescent="0.35"/>
    <row r="95563" hidden="1" x14ac:dyDescent="0.35"/>
    <row r="95564" hidden="1" x14ac:dyDescent="0.35"/>
    <row r="95565" hidden="1" x14ac:dyDescent="0.35"/>
    <row r="95566" hidden="1" x14ac:dyDescent="0.35"/>
    <row r="95567" hidden="1" x14ac:dyDescent="0.35"/>
    <row r="95568" hidden="1" x14ac:dyDescent="0.35"/>
    <row r="95569" hidden="1" x14ac:dyDescent="0.35"/>
    <row r="95570" hidden="1" x14ac:dyDescent="0.35"/>
    <row r="95571" hidden="1" x14ac:dyDescent="0.35"/>
    <row r="95572" hidden="1" x14ac:dyDescent="0.35"/>
    <row r="95573" hidden="1" x14ac:dyDescent="0.35"/>
    <row r="95574" hidden="1" x14ac:dyDescent="0.35"/>
    <row r="95575" hidden="1" x14ac:dyDescent="0.35"/>
    <row r="95576" hidden="1" x14ac:dyDescent="0.35"/>
    <row r="95577" hidden="1" x14ac:dyDescent="0.35"/>
    <row r="95578" hidden="1" x14ac:dyDescent="0.35"/>
    <row r="95579" hidden="1" x14ac:dyDescent="0.35"/>
    <row r="95580" hidden="1" x14ac:dyDescent="0.35"/>
    <row r="95581" hidden="1" x14ac:dyDescent="0.35"/>
    <row r="95582" hidden="1" x14ac:dyDescent="0.35"/>
    <row r="95583" hidden="1" x14ac:dyDescent="0.35"/>
    <row r="95584" hidden="1" x14ac:dyDescent="0.35"/>
    <row r="95585" hidden="1" x14ac:dyDescent="0.35"/>
    <row r="95586" hidden="1" x14ac:dyDescent="0.35"/>
    <row r="95587" hidden="1" x14ac:dyDescent="0.35"/>
    <row r="95588" hidden="1" x14ac:dyDescent="0.35"/>
    <row r="95589" hidden="1" x14ac:dyDescent="0.35"/>
    <row r="95590" hidden="1" x14ac:dyDescent="0.35"/>
    <row r="95591" hidden="1" x14ac:dyDescent="0.35"/>
    <row r="95592" hidden="1" x14ac:dyDescent="0.35"/>
    <row r="95593" hidden="1" x14ac:dyDescent="0.35"/>
    <row r="95594" hidden="1" x14ac:dyDescent="0.35"/>
    <row r="95595" hidden="1" x14ac:dyDescent="0.35"/>
    <row r="95596" hidden="1" x14ac:dyDescent="0.35"/>
    <row r="95597" hidden="1" x14ac:dyDescent="0.35"/>
    <row r="95598" hidden="1" x14ac:dyDescent="0.35"/>
    <row r="95599" hidden="1" x14ac:dyDescent="0.35"/>
    <row r="95600" hidden="1" x14ac:dyDescent="0.35"/>
    <row r="95601" hidden="1" x14ac:dyDescent="0.35"/>
    <row r="95602" hidden="1" x14ac:dyDescent="0.35"/>
    <row r="95603" hidden="1" x14ac:dyDescent="0.35"/>
    <row r="95604" hidden="1" x14ac:dyDescent="0.35"/>
    <row r="95605" hidden="1" x14ac:dyDescent="0.35"/>
    <row r="95606" hidden="1" x14ac:dyDescent="0.35"/>
    <row r="95607" hidden="1" x14ac:dyDescent="0.35"/>
    <row r="95608" hidden="1" x14ac:dyDescent="0.35"/>
    <row r="95609" hidden="1" x14ac:dyDescent="0.35"/>
    <row r="95610" hidden="1" x14ac:dyDescent="0.35"/>
    <row r="95611" hidden="1" x14ac:dyDescent="0.35"/>
    <row r="95612" hidden="1" x14ac:dyDescent="0.35"/>
    <row r="95613" hidden="1" x14ac:dyDescent="0.35"/>
    <row r="95614" hidden="1" x14ac:dyDescent="0.35"/>
    <row r="95615" hidden="1" x14ac:dyDescent="0.35"/>
    <row r="95616" hidden="1" x14ac:dyDescent="0.35"/>
    <row r="95617" hidden="1" x14ac:dyDescent="0.35"/>
    <row r="95618" hidden="1" x14ac:dyDescent="0.35"/>
    <row r="95619" hidden="1" x14ac:dyDescent="0.35"/>
    <row r="95620" hidden="1" x14ac:dyDescent="0.35"/>
    <row r="95621" hidden="1" x14ac:dyDescent="0.35"/>
    <row r="95622" hidden="1" x14ac:dyDescent="0.35"/>
    <row r="95623" hidden="1" x14ac:dyDescent="0.35"/>
    <row r="95624" hidden="1" x14ac:dyDescent="0.35"/>
    <row r="95625" hidden="1" x14ac:dyDescent="0.35"/>
    <row r="95626" hidden="1" x14ac:dyDescent="0.35"/>
    <row r="95627" hidden="1" x14ac:dyDescent="0.35"/>
    <row r="95628" hidden="1" x14ac:dyDescent="0.35"/>
    <row r="95629" hidden="1" x14ac:dyDescent="0.35"/>
    <row r="95630" hidden="1" x14ac:dyDescent="0.35"/>
    <row r="95631" hidden="1" x14ac:dyDescent="0.35"/>
    <row r="95632" hidden="1" x14ac:dyDescent="0.35"/>
    <row r="95633" hidden="1" x14ac:dyDescent="0.35"/>
    <row r="95634" hidden="1" x14ac:dyDescent="0.35"/>
    <row r="95635" hidden="1" x14ac:dyDescent="0.35"/>
    <row r="95636" hidden="1" x14ac:dyDescent="0.35"/>
    <row r="95637" hidden="1" x14ac:dyDescent="0.35"/>
    <row r="95638" hidden="1" x14ac:dyDescent="0.35"/>
    <row r="95639" hidden="1" x14ac:dyDescent="0.35"/>
    <row r="95640" hidden="1" x14ac:dyDescent="0.35"/>
    <row r="95641" hidden="1" x14ac:dyDescent="0.35"/>
    <row r="95642" hidden="1" x14ac:dyDescent="0.35"/>
    <row r="95643" hidden="1" x14ac:dyDescent="0.35"/>
    <row r="95644" hidden="1" x14ac:dyDescent="0.35"/>
    <row r="95645" hidden="1" x14ac:dyDescent="0.35"/>
    <row r="95646" hidden="1" x14ac:dyDescent="0.35"/>
    <row r="95647" hidden="1" x14ac:dyDescent="0.35"/>
    <row r="95648" hidden="1" x14ac:dyDescent="0.35"/>
    <row r="95649" hidden="1" x14ac:dyDescent="0.35"/>
    <row r="95650" hidden="1" x14ac:dyDescent="0.35"/>
    <row r="95651" hidden="1" x14ac:dyDescent="0.35"/>
    <row r="95652" hidden="1" x14ac:dyDescent="0.35"/>
    <row r="95653" hidden="1" x14ac:dyDescent="0.35"/>
    <row r="95654" hidden="1" x14ac:dyDescent="0.35"/>
    <row r="95655" hidden="1" x14ac:dyDescent="0.35"/>
    <row r="95656" hidden="1" x14ac:dyDescent="0.35"/>
    <row r="95657" hidden="1" x14ac:dyDescent="0.35"/>
    <row r="95658" hidden="1" x14ac:dyDescent="0.35"/>
    <row r="95659" hidden="1" x14ac:dyDescent="0.35"/>
    <row r="95660" hidden="1" x14ac:dyDescent="0.35"/>
    <row r="95661" hidden="1" x14ac:dyDescent="0.35"/>
    <row r="95662" hidden="1" x14ac:dyDescent="0.35"/>
    <row r="95663" hidden="1" x14ac:dyDescent="0.35"/>
    <row r="95664" hidden="1" x14ac:dyDescent="0.35"/>
    <row r="95665" hidden="1" x14ac:dyDescent="0.35"/>
    <row r="95666" hidden="1" x14ac:dyDescent="0.35"/>
    <row r="95667" hidden="1" x14ac:dyDescent="0.35"/>
    <row r="95668" hidden="1" x14ac:dyDescent="0.35"/>
    <row r="95669" hidden="1" x14ac:dyDescent="0.35"/>
    <row r="95670" hidden="1" x14ac:dyDescent="0.35"/>
    <row r="95671" hidden="1" x14ac:dyDescent="0.35"/>
    <row r="95672" hidden="1" x14ac:dyDescent="0.35"/>
    <row r="95673" hidden="1" x14ac:dyDescent="0.35"/>
    <row r="95674" hidden="1" x14ac:dyDescent="0.35"/>
    <row r="95675" hidden="1" x14ac:dyDescent="0.35"/>
    <row r="95676" hidden="1" x14ac:dyDescent="0.35"/>
    <row r="95677" hidden="1" x14ac:dyDescent="0.35"/>
    <row r="95678" hidden="1" x14ac:dyDescent="0.35"/>
    <row r="95679" hidden="1" x14ac:dyDescent="0.35"/>
    <row r="95680" hidden="1" x14ac:dyDescent="0.35"/>
    <row r="95681" hidden="1" x14ac:dyDescent="0.35"/>
    <row r="95682" hidden="1" x14ac:dyDescent="0.35"/>
    <row r="95683" hidden="1" x14ac:dyDescent="0.35"/>
    <row r="95684" hidden="1" x14ac:dyDescent="0.35"/>
    <row r="95685" hidden="1" x14ac:dyDescent="0.35"/>
    <row r="95686" hidden="1" x14ac:dyDescent="0.35"/>
    <row r="95687" hidden="1" x14ac:dyDescent="0.35"/>
    <row r="95688" hidden="1" x14ac:dyDescent="0.35"/>
    <row r="95689" hidden="1" x14ac:dyDescent="0.35"/>
    <row r="95690" hidden="1" x14ac:dyDescent="0.35"/>
    <row r="95691" hidden="1" x14ac:dyDescent="0.35"/>
    <row r="95692" hidden="1" x14ac:dyDescent="0.35"/>
    <row r="95693" hidden="1" x14ac:dyDescent="0.35"/>
    <row r="95694" hidden="1" x14ac:dyDescent="0.35"/>
    <row r="95695" hidden="1" x14ac:dyDescent="0.35"/>
    <row r="95696" hidden="1" x14ac:dyDescent="0.35"/>
    <row r="95697" hidden="1" x14ac:dyDescent="0.35"/>
    <row r="95698" hidden="1" x14ac:dyDescent="0.35"/>
    <row r="95699" hidden="1" x14ac:dyDescent="0.35"/>
    <row r="95700" hidden="1" x14ac:dyDescent="0.35"/>
    <row r="95701" hidden="1" x14ac:dyDescent="0.35"/>
    <row r="95702" hidden="1" x14ac:dyDescent="0.35"/>
    <row r="95703" hidden="1" x14ac:dyDescent="0.35"/>
    <row r="95704" hidden="1" x14ac:dyDescent="0.35"/>
    <row r="95705" hidden="1" x14ac:dyDescent="0.35"/>
    <row r="95706" hidden="1" x14ac:dyDescent="0.35"/>
    <row r="95707" hidden="1" x14ac:dyDescent="0.35"/>
    <row r="95708" hidden="1" x14ac:dyDescent="0.35"/>
    <row r="95709" hidden="1" x14ac:dyDescent="0.35"/>
    <row r="95710" hidden="1" x14ac:dyDescent="0.35"/>
    <row r="95711" hidden="1" x14ac:dyDescent="0.35"/>
    <row r="95712" hidden="1" x14ac:dyDescent="0.35"/>
    <row r="95713" hidden="1" x14ac:dyDescent="0.35"/>
    <row r="95714" hidden="1" x14ac:dyDescent="0.35"/>
    <row r="95715" hidden="1" x14ac:dyDescent="0.35"/>
    <row r="95716" hidden="1" x14ac:dyDescent="0.35"/>
    <row r="95717" hidden="1" x14ac:dyDescent="0.35"/>
    <row r="95718" hidden="1" x14ac:dyDescent="0.35"/>
    <row r="95719" hidden="1" x14ac:dyDescent="0.35"/>
    <row r="95720" hidden="1" x14ac:dyDescent="0.35"/>
    <row r="95721" hidden="1" x14ac:dyDescent="0.35"/>
    <row r="95722" hidden="1" x14ac:dyDescent="0.35"/>
    <row r="95723" hidden="1" x14ac:dyDescent="0.35"/>
    <row r="95724" hidden="1" x14ac:dyDescent="0.35"/>
    <row r="95725" hidden="1" x14ac:dyDescent="0.35"/>
    <row r="95726" hidden="1" x14ac:dyDescent="0.35"/>
    <row r="95727" hidden="1" x14ac:dyDescent="0.35"/>
    <row r="95728" hidden="1" x14ac:dyDescent="0.35"/>
    <row r="95729" hidden="1" x14ac:dyDescent="0.35"/>
    <row r="95730" hidden="1" x14ac:dyDescent="0.35"/>
    <row r="95731" hidden="1" x14ac:dyDescent="0.35"/>
    <row r="95732" hidden="1" x14ac:dyDescent="0.35"/>
    <row r="95733" hidden="1" x14ac:dyDescent="0.35"/>
    <row r="95734" hidden="1" x14ac:dyDescent="0.35"/>
    <row r="95735" hidden="1" x14ac:dyDescent="0.35"/>
    <row r="95736" hidden="1" x14ac:dyDescent="0.35"/>
    <row r="95737" hidden="1" x14ac:dyDescent="0.35"/>
    <row r="95738" hidden="1" x14ac:dyDescent="0.35"/>
    <row r="95739" hidden="1" x14ac:dyDescent="0.35"/>
    <row r="95740" hidden="1" x14ac:dyDescent="0.35"/>
    <row r="95741" hidden="1" x14ac:dyDescent="0.35"/>
    <row r="95742" hidden="1" x14ac:dyDescent="0.35"/>
    <row r="95743" hidden="1" x14ac:dyDescent="0.35"/>
    <row r="95744" hidden="1" x14ac:dyDescent="0.35"/>
    <row r="95745" hidden="1" x14ac:dyDescent="0.35"/>
    <row r="95746" hidden="1" x14ac:dyDescent="0.35"/>
    <row r="95747" hidden="1" x14ac:dyDescent="0.35"/>
    <row r="95748" hidden="1" x14ac:dyDescent="0.35"/>
    <row r="95749" hidden="1" x14ac:dyDescent="0.35"/>
    <row r="95750" hidden="1" x14ac:dyDescent="0.35"/>
    <row r="95751" hidden="1" x14ac:dyDescent="0.35"/>
    <row r="95752" hidden="1" x14ac:dyDescent="0.35"/>
    <row r="95753" hidden="1" x14ac:dyDescent="0.35"/>
    <row r="95754" hidden="1" x14ac:dyDescent="0.35"/>
    <row r="95755" hidden="1" x14ac:dyDescent="0.35"/>
    <row r="95756" hidden="1" x14ac:dyDescent="0.35"/>
    <row r="95757" hidden="1" x14ac:dyDescent="0.35"/>
    <row r="95758" hidden="1" x14ac:dyDescent="0.35"/>
    <row r="95759" hidden="1" x14ac:dyDescent="0.35"/>
    <row r="95760" hidden="1" x14ac:dyDescent="0.35"/>
    <row r="95761" hidden="1" x14ac:dyDescent="0.35"/>
    <row r="95762" hidden="1" x14ac:dyDescent="0.35"/>
    <row r="95763" hidden="1" x14ac:dyDescent="0.35"/>
    <row r="95764" hidden="1" x14ac:dyDescent="0.35"/>
    <row r="95765" hidden="1" x14ac:dyDescent="0.35"/>
    <row r="95766" hidden="1" x14ac:dyDescent="0.35"/>
    <row r="95767" hidden="1" x14ac:dyDescent="0.35"/>
    <row r="95768" hidden="1" x14ac:dyDescent="0.35"/>
    <row r="95769" hidden="1" x14ac:dyDescent="0.35"/>
    <row r="95770" hidden="1" x14ac:dyDescent="0.35"/>
    <row r="95771" hidden="1" x14ac:dyDescent="0.35"/>
    <row r="95772" hidden="1" x14ac:dyDescent="0.35"/>
    <row r="95773" hidden="1" x14ac:dyDescent="0.35"/>
    <row r="95774" hidden="1" x14ac:dyDescent="0.35"/>
    <row r="95775" hidden="1" x14ac:dyDescent="0.35"/>
    <row r="95776" hidden="1" x14ac:dyDescent="0.35"/>
    <row r="95777" hidden="1" x14ac:dyDescent="0.35"/>
    <row r="95778" hidden="1" x14ac:dyDescent="0.35"/>
    <row r="95779" hidden="1" x14ac:dyDescent="0.35"/>
    <row r="95780" hidden="1" x14ac:dyDescent="0.35"/>
    <row r="95781" hidden="1" x14ac:dyDescent="0.35"/>
    <row r="95782" hidden="1" x14ac:dyDescent="0.35"/>
    <row r="95783" hidden="1" x14ac:dyDescent="0.35"/>
    <row r="95784" hidden="1" x14ac:dyDescent="0.35"/>
    <row r="95785" hidden="1" x14ac:dyDescent="0.35"/>
    <row r="95786" hidden="1" x14ac:dyDescent="0.35"/>
    <row r="95787" hidden="1" x14ac:dyDescent="0.35"/>
    <row r="95788" hidden="1" x14ac:dyDescent="0.35"/>
    <row r="95789" hidden="1" x14ac:dyDescent="0.35"/>
    <row r="95790" hidden="1" x14ac:dyDescent="0.35"/>
    <row r="95791" hidden="1" x14ac:dyDescent="0.35"/>
    <row r="95792" hidden="1" x14ac:dyDescent="0.35"/>
    <row r="95793" hidden="1" x14ac:dyDescent="0.35"/>
    <row r="95794" hidden="1" x14ac:dyDescent="0.35"/>
    <row r="95795" hidden="1" x14ac:dyDescent="0.35"/>
    <row r="95796" hidden="1" x14ac:dyDescent="0.35"/>
    <row r="95797" hidden="1" x14ac:dyDescent="0.35"/>
    <row r="95798" hidden="1" x14ac:dyDescent="0.35"/>
    <row r="95799" hidden="1" x14ac:dyDescent="0.35"/>
    <row r="95800" hidden="1" x14ac:dyDescent="0.35"/>
    <row r="95801" hidden="1" x14ac:dyDescent="0.35"/>
    <row r="95802" hidden="1" x14ac:dyDescent="0.35"/>
    <row r="95803" hidden="1" x14ac:dyDescent="0.35"/>
    <row r="95804" hidden="1" x14ac:dyDescent="0.35"/>
    <row r="95805" hidden="1" x14ac:dyDescent="0.35"/>
    <row r="95806" hidden="1" x14ac:dyDescent="0.35"/>
    <row r="95807" hidden="1" x14ac:dyDescent="0.35"/>
    <row r="95808" hidden="1" x14ac:dyDescent="0.35"/>
    <row r="95809" hidden="1" x14ac:dyDescent="0.35"/>
    <row r="95810" hidden="1" x14ac:dyDescent="0.35"/>
    <row r="95811" hidden="1" x14ac:dyDescent="0.35"/>
    <row r="95812" hidden="1" x14ac:dyDescent="0.35"/>
    <row r="95813" hidden="1" x14ac:dyDescent="0.35"/>
    <row r="95814" hidden="1" x14ac:dyDescent="0.35"/>
    <row r="95815" hidden="1" x14ac:dyDescent="0.35"/>
    <row r="95816" hidden="1" x14ac:dyDescent="0.35"/>
    <row r="95817" hidden="1" x14ac:dyDescent="0.35"/>
    <row r="95818" hidden="1" x14ac:dyDescent="0.35"/>
    <row r="95819" hidden="1" x14ac:dyDescent="0.35"/>
    <row r="95820" hidden="1" x14ac:dyDescent="0.35"/>
    <row r="95821" hidden="1" x14ac:dyDescent="0.35"/>
    <row r="95822" hidden="1" x14ac:dyDescent="0.35"/>
    <row r="95823" hidden="1" x14ac:dyDescent="0.35"/>
    <row r="95824" hidden="1" x14ac:dyDescent="0.35"/>
    <row r="95825" hidden="1" x14ac:dyDescent="0.35"/>
    <row r="95826" hidden="1" x14ac:dyDescent="0.35"/>
    <row r="95827" hidden="1" x14ac:dyDescent="0.35"/>
    <row r="95828" hidden="1" x14ac:dyDescent="0.35"/>
    <row r="95829" hidden="1" x14ac:dyDescent="0.35"/>
    <row r="95830" hidden="1" x14ac:dyDescent="0.35"/>
    <row r="95831" hidden="1" x14ac:dyDescent="0.35"/>
    <row r="95832" hidden="1" x14ac:dyDescent="0.35"/>
    <row r="95833" hidden="1" x14ac:dyDescent="0.35"/>
    <row r="95834" hidden="1" x14ac:dyDescent="0.35"/>
    <row r="95835" hidden="1" x14ac:dyDescent="0.35"/>
    <row r="95836" hidden="1" x14ac:dyDescent="0.35"/>
    <row r="95837" hidden="1" x14ac:dyDescent="0.35"/>
    <row r="95838" hidden="1" x14ac:dyDescent="0.35"/>
    <row r="95839" hidden="1" x14ac:dyDescent="0.35"/>
    <row r="95840" hidden="1" x14ac:dyDescent="0.35"/>
    <row r="95841" hidden="1" x14ac:dyDescent="0.35"/>
    <row r="95842" hidden="1" x14ac:dyDescent="0.35"/>
    <row r="95843" hidden="1" x14ac:dyDescent="0.35"/>
    <row r="95844" hidden="1" x14ac:dyDescent="0.35"/>
    <row r="95845" hidden="1" x14ac:dyDescent="0.35"/>
    <row r="95846" hidden="1" x14ac:dyDescent="0.35"/>
    <row r="95847" hidden="1" x14ac:dyDescent="0.35"/>
    <row r="95848" hidden="1" x14ac:dyDescent="0.35"/>
    <row r="95849" hidden="1" x14ac:dyDescent="0.35"/>
    <row r="95850" hidden="1" x14ac:dyDescent="0.35"/>
    <row r="95851" hidden="1" x14ac:dyDescent="0.35"/>
    <row r="95852" hidden="1" x14ac:dyDescent="0.35"/>
    <row r="95853" hidden="1" x14ac:dyDescent="0.35"/>
    <row r="95854" hidden="1" x14ac:dyDescent="0.35"/>
    <row r="95855" hidden="1" x14ac:dyDescent="0.35"/>
    <row r="95856" hidden="1" x14ac:dyDescent="0.35"/>
    <row r="95857" hidden="1" x14ac:dyDescent="0.35"/>
    <row r="95858" hidden="1" x14ac:dyDescent="0.35"/>
    <row r="95859" hidden="1" x14ac:dyDescent="0.35"/>
    <row r="95860" hidden="1" x14ac:dyDescent="0.35"/>
    <row r="95861" hidden="1" x14ac:dyDescent="0.35"/>
    <row r="95862" hidden="1" x14ac:dyDescent="0.35"/>
    <row r="95863" hidden="1" x14ac:dyDescent="0.35"/>
    <row r="95864" hidden="1" x14ac:dyDescent="0.35"/>
    <row r="95865" hidden="1" x14ac:dyDescent="0.35"/>
    <row r="95866" hidden="1" x14ac:dyDescent="0.35"/>
    <row r="95867" hidden="1" x14ac:dyDescent="0.35"/>
    <row r="95868" hidden="1" x14ac:dyDescent="0.35"/>
    <row r="95869" hidden="1" x14ac:dyDescent="0.35"/>
    <row r="95870" hidden="1" x14ac:dyDescent="0.35"/>
    <row r="95871" hidden="1" x14ac:dyDescent="0.35"/>
    <row r="95872" hidden="1" x14ac:dyDescent="0.35"/>
    <row r="95873" hidden="1" x14ac:dyDescent="0.35"/>
    <row r="95874" hidden="1" x14ac:dyDescent="0.35"/>
    <row r="95875" hidden="1" x14ac:dyDescent="0.35"/>
    <row r="95876" hidden="1" x14ac:dyDescent="0.35"/>
    <row r="95877" hidden="1" x14ac:dyDescent="0.35"/>
    <row r="95878" hidden="1" x14ac:dyDescent="0.35"/>
    <row r="95879" hidden="1" x14ac:dyDescent="0.35"/>
    <row r="95880" hidden="1" x14ac:dyDescent="0.35"/>
    <row r="95881" hidden="1" x14ac:dyDescent="0.35"/>
    <row r="95882" hidden="1" x14ac:dyDescent="0.35"/>
    <row r="95883" hidden="1" x14ac:dyDescent="0.35"/>
    <row r="95884" hidden="1" x14ac:dyDescent="0.35"/>
    <row r="95885" hidden="1" x14ac:dyDescent="0.35"/>
    <row r="95886" hidden="1" x14ac:dyDescent="0.35"/>
    <row r="95887" hidden="1" x14ac:dyDescent="0.35"/>
    <row r="95888" hidden="1" x14ac:dyDescent="0.35"/>
    <row r="95889" hidden="1" x14ac:dyDescent="0.35"/>
    <row r="95890" hidden="1" x14ac:dyDescent="0.35"/>
    <row r="95891" hidden="1" x14ac:dyDescent="0.35"/>
    <row r="95892" hidden="1" x14ac:dyDescent="0.35"/>
    <row r="95893" hidden="1" x14ac:dyDescent="0.35"/>
    <row r="95894" hidden="1" x14ac:dyDescent="0.35"/>
    <row r="95895" hidden="1" x14ac:dyDescent="0.35"/>
    <row r="95896" hidden="1" x14ac:dyDescent="0.35"/>
    <row r="95897" hidden="1" x14ac:dyDescent="0.35"/>
    <row r="95898" hidden="1" x14ac:dyDescent="0.35"/>
    <row r="95899" hidden="1" x14ac:dyDescent="0.35"/>
    <row r="95900" hidden="1" x14ac:dyDescent="0.35"/>
    <row r="95901" hidden="1" x14ac:dyDescent="0.35"/>
    <row r="95902" hidden="1" x14ac:dyDescent="0.35"/>
    <row r="95903" hidden="1" x14ac:dyDescent="0.35"/>
    <row r="95904" hidden="1" x14ac:dyDescent="0.35"/>
    <row r="95905" hidden="1" x14ac:dyDescent="0.35"/>
    <row r="95906" hidden="1" x14ac:dyDescent="0.35"/>
    <row r="95907" hidden="1" x14ac:dyDescent="0.35"/>
    <row r="95908" hidden="1" x14ac:dyDescent="0.35"/>
    <row r="95909" hidden="1" x14ac:dyDescent="0.35"/>
    <row r="95910" hidden="1" x14ac:dyDescent="0.35"/>
    <row r="95911" hidden="1" x14ac:dyDescent="0.35"/>
    <row r="95912" hidden="1" x14ac:dyDescent="0.35"/>
    <row r="95913" hidden="1" x14ac:dyDescent="0.35"/>
    <row r="95914" hidden="1" x14ac:dyDescent="0.35"/>
    <row r="95915" hidden="1" x14ac:dyDescent="0.35"/>
    <row r="95916" hidden="1" x14ac:dyDescent="0.35"/>
    <row r="95917" hidden="1" x14ac:dyDescent="0.35"/>
    <row r="95918" hidden="1" x14ac:dyDescent="0.35"/>
    <row r="95919" hidden="1" x14ac:dyDescent="0.35"/>
    <row r="95920" hidden="1" x14ac:dyDescent="0.35"/>
    <row r="95921" hidden="1" x14ac:dyDescent="0.35"/>
    <row r="95922" hidden="1" x14ac:dyDescent="0.35"/>
    <row r="95923" hidden="1" x14ac:dyDescent="0.35"/>
    <row r="95924" hidden="1" x14ac:dyDescent="0.35"/>
    <row r="95925" hidden="1" x14ac:dyDescent="0.35"/>
    <row r="95926" hidden="1" x14ac:dyDescent="0.35"/>
    <row r="95927" hidden="1" x14ac:dyDescent="0.35"/>
    <row r="95928" hidden="1" x14ac:dyDescent="0.35"/>
    <row r="95929" hidden="1" x14ac:dyDescent="0.35"/>
    <row r="95930" hidden="1" x14ac:dyDescent="0.35"/>
    <row r="95931" hidden="1" x14ac:dyDescent="0.35"/>
    <row r="95932" hidden="1" x14ac:dyDescent="0.35"/>
    <row r="95933" hidden="1" x14ac:dyDescent="0.35"/>
    <row r="95934" hidden="1" x14ac:dyDescent="0.35"/>
    <row r="95935" hidden="1" x14ac:dyDescent="0.35"/>
    <row r="95936" hidden="1" x14ac:dyDescent="0.35"/>
    <row r="95937" hidden="1" x14ac:dyDescent="0.35"/>
    <row r="95938" hidden="1" x14ac:dyDescent="0.35"/>
    <row r="95939" hidden="1" x14ac:dyDescent="0.35"/>
    <row r="95940" hidden="1" x14ac:dyDescent="0.35"/>
    <row r="95941" hidden="1" x14ac:dyDescent="0.35"/>
    <row r="95942" hidden="1" x14ac:dyDescent="0.35"/>
    <row r="95943" hidden="1" x14ac:dyDescent="0.35"/>
    <row r="95944" hidden="1" x14ac:dyDescent="0.35"/>
    <row r="95945" hidden="1" x14ac:dyDescent="0.35"/>
    <row r="95946" hidden="1" x14ac:dyDescent="0.35"/>
    <row r="95947" hidden="1" x14ac:dyDescent="0.35"/>
    <row r="95948" hidden="1" x14ac:dyDescent="0.35"/>
    <row r="95949" hidden="1" x14ac:dyDescent="0.35"/>
    <row r="95950" hidden="1" x14ac:dyDescent="0.35"/>
    <row r="95951" hidden="1" x14ac:dyDescent="0.35"/>
    <row r="95952" hidden="1" x14ac:dyDescent="0.35"/>
    <row r="95953" hidden="1" x14ac:dyDescent="0.35"/>
    <row r="95954" hidden="1" x14ac:dyDescent="0.35"/>
    <row r="95955" hidden="1" x14ac:dyDescent="0.35"/>
    <row r="95956" hidden="1" x14ac:dyDescent="0.35"/>
    <row r="95957" hidden="1" x14ac:dyDescent="0.35"/>
    <row r="95958" hidden="1" x14ac:dyDescent="0.35"/>
    <row r="95959" hidden="1" x14ac:dyDescent="0.35"/>
    <row r="95960" hidden="1" x14ac:dyDescent="0.35"/>
    <row r="95961" hidden="1" x14ac:dyDescent="0.35"/>
    <row r="95962" hidden="1" x14ac:dyDescent="0.35"/>
    <row r="95963" hidden="1" x14ac:dyDescent="0.35"/>
    <row r="95964" hidden="1" x14ac:dyDescent="0.35"/>
    <row r="95965" hidden="1" x14ac:dyDescent="0.35"/>
    <row r="95966" hidden="1" x14ac:dyDescent="0.35"/>
    <row r="95967" hidden="1" x14ac:dyDescent="0.35"/>
    <row r="95968" hidden="1" x14ac:dyDescent="0.35"/>
    <row r="95969" hidden="1" x14ac:dyDescent="0.35"/>
    <row r="95970" hidden="1" x14ac:dyDescent="0.35"/>
    <row r="95971" hidden="1" x14ac:dyDescent="0.35"/>
    <row r="95972" hidden="1" x14ac:dyDescent="0.35"/>
    <row r="95973" hidden="1" x14ac:dyDescent="0.35"/>
    <row r="95974" hidden="1" x14ac:dyDescent="0.35"/>
    <row r="95975" hidden="1" x14ac:dyDescent="0.35"/>
    <row r="95976" hidden="1" x14ac:dyDescent="0.35"/>
    <row r="95977" hidden="1" x14ac:dyDescent="0.35"/>
    <row r="95978" hidden="1" x14ac:dyDescent="0.35"/>
    <row r="95979" hidden="1" x14ac:dyDescent="0.35"/>
    <row r="95980" hidden="1" x14ac:dyDescent="0.35"/>
    <row r="95981" hidden="1" x14ac:dyDescent="0.35"/>
    <row r="95982" hidden="1" x14ac:dyDescent="0.35"/>
    <row r="95983" hidden="1" x14ac:dyDescent="0.35"/>
    <row r="95984" hidden="1" x14ac:dyDescent="0.35"/>
    <row r="95985" hidden="1" x14ac:dyDescent="0.35"/>
    <row r="95986" hidden="1" x14ac:dyDescent="0.35"/>
    <row r="95987" hidden="1" x14ac:dyDescent="0.35"/>
    <row r="95988" hidden="1" x14ac:dyDescent="0.35"/>
    <row r="95989" hidden="1" x14ac:dyDescent="0.35"/>
    <row r="95990" hidden="1" x14ac:dyDescent="0.35"/>
    <row r="95991" hidden="1" x14ac:dyDescent="0.35"/>
    <row r="95992" hidden="1" x14ac:dyDescent="0.35"/>
    <row r="95993" hidden="1" x14ac:dyDescent="0.35"/>
    <row r="95994" hidden="1" x14ac:dyDescent="0.35"/>
    <row r="95995" hidden="1" x14ac:dyDescent="0.35"/>
    <row r="95996" hidden="1" x14ac:dyDescent="0.35"/>
    <row r="95997" hidden="1" x14ac:dyDescent="0.35"/>
    <row r="95998" hidden="1" x14ac:dyDescent="0.35"/>
    <row r="95999" hidden="1" x14ac:dyDescent="0.35"/>
    <row r="96000" hidden="1" x14ac:dyDescent="0.35"/>
    <row r="96001" hidden="1" x14ac:dyDescent="0.35"/>
    <row r="96002" hidden="1" x14ac:dyDescent="0.35"/>
    <row r="96003" hidden="1" x14ac:dyDescent="0.35"/>
    <row r="96004" hidden="1" x14ac:dyDescent="0.35"/>
    <row r="96005" hidden="1" x14ac:dyDescent="0.35"/>
    <row r="96006" hidden="1" x14ac:dyDescent="0.35"/>
    <row r="96007" hidden="1" x14ac:dyDescent="0.35"/>
    <row r="96008" hidden="1" x14ac:dyDescent="0.35"/>
    <row r="96009" hidden="1" x14ac:dyDescent="0.35"/>
    <row r="96010" hidden="1" x14ac:dyDescent="0.35"/>
    <row r="96011" hidden="1" x14ac:dyDescent="0.35"/>
    <row r="96012" hidden="1" x14ac:dyDescent="0.35"/>
    <row r="96013" hidden="1" x14ac:dyDescent="0.35"/>
    <row r="96014" hidden="1" x14ac:dyDescent="0.35"/>
    <row r="96015" hidden="1" x14ac:dyDescent="0.35"/>
    <row r="96016" hidden="1" x14ac:dyDescent="0.35"/>
    <row r="96017" hidden="1" x14ac:dyDescent="0.35"/>
    <row r="96018" hidden="1" x14ac:dyDescent="0.35"/>
    <row r="96019" hidden="1" x14ac:dyDescent="0.35"/>
    <row r="96020" hidden="1" x14ac:dyDescent="0.35"/>
    <row r="96021" hidden="1" x14ac:dyDescent="0.35"/>
    <row r="96022" hidden="1" x14ac:dyDescent="0.35"/>
    <row r="96023" hidden="1" x14ac:dyDescent="0.35"/>
    <row r="96024" hidden="1" x14ac:dyDescent="0.35"/>
    <row r="96025" hidden="1" x14ac:dyDescent="0.35"/>
    <row r="96026" hidden="1" x14ac:dyDescent="0.35"/>
    <row r="96027" hidden="1" x14ac:dyDescent="0.35"/>
    <row r="96028" hidden="1" x14ac:dyDescent="0.35"/>
    <row r="96029" hidden="1" x14ac:dyDescent="0.35"/>
    <row r="96030" hidden="1" x14ac:dyDescent="0.35"/>
    <row r="96031" hidden="1" x14ac:dyDescent="0.35"/>
    <row r="96032" hidden="1" x14ac:dyDescent="0.35"/>
    <row r="96033" hidden="1" x14ac:dyDescent="0.35"/>
    <row r="96034" hidden="1" x14ac:dyDescent="0.35"/>
    <row r="96035" hidden="1" x14ac:dyDescent="0.35"/>
    <row r="96036" hidden="1" x14ac:dyDescent="0.35"/>
    <row r="96037" hidden="1" x14ac:dyDescent="0.35"/>
    <row r="96038" hidden="1" x14ac:dyDescent="0.35"/>
    <row r="96039" hidden="1" x14ac:dyDescent="0.35"/>
    <row r="96040" hidden="1" x14ac:dyDescent="0.35"/>
    <row r="96041" hidden="1" x14ac:dyDescent="0.35"/>
    <row r="96042" hidden="1" x14ac:dyDescent="0.35"/>
    <row r="96043" hidden="1" x14ac:dyDescent="0.35"/>
    <row r="96044" hidden="1" x14ac:dyDescent="0.35"/>
    <row r="96045" hidden="1" x14ac:dyDescent="0.35"/>
    <row r="96046" hidden="1" x14ac:dyDescent="0.35"/>
    <row r="96047" hidden="1" x14ac:dyDescent="0.35"/>
    <row r="96048" hidden="1" x14ac:dyDescent="0.35"/>
    <row r="96049" hidden="1" x14ac:dyDescent="0.35"/>
    <row r="96050" hidden="1" x14ac:dyDescent="0.35"/>
    <row r="96051" hidden="1" x14ac:dyDescent="0.35"/>
    <row r="96052" hidden="1" x14ac:dyDescent="0.35"/>
    <row r="96053" hidden="1" x14ac:dyDescent="0.35"/>
    <row r="96054" hidden="1" x14ac:dyDescent="0.35"/>
    <row r="96055" hidden="1" x14ac:dyDescent="0.35"/>
    <row r="96056" hidden="1" x14ac:dyDescent="0.35"/>
    <row r="96057" hidden="1" x14ac:dyDescent="0.35"/>
    <row r="96058" hidden="1" x14ac:dyDescent="0.35"/>
    <row r="96059" hidden="1" x14ac:dyDescent="0.35"/>
    <row r="96060" hidden="1" x14ac:dyDescent="0.35"/>
    <row r="96061" hidden="1" x14ac:dyDescent="0.35"/>
    <row r="96062" hidden="1" x14ac:dyDescent="0.35"/>
    <row r="96063" hidden="1" x14ac:dyDescent="0.35"/>
    <row r="96064" hidden="1" x14ac:dyDescent="0.35"/>
    <row r="96065" hidden="1" x14ac:dyDescent="0.35"/>
    <row r="96066" hidden="1" x14ac:dyDescent="0.35"/>
    <row r="96067" hidden="1" x14ac:dyDescent="0.35"/>
    <row r="96068" hidden="1" x14ac:dyDescent="0.35"/>
    <row r="96069" hidden="1" x14ac:dyDescent="0.35"/>
    <row r="96070" hidden="1" x14ac:dyDescent="0.35"/>
    <row r="96071" hidden="1" x14ac:dyDescent="0.35"/>
    <row r="96072" hidden="1" x14ac:dyDescent="0.35"/>
    <row r="96073" hidden="1" x14ac:dyDescent="0.35"/>
    <row r="96074" hidden="1" x14ac:dyDescent="0.35"/>
    <row r="96075" hidden="1" x14ac:dyDescent="0.35"/>
    <row r="96076" hidden="1" x14ac:dyDescent="0.35"/>
    <row r="96077" hidden="1" x14ac:dyDescent="0.35"/>
    <row r="96078" hidden="1" x14ac:dyDescent="0.35"/>
    <row r="96079" hidden="1" x14ac:dyDescent="0.35"/>
    <row r="96080" hidden="1" x14ac:dyDescent="0.35"/>
    <row r="96081" hidden="1" x14ac:dyDescent="0.35"/>
    <row r="96082" hidden="1" x14ac:dyDescent="0.35"/>
    <row r="96083" hidden="1" x14ac:dyDescent="0.35"/>
    <row r="96084" hidden="1" x14ac:dyDescent="0.35"/>
    <row r="96085" hidden="1" x14ac:dyDescent="0.35"/>
    <row r="96086" hidden="1" x14ac:dyDescent="0.35"/>
    <row r="96087" hidden="1" x14ac:dyDescent="0.35"/>
    <row r="96088" hidden="1" x14ac:dyDescent="0.35"/>
    <row r="96089" hidden="1" x14ac:dyDescent="0.35"/>
    <row r="96090" hidden="1" x14ac:dyDescent="0.35"/>
    <row r="96091" hidden="1" x14ac:dyDescent="0.35"/>
    <row r="96092" hidden="1" x14ac:dyDescent="0.35"/>
    <row r="96093" hidden="1" x14ac:dyDescent="0.35"/>
    <row r="96094" hidden="1" x14ac:dyDescent="0.35"/>
    <row r="96095" hidden="1" x14ac:dyDescent="0.35"/>
    <row r="96096" hidden="1" x14ac:dyDescent="0.35"/>
    <row r="96097" hidden="1" x14ac:dyDescent="0.35"/>
    <row r="96098" hidden="1" x14ac:dyDescent="0.35"/>
    <row r="96099" hidden="1" x14ac:dyDescent="0.35"/>
    <row r="96100" hidden="1" x14ac:dyDescent="0.35"/>
    <row r="96101" hidden="1" x14ac:dyDescent="0.35"/>
    <row r="96102" hidden="1" x14ac:dyDescent="0.35"/>
    <row r="96103" hidden="1" x14ac:dyDescent="0.35"/>
    <row r="96104" hidden="1" x14ac:dyDescent="0.35"/>
    <row r="96105" hidden="1" x14ac:dyDescent="0.35"/>
    <row r="96106" hidden="1" x14ac:dyDescent="0.35"/>
    <row r="96107" hidden="1" x14ac:dyDescent="0.35"/>
    <row r="96108" hidden="1" x14ac:dyDescent="0.35"/>
    <row r="96109" hidden="1" x14ac:dyDescent="0.35"/>
    <row r="96110" hidden="1" x14ac:dyDescent="0.35"/>
    <row r="96111" hidden="1" x14ac:dyDescent="0.35"/>
    <row r="96112" hidden="1" x14ac:dyDescent="0.35"/>
    <row r="96113" hidden="1" x14ac:dyDescent="0.35"/>
    <row r="96114" hidden="1" x14ac:dyDescent="0.35"/>
    <row r="96115" hidden="1" x14ac:dyDescent="0.35"/>
    <row r="96116" hidden="1" x14ac:dyDescent="0.35"/>
    <row r="96117" hidden="1" x14ac:dyDescent="0.35"/>
    <row r="96118" hidden="1" x14ac:dyDescent="0.35"/>
    <row r="96119" hidden="1" x14ac:dyDescent="0.35"/>
    <row r="96120" hidden="1" x14ac:dyDescent="0.35"/>
    <row r="96121" hidden="1" x14ac:dyDescent="0.35"/>
    <row r="96122" hidden="1" x14ac:dyDescent="0.35"/>
    <row r="96123" hidden="1" x14ac:dyDescent="0.35"/>
    <row r="96124" hidden="1" x14ac:dyDescent="0.35"/>
    <row r="96125" hidden="1" x14ac:dyDescent="0.35"/>
    <row r="96126" hidden="1" x14ac:dyDescent="0.35"/>
    <row r="96127" hidden="1" x14ac:dyDescent="0.35"/>
    <row r="96128" hidden="1" x14ac:dyDescent="0.35"/>
    <row r="96129" hidden="1" x14ac:dyDescent="0.35"/>
    <row r="96130" hidden="1" x14ac:dyDescent="0.35"/>
    <row r="96131" hidden="1" x14ac:dyDescent="0.35"/>
    <row r="96132" hidden="1" x14ac:dyDescent="0.35"/>
    <row r="96133" hidden="1" x14ac:dyDescent="0.35"/>
    <row r="96134" hidden="1" x14ac:dyDescent="0.35"/>
    <row r="96135" hidden="1" x14ac:dyDescent="0.35"/>
    <row r="96136" hidden="1" x14ac:dyDescent="0.35"/>
    <row r="96137" hidden="1" x14ac:dyDescent="0.35"/>
    <row r="96138" hidden="1" x14ac:dyDescent="0.35"/>
    <row r="96139" hidden="1" x14ac:dyDescent="0.35"/>
    <row r="96140" hidden="1" x14ac:dyDescent="0.35"/>
    <row r="96141" hidden="1" x14ac:dyDescent="0.35"/>
    <row r="96142" hidden="1" x14ac:dyDescent="0.35"/>
    <row r="96143" hidden="1" x14ac:dyDescent="0.35"/>
    <row r="96144" hidden="1" x14ac:dyDescent="0.35"/>
    <row r="96145" hidden="1" x14ac:dyDescent="0.35"/>
    <row r="96146" hidden="1" x14ac:dyDescent="0.35"/>
    <row r="96147" hidden="1" x14ac:dyDescent="0.35"/>
    <row r="96148" hidden="1" x14ac:dyDescent="0.35"/>
    <row r="96149" hidden="1" x14ac:dyDescent="0.35"/>
    <row r="96150" hidden="1" x14ac:dyDescent="0.35"/>
    <row r="96151" hidden="1" x14ac:dyDescent="0.35"/>
    <row r="96152" hidden="1" x14ac:dyDescent="0.35"/>
    <row r="96153" hidden="1" x14ac:dyDescent="0.35"/>
    <row r="96154" hidden="1" x14ac:dyDescent="0.35"/>
    <row r="96155" hidden="1" x14ac:dyDescent="0.35"/>
    <row r="96156" hidden="1" x14ac:dyDescent="0.35"/>
    <row r="96157" hidden="1" x14ac:dyDescent="0.35"/>
    <row r="96158" hidden="1" x14ac:dyDescent="0.35"/>
    <row r="96159" hidden="1" x14ac:dyDescent="0.35"/>
    <row r="96160" hidden="1" x14ac:dyDescent="0.35"/>
    <row r="96161" hidden="1" x14ac:dyDescent="0.35"/>
    <row r="96162" hidden="1" x14ac:dyDescent="0.35"/>
    <row r="96163" hidden="1" x14ac:dyDescent="0.35"/>
    <row r="96164" hidden="1" x14ac:dyDescent="0.35"/>
    <row r="96165" hidden="1" x14ac:dyDescent="0.35"/>
    <row r="96166" hidden="1" x14ac:dyDescent="0.35"/>
    <row r="96167" hidden="1" x14ac:dyDescent="0.35"/>
    <row r="96168" hidden="1" x14ac:dyDescent="0.35"/>
    <row r="96169" hidden="1" x14ac:dyDescent="0.35"/>
    <row r="96170" hidden="1" x14ac:dyDescent="0.35"/>
    <row r="96171" hidden="1" x14ac:dyDescent="0.35"/>
    <row r="96172" hidden="1" x14ac:dyDescent="0.35"/>
    <row r="96173" hidden="1" x14ac:dyDescent="0.35"/>
    <row r="96174" hidden="1" x14ac:dyDescent="0.35"/>
    <row r="96175" hidden="1" x14ac:dyDescent="0.35"/>
    <row r="96176" hidden="1" x14ac:dyDescent="0.35"/>
    <row r="96177" hidden="1" x14ac:dyDescent="0.35"/>
    <row r="96178" hidden="1" x14ac:dyDescent="0.35"/>
    <row r="96179" hidden="1" x14ac:dyDescent="0.35"/>
    <row r="96180" hidden="1" x14ac:dyDescent="0.35"/>
    <row r="96181" hidden="1" x14ac:dyDescent="0.35"/>
    <row r="96182" hidden="1" x14ac:dyDescent="0.35"/>
    <row r="96183" hidden="1" x14ac:dyDescent="0.35"/>
    <row r="96184" hidden="1" x14ac:dyDescent="0.35"/>
    <row r="96185" hidden="1" x14ac:dyDescent="0.35"/>
    <row r="96186" hidden="1" x14ac:dyDescent="0.35"/>
    <row r="96187" hidden="1" x14ac:dyDescent="0.35"/>
    <row r="96188" hidden="1" x14ac:dyDescent="0.35"/>
    <row r="96189" hidden="1" x14ac:dyDescent="0.35"/>
    <row r="96190" hidden="1" x14ac:dyDescent="0.35"/>
    <row r="96191" hidden="1" x14ac:dyDescent="0.35"/>
    <row r="96192" hidden="1" x14ac:dyDescent="0.35"/>
    <row r="96193" hidden="1" x14ac:dyDescent="0.35"/>
    <row r="96194" hidden="1" x14ac:dyDescent="0.35"/>
    <row r="96195" hidden="1" x14ac:dyDescent="0.35"/>
    <row r="96196" hidden="1" x14ac:dyDescent="0.35"/>
    <row r="96197" hidden="1" x14ac:dyDescent="0.35"/>
    <row r="96198" hidden="1" x14ac:dyDescent="0.35"/>
    <row r="96199" hidden="1" x14ac:dyDescent="0.35"/>
    <row r="96200" hidden="1" x14ac:dyDescent="0.35"/>
    <row r="96201" hidden="1" x14ac:dyDescent="0.35"/>
    <row r="96202" hidden="1" x14ac:dyDescent="0.35"/>
    <row r="96203" hidden="1" x14ac:dyDescent="0.35"/>
    <row r="96204" hidden="1" x14ac:dyDescent="0.35"/>
    <row r="96205" hidden="1" x14ac:dyDescent="0.35"/>
    <row r="96206" hidden="1" x14ac:dyDescent="0.35"/>
    <row r="96207" hidden="1" x14ac:dyDescent="0.35"/>
    <row r="96208" hidden="1" x14ac:dyDescent="0.35"/>
    <row r="96209" hidden="1" x14ac:dyDescent="0.35"/>
    <row r="96210" hidden="1" x14ac:dyDescent="0.35"/>
    <row r="96211" hidden="1" x14ac:dyDescent="0.35"/>
    <row r="96212" hidden="1" x14ac:dyDescent="0.35"/>
    <row r="96213" hidden="1" x14ac:dyDescent="0.35"/>
    <row r="96214" hidden="1" x14ac:dyDescent="0.35"/>
    <row r="96215" hidden="1" x14ac:dyDescent="0.35"/>
    <row r="96216" hidden="1" x14ac:dyDescent="0.35"/>
    <row r="96217" hidden="1" x14ac:dyDescent="0.35"/>
    <row r="96218" hidden="1" x14ac:dyDescent="0.35"/>
    <row r="96219" hidden="1" x14ac:dyDescent="0.35"/>
    <row r="96220" hidden="1" x14ac:dyDescent="0.35"/>
    <row r="96221" hidden="1" x14ac:dyDescent="0.35"/>
    <row r="96222" hidden="1" x14ac:dyDescent="0.35"/>
    <row r="96223" hidden="1" x14ac:dyDescent="0.35"/>
    <row r="96224" hidden="1" x14ac:dyDescent="0.35"/>
    <row r="96225" hidden="1" x14ac:dyDescent="0.35"/>
    <row r="96226" hidden="1" x14ac:dyDescent="0.35"/>
    <row r="96227" hidden="1" x14ac:dyDescent="0.35"/>
    <row r="96228" hidden="1" x14ac:dyDescent="0.35"/>
    <row r="96229" hidden="1" x14ac:dyDescent="0.35"/>
    <row r="96230" hidden="1" x14ac:dyDescent="0.35"/>
    <row r="96231" hidden="1" x14ac:dyDescent="0.35"/>
    <row r="96232" hidden="1" x14ac:dyDescent="0.35"/>
    <row r="96233" hidden="1" x14ac:dyDescent="0.35"/>
    <row r="96234" hidden="1" x14ac:dyDescent="0.35"/>
    <row r="96235" hidden="1" x14ac:dyDescent="0.35"/>
    <row r="96236" hidden="1" x14ac:dyDescent="0.35"/>
    <row r="96237" hidden="1" x14ac:dyDescent="0.35"/>
    <row r="96238" hidden="1" x14ac:dyDescent="0.35"/>
    <row r="96239" hidden="1" x14ac:dyDescent="0.35"/>
    <row r="96240" hidden="1" x14ac:dyDescent="0.35"/>
    <row r="96241" hidden="1" x14ac:dyDescent="0.35"/>
    <row r="96242" hidden="1" x14ac:dyDescent="0.35"/>
    <row r="96243" hidden="1" x14ac:dyDescent="0.35"/>
    <row r="96244" hidden="1" x14ac:dyDescent="0.35"/>
    <row r="96245" hidden="1" x14ac:dyDescent="0.35"/>
    <row r="96246" hidden="1" x14ac:dyDescent="0.35"/>
    <row r="96247" hidden="1" x14ac:dyDescent="0.35"/>
    <row r="96248" hidden="1" x14ac:dyDescent="0.35"/>
    <row r="96249" hidden="1" x14ac:dyDescent="0.35"/>
    <row r="96250" hidden="1" x14ac:dyDescent="0.35"/>
    <row r="96251" hidden="1" x14ac:dyDescent="0.35"/>
    <row r="96252" hidden="1" x14ac:dyDescent="0.35"/>
    <row r="96253" hidden="1" x14ac:dyDescent="0.35"/>
    <row r="96254" hidden="1" x14ac:dyDescent="0.35"/>
    <row r="96255" hidden="1" x14ac:dyDescent="0.35"/>
    <row r="96256" hidden="1" x14ac:dyDescent="0.35"/>
    <row r="96257" hidden="1" x14ac:dyDescent="0.35"/>
    <row r="96258" hidden="1" x14ac:dyDescent="0.35"/>
    <row r="96259" hidden="1" x14ac:dyDescent="0.35"/>
    <row r="96260" hidden="1" x14ac:dyDescent="0.35"/>
    <row r="96261" hidden="1" x14ac:dyDescent="0.35"/>
    <row r="96262" hidden="1" x14ac:dyDescent="0.35"/>
    <row r="96263" hidden="1" x14ac:dyDescent="0.35"/>
    <row r="96264" hidden="1" x14ac:dyDescent="0.35"/>
    <row r="96265" hidden="1" x14ac:dyDescent="0.35"/>
    <row r="96266" hidden="1" x14ac:dyDescent="0.35"/>
    <row r="96267" hidden="1" x14ac:dyDescent="0.35"/>
    <row r="96268" hidden="1" x14ac:dyDescent="0.35"/>
    <row r="96269" hidden="1" x14ac:dyDescent="0.35"/>
    <row r="96270" hidden="1" x14ac:dyDescent="0.35"/>
    <row r="96271" hidden="1" x14ac:dyDescent="0.35"/>
    <row r="96272" hidden="1" x14ac:dyDescent="0.35"/>
    <row r="96273" hidden="1" x14ac:dyDescent="0.35"/>
    <row r="96274" hidden="1" x14ac:dyDescent="0.35"/>
    <row r="96275" hidden="1" x14ac:dyDescent="0.35"/>
    <row r="96276" hidden="1" x14ac:dyDescent="0.35"/>
    <row r="96277" hidden="1" x14ac:dyDescent="0.35"/>
    <row r="96278" hidden="1" x14ac:dyDescent="0.35"/>
    <row r="96279" hidden="1" x14ac:dyDescent="0.35"/>
    <row r="96280" hidden="1" x14ac:dyDescent="0.35"/>
    <row r="96281" hidden="1" x14ac:dyDescent="0.35"/>
    <row r="96282" hidden="1" x14ac:dyDescent="0.35"/>
    <row r="96283" hidden="1" x14ac:dyDescent="0.35"/>
    <row r="96284" hidden="1" x14ac:dyDescent="0.35"/>
    <row r="96285" hidden="1" x14ac:dyDescent="0.35"/>
    <row r="96286" hidden="1" x14ac:dyDescent="0.35"/>
    <row r="96287" hidden="1" x14ac:dyDescent="0.35"/>
    <row r="96288" hidden="1" x14ac:dyDescent="0.35"/>
    <row r="96289" hidden="1" x14ac:dyDescent="0.35"/>
    <row r="96290" hidden="1" x14ac:dyDescent="0.35"/>
    <row r="96291" hidden="1" x14ac:dyDescent="0.35"/>
    <row r="96292" hidden="1" x14ac:dyDescent="0.35"/>
    <row r="96293" hidden="1" x14ac:dyDescent="0.35"/>
    <row r="96294" hidden="1" x14ac:dyDescent="0.35"/>
    <row r="96295" hidden="1" x14ac:dyDescent="0.35"/>
    <row r="96296" hidden="1" x14ac:dyDescent="0.35"/>
    <row r="96297" hidden="1" x14ac:dyDescent="0.35"/>
    <row r="96298" hidden="1" x14ac:dyDescent="0.35"/>
    <row r="96299" hidden="1" x14ac:dyDescent="0.35"/>
    <row r="96300" hidden="1" x14ac:dyDescent="0.35"/>
    <row r="96301" hidden="1" x14ac:dyDescent="0.35"/>
    <row r="96302" hidden="1" x14ac:dyDescent="0.35"/>
    <row r="96303" hidden="1" x14ac:dyDescent="0.35"/>
    <row r="96304" hidden="1" x14ac:dyDescent="0.35"/>
    <row r="96305" hidden="1" x14ac:dyDescent="0.35"/>
    <row r="96306" hidden="1" x14ac:dyDescent="0.35"/>
    <row r="96307" hidden="1" x14ac:dyDescent="0.35"/>
    <row r="96308" hidden="1" x14ac:dyDescent="0.35"/>
    <row r="96309" hidden="1" x14ac:dyDescent="0.35"/>
    <row r="96310" hidden="1" x14ac:dyDescent="0.35"/>
    <row r="96311" hidden="1" x14ac:dyDescent="0.35"/>
    <row r="96312" hidden="1" x14ac:dyDescent="0.35"/>
    <row r="96313" hidden="1" x14ac:dyDescent="0.35"/>
    <row r="96314" hidden="1" x14ac:dyDescent="0.35"/>
    <row r="96315" hidden="1" x14ac:dyDescent="0.35"/>
    <row r="96316" hidden="1" x14ac:dyDescent="0.35"/>
    <row r="96317" hidden="1" x14ac:dyDescent="0.35"/>
    <row r="96318" hidden="1" x14ac:dyDescent="0.35"/>
    <row r="96319" hidden="1" x14ac:dyDescent="0.35"/>
    <row r="96320" hidden="1" x14ac:dyDescent="0.35"/>
    <row r="96321" hidden="1" x14ac:dyDescent="0.35"/>
    <row r="96322" hidden="1" x14ac:dyDescent="0.35"/>
    <row r="96323" hidden="1" x14ac:dyDescent="0.35"/>
    <row r="96324" hidden="1" x14ac:dyDescent="0.35"/>
    <row r="96325" hidden="1" x14ac:dyDescent="0.35"/>
    <row r="96326" hidden="1" x14ac:dyDescent="0.35"/>
    <row r="96327" hidden="1" x14ac:dyDescent="0.35"/>
    <row r="96328" hidden="1" x14ac:dyDescent="0.35"/>
    <row r="96329" hidden="1" x14ac:dyDescent="0.35"/>
    <row r="96330" hidden="1" x14ac:dyDescent="0.35"/>
    <row r="96331" hidden="1" x14ac:dyDescent="0.35"/>
    <row r="96332" hidden="1" x14ac:dyDescent="0.35"/>
    <row r="96333" hidden="1" x14ac:dyDescent="0.35"/>
    <row r="96334" hidden="1" x14ac:dyDescent="0.35"/>
    <row r="96335" hidden="1" x14ac:dyDescent="0.35"/>
    <row r="96336" hidden="1" x14ac:dyDescent="0.35"/>
    <row r="96337" hidden="1" x14ac:dyDescent="0.35"/>
    <row r="96338" hidden="1" x14ac:dyDescent="0.35"/>
    <row r="96339" hidden="1" x14ac:dyDescent="0.35"/>
    <row r="96340" hidden="1" x14ac:dyDescent="0.35"/>
    <row r="96341" hidden="1" x14ac:dyDescent="0.35"/>
    <row r="96342" hidden="1" x14ac:dyDescent="0.35"/>
    <row r="96343" hidden="1" x14ac:dyDescent="0.35"/>
    <row r="96344" hidden="1" x14ac:dyDescent="0.35"/>
    <row r="96345" hidden="1" x14ac:dyDescent="0.35"/>
    <row r="96346" hidden="1" x14ac:dyDescent="0.35"/>
    <row r="96347" hidden="1" x14ac:dyDescent="0.35"/>
    <row r="96348" hidden="1" x14ac:dyDescent="0.35"/>
    <row r="96349" hidden="1" x14ac:dyDescent="0.35"/>
    <row r="96350" hidden="1" x14ac:dyDescent="0.35"/>
    <row r="96351" hidden="1" x14ac:dyDescent="0.35"/>
    <row r="96352" hidden="1" x14ac:dyDescent="0.35"/>
    <row r="96353" hidden="1" x14ac:dyDescent="0.35"/>
    <row r="96354" hidden="1" x14ac:dyDescent="0.35"/>
    <row r="96355" hidden="1" x14ac:dyDescent="0.35"/>
    <row r="96356" hidden="1" x14ac:dyDescent="0.35"/>
    <row r="96357" hidden="1" x14ac:dyDescent="0.35"/>
    <row r="96358" hidden="1" x14ac:dyDescent="0.35"/>
    <row r="96359" hidden="1" x14ac:dyDescent="0.35"/>
    <row r="96360" hidden="1" x14ac:dyDescent="0.35"/>
    <row r="96361" hidden="1" x14ac:dyDescent="0.35"/>
    <row r="96362" hidden="1" x14ac:dyDescent="0.35"/>
    <row r="96363" hidden="1" x14ac:dyDescent="0.35"/>
    <row r="96364" hidden="1" x14ac:dyDescent="0.35"/>
    <row r="96365" hidden="1" x14ac:dyDescent="0.35"/>
    <row r="96366" hidden="1" x14ac:dyDescent="0.35"/>
    <row r="96367" hidden="1" x14ac:dyDescent="0.35"/>
    <row r="96368" hidden="1" x14ac:dyDescent="0.35"/>
    <row r="96369" hidden="1" x14ac:dyDescent="0.35"/>
    <row r="96370" hidden="1" x14ac:dyDescent="0.35"/>
    <row r="96371" hidden="1" x14ac:dyDescent="0.35"/>
    <row r="96372" hidden="1" x14ac:dyDescent="0.35"/>
    <row r="96373" hidden="1" x14ac:dyDescent="0.35"/>
    <row r="96374" hidden="1" x14ac:dyDescent="0.35"/>
    <row r="96375" hidden="1" x14ac:dyDescent="0.35"/>
    <row r="96376" hidden="1" x14ac:dyDescent="0.35"/>
    <row r="96377" hidden="1" x14ac:dyDescent="0.35"/>
    <row r="96378" hidden="1" x14ac:dyDescent="0.35"/>
    <row r="96379" hidden="1" x14ac:dyDescent="0.35"/>
    <row r="96380" hidden="1" x14ac:dyDescent="0.35"/>
    <row r="96381" hidden="1" x14ac:dyDescent="0.35"/>
    <row r="96382" hidden="1" x14ac:dyDescent="0.35"/>
    <row r="96383" hidden="1" x14ac:dyDescent="0.35"/>
    <row r="96384" hidden="1" x14ac:dyDescent="0.35"/>
    <row r="96385" hidden="1" x14ac:dyDescent="0.35"/>
    <row r="96386" hidden="1" x14ac:dyDescent="0.35"/>
    <row r="96387" hidden="1" x14ac:dyDescent="0.35"/>
    <row r="96388" hidden="1" x14ac:dyDescent="0.35"/>
    <row r="96389" hidden="1" x14ac:dyDescent="0.35"/>
    <row r="96390" hidden="1" x14ac:dyDescent="0.35"/>
    <row r="96391" hidden="1" x14ac:dyDescent="0.35"/>
    <row r="96392" hidden="1" x14ac:dyDescent="0.35"/>
    <row r="96393" hidden="1" x14ac:dyDescent="0.35"/>
    <row r="96394" hidden="1" x14ac:dyDescent="0.35"/>
    <row r="96395" hidden="1" x14ac:dyDescent="0.35"/>
    <row r="96396" hidden="1" x14ac:dyDescent="0.35"/>
    <row r="96397" hidden="1" x14ac:dyDescent="0.35"/>
    <row r="96398" hidden="1" x14ac:dyDescent="0.35"/>
    <row r="96399" hidden="1" x14ac:dyDescent="0.35"/>
    <row r="96400" hidden="1" x14ac:dyDescent="0.35"/>
    <row r="96401" hidden="1" x14ac:dyDescent="0.35"/>
    <row r="96402" hidden="1" x14ac:dyDescent="0.35"/>
    <row r="96403" hidden="1" x14ac:dyDescent="0.35"/>
    <row r="96404" hidden="1" x14ac:dyDescent="0.35"/>
    <row r="96405" hidden="1" x14ac:dyDescent="0.35"/>
    <row r="96406" hidden="1" x14ac:dyDescent="0.35"/>
    <row r="96407" hidden="1" x14ac:dyDescent="0.35"/>
    <row r="96408" hidden="1" x14ac:dyDescent="0.35"/>
    <row r="96409" hidden="1" x14ac:dyDescent="0.35"/>
    <row r="96410" hidden="1" x14ac:dyDescent="0.35"/>
    <row r="96411" hidden="1" x14ac:dyDescent="0.35"/>
    <row r="96412" hidden="1" x14ac:dyDescent="0.35"/>
    <row r="96413" hidden="1" x14ac:dyDescent="0.35"/>
    <row r="96414" hidden="1" x14ac:dyDescent="0.35"/>
    <row r="96415" hidden="1" x14ac:dyDescent="0.35"/>
    <row r="96416" hidden="1" x14ac:dyDescent="0.35"/>
    <row r="96417" hidden="1" x14ac:dyDescent="0.35"/>
    <row r="96418" hidden="1" x14ac:dyDescent="0.35"/>
    <row r="96419" hidden="1" x14ac:dyDescent="0.35"/>
    <row r="96420" hidden="1" x14ac:dyDescent="0.35"/>
    <row r="96421" hidden="1" x14ac:dyDescent="0.35"/>
    <row r="96422" hidden="1" x14ac:dyDescent="0.35"/>
    <row r="96423" hidden="1" x14ac:dyDescent="0.35"/>
    <row r="96424" hidden="1" x14ac:dyDescent="0.35"/>
    <row r="96425" hidden="1" x14ac:dyDescent="0.35"/>
    <row r="96426" hidden="1" x14ac:dyDescent="0.35"/>
    <row r="96427" hidden="1" x14ac:dyDescent="0.35"/>
    <row r="96428" hidden="1" x14ac:dyDescent="0.35"/>
    <row r="96429" hidden="1" x14ac:dyDescent="0.35"/>
    <row r="96430" hidden="1" x14ac:dyDescent="0.35"/>
    <row r="96431" hidden="1" x14ac:dyDescent="0.35"/>
    <row r="96432" hidden="1" x14ac:dyDescent="0.35"/>
    <row r="96433" hidden="1" x14ac:dyDescent="0.35"/>
    <row r="96434" hidden="1" x14ac:dyDescent="0.35"/>
    <row r="96435" hidden="1" x14ac:dyDescent="0.35"/>
    <row r="96436" hidden="1" x14ac:dyDescent="0.35"/>
    <row r="96437" hidden="1" x14ac:dyDescent="0.35"/>
    <row r="96438" hidden="1" x14ac:dyDescent="0.35"/>
    <row r="96439" hidden="1" x14ac:dyDescent="0.35"/>
    <row r="96440" hidden="1" x14ac:dyDescent="0.35"/>
    <row r="96441" hidden="1" x14ac:dyDescent="0.35"/>
    <row r="96442" hidden="1" x14ac:dyDescent="0.35"/>
    <row r="96443" hidden="1" x14ac:dyDescent="0.35"/>
    <row r="96444" hidden="1" x14ac:dyDescent="0.35"/>
    <row r="96445" hidden="1" x14ac:dyDescent="0.35"/>
    <row r="96446" hidden="1" x14ac:dyDescent="0.35"/>
    <row r="96447" hidden="1" x14ac:dyDescent="0.35"/>
    <row r="96448" hidden="1" x14ac:dyDescent="0.35"/>
    <row r="96449" hidden="1" x14ac:dyDescent="0.35"/>
    <row r="96450" hidden="1" x14ac:dyDescent="0.35"/>
    <row r="96451" hidden="1" x14ac:dyDescent="0.35"/>
    <row r="96452" hidden="1" x14ac:dyDescent="0.35"/>
    <row r="96453" hidden="1" x14ac:dyDescent="0.35"/>
    <row r="96454" hidden="1" x14ac:dyDescent="0.35"/>
    <row r="96455" hidden="1" x14ac:dyDescent="0.35"/>
    <row r="96456" hidden="1" x14ac:dyDescent="0.35"/>
    <row r="96457" hidden="1" x14ac:dyDescent="0.35"/>
    <row r="96458" hidden="1" x14ac:dyDescent="0.35"/>
    <row r="96459" hidden="1" x14ac:dyDescent="0.35"/>
    <row r="96460" hidden="1" x14ac:dyDescent="0.35"/>
    <row r="96461" hidden="1" x14ac:dyDescent="0.35"/>
    <row r="96462" hidden="1" x14ac:dyDescent="0.35"/>
    <row r="96463" hidden="1" x14ac:dyDescent="0.35"/>
    <row r="96464" hidden="1" x14ac:dyDescent="0.35"/>
    <row r="96465" hidden="1" x14ac:dyDescent="0.35"/>
    <row r="96466" hidden="1" x14ac:dyDescent="0.35"/>
    <row r="96467" hidden="1" x14ac:dyDescent="0.35"/>
    <row r="96468" hidden="1" x14ac:dyDescent="0.35"/>
    <row r="96469" hidden="1" x14ac:dyDescent="0.35"/>
    <row r="96470" hidden="1" x14ac:dyDescent="0.35"/>
    <row r="96471" hidden="1" x14ac:dyDescent="0.35"/>
    <row r="96472" hidden="1" x14ac:dyDescent="0.35"/>
    <row r="96473" hidden="1" x14ac:dyDescent="0.35"/>
    <row r="96474" hidden="1" x14ac:dyDescent="0.35"/>
    <row r="96475" hidden="1" x14ac:dyDescent="0.35"/>
    <row r="96476" hidden="1" x14ac:dyDescent="0.35"/>
    <row r="96477" hidden="1" x14ac:dyDescent="0.35"/>
    <row r="96478" hidden="1" x14ac:dyDescent="0.35"/>
    <row r="96479" hidden="1" x14ac:dyDescent="0.35"/>
    <row r="96480" hidden="1" x14ac:dyDescent="0.35"/>
    <row r="96481" hidden="1" x14ac:dyDescent="0.35"/>
    <row r="96482" hidden="1" x14ac:dyDescent="0.35"/>
    <row r="96483" hidden="1" x14ac:dyDescent="0.35"/>
    <row r="96484" hidden="1" x14ac:dyDescent="0.35"/>
    <row r="96485" hidden="1" x14ac:dyDescent="0.35"/>
    <row r="96486" hidden="1" x14ac:dyDescent="0.35"/>
    <row r="96487" hidden="1" x14ac:dyDescent="0.35"/>
    <row r="96488" hidden="1" x14ac:dyDescent="0.35"/>
    <row r="96489" hidden="1" x14ac:dyDescent="0.35"/>
    <row r="96490" hidden="1" x14ac:dyDescent="0.35"/>
    <row r="96491" hidden="1" x14ac:dyDescent="0.35"/>
    <row r="96492" hidden="1" x14ac:dyDescent="0.35"/>
    <row r="96493" hidden="1" x14ac:dyDescent="0.35"/>
    <row r="96494" hidden="1" x14ac:dyDescent="0.35"/>
    <row r="96495" hidden="1" x14ac:dyDescent="0.35"/>
    <row r="96496" hidden="1" x14ac:dyDescent="0.35"/>
    <row r="96497" hidden="1" x14ac:dyDescent="0.35"/>
    <row r="96498" hidden="1" x14ac:dyDescent="0.35"/>
    <row r="96499" hidden="1" x14ac:dyDescent="0.35"/>
    <row r="96500" hidden="1" x14ac:dyDescent="0.35"/>
    <row r="96501" hidden="1" x14ac:dyDescent="0.35"/>
    <row r="96502" hidden="1" x14ac:dyDescent="0.35"/>
    <row r="96503" hidden="1" x14ac:dyDescent="0.35"/>
    <row r="96504" hidden="1" x14ac:dyDescent="0.35"/>
    <row r="96505" hidden="1" x14ac:dyDescent="0.35"/>
    <row r="96506" hidden="1" x14ac:dyDescent="0.35"/>
    <row r="96507" hidden="1" x14ac:dyDescent="0.35"/>
    <row r="96508" hidden="1" x14ac:dyDescent="0.35"/>
    <row r="96509" hidden="1" x14ac:dyDescent="0.35"/>
    <row r="96510" hidden="1" x14ac:dyDescent="0.35"/>
    <row r="96511" hidden="1" x14ac:dyDescent="0.35"/>
    <row r="96512" hidden="1" x14ac:dyDescent="0.35"/>
    <row r="96513" hidden="1" x14ac:dyDescent="0.35"/>
    <row r="96514" hidden="1" x14ac:dyDescent="0.35"/>
    <row r="96515" hidden="1" x14ac:dyDescent="0.35"/>
    <row r="96516" hidden="1" x14ac:dyDescent="0.35"/>
    <row r="96517" hidden="1" x14ac:dyDescent="0.35"/>
    <row r="96518" hidden="1" x14ac:dyDescent="0.35"/>
    <row r="96519" hidden="1" x14ac:dyDescent="0.35"/>
    <row r="96520" hidden="1" x14ac:dyDescent="0.35"/>
    <row r="96521" hidden="1" x14ac:dyDescent="0.35"/>
    <row r="96522" hidden="1" x14ac:dyDescent="0.35"/>
    <row r="96523" hidden="1" x14ac:dyDescent="0.35"/>
    <row r="96524" hidden="1" x14ac:dyDescent="0.35"/>
    <row r="96525" hidden="1" x14ac:dyDescent="0.35"/>
    <row r="96526" hidden="1" x14ac:dyDescent="0.35"/>
    <row r="96527" hidden="1" x14ac:dyDescent="0.35"/>
    <row r="96528" hidden="1" x14ac:dyDescent="0.35"/>
    <row r="96529" hidden="1" x14ac:dyDescent="0.35"/>
    <row r="96530" hidden="1" x14ac:dyDescent="0.35"/>
    <row r="96531" hidden="1" x14ac:dyDescent="0.35"/>
    <row r="96532" hidden="1" x14ac:dyDescent="0.35"/>
    <row r="96533" hidden="1" x14ac:dyDescent="0.35"/>
    <row r="96534" hidden="1" x14ac:dyDescent="0.35"/>
    <row r="96535" hidden="1" x14ac:dyDescent="0.35"/>
    <row r="96536" hidden="1" x14ac:dyDescent="0.35"/>
    <row r="96537" hidden="1" x14ac:dyDescent="0.35"/>
    <row r="96538" hidden="1" x14ac:dyDescent="0.35"/>
    <row r="96539" hidden="1" x14ac:dyDescent="0.35"/>
    <row r="96540" hidden="1" x14ac:dyDescent="0.35"/>
    <row r="96541" hidden="1" x14ac:dyDescent="0.35"/>
    <row r="96542" hidden="1" x14ac:dyDescent="0.35"/>
    <row r="96543" hidden="1" x14ac:dyDescent="0.35"/>
    <row r="96544" hidden="1" x14ac:dyDescent="0.35"/>
    <row r="96545" hidden="1" x14ac:dyDescent="0.35"/>
    <row r="96546" hidden="1" x14ac:dyDescent="0.35"/>
    <row r="96547" hidden="1" x14ac:dyDescent="0.35"/>
    <row r="96548" hidden="1" x14ac:dyDescent="0.35"/>
    <row r="96549" hidden="1" x14ac:dyDescent="0.35"/>
    <row r="96550" hidden="1" x14ac:dyDescent="0.35"/>
    <row r="96551" hidden="1" x14ac:dyDescent="0.35"/>
    <row r="96552" hidden="1" x14ac:dyDescent="0.35"/>
    <row r="96553" hidden="1" x14ac:dyDescent="0.35"/>
    <row r="96554" hidden="1" x14ac:dyDescent="0.35"/>
    <row r="96555" hidden="1" x14ac:dyDescent="0.35"/>
    <row r="96556" hidden="1" x14ac:dyDescent="0.35"/>
    <row r="96557" hidden="1" x14ac:dyDescent="0.35"/>
    <row r="96558" hidden="1" x14ac:dyDescent="0.35"/>
    <row r="96559" hidden="1" x14ac:dyDescent="0.35"/>
    <row r="96560" hidden="1" x14ac:dyDescent="0.35"/>
    <row r="96561" hidden="1" x14ac:dyDescent="0.35"/>
    <row r="96562" hidden="1" x14ac:dyDescent="0.35"/>
    <row r="96563" hidden="1" x14ac:dyDescent="0.35"/>
    <row r="96564" hidden="1" x14ac:dyDescent="0.35"/>
    <row r="96565" hidden="1" x14ac:dyDescent="0.35"/>
    <row r="96566" hidden="1" x14ac:dyDescent="0.35"/>
    <row r="96567" hidden="1" x14ac:dyDescent="0.35"/>
    <row r="96568" hidden="1" x14ac:dyDescent="0.35"/>
    <row r="96569" hidden="1" x14ac:dyDescent="0.35"/>
    <row r="96570" hidden="1" x14ac:dyDescent="0.35"/>
    <row r="96571" hidden="1" x14ac:dyDescent="0.35"/>
    <row r="96572" hidden="1" x14ac:dyDescent="0.35"/>
    <row r="96573" hidden="1" x14ac:dyDescent="0.35"/>
    <row r="96574" hidden="1" x14ac:dyDescent="0.35"/>
    <row r="96575" hidden="1" x14ac:dyDescent="0.35"/>
    <row r="96576" hidden="1" x14ac:dyDescent="0.35"/>
    <row r="96577" hidden="1" x14ac:dyDescent="0.35"/>
    <row r="96578" hidden="1" x14ac:dyDescent="0.35"/>
    <row r="96579" hidden="1" x14ac:dyDescent="0.35"/>
    <row r="96580" hidden="1" x14ac:dyDescent="0.35"/>
    <row r="96581" hidden="1" x14ac:dyDescent="0.35"/>
    <row r="96582" hidden="1" x14ac:dyDescent="0.35"/>
    <row r="96583" hidden="1" x14ac:dyDescent="0.35"/>
    <row r="96584" hidden="1" x14ac:dyDescent="0.35"/>
    <row r="96585" hidden="1" x14ac:dyDescent="0.35"/>
    <row r="96586" hidden="1" x14ac:dyDescent="0.35"/>
    <row r="96587" hidden="1" x14ac:dyDescent="0.35"/>
    <row r="96588" hidden="1" x14ac:dyDescent="0.35"/>
    <row r="96589" hidden="1" x14ac:dyDescent="0.35"/>
    <row r="96590" hidden="1" x14ac:dyDescent="0.35"/>
    <row r="96591" hidden="1" x14ac:dyDescent="0.35"/>
    <row r="96592" hidden="1" x14ac:dyDescent="0.35"/>
    <row r="96593" hidden="1" x14ac:dyDescent="0.35"/>
    <row r="96594" hidden="1" x14ac:dyDescent="0.35"/>
    <row r="96595" hidden="1" x14ac:dyDescent="0.35"/>
    <row r="96596" hidden="1" x14ac:dyDescent="0.35"/>
    <row r="96597" hidden="1" x14ac:dyDescent="0.35"/>
    <row r="96598" hidden="1" x14ac:dyDescent="0.35"/>
    <row r="96599" hidden="1" x14ac:dyDescent="0.35"/>
    <row r="96600" hidden="1" x14ac:dyDescent="0.35"/>
    <row r="96601" hidden="1" x14ac:dyDescent="0.35"/>
    <row r="96602" hidden="1" x14ac:dyDescent="0.35"/>
    <row r="96603" hidden="1" x14ac:dyDescent="0.35"/>
    <row r="96604" hidden="1" x14ac:dyDescent="0.35"/>
    <row r="96605" hidden="1" x14ac:dyDescent="0.35"/>
    <row r="96606" hidden="1" x14ac:dyDescent="0.35"/>
    <row r="96607" hidden="1" x14ac:dyDescent="0.35"/>
    <row r="96608" hidden="1" x14ac:dyDescent="0.35"/>
    <row r="96609" hidden="1" x14ac:dyDescent="0.35"/>
    <row r="96610" hidden="1" x14ac:dyDescent="0.35"/>
    <row r="96611" hidden="1" x14ac:dyDescent="0.35"/>
    <row r="96612" hidden="1" x14ac:dyDescent="0.35"/>
    <row r="96613" hidden="1" x14ac:dyDescent="0.35"/>
    <row r="96614" hidden="1" x14ac:dyDescent="0.35"/>
    <row r="96615" hidden="1" x14ac:dyDescent="0.35"/>
    <row r="96616" hidden="1" x14ac:dyDescent="0.35"/>
    <row r="96617" hidden="1" x14ac:dyDescent="0.35"/>
    <row r="96618" hidden="1" x14ac:dyDescent="0.35"/>
    <row r="96619" hidden="1" x14ac:dyDescent="0.35"/>
    <row r="96620" hidden="1" x14ac:dyDescent="0.35"/>
    <row r="96621" hidden="1" x14ac:dyDescent="0.35"/>
    <row r="96622" hidden="1" x14ac:dyDescent="0.35"/>
    <row r="96623" hidden="1" x14ac:dyDescent="0.35"/>
    <row r="96624" hidden="1" x14ac:dyDescent="0.35"/>
    <row r="96625" hidden="1" x14ac:dyDescent="0.35"/>
    <row r="96626" hidden="1" x14ac:dyDescent="0.35"/>
    <row r="96627" hidden="1" x14ac:dyDescent="0.35"/>
    <row r="96628" hidden="1" x14ac:dyDescent="0.35"/>
    <row r="96629" hidden="1" x14ac:dyDescent="0.35"/>
    <row r="96630" hidden="1" x14ac:dyDescent="0.35"/>
    <row r="96631" hidden="1" x14ac:dyDescent="0.35"/>
    <row r="96632" hidden="1" x14ac:dyDescent="0.35"/>
    <row r="96633" hidden="1" x14ac:dyDescent="0.35"/>
    <row r="96634" hidden="1" x14ac:dyDescent="0.35"/>
    <row r="96635" hidden="1" x14ac:dyDescent="0.35"/>
    <row r="96636" hidden="1" x14ac:dyDescent="0.35"/>
    <row r="96637" hidden="1" x14ac:dyDescent="0.35"/>
    <row r="96638" hidden="1" x14ac:dyDescent="0.35"/>
    <row r="96639" hidden="1" x14ac:dyDescent="0.35"/>
    <row r="96640" hidden="1" x14ac:dyDescent="0.35"/>
    <row r="96641" hidden="1" x14ac:dyDescent="0.35"/>
    <row r="96642" hidden="1" x14ac:dyDescent="0.35"/>
    <row r="96643" hidden="1" x14ac:dyDescent="0.35"/>
    <row r="96644" hidden="1" x14ac:dyDescent="0.35"/>
    <row r="96645" hidden="1" x14ac:dyDescent="0.35"/>
    <row r="96646" hidden="1" x14ac:dyDescent="0.35"/>
    <row r="96647" hidden="1" x14ac:dyDescent="0.35"/>
    <row r="96648" hidden="1" x14ac:dyDescent="0.35"/>
    <row r="96649" hidden="1" x14ac:dyDescent="0.35"/>
    <row r="96650" hidden="1" x14ac:dyDescent="0.35"/>
    <row r="96651" hidden="1" x14ac:dyDescent="0.35"/>
    <row r="96652" hidden="1" x14ac:dyDescent="0.35"/>
    <row r="96653" hidden="1" x14ac:dyDescent="0.35"/>
    <row r="96654" hidden="1" x14ac:dyDescent="0.35"/>
    <row r="96655" hidden="1" x14ac:dyDescent="0.35"/>
    <row r="96656" hidden="1" x14ac:dyDescent="0.35"/>
    <row r="96657" hidden="1" x14ac:dyDescent="0.35"/>
    <row r="96658" hidden="1" x14ac:dyDescent="0.35"/>
    <row r="96659" hidden="1" x14ac:dyDescent="0.35"/>
    <row r="96660" hidden="1" x14ac:dyDescent="0.35"/>
    <row r="96661" hidden="1" x14ac:dyDescent="0.35"/>
    <row r="96662" hidden="1" x14ac:dyDescent="0.35"/>
    <row r="96663" hidden="1" x14ac:dyDescent="0.35"/>
    <row r="96664" hidden="1" x14ac:dyDescent="0.35"/>
    <row r="96665" hidden="1" x14ac:dyDescent="0.35"/>
    <row r="96666" hidden="1" x14ac:dyDescent="0.35"/>
    <row r="96667" hidden="1" x14ac:dyDescent="0.35"/>
    <row r="96668" hidden="1" x14ac:dyDescent="0.35"/>
    <row r="96669" hidden="1" x14ac:dyDescent="0.35"/>
    <row r="96670" hidden="1" x14ac:dyDescent="0.35"/>
    <row r="96671" hidden="1" x14ac:dyDescent="0.35"/>
    <row r="96672" hidden="1" x14ac:dyDescent="0.35"/>
    <row r="96673" hidden="1" x14ac:dyDescent="0.35"/>
    <row r="96674" hidden="1" x14ac:dyDescent="0.35"/>
    <row r="96675" hidden="1" x14ac:dyDescent="0.35"/>
    <row r="96676" hidden="1" x14ac:dyDescent="0.35"/>
    <row r="96677" hidden="1" x14ac:dyDescent="0.35"/>
    <row r="96678" hidden="1" x14ac:dyDescent="0.35"/>
    <row r="96679" hidden="1" x14ac:dyDescent="0.35"/>
    <row r="96680" hidden="1" x14ac:dyDescent="0.35"/>
    <row r="96681" hidden="1" x14ac:dyDescent="0.35"/>
    <row r="96682" hidden="1" x14ac:dyDescent="0.35"/>
    <row r="96683" hidden="1" x14ac:dyDescent="0.35"/>
    <row r="96684" hidden="1" x14ac:dyDescent="0.35"/>
    <row r="96685" hidden="1" x14ac:dyDescent="0.35"/>
    <row r="96686" hidden="1" x14ac:dyDescent="0.35"/>
    <row r="96687" hidden="1" x14ac:dyDescent="0.35"/>
    <row r="96688" hidden="1" x14ac:dyDescent="0.35"/>
    <row r="96689" hidden="1" x14ac:dyDescent="0.35"/>
    <row r="96690" hidden="1" x14ac:dyDescent="0.35"/>
    <row r="96691" hidden="1" x14ac:dyDescent="0.35"/>
    <row r="96692" hidden="1" x14ac:dyDescent="0.35"/>
    <row r="96693" hidden="1" x14ac:dyDescent="0.35"/>
    <row r="96694" hidden="1" x14ac:dyDescent="0.35"/>
    <row r="96695" hidden="1" x14ac:dyDescent="0.35"/>
    <row r="96696" hidden="1" x14ac:dyDescent="0.35"/>
    <row r="96697" hidden="1" x14ac:dyDescent="0.35"/>
    <row r="96698" hidden="1" x14ac:dyDescent="0.35"/>
    <row r="96699" hidden="1" x14ac:dyDescent="0.35"/>
    <row r="96700" hidden="1" x14ac:dyDescent="0.35"/>
    <row r="96701" hidden="1" x14ac:dyDescent="0.35"/>
    <row r="96702" hidden="1" x14ac:dyDescent="0.35"/>
    <row r="96703" hidden="1" x14ac:dyDescent="0.35"/>
    <row r="96704" hidden="1" x14ac:dyDescent="0.35"/>
    <row r="96705" hidden="1" x14ac:dyDescent="0.35"/>
    <row r="96706" hidden="1" x14ac:dyDescent="0.35"/>
    <row r="96707" hidden="1" x14ac:dyDescent="0.35"/>
    <row r="96708" hidden="1" x14ac:dyDescent="0.35"/>
    <row r="96709" hidden="1" x14ac:dyDescent="0.35"/>
    <row r="96710" hidden="1" x14ac:dyDescent="0.35"/>
    <row r="96711" hidden="1" x14ac:dyDescent="0.35"/>
    <row r="96712" hidden="1" x14ac:dyDescent="0.35"/>
    <row r="96713" hidden="1" x14ac:dyDescent="0.35"/>
    <row r="96714" hidden="1" x14ac:dyDescent="0.35"/>
    <row r="96715" hidden="1" x14ac:dyDescent="0.35"/>
    <row r="96716" hidden="1" x14ac:dyDescent="0.35"/>
    <row r="96717" hidden="1" x14ac:dyDescent="0.35"/>
    <row r="96718" hidden="1" x14ac:dyDescent="0.35"/>
    <row r="96719" hidden="1" x14ac:dyDescent="0.35"/>
    <row r="96720" hidden="1" x14ac:dyDescent="0.35"/>
    <row r="96721" hidden="1" x14ac:dyDescent="0.35"/>
    <row r="96722" hidden="1" x14ac:dyDescent="0.35"/>
    <row r="96723" hidden="1" x14ac:dyDescent="0.35"/>
    <row r="96724" hidden="1" x14ac:dyDescent="0.35"/>
    <row r="96725" hidden="1" x14ac:dyDescent="0.35"/>
    <row r="96726" hidden="1" x14ac:dyDescent="0.35"/>
    <row r="96727" hidden="1" x14ac:dyDescent="0.35"/>
    <row r="96728" hidden="1" x14ac:dyDescent="0.35"/>
    <row r="96729" hidden="1" x14ac:dyDescent="0.35"/>
    <row r="96730" hidden="1" x14ac:dyDescent="0.35"/>
    <row r="96731" hidden="1" x14ac:dyDescent="0.35"/>
    <row r="96732" hidden="1" x14ac:dyDescent="0.35"/>
    <row r="96733" hidden="1" x14ac:dyDescent="0.35"/>
    <row r="96734" hidden="1" x14ac:dyDescent="0.35"/>
    <row r="96735" hidden="1" x14ac:dyDescent="0.35"/>
    <row r="96736" hidden="1" x14ac:dyDescent="0.35"/>
    <row r="96737" hidden="1" x14ac:dyDescent="0.35"/>
    <row r="96738" hidden="1" x14ac:dyDescent="0.35"/>
    <row r="96739" hidden="1" x14ac:dyDescent="0.35"/>
    <row r="96740" hidden="1" x14ac:dyDescent="0.35"/>
    <row r="96741" hidden="1" x14ac:dyDescent="0.35"/>
    <row r="96742" hidden="1" x14ac:dyDescent="0.35"/>
    <row r="96743" hidden="1" x14ac:dyDescent="0.35"/>
    <row r="96744" hidden="1" x14ac:dyDescent="0.35"/>
    <row r="96745" hidden="1" x14ac:dyDescent="0.35"/>
    <row r="96746" hidden="1" x14ac:dyDescent="0.35"/>
    <row r="96747" hidden="1" x14ac:dyDescent="0.35"/>
    <row r="96748" hidden="1" x14ac:dyDescent="0.35"/>
    <row r="96749" hidden="1" x14ac:dyDescent="0.35"/>
    <row r="96750" hidden="1" x14ac:dyDescent="0.35"/>
    <row r="96751" hidden="1" x14ac:dyDescent="0.35"/>
    <row r="96752" hidden="1" x14ac:dyDescent="0.35"/>
    <row r="96753" hidden="1" x14ac:dyDescent="0.35"/>
    <row r="96754" hidden="1" x14ac:dyDescent="0.35"/>
    <row r="96755" hidden="1" x14ac:dyDescent="0.35"/>
    <row r="96756" hidden="1" x14ac:dyDescent="0.35"/>
    <row r="96757" hidden="1" x14ac:dyDescent="0.35"/>
    <row r="96758" hidden="1" x14ac:dyDescent="0.35"/>
    <row r="96759" hidden="1" x14ac:dyDescent="0.35"/>
    <row r="96760" hidden="1" x14ac:dyDescent="0.35"/>
    <row r="96761" hidden="1" x14ac:dyDescent="0.35"/>
    <row r="96762" hidden="1" x14ac:dyDescent="0.35"/>
    <row r="96763" hidden="1" x14ac:dyDescent="0.35"/>
    <row r="96764" hidden="1" x14ac:dyDescent="0.35"/>
    <row r="96765" hidden="1" x14ac:dyDescent="0.35"/>
    <row r="96766" hidden="1" x14ac:dyDescent="0.35"/>
    <row r="96767" hidden="1" x14ac:dyDescent="0.35"/>
    <row r="96768" hidden="1" x14ac:dyDescent="0.35"/>
    <row r="96769" hidden="1" x14ac:dyDescent="0.35"/>
    <row r="96770" hidden="1" x14ac:dyDescent="0.35"/>
    <row r="96771" hidden="1" x14ac:dyDescent="0.35"/>
    <row r="96772" hidden="1" x14ac:dyDescent="0.35"/>
    <row r="96773" hidden="1" x14ac:dyDescent="0.35"/>
    <row r="96774" hidden="1" x14ac:dyDescent="0.35"/>
    <row r="96775" hidden="1" x14ac:dyDescent="0.35"/>
    <row r="96776" hidden="1" x14ac:dyDescent="0.35"/>
    <row r="96777" hidden="1" x14ac:dyDescent="0.35"/>
    <row r="96778" hidden="1" x14ac:dyDescent="0.35"/>
    <row r="96779" hidden="1" x14ac:dyDescent="0.35"/>
    <row r="96780" hidden="1" x14ac:dyDescent="0.35"/>
    <row r="96781" hidden="1" x14ac:dyDescent="0.35"/>
    <row r="96782" hidden="1" x14ac:dyDescent="0.35"/>
    <row r="96783" hidden="1" x14ac:dyDescent="0.35"/>
    <row r="96784" hidden="1" x14ac:dyDescent="0.35"/>
    <row r="96785" hidden="1" x14ac:dyDescent="0.35"/>
    <row r="96786" hidden="1" x14ac:dyDescent="0.35"/>
    <row r="96787" hidden="1" x14ac:dyDescent="0.35"/>
    <row r="96788" hidden="1" x14ac:dyDescent="0.35"/>
    <row r="96789" hidden="1" x14ac:dyDescent="0.35"/>
    <row r="96790" hidden="1" x14ac:dyDescent="0.35"/>
    <row r="96791" hidden="1" x14ac:dyDescent="0.35"/>
    <row r="96792" hidden="1" x14ac:dyDescent="0.35"/>
    <row r="96793" hidden="1" x14ac:dyDescent="0.35"/>
    <row r="96794" hidden="1" x14ac:dyDescent="0.35"/>
    <row r="96795" hidden="1" x14ac:dyDescent="0.35"/>
    <row r="96796" hidden="1" x14ac:dyDescent="0.35"/>
    <row r="96797" hidden="1" x14ac:dyDescent="0.35"/>
    <row r="96798" hidden="1" x14ac:dyDescent="0.35"/>
    <row r="96799" hidden="1" x14ac:dyDescent="0.35"/>
    <row r="96800" hidden="1" x14ac:dyDescent="0.35"/>
    <row r="96801" hidden="1" x14ac:dyDescent="0.35"/>
    <row r="96802" hidden="1" x14ac:dyDescent="0.35"/>
    <row r="96803" hidden="1" x14ac:dyDescent="0.35"/>
    <row r="96804" hidden="1" x14ac:dyDescent="0.35"/>
    <row r="96805" hidden="1" x14ac:dyDescent="0.35"/>
    <row r="96806" hidden="1" x14ac:dyDescent="0.35"/>
    <row r="96807" hidden="1" x14ac:dyDescent="0.35"/>
    <row r="96808" hidden="1" x14ac:dyDescent="0.35"/>
    <row r="96809" hidden="1" x14ac:dyDescent="0.35"/>
    <row r="96810" hidden="1" x14ac:dyDescent="0.35"/>
    <row r="96811" hidden="1" x14ac:dyDescent="0.35"/>
    <row r="96812" hidden="1" x14ac:dyDescent="0.35"/>
    <row r="96813" hidden="1" x14ac:dyDescent="0.35"/>
    <row r="96814" hidden="1" x14ac:dyDescent="0.35"/>
    <row r="96815" hidden="1" x14ac:dyDescent="0.35"/>
    <row r="96816" hidden="1" x14ac:dyDescent="0.35"/>
    <row r="96817" hidden="1" x14ac:dyDescent="0.35"/>
    <row r="96818" hidden="1" x14ac:dyDescent="0.35"/>
    <row r="96819" hidden="1" x14ac:dyDescent="0.35"/>
    <row r="96820" hidden="1" x14ac:dyDescent="0.35"/>
    <row r="96821" hidden="1" x14ac:dyDescent="0.35"/>
    <row r="96822" hidden="1" x14ac:dyDescent="0.35"/>
    <row r="96823" hidden="1" x14ac:dyDescent="0.35"/>
    <row r="96824" hidden="1" x14ac:dyDescent="0.35"/>
    <row r="96825" hidden="1" x14ac:dyDescent="0.35"/>
    <row r="96826" hidden="1" x14ac:dyDescent="0.35"/>
    <row r="96827" hidden="1" x14ac:dyDescent="0.35"/>
    <row r="96828" hidden="1" x14ac:dyDescent="0.35"/>
    <row r="96829" hidden="1" x14ac:dyDescent="0.35"/>
    <row r="96830" hidden="1" x14ac:dyDescent="0.35"/>
    <row r="96831" hidden="1" x14ac:dyDescent="0.35"/>
    <row r="96832" hidden="1" x14ac:dyDescent="0.35"/>
    <row r="96833" hidden="1" x14ac:dyDescent="0.35"/>
    <row r="96834" hidden="1" x14ac:dyDescent="0.35"/>
    <row r="96835" hidden="1" x14ac:dyDescent="0.35"/>
    <row r="96836" hidden="1" x14ac:dyDescent="0.35"/>
    <row r="96837" hidden="1" x14ac:dyDescent="0.35"/>
    <row r="96838" hidden="1" x14ac:dyDescent="0.35"/>
    <row r="96839" hidden="1" x14ac:dyDescent="0.35"/>
    <row r="96840" hidden="1" x14ac:dyDescent="0.35"/>
    <row r="96841" hidden="1" x14ac:dyDescent="0.35"/>
    <row r="96842" hidden="1" x14ac:dyDescent="0.35"/>
    <row r="96843" hidden="1" x14ac:dyDescent="0.35"/>
    <row r="96844" hidden="1" x14ac:dyDescent="0.35"/>
    <row r="96845" hidden="1" x14ac:dyDescent="0.35"/>
    <row r="96846" hidden="1" x14ac:dyDescent="0.35"/>
    <row r="96847" hidden="1" x14ac:dyDescent="0.35"/>
    <row r="96848" hidden="1" x14ac:dyDescent="0.35"/>
    <row r="96849" hidden="1" x14ac:dyDescent="0.35"/>
    <row r="96850" hidden="1" x14ac:dyDescent="0.35"/>
    <row r="96851" hidden="1" x14ac:dyDescent="0.35"/>
    <row r="96852" hidden="1" x14ac:dyDescent="0.35"/>
    <row r="96853" hidden="1" x14ac:dyDescent="0.35"/>
    <row r="96854" hidden="1" x14ac:dyDescent="0.35"/>
    <row r="96855" hidden="1" x14ac:dyDescent="0.35"/>
    <row r="96856" hidden="1" x14ac:dyDescent="0.35"/>
    <row r="96857" hidden="1" x14ac:dyDescent="0.35"/>
    <row r="96858" hidden="1" x14ac:dyDescent="0.35"/>
    <row r="96859" hidden="1" x14ac:dyDescent="0.35"/>
    <row r="96860" hidden="1" x14ac:dyDescent="0.35"/>
    <row r="96861" hidden="1" x14ac:dyDescent="0.35"/>
    <row r="96862" hidden="1" x14ac:dyDescent="0.35"/>
    <row r="96863" hidden="1" x14ac:dyDescent="0.35"/>
    <row r="96864" hidden="1" x14ac:dyDescent="0.35"/>
    <row r="96865" hidden="1" x14ac:dyDescent="0.35"/>
    <row r="96866" hidden="1" x14ac:dyDescent="0.35"/>
    <row r="96867" hidden="1" x14ac:dyDescent="0.35"/>
    <row r="96868" hidden="1" x14ac:dyDescent="0.35"/>
    <row r="96869" hidden="1" x14ac:dyDescent="0.35"/>
    <row r="96870" hidden="1" x14ac:dyDescent="0.35"/>
    <row r="96871" hidden="1" x14ac:dyDescent="0.35"/>
    <row r="96872" hidden="1" x14ac:dyDescent="0.35"/>
    <row r="96873" hidden="1" x14ac:dyDescent="0.35"/>
    <row r="96874" hidden="1" x14ac:dyDescent="0.35"/>
    <row r="96875" hidden="1" x14ac:dyDescent="0.35"/>
    <row r="96876" hidden="1" x14ac:dyDescent="0.35"/>
    <row r="96877" hidden="1" x14ac:dyDescent="0.35"/>
    <row r="96878" hidden="1" x14ac:dyDescent="0.35"/>
    <row r="96879" hidden="1" x14ac:dyDescent="0.35"/>
    <row r="96880" hidden="1" x14ac:dyDescent="0.35"/>
    <row r="96881" hidden="1" x14ac:dyDescent="0.35"/>
    <row r="96882" hidden="1" x14ac:dyDescent="0.35"/>
    <row r="96883" hidden="1" x14ac:dyDescent="0.35"/>
    <row r="96884" hidden="1" x14ac:dyDescent="0.35"/>
    <row r="96885" hidden="1" x14ac:dyDescent="0.35"/>
    <row r="96886" hidden="1" x14ac:dyDescent="0.35"/>
    <row r="96887" hidden="1" x14ac:dyDescent="0.35"/>
    <row r="96888" hidden="1" x14ac:dyDescent="0.35"/>
    <row r="96889" hidden="1" x14ac:dyDescent="0.35"/>
    <row r="96890" hidden="1" x14ac:dyDescent="0.35"/>
    <row r="96891" hidden="1" x14ac:dyDescent="0.35"/>
    <row r="96892" hidden="1" x14ac:dyDescent="0.35"/>
    <row r="96893" hidden="1" x14ac:dyDescent="0.35"/>
    <row r="96894" hidden="1" x14ac:dyDescent="0.35"/>
    <row r="96895" hidden="1" x14ac:dyDescent="0.35"/>
    <row r="96896" hidden="1" x14ac:dyDescent="0.35"/>
    <row r="96897" hidden="1" x14ac:dyDescent="0.35"/>
    <row r="96898" hidden="1" x14ac:dyDescent="0.35"/>
    <row r="96899" hidden="1" x14ac:dyDescent="0.35"/>
    <row r="96900" hidden="1" x14ac:dyDescent="0.35"/>
    <row r="96901" hidden="1" x14ac:dyDescent="0.35"/>
    <row r="96902" hidden="1" x14ac:dyDescent="0.35"/>
    <row r="96903" hidden="1" x14ac:dyDescent="0.35"/>
    <row r="96904" hidden="1" x14ac:dyDescent="0.35"/>
    <row r="96905" hidden="1" x14ac:dyDescent="0.35"/>
    <row r="96906" hidden="1" x14ac:dyDescent="0.35"/>
    <row r="96907" hidden="1" x14ac:dyDescent="0.35"/>
    <row r="96908" hidden="1" x14ac:dyDescent="0.35"/>
    <row r="96909" hidden="1" x14ac:dyDescent="0.35"/>
    <row r="96910" hidden="1" x14ac:dyDescent="0.35"/>
    <row r="96911" hidden="1" x14ac:dyDescent="0.35"/>
    <row r="96912" hidden="1" x14ac:dyDescent="0.35"/>
    <row r="96913" hidden="1" x14ac:dyDescent="0.35"/>
    <row r="96914" hidden="1" x14ac:dyDescent="0.35"/>
    <row r="96915" hidden="1" x14ac:dyDescent="0.35"/>
    <row r="96916" hidden="1" x14ac:dyDescent="0.35"/>
    <row r="96917" hidden="1" x14ac:dyDescent="0.35"/>
    <row r="96918" hidden="1" x14ac:dyDescent="0.35"/>
    <row r="96919" hidden="1" x14ac:dyDescent="0.35"/>
    <row r="96920" hidden="1" x14ac:dyDescent="0.35"/>
    <row r="96921" hidden="1" x14ac:dyDescent="0.35"/>
    <row r="96922" hidden="1" x14ac:dyDescent="0.35"/>
    <row r="96923" hidden="1" x14ac:dyDescent="0.35"/>
    <row r="96924" hidden="1" x14ac:dyDescent="0.35"/>
    <row r="96925" hidden="1" x14ac:dyDescent="0.35"/>
    <row r="96926" hidden="1" x14ac:dyDescent="0.35"/>
    <row r="96927" hidden="1" x14ac:dyDescent="0.35"/>
    <row r="96928" hidden="1" x14ac:dyDescent="0.35"/>
    <row r="96929" hidden="1" x14ac:dyDescent="0.35"/>
    <row r="96930" hidden="1" x14ac:dyDescent="0.35"/>
    <row r="96931" hidden="1" x14ac:dyDescent="0.35"/>
    <row r="96932" hidden="1" x14ac:dyDescent="0.35"/>
    <row r="96933" hidden="1" x14ac:dyDescent="0.35"/>
    <row r="96934" hidden="1" x14ac:dyDescent="0.35"/>
    <row r="96935" hidden="1" x14ac:dyDescent="0.35"/>
    <row r="96936" hidden="1" x14ac:dyDescent="0.35"/>
    <row r="96937" hidden="1" x14ac:dyDescent="0.35"/>
    <row r="96938" hidden="1" x14ac:dyDescent="0.35"/>
    <row r="96939" hidden="1" x14ac:dyDescent="0.35"/>
    <row r="96940" hidden="1" x14ac:dyDescent="0.35"/>
    <row r="96941" hidden="1" x14ac:dyDescent="0.35"/>
    <row r="96942" hidden="1" x14ac:dyDescent="0.35"/>
    <row r="96943" hidden="1" x14ac:dyDescent="0.35"/>
    <row r="96944" hidden="1" x14ac:dyDescent="0.35"/>
    <row r="96945" hidden="1" x14ac:dyDescent="0.35"/>
    <row r="96946" hidden="1" x14ac:dyDescent="0.35"/>
    <row r="96947" hidden="1" x14ac:dyDescent="0.35"/>
    <row r="96948" hidden="1" x14ac:dyDescent="0.35"/>
    <row r="96949" hidden="1" x14ac:dyDescent="0.35"/>
    <row r="96950" hidden="1" x14ac:dyDescent="0.35"/>
    <row r="96951" hidden="1" x14ac:dyDescent="0.35"/>
    <row r="96952" hidden="1" x14ac:dyDescent="0.35"/>
    <row r="96953" hidden="1" x14ac:dyDescent="0.35"/>
    <row r="96954" hidden="1" x14ac:dyDescent="0.35"/>
    <row r="96955" hidden="1" x14ac:dyDescent="0.35"/>
    <row r="96956" hidden="1" x14ac:dyDescent="0.35"/>
    <row r="96957" hidden="1" x14ac:dyDescent="0.35"/>
    <row r="96958" hidden="1" x14ac:dyDescent="0.35"/>
    <row r="96959" hidden="1" x14ac:dyDescent="0.35"/>
    <row r="96960" hidden="1" x14ac:dyDescent="0.35"/>
    <row r="96961" hidden="1" x14ac:dyDescent="0.35"/>
    <row r="96962" hidden="1" x14ac:dyDescent="0.35"/>
    <row r="96963" hidden="1" x14ac:dyDescent="0.35"/>
    <row r="96964" hidden="1" x14ac:dyDescent="0.35"/>
    <row r="96965" hidden="1" x14ac:dyDescent="0.35"/>
    <row r="96966" hidden="1" x14ac:dyDescent="0.35"/>
    <row r="96967" hidden="1" x14ac:dyDescent="0.35"/>
    <row r="96968" hidden="1" x14ac:dyDescent="0.35"/>
    <row r="96969" hidden="1" x14ac:dyDescent="0.35"/>
    <row r="96970" hidden="1" x14ac:dyDescent="0.35"/>
    <row r="96971" hidden="1" x14ac:dyDescent="0.35"/>
    <row r="96972" hidden="1" x14ac:dyDescent="0.35"/>
    <row r="96973" hidden="1" x14ac:dyDescent="0.35"/>
    <row r="96974" hidden="1" x14ac:dyDescent="0.35"/>
    <row r="96975" hidden="1" x14ac:dyDescent="0.35"/>
    <row r="96976" hidden="1" x14ac:dyDescent="0.35"/>
    <row r="96977" hidden="1" x14ac:dyDescent="0.35"/>
    <row r="96978" hidden="1" x14ac:dyDescent="0.35"/>
    <row r="96979" hidden="1" x14ac:dyDescent="0.35"/>
    <row r="96980" hidden="1" x14ac:dyDescent="0.35"/>
    <row r="96981" hidden="1" x14ac:dyDescent="0.35"/>
    <row r="96982" hidden="1" x14ac:dyDescent="0.35"/>
    <row r="96983" hidden="1" x14ac:dyDescent="0.35"/>
    <row r="96984" hidden="1" x14ac:dyDescent="0.35"/>
    <row r="96985" hidden="1" x14ac:dyDescent="0.35"/>
    <row r="96986" hidden="1" x14ac:dyDescent="0.35"/>
    <row r="96987" hidden="1" x14ac:dyDescent="0.35"/>
    <row r="96988" hidden="1" x14ac:dyDescent="0.35"/>
    <row r="96989" hidden="1" x14ac:dyDescent="0.35"/>
    <row r="96990" hidden="1" x14ac:dyDescent="0.35"/>
    <row r="96991" hidden="1" x14ac:dyDescent="0.35"/>
    <row r="96992" hidden="1" x14ac:dyDescent="0.35"/>
    <row r="96993" hidden="1" x14ac:dyDescent="0.35"/>
    <row r="96994" hidden="1" x14ac:dyDescent="0.35"/>
    <row r="96995" hidden="1" x14ac:dyDescent="0.35"/>
    <row r="96996" hidden="1" x14ac:dyDescent="0.35"/>
    <row r="96997" hidden="1" x14ac:dyDescent="0.35"/>
    <row r="96998" hidden="1" x14ac:dyDescent="0.35"/>
    <row r="96999" hidden="1" x14ac:dyDescent="0.35"/>
    <row r="97000" hidden="1" x14ac:dyDescent="0.35"/>
    <row r="97001" hidden="1" x14ac:dyDescent="0.35"/>
    <row r="97002" hidden="1" x14ac:dyDescent="0.35"/>
    <row r="97003" hidden="1" x14ac:dyDescent="0.35"/>
    <row r="97004" hidden="1" x14ac:dyDescent="0.35"/>
    <row r="97005" hidden="1" x14ac:dyDescent="0.35"/>
    <row r="97006" hidden="1" x14ac:dyDescent="0.35"/>
    <row r="97007" hidden="1" x14ac:dyDescent="0.35"/>
    <row r="97008" hidden="1" x14ac:dyDescent="0.35"/>
    <row r="97009" hidden="1" x14ac:dyDescent="0.35"/>
    <row r="97010" hidden="1" x14ac:dyDescent="0.35"/>
    <row r="97011" hidden="1" x14ac:dyDescent="0.35"/>
    <row r="97012" hidden="1" x14ac:dyDescent="0.35"/>
    <row r="97013" hidden="1" x14ac:dyDescent="0.35"/>
    <row r="97014" hidden="1" x14ac:dyDescent="0.35"/>
    <row r="97015" hidden="1" x14ac:dyDescent="0.35"/>
    <row r="97016" hidden="1" x14ac:dyDescent="0.35"/>
    <row r="97017" hidden="1" x14ac:dyDescent="0.35"/>
    <row r="97018" hidden="1" x14ac:dyDescent="0.35"/>
    <row r="97019" hidden="1" x14ac:dyDescent="0.35"/>
    <row r="97020" hidden="1" x14ac:dyDescent="0.35"/>
    <row r="97021" hidden="1" x14ac:dyDescent="0.35"/>
    <row r="97022" hidden="1" x14ac:dyDescent="0.35"/>
    <row r="97023" hidden="1" x14ac:dyDescent="0.35"/>
    <row r="97024" hidden="1" x14ac:dyDescent="0.35"/>
    <row r="97025" hidden="1" x14ac:dyDescent="0.35"/>
    <row r="97026" hidden="1" x14ac:dyDescent="0.35"/>
    <row r="97027" hidden="1" x14ac:dyDescent="0.35"/>
    <row r="97028" hidden="1" x14ac:dyDescent="0.35"/>
    <row r="97029" hidden="1" x14ac:dyDescent="0.35"/>
    <row r="97030" hidden="1" x14ac:dyDescent="0.35"/>
    <row r="97031" hidden="1" x14ac:dyDescent="0.35"/>
    <row r="97032" hidden="1" x14ac:dyDescent="0.35"/>
    <row r="97033" hidden="1" x14ac:dyDescent="0.35"/>
    <row r="97034" hidden="1" x14ac:dyDescent="0.35"/>
    <row r="97035" hidden="1" x14ac:dyDescent="0.35"/>
    <row r="97036" hidden="1" x14ac:dyDescent="0.35"/>
    <row r="97037" hidden="1" x14ac:dyDescent="0.35"/>
    <row r="97038" hidden="1" x14ac:dyDescent="0.35"/>
    <row r="97039" hidden="1" x14ac:dyDescent="0.35"/>
    <row r="97040" hidden="1" x14ac:dyDescent="0.35"/>
    <row r="97041" hidden="1" x14ac:dyDescent="0.35"/>
    <row r="97042" hidden="1" x14ac:dyDescent="0.35"/>
    <row r="97043" hidden="1" x14ac:dyDescent="0.35"/>
    <row r="97044" hidden="1" x14ac:dyDescent="0.35"/>
    <row r="97045" hidden="1" x14ac:dyDescent="0.35"/>
    <row r="97046" hidden="1" x14ac:dyDescent="0.35"/>
    <row r="97047" hidden="1" x14ac:dyDescent="0.35"/>
    <row r="97048" hidden="1" x14ac:dyDescent="0.35"/>
    <row r="97049" hidden="1" x14ac:dyDescent="0.35"/>
    <row r="97050" hidden="1" x14ac:dyDescent="0.35"/>
    <row r="97051" hidden="1" x14ac:dyDescent="0.35"/>
    <row r="97052" hidden="1" x14ac:dyDescent="0.35"/>
    <row r="97053" hidden="1" x14ac:dyDescent="0.35"/>
    <row r="97054" hidden="1" x14ac:dyDescent="0.35"/>
    <row r="97055" hidden="1" x14ac:dyDescent="0.35"/>
    <row r="97056" hidden="1" x14ac:dyDescent="0.35"/>
    <row r="97057" hidden="1" x14ac:dyDescent="0.35"/>
    <row r="97058" hidden="1" x14ac:dyDescent="0.35"/>
    <row r="97059" hidden="1" x14ac:dyDescent="0.35"/>
    <row r="97060" hidden="1" x14ac:dyDescent="0.35"/>
    <row r="97061" hidden="1" x14ac:dyDescent="0.35"/>
    <row r="97062" hidden="1" x14ac:dyDescent="0.35"/>
    <row r="97063" hidden="1" x14ac:dyDescent="0.35"/>
    <row r="97064" hidden="1" x14ac:dyDescent="0.35"/>
    <row r="97065" hidden="1" x14ac:dyDescent="0.35"/>
    <row r="97066" hidden="1" x14ac:dyDescent="0.35"/>
    <row r="97067" hidden="1" x14ac:dyDescent="0.35"/>
    <row r="97068" hidden="1" x14ac:dyDescent="0.35"/>
    <row r="97069" hidden="1" x14ac:dyDescent="0.35"/>
    <row r="97070" hidden="1" x14ac:dyDescent="0.35"/>
    <row r="97071" hidden="1" x14ac:dyDescent="0.35"/>
    <row r="97072" hidden="1" x14ac:dyDescent="0.35"/>
    <row r="97073" hidden="1" x14ac:dyDescent="0.35"/>
    <row r="97074" hidden="1" x14ac:dyDescent="0.35"/>
    <row r="97075" hidden="1" x14ac:dyDescent="0.35"/>
    <row r="97076" hidden="1" x14ac:dyDescent="0.35"/>
    <row r="97077" hidden="1" x14ac:dyDescent="0.35"/>
    <row r="97078" hidden="1" x14ac:dyDescent="0.35"/>
    <row r="97079" hidden="1" x14ac:dyDescent="0.35"/>
    <row r="97080" hidden="1" x14ac:dyDescent="0.35"/>
    <row r="97081" hidden="1" x14ac:dyDescent="0.35"/>
    <row r="97082" hidden="1" x14ac:dyDescent="0.35"/>
    <row r="97083" hidden="1" x14ac:dyDescent="0.35"/>
    <row r="97084" hidden="1" x14ac:dyDescent="0.35"/>
    <row r="97085" hidden="1" x14ac:dyDescent="0.35"/>
    <row r="97086" hidden="1" x14ac:dyDescent="0.35"/>
    <row r="97087" hidden="1" x14ac:dyDescent="0.35"/>
    <row r="97088" hidden="1" x14ac:dyDescent="0.35"/>
    <row r="97089" hidden="1" x14ac:dyDescent="0.35"/>
    <row r="97090" hidden="1" x14ac:dyDescent="0.35"/>
    <row r="97091" hidden="1" x14ac:dyDescent="0.35"/>
    <row r="97092" hidden="1" x14ac:dyDescent="0.35"/>
    <row r="97093" hidden="1" x14ac:dyDescent="0.35"/>
    <row r="97094" hidden="1" x14ac:dyDescent="0.35"/>
    <row r="97095" hidden="1" x14ac:dyDescent="0.35"/>
    <row r="97096" hidden="1" x14ac:dyDescent="0.35"/>
    <row r="97097" hidden="1" x14ac:dyDescent="0.35"/>
    <row r="97098" hidden="1" x14ac:dyDescent="0.35"/>
    <row r="97099" hidden="1" x14ac:dyDescent="0.35"/>
    <row r="97100" hidden="1" x14ac:dyDescent="0.35"/>
    <row r="97101" hidden="1" x14ac:dyDescent="0.35"/>
    <row r="97102" hidden="1" x14ac:dyDescent="0.35"/>
    <row r="97103" hidden="1" x14ac:dyDescent="0.35"/>
    <row r="97104" hidden="1" x14ac:dyDescent="0.35"/>
    <row r="97105" hidden="1" x14ac:dyDescent="0.35"/>
    <row r="97106" hidden="1" x14ac:dyDescent="0.35"/>
    <row r="97107" hidden="1" x14ac:dyDescent="0.35"/>
    <row r="97108" hidden="1" x14ac:dyDescent="0.35"/>
    <row r="97109" hidden="1" x14ac:dyDescent="0.35"/>
    <row r="97110" hidden="1" x14ac:dyDescent="0.35"/>
    <row r="97111" hidden="1" x14ac:dyDescent="0.35"/>
    <row r="97112" hidden="1" x14ac:dyDescent="0.35"/>
    <row r="97113" hidden="1" x14ac:dyDescent="0.35"/>
    <row r="97114" hidden="1" x14ac:dyDescent="0.35"/>
    <row r="97115" hidden="1" x14ac:dyDescent="0.35"/>
    <row r="97116" hidden="1" x14ac:dyDescent="0.35"/>
    <row r="97117" hidden="1" x14ac:dyDescent="0.35"/>
    <row r="97118" hidden="1" x14ac:dyDescent="0.35"/>
    <row r="97119" hidden="1" x14ac:dyDescent="0.35"/>
    <row r="97120" hidden="1" x14ac:dyDescent="0.35"/>
    <row r="97121" hidden="1" x14ac:dyDescent="0.35"/>
    <row r="97122" hidden="1" x14ac:dyDescent="0.35"/>
    <row r="97123" hidden="1" x14ac:dyDescent="0.35"/>
    <row r="97124" hidden="1" x14ac:dyDescent="0.35"/>
    <row r="97125" hidden="1" x14ac:dyDescent="0.35"/>
    <row r="97126" hidden="1" x14ac:dyDescent="0.35"/>
    <row r="97127" hidden="1" x14ac:dyDescent="0.35"/>
    <row r="97128" hidden="1" x14ac:dyDescent="0.35"/>
    <row r="97129" hidden="1" x14ac:dyDescent="0.35"/>
    <row r="97130" hidden="1" x14ac:dyDescent="0.35"/>
    <row r="97131" hidden="1" x14ac:dyDescent="0.35"/>
    <row r="97132" hidden="1" x14ac:dyDescent="0.35"/>
    <row r="97133" hidden="1" x14ac:dyDescent="0.35"/>
    <row r="97134" hidden="1" x14ac:dyDescent="0.35"/>
    <row r="97135" hidden="1" x14ac:dyDescent="0.35"/>
    <row r="97136" hidden="1" x14ac:dyDescent="0.35"/>
    <row r="97137" hidden="1" x14ac:dyDescent="0.35"/>
    <row r="97138" hidden="1" x14ac:dyDescent="0.35"/>
    <row r="97139" hidden="1" x14ac:dyDescent="0.35"/>
    <row r="97140" hidden="1" x14ac:dyDescent="0.35"/>
    <row r="97141" hidden="1" x14ac:dyDescent="0.35"/>
    <row r="97142" hidden="1" x14ac:dyDescent="0.35"/>
    <row r="97143" hidden="1" x14ac:dyDescent="0.35"/>
    <row r="97144" hidden="1" x14ac:dyDescent="0.35"/>
    <row r="97145" hidden="1" x14ac:dyDescent="0.35"/>
    <row r="97146" hidden="1" x14ac:dyDescent="0.35"/>
    <row r="97147" hidden="1" x14ac:dyDescent="0.35"/>
    <row r="97148" hidden="1" x14ac:dyDescent="0.35"/>
    <row r="97149" hidden="1" x14ac:dyDescent="0.35"/>
    <row r="97150" hidden="1" x14ac:dyDescent="0.35"/>
    <row r="97151" hidden="1" x14ac:dyDescent="0.35"/>
    <row r="97152" hidden="1" x14ac:dyDescent="0.35"/>
    <row r="97153" hidden="1" x14ac:dyDescent="0.35"/>
    <row r="97154" hidden="1" x14ac:dyDescent="0.35"/>
    <row r="97155" hidden="1" x14ac:dyDescent="0.35"/>
    <row r="97156" hidden="1" x14ac:dyDescent="0.35"/>
    <row r="97157" hidden="1" x14ac:dyDescent="0.35"/>
    <row r="97158" hidden="1" x14ac:dyDescent="0.35"/>
    <row r="97159" hidden="1" x14ac:dyDescent="0.35"/>
    <row r="97160" hidden="1" x14ac:dyDescent="0.35"/>
    <row r="97161" hidden="1" x14ac:dyDescent="0.35"/>
    <row r="97162" hidden="1" x14ac:dyDescent="0.35"/>
    <row r="97163" hidden="1" x14ac:dyDescent="0.35"/>
    <row r="97164" hidden="1" x14ac:dyDescent="0.35"/>
    <row r="97165" hidden="1" x14ac:dyDescent="0.35"/>
    <row r="97166" hidden="1" x14ac:dyDescent="0.35"/>
    <row r="97167" hidden="1" x14ac:dyDescent="0.35"/>
    <row r="97168" hidden="1" x14ac:dyDescent="0.35"/>
    <row r="97169" hidden="1" x14ac:dyDescent="0.35"/>
    <row r="97170" hidden="1" x14ac:dyDescent="0.35"/>
    <row r="97171" hidden="1" x14ac:dyDescent="0.35"/>
    <row r="97172" hidden="1" x14ac:dyDescent="0.35"/>
    <row r="97173" hidden="1" x14ac:dyDescent="0.35"/>
    <row r="97174" hidden="1" x14ac:dyDescent="0.35"/>
    <row r="97175" hidden="1" x14ac:dyDescent="0.35"/>
    <row r="97176" hidden="1" x14ac:dyDescent="0.35"/>
    <row r="97177" hidden="1" x14ac:dyDescent="0.35"/>
    <row r="97178" hidden="1" x14ac:dyDescent="0.35"/>
    <row r="97179" hidden="1" x14ac:dyDescent="0.35"/>
    <row r="97180" hidden="1" x14ac:dyDescent="0.35"/>
    <row r="97181" hidden="1" x14ac:dyDescent="0.35"/>
    <row r="97182" hidden="1" x14ac:dyDescent="0.35"/>
    <row r="97183" hidden="1" x14ac:dyDescent="0.35"/>
    <row r="97184" hidden="1" x14ac:dyDescent="0.35"/>
    <row r="97185" hidden="1" x14ac:dyDescent="0.35"/>
    <row r="97186" hidden="1" x14ac:dyDescent="0.35"/>
    <row r="97187" hidden="1" x14ac:dyDescent="0.35"/>
    <row r="97188" hidden="1" x14ac:dyDescent="0.35"/>
    <row r="97189" hidden="1" x14ac:dyDescent="0.35"/>
    <row r="97190" hidden="1" x14ac:dyDescent="0.35"/>
    <row r="97191" hidden="1" x14ac:dyDescent="0.35"/>
    <row r="97192" hidden="1" x14ac:dyDescent="0.35"/>
    <row r="97193" hidden="1" x14ac:dyDescent="0.35"/>
    <row r="97194" hidden="1" x14ac:dyDescent="0.35"/>
    <row r="97195" hidden="1" x14ac:dyDescent="0.35"/>
    <row r="97196" hidden="1" x14ac:dyDescent="0.35"/>
    <row r="97197" hidden="1" x14ac:dyDescent="0.35"/>
    <row r="97198" hidden="1" x14ac:dyDescent="0.35"/>
    <row r="97199" hidden="1" x14ac:dyDescent="0.35"/>
    <row r="97200" hidden="1" x14ac:dyDescent="0.35"/>
    <row r="97201" hidden="1" x14ac:dyDescent="0.35"/>
    <row r="97202" hidden="1" x14ac:dyDescent="0.35"/>
    <row r="97203" hidden="1" x14ac:dyDescent="0.35"/>
    <row r="97204" hidden="1" x14ac:dyDescent="0.35"/>
    <row r="97205" hidden="1" x14ac:dyDescent="0.35"/>
    <row r="97206" hidden="1" x14ac:dyDescent="0.35"/>
    <row r="97207" hidden="1" x14ac:dyDescent="0.35"/>
    <row r="97208" hidden="1" x14ac:dyDescent="0.35"/>
    <row r="97209" hidden="1" x14ac:dyDescent="0.35"/>
    <row r="97210" hidden="1" x14ac:dyDescent="0.35"/>
    <row r="97211" hidden="1" x14ac:dyDescent="0.35"/>
    <row r="97212" hidden="1" x14ac:dyDescent="0.35"/>
    <row r="97213" hidden="1" x14ac:dyDescent="0.35"/>
    <row r="97214" hidden="1" x14ac:dyDescent="0.35"/>
    <row r="97215" hidden="1" x14ac:dyDescent="0.35"/>
    <row r="97216" hidden="1" x14ac:dyDescent="0.35"/>
    <row r="97217" hidden="1" x14ac:dyDescent="0.35"/>
    <row r="97218" hidden="1" x14ac:dyDescent="0.35"/>
    <row r="97219" hidden="1" x14ac:dyDescent="0.35"/>
    <row r="97220" hidden="1" x14ac:dyDescent="0.35"/>
    <row r="97221" hidden="1" x14ac:dyDescent="0.35"/>
    <row r="97222" hidden="1" x14ac:dyDescent="0.35"/>
    <row r="97223" hidden="1" x14ac:dyDescent="0.35"/>
    <row r="97224" hidden="1" x14ac:dyDescent="0.35"/>
    <row r="97225" hidden="1" x14ac:dyDescent="0.35"/>
    <row r="97226" hidden="1" x14ac:dyDescent="0.35"/>
    <row r="97227" hidden="1" x14ac:dyDescent="0.35"/>
    <row r="97228" hidden="1" x14ac:dyDescent="0.35"/>
    <row r="97229" hidden="1" x14ac:dyDescent="0.35"/>
    <row r="97230" hidden="1" x14ac:dyDescent="0.35"/>
    <row r="97231" hidden="1" x14ac:dyDescent="0.35"/>
    <row r="97232" hidden="1" x14ac:dyDescent="0.35"/>
    <row r="97233" hidden="1" x14ac:dyDescent="0.35"/>
    <row r="97234" hidden="1" x14ac:dyDescent="0.35"/>
    <row r="97235" hidden="1" x14ac:dyDescent="0.35"/>
    <row r="97236" hidden="1" x14ac:dyDescent="0.35"/>
    <row r="97237" hidden="1" x14ac:dyDescent="0.35"/>
    <row r="97238" hidden="1" x14ac:dyDescent="0.35"/>
    <row r="97239" hidden="1" x14ac:dyDescent="0.35"/>
    <row r="97240" hidden="1" x14ac:dyDescent="0.35"/>
    <row r="97241" hidden="1" x14ac:dyDescent="0.35"/>
    <row r="97242" hidden="1" x14ac:dyDescent="0.35"/>
    <row r="97243" hidden="1" x14ac:dyDescent="0.35"/>
    <row r="97244" hidden="1" x14ac:dyDescent="0.35"/>
    <row r="97245" hidden="1" x14ac:dyDescent="0.35"/>
    <row r="97246" hidden="1" x14ac:dyDescent="0.35"/>
    <row r="97247" hidden="1" x14ac:dyDescent="0.35"/>
    <row r="97248" hidden="1" x14ac:dyDescent="0.35"/>
    <row r="97249" hidden="1" x14ac:dyDescent="0.35"/>
    <row r="97250" hidden="1" x14ac:dyDescent="0.35"/>
    <row r="97251" hidden="1" x14ac:dyDescent="0.35"/>
    <row r="97252" hidden="1" x14ac:dyDescent="0.35"/>
    <row r="97253" hidden="1" x14ac:dyDescent="0.35"/>
    <row r="97254" hidden="1" x14ac:dyDescent="0.35"/>
    <row r="97255" hidden="1" x14ac:dyDescent="0.35"/>
    <row r="97256" hidden="1" x14ac:dyDescent="0.35"/>
    <row r="97257" hidden="1" x14ac:dyDescent="0.35"/>
    <row r="97258" hidden="1" x14ac:dyDescent="0.35"/>
    <row r="97259" hidden="1" x14ac:dyDescent="0.35"/>
    <row r="97260" hidden="1" x14ac:dyDescent="0.35"/>
    <row r="97261" hidden="1" x14ac:dyDescent="0.35"/>
    <row r="97262" hidden="1" x14ac:dyDescent="0.35"/>
    <row r="97263" hidden="1" x14ac:dyDescent="0.35"/>
    <row r="97264" hidden="1" x14ac:dyDescent="0.35"/>
    <row r="97265" hidden="1" x14ac:dyDescent="0.35"/>
    <row r="97266" hidden="1" x14ac:dyDescent="0.35"/>
    <row r="97267" hidden="1" x14ac:dyDescent="0.35"/>
    <row r="97268" hidden="1" x14ac:dyDescent="0.35"/>
    <row r="97269" hidden="1" x14ac:dyDescent="0.35"/>
    <row r="97270" hidden="1" x14ac:dyDescent="0.35"/>
    <row r="97271" hidden="1" x14ac:dyDescent="0.35"/>
    <row r="97272" hidden="1" x14ac:dyDescent="0.35"/>
    <row r="97273" hidden="1" x14ac:dyDescent="0.35"/>
    <row r="97274" hidden="1" x14ac:dyDescent="0.35"/>
    <row r="97275" hidden="1" x14ac:dyDescent="0.35"/>
    <row r="97276" hidden="1" x14ac:dyDescent="0.35"/>
    <row r="97277" hidden="1" x14ac:dyDescent="0.35"/>
    <row r="97278" hidden="1" x14ac:dyDescent="0.35"/>
    <row r="97279" hidden="1" x14ac:dyDescent="0.35"/>
    <row r="97280" hidden="1" x14ac:dyDescent="0.35"/>
    <row r="97281" hidden="1" x14ac:dyDescent="0.35"/>
    <row r="97282" hidden="1" x14ac:dyDescent="0.35"/>
    <row r="97283" hidden="1" x14ac:dyDescent="0.35"/>
    <row r="97284" hidden="1" x14ac:dyDescent="0.35"/>
    <row r="97285" hidden="1" x14ac:dyDescent="0.35"/>
    <row r="97286" hidden="1" x14ac:dyDescent="0.35"/>
    <row r="97287" hidden="1" x14ac:dyDescent="0.35"/>
    <row r="97288" hidden="1" x14ac:dyDescent="0.35"/>
    <row r="97289" hidden="1" x14ac:dyDescent="0.35"/>
    <row r="97290" hidden="1" x14ac:dyDescent="0.35"/>
    <row r="97291" hidden="1" x14ac:dyDescent="0.35"/>
    <row r="97292" hidden="1" x14ac:dyDescent="0.35"/>
    <row r="97293" hidden="1" x14ac:dyDescent="0.35"/>
    <row r="97294" hidden="1" x14ac:dyDescent="0.35"/>
    <row r="97295" hidden="1" x14ac:dyDescent="0.35"/>
    <row r="97296" hidden="1" x14ac:dyDescent="0.35"/>
    <row r="97297" hidden="1" x14ac:dyDescent="0.35"/>
    <row r="97298" hidden="1" x14ac:dyDescent="0.35"/>
    <row r="97299" hidden="1" x14ac:dyDescent="0.35"/>
    <row r="97300" hidden="1" x14ac:dyDescent="0.35"/>
    <row r="97301" hidden="1" x14ac:dyDescent="0.35"/>
    <row r="97302" hidden="1" x14ac:dyDescent="0.35"/>
    <row r="97303" hidden="1" x14ac:dyDescent="0.35"/>
    <row r="97304" hidden="1" x14ac:dyDescent="0.35"/>
    <row r="97305" hidden="1" x14ac:dyDescent="0.35"/>
    <row r="97306" hidden="1" x14ac:dyDescent="0.35"/>
    <row r="97307" hidden="1" x14ac:dyDescent="0.35"/>
    <row r="97308" hidden="1" x14ac:dyDescent="0.35"/>
    <row r="97309" hidden="1" x14ac:dyDescent="0.35"/>
    <row r="97310" hidden="1" x14ac:dyDescent="0.35"/>
    <row r="97311" hidden="1" x14ac:dyDescent="0.35"/>
    <row r="97312" hidden="1" x14ac:dyDescent="0.35"/>
    <row r="97313" hidden="1" x14ac:dyDescent="0.35"/>
    <row r="97314" hidden="1" x14ac:dyDescent="0.35"/>
    <row r="97315" hidden="1" x14ac:dyDescent="0.35"/>
    <row r="97316" hidden="1" x14ac:dyDescent="0.35"/>
    <row r="97317" hidden="1" x14ac:dyDescent="0.35"/>
    <row r="97318" hidden="1" x14ac:dyDescent="0.35"/>
    <row r="97319" hidden="1" x14ac:dyDescent="0.35"/>
    <row r="97320" hidden="1" x14ac:dyDescent="0.35"/>
    <row r="97321" hidden="1" x14ac:dyDescent="0.35"/>
    <row r="97322" hidden="1" x14ac:dyDescent="0.35"/>
    <row r="97323" hidden="1" x14ac:dyDescent="0.35"/>
    <row r="97324" hidden="1" x14ac:dyDescent="0.35"/>
    <row r="97325" hidden="1" x14ac:dyDescent="0.35"/>
    <row r="97326" hidden="1" x14ac:dyDescent="0.35"/>
    <row r="97327" hidden="1" x14ac:dyDescent="0.35"/>
    <row r="97328" hidden="1" x14ac:dyDescent="0.35"/>
    <row r="97329" hidden="1" x14ac:dyDescent="0.35"/>
    <row r="97330" hidden="1" x14ac:dyDescent="0.35"/>
    <row r="97331" hidden="1" x14ac:dyDescent="0.35"/>
    <row r="97332" hidden="1" x14ac:dyDescent="0.35"/>
    <row r="97333" hidden="1" x14ac:dyDescent="0.35"/>
    <row r="97334" hidden="1" x14ac:dyDescent="0.35"/>
    <row r="97335" hidden="1" x14ac:dyDescent="0.35"/>
    <row r="97336" hidden="1" x14ac:dyDescent="0.35"/>
    <row r="97337" hidden="1" x14ac:dyDescent="0.35"/>
    <row r="97338" hidden="1" x14ac:dyDescent="0.35"/>
    <row r="97339" hidden="1" x14ac:dyDescent="0.35"/>
    <row r="97340" hidden="1" x14ac:dyDescent="0.35"/>
    <row r="97341" hidden="1" x14ac:dyDescent="0.35"/>
    <row r="97342" hidden="1" x14ac:dyDescent="0.35"/>
    <row r="97343" hidden="1" x14ac:dyDescent="0.35"/>
    <row r="97344" hidden="1" x14ac:dyDescent="0.35"/>
    <row r="97345" hidden="1" x14ac:dyDescent="0.35"/>
    <row r="97346" hidden="1" x14ac:dyDescent="0.35"/>
    <row r="97347" hidden="1" x14ac:dyDescent="0.35"/>
    <row r="97348" hidden="1" x14ac:dyDescent="0.35"/>
    <row r="97349" hidden="1" x14ac:dyDescent="0.35"/>
    <row r="97350" hidden="1" x14ac:dyDescent="0.35"/>
    <row r="97351" hidden="1" x14ac:dyDescent="0.35"/>
    <row r="97352" hidden="1" x14ac:dyDescent="0.35"/>
    <row r="97353" hidden="1" x14ac:dyDescent="0.35"/>
    <row r="97354" hidden="1" x14ac:dyDescent="0.35"/>
    <row r="97355" hidden="1" x14ac:dyDescent="0.35"/>
    <row r="97356" hidden="1" x14ac:dyDescent="0.35"/>
    <row r="97357" hidden="1" x14ac:dyDescent="0.35"/>
    <row r="97358" hidden="1" x14ac:dyDescent="0.35"/>
    <row r="97359" hidden="1" x14ac:dyDescent="0.35"/>
    <row r="97360" hidden="1" x14ac:dyDescent="0.35"/>
    <row r="97361" hidden="1" x14ac:dyDescent="0.35"/>
    <row r="97362" hidden="1" x14ac:dyDescent="0.35"/>
    <row r="97363" hidden="1" x14ac:dyDescent="0.35"/>
    <row r="97364" hidden="1" x14ac:dyDescent="0.35"/>
    <row r="97365" hidden="1" x14ac:dyDescent="0.35"/>
    <row r="97366" hidden="1" x14ac:dyDescent="0.35"/>
    <row r="97367" hidden="1" x14ac:dyDescent="0.35"/>
    <row r="97368" hidden="1" x14ac:dyDescent="0.35"/>
    <row r="97369" hidden="1" x14ac:dyDescent="0.35"/>
    <row r="97370" hidden="1" x14ac:dyDescent="0.35"/>
    <row r="97371" hidden="1" x14ac:dyDescent="0.35"/>
    <row r="97372" hidden="1" x14ac:dyDescent="0.35"/>
    <row r="97373" hidden="1" x14ac:dyDescent="0.35"/>
    <row r="97374" hidden="1" x14ac:dyDescent="0.35"/>
    <row r="97375" hidden="1" x14ac:dyDescent="0.35"/>
    <row r="97376" hidden="1" x14ac:dyDescent="0.35"/>
    <row r="97377" hidden="1" x14ac:dyDescent="0.35"/>
    <row r="97378" hidden="1" x14ac:dyDescent="0.35"/>
    <row r="97379" hidden="1" x14ac:dyDescent="0.35"/>
    <row r="97380" hidden="1" x14ac:dyDescent="0.35"/>
    <row r="97381" hidden="1" x14ac:dyDescent="0.35"/>
    <row r="97382" hidden="1" x14ac:dyDescent="0.35"/>
    <row r="97383" hidden="1" x14ac:dyDescent="0.35"/>
    <row r="97384" hidden="1" x14ac:dyDescent="0.35"/>
    <row r="97385" hidden="1" x14ac:dyDescent="0.35"/>
    <row r="97386" hidden="1" x14ac:dyDescent="0.35"/>
    <row r="97387" hidden="1" x14ac:dyDescent="0.35"/>
    <row r="97388" hidden="1" x14ac:dyDescent="0.35"/>
    <row r="97389" hidden="1" x14ac:dyDescent="0.35"/>
    <row r="97390" hidden="1" x14ac:dyDescent="0.35"/>
    <row r="97391" hidden="1" x14ac:dyDescent="0.35"/>
    <row r="97392" hidden="1" x14ac:dyDescent="0.35"/>
    <row r="97393" hidden="1" x14ac:dyDescent="0.35"/>
    <row r="97394" hidden="1" x14ac:dyDescent="0.35"/>
    <row r="97395" hidden="1" x14ac:dyDescent="0.35"/>
    <row r="97396" hidden="1" x14ac:dyDescent="0.35"/>
    <row r="97397" hidden="1" x14ac:dyDescent="0.35"/>
    <row r="97398" hidden="1" x14ac:dyDescent="0.35"/>
    <row r="97399" hidden="1" x14ac:dyDescent="0.35"/>
    <row r="97400" hidden="1" x14ac:dyDescent="0.35"/>
    <row r="97401" hidden="1" x14ac:dyDescent="0.35"/>
    <row r="97402" hidden="1" x14ac:dyDescent="0.35"/>
    <row r="97403" hidden="1" x14ac:dyDescent="0.35"/>
    <row r="97404" hidden="1" x14ac:dyDescent="0.35"/>
    <row r="97405" hidden="1" x14ac:dyDescent="0.35"/>
    <row r="97406" hidden="1" x14ac:dyDescent="0.35"/>
    <row r="97407" hidden="1" x14ac:dyDescent="0.35"/>
    <row r="97408" hidden="1" x14ac:dyDescent="0.35"/>
    <row r="97409" hidden="1" x14ac:dyDescent="0.35"/>
    <row r="97410" hidden="1" x14ac:dyDescent="0.35"/>
    <row r="97411" hidden="1" x14ac:dyDescent="0.35"/>
    <row r="97412" hidden="1" x14ac:dyDescent="0.35"/>
    <row r="97413" hidden="1" x14ac:dyDescent="0.35"/>
    <row r="97414" hidden="1" x14ac:dyDescent="0.35"/>
    <row r="97415" hidden="1" x14ac:dyDescent="0.35"/>
    <row r="97416" hidden="1" x14ac:dyDescent="0.35"/>
    <row r="97417" hidden="1" x14ac:dyDescent="0.35"/>
    <row r="97418" hidden="1" x14ac:dyDescent="0.35"/>
    <row r="97419" hidden="1" x14ac:dyDescent="0.35"/>
    <row r="97420" hidden="1" x14ac:dyDescent="0.35"/>
    <row r="97421" hidden="1" x14ac:dyDescent="0.35"/>
    <row r="97422" hidden="1" x14ac:dyDescent="0.35"/>
    <row r="97423" hidden="1" x14ac:dyDescent="0.35"/>
    <row r="97424" hidden="1" x14ac:dyDescent="0.35"/>
    <row r="97425" hidden="1" x14ac:dyDescent="0.35"/>
    <row r="97426" hidden="1" x14ac:dyDescent="0.35"/>
    <row r="97427" hidden="1" x14ac:dyDescent="0.35"/>
    <row r="97428" hidden="1" x14ac:dyDescent="0.35"/>
    <row r="97429" hidden="1" x14ac:dyDescent="0.35"/>
    <row r="97430" hidden="1" x14ac:dyDescent="0.35"/>
    <row r="97431" hidden="1" x14ac:dyDescent="0.35"/>
    <row r="97432" hidden="1" x14ac:dyDescent="0.35"/>
    <row r="97433" hidden="1" x14ac:dyDescent="0.35"/>
    <row r="97434" hidden="1" x14ac:dyDescent="0.35"/>
    <row r="97435" hidden="1" x14ac:dyDescent="0.35"/>
    <row r="97436" hidden="1" x14ac:dyDescent="0.35"/>
    <row r="97437" hidden="1" x14ac:dyDescent="0.35"/>
    <row r="97438" hidden="1" x14ac:dyDescent="0.35"/>
    <row r="97439" hidden="1" x14ac:dyDescent="0.35"/>
    <row r="97440" hidden="1" x14ac:dyDescent="0.35"/>
    <row r="97441" hidden="1" x14ac:dyDescent="0.35"/>
    <row r="97442" hidden="1" x14ac:dyDescent="0.35"/>
    <row r="97443" hidden="1" x14ac:dyDescent="0.35"/>
    <row r="97444" hidden="1" x14ac:dyDescent="0.35"/>
    <row r="97445" hidden="1" x14ac:dyDescent="0.35"/>
    <row r="97446" hidden="1" x14ac:dyDescent="0.35"/>
    <row r="97447" hidden="1" x14ac:dyDescent="0.35"/>
    <row r="97448" hidden="1" x14ac:dyDescent="0.35"/>
    <row r="97449" hidden="1" x14ac:dyDescent="0.35"/>
    <row r="97450" hidden="1" x14ac:dyDescent="0.35"/>
    <row r="97451" hidden="1" x14ac:dyDescent="0.35"/>
    <row r="97452" hidden="1" x14ac:dyDescent="0.35"/>
    <row r="97453" hidden="1" x14ac:dyDescent="0.35"/>
    <row r="97454" hidden="1" x14ac:dyDescent="0.35"/>
    <row r="97455" hidden="1" x14ac:dyDescent="0.35"/>
    <row r="97456" hidden="1" x14ac:dyDescent="0.35"/>
    <row r="97457" hidden="1" x14ac:dyDescent="0.35"/>
    <row r="97458" hidden="1" x14ac:dyDescent="0.35"/>
    <row r="97459" hidden="1" x14ac:dyDescent="0.35"/>
    <row r="97460" hidden="1" x14ac:dyDescent="0.35"/>
    <row r="97461" hidden="1" x14ac:dyDescent="0.35"/>
    <row r="97462" hidden="1" x14ac:dyDescent="0.35"/>
    <row r="97463" hidden="1" x14ac:dyDescent="0.35"/>
    <row r="97464" hidden="1" x14ac:dyDescent="0.35"/>
    <row r="97465" hidden="1" x14ac:dyDescent="0.35"/>
    <row r="97466" hidden="1" x14ac:dyDescent="0.35"/>
    <row r="97467" hidden="1" x14ac:dyDescent="0.35"/>
    <row r="97468" hidden="1" x14ac:dyDescent="0.35"/>
    <row r="97469" hidden="1" x14ac:dyDescent="0.35"/>
    <row r="97470" hidden="1" x14ac:dyDescent="0.35"/>
    <row r="97471" hidden="1" x14ac:dyDescent="0.35"/>
    <row r="97472" hidden="1" x14ac:dyDescent="0.35"/>
    <row r="97473" hidden="1" x14ac:dyDescent="0.35"/>
    <row r="97474" hidden="1" x14ac:dyDescent="0.35"/>
    <row r="97475" hidden="1" x14ac:dyDescent="0.35"/>
    <row r="97476" hidden="1" x14ac:dyDescent="0.35"/>
    <row r="97477" hidden="1" x14ac:dyDescent="0.35"/>
    <row r="97478" hidden="1" x14ac:dyDescent="0.35"/>
    <row r="97479" hidden="1" x14ac:dyDescent="0.35"/>
    <row r="97480" hidden="1" x14ac:dyDescent="0.35"/>
    <row r="97481" hidden="1" x14ac:dyDescent="0.35"/>
    <row r="97482" hidden="1" x14ac:dyDescent="0.35"/>
    <row r="97483" hidden="1" x14ac:dyDescent="0.35"/>
    <row r="97484" hidden="1" x14ac:dyDescent="0.35"/>
    <row r="97485" hidden="1" x14ac:dyDescent="0.35"/>
    <row r="97486" hidden="1" x14ac:dyDescent="0.35"/>
    <row r="97487" hidden="1" x14ac:dyDescent="0.35"/>
    <row r="97488" hidden="1" x14ac:dyDescent="0.35"/>
    <row r="97489" hidden="1" x14ac:dyDescent="0.35"/>
    <row r="97490" hidden="1" x14ac:dyDescent="0.35"/>
    <row r="97491" hidden="1" x14ac:dyDescent="0.35"/>
    <row r="97492" hidden="1" x14ac:dyDescent="0.35"/>
    <row r="97493" hidden="1" x14ac:dyDescent="0.35"/>
    <row r="97494" hidden="1" x14ac:dyDescent="0.35"/>
    <row r="97495" hidden="1" x14ac:dyDescent="0.35"/>
    <row r="97496" hidden="1" x14ac:dyDescent="0.35"/>
    <row r="97497" hidden="1" x14ac:dyDescent="0.35"/>
    <row r="97498" hidden="1" x14ac:dyDescent="0.35"/>
    <row r="97499" hidden="1" x14ac:dyDescent="0.35"/>
    <row r="97500" hidden="1" x14ac:dyDescent="0.35"/>
    <row r="97501" hidden="1" x14ac:dyDescent="0.35"/>
    <row r="97502" hidden="1" x14ac:dyDescent="0.35"/>
    <row r="97503" hidden="1" x14ac:dyDescent="0.35"/>
    <row r="97504" hidden="1" x14ac:dyDescent="0.35"/>
    <row r="97505" hidden="1" x14ac:dyDescent="0.35"/>
    <row r="97506" hidden="1" x14ac:dyDescent="0.35"/>
    <row r="97507" hidden="1" x14ac:dyDescent="0.35"/>
    <row r="97508" hidden="1" x14ac:dyDescent="0.35"/>
    <row r="97509" hidden="1" x14ac:dyDescent="0.35"/>
    <row r="97510" hidden="1" x14ac:dyDescent="0.35"/>
    <row r="97511" hidden="1" x14ac:dyDescent="0.35"/>
    <row r="97512" hidden="1" x14ac:dyDescent="0.35"/>
    <row r="97513" hidden="1" x14ac:dyDescent="0.35"/>
    <row r="97514" hidden="1" x14ac:dyDescent="0.35"/>
    <row r="97515" hidden="1" x14ac:dyDescent="0.35"/>
    <row r="97516" hidden="1" x14ac:dyDescent="0.35"/>
    <row r="97517" hidden="1" x14ac:dyDescent="0.35"/>
    <row r="97518" hidden="1" x14ac:dyDescent="0.35"/>
    <row r="97519" hidden="1" x14ac:dyDescent="0.35"/>
    <row r="97520" hidden="1" x14ac:dyDescent="0.35"/>
    <row r="97521" hidden="1" x14ac:dyDescent="0.35"/>
    <row r="97522" hidden="1" x14ac:dyDescent="0.35"/>
    <row r="97523" hidden="1" x14ac:dyDescent="0.35"/>
    <row r="97524" hidden="1" x14ac:dyDescent="0.35"/>
    <row r="97525" hidden="1" x14ac:dyDescent="0.35"/>
    <row r="97526" hidden="1" x14ac:dyDescent="0.35"/>
    <row r="97527" hidden="1" x14ac:dyDescent="0.35"/>
    <row r="97528" hidden="1" x14ac:dyDescent="0.35"/>
    <row r="97529" hidden="1" x14ac:dyDescent="0.35"/>
    <row r="97530" hidden="1" x14ac:dyDescent="0.35"/>
    <row r="97531" hidden="1" x14ac:dyDescent="0.35"/>
    <row r="97532" hidden="1" x14ac:dyDescent="0.35"/>
    <row r="97533" hidden="1" x14ac:dyDescent="0.35"/>
    <row r="97534" hidden="1" x14ac:dyDescent="0.35"/>
    <row r="97535" hidden="1" x14ac:dyDescent="0.35"/>
    <row r="97536" hidden="1" x14ac:dyDescent="0.35"/>
    <row r="97537" hidden="1" x14ac:dyDescent="0.35"/>
    <row r="97538" hidden="1" x14ac:dyDescent="0.35"/>
    <row r="97539" hidden="1" x14ac:dyDescent="0.35"/>
    <row r="97540" hidden="1" x14ac:dyDescent="0.35"/>
    <row r="97541" hidden="1" x14ac:dyDescent="0.35"/>
    <row r="97542" hidden="1" x14ac:dyDescent="0.35"/>
    <row r="97543" hidden="1" x14ac:dyDescent="0.35"/>
    <row r="97544" hidden="1" x14ac:dyDescent="0.35"/>
    <row r="97545" hidden="1" x14ac:dyDescent="0.35"/>
    <row r="97546" hidden="1" x14ac:dyDescent="0.35"/>
    <row r="97547" hidden="1" x14ac:dyDescent="0.35"/>
    <row r="97548" hidden="1" x14ac:dyDescent="0.35"/>
    <row r="97549" hidden="1" x14ac:dyDescent="0.35"/>
    <row r="97550" hidden="1" x14ac:dyDescent="0.35"/>
    <row r="97551" hidden="1" x14ac:dyDescent="0.35"/>
    <row r="97552" hidden="1" x14ac:dyDescent="0.35"/>
    <row r="97553" hidden="1" x14ac:dyDescent="0.35"/>
    <row r="97554" hidden="1" x14ac:dyDescent="0.35"/>
    <row r="97555" hidden="1" x14ac:dyDescent="0.35"/>
    <row r="97556" hidden="1" x14ac:dyDescent="0.35"/>
    <row r="97557" hidden="1" x14ac:dyDescent="0.35"/>
    <row r="97558" hidden="1" x14ac:dyDescent="0.35"/>
    <row r="97559" hidden="1" x14ac:dyDescent="0.35"/>
    <row r="97560" hidden="1" x14ac:dyDescent="0.35"/>
    <row r="97561" hidden="1" x14ac:dyDescent="0.35"/>
    <row r="97562" hidden="1" x14ac:dyDescent="0.35"/>
    <row r="97563" hidden="1" x14ac:dyDescent="0.35"/>
    <row r="97564" hidden="1" x14ac:dyDescent="0.35"/>
    <row r="97565" hidden="1" x14ac:dyDescent="0.35"/>
    <row r="97566" hidden="1" x14ac:dyDescent="0.35"/>
    <row r="97567" hidden="1" x14ac:dyDescent="0.35"/>
    <row r="97568" hidden="1" x14ac:dyDescent="0.35"/>
    <row r="97569" hidden="1" x14ac:dyDescent="0.35"/>
    <row r="97570" hidden="1" x14ac:dyDescent="0.35"/>
    <row r="97571" hidden="1" x14ac:dyDescent="0.35"/>
    <row r="97572" hidden="1" x14ac:dyDescent="0.35"/>
    <row r="97573" hidden="1" x14ac:dyDescent="0.35"/>
    <row r="97574" hidden="1" x14ac:dyDescent="0.35"/>
    <row r="97575" hidden="1" x14ac:dyDescent="0.35"/>
    <row r="97576" hidden="1" x14ac:dyDescent="0.35"/>
    <row r="97577" hidden="1" x14ac:dyDescent="0.35"/>
    <row r="97578" hidden="1" x14ac:dyDescent="0.35"/>
    <row r="97579" hidden="1" x14ac:dyDescent="0.35"/>
    <row r="97580" hidden="1" x14ac:dyDescent="0.35"/>
    <row r="97581" hidden="1" x14ac:dyDescent="0.35"/>
    <row r="97582" hidden="1" x14ac:dyDescent="0.35"/>
    <row r="97583" hidden="1" x14ac:dyDescent="0.35"/>
    <row r="97584" hidden="1" x14ac:dyDescent="0.35"/>
    <row r="97585" hidden="1" x14ac:dyDescent="0.35"/>
    <row r="97586" hidden="1" x14ac:dyDescent="0.35"/>
    <row r="97587" hidden="1" x14ac:dyDescent="0.35"/>
    <row r="97588" hidden="1" x14ac:dyDescent="0.35"/>
    <row r="97589" hidden="1" x14ac:dyDescent="0.35"/>
    <row r="97590" hidden="1" x14ac:dyDescent="0.35"/>
    <row r="97591" hidden="1" x14ac:dyDescent="0.35"/>
    <row r="97592" hidden="1" x14ac:dyDescent="0.35"/>
    <row r="97593" hidden="1" x14ac:dyDescent="0.35"/>
    <row r="97594" hidden="1" x14ac:dyDescent="0.35"/>
    <row r="97595" hidden="1" x14ac:dyDescent="0.35"/>
    <row r="97596" hidden="1" x14ac:dyDescent="0.35"/>
    <row r="97597" hidden="1" x14ac:dyDescent="0.35"/>
    <row r="97598" hidden="1" x14ac:dyDescent="0.35"/>
    <row r="97599" hidden="1" x14ac:dyDescent="0.35"/>
    <row r="97600" hidden="1" x14ac:dyDescent="0.35"/>
    <row r="97601" hidden="1" x14ac:dyDescent="0.35"/>
    <row r="97602" hidden="1" x14ac:dyDescent="0.35"/>
    <row r="97603" hidden="1" x14ac:dyDescent="0.35"/>
    <row r="97604" hidden="1" x14ac:dyDescent="0.35"/>
    <row r="97605" hidden="1" x14ac:dyDescent="0.35"/>
    <row r="97606" hidden="1" x14ac:dyDescent="0.35"/>
    <row r="97607" hidden="1" x14ac:dyDescent="0.35"/>
    <row r="97608" hidden="1" x14ac:dyDescent="0.35"/>
    <row r="97609" hidden="1" x14ac:dyDescent="0.35"/>
    <row r="97610" hidden="1" x14ac:dyDescent="0.35"/>
    <row r="97611" hidden="1" x14ac:dyDescent="0.35"/>
    <row r="97612" hidden="1" x14ac:dyDescent="0.35"/>
    <row r="97613" hidden="1" x14ac:dyDescent="0.35"/>
    <row r="97614" hidden="1" x14ac:dyDescent="0.35"/>
    <row r="97615" hidden="1" x14ac:dyDescent="0.35"/>
    <row r="97616" hidden="1" x14ac:dyDescent="0.35"/>
    <row r="97617" hidden="1" x14ac:dyDescent="0.35"/>
    <row r="97618" hidden="1" x14ac:dyDescent="0.35"/>
    <row r="97619" hidden="1" x14ac:dyDescent="0.35"/>
    <row r="97620" hidden="1" x14ac:dyDescent="0.35"/>
    <row r="97621" hidden="1" x14ac:dyDescent="0.35"/>
    <row r="97622" hidden="1" x14ac:dyDescent="0.35"/>
    <row r="97623" hidden="1" x14ac:dyDescent="0.35"/>
    <row r="97624" hidden="1" x14ac:dyDescent="0.35"/>
    <row r="97625" hidden="1" x14ac:dyDescent="0.35"/>
    <row r="97626" hidden="1" x14ac:dyDescent="0.35"/>
    <row r="97627" hidden="1" x14ac:dyDescent="0.35"/>
    <row r="97628" hidden="1" x14ac:dyDescent="0.35"/>
    <row r="97629" hidden="1" x14ac:dyDescent="0.35"/>
    <row r="97630" hidden="1" x14ac:dyDescent="0.35"/>
    <row r="97631" hidden="1" x14ac:dyDescent="0.35"/>
    <row r="97632" hidden="1" x14ac:dyDescent="0.35"/>
    <row r="97633" hidden="1" x14ac:dyDescent="0.35"/>
    <row r="97634" hidden="1" x14ac:dyDescent="0.35"/>
    <row r="97635" hidden="1" x14ac:dyDescent="0.35"/>
    <row r="97636" hidden="1" x14ac:dyDescent="0.35"/>
    <row r="97637" hidden="1" x14ac:dyDescent="0.35"/>
    <row r="97638" hidden="1" x14ac:dyDescent="0.35"/>
    <row r="97639" hidden="1" x14ac:dyDescent="0.35"/>
    <row r="97640" hidden="1" x14ac:dyDescent="0.35"/>
    <row r="97641" hidden="1" x14ac:dyDescent="0.35"/>
    <row r="97642" hidden="1" x14ac:dyDescent="0.35"/>
    <row r="97643" hidden="1" x14ac:dyDescent="0.35"/>
    <row r="97644" hidden="1" x14ac:dyDescent="0.35"/>
    <row r="97645" hidden="1" x14ac:dyDescent="0.35"/>
    <row r="97646" hidden="1" x14ac:dyDescent="0.35"/>
    <row r="97647" hidden="1" x14ac:dyDescent="0.35"/>
    <row r="97648" hidden="1" x14ac:dyDescent="0.35"/>
    <row r="97649" hidden="1" x14ac:dyDescent="0.35"/>
    <row r="97650" hidden="1" x14ac:dyDescent="0.35"/>
    <row r="97651" hidden="1" x14ac:dyDescent="0.35"/>
    <row r="97652" hidden="1" x14ac:dyDescent="0.35"/>
    <row r="97653" hidden="1" x14ac:dyDescent="0.35"/>
    <row r="97654" hidden="1" x14ac:dyDescent="0.35"/>
    <row r="97655" hidden="1" x14ac:dyDescent="0.35"/>
    <row r="97656" hidden="1" x14ac:dyDescent="0.35"/>
    <row r="97657" hidden="1" x14ac:dyDescent="0.35"/>
    <row r="97658" hidden="1" x14ac:dyDescent="0.35"/>
    <row r="97659" hidden="1" x14ac:dyDescent="0.35"/>
    <row r="97660" hidden="1" x14ac:dyDescent="0.35"/>
    <row r="97661" hidden="1" x14ac:dyDescent="0.35"/>
    <row r="97662" hidden="1" x14ac:dyDescent="0.35"/>
    <row r="97663" hidden="1" x14ac:dyDescent="0.35"/>
    <row r="97664" hidden="1" x14ac:dyDescent="0.35"/>
    <row r="97665" hidden="1" x14ac:dyDescent="0.35"/>
    <row r="97666" hidden="1" x14ac:dyDescent="0.35"/>
    <row r="97667" hidden="1" x14ac:dyDescent="0.35"/>
    <row r="97668" hidden="1" x14ac:dyDescent="0.35"/>
    <row r="97669" hidden="1" x14ac:dyDescent="0.35"/>
    <row r="97670" hidden="1" x14ac:dyDescent="0.35"/>
    <row r="97671" hidden="1" x14ac:dyDescent="0.35"/>
    <row r="97672" hidden="1" x14ac:dyDescent="0.35"/>
    <row r="97673" hidden="1" x14ac:dyDescent="0.35"/>
    <row r="97674" hidden="1" x14ac:dyDescent="0.35"/>
    <row r="97675" hidden="1" x14ac:dyDescent="0.35"/>
    <row r="97676" hidden="1" x14ac:dyDescent="0.35"/>
    <row r="97677" hidden="1" x14ac:dyDescent="0.35"/>
    <row r="97678" hidden="1" x14ac:dyDescent="0.35"/>
    <row r="97679" hidden="1" x14ac:dyDescent="0.35"/>
    <row r="97680" hidden="1" x14ac:dyDescent="0.35"/>
    <row r="97681" hidden="1" x14ac:dyDescent="0.35"/>
    <row r="97682" hidden="1" x14ac:dyDescent="0.35"/>
    <row r="97683" hidden="1" x14ac:dyDescent="0.35"/>
    <row r="97684" hidden="1" x14ac:dyDescent="0.35"/>
    <row r="97685" hidden="1" x14ac:dyDescent="0.35"/>
    <row r="97686" hidden="1" x14ac:dyDescent="0.35"/>
    <row r="97687" hidden="1" x14ac:dyDescent="0.35"/>
    <row r="97688" hidden="1" x14ac:dyDescent="0.35"/>
    <row r="97689" hidden="1" x14ac:dyDescent="0.35"/>
    <row r="97690" hidden="1" x14ac:dyDescent="0.35"/>
    <row r="97691" hidden="1" x14ac:dyDescent="0.35"/>
    <row r="97692" hidden="1" x14ac:dyDescent="0.35"/>
    <row r="97693" hidden="1" x14ac:dyDescent="0.35"/>
    <row r="97694" hidden="1" x14ac:dyDescent="0.35"/>
    <row r="97695" hidden="1" x14ac:dyDescent="0.35"/>
    <row r="97696" hidden="1" x14ac:dyDescent="0.35"/>
    <row r="97697" hidden="1" x14ac:dyDescent="0.35"/>
    <row r="97698" hidden="1" x14ac:dyDescent="0.35"/>
    <row r="97699" hidden="1" x14ac:dyDescent="0.35"/>
    <row r="97700" hidden="1" x14ac:dyDescent="0.35"/>
    <row r="97701" hidden="1" x14ac:dyDescent="0.35"/>
    <row r="97702" hidden="1" x14ac:dyDescent="0.35"/>
    <row r="97703" hidden="1" x14ac:dyDescent="0.35"/>
    <row r="97704" hidden="1" x14ac:dyDescent="0.35"/>
    <row r="97705" hidden="1" x14ac:dyDescent="0.35"/>
    <row r="97706" hidden="1" x14ac:dyDescent="0.35"/>
    <row r="97707" hidden="1" x14ac:dyDescent="0.35"/>
    <row r="97708" hidden="1" x14ac:dyDescent="0.35"/>
    <row r="97709" hidden="1" x14ac:dyDescent="0.35"/>
    <row r="97710" hidden="1" x14ac:dyDescent="0.35"/>
    <row r="97711" hidden="1" x14ac:dyDescent="0.35"/>
    <row r="97712" hidden="1" x14ac:dyDescent="0.35"/>
    <row r="97713" hidden="1" x14ac:dyDescent="0.35"/>
    <row r="97714" hidden="1" x14ac:dyDescent="0.35"/>
    <row r="97715" hidden="1" x14ac:dyDescent="0.35"/>
    <row r="97716" hidden="1" x14ac:dyDescent="0.35"/>
    <row r="97717" hidden="1" x14ac:dyDescent="0.35"/>
    <row r="97718" hidden="1" x14ac:dyDescent="0.35"/>
    <row r="97719" hidden="1" x14ac:dyDescent="0.35"/>
    <row r="97720" hidden="1" x14ac:dyDescent="0.35"/>
    <row r="97721" hidden="1" x14ac:dyDescent="0.35"/>
    <row r="97722" hidden="1" x14ac:dyDescent="0.35"/>
    <row r="97723" hidden="1" x14ac:dyDescent="0.35"/>
    <row r="97724" hidden="1" x14ac:dyDescent="0.35"/>
    <row r="97725" hidden="1" x14ac:dyDescent="0.35"/>
    <row r="97726" hidden="1" x14ac:dyDescent="0.35"/>
    <row r="97727" hidden="1" x14ac:dyDescent="0.35"/>
    <row r="97728" hidden="1" x14ac:dyDescent="0.35"/>
    <row r="97729" hidden="1" x14ac:dyDescent="0.35"/>
    <row r="97730" hidden="1" x14ac:dyDescent="0.35"/>
    <row r="97731" hidden="1" x14ac:dyDescent="0.35"/>
    <row r="97732" hidden="1" x14ac:dyDescent="0.35"/>
    <row r="97733" hidden="1" x14ac:dyDescent="0.35"/>
    <row r="97734" hidden="1" x14ac:dyDescent="0.35"/>
    <row r="97735" hidden="1" x14ac:dyDescent="0.35"/>
    <row r="97736" hidden="1" x14ac:dyDescent="0.35"/>
    <row r="97737" hidden="1" x14ac:dyDescent="0.35"/>
    <row r="97738" hidden="1" x14ac:dyDescent="0.35"/>
    <row r="97739" hidden="1" x14ac:dyDescent="0.35"/>
    <row r="97740" hidden="1" x14ac:dyDescent="0.35"/>
    <row r="97741" hidden="1" x14ac:dyDescent="0.35"/>
    <row r="97742" hidden="1" x14ac:dyDescent="0.35"/>
    <row r="97743" hidden="1" x14ac:dyDescent="0.35"/>
    <row r="97744" hidden="1" x14ac:dyDescent="0.35"/>
    <row r="97745" hidden="1" x14ac:dyDescent="0.35"/>
    <row r="97746" hidden="1" x14ac:dyDescent="0.35"/>
    <row r="97747" hidden="1" x14ac:dyDescent="0.35"/>
    <row r="97748" hidden="1" x14ac:dyDescent="0.35"/>
    <row r="97749" hidden="1" x14ac:dyDescent="0.35"/>
    <row r="97750" hidden="1" x14ac:dyDescent="0.35"/>
    <row r="97751" hidden="1" x14ac:dyDescent="0.35"/>
    <row r="97752" hidden="1" x14ac:dyDescent="0.35"/>
    <row r="97753" hidden="1" x14ac:dyDescent="0.35"/>
    <row r="97754" hidden="1" x14ac:dyDescent="0.35"/>
    <row r="97755" hidden="1" x14ac:dyDescent="0.35"/>
    <row r="97756" hidden="1" x14ac:dyDescent="0.35"/>
    <row r="97757" hidden="1" x14ac:dyDescent="0.35"/>
    <row r="97758" hidden="1" x14ac:dyDescent="0.35"/>
    <row r="97759" hidden="1" x14ac:dyDescent="0.35"/>
    <row r="97760" hidden="1" x14ac:dyDescent="0.35"/>
    <row r="97761" hidden="1" x14ac:dyDescent="0.35"/>
    <row r="97762" hidden="1" x14ac:dyDescent="0.35"/>
    <row r="97763" hidden="1" x14ac:dyDescent="0.35"/>
    <row r="97764" hidden="1" x14ac:dyDescent="0.35"/>
    <row r="97765" hidden="1" x14ac:dyDescent="0.35"/>
    <row r="97766" hidden="1" x14ac:dyDescent="0.35"/>
    <row r="97767" hidden="1" x14ac:dyDescent="0.35"/>
    <row r="97768" hidden="1" x14ac:dyDescent="0.35"/>
    <row r="97769" hidden="1" x14ac:dyDescent="0.35"/>
    <row r="97770" hidden="1" x14ac:dyDescent="0.35"/>
    <row r="97771" hidden="1" x14ac:dyDescent="0.35"/>
    <row r="97772" hidden="1" x14ac:dyDescent="0.35"/>
    <row r="97773" hidden="1" x14ac:dyDescent="0.35"/>
    <row r="97774" hidden="1" x14ac:dyDescent="0.35"/>
    <row r="97775" hidden="1" x14ac:dyDescent="0.35"/>
    <row r="97776" hidden="1" x14ac:dyDescent="0.35"/>
    <row r="97777" hidden="1" x14ac:dyDescent="0.35"/>
    <row r="97778" hidden="1" x14ac:dyDescent="0.35"/>
    <row r="97779" hidden="1" x14ac:dyDescent="0.35"/>
    <row r="97780" hidden="1" x14ac:dyDescent="0.35"/>
    <row r="97781" hidden="1" x14ac:dyDescent="0.35"/>
    <row r="97782" hidden="1" x14ac:dyDescent="0.35"/>
    <row r="97783" hidden="1" x14ac:dyDescent="0.35"/>
    <row r="97784" hidden="1" x14ac:dyDescent="0.35"/>
    <row r="97785" hidden="1" x14ac:dyDescent="0.35"/>
    <row r="97786" hidden="1" x14ac:dyDescent="0.35"/>
    <row r="97787" hidden="1" x14ac:dyDescent="0.35"/>
    <row r="97788" hidden="1" x14ac:dyDescent="0.35"/>
    <row r="97789" hidden="1" x14ac:dyDescent="0.35"/>
    <row r="97790" hidden="1" x14ac:dyDescent="0.35"/>
    <row r="97791" hidden="1" x14ac:dyDescent="0.35"/>
    <row r="97792" hidden="1" x14ac:dyDescent="0.35"/>
    <row r="97793" hidden="1" x14ac:dyDescent="0.35"/>
    <row r="97794" hidden="1" x14ac:dyDescent="0.35"/>
    <row r="97795" hidden="1" x14ac:dyDescent="0.35"/>
    <row r="97796" hidden="1" x14ac:dyDescent="0.35"/>
    <row r="97797" hidden="1" x14ac:dyDescent="0.35"/>
    <row r="97798" hidden="1" x14ac:dyDescent="0.35"/>
    <row r="97799" hidden="1" x14ac:dyDescent="0.35"/>
    <row r="97800" hidden="1" x14ac:dyDescent="0.35"/>
    <row r="97801" hidden="1" x14ac:dyDescent="0.35"/>
    <row r="97802" hidden="1" x14ac:dyDescent="0.35"/>
    <row r="97803" hidden="1" x14ac:dyDescent="0.35"/>
    <row r="97804" hidden="1" x14ac:dyDescent="0.35"/>
    <row r="97805" hidden="1" x14ac:dyDescent="0.35"/>
    <row r="97806" hidden="1" x14ac:dyDescent="0.35"/>
    <row r="97807" hidden="1" x14ac:dyDescent="0.35"/>
    <row r="97808" hidden="1" x14ac:dyDescent="0.35"/>
    <row r="97809" hidden="1" x14ac:dyDescent="0.35"/>
    <row r="97810" hidden="1" x14ac:dyDescent="0.35"/>
    <row r="97811" hidden="1" x14ac:dyDescent="0.35"/>
    <row r="97812" hidden="1" x14ac:dyDescent="0.35"/>
    <row r="97813" hidden="1" x14ac:dyDescent="0.35"/>
    <row r="97814" hidden="1" x14ac:dyDescent="0.35"/>
    <row r="97815" hidden="1" x14ac:dyDescent="0.35"/>
    <row r="97816" hidden="1" x14ac:dyDescent="0.35"/>
    <row r="97817" hidden="1" x14ac:dyDescent="0.35"/>
    <row r="97818" hidden="1" x14ac:dyDescent="0.35"/>
    <row r="97819" hidden="1" x14ac:dyDescent="0.35"/>
    <row r="97820" hidden="1" x14ac:dyDescent="0.35"/>
    <row r="97821" hidden="1" x14ac:dyDescent="0.35"/>
    <row r="97822" hidden="1" x14ac:dyDescent="0.35"/>
    <row r="97823" hidden="1" x14ac:dyDescent="0.35"/>
    <row r="97824" hidden="1" x14ac:dyDescent="0.35"/>
    <row r="97825" hidden="1" x14ac:dyDescent="0.35"/>
    <row r="97826" hidden="1" x14ac:dyDescent="0.35"/>
    <row r="97827" hidden="1" x14ac:dyDescent="0.35"/>
    <row r="97828" hidden="1" x14ac:dyDescent="0.35"/>
    <row r="97829" hidden="1" x14ac:dyDescent="0.35"/>
    <row r="97830" hidden="1" x14ac:dyDescent="0.35"/>
    <row r="97831" hidden="1" x14ac:dyDescent="0.35"/>
    <row r="97832" hidden="1" x14ac:dyDescent="0.35"/>
    <row r="97833" hidden="1" x14ac:dyDescent="0.35"/>
    <row r="97834" hidden="1" x14ac:dyDescent="0.35"/>
    <row r="97835" hidden="1" x14ac:dyDescent="0.35"/>
    <row r="97836" hidden="1" x14ac:dyDescent="0.35"/>
    <row r="97837" hidden="1" x14ac:dyDescent="0.35"/>
    <row r="97838" hidden="1" x14ac:dyDescent="0.35"/>
    <row r="97839" hidden="1" x14ac:dyDescent="0.35"/>
    <row r="97840" hidden="1" x14ac:dyDescent="0.35"/>
    <row r="97841" hidden="1" x14ac:dyDescent="0.35"/>
    <row r="97842" hidden="1" x14ac:dyDescent="0.35"/>
    <row r="97843" hidden="1" x14ac:dyDescent="0.35"/>
    <row r="97844" hidden="1" x14ac:dyDescent="0.35"/>
    <row r="97845" hidden="1" x14ac:dyDescent="0.35"/>
    <row r="97846" hidden="1" x14ac:dyDescent="0.35"/>
    <row r="97847" hidden="1" x14ac:dyDescent="0.35"/>
    <row r="97848" hidden="1" x14ac:dyDescent="0.35"/>
    <row r="97849" hidden="1" x14ac:dyDescent="0.35"/>
    <row r="97850" hidden="1" x14ac:dyDescent="0.35"/>
    <row r="97851" hidden="1" x14ac:dyDescent="0.35"/>
    <row r="97852" hidden="1" x14ac:dyDescent="0.35"/>
    <row r="97853" hidden="1" x14ac:dyDescent="0.35"/>
    <row r="97854" hidden="1" x14ac:dyDescent="0.35"/>
    <row r="97855" hidden="1" x14ac:dyDescent="0.35"/>
    <row r="97856" hidden="1" x14ac:dyDescent="0.35"/>
    <row r="97857" hidden="1" x14ac:dyDescent="0.35"/>
    <row r="97858" hidden="1" x14ac:dyDescent="0.35"/>
    <row r="97859" hidden="1" x14ac:dyDescent="0.35"/>
    <row r="97860" hidden="1" x14ac:dyDescent="0.35"/>
    <row r="97861" hidden="1" x14ac:dyDescent="0.35"/>
    <row r="97862" hidden="1" x14ac:dyDescent="0.35"/>
    <row r="97863" hidden="1" x14ac:dyDescent="0.35"/>
    <row r="97864" hidden="1" x14ac:dyDescent="0.35"/>
    <row r="97865" hidden="1" x14ac:dyDescent="0.35"/>
    <row r="97866" hidden="1" x14ac:dyDescent="0.35"/>
    <row r="97867" hidden="1" x14ac:dyDescent="0.35"/>
    <row r="97868" hidden="1" x14ac:dyDescent="0.35"/>
    <row r="97869" hidden="1" x14ac:dyDescent="0.35"/>
    <row r="97870" hidden="1" x14ac:dyDescent="0.35"/>
    <row r="97871" hidden="1" x14ac:dyDescent="0.35"/>
    <row r="97872" hidden="1" x14ac:dyDescent="0.35"/>
    <row r="97873" hidden="1" x14ac:dyDescent="0.35"/>
    <row r="97874" hidden="1" x14ac:dyDescent="0.35"/>
    <row r="97875" hidden="1" x14ac:dyDescent="0.35"/>
    <row r="97876" hidden="1" x14ac:dyDescent="0.35"/>
    <row r="97877" hidden="1" x14ac:dyDescent="0.35"/>
    <row r="97878" hidden="1" x14ac:dyDescent="0.35"/>
    <row r="97879" hidden="1" x14ac:dyDescent="0.35"/>
    <row r="97880" hidden="1" x14ac:dyDescent="0.35"/>
    <row r="97881" hidden="1" x14ac:dyDescent="0.35"/>
    <row r="97882" hidden="1" x14ac:dyDescent="0.35"/>
    <row r="97883" hidden="1" x14ac:dyDescent="0.35"/>
    <row r="97884" hidden="1" x14ac:dyDescent="0.35"/>
    <row r="97885" hidden="1" x14ac:dyDescent="0.35"/>
    <row r="97886" hidden="1" x14ac:dyDescent="0.35"/>
    <row r="97887" hidden="1" x14ac:dyDescent="0.35"/>
    <row r="97888" hidden="1" x14ac:dyDescent="0.35"/>
    <row r="97889" hidden="1" x14ac:dyDescent="0.35"/>
    <row r="97890" hidden="1" x14ac:dyDescent="0.35"/>
    <row r="97891" hidden="1" x14ac:dyDescent="0.35"/>
    <row r="97892" hidden="1" x14ac:dyDescent="0.35"/>
    <row r="97893" hidden="1" x14ac:dyDescent="0.35"/>
    <row r="97894" hidden="1" x14ac:dyDescent="0.35"/>
    <row r="97895" hidden="1" x14ac:dyDescent="0.35"/>
    <row r="97896" hidden="1" x14ac:dyDescent="0.35"/>
    <row r="97897" hidden="1" x14ac:dyDescent="0.35"/>
    <row r="97898" hidden="1" x14ac:dyDescent="0.35"/>
    <row r="97899" hidden="1" x14ac:dyDescent="0.35"/>
    <row r="97900" hidden="1" x14ac:dyDescent="0.35"/>
    <row r="97901" hidden="1" x14ac:dyDescent="0.35"/>
    <row r="97902" hidden="1" x14ac:dyDescent="0.35"/>
    <row r="97903" hidden="1" x14ac:dyDescent="0.35"/>
    <row r="97904" hidden="1" x14ac:dyDescent="0.35"/>
    <row r="97905" hidden="1" x14ac:dyDescent="0.35"/>
    <row r="97906" hidden="1" x14ac:dyDescent="0.35"/>
    <row r="97907" hidden="1" x14ac:dyDescent="0.35"/>
    <row r="97908" hidden="1" x14ac:dyDescent="0.35"/>
    <row r="97909" hidden="1" x14ac:dyDescent="0.35"/>
    <row r="97910" hidden="1" x14ac:dyDescent="0.35"/>
    <row r="97911" hidden="1" x14ac:dyDescent="0.35"/>
    <row r="97912" hidden="1" x14ac:dyDescent="0.35"/>
    <row r="97913" hidden="1" x14ac:dyDescent="0.35"/>
    <row r="97914" hidden="1" x14ac:dyDescent="0.35"/>
    <row r="97915" hidden="1" x14ac:dyDescent="0.35"/>
    <row r="97916" hidden="1" x14ac:dyDescent="0.35"/>
    <row r="97917" hidden="1" x14ac:dyDescent="0.35"/>
    <row r="97918" hidden="1" x14ac:dyDescent="0.35"/>
    <row r="97919" hidden="1" x14ac:dyDescent="0.35"/>
    <row r="97920" hidden="1" x14ac:dyDescent="0.35"/>
    <row r="97921" hidden="1" x14ac:dyDescent="0.35"/>
    <row r="97922" hidden="1" x14ac:dyDescent="0.35"/>
    <row r="97923" hidden="1" x14ac:dyDescent="0.35"/>
    <row r="97924" hidden="1" x14ac:dyDescent="0.35"/>
    <row r="97925" hidden="1" x14ac:dyDescent="0.35"/>
    <row r="97926" hidden="1" x14ac:dyDescent="0.35"/>
    <row r="97927" hidden="1" x14ac:dyDescent="0.35"/>
    <row r="97928" hidden="1" x14ac:dyDescent="0.35"/>
    <row r="97929" hidden="1" x14ac:dyDescent="0.35"/>
    <row r="97930" hidden="1" x14ac:dyDescent="0.35"/>
    <row r="97931" hidden="1" x14ac:dyDescent="0.35"/>
    <row r="97932" hidden="1" x14ac:dyDescent="0.35"/>
    <row r="97933" hidden="1" x14ac:dyDescent="0.35"/>
    <row r="97934" hidden="1" x14ac:dyDescent="0.35"/>
    <row r="97935" hidden="1" x14ac:dyDescent="0.35"/>
    <row r="97936" hidden="1" x14ac:dyDescent="0.35"/>
    <row r="97937" hidden="1" x14ac:dyDescent="0.35"/>
    <row r="97938" hidden="1" x14ac:dyDescent="0.35"/>
    <row r="97939" hidden="1" x14ac:dyDescent="0.35"/>
    <row r="97940" hidden="1" x14ac:dyDescent="0.35"/>
    <row r="97941" hidden="1" x14ac:dyDescent="0.35"/>
    <row r="97942" hidden="1" x14ac:dyDescent="0.35"/>
    <row r="97943" hidden="1" x14ac:dyDescent="0.35"/>
    <row r="97944" hidden="1" x14ac:dyDescent="0.35"/>
    <row r="97945" hidden="1" x14ac:dyDescent="0.35"/>
    <row r="97946" hidden="1" x14ac:dyDescent="0.35"/>
    <row r="97947" hidden="1" x14ac:dyDescent="0.35"/>
    <row r="97948" hidden="1" x14ac:dyDescent="0.35"/>
    <row r="97949" hidden="1" x14ac:dyDescent="0.35"/>
    <row r="97950" hidden="1" x14ac:dyDescent="0.35"/>
    <row r="97951" hidden="1" x14ac:dyDescent="0.35"/>
    <row r="97952" hidden="1" x14ac:dyDescent="0.35"/>
    <row r="97953" hidden="1" x14ac:dyDescent="0.35"/>
    <row r="97954" hidden="1" x14ac:dyDescent="0.35"/>
    <row r="97955" hidden="1" x14ac:dyDescent="0.35"/>
    <row r="97956" hidden="1" x14ac:dyDescent="0.35"/>
    <row r="97957" hidden="1" x14ac:dyDescent="0.35"/>
    <row r="97958" hidden="1" x14ac:dyDescent="0.35"/>
    <row r="97959" hidden="1" x14ac:dyDescent="0.35"/>
    <row r="97960" hidden="1" x14ac:dyDescent="0.35"/>
    <row r="97961" hidden="1" x14ac:dyDescent="0.35"/>
    <row r="97962" hidden="1" x14ac:dyDescent="0.35"/>
    <row r="97963" hidden="1" x14ac:dyDescent="0.35"/>
    <row r="97964" hidden="1" x14ac:dyDescent="0.35"/>
    <row r="97965" hidden="1" x14ac:dyDescent="0.35"/>
    <row r="97966" hidden="1" x14ac:dyDescent="0.35"/>
    <row r="97967" hidden="1" x14ac:dyDescent="0.35"/>
    <row r="97968" hidden="1" x14ac:dyDescent="0.35"/>
    <row r="97969" hidden="1" x14ac:dyDescent="0.35"/>
    <row r="97970" hidden="1" x14ac:dyDescent="0.35"/>
    <row r="97971" hidden="1" x14ac:dyDescent="0.35"/>
    <row r="97972" hidden="1" x14ac:dyDescent="0.35"/>
    <row r="97973" hidden="1" x14ac:dyDescent="0.35"/>
    <row r="97974" hidden="1" x14ac:dyDescent="0.35"/>
    <row r="97975" hidden="1" x14ac:dyDescent="0.35"/>
    <row r="97976" hidden="1" x14ac:dyDescent="0.35"/>
    <row r="97977" hidden="1" x14ac:dyDescent="0.35"/>
    <row r="97978" hidden="1" x14ac:dyDescent="0.35"/>
    <row r="97979" hidden="1" x14ac:dyDescent="0.35"/>
    <row r="97980" hidden="1" x14ac:dyDescent="0.35"/>
    <row r="97981" hidden="1" x14ac:dyDescent="0.35"/>
    <row r="97982" hidden="1" x14ac:dyDescent="0.35"/>
    <row r="97983" hidden="1" x14ac:dyDescent="0.35"/>
    <row r="97984" hidden="1" x14ac:dyDescent="0.35"/>
    <row r="97985" hidden="1" x14ac:dyDescent="0.35"/>
    <row r="97986" hidden="1" x14ac:dyDescent="0.35"/>
    <row r="97987" hidden="1" x14ac:dyDescent="0.35"/>
    <row r="97988" hidden="1" x14ac:dyDescent="0.35"/>
    <row r="97989" hidden="1" x14ac:dyDescent="0.35"/>
    <row r="97990" hidden="1" x14ac:dyDescent="0.35"/>
    <row r="97991" hidden="1" x14ac:dyDescent="0.35"/>
    <row r="97992" hidden="1" x14ac:dyDescent="0.35"/>
    <row r="97993" hidden="1" x14ac:dyDescent="0.35"/>
    <row r="97994" hidden="1" x14ac:dyDescent="0.35"/>
    <row r="97995" hidden="1" x14ac:dyDescent="0.35"/>
    <row r="97996" hidden="1" x14ac:dyDescent="0.35"/>
    <row r="97997" hidden="1" x14ac:dyDescent="0.35"/>
    <row r="97998" hidden="1" x14ac:dyDescent="0.35"/>
    <row r="97999" hidden="1" x14ac:dyDescent="0.35"/>
    <row r="98000" hidden="1" x14ac:dyDescent="0.35"/>
    <row r="98001" hidden="1" x14ac:dyDescent="0.35"/>
    <row r="98002" hidden="1" x14ac:dyDescent="0.35"/>
    <row r="98003" hidden="1" x14ac:dyDescent="0.35"/>
    <row r="98004" hidden="1" x14ac:dyDescent="0.35"/>
    <row r="98005" hidden="1" x14ac:dyDescent="0.35"/>
    <row r="98006" hidden="1" x14ac:dyDescent="0.35"/>
    <row r="98007" hidden="1" x14ac:dyDescent="0.35"/>
    <row r="98008" hidden="1" x14ac:dyDescent="0.35"/>
    <row r="98009" hidden="1" x14ac:dyDescent="0.35"/>
    <row r="98010" hidden="1" x14ac:dyDescent="0.35"/>
    <row r="98011" hidden="1" x14ac:dyDescent="0.35"/>
    <row r="98012" hidden="1" x14ac:dyDescent="0.35"/>
    <row r="98013" hidden="1" x14ac:dyDescent="0.35"/>
    <row r="98014" hidden="1" x14ac:dyDescent="0.35"/>
    <row r="98015" hidden="1" x14ac:dyDescent="0.35"/>
    <row r="98016" hidden="1" x14ac:dyDescent="0.35"/>
    <row r="98017" hidden="1" x14ac:dyDescent="0.35"/>
    <row r="98018" hidden="1" x14ac:dyDescent="0.35"/>
    <row r="98019" hidden="1" x14ac:dyDescent="0.35"/>
    <row r="98020" hidden="1" x14ac:dyDescent="0.35"/>
    <row r="98021" hidden="1" x14ac:dyDescent="0.35"/>
    <row r="98022" hidden="1" x14ac:dyDescent="0.35"/>
    <row r="98023" hidden="1" x14ac:dyDescent="0.35"/>
    <row r="98024" hidden="1" x14ac:dyDescent="0.35"/>
    <row r="98025" hidden="1" x14ac:dyDescent="0.35"/>
    <row r="98026" hidden="1" x14ac:dyDescent="0.35"/>
    <row r="98027" hidden="1" x14ac:dyDescent="0.35"/>
    <row r="98028" hidden="1" x14ac:dyDescent="0.35"/>
    <row r="98029" hidden="1" x14ac:dyDescent="0.35"/>
    <row r="98030" hidden="1" x14ac:dyDescent="0.35"/>
    <row r="98031" hidden="1" x14ac:dyDescent="0.35"/>
    <row r="98032" hidden="1" x14ac:dyDescent="0.35"/>
    <row r="98033" hidden="1" x14ac:dyDescent="0.35"/>
    <row r="98034" hidden="1" x14ac:dyDescent="0.35"/>
    <row r="98035" hidden="1" x14ac:dyDescent="0.35"/>
    <row r="98036" hidden="1" x14ac:dyDescent="0.35"/>
    <row r="98037" hidden="1" x14ac:dyDescent="0.35"/>
    <row r="98038" hidden="1" x14ac:dyDescent="0.35"/>
    <row r="98039" hidden="1" x14ac:dyDescent="0.35"/>
    <row r="98040" hidden="1" x14ac:dyDescent="0.35"/>
    <row r="98041" hidden="1" x14ac:dyDescent="0.35"/>
    <row r="98042" hidden="1" x14ac:dyDescent="0.35"/>
    <row r="98043" hidden="1" x14ac:dyDescent="0.35"/>
    <row r="98044" hidden="1" x14ac:dyDescent="0.35"/>
    <row r="98045" hidden="1" x14ac:dyDescent="0.35"/>
    <row r="98046" hidden="1" x14ac:dyDescent="0.35"/>
    <row r="98047" hidden="1" x14ac:dyDescent="0.35"/>
    <row r="98048" hidden="1" x14ac:dyDescent="0.35"/>
    <row r="98049" hidden="1" x14ac:dyDescent="0.35"/>
    <row r="98050" hidden="1" x14ac:dyDescent="0.35"/>
    <row r="98051" hidden="1" x14ac:dyDescent="0.35"/>
    <row r="98052" hidden="1" x14ac:dyDescent="0.35"/>
    <row r="98053" hidden="1" x14ac:dyDescent="0.35"/>
    <row r="98054" hidden="1" x14ac:dyDescent="0.35"/>
    <row r="98055" hidden="1" x14ac:dyDescent="0.35"/>
    <row r="98056" hidden="1" x14ac:dyDescent="0.35"/>
    <row r="98057" hidden="1" x14ac:dyDescent="0.35"/>
    <row r="98058" hidden="1" x14ac:dyDescent="0.35"/>
    <row r="98059" hidden="1" x14ac:dyDescent="0.35"/>
    <row r="98060" hidden="1" x14ac:dyDescent="0.35"/>
    <row r="98061" hidden="1" x14ac:dyDescent="0.35"/>
    <row r="98062" hidden="1" x14ac:dyDescent="0.35"/>
    <row r="98063" hidden="1" x14ac:dyDescent="0.35"/>
    <row r="98064" hidden="1" x14ac:dyDescent="0.35"/>
    <row r="98065" hidden="1" x14ac:dyDescent="0.35"/>
    <row r="98066" hidden="1" x14ac:dyDescent="0.35"/>
    <row r="98067" hidden="1" x14ac:dyDescent="0.35"/>
    <row r="98068" hidden="1" x14ac:dyDescent="0.35"/>
    <row r="98069" hidden="1" x14ac:dyDescent="0.35"/>
    <row r="98070" hidden="1" x14ac:dyDescent="0.35"/>
    <row r="98071" hidden="1" x14ac:dyDescent="0.35"/>
    <row r="98072" hidden="1" x14ac:dyDescent="0.35"/>
    <row r="98073" hidden="1" x14ac:dyDescent="0.35"/>
    <row r="98074" hidden="1" x14ac:dyDescent="0.35"/>
    <row r="98075" hidden="1" x14ac:dyDescent="0.35"/>
    <row r="98076" hidden="1" x14ac:dyDescent="0.35"/>
    <row r="98077" hidden="1" x14ac:dyDescent="0.35"/>
    <row r="98078" hidden="1" x14ac:dyDescent="0.35"/>
    <row r="98079" hidden="1" x14ac:dyDescent="0.35"/>
    <row r="98080" hidden="1" x14ac:dyDescent="0.35"/>
    <row r="98081" hidden="1" x14ac:dyDescent="0.35"/>
    <row r="98082" hidden="1" x14ac:dyDescent="0.35"/>
    <row r="98083" hidden="1" x14ac:dyDescent="0.35"/>
    <row r="98084" hidden="1" x14ac:dyDescent="0.35"/>
    <row r="98085" hidden="1" x14ac:dyDescent="0.35"/>
    <row r="98086" hidden="1" x14ac:dyDescent="0.35"/>
    <row r="98087" hidden="1" x14ac:dyDescent="0.35"/>
    <row r="98088" hidden="1" x14ac:dyDescent="0.35"/>
    <row r="98089" hidden="1" x14ac:dyDescent="0.35"/>
    <row r="98090" hidden="1" x14ac:dyDescent="0.35"/>
    <row r="98091" hidden="1" x14ac:dyDescent="0.35"/>
    <row r="98092" hidden="1" x14ac:dyDescent="0.35"/>
    <row r="98093" hidden="1" x14ac:dyDescent="0.35"/>
    <row r="98094" hidden="1" x14ac:dyDescent="0.35"/>
    <row r="98095" hidden="1" x14ac:dyDescent="0.35"/>
    <row r="98096" hidden="1" x14ac:dyDescent="0.35"/>
    <row r="98097" hidden="1" x14ac:dyDescent="0.35"/>
    <row r="98098" hidden="1" x14ac:dyDescent="0.35"/>
    <row r="98099" hidden="1" x14ac:dyDescent="0.35"/>
    <row r="98100" hidden="1" x14ac:dyDescent="0.35"/>
    <row r="98101" hidden="1" x14ac:dyDescent="0.35"/>
    <row r="98102" hidden="1" x14ac:dyDescent="0.35"/>
    <row r="98103" hidden="1" x14ac:dyDescent="0.35"/>
    <row r="98104" hidden="1" x14ac:dyDescent="0.35"/>
    <row r="98105" hidden="1" x14ac:dyDescent="0.35"/>
    <row r="98106" hidden="1" x14ac:dyDescent="0.35"/>
    <row r="98107" hidden="1" x14ac:dyDescent="0.35"/>
    <row r="98108" hidden="1" x14ac:dyDescent="0.35"/>
    <row r="98109" hidden="1" x14ac:dyDescent="0.35"/>
    <row r="98110" hidden="1" x14ac:dyDescent="0.35"/>
    <row r="98111" hidden="1" x14ac:dyDescent="0.35"/>
    <row r="98112" hidden="1" x14ac:dyDescent="0.35"/>
    <row r="98113" hidden="1" x14ac:dyDescent="0.35"/>
    <row r="98114" hidden="1" x14ac:dyDescent="0.35"/>
    <row r="98115" hidden="1" x14ac:dyDescent="0.35"/>
    <row r="98116" hidden="1" x14ac:dyDescent="0.35"/>
    <row r="98117" hidden="1" x14ac:dyDescent="0.35"/>
    <row r="98118" hidden="1" x14ac:dyDescent="0.35"/>
    <row r="98119" hidden="1" x14ac:dyDescent="0.35"/>
    <row r="98120" hidden="1" x14ac:dyDescent="0.35"/>
    <row r="98121" hidden="1" x14ac:dyDescent="0.35"/>
    <row r="98122" hidden="1" x14ac:dyDescent="0.35"/>
    <row r="98123" hidden="1" x14ac:dyDescent="0.35"/>
    <row r="98124" hidden="1" x14ac:dyDescent="0.35"/>
    <row r="98125" hidden="1" x14ac:dyDescent="0.35"/>
    <row r="98126" hidden="1" x14ac:dyDescent="0.35"/>
    <row r="98127" hidden="1" x14ac:dyDescent="0.35"/>
    <row r="98128" hidden="1" x14ac:dyDescent="0.35"/>
    <row r="98129" hidden="1" x14ac:dyDescent="0.35"/>
    <row r="98130" hidden="1" x14ac:dyDescent="0.35"/>
    <row r="98131" hidden="1" x14ac:dyDescent="0.35"/>
    <row r="98132" hidden="1" x14ac:dyDescent="0.35"/>
    <row r="98133" hidden="1" x14ac:dyDescent="0.35"/>
    <row r="98134" hidden="1" x14ac:dyDescent="0.35"/>
    <row r="98135" hidden="1" x14ac:dyDescent="0.35"/>
    <row r="98136" hidden="1" x14ac:dyDescent="0.35"/>
    <row r="98137" hidden="1" x14ac:dyDescent="0.35"/>
    <row r="98138" hidden="1" x14ac:dyDescent="0.35"/>
    <row r="98139" hidden="1" x14ac:dyDescent="0.35"/>
    <row r="98140" hidden="1" x14ac:dyDescent="0.35"/>
    <row r="98141" hidden="1" x14ac:dyDescent="0.35"/>
    <row r="98142" hidden="1" x14ac:dyDescent="0.35"/>
    <row r="98143" hidden="1" x14ac:dyDescent="0.35"/>
    <row r="98144" hidden="1" x14ac:dyDescent="0.35"/>
    <row r="98145" hidden="1" x14ac:dyDescent="0.35"/>
    <row r="98146" hidden="1" x14ac:dyDescent="0.35"/>
    <row r="98147" hidden="1" x14ac:dyDescent="0.35"/>
    <row r="98148" hidden="1" x14ac:dyDescent="0.35"/>
    <row r="98149" hidden="1" x14ac:dyDescent="0.35"/>
    <row r="98150" hidden="1" x14ac:dyDescent="0.35"/>
    <row r="98151" hidden="1" x14ac:dyDescent="0.35"/>
    <row r="98152" hidden="1" x14ac:dyDescent="0.35"/>
    <row r="98153" hidden="1" x14ac:dyDescent="0.35"/>
    <row r="98154" hidden="1" x14ac:dyDescent="0.35"/>
    <row r="98155" hidden="1" x14ac:dyDescent="0.35"/>
    <row r="98156" hidden="1" x14ac:dyDescent="0.35"/>
    <row r="98157" hidden="1" x14ac:dyDescent="0.35"/>
    <row r="98158" hidden="1" x14ac:dyDescent="0.35"/>
    <row r="98159" hidden="1" x14ac:dyDescent="0.35"/>
    <row r="98160" hidden="1" x14ac:dyDescent="0.35"/>
    <row r="98161" hidden="1" x14ac:dyDescent="0.35"/>
    <row r="98162" hidden="1" x14ac:dyDescent="0.35"/>
    <row r="98163" hidden="1" x14ac:dyDescent="0.35"/>
    <row r="98164" hidden="1" x14ac:dyDescent="0.35"/>
    <row r="98165" hidden="1" x14ac:dyDescent="0.35"/>
    <row r="98166" hidden="1" x14ac:dyDescent="0.35"/>
    <row r="98167" hidden="1" x14ac:dyDescent="0.35"/>
    <row r="98168" hidden="1" x14ac:dyDescent="0.35"/>
    <row r="98169" hidden="1" x14ac:dyDescent="0.35"/>
    <row r="98170" hidden="1" x14ac:dyDescent="0.35"/>
    <row r="98171" hidden="1" x14ac:dyDescent="0.35"/>
    <row r="98172" hidden="1" x14ac:dyDescent="0.35"/>
    <row r="98173" hidden="1" x14ac:dyDescent="0.35"/>
    <row r="98174" hidden="1" x14ac:dyDescent="0.35"/>
    <row r="98175" hidden="1" x14ac:dyDescent="0.35"/>
    <row r="98176" hidden="1" x14ac:dyDescent="0.35"/>
    <row r="98177" hidden="1" x14ac:dyDescent="0.35"/>
    <row r="98178" hidden="1" x14ac:dyDescent="0.35"/>
    <row r="98179" hidden="1" x14ac:dyDescent="0.35"/>
    <row r="98180" hidden="1" x14ac:dyDescent="0.35"/>
    <row r="98181" hidden="1" x14ac:dyDescent="0.35"/>
    <row r="98182" hidden="1" x14ac:dyDescent="0.35"/>
    <row r="98183" hidden="1" x14ac:dyDescent="0.35"/>
    <row r="98184" hidden="1" x14ac:dyDescent="0.35"/>
    <row r="98185" hidden="1" x14ac:dyDescent="0.35"/>
    <row r="98186" hidden="1" x14ac:dyDescent="0.35"/>
    <row r="98187" hidden="1" x14ac:dyDescent="0.35"/>
    <row r="98188" hidden="1" x14ac:dyDescent="0.35"/>
    <row r="98189" hidden="1" x14ac:dyDescent="0.35"/>
    <row r="98190" hidden="1" x14ac:dyDescent="0.35"/>
    <row r="98191" hidden="1" x14ac:dyDescent="0.35"/>
    <row r="98192" hidden="1" x14ac:dyDescent="0.35"/>
    <row r="98193" hidden="1" x14ac:dyDescent="0.35"/>
    <row r="98194" hidden="1" x14ac:dyDescent="0.35"/>
    <row r="98195" hidden="1" x14ac:dyDescent="0.35"/>
    <row r="98196" hidden="1" x14ac:dyDescent="0.35"/>
    <row r="98197" hidden="1" x14ac:dyDescent="0.35"/>
    <row r="98198" hidden="1" x14ac:dyDescent="0.35"/>
    <row r="98199" hidden="1" x14ac:dyDescent="0.35"/>
    <row r="98200" hidden="1" x14ac:dyDescent="0.35"/>
    <row r="98201" hidden="1" x14ac:dyDescent="0.35"/>
    <row r="98202" hidden="1" x14ac:dyDescent="0.35"/>
    <row r="98203" hidden="1" x14ac:dyDescent="0.35"/>
    <row r="98204" hidden="1" x14ac:dyDescent="0.35"/>
    <row r="98205" hidden="1" x14ac:dyDescent="0.35"/>
    <row r="98206" hidden="1" x14ac:dyDescent="0.35"/>
    <row r="98207" hidden="1" x14ac:dyDescent="0.35"/>
    <row r="98208" hidden="1" x14ac:dyDescent="0.35"/>
    <row r="98209" hidden="1" x14ac:dyDescent="0.35"/>
    <row r="98210" hidden="1" x14ac:dyDescent="0.35"/>
    <row r="98211" hidden="1" x14ac:dyDescent="0.35"/>
    <row r="98212" hidden="1" x14ac:dyDescent="0.35"/>
    <row r="98213" hidden="1" x14ac:dyDescent="0.35"/>
    <row r="98214" hidden="1" x14ac:dyDescent="0.35"/>
    <row r="98215" hidden="1" x14ac:dyDescent="0.35"/>
    <row r="98216" hidden="1" x14ac:dyDescent="0.35"/>
    <row r="98217" hidden="1" x14ac:dyDescent="0.35"/>
    <row r="98218" hidden="1" x14ac:dyDescent="0.35"/>
    <row r="98219" hidden="1" x14ac:dyDescent="0.35"/>
    <row r="98220" hidden="1" x14ac:dyDescent="0.35"/>
    <row r="98221" hidden="1" x14ac:dyDescent="0.35"/>
    <row r="98222" hidden="1" x14ac:dyDescent="0.35"/>
    <row r="98223" hidden="1" x14ac:dyDescent="0.35"/>
    <row r="98224" hidden="1" x14ac:dyDescent="0.35"/>
    <row r="98225" hidden="1" x14ac:dyDescent="0.35"/>
    <row r="98226" hidden="1" x14ac:dyDescent="0.35"/>
    <row r="98227" hidden="1" x14ac:dyDescent="0.35"/>
    <row r="98228" hidden="1" x14ac:dyDescent="0.35"/>
    <row r="98229" hidden="1" x14ac:dyDescent="0.35"/>
    <row r="98230" hidden="1" x14ac:dyDescent="0.35"/>
    <row r="98231" hidden="1" x14ac:dyDescent="0.35"/>
    <row r="98232" hidden="1" x14ac:dyDescent="0.35"/>
    <row r="98233" hidden="1" x14ac:dyDescent="0.35"/>
    <row r="98234" hidden="1" x14ac:dyDescent="0.35"/>
    <row r="98235" hidden="1" x14ac:dyDescent="0.35"/>
    <row r="98236" hidden="1" x14ac:dyDescent="0.35"/>
    <row r="98237" hidden="1" x14ac:dyDescent="0.35"/>
    <row r="98238" hidden="1" x14ac:dyDescent="0.35"/>
    <row r="98239" hidden="1" x14ac:dyDescent="0.35"/>
    <row r="98240" hidden="1" x14ac:dyDescent="0.35"/>
    <row r="98241" hidden="1" x14ac:dyDescent="0.35"/>
    <row r="98242" hidden="1" x14ac:dyDescent="0.35"/>
    <row r="98243" hidden="1" x14ac:dyDescent="0.35"/>
    <row r="98244" hidden="1" x14ac:dyDescent="0.35"/>
    <row r="98245" hidden="1" x14ac:dyDescent="0.35"/>
    <row r="98246" hidden="1" x14ac:dyDescent="0.35"/>
    <row r="98247" hidden="1" x14ac:dyDescent="0.35"/>
    <row r="98248" hidden="1" x14ac:dyDescent="0.35"/>
    <row r="98249" hidden="1" x14ac:dyDescent="0.35"/>
    <row r="98250" hidden="1" x14ac:dyDescent="0.35"/>
    <row r="98251" hidden="1" x14ac:dyDescent="0.35"/>
    <row r="98252" hidden="1" x14ac:dyDescent="0.35"/>
    <row r="98253" hidden="1" x14ac:dyDescent="0.35"/>
    <row r="98254" hidden="1" x14ac:dyDescent="0.35"/>
    <row r="98255" hidden="1" x14ac:dyDescent="0.35"/>
    <row r="98256" hidden="1" x14ac:dyDescent="0.35"/>
    <row r="98257" hidden="1" x14ac:dyDescent="0.35"/>
    <row r="98258" hidden="1" x14ac:dyDescent="0.35"/>
    <row r="98259" hidden="1" x14ac:dyDescent="0.35"/>
    <row r="98260" hidden="1" x14ac:dyDescent="0.35"/>
    <row r="98261" hidden="1" x14ac:dyDescent="0.35"/>
    <row r="98262" hidden="1" x14ac:dyDescent="0.35"/>
    <row r="98263" hidden="1" x14ac:dyDescent="0.35"/>
    <row r="98264" hidden="1" x14ac:dyDescent="0.35"/>
    <row r="98265" hidden="1" x14ac:dyDescent="0.35"/>
    <row r="98266" hidden="1" x14ac:dyDescent="0.35"/>
    <row r="98267" hidden="1" x14ac:dyDescent="0.35"/>
    <row r="98268" hidden="1" x14ac:dyDescent="0.35"/>
    <row r="98269" hidden="1" x14ac:dyDescent="0.35"/>
    <row r="98270" hidden="1" x14ac:dyDescent="0.35"/>
    <row r="98271" hidden="1" x14ac:dyDescent="0.35"/>
    <row r="98272" hidden="1" x14ac:dyDescent="0.35"/>
    <row r="98273" hidden="1" x14ac:dyDescent="0.35"/>
    <row r="98274" hidden="1" x14ac:dyDescent="0.35"/>
    <row r="98275" hidden="1" x14ac:dyDescent="0.35"/>
    <row r="98276" hidden="1" x14ac:dyDescent="0.35"/>
    <row r="98277" hidden="1" x14ac:dyDescent="0.35"/>
    <row r="98278" hidden="1" x14ac:dyDescent="0.35"/>
    <row r="98279" hidden="1" x14ac:dyDescent="0.35"/>
    <row r="98280" hidden="1" x14ac:dyDescent="0.35"/>
    <row r="98281" hidden="1" x14ac:dyDescent="0.35"/>
    <row r="98282" hidden="1" x14ac:dyDescent="0.35"/>
    <row r="98283" hidden="1" x14ac:dyDescent="0.35"/>
    <row r="98284" hidden="1" x14ac:dyDescent="0.35"/>
    <row r="98285" hidden="1" x14ac:dyDescent="0.35"/>
    <row r="98286" hidden="1" x14ac:dyDescent="0.35"/>
    <row r="98287" hidden="1" x14ac:dyDescent="0.35"/>
    <row r="98288" hidden="1" x14ac:dyDescent="0.35"/>
    <row r="98289" hidden="1" x14ac:dyDescent="0.35"/>
    <row r="98290" hidden="1" x14ac:dyDescent="0.35"/>
    <row r="98291" hidden="1" x14ac:dyDescent="0.35"/>
    <row r="98292" hidden="1" x14ac:dyDescent="0.35"/>
    <row r="98293" hidden="1" x14ac:dyDescent="0.35"/>
    <row r="98294" hidden="1" x14ac:dyDescent="0.35"/>
    <row r="98295" hidden="1" x14ac:dyDescent="0.35"/>
    <row r="98296" hidden="1" x14ac:dyDescent="0.35"/>
    <row r="98297" hidden="1" x14ac:dyDescent="0.35"/>
    <row r="98298" hidden="1" x14ac:dyDescent="0.35"/>
    <row r="98299" hidden="1" x14ac:dyDescent="0.35"/>
    <row r="98300" hidden="1" x14ac:dyDescent="0.35"/>
    <row r="98301" hidden="1" x14ac:dyDescent="0.35"/>
    <row r="98302" hidden="1" x14ac:dyDescent="0.35"/>
    <row r="98303" hidden="1" x14ac:dyDescent="0.35"/>
    <row r="98304" hidden="1" x14ac:dyDescent="0.35"/>
    <row r="98305" hidden="1" x14ac:dyDescent="0.35"/>
    <row r="98306" hidden="1" x14ac:dyDescent="0.35"/>
    <row r="98307" hidden="1" x14ac:dyDescent="0.35"/>
    <row r="98308" hidden="1" x14ac:dyDescent="0.35"/>
    <row r="98309" hidden="1" x14ac:dyDescent="0.35"/>
    <row r="98310" hidden="1" x14ac:dyDescent="0.35"/>
    <row r="98311" hidden="1" x14ac:dyDescent="0.35"/>
    <row r="98312" hidden="1" x14ac:dyDescent="0.35"/>
    <row r="98313" hidden="1" x14ac:dyDescent="0.35"/>
    <row r="98314" hidden="1" x14ac:dyDescent="0.35"/>
    <row r="98315" hidden="1" x14ac:dyDescent="0.35"/>
    <row r="98316" hidden="1" x14ac:dyDescent="0.35"/>
    <row r="98317" hidden="1" x14ac:dyDescent="0.35"/>
    <row r="98318" hidden="1" x14ac:dyDescent="0.35"/>
    <row r="98319" hidden="1" x14ac:dyDescent="0.35"/>
    <row r="98320" hidden="1" x14ac:dyDescent="0.35"/>
    <row r="98321" hidden="1" x14ac:dyDescent="0.35"/>
    <row r="98322" hidden="1" x14ac:dyDescent="0.35"/>
    <row r="98323" hidden="1" x14ac:dyDescent="0.35"/>
    <row r="98324" hidden="1" x14ac:dyDescent="0.35"/>
    <row r="98325" hidden="1" x14ac:dyDescent="0.35"/>
    <row r="98326" hidden="1" x14ac:dyDescent="0.35"/>
    <row r="98327" hidden="1" x14ac:dyDescent="0.35"/>
    <row r="98328" hidden="1" x14ac:dyDescent="0.35"/>
    <row r="98329" hidden="1" x14ac:dyDescent="0.35"/>
    <row r="98330" hidden="1" x14ac:dyDescent="0.35"/>
    <row r="98331" hidden="1" x14ac:dyDescent="0.35"/>
    <row r="98332" hidden="1" x14ac:dyDescent="0.35"/>
    <row r="98333" hidden="1" x14ac:dyDescent="0.35"/>
    <row r="98334" hidden="1" x14ac:dyDescent="0.35"/>
    <row r="98335" hidden="1" x14ac:dyDescent="0.35"/>
    <row r="98336" hidden="1" x14ac:dyDescent="0.35"/>
    <row r="98337" hidden="1" x14ac:dyDescent="0.35"/>
    <row r="98338" hidden="1" x14ac:dyDescent="0.35"/>
    <row r="98339" hidden="1" x14ac:dyDescent="0.35"/>
    <row r="98340" hidden="1" x14ac:dyDescent="0.35"/>
    <row r="98341" hidden="1" x14ac:dyDescent="0.35"/>
    <row r="98342" hidden="1" x14ac:dyDescent="0.35"/>
    <row r="98343" hidden="1" x14ac:dyDescent="0.35"/>
    <row r="98344" hidden="1" x14ac:dyDescent="0.35"/>
    <row r="98345" hidden="1" x14ac:dyDescent="0.35"/>
    <row r="98346" hidden="1" x14ac:dyDescent="0.35"/>
    <row r="98347" hidden="1" x14ac:dyDescent="0.35"/>
    <row r="98348" hidden="1" x14ac:dyDescent="0.35"/>
    <row r="98349" hidden="1" x14ac:dyDescent="0.35"/>
    <row r="98350" hidden="1" x14ac:dyDescent="0.35"/>
    <row r="98351" hidden="1" x14ac:dyDescent="0.35"/>
    <row r="98352" hidden="1" x14ac:dyDescent="0.35"/>
    <row r="98353" hidden="1" x14ac:dyDescent="0.35"/>
    <row r="98354" hidden="1" x14ac:dyDescent="0.35"/>
    <row r="98355" hidden="1" x14ac:dyDescent="0.35"/>
    <row r="98356" hidden="1" x14ac:dyDescent="0.35"/>
    <row r="98357" hidden="1" x14ac:dyDescent="0.35"/>
    <row r="98358" hidden="1" x14ac:dyDescent="0.35"/>
    <row r="98359" hidden="1" x14ac:dyDescent="0.35"/>
    <row r="98360" hidden="1" x14ac:dyDescent="0.35"/>
    <row r="98361" hidden="1" x14ac:dyDescent="0.35"/>
    <row r="98362" hidden="1" x14ac:dyDescent="0.35"/>
    <row r="98363" hidden="1" x14ac:dyDescent="0.35"/>
    <row r="98364" hidden="1" x14ac:dyDescent="0.35"/>
    <row r="98365" hidden="1" x14ac:dyDescent="0.35"/>
    <row r="98366" hidden="1" x14ac:dyDescent="0.35"/>
    <row r="98367" hidden="1" x14ac:dyDescent="0.35"/>
    <row r="98368" hidden="1" x14ac:dyDescent="0.35"/>
    <row r="98369" hidden="1" x14ac:dyDescent="0.35"/>
    <row r="98370" hidden="1" x14ac:dyDescent="0.35"/>
    <row r="98371" hidden="1" x14ac:dyDescent="0.35"/>
    <row r="98372" hidden="1" x14ac:dyDescent="0.35"/>
    <row r="98373" hidden="1" x14ac:dyDescent="0.35"/>
    <row r="98374" hidden="1" x14ac:dyDescent="0.35"/>
    <row r="98375" hidden="1" x14ac:dyDescent="0.35"/>
    <row r="98376" hidden="1" x14ac:dyDescent="0.35"/>
    <row r="98377" hidden="1" x14ac:dyDescent="0.35"/>
    <row r="98378" hidden="1" x14ac:dyDescent="0.35"/>
    <row r="98379" hidden="1" x14ac:dyDescent="0.35"/>
    <row r="98380" hidden="1" x14ac:dyDescent="0.35"/>
    <row r="98381" hidden="1" x14ac:dyDescent="0.35"/>
    <row r="98382" hidden="1" x14ac:dyDescent="0.35"/>
    <row r="98383" hidden="1" x14ac:dyDescent="0.35"/>
    <row r="98384" hidden="1" x14ac:dyDescent="0.35"/>
    <row r="98385" hidden="1" x14ac:dyDescent="0.35"/>
    <row r="98386" hidden="1" x14ac:dyDescent="0.35"/>
    <row r="98387" hidden="1" x14ac:dyDescent="0.35"/>
    <row r="98388" hidden="1" x14ac:dyDescent="0.35"/>
    <row r="98389" hidden="1" x14ac:dyDescent="0.35"/>
    <row r="98390" hidden="1" x14ac:dyDescent="0.35"/>
    <row r="98391" hidden="1" x14ac:dyDescent="0.35"/>
    <row r="98392" hidden="1" x14ac:dyDescent="0.35"/>
    <row r="98393" hidden="1" x14ac:dyDescent="0.35"/>
    <row r="98394" hidden="1" x14ac:dyDescent="0.35"/>
    <row r="98395" hidden="1" x14ac:dyDescent="0.35"/>
    <row r="98396" hidden="1" x14ac:dyDescent="0.35"/>
    <row r="98397" hidden="1" x14ac:dyDescent="0.35"/>
    <row r="98398" hidden="1" x14ac:dyDescent="0.35"/>
    <row r="98399" hidden="1" x14ac:dyDescent="0.35"/>
    <row r="98400" hidden="1" x14ac:dyDescent="0.35"/>
    <row r="98401" hidden="1" x14ac:dyDescent="0.35"/>
    <row r="98402" hidden="1" x14ac:dyDescent="0.35"/>
    <row r="98403" hidden="1" x14ac:dyDescent="0.35"/>
    <row r="98404" hidden="1" x14ac:dyDescent="0.35"/>
    <row r="98405" hidden="1" x14ac:dyDescent="0.35"/>
    <row r="98406" hidden="1" x14ac:dyDescent="0.35"/>
    <row r="98407" hidden="1" x14ac:dyDescent="0.35"/>
    <row r="98408" hidden="1" x14ac:dyDescent="0.35"/>
    <row r="98409" hidden="1" x14ac:dyDescent="0.35"/>
    <row r="98410" hidden="1" x14ac:dyDescent="0.35"/>
    <row r="98411" hidden="1" x14ac:dyDescent="0.35"/>
    <row r="98412" hidden="1" x14ac:dyDescent="0.35"/>
    <row r="98413" hidden="1" x14ac:dyDescent="0.35"/>
    <row r="98414" hidden="1" x14ac:dyDescent="0.35"/>
    <row r="98415" hidden="1" x14ac:dyDescent="0.35"/>
    <row r="98416" hidden="1" x14ac:dyDescent="0.35"/>
    <row r="98417" hidden="1" x14ac:dyDescent="0.35"/>
    <row r="98418" hidden="1" x14ac:dyDescent="0.35"/>
    <row r="98419" hidden="1" x14ac:dyDescent="0.35"/>
    <row r="98420" hidden="1" x14ac:dyDescent="0.35"/>
    <row r="98421" hidden="1" x14ac:dyDescent="0.35"/>
    <row r="98422" hidden="1" x14ac:dyDescent="0.35"/>
    <row r="98423" hidden="1" x14ac:dyDescent="0.35"/>
    <row r="98424" hidden="1" x14ac:dyDescent="0.35"/>
    <row r="98425" hidden="1" x14ac:dyDescent="0.35"/>
    <row r="98426" hidden="1" x14ac:dyDescent="0.35"/>
    <row r="98427" hidden="1" x14ac:dyDescent="0.35"/>
    <row r="98428" hidden="1" x14ac:dyDescent="0.35"/>
    <row r="98429" hidden="1" x14ac:dyDescent="0.35"/>
    <row r="98430" hidden="1" x14ac:dyDescent="0.35"/>
    <row r="98431" hidden="1" x14ac:dyDescent="0.35"/>
    <row r="98432" hidden="1" x14ac:dyDescent="0.35"/>
    <row r="98433" hidden="1" x14ac:dyDescent="0.35"/>
    <row r="98434" hidden="1" x14ac:dyDescent="0.35"/>
    <row r="98435" hidden="1" x14ac:dyDescent="0.35"/>
    <row r="98436" hidden="1" x14ac:dyDescent="0.35"/>
    <row r="98437" hidden="1" x14ac:dyDescent="0.35"/>
    <row r="98438" hidden="1" x14ac:dyDescent="0.35"/>
    <row r="98439" hidden="1" x14ac:dyDescent="0.35"/>
    <row r="98440" hidden="1" x14ac:dyDescent="0.35"/>
    <row r="98441" hidden="1" x14ac:dyDescent="0.35"/>
    <row r="98442" hidden="1" x14ac:dyDescent="0.35"/>
    <row r="98443" hidden="1" x14ac:dyDescent="0.35"/>
    <row r="98444" hidden="1" x14ac:dyDescent="0.35"/>
    <row r="98445" hidden="1" x14ac:dyDescent="0.35"/>
    <row r="98446" hidden="1" x14ac:dyDescent="0.35"/>
    <row r="98447" hidden="1" x14ac:dyDescent="0.35"/>
    <row r="98448" hidden="1" x14ac:dyDescent="0.35"/>
    <row r="98449" hidden="1" x14ac:dyDescent="0.35"/>
    <row r="98450" hidden="1" x14ac:dyDescent="0.35"/>
    <row r="98451" hidden="1" x14ac:dyDescent="0.35"/>
    <row r="98452" hidden="1" x14ac:dyDescent="0.35"/>
    <row r="98453" hidden="1" x14ac:dyDescent="0.35"/>
    <row r="98454" hidden="1" x14ac:dyDescent="0.35"/>
    <row r="98455" hidden="1" x14ac:dyDescent="0.35"/>
    <row r="98456" hidden="1" x14ac:dyDescent="0.35"/>
    <row r="98457" hidden="1" x14ac:dyDescent="0.35"/>
    <row r="98458" hidden="1" x14ac:dyDescent="0.35"/>
    <row r="98459" hidden="1" x14ac:dyDescent="0.35"/>
    <row r="98460" hidden="1" x14ac:dyDescent="0.35"/>
    <row r="98461" hidden="1" x14ac:dyDescent="0.35"/>
    <row r="98462" hidden="1" x14ac:dyDescent="0.35"/>
    <row r="98463" hidden="1" x14ac:dyDescent="0.35"/>
    <row r="98464" hidden="1" x14ac:dyDescent="0.35"/>
    <row r="98465" hidden="1" x14ac:dyDescent="0.35"/>
    <row r="98466" hidden="1" x14ac:dyDescent="0.35"/>
    <row r="98467" hidden="1" x14ac:dyDescent="0.35"/>
    <row r="98468" hidden="1" x14ac:dyDescent="0.35"/>
    <row r="98469" hidden="1" x14ac:dyDescent="0.35"/>
    <row r="98470" hidden="1" x14ac:dyDescent="0.35"/>
    <row r="98471" hidden="1" x14ac:dyDescent="0.35"/>
    <row r="98472" hidden="1" x14ac:dyDescent="0.35"/>
    <row r="98473" hidden="1" x14ac:dyDescent="0.35"/>
    <row r="98474" hidden="1" x14ac:dyDescent="0.35"/>
    <row r="98475" hidden="1" x14ac:dyDescent="0.35"/>
    <row r="98476" hidden="1" x14ac:dyDescent="0.35"/>
    <row r="98477" hidden="1" x14ac:dyDescent="0.35"/>
    <row r="98478" hidden="1" x14ac:dyDescent="0.35"/>
    <row r="98479" hidden="1" x14ac:dyDescent="0.35"/>
    <row r="98480" hidden="1" x14ac:dyDescent="0.35"/>
    <row r="98481" hidden="1" x14ac:dyDescent="0.35"/>
    <row r="98482" hidden="1" x14ac:dyDescent="0.35"/>
    <row r="98483" hidden="1" x14ac:dyDescent="0.35"/>
    <row r="98484" hidden="1" x14ac:dyDescent="0.35"/>
    <row r="98485" hidden="1" x14ac:dyDescent="0.35"/>
    <row r="98486" hidden="1" x14ac:dyDescent="0.35"/>
    <row r="98487" hidden="1" x14ac:dyDescent="0.35"/>
    <row r="98488" hidden="1" x14ac:dyDescent="0.35"/>
    <row r="98489" hidden="1" x14ac:dyDescent="0.35"/>
    <row r="98490" hidden="1" x14ac:dyDescent="0.35"/>
    <row r="98491" hidden="1" x14ac:dyDescent="0.35"/>
    <row r="98492" hidden="1" x14ac:dyDescent="0.35"/>
    <row r="98493" hidden="1" x14ac:dyDescent="0.35"/>
    <row r="98494" hidden="1" x14ac:dyDescent="0.35"/>
    <row r="98495" hidden="1" x14ac:dyDescent="0.35"/>
    <row r="98496" hidden="1" x14ac:dyDescent="0.35"/>
    <row r="98497" hidden="1" x14ac:dyDescent="0.35"/>
    <row r="98498" hidden="1" x14ac:dyDescent="0.35"/>
    <row r="98499" hidden="1" x14ac:dyDescent="0.35"/>
    <row r="98500" hidden="1" x14ac:dyDescent="0.35"/>
    <row r="98501" hidden="1" x14ac:dyDescent="0.35"/>
    <row r="98502" hidden="1" x14ac:dyDescent="0.35"/>
    <row r="98503" hidden="1" x14ac:dyDescent="0.35"/>
    <row r="98504" hidden="1" x14ac:dyDescent="0.35"/>
    <row r="98505" hidden="1" x14ac:dyDescent="0.35"/>
    <row r="98506" hidden="1" x14ac:dyDescent="0.35"/>
    <row r="98507" hidden="1" x14ac:dyDescent="0.35"/>
    <row r="98508" hidden="1" x14ac:dyDescent="0.35"/>
    <row r="98509" hidden="1" x14ac:dyDescent="0.35"/>
    <row r="98510" hidden="1" x14ac:dyDescent="0.35"/>
    <row r="98511" hidden="1" x14ac:dyDescent="0.35"/>
    <row r="98512" hidden="1" x14ac:dyDescent="0.35"/>
    <row r="98513" hidden="1" x14ac:dyDescent="0.35"/>
    <row r="98514" hidden="1" x14ac:dyDescent="0.35"/>
    <row r="98515" hidden="1" x14ac:dyDescent="0.35"/>
    <row r="98516" hidden="1" x14ac:dyDescent="0.35"/>
    <row r="98517" hidden="1" x14ac:dyDescent="0.35"/>
    <row r="98518" hidden="1" x14ac:dyDescent="0.35"/>
    <row r="98519" hidden="1" x14ac:dyDescent="0.35"/>
    <row r="98520" hidden="1" x14ac:dyDescent="0.35"/>
    <row r="98521" hidden="1" x14ac:dyDescent="0.35"/>
    <row r="98522" hidden="1" x14ac:dyDescent="0.35"/>
    <row r="98523" hidden="1" x14ac:dyDescent="0.35"/>
    <row r="98524" hidden="1" x14ac:dyDescent="0.35"/>
    <row r="98525" hidden="1" x14ac:dyDescent="0.35"/>
    <row r="98526" hidden="1" x14ac:dyDescent="0.35"/>
    <row r="98527" hidden="1" x14ac:dyDescent="0.35"/>
    <row r="98528" hidden="1" x14ac:dyDescent="0.35"/>
    <row r="98529" hidden="1" x14ac:dyDescent="0.35"/>
    <row r="98530" hidden="1" x14ac:dyDescent="0.35"/>
    <row r="98531" hidden="1" x14ac:dyDescent="0.35"/>
    <row r="98532" hidden="1" x14ac:dyDescent="0.35"/>
    <row r="98533" hidden="1" x14ac:dyDescent="0.35"/>
    <row r="98534" hidden="1" x14ac:dyDescent="0.35"/>
    <row r="98535" hidden="1" x14ac:dyDescent="0.35"/>
    <row r="98536" hidden="1" x14ac:dyDescent="0.35"/>
    <row r="98537" hidden="1" x14ac:dyDescent="0.35"/>
    <row r="98538" hidden="1" x14ac:dyDescent="0.35"/>
    <row r="98539" hidden="1" x14ac:dyDescent="0.35"/>
    <row r="98540" hidden="1" x14ac:dyDescent="0.35"/>
    <row r="98541" hidden="1" x14ac:dyDescent="0.35"/>
    <row r="98542" hidden="1" x14ac:dyDescent="0.35"/>
    <row r="98543" hidden="1" x14ac:dyDescent="0.35"/>
    <row r="98544" hidden="1" x14ac:dyDescent="0.35"/>
    <row r="98545" hidden="1" x14ac:dyDescent="0.35"/>
    <row r="98546" hidden="1" x14ac:dyDescent="0.35"/>
    <row r="98547" hidden="1" x14ac:dyDescent="0.35"/>
    <row r="98548" hidden="1" x14ac:dyDescent="0.35"/>
    <row r="98549" hidden="1" x14ac:dyDescent="0.35"/>
    <row r="98550" hidden="1" x14ac:dyDescent="0.35"/>
    <row r="98551" hidden="1" x14ac:dyDescent="0.35"/>
    <row r="98552" hidden="1" x14ac:dyDescent="0.35"/>
    <row r="98553" hidden="1" x14ac:dyDescent="0.35"/>
    <row r="98554" hidden="1" x14ac:dyDescent="0.35"/>
    <row r="98555" hidden="1" x14ac:dyDescent="0.35"/>
    <row r="98556" hidden="1" x14ac:dyDescent="0.35"/>
    <row r="98557" hidden="1" x14ac:dyDescent="0.35"/>
    <row r="98558" hidden="1" x14ac:dyDescent="0.35"/>
    <row r="98559" hidden="1" x14ac:dyDescent="0.35"/>
    <row r="98560" hidden="1" x14ac:dyDescent="0.35"/>
    <row r="98561" hidden="1" x14ac:dyDescent="0.35"/>
    <row r="98562" hidden="1" x14ac:dyDescent="0.35"/>
    <row r="98563" hidden="1" x14ac:dyDescent="0.35"/>
    <row r="98564" hidden="1" x14ac:dyDescent="0.35"/>
    <row r="98565" hidden="1" x14ac:dyDescent="0.35"/>
    <row r="98566" hidden="1" x14ac:dyDescent="0.35"/>
    <row r="98567" hidden="1" x14ac:dyDescent="0.35"/>
    <row r="98568" hidden="1" x14ac:dyDescent="0.35"/>
    <row r="98569" hidden="1" x14ac:dyDescent="0.35"/>
    <row r="98570" hidden="1" x14ac:dyDescent="0.35"/>
    <row r="98571" hidden="1" x14ac:dyDescent="0.35"/>
    <row r="98572" hidden="1" x14ac:dyDescent="0.35"/>
    <row r="98573" hidden="1" x14ac:dyDescent="0.35"/>
    <row r="98574" hidden="1" x14ac:dyDescent="0.35"/>
    <row r="98575" hidden="1" x14ac:dyDescent="0.35"/>
    <row r="98576" hidden="1" x14ac:dyDescent="0.35"/>
    <row r="98577" hidden="1" x14ac:dyDescent="0.35"/>
    <row r="98578" hidden="1" x14ac:dyDescent="0.35"/>
    <row r="98579" hidden="1" x14ac:dyDescent="0.35"/>
    <row r="98580" hidden="1" x14ac:dyDescent="0.35"/>
    <row r="98581" hidden="1" x14ac:dyDescent="0.35"/>
    <row r="98582" hidden="1" x14ac:dyDescent="0.35"/>
    <row r="98583" hidden="1" x14ac:dyDescent="0.35"/>
    <row r="98584" hidden="1" x14ac:dyDescent="0.35"/>
    <row r="98585" hidden="1" x14ac:dyDescent="0.35"/>
    <row r="98586" hidden="1" x14ac:dyDescent="0.35"/>
    <row r="98587" hidden="1" x14ac:dyDescent="0.35"/>
    <row r="98588" hidden="1" x14ac:dyDescent="0.35"/>
    <row r="98589" hidden="1" x14ac:dyDescent="0.35"/>
    <row r="98590" hidden="1" x14ac:dyDescent="0.35"/>
    <row r="98591" hidden="1" x14ac:dyDescent="0.35"/>
    <row r="98592" hidden="1" x14ac:dyDescent="0.35"/>
    <row r="98593" hidden="1" x14ac:dyDescent="0.35"/>
    <row r="98594" hidden="1" x14ac:dyDescent="0.35"/>
    <row r="98595" hidden="1" x14ac:dyDescent="0.35"/>
    <row r="98596" hidden="1" x14ac:dyDescent="0.35"/>
    <row r="98597" hidden="1" x14ac:dyDescent="0.35"/>
    <row r="98598" hidden="1" x14ac:dyDescent="0.35"/>
    <row r="98599" hidden="1" x14ac:dyDescent="0.35"/>
    <row r="98600" hidden="1" x14ac:dyDescent="0.35"/>
    <row r="98601" hidden="1" x14ac:dyDescent="0.35"/>
    <row r="98602" hidden="1" x14ac:dyDescent="0.35"/>
    <row r="98603" hidden="1" x14ac:dyDescent="0.35"/>
    <row r="98604" hidden="1" x14ac:dyDescent="0.35"/>
    <row r="98605" hidden="1" x14ac:dyDescent="0.35"/>
    <row r="98606" hidden="1" x14ac:dyDescent="0.35"/>
    <row r="98607" hidden="1" x14ac:dyDescent="0.35"/>
    <row r="98608" hidden="1" x14ac:dyDescent="0.35"/>
    <row r="98609" hidden="1" x14ac:dyDescent="0.35"/>
    <row r="98610" hidden="1" x14ac:dyDescent="0.35"/>
    <row r="98611" hidden="1" x14ac:dyDescent="0.35"/>
    <row r="98612" hidden="1" x14ac:dyDescent="0.35"/>
    <row r="98613" hidden="1" x14ac:dyDescent="0.35"/>
    <row r="98614" hidden="1" x14ac:dyDescent="0.35"/>
    <row r="98615" hidden="1" x14ac:dyDescent="0.35"/>
    <row r="98616" hidden="1" x14ac:dyDescent="0.35"/>
    <row r="98617" hidden="1" x14ac:dyDescent="0.35"/>
    <row r="98618" hidden="1" x14ac:dyDescent="0.35"/>
    <row r="98619" hidden="1" x14ac:dyDescent="0.35"/>
    <row r="98620" hidden="1" x14ac:dyDescent="0.35"/>
    <row r="98621" hidden="1" x14ac:dyDescent="0.35"/>
    <row r="98622" hidden="1" x14ac:dyDescent="0.35"/>
    <row r="98623" hidden="1" x14ac:dyDescent="0.35"/>
    <row r="98624" hidden="1" x14ac:dyDescent="0.35"/>
    <row r="98625" hidden="1" x14ac:dyDescent="0.35"/>
    <row r="98626" hidden="1" x14ac:dyDescent="0.35"/>
    <row r="98627" hidden="1" x14ac:dyDescent="0.35"/>
    <row r="98628" hidden="1" x14ac:dyDescent="0.35"/>
    <row r="98629" hidden="1" x14ac:dyDescent="0.35"/>
    <row r="98630" hidden="1" x14ac:dyDescent="0.35"/>
    <row r="98631" hidden="1" x14ac:dyDescent="0.35"/>
    <row r="98632" hidden="1" x14ac:dyDescent="0.35"/>
    <row r="98633" hidden="1" x14ac:dyDescent="0.35"/>
    <row r="98634" hidden="1" x14ac:dyDescent="0.35"/>
    <row r="98635" hidden="1" x14ac:dyDescent="0.35"/>
    <row r="98636" hidden="1" x14ac:dyDescent="0.35"/>
    <row r="98637" hidden="1" x14ac:dyDescent="0.35"/>
    <row r="98638" hidden="1" x14ac:dyDescent="0.35"/>
    <row r="98639" hidden="1" x14ac:dyDescent="0.35"/>
    <row r="98640" hidden="1" x14ac:dyDescent="0.35"/>
    <row r="98641" hidden="1" x14ac:dyDescent="0.35"/>
    <row r="98642" hidden="1" x14ac:dyDescent="0.35"/>
    <row r="98643" hidden="1" x14ac:dyDescent="0.35"/>
    <row r="98644" hidden="1" x14ac:dyDescent="0.35"/>
    <row r="98645" hidden="1" x14ac:dyDescent="0.35"/>
    <row r="98646" hidden="1" x14ac:dyDescent="0.35"/>
    <row r="98647" hidden="1" x14ac:dyDescent="0.35"/>
    <row r="98648" hidden="1" x14ac:dyDescent="0.35"/>
    <row r="98649" hidden="1" x14ac:dyDescent="0.35"/>
    <row r="98650" hidden="1" x14ac:dyDescent="0.35"/>
    <row r="98651" hidden="1" x14ac:dyDescent="0.35"/>
    <row r="98652" hidden="1" x14ac:dyDescent="0.35"/>
    <row r="98653" hidden="1" x14ac:dyDescent="0.35"/>
    <row r="98654" hidden="1" x14ac:dyDescent="0.35"/>
    <row r="98655" hidden="1" x14ac:dyDescent="0.35"/>
    <row r="98656" hidden="1" x14ac:dyDescent="0.35"/>
    <row r="98657" hidden="1" x14ac:dyDescent="0.35"/>
    <row r="98658" hidden="1" x14ac:dyDescent="0.35"/>
    <row r="98659" hidden="1" x14ac:dyDescent="0.35"/>
    <row r="98660" hidden="1" x14ac:dyDescent="0.35"/>
    <row r="98661" hidden="1" x14ac:dyDescent="0.35"/>
    <row r="98662" hidden="1" x14ac:dyDescent="0.35"/>
    <row r="98663" hidden="1" x14ac:dyDescent="0.35"/>
    <row r="98664" hidden="1" x14ac:dyDescent="0.35"/>
    <row r="98665" hidden="1" x14ac:dyDescent="0.35"/>
    <row r="98666" hidden="1" x14ac:dyDescent="0.35"/>
    <row r="98667" hidden="1" x14ac:dyDescent="0.35"/>
    <row r="98668" hidden="1" x14ac:dyDescent="0.35"/>
    <row r="98669" hidden="1" x14ac:dyDescent="0.35"/>
    <row r="98670" hidden="1" x14ac:dyDescent="0.35"/>
    <row r="98671" hidden="1" x14ac:dyDescent="0.35"/>
    <row r="98672" hidden="1" x14ac:dyDescent="0.35"/>
    <row r="98673" hidden="1" x14ac:dyDescent="0.35"/>
    <row r="98674" hidden="1" x14ac:dyDescent="0.35"/>
    <row r="98675" hidden="1" x14ac:dyDescent="0.35"/>
    <row r="98676" hidden="1" x14ac:dyDescent="0.35"/>
    <row r="98677" hidden="1" x14ac:dyDescent="0.35"/>
    <row r="98678" hidden="1" x14ac:dyDescent="0.35"/>
    <row r="98679" hidden="1" x14ac:dyDescent="0.35"/>
    <row r="98680" hidden="1" x14ac:dyDescent="0.35"/>
    <row r="98681" hidden="1" x14ac:dyDescent="0.35"/>
    <row r="98682" hidden="1" x14ac:dyDescent="0.35"/>
    <row r="98683" hidden="1" x14ac:dyDescent="0.35"/>
    <row r="98684" hidden="1" x14ac:dyDescent="0.35"/>
    <row r="98685" hidden="1" x14ac:dyDescent="0.35"/>
    <row r="98686" hidden="1" x14ac:dyDescent="0.35"/>
    <row r="98687" hidden="1" x14ac:dyDescent="0.35"/>
    <row r="98688" hidden="1" x14ac:dyDescent="0.35"/>
    <row r="98689" hidden="1" x14ac:dyDescent="0.35"/>
    <row r="98690" hidden="1" x14ac:dyDescent="0.35"/>
    <row r="98691" hidden="1" x14ac:dyDescent="0.35"/>
    <row r="98692" hidden="1" x14ac:dyDescent="0.35"/>
    <row r="98693" hidden="1" x14ac:dyDescent="0.35"/>
    <row r="98694" hidden="1" x14ac:dyDescent="0.35"/>
    <row r="98695" hidden="1" x14ac:dyDescent="0.35"/>
    <row r="98696" hidden="1" x14ac:dyDescent="0.35"/>
    <row r="98697" hidden="1" x14ac:dyDescent="0.35"/>
    <row r="98698" hidden="1" x14ac:dyDescent="0.35"/>
    <row r="98699" hidden="1" x14ac:dyDescent="0.35"/>
    <row r="98700" hidden="1" x14ac:dyDescent="0.35"/>
    <row r="98701" hidden="1" x14ac:dyDescent="0.35"/>
    <row r="98702" hidden="1" x14ac:dyDescent="0.35"/>
    <row r="98703" hidden="1" x14ac:dyDescent="0.35"/>
    <row r="98704" hidden="1" x14ac:dyDescent="0.35"/>
    <row r="98705" hidden="1" x14ac:dyDescent="0.35"/>
    <row r="98706" hidden="1" x14ac:dyDescent="0.35"/>
    <row r="98707" hidden="1" x14ac:dyDescent="0.35"/>
    <row r="98708" hidden="1" x14ac:dyDescent="0.35"/>
    <row r="98709" hidden="1" x14ac:dyDescent="0.35"/>
    <row r="98710" hidden="1" x14ac:dyDescent="0.35"/>
    <row r="98711" hidden="1" x14ac:dyDescent="0.35"/>
    <row r="98712" hidden="1" x14ac:dyDescent="0.35"/>
    <row r="98713" hidden="1" x14ac:dyDescent="0.35"/>
    <row r="98714" hidden="1" x14ac:dyDescent="0.35"/>
    <row r="98715" hidden="1" x14ac:dyDescent="0.35"/>
    <row r="98716" hidden="1" x14ac:dyDescent="0.35"/>
    <row r="98717" hidden="1" x14ac:dyDescent="0.35"/>
    <row r="98718" hidden="1" x14ac:dyDescent="0.35"/>
    <row r="98719" hidden="1" x14ac:dyDescent="0.35"/>
    <row r="98720" hidden="1" x14ac:dyDescent="0.35"/>
    <row r="98721" hidden="1" x14ac:dyDescent="0.35"/>
    <row r="98722" hidden="1" x14ac:dyDescent="0.35"/>
    <row r="98723" hidden="1" x14ac:dyDescent="0.35"/>
    <row r="98724" hidden="1" x14ac:dyDescent="0.35"/>
    <row r="98725" hidden="1" x14ac:dyDescent="0.35"/>
    <row r="98726" hidden="1" x14ac:dyDescent="0.35"/>
    <row r="98727" hidden="1" x14ac:dyDescent="0.35"/>
    <row r="98728" hidden="1" x14ac:dyDescent="0.35"/>
    <row r="98729" hidden="1" x14ac:dyDescent="0.35"/>
    <row r="98730" hidden="1" x14ac:dyDescent="0.35"/>
    <row r="98731" hidden="1" x14ac:dyDescent="0.35"/>
    <row r="98732" hidden="1" x14ac:dyDescent="0.35"/>
    <row r="98733" hidden="1" x14ac:dyDescent="0.35"/>
    <row r="98734" hidden="1" x14ac:dyDescent="0.35"/>
    <row r="98735" hidden="1" x14ac:dyDescent="0.35"/>
    <row r="98736" hidden="1" x14ac:dyDescent="0.35"/>
    <row r="98737" hidden="1" x14ac:dyDescent="0.35"/>
    <row r="98738" hidden="1" x14ac:dyDescent="0.35"/>
    <row r="98739" hidden="1" x14ac:dyDescent="0.35"/>
    <row r="98740" hidden="1" x14ac:dyDescent="0.35"/>
    <row r="98741" hidden="1" x14ac:dyDescent="0.35"/>
    <row r="98742" hidden="1" x14ac:dyDescent="0.35"/>
    <row r="98743" hidden="1" x14ac:dyDescent="0.35"/>
    <row r="98744" hidden="1" x14ac:dyDescent="0.35"/>
    <row r="98745" hidden="1" x14ac:dyDescent="0.35"/>
    <row r="98746" hidden="1" x14ac:dyDescent="0.35"/>
    <row r="98747" hidden="1" x14ac:dyDescent="0.35"/>
    <row r="98748" hidden="1" x14ac:dyDescent="0.35"/>
    <row r="98749" hidden="1" x14ac:dyDescent="0.35"/>
    <row r="98750" hidden="1" x14ac:dyDescent="0.35"/>
    <row r="98751" hidden="1" x14ac:dyDescent="0.35"/>
    <row r="98752" hidden="1" x14ac:dyDescent="0.35"/>
    <row r="98753" hidden="1" x14ac:dyDescent="0.35"/>
    <row r="98754" hidden="1" x14ac:dyDescent="0.35"/>
    <row r="98755" hidden="1" x14ac:dyDescent="0.35"/>
    <row r="98756" hidden="1" x14ac:dyDescent="0.35"/>
    <row r="98757" hidden="1" x14ac:dyDescent="0.35"/>
    <row r="98758" hidden="1" x14ac:dyDescent="0.35"/>
    <row r="98759" hidden="1" x14ac:dyDescent="0.35"/>
    <row r="98760" hidden="1" x14ac:dyDescent="0.35"/>
    <row r="98761" hidden="1" x14ac:dyDescent="0.35"/>
    <row r="98762" hidden="1" x14ac:dyDescent="0.35"/>
    <row r="98763" hidden="1" x14ac:dyDescent="0.35"/>
    <row r="98764" hidden="1" x14ac:dyDescent="0.35"/>
    <row r="98765" hidden="1" x14ac:dyDescent="0.35"/>
    <row r="98766" hidden="1" x14ac:dyDescent="0.35"/>
    <row r="98767" hidden="1" x14ac:dyDescent="0.35"/>
    <row r="98768" hidden="1" x14ac:dyDescent="0.35"/>
    <row r="98769" hidden="1" x14ac:dyDescent="0.35"/>
    <row r="98770" hidden="1" x14ac:dyDescent="0.35"/>
    <row r="98771" hidden="1" x14ac:dyDescent="0.35"/>
    <row r="98772" hidden="1" x14ac:dyDescent="0.35"/>
    <row r="98773" hidden="1" x14ac:dyDescent="0.35"/>
    <row r="98774" hidden="1" x14ac:dyDescent="0.35"/>
    <row r="98775" hidden="1" x14ac:dyDescent="0.35"/>
    <row r="98776" hidden="1" x14ac:dyDescent="0.35"/>
    <row r="98777" hidden="1" x14ac:dyDescent="0.35"/>
    <row r="98778" hidden="1" x14ac:dyDescent="0.35"/>
    <row r="98779" hidden="1" x14ac:dyDescent="0.35"/>
    <row r="98780" hidden="1" x14ac:dyDescent="0.35"/>
    <row r="98781" hidden="1" x14ac:dyDescent="0.35"/>
    <row r="98782" hidden="1" x14ac:dyDescent="0.35"/>
    <row r="98783" hidden="1" x14ac:dyDescent="0.35"/>
    <row r="98784" hidden="1" x14ac:dyDescent="0.35"/>
    <row r="98785" hidden="1" x14ac:dyDescent="0.35"/>
    <row r="98786" hidden="1" x14ac:dyDescent="0.35"/>
    <row r="98787" hidden="1" x14ac:dyDescent="0.35"/>
    <row r="98788" hidden="1" x14ac:dyDescent="0.35"/>
    <row r="98789" hidden="1" x14ac:dyDescent="0.35"/>
    <row r="98790" hidden="1" x14ac:dyDescent="0.35"/>
    <row r="98791" hidden="1" x14ac:dyDescent="0.35"/>
    <row r="98792" hidden="1" x14ac:dyDescent="0.35"/>
    <row r="98793" hidden="1" x14ac:dyDescent="0.35"/>
    <row r="98794" hidden="1" x14ac:dyDescent="0.35"/>
    <row r="98795" hidden="1" x14ac:dyDescent="0.35"/>
    <row r="98796" hidden="1" x14ac:dyDescent="0.35"/>
    <row r="98797" hidden="1" x14ac:dyDescent="0.35"/>
    <row r="98798" hidden="1" x14ac:dyDescent="0.35"/>
    <row r="98799" hidden="1" x14ac:dyDescent="0.35"/>
    <row r="98800" hidden="1" x14ac:dyDescent="0.35"/>
    <row r="98801" hidden="1" x14ac:dyDescent="0.35"/>
    <row r="98802" hidden="1" x14ac:dyDescent="0.35"/>
    <row r="98803" hidden="1" x14ac:dyDescent="0.35"/>
    <row r="98804" hidden="1" x14ac:dyDescent="0.35"/>
    <row r="98805" hidden="1" x14ac:dyDescent="0.35"/>
    <row r="98806" hidden="1" x14ac:dyDescent="0.35"/>
    <row r="98807" hidden="1" x14ac:dyDescent="0.35"/>
    <row r="98808" hidden="1" x14ac:dyDescent="0.35"/>
    <row r="98809" hidden="1" x14ac:dyDescent="0.35"/>
    <row r="98810" hidden="1" x14ac:dyDescent="0.35"/>
    <row r="98811" hidden="1" x14ac:dyDescent="0.35"/>
    <row r="98812" hidden="1" x14ac:dyDescent="0.35"/>
    <row r="98813" hidden="1" x14ac:dyDescent="0.35"/>
    <row r="98814" hidden="1" x14ac:dyDescent="0.35"/>
    <row r="98815" hidden="1" x14ac:dyDescent="0.35"/>
    <row r="98816" hidden="1" x14ac:dyDescent="0.35"/>
    <row r="98817" hidden="1" x14ac:dyDescent="0.35"/>
    <row r="98818" hidden="1" x14ac:dyDescent="0.35"/>
    <row r="98819" hidden="1" x14ac:dyDescent="0.35"/>
    <row r="98820" hidden="1" x14ac:dyDescent="0.35"/>
    <row r="98821" hidden="1" x14ac:dyDescent="0.35"/>
    <row r="98822" hidden="1" x14ac:dyDescent="0.35"/>
    <row r="98823" hidden="1" x14ac:dyDescent="0.35"/>
    <row r="98824" hidden="1" x14ac:dyDescent="0.35"/>
    <row r="98825" hidden="1" x14ac:dyDescent="0.35"/>
    <row r="98826" hidden="1" x14ac:dyDescent="0.35"/>
    <row r="98827" hidden="1" x14ac:dyDescent="0.35"/>
    <row r="98828" hidden="1" x14ac:dyDescent="0.35"/>
    <row r="98829" hidden="1" x14ac:dyDescent="0.35"/>
    <row r="98830" hidden="1" x14ac:dyDescent="0.35"/>
    <row r="98831" hidden="1" x14ac:dyDescent="0.35"/>
    <row r="98832" hidden="1" x14ac:dyDescent="0.35"/>
    <row r="98833" hidden="1" x14ac:dyDescent="0.35"/>
    <row r="98834" hidden="1" x14ac:dyDescent="0.35"/>
    <row r="98835" hidden="1" x14ac:dyDescent="0.35"/>
    <row r="98836" hidden="1" x14ac:dyDescent="0.35"/>
    <row r="98837" hidden="1" x14ac:dyDescent="0.35"/>
    <row r="98838" hidden="1" x14ac:dyDescent="0.35"/>
    <row r="98839" hidden="1" x14ac:dyDescent="0.35"/>
    <row r="98840" hidden="1" x14ac:dyDescent="0.35"/>
    <row r="98841" hidden="1" x14ac:dyDescent="0.35"/>
    <row r="98842" hidden="1" x14ac:dyDescent="0.35"/>
    <row r="98843" hidden="1" x14ac:dyDescent="0.35"/>
    <row r="98844" hidden="1" x14ac:dyDescent="0.35"/>
    <row r="98845" hidden="1" x14ac:dyDescent="0.35"/>
    <row r="98846" hidden="1" x14ac:dyDescent="0.35"/>
    <row r="98847" hidden="1" x14ac:dyDescent="0.35"/>
    <row r="98848" hidden="1" x14ac:dyDescent="0.35"/>
    <row r="98849" hidden="1" x14ac:dyDescent="0.35"/>
    <row r="98850" hidden="1" x14ac:dyDescent="0.35"/>
    <row r="98851" hidden="1" x14ac:dyDescent="0.35"/>
    <row r="98852" hidden="1" x14ac:dyDescent="0.35"/>
    <row r="98853" hidden="1" x14ac:dyDescent="0.35"/>
    <row r="98854" hidden="1" x14ac:dyDescent="0.35"/>
    <row r="98855" hidden="1" x14ac:dyDescent="0.35"/>
    <row r="98856" hidden="1" x14ac:dyDescent="0.35"/>
    <row r="98857" hidden="1" x14ac:dyDescent="0.35"/>
    <row r="98858" hidden="1" x14ac:dyDescent="0.35"/>
    <row r="98859" hidden="1" x14ac:dyDescent="0.35"/>
    <row r="98860" hidden="1" x14ac:dyDescent="0.35"/>
    <row r="98861" hidden="1" x14ac:dyDescent="0.35"/>
    <row r="98862" hidden="1" x14ac:dyDescent="0.35"/>
    <row r="98863" hidden="1" x14ac:dyDescent="0.35"/>
    <row r="98864" hidden="1" x14ac:dyDescent="0.35"/>
    <row r="98865" hidden="1" x14ac:dyDescent="0.35"/>
    <row r="98866" hidden="1" x14ac:dyDescent="0.35"/>
    <row r="98867" hidden="1" x14ac:dyDescent="0.35"/>
    <row r="98868" hidden="1" x14ac:dyDescent="0.35"/>
    <row r="98869" hidden="1" x14ac:dyDescent="0.35"/>
    <row r="98870" hidden="1" x14ac:dyDescent="0.35"/>
    <row r="98871" hidden="1" x14ac:dyDescent="0.35"/>
    <row r="98872" hidden="1" x14ac:dyDescent="0.35"/>
    <row r="98873" hidden="1" x14ac:dyDescent="0.35"/>
    <row r="98874" hidden="1" x14ac:dyDescent="0.35"/>
    <row r="98875" hidden="1" x14ac:dyDescent="0.35"/>
    <row r="98876" hidden="1" x14ac:dyDescent="0.35"/>
    <row r="98877" hidden="1" x14ac:dyDescent="0.35"/>
    <row r="98878" hidden="1" x14ac:dyDescent="0.35"/>
    <row r="98879" hidden="1" x14ac:dyDescent="0.35"/>
    <row r="98880" hidden="1" x14ac:dyDescent="0.35"/>
    <row r="98881" hidden="1" x14ac:dyDescent="0.35"/>
    <row r="98882" hidden="1" x14ac:dyDescent="0.35"/>
    <row r="98883" hidden="1" x14ac:dyDescent="0.35"/>
    <row r="98884" hidden="1" x14ac:dyDescent="0.35"/>
    <row r="98885" hidden="1" x14ac:dyDescent="0.35"/>
    <row r="98886" hidden="1" x14ac:dyDescent="0.35"/>
    <row r="98887" hidden="1" x14ac:dyDescent="0.35"/>
    <row r="98888" hidden="1" x14ac:dyDescent="0.35"/>
    <row r="98889" hidden="1" x14ac:dyDescent="0.35"/>
    <row r="98890" hidden="1" x14ac:dyDescent="0.35"/>
    <row r="98891" hidden="1" x14ac:dyDescent="0.35"/>
    <row r="98892" hidden="1" x14ac:dyDescent="0.35"/>
    <row r="98893" hidden="1" x14ac:dyDescent="0.35"/>
    <row r="98894" hidden="1" x14ac:dyDescent="0.35"/>
    <row r="98895" hidden="1" x14ac:dyDescent="0.35"/>
    <row r="98896" hidden="1" x14ac:dyDescent="0.35"/>
    <row r="98897" hidden="1" x14ac:dyDescent="0.35"/>
    <row r="98898" hidden="1" x14ac:dyDescent="0.35"/>
    <row r="98899" hidden="1" x14ac:dyDescent="0.35"/>
    <row r="98900" hidden="1" x14ac:dyDescent="0.35"/>
    <row r="98901" hidden="1" x14ac:dyDescent="0.35"/>
    <row r="98902" hidden="1" x14ac:dyDescent="0.35"/>
    <row r="98903" hidden="1" x14ac:dyDescent="0.35"/>
    <row r="98904" hidden="1" x14ac:dyDescent="0.35"/>
    <row r="98905" hidden="1" x14ac:dyDescent="0.35"/>
    <row r="98906" hidden="1" x14ac:dyDescent="0.35"/>
    <row r="98907" hidden="1" x14ac:dyDescent="0.35"/>
    <row r="98908" hidden="1" x14ac:dyDescent="0.35"/>
    <row r="98909" hidden="1" x14ac:dyDescent="0.35"/>
    <row r="98910" hidden="1" x14ac:dyDescent="0.35"/>
    <row r="98911" hidden="1" x14ac:dyDescent="0.35"/>
    <row r="98912" hidden="1" x14ac:dyDescent="0.35"/>
    <row r="98913" hidden="1" x14ac:dyDescent="0.35"/>
    <row r="98914" hidden="1" x14ac:dyDescent="0.35"/>
    <row r="98915" hidden="1" x14ac:dyDescent="0.35"/>
    <row r="98916" hidden="1" x14ac:dyDescent="0.35"/>
    <row r="98917" hidden="1" x14ac:dyDescent="0.35"/>
    <row r="98918" hidden="1" x14ac:dyDescent="0.35"/>
    <row r="98919" hidden="1" x14ac:dyDescent="0.35"/>
    <row r="98920" hidden="1" x14ac:dyDescent="0.35"/>
    <row r="98921" hidden="1" x14ac:dyDescent="0.35"/>
    <row r="98922" hidden="1" x14ac:dyDescent="0.35"/>
    <row r="98923" hidden="1" x14ac:dyDescent="0.35"/>
    <row r="98924" hidden="1" x14ac:dyDescent="0.35"/>
    <row r="98925" hidden="1" x14ac:dyDescent="0.35"/>
    <row r="98926" hidden="1" x14ac:dyDescent="0.35"/>
    <row r="98927" hidden="1" x14ac:dyDescent="0.35"/>
    <row r="98928" hidden="1" x14ac:dyDescent="0.35"/>
    <row r="98929" hidden="1" x14ac:dyDescent="0.35"/>
    <row r="98930" hidden="1" x14ac:dyDescent="0.35"/>
    <row r="98931" hidden="1" x14ac:dyDescent="0.35"/>
    <row r="98932" hidden="1" x14ac:dyDescent="0.35"/>
    <row r="98933" hidden="1" x14ac:dyDescent="0.35"/>
    <row r="98934" hidden="1" x14ac:dyDescent="0.35"/>
    <row r="98935" hidden="1" x14ac:dyDescent="0.35"/>
    <row r="98936" hidden="1" x14ac:dyDescent="0.35"/>
    <row r="98937" hidden="1" x14ac:dyDescent="0.35"/>
    <row r="98938" hidden="1" x14ac:dyDescent="0.35"/>
    <row r="98939" hidden="1" x14ac:dyDescent="0.35"/>
    <row r="98940" hidden="1" x14ac:dyDescent="0.35"/>
    <row r="98941" hidden="1" x14ac:dyDescent="0.35"/>
    <row r="98942" hidden="1" x14ac:dyDescent="0.35"/>
    <row r="98943" hidden="1" x14ac:dyDescent="0.35"/>
    <row r="98944" hidden="1" x14ac:dyDescent="0.35"/>
    <row r="98945" hidden="1" x14ac:dyDescent="0.35"/>
    <row r="98946" hidden="1" x14ac:dyDescent="0.35"/>
    <row r="98947" hidden="1" x14ac:dyDescent="0.35"/>
    <row r="98948" hidden="1" x14ac:dyDescent="0.35"/>
    <row r="98949" hidden="1" x14ac:dyDescent="0.35"/>
    <row r="98950" hidden="1" x14ac:dyDescent="0.35"/>
    <row r="98951" hidden="1" x14ac:dyDescent="0.35"/>
    <row r="98952" hidden="1" x14ac:dyDescent="0.35"/>
    <row r="98953" hidden="1" x14ac:dyDescent="0.35"/>
    <row r="98954" hidden="1" x14ac:dyDescent="0.35"/>
    <row r="98955" hidden="1" x14ac:dyDescent="0.35"/>
    <row r="98956" hidden="1" x14ac:dyDescent="0.35"/>
    <row r="98957" hidden="1" x14ac:dyDescent="0.35"/>
    <row r="98958" hidden="1" x14ac:dyDescent="0.35"/>
    <row r="98959" hidden="1" x14ac:dyDescent="0.35"/>
    <row r="98960" hidden="1" x14ac:dyDescent="0.35"/>
    <row r="98961" hidden="1" x14ac:dyDescent="0.35"/>
    <row r="98962" hidden="1" x14ac:dyDescent="0.35"/>
    <row r="98963" hidden="1" x14ac:dyDescent="0.35"/>
    <row r="98964" hidden="1" x14ac:dyDescent="0.35"/>
    <row r="98965" hidden="1" x14ac:dyDescent="0.35"/>
    <row r="98966" hidden="1" x14ac:dyDescent="0.35"/>
    <row r="98967" hidden="1" x14ac:dyDescent="0.35"/>
    <row r="98968" hidden="1" x14ac:dyDescent="0.35"/>
    <row r="98969" hidden="1" x14ac:dyDescent="0.35"/>
    <row r="98970" hidden="1" x14ac:dyDescent="0.35"/>
    <row r="98971" hidden="1" x14ac:dyDescent="0.35"/>
    <row r="98972" hidden="1" x14ac:dyDescent="0.35"/>
    <row r="98973" hidden="1" x14ac:dyDescent="0.35"/>
    <row r="98974" hidden="1" x14ac:dyDescent="0.35"/>
    <row r="98975" hidden="1" x14ac:dyDescent="0.35"/>
    <row r="98976" hidden="1" x14ac:dyDescent="0.35"/>
    <row r="98977" hidden="1" x14ac:dyDescent="0.35"/>
    <row r="98978" hidden="1" x14ac:dyDescent="0.35"/>
    <row r="98979" hidden="1" x14ac:dyDescent="0.35"/>
    <row r="98980" hidden="1" x14ac:dyDescent="0.35"/>
    <row r="98981" hidden="1" x14ac:dyDescent="0.35"/>
    <row r="98982" hidden="1" x14ac:dyDescent="0.35"/>
    <row r="98983" hidden="1" x14ac:dyDescent="0.35"/>
    <row r="98984" hidden="1" x14ac:dyDescent="0.35"/>
    <row r="98985" hidden="1" x14ac:dyDescent="0.35"/>
    <row r="98986" hidden="1" x14ac:dyDescent="0.35"/>
    <row r="98987" hidden="1" x14ac:dyDescent="0.35"/>
    <row r="98988" hidden="1" x14ac:dyDescent="0.35"/>
    <row r="98989" hidden="1" x14ac:dyDescent="0.35"/>
    <row r="98990" hidden="1" x14ac:dyDescent="0.35"/>
    <row r="98991" hidden="1" x14ac:dyDescent="0.35"/>
    <row r="98992" hidden="1" x14ac:dyDescent="0.35"/>
    <row r="98993" hidden="1" x14ac:dyDescent="0.35"/>
    <row r="98994" hidden="1" x14ac:dyDescent="0.35"/>
    <row r="98995" hidden="1" x14ac:dyDescent="0.35"/>
    <row r="98996" hidden="1" x14ac:dyDescent="0.35"/>
    <row r="98997" hidden="1" x14ac:dyDescent="0.35"/>
    <row r="98998" hidden="1" x14ac:dyDescent="0.35"/>
    <row r="98999" hidden="1" x14ac:dyDescent="0.35"/>
    <row r="99000" hidden="1" x14ac:dyDescent="0.35"/>
    <row r="99001" hidden="1" x14ac:dyDescent="0.35"/>
    <row r="99002" hidden="1" x14ac:dyDescent="0.35"/>
    <row r="99003" hidden="1" x14ac:dyDescent="0.35"/>
    <row r="99004" hidden="1" x14ac:dyDescent="0.35"/>
    <row r="99005" hidden="1" x14ac:dyDescent="0.35"/>
    <row r="99006" hidden="1" x14ac:dyDescent="0.35"/>
    <row r="99007" hidden="1" x14ac:dyDescent="0.35"/>
    <row r="99008" hidden="1" x14ac:dyDescent="0.35"/>
    <row r="99009" hidden="1" x14ac:dyDescent="0.35"/>
    <row r="99010" hidden="1" x14ac:dyDescent="0.35"/>
    <row r="99011" hidden="1" x14ac:dyDescent="0.35"/>
    <row r="99012" hidden="1" x14ac:dyDescent="0.35"/>
    <row r="99013" hidden="1" x14ac:dyDescent="0.35"/>
    <row r="99014" hidden="1" x14ac:dyDescent="0.35"/>
    <row r="99015" hidden="1" x14ac:dyDescent="0.35"/>
    <row r="99016" hidden="1" x14ac:dyDescent="0.35"/>
    <row r="99017" hidden="1" x14ac:dyDescent="0.35"/>
    <row r="99018" hidden="1" x14ac:dyDescent="0.35"/>
    <row r="99019" hidden="1" x14ac:dyDescent="0.35"/>
    <row r="99020" hidden="1" x14ac:dyDescent="0.35"/>
    <row r="99021" hidden="1" x14ac:dyDescent="0.35"/>
    <row r="99022" hidden="1" x14ac:dyDescent="0.35"/>
    <row r="99023" hidden="1" x14ac:dyDescent="0.35"/>
    <row r="99024" hidden="1" x14ac:dyDescent="0.35"/>
    <row r="99025" hidden="1" x14ac:dyDescent="0.35"/>
    <row r="99026" hidden="1" x14ac:dyDescent="0.35"/>
    <row r="99027" hidden="1" x14ac:dyDescent="0.35"/>
    <row r="99028" hidden="1" x14ac:dyDescent="0.35"/>
    <row r="99029" hidden="1" x14ac:dyDescent="0.35"/>
    <row r="99030" hidden="1" x14ac:dyDescent="0.35"/>
    <row r="99031" hidden="1" x14ac:dyDescent="0.35"/>
    <row r="99032" hidden="1" x14ac:dyDescent="0.35"/>
    <row r="99033" hidden="1" x14ac:dyDescent="0.35"/>
    <row r="99034" hidden="1" x14ac:dyDescent="0.35"/>
    <row r="99035" hidden="1" x14ac:dyDescent="0.35"/>
    <row r="99036" hidden="1" x14ac:dyDescent="0.35"/>
    <row r="99037" hidden="1" x14ac:dyDescent="0.35"/>
    <row r="99038" hidden="1" x14ac:dyDescent="0.35"/>
    <row r="99039" hidden="1" x14ac:dyDescent="0.35"/>
    <row r="99040" hidden="1" x14ac:dyDescent="0.35"/>
    <row r="99041" hidden="1" x14ac:dyDescent="0.35"/>
    <row r="99042" hidden="1" x14ac:dyDescent="0.35"/>
    <row r="99043" hidden="1" x14ac:dyDescent="0.35"/>
    <row r="99044" hidden="1" x14ac:dyDescent="0.35"/>
    <row r="99045" hidden="1" x14ac:dyDescent="0.35"/>
    <row r="99046" hidden="1" x14ac:dyDescent="0.35"/>
    <row r="99047" hidden="1" x14ac:dyDescent="0.35"/>
    <row r="99048" hidden="1" x14ac:dyDescent="0.35"/>
    <row r="99049" hidden="1" x14ac:dyDescent="0.35"/>
    <row r="99050" hidden="1" x14ac:dyDescent="0.35"/>
    <row r="99051" hidden="1" x14ac:dyDescent="0.35"/>
    <row r="99052" hidden="1" x14ac:dyDescent="0.35"/>
    <row r="99053" hidden="1" x14ac:dyDescent="0.35"/>
    <row r="99054" hidden="1" x14ac:dyDescent="0.35"/>
    <row r="99055" hidden="1" x14ac:dyDescent="0.35"/>
    <row r="99056" hidden="1" x14ac:dyDescent="0.35"/>
    <row r="99057" hidden="1" x14ac:dyDescent="0.35"/>
    <row r="99058" hidden="1" x14ac:dyDescent="0.35"/>
    <row r="99059" hidden="1" x14ac:dyDescent="0.35"/>
    <row r="99060" hidden="1" x14ac:dyDescent="0.35"/>
    <row r="99061" hidden="1" x14ac:dyDescent="0.35"/>
    <row r="99062" hidden="1" x14ac:dyDescent="0.35"/>
    <row r="99063" hidden="1" x14ac:dyDescent="0.35"/>
    <row r="99064" hidden="1" x14ac:dyDescent="0.35"/>
    <row r="99065" hidden="1" x14ac:dyDescent="0.35"/>
    <row r="99066" hidden="1" x14ac:dyDescent="0.35"/>
    <row r="99067" hidden="1" x14ac:dyDescent="0.35"/>
    <row r="99068" hidden="1" x14ac:dyDescent="0.35"/>
    <row r="99069" hidden="1" x14ac:dyDescent="0.35"/>
    <row r="99070" hidden="1" x14ac:dyDescent="0.35"/>
    <row r="99071" hidden="1" x14ac:dyDescent="0.35"/>
    <row r="99072" hidden="1" x14ac:dyDescent="0.35"/>
    <row r="99073" hidden="1" x14ac:dyDescent="0.35"/>
    <row r="99074" hidden="1" x14ac:dyDescent="0.35"/>
    <row r="99075" hidden="1" x14ac:dyDescent="0.35"/>
    <row r="99076" hidden="1" x14ac:dyDescent="0.35"/>
    <row r="99077" hidden="1" x14ac:dyDescent="0.35"/>
    <row r="99078" hidden="1" x14ac:dyDescent="0.35"/>
    <row r="99079" hidden="1" x14ac:dyDescent="0.35"/>
    <row r="99080" hidden="1" x14ac:dyDescent="0.35"/>
    <row r="99081" hidden="1" x14ac:dyDescent="0.35"/>
    <row r="99082" hidden="1" x14ac:dyDescent="0.35"/>
    <row r="99083" hidden="1" x14ac:dyDescent="0.35"/>
    <row r="99084" hidden="1" x14ac:dyDescent="0.35"/>
    <row r="99085" hidden="1" x14ac:dyDescent="0.35"/>
    <row r="99086" hidden="1" x14ac:dyDescent="0.35"/>
    <row r="99087" hidden="1" x14ac:dyDescent="0.35"/>
    <row r="99088" hidden="1" x14ac:dyDescent="0.35"/>
    <row r="99089" hidden="1" x14ac:dyDescent="0.35"/>
    <row r="99090" hidden="1" x14ac:dyDescent="0.35"/>
    <row r="99091" hidden="1" x14ac:dyDescent="0.35"/>
    <row r="99092" hidden="1" x14ac:dyDescent="0.35"/>
    <row r="99093" hidden="1" x14ac:dyDescent="0.35"/>
    <row r="99094" hidden="1" x14ac:dyDescent="0.35"/>
    <row r="99095" hidden="1" x14ac:dyDescent="0.35"/>
    <row r="99096" hidden="1" x14ac:dyDescent="0.35"/>
    <row r="99097" hidden="1" x14ac:dyDescent="0.35"/>
    <row r="99098" hidden="1" x14ac:dyDescent="0.35"/>
    <row r="99099" hidden="1" x14ac:dyDescent="0.35"/>
    <row r="99100" hidden="1" x14ac:dyDescent="0.35"/>
    <row r="99101" hidden="1" x14ac:dyDescent="0.35"/>
    <row r="99102" hidden="1" x14ac:dyDescent="0.35"/>
    <row r="99103" hidden="1" x14ac:dyDescent="0.35"/>
    <row r="99104" hidden="1" x14ac:dyDescent="0.35"/>
    <row r="99105" hidden="1" x14ac:dyDescent="0.35"/>
    <row r="99106" hidden="1" x14ac:dyDescent="0.35"/>
    <row r="99107" hidden="1" x14ac:dyDescent="0.35"/>
    <row r="99108" hidden="1" x14ac:dyDescent="0.35"/>
    <row r="99109" hidden="1" x14ac:dyDescent="0.35"/>
    <row r="99110" hidden="1" x14ac:dyDescent="0.35"/>
    <row r="99111" hidden="1" x14ac:dyDescent="0.35"/>
    <row r="99112" hidden="1" x14ac:dyDescent="0.35"/>
    <row r="99113" hidden="1" x14ac:dyDescent="0.35"/>
    <row r="99114" hidden="1" x14ac:dyDescent="0.35"/>
    <row r="99115" hidden="1" x14ac:dyDescent="0.35"/>
    <row r="99116" hidden="1" x14ac:dyDescent="0.35"/>
    <row r="99117" hidden="1" x14ac:dyDescent="0.35"/>
    <row r="99118" hidden="1" x14ac:dyDescent="0.35"/>
    <row r="99119" hidden="1" x14ac:dyDescent="0.35"/>
    <row r="99120" hidden="1" x14ac:dyDescent="0.35"/>
    <row r="99121" hidden="1" x14ac:dyDescent="0.35"/>
    <row r="99122" hidden="1" x14ac:dyDescent="0.35"/>
    <row r="99123" hidden="1" x14ac:dyDescent="0.35"/>
    <row r="99124" hidden="1" x14ac:dyDescent="0.35"/>
    <row r="99125" hidden="1" x14ac:dyDescent="0.35"/>
    <row r="99126" hidden="1" x14ac:dyDescent="0.35"/>
    <row r="99127" hidden="1" x14ac:dyDescent="0.35"/>
    <row r="99128" hidden="1" x14ac:dyDescent="0.35"/>
    <row r="99129" hidden="1" x14ac:dyDescent="0.35"/>
    <row r="99130" hidden="1" x14ac:dyDescent="0.35"/>
    <row r="99131" hidden="1" x14ac:dyDescent="0.35"/>
    <row r="99132" hidden="1" x14ac:dyDescent="0.35"/>
    <row r="99133" hidden="1" x14ac:dyDescent="0.35"/>
    <row r="99134" hidden="1" x14ac:dyDescent="0.35"/>
    <row r="99135" hidden="1" x14ac:dyDescent="0.35"/>
    <row r="99136" hidden="1" x14ac:dyDescent="0.35"/>
    <row r="99137" hidden="1" x14ac:dyDescent="0.35"/>
    <row r="99138" hidden="1" x14ac:dyDescent="0.35"/>
    <row r="99139" hidden="1" x14ac:dyDescent="0.35"/>
    <row r="99140" hidden="1" x14ac:dyDescent="0.35"/>
    <row r="99141" hidden="1" x14ac:dyDescent="0.35"/>
    <row r="99142" hidden="1" x14ac:dyDescent="0.35"/>
    <row r="99143" hidden="1" x14ac:dyDescent="0.35"/>
    <row r="99144" hidden="1" x14ac:dyDescent="0.35"/>
    <row r="99145" hidden="1" x14ac:dyDescent="0.35"/>
    <row r="99146" hidden="1" x14ac:dyDescent="0.35"/>
    <row r="99147" hidden="1" x14ac:dyDescent="0.35"/>
    <row r="99148" hidden="1" x14ac:dyDescent="0.35"/>
    <row r="99149" hidden="1" x14ac:dyDescent="0.35"/>
    <row r="99150" hidden="1" x14ac:dyDescent="0.35"/>
    <row r="99151" hidden="1" x14ac:dyDescent="0.35"/>
    <row r="99152" hidden="1" x14ac:dyDescent="0.35"/>
    <row r="99153" hidden="1" x14ac:dyDescent="0.35"/>
    <row r="99154" hidden="1" x14ac:dyDescent="0.35"/>
    <row r="99155" hidden="1" x14ac:dyDescent="0.35"/>
    <row r="99156" hidden="1" x14ac:dyDescent="0.35"/>
    <row r="99157" hidden="1" x14ac:dyDescent="0.35"/>
    <row r="99158" hidden="1" x14ac:dyDescent="0.35"/>
    <row r="99159" hidden="1" x14ac:dyDescent="0.35"/>
    <row r="99160" hidden="1" x14ac:dyDescent="0.35"/>
    <row r="99161" hidden="1" x14ac:dyDescent="0.35"/>
    <row r="99162" hidden="1" x14ac:dyDescent="0.35"/>
    <row r="99163" hidden="1" x14ac:dyDescent="0.35"/>
    <row r="99164" hidden="1" x14ac:dyDescent="0.35"/>
    <row r="99165" hidden="1" x14ac:dyDescent="0.35"/>
    <row r="99166" hidden="1" x14ac:dyDescent="0.35"/>
    <row r="99167" hidden="1" x14ac:dyDescent="0.35"/>
    <row r="99168" hidden="1" x14ac:dyDescent="0.35"/>
    <row r="99169" hidden="1" x14ac:dyDescent="0.35"/>
    <row r="99170" hidden="1" x14ac:dyDescent="0.35"/>
    <row r="99171" hidden="1" x14ac:dyDescent="0.35"/>
    <row r="99172" hidden="1" x14ac:dyDescent="0.35"/>
    <row r="99173" hidden="1" x14ac:dyDescent="0.35"/>
    <row r="99174" hidden="1" x14ac:dyDescent="0.35"/>
    <row r="99175" hidden="1" x14ac:dyDescent="0.35"/>
    <row r="99176" hidden="1" x14ac:dyDescent="0.35"/>
    <row r="99177" hidden="1" x14ac:dyDescent="0.35"/>
    <row r="99178" hidden="1" x14ac:dyDescent="0.35"/>
    <row r="99179" hidden="1" x14ac:dyDescent="0.35"/>
    <row r="99180" hidden="1" x14ac:dyDescent="0.35"/>
    <row r="99181" hidden="1" x14ac:dyDescent="0.35"/>
    <row r="99182" hidden="1" x14ac:dyDescent="0.35"/>
    <row r="99183" hidden="1" x14ac:dyDescent="0.35"/>
    <row r="99184" hidden="1" x14ac:dyDescent="0.35"/>
    <row r="99185" hidden="1" x14ac:dyDescent="0.35"/>
    <row r="99186" hidden="1" x14ac:dyDescent="0.35"/>
    <row r="99187" hidden="1" x14ac:dyDescent="0.35"/>
    <row r="99188" hidden="1" x14ac:dyDescent="0.35"/>
    <row r="99189" hidden="1" x14ac:dyDescent="0.35"/>
    <row r="99190" hidden="1" x14ac:dyDescent="0.35"/>
    <row r="99191" hidden="1" x14ac:dyDescent="0.35"/>
    <row r="99192" hidden="1" x14ac:dyDescent="0.35"/>
    <row r="99193" hidden="1" x14ac:dyDescent="0.35"/>
    <row r="99194" hidden="1" x14ac:dyDescent="0.35"/>
    <row r="99195" hidden="1" x14ac:dyDescent="0.35"/>
    <row r="99196" hidden="1" x14ac:dyDescent="0.35"/>
    <row r="99197" hidden="1" x14ac:dyDescent="0.35"/>
    <row r="99198" hidden="1" x14ac:dyDescent="0.35"/>
    <row r="99199" hidden="1" x14ac:dyDescent="0.35"/>
    <row r="99200" hidden="1" x14ac:dyDescent="0.35"/>
    <row r="99201" hidden="1" x14ac:dyDescent="0.35"/>
    <row r="99202" hidden="1" x14ac:dyDescent="0.35"/>
    <row r="99203" hidden="1" x14ac:dyDescent="0.35"/>
    <row r="99204" hidden="1" x14ac:dyDescent="0.35"/>
    <row r="99205" hidden="1" x14ac:dyDescent="0.35"/>
    <row r="99206" hidden="1" x14ac:dyDescent="0.35"/>
    <row r="99207" hidden="1" x14ac:dyDescent="0.35"/>
    <row r="99208" hidden="1" x14ac:dyDescent="0.35"/>
    <row r="99209" hidden="1" x14ac:dyDescent="0.35"/>
    <row r="99210" hidden="1" x14ac:dyDescent="0.35"/>
    <row r="99211" hidden="1" x14ac:dyDescent="0.35"/>
    <row r="99212" hidden="1" x14ac:dyDescent="0.35"/>
    <row r="99213" hidden="1" x14ac:dyDescent="0.35"/>
    <row r="99214" hidden="1" x14ac:dyDescent="0.35"/>
    <row r="99215" hidden="1" x14ac:dyDescent="0.35"/>
    <row r="99216" hidden="1" x14ac:dyDescent="0.35"/>
    <row r="99217" hidden="1" x14ac:dyDescent="0.35"/>
    <row r="99218" hidden="1" x14ac:dyDescent="0.35"/>
    <row r="99219" hidden="1" x14ac:dyDescent="0.35"/>
    <row r="99220" hidden="1" x14ac:dyDescent="0.35"/>
    <row r="99221" hidden="1" x14ac:dyDescent="0.35"/>
    <row r="99222" hidden="1" x14ac:dyDescent="0.35"/>
    <row r="99223" hidden="1" x14ac:dyDescent="0.35"/>
    <row r="99224" hidden="1" x14ac:dyDescent="0.35"/>
    <row r="99225" hidden="1" x14ac:dyDescent="0.35"/>
    <row r="99226" hidden="1" x14ac:dyDescent="0.35"/>
    <row r="99227" hidden="1" x14ac:dyDescent="0.35"/>
    <row r="99228" hidden="1" x14ac:dyDescent="0.35"/>
    <row r="99229" hidden="1" x14ac:dyDescent="0.35"/>
    <row r="99230" hidden="1" x14ac:dyDescent="0.35"/>
    <row r="99231" hidden="1" x14ac:dyDescent="0.35"/>
    <row r="99232" hidden="1" x14ac:dyDescent="0.35"/>
    <row r="99233" hidden="1" x14ac:dyDescent="0.35"/>
    <row r="99234" hidden="1" x14ac:dyDescent="0.35"/>
    <row r="99235" hidden="1" x14ac:dyDescent="0.35"/>
    <row r="99236" hidden="1" x14ac:dyDescent="0.35"/>
    <row r="99237" hidden="1" x14ac:dyDescent="0.35"/>
    <row r="99238" hidden="1" x14ac:dyDescent="0.35"/>
    <row r="99239" hidden="1" x14ac:dyDescent="0.35"/>
    <row r="99240" hidden="1" x14ac:dyDescent="0.35"/>
    <row r="99241" hidden="1" x14ac:dyDescent="0.35"/>
    <row r="99242" hidden="1" x14ac:dyDescent="0.35"/>
    <row r="99243" hidden="1" x14ac:dyDescent="0.35"/>
    <row r="99244" hidden="1" x14ac:dyDescent="0.35"/>
    <row r="99245" hidden="1" x14ac:dyDescent="0.35"/>
    <row r="99246" hidden="1" x14ac:dyDescent="0.35"/>
    <row r="99247" hidden="1" x14ac:dyDescent="0.35"/>
    <row r="99248" hidden="1" x14ac:dyDescent="0.35"/>
    <row r="99249" hidden="1" x14ac:dyDescent="0.35"/>
    <row r="99250" hidden="1" x14ac:dyDescent="0.35"/>
    <row r="99251" hidden="1" x14ac:dyDescent="0.35"/>
    <row r="99252" hidden="1" x14ac:dyDescent="0.35"/>
    <row r="99253" hidden="1" x14ac:dyDescent="0.35"/>
    <row r="99254" hidden="1" x14ac:dyDescent="0.35"/>
    <row r="99255" hidden="1" x14ac:dyDescent="0.35"/>
    <row r="99256" hidden="1" x14ac:dyDescent="0.35"/>
    <row r="99257" hidden="1" x14ac:dyDescent="0.35"/>
    <row r="99258" hidden="1" x14ac:dyDescent="0.35"/>
    <row r="99259" hidden="1" x14ac:dyDescent="0.35"/>
    <row r="99260" hidden="1" x14ac:dyDescent="0.35"/>
    <row r="99261" hidden="1" x14ac:dyDescent="0.35"/>
    <row r="99262" hidden="1" x14ac:dyDescent="0.35"/>
    <row r="99263" hidden="1" x14ac:dyDescent="0.35"/>
    <row r="99264" hidden="1" x14ac:dyDescent="0.35"/>
    <row r="99265" hidden="1" x14ac:dyDescent="0.35"/>
    <row r="99266" hidden="1" x14ac:dyDescent="0.35"/>
    <row r="99267" hidden="1" x14ac:dyDescent="0.35"/>
    <row r="99268" hidden="1" x14ac:dyDescent="0.35"/>
    <row r="99269" hidden="1" x14ac:dyDescent="0.35"/>
    <row r="99270" hidden="1" x14ac:dyDescent="0.35"/>
    <row r="99271" hidden="1" x14ac:dyDescent="0.35"/>
    <row r="99272" hidden="1" x14ac:dyDescent="0.35"/>
    <row r="99273" hidden="1" x14ac:dyDescent="0.35"/>
    <row r="99274" hidden="1" x14ac:dyDescent="0.35"/>
    <row r="99275" hidden="1" x14ac:dyDescent="0.35"/>
    <row r="99276" hidden="1" x14ac:dyDescent="0.35"/>
    <row r="99277" hidden="1" x14ac:dyDescent="0.35"/>
    <row r="99278" hidden="1" x14ac:dyDescent="0.35"/>
    <row r="99279" hidden="1" x14ac:dyDescent="0.35"/>
    <row r="99280" hidden="1" x14ac:dyDescent="0.35"/>
    <row r="99281" hidden="1" x14ac:dyDescent="0.35"/>
    <row r="99282" hidden="1" x14ac:dyDescent="0.35"/>
    <row r="99283" hidden="1" x14ac:dyDescent="0.35"/>
    <row r="99284" hidden="1" x14ac:dyDescent="0.35"/>
    <row r="99285" hidden="1" x14ac:dyDescent="0.35"/>
    <row r="99286" hidden="1" x14ac:dyDescent="0.35"/>
    <row r="99287" hidden="1" x14ac:dyDescent="0.35"/>
    <row r="99288" hidden="1" x14ac:dyDescent="0.35"/>
    <row r="99289" hidden="1" x14ac:dyDescent="0.35"/>
    <row r="99290" hidden="1" x14ac:dyDescent="0.35"/>
    <row r="99291" hidden="1" x14ac:dyDescent="0.35"/>
    <row r="99292" hidden="1" x14ac:dyDescent="0.35"/>
    <row r="99293" hidden="1" x14ac:dyDescent="0.35"/>
    <row r="99294" hidden="1" x14ac:dyDescent="0.35"/>
    <row r="99295" hidden="1" x14ac:dyDescent="0.35"/>
    <row r="99296" hidden="1" x14ac:dyDescent="0.35"/>
    <row r="99297" hidden="1" x14ac:dyDescent="0.35"/>
    <row r="99298" hidden="1" x14ac:dyDescent="0.35"/>
    <row r="99299" hidden="1" x14ac:dyDescent="0.35"/>
    <row r="99300" hidden="1" x14ac:dyDescent="0.35"/>
    <row r="99301" hidden="1" x14ac:dyDescent="0.35"/>
    <row r="99302" hidden="1" x14ac:dyDescent="0.35"/>
    <row r="99303" hidden="1" x14ac:dyDescent="0.35"/>
    <row r="99304" hidden="1" x14ac:dyDescent="0.35"/>
    <row r="99305" hidden="1" x14ac:dyDescent="0.35"/>
    <row r="99306" hidden="1" x14ac:dyDescent="0.35"/>
    <row r="99307" hidden="1" x14ac:dyDescent="0.35"/>
    <row r="99308" hidden="1" x14ac:dyDescent="0.35"/>
    <row r="99309" hidden="1" x14ac:dyDescent="0.35"/>
    <row r="99310" hidden="1" x14ac:dyDescent="0.35"/>
    <row r="99311" hidden="1" x14ac:dyDescent="0.35"/>
    <row r="99312" hidden="1" x14ac:dyDescent="0.35"/>
    <row r="99313" hidden="1" x14ac:dyDescent="0.35"/>
    <row r="99314" hidden="1" x14ac:dyDescent="0.35"/>
    <row r="99315" hidden="1" x14ac:dyDescent="0.35"/>
    <row r="99316" hidden="1" x14ac:dyDescent="0.35"/>
    <row r="99317" hidden="1" x14ac:dyDescent="0.35"/>
    <row r="99318" hidden="1" x14ac:dyDescent="0.35"/>
    <row r="99319" hidden="1" x14ac:dyDescent="0.35"/>
    <row r="99320" hidden="1" x14ac:dyDescent="0.35"/>
    <row r="99321" hidden="1" x14ac:dyDescent="0.35"/>
    <row r="99322" hidden="1" x14ac:dyDescent="0.35"/>
    <row r="99323" hidden="1" x14ac:dyDescent="0.35"/>
    <row r="99324" hidden="1" x14ac:dyDescent="0.35"/>
    <row r="99325" hidden="1" x14ac:dyDescent="0.35"/>
    <row r="99326" hidden="1" x14ac:dyDescent="0.35"/>
    <row r="99327" hidden="1" x14ac:dyDescent="0.35"/>
    <row r="99328" hidden="1" x14ac:dyDescent="0.35"/>
    <row r="99329" hidden="1" x14ac:dyDescent="0.35"/>
    <row r="99330" hidden="1" x14ac:dyDescent="0.35"/>
    <row r="99331" hidden="1" x14ac:dyDescent="0.35"/>
    <row r="99332" hidden="1" x14ac:dyDescent="0.35"/>
    <row r="99333" hidden="1" x14ac:dyDescent="0.35"/>
    <row r="99334" hidden="1" x14ac:dyDescent="0.35"/>
    <row r="99335" hidden="1" x14ac:dyDescent="0.35"/>
    <row r="99336" hidden="1" x14ac:dyDescent="0.35"/>
    <row r="99337" hidden="1" x14ac:dyDescent="0.35"/>
    <row r="99338" hidden="1" x14ac:dyDescent="0.35"/>
    <row r="99339" hidden="1" x14ac:dyDescent="0.35"/>
    <row r="99340" hidden="1" x14ac:dyDescent="0.35"/>
    <row r="99341" hidden="1" x14ac:dyDescent="0.35"/>
    <row r="99342" hidden="1" x14ac:dyDescent="0.35"/>
    <row r="99343" hidden="1" x14ac:dyDescent="0.35"/>
    <row r="99344" hidden="1" x14ac:dyDescent="0.35"/>
    <row r="99345" hidden="1" x14ac:dyDescent="0.35"/>
    <row r="99346" hidden="1" x14ac:dyDescent="0.35"/>
    <row r="99347" hidden="1" x14ac:dyDescent="0.35"/>
    <row r="99348" hidden="1" x14ac:dyDescent="0.35"/>
    <row r="99349" hidden="1" x14ac:dyDescent="0.35"/>
    <row r="99350" hidden="1" x14ac:dyDescent="0.35"/>
    <row r="99351" hidden="1" x14ac:dyDescent="0.35"/>
    <row r="99352" hidden="1" x14ac:dyDescent="0.35"/>
    <row r="99353" hidden="1" x14ac:dyDescent="0.35"/>
    <row r="99354" hidden="1" x14ac:dyDescent="0.35"/>
    <row r="99355" hidden="1" x14ac:dyDescent="0.35"/>
    <row r="99356" hidden="1" x14ac:dyDescent="0.35"/>
    <row r="99357" hidden="1" x14ac:dyDescent="0.35"/>
    <row r="99358" hidden="1" x14ac:dyDescent="0.35"/>
    <row r="99359" hidden="1" x14ac:dyDescent="0.35"/>
    <row r="99360" hidden="1" x14ac:dyDescent="0.35"/>
    <row r="99361" hidden="1" x14ac:dyDescent="0.35"/>
    <row r="99362" hidden="1" x14ac:dyDescent="0.35"/>
    <row r="99363" hidden="1" x14ac:dyDescent="0.35"/>
    <row r="99364" hidden="1" x14ac:dyDescent="0.35"/>
    <row r="99365" hidden="1" x14ac:dyDescent="0.35"/>
    <row r="99366" hidden="1" x14ac:dyDescent="0.35"/>
    <row r="99367" hidden="1" x14ac:dyDescent="0.35"/>
    <row r="99368" hidden="1" x14ac:dyDescent="0.35"/>
    <row r="99369" hidden="1" x14ac:dyDescent="0.35"/>
    <row r="99370" hidden="1" x14ac:dyDescent="0.35"/>
    <row r="99371" hidden="1" x14ac:dyDescent="0.35"/>
    <row r="99372" hidden="1" x14ac:dyDescent="0.35"/>
    <row r="99373" hidden="1" x14ac:dyDescent="0.35"/>
    <row r="99374" hidden="1" x14ac:dyDescent="0.35"/>
    <row r="99375" hidden="1" x14ac:dyDescent="0.35"/>
    <row r="99376" hidden="1" x14ac:dyDescent="0.35"/>
    <row r="99377" hidden="1" x14ac:dyDescent="0.35"/>
    <row r="99378" hidden="1" x14ac:dyDescent="0.35"/>
    <row r="99379" hidden="1" x14ac:dyDescent="0.35"/>
    <row r="99380" hidden="1" x14ac:dyDescent="0.35"/>
    <row r="99381" hidden="1" x14ac:dyDescent="0.35"/>
    <row r="99382" hidden="1" x14ac:dyDescent="0.35"/>
    <row r="99383" hidden="1" x14ac:dyDescent="0.35"/>
    <row r="99384" hidden="1" x14ac:dyDescent="0.35"/>
    <row r="99385" hidden="1" x14ac:dyDescent="0.35"/>
    <row r="99386" hidden="1" x14ac:dyDescent="0.35"/>
    <row r="99387" hidden="1" x14ac:dyDescent="0.35"/>
    <row r="99388" hidden="1" x14ac:dyDescent="0.35"/>
    <row r="99389" hidden="1" x14ac:dyDescent="0.35"/>
    <row r="99390" hidden="1" x14ac:dyDescent="0.35"/>
    <row r="99391" hidden="1" x14ac:dyDescent="0.35"/>
    <row r="99392" hidden="1" x14ac:dyDescent="0.35"/>
    <row r="99393" hidden="1" x14ac:dyDescent="0.35"/>
    <row r="99394" hidden="1" x14ac:dyDescent="0.35"/>
    <row r="99395" hidden="1" x14ac:dyDescent="0.35"/>
    <row r="99396" hidden="1" x14ac:dyDescent="0.35"/>
    <row r="99397" hidden="1" x14ac:dyDescent="0.35"/>
    <row r="99398" hidden="1" x14ac:dyDescent="0.35"/>
    <row r="99399" hidden="1" x14ac:dyDescent="0.35"/>
    <row r="99400" hidden="1" x14ac:dyDescent="0.35"/>
    <row r="99401" hidden="1" x14ac:dyDescent="0.35"/>
    <row r="99402" hidden="1" x14ac:dyDescent="0.35"/>
    <row r="99403" hidden="1" x14ac:dyDescent="0.35"/>
    <row r="99404" hidden="1" x14ac:dyDescent="0.35"/>
    <row r="99405" hidden="1" x14ac:dyDescent="0.35"/>
    <row r="99406" hidden="1" x14ac:dyDescent="0.35"/>
    <row r="99407" hidden="1" x14ac:dyDescent="0.35"/>
    <row r="99408" hidden="1" x14ac:dyDescent="0.35"/>
    <row r="99409" hidden="1" x14ac:dyDescent="0.35"/>
    <row r="99410" hidden="1" x14ac:dyDescent="0.35"/>
    <row r="99411" hidden="1" x14ac:dyDescent="0.35"/>
    <row r="99412" hidden="1" x14ac:dyDescent="0.35"/>
    <row r="99413" hidden="1" x14ac:dyDescent="0.35"/>
    <row r="99414" hidden="1" x14ac:dyDescent="0.35"/>
    <row r="99415" hidden="1" x14ac:dyDescent="0.35"/>
    <row r="99416" hidden="1" x14ac:dyDescent="0.35"/>
    <row r="99417" hidden="1" x14ac:dyDescent="0.35"/>
    <row r="99418" hidden="1" x14ac:dyDescent="0.35"/>
    <row r="99419" hidden="1" x14ac:dyDescent="0.35"/>
    <row r="99420" hidden="1" x14ac:dyDescent="0.35"/>
    <row r="99421" hidden="1" x14ac:dyDescent="0.35"/>
    <row r="99422" hidden="1" x14ac:dyDescent="0.35"/>
    <row r="99423" hidden="1" x14ac:dyDescent="0.35"/>
    <row r="99424" hidden="1" x14ac:dyDescent="0.35"/>
    <row r="99425" hidden="1" x14ac:dyDescent="0.35"/>
    <row r="99426" hidden="1" x14ac:dyDescent="0.35"/>
    <row r="99427" hidden="1" x14ac:dyDescent="0.35"/>
    <row r="99428" hidden="1" x14ac:dyDescent="0.35"/>
    <row r="99429" hidden="1" x14ac:dyDescent="0.35"/>
    <row r="99430" hidden="1" x14ac:dyDescent="0.35"/>
    <row r="99431" hidden="1" x14ac:dyDescent="0.35"/>
    <row r="99432" hidden="1" x14ac:dyDescent="0.35"/>
    <row r="99433" hidden="1" x14ac:dyDescent="0.35"/>
    <row r="99434" hidden="1" x14ac:dyDescent="0.35"/>
    <row r="99435" hidden="1" x14ac:dyDescent="0.35"/>
    <row r="99436" hidden="1" x14ac:dyDescent="0.35"/>
    <row r="99437" hidden="1" x14ac:dyDescent="0.35"/>
    <row r="99438" hidden="1" x14ac:dyDescent="0.35"/>
    <row r="99439" hidden="1" x14ac:dyDescent="0.35"/>
    <row r="99440" hidden="1" x14ac:dyDescent="0.35"/>
    <row r="99441" hidden="1" x14ac:dyDescent="0.35"/>
    <row r="99442" hidden="1" x14ac:dyDescent="0.35"/>
    <row r="99443" hidden="1" x14ac:dyDescent="0.35"/>
    <row r="99444" hidden="1" x14ac:dyDescent="0.35"/>
    <row r="99445" hidden="1" x14ac:dyDescent="0.35"/>
    <row r="99446" hidden="1" x14ac:dyDescent="0.35"/>
    <row r="99447" hidden="1" x14ac:dyDescent="0.35"/>
    <row r="99448" hidden="1" x14ac:dyDescent="0.35"/>
    <row r="99449" hidden="1" x14ac:dyDescent="0.35"/>
    <row r="99450" hidden="1" x14ac:dyDescent="0.35"/>
    <row r="99451" hidden="1" x14ac:dyDescent="0.35"/>
    <row r="99452" hidden="1" x14ac:dyDescent="0.35"/>
    <row r="99453" hidden="1" x14ac:dyDescent="0.35"/>
    <row r="99454" hidden="1" x14ac:dyDescent="0.35"/>
    <row r="99455" hidden="1" x14ac:dyDescent="0.35"/>
    <row r="99456" hidden="1" x14ac:dyDescent="0.35"/>
    <row r="99457" hidden="1" x14ac:dyDescent="0.35"/>
    <row r="99458" hidden="1" x14ac:dyDescent="0.35"/>
    <row r="99459" hidden="1" x14ac:dyDescent="0.35"/>
    <row r="99460" hidden="1" x14ac:dyDescent="0.35"/>
    <row r="99461" hidden="1" x14ac:dyDescent="0.35"/>
    <row r="99462" hidden="1" x14ac:dyDescent="0.35"/>
    <row r="99463" hidden="1" x14ac:dyDescent="0.35"/>
    <row r="99464" hidden="1" x14ac:dyDescent="0.35"/>
    <row r="99465" hidden="1" x14ac:dyDescent="0.35"/>
    <row r="99466" hidden="1" x14ac:dyDescent="0.35"/>
    <row r="99467" hidden="1" x14ac:dyDescent="0.35"/>
    <row r="99468" hidden="1" x14ac:dyDescent="0.35"/>
    <row r="99469" hidden="1" x14ac:dyDescent="0.35"/>
    <row r="99470" hidden="1" x14ac:dyDescent="0.35"/>
    <row r="99471" hidden="1" x14ac:dyDescent="0.35"/>
    <row r="99472" hidden="1" x14ac:dyDescent="0.35"/>
    <row r="99473" hidden="1" x14ac:dyDescent="0.35"/>
    <row r="99474" hidden="1" x14ac:dyDescent="0.35"/>
    <row r="99475" hidden="1" x14ac:dyDescent="0.35"/>
    <row r="99476" hidden="1" x14ac:dyDescent="0.35"/>
    <row r="99477" hidden="1" x14ac:dyDescent="0.35"/>
    <row r="99478" hidden="1" x14ac:dyDescent="0.35"/>
    <row r="99479" hidden="1" x14ac:dyDescent="0.35"/>
    <row r="99480" hidden="1" x14ac:dyDescent="0.35"/>
    <row r="99481" hidden="1" x14ac:dyDescent="0.35"/>
    <row r="99482" hidden="1" x14ac:dyDescent="0.35"/>
    <row r="99483" hidden="1" x14ac:dyDescent="0.35"/>
    <row r="99484" hidden="1" x14ac:dyDescent="0.35"/>
    <row r="99485" hidden="1" x14ac:dyDescent="0.35"/>
    <row r="99486" hidden="1" x14ac:dyDescent="0.35"/>
    <row r="99487" hidden="1" x14ac:dyDescent="0.35"/>
    <row r="99488" hidden="1" x14ac:dyDescent="0.35"/>
    <row r="99489" hidden="1" x14ac:dyDescent="0.35"/>
    <row r="99490" hidden="1" x14ac:dyDescent="0.35"/>
    <row r="99491" hidden="1" x14ac:dyDescent="0.35"/>
    <row r="99492" hidden="1" x14ac:dyDescent="0.35"/>
    <row r="99493" hidden="1" x14ac:dyDescent="0.35"/>
    <row r="99494" hidden="1" x14ac:dyDescent="0.35"/>
    <row r="99495" hidden="1" x14ac:dyDescent="0.35"/>
    <row r="99496" hidden="1" x14ac:dyDescent="0.35"/>
    <row r="99497" hidden="1" x14ac:dyDescent="0.35"/>
    <row r="99498" hidden="1" x14ac:dyDescent="0.35"/>
    <row r="99499" hidden="1" x14ac:dyDescent="0.35"/>
    <row r="99500" hidden="1" x14ac:dyDescent="0.35"/>
    <row r="99501" hidden="1" x14ac:dyDescent="0.35"/>
    <row r="99502" hidden="1" x14ac:dyDescent="0.35"/>
    <row r="99503" hidden="1" x14ac:dyDescent="0.35"/>
    <row r="99504" hidden="1" x14ac:dyDescent="0.35"/>
    <row r="99505" hidden="1" x14ac:dyDescent="0.35"/>
    <row r="99506" hidden="1" x14ac:dyDescent="0.35"/>
    <row r="99507" hidden="1" x14ac:dyDescent="0.35"/>
    <row r="99508" hidden="1" x14ac:dyDescent="0.35"/>
    <row r="99509" hidden="1" x14ac:dyDescent="0.35"/>
    <row r="99510" hidden="1" x14ac:dyDescent="0.35"/>
    <row r="99511" hidden="1" x14ac:dyDescent="0.35"/>
    <row r="99512" hidden="1" x14ac:dyDescent="0.35"/>
    <row r="99513" hidden="1" x14ac:dyDescent="0.35"/>
    <row r="99514" hidden="1" x14ac:dyDescent="0.35"/>
    <row r="99515" hidden="1" x14ac:dyDescent="0.35"/>
    <row r="99516" hidden="1" x14ac:dyDescent="0.35"/>
    <row r="99517" hidden="1" x14ac:dyDescent="0.35"/>
    <row r="99518" hidden="1" x14ac:dyDescent="0.35"/>
    <row r="99519" hidden="1" x14ac:dyDescent="0.35"/>
    <row r="99520" hidden="1" x14ac:dyDescent="0.35"/>
    <row r="99521" hidden="1" x14ac:dyDescent="0.35"/>
    <row r="99522" hidden="1" x14ac:dyDescent="0.35"/>
    <row r="99523" hidden="1" x14ac:dyDescent="0.35"/>
    <row r="99524" hidden="1" x14ac:dyDescent="0.35"/>
    <row r="99525" hidden="1" x14ac:dyDescent="0.35"/>
    <row r="99526" hidden="1" x14ac:dyDescent="0.35"/>
    <row r="99527" hidden="1" x14ac:dyDescent="0.35"/>
    <row r="99528" hidden="1" x14ac:dyDescent="0.35"/>
    <row r="99529" hidden="1" x14ac:dyDescent="0.35"/>
    <row r="99530" hidden="1" x14ac:dyDescent="0.35"/>
    <row r="99531" hidden="1" x14ac:dyDescent="0.35"/>
    <row r="99532" hidden="1" x14ac:dyDescent="0.35"/>
    <row r="99533" hidden="1" x14ac:dyDescent="0.35"/>
    <row r="99534" hidden="1" x14ac:dyDescent="0.35"/>
    <row r="99535" hidden="1" x14ac:dyDescent="0.35"/>
    <row r="99536" hidden="1" x14ac:dyDescent="0.35"/>
    <row r="99537" hidden="1" x14ac:dyDescent="0.35"/>
    <row r="99538" hidden="1" x14ac:dyDescent="0.35"/>
    <row r="99539" hidden="1" x14ac:dyDescent="0.35"/>
    <row r="99540" hidden="1" x14ac:dyDescent="0.35"/>
    <row r="99541" hidden="1" x14ac:dyDescent="0.35"/>
    <row r="99542" hidden="1" x14ac:dyDescent="0.35"/>
    <row r="99543" hidden="1" x14ac:dyDescent="0.35"/>
    <row r="99544" hidden="1" x14ac:dyDescent="0.35"/>
    <row r="99545" hidden="1" x14ac:dyDescent="0.35"/>
    <row r="99546" hidden="1" x14ac:dyDescent="0.35"/>
    <row r="99547" hidden="1" x14ac:dyDescent="0.35"/>
    <row r="99548" hidden="1" x14ac:dyDescent="0.35"/>
    <row r="99549" hidden="1" x14ac:dyDescent="0.35"/>
    <row r="99550" hidden="1" x14ac:dyDescent="0.35"/>
    <row r="99551" hidden="1" x14ac:dyDescent="0.35"/>
    <row r="99552" hidden="1" x14ac:dyDescent="0.35"/>
    <row r="99553" hidden="1" x14ac:dyDescent="0.35"/>
    <row r="99554" hidden="1" x14ac:dyDescent="0.35"/>
    <row r="99555" hidden="1" x14ac:dyDescent="0.35"/>
    <row r="99556" hidden="1" x14ac:dyDescent="0.35"/>
    <row r="99557" hidden="1" x14ac:dyDescent="0.35"/>
    <row r="99558" hidden="1" x14ac:dyDescent="0.35"/>
    <row r="99559" hidden="1" x14ac:dyDescent="0.35"/>
    <row r="99560" hidden="1" x14ac:dyDescent="0.35"/>
    <row r="99561" hidden="1" x14ac:dyDescent="0.35"/>
    <row r="99562" hidden="1" x14ac:dyDescent="0.35"/>
    <row r="99563" hidden="1" x14ac:dyDescent="0.35"/>
    <row r="99564" hidden="1" x14ac:dyDescent="0.35"/>
    <row r="99565" hidden="1" x14ac:dyDescent="0.35"/>
    <row r="99566" hidden="1" x14ac:dyDescent="0.35"/>
    <row r="99567" hidden="1" x14ac:dyDescent="0.35"/>
    <row r="99568" hidden="1" x14ac:dyDescent="0.35"/>
    <row r="99569" hidden="1" x14ac:dyDescent="0.35"/>
    <row r="99570" hidden="1" x14ac:dyDescent="0.35"/>
    <row r="99571" hidden="1" x14ac:dyDescent="0.35"/>
    <row r="99572" hidden="1" x14ac:dyDescent="0.35"/>
    <row r="99573" hidden="1" x14ac:dyDescent="0.35"/>
    <row r="99574" hidden="1" x14ac:dyDescent="0.35"/>
    <row r="99575" hidden="1" x14ac:dyDescent="0.35"/>
    <row r="99576" hidden="1" x14ac:dyDescent="0.35"/>
    <row r="99577" hidden="1" x14ac:dyDescent="0.35"/>
    <row r="99578" hidden="1" x14ac:dyDescent="0.35"/>
    <row r="99579" hidden="1" x14ac:dyDescent="0.35"/>
    <row r="99580" hidden="1" x14ac:dyDescent="0.35"/>
    <row r="99581" hidden="1" x14ac:dyDescent="0.35"/>
    <row r="99582" hidden="1" x14ac:dyDescent="0.35"/>
    <row r="99583" hidden="1" x14ac:dyDescent="0.35"/>
    <row r="99584" hidden="1" x14ac:dyDescent="0.35"/>
    <row r="99585" hidden="1" x14ac:dyDescent="0.35"/>
    <row r="99586" hidden="1" x14ac:dyDescent="0.35"/>
    <row r="99587" hidden="1" x14ac:dyDescent="0.35"/>
    <row r="99588" hidden="1" x14ac:dyDescent="0.35"/>
    <row r="99589" hidden="1" x14ac:dyDescent="0.35"/>
    <row r="99590" hidden="1" x14ac:dyDescent="0.35"/>
    <row r="99591" hidden="1" x14ac:dyDescent="0.35"/>
    <row r="99592" hidden="1" x14ac:dyDescent="0.35"/>
    <row r="99593" hidden="1" x14ac:dyDescent="0.35"/>
    <row r="99594" hidden="1" x14ac:dyDescent="0.35"/>
    <row r="99595" hidden="1" x14ac:dyDescent="0.35"/>
    <row r="99596" hidden="1" x14ac:dyDescent="0.35"/>
    <row r="99597" hidden="1" x14ac:dyDescent="0.35"/>
    <row r="99598" hidden="1" x14ac:dyDescent="0.35"/>
    <row r="99599" hidden="1" x14ac:dyDescent="0.35"/>
    <row r="99600" hidden="1" x14ac:dyDescent="0.35"/>
    <row r="99601" hidden="1" x14ac:dyDescent="0.35"/>
    <row r="99602" hidden="1" x14ac:dyDescent="0.35"/>
    <row r="99603" hidden="1" x14ac:dyDescent="0.35"/>
    <row r="99604" hidden="1" x14ac:dyDescent="0.35"/>
    <row r="99605" hidden="1" x14ac:dyDescent="0.35"/>
    <row r="99606" hidden="1" x14ac:dyDescent="0.35"/>
    <row r="99607" hidden="1" x14ac:dyDescent="0.35"/>
    <row r="99608" hidden="1" x14ac:dyDescent="0.35"/>
    <row r="99609" hidden="1" x14ac:dyDescent="0.35"/>
    <row r="99610" hidden="1" x14ac:dyDescent="0.35"/>
    <row r="99611" hidden="1" x14ac:dyDescent="0.35"/>
    <row r="99612" hidden="1" x14ac:dyDescent="0.35"/>
    <row r="99613" hidden="1" x14ac:dyDescent="0.35"/>
    <row r="99614" hidden="1" x14ac:dyDescent="0.35"/>
    <row r="99615" hidden="1" x14ac:dyDescent="0.35"/>
    <row r="99616" hidden="1" x14ac:dyDescent="0.35"/>
    <row r="99617" hidden="1" x14ac:dyDescent="0.35"/>
    <row r="99618" hidden="1" x14ac:dyDescent="0.35"/>
    <row r="99619" hidden="1" x14ac:dyDescent="0.35"/>
    <row r="99620" hidden="1" x14ac:dyDescent="0.35"/>
    <row r="99621" hidden="1" x14ac:dyDescent="0.35"/>
    <row r="99622" hidden="1" x14ac:dyDescent="0.35"/>
    <row r="99623" hidden="1" x14ac:dyDescent="0.35"/>
    <row r="99624" hidden="1" x14ac:dyDescent="0.35"/>
    <row r="99625" hidden="1" x14ac:dyDescent="0.35"/>
    <row r="99626" hidden="1" x14ac:dyDescent="0.35"/>
    <row r="99627" hidden="1" x14ac:dyDescent="0.35"/>
    <row r="99628" hidden="1" x14ac:dyDescent="0.35"/>
    <row r="99629" hidden="1" x14ac:dyDescent="0.35"/>
    <row r="99630" hidden="1" x14ac:dyDescent="0.35"/>
    <row r="99631" hidden="1" x14ac:dyDescent="0.35"/>
    <row r="99632" hidden="1" x14ac:dyDescent="0.35"/>
    <row r="99633" hidden="1" x14ac:dyDescent="0.35"/>
    <row r="99634" hidden="1" x14ac:dyDescent="0.35"/>
    <row r="99635" hidden="1" x14ac:dyDescent="0.35"/>
    <row r="99636" hidden="1" x14ac:dyDescent="0.35"/>
    <row r="99637" hidden="1" x14ac:dyDescent="0.35"/>
    <row r="99638" hidden="1" x14ac:dyDescent="0.35"/>
    <row r="99639" hidden="1" x14ac:dyDescent="0.35"/>
    <row r="99640" hidden="1" x14ac:dyDescent="0.35"/>
    <row r="99641" hidden="1" x14ac:dyDescent="0.35"/>
    <row r="99642" hidden="1" x14ac:dyDescent="0.35"/>
    <row r="99643" hidden="1" x14ac:dyDescent="0.35"/>
    <row r="99644" hidden="1" x14ac:dyDescent="0.35"/>
    <row r="99645" hidden="1" x14ac:dyDescent="0.35"/>
    <row r="99646" hidden="1" x14ac:dyDescent="0.35"/>
    <row r="99647" hidden="1" x14ac:dyDescent="0.35"/>
    <row r="99648" hidden="1" x14ac:dyDescent="0.35"/>
    <row r="99649" hidden="1" x14ac:dyDescent="0.35"/>
    <row r="99650" hidden="1" x14ac:dyDescent="0.35"/>
    <row r="99651" hidden="1" x14ac:dyDescent="0.35"/>
    <row r="99652" hidden="1" x14ac:dyDescent="0.35"/>
    <row r="99653" hidden="1" x14ac:dyDescent="0.35"/>
    <row r="99654" hidden="1" x14ac:dyDescent="0.35"/>
    <row r="99655" hidden="1" x14ac:dyDescent="0.35"/>
    <row r="99656" hidden="1" x14ac:dyDescent="0.35"/>
    <row r="99657" hidden="1" x14ac:dyDescent="0.35"/>
    <row r="99658" hidden="1" x14ac:dyDescent="0.35"/>
    <row r="99659" hidden="1" x14ac:dyDescent="0.35"/>
    <row r="99660" hidden="1" x14ac:dyDescent="0.35"/>
    <row r="99661" hidden="1" x14ac:dyDescent="0.35"/>
    <row r="99662" hidden="1" x14ac:dyDescent="0.35"/>
    <row r="99663" hidden="1" x14ac:dyDescent="0.35"/>
    <row r="99664" hidden="1" x14ac:dyDescent="0.35"/>
    <row r="99665" hidden="1" x14ac:dyDescent="0.35"/>
    <row r="99666" hidden="1" x14ac:dyDescent="0.35"/>
    <row r="99667" hidden="1" x14ac:dyDescent="0.35"/>
    <row r="99668" hidden="1" x14ac:dyDescent="0.35"/>
    <row r="99669" hidden="1" x14ac:dyDescent="0.35"/>
    <row r="99670" hidden="1" x14ac:dyDescent="0.35"/>
    <row r="99671" hidden="1" x14ac:dyDescent="0.35"/>
    <row r="99672" hidden="1" x14ac:dyDescent="0.35"/>
    <row r="99673" hidden="1" x14ac:dyDescent="0.35"/>
    <row r="99674" hidden="1" x14ac:dyDescent="0.35"/>
    <row r="99675" hidden="1" x14ac:dyDescent="0.35"/>
    <row r="99676" hidden="1" x14ac:dyDescent="0.35"/>
    <row r="99677" hidden="1" x14ac:dyDescent="0.35"/>
    <row r="99678" hidden="1" x14ac:dyDescent="0.35"/>
    <row r="99679" hidden="1" x14ac:dyDescent="0.35"/>
    <row r="99680" hidden="1" x14ac:dyDescent="0.35"/>
    <row r="99681" hidden="1" x14ac:dyDescent="0.35"/>
    <row r="99682" hidden="1" x14ac:dyDescent="0.35"/>
    <row r="99683" hidden="1" x14ac:dyDescent="0.35"/>
    <row r="99684" hidden="1" x14ac:dyDescent="0.35"/>
    <row r="99685" hidden="1" x14ac:dyDescent="0.35"/>
    <row r="99686" hidden="1" x14ac:dyDescent="0.35"/>
    <row r="99687" hidden="1" x14ac:dyDescent="0.35"/>
    <row r="99688" hidden="1" x14ac:dyDescent="0.35"/>
    <row r="99689" hidden="1" x14ac:dyDescent="0.35"/>
    <row r="99690" hidden="1" x14ac:dyDescent="0.35"/>
    <row r="99691" hidden="1" x14ac:dyDescent="0.35"/>
    <row r="99692" hidden="1" x14ac:dyDescent="0.35"/>
    <row r="99693" hidden="1" x14ac:dyDescent="0.35"/>
    <row r="99694" hidden="1" x14ac:dyDescent="0.35"/>
    <row r="99695" hidden="1" x14ac:dyDescent="0.35"/>
    <row r="99696" hidden="1" x14ac:dyDescent="0.35"/>
    <row r="99697" hidden="1" x14ac:dyDescent="0.35"/>
    <row r="99698" hidden="1" x14ac:dyDescent="0.35"/>
    <row r="99699" hidden="1" x14ac:dyDescent="0.35"/>
    <row r="99700" hidden="1" x14ac:dyDescent="0.35"/>
    <row r="99701" hidden="1" x14ac:dyDescent="0.35"/>
    <row r="99702" hidden="1" x14ac:dyDescent="0.35"/>
    <row r="99703" hidden="1" x14ac:dyDescent="0.35"/>
    <row r="99704" hidden="1" x14ac:dyDescent="0.35"/>
    <row r="99705" hidden="1" x14ac:dyDescent="0.35"/>
    <row r="99706" hidden="1" x14ac:dyDescent="0.35"/>
    <row r="99707" hidden="1" x14ac:dyDescent="0.35"/>
    <row r="99708" hidden="1" x14ac:dyDescent="0.35"/>
    <row r="99709" hidden="1" x14ac:dyDescent="0.35"/>
    <row r="99710" hidden="1" x14ac:dyDescent="0.35"/>
    <row r="99711" hidden="1" x14ac:dyDescent="0.35"/>
    <row r="99712" hidden="1" x14ac:dyDescent="0.35"/>
    <row r="99713" hidden="1" x14ac:dyDescent="0.35"/>
    <row r="99714" hidden="1" x14ac:dyDescent="0.35"/>
    <row r="99715" hidden="1" x14ac:dyDescent="0.35"/>
    <row r="99716" hidden="1" x14ac:dyDescent="0.35"/>
    <row r="99717" hidden="1" x14ac:dyDescent="0.35"/>
    <row r="99718" hidden="1" x14ac:dyDescent="0.35"/>
    <row r="99719" hidden="1" x14ac:dyDescent="0.35"/>
    <row r="99720" hidden="1" x14ac:dyDescent="0.35"/>
    <row r="99721" hidden="1" x14ac:dyDescent="0.35"/>
    <row r="99722" hidden="1" x14ac:dyDescent="0.35"/>
    <row r="99723" hidden="1" x14ac:dyDescent="0.35"/>
    <row r="99724" hidden="1" x14ac:dyDescent="0.35"/>
    <row r="99725" hidden="1" x14ac:dyDescent="0.35"/>
    <row r="99726" hidden="1" x14ac:dyDescent="0.35"/>
    <row r="99727" hidden="1" x14ac:dyDescent="0.35"/>
    <row r="99728" hidden="1" x14ac:dyDescent="0.35"/>
    <row r="99729" hidden="1" x14ac:dyDescent="0.35"/>
    <row r="99730" hidden="1" x14ac:dyDescent="0.35"/>
    <row r="99731" hidden="1" x14ac:dyDescent="0.35"/>
    <row r="99732" hidden="1" x14ac:dyDescent="0.35"/>
    <row r="99733" hidden="1" x14ac:dyDescent="0.35"/>
    <row r="99734" hidden="1" x14ac:dyDescent="0.35"/>
    <row r="99735" hidden="1" x14ac:dyDescent="0.35"/>
    <row r="99736" hidden="1" x14ac:dyDescent="0.35"/>
    <row r="99737" hidden="1" x14ac:dyDescent="0.35"/>
    <row r="99738" hidden="1" x14ac:dyDescent="0.35"/>
    <row r="99739" hidden="1" x14ac:dyDescent="0.35"/>
    <row r="99740" hidden="1" x14ac:dyDescent="0.35"/>
    <row r="99741" hidden="1" x14ac:dyDescent="0.35"/>
    <row r="99742" hidden="1" x14ac:dyDescent="0.35"/>
    <row r="99743" hidden="1" x14ac:dyDescent="0.35"/>
    <row r="99744" hidden="1" x14ac:dyDescent="0.35"/>
    <row r="99745" hidden="1" x14ac:dyDescent="0.35"/>
    <row r="99746" hidden="1" x14ac:dyDescent="0.35"/>
    <row r="99747" hidden="1" x14ac:dyDescent="0.35"/>
    <row r="99748" hidden="1" x14ac:dyDescent="0.35"/>
    <row r="99749" hidden="1" x14ac:dyDescent="0.35"/>
    <row r="99750" hidden="1" x14ac:dyDescent="0.35"/>
    <row r="99751" hidden="1" x14ac:dyDescent="0.35"/>
    <row r="99752" hidden="1" x14ac:dyDescent="0.35"/>
    <row r="99753" hidden="1" x14ac:dyDescent="0.35"/>
    <row r="99754" hidden="1" x14ac:dyDescent="0.35"/>
    <row r="99755" hidden="1" x14ac:dyDescent="0.35"/>
    <row r="99756" hidden="1" x14ac:dyDescent="0.35"/>
    <row r="99757" hidden="1" x14ac:dyDescent="0.35"/>
    <row r="99758" hidden="1" x14ac:dyDescent="0.35"/>
    <row r="99759" hidden="1" x14ac:dyDescent="0.35"/>
    <row r="99760" hidden="1" x14ac:dyDescent="0.35"/>
    <row r="99761" hidden="1" x14ac:dyDescent="0.35"/>
    <row r="99762" hidden="1" x14ac:dyDescent="0.35"/>
    <row r="99763" hidden="1" x14ac:dyDescent="0.35"/>
    <row r="99764" hidden="1" x14ac:dyDescent="0.35"/>
    <row r="99765" hidden="1" x14ac:dyDescent="0.35"/>
    <row r="99766" hidden="1" x14ac:dyDescent="0.35"/>
    <row r="99767" hidden="1" x14ac:dyDescent="0.35"/>
    <row r="99768" hidden="1" x14ac:dyDescent="0.35"/>
    <row r="99769" hidden="1" x14ac:dyDescent="0.35"/>
    <row r="99770" hidden="1" x14ac:dyDescent="0.35"/>
    <row r="99771" hidden="1" x14ac:dyDescent="0.35"/>
    <row r="99772" hidden="1" x14ac:dyDescent="0.35"/>
    <row r="99773" hidden="1" x14ac:dyDescent="0.35"/>
    <row r="99774" hidden="1" x14ac:dyDescent="0.35"/>
    <row r="99775" hidden="1" x14ac:dyDescent="0.35"/>
    <row r="99776" hidden="1" x14ac:dyDescent="0.35"/>
    <row r="99777" hidden="1" x14ac:dyDescent="0.35"/>
    <row r="99778" hidden="1" x14ac:dyDescent="0.35"/>
    <row r="99779" hidden="1" x14ac:dyDescent="0.35"/>
    <row r="99780" hidden="1" x14ac:dyDescent="0.35"/>
    <row r="99781" hidden="1" x14ac:dyDescent="0.35"/>
    <row r="99782" hidden="1" x14ac:dyDescent="0.35"/>
    <row r="99783" hidden="1" x14ac:dyDescent="0.35"/>
    <row r="99784" hidden="1" x14ac:dyDescent="0.35"/>
    <row r="99785" hidden="1" x14ac:dyDescent="0.35"/>
    <row r="99786" hidden="1" x14ac:dyDescent="0.35"/>
    <row r="99787" hidden="1" x14ac:dyDescent="0.35"/>
    <row r="99788" hidden="1" x14ac:dyDescent="0.35"/>
    <row r="99789" hidden="1" x14ac:dyDescent="0.35"/>
    <row r="99790" hidden="1" x14ac:dyDescent="0.35"/>
    <row r="99791" hidden="1" x14ac:dyDescent="0.35"/>
    <row r="99792" hidden="1" x14ac:dyDescent="0.35"/>
    <row r="99793" hidden="1" x14ac:dyDescent="0.35"/>
    <row r="99794" hidden="1" x14ac:dyDescent="0.35"/>
    <row r="99795" hidden="1" x14ac:dyDescent="0.35"/>
    <row r="99796" hidden="1" x14ac:dyDescent="0.35"/>
    <row r="99797" hidden="1" x14ac:dyDescent="0.35"/>
    <row r="99798" hidden="1" x14ac:dyDescent="0.35"/>
    <row r="99799" hidden="1" x14ac:dyDescent="0.35"/>
    <row r="99800" hidden="1" x14ac:dyDescent="0.35"/>
    <row r="99801" hidden="1" x14ac:dyDescent="0.35"/>
    <row r="99802" hidden="1" x14ac:dyDescent="0.35"/>
    <row r="99803" hidden="1" x14ac:dyDescent="0.35"/>
    <row r="99804" hidden="1" x14ac:dyDescent="0.35"/>
    <row r="99805" hidden="1" x14ac:dyDescent="0.35"/>
    <row r="99806" hidden="1" x14ac:dyDescent="0.35"/>
    <row r="99807" hidden="1" x14ac:dyDescent="0.35"/>
    <row r="99808" hidden="1" x14ac:dyDescent="0.35"/>
    <row r="99809" hidden="1" x14ac:dyDescent="0.35"/>
    <row r="99810" hidden="1" x14ac:dyDescent="0.35"/>
    <row r="99811" hidden="1" x14ac:dyDescent="0.35"/>
    <row r="99812" hidden="1" x14ac:dyDescent="0.35"/>
    <row r="99813" hidden="1" x14ac:dyDescent="0.35"/>
    <row r="99814" hidden="1" x14ac:dyDescent="0.35"/>
    <row r="99815" hidden="1" x14ac:dyDescent="0.35"/>
    <row r="99816" hidden="1" x14ac:dyDescent="0.35"/>
    <row r="99817" hidden="1" x14ac:dyDescent="0.35"/>
    <row r="99818" hidden="1" x14ac:dyDescent="0.35"/>
    <row r="99819" hidden="1" x14ac:dyDescent="0.35"/>
    <row r="99820" hidden="1" x14ac:dyDescent="0.35"/>
    <row r="99821" hidden="1" x14ac:dyDescent="0.35"/>
    <row r="99822" hidden="1" x14ac:dyDescent="0.35"/>
    <row r="99823" hidden="1" x14ac:dyDescent="0.35"/>
    <row r="99824" hidden="1" x14ac:dyDescent="0.35"/>
    <row r="99825" hidden="1" x14ac:dyDescent="0.35"/>
    <row r="99826" hidden="1" x14ac:dyDescent="0.35"/>
    <row r="99827" hidden="1" x14ac:dyDescent="0.35"/>
    <row r="99828" hidden="1" x14ac:dyDescent="0.35"/>
    <row r="99829" hidden="1" x14ac:dyDescent="0.35"/>
    <row r="99830" hidden="1" x14ac:dyDescent="0.35"/>
    <row r="99831" hidden="1" x14ac:dyDescent="0.35"/>
    <row r="99832" hidden="1" x14ac:dyDescent="0.35"/>
    <row r="99833" hidden="1" x14ac:dyDescent="0.35"/>
    <row r="99834" hidden="1" x14ac:dyDescent="0.35"/>
    <row r="99835" hidden="1" x14ac:dyDescent="0.35"/>
    <row r="99836" hidden="1" x14ac:dyDescent="0.35"/>
    <row r="99837" hidden="1" x14ac:dyDescent="0.35"/>
    <row r="99838" hidden="1" x14ac:dyDescent="0.35"/>
    <row r="99839" hidden="1" x14ac:dyDescent="0.35"/>
    <row r="99840" hidden="1" x14ac:dyDescent="0.35"/>
    <row r="99841" hidden="1" x14ac:dyDescent="0.35"/>
    <row r="99842" hidden="1" x14ac:dyDescent="0.35"/>
    <row r="99843" hidden="1" x14ac:dyDescent="0.35"/>
    <row r="99844" hidden="1" x14ac:dyDescent="0.35"/>
    <row r="99845" hidden="1" x14ac:dyDescent="0.35"/>
    <row r="99846" hidden="1" x14ac:dyDescent="0.35"/>
    <row r="99847" hidden="1" x14ac:dyDescent="0.35"/>
    <row r="99848" hidden="1" x14ac:dyDescent="0.35"/>
    <row r="99849" hidden="1" x14ac:dyDescent="0.35"/>
    <row r="99850" hidden="1" x14ac:dyDescent="0.35"/>
    <row r="99851" hidden="1" x14ac:dyDescent="0.35"/>
    <row r="99852" hidden="1" x14ac:dyDescent="0.35"/>
    <row r="99853" hidden="1" x14ac:dyDescent="0.35"/>
    <row r="99854" hidden="1" x14ac:dyDescent="0.35"/>
    <row r="99855" hidden="1" x14ac:dyDescent="0.35"/>
    <row r="99856" hidden="1" x14ac:dyDescent="0.35"/>
    <row r="99857" hidden="1" x14ac:dyDescent="0.35"/>
    <row r="99858" hidden="1" x14ac:dyDescent="0.35"/>
    <row r="99859" hidden="1" x14ac:dyDescent="0.35"/>
    <row r="99860" hidden="1" x14ac:dyDescent="0.35"/>
    <row r="99861" hidden="1" x14ac:dyDescent="0.35"/>
    <row r="99862" hidden="1" x14ac:dyDescent="0.35"/>
    <row r="99863" hidden="1" x14ac:dyDescent="0.35"/>
    <row r="99864" hidden="1" x14ac:dyDescent="0.35"/>
    <row r="99865" hidden="1" x14ac:dyDescent="0.35"/>
    <row r="99866" hidden="1" x14ac:dyDescent="0.35"/>
    <row r="99867" hidden="1" x14ac:dyDescent="0.35"/>
    <row r="99868" hidden="1" x14ac:dyDescent="0.35"/>
    <row r="99869" hidden="1" x14ac:dyDescent="0.35"/>
    <row r="99870" hidden="1" x14ac:dyDescent="0.35"/>
    <row r="99871" hidden="1" x14ac:dyDescent="0.35"/>
    <row r="99872" hidden="1" x14ac:dyDescent="0.35"/>
    <row r="99873" hidden="1" x14ac:dyDescent="0.35"/>
    <row r="99874" hidden="1" x14ac:dyDescent="0.35"/>
    <row r="99875" hidden="1" x14ac:dyDescent="0.35"/>
    <row r="99876" hidden="1" x14ac:dyDescent="0.35"/>
    <row r="99877" hidden="1" x14ac:dyDescent="0.35"/>
    <row r="99878" hidden="1" x14ac:dyDescent="0.35"/>
    <row r="99879" hidden="1" x14ac:dyDescent="0.35"/>
    <row r="99880" hidden="1" x14ac:dyDescent="0.35"/>
    <row r="99881" hidden="1" x14ac:dyDescent="0.35"/>
    <row r="99882" hidden="1" x14ac:dyDescent="0.35"/>
    <row r="99883" hidden="1" x14ac:dyDescent="0.35"/>
    <row r="99884" hidden="1" x14ac:dyDescent="0.35"/>
    <row r="99885" hidden="1" x14ac:dyDescent="0.35"/>
    <row r="99886" hidden="1" x14ac:dyDescent="0.35"/>
    <row r="99887" hidden="1" x14ac:dyDescent="0.35"/>
    <row r="99888" hidden="1" x14ac:dyDescent="0.35"/>
    <row r="99889" hidden="1" x14ac:dyDescent="0.35"/>
    <row r="99890" hidden="1" x14ac:dyDescent="0.35"/>
    <row r="99891" hidden="1" x14ac:dyDescent="0.35"/>
    <row r="99892" hidden="1" x14ac:dyDescent="0.35"/>
    <row r="99893" hidden="1" x14ac:dyDescent="0.35"/>
    <row r="99894" hidden="1" x14ac:dyDescent="0.35"/>
    <row r="99895" hidden="1" x14ac:dyDescent="0.35"/>
    <row r="99896" hidden="1" x14ac:dyDescent="0.35"/>
    <row r="99897" hidden="1" x14ac:dyDescent="0.35"/>
    <row r="99898" hidden="1" x14ac:dyDescent="0.35"/>
    <row r="99899" hidden="1" x14ac:dyDescent="0.35"/>
    <row r="99900" hidden="1" x14ac:dyDescent="0.35"/>
    <row r="99901" hidden="1" x14ac:dyDescent="0.35"/>
    <row r="99902" hidden="1" x14ac:dyDescent="0.35"/>
    <row r="99903" hidden="1" x14ac:dyDescent="0.35"/>
    <row r="99904" hidden="1" x14ac:dyDescent="0.35"/>
    <row r="99905" hidden="1" x14ac:dyDescent="0.35"/>
    <row r="99906" hidden="1" x14ac:dyDescent="0.35"/>
    <row r="99907" hidden="1" x14ac:dyDescent="0.35"/>
    <row r="99908" hidden="1" x14ac:dyDescent="0.35"/>
    <row r="99909" hidden="1" x14ac:dyDescent="0.35"/>
    <row r="99910" hidden="1" x14ac:dyDescent="0.35"/>
    <row r="99911" hidden="1" x14ac:dyDescent="0.35"/>
    <row r="99912" hidden="1" x14ac:dyDescent="0.35"/>
    <row r="99913" hidden="1" x14ac:dyDescent="0.35"/>
    <row r="99914" hidden="1" x14ac:dyDescent="0.35"/>
    <row r="99915" hidden="1" x14ac:dyDescent="0.35"/>
    <row r="99916" hidden="1" x14ac:dyDescent="0.35"/>
    <row r="99917" hidden="1" x14ac:dyDescent="0.35"/>
    <row r="99918" hidden="1" x14ac:dyDescent="0.35"/>
    <row r="99919" hidden="1" x14ac:dyDescent="0.35"/>
    <row r="99920" hidden="1" x14ac:dyDescent="0.35"/>
    <row r="99921" hidden="1" x14ac:dyDescent="0.35"/>
    <row r="99922" hidden="1" x14ac:dyDescent="0.35"/>
    <row r="99923" hidden="1" x14ac:dyDescent="0.35"/>
    <row r="99924" hidden="1" x14ac:dyDescent="0.35"/>
    <row r="99925" hidden="1" x14ac:dyDescent="0.35"/>
    <row r="99926" hidden="1" x14ac:dyDescent="0.35"/>
    <row r="99927" hidden="1" x14ac:dyDescent="0.35"/>
    <row r="99928" hidden="1" x14ac:dyDescent="0.35"/>
    <row r="99929" hidden="1" x14ac:dyDescent="0.35"/>
    <row r="99930" hidden="1" x14ac:dyDescent="0.35"/>
    <row r="99931" hidden="1" x14ac:dyDescent="0.35"/>
    <row r="99932" hidden="1" x14ac:dyDescent="0.35"/>
    <row r="99933" hidden="1" x14ac:dyDescent="0.35"/>
    <row r="99934" hidden="1" x14ac:dyDescent="0.35"/>
    <row r="99935" hidden="1" x14ac:dyDescent="0.35"/>
    <row r="99936" hidden="1" x14ac:dyDescent="0.35"/>
    <row r="99937" hidden="1" x14ac:dyDescent="0.35"/>
    <row r="99938" hidden="1" x14ac:dyDescent="0.35"/>
    <row r="99939" hidden="1" x14ac:dyDescent="0.35"/>
    <row r="99940" hidden="1" x14ac:dyDescent="0.35"/>
    <row r="99941" hidden="1" x14ac:dyDescent="0.35"/>
    <row r="99942" hidden="1" x14ac:dyDescent="0.35"/>
    <row r="99943" hidden="1" x14ac:dyDescent="0.35"/>
    <row r="99944" hidden="1" x14ac:dyDescent="0.35"/>
    <row r="99945" hidden="1" x14ac:dyDescent="0.35"/>
    <row r="99946" hidden="1" x14ac:dyDescent="0.35"/>
    <row r="99947" hidden="1" x14ac:dyDescent="0.35"/>
    <row r="99948" hidden="1" x14ac:dyDescent="0.35"/>
    <row r="99949" hidden="1" x14ac:dyDescent="0.35"/>
    <row r="99950" hidden="1" x14ac:dyDescent="0.35"/>
    <row r="99951" hidden="1" x14ac:dyDescent="0.35"/>
    <row r="99952" hidden="1" x14ac:dyDescent="0.35"/>
    <row r="99953" hidden="1" x14ac:dyDescent="0.35"/>
    <row r="99954" hidden="1" x14ac:dyDescent="0.35"/>
    <row r="99955" hidden="1" x14ac:dyDescent="0.35"/>
    <row r="99956" hidden="1" x14ac:dyDescent="0.35"/>
    <row r="99957" hidden="1" x14ac:dyDescent="0.35"/>
    <row r="99958" hidden="1" x14ac:dyDescent="0.35"/>
    <row r="99959" hidden="1" x14ac:dyDescent="0.35"/>
    <row r="99960" hidden="1" x14ac:dyDescent="0.35"/>
    <row r="99961" hidden="1" x14ac:dyDescent="0.35"/>
    <row r="99962" hidden="1" x14ac:dyDescent="0.35"/>
    <row r="99963" hidden="1" x14ac:dyDescent="0.35"/>
    <row r="99964" hidden="1" x14ac:dyDescent="0.35"/>
    <row r="99965" hidden="1" x14ac:dyDescent="0.35"/>
    <row r="99966" hidden="1" x14ac:dyDescent="0.35"/>
    <row r="99967" hidden="1" x14ac:dyDescent="0.35"/>
    <row r="99968" hidden="1" x14ac:dyDescent="0.35"/>
    <row r="99969" hidden="1" x14ac:dyDescent="0.35"/>
    <row r="99970" hidden="1" x14ac:dyDescent="0.35"/>
    <row r="99971" hidden="1" x14ac:dyDescent="0.35"/>
    <row r="99972" hidden="1" x14ac:dyDescent="0.35"/>
    <row r="99973" hidden="1" x14ac:dyDescent="0.35"/>
    <row r="99974" hidden="1" x14ac:dyDescent="0.35"/>
    <row r="99975" hidden="1" x14ac:dyDescent="0.35"/>
    <row r="99976" hidden="1" x14ac:dyDescent="0.35"/>
    <row r="99977" hidden="1" x14ac:dyDescent="0.35"/>
    <row r="99978" hidden="1" x14ac:dyDescent="0.35"/>
    <row r="99979" hidden="1" x14ac:dyDescent="0.35"/>
    <row r="99980" hidden="1" x14ac:dyDescent="0.35"/>
    <row r="99981" hidden="1" x14ac:dyDescent="0.35"/>
    <row r="99982" hidden="1" x14ac:dyDescent="0.35"/>
    <row r="99983" hidden="1" x14ac:dyDescent="0.35"/>
    <row r="99984" hidden="1" x14ac:dyDescent="0.35"/>
    <row r="99985" hidden="1" x14ac:dyDescent="0.35"/>
    <row r="99986" hidden="1" x14ac:dyDescent="0.35"/>
    <row r="99987" hidden="1" x14ac:dyDescent="0.35"/>
    <row r="99988" hidden="1" x14ac:dyDescent="0.35"/>
    <row r="99989" hidden="1" x14ac:dyDescent="0.35"/>
    <row r="99990" hidden="1" x14ac:dyDescent="0.35"/>
    <row r="99991" hidden="1" x14ac:dyDescent="0.35"/>
    <row r="99992" hidden="1" x14ac:dyDescent="0.35"/>
    <row r="99993" hidden="1" x14ac:dyDescent="0.35"/>
    <row r="99994" hidden="1" x14ac:dyDescent="0.35"/>
    <row r="99995" hidden="1" x14ac:dyDescent="0.35"/>
    <row r="99996" hidden="1" x14ac:dyDescent="0.35"/>
    <row r="99997" hidden="1" x14ac:dyDescent="0.35"/>
    <row r="99998" hidden="1" x14ac:dyDescent="0.35"/>
    <row r="99999" hidden="1" x14ac:dyDescent="0.35"/>
    <row r="100000" hidden="1" x14ac:dyDescent="0.35"/>
    <row r="100001" hidden="1" x14ac:dyDescent="0.35"/>
    <row r="100002" hidden="1" x14ac:dyDescent="0.35"/>
    <row r="100003" hidden="1" x14ac:dyDescent="0.35"/>
    <row r="100004" hidden="1" x14ac:dyDescent="0.35"/>
    <row r="100005" hidden="1" x14ac:dyDescent="0.35"/>
    <row r="100006" hidden="1" x14ac:dyDescent="0.35"/>
    <row r="100007" hidden="1" x14ac:dyDescent="0.35"/>
    <row r="100008" hidden="1" x14ac:dyDescent="0.35"/>
    <row r="100009" hidden="1" x14ac:dyDescent="0.35"/>
    <row r="100010" hidden="1" x14ac:dyDescent="0.35"/>
    <row r="100011" hidden="1" x14ac:dyDescent="0.35"/>
    <row r="100012" hidden="1" x14ac:dyDescent="0.35"/>
    <row r="100013" hidden="1" x14ac:dyDescent="0.35"/>
    <row r="100014" hidden="1" x14ac:dyDescent="0.35"/>
    <row r="100015" hidden="1" x14ac:dyDescent="0.35"/>
    <row r="100016" hidden="1" x14ac:dyDescent="0.35"/>
    <row r="100017" hidden="1" x14ac:dyDescent="0.35"/>
    <row r="100018" hidden="1" x14ac:dyDescent="0.35"/>
    <row r="100019" hidden="1" x14ac:dyDescent="0.35"/>
    <row r="100020" hidden="1" x14ac:dyDescent="0.35"/>
    <row r="100021" hidden="1" x14ac:dyDescent="0.35"/>
    <row r="100022" hidden="1" x14ac:dyDescent="0.35"/>
    <row r="100023" hidden="1" x14ac:dyDescent="0.35"/>
    <row r="100024" hidden="1" x14ac:dyDescent="0.35"/>
    <row r="100025" hidden="1" x14ac:dyDescent="0.35"/>
    <row r="100026" hidden="1" x14ac:dyDescent="0.35"/>
    <row r="100027" hidden="1" x14ac:dyDescent="0.35"/>
    <row r="100028" hidden="1" x14ac:dyDescent="0.35"/>
    <row r="100029" hidden="1" x14ac:dyDescent="0.35"/>
    <row r="100030" hidden="1" x14ac:dyDescent="0.35"/>
    <row r="100031" hidden="1" x14ac:dyDescent="0.35"/>
    <row r="100032" hidden="1" x14ac:dyDescent="0.35"/>
    <row r="100033" hidden="1" x14ac:dyDescent="0.35"/>
    <row r="100034" hidden="1" x14ac:dyDescent="0.35"/>
    <row r="100035" hidden="1" x14ac:dyDescent="0.35"/>
    <row r="100036" hidden="1" x14ac:dyDescent="0.35"/>
    <row r="100037" hidden="1" x14ac:dyDescent="0.35"/>
    <row r="100038" hidden="1" x14ac:dyDescent="0.35"/>
    <row r="100039" hidden="1" x14ac:dyDescent="0.35"/>
    <row r="100040" hidden="1" x14ac:dyDescent="0.35"/>
    <row r="100041" hidden="1" x14ac:dyDescent="0.35"/>
    <row r="100042" hidden="1" x14ac:dyDescent="0.35"/>
    <row r="100043" hidden="1" x14ac:dyDescent="0.35"/>
    <row r="100044" hidden="1" x14ac:dyDescent="0.35"/>
    <row r="100045" hidden="1" x14ac:dyDescent="0.35"/>
    <row r="100046" hidden="1" x14ac:dyDescent="0.35"/>
    <row r="100047" hidden="1" x14ac:dyDescent="0.35"/>
    <row r="100048" hidden="1" x14ac:dyDescent="0.35"/>
    <row r="100049" hidden="1" x14ac:dyDescent="0.35"/>
    <row r="100050" hidden="1" x14ac:dyDescent="0.35"/>
    <row r="100051" hidden="1" x14ac:dyDescent="0.35"/>
    <row r="100052" hidden="1" x14ac:dyDescent="0.35"/>
    <row r="100053" hidden="1" x14ac:dyDescent="0.35"/>
    <row r="100054" hidden="1" x14ac:dyDescent="0.35"/>
    <row r="100055" hidden="1" x14ac:dyDescent="0.35"/>
    <row r="100056" hidden="1" x14ac:dyDescent="0.35"/>
    <row r="100057" hidden="1" x14ac:dyDescent="0.35"/>
    <row r="100058" hidden="1" x14ac:dyDescent="0.35"/>
    <row r="100059" hidden="1" x14ac:dyDescent="0.35"/>
    <row r="100060" hidden="1" x14ac:dyDescent="0.35"/>
    <row r="100061" hidden="1" x14ac:dyDescent="0.35"/>
    <row r="100062" hidden="1" x14ac:dyDescent="0.35"/>
    <row r="100063" hidden="1" x14ac:dyDescent="0.35"/>
    <row r="100064" hidden="1" x14ac:dyDescent="0.35"/>
    <row r="100065" hidden="1" x14ac:dyDescent="0.35"/>
    <row r="100066" hidden="1" x14ac:dyDescent="0.35"/>
    <row r="100067" hidden="1" x14ac:dyDescent="0.35"/>
    <row r="100068" hidden="1" x14ac:dyDescent="0.35"/>
    <row r="100069" hidden="1" x14ac:dyDescent="0.35"/>
    <row r="100070" hidden="1" x14ac:dyDescent="0.35"/>
    <row r="100071" hidden="1" x14ac:dyDescent="0.35"/>
    <row r="100072" hidden="1" x14ac:dyDescent="0.35"/>
    <row r="100073" hidden="1" x14ac:dyDescent="0.35"/>
    <row r="100074" hidden="1" x14ac:dyDescent="0.35"/>
    <row r="100075" hidden="1" x14ac:dyDescent="0.35"/>
    <row r="100076" hidden="1" x14ac:dyDescent="0.35"/>
    <row r="100077" hidden="1" x14ac:dyDescent="0.35"/>
    <row r="100078" hidden="1" x14ac:dyDescent="0.35"/>
    <row r="100079" hidden="1" x14ac:dyDescent="0.35"/>
    <row r="100080" hidden="1" x14ac:dyDescent="0.35"/>
    <row r="100081" hidden="1" x14ac:dyDescent="0.35"/>
    <row r="100082" hidden="1" x14ac:dyDescent="0.35"/>
    <row r="100083" hidden="1" x14ac:dyDescent="0.35"/>
    <row r="100084" hidden="1" x14ac:dyDescent="0.35"/>
    <row r="100085" hidden="1" x14ac:dyDescent="0.35"/>
    <row r="100086" hidden="1" x14ac:dyDescent="0.35"/>
    <row r="100087" hidden="1" x14ac:dyDescent="0.35"/>
    <row r="100088" hidden="1" x14ac:dyDescent="0.35"/>
    <row r="100089" hidden="1" x14ac:dyDescent="0.35"/>
    <row r="100090" hidden="1" x14ac:dyDescent="0.35"/>
    <row r="100091" hidden="1" x14ac:dyDescent="0.35"/>
    <row r="100092" hidden="1" x14ac:dyDescent="0.35"/>
    <row r="100093" hidden="1" x14ac:dyDescent="0.35"/>
    <row r="100094" hidden="1" x14ac:dyDescent="0.35"/>
    <row r="100095" hidden="1" x14ac:dyDescent="0.35"/>
    <row r="100096" hidden="1" x14ac:dyDescent="0.35"/>
    <row r="100097" hidden="1" x14ac:dyDescent="0.35"/>
    <row r="100098" hidden="1" x14ac:dyDescent="0.35"/>
    <row r="100099" hidden="1" x14ac:dyDescent="0.35"/>
    <row r="100100" hidden="1" x14ac:dyDescent="0.35"/>
    <row r="100101" hidden="1" x14ac:dyDescent="0.35"/>
    <row r="100102" hidden="1" x14ac:dyDescent="0.35"/>
    <row r="100103" hidden="1" x14ac:dyDescent="0.35"/>
    <row r="100104" hidden="1" x14ac:dyDescent="0.35"/>
    <row r="100105" hidden="1" x14ac:dyDescent="0.35"/>
    <row r="100106" hidden="1" x14ac:dyDescent="0.35"/>
    <row r="100107" hidden="1" x14ac:dyDescent="0.35"/>
    <row r="100108" hidden="1" x14ac:dyDescent="0.35"/>
    <row r="100109" hidden="1" x14ac:dyDescent="0.35"/>
    <row r="100110" hidden="1" x14ac:dyDescent="0.35"/>
    <row r="100111" hidden="1" x14ac:dyDescent="0.35"/>
    <row r="100112" hidden="1" x14ac:dyDescent="0.35"/>
    <row r="100113" hidden="1" x14ac:dyDescent="0.35"/>
    <row r="100114" hidden="1" x14ac:dyDescent="0.35"/>
    <row r="100115" hidden="1" x14ac:dyDescent="0.35"/>
    <row r="100116" hidden="1" x14ac:dyDescent="0.35"/>
    <row r="100117" hidden="1" x14ac:dyDescent="0.35"/>
    <row r="100118" hidden="1" x14ac:dyDescent="0.35"/>
    <row r="100119" hidden="1" x14ac:dyDescent="0.35"/>
    <row r="100120" hidden="1" x14ac:dyDescent="0.35"/>
    <row r="100121" hidden="1" x14ac:dyDescent="0.35"/>
    <row r="100122" hidden="1" x14ac:dyDescent="0.35"/>
    <row r="100123" hidden="1" x14ac:dyDescent="0.35"/>
    <row r="100124" hidden="1" x14ac:dyDescent="0.35"/>
    <row r="100125" hidden="1" x14ac:dyDescent="0.35"/>
    <row r="100126" hidden="1" x14ac:dyDescent="0.35"/>
    <row r="100127" hidden="1" x14ac:dyDescent="0.35"/>
    <row r="100128" hidden="1" x14ac:dyDescent="0.35"/>
    <row r="100129" hidden="1" x14ac:dyDescent="0.35"/>
    <row r="100130" hidden="1" x14ac:dyDescent="0.35"/>
    <row r="100131" hidden="1" x14ac:dyDescent="0.35"/>
    <row r="100132" hidden="1" x14ac:dyDescent="0.35"/>
    <row r="100133" hidden="1" x14ac:dyDescent="0.35"/>
    <row r="100134" hidden="1" x14ac:dyDescent="0.35"/>
    <row r="100135" hidden="1" x14ac:dyDescent="0.35"/>
    <row r="100136" hidden="1" x14ac:dyDescent="0.35"/>
    <row r="100137" hidden="1" x14ac:dyDescent="0.35"/>
    <row r="100138" hidden="1" x14ac:dyDescent="0.35"/>
    <row r="100139" hidden="1" x14ac:dyDescent="0.35"/>
    <row r="100140" hidden="1" x14ac:dyDescent="0.35"/>
    <row r="100141" hidden="1" x14ac:dyDescent="0.35"/>
    <row r="100142" hidden="1" x14ac:dyDescent="0.35"/>
    <row r="100143" hidden="1" x14ac:dyDescent="0.35"/>
    <row r="100144" hidden="1" x14ac:dyDescent="0.35"/>
    <row r="100145" hidden="1" x14ac:dyDescent="0.35"/>
    <row r="100146" hidden="1" x14ac:dyDescent="0.35"/>
    <row r="100147" hidden="1" x14ac:dyDescent="0.35"/>
    <row r="100148" hidden="1" x14ac:dyDescent="0.35"/>
    <row r="100149" hidden="1" x14ac:dyDescent="0.35"/>
    <row r="100150" hidden="1" x14ac:dyDescent="0.35"/>
    <row r="100151" hidden="1" x14ac:dyDescent="0.35"/>
    <row r="100152" hidden="1" x14ac:dyDescent="0.35"/>
    <row r="100153" hidden="1" x14ac:dyDescent="0.35"/>
    <row r="100154" hidden="1" x14ac:dyDescent="0.35"/>
    <row r="100155" hidden="1" x14ac:dyDescent="0.35"/>
    <row r="100156" hidden="1" x14ac:dyDescent="0.35"/>
    <row r="100157" hidden="1" x14ac:dyDescent="0.35"/>
    <row r="100158" hidden="1" x14ac:dyDescent="0.35"/>
    <row r="100159" hidden="1" x14ac:dyDescent="0.35"/>
    <row r="100160" hidden="1" x14ac:dyDescent="0.35"/>
    <row r="100161" hidden="1" x14ac:dyDescent="0.35"/>
    <row r="100162" hidden="1" x14ac:dyDescent="0.35"/>
    <row r="100163" hidden="1" x14ac:dyDescent="0.35"/>
    <row r="100164" hidden="1" x14ac:dyDescent="0.35"/>
    <row r="100165" hidden="1" x14ac:dyDescent="0.35"/>
    <row r="100166" hidden="1" x14ac:dyDescent="0.35"/>
    <row r="100167" hidden="1" x14ac:dyDescent="0.35"/>
    <row r="100168" hidden="1" x14ac:dyDescent="0.35"/>
    <row r="100169" hidden="1" x14ac:dyDescent="0.35"/>
    <row r="100170" hidden="1" x14ac:dyDescent="0.35"/>
    <row r="100171" hidden="1" x14ac:dyDescent="0.35"/>
    <row r="100172" hidden="1" x14ac:dyDescent="0.35"/>
    <row r="100173" hidden="1" x14ac:dyDescent="0.35"/>
    <row r="100174" hidden="1" x14ac:dyDescent="0.35"/>
    <row r="100175" hidden="1" x14ac:dyDescent="0.35"/>
    <row r="100176" hidden="1" x14ac:dyDescent="0.35"/>
    <row r="100177" hidden="1" x14ac:dyDescent="0.35"/>
    <row r="100178" hidden="1" x14ac:dyDescent="0.35"/>
    <row r="100179" hidden="1" x14ac:dyDescent="0.35"/>
    <row r="100180" hidden="1" x14ac:dyDescent="0.35"/>
    <row r="100181" hidden="1" x14ac:dyDescent="0.35"/>
    <row r="100182" hidden="1" x14ac:dyDescent="0.35"/>
    <row r="100183" hidden="1" x14ac:dyDescent="0.35"/>
    <row r="100184" hidden="1" x14ac:dyDescent="0.35"/>
    <row r="100185" hidden="1" x14ac:dyDescent="0.35"/>
    <row r="100186" hidden="1" x14ac:dyDescent="0.35"/>
    <row r="100187" hidden="1" x14ac:dyDescent="0.35"/>
    <row r="100188" hidden="1" x14ac:dyDescent="0.35"/>
    <row r="100189" hidden="1" x14ac:dyDescent="0.35"/>
    <row r="100190" hidden="1" x14ac:dyDescent="0.35"/>
    <row r="100191" hidden="1" x14ac:dyDescent="0.35"/>
    <row r="100192" hidden="1" x14ac:dyDescent="0.35"/>
    <row r="100193" hidden="1" x14ac:dyDescent="0.35"/>
    <row r="100194" hidden="1" x14ac:dyDescent="0.35"/>
    <row r="100195" hidden="1" x14ac:dyDescent="0.35"/>
    <row r="100196" hidden="1" x14ac:dyDescent="0.35"/>
    <row r="100197" hidden="1" x14ac:dyDescent="0.35"/>
    <row r="100198" hidden="1" x14ac:dyDescent="0.35"/>
    <row r="100199" hidden="1" x14ac:dyDescent="0.35"/>
    <row r="100200" hidden="1" x14ac:dyDescent="0.35"/>
    <row r="100201" hidden="1" x14ac:dyDescent="0.35"/>
    <row r="100202" hidden="1" x14ac:dyDescent="0.35"/>
    <row r="100203" hidden="1" x14ac:dyDescent="0.35"/>
    <row r="100204" hidden="1" x14ac:dyDescent="0.35"/>
    <row r="100205" hidden="1" x14ac:dyDescent="0.35"/>
    <row r="100206" hidden="1" x14ac:dyDescent="0.35"/>
    <row r="100207" hidden="1" x14ac:dyDescent="0.35"/>
    <row r="100208" hidden="1" x14ac:dyDescent="0.35"/>
    <row r="100209" hidden="1" x14ac:dyDescent="0.35"/>
    <row r="100210" hidden="1" x14ac:dyDescent="0.35"/>
    <row r="100211" hidden="1" x14ac:dyDescent="0.35"/>
    <row r="100212" hidden="1" x14ac:dyDescent="0.35"/>
    <row r="100213" hidden="1" x14ac:dyDescent="0.35"/>
    <row r="100214" hidden="1" x14ac:dyDescent="0.35"/>
    <row r="100215" hidden="1" x14ac:dyDescent="0.35"/>
    <row r="100216" hidden="1" x14ac:dyDescent="0.35"/>
    <row r="100217" hidden="1" x14ac:dyDescent="0.35"/>
    <row r="100218" hidden="1" x14ac:dyDescent="0.35"/>
    <row r="100219" hidden="1" x14ac:dyDescent="0.35"/>
    <row r="100220" hidden="1" x14ac:dyDescent="0.35"/>
    <row r="100221" hidden="1" x14ac:dyDescent="0.35"/>
    <row r="100222" hidden="1" x14ac:dyDescent="0.35"/>
    <row r="100223" hidden="1" x14ac:dyDescent="0.35"/>
    <row r="100224" hidden="1" x14ac:dyDescent="0.35"/>
    <row r="100225" hidden="1" x14ac:dyDescent="0.35"/>
    <row r="100226" hidden="1" x14ac:dyDescent="0.35"/>
    <row r="100227" hidden="1" x14ac:dyDescent="0.35"/>
    <row r="100228" hidden="1" x14ac:dyDescent="0.35"/>
    <row r="100229" hidden="1" x14ac:dyDescent="0.35"/>
    <row r="100230" hidden="1" x14ac:dyDescent="0.35"/>
    <row r="100231" hidden="1" x14ac:dyDescent="0.35"/>
    <row r="100232" hidden="1" x14ac:dyDescent="0.35"/>
    <row r="100233" hidden="1" x14ac:dyDescent="0.35"/>
    <row r="100234" hidden="1" x14ac:dyDescent="0.35"/>
    <row r="100235" hidden="1" x14ac:dyDescent="0.35"/>
    <row r="100236" hidden="1" x14ac:dyDescent="0.35"/>
    <row r="100237" hidden="1" x14ac:dyDescent="0.35"/>
    <row r="100238" hidden="1" x14ac:dyDescent="0.35"/>
    <row r="100239" hidden="1" x14ac:dyDescent="0.35"/>
    <row r="100240" hidden="1" x14ac:dyDescent="0.35"/>
    <row r="100241" hidden="1" x14ac:dyDescent="0.35"/>
    <row r="100242" hidden="1" x14ac:dyDescent="0.35"/>
    <row r="100243" hidden="1" x14ac:dyDescent="0.35"/>
    <row r="100244" hidden="1" x14ac:dyDescent="0.35"/>
    <row r="100245" hidden="1" x14ac:dyDescent="0.35"/>
    <row r="100246" hidden="1" x14ac:dyDescent="0.35"/>
    <row r="100247" hidden="1" x14ac:dyDescent="0.35"/>
    <row r="100248" hidden="1" x14ac:dyDescent="0.35"/>
    <row r="100249" hidden="1" x14ac:dyDescent="0.35"/>
    <row r="100250" hidden="1" x14ac:dyDescent="0.35"/>
    <row r="100251" hidden="1" x14ac:dyDescent="0.35"/>
    <row r="100252" hidden="1" x14ac:dyDescent="0.35"/>
    <row r="100253" hidden="1" x14ac:dyDescent="0.35"/>
    <row r="100254" hidden="1" x14ac:dyDescent="0.35"/>
    <row r="100255" hidden="1" x14ac:dyDescent="0.35"/>
    <row r="100256" hidden="1" x14ac:dyDescent="0.35"/>
    <row r="100257" hidden="1" x14ac:dyDescent="0.35"/>
    <row r="100258" hidden="1" x14ac:dyDescent="0.35"/>
    <row r="100259" hidden="1" x14ac:dyDescent="0.35"/>
    <row r="100260" hidden="1" x14ac:dyDescent="0.35"/>
    <row r="100261" hidden="1" x14ac:dyDescent="0.35"/>
    <row r="100262" hidden="1" x14ac:dyDescent="0.35"/>
    <row r="100263" hidden="1" x14ac:dyDescent="0.35"/>
    <row r="100264" hidden="1" x14ac:dyDescent="0.35"/>
    <row r="100265" hidden="1" x14ac:dyDescent="0.35"/>
    <row r="100266" hidden="1" x14ac:dyDescent="0.35"/>
    <row r="100267" hidden="1" x14ac:dyDescent="0.35"/>
    <row r="100268" hidden="1" x14ac:dyDescent="0.35"/>
    <row r="100269" hidden="1" x14ac:dyDescent="0.35"/>
    <row r="100270" hidden="1" x14ac:dyDescent="0.35"/>
    <row r="100271" hidden="1" x14ac:dyDescent="0.35"/>
    <row r="100272" hidden="1" x14ac:dyDescent="0.35"/>
    <row r="100273" hidden="1" x14ac:dyDescent="0.35"/>
    <row r="100274" hidden="1" x14ac:dyDescent="0.35"/>
    <row r="100275" hidden="1" x14ac:dyDescent="0.35"/>
    <row r="100276" hidden="1" x14ac:dyDescent="0.35"/>
    <row r="100277" hidden="1" x14ac:dyDescent="0.35"/>
    <row r="100278" hidden="1" x14ac:dyDescent="0.35"/>
    <row r="100279" hidden="1" x14ac:dyDescent="0.35"/>
    <row r="100280" hidden="1" x14ac:dyDescent="0.35"/>
    <row r="100281" hidden="1" x14ac:dyDescent="0.35"/>
    <row r="100282" hidden="1" x14ac:dyDescent="0.35"/>
    <row r="100283" hidden="1" x14ac:dyDescent="0.35"/>
    <row r="100284" hidden="1" x14ac:dyDescent="0.35"/>
    <row r="100285" hidden="1" x14ac:dyDescent="0.35"/>
    <row r="100286" hidden="1" x14ac:dyDescent="0.35"/>
    <row r="100287" hidden="1" x14ac:dyDescent="0.35"/>
    <row r="100288" hidden="1" x14ac:dyDescent="0.35"/>
    <row r="100289" hidden="1" x14ac:dyDescent="0.35"/>
    <row r="100290" hidden="1" x14ac:dyDescent="0.35"/>
    <row r="100291" hidden="1" x14ac:dyDescent="0.35"/>
    <row r="100292" hidden="1" x14ac:dyDescent="0.35"/>
    <row r="100293" hidden="1" x14ac:dyDescent="0.35"/>
    <row r="100294" hidden="1" x14ac:dyDescent="0.35"/>
    <row r="100295" hidden="1" x14ac:dyDescent="0.35"/>
    <row r="100296" hidden="1" x14ac:dyDescent="0.35"/>
    <row r="100297" hidden="1" x14ac:dyDescent="0.35"/>
    <row r="100298" hidden="1" x14ac:dyDescent="0.35"/>
    <row r="100299" hidden="1" x14ac:dyDescent="0.35"/>
    <row r="100300" hidden="1" x14ac:dyDescent="0.35"/>
    <row r="100301" hidden="1" x14ac:dyDescent="0.35"/>
    <row r="100302" hidden="1" x14ac:dyDescent="0.35"/>
    <row r="100303" hidden="1" x14ac:dyDescent="0.35"/>
    <row r="100304" hidden="1" x14ac:dyDescent="0.35"/>
    <row r="100305" hidden="1" x14ac:dyDescent="0.35"/>
    <row r="100306" hidden="1" x14ac:dyDescent="0.35"/>
    <row r="100307" hidden="1" x14ac:dyDescent="0.35"/>
    <row r="100308" hidden="1" x14ac:dyDescent="0.35"/>
    <row r="100309" hidden="1" x14ac:dyDescent="0.35"/>
    <row r="100310" hidden="1" x14ac:dyDescent="0.35"/>
    <row r="100311" hidden="1" x14ac:dyDescent="0.35"/>
    <row r="100312" hidden="1" x14ac:dyDescent="0.35"/>
    <row r="100313" hidden="1" x14ac:dyDescent="0.35"/>
    <row r="100314" hidden="1" x14ac:dyDescent="0.35"/>
    <row r="100315" hidden="1" x14ac:dyDescent="0.35"/>
    <row r="100316" hidden="1" x14ac:dyDescent="0.35"/>
    <row r="100317" hidden="1" x14ac:dyDescent="0.35"/>
    <row r="100318" hidden="1" x14ac:dyDescent="0.35"/>
    <row r="100319" hidden="1" x14ac:dyDescent="0.35"/>
    <row r="100320" hidden="1" x14ac:dyDescent="0.35"/>
    <row r="100321" hidden="1" x14ac:dyDescent="0.35"/>
    <row r="100322" hidden="1" x14ac:dyDescent="0.35"/>
    <row r="100323" hidden="1" x14ac:dyDescent="0.35"/>
    <row r="100324" hidden="1" x14ac:dyDescent="0.35"/>
    <row r="100325" hidden="1" x14ac:dyDescent="0.35"/>
    <row r="100326" hidden="1" x14ac:dyDescent="0.35"/>
    <row r="100327" hidden="1" x14ac:dyDescent="0.35"/>
    <row r="100328" hidden="1" x14ac:dyDescent="0.35"/>
    <row r="100329" hidden="1" x14ac:dyDescent="0.35"/>
    <row r="100330" hidden="1" x14ac:dyDescent="0.35"/>
    <row r="100331" hidden="1" x14ac:dyDescent="0.35"/>
    <row r="100332" hidden="1" x14ac:dyDescent="0.35"/>
    <row r="100333" hidden="1" x14ac:dyDescent="0.35"/>
    <row r="100334" hidden="1" x14ac:dyDescent="0.35"/>
    <row r="100335" hidden="1" x14ac:dyDescent="0.35"/>
    <row r="100336" hidden="1" x14ac:dyDescent="0.35"/>
    <row r="100337" hidden="1" x14ac:dyDescent="0.35"/>
    <row r="100338" hidden="1" x14ac:dyDescent="0.35"/>
    <row r="100339" hidden="1" x14ac:dyDescent="0.35"/>
    <row r="100340" hidden="1" x14ac:dyDescent="0.35"/>
    <row r="100341" hidden="1" x14ac:dyDescent="0.35"/>
    <row r="100342" hidden="1" x14ac:dyDescent="0.35"/>
    <row r="100343" hidden="1" x14ac:dyDescent="0.35"/>
    <row r="100344" hidden="1" x14ac:dyDescent="0.35"/>
    <row r="100345" hidden="1" x14ac:dyDescent="0.35"/>
    <row r="100346" hidden="1" x14ac:dyDescent="0.35"/>
    <row r="100347" hidden="1" x14ac:dyDescent="0.35"/>
    <row r="100348" hidden="1" x14ac:dyDescent="0.35"/>
    <row r="100349" hidden="1" x14ac:dyDescent="0.35"/>
    <row r="100350" hidden="1" x14ac:dyDescent="0.35"/>
    <row r="100351" hidden="1" x14ac:dyDescent="0.35"/>
    <row r="100352" hidden="1" x14ac:dyDescent="0.35"/>
    <row r="100353" hidden="1" x14ac:dyDescent="0.35"/>
    <row r="100354" hidden="1" x14ac:dyDescent="0.35"/>
    <row r="100355" hidden="1" x14ac:dyDescent="0.35"/>
    <row r="100356" hidden="1" x14ac:dyDescent="0.35"/>
    <row r="100357" hidden="1" x14ac:dyDescent="0.35"/>
    <row r="100358" hidden="1" x14ac:dyDescent="0.35"/>
    <row r="100359" hidden="1" x14ac:dyDescent="0.35"/>
    <row r="100360" hidden="1" x14ac:dyDescent="0.35"/>
    <row r="100361" hidden="1" x14ac:dyDescent="0.35"/>
    <row r="100362" hidden="1" x14ac:dyDescent="0.35"/>
    <row r="100363" hidden="1" x14ac:dyDescent="0.35"/>
    <row r="100364" hidden="1" x14ac:dyDescent="0.35"/>
    <row r="100365" hidden="1" x14ac:dyDescent="0.35"/>
    <row r="100366" hidden="1" x14ac:dyDescent="0.35"/>
    <row r="100367" hidden="1" x14ac:dyDescent="0.35"/>
    <row r="100368" hidden="1" x14ac:dyDescent="0.35"/>
    <row r="100369" hidden="1" x14ac:dyDescent="0.35"/>
    <row r="100370" hidden="1" x14ac:dyDescent="0.35"/>
    <row r="100371" hidden="1" x14ac:dyDescent="0.35"/>
    <row r="100372" hidden="1" x14ac:dyDescent="0.35"/>
    <row r="100373" hidden="1" x14ac:dyDescent="0.35"/>
    <row r="100374" hidden="1" x14ac:dyDescent="0.35"/>
    <row r="100375" hidden="1" x14ac:dyDescent="0.35"/>
    <row r="100376" hidden="1" x14ac:dyDescent="0.35"/>
    <row r="100377" hidden="1" x14ac:dyDescent="0.35"/>
    <row r="100378" hidden="1" x14ac:dyDescent="0.35"/>
    <row r="100379" hidden="1" x14ac:dyDescent="0.35"/>
    <row r="100380" hidden="1" x14ac:dyDescent="0.35"/>
    <row r="100381" hidden="1" x14ac:dyDescent="0.35"/>
    <row r="100382" hidden="1" x14ac:dyDescent="0.35"/>
    <row r="100383" hidden="1" x14ac:dyDescent="0.35"/>
    <row r="100384" hidden="1" x14ac:dyDescent="0.35"/>
    <row r="100385" hidden="1" x14ac:dyDescent="0.35"/>
    <row r="100386" hidden="1" x14ac:dyDescent="0.35"/>
    <row r="100387" hidden="1" x14ac:dyDescent="0.35"/>
    <row r="100388" hidden="1" x14ac:dyDescent="0.35"/>
    <row r="100389" hidden="1" x14ac:dyDescent="0.35"/>
    <row r="100390" hidden="1" x14ac:dyDescent="0.35"/>
    <row r="100391" hidden="1" x14ac:dyDescent="0.35"/>
    <row r="100392" hidden="1" x14ac:dyDescent="0.35"/>
    <row r="100393" hidden="1" x14ac:dyDescent="0.35"/>
    <row r="100394" hidden="1" x14ac:dyDescent="0.35"/>
    <row r="100395" hidden="1" x14ac:dyDescent="0.35"/>
    <row r="100396" hidden="1" x14ac:dyDescent="0.35"/>
    <row r="100397" hidden="1" x14ac:dyDescent="0.35"/>
    <row r="100398" hidden="1" x14ac:dyDescent="0.35"/>
    <row r="100399" hidden="1" x14ac:dyDescent="0.35"/>
    <row r="100400" hidden="1" x14ac:dyDescent="0.35"/>
    <row r="100401" hidden="1" x14ac:dyDescent="0.35"/>
    <row r="100402" hidden="1" x14ac:dyDescent="0.35"/>
    <row r="100403" hidden="1" x14ac:dyDescent="0.35"/>
    <row r="100404" hidden="1" x14ac:dyDescent="0.35"/>
    <row r="100405" hidden="1" x14ac:dyDescent="0.35"/>
    <row r="100406" hidden="1" x14ac:dyDescent="0.35"/>
    <row r="100407" hidden="1" x14ac:dyDescent="0.35"/>
    <row r="100408" hidden="1" x14ac:dyDescent="0.35"/>
    <row r="100409" hidden="1" x14ac:dyDescent="0.35"/>
    <row r="100410" hidden="1" x14ac:dyDescent="0.35"/>
    <row r="100411" hidden="1" x14ac:dyDescent="0.35"/>
    <row r="100412" hidden="1" x14ac:dyDescent="0.35"/>
    <row r="100413" hidden="1" x14ac:dyDescent="0.35"/>
    <row r="100414" hidden="1" x14ac:dyDescent="0.35"/>
    <row r="100415" hidden="1" x14ac:dyDescent="0.35"/>
    <row r="100416" hidden="1" x14ac:dyDescent="0.35"/>
    <row r="100417" hidden="1" x14ac:dyDescent="0.35"/>
    <row r="100418" hidden="1" x14ac:dyDescent="0.35"/>
    <row r="100419" hidden="1" x14ac:dyDescent="0.35"/>
    <row r="100420" hidden="1" x14ac:dyDescent="0.35"/>
    <row r="100421" hidden="1" x14ac:dyDescent="0.35"/>
    <row r="100422" hidden="1" x14ac:dyDescent="0.35"/>
    <row r="100423" hidden="1" x14ac:dyDescent="0.35"/>
    <row r="100424" hidden="1" x14ac:dyDescent="0.35"/>
    <row r="100425" hidden="1" x14ac:dyDescent="0.35"/>
    <row r="100426" hidden="1" x14ac:dyDescent="0.35"/>
    <row r="100427" hidden="1" x14ac:dyDescent="0.35"/>
    <row r="100428" hidden="1" x14ac:dyDescent="0.35"/>
    <row r="100429" hidden="1" x14ac:dyDescent="0.35"/>
    <row r="100430" hidden="1" x14ac:dyDescent="0.35"/>
    <row r="100431" hidden="1" x14ac:dyDescent="0.35"/>
    <row r="100432" hidden="1" x14ac:dyDescent="0.35"/>
    <row r="100433" hidden="1" x14ac:dyDescent="0.35"/>
    <row r="100434" hidden="1" x14ac:dyDescent="0.35"/>
    <row r="100435" hidden="1" x14ac:dyDescent="0.35"/>
    <row r="100436" hidden="1" x14ac:dyDescent="0.35"/>
    <row r="100437" hidden="1" x14ac:dyDescent="0.35"/>
    <row r="100438" hidden="1" x14ac:dyDescent="0.35"/>
    <row r="100439" hidden="1" x14ac:dyDescent="0.35"/>
    <row r="100440" hidden="1" x14ac:dyDescent="0.35"/>
    <row r="100441" hidden="1" x14ac:dyDescent="0.35"/>
    <row r="100442" hidden="1" x14ac:dyDescent="0.35"/>
    <row r="100443" hidden="1" x14ac:dyDescent="0.35"/>
    <row r="100444" hidden="1" x14ac:dyDescent="0.35"/>
    <row r="100445" hidden="1" x14ac:dyDescent="0.35"/>
    <row r="100446" hidden="1" x14ac:dyDescent="0.35"/>
    <row r="100447" hidden="1" x14ac:dyDescent="0.35"/>
    <row r="100448" hidden="1" x14ac:dyDescent="0.35"/>
    <row r="100449" hidden="1" x14ac:dyDescent="0.35"/>
    <row r="100450" hidden="1" x14ac:dyDescent="0.35"/>
    <row r="100451" hidden="1" x14ac:dyDescent="0.35"/>
    <row r="100452" hidden="1" x14ac:dyDescent="0.35"/>
    <row r="100453" hidden="1" x14ac:dyDescent="0.35"/>
    <row r="100454" hidden="1" x14ac:dyDescent="0.35"/>
    <row r="100455" hidden="1" x14ac:dyDescent="0.35"/>
    <row r="100456" hidden="1" x14ac:dyDescent="0.35"/>
    <row r="100457" hidden="1" x14ac:dyDescent="0.35"/>
    <row r="100458" hidden="1" x14ac:dyDescent="0.35"/>
    <row r="100459" hidden="1" x14ac:dyDescent="0.35"/>
    <row r="100460" hidden="1" x14ac:dyDescent="0.35"/>
    <row r="100461" hidden="1" x14ac:dyDescent="0.35"/>
    <row r="100462" hidden="1" x14ac:dyDescent="0.35"/>
    <row r="100463" hidden="1" x14ac:dyDescent="0.35"/>
    <row r="100464" hidden="1" x14ac:dyDescent="0.35"/>
    <row r="100465" hidden="1" x14ac:dyDescent="0.35"/>
    <row r="100466" hidden="1" x14ac:dyDescent="0.35"/>
    <row r="100467" hidden="1" x14ac:dyDescent="0.35"/>
    <row r="100468" hidden="1" x14ac:dyDescent="0.35"/>
    <row r="100469" hidden="1" x14ac:dyDescent="0.35"/>
    <row r="100470" hidden="1" x14ac:dyDescent="0.35"/>
    <row r="100471" hidden="1" x14ac:dyDescent="0.35"/>
    <row r="100472" hidden="1" x14ac:dyDescent="0.35"/>
    <row r="100473" hidden="1" x14ac:dyDescent="0.35"/>
    <row r="100474" hidden="1" x14ac:dyDescent="0.35"/>
    <row r="100475" hidden="1" x14ac:dyDescent="0.35"/>
    <row r="100476" hidden="1" x14ac:dyDescent="0.35"/>
    <row r="100477" hidden="1" x14ac:dyDescent="0.35"/>
    <row r="100478" hidden="1" x14ac:dyDescent="0.35"/>
    <row r="100479" hidden="1" x14ac:dyDescent="0.35"/>
    <row r="100480" hidden="1" x14ac:dyDescent="0.35"/>
    <row r="100481" hidden="1" x14ac:dyDescent="0.35"/>
    <row r="100482" hidden="1" x14ac:dyDescent="0.35"/>
    <row r="100483" hidden="1" x14ac:dyDescent="0.35"/>
    <row r="100484" hidden="1" x14ac:dyDescent="0.35"/>
    <row r="100485" hidden="1" x14ac:dyDescent="0.35"/>
    <row r="100486" hidden="1" x14ac:dyDescent="0.35"/>
    <row r="100487" hidden="1" x14ac:dyDescent="0.35"/>
    <row r="100488" hidden="1" x14ac:dyDescent="0.35"/>
    <row r="100489" hidden="1" x14ac:dyDescent="0.35"/>
    <row r="100490" hidden="1" x14ac:dyDescent="0.35"/>
    <row r="100491" hidden="1" x14ac:dyDescent="0.35"/>
    <row r="100492" hidden="1" x14ac:dyDescent="0.35"/>
    <row r="100493" hidden="1" x14ac:dyDescent="0.35"/>
    <row r="100494" hidden="1" x14ac:dyDescent="0.35"/>
    <row r="100495" hidden="1" x14ac:dyDescent="0.35"/>
    <row r="100496" hidden="1" x14ac:dyDescent="0.35"/>
    <row r="100497" hidden="1" x14ac:dyDescent="0.35"/>
    <row r="100498" hidden="1" x14ac:dyDescent="0.35"/>
    <row r="100499" hidden="1" x14ac:dyDescent="0.35"/>
    <row r="100500" hidden="1" x14ac:dyDescent="0.35"/>
    <row r="100501" hidden="1" x14ac:dyDescent="0.35"/>
    <row r="100502" hidden="1" x14ac:dyDescent="0.35"/>
    <row r="100503" hidden="1" x14ac:dyDescent="0.35"/>
    <row r="100504" hidden="1" x14ac:dyDescent="0.35"/>
    <row r="100505" hidden="1" x14ac:dyDescent="0.35"/>
    <row r="100506" hidden="1" x14ac:dyDescent="0.35"/>
    <row r="100507" hidden="1" x14ac:dyDescent="0.35"/>
    <row r="100508" hidden="1" x14ac:dyDescent="0.35"/>
    <row r="100509" hidden="1" x14ac:dyDescent="0.35"/>
    <row r="100510" hidden="1" x14ac:dyDescent="0.35"/>
    <row r="100511" hidden="1" x14ac:dyDescent="0.35"/>
    <row r="100512" hidden="1" x14ac:dyDescent="0.35"/>
    <row r="100513" hidden="1" x14ac:dyDescent="0.35"/>
    <row r="100514" hidden="1" x14ac:dyDescent="0.35"/>
    <row r="100515" hidden="1" x14ac:dyDescent="0.35"/>
    <row r="100516" hidden="1" x14ac:dyDescent="0.35"/>
    <row r="100517" hidden="1" x14ac:dyDescent="0.35"/>
    <row r="100518" hidden="1" x14ac:dyDescent="0.35"/>
    <row r="100519" hidden="1" x14ac:dyDescent="0.35"/>
    <row r="100520" hidden="1" x14ac:dyDescent="0.35"/>
    <row r="100521" hidden="1" x14ac:dyDescent="0.35"/>
    <row r="100522" hidden="1" x14ac:dyDescent="0.35"/>
    <row r="100523" hidden="1" x14ac:dyDescent="0.35"/>
    <row r="100524" hidden="1" x14ac:dyDescent="0.35"/>
    <row r="100525" hidden="1" x14ac:dyDescent="0.35"/>
    <row r="100526" hidden="1" x14ac:dyDescent="0.35"/>
    <row r="100527" hidden="1" x14ac:dyDescent="0.35"/>
    <row r="100528" hidden="1" x14ac:dyDescent="0.35"/>
    <row r="100529" hidden="1" x14ac:dyDescent="0.35"/>
    <row r="100530" hidden="1" x14ac:dyDescent="0.35"/>
    <row r="100531" hidden="1" x14ac:dyDescent="0.35"/>
    <row r="100532" hidden="1" x14ac:dyDescent="0.35"/>
    <row r="100533" hidden="1" x14ac:dyDescent="0.35"/>
    <row r="100534" hidden="1" x14ac:dyDescent="0.35"/>
    <row r="100535" hidden="1" x14ac:dyDescent="0.35"/>
    <row r="100536" hidden="1" x14ac:dyDescent="0.35"/>
    <row r="100537" hidden="1" x14ac:dyDescent="0.35"/>
    <row r="100538" hidden="1" x14ac:dyDescent="0.35"/>
    <row r="100539" hidden="1" x14ac:dyDescent="0.35"/>
    <row r="100540" hidden="1" x14ac:dyDescent="0.35"/>
    <row r="100541" hidden="1" x14ac:dyDescent="0.35"/>
    <row r="100542" hidden="1" x14ac:dyDescent="0.35"/>
    <row r="100543" hidden="1" x14ac:dyDescent="0.35"/>
    <row r="100544" hidden="1" x14ac:dyDescent="0.35"/>
    <row r="100545" hidden="1" x14ac:dyDescent="0.35"/>
    <row r="100546" hidden="1" x14ac:dyDescent="0.35"/>
    <row r="100547" hidden="1" x14ac:dyDescent="0.35"/>
    <row r="100548" hidden="1" x14ac:dyDescent="0.35"/>
    <row r="100549" hidden="1" x14ac:dyDescent="0.35"/>
    <row r="100550" hidden="1" x14ac:dyDescent="0.35"/>
    <row r="100551" hidden="1" x14ac:dyDescent="0.35"/>
    <row r="100552" hidden="1" x14ac:dyDescent="0.35"/>
    <row r="100553" hidden="1" x14ac:dyDescent="0.35"/>
    <row r="100554" hidden="1" x14ac:dyDescent="0.35"/>
    <row r="100555" hidden="1" x14ac:dyDescent="0.35"/>
    <row r="100556" hidden="1" x14ac:dyDescent="0.35"/>
    <row r="100557" hidden="1" x14ac:dyDescent="0.35"/>
    <row r="100558" hidden="1" x14ac:dyDescent="0.35"/>
    <row r="100559" hidden="1" x14ac:dyDescent="0.35"/>
    <row r="100560" hidden="1" x14ac:dyDescent="0.35"/>
    <row r="100561" hidden="1" x14ac:dyDescent="0.35"/>
    <row r="100562" hidden="1" x14ac:dyDescent="0.35"/>
    <row r="100563" hidden="1" x14ac:dyDescent="0.35"/>
    <row r="100564" hidden="1" x14ac:dyDescent="0.35"/>
    <row r="100565" hidden="1" x14ac:dyDescent="0.35"/>
    <row r="100566" hidden="1" x14ac:dyDescent="0.35"/>
    <row r="100567" hidden="1" x14ac:dyDescent="0.35"/>
    <row r="100568" hidden="1" x14ac:dyDescent="0.35"/>
    <row r="100569" hidden="1" x14ac:dyDescent="0.35"/>
    <row r="100570" hidden="1" x14ac:dyDescent="0.35"/>
    <row r="100571" hidden="1" x14ac:dyDescent="0.35"/>
    <row r="100572" hidden="1" x14ac:dyDescent="0.35"/>
    <row r="100573" hidden="1" x14ac:dyDescent="0.35"/>
    <row r="100574" hidden="1" x14ac:dyDescent="0.35"/>
    <row r="100575" hidden="1" x14ac:dyDescent="0.35"/>
    <row r="100576" hidden="1" x14ac:dyDescent="0.35"/>
    <row r="100577" hidden="1" x14ac:dyDescent="0.35"/>
    <row r="100578" hidden="1" x14ac:dyDescent="0.35"/>
    <row r="100579" hidden="1" x14ac:dyDescent="0.35"/>
    <row r="100580" hidden="1" x14ac:dyDescent="0.35"/>
    <row r="100581" hidden="1" x14ac:dyDescent="0.35"/>
    <row r="100582" hidden="1" x14ac:dyDescent="0.35"/>
    <row r="100583" hidden="1" x14ac:dyDescent="0.35"/>
    <row r="100584" hidden="1" x14ac:dyDescent="0.35"/>
    <row r="100585" hidden="1" x14ac:dyDescent="0.35"/>
    <row r="100586" hidden="1" x14ac:dyDescent="0.35"/>
    <row r="100587" hidden="1" x14ac:dyDescent="0.35"/>
    <row r="100588" hidden="1" x14ac:dyDescent="0.35"/>
    <row r="100589" hidden="1" x14ac:dyDescent="0.35"/>
    <row r="100590" hidden="1" x14ac:dyDescent="0.35"/>
    <row r="100591" hidden="1" x14ac:dyDescent="0.35"/>
    <row r="100592" hidden="1" x14ac:dyDescent="0.35"/>
    <row r="100593" hidden="1" x14ac:dyDescent="0.35"/>
    <row r="100594" hidden="1" x14ac:dyDescent="0.35"/>
    <row r="100595" hidden="1" x14ac:dyDescent="0.35"/>
    <row r="100596" hidden="1" x14ac:dyDescent="0.35"/>
    <row r="100597" hidden="1" x14ac:dyDescent="0.35"/>
    <row r="100598" hidden="1" x14ac:dyDescent="0.35"/>
    <row r="100599" hidden="1" x14ac:dyDescent="0.35"/>
    <row r="100600" hidden="1" x14ac:dyDescent="0.35"/>
    <row r="100601" hidden="1" x14ac:dyDescent="0.35"/>
    <row r="100602" hidden="1" x14ac:dyDescent="0.35"/>
    <row r="100603" hidden="1" x14ac:dyDescent="0.35"/>
    <row r="100604" hidden="1" x14ac:dyDescent="0.35"/>
    <row r="100605" hidden="1" x14ac:dyDescent="0.35"/>
    <row r="100606" hidden="1" x14ac:dyDescent="0.35"/>
    <row r="100607" hidden="1" x14ac:dyDescent="0.35"/>
    <row r="100608" hidden="1" x14ac:dyDescent="0.35"/>
    <row r="100609" hidden="1" x14ac:dyDescent="0.35"/>
    <row r="100610" hidden="1" x14ac:dyDescent="0.35"/>
    <row r="100611" hidden="1" x14ac:dyDescent="0.35"/>
    <row r="100612" hidden="1" x14ac:dyDescent="0.35"/>
    <row r="100613" hidden="1" x14ac:dyDescent="0.35"/>
    <row r="100614" hidden="1" x14ac:dyDescent="0.35"/>
    <row r="100615" hidden="1" x14ac:dyDescent="0.35"/>
    <row r="100616" hidden="1" x14ac:dyDescent="0.35"/>
    <row r="100617" hidden="1" x14ac:dyDescent="0.35"/>
    <row r="100618" hidden="1" x14ac:dyDescent="0.35"/>
    <row r="100619" hidden="1" x14ac:dyDescent="0.35"/>
    <row r="100620" hidden="1" x14ac:dyDescent="0.35"/>
    <row r="100621" hidden="1" x14ac:dyDescent="0.35"/>
    <row r="100622" hidden="1" x14ac:dyDescent="0.35"/>
    <row r="100623" hidden="1" x14ac:dyDescent="0.35"/>
    <row r="100624" hidden="1" x14ac:dyDescent="0.35"/>
    <row r="100625" hidden="1" x14ac:dyDescent="0.35"/>
    <row r="100626" hidden="1" x14ac:dyDescent="0.35"/>
    <row r="100627" hidden="1" x14ac:dyDescent="0.35"/>
    <row r="100628" hidden="1" x14ac:dyDescent="0.35"/>
    <row r="100629" hidden="1" x14ac:dyDescent="0.35"/>
    <row r="100630" hidden="1" x14ac:dyDescent="0.35"/>
    <row r="100631" hidden="1" x14ac:dyDescent="0.35"/>
    <row r="100632" hidden="1" x14ac:dyDescent="0.35"/>
    <row r="100633" hidden="1" x14ac:dyDescent="0.35"/>
    <row r="100634" hidden="1" x14ac:dyDescent="0.35"/>
    <row r="100635" hidden="1" x14ac:dyDescent="0.35"/>
    <row r="100636" hidden="1" x14ac:dyDescent="0.35"/>
    <row r="100637" hidden="1" x14ac:dyDescent="0.35"/>
    <row r="100638" hidden="1" x14ac:dyDescent="0.35"/>
    <row r="100639" hidden="1" x14ac:dyDescent="0.35"/>
    <row r="100640" hidden="1" x14ac:dyDescent="0.35"/>
    <row r="100641" hidden="1" x14ac:dyDescent="0.35"/>
    <row r="100642" hidden="1" x14ac:dyDescent="0.35"/>
    <row r="100643" hidden="1" x14ac:dyDescent="0.35"/>
    <row r="100644" hidden="1" x14ac:dyDescent="0.35"/>
    <row r="100645" hidden="1" x14ac:dyDescent="0.35"/>
    <row r="100646" hidden="1" x14ac:dyDescent="0.35"/>
    <row r="100647" hidden="1" x14ac:dyDescent="0.35"/>
    <row r="100648" hidden="1" x14ac:dyDescent="0.35"/>
    <row r="100649" hidden="1" x14ac:dyDescent="0.35"/>
    <row r="100650" hidden="1" x14ac:dyDescent="0.35"/>
    <row r="100651" hidden="1" x14ac:dyDescent="0.35"/>
    <row r="100652" hidden="1" x14ac:dyDescent="0.35"/>
    <row r="100653" hidden="1" x14ac:dyDescent="0.35"/>
    <row r="100654" hidden="1" x14ac:dyDescent="0.35"/>
    <row r="100655" hidden="1" x14ac:dyDescent="0.35"/>
    <row r="100656" hidden="1" x14ac:dyDescent="0.35"/>
    <row r="100657" hidden="1" x14ac:dyDescent="0.35"/>
    <row r="100658" hidden="1" x14ac:dyDescent="0.35"/>
    <row r="100659" hidden="1" x14ac:dyDescent="0.35"/>
    <row r="100660" hidden="1" x14ac:dyDescent="0.35"/>
    <row r="100661" hidden="1" x14ac:dyDescent="0.35"/>
    <row r="100662" hidden="1" x14ac:dyDescent="0.35"/>
    <row r="100663" hidden="1" x14ac:dyDescent="0.35"/>
    <row r="100664" hidden="1" x14ac:dyDescent="0.35"/>
    <row r="100665" hidden="1" x14ac:dyDescent="0.35"/>
    <row r="100666" hidden="1" x14ac:dyDescent="0.35"/>
    <row r="100667" hidden="1" x14ac:dyDescent="0.35"/>
    <row r="100668" hidden="1" x14ac:dyDescent="0.35"/>
    <row r="100669" hidden="1" x14ac:dyDescent="0.35"/>
    <row r="100670" hidden="1" x14ac:dyDescent="0.35"/>
    <row r="100671" hidden="1" x14ac:dyDescent="0.35"/>
    <row r="100672" hidden="1" x14ac:dyDescent="0.35"/>
    <row r="100673" hidden="1" x14ac:dyDescent="0.35"/>
    <row r="100674" hidden="1" x14ac:dyDescent="0.35"/>
    <row r="100675" hidden="1" x14ac:dyDescent="0.35"/>
    <row r="100676" hidden="1" x14ac:dyDescent="0.35"/>
    <row r="100677" hidden="1" x14ac:dyDescent="0.35"/>
    <row r="100678" hidden="1" x14ac:dyDescent="0.35"/>
    <row r="100679" hidden="1" x14ac:dyDescent="0.35"/>
    <row r="100680" hidden="1" x14ac:dyDescent="0.35"/>
    <row r="100681" hidden="1" x14ac:dyDescent="0.35"/>
    <row r="100682" hidden="1" x14ac:dyDescent="0.35"/>
    <row r="100683" hidden="1" x14ac:dyDescent="0.35"/>
    <row r="100684" hidden="1" x14ac:dyDescent="0.35"/>
    <row r="100685" hidden="1" x14ac:dyDescent="0.35"/>
    <row r="100686" hidden="1" x14ac:dyDescent="0.35"/>
    <row r="100687" hidden="1" x14ac:dyDescent="0.35"/>
    <row r="100688" hidden="1" x14ac:dyDescent="0.35"/>
    <row r="100689" hidden="1" x14ac:dyDescent="0.35"/>
    <row r="100690" hidden="1" x14ac:dyDescent="0.35"/>
    <row r="100691" hidden="1" x14ac:dyDescent="0.35"/>
    <row r="100692" hidden="1" x14ac:dyDescent="0.35"/>
    <row r="100693" hidden="1" x14ac:dyDescent="0.35"/>
    <row r="100694" hidden="1" x14ac:dyDescent="0.35"/>
    <row r="100695" hidden="1" x14ac:dyDescent="0.35"/>
    <row r="100696" hidden="1" x14ac:dyDescent="0.35"/>
    <row r="100697" hidden="1" x14ac:dyDescent="0.35"/>
    <row r="100698" hidden="1" x14ac:dyDescent="0.35"/>
    <row r="100699" hidden="1" x14ac:dyDescent="0.35"/>
    <row r="100700" hidden="1" x14ac:dyDescent="0.35"/>
    <row r="100701" hidden="1" x14ac:dyDescent="0.35"/>
    <row r="100702" hidden="1" x14ac:dyDescent="0.35"/>
    <row r="100703" hidden="1" x14ac:dyDescent="0.35"/>
    <row r="100704" hidden="1" x14ac:dyDescent="0.35"/>
    <row r="100705" hidden="1" x14ac:dyDescent="0.35"/>
    <row r="100706" hidden="1" x14ac:dyDescent="0.35"/>
    <row r="100707" hidden="1" x14ac:dyDescent="0.35"/>
    <row r="100708" hidden="1" x14ac:dyDescent="0.35"/>
    <row r="100709" hidden="1" x14ac:dyDescent="0.35"/>
    <row r="100710" hidden="1" x14ac:dyDescent="0.35"/>
    <row r="100711" hidden="1" x14ac:dyDescent="0.35"/>
    <row r="100712" hidden="1" x14ac:dyDescent="0.35"/>
    <row r="100713" hidden="1" x14ac:dyDescent="0.35"/>
    <row r="100714" hidden="1" x14ac:dyDescent="0.35"/>
    <row r="100715" hidden="1" x14ac:dyDescent="0.35"/>
    <row r="100716" hidden="1" x14ac:dyDescent="0.35"/>
    <row r="100717" hidden="1" x14ac:dyDescent="0.35"/>
    <row r="100718" hidden="1" x14ac:dyDescent="0.35"/>
    <row r="100719" hidden="1" x14ac:dyDescent="0.35"/>
    <row r="100720" hidden="1" x14ac:dyDescent="0.35"/>
    <row r="100721" hidden="1" x14ac:dyDescent="0.35"/>
    <row r="100722" hidden="1" x14ac:dyDescent="0.35"/>
    <row r="100723" hidden="1" x14ac:dyDescent="0.35"/>
    <row r="100724" hidden="1" x14ac:dyDescent="0.35"/>
    <row r="100725" hidden="1" x14ac:dyDescent="0.35"/>
    <row r="100726" hidden="1" x14ac:dyDescent="0.35"/>
    <row r="100727" hidden="1" x14ac:dyDescent="0.35"/>
    <row r="100728" hidden="1" x14ac:dyDescent="0.35"/>
    <row r="100729" hidden="1" x14ac:dyDescent="0.35"/>
    <row r="100730" hidden="1" x14ac:dyDescent="0.35"/>
    <row r="100731" hidden="1" x14ac:dyDescent="0.35"/>
    <row r="100732" hidden="1" x14ac:dyDescent="0.35"/>
    <row r="100733" hidden="1" x14ac:dyDescent="0.35"/>
    <row r="100734" hidden="1" x14ac:dyDescent="0.35"/>
    <row r="100735" hidden="1" x14ac:dyDescent="0.35"/>
    <row r="100736" hidden="1" x14ac:dyDescent="0.35"/>
    <row r="100737" hidden="1" x14ac:dyDescent="0.35"/>
    <row r="100738" hidden="1" x14ac:dyDescent="0.35"/>
    <row r="100739" hidden="1" x14ac:dyDescent="0.35"/>
    <row r="100740" hidden="1" x14ac:dyDescent="0.35"/>
    <row r="100741" hidden="1" x14ac:dyDescent="0.35"/>
    <row r="100742" hidden="1" x14ac:dyDescent="0.35"/>
    <row r="100743" hidden="1" x14ac:dyDescent="0.35"/>
    <row r="100744" hidden="1" x14ac:dyDescent="0.35"/>
    <row r="100745" hidden="1" x14ac:dyDescent="0.35"/>
    <row r="100746" hidden="1" x14ac:dyDescent="0.35"/>
    <row r="100747" hidden="1" x14ac:dyDescent="0.35"/>
    <row r="100748" hidden="1" x14ac:dyDescent="0.35"/>
    <row r="100749" hidden="1" x14ac:dyDescent="0.35"/>
    <row r="100750" hidden="1" x14ac:dyDescent="0.35"/>
    <row r="100751" hidden="1" x14ac:dyDescent="0.35"/>
    <row r="100752" hidden="1" x14ac:dyDescent="0.35"/>
    <row r="100753" hidden="1" x14ac:dyDescent="0.35"/>
    <row r="100754" hidden="1" x14ac:dyDescent="0.35"/>
    <row r="100755" hidden="1" x14ac:dyDescent="0.35"/>
    <row r="100756" hidden="1" x14ac:dyDescent="0.35"/>
    <row r="100757" hidden="1" x14ac:dyDescent="0.35"/>
    <row r="100758" hidden="1" x14ac:dyDescent="0.35"/>
    <row r="100759" hidden="1" x14ac:dyDescent="0.35"/>
    <row r="100760" hidden="1" x14ac:dyDescent="0.35"/>
    <row r="100761" hidden="1" x14ac:dyDescent="0.35"/>
    <row r="100762" hidden="1" x14ac:dyDescent="0.35"/>
    <row r="100763" hidden="1" x14ac:dyDescent="0.35"/>
    <row r="100764" hidden="1" x14ac:dyDescent="0.35"/>
    <row r="100765" hidden="1" x14ac:dyDescent="0.35"/>
    <row r="100766" hidden="1" x14ac:dyDescent="0.35"/>
    <row r="100767" hidden="1" x14ac:dyDescent="0.35"/>
    <row r="100768" hidden="1" x14ac:dyDescent="0.35"/>
    <row r="100769" hidden="1" x14ac:dyDescent="0.35"/>
    <row r="100770" hidden="1" x14ac:dyDescent="0.35"/>
    <row r="100771" hidden="1" x14ac:dyDescent="0.35"/>
    <row r="100772" hidden="1" x14ac:dyDescent="0.35"/>
    <row r="100773" hidden="1" x14ac:dyDescent="0.35"/>
    <row r="100774" hidden="1" x14ac:dyDescent="0.35"/>
    <row r="100775" hidden="1" x14ac:dyDescent="0.35"/>
    <row r="100776" hidden="1" x14ac:dyDescent="0.35"/>
    <row r="100777" hidden="1" x14ac:dyDescent="0.35"/>
    <row r="100778" hidden="1" x14ac:dyDescent="0.35"/>
    <row r="100779" hidden="1" x14ac:dyDescent="0.35"/>
    <row r="100780" hidden="1" x14ac:dyDescent="0.35"/>
    <row r="100781" hidden="1" x14ac:dyDescent="0.35"/>
    <row r="100782" hidden="1" x14ac:dyDescent="0.35"/>
    <row r="100783" hidden="1" x14ac:dyDescent="0.35"/>
    <row r="100784" hidden="1" x14ac:dyDescent="0.35"/>
    <row r="100785" hidden="1" x14ac:dyDescent="0.35"/>
    <row r="100786" hidden="1" x14ac:dyDescent="0.35"/>
    <row r="100787" hidden="1" x14ac:dyDescent="0.35"/>
    <row r="100788" hidden="1" x14ac:dyDescent="0.35"/>
    <row r="100789" hidden="1" x14ac:dyDescent="0.35"/>
    <row r="100790" hidden="1" x14ac:dyDescent="0.35"/>
    <row r="100791" hidden="1" x14ac:dyDescent="0.35"/>
    <row r="100792" hidden="1" x14ac:dyDescent="0.35"/>
    <row r="100793" hidden="1" x14ac:dyDescent="0.35"/>
    <row r="100794" hidden="1" x14ac:dyDescent="0.35"/>
    <row r="100795" hidden="1" x14ac:dyDescent="0.35"/>
    <row r="100796" hidden="1" x14ac:dyDescent="0.35"/>
    <row r="100797" hidden="1" x14ac:dyDescent="0.35"/>
    <row r="100798" hidden="1" x14ac:dyDescent="0.35"/>
    <row r="100799" hidden="1" x14ac:dyDescent="0.35"/>
    <row r="100800" hidden="1" x14ac:dyDescent="0.35"/>
    <row r="100801" hidden="1" x14ac:dyDescent="0.35"/>
    <row r="100802" hidden="1" x14ac:dyDescent="0.35"/>
    <row r="100803" hidden="1" x14ac:dyDescent="0.35"/>
    <row r="100804" hidden="1" x14ac:dyDescent="0.35"/>
    <row r="100805" hidden="1" x14ac:dyDescent="0.35"/>
    <row r="100806" hidden="1" x14ac:dyDescent="0.35"/>
    <row r="100807" hidden="1" x14ac:dyDescent="0.35"/>
    <row r="100808" hidden="1" x14ac:dyDescent="0.35"/>
    <row r="100809" hidden="1" x14ac:dyDescent="0.35"/>
    <row r="100810" hidden="1" x14ac:dyDescent="0.35"/>
    <row r="100811" hidden="1" x14ac:dyDescent="0.35"/>
    <row r="100812" hidden="1" x14ac:dyDescent="0.35"/>
    <row r="100813" hidden="1" x14ac:dyDescent="0.35"/>
    <row r="100814" hidden="1" x14ac:dyDescent="0.35"/>
    <row r="100815" hidden="1" x14ac:dyDescent="0.35"/>
    <row r="100816" hidden="1" x14ac:dyDescent="0.35"/>
    <row r="100817" hidden="1" x14ac:dyDescent="0.35"/>
    <row r="100818" hidden="1" x14ac:dyDescent="0.35"/>
    <row r="100819" hidden="1" x14ac:dyDescent="0.35"/>
    <row r="100820" hidden="1" x14ac:dyDescent="0.35"/>
    <row r="100821" hidden="1" x14ac:dyDescent="0.35"/>
    <row r="100822" hidden="1" x14ac:dyDescent="0.35"/>
    <row r="100823" hidden="1" x14ac:dyDescent="0.35"/>
    <row r="100824" hidden="1" x14ac:dyDescent="0.35"/>
    <row r="100825" hidden="1" x14ac:dyDescent="0.35"/>
    <row r="100826" hidden="1" x14ac:dyDescent="0.35"/>
    <row r="100827" hidden="1" x14ac:dyDescent="0.35"/>
    <row r="100828" hidden="1" x14ac:dyDescent="0.35"/>
    <row r="100829" hidden="1" x14ac:dyDescent="0.35"/>
    <row r="100830" hidden="1" x14ac:dyDescent="0.35"/>
    <row r="100831" hidden="1" x14ac:dyDescent="0.35"/>
    <row r="100832" hidden="1" x14ac:dyDescent="0.35"/>
    <row r="100833" hidden="1" x14ac:dyDescent="0.35"/>
    <row r="100834" hidden="1" x14ac:dyDescent="0.35"/>
    <row r="100835" hidden="1" x14ac:dyDescent="0.35"/>
    <row r="100836" hidden="1" x14ac:dyDescent="0.35"/>
    <row r="100837" hidden="1" x14ac:dyDescent="0.35"/>
    <row r="100838" hidden="1" x14ac:dyDescent="0.35"/>
    <row r="100839" hidden="1" x14ac:dyDescent="0.35"/>
    <row r="100840" hidden="1" x14ac:dyDescent="0.35"/>
    <row r="100841" hidden="1" x14ac:dyDescent="0.35"/>
    <row r="100842" hidden="1" x14ac:dyDescent="0.35"/>
    <row r="100843" hidden="1" x14ac:dyDescent="0.35"/>
    <row r="100844" hidden="1" x14ac:dyDescent="0.35"/>
    <row r="100845" hidden="1" x14ac:dyDescent="0.35"/>
    <row r="100846" hidden="1" x14ac:dyDescent="0.35"/>
    <row r="100847" hidden="1" x14ac:dyDescent="0.35"/>
    <row r="100848" hidden="1" x14ac:dyDescent="0.35"/>
    <row r="100849" hidden="1" x14ac:dyDescent="0.35"/>
    <row r="100850" hidden="1" x14ac:dyDescent="0.35"/>
    <row r="100851" hidden="1" x14ac:dyDescent="0.35"/>
    <row r="100852" hidden="1" x14ac:dyDescent="0.35"/>
    <row r="100853" hidden="1" x14ac:dyDescent="0.35"/>
    <row r="100854" hidden="1" x14ac:dyDescent="0.35"/>
    <row r="100855" hidden="1" x14ac:dyDescent="0.35"/>
    <row r="100856" hidden="1" x14ac:dyDescent="0.35"/>
    <row r="100857" hidden="1" x14ac:dyDescent="0.35"/>
    <row r="100858" hidden="1" x14ac:dyDescent="0.35"/>
    <row r="100859" hidden="1" x14ac:dyDescent="0.35"/>
    <row r="100860" hidden="1" x14ac:dyDescent="0.35"/>
    <row r="100861" hidden="1" x14ac:dyDescent="0.35"/>
    <row r="100862" hidden="1" x14ac:dyDescent="0.35"/>
    <row r="100863" hidden="1" x14ac:dyDescent="0.35"/>
    <row r="100864" hidden="1" x14ac:dyDescent="0.35"/>
    <row r="100865" hidden="1" x14ac:dyDescent="0.35"/>
    <row r="100866" hidden="1" x14ac:dyDescent="0.35"/>
    <row r="100867" hidden="1" x14ac:dyDescent="0.35"/>
    <row r="100868" hidden="1" x14ac:dyDescent="0.35"/>
    <row r="100869" hidden="1" x14ac:dyDescent="0.35"/>
    <row r="100870" hidden="1" x14ac:dyDescent="0.35"/>
    <row r="100871" hidden="1" x14ac:dyDescent="0.35"/>
    <row r="100872" hidden="1" x14ac:dyDescent="0.35"/>
    <row r="100873" hidden="1" x14ac:dyDescent="0.35"/>
    <row r="100874" hidden="1" x14ac:dyDescent="0.35"/>
    <row r="100875" hidden="1" x14ac:dyDescent="0.35"/>
    <row r="100876" hidden="1" x14ac:dyDescent="0.35"/>
    <row r="100877" hidden="1" x14ac:dyDescent="0.35"/>
    <row r="100878" hidden="1" x14ac:dyDescent="0.35"/>
    <row r="100879" hidden="1" x14ac:dyDescent="0.35"/>
    <row r="100880" hidden="1" x14ac:dyDescent="0.35"/>
    <row r="100881" hidden="1" x14ac:dyDescent="0.35"/>
    <row r="100882" hidden="1" x14ac:dyDescent="0.35"/>
    <row r="100883" hidden="1" x14ac:dyDescent="0.35"/>
    <row r="100884" hidden="1" x14ac:dyDescent="0.35"/>
    <row r="100885" hidden="1" x14ac:dyDescent="0.35"/>
    <row r="100886" hidden="1" x14ac:dyDescent="0.35"/>
    <row r="100887" hidden="1" x14ac:dyDescent="0.35"/>
    <row r="100888" hidden="1" x14ac:dyDescent="0.35"/>
    <row r="100889" hidden="1" x14ac:dyDescent="0.35"/>
    <row r="100890" hidden="1" x14ac:dyDescent="0.35"/>
    <row r="100891" hidden="1" x14ac:dyDescent="0.35"/>
    <row r="100892" hidden="1" x14ac:dyDescent="0.35"/>
    <row r="100893" hidden="1" x14ac:dyDescent="0.35"/>
    <row r="100894" hidden="1" x14ac:dyDescent="0.35"/>
    <row r="100895" hidden="1" x14ac:dyDescent="0.35"/>
    <row r="100896" hidden="1" x14ac:dyDescent="0.35"/>
    <row r="100897" hidden="1" x14ac:dyDescent="0.35"/>
    <row r="100898" hidden="1" x14ac:dyDescent="0.35"/>
    <row r="100899" hidden="1" x14ac:dyDescent="0.35"/>
    <row r="100900" hidden="1" x14ac:dyDescent="0.35"/>
    <row r="100901" hidden="1" x14ac:dyDescent="0.35"/>
    <row r="100902" hidden="1" x14ac:dyDescent="0.35"/>
    <row r="100903" hidden="1" x14ac:dyDescent="0.35"/>
    <row r="100904" hidden="1" x14ac:dyDescent="0.35"/>
    <row r="100905" hidden="1" x14ac:dyDescent="0.35"/>
    <row r="100906" hidden="1" x14ac:dyDescent="0.35"/>
    <row r="100907" hidden="1" x14ac:dyDescent="0.35"/>
    <row r="100908" hidden="1" x14ac:dyDescent="0.35"/>
    <row r="100909" hidden="1" x14ac:dyDescent="0.35"/>
    <row r="100910" hidden="1" x14ac:dyDescent="0.35"/>
    <row r="100911" hidden="1" x14ac:dyDescent="0.35"/>
    <row r="100912" hidden="1" x14ac:dyDescent="0.35"/>
    <row r="100913" hidden="1" x14ac:dyDescent="0.35"/>
    <row r="100914" hidden="1" x14ac:dyDescent="0.35"/>
    <row r="100915" hidden="1" x14ac:dyDescent="0.35"/>
    <row r="100916" hidden="1" x14ac:dyDescent="0.35"/>
    <row r="100917" hidden="1" x14ac:dyDescent="0.35"/>
    <row r="100918" hidden="1" x14ac:dyDescent="0.35"/>
    <row r="100919" hidden="1" x14ac:dyDescent="0.35"/>
    <row r="100920" hidden="1" x14ac:dyDescent="0.35"/>
    <row r="100921" hidden="1" x14ac:dyDescent="0.35"/>
    <row r="100922" hidden="1" x14ac:dyDescent="0.35"/>
    <row r="100923" hidden="1" x14ac:dyDescent="0.35"/>
    <row r="100924" hidden="1" x14ac:dyDescent="0.35"/>
    <row r="100925" hidden="1" x14ac:dyDescent="0.35"/>
    <row r="100926" hidden="1" x14ac:dyDescent="0.35"/>
    <row r="100927" hidden="1" x14ac:dyDescent="0.35"/>
    <row r="100928" hidden="1" x14ac:dyDescent="0.35"/>
    <row r="100929" hidden="1" x14ac:dyDescent="0.35"/>
    <row r="100930" hidden="1" x14ac:dyDescent="0.35"/>
    <row r="100931" hidden="1" x14ac:dyDescent="0.35"/>
    <row r="100932" hidden="1" x14ac:dyDescent="0.35"/>
    <row r="100933" hidden="1" x14ac:dyDescent="0.35"/>
    <row r="100934" hidden="1" x14ac:dyDescent="0.35"/>
    <row r="100935" hidden="1" x14ac:dyDescent="0.35"/>
    <row r="100936" hidden="1" x14ac:dyDescent="0.35"/>
    <row r="100937" hidden="1" x14ac:dyDescent="0.35"/>
    <row r="100938" hidden="1" x14ac:dyDescent="0.35"/>
    <row r="100939" hidden="1" x14ac:dyDescent="0.35"/>
    <row r="100940" hidden="1" x14ac:dyDescent="0.35"/>
    <row r="100941" hidden="1" x14ac:dyDescent="0.35"/>
    <row r="100942" hidden="1" x14ac:dyDescent="0.35"/>
    <row r="100943" hidden="1" x14ac:dyDescent="0.35"/>
    <row r="100944" hidden="1" x14ac:dyDescent="0.35"/>
    <row r="100945" hidden="1" x14ac:dyDescent="0.35"/>
    <row r="100946" hidden="1" x14ac:dyDescent="0.35"/>
    <row r="100947" hidden="1" x14ac:dyDescent="0.35"/>
    <row r="100948" hidden="1" x14ac:dyDescent="0.35"/>
    <row r="100949" hidden="1" x14ac:dyDescent="0.35"/>
    <row r="100950" hidden="1" x14ac:dyDescent="0.35"/>
    <row r="100951" hidden="1" x14ac:dyDescent="0.35"/>
    <row r="100952" hidden="1" x14ac:dyDescent="0.35"/>
    <row r="100953" hidden="1" x14ac:dyDescent="0.35"/>
    <row r="100954" hidden="1" x14ac:dyDescent="0.35"/>
    <row r="100955" hidden="1" x14ac:dyDescent="0.35"/>
    <row r="100956" hidden="1" x14ac:dyDescent="0.35"/>
    <row r="100957" hidden="1" x14ac:dyDescent="0.35"/>
    <row r="100958" hidden="1" x14ac:dyDescent="0.35"/>
    <row r="100959" hidden="1" x14ac:dyDescent="0.35"/>
    <row r="100960" hidden="1" x14ac:dyDescent="0.35"/>
    <row r="100961" hidden="1" x14ac:dyDescent="0.35"/>
    <row r="100962" hidden="1" x14ac:dyDescent="0.35"/>
    <row r="100963" hidden="1" x14ac:dyDescent="0.35"/>
    <row r="100964" hidden="1" x14ac:dyDescent="0.35"/>
    <row r="100965" hidden="1" x14ac:dyDescent="0.35"/>
    <row r="100966" hidden="1" x14ac:dyDescent="0.35"/>
    <row r="100967" hidden="1" x14ac:dyDescent="0.35"/>
    <row r="100968" hidden="1" x14ac:dyDescent="0.35"/>
    <row r="100969" hidden="1" x14ac:dyDescent="0.35"/>
    <row r="100970" hidden="1" x14ac:dyDescent="0.35"/>
    <row r="100971" hidden="1" x14ac:dyDescent="0.35"/>
    <row r="100972" hidden="1" x14ac:dyDescent="0.35"/>
    <row r="100973" hidden="1" x14ac:dyDescent="0.35"/>
    <row r="100974" hidden="1" x14ac:dyDescent="0.35"/>
    <row r="100975" hidden="1" x14ac:dyDescent="0.35"/>
    <row r="100976" hidden="1" x14ac:dyDescent="0.35"/>
    <row r="100977" hidden="1" x14ac:dyDescent="0.35"/>
    <row r="100978" hidden="1" x14ac:dyDescent="0.35"/>
    <row r="100979" hidden="1" x14ac:dyDescent="0.35"/>
    <row r="100980" hidden="1" x14ac:dyDescent="0.35"/>
    <row r="100981" hidden="1" x14ac:dyDescent="0.35"/>
    <row r="100982" hidden="1" x14ac:dyDescent="0.35"/>
    <row r="100983" hidden="1" x14ac:dyDescent="0.35"/>
    <row r="100984" hidden="1" x14ac:dyDescent="0.35"/>
    <row r="100985" hidden="1" x14ac:dyDescent="0.35"/>
    <row r="100986" hidden="1" x14ac:dyDescent="0.35"/>
    <row r="100987" hidden="1" x14ac:dyDescent="0.35"/>
    <row r="100988" hidden="1" x14ac:dyDescent="0.35"/>
    <row r="100989" hidden="1" x14ac:dyDescent="0.35"/>
    <row r="100990" hidden="1" x14ac:dyDescent="0.35"/>
    <row r="100991" hidden="1" x14ac:dyDescent="0.35"/>
    <row r="100992" hidden="1" x14ac:dyDescent="0.35"/>
    <row r="100993" hidden="1" x14ac:dyDescent="0.35"/>
    <row r="100994" hidden="1" x14ac:dyDescent="0.35"/>
    <row r="100995" hidden="1" x14ac:dyDescent="0.35"/>
    <row r="100996" hidden="1" x14ac:dyDescent="0.35"/>
    <row r="100997" hidden="1" x14ac:dyDescent="0.35"/>
    <row r="100998" hidden="1" x14ac:dyDescent="0.35"/>
    <row r="100999" hidden="1" x14ac:dyDescent="0.35"/>
    <row r="101000" hidden="1" x14ac:dyDescent="0.35"/>
    <row r="101001" hidden="1" x14ac:dyDescent="0.35"/>
    <row r="101002" hidden="1" x14ac:dyDescent="0.35"/>
    <row r="101003" hidden="1" x14ac:dyDescent="0.35"/>
    <row r="101004" hidden="1" x14ac:dyDescent="0.35"/>
    <row r="101005" hidden="1" x14ac:dyDescent="0.35"/>
    <row r="101006" hidden="1" x14ac:dyDescent="0.35"/>
    <row r="101007" hidden="1" x14ac:dyDescent="0.35"/>
    <row r="101008" hidden="1" x14ac:dyDescent="0.35"/>
    <row r="101009" hidden="1" x14ac:dyDescent="0.35"/>
    <row r="101010" hidden="1" x14ac:dyDescent="0.35"/>
    <row r="101011" hidden="1" x14ac:dyDescent="0.35"/>
    <row r="101012" hidden="1" x14ac:dyDescent="0.35"/>
    <row r="101013" hidden="1" x14ac:dyDescent="0.35"/>
    <row r="101014" hidden="1" x14ac:dyDescent="0.35"/>
    <row r="101015" hidden="1" x14ac:dyDescent="0.35"/>
    <row r="101016" hidden="1" x14ac:dyDescent="0.35"/>
    <row r="101017" hidden="1" x14ac:dyDescent="0.35"/>
    <row r="101018" hidden="1" x14ac:dyDescent="0.35"/>
    <row r="101019" hidden="1" x14ac:dyDescent="0.35"/>
    <row r="101020" hidden="1" x14ac:dyDescent="0.35"/>
    <row r="101021" hidden="1" x14ac:dyDescent="0.35"/>
    <row r="101022" hidden="1" x14ac:dyDescent="0.35"/>
    <row r="101023" hidden="1" x14ac:dyDescent="0.35"/>
    <row r="101024" hidden="1" x14ac:dyDescent="0.35"/>
    <row r="101025" hidden="1" x14ac:dyDescent="0.35"/>
    <row r="101026" hidden="1" x14ac:dyDescent="0.35"/>
    <row r="101027" hidden="1" x14ac:dyDescent="0.35"/>
    <row r="101028" hidden="1" x14ac:dyDescent="0.35"/>
    <row r="101029" hidden="1" x14ac:dyDescent="0.35"/>
    <row r="101030" hidden="1" x14ac:dyDescent="0.35"/>
    <row r="101031" hidden="1" x14ac:dyDescent="0.35"/>
    <row r="101032" hidden="1" x14ac:dyDescent="0.35"/>
    <row r="101033" hidden="1" x14ac:dyDescent="0.35"/>
    <row r="101034" hidden="1" x14ac:dyDescent="0.35"/>
    <row r="101035" hidden="1" x14ac:dyDescent="0.35"/>
    <row r="101036" hidden="1" x14ac:dyDescent="0.35"/>
    <row r="101037" hidden="1" x14ac:dyDescent="0.35"/>
    <row r="101038" hidden="1" x14ac:dyDescent="0.35"/>
    <row r="101039" hidden="1" x14ac:dyDescent="0.35"/>
    <row r="101040" hidden="1" x14ac:dyDescent="0.35"/>
    <row r="101041" hidden="1" x14ac:dyDescent="0.35"/>
    <row r="101042" hidden="1" x14ac:dyDescent="0.35"/>
    <row r="101043" hidden="1" x14ac:dyDescent="0.35"/>
    <row r="101044" hidden="1" x14ac:dyDescent="0.35"/>
    <row r="101045" hidden="1" x14ac:dyDescent="0.35"/>
    <row r="101046" hidden="1" x14ac:dyDescent="0.35"/>
    <row r="101047" hidden="1" x14ac:dyDescent="0.35"/>
    <row r="101048" hidden="1" x14ac:dyDescent="0.35"/>
    <row r="101049" hidden="1" x14ac:dyDescent="0.35"/>
    <row r="101050" hidden="1" x14ac:dyDescent="0.35"/>
    <row r="101051" hidden="1" x14ac:dyDescent="0.35"/>
    <row r="101052" hidden="1" x14ac:dyDescent="0.35"/>
    <row r="101053" hidden="1" x14ac:dyDescent="0.35"/>
    <row r="101054" hidden="1" x14ac:dyDescent="0.35"/>
    <row r="101055" hidden="1" x14ac:dyDescent="0.35"/>
    <row r="101056" hidden="1" x14ac:dyDescent="0.35"/>
    <row r="101057" hidden="1" x14ac:dyDescent="0.35"/>
    <row r="101058" hidden="1" x14ac:dyDescent="0.35"/>
    <row r="101059" hidden="1" x14ac:dyDescent="0.35"/>
    <row r="101060" hidden="1" x14ac:dyDescent="0.35"/>
    <row r="101061" hidden="1" x14ac:dyDescent="0.35"/>
    <row r="101062" hidden="1" x14ac:dyDescent="0.35"/>
    <row r="101063" hidden="1" x14ac:dyDescent="0.35"/>
    <row r="101064" hidden="1" x14ac:dyDescent="0.35"/>
    <row r="101065" hidden="1" x14ac:dyDescent="0.35"/>
    <row r="101066" hidden="1" x14ac:dyDescent="0.35"/>
    <row r="101067" hidden="1" x14ac:dyDescent="0.35"/>
    <row r="101068" hidden="1" x14ac:dyDescent="0.35"/>
    <row r="101069" hidden="1" x14ac:dyDescent="0.35"/>
    <row r="101070" hidden="1" x14ac:dyDescent="0.35"/>
    <row r="101071" hidden="1" x14ac:dyDescent="0.35"/>
    <row r="101072" hidden="1" x14ac:dyDescent="0.35"/>
    <row r="101073" hidden="1" x14ac:dyDescent="0.35"/>
    <row r="101074" hidden="1" x14ac:dyDescent="0.35"/>
    <row r="101075" hidden="1" x14ac:dyDescent="0.35"/>
    <row r="101076" hidden="1" x14ac:dyDescent="0.35"/>
    <row r="101077" hidden="1" x14ac:dyDescent="0.35"/>
    <row r="101078" hidden="1" x14ac:dyDescent="0.35"/>
    <row r="101079" hidden="1" x14ac:dyDescent="0.35"/>
    <row r="101080" hidden="1" x14ac:dyDescent="0.35"/>
    <row r="101081" hidden="1" x14ac:dyDescent="0.35"/>
    <row r="101082" hidden="1" x14ac:dyDescent="0.35"/>
    <row r="101083" hidden="1" x14ac:dyDescent="0.35"/>
    <row r="101084" hidden="1" x14ac:dyDescent="0.35"/>
    <row r="101085" hidden="1" x14ac:dyDescent="0.35"/>
    <row r="101086" hidden="1" x14ac:dyDescent="0.35"/>
    <row r="101087" hidden="1" x14ac:dyDescent="0.35"/>
    <row r="101088" hidden="1" x14ac:dyDescent="0.35"/>
    <row r="101089" hidden="1" x14ac:dyDescent="0.35"/>
    <row r="101090" hidden="1" x14ac:dyDescent="0.35"/>
    <row r="101091" hidden="1" x14ac:dyDescent="0.35"/>
    <row r="101092" hidden="1" x14ac:dyDescent="0.35"/>
    <row r="101093" hidden="1" x14ac:dyDescent="0.35"/>
    <row r="101094" hidden="1" x14ac:dyDescent="0.35"/>
    <row r="101095" hidden="1" x14ac:dyDescent="0.35"/>
    <row r="101096" hidden="1" x14ac:dyDescent="0.35"/>
    <row r="101097" hidden="1" x14ac:dyDescent="0.35"/>
    <row r="101098" hidden="1" x14ac:dyDescent="0.35"/>
    <row r="101099" hidden="1" x14ac:dyDescent="0.35"/>
    <row r="101100" hidden="1" x14ac:dyDescent="0.35"/>
    <row r="101101" hidden="1" x14ac:dyDescent="0.35"/>
    <row r="101102" hidden="1" x14ac:dyDescent="0.35"/>
    <row r="101103" hidden="1" x14ac:dyDescent="0.35"/>
    <row r="101104" hidden="1" x14ac:dyDescent="0.35"/>
    <row r="101105" hidden="1" x14ac:dyDescent="0.35"/>
    <row r="101106" hidden="1" x14ac:dyDescent="0.35"/>
    <row r="101107" hidden="1" x14ac:dyDescent="0.35"/>
    <row r="101108" hidden="1" x14ac:dyDescent="0.35"/>
    <row r="101109" hidden="1" x14ac:dyDescent="0.35"/>
    <row r="101110" hidden="1" x14ac:dyDescent="0.35"/>
    <row r="101111" hidden="1" x14ac:dyDescent="0.35"/>
    <row r="101112" hidden="1" x14ac:dyDescent="0.35"/>
    <row r="101113" hidden="1" x14ac:dyDescent="0.35"/>
    <row r="101114" hidden="1" x14ac:dyDescent="0.35"/>
    <row r="101115" hidden="1" x14ac:dyDescent="0.35"/>
    <row r="101116" hidden="1" x14ac:dyDescent="0.35"/>
    <row r="101117" hidden="1" x14ac:dyDescent="0.35"/>
    <row r="101118" hidden="1" x14ac:dyDescent="0.35"/>
    <row r="101119" hidden="1" x14ac:dyDescent="0.35"/>
    <row r="101120" hidden="1" x14ac:dyDescent="0.35"/>
    <row r="101121" hidden="1" x14ac:dyDescent="0.35"/>
    <row r="101122" hidden="1" x14ac:dyDescent="0.35"/>
    <row r="101123" hidden="1" x14ac:dyDescent="0.35"/>
    <row r="101124" hidden="1" x14ac:dyDescent="0.35"/>
    <row r="101125" hidden="1" x14ac:dyDescent="0.35"/>
    <row r="101126" hidden="1" x14ac:dyDescent="0.35"/>
    <row r="101127" hidden="1" x14ac:dyDescent="0.35"/>
    <row r="101128" hidden="1" x14ac:dyDescent="0.35"/>
    <row r="101129" hidden="1" x14ac:dyDescent="0.35"/>
    <row r="101130" hidden="1" x14ac:dyDescent="0.35"/>
    <row r="101131" hidden="1" x14ac:dyDescent="0.35"/>
    <row r="101132" hidden="1" x14ac:dyDescent="0.35"/>
    <row r="101133" hidden="1" x14ac:dyDescent="0.35"/>
    <row r="101134" hidden="1" x14ac:dyDescent="0.35"/>
    <row r="101135" hidden="1" x14ac:dyDescent="0.35"/>
    <row r="101136" hidden="1" x14ac:dyDescent="0.35"/>
    <row r="101137" hidden="1" x14ac:dyDescent="0.35"/>
    <row r="101138" hidden="1" x14ac:dyDescent="0.35"/>
    <row r="101139" hidden="1" x14ac:dyDescent="0.35"/>
    <row r="101140" hidden="1" x14ac:dyDescent="0.35"/>
    <row r="101141" hidden="1" x14ac:dyDescent="0.35"/>
    <row r="101142" hidden="1" x14ac:dyDescent="0.35"/>
    <row r="101143" hidden="1" x14ac:dyDescent="0.35"/>
    <row r="101144" hidden="1" x14ac:dyDescent="0.35"/>
    <row r="101145" hidden="1" x14ac:dyDescent="0.35"/>
    <row r="101146" hidden="1" x14ac:dyDescent="0.35"/>
    <row r="101147" hidden="1" x14ac:dyDescent="0.35"/>
    <row r="101148" hidden="1" x14ac:dyDescent="0.35"/>
    <row r="101149" hidden="1" x14ac:dyDescent="0.35"/>
    <row r="101150" hidden="1" x14ac:dyDescent="0.35"/>
    <row r="101151" hidden="1" x14ac:dyDescent="0.35"/>
    <row r="101152" hidden="1" x14ac:dyDescent="0.35"/>
    <row r="101153" hidden="1" x14ac:dyDescent="0.35"/>
    <row r="101154" hidden="1" x14ac:dyDescent="0.35"/>
    <row r="101155" hidden="1" x14ac:dyDescent="0.35"/>
    <row r="101156" hidden="1" x14ac:dyDescent="0.35"/>
    <row r="101157" hidden="1" x14ac:dyDescent="0.35"/>
    <row r="101158" hidden="1" x14ac:dyDescent="0.35"/>
    <row r="101159" hidden="1" x14ac:dyDescent="0.35"/>
    <row r="101160" hidden="1" x14ac:dyDescent="0.35"/>
    <row r="101161" hidden="1" x14ac:dyDescent="0.35"/>
    <row r="101162" hidden="1" x14ac:dyDescent="0.35"/>
    <row r="101163" hidden="1" x14ac:dyDescent="0.35"/>
    <row r="101164" hidden="1" x14ac:dyDescent="0.35"/>
    <row r="101165" hidden="1" x14ac:dyDescent="0.35"/>
    <row r="101166" hidden="1" x14ac:dyDescent="0.35"/>
    <row r="101167" hidden="1" x14ac:dyDescent="0.35"/>
    <row r="101168" hidden="1" x14ac:dyDescent="0.35"/>
    <row r="101169" hidden="1" x14ac:dyDescent="0.35"/>
    <row r="101170" hidden="1" x14ac:dyDescent="0.35"/>
    <row r="101171" hidden="1" x14ac:dyDescent="0.35"/>
    <row r="101172" hidden="1" x14ac:dyDescent="0.35"/>
    <row r="101173" hidden="1" x14ac:dyDescent="0.35"/>
    <row r="101174" hidden="1" x14ac:dyDescent="0.35"/>
    <row r="101175" hidden="1" x14ac:dyDescent="0.35"/>
    <row r="101176" hidden="1" x14ac:dyDescent="0.35"/>
    <row r="101177" hidden="1" x14ac:dyDescent="0.35"/>
    <row r="101178" hidden="1" x14ac:dyDescent="0.35"/>
    <row r="101179" hidden="1" x14ac:dyDescent="0.35"/>
    <row r="101180" hidden="1" x14ac:dyDescent="0.35"/>
    <row r="101181" hidden="1" x14ac:dyDescent="0.35"/>
    <row r="101182" hidden="1" x14ac:dyDescent="0.35"/>
    <row r="101183" hidden="1" x14ac:dyDescent="0.35"/>
    <row r="101184" hidden="1" x14ac:dyDescent="0.35"/>
    <row r="101185" hidden="1" x14ac:dyDescent="0.35"/>
    <row r="101186" hidden="1" x14ac:dyDescent="0.35"/>
    <row r="101187" hidden="1" x14ac:dyDescent="0.35"/>
    <row r="101188" hidden="1" x14ac:dyDescent="0.35"/>
    <row r="101189" hidden="1" x14ac:dyDescent="0.35"/>
    <row r="101190" hidden="1" x14ac:dyDescent="0.35"/>
    <row r="101191" hidden="1" x14ac:dyDescent="0.35"/>
    <row r="101192" hidden="1" x14ac:dyDescent="0.35"/>
    <row r="101193" hidden="1" x14ac:dyDescent="0.35"/>
    <row r="101194" hidden="1" x14ac:dyDescent="0.35"/>
    <row r="101195" hidden="1" x14ac:dyDescent="0.35"/>
    <row r="101196" hidden="1" x14ac:dyDescent="0.35"/>
    <row r="101197" hidden="1" x14ac:dyDescent="0.35"/>
    <row r="101198" hidden="1" x14ac:dyDescent="0.35"/>
    <row r="101199" hidden="1" x14ac:dyDescent="0.35"/>
    <row r="101200" hidden="1" x14ac:dyDescent="0.35"/>
    <row r="101201" hidden="1" x14ac:dyDescent="0.35"/>
    <row r="101202" hidden="1" x14ac:dyDescent="0.35"/>
    <row r="101203" hidden="1" x14ac:dyDescent="0.35"/>
    <row r="101204" hidden="1" x14ac:dyDescent="0.35"/>
    <row r="101205" hidden="1" x14ac:dyDescent="0.35"/>
    <row r="101206" hidden="1" x14ac:dyDescent="0.35"/>
    <row r="101207" hidden="1" x14ac:dyDescent="0.35"/>
    <row r="101208" hidden="1" x14ac:dyDescent="0.35"/>
    <row r="101209" hidden="1" x14ac:dyDescent="0.35"/>
    <row r="101210" hidden="1" x14ac:dyDescent="0.35"/>
    <row r="101211" hidden="1" x14ac:dyDescent="0.35"/>
    <row r="101212" hidden="1" x14ac:dyDescent="0.35"/>
    <row r="101213" hidden="1" x14ac:dyDescent="0.35"/>
    <row r="101214" hidden="1" x14ac:dyDescent="0.35"/>
    <row r="101215" hidden="1" x14ac:dyDescent="0.35"/>
    <row r="101216" hidden="1" x14ac:dyDescent="0.35"/>
    <row r="101217" hidden="1" x14ac:dyDescent="0.35"/>
    <row r="101218" hidden="1" x14ac:dyDescent="0.35"/>
    <row r="101219" hidden="1" x14ac:dyDescent="0.35"/>
    <row r="101220" hidden="1" x14ac:dyDescent="0.35"/>
    <row r="101221" hidden="1" x14ac:dyDescent="0.35"/>
    <row r="101222" hidden="1" x14ac:dyDescent="0.35"/>
    <row r="101223" hidden="1" x14ac:dyDescent="0.35"/>
    <row r="101224" hidden="1" x14ac:dyDescent="0.35"/>
    <row r="101225" hidden="1" x14ac:dyDescent="0.35"/>
    <row r="101226" hidden="1" x14ac:dyDescent="0.35"/>
    <row r="101227" hidden="1" x14ac:dyDescent="0.35"/>
    <row r="101228" hidden="1" x14ac:dyDescent="0.35"/>
    <row r="101229" hidden="1" x14ac:dyDescent="0.35"/>
    <row r="101230" hidden="1" x14ac:dyDescent="0.35"/>
    <row r="101231" hidden="1" x14ac:dyDescent="0.35"/>
    <row r="101232" hidden="1" x14ac:dyDescent="0.35"/>
    <row r="101233" hidden="1" x14ac:dyDescent="0.35"/>
    <row r="101234" hidden="1" x14ac:dyDescent="0.35"/>
    <row r="101235" hidden="1" x14ac:dyDescent="0.35"/>
    <row r="101236" hidden="1" x14ac:dyDescent="0.35"/>
    <row r="101237" hidden="1" x14ac:dyDescent="0.35"/>
    <row r="101238" hidden="1" x14ac:dyDescent="0.35"/>
    <row r="101239" hidden="1" x14ac:dyDescent="0.35"/>
    <row r="101240" hidden="1" x14ac:dyDescent="0.35"/>
    <row r="101241" hidden="1" x14ac:dyDescent="0.35"/>
    <row r="101242" hidden="1" x14ac:dyDescent="0.35"/>
    <row r="101243" hidden="1" x14ac:dyDescent="0.35"/>
    <row r="101244" hidden="1" x14ac:dyDescent="0.35"/>
    <row r="101245" hidden="1" x14ac:dyDescent="0.35"/>
    <row r="101246" hidden="1" x14ac:dyDescent="0.35"/>
    <row r="101247" hidden="1" x14ac:dyDescent="0.35"/>
    <row r="101248" hidden="1" x14ac:dyDescent="0.35"/>
    <row r="101249" hidden="1" x14ac:dyDescent="0.35"/>
    <row r="101250" hidden="1" x14ac:dyDescent="0.35"/>
    <row r="101251" hidden="1" x14ac:dyDescent="0.35"/>
    <row r="101252" hidden="1" x14ac:dyDescent="0.35"/>
    <row r="101253" hidden="1" x14ac:dyDescent="0.35"/>
    <row r="101254" hidden="1" x14ac:dyDescent="0.35"/>
    <row r="101255" hidden="1" x14ac:dyDescent="0.35"/>
    <row r="101256" hidden="1" x14ac:dyDescent="0.35"/>
    <row r="101257" hidden="1" x14ac:dyDescent="0.35"/>
    <row r="101258" hidden="1" x14ac:dyDescent="0.35"/>
    <row r="101259" hidden="1" x14ac:dyDescent="0.35"/>
    <row r="101260" hidden="1" x14ac:dyDescent="0.35"/>
    <row r="101261" hidden="1" x14ac:dyDescent="0.35"/>
    <row r="101262" hidden="1" x14ac:dyDescent="0.35"/>
    <row r="101263" hidden="1" x14ac:dyDescent="0.35"/>
    <row r="101264" hidden="1" x14ac:dyDescent="0.35"/>
    <row r="101265" hidden="1" x14ac:dyDescent="0.35"/>
    <row r="101266" hidden="1" x14ac:dyDescent="0.35"/>
    <row r="101267" hidden="1" x14ac:dyDescent="0.35"/>
    <row r="101268" hidden="1" x14ac:dyDescent="0.35"/>
    <row r="101269" hidden="1" x14ac:dyDescent="0.35"/>
    <row r="101270" hidden="1" x14ac:dyDescent="0.35"/>
    <row r="101271" hidden="1" x14ac:dyDescent="0.35"/>
    <row r="101272" hidden="1" x14ac:dyDescent="0.35"/>
    <row r="101273" hidden="1" x14ac:dyDescent="0.35"/>
    <row r="101274" hidden="1" x14ac:dyDescent="0.35"/>
    <row r="101275" hidden="1" x14ac:dyDescent="0.35"/>
    <row r="101276" hidden="1" x14ac:dyDescent="0.35"/>
    <row r="101277" hidden="1" x14ac:dyDescent="0.35"/>
    <row r="101278" hidden="1" x14ac:dyDescent="0.35"/>
    <row r="101279" hidden="1" x14ac:dyDescent="0.35"/>
    <row r="101280" hidden="1" x14ac:dyDescent="0.35"/>
    <row r="101281" hidden="1" x14ac:dyDescent="0.35"/>
    <row r="101282" hidden="1" x14ac:dyDescent="0.35"/>
    <row r="101283" hidden="1" x14ac:dyDescent="0.35"/>
    <row r="101284" hidden="1" x14ac:dyDescent="0.35"/>
    <row r="101285" hidden="1" x14ac:dyDescent="0.35"/>
    <row r="101286" hidden="1" x14ac:dyDescent="0.35"/>
    <row r="101287" hidden="1" x14ac:dyDescent="0.35"/>
    <row r="101288" hidden="1" x14ac:dyDescent="0.35"/>
    <row r="101289" hidden="1" x14ac:dyDescent="0.35"/>
    <row r="101290" hidden="1" x14ac:dyDescent="0.35"/>
    <row r="101291" hidden="1" x14ac:dyDescent="0.35"/>
    <row r="101292" hidden="1" x14ac:dyDescent="0.35"/>
    <row r="101293" hidden="1" x14ac:dyDescent="0.35"/>
    <row r="101294" hidden="1" x14ac:dyDescent="0.35"/>
    <row r="101295" hidden="1" x14ac:dyDescent="0.35"/>
    <row r="101296" hidden="1" x14ac:dyDescent="0.35"/>
    <row r="101297" hidden="1" x14ac:dyDescent="0.35"/>
    <row r="101298" hidden="1" x14ac:dyDescent="0.35"/>
    <row r="101299" hidden="1" x14ac:dyDescent="0.35"/>
    <row r="101300" hidden="1" x14ac:dyDescent="0.35"/>
    <row r="101301" hidden="1" x14ac:dyDescent="0.35"/>
    <row r="101302" hidden="1" x14ac:dyDescent="0.35"/>
    <row r="101303" hidden="1" x14ac:dyDescent="0.35"/>
    <row r="101304" hidden="1" x14ac:dyDescent="0.35"/>
    <row r="101305" hidden="1" x14ac:dyDescent="0.35"/>
    <row r="101306" hidden="1" x14ac:dyDescent="0.35"/>
    <row r="101307" hidden="1" x14ac:dyDescent="0.35"/>
    <row r="101308" hidden="1" x14ac:dyDescent="0.35"/>
    <row r="101309" hidden="1" x14ac:dyDescent="0.35"/>
    <row r="101310" hidden="1" x14ac:dyDescent="0.35"/>
    <row r="101311" hidden="1" x14ac:dyDescent="0.35"/>
    <row r="101312" hidden="1" x14ac:dyDescent="0.35"/>
    <row r="101313" hidden="1" x14ac:dyDescent="0.35"/>
    <row r="101314" hidden="1" x14ac:dyDescent="0.35"/>
    <row r="101315" hidden="1" x14ac:dyDescent="0.35"/>
    <row r="101316" hidden="1" x14ac:dyDescent="0.35"/>
    <row r="101317" hidden="1" x14ac:dyDescent="0.35"/>
    <row r="101318" hidden="1" x14ac:dyDescent="0.35"/>
    <row r="101319" hidden="1" x14ac:dyDescent="0.35"/>
    <row r="101320" hidden="1" x14ac:dyDescent="0.35"/>
    <row r="101321" hidden="1" x14ac:dyDescent="0.35"/>
    <row r="101322" hidden="1" x14ac:dyDescent="0.35"/>
    <row r="101323" hidden="1" x14ac:dyDescent="0.35"/>
    <row r="101324" hidden="1" x14ac:dyDescent="0.35"/>
    <row r="101325" hidden="1" x14ac:dyDescent="0.35"/>
    <row r="101326" hidden="1" x14ac:dyDescent="0.35"/>
    <row r="101327" hidden="1" x14ac:dyDescent="0.35"/>
    <row r="101328" hidden="1" x14ac:dyDescent="0.35"/>
    <row r="101329" hidden="1" x14ac:dyDescent="0.35"/>
    <row r="101330" hidden="1" x14ac:dyDescent="0.35"/>
    <row r="101331" hidden="1" x14ac:dyDescent="0.35"/>
    <row r="101332" hidden="1" x14ac:dyDescent="0.35"/>
    <row r="101333" hidden="1" x14ac:dyDescent="0.35"/>
    <row r="101334" hidden="1" x14ac:dyDescent="0.35"/>
    <row r="101335" hidden="1" x14ac:dyDescent="0.35"/>
    <row r="101336" hidden="1" x14ac:dyDescent="0.35"/>
    <row r="101337" hidden="1" x14ac:dyDescent="0.35"/>
    <row r="101338" hidden="1" x14ac:dyDescent="0.35"/>
    <row r="101339" hidden="1" x14ac:dyDescent="0.35"/>
    <row r="101340" hidden="1" x14ac:dyDescent="0.35"/>
    <row r="101341" hidden="1" x14ac:dyDescent="0.35"/>
    <row r="101342" hidden="1" x14ac:dyDescent="0.35"/>
    <row r="101343" hidden="1" x14ac:dyDescent="0.35"/>
    <row r="101344" hidden="1" x14ac:dyDescent="0.35"/>
    <row r="101345" hidden="1" x14ac:dyDescent="0.35"/>
    <row r="101346" hidden="1" x14ac:dyDescent="0.35"/>
    <row r="101347" hidden="1" x14ac:dyDescent="0.35"/>
    <row r="101348" hidden="1" x14ac:dyDescent="0.35"/>
    <row r="101349" hidden="1" x14ac:dyDescent="0.35"/>
    <row r="101350" hidden="1" x14ac:dyDescent="0.35"/>
    <row r="101351" hidden="1" x14ac:dyDescent="0.35"/>
    <row r="101352" hidden="1" x14ac:dyDescent="0.35"/>
    <row r="101353" hidden="1" x14ac:dyDescent="0.35"/>
    <row r="101354" hidden="1" x14ac:dyDescent="0.35"/>
    <row r="101355" hidden="1" x14ac:dyDescent="0.35"/>
    <row r="101356" hidden="1" x14ac:dyDescent="0.35"/>
    <row r="101357" hidden="1" x14ac:dyDescent="0.35"/>
    <row r="101358" hidden="1" x14ac:dyDescent="0.35"/>
    <row r="101359" hidden="1" x14ac:dyDescent="0.35"/>
    <row r="101360" hidden="1" x14ac:dyDescent="0.35"/>
    <row r="101361" hidden="1" x14ac:dyDescent="0.35"/>
    <row r="101362" hidden="1" x14ac:dyDescent="0.35"/>
    <row r="101363" hidden="1" x14ac:dyDescent="0.35"/>
    <row r="101364" hidden="1" x14ac:dyDescent="0.35"/>
    <row r="101365" hidden="1" x14ac:dyDescent="0.35"/>
    <row r="101366" hidden="1" x14ac:dyDescent="0.35"/>
    <row r="101367" hidden="1" x14ac:dyDescent="0.35"/>
    <row r="101368" hidden="1" x14ac:dyDescent="0.35"/>
    <row r="101369" hidden="1" x14ac:dyDescent="0.35"/>
    <row r="101370" hidden="1" x14ac:dyDescent="0.35"/>
    <row r="101371" hidden="1" x14ac:dyDescent="0.35"/>
    <row r="101372" hidden="1" x14ac:dyDescent="0.35"/>
    <row r="101373" hidden="1" x14ac:dyDescent="0.35"/>
    <row r="101374" hidden="1" x14ac:dyDescent="0.35"/>
    <row r="101375" hidden="1" x14ac:dyDescent="0.35"/>
    <row r="101376" hidden="1" x14ac:dyDescent="0.35"/>
    <row r="101377" hidden="1" x14ac:dyDescent="0.35"/>
    <row r="101378" hidden="1" x14ac:dyDescent="0.35"/>
    <row r="101379" hidden="1" x14ac:dyDescent="0.35"/>
    <row r="101380" hidden="1" x14ac:dyDescent="0.35"/>
    <row r="101381" hidden="1" x14ac:dyDescent="0.35"/>
    <row r="101382" hidden="1" x14ac:dyDescent="0.35"/>
    <row r="101383" hidden="1" x14ac:dyDescent="0.35"/>
    <row r="101384" hidden="1" x14ac:dyDescent="0.35"/>
    <row r="101385" hidden="1" x14ac:dyDescent="0.35"/>
    <row r="101386" hidden="1" x14ac:dyDescent="0.35"/>
    <row r="101387" hidden="1" x14ac:dyDescent="0.35"/>
    <row r="101388" hidden="1" x14ac:dyDescent="0.35"/>
    <row r="101389" hidden="1" x14ac:dyDescent="0.35"/>
    <row r="101390" hidden="1" x14ac:dyDescent="0.35"/>
    <row r="101391" hidden="1" x14ac:dyDescent="0.35"/>
    <row r="101392" hidden="1" x14ac:dyDescent="0.35"/>
    <row r="101393" hidden="1" x14ac:dyDescent="0.35"/>
    <row r="101394" hidden="1" x14ac:dyDescent="0.35"/>
    <row r="101395" hidden="1" x14ac:dyDescent="0.35"/>
    <row r="101396" hidden="1" x14ac:dyDescent="0.35"/>
    <row r="101397" hidden="1" x14ac:dyDescent="0.35"/>
    <row r="101398" hidden="1" x14ac:dyDescent="0.35"/>
    <row r="101399" hidden="1" x14ac:dyDescent="0.35"/>
    <row r="101400" hidden="1" x14ac:dyDescent="0.35"/>
    <row r="101401" hidden="1" x14ac:dyDescent="0.35"/>
    <row r="101402" hidden="1" x14ac:dyDescent="0.35"/>
    <row r="101403" hidden="1" x14ac:dyDescent="0.35"/>
    <row r="101404" hidden="1" x14ac:dyDescent="0.35"/>
    <row r="101405" hidden="1" x14ac:dyDescent="0.35"/>
    <row r="101406" hidden="1" x14ac:dyDescent="0.35"/>
    <row r="101407" hidden="1" x14ac:dyDescent="0.35"/>
    <row r="101408" hidden="1" x14ac:dyDescent="0.35"/>
    <row r="101409" hidden="1" x14ac:dyDescent="0.35"/>
    <row r="101410" hidden="1" x14ac:dyDescent="0.35"/>
    <row r="101411" hidden="1" x14ac:dyDescent="0.35"/>
    <row r="101412" hidden="1" x14ac:dyDescent="0.35"/>
    <row r="101413" hidden="1" x14ac:dyDescent="0.35"/>
    <row r="101414" hidden="1" x14ac:dyDescent="0.35"/>
    <row r="101415" hidden="1" x14ac:dyDescent="0.35"/>
    <row r="101416" hidden="1" x14ac:dyDescent="0.35"/>
    <row r="101417" hidden="1" x14ac:dyDescent="0.35"/>
    <row r="101418" hidden="1" x14ac:dyDescent="0.35"/>
    <row r="101419" hidden="1" x14ac:dyDescent="0.35"/>
    <row r="101420" hidden="1" x14ac:dyDescent="0.35"/>
    <row r="101421" hidden="1" x14ac:dyDescent="0.35"/>
    <row r="101422" hidden="1" x14ac:dyDescent="0.35"/>
    <row r="101423" hidden="1" x14ac:dyDescent="0.35"/>
    <row r="101424" hidden="1" x14ac:dyDescent="0.35"/>
    <row r="101425" hidden="1" x14ac:dyDescent="0.35"/>
    <row r="101426" hidden="1" x14ac:dyDescent="0.35"/>
    <row r="101427" hidden="1" x14ac:dyDescent="0.35"/>
    <row r="101428" hidden="1" x14ac:dyDescent="0.35"/>
    <row r="101429" hidden="1" x14ac:dyDescent="0.35"/>
    <row r="101430" hidden="1" x14ac:dyDescent="0.35"/>
    <row r="101431" hidden="1" x14ac:dyDescent="0.35"/>
    <row r="101432" hidden="1" x14ac:dyDescent="0.35"/>
    <row r="101433" hidden="1" x14ac:dyDescent="0.35"/>
    <row r="101434" hidden="1" x14ac:dyDescent="0.35"/>
    <row r="101435" hidden="1" x14ac:dyDescent="0.35"/>
    <row r="101436" hidden="1" x14ac:dyDescent="0.35"/>
    <row r="101437" hidden="1" x14ac:dyDescent="0.35"/>
    <row r="101438" hidden="1" x14ac:dyDescent="0.35"/>
    <row r="101439" hidden="1" x14ac:dyDescent="0.35"/>
    <row r="101440" hidden="1" x14ac:dyDescent="0.35"/>
    <row r="101441" hidden="1" x14ac:dyDescent="0.35"/>
    <row r="101442" hidden="1" x14ac:dyDescent="0.35"/>
    <row r="101443" hidden="1" x14ac:dyDescent="0.35"/>
    <row r="101444" hidden="1" x14ac:dyDescent="0.35"/>
    <row r="101445" hidden="1" x14ac:dyDescent="0.35"/>
    <row r="101446" hidden="1" x14ac:dyDescent="0.35"/>
    <row r="101447" hidden="1" x14ac:dyDescent="0.35"/>
    <row r="101448" hidden="1" x14ac:dyDescent="0.35"/>
    <row r="101449" hidden="1" x14ac:dyDescent="0.35"/>
    <row r="101450" hidden="1" x14ac:dyDescent="0.35"/>
    <row r="101451" hidden="1" x14ac:dyDescent="0.35"/>
    <row r="101452" hidden="1" x14ac:dyDescent="0.35"/>
    <row r="101453" hidden="1" x14ac:dyDescent="0.35"/>
    <row r="101454" hidden="1" x14ac:dyDescent="0.35"/>
    <row r="101455" hidden="1" x14ac:dyDescent="0.35"/>
    <row r="101456" hidden="1" x14ac:dyDescent="0.35"/>
    <row r="101457" hidden="1" x14ac:dyDescent="0.35"/>
    <row r="101458" hidden="1" x14ac:dyDescent="0.35"/>
    <row r="101459" hidden="1" x14ac:dyDescent="0.35"/>
    <row r="101460" hidden="1" x14ac:dyDescent="0.35"/>
    <row r="101461" hidden="1" x14ac:dyDescent="0.35"/>
    <row r="101462" hidden="1" x14ac:dyDescent="0.35"/>
    <row r="101463" hidden="1" x14ac:dyDescent="0.35"/>
    <row r="101464" hidden="1" x14ac:dyDescent="0.35"/>
    <row r="101465" hidden="1" x14ac:dyDescent="0.35"/>
    <row r="101466" hidden="1" x14ac:dyDescent="0.35"/>
    <row r="101467" hidden="1" x14ac:dyDescent="0.35"/>
    <row r="101468" hidden="1" x14ac:dyDescent="0.35"/>
    <row r="101469" hidden="1" x14ac:dyDescent="0.35"/>
    <row r="101470" hidden="1" x14ac:dyDescent="0.35"/>
    <row r="101471" hidden="1" x14ac:dyDescent="0.35"/>
    <row r="101472" hidden="1" x14ac:dyDescent="0.35"/>
    <row r="101473" hidden="1" x14ac:dyDescent="0.35"/>
    <row r="101474" hidden="1" x14ac:dyDescent="0.35"/>
    <row r="101475" hidden="1" x14ac:dyDescent="0.35"/>
    <row r="101476" hidden="1" x14ac:dyDescent="0.35"/>
    <row r="101477" hidden="1" x14ac:dyDescent="0.35"/>
    <row r="101478" hidden="1" x14ac:dyDescent="0.35"/>
    <row r="101479" hidden="1" x14ac:dyDescent="0.35"/>
    <row r="101480" hidden="1" x14ac:dyDescent="0.35"/>
    <row r="101481" hidden="1" x14ac:dyDescent="0.35"/>
    <row r="101482" hidden="1" x14ac:dyDescent="0.35"/>
    <row r="101483" hidden="1" x14ac:dyDescent="0.35"/>
    <row r="101484" hidden="1" x14ac:dyDescent="0.35"/>
    <row r="101485" hidden="1" x14ac:dyDescent="0.35"/>
    <row r="101486" hidden="1" x14ac:dyDescent="0.35"/>
    <row r="101487" hidden="1" x14ac:dyDescent="0.35"/>
    <row r="101488" hidden="1" x14ac:dyDescent="0.35"/>
    <row r="101489" hidden="1" x14ac:dyDescent="0.35"/>
    <row r="101490" hidden="1" x14ac:dyDescent="0.35"/>
    <row r="101491" hidden="1" x14ac:dyDescent="0.35"/>
    <row r="101492" hidden="1" x14ac:dyDescent="0.35"/>
    <row r="101493" hidden="1" x14ac:dyDescent="0.35"/>
    <row r="101494" hidden="1" x14ac:dyDescent="0.35"/>
    <row r="101495" hidden="1" x14ac:dyDescent="0.35"/>
    <row r="101496" hidden="1" x14ac:dyDescent="0.35"/>
    <row r="101497" hidden="1" x14ac:dyDescent="0.35"/>
    <row r="101498" hidden="1" x14ac:dyDescent="0.35"/>
    <row r="101499" hidden="1" x14ac:dyDescent="0.35"/>
    <row r="101500" hidden="1" x14ac:dyDescent="0.35"/>
    <row r="101501" hidden="1" x14ac:dyDescent="0.35"/>
    <row r="101502" hidden="1" x14ac:dyDescent="0.35"/>
    <row r="101503" hidden="1" x14ac:dyDescent="0.35"/>
    <row r="101504" hidden="1" x14ac:dyDescent="0.35"/>
    <row r="101505" hidden="1" x14ac:dyDescent="0.35"/>
    <row r="101506" hidden="1" x14ac:dyDescent="0.35"/>
    <row r="101507" hidden="1" x14ac:dyDescent="0.35"/>
    <row r="101508" hidden="1" x14ac:dyDescent="0.35"/>
    <row r="101509" hidden="1" x14ac:dyDescent="0.35"/>
    <row r="101510" hidden="1" x14ac:dyDescent="0.35"/>
    <row r="101511" hidden="1" x14ac:dyDescent="0.35"/>
    <row r="101512" hidden="1" x14ac:dyDescent="0.35"/>
    <row r="101513" hidden="1" x14ac:dyDescent="0.35"/>
    <row r="101514" hidden="1" x14ac:dyDescent="0.35"/>
    <row r="101515" hidden="1" x14ac:dyDescent="0.35"/>
    <row r="101516" hidden="1" x14ac:dyDescent="0.35"/>
    <row r="101517" hidden="1" x14ac:dyDescent="0.35"/>
    <row r="101518" hidden="1" x14ac:dyDescent="0.35"/>
    <row r="101519" hidden="1" x14ac:dyDescent="0.35"/>
    <row r="101520" hidden="1" x14ac:dyDescent="0.35"/>
    <row r="101521" hidden="1" x14ac:dyDescent="0.35"/>
    <row r="101522" hidden="1" x14ac:dyDescent="0.35"/>
    <row r="101523" hidden="1" x14ac:dyDescent="0.35"/>
    <row r="101524" hidden="1" x14ac:dyDescent="0.35"/>
    <row r="101525" hidden="1" x14ac:dyDescent="0.35"/>
    <row r="101526" hidden="1" x14ac:dyDescent="0.35"/>
    <row r="101527" hidden="1" x14ac:dyDescent="0.35"/>
    <row r="101528" hidden="1" x14ac:dyDescent="0.35"/>
    <row r="101529" hidden="1" x14ac:dyDescent="0.35"/>
    <row r="101530" hidden="1" x14ac:dyDescent="0.35"/>
    <row r="101531" hidden="1" x14ac:dyDescent="0.35"/>
    <row r="101532" hidden="1" x14ac:dyDescent="0.35"/>
    <row r="101533" hidden="1" x14ac:dyDescent="0.35"/>
    <row r="101534" hidden="1" x14ac:dyDescent="0.35"/>
    <row r="101535" hidden="1" x14ac:dyDescent="0.35"/>
    <row r="101536" hidden="1" x14ac:dyDescent="0.35"/>
    <row r="101537" hidden="1" x14ac:dyDescent="0.35"/>
    <row r="101538" hidden="1" x14ac:dyDescent="0.35"/>
    <row r="101539" hidden="1" x14ac:dyDescent="0.35"/>
    <row r="101540" hidden="1" x14ac:dyDescent="0.35"/>
    <row r="101541" hidden="1" x14ac:dyDescent="0.35"/>
    <row r="101542" hidden="1" x14ac:dyDescent="0.35"/>
    <row r="101543" hidden="1" x14ac:dyDescent="0.35"/>
    <row r="101544" hidden="1" x14ac:dyDescent="0.35"/>
    <row r="101545" hidden="1" x14ac:dyDescent="0.35"/>
    <row r="101546" hidden="1" x14ac:dyDescent="0.35"/>
    <row r="101547" hidden="1" x14ac:dyDescent="0.35"/>
    <row r="101548" hidden="1" x14ac:dyDescent="0.35"/>
    <row r="101549" hidden="1" x14ac:dyDescent="0.35"/>
    <row r="101550" hidden="1" x14ac:dyDescent="0.35"/>
    <row r="101551" hidden="1" x14ac:dyDescent="0.35"/>
    <row r="101552" hidden="1" x14ac:dyDescent="0.35"/>
    <row r="101553" hidden="1" x14ac:dyDescent="0.35"/>
    <row r="101554" hidden="1" x14ac:dyDescent="0.35"/>
    <row r="101555" hidden="1" x14ac:dyDescent="0.35"/>
    <row r="101556" hidden="1" x14ac:dyDescent="0.35"/>
    <row r="101557" hidden="1" x14ac:dyDescent="0.35"/>
    <row r="101558" hidden="1" x14ac:dyDescent="0.35"/>
    <row r="101559" hidden="1" x14ac:dyDescent="0.35"/>
    <row r="101560" hidden="1" x14ac:dyDescent="0.35"/>
    <row r="101561" hidden="1" x14ac:dyDescent="0.35"/>
    <row r="101562" hidden="1" x14ac:dyDescent="0.35"/>
    <row r="101563" hidden="1" x14ac:dyDescent="0.35"/>
    <row r="101564" hidden="1" x14ac:dyDescent="0.35"/>
    <row r="101565" hidden="1" x14ac:dyDescent="0.35"/>
    <row r="101566" hidden="1" x14ac:dyDescent="0.35"/>
    <row r="101567" hidden="1" x14ac:dyDescent="0.35"/>
    <row r="101568" hidden="1" x14ac:dyDescent="0.35"/>
    <row r="101569" hidden="1" x14ac:dyDescent="0.35"/>
    <row r="101570" hidden="1" x14ac:dyDescent="0.35"/>
    <row r="101571" hidden="1" x14ac:dyDescent="0.35"/>
    <row r="101572" hidden="1" x14ac:dyDescent="0.35"/>
    <row r="101573" hidden="1" x14ac:dyDescent="0.35"/>
    <row r="101574" hidden="1" x14ac:dyDescent="0.35"/>
    <row r="101575" hidden="1" x14ac:dyDescent="0.35"/>
    <row r="101576" hidden="1" x14ac:dyDescent="0.35"/>
    <row r="101577" hidden="1" x14ac:dyDescent="0.35"/>
    <row r="101578" hidden="1" x14ac:dyDescent="0.35"/>
    <row r="101579" hidden="1" x14ac:dyDescent="0.35"/>
    <row r="101580" hidden="1" x14ac:dyDescent="0.35"/>
    <row r="101581" hidden="1" x14ac:dyDescent="0.35"/>
    <row r="101582" hidden="1" x14ac:dyDescent="0.35"/>
    <row r="101583" hidden="1" x14ac:dyDescent="0.35"/>
    <row r="101584" hidden="1" x14ac:dyDescent="0.35"/>
    <row r="101585" hidden="1" x14ac:dyDescent="0.35"/>
    <row r="101586" hidden="1" x14ac:dyDescent="0.35"/>
    <row r="101587" hidden="1" x14ac:dyDescent="0.35"/>
    <row r="101588" hidden="1" x14ac:dyDescent="0.35"/>
    <row r="101589" hidden="1" x14ac:dyDescent="0.35"/>
    <row r="101590" hidden="1" x14ac:dyDescent="0.35"/>
    <row r="101591" hidden="1" x14ac:dyDescent="0.35"/>
    <row r="101592" hidden="1" x14ac:dyDescent="0.35"/>
    <row r="101593" hidden="1" x14ac:dyDescent="0.35"/>
    <row r="101594" hidden="1" x14ac:dyDescent="0.35"/>
    <row r="101595" hidden="1" x14ac:dyDescent="0.35"/>
    <row r="101596" hidden="1" x14ac:dyDescent="0.35"/>
    <row r="101597" hidden="1" x14ac:dyDescent="0.35"/>
    <row r="101598" hidden="1" x14ac:dyDescent="0.35"/>
    <row r="101599" hidden="1" x14ac:dyDescent="0.35"/>
    <row r="101600" hidden="1" x14ac:dyDescent="0.35"/>
    <row r="101601" hidden="1" x14ac:dyDescent="0.35"/>
    <row r="101602" hidden="1" x14ac:dyDescent="0.35"/>
    <row r="101603" hidden="1" x14ac:dyDescent="0.35"/>
    <row r="101604" hidden="1" x14ac:dyDescent="0.35"/>
    <row r="101605" hidden="1" x14ac:dyDescent="0.35"/>
    <row r="101606" hidden="1" x14ac:dyDescent="0.35"/>
    <row r="101607" hidden="1" x14ac:dyDescent="0.35"/>
    <row r="101608" hidden="1" x14ac:dyDescent="0.35"/>
    <row r="101609" hidden="1" x14ac:dyDescent="0.35"/>
    <row r="101610" hidden="1" x14ac:dyDescent="0.35"/>
    <row r="101611" hidden="1" x14ac:dyDescent="0.35"/>
    <row r="101612" hidden="1" x14ac:dyDescent="0.35"/>
    <row r="101613" hidden="1" x14ac:dyDescent="0.35"/>
    <row r="101614" hidden="1" x14ac:dyDescent="0.35"/>
    <row r="101615" hidden="1" x14ac:dyDescent="0.35"/>
    <row r="101616" hidden="1" x14ac:dyDescent="0.35"/>
    <row r="101617" hidden="1" x14ac:dyDescent="0.35"/>
    <row r="101618" hidden="1" x14ac:dyDescent="0.35"/>
    <row r="101619" hidden="1" x14ac:dyDescent="0.35"/>
    <row r="101620" hidden="1" x14ac:dyDescent="0.35"/>
    <row r="101621" hidden="1" x14ac:dyDescent="0.35"/>
    <row r="101622" hidden="1" x14ac:dyDescent="0.35"/>
    <row r="101623" hidden="1" x14ac:dyDescent="0.35"/>
    <row r="101624" hidden="1" x14ac:dyDescent="0.35"/>
    <row r="101625" hidden="1" x14ac:dyDescent="0.35"/>
    <row r="101626" hidden="1" x14ac:dyDescent="0.35"/>
    <row r="101627" hidden="1" x14ac:dyDescent="0.35"/>
    <row r="101628" hidden="1" x14ac:dyDescent="0.35"/>
    <row r="101629" hidden="1" x14ac:dyDescent="0.35"/>
    <row r="101630" hidden="1" x14ac:dyDescent="0.35"/>
    <row r="101631" hidden="1" x14ac:dyDescent="0.35"/>
    <row r="101632" hidden="1" x14ac:dyDescent="0.35"/>
    <row r="101633" hidden="1" x14ac:dyDescent="0.35"/>
    <row r="101634" hidden="1" x14ac:dyDescent="0.35"/>
    <row r="101635" hidden="1" x14ac:dyDescent="0.35"/>
    <row r="101636" hidden="1" x14ac:dyDescent="0.35"/>
    <row r="101637" hidden="1" x14ac:dyDescent="0.35"/>
    <row r="101638" hidden="1" x14ac:dyDescent="0.35"/>
    <row r="101639" hidden="1" x14ac:dyDescent="0.35"/>
    <row r="101640" hidden="1" x14ac:dyDescent="0.35"/>
    <row r="101641" hidden="1" x14ac:dyDescent="0.35"/>
    <row r="101642" hidden="1" x14ac:dyDescent="0.35"/>
    <row r="101643" hidden="1" x14ac:dyDescent="0.35"/>
    <row r="101644" hidden="1" x14ac:dyDescent="0.35"/>
    <row r="101645" hidden="1" x14ac:dyDescent="0.35"/>
    <row r="101646" hidden="1" x14ac:dyDescent="0.35"/>
    <row r="101647" hidden="1" x14ac:dyDescent="0.35"/>
    <row r="101648" hidden="1" x14ac:dyDescent="0.35"/>
    <row r="101649" hidden="1" x14ac:dyDescent="0.35"/>
    <row r="101650" hidden="1" x14ac:dyDescent="0.35"/>
    <row r="101651" hidden="1" x14ac:dyDescent="0.35"/>
    <row r="101652" hidden="1" x14ac:dyDescent="0.35"/>
    <row r="101653" hidden="1" x14ac:dyDescent="0.35"/>
    <row r="101654" hidden="1" x14ac:dyDescent="0.35"/>
    <row r="101655" hidden="1" x14ac:dyDescent="0.35"/>
    <row r="101656" hidden="1" x14ac:dyDescent="0.35"/>
    <row r="101657" hidden="1" x14ac:dyDescent="0.35"/>
    <row r="101658" hidden="1" x14ac:dyDescent="0.35"/>
    <row r="101659" hidden="1" x14ac:dyDescent="0.35"/>
    <row r="101660" hidden="1" x14ac:dyDescent="0.35"/>
    <row r="101661" hidden="1" x14ac:dyDescent="0.35"/>
    <row r="101662" hidden="1" x14ac:dyDescent="0.35"/>
    <row r="101663" hidden="1" x14ac:dyDescent="0.35"/>
    <row r="101664" hidden="1" x14ac:dyDescent="0.35"/>
    <row r="101665" hidden="1" x14ac:dyDescent="0.35"/>
    <row r="101666" hidden="1" x14ac:dyDescent="0.35"/>
    <row r="101667" hidden="1" x14ac:dyDescent="0.35"/>
    <row r="101668" hidden="1" x14ac:dyDescent="0.35"/>
    <row r="101669" hidden="1" x14ac:dyDescent="0.35"/>
    <row r="101670" hidden="1" x14ac:dyDescent="0.35"/>
    <row r="101671" hidden="1" x14ac:dyDescent="0.35"/>
    <row r="101672" hidden="1" x14ac:dyDescent="0.35"/>
    <row r="101673" hidden="1" x14ac:dyDescent="0.35"/>
    <row r="101674" hidden="1" x14ac:dyDescent="0.35"/>
    <row r="101675" hidden="1" x14ac:dyDescent="0.35"/>
    <row r="101676" hidden="1" x14ac:dyDescent="0.35"/>
    <row r="101677" hidden="1" x14ac:dyDescent="0.35"/>
    <row r="101678" hidden="1" x14ac:dyDescent="0.35"/>
    <row r="101679" hidden="1" x14ac:dyDescent="0.35"/>
    <row r="101680" hidden="1" x14ac:dyDescent="0.35"/>
    <row r="101681" hidden="1" x14ac:dyDescent="0.35"/>
    <row r="101682" hidden="1" x14ac:dyDescent="0.35"/>
    <row r="101683" hidden="1" x14ac:dyDescent="0.35"/>
    <row r="101684" hidden="1" x14ac:dyDescent="0.35"/>
    <row r="101685" hidden="1" x14ac:dyDescent="0.35"/>
    <row r="101686" hidden="1" x14ac:dyDescent="0.35"/>
    <row r="101687" hidden="1" x14ac:dyDescent="0.35"/>
    <row r="101688" hidden="1" x14ac:dyDescent="0.35"/>
    <row r="101689" hidden="1" x14ac:dyDescent="0.35"/>
    <row r="101690" hidden="1" x14ac:dyDescent="0.35"/>
    <row r="101691" hidden="1" x14ac:dyDescent="0.35"/>
    <row r="101692" hidden="1" x14ac:dyDescent="0.35"/>
    <row r="101693" hidden="1" x14ac:dyDescent="0.35"/>
    <row r="101694" hidden="1" x14ac:dyDescent="0.35"/>
    <row r="101695" hidden="1" x14ac:dyDescent="0.35"/>
    <row r="101696" hidden="1" x14ac:dyDescent="0.35"/>
    <row r="101697" hidden="1" x14ac:dyDescent="0.35"/>
    <row r="101698" hidden="1" x14ac:dyDescent="0.35"/>
    <row r="101699" hidden="1" x14ac:dyDescent="0.35"/>
    <row r="101700" hidden="1" x14ac:dyDescent="0.35"/>
    <row r="101701" hidden="1" x14ac:dyDescent="0.35"/>
    <row r="101702" hidden="1" x14ac:dyDescent="0.35"/>
    <row r="101703" hidden="1" x14ac:dyDescent="0.35"/>
    <row r="101704" hidden="1" x14ac:dyDescent="0.35"/>
    <row r="101705" hidden="1" x14ac:dyDescent="0.35"/>
    <row r="101706" hidden="1" x14ac:dyDescent="0.35"/>
    <row r="101707" hidden="1" x14ac:dyDescent="0.35"/>
    <row r="101708" hidden="1" x14ac:dyDescent="0.35"/>
    <row r="101709" hidden="1" x14ac:dyDescent="0.35"/>
    <row r="101710" hidden="1" x14ac:dyDescent="0.35"/>
    <row r="101711" hidden="1" x14ac:dyDescent="0.35"/>
    <row r="101712" hidden="1" x14ac:dyDescent="0.35"/>
    <row r="101713" hidden="1" x14ac:dyDescent="0.35"/>
    <row r="101714" hidden="1" x14ac:dyDescent="0.35"/>
    <row r="101715" hidden="1" x14ac:dyDescent="0.35"/>
    <row r="101716" hidden="1" x14ac:dyDescent="0.35"/>
    <row r="101717" hidden="1" x14ac:dyDescent="0.35"/>
    <row r="101718" hidden="1" x14ac:dyDescent="0.35"/>
    <row r="101719" hidden="1" x14ac:dyDescent="0.35"/>
    <row r="101720" hidden="1" x14ac:dyDescent="0.35"/>
    <row r="101721" hidden="1" x14ac:dyDescent="0.35"/>
    <row r="101722" hidden="1" x14ac:dyDescent="0.35"/>
    <row r="101723" hidden="1" x14ac:dyDescent="0.35"/>
    <row r="101724" hidden="1" x14ac:dyDescent="0.35"/>
    <row r="101725" hidden="1" x14ac:dyDescent="0.35"/>
    <row r="101726" hidden="1" x14ac:dyDescent="0.35"/>
    <row r="101727" hidden="1" x14ac:dyDescent="0.35"/>
    <row r="101728" hidden="1" x14ac:dyDescent="0.35"/>
    <row r="101729" hidden="1" x14ac:dyDescent="0.35"/>
    <row r="101730" hidden="1" x14ac:dyDescent="0.35"/>
    <row r="101731" hidden="1" x14ac:dyDescent="0.35"/>
    <row r="101732" hidden="1" x14ac:dyDescent="0.35"/>
    <row r="101733" hidden="1" x14ac:dyDescent="0.35"/>
    <row r="101734" hidden="1" x14ac:dyDescent="0.35"/>
    <row r="101735" hidden="1" x14ac:dyDescent="0.35"/>
    <row r="101736" hidden="1" x14ac:dyDescent="0.35"/>
    <row r="101737" hidden="1" x14ac:dyDescent="0.35"/>
    <row r="101738" hidden="1" x14ac:dyDescent="0.35"/>
    <row r="101739" hidden="1" x14ac:dyDescent="0.35"/>
    <row r="101740" hidden="1" x14ac:dyDescent="0.35"/>
    <row r="101741" hidden="1" x14ac:dyDescent="0.35"/>
    <row r="101742" hidden="1" x14ac:dyDescent="0.35"/>
    <row r="101743" hidden="1" x14ac:dyDescent="0.35"/>
    <row r="101744" hidden="1" x14ac:dyDescent="0.35"/>
    <row r="101745" hidden="1" x14ac:dyDescent="0.35"/>
    <row r="101746" hidden="1" x14ac:dyDescent="0.35"/>
    <row r="101747" hidden="1" x14ac:dyDescent="0.35"/>
    <row r="101748" hidden="1" x14ac:dyDescent="0.35"/>
    <row r="101749" hidden="1" x14ac:dyDescent="0.35"/>
    <row r="101750" hidden="1" x14ac:dyDescent="0.35"/>
    <row r="101751" hidden="1" x14ac:dyDescent="0.35"/>
    <row r="101752" hidden="1" x14ac:dyDescent="0.35"/>
    <row r="101753" hidden="1" x14ac:dyDescent="0.35"/>
    <row r="101754" hidden="1" x14ac:dyDescent="0.35"/>
    <row r="101755" hidden="1" x14ac:dyDescent="0.35"/>
    <row r="101756" hidden="1" x14ac:dyDescent="0.35"/>
    <row r="101757" hidden="1" x14ac:dyDescent="0.35"/>
    <row r="101758" hidden="1" x14ac:dyDescent="0.35"/>
    <row r="101759" hidden="1" x14ac:dyDescent="0.35"/>
    <row r="101760" hidden="1" x14ac:dyDescent="0.35"/>
    <row r="101761" hidden="1" x14ac:dyDescent="0.35"/>
    <row r="101762" hidden="1" x14ac:dyDescent="0.35"/>
    <row r="101763" hidden="1" x14ac:dyDescent="0.35"/>
    <row r="101764" hidden="1" x14ac:dyDescent="0.35"/>
    <row r="101765" hidden="1" x14ac:dyDescent="0.35"/>
    <row r="101766" hidden="1" x14ac:dyDescent="0.35"/>
    <row r="101767" hidden="1" x14ac:dyDescent="0.35"/>
    <row r="101768" hidden="1" x14ac:dyDescent="0.35"/>
    <row r="101769" hidden="1" x14ac:dyDescent="0.35"/>
    <row r="101770" hidden="1" x14ac:dyDescent="0.35"/>
    <row r="101771" hidden="1" x14ac:dyDescent="0.35"/>
    <row r="101772" hidden="1" x14ac:dyDescent="0.35"/>
    <row r="101773" hidden="1" x14ac:dyDescent="0.35"/>
    <row r="101774" hidden="1" x14ac:dyDescent="0.35"/>
    <row r="101775" hidden="1" x14ac:dyDescent="0.35"/>
    <row r="101776" hidden="1" x14ac:dyDescent="0.35"/>
    <row r="101777" hidden="1" x14ac:dyDescent="0.35"/>
    <row r="101778" hidden="1" x14ac:dyDescent="0.35"/>
    <row r="101779" hidden="1" x14ac:dyDescent="0.35"/>
    <row r="101780" hidden="1" x14ac:dyDescent="0.35"/>
    <row r="101781" hidden="1" x14ac:dyDescent="0.35"/>
    <row r="101782" hidden="1" x14ac:dyDescent="0.35"/>
    <row r="101783" hidden="1" x14ac:dyDescent="0.35"/>
    <row r="101784" hidden="1" x14ac:dyDescent="0.35"/>
    <row r="101785" hidden="1" x14ac:dyDescent="0.35"/>
    <row r="101786" hidden="1" x14ac:dyDescent="0.35"/>
    <row r="101787" hidden="1" x14ac:dyDescent="0.35"/>
    <row r="101788" hidden="1" x14ac:dyDescent="0.35"/>
    <row r="101789" hidden="1" x14ac:dyDescent="0.35"/>
    <row r="101790" hidden="1" x14ac:dyDescent="0.35"/>
    <row r="101791" hidden="1" x14ac:dyDescent="0.35"/>
    <row r="101792" hidden="1" x14ac:dyDescent="0.35"/>
    <row r="101793" hidden="1" x14ac:dyDescent="0.35"/>
    <row r="101794" hidden="1" x14ac:dyDescent="0.35"/>
    <row r="101795" hidden="1" x14ac:dyDescent="0.35"/>
    <row r="101796" hidden="1" x14ac:dyDescent="0.35"/>
    <row r="101797" hidden="1" x14ac:dyDescent="0.35"/>
    <row r="101798" hidden="1" x14ac:dyDescent="0.35"/>
    <row r="101799" hidden="1" x14ac:dyDescent="0.35"/>
    <row r="101800" hidden="1" x14ac:dyDescent="0.35"/>
    <row r="101801" hidden="1" x14ac:dyDescent="0.35"/>
    <row r="101802" hidden="1" x14ac:dyDescent="0.35"/>
    <row r="101803" hidden="1" x14ac:dyDescent="0.35"/>
    <row r="101804" hidden="1" x14ac:dyDescent="0.35"/>
    <row r="101805" hidden="1" x14ac:dyDescent="0.35"/>
    <row r="101806" hidden="1" x14ac:dyDescent="0.35"/>
    <row r="101807" hidden="1" x14ac:dyDescent="0.35"/>
    <row r="101808" hidden="1" x14ac:dyDescent="0.35"/>
    <row r="101809" hidden="1" x14ac:dyDescent="0.35"/>
    <row r="101810" hidden="1" x14ac:dyDescent="0.35"/>
    <row r="101811" hidden="1" x14ac:dyDescent="0.35"/>
    <row r="101812" hidden="1" x14ac:dyDescent="0.35"/>
    <row r="101813" hidden="1" x14ac:dyDescent="0.35"/>
    <row r="101814" hidden="1" x14ac:dyDescent="0.35"/>
    <row r="101815" hidden="1" x14ac:dyDescent="0.35"/>
    <row r="101816" hidden="1" x14ac:dyDescent="0.35"/>
    <row r="101817" hidden="1" x14ac:dyDescent="0.35"/>
    <row r="101818" hidden="1" x14ac:dyDescent="0.35"/>
    <row r="101819" hidden="1" x14ac:dyDescent="0.35"/>
    <row r="101820" hidden="1" x14ac:dyDescent="0.35"/>
    <row r="101821" hidden="1" x14ac:dyDescent="0.35"/>
    <row r="101822" hidden="1" x14ac:dyDescent="0.35"/>
    <row r="101823" hidden="1" x14ac:dyDescent="0.35"/>
    <row r="101824" hidden="1" x14ac:dyDescent="0.35"/>
    <row r="101825" hidden="1" x14ac:dyDescent="0.35"/>
    <row r="101826" hidden="1" x14ac:dyDescent="0.35"/>
    <row r="101827" hidden="1" x14ac:dyDescent="0.35"/>
    <row r="101828" hidden="1" x14ac:dyDescent="0.35"/>
    <row r="101829" hidden="1" x14ac:dyDescent="0.35"/>
    <row r="101830" hidden="1" x14ac:dyDescent="0.35"/>
    <row r="101831" hidden="1" x14ac:dyDescent="0.35"/>
    <row r="101832" hidden="1" x14ac:dyDescent="0.35"/>
    <row r="101833" hidden="1" x14ac:dyDescent="0.35"/>
    <row r="101834" hidden="1" x14ac:dyDescent="0.35"/>
    <row r="101835" hidden="1" x14ac:dyDescent="0.35"/>
    <row r="101836" hidden="1" x14ac:dyDescent="0.35"/>
    <row r="101837" hidden="1" x14ac:dyDescent="0.35"/>
    <row r="101838" hidden="1" x14ac:dyDescent="0.35"/>
    <row r="101839" hidden="1" x14ac:dyDescent="0.35"/>
    <row r="101840" hidden="1" x14ac:dyDescent="0.35"/>
    <row r="101841" hidden="1" x14ac:dyDescent="0.35"/>
    <row r="101842" hidden="1" x14ac:dyDescent="0.35"/>
    <row r="101843" hidden="1" x14ac:dyDescent="0.35"/>
    <row r="101844" hidden="1" x14ac:dyDescent="0.35"/>
    <row r="101845" hidden="1" x14ac:dyDescent="0.35"/>
    <row r="101846" hidden="1" x14ac:dyDescent="0.35"/>
    <row r="101847" hidden="1" x14ac:dyDescent="0.35"/>
    <row r="101848" hidden="1" x14ac:dyDescent="0.35"/>
    <row r="101849" hidden="1" x14ac:dyDescent="0.35"/>
    <row r="101850" hidden="1" x14ac:dyDescent="0.35"/>
    <row r="101851" hidden="1" x14ac:dyDescent="0.35"/>
    <row r="101852" hidden="1" x14ac:dyDescent="0.35"/>
    <row r="101853" hidden="1" x14ac:dyDescent="0.35"/>
    <row r="101854" hidden="1" x14ac:dyDescent="0.35"/>
    <row r="101855" hidden="1" x14ac:dyDescent="0.35"/>
    <row r="101856" hidden="1" x14ac:dyDescent="0.35"/>
    <row r="101857" hidden="1" x14ac:dyDescent="0.35"/>
    <row r="101858" hidden="1" x14ac:dyDescent="0.35"/>
    <row r="101859" hidden="1" x14ac:dyDescent="0.35"/>
    <row r="101860" hidden="1" x14ac:dyDescent="0.35"/>
    <row r="101861" hidden="1" x14ac:dyDescent="0.35"/>
    <row r="101862" hidden="1" x14ac:dyDescent="0.35"/>
    <row r="101863" hidden="1" x14ac:dyDescent="0.35"/>
    <row r="101864" hidden="1" x14ac:dyDescent="0.35"/>
    <row r="101865" hidden="1" x14ac:dyDescent="0.35"/>
    <row r="101866" hidden="1" x14ac:dyDescent="0.35"/>
    <row r="101867" hidden="1" x14ac:dyDescent="0.35"/>
    <row r="101868" hidden="1" x14ac:dyDescent="0.35"/>
    <row r="101869" hidden="1" x14ac:dyDescent="0.35"/>
    <row r="101870" hidden="1" x14ac:dyDescent="0.35"/>
    <row r="101871" hidden="1" x14ac:dyDescent="0.35"/>
    <row r="101872" hidden="1" x14ac:dyDescent="0.35"/>
    <row r="101873" hidden="1" x14ac:dyDescent="0.35"/>
    <row r="101874" hidden="1" x14ac:dyDescent="0.35"/>
    <row r="101875" hidden="1" x14ac:dyDescent="0.35"/>
    <row r="101876" hidden="1" x14ac:dyDescent="0.35"/>
    <row r="101877" hidden="1" x14ac:dyDescent="0.35"/>
    <row r="101878" hidden="1" x14ac:dyDescent="0.35"/>
    <row r="101879" hidden="1" x14ac:dyDescent="0.35"/>
    <row r="101880" hidden="1" x14ac:dyDescent="0.35"/>
    <row r="101881" hidden="1" x14ac:dyDescent="0.35"/>
    <row r="101882" hidden="1" x14ac:dyDescent="0.35"/>
    <row r="101883" hidden="1" x14ac:dyDescent="0.35"/>
    <row r="101884" hidden="1" x14ac:dyDescent="0.35"/>
    <row r="101885" hidden="1" x14ac:dyDescent="0.35"/>
    <row r="101886" hidden="1" x14ac:dyDescent="0.35"/>
    <row r="101887" hidden="1" x14ac:dyDescent="0.35"/>
    <row r="101888" hidden="1" x14ac:dyDescent="0.35"/>
    <row r="101889" hidden="1" x14ac:dyDescent="0.35"/>
    <row r="101890" hidden="1" x14ac:dyDescent="0.35"/>
    <row r="101891" hidden="1" x14ac:dyDescent="0.35"/>
    <row r="101892" hidden="1" x14ac:dyDescent="0.35"/>
    <row r="101893" hidden="1" x14ac:dyDescent="0.35"/>
    <row r="101894" hidden="1" x14ac:dyDescent="0.35"/>
    <row r="101895" hidden="1" x14ac:dyDescent="0.35"/>
    <row r="101896" hidden="1" x14ac:dyDescent="0.35"/>
    <row r="101897" hidden="1" x14ac:dyDescent="0.35"/>
    <row r="101898" hidden="1" x14ac:dyDescent="0.35"/>
    <row r="101899" hidden="1" x14ac:dyDescent="0.35"/>
    <row r="101900" hidden="1" x14ac:dyDescent="0.35"/>
    <row r="101901" hidden="1" x14ac:dyDescent="0.35"/>
    <row r="101902" hidden="1" x14ac:dyDescent="0.35"/>
    <row r="101903" hidden="1" x14ac:dyDescent="0.35"/>
    <row r="101904" hidden="1" x14ac:dyDescent="0.35"/>
    <row r="101905" hidden="1" x14ac:dyDescent="0.35"/>
    <row r="101906" hidden="1" x14ac:dyDescent="0.35"/>
    <row r="101907" hidden="1" x14ac:dyDescent="0.35"/>
    <row r="101908" hidden="1" x14ac:dyDescent="0.35"/>
    <row r="101909" hidden="1" x14ac:dyDescent="0.35"/>
    <row r="101910" hidden="1" x14ac:dyDescent="0.35"/>
    <row r="101911" hidden="1" x14ac:dyDescent="0.35"/>
    <row r="101912" hidden="1" x14ac:dyDescent="0.35"/>
    <row r="101913" hidden="1" x14ac:dyDescent="0.35"/>
    <row r="101914" hidden="1" x14ac:dyDescent="0.35"/>
    <row r="101915" hidden="1" x14ac:dyDescent="0.35"/>
    <row r="101916" hidden="1" x14ac:dyDescent="0.35"/>
    <row r="101917" hidden="1" x14ac:dyDescent="0.35"/>
    <row r="101918" hidden="1" x14ac:dyDescent="0.35"/>
    <row r="101919" hidden="1" x14ac:dyDescent="0.35"/>
    <row r="101920" hidden="1" x14ac:dyDescent="0.35"/>
    <row r="101921" hidden="1" x14ac:dyDescent="0.35"/>
    <row r="101922" hidden="1" x14ac:dyDescent="0.35"/>
    <row r="101923" hidden="1" x14ac:dyDescent="0.35"/>
    <row r="101924" hidden="1" x14ac:dyDescent="0.35"/>
    <row r="101925" hidden="1" x14ac:dyDescent="0.35"/>
    <row r="101926" hidden="1" x14ac:dyDescent="0.35"/>
    <row r="101927" hidden="1" x14ac:dyDescent="0.35"/>
    <row r="101928" hidden="1" x14ac:dyDescent="0.35"/>
    <row r="101929" hidden="1" x14ac:dyDescent="0.35"/>
    <row r="101930" hidden="1" x14ac:dyDescent="0.35"/>
    <row r="101931" hidden="1" x14ac:dyDescent="0.35"/>
    <row r="101932" hidden="1" x14ac:dyDescent="0.35"/>
    <row r="101933" hidden="1" x14ac:dyDescent="0.35"/>
    <row r="101934" hidden="1" x14ac:dyDescent="0.35"/>
    <row r="101935" hidden="1" x14ac:dyDescent="0.35"/>
    <row r="101936" hidden="1" x14ac:dyDescent="0.35"/>
    <row r="101937" hidden="1" x14ac:dyDescent="0.35"/>
    <row r="101938" hidden="1" x14ac:dyDescent="0.35"/>
    <row r="101939" hidden="1" x14ac:dyDescent="0.35"/>
    <row r="101940" hidden="1" x14ac:dyDescent="0.35"/>
    <row r="101941" hidden="1" x14ac:dyDescent="0.35"/>
    <row r="101942" hidden="1" x14ac:dyDescent="0.35"/>
    <row r="101943" hidden="1" x14ac:dyDescent="0.35"/>
    <row r="101944" hidden="1" x14ac:dyDescent="0.35"/>
    <row r="101945" hidden="1" x14ac:dyDescent="0.35"/>
    <row r="101946" hidden="1" x14ac:dyDescent="0.35"/>
    <row r="101947" hidden="1" x14ac:dyDescent="0.35"/>
    <row r="101948" hidden="1" x14ac:dyDescent="0.35"/>
    <row r="101949" hidden="1" x14ac:dyDescent="0.35"/>
    <row r="101950" hidden="1" x14ac:dyDescent="0.35"/>
    <row r="101951" hidden="1" x14ac:dyDescent="0.35"/>
    <row r="101952" hidden="1" x14ac:dyDescent="0.35"/>
    <row r="101953" hidden="1" x14ac:dyDescent="0.35"/>
    <row r="101954" hidden="1" x14ac:dyDescent="0.35"/>
    <row r="101955" hidden="1" x14ac:dyDescent="0.35"/>
    <row r="101956" hidden="1" x14ac:dyDescent="0.35"/>
    <row r="101957" hidden="1" x14ac:dyDescent="0.35"/>
    <row r="101958" hidden="1" x14ac:dyDescent="0.35"/>
    <row r="101959" hidden="1" x14ac:dyDescent="0.35"/>
    <row r="101960" hidden="1" x14ac:dyDescent="0.35"/>
    <row r="101961" hidden="1" x14ac:dyDescent="0.35"/>
    <row r="101962" hidden="1" x14ac:dyDescent="0.35"/>
    <row r="101963" hidden="1" x14ac:dyDescent="0.35"/>
    <row r="101964" hidden="1" x14ac:dyDescent="0.35"/>
    <row r="101965" hidden="1" x14ac:dyDescent="0.35"/>
    <row r="101966" hidden="1" x14ac:dyDescent="0.35"/>
    <row r="101967" hidden="1" x14ac:dyDescent="0.35"/>
    <row r="101968" hidden="1" x14ac:dyDescent="0.35"/>
    <row r="101969" hidden="1" x14ac:dyDescent="0.35"/>
    <row r="101970" hidden="1" x14ac:dyDescent="0.35"/>
    <row r="101971" hidden="1" x14ac:dyDescent="0.35"/>
    <row r="101972" hidden="1" x14ac:dyDescent="0.35"/>
    <row r="101973" hidden="1" x14ac:dyDescent="0.35"/>
    <row r="101974" hidden="1" x14ac:dyDescent="0.35"/>
    <row r="101975" hidden="1" x14ac:dyDescent="0.35"/>
    <row r="101976" hidden="1" x14ac:dyDescent="0.35"/>
    <row r="101977" hidden="1" x14ac:dyDescent="0.35"/>
    <row r="101978" hidden="1" x14ac:dyDescent="0.35"/>
    <row r="101979" hidden="1" x14ac:dyDescent="0.35"/>
    <row r="101980" hidden="1" x14ac:dyDescent="0.35"/>
    <row r="101981" hidden="1" x14ac:dyDescent="0.35"/>
    <row r="101982" hidden="1" x14ac:dyDescent="0.35"/>
    <row r="101983" hidden="1" x14ac:dyDescent="0.35"/>
    <row r="101984" hidden="1" x14ac:dyDescent="0.35"/>
    <row r="101985" hidden="1" x14ac:dyDescent="0.35"/>
    <row r="101986" hidden="1" x14ac:dyDescent="0.35"/>
    <row r="101987" hidden="1" x14ac:dyDescent="0.35"/>
    <row r="101988" hidden="1" x14ac:dyDescent="0.35"/>
    <row r="101989" hidden="1" x14ac:dyDescent="0.35"/>
    <row r="101990" hidden="1" x14ac:dyDescent="0.35"/>
    <row r="101991" hidden="1" x14ac:dyDescent="0.35"/>
    <row r="101992" hidden="1" x14ac:dyDescent="0.35"/>
    <row r="101993" hidden="1" x14ac:dyDescent="0.35"/>
    <row r="101994" hidden="1" x14ac:dyDescent="0.35"/>
    <row r="101995" hidden="1" x14ac:dyDescent="0.35"/>
    <row r="101996" hidden="1" x14ac:dyDescent="0.35"/>
    <row r="101997" hidden="1" x14ac:dyDescent="0.35"/>
    <row r="101998" hidden="1" x14ac:dyDescent="0.35"/>
    <row r="101999" hidden="1" x14ac:dyDescent="0.35"/>
    <row r="102000" hidden="1" x14ac:dyDescent="0.35"/>
    <row r="102001" hidden="1" x14ac:dyDescent="0.35"/>
    <row r="102002" hidden="1" x14ac:dyDescent="0.35"/>
    <row r="102003" hidden="1" x14ac:dyDescent="0.35"/>
    <row r="102004" hidden="1" x14ac:dyDescent="0.35"/>
    <row r="102005" hidden="1" x14ac:dyDescent="0.35"/>
    <row r="102006" hidden="1" x14ac:dyDescent="0.35"/>
    <row r="102007" hidden="1" x14ac:dyDescent="0.35"/>
    <row r="102008" hidden="1" x14ac:dyDescent="0.35"/>
    <row r="102009" hidden="1" x14ac:dyDescent="0.35"/>
    <row r="102010" hidden="1" x14ac:dyDescent="0.35"/>
    <row r="102011" hidden="1" x14ac:dyDescent="0.35"/>
    <row r="102012" hidden="1" x14ac:dyDescent="0.35"/>
    <row r="102013" hidden="1" x14ac:dyDescent="0.35"/>
    <row r="102014" hidden="1" x14ac:dyDescent="0.35"/>
    <row r="102015" hidden="1" x14ac:dyDescent="0.35"/>
    <row r="102016" hidden="1" x14ac:dyDescent="0.35"/>
    <row r="102017" hidden="1" x14ac:dyDescent="0.35"/>
    <row r="102018" hidden="1" x14ac:dyDescent="0.35"/>
    <row r="102019" hidden="1" x14ac:dyDescent="0.35"/>
    <row r="102020" hidden="1" x14ac:dyDescent="0.35"/>
    <row r="102021" hidden="1" x14ac:dyDescent="0.35"/>
    <row r="102022" hidden="1" x14ac:dyDescent="0.35"/>
    <row r="102023" hidden="1" x14ac:dyDescent="0.35"/>
    <row r="102024" hidden="1" x14ac:dyDescent="0.35"/>
    <row r="102025" hidden="1" x14ac:dyDescent="0.35"/>
    <row r="102026" hidden="1" x14ac:dyDescent="0.35"/>
    <row r="102027" hidden="1" x14ac:dyDescent="0.35"/>
    <row r="102028" hidden="1" x14ac:dyDescent="0.35"/>
    <row r="102029" hidden="1" x14ac:dyDescent="0.35"/>
    <row r="102030" hidden="1" x14ac:dyDescent="0.35"/>
    <row r="102031" hidden="1" x14ac:dyDescent="0.35"/>
    <row r="102032" hidden="1" x14ac:dyDescent="0.35"/>
    <row r="102033" hidden="1" x14ac:dyDescent="0.35"/>
    <row r="102034" hidden="1" x14ac:dyDescent="0.35"/>
    <row r="102035" hidden="1" x14ac:dyDescent="0.35"/>
    <row r="102036" hidden="1" x14ac:dyDescent="0.35"/>
    <row r="102037" hidden="1" x14ac:dyDescent="0.35"/>
    <row r="102038" hidden="1" x14ac:dyDescent="0.35"/>
    <row r="102039" hidden="1" x14ac:dyDescent="0.35"/>
    <row r="102040" hidden="1" x14ac:dyDescent="0.35"/>
    <row r="102041" hidden="1" x14ac:dyDescent="0.35"/>
    <row r="102042" hidden="1" x14ac:dyDescent="0.35"/>
    <row r="102043" hidden="1" x14ac:dyDescent="0.35"/>
    <row r="102044" hidden="1" x14ac:dyDescent="0.35"/>
    <row r="102045" hidden="1" x14ac:dyDescent="0.35"/>
    <row r="102046" hidden="1" x14ac:dyDescent="0.35"/>
    <row r="102047" hidden="1" x14ac:dyDescent="0.35"/>
    <row r="102048" hidden="1" x14ac:dyDescent="0.35"/>
    <row r="102049" hidden="1" x14ac:dyDescent="0.35"/>
    <row r="102050" hidden="1" x14ac:dyDescent="0.35"/>
    <row r="102051" hidden="1" x14ac:dyDescent="0.35"/>
    <row r="102052" hidden="1" x14ac:dyDescent="0.35"/>
    <row r="102053" hidden="1" x14ac:dyDescent="0.35"/>
    <row r="102054" hidden="1" x14ac:dyDescent="0.35"/>
    <row r="102055" hidden="1" x14ac:dyDescent="0.35"/>
    <row r="102056" hidden="1" x14ac:dyDescent="0.35"/>
    <row r="102057" hidden="1" x14ac:dyDescent="0.35"/>
    <row r="102058" hidden="1" x14ac:dyDescent="0.35"/>
    <row r="102059" hidden="1" x14ac:dyDescent="0.35"/>
    <row r="102060" hidden="1" x14ac:dyDescent="0.35"/>
    <row r="102061" hidden="1" x14ac:dyDescent="0.35"/>
    <row r="102062" hidden="1" x14ac:dyDescent="0.35"/>
    <row r="102063" hidden="1" x14ac:dyDescent="0.35"/>
    <row r="102064" hidden="1" x14ac:dyDescent="0.35"/>
    <row r="102065" hidden="1" x14ac:dyDescent="0.35"/>
    <row r="102066" hidden="1" x14ac:dyDescent="0.35"/>
    <row r="102067" hidden="1" x14ac:dyDescent="0.35"/>
    <row r="102068" hidden="1" x14ac:dyDescent="0.35"/>
    <row r="102069" hidden="1" x14ac:dyDescent="0.35"/>
    <row r="102070" hidden="1" x14ac:dyDescent="0.35"/>
    <row r="102071" hidden="1" x14ac:dyDescent="0.35"/>
    <row r="102072" hidden="1" x14ac:dyDescent="0.35"/>
    <row r="102073" hidden="1" x14ac:dyDescent="0.35"/>
    <row r="102074" hidden="1" x14ac:dyDescent="0.35"/>
    <row r="102075" hidden="1" x14ac:dyDescent="0.35"/>
    <row r="102076" hidden="1" x14ac:dyDescent="0.35"/>
    <row r="102077" hidden="1" x14ac:dyDescent="0.35"/>
    <row r="102078" hidden="1" x14ac:dyDescent="0.35"/>
    <row r="102079" hidden="1" x14ac:dyDescent="0.35"/>
    <row r="102080" hidden="1" x14ac:dyDescent="0.35"/>
    <row r="102081" hidden="1" x14ac:dyDescent="0.35"/>
    <row r="102082" hidden="1" x14ac:dyDescent="0.35"/>
    <row r="102083" hidden="1" x14ac:dyDescent="0.35"/>
    <row r="102084" hidden="1" x14ac:dyDescent="0.35"/>
    <row r="102085" hidden="1" x14ac:dyDescent="0.35"/>
    <row r="102086" hidden="1" x14ac:dyDescent="0.35"/>
    <row r="102087" hidden="1" x14ac:dyDescent="0.35"/>
    <row r="102088" hidden="1" x14ac:dyDescent="0.35"/>
    <row r="102089" hidden="1" x14ac:dyDescent="0.35"/>
    <row r="102090" hidden="1" x14ac:dyDescent="0.35"/>
    <row r="102091" hidden="1" x14ac:dyDescent="0.35"/>
    <row r="102092" hidden="1" x14ac:dyDescent="0.35"/>
    <row r="102093" hidden="1" x14ac:dyDescent="0.35"/>
    <row r="102094" hidden="1" x14ac:dyDescent="0.35"/>
    <row r="102095" hidden="1" x14ac:dyDescent="0.35"/>
    <row r="102096" hidden="1" x14ac:dyDescent="0.35"/>
    <row r="102097" hidden="1" x14ac:dyDescent="0.35"/>
    <row r="102098" hidden="1" x14ac:dyDescent="0.35"/>
    <row r="102099" hidden="1" x14ac:dyDescent="0.35"/>
    <row r="102100" hidden="1" x14ac:dyDescent="0.35"/>
    <row r="102101" hidden="1" x14ac:dyDescent="0.35"/>
    <row r="102102" hidden="1" x14ac:dyDescent="0.35"/>
    <row r="102103" hidden="1" x14ac:dyDescent="0.35"/>
    <row r="102104" hidden="1" x14ac:dyDescent="0.35"/>
    <row r="102105" hidden="1" x14ac:dyDescent="0.35"/>
    <row r="102106" hidden="1" x14ac:dyDescent="0.35"/>
    <row r="102107" hidden="1" x14ac:dyDescent="0.35"/>
    <row r="102108" hidden="1" x14ac:dyDescent="0.35"/>
    <row r="102109" hidden="1" x14ac:dyDescent="0.35"/>
    <row r="102110" hidden="1" x14ac:dyDescent="0.35"/>
    <row r="102111" hidden="1" x14ac:dyDescent="0.35"/>
    <row r="102112" hidden="1" x14ac:dyDescent="0.35"/>
    <row r="102113" hidden="1" x14ac:dyDescent="0.35"/>
    <row r="102114" hidden="1" x14ac:dyDescent="0.35"/>
    <row r="102115" hidden="1" x14ac:dyDescent="0.35"/>
    <row r="102116" hidden="1" x14ac:dyDescent="0.35"/>
    <row r="102117" hidden="1" x14ac:dyDescent="0.35"/>
    <row r="102118" hidden="1" x14ac:dyDescent="0.35"/>
    <row r="102119" hidden="1" x14ac:dyDescent="0.35"/>
    <row r="102120" hidden="1" x14ac:dyDescent="0.35"/>
    <row r="102121" hidden="1" x14ac:dyDescent="0.35"/>
    <row r="102122" hidden="1" x14ac:dyDescent="0.35"/>
    <row r="102123" hidden="1" x14ac:dyDescent="0.35"/>
    <row r="102124" hidden="1" x14ac:dyDescent="0.35"/>
    <row r="102125" hidden="1" x14ac:dyDescent="0.35"/>
    <row r="102126" hidden="1" x14ac:dyDescent="0.35"/>
    <row r="102127" hidden="1" x14ac:dyDescent="0.35"/>
    <row r="102128" hidden="1" x14ac:dyDescent="0.35"/>
    <row r="102129" hidden="1" x14ac:dyDescent="0.35"/>
    <row r="102130" hidden="1" x14ac:dyDescent="0.35"/>
    <row r="102131" hidden="1" x14ac:dyDescent="0.35"/>
    <row r="102132" hidden="1" x14ac:dyDescent="0.35"/>
    <row r="102133" hidden="1" x14ac:dyDescent="0.35"/>
    <row r="102134" hidden="1" x14ac:dyDescent="0.35"/>
    <row r="102135" hidden="1" x14ac:dyDescent="0.35"/>
    <row r="102136" hidden="1" x14ac:dyDescent="0.35"/>
    <row r="102137" hidden="1" x14ac:dyDescent="0.35"/>
    <row r="102138" hidden="1" x14ac:dyDescent="0.35"/>
    <row r="102139" hidden="1" x14ac:dyDescent="0.35"/>
    <row r="102140" hidden="1" x14ac:dyDescent="0.35"/>
    <row r="102141" hidden="1" x14ac:dyDescent="0.35"/>
    <row r="102142" hidden="1" x14ac:dyDescent="0.35"/>
    <row r="102143" hidden="1" x14ac:dyDescent="0.35"/>
    <row r="102144" hidden="1" x14ac:dyDescent="0.35"/>
    <row r="102145" hidden="1" x14ac:dyDescent="0.35"/>
    <row r="102146" hidden="1" x14ac:dyDescent="0.35"/>
    <row r="102147" hidden="1" x14ac:dyDescent="0.35"/>
    <row r="102148" hidden="1" x14ac:dyDescent="0.35"/>
    <row r="102149" hidden="1" x14ac:dyDescent="0.35"/>
    <row r="102150" hidden="1" x14ac:dyDescent="0.35"/>
    <row r="102151" hidden="1" x14ac:dyDescent="0.35"/>
    <row r="102152" hidden="1" x14ac:dyDescent="0.35"/>
    <row r="102153" hidden="1" x14ac:dyDescent="0.35"/>
    <row r="102154" hidden="1" x14ac:dyDescent="0.35"/>
    <row r="102155" hidden="1" x14ac:dyDescent="0.35"/>
    <row r="102156" hidden="1" x14ac:dyDescent="0.35"/>
    <row r="102157" hidden="1" x14ac:dyDescent="0.35"/>
    <row r="102158" hidden="1" x14ac:dyDescent="0.35"/>
    <row r="102159" hidden="1" x14ac:dyDescent="0.35"/>
    <row r="102160" hidden="1" x14ac:dyDescent="0.35"/>
    <row r="102161" hidden="1" x14ac:dyDescent="0.35"/>
    <row r="102162" hidden="1" x14ac:dyDescent="0.35"/>
    <row r="102163" hidden="1" x14ac:dyDescent="0.35"/>
    <row r="102164" hidden="1" x14ac:dyDescent="0.35"/>
    <row r="102165" hidden="1" x14ac:dyDescent="0.35"/>
    <row r="102166" hidden="1" x14ac:dyDescent="0.35"/>
    <row r="102167" hidden="1" x14ac:dyDescent="0.35"/>
    <row r="102168" hidden="1" x14ac:dyDescent="0.35"/>
    <row r="102169" hidden="1" x14ac:dyDescent="0.35"/>
    <row r="102170" hidden="1" x14ac:dyDescent="0.35"/>
    <row r="102171" hidden="1" x14ac:dyDescent="0.35"/>
    <row r="102172" hidden="1" x14ac:dyDescent="0.35"/>
    <row r="102173" hidden="1" x14ac:dyDescent="0.35"/>
    <row r="102174" hidden="1" x14ac:dyDescent="0.35"/>
    <row r="102175" hidden="1" x14ac:dyDescent="0.35"/>
    <row r="102176" hidden="1" x14ac:dyDescent="0.35"/>
    <row r="102177" hidden="1" x14ac:dyDescent="0.35"/>
    <row r="102178" hidden="1" x14ac:dyDescent="0.35"/>
    <row r="102179" hidden="1" x14ac:dyDescent="0.35"/>
    <row r="102180" hidden="1" x14ac:dyDescent="0.35"/>
    <row r="102181" hidden="1" x14ac:dyDescent="0.35"/>
    <row r="102182" hidden="1" x14ac:dyDescent="0.35"/>
    <row r="102183" hidden="1" x14ac:dyDescent="0.35"/>
    <row r="102184" hidden="1" x14ac:dyDescent="0.35"/>
    <row r="102185" hidden="1" x14ac:dyDescent="0.35"/>
    <row r="102186" hidden="1" x14ac:dyDescent="0.35"/>
    <row r="102187" hidden="1" x14ac:dyDescent="0.35"/>
    <row r="102188" hidden="1" x14ac:dyDescent="0.35"/>
    <row r="102189" hidden="1" x14ac:dyDescent="0.35"/>
    <row r="102190" hidden="1" x14ac:dyDescent="0.35"/>
    <row r="102191" hidden="1" x14ac:dyDescent="0.35"/>
    <row r="102192" hidden="1" x14ac:dyDescent="0.35"/>
    <row r="102193" hidden="1" x14ac:dyDescent="0.35"/>
    <row r="102194" hidden="1" x14ac:dyDescent="0.35"/>
    <row r="102195" hidden="1" x14ac:dyDescent="0.35"/>
    <row r="102196" hidden="1" x14ac:dyDescent="0.35"/>
    <row r="102197" hidden="1" x14ac:dyDescent="0.35"/>
    <row r="102198" hidden="1" x14ac:dyDescent="0.35"/>
    <row r="102199" hidden="1" x14ac:dyDescent="0.35"/>
    <row r="102200" hidden="1" x14ac:dyDescent="0.35"/>
    <row r="102201" hidden="1" x14ac:dyDescent="0.35"/>
    <row r="102202" hidden="1" x14ac:dyDescent="0.35"/>
    <row r="102203" hidden="1" x14ac:dyDescent="0.35"/>
    <row r="102204" hidden="1" x14ac:dyDescent="0.35"/>
    <row r="102205" hidden="1" x14ac:dyDescent="0.35"/>
    <row r="102206" hidden="1" x14ac:dyDescent="0.35"/>
    <row r="102207" hidden="1" x14ac:dyDescent="0.35"/>
    <row r="102208" hidden="1" x14ac:dyDescent="0.35"/>
    <row r="102209" hidden="1" x14ac:dyDescent="0.35"/>
    <row r="102210" hidden="1" x14ac:dyDescent="0.35"/>
    <row r="102211" hidden="1" x14ac:dyDescent="0.35"/>
    <row r="102212" hidden="1" x14ac:dyDescent="0.35"/>
    <row r="102213" hidden="1" x14ac:dyDescent="0.35"/>
    <row r="102214" hidden="1" x14ac:dyDescent="0.35"/>
    <row r="102215" hidden="1" x14ac:dyDescent="0.35"/>
    <row r="102216" hidden="1" x14ac:dyDescent="0.35"/>
    <row r="102217" hidden="1" x14ac:dyDescent="0.35"/>
    <row r="102218" hidden="1" x14ac:dyDescent="0.35"/>
    <row r="102219" hidden="1" x14ac:dyDescent="0.35"/>
    <row r="102220" hidden="1" x14ac:dyDescent="0.35"/>
    <row r="102221" hidden="1" x14ac:dyDescent="0.35"/>
    <row r="102222" hidden="1" x14ac:dyDescent="0.35"/>
    <row r="102223" hidden="1" x14ac:dyDescent="0.35"/>
    <row r="102224" hidden="1" x14ac:dyDescent="0.35"/>
    <row r="102225" hidden="1" x14ac:dyDescent="0.35"/>
    <row r="102226" hidden="1" x14ac:dyDescent="0.35"/>
    <row r="102227" hidden="1" x14ac:dyDescent="0.35"/>
    <row r="102228" hidden="1" x14ac:dyDescent="0.35"/>
    <row r="102229" hidden="1" x14ac:dyDescent="0.35"/>
    <row r="102230" hidden="1" x14ac:dyDescent="0.35"/>
    <row r="102231" hidden="1" x14ac:dyDescent="0.35"/>
    <row r="102232" hidden="1" x14ac:dyDescent="0.35"/>
    <row r="102233" hidden="1" x14ac:dyDescent="0.35"/>
    <row r="102234" hidden="1" x14ac:dyDescent="0.35"/>
    <row r="102235" hidden="1" x14ac:dyDescent="0.35"/>
    <row r="102236" hidden="1" x14ac:dyDescent="0.35"/>
    <row r="102237" hidden="1" x14ac:dyDescent="0.35"/>
    <row r="102238" hidden="1" x14ac:dyDescent="0.35"/>
    <row r="102239" hidden="1" x14ac:dyDescent="0.35"/>
    <row r="102240" hidden="1" x14ac:dyDescent="0.35"/>
    <row r="102241" hidden="1" x14ac:dyDescent="0.35"/>
    <row r="102242" hidden="1" x14ac:dyDescent="0.35"/>
    <row r="102243" hidden="1" x14ac:dyDescent="0.35"/>
    <row r="102244" hidden="1" x14ac:dyDescent="0.35"/>
    <row r="102245" hidden="1" x14ac:dyDescent="0.35"/>
    <row r="102246" hidden="1" x14ac:dyDescent="0.35"/>
    <row r="102247" hidden="1" x14ac:dyDescent="0.35"/>
    <row r="102248" hidden="1" x14ac:dyDescent="0.35"/>
    <row r="102249" hidden="1" x14ac:dyDescent="0.35"/>
    <row r="102250" hidden="1" x14ac:dyDescent="0.35"/>
    <row r="102251" hidden="1" x14ac:dyDescent="0.35"/>
    <row r="102252" hidden="1" x14ac:dyDescent="0.35"/>
    <row r="102253" hidden="1" x14ac:dyDescent="0.35"/>
    <row r="102254" hidden="1" x14ac:dyDescent="0.35"/>
    <row r="102255" hidden="1" x14ac:dyDescent="0.35"/>
    <row r="102256" hidden="1" x14ac:dyDescent="0.35"/>
    <row r="102257" hidden="1" x14ac:dyDescent="0.35"/>
    <row r="102258" hidden="1" x14ac:dyDescent="0.35"/>
    <row r="102259" hidden="1" x14ac:dyDescent="0.35"/>
    <row r="102260" hidden="1" x14ac:dyDescent="0.35"/>
    <row r="102261" hidden="1" x14ac:dyDescent="0.35"/>
    <row r="102262" hidden="1" x14ac:dyDescent="0.35"/>
    <row r="102263" hidden="1" x14ac:dyDescent="0.35"/>
    <row r="102264" hidden="1" x14ac:dyDescent="0.35"/>
    <row r="102265" hidden="1" x14ac:dyDescent="0.35"/>
    <row r="102266" hidden="1" x14ac:dyDescent="0.35"/>
    <row r="102267" hidden="1" x14ac:dyDescent="0.35"/>
    <row r="102268" hidden="1" x14ac:dyDescent="0.35"/>
    <row r="102269" hidden="1" x14ac:dyDescent="0.35"/>
    <row r="102270" hidden="1" x14ac:dyDescent="0.35"/>
    <row r="102271" hidden="1" x14ac:dyDescent="0.35"/>
    <row r="102272" hidden="1" x14ac:dyDescent="0.35"/>
    <row r="102273" hidden="1" x14ac:dyDescent="0.35"/>
    <row r="102274" hidden="1" x14ac:dyDescent="0.35"/>
    <row r="102275" hidden="1" x14ac:dyDescent="0.35"/>
    <row r="102276" hidden="1" x14ac:dyDescent="0.35"/>
    <row r="102277" hidden="1" x14ac:dyDescent="0.35"/>
    <row r="102278" hidden="1" x14ac:dyDescent="0.35"/>
    <row r="102279" hidden="1" x14ac:dyDescent="0.35"/>
    <row r="102280" hidden="1" x14ac:dyDescent="0.35"/>
    <row r="102281" hidden="1" x14ac:dyDescent="0.35"/>
    <row r="102282" hidden="1" x14ac:dyDescent="0.35"/>
    <row r="102283" hidden="1" x14ac:dyDescent="0.35"/>
    <row r="102284" hidden="1" x14ac:dyDescent="0.35"/>
    <row r="102285" hidden="1" x14ac:dyDescent="0.35"/>
    <row r="102286" hidden="1" x14ac:dyDescent="0.35"/>
    <row r="102287" hidden="1" x14ac:dyDescent="0.35"/>
    <row r="102288" hidden="1" x14ac:dyDescent="0.35"/>
    <row r="102289" hidden="1" x14ac:dyDescent="0.35"/>
    <row r="102290" hidden="1" x14ac:dyDescent="0.35"/>
    <row r="102291" hidden="1" x14ac:dyDescent="0.35"/>
    <row r="102292" hidden="1" x14ac:dyDescent="0.35"/>
    <row r="102293" hidden="1" x14ac:dyDescent="0.35"/>
    <row r="102294" hidden="1" x14ac:dyDescent="0.35"/>
    <row r="102295" hidden="1" x14ac:dyDescent="0.35"/>
    <row r="102296" hidden="1" x14ac:dyDescent="0.35"/>
    <row r="102297" hidden="1" x14ac:dyDescent="0.35"/>
    <row r="102298" hidden="1" x14ac:dyDescent="0.35"/>
    <row r="102299" hidden="1" x14ac:dyDescent="0.35"/>
    <row r="102300" hidden="1" x14ac:dyDescent="0.35"/>
    <row r="102301" hidden="1" x14ac:dyDescent="0.35"/>
    <row r="102302" hidden="1" x14ac:dyDescent="0.35"/>
    <row r="102303" hidden="1" x14ac:dyDescent="0.35"/>
    <row r="102304" hidden="1" x14ac:dyDescent="0.35"/>
    <row r="102305" hidden="1" x14ac:dyDescent="0.35"/>
    <row r="102306" hidden="1" x14ac:dyDescent="0.35"/>
    <row r="102307" hidden="1" x14ac:dyDescent="0.35"/>
    <row r="102308" hidden="1" x14ac:dyDescent="0.35"/>
    <row r="102309" hidden="1" x14ac:dyDescent="0.35"/>
    <row r="102310" hidden="1" x14ac:dyDescent="0.35"/>
    <row r="102311" hidden="1" x14ac:dyDescent="0.35"/>
    <row r="102312" hidden="1" x14ac:dyDescent="0.35"/>
    <row r="102313" hidden="1" x14ac:dyDescent="0.35"/>
    <row r="102314" hidden="1" x14ac:dyDescent="0.35"/>
    <row r="102315" hidden="1" x14ac:dyDescent="0.35"/>
    <row r="102316" hidden="1" x14ac:dyDescent="0.35"/>
    <row r="102317" hidden="1" x14ac:dyDescent="0.35"/>
    <row r="102318" hidden="1" x14ac:dyDescent="0.35"/>
    <row r="102319" hidden="1" x14ac:dyDescent="0.35"/>
    <row r="102320" hidden="1" x14ac:dyDescent="0.35"/>
    <row r="102321" hidden="1" x14ac:dyDescent="0.35"/>
    <row r="102322" hidden="1" x14ac:dyDescent="0.35"/>
    <row r="102323" hidden="1" x14ac:dyDescent="0.35"/>
    <row r="102324" hidden="1" x14ac:dyDescent="0.35"/>
    <row r="102325" hidden="1" x14ac:dyDescent="0.35"/>
    <row r="102326" hidden="1" x14ac:dyDescent="0.35"/>
    <row r="102327" hidden="1" x14ac:dyDescent="0.35"/>
    <row r="102328" hidden="1" x14ac:dyDescent="0.35"/>
    <row r="102329" hidden="1" x14ac:dyDescent="0.35"/>
    <row r="102330" hidden="1" x14ac:dyDescent="0.35"/>
    <row r="102331" hidden="1" x14ac:dyDescent="0.35"/>
    <row r="102332" hidden="1" x14ac:dyDescent="0.35"/>
    <row r="102333" hidden="1" x14ac:dyDescent="0.35"/>
    <row r="102334" hidden="1" x14ac:dyDescent="0.35"/>
    <row r="102335" hidden="1" x14ac:dyDescent="0.35"/>
    <row r="102336" hidden="1" x14ac:dyDescent="0.35"/>
    <row r="102337" hidden="1" x14ac:dyDescent="0.35"/>
    <row r="102338" hidden="1" x14ac:dyDescent="0.35"/>
    <row r="102339" hidden="1" x14ac:dyDescent="0.35"/>
    <row r="102340" hidden="1" x14ac:dyDescent="0.35"/>
    <row r="102341" hidden="1" x14ac:dyDescent="0.35"/>
    <row r="102342" hidden="1" x14ac:dyDescent="0.35"/>
    <row r="102343" hidden="1" x14ac:dyDescent="0.35"/>
    <row r="102344" hidden="1" x14ac:dyDescent="0.35"/>
    <row r="102345" hidden="1" x14ac:dyDescent="0.35"/>
    <row r="102346" hidden="1" x14ac:dyDescent="0.35"/>
    <row r="102347" hidden="1" x14ac:dyDescent="0.35"/>
    <row r="102348" hidden="1" x14ac:dyDescent="0.35"/>
    <row r="102349" hidden="1" x14ac:dyDescent="0.35"/>
    <row r="102350" hidden="1" x14ac:dyDescent="0.35"/>
    <row r="102351" hidden="1" x14ac:dyDescent="0.35"/>
    <row r="102352" hidden="1" x14ac:dyDescent="0.35"/>
    <row r="102353" hidden="1" x14ac:dyDescent="0.35"/>
    <row r="102354" hidden="1" x14ac:dyDescent="0.35"/>
    <row r="102355" hidden="1" x14ac:dyDescent="0.35"/>
    <row r="102356" hidden="1" x14ac:dyDescent="0.35"/>
    <row r="102357" hidden="1" x14ac:dyDescent="0.35"/>
    <row r="102358" hidden="1" x14ac:dyDescent="0.35"/>
    <row r="102359" hidden="1" x14ac:dyDescent="0.35"/>
    <row r="102360" hidden="1" x14ac:dyDescent="0.35"/>
    <row r="102361" hidden="1" x14ac:dyDescent="0.35"/>
    <row r="102362" hidden="1" x14ac:dyDescent="0.35"/>
    <row r="102363" hidden="1" x14ac:dyDescent="0.35"/>
    <row r="102364" hidden="1" x14ac:dyDescent="0.35"/>
    <row r="102365" hidden="1" x14ac:dyDescent="0.35"/>
    <row r="102366" hidden="1" x14ac:dyDescent="0.35"/>
    <row r="102367" hidden="1" x14ac:dyDescent="0.35"/>
    <row r="102368" hidden="1" x14ac:dyDescent="0.35"/>
    <row r="102369" hidden="1" x14ac:dyDescent="0.35"/>
    <row r="102370" hidden="1" x14ac:dyDescent="0.35"/>
    <row r="102371" hidden="1" x14ac:dyDescent="0.35"/>
    <row r="102372" hidden="1" x14ac:dyDescent="0.35"/>
    <row r="102373" hidden="1" x14ac:dyDescent="0.35"/>
    <row r="102374" hidden="1" x14ac:dyDescent="0.35"/>
    <row r="102375" hidden="1" x14ac:dyDescent="0.35"/>
    <row r="102376" hidden="1" x14ac:dyDescent="0.35"/>
    <row r="102377" hidden="1" x14ac:dyDescent="0.35"/>
    <row r="102378" hidden="1" x14ac:dyDescent="0.35"/>
    <row r="102379" hidden="1" x14ac:dyDescent="0.35"/>
    <row r="102380" hidden="1" x14ac:dyDescent="0.35"/>
    <row r="102381" hidden="1" x14ac:dyDescent="0.35"/>
    <row r="102382" hidden="1" x14ac:dyDescent="0.35"/>
    <row r="102383" hidden="1" x14ac:dyDescent="0.35"/>
    <row r="102384" hidden="1" x14ac:dyDescent="0.35"/>
    <row r="102385" hidden="1" x14ac:dyDescent="0.35"/>
    <row r="102386" hidden="1" x14ac:dyDescent="0.35"/>
    <row r="102387" hidden="1" x14ac:dyDescent="0.35"/>
    <row r="102388" hidden="1" x14ac:dyDescent="0.35"/>
    <row r="102389" hidden="1" x14ac:dyDescent="0.35"/>
    <row r="102390" hidden="1" x14ac:dyDescent="0.35"/>
    <row r="102391" hidden="1" x14ac:dyDescent="0.35"/>
    <row r="102392" hidden="1" x14ac:dyDescent="0.35"/>
    <row r="102393" hidden="1" x14ac:dyDescent="0.35"/>
    <row r="102394" hidden="1" x14ac:dyDescent="0.35"/>
    <row r="102395" hidden="1" x14ac:dyDescent="0.35"/>
    <row r="102396" hidden="1" x14ac:dyDescent="0.35"/>
    <row r="102397" hidden="1" x14ac:dyDescent="0.35"/>
    <row r="102398" hidden="1" x14ac:dyDescent="0.35"/>
    <row r="102399" hidden="1" x14ac:dyDescent="0.35"/>
    <row r="102400" hidden="1" x14ac:dyDescent="0.35"/>
    <row r="102401" hidden="1" x14ac:dyDescent="0.35"/>
    <row r="102402" hidden="1" x14ac:dyDescent="0.35"/>
    <row r="102403" hidden="1" x14ac:dyDescent="0.35"/>
    <row r="102404" hidden="1" x14ac:dyDescent="0.35"/>
    <row r="102405" hidden="1" x14ac:dyDescent="0.35"/>
    <row r="102406" hidden="1" x14ac:dyDescent="0.35"/>
    <row r="102407" hidden="1" x14ac:dyDescent="0.35"/>
    <row r="102408" hidden="1" x14ac:dyDescent="0.35"/>
    <row r="102409" hidden="1" x14ac:dyDescent="0.35"/>
    <row r="102410" hidden="1" x14ac:dyDescent="0.35"/>
    <row r="102411" hidden="1" x14ac:dyDescent="0.35"/>
    <row r="102412" hidden="1" x14ac:dyDescent="0.35"/>
    <row r="102413" hidden="1" x14ac:dyDescent="0.35"/>
    <row r="102414" hidden="1" x14ac:dyDescent="0.35"/>
    <row r="102415" hidden="1" x14ac:dyDescent="0.35"/>
    <row r="102416" hidden="1" x14ac:dyDescent="0.35"/>
    <row r="102417" hidden="1" x14ac:dyDescent="0.35"/>
    <row r="102418" hidden="1" x14ac:dyDescent="0.35"/>
    <row r="102419" hidden="1" x14ac:dyDescent="0.35"/>
    <row r="102420" hidden="1" x14ac:dyDescent="0.35"/>
    <row r="102421" hidden="1" x14ac:dyDescent="0.35"/>
    <row r="102422" hidden="1" x14ac:dyDescent="0.35"/>
    <row r="102423" hidden="1" x14ac:dyDescent="0.35"/>
    <row r="102424" hidden="1" x14ac:dyDescent="0.35"/>
    <row r="102425" hidden="1" x14ac:dyDescent="0.35"/>
    <row r="102426" hidden="1" x14ac:dyDescent="0.35"/>
    <row r="102427" hidden="1" x14ac:dyDescent="0.35"/>
    <row r="102428" hidden="1" x14ac:dyDescent="0.35"/>
    <row r="102429" hidden="1" x14ac:dyDescent="0.35"/>
    <row r="102430" hidden="1" x14ac:dyDescent="0.35"/>
    <row r="102431" hidden="1" x14ac:dyDescent="0.35"/>
    <row r="102432" hidden="1" x14ac:dyDescent="0.35"/>
    <row r="102433" hidden="1" x14ac:dyDescent="0.35"/>
    <row r="102434" hidden="1" x14ac:dyDescent="0.35"/>
    <row r="102435" hidden="1" x14ac:dyDescent="0.35"/>
    <row r="102436" hidden="1" x14ac:dyDescent="0.35"/>
    <row r="102437" hidden="1" x14ac:dyDescent="0.35"/>
    <row r="102438" hidden="1" x14ac:dyDescent="0.35"/>
    <row r="102439" hidden="1" x14ac:dyDescent="0.35"/>
    <row r="102440" hidden="1" x14ac:dyDescent="0.35"/>
    <row r="102441" hidden="1" x14ac:dyDescent="0.35"/>
    <row r="102442" hidden="1" x14ac:dyDescent="0.35"/>
    <row r="102443" hidden="1" x14ac:dyDescent="0.35"/>
    <row r="102444" hidden="1" x14ac:dyDescent="0.35"/>
    <row r="102445" hidden="1" x14ac:dyDescent="0.35"/>
    <row r="102446" hidden="1" x14ac:dyDescent="0.35"/>
    <row r="102447" hidden="1" x14ac:dyDescent="0.35"/>
    <row r="102448" hidden="1" x14ac:dyDescent="0.35"/>
    <row r="102449" hidden="1" x14ac:dyDescent="0.35"/>
    <row r="102450" hidden="1" x14ac:dyDescent="0.35"/>
    <row r="102451" hidden="1" x14ac:dyDescent="0.35"/>
    <row r="102452" hidden="1" x14ac:dyDescent="0.35"/>
    <row r="102453" hidden="1" x14ac:dyDescent="0.35"/>
    <row r="102454" hidden="1" x14ac:dyDescent="0.35"/>
    <row r="102455" hidden="1" x14ac:dyDescent="0.35"/>
    <row r="102456" hidden="1" x14ac:dyDescent="0.35"/>
    <row r="102457" hidden="1" x14ac:dyDescent="0.35"/>
    <row r="102458" hidden="1" x14ac:dyDescent="0.35"/>
    <row r="102459" hidden="1" x14ac:dyDescent="0.35"/>
    <row r="102460" hidden="1" x14ac:dyDescent="0.35"/>
    <row r="102461" hidden="1" x14ac:dyDescent="0.35"/>
    <row r="102462" hidden="1" x14ac:dyDescent="0.35"/>
    <row r="102463" hidden="1" x14ac:dyDescent="0.35"/>
    <row r="102464" hidden="1" x14ac:dyDescent="0.35"/>
    <row r="102465" hidden="1" x14ac:dyDescent="0.35"/>
    <row r="102466" hidden="1" x14ac:dyDescent="0.35"/>
    <row r="102467" hidden="1" x14ac:dyDescent="0.35"/>
    <row r="102468" hidden="1" x14ac:dyDescent="0.35"/>
    <row r="102469" hidden="1" x14ac:dyDescent="0.35"/>
    <row r="102470" hidden="1" x14ac:dyDescent="0.35"/>
    <row r="102471" hidden="1" x14ac:dyDescent="0.35"/>
    <row r="102472" hidden="1" x14ac:dyDescent="0.35"/>
    <row r="102473" hidden="1" x14ac:dyDescent="0.35"/>
    <row r="102474" hidden="1" x14ac:dyDescent="0.35"/>
    <row r="102475" hidden="1" x14ac:dyDescent="0.35"/>
    <row r="102476" hidden="1" x14ac:dyDescent="0.35"/>
    <row r="102477" hidden="1" x14ac:dyDescent="0.35"/>
    <row r="102478" hidden="1" x14ac:dyDescent="0.35"/>
    <row r="102479" hidden="1" x14ac:dyDescent="0.35"/>
    <row r="102480" hidden="1" x14ac:dyDescent="0.35"/>
    <row r="102481" hidden="1" x14ac:dyDescent="0.35"/>
    <row r="102482" hidden="1" x14ac:dyDescent="0.35"/>
    <row r="102483" hidden="1" x14ac:dyDescent="0.35"/>
    <row r="102484" hidden="1" x14ac:dyDescent="0.35"/>
    <row r="102485" hidden="1" x14ac:dyDescent="0.35"/>
    <row r="102486" hidden="1" x14ac:dyDescent="0.35"/>
    <row r="102487" hidden="1" x14ac:dyDescent="0.35"/>
    <row r="102488" hidden="1" x14ac:dyDescent="0.35"/>
    <row r="102489" hidden="1" x14ac:dyDescent="0.35"/>
    <row r="102490" hidden="1" x14ac:dyDescent="0.35"/>
    <row r="102491" hidden="1" x14ac:dyDescent="0.35"/>
    <row r="102492" hidden="1" x14ac:dyDescent="0.35"/>
    <row r="102493" hidden="1" x14ac:dyDescent="0.35"/>
    <row r="102494" hidden="1" x14ac:dyDescent="0.35"/>
    <row r="102495" hidden="1" x14ac:dyDescent="0.35"/>
    <row r="102496" hidden="1" x14ac:dyDescent="0.35"/>
    <row r="102497" hidden="1" x14ac:dyDescent="0.35"/>
    <row r="102498" hidden="1" x14ac:dyDescent="0.35"/>
    <row r="102499" hidden="1" x14ac:dyDescent="0.35"/>
    <row r="102500" hidden="1" x14ac:dyDescent="0.35"/>
    <row r="102501" hidden="1" x14ac:dyDescent="0.35"/>
    <row r="102502" hidden="1" x14ac:dyDescent="0.35"/>
    <row r="102503" hidden="1" x14ac:dyDescent="0.35"/>
    <row r="102504" hidden="1" x14ac:dyDescent="0.35"/>
    <row r="102505" hidden="1" x14ac:dyDescent="0.35"/>
    <row r="102506" hidden="1" x14ac:dyDescent="0.35"/>
    <row r="102507" hidden="1" x14ac:dyDescent="0.35"/>
    <row r="102508" hidden="1" x14ac:dyDescent="0.35"/>
    <row r="102509" hidden="1" x14ac:dyDescent="0.35"/>
    <row r="102510" hidden="1" x14ac:dyDescent="0.35"/>
    <row r="102511" hidden="1" x14ac:dyDescent="0.35"/>
    <row r="102512" hidden="1" x14ac:dyDescent="0.35"/>
    <row r="102513" hidden="1" x14ac:dyDescent="0.35"/>
    <row r="102514" hidden="1" x14ac:dyDescent="0.35"/>
    <row r="102515" hidden="1" x14ac:dyDescent="0.35"/>
    <row r="102516" hidden="1" x14ac:dyDescent="0.35"/>
    <row r="102517" hidden="1" x14ac:dyDescent="0.35"/>
    <row r="102518" hidden="1" x14ac:dyDescent="0.35"/>
    <row r="102519" hidden="1" x14ac:dyDescent="0.35"/>
    <row r="102520" hidden="1" x14ac:dyDescent="0.35"/>
    <row r="102521" hidden="1" x14ac:dyDescent="0.35"/>
    <row r="102522" hidden="1" x14ac:dyDescent="0.35"/>
    <row r="102523" hidden="1" x14ac:dyDescent="0.35"/>
    <row r="102524" hidden="1" x14ac:dyDescent="0.35"/>
    <row r="102525" hidden="1" x14ac:dyDescent="0.35"/>
    <row r="102526" hidden="1" x14ac:dyDescent="0.35"/>
    <row r="102527" hidden="1" x14ac:dyDescent="0.35"/>
    <row r="102528" hidden="1" x14ac:dyDescent="0.35"/>
    <row r="102529" hidden="1" x14ac:dyDescent="0.35"/>
    <row r="102530" hidden="1" x14ac:dyDescent="0.35"/>
    <row r="102531" hidden="1" x14ac:dyDescent="0.35"/>
    <row r="102532" hidden="1" x14ac:dyDescent="0.35"/>
    <row r="102533" hidden="1" x14ac:dyDescent="0.35"/>
    <row r="102534" hidden="1" x14ac:dyDescent="0.35"/>
    <row r="102535" hidden="1" x14ac:dyDescent="0.35"/>
    <row r="102536" hidden="1" x14ac:dyDescent="0.35"/>
    <row r="102537" hidden="1" x14ac:dyDescent="0.35"/>
    <row r="102538" hidden="1" x14ac:dyDescent="0.35"/>
    <row r="102539" hidden="1" x14ac:dyDescent="0.35"/>
    <row r="102540" hidden="1" x14ac:dyDescent="0.35"/>
    <row r="102541" hidden="1" x14ac:dyDescent="0.35"/>
    <row r="102542" hidden="1" x14ac:dyDescent="0.35"/>
    <row r="102543" hidden="1" x14ac:dyDescent="0.35"/>
    <row r="102544" hidden="1" x14ac:dyDescent="0.35"/>
    <row r="102545" hidden="1" x14ac:dyDescent="0.35"/>
    <row r="102546" hidden="1" x14ac:dyDescent="0.35"/>
    <row r="102547" hidden="1" x14ac:dyDescent="0.35"/>
    <row r="102548" hidden="1" x14ac:dyDescent="0.35"/>
    <row r="102549" hidden="1" x14ac:dyDescent="0.35"/>
    <row r="102550" hidden="1" x14ac:dyDescent="0.35"/>
    <row r="102551" hidden="1" x14ac:dyDescent="0.35"/>
    <row r="102552" hidden="1" x14ac:dyDescent="0.35"/>
    <row r="102553" hidden="1" x14ac:dyDescent="0.35"/>
    <row r="102554" hidden="1" x14ac:dyDescent="0.35"/>
    <row r="102555" hidden="1" x14ac:dyDescent="0.35"/>
    <row r="102556" hidden="1" x14ac:dyDescent="0.35"/>
    <row r="102557" hidden="1" x14ac:dyDescent="0.35"/>
    <row r="102558" hidden="1" x14ac:dyDescent="0.35"/>
    <row r="102559" hidden="1" x14ac:dyDescent="0.35"/>
    <row r="102560" hidden="1" x14ac:dyDescent="0.35"/>
    <row r="102561" hidden="1" x14ac:dyDescent="0.35"/>
    <row r="102562" hidden="1" x14ac:dyDescent="0.35"/>
    <row r="102563" hidden="1" x14ac:dyDescent="0.35"/>
    <row r="102564" hidden="1" x14ac:dyDescent="0.35"/>
    <row r="102565" hidden="1" x14ac:dyDescent="0.35"/>
    <row r="102566" hidden="1" x14ac:dyDescent="0.35"/>
    <row r="102567" hidden="1" x14ac:dyDescent="0.35"/>
    <row r="102568" hidden="1" x14ac:dyDescent="0.35"/>
    <row r="102569" hidden="1" x14ac:dyDescent="0.35"/>
    <row r="102570" hidden="1" x14ac:dyDescent="0.35"/>
    <row r="102571" hidden="1" x14ac:dyDescent="0.35"/>
    <row r="102572" hidden="1" x14ac:dyDescent="0.35"/>
    <row r="102573" hidden="1" x14ac:dyDescent="0.35"/>
    <row r="102574" hidden="1" x14ac:dyDescent="0.35"/>
    <row r="102575" hidden="1" x14ac:dyDescent="0.35"/>
    <row r="102576" hidden="1" x14ac:dyDescent="0.35"/>
    <row r="102577" hidden="1" x14ac:dyDescent="0.35"/>
    <row r="102578" hidden="1" x14ac:dyDescent="0.35"/>
    <row r="102579" hidden="1" x14ac:dyDescent="0.35"/>
    <row r="102580" hidden="1" x14ac:dyDescent="0.35"/>
    <row r="102581" hidden="1" x14ac:dyDescent="0.35"/>
    <row r="102582" hidden="1" x14ac:dyDescent="0.35"/>
    <row r="102583" hidden="1" x14ac:dyDescent="0.35"/>
    <row r="102584" hidden="1" x14ac:dyDescent="0.35"/>
    <row r="102585" hidden="1" x14ac:dyDescent="0.35"/>
    <row r="102586" hidden="1" x14ac:dyDescent="0.35"/>
    <row r="102587" hidden="1" x14ac:dyDescent="0.35"/>
    <row r="102588" hidden="1" x14ac:dyDescent="0.35"/>
    <row r="102589" hidden="1" x14ac:dyDescent="0.35"/>
    <row r="102590" hidden="1" x14ac:dyDescent="0.35"/>
    <row r="102591" hidden="1" x14ac:dyDescent="0.35"/>
    <row r="102592" hidden="1" x14ac:dyDescent="0.35"/>
    <row r="102593" hidden="1" x14ac:dyDescent="0.35"/>
    <row r="102594" hidden="1" x14ac:dyDescent="0.35"/>
    <row r="102595" hidden="1" x14ac:dyDescent="0.35"/>
    <row r="102596" hidden="1" x14ac:dyDescent="0.35"/>
    <row r="102597" hidden="1" x14ac:dyDescent="0.35"/>
    <row r="102598" hidden="1" x14ac:dyDescent="0.35"/>
    <row r="102599" hidden="1" x14ac:dyDescent="0.35"/>
    <row r="102600" hidden="1" x14ac:dyDescent="0.35"/>
    <row r="102601" hidden="1" x14ac:dyDescent="0.35"/>
    <row r="102602" hidden="1" x14ac:dyDescent="0.35"/>
    <row r="102603" hidden="1" x14ac:dyDescent="0.35"/>
    <row r="102604" hidden="1" x14ac:dyDescent="0.35"/>
    <row r="102605" hidden="1" x14ac:dyDescent="0.35"/>
    <row r="102606" hidden="1" x14ac:dyDescent="0.35"/>
    <row r="102607" hidden="1" x14ac:dyDescent="0.35"/>
    <row r="102608" hidden="1" x14ac:dyDescent="0.35"/>
    <row r="102609" hidden="1" x14ac:dyDescent="0.35"/>
    <row r="102610" hidden="1" x14ac:dyDescent="0.35"/>
    <row r="102611" hidden="1" x14ac:dyDescent="0.35"/>
    <row r="102612" hidden="1" x14ac:dyDescent="0.35"/>
    <row r="102613" hidden="1" x14ac:dyDescent="0.35"/>
    <row r="102614" hidden="1" x14ac:dyDescent="0.35"/>
    <row r="102615" hidden="1" x14ac:dyDescent="0.35"/>
    <row r="102616" hidden="1" x14ac:dyDescent="0.35"/>
    <row r="102617" hidden="1" x14ac:dyDescent="0.35"/>
    <row r="102618" hidden="1" x14ac:dyDescent="0.35"/>
    <row r="102619" hidden="1" x14ac:dyDescent="0.35"/>
    <row r="102620" hidden="1" x14ac:dyDescent="0.35"/>
    <row r="102621" hidden="1" x14ac:dyDescent="0.35"/>
    <row r="102622" hidden="1" x14ac:dyDescent="0.35"/>
    <row r="102623" hidden="1" x14ac:dyDescent="0.35"/>
    <row r="102624" hidden="1" x14ac:dyDescent="0.35"/>
    <row r="102625" hidden="1" x14ac:dyDescent="0.35"/>
    <row r="102626" hidden="1" x14ac:dyDescent="0.35"/>
    <row r="102627" hidden="1" x14ac:dyDescent="0.35"/>
    <row r="102628" hidden="1" x14ac:dyDescent="0.35"/>
    <row r="102629" hidden="1" x14ac:dyDescent="0.35"/>
    <row r="102630" hidden="1" x14ac:dyDescent="0.35"/>
    <row r="102631" hidden="1" x14ac:dyDescent="0.35"/>
    <row r="102632" hidden="1" x14ac:dyDescent="0.35"/>
    <row r="102633" hidden="1" x14ac:dyDescent="0.35"/>
    <row r="102634" hidden="1" x14ac:dyDescent="0.35"/>
    <row r="102635" hidden="1" x14ac:dyDescent="0.35"/>
    <row r="102636" hidden="1" x14ac:dyDescent="0.35"/>
    <row r="102637" hidden="1" x14ac:dyDescent="0.35"/>
    <row r="102638" hidden="1" x14ac:dyDescent="0.35"/>
    <row r="102639" hidden="1" x14ac:dyDescent="0.35"/>
    <row r="102640" hidden="1" x14ac:dyDescent="0.35"/>
    <row r="102641" hidden="1" x14ac:dyDescent="0.35"/>
    <row r="102642" hidden="1" x14ac:dyDescent="0.35"/>
    <row r="102643" hidden="1" x14ac:dyDescent="0.35"/>
    <row r="102644" hidden="1" x14ac:dyDescent="0.35"/>
    <row r="102645" hidden="1" x14ac:dyDescent="0.35"/>
    <row r="102646" hidden="1" x14ac:dyDescent="0.35"/>
    <row r="102647" hidden="1" x14ac:dyDescent="0.35"/>
    <row r="102648" hidden="1" x14ac:dyDescent="0.35"/>
    <row r="102649" hidden="1" x14ac:dyDescent="0.35"/>
    <row r="102650" hidden="1" x14ac:dyDescent="0.35"/>
    <row r="102651" hidden="1" x14ac:dyDescent="0.35"/>
    <row r="102652" hidden="1" x14ac:dyDescent="0.35"/>
    <row r="102653" hidden="1" x14ac:dyDescent="0.35"/>
    <row r="102654" hidden="1" x14ac:dyDescent="0.35"/>
    <row r="102655" hidden="1" x14ac:dyDescent="0.35"/>
    <row r="102656" hidden="1" x14ac:dyDescent="0.35"/>
    <row r="102657" hidden="1" x14ac:dyDescent="0.35"/>
    <row r="102658" hidden="1" x14ac:dyDescent="0.35"/>
    <row r="102659" hidden="1" x14ac:dyDescent="0.35"/>
    <row r="102660" hidden="1" x14ac:dyDescent="0.35"/>
    <row r="102661" hidden="1" x14ac:dyDescent="0.35"/>
    <row r="102662" hidden="1" x14ac:dyDescent="0.35"/>
    <row r="102663" hidden="1" x14ac:dyDescent="0.35"/>
    <row r="102664" hidden="1" x14ac:dyDescent="0.35"/>
    <row r="102665" hidden="1" x14ac:dyDescent="0.35"/>
    <row r="102666" hidden="1" x14ac:dyDescent="0.35"/>
    <row r="102667" hidden="1" x14ac:dyDescent="0.35"/>
    <row r="102668" hidden="1" x14ac:dyDescent="0.35"/>
    <row r="102669" hidden="1" x14ac:dyDescent="0.35"/>
    <row r="102670" hidden="1" x14ac:dyDescent="0.35"/>
    <row r="102671" hidden="1" x14ac:dyDescent="0.35"/>
    <row r="102672" hidden="1" x14ac:dyDescent="0.35"/>
    <row r="102673" hidden="1" x14ac:dyDescent="0.35"/>
    <row r="102674" hidden="1" x14ac:dyDescent="0.35"/>
    <row r="102675" hidden="1" x14ac:dyDescent="0.35"/>
    <row r="102676" hidden="1" x14ac:dyDescent="0.35"/>
    <row r="102677" hidden="1" x14ac:dyDescent="0.35"/>
    <row r="102678" hidden="1" x14ac:dyDescent="0.35"/>
    <row r="102679" hidden="1" x14ac:dyDescent="0.35"/>
    <row r="102680" hidden="1" x14ac:dyDescent="0.35"/>
    <row r="102681" hidden="1" x14ac:dyDescent="0.35"/>
    <row r="102682" hidden="1" x14ac:dyDescent="0.35"/>
    <row r="102683" hidden="1" x14ac:dyDescent="0.35"/>
    <row r="102684" hidden="1" x14ac:dyDescent="0.35"/>
    <row r="102685" hidden="1" x14ac:dyDescent="0.35"/>
    <row r="102686" hidden="1" x14ac:dyDescent="0.35"/>
    <row r="102687" hidden="1" x14ac:dyDescent="0.35"/>
    <row r="102688" hidden="1" x14ac:dyDescent="0.35"/>
    <row r="102689" hidden="1" x14ac:dyDescent="0.35"/>
    <row r="102690" hidden="1" x14ac:dyDescent="0.35"/>
    <row r="102691" hidden="1" x14ac:dyDescent="0.35"/>
    <row r="102692" hidden="1" x14ac:dyDescent="0.35"/>
    <row r="102693" hidden="1" x14ac:dyDescent="0.35"/>
    <row r="102694" hidden="1" x14ac:dyDescent="0.35"/>
    <row r="102695" hidden="1" x14ac:dyDescent="0.35"/>
    <row r="102696" hidden="1" x14ac:dyDescent="0.35"/>
    <row r="102697" hidden="1" x14ac:dyDescent="0.35"/>
    <row r="102698" hidden="1" x14ac:dyDescent="0.35"/>
    <row r="102699" hidden="1" x14ac:dyDescent="0.35"/>
    <row r="102700" hidden="1" x14ac:dyDescent="0.35"/>
    <row r="102701" hidden="1" x14ac:dyDescent="0.35"/>
    <row r="102702" hidden="1" x14ac:dyDescent="0.35"/>
    <row r="102703" hidden="1" x14ac:dyDescent="0.35"/>
    <row r="102704" hidden="1" x14ac:dyDescent="0.35"/>
    <row r="102705" hidden="1" x14ac:dyDescent="0.35"/>
    <row r="102706" hidden="1" x14ac:dyDescent="0.35"/>
    <row r="102707" hidden="1" x14ac:dyDescent="0.35"/>
    <row r="102708" hidden="1" x14ac:dyDescent="0.35"/>
    <row r="102709" hidden="1" x14ac:dyDescent="0.35"/>
    <row r="102710" hidden="1" x14ac:dyDescent="0.35"/>
    <row r="102711" hidden="1" x14ac:dyDescent="0.35"/>
    <row r="102712" hidden="1" x14ac:dyDescent="0.35"/>
    <row r="102713" hidden="1" x14ac:dyDescent="0.35"/>
    <row r="102714" hidden="1" x14ac:dyDescent="0.35"/>
    <row r="102715" hidden="1" x14ac:dyDescent="0.35"/>
    <row r="102716" hidden="1" x14ac:dyDescent="0.35"/>
    <row r="102717" hidden="1" x14ac:dyDescent="0.35"/>
    <row r="102718" hidden="1" x14ac:dyDescent="0.35"/>
    <row r="102719" hidden="1" x14ac:dyDescent="0.35"/>
    <row r="102720" hidden="1" x14ac:dyDescent="0.35"/>
    <row r="102721" hidden="1" x14ac:dyDescent="0.35"/>
    <row r="102722" hidden="1" x14ac:dyDescent="0.35"/>
    <row r="102723" hidden="1" x14ac:dyDescent="0.35"/>
    <row r="102724" hidden="1" x14ac:dyDescent="0.35"/>
    <row r="102725" hidden="1" x14ac:dyDescent="0.35"/>
    <row r="102726" hidden="1" x14ac:dyDescent="0.35"/>
    <row r="102727" hidden="1" x14ac:dyDescent="0.35"/>
    <row r="102728" hidden="1" x14ac:dyDescent="0.35"/>
    <row r="102729" hidden="1" x14ac:dyDescent="0.35"/>
    <row r="102730" hidden="1" x14ac:dyDescent="0.35"/>
    <row r="102731" hidden="1" x14ac:dyDescent="0.35"/>
    <row r="102732" hidden="1" x14ac:dyDescent="0.35"/>
    <row r="102733" hidden="1" x14ac:dyDescent="0.35"/>
    <row r="102734" hidden="1" x14ac:dyDescent="0.35"/>
    <row r="102735" hidden="1" x14ac:dyDescent="0.35"/>
    <row r="102736" hidden="1" x14ac:dyDescent="0.35"/>
    <row r="102737" hidden="1" x14ac:dyDescent="0.35"/>
    <row r="102738" hidden="1" x14ac:dyDescent="0.35"/>
    <row r="102739" hidden="1" x14ac:dyDescent="0.35"/>
    <row r="102740" hidden="1" x14ac:dyDescent="0.35"/>
    <row r="102741" hidden="1" x14ac:dyDescent="0.35"/>
    <row r="102742" hidden="1" x14ac:dyDescent="0.35"/>
    <row r="102743" hidden="1" x14ac:dyDescent="0.35"/>
    <row r="102744" hidden="1" x14ac:dyDescent="0.35"/>
    <row r="102745" hidden="1" x14ac:dyDescent="0.35"/>
    <row r="102746" hidden="1" x14ac:dyDescent="0.35"/>
    <row r="102747" hidden="1" x14ac:dyDescent="0.35"/>
    <row r="102748" hidden="1" x14ac:dyDescent="0.35"/>
    <row r="102749" hidden="1" x14ac:dyDescent="0.35"/>
    <row r="102750" hidden="1" x14ac:dyDescent="0.35"/>
    <row r="102751" hidden="1" x14ac:dyDescent="0.35"/>
    <row r="102752" hidden="1" x14ac:dyDescent="0.35"/>
    <row r="102753" hidden="1" x14ac:dyDescent="0.35"/>
    <row r="102754" hidden="1" x14ac:dyDescent="0.35"/>
    <row r="102755" hidden="1" x14ac:dyDescent="0.35"/>
    <row r="102756" hidden="1" x14ac:dyDescent="0.35"/>
    <row r="102757" hidden="1" x14ac:dyDescent="0.35"/>
    <row r="102758" hidden="1" x14ac:dyDescent="0.35"/>
    <row r="102759" hidden="1" x14ac:dyDescent="0.35"/>
    <row r="102760" hidden="1" x14ac:dyDescent="0.35"/>
    <row r="102761" hidden="1" x14ac:dyDescent="0.35"/>
    <row r="102762" hidden="1" x14ac:dyDescent="0.35"/>
    <row r="102763" hidden="1" x14ac:dyDescent="0.35"/>
    <row r="102764" hidden="1" x14ac:dyDescent="0.35"/>
    <row r="102765" hidden="1" x14ac:dyDescent="0.35"/>
    <row r="102766" hidden="1" x14ac:dyDescent="0.35"/>
    <row r="102767" hidden="1" x14ac:dyDescent="0.35"/>
    <row r="102768" hidden="1" x14ac:dyDescent="0.35"/>
    <row r="102769" hidden="1" x14ac:dyDescent="0.35"/>
    <row r="102770" hidden="1" x14ac:dyDescent="0.35"/>
    <row r="102771" hidden="1" x14ac:dyDescent="0.35"/>
    <row r="102772" hidden="1" x14ac:dyDescent="0.35"/>
    <row r="102773" hidden="1" x14ac:dyDescent="0.35"/>
    <row r="102774" hidden="1" x14ac:dyDescent="0.35"/>
    <row r="102775" hidden="1" x14ac:dyDescent="0.35"/>
    <row r="102776" hidden="1" x14ac:dyDescent="0.35"/>
    <row r="102777" hidden="1" x14ac:dyDescent="0.35"/>
    <row r="102778" hidden="1" x14ac:dyDescent="0.35"/>
    <row r="102779" hidden="1" x14ac:dyDescent="0.35"/>
    <row r="102780" hidden="1" x14ac:dyDescent="0.35"/>
    <row r="102781" hidden="1" x14ac:dyDescent="0.35"/>
    <row r="102782" hidden="1" x14ac:dyDescent="0.35"/>
    <row r="102783" hidden="1" x14ac:dyDescent="0.35"/>
    <row r="102784" hidden="1" x14ac:dyDescent="0.35"/>
    <row r="102785" hidden="1" x14ac:dyDescent="0.35"/>
    <row r="102786" hidden="1" x14ac:dyDescent="0.35"/>
    <row r="102787" hidden="1" x14ac:dyDescent="0.35"/>
    <row r="102788" hidden="1" x14ac:dyDescent="0.35"/>
    <row r="102789" hidden="1" x14ac:dyDescent="0.35"/>
    <row r="102790" hidden="1" x14ac:dyDescent="0.35"/>
    <row r="102791" hidden="1" x14ac:dyDescent="0.35"/>
    <row r="102792" hidden="1" x14ac:dyDescent="0.35"/>
    <row r="102793" hidden="1" x14ac:dyDescent="0.35"/>
    <row r="102794" hidden="1" x14ac:dyDescent="0.35"/>
    <row r="102795" hidden="1" x14ac:dyDescent="0.35"/>
    <row r="102796" hidden="1" x14ac:dyDescent="0.35"/>
    <row r="102797" hidden="1" x14ac:dyDescent="0.35"/>
    <row r="102798" hidden="1" x14ac:dyDescent="0.35"/>
    <row r="102799" hidden="1" x14ac:dyDescent="0.35"/>
    <row r="102800" hidden="1" x14ac:dyDescent="0.35"/>
    <row r="102801" hidden="1" x14ac:dyDescent="0.35"/>
    <row r="102802" hidden="1" x14ac:dyDescent="0.35"/>
    <row r="102803" hidden="1" x14ac:dyDescent="0.35"/>
    <row r="102804" hidden="1" x14ac:dyDescent="0.35"/>
    <row r="102805" hidden="1" x14ac:dyDescent="0.35"/>
    <row r="102806" hidden="1" x14ac:dyDescent="0.35"/>
    <row r="102807" hidden="1" x14ac:dyDescent="0.35"/>
    <row r="102808" hidden="1" x14ac:dyDescent="0.35"/>
    <row r="102809" hidden="1" x14ac:dyDescent="0.35"/>
    <row r="102810" hidden="1" x14ac:dyDescent="0.35"/>
    <row r="102811" hidden="1" x14ac:dyDescent="0.35"/>
    <row r="102812" hidden="1" x14ac:dyDescent="0.35"/>
    <row r="102813" hidden="1" x14ac:dyDescent="0.35"/>
    <row r="102814" hidden="1" x14ac:dyDescent="0.35"/>
    <row r="102815" hidden="1" x14ac:dyDescent="0.35"/>
    <row r="102816" hidden="1" x14ac:dyDescent="0.35"/>
    <row r="102817" hidden="1" x14ac:dyDescent="0.35"/>
    <row r="102818" hidden="1" x14ac:dyDescent="0.35"/>
    <row r="102819" hidden="1" x14ac:dyDescent="0.35"/>
    <row r="102820" hidden="1" x14ac:dyDescent="0.35"/>
    <row r="102821" hidden="1" x14ac:dyDescent="0.35"/>
    <row r="102822" hidden="1" x14ac:dyDescent="0.35"/>
    <row r="102823" hidden="1" x14ac:dyDescent="0.35"/>
    <row r="102824" hidden="1" x14ac:dyDescent="0.35"/>
    <row r="102825" hidden="1" x14ac:dyDescent="0.35"/>
    <row r="102826" hidden="1" x14ac:dyDescent="0.35"/>
    <row r="102827" hidden="1" x14ac:dyDescent="0.35"/>
    <row r="102828" hidden="1" x14ac:dyDescent="0.35"/>
    <row r="102829" hidden="1" x14ac:dyDescent="0.35"/>
    <row r="102830" hidden="1" x14ac:dyDescent="0.35"/>
    <row r="102831" hidden="1" x14ac:dyDescent="0.35"/>
    <row r="102832" hidden="1" x14ac:dyDescent="0.35"/>
    <row r="102833" hidden="1" x14ac:dyDescent="0.35"/>
    <row r="102834" hidden="1" x14ac:dyDescent="0.35"/>
    <row r="102835" hidden="1" x14ac:dyDescent="0.35"/>
    <row r="102836" hidden="1" x14ac:dyDescent="0.35"/>
    <row r="102837" hidden="1" x14ac:dyDescent="0.35"/>
    <row r="102838" hidden="1" x14ac:dyDescent="0.35"/>
    <row r="102839" hidden="1" x14ac:dyDescent="0.35"/>
    <row r="102840" hidden="1" x14ac:dyDescent="0.35"/>
    <row r="102841" hidden="1" x14ac:dyDescent="0.35"/>
    <row r="102842" hidden="1" x14ac:dyDescent="0.35"/>
    <row r="102843" hidden="1" x14ac:dyDescent="0.35"/>
    <row r="102844" hidden="1" x14ac:dyDescent="0.35"/>
    <row r="102845" hidden="1" x14ac:dyDescent="0.35"/>
    <row r="102846" hidden="1" x14ac:dyDescent="0.35"/>
    <row r="102847" hidden="1" x14ac:dyDescent="0.35"/>
    <row r="102848" hidden="1" x14ac:dyDescent="0.35"/>
    <row r="102849" hidden="1" x14ac:dyDescent="0.35"/>
    <row r="102850" hidden="1" x14ac:dyDescent="0.35"/>
    <row r="102851" hidden="1" x14ac:dyDescent="0.35"/>
    <row r="102852" hidden="1" x14ac:dyDescent="0.35"/>
    <row r="102853" hidden="1" x14ac:dyDescent="0.35"/>
    <row r="102854" hidden="1" x14ac:dyDescent="0.35"/>
    <row r="102855" hidden="1" x14ac:dyDescent="0.35"/>
    <row r="102856" hidden="1" x14ac:dyDescent="0.35"/>
    <row r="102857" hidden="1" x14ac:dyDescent="0.35"/>
    <row r="102858" hidden="1" x14ac:dyDescent="0.35"/>
    <row r="102859" hidden="1" x14ac:dyDescent="0.35"/>
    <row r="102860" hidden="1" x14ac:dyDescent="0.35"/>
    <row r="102861" hidden="1" x14ac:dyDescent="0.35"/>
    <row r="102862" hidden="1" x14ac:dyDescent="0.35"/>
    <row r="102863" hidden="1" x14ac:dyDescent="0.35"/>
    <row r="102864" hidden="1" x14ac:dyDescent="0.35"/>
    <row r="102865" hidden="1" x14ac:dyDescent="0.35"/>
    <row r="102866" hidden="1" x14ac:dyDescent="0.35"/>
    <row r="102867" hidden="1" x14ac:dyDescent="0.35"/>
    <row r="102868" hidden="1" x14ac:dyDescent="0.35"/>
    <row r="102869" hidden="1" x14ac:dyDescent="0.35"/>
    <row r="102870" hidden="1" x14ac:dyDescent="0.35"/>
    <row r="102871" hidden="1" x14ac:dyDescent="0.35"/>
    <row r="102872" hidden="1" x14ac:dyDescent="0.35"/>
    <row r="102873" hidden="1" x14ac:dyDescent="0.35"/>
    <row r="102874" hidden="1" x14ac:dyDescent="0.35"/>
    <row r="102875" hidden="1" x14ac:dyDescent="0.35"/>
    <row r="102876" hidden="1" x14ac:dyDescent="0.35"/>
    <row r="102877" hidden="1" x14ac:dyDescent="0.35"/>
    <row r="102878" hidden="1" x14ac:dyDescent="0.35"/>
    <row r="102879" hidden="1" x14ac:dyDescent="0.35"/>
    <row r="102880" hidden="1" x14ac:dyDescent="0.35"/>
    <row r="102881" hidden="1" x14ac:dyDescent="0.35"/>
    <row r="102882" hidden="1" x14ac:dyDescent="0.35"/>
    <row r="102883" hidden="1" x14ac:dyDescent="0.35"/>
    <row r="102884" hidden="1" x14ac:dyDescent="0.35"/>
    <row r="102885" hidden="1" x14ac:dyDescent="0.35"/>
    <row r="102886" hidden="1" x14ac:dyDescent="0.35"/>
    <row r="102887" hidden="1" x14ac:dyDescent="0.35"/>
    <row r="102888" hidden="1" x14ac:dyDescent="0.35"/>
    <row r="102889" hidden="1" x14ac:dyDescent="0.35"/>
    <row r="102890" hidden="1" x14ac:dyDescent="0.35"/>
    <row r="102891" hidden="1" x14ac:dyDescent="0.35"/>
    <row r="102892" hidden="1" x14ac:dyDescent="0.35"/>
    <row r="102893" hidden="1" x14ac:dyDescent="0.35"/>
    <row r="102894" hidden="1" x14ac:dyDescent="0.35"/>
    <row r="102895" hidden="1" x14ac:dyDescent="0.35"/>
    <row r="102896" hidden="1" x14ac:dyDescent="0.35"/>
    <row r="102897" hidden="1" x14ac:dyDescent="0.35"/>
    <row r="102898" hidden="1" x14ac:dyDescent="0.35"/>
    <row r="102899" hidden="1" x14ac:dyDescent="0.35"/>
    <row r="102900" hidden="1" x14ac:dyDescent="0.35"/>
    <row r="102901" hidden="1" x14ac:dyDescent="0.35"/>
    <row r="102902" hidden="1" x14ac:dyDescent="0.35"/>
    <row r="102903" hidden="1" x14ac:dyDescent="0.35"/>
    <row r="102904" hidden="1" x14ac:dyDescent="0.35"/>
    <row r="102905" hidden="1" x14ac:dyDescent="0.35"/>
    <row r="102906" hidden="1" x14ac:dyDescent="0.35"/>
    <row r="102907" hidden="1" x14ac:dyDescent="0.35"/>
    <row r="102908" hidden="1" x14ac:dyDescent="0.35"/>
    <row r="102909" hidden="1" x14ac:dyDescent="0.35"/>
    <row r="102910" hidden="1" x14ac:dyDescent="0.35"/>
    <row r="102911" hidden="1" x14ac:dyDescent="0.35"/>
    <row r="102912" hidden="1" x14ac:dyDescent="0.35"/>
    <row r="102913" hidden="1" x14ac:dyDescent="0.35"/>
    <row r="102914" hidden="1" x14ac:dyDescent="0.35"/>
    <row r="102915" hidden="1" x14ac:dyDescent="0.35"/>
    <row r="102916" hidden="1" x14ac:dyDescent="0.35"/>
    <row r="102917" hidden="1" x14ac:dyDescent="0.35"/>
    <row r="102918" hidden="1" x14ac:dyDescent="0.35"/>
    <row r="102919" hidden="1" x14ac:dyDescent="0.35"/>
    <row r="102920" hidden="1" x14ac:dyDescent="0.35"/>
    <row r="102921" hidden="1" x14ac:dyDescent="0.35"/>
    <row r="102922" hidden="1" x14ac:dyDescent="0.35"/>
    <row r="102923" hidden="1" x14ac:dyDescent="0.35"/>
    <row r="102924" hidden="1" x14ac:dyDescent="0.35"/>
    <row r="102925" hidden="1" x14ac:dyDescent="0.35"/>
    <row r="102926" hidden="1" x14ac:dyDescent="0.35"/>
    <row r="102927" hidden="1" x14ac:dyDescent="0.35"/>
    <row r="102928" hidden="1" x14ac:dyDescent="0.35"/>
    <row r="102929" hidden="1" x14ac:dyDescent="0.35"/>
    <row r="102930" hidden="1" x14ac:dyDescent="0.35"/>
    <row r="102931" hidden="1" x14ac:dyDescent="0.35"/>
    <row r="102932" hidden="1" x14ac:dyDescent="0.35"/>
    <row r="102933" hidden="1" x14ac:dyDescent="0.35"/>
    <row r="102934" hidden="1" x14ac:dyDescent="0.35"/>
    <row r="102935" hidden="1" x14ac:dyDescent="0.35"/>
    <row r="102936" hidden="1" x14ac:dyDescent="0.35"/>
    <row r="102937" hidden="1" x14ac:dyDescent="0.35"/>
    <row r="102938" hidden="1" x14ac:dyDescent="0.35"/>
    <row r="102939" hidden="1" x14ac:dyDescent="0.35"/>
    <row r="102940" hidden="1" x14ac:dyDescent="0.35"/>
    <row r="102941" hidden="1" x14ac:dyDescent="0.35"/>
    <row r="102942" hidden="1" x14ac:dyDescent="0.35"/>
    <row r="102943" hidden="1" x14ac:dyDescent="0.35"/>
    <row r="102944" hidden="1" x14ac:dyDescent="0.35"/>
    <row r="102945" hidden="1" x14ac:dyDescent="0.35"/>
    <row r="102946" hidden="1" x14ac:dyDescent="0.35"/>
    <row r="102947" hidden="1" x14ac:dyDescent="0.35"/>
    <row r="102948" hidden="1" x14ac:dyDescent="0.35"/>
    <row r="102949" hidden="1" x14ac:dyDescent="0.35"/>
    <row r="102950" hidden="1" x14ac:dyDescent="0.35"/>
    <row r="102951" hidden="1" x14ac:dyDescent="0.35"/>
    <row r="102952" hidden="1" x14ac:dyDescent="0.35"/>
    <row r="102953" hidden="1" x14ac:dyDescent="0.35"/>
    <row r="102954" hidden="1" x14ac:dyDescent="0.35"/>
    <row r="102955" hidden="1" x14ac:dyDescent="0.35"/>
    <row r="102956" hidden="1" x14ac:dyDescent="0.35"/>
    <row r="102957" hidden="1" x14ac:dyDescent="0.35"/>
    <row r="102958" hidden="1" x14ac:dyDescent="0.35"/>
    <row r="102959" hidden="1" x14ac:dyDescent="0.35"/>
    <row r="102960" hidden="1" x14ac:dyDescent="0.35"/>
    <row r="102961" hidden="1" x14ac:dyDescent="0.35"/>
    <row r="102962" hidden="1" x14ac:dyDescent="0.35"/>
    <row r="102963" hidden="1" x14ac:dyDescent="0.35"/>
    <row r="102964" hidden="1" x14ac:dyDescent="0.35"/>
    <row r="102965" hidden="1" x14ac:dyDescent="0.35"/>
    <row r="102966" hidden="1" x14ac:dyDescent="0.35"/>
    <row r="102967" hidden="1" x14ac:dyDescent="0.35"/>
    <row r="102968" hidden="1" x14ac:dyDescent="0.35"/>
    <row r="102969" hidden="1" x14ac:dyDescent="0.35"/>
    <row r="102970" hidden="1" x14ac:dyDescent="0.35"/>
    <row r="102971" hidden="1" x14ac:dyDescent="0.35"/>
    <row r="102972" hidden="1" x14ac:dyDescent="0.35"/>
    <row r="102973" hidden="1" x14ac:dyDescent="0.35"/>
    <row r="102974" hidden="1" x14ac:dyDescent="0.35"/>
    <row r="102975" hidden="1" x14ac:dyDescent="0.35"/>
    <row r="102976" hidden="1" x14ac:dyDescent="0.35"/>
    <row r="102977" hidden="1" x14ac:dyDescent="0.35"/>
    <row r="102978" hidden="1" x14ac:dyDescent="0.35"/>
    <row r="102979" hidden="1" x14ac:dyDescent="0.35"/>
    <row r="102980" hidden="1" x14ac:dyDescent="0.35"/>
    <row r="102981" hidden="1" x14ac:dyDescent="0.35"/>
    <row r="102982" hidden="1" x14ac:dyDescent="0.35"/>
    <row r="102983" hidden="1" x14ac:dyDescent="0.35"/>
    <row r="102984" hidden="1" x14ac:dyDescent="0.35"/>
    <row r="102985" hidden="1" x14ac:dyDescent="0.35"/>
    <row r="102986" hidden="1" x14ac:dyDescent="0.35"/>
    <row r="102987" hidden="1" x14ac:dyDescent="0.35"/>
    <row r="102988" hidden="1" x14ac:dyDescent="0.35"/>
    <row r="102989" hidden="1" x14ac:dyDescent="0.35"/>
    <row r="102990" hidden="1" x14ac:dyDescent="0.35"/>
    <row r="102991" hidden="1" x14ac:dyDescent="0.35"/>
    <row r="102992" hidden="1" x14ac:dyDescent="0.35"/>
    <row r="102993" hidden="1" x14ac:dyDescent="0.35"/>
    <row r="102994" hidden="1" x14ac:dyDescent="0.35"/>
    <row r="102995" hidden="1" x14ac:dyDescent="0.35"/>
    <row r="102996" hidden="1" x14ac:dyDescent="0.35"/>
    <row r="102997" hidden="1" x14ac:dyDescent="0.35"/>
    <row r="102998" hidden="1" x14ac:dyDescent="0.35"/>
    <row r="102999" hidden="1" x14ac:dyDescent="0.35"/>
    <row r="103000" hidden="1" x14ac:dyDescent="0.35"/>
    <row r="103001" hidden="1" x14ac:dyDescent="0.35"/>
    <row r="103002" hidden="1" x14ac:dyDescent="0.35"/>
    <row r="103003" hidden="1" x14ac:dyDescent="0.35"/>
    <row r="103004" hidden="1" x14ac:dyDescent="0.35"/>
    <row r="103005" hidden="1" x14ac:dyDescent="0.35"/>
    <row r="103006" hidden="1" x14ac:dyDescent="0.35"/>
    <row r="103007" hidden="1" x14ac:dyDescent="0.35"/>
    <row r="103008" hidden="1" x14ac:dyDescent="0.35"/>
    <row r="103009" hidden="1" x14ac:dyDescent="0.35"/>
    <row r="103010" hidden="1" x14ac:dyDescent="0.35"/>
    <row r="103011" hidden="1" x14ac:dyDescent="0.35"/>
    <row r="103012" hidden="1" x14ac:dyDescent="0.35"/>
    <row r="103013" hidden="1" x14ac:dyDescent="0.35"/>
    <row r="103014" hidden="1" x14ac:dyDescent="0.35"/>
    <row r="103015" hidden="1" x14ac:dyDescent="0.35"/>
    <row r="103016" hidden="1" x14ac:dyDescent="0.35"/>
    <row r="103017" hidden="1" x14ac:dyDescent="0.35"/>
    <row r="103018" hidden="1" x14ac:dyDescent="0.35"/>
    <row r="103019" hidden="1" x14ac:dyDescent="0.35"/>
    <row r="103020" hidden="1" x14ac:dyDescent="0.35"/>
    <row r="103021" hidden="1" x14ac:dyDescent="0.35"/>
    <row r="103022" hidden="1" x14ac:dyDescent="0.35"/>
    <row r="103023" hidden="1" x14ac:dyDescent="0.35"/>
    <row r="103024" hidden="1" x14ac:dyDescent="0.35"/>
    <row r="103025" hidden="1" x14ac:dyDescent="0.35"/>
    <row r="103026" hidden="1" x14ac:dyDescent="0.35"/>
    <row r="103027" hidden="1" x14ac:dyDescent="0.35"/>
    <row r="103028" hidden="1" x14ac:dyDescent="0.35"/>
    <row r="103029" hidden="1" x14ac:dyDescent="0.35"/>
    <row r="103030" hidden="1" x14ac:dyDescent="0.35"/>
    <row r="103031" hidden="1" x14ac:dyDescent="0.35"/>
    <row r="103032" hidden="1" x14ac:dyDescent="0.35"/>
    <row r="103033" hidden="1" x14ac:dyDescent="0.35"/>
    <row r="103034" hidden="1" x14ac:dyDescent="0.35"/>
    <row r="103035" hidden="1" x14ac:dyDescent="0.35"/>
    <row r="103036" hidden="1" x14ac:dyDescent="0.35"/>
    <row r="103037" hidden="1" x14ac:dyDescent="0.35"/>
    <row r="103038" hidden="1" x14ac:dyDescent="0.35"/>
    <row r="103039" hidden="1" x14ac:dyDescent="0.35"/>
    <row r="103040" hidden="1" x14ac:dyDescent="0.35"/>
    <row r="103041" hidden="1" x14ac:dyDescent="0.35"/>
    <row r="103042" hidden="1" x14ac:dyDescent="0.35"/>
    <row r="103043" hidden="1" x14ac:dyDescent="0.35"/>
    <row r="103044" hidden="1" x14ac:dyDescent="0.35"/>
    <row r="103045" hidden="1" x14ac:dyDescent="0.35"/>
    <row r="103046" hidden="1" x14ac:dyDescent="0.35"/>
    <row r="103047" hidden="1" x14ac:dyDescent="0.35"/>
    <row r="103048" hidden="1" x14ac:dyDescent="0.35"/>
    <row r="103049" hidden="1" x14ac:dyDescent="0.35"/>
    <row r="103050" hidden="1" x14ac:dyDescent="0.35"/>
    <row r="103051" hidden="1" x14ac:dyDescent="0.35"/>
    <row r="103052" hidden="1" x14ac:dyDescent="0.35"/>
    <row r="103053" hidden="1" x14ac:dyDescent="0.35"/>
    <row r="103054" hidden="1" x14ac:dyDescent="0.35"/>
    <row r="103055" hidden="1" x14ac:dyDescent="0.35"/>
    <row r="103056" hidden="1" x14ac:dyDescent="0.35"/>
    <row r="103057" hidden="1" x14ac:dyDescent="0.35"/>
    <row r="103058" hidden="1" x14ac:dyDescent="0.35"/>
    <row r="103059" hidden="1" x14ac:dyDescent="0.35"/>
    <row r="103060" hidden="1" x14ac:dyDescent="0.35"/>
    <row r="103061" hidden="1" x14ac:dyDescent="0.35"/>
    <row r="103062" hidden="1" x14ac:dyDescent="0.35"/>
    <row r="103063" hidden="1" x14ac:dyDescent="0.35"/>
    <row r="103064" hidden="1" x14ac:dyDescent="0.35"/>
    <row r="103065" hidden="1" x14ac:dyDescent="0.35"/>
    <row r="103066" hidden="1" x14ac:dyDescent="0.35"/>
    <row r="103067" hidden="1" x14ac:dyDescent="0.35"/>
    <row r="103068" hidden="1" x14ac:dyDescent="0.35"/>
    <row r="103069" hidden="1" x14ac:dyDescent="0.35"/>
    <row r="103070" hidden="1" x14ac:dyDescent="0.35"/>
    <row r="103071" hidden="1" x14ac:dyDescent="0.35"/>
    <row r="103072" hidden="1" x14ac:dyDescent="0.35"/>
    <row r="103073" hidden="1" x14ac:dyDescent="0.35"/>
    <row r="103074" hidden="1" x14ac:dyDescent="0.35"/>
    <row r="103075" hidden="1" x14ac:dyDescent="0.35"/>
    <row r="103076" hidden="1" x14ac:dyDescent="0.35"/>
    <row r="103077" hidden="1" x14ac:dyDescent="0.35"/>
    <row r="103078" hidden="1" x14ac:dyDescent="0.35"/>
    <row r="103079" hidden="1" x14ac:dyDescent="0.35"/>
    <row r="103080" hidden="1" x14ac:dyDescent="0.35"/>
    <row r="103081" hidden="1" x14ac:dyDescent="0.35"/>
    <row r="103082" hidden="1" x14ac:dyDescent="0.35"/>
    <row r="103083" hidden="1" x14ac:dyDescent="0.35"/>
    <row r="103084" hidden="1" x14ac:dyDescent="0.35"/>
    <row r="103085" hidden="1" x14ac:dyDescent="0.35"/>
    <row r="103086" hidden="1" x14ac:dyDescent="0.35"/>
    <row r="103087" hidden="1" x14ac:dyDescent="0.35"/>
    <row r="103088" hidden="1" x14ac:dyDescent="0.35"/>
    <row r="103089" hidden="1" x14ac:dyDescent="0.35"/>
    <row r="103090" hidden="1" x14ac:dyDescent="0.35"/>
    <row r="103091" hidden="1" x14ac:dyDescent="0.35"/>
    <row r="103092" hidden="1" x14ac:dyDescent="0.35"/>
    <row r="103093" hidden="1" x14ac:dyDescent="0.35"/>
    <row r="103094" hidden="1" x14ac:dyDescent="0.35"/>
    <row r="103095" hidden="1" x14ac:dyDescent="0.35"/>
    <row r="103096" hidden="1" x14ac:dyDescent="0.35"/>
    <row r="103097" hidden="1" x14ac:dyDescent="0.35"/>
    <row r="103098" hidden="1" x14ac:dyDescent="0.35"/>
    <row r="103099" hidden="1" x14ac:dyDescent="0.35"/>
    <row r="103100" hidden="1" x14ac:dyDescent="0.35"/>
    <row r="103101" hidden="1" x14ac:dyDescent="0.35"/>
    <row r="103102" hidden="1" x14ac:dyDescent="0.35"/>
    <row r="103103" hidden="1" x14ac:dyDescent="0.35"/>
    <row r="103104" hidden="1" x14ac:dyDescent="0.35"/>
    <row r="103105" hidden="1" x14ac:dyDescent="0.35"/>
    <row r="103106" hidden="1" x14ac:dyDescent="0.35"/>
    <row r="103107" hidden="1" x14ac:dyDescent="0.35"/>
    <row r="103108" hidden="1" x14ac:dyDescent="0.35"/>
    <row r="103109" hidden="1" x14ac:dyDescent="0.35"/>
    <row r="103110" hidden="1" x14ac:dyDescent="0.35"/>
    <row r="103111" hidden="1" x14ac:dyDescent="0.35"/>
    <row r="103112" hidden="1" x14ac:dyDescent="0.35"/>
    <row r="103113" hidden="1" x14ac:dyDescent="0.35"/>
    <row r="103114" hidden="1" x14ac:dyDescent="0.35"/>
    <row r="103115" hidden="1" x14ac:dyDescent="0.35"/>
    <row r="103116" hidden="1" x14ac:dyDescent="0.35"/>
    <row r="103117" hidden="1" x14ac:dyDescent="0.35"/>
    <row r="103118" hidden="1" x14ac:dyDescent="0.35"/>
    <row r="103119" hidden="1" x14ac:dyDescent="0.35"/>
    <row r="103120" hidden="1" x14ac:dyDescent="0.35"/>
    <row r="103121" hidden="1" x14ac:dyDescent="0.35"/>
    <row r="103122" hidden="1" x14ac:dyDescent="0.35"/>
    <row r="103123" hidden="1" x14ac:dyDescent="0.35"/>
    <row r="103124" hidden="1" x14ac:dyDescent="0.35"/>
    <row r="103125" hidden="1" x14ac:dyDescent="0.35"/>
    <row r="103126" hidden="1" x14ac:dyDescent="0.35"/>
    <row r="103127" hidden="1" x14ac:dyDescent="0.35"/>
    <row r="103128" hidden="1" x14ac:dyDescent="0.35"/>
    <row r="103129" hidden="1" x14ac:dyDescent="0.35"/>
    <row r="103130" hidden="1" x14ac:dyDescent="0.35"/>
    <row r="103131" hidden="1" x14ac:dyDescent="0.35"/>
    <row r="103132" hidden="1" x14ac:dyDescent="0.35"/>
    <row r="103133" hidden="1" x14ac:dyDescent="0.35"/>
    <row r="103134" hidden="1" x14ac:dyDescent="0.35"/>
    <row r="103135" hidden="1" x14ac:dyDescent="0.35"/>
    <row r="103136" hidden="1" x14ac:dyDescent="0.35"/>
    <row r="103137" hidden="1" x14ac:dyDescent="0.35"/>
    <row r="103138" hidden="1" x14ac:dyDescent="0.35"/>
    <row r="103139" hidden="1" x14ac:dyDescent="0.35"/>
    <row r="103140" hidden="1" x14ac:dyDescent="0.35"/>
    <row r="103141" hidden="1" x14ac:dyDescent="0.35"/>
    <row r="103142" hidden="1" x14ac:dyDescent="0.35"/>
    <row r="103143" hidden="1" x14ac:dyDescent="0.35"/>
    <row r="103144" hidden="1" x14ac:dyDescent="0.35"/>
    <row r="103145" hidden="1" x14ac:dyDescent="0.35"/>
    <row r="103146" hidden="1" x14ac:dyDescent="0.35"/>
    <row r="103147" hidden="1" x14ac:dyDescent="0.35"/>
    <row r="103148" hidden="1" x14ac:dyDescent="0.35"/>
    <row r="103149" hidden="1" x14ac:dyDescent="0.35"/>
    <row r="103150" hidden="1" x14ac:dyDescent="0.35"/>
    <row r="103151" hidden="1" x14ac:dyDescent="0.35"/>
    <row r="103152" hidden="1" x14ac:dyDescent="0.35"/>
    <row r="103153" hidden="1" x14ac:dyDescent="0.35"/>
    <row r="103154" hidden="1" x14ac:dyDescent="0.35"/>
    <row r="103155" hidden="1" x14ac:dyDescent="0.35"/>
    <row r="103156" hidden="1" x14ac:dyDescent="0.35"/>
    <row r="103157" hidden="1" x14ac:dyDescent="0.35"/>
    <row r="103158" hidden="1" x14ac:dyDescent="0.35"/>
    <row r="103159" hidden="1" x14ac:dyDescent="0.35"/>
    <row r="103160" hidden="1" x14ac:dyDescent="0.35"/>
    <row r="103161" hidden="1" x14ac:dyDescent="0.35"/>
    <row r="103162" hidden="1" x14ac:dyDescent="0.35"/>
    <row r="103163" hidden="1" x14ac:dyDescent="0.35"/>
    <row r="103164" hidden="1" x14ac:dyDescent="0.35"/>
    <row r="103165" hidden="1" x14ac:dyDescent="0.35"/>
    <row r="103166" hidden="1" x14ac:dyDescent="0.35"/>
    <row r="103167" hidden="1" x14ac:dyDescent="0.35"/>
    <row r="103168" hidden="1" x14ac:dyDescent="0.35"/>
    <row r="103169" hidden="1" x14ac:dyDescent="0.35"/>
    <row r="103170" hidden="1" x14ac:dyDescent="0.35"/>
    <row r="103171" hidden="1" x14ac:dyDescent="0.35"/>
    <row r="103172" hidden="1" x14ac:dyDescent="0.35"/>
    <row r="103173" hidden="1" x14ac:dyDescent="0.35"/>
    <row r="103174" hidden="1" x14ac:dyDescent="0.35"/>
    <row r="103175" hidden="1" x14ac:dyDescent="0.35"/>
    <row r="103176" hidden="1" x14ac:dyDescent="0.35"/>
    <row r="103177" hidden="1" x14ac:dyDescent="0.35"/>
    <row r="103178" hidden="1" x14ac:dyDescent="0.35"/>
    <row r="103179" hidden="1" x14ac:dyDescent="0.35"/>
    <row r="103180" hidden="1" x14ac:dyDescent="0.35"/>
    <row r="103181" hidden="1" x14ac:dyDescent="0.35"/>
    <row r="103182" hidden="1" x14ac:dyDescent="0.35"/>
    <row r="103183" hidden="1" x14ac:dyDescent="0.35"/>
    <row r="103184" hidden="1" x14ac:dyDescent="0.35"/>
    <row r="103185" hidden="1" x14ac:dyDescent="0.35"/>
    <row r="103186" hidden="1" x14ac:dyDescent="0.35"/>
    <row r="103187" hidden="1" x14ac:dyDescent="0.35"/>
    <row r="103188" hidden="1" x14ac:dyDescent="0.35"/>
    <row r="103189" hidden="1" x14ac:dyDescent="0.35"/>
    <row r="103190" hidden="1" x14ac:dyDescent="0.35"/>
    <row r="103191" hidden="1" x14ac:dyDescent="0.35"/>
    <row r="103192" hidden="1" x14ac:dyDescent="0.35"/>
    <row r="103193" hidden="1" x14ac:dyDescent="0.35"/>
    <row r="103194" hidden="1" x14ac:dyDescent="0.35"/>
    <row r="103195" hidden="1" x14ac:dyDescent="0.35"/>
    <row r="103196" hidden="1" x14ac:dyDescent="0.35"/>
    <row r="103197" hidden="1" x14ac:dyDescent="0.35"/>
    <row r="103198" hidden="1" x14ac:dyDescent="0.35"/>
    <row r="103199" hidden="1" x14ac:dyDescent="0.35"/>
    <row r="103200" hidden="1" x14ac:dyDescent="0.35"/>
    <row r="103201" hidden="1" x14ac:dyDescent="0.35"/>
    <row r="103202" hidden="1" x14ac:dyDescent="0.35"/>
    <row r="103203" hidden="1" x14ac:dyDescent="0.35"/>
    <row r="103204" hidden="1" x14ac:dyDescent="0.35"/>
    <row r="103205" hidden="1" x14ac:dyDescent="0.35"/>
    <row r="103206" hidden="1" x14ac:dyDescent="0.35"/>
    <row r="103207" hidden="1" x14ac:dyDescent="0.35"/>
    <row r="103208" hidden="1" x14ac:dyDescent="0.35"/>
    <row r="103209" hidden="1" x14ac:dyDescent="0.35"/>
    <row r="103210" hidden="1" x14ac:dyDescent="0.35"/>
    <row r="103211" hidden="1" x14ac:dyDescent="0.35"/>
    <row r="103212" hidden="1" x14ac:dyDescent="0.35"/>
    <row r="103213" hidden="1" x14ac:dyDescent="0.35"/>
    <row r="103214" hidden="1" x14ac:dyDescent="0.35"/>
    <row r="103215" hidden="1" x14ac:dyDescent="0.35"/>
    <row r="103216" hidden="1" x14ac:dyDescent="0.35"/>
    <row r="103217" hidden="1" x14ac:dyDescent="0.35"/>
    <row r="103218" hidden="1" x14ac:dyDescent="0.35"/>
    <row r="103219" hidden="1" x14ac:dyDescent="0.35"/>
    <row r="103220" hidden="1" x14ac:dyDescent="0.35"/>
    <row r="103221" hidden="1" x14ac:dyDescent="0.35"/>
    <row r="103222" hidden="1" x14ac:dyDescent="0.35"/>
    <row r="103223" hidden="1" x14ac:dyDescent="0.35"/>
    <row r="103224" hidden="1" x14ac:dyDescent="0.35"/>
    <row r="103225" hidden="1" x14ac:dyDescent="0.35"/>
    <row r="103226" hidden="1" x14ac:dyDescent="0.35"/>
    <row r="103227" hidden="1" x14ac:dyDescent="0.35"/>
    <row r="103228" hidden="1" x14ac:dyDescent="0.35"/>
    <row r="103229" hidden="1" x14ac:dyDescent="0.35"/>
    <row r="103230" hidden="1" x14ac:dyDescent="0.35"/>
    <row r="103231" hidden="1" x14ac:dyDescent="0.35"/>
    <row r="103232" hidden="1" x14ac:dyDescent="0.35"/>
    <row r="103233" hidden="1" x14ac:dyDescent="0.35"/>
    <row r="103234" hidden="1" x14ac:dyDescent="0.35"/>
    <row r="103235" hidden="1" x14ac:dyDescent="0.35"/>
    <row r="103236" hidden="1" x14ac:dyDescent="0.35"/>
    <row r="103237" hidden="1" x14ac:dyDescent="0.35"/>
    <row r="103238" hidden="1" x14ac:dyDescent="0.35"/>
    <row r="103239" hidden="1" x14ac:dyDescent="0.35"/>
    <row r="103240" hidden="1" x14ac:dyDescent="0.35"/>
    <row r="103241" hidden="1" x14ac:dyDescent="0.35"/>
    <row r="103242" hidden="1" x14ac:dyDescent="0.35"/>
    <row r="103243" hidden="1" x14ac:dyDescent="0.35"/>
    <row r="103244" hidden="1" x14ac:dyDescent="0.35"/>
    <row r="103245" hidden="1" x14ac:dyDescent="0.35"/>
    <row r="103246" hidden="1" x14ac:dyDescent="0.35"/>
    <row r="103247" hidden="1" x14ac:dyDescent="0.35"/>
    <row r="103248" hidden="1" x14ac:dyDescent="0.35"/>
    <row r="103249" hidden="1" x14ac:dyDescent="0.35"/>
    <row r="103250" hidden="1" x14ac:dyDescent="0.35"/>
    <row r="103251" hidden="1" x14ac:dyDescent="0.35"/>
    <row r="103252" hidden="1" x14ac:dyDescent="0.35"/>
    <row r="103253" hidden="1" x14ac:dyDescent="0.35"/>
    <row r="103254" hidden="1" x14ac:dyDescent="0.35"/>
    <row r="103255" hidden="1" x14ac:dyDescent="0.35"/>
    <row r="103256" hidden="1" x14ac:dyDescent="0.35"/>
    <row r="103257" hidden="1" x14ac:dyDescent="0.35"/>
    <row r="103258" hidden="1" x14ac:dyDescent="0.35"/>
    <row r="103259" hidden="1" x14ac:dyDescent="0.35"/>
    <row r="103260" hidden="1" x14ac:dyDescent="0.35"/>
    <row r="103261" hidden="1" x14ac:dyDescent="0.35"/>
    <row r="103262" hidden="1" x14ac:dyDescent="0.35"/>
    <row r="103263" hidden="1" x14ac:dyDescent="0.35"/>
    <row r="103264" hidden="1" x14ac:dyDescent="0.35"/>
    <row r="103265" hidden="1" x14ac:dyDescent="0.35"/>
    <row r="103266" hidden="1" x14ac:dyDescent="0.35"/>
    <row r="103267" hidden="1" x14ac:dyDescent="0.35"/>
    <row r="103268" hidden="1" x14ac:dyDescent="0.35"/>
    <row r="103269" hidden="1" x14ac:dyDescent="0.35"/>
    <row r="103270" hidden="1" x14ac:dyDescent="0.35"/>
    <row r="103271" hidden="1" x14ac:dyDescent="0.35"/>
    <row r="103272" hidden="1" x14ac:dyDescent="0.35"/>
    <row r="103273" hidden="1" x14ac:dyDescent="0.35"/>
    <row r="103274" hidden="1" x14ac:dyDescent="0.35"/>
    <row r="103275" hidden="1" x14ac:dyDescent="0.35"/>
    <row r="103276" hidden="1" x14ac:dyDescent="0.35"/>
    <row r="103277" hidden="1" x14ac:dyDescent="0.35"/>
    <row r="103278" hidden="1" x14ac:dyDescent="0.35"/>
    <row r="103279" hidden="1" x14ac:dyDescent="0.35"/>
    <row r="103280" hidden="1" x14ac:dyDescent="0.35"/>
    <row r="103281" hidden="1" x14ac:dyDescent="0.35"/>
    <row r="103282" hidden="1" x14ac:dyDescent="0.35"/>
    <row r="103283" hidden="1" x14ac:dyDescent="0.35"/>
    <row r="103284" hidden="1" x14ac:dyDescent="0.35"/>
    <row r="103285" hidden="1" x14ac:dyDescent="0.35"/>
    <row r="103286" hidden="1" x14ac:dyDescent="0.35"/>
    <row r="103287" hidden="1" x14ac:dyDescent="0.35"/>
    <row r="103288" hidden="1" x14ac:dyDescent="0.35"/>
    <row r="103289" hidden="1" x14ac:dyDescent="0.35"/>
    <row r="103290" hidden="1" x14ac:dyDescent="0.35"/>
    <row r="103291" hidden="1" x14ac:dyDescent="0.35"/>
    <row r="103292" hidden="1" x14ac:dyDescent="0.35"/>
    <row r="103293" hidden="1" x14ac:dyDescent="0.35"/>
    <row r="103294" hidden="1" x14ac:dyDescent="0.35"/>
    <row r="103295" hidden="1" x14ac:dyDescent="0.35"/>
    <row r="103296" hidden="1" x14ac:dyDescent="0.35"/>
    <row r="103297" hidden="1" x14ac:dyDescent="0.35"/>
    <row r="103298" hidden="1" x14ac:dyDescent="0.35"/>
    <row r="103299" hidden="1" x14ac:dyDescent="0.35"/>
    <row r="103300" hidden="1" x14ac:dyDescent="0.35"/>
    <row r="103301" hidden="1" x14ac:dyDescent="0.35"/>
    <row r="103302" hidden="1" x14ac:dyDescent="0.35"/>
    <row r="103303" hidden="1" x14ac:dyDescent="0.35"/>
    <row r="103304" hidden="1" x14ac:dyDescent="0.35"/>
    <row r="103305" hidden="1" x14ac:dyDescent="0.35"/>
    <row r="103306" hidden="1" x14ac:dyDescent="0.35"/>
    <row r="103307" hidden="1" x14ac:dyDescent="0.35"/>
    <row r="103308" hidden="1" x14ac:dyDescent="0.35"/>
    <row r="103309" hidden="1" x14ac:dyDescent="0.35"/>
    <row r="103310" hidden="1" x14ac:dyDescent="0.35"/>
    <row r="103311" hidden="1" x14ac:dyDescent="0.35"/>
    <row r="103312" hidden="1" x14ac:dyDescent="0.35"/>
    <row r="103313" hidden="1" x14ac:dyDescent="0.35"/>
    <row r="103314" hidden="1" x14ac:dyDescent="0.35"/>
    <row r="103315" hidden="1" x14ac:dyDescent="0.35"/>
    <row r="103316" hidden="1" x14ac:dyDescent="0.35"/>
    <row r="103317" hidden="1" x14ac:dyDescent="0.35"/>
    <row r="103318" hidden="1" x14ac:dyDescent="0.35"/>
    <row r="103319" hidden="1" x14ac:dyDescent="0.35"/>
    <row r="103320" hidden="1" x14ac:dyDescent="0.35"/>
    <row r="103321" hidden="1" x14ac:dyDescent="0.35"/>
    <row r="103322" hidden="1" x14ac:dyDescent="0.35"/>
    <row r="103323" hidden="1" x14ac:dyDescent="0.35"/>
    <row r="103324" hidden="1" x14ac:dyDescent="0.35"/>
    <row r="103325" hidden="1" x14ac:dyDescent="0.35"/>
    <row r="103326" hidden="1" x14ac:dyDescent="0.35"/>
    <row r="103327" hidden="1" x14ac:dyDescent="0.35"/>
    <row r="103328" hidden="1" x14ac:dyDescent="0.35"/>
    <row r="103329" hidden="1" x14ac:dyDescent="0.35"/>
    <row r="103330" hidden="1" x14ac:dyDescent="0.35"/>
    <row r="103331" hidden="1" x14ac:dyDescent="0.35"/>
    <row r="103332" hidden="1" x14ac:dyDescent="0.35"/>
    <row r="103333" hidden="1" x14ac:dyDescent="0.35"/>
    <row r="103334" hidden="1" x14ac:dyDescent="0.35"/>
    <row r="103335" hidden="1" x14ac:dyDescent="0.35"/>
    <row r="103336" hidden="1" x14ac:dyDescent="0.35"/>
    <row r="103337" hidden="1" x14ac:dyDescent="0.35"/>
    <row r="103338" hidden="1" x14ac:dyDescent="0.35"/>
    <row r="103339" hidden="1" x14ac:dyDescent="0.35"/>
    <row r="103340" hidden="1" x14ac:dyDescent="0.35"/>
    <row r="103341" hidden="1" x14ac:dyDescent="0.35"/>
    <row r="103342" hidden="1" x14ac:dyDescent="0.35"/>
    <row r="103343" hidden="1" x14ac:dyDescent="0.35"/>
    <row r="103344" hidden="1" x14ac:dyDescent="0.35"/>
    <row r="103345" hidden="1" x14ac:dyDescent="0.35"/>
    <row r="103346" hidden="1" x14ac:dyDescent="0.35"/>
    <row r="103347" hidden="1" x14ac:dyDescent="0.35"/>
    <row r="103348" hidden="1" x14ac:dyDescent="0.35"/>
    <row r="103349" hidden="1" x14ac:dyDescent="0.35"/>
    <row r="103350" hidden="1" x14ac:dyDescent="0.35"/>
    <row r="103351" hidden="1" x14ac:dyDescent="0.35"/>
    <row r="103352" hidden="1" x14ac:dyDescent="0.35"/>
    <row r="103353" hidden="1" x14ac:dyDescent="0.35"/>
    <row r="103354" hidden="1" x14ac:dyDescent="0.35"/>
    <row r="103355" hidden="1" x14ac:dyDescent="0.35"/>
    <row r="103356" hidden="1" x14ac:dyDescent="0.35"/>
    <row r="103357" hidden="1" x14ac:dyDescent="0.35"/>
    <row r="103358" hidden="1" x14ac:dyDescent="0.35"/>
    <row r="103359" hidden="1" x14ac:dyDescent="0.35"/>
    <row r="103360" hidden="1" x14ac:dyDescent="0.35"/>
    <row r="103361" hidden="1" x14ac:dyDescent="0.35"/>
    <row r="103362" hidden="1" x14ac:dyDescent="0.35"/>
    <row r="103363" hidden="1" x14ac:dyDescent="0.35"/>
    <row r="103364" hidden="1" x14ac:dyDescent="0.35"/>
    <row r="103365" hidden="1" x14ac:dyDescent="0.35"/>
    <row r="103366" hidden="1" x14ac:dyDescent="0.35"/>
    <row r="103367" hidden="1" x14ac:dyDescent="0.35"/>
    <row r="103368" hidden="1" x14ac:dyDescent="0.35"/>
    <row r="103369" hidden="1" x14ac:dyDescent="0.35"/>
    <row r="103370" hidden="1" x14ac:dyDescent="0.35"/>
    <row r="103371" hidden="1" x14ac:dyDescent="0.35"/>
    <row r="103372" hidden="1" x14ac:dyDescent="0.35"/>
    <row r="103373" hidden="1" x14ac:dyDescent="0.35"/>
    <row r="103374" hidden="1" x14ac:dyDescent="0.35"/>
    <row r="103375" hidden="1" x14ac:dyDescent="0.35"/>
    <row r="103376" hidden="1" x14ac:dyDescent="0.35"/>
    <row r="103377" hidden="1" x14ac:dyDescent="0.35"/>
    <row r="103378" hidden="1" x14ac:dyDescent="0.35"/>
    <row r="103379" hidden="1" x14ac:dyDescent="0.35"/>
    <row r="103380" hidden="1" x14ac:dyDescent="0.35"/>
    <row r="103381" hidden="1" x14ac:dyDescent="0.35"/>
    <row r="103382" hidden="1" x14ac:dyDescent="0.35"/>
    <row r="103383" hidden="1" x14ac:dyDescent="0.35"/>
    <row r="103384" hidden="1" x14ac:dyDescent="0.35"/>
    <row r="103385" hidden="1" x14ac:dyDescent="0.35"/>
    <row r="103386" hidden="1" x14ac:dyDescent="0.35"/>
    <row r="103387" hidden="1" x14ac:dyDescent="0.35"/>
    <row r="103388" hidden="1" x14ac:dyDescent="0.35"/>
    <row r="103389" hidden="1" x14ac:dyDescent="0.35"/>
    <row r="103390" hidden="1" x14ac:dyDescent="0.35"/>
    <row r="103391" hidden="1" x14ac:dyDescent="0.35"/>
    <row r="103392" hidden="1" x14ac:dyDescent="0.35"/>
    <row r="103393" hidden="1" x14ac:dyDescent="0.35"/>
    <row r="103394" hidden="1" x14ac:dyDescent="0.35"/>
    <row r="103395" hidden="1" x14ac:dyDescent="0.35"/>
    <row r="103396" hidden="1" x14ac:dyDescent="0.35"/>
    <row r="103397" hidden="1" x14ac:dyDescent="0.35"/>
    <row r="103398" hidden="1" x14ac:dyDescent="0.35"/>
    <row r="103399" hidden="1" x14ac:dyDescent="0.35"/>
    <row r="103400" hidden="1" x14ac:dyDescent="0.35"/>
    <row r="103401" hidden="1" x14ac:dyDescent="0.35"/>
    <row r="103402" hidden="1" x14ac:dyDescent="0.35"/>
    <row r="103403" hidden="1" x14ac:dyDescent="0.35"/>
    <row r="103404" hidden="1" x14ac:dyDescent="0.35"/>
    <row r="103405" hidden="1" x14ac:dyDescent="0.35"/>
    <row r="103406" hidden="1" x14ac:dyDescent="0.35"/>
    <row r="103407" hidden="1" x14ac:dyDescent="0.35"/>
    <row r="103408" hidden="1" x14ac:dyDescent="0.35"/>
    <row r="103409" hidden="1" x14ac:dyDescent="0.35"/>
    <row r="103410" hidden="1" x14ac:dyDescent="0.35"/>
    <row r="103411" hidden="1" x14ac:dyDescent="0.35"/>
    <row r="103412" hidden="1" x14ac:dyDescent="0.35"/>
    <row r="103413" hidden="1" x14ac:dyDescent="0.35"/>
    <row r="103414" hidden="1" x14ac:dyDescent="0.35"/>
    <row r="103415" hidden="1" x14ac:dyDescent="0.35"/>
    <row r="103416" hidden="1" x14ac:dyDescent="0.35"/>
    <row r="103417" hidden="1" x14ac:dyDescent="0.35"/>
    <row r="103418" hidden="1" x14ac:dyDescent="0.35"/>
    <row r="103419" hidden="1" x14ac:dyDescent="0.35"/>
    <row r="103420" hidden="1" x14ac:dyDescent="0.35"/>
    <row r="103421" hidden="1" x14ac:dyDescent="0.35"/>
    <row r="103422" hidden="1" x14ac:dyDescent="0.35"/>
    <row r="103423" hidden="1" x14ac:dyDescent="0.35"/>
    <row r="103424" hidden="1" x14ac:dyDescent="0.35"/>
    <row r="103425" hidden="1" x14ac:dyDescent="0.35"/>
    <row r="103426" hidden="1" x14ac:dyDescent="0.35"/>
    <row r="103427" hidden="1" x14ac:dyDescent="0.35"/>
    <row r="103428" hidden="1" x14ac:dyDescent="0.35"/>
    <row r="103429" hidden="1" x14ac:dyDescent="0.35"/>
    <row r="103430" hidden="1" x14ac:dyDescent="0.35"/>
    <row r="103431" hidden="1" x14ac:dyDescent="0.35"/>
    <row r="103432" hidden="1" x14ac:dyDescent="0.35"/>
    <row r="103433" hidden="1" x14ac:dyDescent="0.35"/>
    <row r="103434" hidden="1" x14ac:dyDescent="0.35"/>
    <row r="103435" hidden="1" x14ac:dyDescent="0.35"/>
    <row r="103436" hidden="1" x14ac:dyDescent="0.35"/>
    <row r="103437" hidden="1" x14ac:dyDescent="0.35"/>
    <row r="103438" hidden="1" x14ac:dyDescent="0.35"/>
    <row r="103439" hidden="1" x14ac:dyDescent="0.35"/>
    <row r="103440" hidden="1" x14ac:dyDescent="0.35"/>
    <row r="103441" hidden="1" x14ac:dyDescent="0.35"/>
    <row r="103442" hidden="1" x14ac:dyDescent="0.35"/>
    <row r="103443" hidden="1" x14ac:dyDescent="0.35"/>
    <row r="103444" hidden="1" x14ac:dyDescent="0.35"/>
    <row r="103445" hidden="1" x14ac:dyDescent="0.35"/>
    <row r="103446" hidden="1" x14ac:dyDescent="0.35"/>
    <row r="103447" hidden="1" x14ac:dyDescent="0.35"/>
    <row r="103448" hidden="1" x14ac:dyDescent="0.35"/>
    <row r="103449" hidden="1" x14ac:dyDescent="0.35"/>
    <row r="103450" hidden="1" x14ac:dyDescent="0.35"/>
    <row r="103451" hidden="1" x14ac:dyDescent="0.35"/>
    <row r="103452" hidden="1" x14ac:dyDescent="0.35"/>
    <row r="103453" hidden="1" x14ac:dyDescent="0.35"/>
    <row r="103454" hidden="1" x14ac:dyDescent="0.35"/>
    <row r="103455" hidden="1" x14ac:dyDescent="0.35"/>
    <row r="103456" hidden="1" x14ac:dyDescent="0.35"/>
    <row r="103457" hidden="1" x14ac:dyDescent="0.35"/>
    <row r="103458" hidden="1" x14ac:dyDescent="0.35"/>
    <row r="103459" hidden="1" x14ac:dyDescent="0.35"/>
    <row r="103460" hidden="1" x14ac:dyDescent="0.35"/>
    <row r="103461" hidden="1" x14ac:dyDescent="0.35"/>
    <row r="103462" hidden="1" x14ac:dyDescent="0.35"/>
    <row r="103463" hidden="1" x14ac:dyDescent="0.35"/>
    <row r="103464" hidden="1" x14ac:dyDescent="0.35"/>
    <row r="103465" hidden="1" x14ac:dyDescent="0.35"/>
    <row r="103466" hidden="1" x14ac:dyDescent="0.35"/>
    <row r="103467" hidden="1" x14ac:dyDescent="0.35"/>
    <row r="103468" hidden="1" x14ac:dyDescent="0.35"/>
    <row r="103469" hidden="1" x14ac:dyDescent="0.35"/>
    <row r="103470" hidden="1" x14ac:dyDescent="0.35"/>
    <row r="103471" hidden="1" x14ac:dyDescent="0.35"/>
    <row r="103472" hidden="1" x14ac:dyDescent="0.35"/>
    <row r="103473" hidden="1" x14ac:dyDescent="0.35"/>
    <row r="103474" hidden="1" x14ac:dyDescent="0.35"/>
    <row r="103475" hidden="1" x14ac:dyDescent="0.35"/>
    <row r="103476" hidden="1" x14ac:dyDescent="0.35"/>
    <row r="103477" hidden="1" x14ac:dyDescent="0.35"/>
    <row r="103478" hidden="1" x14ac:dyDescent="0.35"/>
    <row r="103479" hidden="1" x14ac:dyDescent="0.35"/>
    <row r="103480" hidden="1" x14ac:dyDescent="0.35"/>
    <row r="103481" hidden="1" x14ac:dyDescent="0.35"/>
    <row r="103482" hidden="1" x14ac:dyDescent="0.35"/>
    <row r="103483" hidden="1" x14ac:dyDescent="0.35"/>
    <row r="103484" hidden="1" x14ac:dyDescent="0.35"/>
    <row r="103485" hidden="1" x14ac:dyDescent="0.35"/>
    <row r="103486" hidden="1" x14ac:dyDescent="0.35"/>
    <row r="103487" hidden="1" x14ac:dyDescent="0.35"/>
    <row r="103488" hidden="1" x14ac:dyDescent="0.35"/>
    <row r="103489" hidden="1" x14ac:dyDescent="0.35"/>
    <row r="103490" hidden="1" x14ac:dyDescent="0.35"/>
    <row r="103491" hidden="1" x14ac:dyDescent="0.35"/>
    <row r="103492" hidden="1" x14ac:dyDescent="0.35"/>
    <row r="103493" hidden="1" x14ac:dyDescent="0.35"/>
    <row r="103494" hidden="1" x14ac:dyDescent="0.35"/>
    <row r="103495" hidden="1" x14ac:dyDescent="0.35"/>
    <row r="103496" hidden="1" x14ac:dyDescent="0.35"/>
    <row r="103497" hidden="1" x14ac:dyDescent="0.35"/>
    <row r="103498" hidden="1" x14ac:dyDescent="0.35"/>
    <row r="103499" hidden="1" x14ac:dyDescent="0.35"/>
    <row r="103500" hidden="1" x14ac:dyDescent="0.35"/>
    <row r="103501" hidden="1" x14ac:dyDescent="0.35"/>
    <row r="103502" hidden="1" x14ac:dyDescent="0.35"/>
    <row r="103503" hidden="1" x14ac:dyDescent="0.35"/>
    <row r="103504" hidden="1" x14ac:dyDescent="0.35"/>
    <row r="103505" hidden="1" x14ac:dyDescent="0.35"/>
    <row r="103506" hidden="1" x14ac:dyDescent="0.35"/>
    <row r="103507" hidden="1" x14ac:dyDescent="0.35"/>
    <row r="103508" hidden="1" x14ac:dyDescent="0.35"/>
    <row r="103509" hidden="1" x14ac:dyDescent="0.35"/>
    <row r="103510" hidden="1" x14ac:dyDescent="0.35"/>
    <row r="103511" hidden="1" x14ac:dyDescent="0.35"/>
    <row r="103512" hidden="1" x14ac:dyDescent="0.35"/>
    <row r="103513" hidden="1" x14ac:dyDescent="0.35"/>
    <row r="103514" hidden="1" x14ac:dyDescent="0.35"/>
    <row r="103515" hidden="1" x14ac:dyDescent="0.35"/>
    <row r="103516" hidden="1" x14ac:dyDescent="0.35"/>
    <row r="103517" hidden="1" x14ac:dyDescent="0.35"/>
    <row r="103518" hidden="1" x14ac:dyDescent="0.35"/>
    <row r="103519" hidden="1" x14ac:dyDescent="0.35"/>
    <row r="103520" hidden="1" x14ac:dyDescent="0.35"/>
    <row r="103521" hidden="1" x14ac:dyDescent="0.35"/>
    <row r="103522" hidden="1" x14ac:dyDescent="0.35"/>
    <row r="103523" hidden="1" x14ac:dyDescent="0.35"/>
    <row r="103524" hidden="1" x14ac:dyDescent="0.35"/>
    <row r="103525" hidden="1" x14ac:dyDescent="0.35"/>
    <row r="103526" hidden="1" x14ac:dyDescent="0.35"/>
    <row r="103527" hidden="1" x14ac:dyDescent="0.35"/>
    <row r="103528" hidden="1" x14ac:dyDescent="0.35"/>
    <row r="103529" hidden="1" x14ac:dyDescent="0.35"/>
    <row r="103530" hidden="1" x14ac:dyDescent="0.35"/>
    <row r="103531" hidden="1" x14ac:dyDescent="0.35"/>
    <row r="103532" hidden="1" x14ac:dyDescent="0.35"/>
    <row r="103533" hidden="1" x14ac:dyDescent="0.35"/>
    <row r="103534" hidden="1" x14ac:dyDescent="0.35"/>
    <row r="103535" hidden="1" x14ac:dyDescent="0.35"/>
    <row r="103536" hidden="1" x14ac:dyDescent="0.35"/>
    <row r="103537" hidden="1" x14ac:dyDescent="0.35"/>
    <row r="103538" hidden="1" x14ac:dyDescent="0.35"/>
    <row r="103539" hidden="1" x14ac:dyDescent="0.35"/>
    <row r="103540" hidden="1" x14ac:dyDescent="0.35"/>
    <row r="103541" hidden="1" x14ac:dyDescent="0.35"/>
    <row r="103542" hidden="1" x14ac:dyDescent="0.35"/>
    <row r="103543" hidden="1" x14ac:dyDescent="0.35"/>
    <row r="103544" hidden="1" x14ac:dyDescent="0.35"/>
    <row r="103545" hidden="1" x14ac:dyDescent="0.35"/>
    <row r="103546" hidden="1" x14ac:dyDescent="0.35"/>
    <row r="103547" hidden="1" x14ac:dyDescent="0.35"/>
    <row r="103548" hidden="1" x14ac:dyDescent="0.35"/>
    <row r="103549" hidden="1" x14ac:dyDescent="0.35"/>
    <row r="103550" hidden="1" x14ac:dyDescent="0.35"/>
    <row r="103551" hidden="1" x14ac:dyDescent="0.35"/>
    <row r="103552" hidden="1" x14ac:dyDescent="0.35"/>
    <row r="103553" hidden="1" x14ac:dyDescent="0.35"/>
    <row r="103554" hidden="1" x14ac:dyDescent="0.35"/>
    <row r="103555" hidden="1" x14ac:dyDescent="0.35"/>
    <row r="103556" hidden="1" x14ac:dyDescent="0.35"/>
    <row r="103557" hidden="1" x14ac:dyDescent="0.35"/>
    <row r="103558" hidden="1" x14ac:dyDescent="0.35"/>
    <row r="103559" hidden="1" x14ac:dyDescent="0.35"/>
    <row r="103560" hidden="1" x14ac:dyDescent="0.35"/>
    <row r="103561" hidden="1" x14ac:dyDescent="0.35"/>
    <row r="103562" hidden="1" x14ac:dyDescent="0.35"/>
    <row r="103563" hidden="1" x14ac:dyDescent="0.35"/>
    <row r="103564" hidden="1" x14ac:dyDescent="0.35"/>
    <row r="103565" hidden="1" x14ac:dyDescent="0.35"/>
    <row r="103566" hidden="1" x14ac:dyDescent="0.35"/>
    <row r="103567" hidden="1" x14ac:dyDescent="0.35"/>
    <row r="103568" hidden="1" x14ac:dyDescent="0.35"/>
    <row r="103569" hidden="1" x14ac:dyDescent="0.35"/>
    <row r="103570" hidden="1" x14ac:dyDescent="0.35"/>
    <row r="103571" hidden="1" x14ac:dyDescent="0.35"/>
    <row r="103572" hidden="1" x14ac:dyDescent="0.35"/>
    <row r="103573" hidden="1" x14ac:dyDescent="0.35"/>
    <row r="103574" hidden="1" x14ac:dyDescent="0.35"/>
    <row r="103575" hidden="1" x14ac:dyDescent="0.35"/>
    <row r="103576" hidden="1" x14ac:dyDescent="0.35"/>
    <row r="103577" hidden="1" x14ac:dyDescent="0.35"/>
    <row r="103578" hidden="1" x14ac:dyDescent="0.35"/>
    <row r="103579" hidden="1" x14ac:dyDescent="0.35"/>
    <row r="103580" hidden="1" x14ac:dyDescent="0.35"/>
    <row r="103581" hidden="1" x14ac:dyDescent="0.35"/>
    <row r="103582" hidden="1" x14ac:dyDescent="0.35"/>
    <row r="103583" hidden="1" x14ac:dyDescent="0.35"/>
    <row r="103584" hidden="1" x14ac:dyDescent="0.35"/>
    <row r="103585" hidden="1" x14ac:dyDescent="0.35"/>
    <row r="103586" hidden="1" x14ac:dyDescent="0.35"/>
    <row r="103587" hidden="1" x14ac:dyDescent="0.35"/>
    <row r="103588" hidden="1" x14ac:dyDescent="0.35"/>
    <row r="103589" hidden="1" x14ac:dyDescent="0.35"/>
    <row r="103590" hidden="1" x14ac:dyDescent="0.35"/>
    <row r="103591" hidden="1" x14ac:dyDescent="0.35"/>
    <row r="103592" hidden="1" x14ac:dyDescent="0.35"/>
    <row r="103593" hidden="1" x14ac:dyDescent="0.35"/>
    <row r="103594" hidden="1" x14ac:dyDescent="0.35"/>
    <row r="103595" hidden="1" x14ac:dyDescent="0.35"/>
    <row r="103596" hidden="1" x14ac:dyDescent="0.35"/>
    <row r="103597" hidden="1" x14ac:dyDescent="0.35"/>
    <row r="103598" hidden="1" x14ac:dyDescent="0.35"/>
    <row r="103599" hidden="1" x14ac:dyDescent="0.35"/>
    <row r="103600" hidden="1" x14ac:dyDescent="0.35"/>
    <row r="103601" hidden="1" x14ac:dyDescent="0.35"/>
    <row r="103602" hidden="1" x14ac:dyDescent="0.35"/>
    <row r="103603" hidden="1" x14ac:dyDescent="0.35"/>
    <row r="103604" hidden="1" x14ac:dyDescent="0.35"/>
    <row r="103605" hidden="1" x14ac:dyDescent="0.35"/>
    <row r="103606" hidden="1" x14ac:dyDescent="0.35"/>
    <row r="103607" hidden="1" x14ac:dyDescent="0.35"/>
    <row r="103608" hidden="1" x14ac:dyDescent="0.35"/>
    <row r="103609" hidden="1" x14ac:dyDescent="0.35"/>
    <row r="103610" hidden="1" x14ac:dyDescent="0.35"/>
    <row r="103611" hidden="1" x14ac:dyDescent="0.35"/>
    <row r="103612" hidden="1" x14ac:dyDescent="0.35"/>
    <row r="103613" hidden="1" x14ac:dyDescent="0.35"/>
    <row r="103614" hidden="1" x14ac:dyDescent="0.35"/>
    <row r="103615" hidden="1" x14ac:dyDescent="0.35"/>
    <row r="103616" hidden="1" x14ac:dyDescent="0.35"/>
    <row r="103617" hidden="1" x14ac:dyDescent="0.35"/>
    <row r="103618" hidden="1" x14ac:dyDescent="0.35"/>
    <row r="103619" hidden="1" x14ac:dyDescent="0.35"/>
    <row r="103620" hidden="1" x14ac:dyDescent="0.35"/>
    <row r="103621" hidden="1" x14ac:dyDescent="0.35"/>
    <row r="103622" hidden="1" x14ac:dyDescent="0.35"/>
    <row r="103623" hidden="1" x14ac:dyDescent="0.35"/>
    <row r="103624" hidden="1" x14ac:dyDescent="0.35"/>
    <row r="103625" hidden="1" x14ac:dyDescent="0.35"/>
    <row r="103626" hidden="1" x14ac:dyDescent="0.35"/>
    <row r="103627" hidden="1" x14ac:dyDescent="0.35"/>
    <row r="103628" hidden="1" x14ac:dyDescent="0.35"/>
    <row r="103629" hidden="1" x14ac:dyDescent="0.35"/>
    <row r="103630" hidden="1" x14ac:dyDescent="0.35"/>
    <row r="103631" hidden="1" x14ac:dyDescent="0.35"/>
    <row r="103632" hidden="1" x14ac:dyDescent="0.35"/>
    <row r="103633" hidden="1" x14ac:dyDescent="0.35"/>
    <row r="103634" hidden="1" x14ac:dyDescent="0.35"/>
    <row r="103635" hidden="1" x14ac:dyDescent="0.35"/>
    <row r="103636" hidden="1" x14ac:dyDescent="0.35"/>
    <row r="103637" hidden="1" x14ac:dyDescent="0.35"/>
    <row r="103638" hidden="1" x14ac:dyDescent="0.35"/>
    <row r="103639" hidden="1" x14ac:dyDescent="0.35"/>
    <row r="103640" hidden="1" x14ac:dyDescent="0.35"/>
    <row r="103641" hidden="1" x14ac:dyDescent="0.35"/>
    <row r="103642" hidden="1" x14ac:dyDescent="0.35"/>
    <row r="103643" hidden="1" x14ac:dyDescent="0.35"/>
    <row r="103644" hidden="1" x14ac:dyDescent="0.35"/>
    <row r="103645" hidden="1" x14ac:dyDescent="0.35"/>
    <row r="103646" hidden="1" x14ac:dyDescent="0.35"/>
    <row r="103647" hidden="1" x14ac:dyDescent="0.35"/>
    <row r="103648" hidden="1" x14ac:dyDescent="0.35"/>
    <row r="103649" hidden="1" x14ac:dyDescent="0.35"/>
    <row r="103650" hidden="1" x14ac:dyDescent="0.35"/>
    <row r="103651" hidden="1" x14ac:dyDescent="0.35"/>
    <row r="103652" hidden="1" x14ac:dyDescent="0.35"/>
    <row r="103653" hidden="1" x14ac:dyDescent="0.35"/>
    <row r="103654" hidden="1" x14ac:dyDescent="0.35"/>
    <row r="103655" hidden="1" x14ac:dyDescent="0.35"/>
    <row r="103656" hidden="1" x14ac:dyDescent="0.35"/>
    <row r="103657" hidden="1" x14ac:dyDescent="0.35"/>
    <row r="103658" hidden="1" x14ac:dyDescent="0.35"/>
    <row r="103659" hidden="1" x14ac:dyDescent="0.35"/>
    <row r="103660" hidden="1" x14ac:dyDescent="0.35"/>
    <row r="103661" hidden="1" x14ac:dyDescent="0.35"/>
    <row r="103662" hidden="1" x14ac:dyDescent="0.35"/>
    <row r="103663" hidden="1" x14ac:dyDescent="0.35"/>
    <row r="103664" hidden="1" x14ac:dyDescent="0.35"/>
    <row r="103665" hidden="1" x14ac:dyDescent="0.35"/>
    <row r="103666" hidden="1" x14ac:dyDescent="0.35"/>
    <row r="103667" hidden="1" x14ac:dyDescent="0.35"/>
    <row r="103668" hidden="1" x14ac:dyDescent="0.35"/>
    <row r="103669" hidden="1" x14ac:dyDescent="0.35"/>
    <row r="103670" hidden="1" x14ac:dyDescent="0.35"/>
    <row r="103671" hidden="1" x14ac:dyDescent="0.35"/>
    <row r="103672" hidden="1" x14ac:dyDescent="0.35"/>
    <row r="103673" hidden="1" x14ac:dyDescent="0.35"/>
    <row r="103674" hidden="1" x14ac:dyDescent="0.35"/>
    <row r="103675" hidden="1" x14ac:dyDescent="0.35"/>
    <row r="103676" hidden="1" x14ac:dyDescent="0.35"/>
    <row r="103677" hidden="1" x14ac:dyDescent="0.35"/>
    <row r="103678" hidden="1" x14ac:dyDescent="0.35"/>
    <row r="103679" hidden="1" x14ac:dyDescent="0.35"/>
    <row r="103680" hidden="1" x14ac:dyDescent="0.35"/>
    <row r="103681" hidden="1" x14ac:dyDescent="0.35"/>
    <row r="103682" hidden="1" x14ac:dyDescent="0.35"/>
    <row r="103683" hidden="1" x14ac:dyDescent="0.35"/>
    <row r="103684" hidden="1" x14ac:dyDescent="0.35"/>
    <row r="103685" hidden="1" x14ac:dyDescent="0.35"/>
    <row r="103686" hidden="1" x14ac:dyDescent="0.35"/>
    <row r="103687" hidden="1" x14ac:dyDescent="0.35"/>
    <row r="103688" hidden="1" x14ac:dyDescent="0.35"/>
    <row r="103689" hidden="1" x14ac:dyDescent="0.35"/>
    <row r="103690" hidden="1" x14ac:dyDescent="0.35"/>
    <row r="103691" hidden="1" x14ac:dyDescent="0.35"/>
    <row r="103692" hidden="1" x14ac:dyDescent="0.35"/>
    <row r="103693" hidden="1" x14ac:dyDescent="0.35"/>
    <row r="103694" hidden="1" x14ac:dyDescent="0.35"/>
    <row r="103695" hidden="1" x14ac:dyDescent="0.35"/>
    <row r="103696" hidden="1" x14ac:dyDescent="0.35"/>
    <row r="103697" hidden="1" x14ac:dyDescent="0.35"/>
    <row r="103698" hidden="1" x14ac:dyDescent="0.35"/>
    <row r="103699" hidden="1" x14ac:dyDescent="0.35"/>
    <row r="103700" hidden="1" x14ac:dyDescent="0.35"/>
    <row r="103701" hidden="1" x14ac:dyDescent="0.35"/>
    <row r="103702" hidden="1" x14ac:dyDescent="0.35"/>
    <row r="103703" hidden="1" x14ac:dyDescent="0.35"/>
    <row r="103704" hidden="1" x14ac:dyDescent="0.35"/>
    <row r="103705" hidden="1" x14ac:dyDescent="0.35"/>
    <row r="103706" hidden="1" x14ac:dyDescent="0.35"/>
    <row r="103707" hidden="1" x14ac:dyDescent="0.35"/>
    <row r="103708" hidden="1" x14ac:dyDescent="0.35"/>
    <row r="103709" hidden="1" x14ac:dyDescent="0.35"/>
    <row r="103710" hidden="1" x14ac:dyDescent="0.35"/>
    <row r="103711" hidden="1" x14ac:dyDescent="0.35"/>
    <row r="103712" hidden="1" x14ac:dyDescent="0.35"/>
    <row r="103713" hidden="1" x14ac:dyDescent="0.35"/>
    <row r="103714" hidden="1" x14ac:dyDescent="0.35"/>
    <row r="103715" hidden="1" x14ac:dyDescent="0.35"/>
    <row r="103716" hidden="1" x14ac:dyDescent="0.35"/>
    <row r="103717" hidden="1" x14ac:dyDescent="0.35"/>
    <row r="103718" hidden="1" x14ac:dyDescent="0.35"/>
    <row r="103719" hidden="1" x14ac:dyDescent="0.35"/>
    <row r="103720" hidden="1" x14ac:dyDescent="0.35"/>
    <row r="103721" hidden="1" x14ac:dyDescent="0.35"/>
    <row r="103722" hidden="1" x14ac:dyDescent="0.35"/>
    <row r="103723" hidden="1" x14ac:dyDescent="0.35"/>
    <row r="103724" hidden="1" x14ac:dyDescent="0.35"/>
    <row r="103725" hidden="1" x14ac:dyDescent="0.35"/>
    <row r="103726" hidden="1" x14ac:dyDescent="0.35"/>
    <row r="103727" hidden="1" x14ac:dyDescent="0.35"/>
    <row r="103728" hidden="1" x14ac:dyDescent="0.35"/>
    <row r="103729" hidden="1" x14ac:dyDescent="0.35"/>
    <row r="103730" hidden="1" x14ac:dyDescent="0.35"/>
    <row r="103731" hidden="1" x14ac:dyDescent="0.35"/>
    <row r="103732" hidden="1" x14ac:dyDescent="0.35"/>
    <row r="103733" hidden="1" x14ac:dyDescent="0.35"/>
    <row r="103734" hidden="1" x14ac:dyDescent="0.35"/>
    <row r="103735" hidden="1" x14ac:dyDescent="0.35"/>
    <row r="103736" hidden="1" x14ac:dyDescent="0.35"/>
    <row r="103737" hidden="1" x14ac:dyDescent="0.35"/>
    <row r="103738" hidden="1" x14ac:dyDescent="0.35"/>
    <row r="103739" hidden="1" x14ac:dyDescent="0.35"/>
    <row r="103740" hidden="1" x14ac:dyDescent="0.35"/>
    <row r="103741" hidden="1" x14ac:dyDescent="0.35"/>
    <row r="103742" hidden="1" x14ac:dyDescent="0.35"/>
    <row r="103743" hidden="1" x14ac:dyDescent="0.35"/>
    <row r="103744" hidden="1" x14ac:dyDescent="0.35"/>
    <row r="103745" hidden="1" x14ac:dyDescent="0.35"/>
    <row r="103746" hidden="1" x14ac:dyDescent="0.35"/>
    <row r="103747" hidden="1" x14ac:dyDescent="0.35"/>
    <row r="103748" hidden="1" x14ac:dyDescent="0.35"/>
    <row r="103749" hidden="1" x14ac:dyDescent="0.35"/>
    <row r="103750" hidden="1" x14ac:dyDescent="0.35"/>
    <row r="103751" hidden="1" x14ac:dyDescent="0.35"/>
    <row r="103752" hidden="1" x14ac:dyDescent="0.35"/>
    <row r="103753" hidden="1" x14ac:dyDescent="0.35"/>
    <row r="103754" hidden="1" x14ac:dyDescent="0.35"/>
    <row r="103755" hidden="1" x14ac:dyDescent="0.35"/>
    <row r="103756" hidden="1" x14ac:dyDescent="0.35"/>
    <row r="103757" hidden="1" x14ac:dyDescent="0.35"/>
    <row r="103758" hidden="1" x14ac:dyDescent="0.35"/>
    <row r="103759" hidden="1" x14ac:dyDescent="0.35"/>
    <row r="103760" hidden="1" x14ac:dyDescent="0.35"/>
    <row r="103761" hidden="1" x14ac:dyDescent="0.35"/>
    <row r="103762" hidden="1" x14ac:dyDescent="0.35"/>
    <row r="103763" hidden="1" x14ac:dyDescent="0.35"/>
    <row r="103764" hidden="1" x14ac:dyDescent="0.35"/>
    <row r="103765" hidden="1" x14ac:dyDescent="0.35"/>
    <row r="103766" hidden="1" x14ac:dyDescent="0.35"/>
    <row r="103767" hidden="1" x14ac:dyDescent="0.35"/>
    <row r="103768" hidden="1" x14ac:dyDescent="0.35"/>
    <row r="103769" hidden="1" x14ac:dyDescent="0.35"/>
    <row r="103770" hidden="1" x14ac:dyDescent="0.35"/>
    <row r="103771" hidden="1" x14ac:dyDescent="0.35"/>
    <row r="103772" hidden="1" x14ac:dyDescent="0.35"/>
    <row r="103773" hidden="1" x14ac:dyDescent="0.35"/>
    <row r="103774" hidden="1" x14ac:dyDescent="0.35"/>
    <row r="103775" hidden="1" x14ac:dyDescent="0.35"/>
    <row r="103776" hidden="1" x14ac:dyDescent="0.35"/>
    <row r="103777" hidden="1" x14ac:dyDescent="0.35"/>
    <row r="103778" hidden="1" x14ac:dyDescent="0.35"/>
    <row r="103779" hidden="1" x14ac:dyDescent="0.35"/>
    <row r="103780" hidden="1" x14ac:dyDescent="0.35"/>
    <row r="103781" hidden="1" x14ac:dyDescent="0.35"/>
    <row r="103782" hidden="1" x14ac:dyDescent="0.35"/>
    <row r="103783" hidden="1" x14ac:dyDescent="0.35"/>
    <row r="103784" hidden="1" x14ac:dyDescent="0.35"/>
    <row r="103785" hidden="1" x14ac:dyDescent="0.35"/>
    <row r="103786" hidden="1" x14ac:dyDescent="0.35"/>
    <row r="103787" hidden="1" x14ac:dyDescent="0.35"/>
    <row r="103788" hidden="1" x14ac:dyDescent="0.35"/>
    <row r="103789" hidden="1" x14ac:dyDescent="0.35"/>
    <row r="103790" hidden="1" x14ac:dyDescent="0.35"/>
    <row r="103791" hidden="1" x14ac:dyDescent="0.35"/>
    <row r="103792" hidden="1" x14ac:dyDescent="0.35"/>
    <row r="103793" hidden="1" x14ac:dyDescent="0.35"/>
    <row r="103794" hidden="1" x14ac:dyDescent="0.35"/>
    <row r="103795" hidden="1" x14ac:dyDescent="0.35"/>
    <row r="103796" hidden="1" x14ac:dyDescent="0.35"/>
    <row r="103797" hidden="1" x14ac:dyDescent="0.35"/>
    <row r="103798" hidden="1" x14ac:dyDescent="0.35"/>
    <row r="103799" hidden="1" x14ac:dyDescent="0.35"/>
    <row r="103800" hidden="1" x14ac:dyDescent="0.35"/>
    <row r="103801" hidden="1" x14ac:dyDescent="0.35"/>
    <row r="103802" hidden="1" x14ac:dyDescent="0.35"/>
    <row r="103803" hidden="1" x14ac:dyDescent="0.35"/>
    <row r="103804" hidden="1" x14ac:dyDescent="0.35"/>
    <row r="103805" hidden="1" x14ac:dyDescent="0.35"/>
    <row r="103806" hidden="1" x14ac:dyDescent="0.35"/>
    <row r="103807" hidden="1" x14ac:dyDescent="0.35"/>
    <row r="103808" hidden="1" x14ac:dyDescent="0.35"/>
    <row r="103809" hidden="1" x14ac:dyDescent="0.35"/>
    <row r="103810" hidden="1" x14ac:dyDescent="0.35"/>
    <row r="103811" hidden="1" x14ac:dyDescent="0.35"/>
    <row r="103812" hidden="1" x14ac:dyDescent="0.35"/>
    <row r="103813" hidden="1" x14ac:dyDescent="0.35"/>
    <row r="103814" hidden="1" x14ac:dyDescent="0.35"/>
    <row r="103815" hidden="1" x14ac:dyDescent="0.35"/>
    <row r="103816" hidden="1" x14ac:dyDescent="0.35"/>
    <row r="103817" hidden="1" x14ac:dyDescent="0.35"/>
    <row r="103818" hidden="1" x14ac:dyDescent="0.35"/>
    <row r="103819" hidden="1" x14ac:dyDescent="0.35"/>
    <row r="103820" hidden="1" x14ac:dyDescent="0.35"/>
    <row r="103821" hidden="1" x14ac:dyDescent="0.35"/>
    <row r="103822" hidden="1" x14ac:dyDescent="0.35"/>
    <row r="103823" hidden="1" x14ac:dyDescent="0.35"/>
    <row r="103824" hidden="1" x14ac:dyDescent="0.35"/>
    <row r="103825" hidden="1" x14ac:dyDescent="0.35"/>
    <row r="103826" hidden="1" x14ac:dyDescent="0.35"/>
    <row r="103827" hidden="1" x14ac:dyDescent="0.35"/>
    <row r="103828" hidden="1" x14ac:dyDescent="0.35"/>
    <row r="103829" hidden="1" x14ac:dyDescent="0.35"/>
    <row r="103830" hidden="1" x14ac:dyDescent="0.35"/>
    <row r="103831" hidden="1" x14ac:dyDescent="0.35"/>
    <row r="103832" hidden="1" x14ac:dyDescent="0.35"/>
    <row r="103833" hidden="1" x14ac:dyDescent="0.35"/>
    <row r="103834" hidden="1" x14ac:dyDescent="0.35"/>
    <row r="103835" hidden="1" x14ac:dyDescent="0.35"/>
    <row r="103836" hidden="1" x14ac:dyDescent="0.35"/>
    <row r="103837" hidden="1" x14ac:dyDescent="0.35"/>
    <row r="103838" hidden="1" x14ac:dyDescent="0.35"/>
    <row r="103839" hidden="1" x14ac:dyDescent="0.35"/>
    <row r="103840" hidden="1" x14ac:dyDescent="0.35"/>
    <row r="103841" hidden="1" x14ac:dyDescent="0.35"/>
    <row r="103842" hidden="1" x14ac:dyDescent="0.35"/>
    <row r="103843" hidden="1" x14ac:dyDescent="0.35"/>
    <row r="103844" hidden="1" x14ac:dyDescent="0.35"/>
    <row r="103845" hidden="1" x14ac:dyDescent="0.35"/>
    <row r="103846" hidden="1" x14ac:dyDescent="0.35"/>
    <row r="103847" hidden="1" x14ac:dyDescent="0.35"/>
    <row r="103848" hidden="1" x14ac:dyDescent="0.35"/>
    <row r="103849" hidden="1" x14ac:dyDescent="0.35"/>
    <row r="103850" hidden="1" x14ac:dyDescent="0.35"/>
    <row r="103851" hidden="1" x14ac:dyDescent="0.35"/>
    <row r="103852" hidden="1" x14ac:dyDescent="0.35"/>
    <row r="103853" hidden="1" x14ac:dyDescent="0.35"/>
    <row r="103854" hidden="1" x14ac:dyDescent="0.35"/>
    <row r="103855" hidden="1" x14ac:dyDescent="0.35"/>
    <row r="103856" hidden="1" x14ac:dyDescent="0.35"/>
    <row r="103857" hidden="1" x14ac:dyDescent="0.35"/>
    <row r="103858" hidden="1" x14ac:dyDescent="0.35"/>
    <row r="103859" hidden="1" x14ac:dyDescent="0.35"/>
    <row r="103860" hidden="1" x14ac:dyDescent="0.35"/>
    <row r="103861" hidden="1" x14ac:dyDescent="0.35"/>
    <row r="103862" hidden="1" x14ac:dyDescent="0.35"/>
    <row r="103863" hidden="1" x14ac:dyDescent="0.35"/>
    <row r="103864" hidden="1" x14ac:dyDescent="0.35"/>
    <row r="103865" hidden="1" x14ac:dyDescent="0.35"/>
    <row r="103866" hidden="1" x14ac:dyDescent="0.35"/>
    <row r="103867" hidden="1" x14ac:dyDescent="0.35"/>
    <row r="103868" hidden="1" x14ac:dyDescent="0.35"/>
    <row r="103869" hidden="1" x14ac:dyDescent="0.35"/>
    <row r="103870" hidden="1" x14ac:dyDescent="0.35"/>
    <row r="103871" hidden="1" x14ac:dyDescent="0.35"/>
    <row r="103872" hidden="1" x14ac:dyDescent="0.35"/>
    <row r="103873" hidden="1" x14ac:dyDescent="0.35"/>
    <row r="103874" hidden="1" x14ac:dyDescent="0.35"/>
    <row r="103875" hidden="1" x14ac:dyDescent="0.35"/>
    <row r="103876" hidden="1" x14ac:dyDescent="0.35"/>
    <row r="103877" hidden="1" x14ac:dyDescent="0.35"/>
    <row r="103878" hidden="1" x14ac:dyDescent="0.35"/>
    <row r="103879" hidden="1" x14ac:dyDescent="0.35"/>
    <row r="103880" hidden="1" x14ac:dyDescent="0.35"/>
    <row r="103881" hidden="1" x14ac:dyDescent="0.35"/>
    <row r="103882" hidden="1" x14ac:dyDescent="0.35"/>
    <row r="103883" hidden="1" x14ac:dyDescent="0.35"/>
    <row r="103884" hidden="1" x14ac:dyDescent="0.35"/>
    <row r="103885" hidden="1" x14ac:dyDescent="0.35"/>
    <row r="103886" hidden="1" x14ac:dyDescent="0.35"/>
    <row r="103887" hidden="1" x14ac:dyDescent="0.35"/>
    <row r="103888" hidden="1" x14ac:dyDescent="0.35"/>
    <row r="103889" hidden="1" x14ac:dyDescent="0.35"/>
    <row r="103890" hidden="1" x14ac:dyDescent="0.35"/>
    <row r="103891" hidden="1" x14ac:dyDescent="0.35"/>
    <row r="103892" hidden="1" x14ac:dyDescent="0.35"/>
    <row r="103893" hidden="1" x14ac:dyDescent="0.35"/>
    <row r="103894" hidden="1" x14ac:dyDescent="0.35"/>
    <row r="103895" hidden="1" x14ac:dyDescent="0.35"/>
    <row r="103896" hidden="1" x14ac:dyDescent="0.35"/>
    <row r="103897" hidden="1" x14ac:dyDescent="0.35"/>
    <row r="103898" hidden="1" x14ac:dyDescent="0.35"/>
    <row r="103899" hidden="1" x14ac:dyDescent="0.35"/>
    <row r="103900" hidden="1" x14ac:dyDescent="0.35"/>
    <row r="103901" hidden="1" x14ac:dyDescent="0.35"/>
    <row r="103902" hidden="1" x14ac:dyDescent="0.35"/>
    <row r="103903" hidden="1" x14ac:dyDescent="0.35"/>
    <row r="103904" hidden="1" x14ac:dyDescent="0.35"/>
    <row r="103905" hidden="1" x14ac:dyDescent="0.35"/>
    <row r="103906" hidden="1" x14ac:dyDescent="0.35"/>
    <row r="103907" hidden="1" x14ac:dyDescent="0.35"/>
    <row r="103908" hidden="1" x14ac:dyDescent="0.35"/>
    <row r="103909" hidden="1" x14ac:dyDescent="0.35"/>
    <row r="103910" hidden="1" x14ac:dyDescent="0.35"/>
    <row r="103911" hidden="1" x14ac:dyDescent="0.35"/>
    <row r="103912" hidden="1" x14ac:dyDescent="0.35"/>
    <row r="103913" hidden="1" x14ac:dyDescent="0.35"/>
    <row r="103914" hidden="1" x14ac:dyDescent="0.35"/>
    <row r="103915" hidden="1" x14ac:dyDescent="0.35"/>
    <row r="103916" hidden="1" x14ac:dyDescent="0.35"/>
    <row r="103917" hidden="1" x14ac:dyDescent="0.35"/>
    <row r="103918" hidden="1" x14ac:dyDescent="0.35"/>
    <row r="103919" hidden="1" x14ac:dyDescent="0.35"/>
    <row r="103920" hidden="1" x14ac:dyDescent="0.35"/>
    <row r="103921" hidden="1" x14ac:dyDescent="0.35"/>
    <row r="103922" hidden="1" x14ac:dyDescent="0.35"/>
    <row r="103923" hidden="1" x14ac:dyDescent="0.35"/>
    <row r="103924" hidden="1" x14ac:dyDescent="0.35"/>
    <row r="103925" hidden="1" x14ac:dyDescent="0.35"/>
    <row r="103926" hidden="1" x14ac:dyDescent="0.35"/>
    <row r="103927" hidden="1" x14ac:dyDescent="0.35"/>
    <row r="103928" hidden="1" x14ac:dyDescent="0.35"/>
    <row r="103929" hidden="1" x14ac:dyDescent="0.35"/>
    <row r="103930" hidden="1" x14ac:dyDescent="0.35"/>
    <row r="103931" hidden="1" x14ac:dyDescent="0.35"/>
    <row r="103932" hidden="1" x14ac:dyDescent="0.35"/>
    <row r="103933" hidden="1" x14ac:dyDescent="0.35"/>
    <row r="103934" hidden="1" x14ac:dyDescent="0.35"/>
    <row r="103935" hidden="1" x14ac:dyDescent="0.35"/>
    <row r="103936" hidden="1" x14ac:dyDescent="0.35"/>
    <row r="103937" hidden="1" x14ac:dyDescent="0.35"/>
    <row r="103938" hidden="1" x14ac:dyDescent="0.35"/>
    <row r="103939" hidden="1" x14ac:dyDescent="0.35"/>
    <row r="103940" hidden="1" x14ac:dyDescent="0.35"/>
    <row r="103941" hidden="1" x14ac:dyDescent="0.35"/>
    <row r="103942" hidden="1" x14ac:dyDescent="0.35"/>
    <row r="103943" hidden="1" x14ac:dyDescent="0.35"/>
    <row r="103944" hidden="1" x14ac:dyDescent="0.35"/>
    <row r="103945" hidden="1" x14ac:dyDescent="0.35"/>
    <row r="103946" hidden="1" x14ac:dyDescent="0.35"/>
    <row r="103947" hidden="1" x14ac:dyDescent="0.35"/>
    <row r="103948" hidden="1" x14ac:dyDescent="0.35"/>
    <row r="103949" hidden="1" x14ac:dyDescent="0.35"/>
    <row r="103950" hidden="1" x14ac:dyDescent="0.35"/>
    <row r="103951" hidden="1" x14ac:dyDescent="0.35"/>
    <row r="103952" hidden="1" x14ac:dyDescent="0.35"/>
    <row r="103953" hidden="1" x14ac:dyDescent="0.35"/>
    <row r="103954" hidden="1" x14ac:dyDescent="0.35"/>
    <row r="103955" hidden="1" x14ac:dyDescent="0.35"/>
    <row r="103956" hidden="1" x14ac:dyDescent="0.35"/>
    <row r="103957" hidden="1" x14ac:dyDescent="0.35"/>
    <row r="103958" hidden="1" x14ac:dyDescent="0.35"/>
    <row r="103959" hidden="1" x14ac:dyDescent="0.35"/>
    <row r="103960" hidden="1" x14ac:dyDescent="0.35"/>
    <row r="103961" hidden="1" x14ac:dyDescent="0.35"/>
    <row r="103962" hidden="1" x14ac:dyDescent="0.35"/>
    <row r="103963" hidden="1" x14ac:dyDescent="0.35"/>
    <row r="103964" hidden="1" x14ac:dyDescent="0.35"/>
    <row r="103965" hidden="1" x14ac:dyDescent="0.35"/>
    <row r="103966" hidden="1" x14ac:dyDescent="0.35"/>
    <row r="103967" hidden="1" x14ac:dyDescent="0.35"/>
    <row r="103968" hidden="1" x14ac:dyDescent="0.35"/>
    <row r="103969" hidden="1" x14ac:dyDescent="0.35"/>
    <row r="103970" hidden="1" x14ac:dyDescent="0.35"/>
    <row r="103971" hidden="1" x14ac:dyDescent="0.35"/>
    <row r="103972" hidden="1" x14ac:dyDescent="0.35"/>
    <row r="103973" hidden="1" x14ac:dyDescent="0.35"/>
    <row r="103974" hidden="1" x14ac:dyDescent="0.35"/>
    <row r="103975" hidden="1" x14ac:dyDescent="0.35"/>
    <row r="103976" hidden="1" x14ac:dyDescent="0.35"/>
    <row r="103977" hidden="1" x14ac:dyDescent="0.35"/>
    <row r="103978" hidden="1" x14ac:dyDescent="0.35"/>
    <row r="103979" hidden="1" x14ac:dyDescent="0.35"/>
    <row r="103980" hidden="1" x14ac:dyDescent="0.35"/>
    <row r="103981" hidden="1" x14ac:dyDescent="0.35"/>
    <row r="103982" hidden="1" x14ac:dyDescent="0.35"/>
    <row r="103983" hidden="1" x14ac:dyDescent="0.35"/>
    <row r="103984" hidden="1" x14ac:dyDescent="0.35"/>
    <row r="103985" hidden="1" x14ac:dyDescent="0.35"/>
    <row r="103986" hidden="1" x14ac:dyDescent="0.35"/>
    <row r="103987" hidden="1" x14ac:dyDescent="0.35"/>
    <row r="103988" hidden="1" x14ac:dyDescent="0.35"/>
    <row r="103989" hidden="1" x14ac:dyDescent="0.35"/>
    <row r="103990" hidden="1" x14ac:dyDescent="0.35"/>
    <row r="103991" hidden="1" x14ac:dyDescent="0.35"/>
    <row r="103992" hidden="1" x14ac:dyDescent="0.35"/>
    <row r="103993" hidden="1" x14ac:dyDescent="0.35"/>
    <row r="103994" hidden="1" x14ac:dyDescent="0.35"/>
    <row r="103995" hidden="1" x14ac:dyDescent="0.35"/>
    <row r="103996" hidden="1" x14ac:dyDescent="0.35"/>
    <row r="103997" hidden="1" x14ac:dyDescent="0.35"/>
    <row r="103998" hidden="1" x14ac:dyDescent="0.35"/>
    <row r="103999" hidden="1" x14ac:dyDescent="0.35"/>
    <row r="104000" hidden="1" x14ac:dyDescent="0.35"/>
    <row r="104001" hidden="1" x14ac:dyDescent="0.35"/>
    <row r="104002" hidden="1" x14ac:dyDescent="0.35"/>
    <row r="104003" hidden="1" x14ac:dyDescent="0.35"/>
    <row r="104004" hidden="1" x14ac:dyDescent="0.35"/>
    <row r="104005" hidden="1" x14ac:dyDescent="0.35"/>
    <row r="104006" hidden="1" x14ac:dyDescent="0.35"/>
    <row r="104007" hidden="1" x14ac:dyDescent="0.35"/>
    <row r="104008" hidden="1" x14ac:dyDescent="0.35"/>
    <row r="104009" hidden="1" x14ac:dyDescent="0.35"/>
    <row r="104010" hidden="1" x14ac:dyDescent="0.35"/>
    <row r="104011" hidden="1" x14ac:dyDescent="0.35"/>
    <row r="104012" hidden="1" x14ac:dyDescent="0.35"/>
    <row r="104013" hidden="1" x14ac:dyDescent="0.35"/>
    <row r="104014" hidden="1" x14ac:dyDescent="0.35"/>
    <row r="104015" hidden="1" x14ac:dyDescent="0.35"/>
    <row r="104016" hidden="1" x14ac:dyDescent="0.35"/>
    <row r="104017" hidden="1" x14ac:dyDescent="0.35"/>
    <row r="104018" hidden="1" x14ac:dyDescent="0.35"/>
    <row r="104019" hidden="1" x14ac:dyDescent="0.35"/>
    <row r="104020" hidden="1" x14ac:dyDescent="0.35"/>
    <row r="104021" hidden="1" x14ac:dyDescent="0.35"/>
    <row r="104022" hidden="1" x14ac:dyDescent="0.35"/>
    <row r="104023" hidden="1" x14ac:dyDescent="0.35"/>
    <row r="104024" hidden="1" x14ac:dyDescent="0.35"/>
    <row r="104025" hidden="1" x14ac:dyDescent="0.35"/>
    <row r="104026" hidden="1" x14ac:dyDescent="0.35"/>
    <row r="104027" hidden="1" x14ac:dyDescent="0.35"/>
    <row r="104028" hidden="1" x14ac:dyDescent="0.35"/>
    <row r="104029" hidden="1" x14ac:dyDescent="0.35"/>
    <row r="104030" hidden="1" x14ac:dyDescent="0.35"/>
    <row r="104031" hidden="1" x14ac:dyDescent="0.35"/>
    <row r="104032" hidden="1" x14ac:dyDescent="0.35"/>
    <row r="104033" hidden="1" x14ac:dyDescent="0.35"/>
    <row r="104034" hidden="1" x14ac:dyDescent="0.35"/>
    <row r="104035" hidden="1" x14ac:dyDescent="0.35"/>
    <row r="104036" hidden="1" x14ac:dyDescent="0.35"/>
    <row r="104037" hidden="1" x14ac:dyDescent="0.35"/>
    <row r="104038" hidden="1" x14ac:dyDescent="0.35"/>
    <row r="104039" hidden="1" x14ac:dyDescent="0.35"/>
    <row r="104040" hidden="1" x14ac:dyDescent="0.35"/>
    <row r="104041" hidden="1" x14ac:dyDescent="0.35"/>
    <row r="104042" hidden="1" x14ac:dyDescent="0.35"/>
    <row r="104043" hidden="1" x14ac:dyDescent="0.35"/>
    <row r="104044" hidden="1" x14ac:dyDescent="0.35"/>
    <row r="104045" hidden="1" x14ac:dyDescent="0.35"/>
    <row r="104046" hidden="1" x14ac:dyDescent="0.35"/>
    <row r="104047" hidden="1" x14ac:dyDescent="0.35"/>
    <row r="104048" hidden="1" x14ac:dyDescent="0.35"/>
    <row r="104049" hidden="1" x14ac:dyDescent="0.35"/>
    <row r="104050" hidden="1" x14ac:dyDescent="0.35"/>
    <row r="104051" hidden="1" x14ac:dyDescent="0.35"/>
    <row r="104052" hidden="1" x14ac:dyDescent="0.35"/>
    <row r="104053" hidden="1" x14ac:dyDescent="0.35"/>
    <row r="104054" hidden="1" x14ac:dyDescent="0.35"/>
    <row r="104055" hidden="1" x14ac:dyDescent="0.35"/>
    <row r="104056" hidden="1" x14ac:dyDescent="0.35"/>
    <row r="104057" hidden="1" x14ac:dyDescent="0.35"/>
    <row r="104058" hidden="1" x14ac:dyDescent="0.35"/>
    <row r="104059" hidden="1" x14ac:dyDescent="0.35"/>
    <row r="104060" hidden="1" x14ac:dyDescent="0.35"/>
    <row r="104061" hidden="1" x14ac:dyDescent="0.35"/>
    <row r="104062" hidden="1" x14ac:dyDescent="0.35"/>
    <row r="104063" hidden="1" x14ac:dyDescent="0.35"/>
    <row r="104064" hidden="1" x14ac:dyDescent="0.35"/>
    <row r="104065" hidden="1" x14ac:dyDescent="0.35"/>
    <row r="104066" hidden="1" x14ac:dyDescent="0.35"/>
    <row r="104067" hidden="1" x14ac:dyDescent="0.35"/>
    <row r="104068" hidden="1" x14ac:dyDescent="0.35"/>
    <row r="104069" hidden="1" x14ac:dyDescent="0.35"/>
    <row r="104070" hidden="1" x14ac:dyDescent="0.35"/>
    <row r="104071" hidden="1" x14ac:dyDescent="0.35"/>
    <row r="104072" hidden="1" x14ac:dyDescent="0.35"/>
    <row r="104073" hidden="1" x14ac:dyDescent="0.35"/>
    <row r="104074" hidden="1" x14ac:dyDescent="0.35"/>
    <row r="104075" hidden="1" x14ac:dyDescent="0.35"/>
    <row r="104076" hidden="1" x14ac:dyDescent="0.35"/>
    <row r="104077" hidden="1" x14ac:dyDescent="0.35"/>
    <row r="104078" hidden="1" x14ac:dyDescent="0.35"/>
    <row r="104079" hidden="1" x14ac:dyDescent="0.35"/>
    <row r="104080" hidden="1" x14ac:dyDescent="0.35"/>
    <row r="104081" hidden="1" x14ac:dyDescent="0.35"/>
    <row r="104082" hidden="1" x14ac:dyDescent="0.35"/>
    <row r="104083" hidden="1" x14ac:dyDescent="0.35"/>
    <row r="104084" hidden="1" x14ac:dyDescent="0.35"/>
    <row r="104085" hidden="1" x14ac:dyDescent="0.35"/>
    <row r="104086" hidden="1" x14ac:dyDescent="0.35"/>
    <row r="104087" hidden="1" x14ac:dyDescent="0.35"/>
    <row r="104088" hidden="1" x14ac:dyDescent="0.35"/>
    <row r="104089" hidden="1" x14ac:dyDescent="0.35"/>
    <row r="104090" hidden="1" x14ac:dyDescent="0.35"/>
    <row r="104091" hidden="1" x14ac:dyDescent="0.35"/>
    <row r="104092" hidden="1" x14ac:dyDescent="0.35"/>
    <row r="104093" hidden="1" x14ac:dyDescent="0.35"/>
    <row r="104094" hidden="1" x14ac:dyDescent="0.35"/>
    <row r="104095" hidden="1" x14ac:dyDescent="0.35"/>
    <row r="104096" hidden="1" x14ac:dyDescent="0.35"/>
    <row r="104097" hidden="1" x14ac:dyDescent="0.35"/>
    <row r="104098" hidden="1" x14ac:dyDescent="0.35"/>
    <row r="104099" hidden="1" x14ac:dyDescent="0.35"/>
    <row r="104100" hidden="1" x14ac:dyDescent="0.35"/>
    <row r="104101" hidden="1" x14ac:dyDescent="0.35"/>
    <row r="104102" hidden="1" x14ac:dyDescent="0.35"/>
    <row r="104103" hidden="1" x14ac:dyDescent="0.35"/>
    <row r="104104" hidden="1" x14ac:dyDescent="0.35"/>
    <row r="104105" hidden="1" x14ac:dyDescent="0.35"/>
    <row r="104106" hidden="1" x14ac:dyDescent="0.35"/>
    <row r="104107" hidden="1" x14ac:dyDescent="0.35"/>
    <row r="104108" hidden="1" x14ac:dyDescent="0.35"/>
    <row r="104109" hidden="1" x14ac:dyDescent="0.35"/>
    <row r="104110" hidden="1" x14ac:dyDescent="0.35"/>
    <row r="104111" hidden="1" x14ac:dyDescent="0.35"/>
    <row r="104112" hidden="1" x14ac:dyDescent="0.35"/>
    <row r="104113" hidden="1" x14ac:dyDescent="0.35"/>
    <row r="104114" hidden="1" x14ac:dyDescent="0.35"/>
    <row r="104115" hidden="1" x14ac:dyDescent="0.35"/>
    <row r="104116" hidden="1" x14ac:dyDescent="0.35"/>
    <row r="104117" hidden="1" x14ac:dyDescent="0.35"/>
    <row r="104118" hidden="1" x14ac:dyDescent="0.35"/>
    <row r="104119" hidden="1" x14ac:dyDescent="0.35"/>
    <row r="104120" hidden="1" x14ac:dyDescent="0.35"/>
    <row r="104121" hidden="1" x14ac:dyDescent="0.35"/>
    <row r="104122" hidden="1" x14ac:dyDescent="0.35"/>
    <row r="104123" hidden="1" x14ac:dyDescent="0.35"/>
    <row r="104124" hidden="1" x14ac:dyDescent="0.35"/>
    <row r="104125" hidden="1" x14ac:dyDescent="0.35"/>
    <row r="104126" hidden="1" x14ac:dyDescent="0.35"/>
    <row r="104127" hidden="1" x14ac:dyDescent="0.35"/>
    <row r="104128" hidden="1" x14ac:dyDescent="0.35"/>
    <row r="104129" hidden="1" x14ac:dyDescent="0.35"/>
    <row r="104130" hidden="1" x14ac:dyDescent="0.35"/>
    <row r="104131" hidden="1" x14ac:dyDescent="0.35"/>
    <row r="104132" hidden="1" x14ac:dyDescent="0.35"/>
    <row r="104133" hidden="1" x14ac:dyDescent="0.35"/>
    <row r="104134" hidden="1" x14ac:dyDescent="0.35"/>
    <row r="104135" hidden="1" x14ac:dyDescent="0.35"/>
    <row r="104136" hidden="1" x14ac:dyDescent="0.35"/>
    <row r="104137" hidden="1" x14ac:dyDescent="0.35"/>
    <row r="104138" hidden="1" x14ac:dyDescent="0.35"/>
    <row r="104139" hidden="1" x14ac:dyDescent="0.35"/>
    <row r="104140" hidden="1" x14ac:dyDescent="0.35"/>
    <row r="104141" hidden="1" x14ac:dyDescent="0.35"/>
    <row r="104142" hidden="1" x14ac:dyDescent="0.35"/>
    <row r="104143" hidden="1" x14ac:dyDescent="0.35"/>
    <row r="104144" hidden="1" x14ac:dyDescent="0.35"/>
    <row r="104145" hidden="1" x14ac:dyDescent="0.35"/>
    <row r="104146" hidden="1" x14ac:dyDescent="0.35"/>
    <row r="104147" hidden="1" x14ac:dyDescent="0.35"/>
    <row r="104148" hidden="1" x14ac:dyDescent="0.35"/>
    <row r="104149" hidden="1" x14ac:dyDescent="0.35"/>
    <row r="104150" hidden="1" x14ac:dyDescent="0.35"/>
    <row r="104151" hidden="1" x14ac:dyDescent="0.35"/>
    <row r="104152" hidden="1" x14ac:dyDescent="0.35"/>
    <row r="104153" hidden="1" x14ac:dyDescent="0.35"/>
    <row r="104154" hidden="1" x14ac:dyDescent="0.35"/>
    <row r="104155" hidden="1" x14ac:dyDescent="0.35"/>
    <row r="104156" hidden="1" x14ac:dyDescent="0.35"/>
    <row r="104157" hidden="1" x14ac:dyDescent="0.35"/>
    <row r="104158" hidden="1" x14ac:dyDescent="0.35"/>
    <row r="104159" hidden="1" x14ac:dyDescent="0.35"/>
    <row r="104160" hidden="1" x14ac:dyDescent="0.35"/>
    <row r="104161" hidden="1" x14ac:dyDescent="0.35"/>
    <row r="104162" hidden="1" x14ac:dyDescent="0.35"/>
    <row r="104163" hidden="1" x14ac:dyDescent="0.35"/>
    <row r="104164" hidden="1" x14ac:dyDescent="0.35"/>
    <row r="104165" hidden="1" x14ac:dyDescent="0.35"/>
    <row r="104166" hidden="1" x14ac:dyDescent="0.35"/>
    <row r="104167" hidden="1" x14ac:dyDescent="0.35"/>
    <row r="104168" hidden="1" x14ac:dyDescent="0.35"/>
    <row r="104169" hidden="1" x14ac:dyDescent="0.35"/>
    <row r="104170" hidden="1" x14ac:dyDescent="0.35"/>
    <row r="104171" hidden="1" x14ac:dyDescent="0.35"/>
    <row r="104172" hidden="1" x14ac:dyDescent="0.35"/>
    <row r="104173" hidden="1" x14ac:dyDescent="0.35"/>
    <row r="104174" hidden="1" x14ac:dyDescent="0.35"/>
    <row r="104175" hidden="1" x14ac:dyDescent="0.35"/>
    <row r="104176" hidden="1" x14ac:dyDescent="0.35"/>
    <row r="104177" hidden="1" x14ac:dyDescent="0.35"/>
    <row r="104178" hidden="1" x14ac:dyDescent="0.35"/>
    <row r="104179" hidden="1" x14ac:dyDescent="0.35"/>
    <row r="104180" hidden="1" x14ac:dyDescent="0.35"/>
    <row r="104181" hidden="1" x14ac:dyDescent="0.35"/>
    <row r="104182" hidden="1" x14ac:dyDescent="0.35"/>
    <row r="104183" hidden="1" x14ac:dyDescent="0.35"/>
    <row r="104184" hidden="1" x14ac:dyDescent="0.35"/>
    <row r="104185" hidden="1" x14ac:dyDescent="0.35"/>
    <row r="104186" hidden="1" x14ac:dyDescent="0.35"/>
    <row r="104187" hidden="1" x14ac:dyDescent="0.35"/>
    <row r="104188" hidden="1" x14ac:dyDescent="0.35"/>
    <row r="104189" hidden="1" x14ac:dyDescent="0.35"/>
    <row r="104190" hidden="1" x14ac:dyDescent="0.35"/>
    <row r="104191" hidden="1" x14ac:dyDescent="0.35"/>
    <row r="104192" hidden="1" x14ac:dyDescent="0.35"/>
    <row r="104193" hidden="1" x14ac:dyDescent="0.35"/>
    <row r="104194" hidden="1" x14ac:dyDescent="0.35"/>
    <row r="104195" hidden="1" x14ac:dyDescent="0.35"/>
    <row r="104196" hidden="1" x14ac:dyDescent="0.35"/>
    <row r="104197" hidden="1" x14ac:dyDescent="0.35"/>
    <row r="104198" hidden="1" x14ac:dyDescent="0.35"/>
    <row r="104199" hidden="1" x14ac:dyDescent="0.35"/>
    <row r="104200" hidden="1" x14ac:dyDescent="0.35"/>
    <row r="104201" hidden="1" x14ac:dyDescent="0.35"/>
    <row r="104202" hidden="1" x14ac:dyDescent="0.35"/>
    <row r="104203" hidden="1" x14ac:dyDescent="0.35"/>
    <row r="104204" hidden="1" x14ac:dyDescent="0.35"/>
    <row r="104205" hidden="1" x14ac:dyDescent="0.35"/>
    <row r="104206" hidden="1" x14ac:dyDescent="0.35"/>
    <row r="104207" hidden="1" x14ac:dyDescent="0.35"/>
    <row r="104208" hidden="1" x14ac:dyDescent="0.35"/>
    <row r="104209" hidden="1" x14ac:dyDescent="0.35"/>
    <row r="104210" hidden="1" x14ac:dyDescent="0.35"/>
    <row r="104211" hidden="1" x14ac:dyDescent="0.35"/>
    <row r="104212" hidden="1" x14ac:dyDescent="0.35"/>
    <row r="104213" hidden="1" x14ac:dyDescent="0.35"/>
    <row r="104214" hidden="1" x14ac:dyDescent="0.35"/>
    <row r="104215" hidden="1" x14ac:dyDescent="0.35"/>
    <row r="104216" hidden="1" x14ac:dyDescent="0.35"/>
    <row r="104217" hidden="1" x14ac:dyDescent="0.35"/>
    <row r="104218" hidden="1" x14ac:dyDescent="0.35"/>
    <row r="104219" hidden="1" x14ac:dyDescent="0.35"/>
    <row r="104220" hidden="1" x14ac:dyDescent="0.35"/>
    <row r="104221" hidden="1" x14ac:dyDescent="0.35"/>
    <row r="104222" hidden="1" x14ac:dyDescent="0.35"/>
    <row r="104223" hidden="1" x14ac:dyDescent="0.35"/>
    <row r="104224" hidden="1" x14ac:dyDescent="0.35"/>
    <row r="104225" hidden="1" x14ac:dyDescent="0.35"/>
    <row r="104226" hidden="1" x14ac:dyDescent="0.35"/>
    <row r="104227" hidden="1" x14ac:dyDescent="0.35"/>
    <row r="104228" hidden="1" x14ac:dyDescent="0.35"/>
    <row r="104229" hidden="1" x14ac:dyDescent="0.35"/>
    <row r="104230" hidden="1" x14ac:dyDescent="0.35"/>
    <row r="104231" hidden="1" x14ac:dyDescent="0.35"/>
    <row r="104232" hidden="1" x14ac:dyDescent="0.35"/>
    <row r="104233" hidden="1" x14ac:dyDescent="0.35"/>
    <row r="104234" hidden="1" x14ac:dyDescent="0.35"/>
    <row r="104235" hidden="1" x14ac:dyDescent="0.35"/>
    <row r="104236" hidden="1" x14ac:dyDescent="0.35"/>
    <row r="104237" hidden="1" x14ac:dyDescent="0.35"/>
    <row r="104238" hidden="1" x14ac:dyDescent="0.35"/>
    <row r="104239" hidden="1" x14ac:dyDescent="0.35"/>
    <row r="104240" hidden="1" x14ac:dyDescent="0.35"/>
    <row r="104241" hidden="1" x14ac:dyDescent="0.35"/>
    <row r="104242" hidden="1" x14ac:dyDescent="0.35"/>
    <row r="104243" hidden="1" x14ac:dyDescent="0.35"/>
    <row r="104244" hidden="1" x14ac:dyDescent="0.35"/>
    <row r="104245" hidden="1" x14ac:dyDescent="0.35"/>
    <row r="104246" hidden="1" x14ac:dyDescent="0.35"/>
    <row r="104247" hidden="1" x14ac:dyDescent="0.35"/>
    <row r="104248" hidden="1" x14ac:dyDescent="0.35"/>
    <row r="104249" hidden="1" x14ac:dyDescent="0.35"/>
    <row r="104250" hidden="1" x14ac:dyDescent="0.35"/>
    <row r="104251" hidden="1" x14ac:dyDescent="0.35"/>
    <row r="104252" hidden="1" x14ac:dyDescent="0.35"/>
    <row r="104253" hidden="1" x14ac:dyDescent="0.35"/>
    <row r="104254" hidden="1" x14ac:dyDescent="0.35"/>
    <row r="104255" hidden="1" x14ac:dyDescent="0.35"/>
    <row r="104256" hidden="1" x14ac:dyDescent="0.35"/>
    <row r="104257" hidden="1" x14ac:dyDescent="0.35"/>
    <row r="104258" hidden="1" x14ac:dyDescent="0.35"/>
    <row r="104259" hidden="1" x14ac:dyDescent="0.35"/>
    <row r="104260" hidden="1" x14ac:dyDescent="0.35"/>
    <row r="104261" hidden="1" x14ac:dyDescent="0.35"/>
    <row r="104262" hidden="1" x14ac:dyDescent="0.35"/>
    <row r="104263" hidden="1" x14ac:dyDescent="0.35"/>
    <row r="104264" hidden="1" x14ac:dyDescent="0.35"/>
    <row r="104265" hidden="1" x14ac:dyDescent="0.35"/>
    <row r="104266" hidden="1" x14ac:dyDescent="0.35"/>
    <row r="104267" hidden="1" x14ac:dyDescent="0.35"/>
    <row r="104268" hidden="1" x14ac:dyDescent="0.35"/>
    <row r="104269" hidden="1" x14ac:dyDescent="0.35"/>
    <row r="104270" hidden="1" x14ac:dyDescent="0.35"/>
    <row r="104271" hidden="1" x14ac:dyDescent="0.35"/>
    <row r="104272" hidden="1" x14ac:dyDescent="0.35"/>
    <row r="104273" hidden="1" x14ac:dyDescent="0.35"/>
    <row r="104274" hidden="1" x14ac:dyDescent="0.35"/>
    <row r="104275" hidden="1" x14ac:dyDescent="0.35"/>
    <row r="104276" hidden="1" x14ac:dyDescent="0.35"/>
    <row r="104277" hidden="1" x14ac:dyDescent="0.35"/>
    <row r="104278" hidden="1" x14ac:dyDescent="0.35"/>
    <row r="104279" hidden="1" x14ac:dyDescent="0.35"/>
    <row r="104280" hidden="1" x14ac:dyDescent="0.35"/>
    <row r="104281" hidden="1" x14ac:dyDescent="0.35"/>
    <row r="104282" hidden="1" x14ac:dyDescent="0.35"/>
    <row r="104283" hidden="1" x14ac:dyDescent="0.35"/>
    <row r="104284" hidden="1" x14ac:dyDescent="0.35"/>
    <row r="104285" hidden="1" x14ac:dyDescent="0.35"/>
    <row r="104286" hidden="1" x14ac:dyDescent="0.35"/>
    <row r="104287" hidden="1" x14ac:dyDescent="0.35"/>
    <row r="104288" hidden="1" x14ac:dyDescent="0.35"/>
    <row r="104289" hidden="1" x14ac:dyDescent="0.35"/>
    <row r="104290" hidden="1" x14ac:dyDescent="0.35"/>
    <row r="104291" hidden="1" x14ac:dyDescent="0.35"/>
    <row r="104292" hidden="1" x14ac:dyDescent="0.35"/>
    <row r="104293" hidden="1" x14ac:dyDescent="0.35"/>
    <row r="104294" hidden="1" x14ac:dyDescent="0.35"/>
    <row r="104295" hidden="1" x14ac:dyDescent="0.35"/>
    <row r="104296" hidden="1" x14ac:dyDescent="0.35"/>
    <row r="104297" hidden="1" x14ac:dyDescent="0.35"/>
    <row r="104298" hidden="1" x14ac:dyDescent="0.35"/>
    <row r="104299" hidden="1" x14ac:dyDescent="0.35"/>
    <row r="104300" hidden="1" x14ac:dyDescent="0.35"/>
    <row r="104301" hidden="1" x14ac:dyDescent="0.35"/>
    <row r="104302" hidden="1" x14ac:dyDescent="0.35"/>
    <row r="104303" hidden="1" x14ac:dyDescent="0.35"/>
    <row r="104304" hidden="1" x14ac:dyDescent="0.35"/>
    <row r="104305" hidden="1" x14ac:dyDescent="0.35"/>
    <row r="104306" hidden="1" x14ac:dyDescent="0.35"/>
    <row r="104307" hidden="1" x14ac:dyDescent="0.35"/>
    <row r="104308" hidden="1" x14ac:dyDescent="0.35"/>
    <row r="104309" hidden="1" x14ac:dyDescent="0.35"/>
    <row r="104310" hidden="1" x14ac:dyDescent="0.35"/>
    <row r="104311" hidden="1" x14ac:dyDescent="0.35"/>
    <row r="104312" hidden="1" x14ac:dyDescent="0.35"/>
    <row r="104313" hidden="1" x14ac:dyDescent="0.35"/>
    <row r="104314" hidden="1" x14ac:dyDescent="0.35"/>
    <row r="104315" hidden="1" x14ac:dyDescent="0.35"/>
    <row r="104316" hidden="1" x14ac:dyDescent="0.35"/>
    <row r="104317" hidden="1" x14ac:dyDescent="0.35"/>
    <row r="104318" hidden="1" x14ac:dyDescent="0.35"/>
    <row r="104319" hidden="1" x14ac:dyDescent="0.35"/>
    <row r="104320" hidden="1" x14ac:dyDescent="0.35"/>
    <row r="104321" hidden="1" x14ac:dyDescent="0.35"/>
    <row r="104322" hidden="1" x14ac:dyDescent="0.35"/>
    <row r="104323" hidden="1" x14ac:dyDescent="0.35"/>
    <row r="104324" hidden="1" x14ac:dyDescent="0.35"/>
    <row r="104325" hidden="1" x14ac:dyDescent="0.35"/>
    <row r="104326" hidden="1" x14ac:dyDescent="0.35"/>
    <row r="104327" hidden="1" x14ac:dyDescent="0.35"/>
    <row r="104328" hidden="1" x14ac:dyDescent="0.35"/>
    <row r="104329" hidden="1" x14ac:dyDescent="0.35"/>
    <row r="104330" hidden="1" x14ac:dyDescent="0.35"/>
    <row r="104331" hidden="1" x14ac:dyDescent="0.35"/>
    <row r="104332" hidden="1" x14ac:dyDescent="0.35"/>
    <row r="104333" hidden="1" x14ac:dyDescent="0.35"/>
    <row r="104334" hidden="1" x14ac:dyDescent="0.35"/>
    <row r="104335" hidden="1" x14ac:dyDescent="0.35"/>
    <row r="104336" hidden="1" x14ac:dyDescent="0.35"/>
    <row r="104337" hidden="1" x14ac:dyDescent="0.35"/>
    <row r="104338" hidden="1" x14ac:dyDescent="0.35"/>
    <row r="104339" hidden="1" x14ac:dyDescent="0.35"/>
    <row r="104340" hidden="1" x14ac:dyDescent="0.35"/>
    <row r="104341" hidden="1" x14ac:dyDescent="0.35"/>
    <row r="104342" hidden="1" x14ac:dyDescent="0.35"/>
    <row r="104343" hidden="1" x14ac:dyDescent="0.35"/>
    <row r="104344" hidden="1" x14ac:dyDescent="0.35"/>
    <row r="104345" hidden="1" x14ac:dyDescent="0.35"/>
    <row r="104346" hidden="1" x14ac:dyDescent="0.35"/>
    <row r="104347" hidden="1" x14ac:dyDescent="0.35"/>
    <row r="104348" hidden="1" x14ac:dyDescent="0.35"/>
    <row r="104349" hidden="1" x14ac:dyDescent="0.35"/>
    <row r="104350" hidden="1" x14ac:dyDescent="0.35"/>
    <row r="104351" hidden="1" x14ac:dyDescent="0.35"/>
    <row r="104352" hidden="1" x14ac:dyDescent="0.35"/>
    <row r="104353" hidden="1" x14ac:dyDescent="0.35"/>
    <row r="104354" hidden="1" x14ac:dyDescent="0.35"/>
    <row r="104355" hidden="1" x14ac:dyDescent="0.35"/>
    <row r="104356" hidden="1" x14ac:dyDescent="0.35"/>
    <row r="104357" hidden="1" x14ac:dyDescent="0.35"/>
    <row r="104358" hidden="1" x14ac:dyDescent="0.35"/>
    <row r="104359" hidden="1" x14ac:dyDescent="0.35"/>
    <row r="104360" hidden="1" x14ac:dyDescent="0.35"/>
    <row r="104361" hidden="1" x14ac:dyDescent="0.35"/>
    <row r="104362" hidden="1" x14ac:dyDescent="0.35"/>
    <row r="104363" hidden="1" x14ac:dyDescent="0.35"/>
    <row r="104364" hidden="1" x14ac:dyDescent="0.35"/>
    <row r="104365" hidden="1" x14ac:dyDescent="0.35"/>
    <row r="104366" hidden="1" x14ac:dyDescent="0.35"/>
    <row r="104367" hidden="1" x14ac:dyDescent="0.35"/>
    <row r="104368" hidden="1" x14ac:dyDescent="0.35"/>
    <row r="104369" hidden="1" x14ac:dyDescent="0.35"/>
    <row r="104370" hidden="1" x14ac:dyDescent="0.35"/>
    <row r="104371" hidden="1" x14ac:dyDescent="0.35"/>
    <row r="104372" hidden="1" x14ac:dyDescent="0.35"/>
    <row r="104373" hidden="1" x14ac:dyDescent="0.35"/>
    <row r="104374" hidden="1" x14ac:dyDescent="0.35"/>
    <row r="104375" hidden="1" x14ac:dyDescent="0.35"/>
    <row r="104376" hidden="1" x14ac:dyDescent="0.35"/>
    <row r="104377" hidden="1" x14ac:dyDescent="0.35"/>
    <row r="104378" hidden="1" x14ac:dyDescent="0.35"/>
    <row r="104379" hidden="1" x14ac:dyDescent="0.35"/>
    <row r="104380" hidden="1" x14ac:dyDescent="0.35"/>
    <row r="104381" hidden="1" x14ac:dyDescent="0.35"/>
    <row r="104382" hidden="1" x14ac:dyDescent="0.35"/>
    <row r="104383" hidden="1" x14ac:dyDescent="0.35"/>
    <row r="104384" hidden="1" x14ac:dyDescent="0.35"/>
    <row r="104385" hidden="1" x14ac:dyDescent="0.35"/>
    <row r="104386" hidden="1" x14ac:dyDescent="0.35"/>
    <row r="104387" hidden="1" x14ac:dyDescent="0.35"/>
    <row r="104388" hidden="1" x14ac:dyDescent="0.35"/>
    <row r="104389" hidden="1" x14ac:dyDescent="0.35"/>
    <row r="104390" hidden="1" x14ac:dyDescent="0.35"/>
    <row r="104391" hidden="1" x14ac:dyDescent="0.35"/>
    <row r="104392" hidden="1" x14ac:dyDescent="0.35"/>
    <row r="104393" hidden="1" x14ac:dyDescent="0.35"/>
    <row r="104394" hidden="1" x14ac:dyDescent="0.35"/>
    <row r="104395" hidden="1" x14ac:dyDescent="0.35"/>
    <row r="104396" hidden="1" x14ac:dyDescent="0.35"/>
    <row r="104397" hidden="1" x14ac:dyDescent="0.35"/>
    <row r="104398" hidden="1" x14ac:dyDescent="0.35"/>
    <row r="104399" hidden="1" x14ac:dyDescent="0.35"/>
    <row r="104400" hidden="1" x14ac:dyDescent="0.35"/>
    <row r="104401" hidden="1" x14ac:dyDescent="0.35"/>
    <row r="104402" hidden="1" x14ac:dyDescent="0.35"/>
    <row r="104403" hidden="1" x14ac:dyDescent="0.35"/>
    <row r="104404" hidden="1" x14ac:dyDescent="0.35"/>
    <row r="104405" hidden="1" x14ac:dyDescent="0.35"/>
    <row r="104406" hidden="1" x14ac:dyDescent="0.35"/>
    <row r="104407" hidden="1" x14ac:dyDescent="0.35"/>
    <row r="104408" hidden="1" x14ac:dyDescent="0.35"/>
    <row r="104409" hidden="1" x14ac:dyDescent="0.35"/>
    <row r="104410" hidden="1" x14ac:dyDescent="0.35"/>
    <row r="104411" hidden="1" x14ac:dyDescent="0.35"/>
    <row r="104412" hidden="1" x14ac:dyDescent="0.35"/>
    <row r="104413" hidden="1" x14ac:dyDescent="0.35"/>
    <row r="104414" hidden="1" x14ac:dyDescent="0.35"/>
    <row r="104415" hidden="1" x14ac:dyDescent="0.35"/>
    <row r="104416" hidden="1" x14ac:dyDescent="0.35"/>
    <row r="104417" hidden="1" x14ac:dyDescent="0.35"/>
    <row r="104418" hidden="1" x14ac:dyDescent="0.35"/>
    <row r="104419" hidden="1" x14ac:dyDescent="0.35"/>
    <row r="104420" hidden="1" x14ac:dyDescent="0.35"/>
    <row r="104421" hidden="1" x14ac:dyDescent="0.35"/>
    <row r="104422" hidden="1" x14ac:dyDescent="0.35"/>
    <row r="104423" hidden="1" x14ac:dyDescent="0.35"/>
    <row r="104424" hidden="1" x14ac:dyDescent="0.35"/>
    <row r="104425" hidden="1" x14ac:dyDescent="0.35"/>
    <row r="104426" hidden="1" x14ac:dyDescent="0.35"/>
    <row r="104427" hidden="1" x14ac:dyDescent="0.35"/>
    <row r="104428" hidden="1" x14ac:dyDescent="0.35"/>
    <row r="104429" hidden="1" x14ac:dyDescent="0.35"/>
    <row r="104430" hidden="1" x14ac:dyDescent="0.35"/>
    <row r="104431" hidden="1" x14ac:dyDescent="0.35"/>
    <row r="104432" hidden="1" x14ac:dyDescent="0.35"/>
    <row r="104433" hidden="1" x14ac:dyDescent="0.35"/>
    <row r="104434" hidden="1" x14ac:dyDescent="0.35"/>
    <row r="104435" hidden="1" x14ac:dyDescent="0.35"/>
    <row r="104436" hidden="1" x14ac:dyDescent="0.35"/>
    <row r="104437" hidden="1" x14ac:dyDescent="0.35"/>
    <row r="104438" hidden="1" x14ac:dyDescent="0.35"/>
    <row r="104439" hidden="1" x14ac:dyDescent="0.35"/>
    <row r="104440" hidden="1" x14ac:dyDescent="0.35"/>
    <row r="104441" hidden="1" x14ac:dyDescent="0.35"/>
    <row r="104442" hidden="1" x14ac:dyDescent="0.35"/>
    <row r="104443" hidden="1" x14ac:dyDescent="0.35"/>
    <row r="104444" hidden="1" x14ac:dyDescent="0.35"/>
    <row r="104445" hidden="1" x14ac:dyDescent="0.35"/>
    <row r="104446" hidden="1" x14ac:dyDescent="0.35"/>
    <row r="104447" hidden="1" x14ac:dyDescent="0.35"/>
    <row r="104448" hidden="1" x14ac:dyDescent="0.35"/>
    <row r="104449" hidden="1" x14ac:dyDescent="0.35"/>
    <row r="104450" hidden="1" x14ac:dyDescent="0.35"/>
    <row r="104451" hidden="1" x14ac:dyDescent="0.35"/>
    <row r="104452" hidden="1" x14ac:dyDescent="0.35"/>
    <row r="104453" hidden="1" x14ac:dyDescent="0.35"/>
    <row r="104454" hidden="1" x14ac:dyDescent="0.35"/>
    <row r="104455" hidden="1" x14ac:dyDescent="0.35"/>
    <row r="104456" hidden="1" x14ac:dyDescent="0.35"/>
    <row r="104457" hidden="1" x14ac:dyDescent="0.35"/>
    <row r="104458" hidden="1" x14ac:dyDescent="0.35"/>
    <row r="104459" hidden="1" x14ac:dyDescent="0.35"/>
    <row r="104460" hidden="1" x14ac:dyDescent="0.35"/>
    <row r="104461" hidden="1" x14ac:dyDescent="0.35"/>
    <row r="104462" hidden="1" x14ac:dyDescent="0.35"/>
    <row r="104463" hidden="1" x14ac:dyDescent="0.35"/>
    <row r="104464" hidden="1" x14ac:dyDescent="0.35"/>
    <row r="104465" hidden="1" x14ac:dyDescent="0.35"/>
    <row r="104466" hidden="1" x14ac:dyDescent="0.35"/>
    <row r="104467" hidden="1" x14ac:dyDescent="0.35"/>
    <row r="104468" hidden="1" x14ac:dyDescent="0.35"/>
    <row r="104469" hidden="1" x14ac:dyDescent="0.35"/>
    <row r="104470" hidden="1" x14ac:dyDescent="0.35"/>
    <row r="104471" hidden="1" x14ac:dyDescent="0.35"/>
    <row r="104472" hidden="1" x14ac:dyDescent="0.35"/>
    <row r="104473" hidden="1" x14ac:dyDescent="0.35"/>
    <row r="104474" hidden="1" x14ac:dyDescent="0.35"/>
    <row r="104475" hidden="1" x14ac:dyDescent="0.35"/>
    <row r="104476" hidden="1" x14ac:dyDescent="0.35"/>
    <row r="104477" hidden="1" x14ac:dyDescent="0.35"/>
    <row r="104478" hidden="1" x14ac:dyDescent="0.35"/>
    <row r="104479" hidden="1" x14ac:dyDescent="0.35"/>
    <row r="104480" hidden="1" x14ac:dyDescent="0.35"/>
    <row r="104481" hidden="1" x14ac:dyDescent="0.35"/>
    <row r="104482" hidden="1" x14ac:dyDescent="0.35"/>
    <row r="104483" hidden="1" x14ac:dyDescent="0.35"/>
    <row r="104484" hidden="1" x14ac:dyDescent="0.35"/>
    <row r="104485" hidden="1" x14ac:dyDescent="0.35"/>
    <row r="104486" hidden="1" x14ac:dyDescent="0.35"/>
    <row r="104487" hidden="1" x14ac:dyDescent="0.35"/>
    <row r="104488" hidden="1" x14ac:dyDescent="0.35"/>
    <row r="104489" hidden="1" x14ac:dyDescent="0.35"/>
    <row r="104490" hidden="1" x14ac:dyDescent="0.35"/>
    <row r="104491" hidden="1" x14ac:dyDescent="0.35"/>
    <row r="104492" hidden="1" x14ac:dyDescent="0.35"/>
    <row r="104493" hidden="1" x14ac:dyDescent="0.35"/>
    <row r="104494" hidden="1" x14ac:dyDescent="0.35"/>
    <row r="104495" hidden="1" x14ac:dyDescent="0.35"/>
    <row r="104496" hidden="1" x14ac:dyDescent="0.35"/>
    <row r="104497" hidden="1" x14ac:dyDescent="0.35"/>
    <row r="104498" hidden="1" x14ac:dyDescent="0.35"/>
    <row r="104499" hidden="1" x14ac:dyDescent="0.35"/>
    <row r="104500" hidden="1" x14ac:dyDescent="0.35"/>
    <row r="104501" hidden="1" x14ac:dyDescent="0.35"/>
    <row r="104502" hidden="1" x14ac:dyDescent="0.35"/>
    <row r="104503" hidden="1" x14ac:dyDescent="0.35"/>
    <row r="104504" hidden="1" x14ac:dyDescent="0.35"/>
    <row r="104505" hidden="1" x14ac:dyDescent="0.35"/>
    <row r="104506" hidden="1" x14ac:dyDescent="0.35"/>
    <row r="104507" hidden="1" x14ac:dyDescent="0.35"/>
    <row r="104508" hidden="1" x14ac:dyDescent="0.35"/>
    <row r="104509" hidden="1" x14ac:dyDescent="0.35"/>
    <row r="104510" hidden="1" x14ac:dyDescent="0.35"/>
    <row r="104511" hidden="1" x14ac:dyDescent="0.35"/>
    <row r="104512" hidden="1" x14ac:dyDescent="0.35"/>
    <row r="104513" hidden="1" x14ac:dyDescent="0.35"/>
    <row r="104514" hidden="1" x14ac:dyDescent="0.35"/>
    <row r="104515" hidden="1" x14ac:dyDescent="0.35"/>
    <row r="104516" hidden="1" x14ac:dyDescent="0.35"/>
    <row r="104517" hidden="1" x14ac:dyDescent="0.35"/>
    <row r="104518" hidden="1" x14ac:dyDescent="0.35"/>
    <row r="104519" hidden="1" x14ac:dyDescent="0.35"/>
    <row r="104520" hidden="1" x14ac:dyDescent="0.35"/>
    <row r="104521" hidden="1" x14ac:dyDescent="0.35"/>
    <row r="104522" hidden="1" x14ac:dyDescent="0.35"/>
    <row r="104523" hidden="1" x14ac:dyDescent="0.35"/>
    <row r="104524" hidden="1" x14ac:dyDescent="0.35"/>
    <row r="104525" hidden="1" x14ac:dyDescent="0.35"/>
    <row r="104526" hidden="1" x14ac:dyDescent="0.35"/>
    <row r="104527" hidden="1" x14ac:dyDescent="0.35"/>
    <row r="104528" hidden="1" x14ac:dyDescent="0.35"/>
    <row r="104529" hidden="1" x14ac:dyDescent="0.35"/>
    <row r="104530" hidden="1" x14ac:dyDescent="0.35"/>
    <row r="104531" hidden="1" x14ac:dyDescent="0.35"/>
    <row r="104532" hidden="1" x14ac:dyDescent="0.35"/>
    <row r="104533" hidden="1" x14ac:dyDescent="0.35"/>
    <row r="104534" hidden="1" x14ac:dyDescent="0.35"/>
    <row r="104535" hidden="1" x14ac:dyDescent="0.35"/>
    <row r="104536" hidden="1" x14ac:dyDescent="0.35"/>
    <row r="104537" hidden="1" x14ac:dyDescent="0.35"/>
    <row r="104538" hidden="1" x14ac:dyDescent="0.35"/>
    <row r="104539" hidden="1" x14ac:dyDescent="0.35"/>
    <row r="104540" hidden="1" x14ac:dyDescent="0.35"/>
    <row r="104541" hidden="1" x14ac:dyDescent="0.35"/>
    <row r="104542" hidden="1" x14ac:dyDescent="0.35"/>
    <row r="104543" hidden="1" x14ac:dyDescent="0.35"/>
    <row r="104544" hidden="1" x14ac:dyDescent="0.35"/>
    <row r="104545" hidden="1" x14ac:dyDescent="0.35"/>
    <row r="104546" hidden="1" x14ac:dyDescent="0.35"/>
    <row r="104547" hidden="1" x14ac:dyDescent="0.35"/>
    <row r="104548" hidden="1" x14ac:dyDescent="0.35"/>
    <row r="104549" hidden="1" x14ac:dyDescent="0.35"/>
    <row r="104550" hidden="1" x14ac:dyDescent="0.35"/>
    <row r="104551" hidden="1" x14ac:dyDescent="0.35"/>
    <row r="104552" hidden="1" x14ac:dyDescent="0.35"/>
    <row r="104553" hidden="1" x14ac:dyDescent="0.35"/>
    <row r="104554" hidden="1" x14ac:dyDescent="0.35"/>
    <row r="104555" hidden="1" x14ac:dyDescent="0.35"/>
    <row r="104556" hidden="1" x14ac:dyDescent="0.35"/>
    <row r="104557" hidden="1" x14ac:dyDescent="0.35"/>
    <row r="104558" hidden="1" x14ac:dyDescent="0.35"/>
    <row r="104559" hidden="1" x14ac:dyDescent="0.35"/>
    <row r="104560" hidden="1" x14ac:dyDescent="0.35"/>
    <row r="104561" hidden="1" x14ac:dyDescent="0.35"/>
    <row r="104562" hidden="1" x14ac:dyDescent="0.35"/>
    <row r="104563" hidden="1" x14ac:dyDescent="0.35"/>
    <row r="104564" hidden="1" x14ac:dyDescent="0.35"/>
    <row r="104565" hidden="1" x14ac:dyDescent="0.35"/>
    <row r="104566" hidden="1" x14ac:dyDescent="0.35"/>
    <row r="104567" hidden="1" x14ac:dyDescent="0.35"/>
    <row r="104568" hidden="1" x14ac:dyDescent="0.35"/>
    <row r="104569" hidden="1" x14ac:dyDescent="0.35"/>
    <row r="104570" hidden="1" x14ac:dyDescent="0.35"/>
    <row r="104571" hidden="1" x14ac:dyDescent="0.35"/>
    <row r="104572" hidden="1" x14ac:dyDescent="0.35"/>
    <row r="104573" hidden="1" x14ac:dyDescent="0.35"/>
    <row r="104574" hidden="1" x14ac:dyDescent="0.35"/>
    <row r="104575" hidden="1" x14ac:dyDescent="0.35"/>
    <row r="104576" hidden="1" x14ac:dyDescent="0.35"/>
    <row r="104577" hidden="1" x14ac:dyDescent="0.35"/>
    <row r="104578" hidden="1" x14ac:dyDescent="0.35"/>
    <row r="104579" hidden="1" x14ac:dyDescent="0.35"/>
    <row r="104580" hidden="1" x14ac:dyDescent="0.35"/>
    <row r="104581" hidden="1" x14ac:dyDescent="0.35"/>
    <row r="104582" hidden="1" x14ac:dyDescent="0.35"/>
    <row r="104583" hidden="1" x14ac:dyDescent="0.35"/>
    <row r="104584" hidden="1" x14ac:dyDescent="0.35"/>
    <row r="104585" hidden="1" x14ac:dyDescent="0.35"/>
    <row r="104586" hidden="1" x14ac:dyDescent="0.35"/>
    <row r="104587" hidden="1" x14ac:dyDescent="0.35"/>
    <row r="104588" hidden="1" x14ac:dyDescent="0.35"/>
    <row r="104589" hidden="1" x14ac:dyDescent="0.35"/>
    <row r="104590" hidden="1" x14ac:dyDescent="0.35"/>
    <row r="104591" hidden="1" x14ac:dyDescent="0.35"/>
    <row r="104592" hidden="1" x14ac:dyDescent="0.35"/>
    <row r="104593" hidden="1" x14ac:dyDescent="0.35"/>
    <row r="104594" hidden="1" x14ac:dyDescent="0.35"/>
    <row r="104595" hidden="1" x14ac:dyDescent="0.35"/>
    <row r="104596" hidden="1" x14ac:dyDescent="0.35"/>
    <row r="104597" hidden="1" x14ac:dyDescent="0.35"/>
    <row r="104598" hidden="1" x14ac:dyDescent="0.35"/>
    <row r="104599" hidden="1" x14ac:dyDescent="0.35"/>
    <row r="104600" hidden="1" x14ac:dyDescent="0.35"/>
    <row r="104601" hidden="1" x14ac:dyDescent="0.35"/>
    <row r="104602" hidden="1" x14ac:dyDescent="0.35"/>
    <row r="104603" hidden="1" x14ac:dyDescent="0.35"/>
    <row r="104604" hidden="1" x14ac:dyDescent="0.35"/>
    <row r="104605" hidden="1" x14ac:dyDescent="0.35"/>
    <row r="104606" hidden="1" x14ac:dyDescent="0.35"/>
    <row r="104607" hidden="1" x14ac:dyDescent="0.35"/>
    <row r="104608" hidden="1" x14ac:dyDescent="0.35"/>
    <row r="104609" hidden="1" x14ac:dyDescent="0.35"/>
    <row r="104610" hidden="1" x14ac:dyDescent="0.35"/>
    <row r="104611" hidden="1" x14ac:dyDescent="0.35"/>
    <row r="104612" hidden="1" x14ac:dyDescent="0.35"/>
    <row r="104613" hidden="1" x14ac:dyDescent="0.35"/>
    <row r="104614" hidden="1" x14ac:dyDescent="0.35"/>
    <row r="104615" hidden="1" x14ac:dyDescent="0.35"/>
    <row r="104616" hidden="1" x14ac:dyDescent="0.35"/>
    <row r="104617" hidden="1" x14ac:dyDescent="0.35"/>
    <row r="104618" hidden="1" x14ac:dyDescent="0.35"/>
    <row r="104619" hidden="1" x14ac:dyDescent="0.35"/>
    <row r="104620" hidden="1" x14ac:dyDescent="0.35"/>
    <row r="104621" hidden="1" x14ac:dyDescent="0.35"/>
    <row r="104622" hidden="1" x14ac:dyDescent="0.35"/>
    <row r="104623" hidden="1" x14ac:dyDescent="0.35"/>
    <row r="104624" hidden="1" x14ac:dyDescent="0.35"/>
    <row r="104625" hidden="1" x14ac:dyDescent="0.35"/>
    <row r="104626" hidden="1" x14ac:dyDescent="0.35"/>
    <row r="104627" hidden="1" x14ac:dyDescent="0.35"/>
    <row r="104628" hidden="1" x14ac:dyDescent="0.35"/>
    <row r="104629" hidden="1" x14ac:dyDescent="0.35"/>
    <row r="104630" hidden="1" x14ac:dyDescent="0.35"/>
    <row r="104631" hidden="1" x14ac:dyDescent="0.35"/>
    <row r="104632" hidden="1" x14ac:dyDescent="0.35"/>
    <row r="104633" hidden="1" x14ac:dyDescent="0.35"/>
    <row r="104634" hidden="1" x14ac:dyDescent="0.35"/>
    <row r="104635" hidden="1" x14ac:dyDescent="0.35"/>
    <row r="104636" hidden="1" x14ac:dyDescent="0.35"/>
    <row r="104637" hidden="1" x14ac:dyDescent="0.35"/>
    <row r="104638" hidden="1" x14ac:dyDescent="0.35"/>
    <row r="104639" hidden="1" x14ac:dyDescent="0.35"/>
    <row r="104640" hidden="1" x14ac:dyDescent="0.35"/>
    <row r="104641" hidden="1" x14ac:dyDescent="0.35"/>
    <row r="104642" hidden="1" x14ac:dyDescent="0.35"/>
    <row r="104643" hidden="1" x14ac:dyDescent="0.35"/>
    <row r="104644" hidden="1" x14ac:dyDescent="0.35"/>
    <row r="104645" hidden="1" x14ac:dyDescent="0.35"/>
    <row r="104646" hidden="1" x14ac:dyDescent="0.35"/>
    <row r="104647" hidden="1" x14ac:dyDescent="0.35"/>
    <row r="104648" hidden="1" x14ac:dyDescent="0.35"/>
    <row r="104649" hidden="1" x14ac:dyDescent="0.35"/>
    <row r="104650" hidden="1" x14ac:dyDescent="0.35"/>
    <row r="104651" hidden="1" x14ac:dyDescent="0.35"/>
    <row r="104652" hidden="1" x14ac:dyDescent="0.35"/>
    <row r="104653" hidden="1" x14ac:dyDescent="0.35"/>
    <row r="104654" hidden="1" x14ac:dyDescent="0.35"/>
    <row r="104655" hidden="1" x14ac:dyDescent="0.35"/>
    <row r="104656" hidden="1" x14ac:dyDescent="0.35"/>
    <row r="104657" hidden="1" x14ac:dyDescent="0.35"/>
    <row r="104658" hidden="1" x14ac:dyDescent="0.35"/>
    <row r="104659" hidden="1" x14ac:dyDescent="0.35"/>
    <row r="104660" hidden="1" x14ac:dyDescent="0.35"/>
    <row r="104661" hidden="1" x14ac:dyDescent="0.35"/>
    <row r="104662" hidden="1" x14ac:dyDescent="0.35"/>
    <row r="104663" hidden="1" x14ac:dyDescent="0.35"/>
    <row r="104664" hidden="1" x14ac:dyDescent="0.35"/>
    <row r="104665" hidden="1" x14ac:dyDescent="0.35"/>
    <row r="104666" hidden="1" x14ac:dyDescent="0.35"/>
    <row r="104667" hidden="1" x14ac:dyDescent="0.35"/>
    <row r="104668" hidden="1" x14ac:dyDescent="0.35"/>
    <row r="104669" hidden="1" x14ac:dyDescent="0.35"/>
    <row r="104670" hidden="1" x14ac:dyDescent="0.35"/>
    <row r="104671" hidden="1" x14ac:dyDescent="0.35"/>
    <row r="104672" hidden="1" x14ac:dyDescent="0.35"/>
    <row r="104673" hidden="1" x14ac:dyDescent="0.35"/>
    <row r="104674" hidden="1" x14ac:dyDescent="0.35"/>
    <row r="104675" hidden="1" x14ac:dyDescent="0.35"/>
    <row r="104676" hidden="1" x14ac:dyDescent="0.35"/>
    <row r="104677" hidden="1" x14ac:dyDescent="0.35"/>
    <row r="104678" hidden="1" x14ac:dyDescent="0.35"/>
    <row r="104679" hidden="1" x14ac:dyDescent="0.35"/>
    <row r="104680" hidden="1" x14ac:dyDescent="0.35"/>
    <row r="104681" hidden="1" x14ac:dyDescent="0.35"/>
    <row r="104682" hidden="1" x14ac:dyDescent="0.35"/>
    <row r="104683" hidden="1" x14ac:dyDescent="0.35"/>
    <row r="104684" hidden="1" x14ac:dyDescent="0.35"/>
    <row r="104685" hidden="1" x14ac:dyDescent="0.35"/>
    <row r="104686" hidden="1" x14ac:dyDescent="0.35"/>
    <row r="104687" hidden="1" x14ac:dyDescent="0.35"/>
    <row r="104688" hidden="1" x14ac:dyDescent="0.35"/>
    <row r="104689" hidden="1" x14ac:dyDescent="0.35"/>
    <row r="104690" hidden="1" x14ac:dyDescent="0.35"/>
    <row r="104691" hidden="1" x14ac:dyDescent="0.35"/>
    <row r="104692" hidden="1" x14ac:dyDescent="0.35"/>
    <row r="104693" hidden="1" x14ac:dyDescent="0.35"/>
    <row r="104694" hidden="1" x14ac:dyDescent="0.35"/>
    <row r="104695" hidden="1" x14ac:dyDescent="0.35"/>
    <row r="104696" hidden="1" x14ac:dyDescent="0.35"/>
    <row r="104697" hidden="1" x14ac:dyDescent="0.35"/>
    <row r="104698" hidden="1" x14ac:dyDescent="0.35"/>
    <row r="104699" hidden="1" x14ac:dyDescent="0.35"/>
    <row r="104700" hidden="1" x14ac:dyDescent="0.35"/>
    <row r="104701" hidden="1" x14ac:dyDescent="0.35"/>
    <row r="104702" hidden="1" x14ac:dyDescent="0.35"/>
    <row r="104703" hidden="1" x14ac:dyDescent="0.35"/>
    <row r="104704" hidden="1" x14ac:dyDescent="0.35"/>
    <row r="104705" hidden="1" x14ac:dyDescent="0.35"/>
    <row r="104706" hidden="1" x14ac:dyDescent="0.35"/>
    <row r="104707" hidden="1" x14ac:dyDescent="0.35"/>
    <row r="104708" hidden="1" x14ac:dyDescent="0.35"/>
    <row r="104709" hidden="1" x14ac:dyDescent="0.35"/>
    <row r="104710" hidden="1" x14ac:dyDescent="0.35"/>
    <row r="104711" hidden="1" x14ac:dyDescent="0.35"/>
    <row r="104712" hidden="1" x14ac:dyDescent="0.35"/>
    <row r="104713" hidden="1" x14ac:dyDescent="0.35"/>
    <row r="104714" hidden="1" x14ac:dyDescent="0.35"/>
    <row r="104715" hidden="1" x14ac:dyDescent="0.35"/>
    <row r="104716" hidden="1" x14ac:dyDescent="0.35"/>
    <row r="104717" hidden="1" x14ac:dyDescent="0.35"/>
    <row r="104718" hidden="1" x14ac:dyDescent="0.35"/>
    <row r="104719" hidden="1" x14ac:dyDescent="0.35"/>
    <row r="104720" hidden="1" x14ac:dyDescent="0.35"/>
    <row r="104721" hidden="1" x14ac:dyDescent="0.35"/>
    <row r="104722" hidden="1" x14ac:dyDescent="0.35"/>
    <row r="104723" hidden="1" x14ac:dyDescent="0.35"/>
    <row r="104724" hidden="1" x14ac:dyDescent="0.35"/>
    <row r="104725" hidden="1" x14ac:dyDescent="0.35"/>
    <row r="104726" hidden="1" x14ac:dyDescent="0.35"/>
    <row r="104727" hidden="1" x14ac:dyDescent="0.35"/>
    <row r="104728" hidden="1" x14ac:dyDescent="0.35"/>
    <row r="104729" hidden="1" x14ac:dyDescent="0.35"/>
    <row r="104730" hidden="1" x14ac:dyDescent="0.35"/>
    <row r="104731" hidden="1" x14ac:dyDescent="0.35"/>
    <row r="104732" hidden="1" x14ac:dyDescent="0.35"/>
    <row r="104733" hidden="1" x14ac:dyDescent="0.35"/>
    <row r="104734" hidden="1" x14ac:dyDescent="0.35"/>
    <row r="104735" hidden="1" x14ac:dyDescent="0.35"/>
    <row r="104736" hidden="1" x14ac:dyDescent="0.35"/>
    <row r="104737" hidden="1" x14ac:dyDescent="0.35"/>
    <row r="104738" hidden="1" x14ac:dyDescent="0.35"/>
    <row r="104739" hidden="1" x14ac:dyDescent="0.35"/>
    <row r="104740" hidden="1" x14ac:dyDescent="0.35"/>
    <row r="104741" hidden="1" x14ac:dyDescent="0.35"/>
    <row r="104742" hidden="1" x14ac:dyDescent="0.35"/>
    <row r="104743" hidden="1" x14ac:dyDescent="0.35"/>
    <row r="104744" hidden="1" x14ac:dyDescent="0.35"/>
    <row r="104745" hidden="1" x14ac:dyDescent="0.35"/>
    <row r="104746" hidden="1" x14ac:dyDescent="0.35"/>
    <row r="104747" hidden="1" x14ac:dyDescent="0.35"/>
    <row r="104748" hidden="1" x14ac:dyDescent="0.35"/>
    <row r="104749" hidden="1" x14ac:dyDescent="0.35"/>
    <row r="104750" hidden="1" x14ac:dyDescent="0.35"/>
    <row r="104751" hidden="1" x14ac:dyDescent="0.35"/>
    <row r="104752" hidden="1" x14ac:dyDescent="0.35"/>
    <row r="104753" hidden="1" x14ac:dyDescent="0.35"/>
    <row r="104754" hidden="1" x14ac:dyDescent="0.35"/>
    <row r="104755" hidden="1" x14ac:dyDescent="0.35"/>
    <row r="104756" hidden="1" x14ac:dyDescent="0.35"/>
    <row r="104757" hidden="1" x14ac:dyDescent="0.35"/>
    <row r="104758" hidden="1" x14ac:dyDescent="0.35"/>
    <row r="104759" hidden="1" x14ac:dyDescent="0.35"/>
    <row r="104760" hidden="1" x14ac:dyDescent="0.35"/>
    <row r="104761" hidden="1" x14ac:dyDescent="0.35"/>
    <row r="104762" hidden="1" x14ac:dyDescent="0.35"/>
    <row r="104763" hidden="1" x14ac:dyDescent="0.35"/>
    <row r="104764" hidden="1" x14ac:dyDescent="0.35"/>
    <row r="104765" hidden="1" x14ac:dyDescent="0.35"/>
    <row r="104766" hidden="1" x14ac:dyDescent="0.35"/>
    <row r="104767" hidden="1" x14ac:dyDescent="0.35"/>
    <row r="104768" hidden="1" x14ac:dyDescent="0.35"/>
    <row r="104769" hidden="1" x14ac:dyDescent="0.35"/>
    <row r="104770" hidden="1" x14ac:dyDescent="0.35"/>
    <row r="104771" hidden="1" x14ac:dyDescent="0.35"/>
    <row r="104772" hidden="1" x14ac:dyDescent="0.35"/>
    <row r="104773" hidden="1" x14ac:dyDescent="0.35"/>
    <row r="104774" hidden="1" x14ac:dyDescent="0.35"/>
    <row r="104775" hidden="1" x14ac:dyDescent="0.35"/>
    <row r="104776" hidden="1" x14ac:dyDescent="0.35"/>
    <row r="104777" hidden="1" x14ac:dyDescent="0.35"/>
    <row r="104778" hidden="1" x14ac:dyDescent="0.35"/>
    <row r="104779" hidden="1" x14ac:dyDescent="0.35"/>
    <row r="104780" hidden="1" x14ac:dyDescent="0.35"/>
    <row r="104781" hidden="1" x14ac:dyDescent="0.35"/>
    <row r="104782" hidden="1" x14ac:dyDescent="0.35"/>
    <row r="104783" hidden="1" x14ac:dyDescent="0.35"/>
    <row r="104784" hidden="1" x14ac:dyDescent="0.35"/>
    <row r="104785" hidden="1" x14ac:dyDescent="0.35"/>
    <row r="104786" hidden="1" x14ac:dyDescent="0.35"/>
    <row r="104787" hidden="1" x14ac:dyDescent="0.35"/>
    <row r="104788" hidden="1" x14ac:dyDescent="0.35"/>
    <row r="104789" hidden="1" x14ac:dyDescent="0.35"/>
    <row r="104790" hidden="1" x14ac:dyDescent="0.35"/>
    <row r="104791" hidden="1" x14ac:dyDescent="0.35"/>
    <row r="104792" hidden="1" x14ac:dyDescent="0.35"/>
    <row r="104793" hidden="1" x14ac:dyDescent="0.35"/>
    <row r="104794" hidden="1" x14ac:dyDescent="0.35"/>
    <row r="104795" hidden="1" x14ac:dyDescent="0.35"/>
    <row r="104796" hidden="1" x14ac:dyDescent="0.35"/>
    <row r="104797" hidden="1" x14ac:dyDescent="0.35"/>
    <row r="104798" hidden="1" x14ac:dyDescent="0.35"/>
    <row r="104799" hidden="1" x14ac:dyDescent="0.35"/>
    <row r="104800" hidden="1" x14ac:dyDescent="0.35"/>
    <row r="104801" hidden="1" x14ac:dyDescent="0.35"/>
    <row r="104802" hidden="1" x14ac:dyDescent="0.35"/>
    <row r="104803" hidden="1" x14ac:dyDescent="0.35"/>
    <row r="104804" hidden="1" x14ac:dyDescent="0.35"/>
    <row r="104805" hidden="1" x14ac:dyDescent="0.35"/>
    <row r="104806" hidden="1" x14ac:dyDescent="0.35"/>
    <row r="104807" hidden="1" x14ac:dyDescent="0.35"/>
    <row r="104808" hidden="1" x14ac:dyDescent="0.35"/>
    <row r="104809" hidden="1" x14ac:dyDescent="0.35"/>
    <row r="104810" hidden="1" x14ac:dyDescent="0.35"/>
    <row r="104811" hidden="1" x14ac:dyDescent="0.35"/>
    <row r="104812" hidden="1" x14ac:dyDescent="0.35"/>
    <row r="104813" hidden="1" x14ac:dyDescent="0.35"/>
    <row r="104814" hidden="1" x14ac:dyDescent="0.35"/>
    <row r="104815" hidden="1" x14ac:dyDescent="0.35"/>
    <row r="104816" hidden="1" x14ac:dyDescent="0.35"/>
    <row r="104817" hidden="1" x14ac:dyDescent="0.35"/>
    <row r="104818" hidden="1" x14ac:dyDescent="0.35"/>
    <row r="104819" hidden="1" x14ac:dyDescent="0.35"/>
    <row r="104820" hidden="1" x14ac:dyDescent="0.35"/>
    <row r="104821" hidden="1" x14ac:dyDescent="0.35"/>
    <row r="104822" hidden="1" x14ac:dyDescent="0.35"/>
    <row r="104823" hidden="1" x14ac:dyDescent="0.35"/>
    <row r="104824" hidden="1" x14ac:dyDescent="0.35"/>
    <row r="104825" hidden="1" x14ac:dyDescent="0.35"/>
    <row r="104826" hidden="1" x14ac:dyDescent="0.35"/>
    <row r="104827" hidden="1" x14ac:dyDescent="0.35"/>
    <row r="104828" hidden="1" x14ac:dyDescent="0.35"/>
    <row r="104829" hidden="1" x14ac:dyDescent="0.35"/>
    <row r="104830" hidden="1" x14ac:dyDescent="0.35"/>
    <row r="104831" hidden="1" x14ac:dyDescent="0.35"/>
    <row r="104832" hidden="1" x14ac:dyDescent="0.35"/>
    <row r="104833" hidden="1" x14ac:dyDescent="0.35"/>
    <row r="104834" hidden="1" x14ac:dyDescent="0.35"/>
    <row r="104835" hidden="1" x14ac:dyDescent="0.35"/>
    <row r="104836" hidden="1" x14ac:dyDescent="0.35"/>
    <row r="104837" hidden="1" x14ac:dyDescent="0.35"/>
    <row r="104838" hidden="1" x14ac:dyDescent="0.35"/>
    <row r="104839" hidden="1" x14ac:dyDescent="0.35"/>
    <row r="104840" hidden="1" x14ac:dyDescent="0.35"/>
    <row r="104841" hidden="1" x14ac:dyDescent="0.35"/>
    <row r="104842" hidden="1" x14ac:dyDescent="0.35"/>
    <row r="104843" hidden="1" x14ac:dyDescent="0.35"/>
    <row r="104844" hidden="1" x14ac:dyDescent="0.35"/>
    <row r="104845" hidden="1" x14ac:dyDescent="0.35"/>
    <row r="104846" hidden="1" x14ac:dyDescent="0.35"/>
    <row r="104847" hidden="1" x14ac:dyDescent="0.35"/>
    <row r="104848" hidden="1" x14ac:dyDescent="0.35"/>
    <row r="104849" hidden="1" x14ac:dyDescent="0.35"/>
    <row r="104850" hidden="1" x14ac:dyDescent="0.35"/>
    <row r="104851" hidden="1" x14ac:dyDescent="0.35"/>
    <row r="104852" hidden="1" x14ac:dyDescent="0.35"/>
    <row r="104853" hidden="1" x14ac:dyDescent="0.35"/>
    <row r="104854" hidden="1" x14ac:dyDescent="0.35"/>
    <row r="104855" hidden="1" x14ac:dyDescent="0.35"/>
    <row r="104856" hidden="1" x14ac:dyDescent="0.35"/>
    <row r="104857" hidden="1" x14ac:dyDescent="0.35"/>
    <row r="104858" hidden="1" x14ac:dyDescent="0.35"/>
    <row r="104859" hidden="1" x14ac:dyDescent="0.35"/>
    <row r="104860" hidden="1" x14ac:dyDescent="0.35"/>
    <row r="104861" hidden="1" x14ac:dyDescent="0.35"/>
    <row r="104862" hidden="1" x14ac:dyDescent="0.35"/>
    <row r="104863" hidden="1" x14ac:dyDescent="0.35"/>
    <row r="104864" hidden="1" x14ac:dyDescent="0.35"/>
    <row r="104865" hidden="1" x14ac:dyDescent="0.35"/>
    <row r="104866" hidden="1" x14ac:dyDescent="0.35"/>
    <row r="104867" hidden="1" x14ac:dyDescent="0.35"/>
    <row r="104868" hidden="1" x14ac:dyDescent="0.35"/>
    <row r="104869" hidden="1" x14ac:dyDescent="0.35"/>
    <row r="104870" hidden="1" x14ac:dyDescent="0.35"/>
    <row r="104871" hidden="1" x14ac:dyDescent="0.35"/>
    <row r="104872" hidden="1" x14ac:dyDescent="0.35"/>
    <row r="104873" hidden="1" x14ac:dyDescent="0.35"/>
    <row r="104874" hidden="1" x14ac:dyDescent="0.35"/>
    <row r="104875" hidden="1" x14ac:dyDescent="0.35"/>
    <row r="104876" hidden="1" x14ac:dyDescent="0.35"/>
    <row r="104877" hidden="1" x14ac:dyDescent="0.35"/>
    <row r="104878" hidden="1" x14ac:dyDescent="0.35"/>
    <row r="104879" hidden="1" x14ac:dyDescent="0.35"/>
    <row r="104880" hidden="1" x14ac:dyDescent="0.35"/>
    <row r="104881" hidden="1" x14ac:dyDescent="0.35"/>
    <row r="104882" hidden="1" x14ac:dyDescent="0.35"/>
    <row r="104883" hidden="1" x14ac:dyDescent="0.35"/>
    <row r="104884" hidden="1" x14ac:dyDescent="0.35"/>
    <row r="104885" hidden="1" x14ac:dyDescent="0.35"/>
    <row r="104886" hidden="1" x14ac:dyDescent="0.35"/>
    <row r="104887" hidden="1" x14ac:dyDescent="0.35"/>
    <row r="104888" hidden="1" x14ac:dyDescent="0.35"/>
    <row r="104889" hidden="1" x14ac:dyDescent="0.35"/>
    <row r="104890" hidden="1" x14ac:dyDescent="0.35"/>
    <row r="104891" hidden="1" x14ac:dyDescent="0.35"/>
    <row r="104892" hidden="1" x14ac:dyDescent="0.35"/>
    <row r="104893" hidden="1" x14ac:dyDescent="0.35"/>
    <row r="104894" hidden="1" x14ac:dyDescent="0.35"/>
    <row r="104895" hidden="1" x14ac:dyDescent="0.35"/>
    <row r="104896" hidden="1" x14ac:dyDescent="0.35"/>
    <row r="104897" hidden="1" x14ac:dyDescent="0.35"/>
    <row r="104898" hidden="1" x14ac:dyDescent="0.35"/>
    <row r="104899" hidden="1" x14ac:dyDescent="0.35"/>
    <row r="104900" hidden="1" x14ac:dyDescent="0.35"/>
    <row r="104901" hidden="1" x14ac:dyDescent="0.35"/>
    <row r="104902" hidden="1" x14ac:dyDescent="0.35"/>
    <row r="104903" hidden="1" x14ac:dyDescent="0.35"/>
    <row r="104904" hidden="1" x14ac:dyDescent="0.35"/>
    <row r="104905" hidden="1" x14ac:dyDescent="0.35"/>
    <row r="104906" hidden="1" x14ac:dyDescent="0.35"/>
    <row r="104907" hidden="1" x14ac:dyDescent="0.35"/>
    <row r="104908" hidden="1" x14ac:dyDescent="0.35"/>
    <row r="104909" hidden="1" x14ac:dyDescent="0.35"/>
    <row r="104910" hidden="1" x14ac:dyDescent="0.35"/>
    <row r="104911" hidden="1" x14ac:dyDescent="0.35"/>
    <row r="104912" hidden="1" x14ac:dyDescent="0.35"/>
    <row r="104913" hidden="1" x14ac:dyDescent="0.35"/>
    <row r="104914" hidden="1" x14ac:dyDescent="0.35"/>
    <row r="104915" hidden="1" x14ac:dyDescent="0.35"/>
    <row r="104916" hidden="1" x14ac:dyDescent="0.35"/>
    <row r="104917" hidden="1" x14ac:dyDescent="0.35"/>
    <row r="104918" hidden="1" x14ac:dyDescent="0.35"/>
    <row r="104919" hidden="1" x14ac:dyDescent="0.35"/>
    <row r="104920" hidden="1" x14ac:dyDescent="0.35"/>
    <row r="104921" hidden="1" x14ac:dyDescent="0.35"/>
    <row r="104922" hidden="1" x14ac:dyDescent="0.35"/>
    <row r="104923" hidden="1" x14ac:dyDescent="0.35"/>
    <row r="104924" hidden="1" x14ac:dyDescent="0.35"/>
    <row r="104925" hidden="1" x14ac:dyDescent="0.35"/>
    <row r="104926" hidden="1" x14ac:dyDescent="0.35"/>
    <row r="104927" hidden="1" x14ac:dyDescent="0.35"/>
    <row r="104928" hidden="1" x14ac:dyDescent="0.35"/>
    <row r="104929" hidden="1" x14ac:dyDescent="0.35"/>
    <row r="104930" hidden="1" x14ac:dyDescent="0.35"/>
    <row r="104931" hidden="1" x14ac:dyDescent="0.35"/>
    <row r="104932" hidden="1" x14ac:dyDescent="0.35"/>
    <row r="104933" hidden="1" x14ac:dyDescent="0.35"/>
    <row r="104934" hidden="1" x14ac:dyDescent="0.35"/>
    <row r="104935" hidden="1" x14ac:dyDescent="0.35"/>
    <row r="104936" hidden="1" x14ac:dyDescent="0.35"/>
    <row r="104937" hidden="1" x14ac:dyDescent="0.35"/>
    <row r="104938" hidden="1" x14ac:dyDescent="0.35"/>
    <row r="104939" hidden="1" x14ac:dyDescent="0.35"/>
    <row r="104940" hidden="1" x14ac:dyDescent="0.35"/>
    <row r="104941" hidden="1" x14ac:dyDescent="0.35"/>
    <row r="104942" hidden="1" x14ac:dyDescent="0.35"/>
    <row r="104943" hidden="1" x14ac:dyDescent="0.35"/>
    <row r="104944" hidden="1" x14ac:dyDescent="0.35"/>
    <row r="104945" hidden="1" x14ac:dyDescent="0.35"/>
    <row r="104946" hidden="1" x14ac:dyDescent="0.35"/>
    <row r="104947" hidden="1" x14ac:dyDescent="0.35"/>
    <row r="104948" hidden="1" x14ac:dyDescent="0.35"/>
    <row r="104949" hidden="1" x14ac:dyDescent="0.35"/>
    <row r="104950" hidden="1" x14ac:dyDescent="0.35"/>
    <row r="104951" hidden="1" x14ac:dyDescent="0.35"/>
    <row r="104952" hidden="1" x14ac:dyDescent="0.35"/>
    <row r="104953" hidden="1" x14ac:dyDescent="0.35"/>
    <row r="104954" hidden="1" x14ac:dyDescent="0.35"/>
    <row r="104955" hidden="1" x14ac:dyDescent="0.35"/>
    <row r="104956" hidden="1" x14ac:dyDescent="0.35"/>
    <row r="104957" hidden="1" x14ac:dyDescent="0.35"/>
    <row r="104958" hidden="1" x14ac:dyDescent="0.35"/>
    <row r="104959" hidden="1" x14ac:dyDescent="0.35"/>
    <row r="104960" hidden="1" x14ac:dyDescent="0.35"/>
    <row r="104961" hidden="1" x14ac:dyDescent="0.35"/>
    <row r="104962" hidden="1" x14ac:dyDescent="0.35"/>
    <row r="104963" hidden="1" x14ac:dyDescent="0.35"/>
    <row r="104964" hidden="1" x14ac:dyDescent="0.35"/>
    <row r="104965" hidden="1" x14ac:dyDescent="0.35"/>
    <row r="104966" hidden="1" x14ac:dyDescent="0.35"/>
    <row r="104967" hidden="1" x14ac:dyDescent="0.35"/>
    <row r="104968" hidden="1" x14ac:dyDescent="0.35"/>
    <row r="104969" hidden="1" x14ac:dyDescent="0.35"/>
    <row r="104970" hidden="1" x14ac:dyDescent="0.35"/>
    <row r="104971" hidden="1" x14ac:dyDescent="0.35"/>
    <row r="104972" hidden="1" x14ac:dyDescent="0.35"/>
    <row r="104973" hidden="1" x14ac:dyDescent="0.35"/>
    <row r="104974" hidden="1" x14ac:dyDescent="0.35"/>
    <row r="104975" hidden="1" x14ac:dyDescent="0.35"/>
    <row r="104976" hidden="1" x14ac:dyDescent="0.35"/>
    <row r="104977" hidden="1" x14ac:dyDescent="0.35"/>
    <row r="104978" hidden="1" x14ac:dyDescent="0.35"/>
    <row r="104979" hidden="1" x14ac:dyDescent="0.35"/>
    <row r="104980" hidden="1" x14ac:dyDescent="0.35"/>
    <row r="104981" hidden="1" x14ac:dyDescent="0.35"/>
    <row r="104982" hidden="1" x14ac:dyDescent="0.35"/>
    <row r="104983" hidden="1" x14ac:dyDescent="0.35"/>
    <row r="104984" hidden="1" x14ac:dyDescent="0.35"/>
    <row r="104985" hidden="1" x14ac:dyDescent="0.35"/>
    <row r="104986" hidden="1" x14ac:dyDescent="0.35"/>
    <row r="104987" hidden="1" x14ac:dyDescent="0.35"/>
    <row r="104988" hidden="1" x14ac:dyDescent="0.35"/>
    <row r="104989" hidden="1" x14ac:dyDescent="0.35"/>
    <row r="104990" hidden="1" x14ac:dyDescent="0.35"/>
    <row r="104991" hidden="1" x14ac:dyDescent="0.35"/>
    <row r="104992" hidden="1" x14ac:dyDescent="0.35"/>
    <row r="104993" hidden="1" x14ac:dyDescent="0.35"/>
    <row r="104994" hidden="1" x14ac:dyDescent="0.35"/>
    <row r="104995" hidden="1" x14ac:dyDescent="0.35"/>
    <row r="104996" hidden="1" x14ac:dyDescent="0.35"/>
    <row r="104997" hidden="1" x14ac:dyDescent="0.35"/>
    <row r="104998" hidden="1" x14ac:dyDescent="0.35"/>
    <row r="104999" hidden="1" x14ac:dyDescent="0.35"/>
    <row r="105000" hidden="1" x14ac:dyDescent="0.35"/>
    <row r="105001" hidden="1" x14ac:dyDescent="0.35"/>
    <row r="105002" hidden="1" x14ac:dyDescent="0.35"/>
    <row r="105003" hidden="1" x14ac:dyDescent="0.35"/>
    <row r="105004" hidden="1" x14ac:dyDescent="0.35"/>
    <row r="105005" hidden="1" x14ac:dyDescent="0.35"/>
    <row r="105006" hidden="1" x14ac:dyDescent="0.35"/>
    <row r="105007" hidden="1" x14ac:dyDescent="0.35"/>
    <row r="105008" hidden="1" x14ac:dyDescent="0.35"/>
    <row r="105009" hidden="1" x14ac:dyDescent="0.35"/>
    <row r="105010" hidden="1" x14ac:dyDescent="0.35"/>
    <row r="105011" hidden="1" x14ac:dyDescent="0.35"/>
    <row r="105012" hidden="1" x14ac:dyDescent="0.35"/>
    <row r="105013" hidden="1" x14ac:dyDescent="0.35"/>
    <row r="105014" hidden="1" x14ac:dyDescent="0.35"/>
    <row r="105015" hidden="1" x14ac:dyDescent="0.35"/>
    <row r="105016" hidden="1" x14ac:dyDescent="0.35"/>
    <row r="105017" hidden="1" x14ac:dyDescent="0.35"/>
    <row r="105018" hidden="1" x14ac:dyDescent="0.35"/>
    <row r="105019" hidden="1" x14ac:dyDescent="0.35"/>
    <row r="105020" hidden="1" x14ac:dyDescent="0.35"/>
    <row r="105021" hidden="1" x14ac:dyDescent="0.35"/>
    <row r="105022" hidden="1" x14ac:dyDescent="0.35"/>
    <row r="105023" hidden="1" x14ac:dyDescent="0.35"/>
    <row r="105024" hidden="1" x14ac:dyDescent="0.35"/>
    <row r="105025" hidden="1" x14ac:dyDescent="0.35"/>
    <row r="105026" hidden="1" x14ac:dyDescent="0.35"/>
    <row r="105027" hidden="1" x14ac:dyDescent="0.35"/>
    <row r="105028" hidden="1" x14ac:dyDescent="0.35"/>
    <row r="105029" hidden="1" x14ac:dyDescent="0.35"/>
    <row r="105030" hidden="1" x14ac:dyDescent="0.35"/>
    <row r="105031" hidden="1" x14ac:dyDescent="0.35"/>
    <row r="105032" hidden="1" x14ac:dyDescent="0.35"/>
    <row r="105033" hidden="1" x14ac:dyDescent="0.35"/>
    <row r="105034" hidden="1" x14ac:dyDescent="0.35"/>
    <row r="105035" hidden="1" x14ac:dyDescent="0.35"/>
    <row r="105036" hidden="1" x14ac:dyDescent="0.35"/>
    <row r="105037" hidden="1" x14ac:dyDescent="0.35"/>
    <row r="105038" hidden="1" x14ac:dyDescent="0.35"/>
    <row r="105039" hidden="1" x14ac:dyDescent="0.35"/>
    <row r="105040" hidden="1" x14ac:dyDescent="0.35"/>
    <row r="105041" hidden="1" x14ac:dyDescent="0.35"/>
    <row r="105042" hidden="1" x14ac:dyDescent="0.35"/>
    <row r="105043" hidden="1" x14ac:dyDescent="0.35"/>
    <row r="105044" hidden="1" x14ac:dyDescent="0.35"/>
    <row r="105045" hidden="1" x14ac:dyDescent="0.35"/>
    <row r="105046" hidden="1" x14ac:dyDescent="0.35"/>
    <row r="105047" hidden="1" x14ac:dyDescent="0.35"/>
    <row r="105048" hidden="1" x14ac:dyDescent="0.35"/>
    <row r="105049" hidden="1" x14ac:dyDescent="0.35"/>
    <row r="105050" hidden="1" x14ac:dyDescent="0.35"/>
    <row r="105051" hidden="1" x14ac:dyDescent="0.35"/>
    <row r="105052" hidden="1" x14ac:dyDescent="0.35"/>
    <row r="105053" hidden="1" x14ac:dyDescent="0.35"/>
    <row r="105054" hidden="1" x14ac:dyDescent="0.35"/>
    <row r="105055" hidden="1" x14ac:dyDescent="0.35"/>
    <row r="105056" hidden="1" x14ac:dyDescent="0.35"/>
    <row r="105057" hidden="1" x14ac:dyDescent="0.35"/>
    <row r="105058" hidden="1" x14ac:dyDescent="0.35"/>
    <row r="105059" hidden="1" x14ac:dyDescent="0.35"/>
    <row r="105060" hidden="1" x14ac:dyDescent="0.35"/>
    <row r="105061" hidden="1" x14ac:dyDescent="0.35"/>
    <row r="105062" hidden="1" x14ac:dyDescent="0.35"/>
    <row r="105063" hidden="1" x14ac:dyDescent="0.35"/>
    <row r="105064" hidden="1" x14ac:dyDescent="0.35"/>
    <row r="105065" hidden="1" x14ac:dyDescent="0.35"/>
    <row r="105066" hidden="1" x14ac:dyDescent="0.35"/>
    <row r="105067" hidden="1" x14ac:dyDescent="0.35"/>
    <row r="105068" hidden="1" x14ac:dyDescent="0.35"/>
    <row r="105069" hidden="1" x14ac:dyDescent="0.35"/>
    <row r="105070" hidden="1" x14ac:dyDescent="0.35"/>
    <row r="105071" hidden="1" x14ac:dyDescent="0.35"/>
    <row r="105072" hidden="1" x14ac:dyDescent="0.35"/>
    <row r="105073" hidden="1" x14ac:dyDescent="0.35"/>
    <row r="105074" hidden="1" x14ac:dyDescent="0.35"/>
    <row r="105075" hidden="1" x14ac:dyDescent="0.35"/>
    <row r="105076" hidden="1" x14ac:dyDescent="0.35"/>
    <row r="105077" hidden="1" x14ac:dyDescent="0.35"/>
    <row r="105078" hidden="1" x14ac:dyDescent="0.35"/>
    <row r="105079" hidden="1" x14ac:dyDescent="0.35"/>
    <row r="105080" hidden="1" x14ac:dyDescent="0.35"/>
    <row r="105081" hidden="1" x14ac:dyDescent="0.35"/>
    <row r="105082" hidden="1" x14ac:dyDescent="0.35"/>
    <row r="105083" hidden="1" x14ac:dyDescent="0.35"/>
    <row r="105084" hidden="1" x14ac:dyDescent="0.35"/>
    <row r="105085" hidden="1" x14ac:dyDescent="0.35"/>
    <row r="105086" hidden="1" x14ac:dyDescent="0.35"/>
    <row r="105087" hidden="1" x14ac:dyDescent="0.35"/>
    <row r="105088" hidden="1" x14ac:dyDescent="0.35"/>
    <row r="105089" hidden="1" x14ac:dyDescent="0.35"/>
    <row r="105090" hidden="1" x14ac:dyDescent="0.35"/>
    <row r="105091" hidden="1" x14ac:dyDescent="0.35"/>
    <row r="105092" hidden="1" x14ac:dyDescent="0.35"/>
    <row r="105093" hidden="1" x14ac:dyDescent="0.35"/>
    <row r="105094" hidden="1" x14ac:dyDescent="0.35"/>
    <row r="105095" hidden="1" x14ac:dyDescent="0.35"/>
    <row r="105096" hidden="1" x14ac:dyDescent="0.35"/>
    <row r="105097" hidden="1" x14ac:dyDescent="0.35"/>
    <row r="105098" hidden="1" x14ac:dyDescent="0.35"/>
    <row r="105099" hidden="1" x14ac:dyDescent="0.35"/>
    <row r="105100" hidden="1" x14ac:dyDescent="0.35"/>
    <row r="105101" hidden="1" x14ac:dyDescent="0.35"/>
    <row r="105102" hidden="1" x14ac:dyDescent="0.35"/>
    <row r="105103" hidden="1" x14ac:dyDescent="0.35"/>
    <row r="105104" hidden="1" x14ac:dyDescent="0.35"/>
    <row r="105105" hidden="1" x14ac:dyDescent="0.35"/>
    <row r="105106" hidden="1" x14ac:dyDescent="0.35"/>
    <row r="105107" hidden="1" x14ac:dyDescent="0.35"/>
    <row r="105108" hidden="1" x14ac:dyDescent="0.35"/>
    <row r="105109" hidden="1" x14ac:dyDescent="0.35"/>
    <row r="105110" hidden="1" x14ac:dyDescent="0.35"/>
    <row r="105111" hidden="1" x14ac:dyDescent="0.35"/>
    <row r="105112" hidden="1" x14ac:dyDescent="0.35"/>
    <row r="105113" hidden="1" x14ac:dyDescent="0.35"/>
    <row r="105114" hidden="1" x14ac:dyDescent="0.35"/>
    <row r="105115" hidden="1" x14ac:dyDescent="0.35"/>
    <row r="105116" hidden="1" x14ac:dyDescent="0.35"/>
    <row r="105117" hidden="1" x14ac:dyDescent="0.35"/>
    <row r="105118" hidden="1" x14ac:dyDescent="0.35"/>
    <row r="105119" hidden="1" x14ac:dyDescent="0.35"/>
    <row r="105120" hidden="1" x14ac:dyDescent="0.35"/>
    <row r="105121" hidden="1" x14ac:dyDescent="0.35"/>
    <row r="105122" hidden="1" x14ac:dyDescent="0.35"/>
    <row r="105123" hidden="1" x14ac:dyDescent="0.35"/>
    <row r="105124" hidden="1" x14ac:dyDescent="0.35"/>
    <row r="105125" hidden="1" x14ac:dyDescent="0.35"/>
    <row r="105126" hidden="1" x14ac:dyDescent="0.35"/>
    <row r="105127" hidden="1" x14ac:dyDescent="0.35"/>
    <row r="105128" hidden="1" x14ac:dyDescent="0.35"/>
    <row r="105129" hidden="1" x14ac:dyDescent="0.35"/>
    <row r="105130" hidden="1" x14ac:dyDescent="0.35"/>
    <row r="105131" hidden="1" x14ac:dyDescent="0.35"/>
    <row r="105132" hidden="1" x14ac:dyDescent="0.35"/>
    <row r="105133" hidden="1" x14ac:dyDescent="0.35"/>
    <row r="105134" hidden="1" x14ac:dyDescent="0.35"/>
    <row r="105135" hidden="1" x14ac:dyDescent="0.35"/>
    <row r="105136" hidden="1" x14ac:dyDescent="0.35"/>
    <row r="105137" hidden="1" x14ac:dyDescent="0.35"/>
    <row r="105138" hidden="1" x14ac:dyDescent="0.35"/>
    <row r="105139" hidden="1" x14ac:dyDescent="0.35"/>
    <row r="105140" hidden="1" x14ac:dyDescent="0.35"/>
    <row r="105141" hidden="1" x14ac:dyDescent="0.35"/>
    <row r="105142" hidden="1" x14ac:dyDescent="0.35"/>
    <row r="105143" hidden="1" x14ac:dyDescent="0.35"/>
    <row r="105144" hidden="1" x14ac:dyDescent="0.35"/>
    <row r="105145" hidden="1" x14ac:dyDescent="0.35"/>
    <row r="105146" hidden="1" x14ac:dyDescent="0.35"/>
    <row r="105147" hidden="1" x14ac:dyDescent="0.35"/>
    <row r="105148" hidden="1" x14ac:dyDescent="0.35"/>
    <row r="105149" hidden="1" x14ac:dyDescent="0.35"/>
    <row r="105150" hidden="1" x14ac:dyDescent="0.35"/>
    <row r="105151" hidden="1" x14ac:dyDescent="0.35"/>
    <row r="105152" hidden="1" x14ac:dyDescent="0.35"/>
    <row r="105153" hidden="1" x14ac:dyDescent="0.35"/>
    <row r="105154" hidden="1" x14ac:dyDescent="0.35"/>
    <row r="105155" hidden="1" x14ac:dyDescent="0.35"/>
    <row r="105156" hidden="1" x14ac:dyDescent="0.35"/>
    <row r="105157" hidden="1" x14ac:dyDescent="0.35"/>
    <row r="105158" hidden="1" x14ac:dyDescent="0.35"/>
    <row r="105159" hidden="1" x14ac:dyDescent="0.35"/>
    <row r="105160" hidden="1" x14ac:dyDescent="0.35"/>
    <row r="105161" hidden="1" x14ac:dyDescent="0.35"/>
    <row r="105162" hidden="1" x14ac:dyDescent="0.35"/>
    <row r="105163" hidden="1" x14ac:dyDescent="0.35"/>
    <row r="105164" hidden="1" x14ac:dyDescent="0.35"/>
    <row r="105165" hidden="1" x14ac:dyDescent="0.35"/>
    <row r="105166" hidden="1" x14ac:dyDescent="0.35"/>
    <row r="105167" hidden="1" x14ac:dyDescent="0.35"/>
    <row r="105168" hidden="1" x14ac:dyDescent="0.35"/>
    <row r="105169" hidden="1" x14ac:dyDescent="0.35"/>
    <row r="105170" hidden="1" x14ac:dyDescent="0.35"/>
    <row r="105171" hidden="1" x14ac:dyDescent="0.35"/>
    <row r="105172" hidden="1" x14ac:dyDescent="0.35"/>
    <row r="105173" hidden="1" x14ac:dyDescent="0.35"/>
    <row r="105174" hidden="1" x14ac:dyDescent="0.35"/>
    <row r="105175" hidden="1" x14ac:dyDescent="0.35"/>
    <row r="105176" hidden="1" x14ac:dyDescent="0.35"/>
    <row r="105177" hidden="1" x14ac:dyDescent="0.35"/>
    <row r="105178" hidden="1" x14ac:dyDescent="0.35"/>
    <row r="105179" hidden="1" x14ac:dyDescent="0.35"/>
    <row r="105180" hidden="1" x14ac:dyDescent="0.35"/>
    <row r="105181" hidden="1" x14ac:dyDescent="0.35"/>
    <row r="105182" hidden="1" x14ac:dyDescent="0.35"/>
    <row r="105183" hidden="1" x14ac:dyDescent="0.35"/>
    <row r="105184" hidden="1" x14ac:dyDescent="0.35"/>
    <row r="105185" hidden="1" x14ac:dyDescent="0.35"/>
    <row r="105186" hidden="1" x14ac:dyDescent="0.35"/>
    <row r="105187" hidden="1" x14ac:dyDescent="0.35"/>
    <row r="105188" hidden="1" x14ac:dyDescent="0.35"/>
    <row r="105189" hidden="1" x14ac:dyDescent="0.35"/>
    <row r="105190" hidden="1" x14ac:dyDescent="0.35"/>
    <row r="105191" hidden="1" x14ac:dyDescent="0.35"/>
    <row r="105192" hidden="1" x14ac:dyDescent="0.35"/>
    <row r="105193" hidden="1" x14ac:dyDescent="0.35"/>
    <row r="105194" hidden="1" x14ac:dyDescent="0.35"/>
    <row r="105195" hidden="1" x14ac:dyDescent="0.35"/>
    <row r="105196" hidden="1" x14ac:dyDescent="0.35"/>
    <row r="105197" hidden="1" x14ac:dyDescent="0.35"/>
    <row r="105198" hidden="1" x14ac:dyDescent="0.35"/>
    <row r="105199" hidden="1" x14ac:dyDescent="0.35"/>
    <row r="105200" hidden="1" x14ac:dyDescent="0.35"/>
    <row r="105201" hidden="1" x14ac:dyDescent="0.35"/>
    <row r="105202" hidden="1" x14ac:dyDescent="0.35"/>
    <row r="105203" hidden="1" x14ac:dyDescent="0.35"/>
    <row r="105204" hidden="1" x14ac:dyDescent="0.35"/>
    <row r="105205" hidden="1" x14ac:dyDescent="0.35"/>
    <row r="105206" hidden="1" x14ac:dyDescent="0.35"/>
    <row r="105207" hidden="1" x14ac:dyDescent="0.35"/>
    <row r="105208" hidden="1" x14ac:dyDescent="0.35"/>
    <row r="105209" hidden="1" x14ac:dyDescent="0.35"/>
    <row r="105210" hidden="1" x14ac:dyDescent="0.35"/>
    <row r="105211" hidden="1" x14ac:dyDescent="0.35"/>
    <row r="105212" hidden="1" x14ac:dyDescent="0.35"/>
    <row r="105213" hidden="1" x14ac:dyDescent="0.35"/>
    <row r="105214" hidden="1" x14ac:dyDescent="0.35"/>
    <row r="105215" hidden="1" x14ac:dyDescent="0.35"/>
    <row r="105216" hidden="1" x14ac:dyDescent="0.35"/>
    <row r="105217" hidden="1" x14ac:dyDescent="0.35"/>
    <row r="105218" hidden="1" x14ac:dyDescent="0.35"/>
    <row r="105219" hidden="1" x14ac:dyDescent="0.35"/>
    <row r="105220" hidden="1" x14ac:dyDescent="0.35"/>
    <row r="105221" hidden="1" x14ac:dyDescent="0.35"/>
    <row r="105222" hidden="1" x14ac:dyDescent="0.35"/>
    <row r="105223" hidden="1" x14ac:dyDescent="0.35"/>
    <row r="105224" hidden="1" x14ac:dyDescent="0.35"/>
    <row r="105225" hidden="1" x14ac:dyDescent="0.35"/>
    <row r="105226" hidden="1" x14ac:dyDescent="0.35"/>
    <row r="105227" hidden="1" x14ac:dyDescent="0.35"/>
    <row r="105228" hidden="1" x14ac:dyDescent="0.35"/>
    <row r="105229" hidden="1" x14ac:dyDescent="0.35"/>
    <row r="105230" hidden="1" x14ac:dyDescent="0.35"/>
    <row r="105231" hidden="1" x14ac:dyDescent="0.35"/>
    <row r="105232" hidden="1" x14ac:dyDescent="0.35"/>
    <row r="105233" hidden="1" x14ac:dyDescent="0.35"/>
    <row r="105234" hidden="1" x14ac:dyDescent="0.35"/>
    <row r="105235" hidden="1" x14ac:dyDescent="0.35"/>
    <row r="105236" hidden="1" x14ac:dyDescent="0.35"/>
    <row r="105237" hidden="1" x14ac:dyDescent="0.35"/>
    <row r="105238" hidden="1" x14ac:dyDescent="0.35"/>
    <row r="105239" hidden="1" x14ac:dyDescent="0.35"/>
    <row r="105240" hidden="1" x14ac:dyDescent="0.35"/>
    <row r="105241" hidden="1" x14ac:dyDescent="0.35"/>
    <row r="105242" hidden="1" x14ac:dyDescent="0.35"/>
    <row r="105243" hidden="1" x14ac:dyDescent="0.35"/>
    <row r="105244" hidden="1" x14ac:dyDescent="0.35"/>
    <row r="105245" hidden="1" x14ac:dyDescent="0.35"/>
    <row r="105246" hidden="1" x14ac:dyDescent="0.35"/>
    <row r="105247" hidden="1" x14ac:dyDescent="0.35"/>
    <row r="105248" hidden="1" x14ac:dyDescent="0.35"/>
    <row r="105249" hidden="1" x14ac:dyDescent="0.35"/>
    <row r="105250" hidden="1" x14ac:dyDescent="0.35"/>
    <row r="105251" hidden="1" x14ac:dyDescent="0.35"/>
    <row r="105252" hidden="1" x14ac:dyDescent="0.35"/>
    <row r="105253" hidden="1" x14ac:dyDescent="0.35"/>
    <row r="105254" hidden="1" x14ac:dyDescent="0.35"/>
    <row r="105255" hidden="1" x14ac:dyDescent="0.35"/>
    <row r="105256" hidden="1" x14ac:dyDescent="0.35"/>
    <row r="105257" hidden="1" x14ac:dyDescent="0.35"/>
    <row r="105258" hidden="1" x14ac:dyDescent="0.35"/>
    <row r="105259" hidden="1" x14ac:dyDescent="0.35"/>
    <row r="105260" hidden="1" x14ac:dyDescent="0.35"/>
    <row r="105261" hidden="1" x14ac:dyDescent="0.35"/>
    <row r="105262" hidden="1" x14ac:dyDescent="0.35"/>
    <row r="105263" hidden="1" x14ac:dyDescent="0.35"/>
    <row r="105264" hidden="1" x14ac:dyDescent="0.35"/>
    <row r="105265" hidden="1" x14ac:dyDescent="0.35"/>
    <row r="105266" hidden="1" x14ac:dyDescent="0.35"/>
    <row r="105267" hidden="1" x14ac:dyDescent="0.35"/>
    <row r="105268" hidden="1" x14ac:dyDescent="0.35"/>
    <row r="105269" hidden="1" x14ac:dyDescent="0.35"/>
    <row r="105270" hidden="1" x14ac:dyDescent="0.35"/>
    <row r="105271" hidden="1" x14ac:dyDescent="0.35"/>
    <row r="105272" hidden="1" x14ac:dyDescent="0.35"/>
    <row r="105273" hidden="1" x14ac:dyDescent="0.35"/>
    <row r="105274" hidden="1" x14ac:dyDescent="0.35"/>
    <row r="105275" hidden="1" x14ac:dyDescent="0.35"/>
    <row r="105276" hidden="1" x14ac:dyDescent="0.35"/>
    <row r="105277" hidden="1" x14ac:dyDescent="0.35"/>
    <row r="105278" hidden="1" x14ac:dyDescent="0.35"/>
    <row r="105279" hidden="1" x14ac:dyDescent="0.35"/>
    <row r="105280" hidden="1" x14ac:dyDescent="0.35"/>
    <row r="105281" hidden="1" x14ac:dyDescent="0.35"/>
    <row r="105282" hidden="1" x14ac:dyDescent="0.35"/>
    <row r="105283" hidden="1" x14ac:dyDescent="0.35"/>
    <row r="105284" hidden="1" x14ac:dyDescent="0.35"/>
    <row r="105285" hidden="1" x14ac:dyDescent="0.35"/>
    <row r="105286" hidden="1" x14ac:dyDescent="0.35"/>
    <row r="105287" hidden="1" x14ac:dyDescent="0.35"/>
    <row r="105288" hidden="1" x14ac:dyDescent="0.35"/>
    <row r="105289" hidden="1" x14ac:dyDescent="0.35"/>
    <row r="105290" hidden="1" x14ac:dyDescent="0.35"/>
    <row r="105291" hidden="1" x14ac:dyDescent="0.35"/>
    <row r="105292" hidden="1" x14ac:dyDescent="0.35"/>
    <row r="105293" hidden="1" x14ac:dyDescent="0.35"/>
    <row r="105294" hidden="1" x14ac:dyDescent="0.35"/>
    <row r="105295" hidden="1" x14ac:dyDescent="0.35"/>
    <row r="105296" hidden="1" x14ac:dyDescent="0.35"/>
    <row r="105297" hidden="1" x14ac:dyDescent="0.35"/>
    <row r="105298" hidden="1" x14ac:dyDescent="0.35"/>
    <row r="105299" hidden="1" x14ac:dyDescent="0.35"/>
    <row r="105300" hidden="1" x14ac:dyDescent="0.35"/>
    <row r="105301" hidden="1" x14ac:dyDescent="0.35"/>
    <row r="105302" hidden="1" x14ac:dyDescent="0.35"/>
    <row r="105303" hidden="1" x14ac:dyDescent="0.35"/>
    <row r="105304" hidden="1" x14ac:dyDescent="0.35"/>
    <row r="105305" hidden="1" x14ac:dyDescent="0.35"/>
    <row r="105306" hidden="1" x14ac:dyDescent="0.35"/>
    <row r="105307" hidden="1" x14ac:dyDescent="0.35"/>
    <row r="105308" hidden="1" x14ac:dyDescent="0.35"/>
    <row r="105309" hidden="1" x14ac:dyDescent="0.35"/>
    <row r="105310" hidden="1" x14ac:dyDescent="0.35"/>
    <row r="105311" hidden="1" x14ac:dyDescent="0.35"/>
    <row r="105312" hidden="1" x14ac:dyDescent="0.35"/>
    <row r="105313" hidden="1" x14ac:dyDescent="0.35"/>
    <row r="105314" hidden="1" x14ac:dyDescent="0.35"/>
    <row r="105315" hidden="1" x14ac:dyDescent="0.35"/>
    <row r="105316" hidden="1" x14ac:dyDescent="0.35"/>
    <row r="105317" hidden="1" x14ac:dyDescent="0.35"/>
    <row r="105318" hidden="1" x14ac:dyDescent="0.35"/>
    <row r="105319" hidden="1" x14ac:dyDescent="0.35"/>
    <row r="105320" hidden="1" x14ac:dyDescent="0.35"/>
    <row r="105321" hidden="1" x14ac:dyDescent="0.35"/>
    <row r="105322" hidden="1" x14ac:dyDescent="0.35"/>
    <row r="105323" hidden="1" x14ac:dyDescent="0.35"/>
    <row r="105324" hidden="1" x14ac:dyDescent="0.35"/>
    <row r="105325" hidden="1" x14ac:dyDescent="0.35"/>
    <row r="105326" hidden="1" x14ac:dyDescent="0.35"/>
    <row r="105327" hidden="1" x14ac:dyDescent="0.35"/>
    <row r="105328" hidden="1" x14ac:dyDescent="0.35"/>
    <row r="105329" hidden="1" x14ac:dyDescent="0.35"/>
    <row r="105330" hidden="1" x14ac:dyDescent="0.35"/>
    <row r="105331" hidden="1" x14ac:dyDescent="0.35"/>
    <row r="105332" hidden="1" x14ac:dyDescent="0.35"/>
    <row r="105333" hidden="1" x14ac:dyDescent="0.35"/>
    <row r="105334" hidden="1" x14ac:dyDescent="0.3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Sheet1</vt:lpstr>
      <vt:lpstr>New</vt:lpstr>
      <vt:lpstr>Sheet3</vt:lpstr>
      <vt:lpstr>Sheet2</vt:lpstr>
      <vt:lpstr>Amazon Sale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Pankaj Shinde</cp:lastModifiedBy>
  <dcterms:created xsi:type="dcterms:W3CDTF">2025-09-06T13:42:08Z</dcterms:created>
  <dcterms:modified xsi:type="dcterms:W3CDTF">2025-09-28T19:08:43Z</dcterms:modified>
</cp:coreProperties>
</file>